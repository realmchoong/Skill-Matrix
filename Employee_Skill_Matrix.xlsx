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kill Matrix" sheetId="2" state="visible" r:id="rId2"/>
    <sheet name="Ratings" sheetId="3" state="hidden" r:id="rId3"/>
    <sheet name="Dashboard" sheetId="4" state="visible" r:id="rId4"/>
    <sheet name="Employees" sheetId="5" state="visible" r:id="rId5"/>
    <sheet name="Skills" sheetId="6" state="visible" r:id="rId6"/>
    <sheet name="Years" sheetId="7" state="visible" r:id="rId7"/>
    <sheet name="Lists" sheetId="8" state="visible" r:id="rId8"/>
    <sheet name="Settings" sheetId="9" state="visible" r:id="rId9"/>
    <sheet name="Data" sheetId="10" state="hidden" r:id="rId10"/>
    <sheet name="Calc" sheetId="11" state="hidden" r:id="rId11"/>
  </sheets>
  <definedNames>
    <definedName name="ViewYear">'Skill Matrix'!$B$3</definedName>
    <definedName name="EmployeeList">'Employees'!$B$6:INDEX('Employees'!$B$6:$B$21,COUNTA('Employees'!$B$6:$B$21))</definedName>
    <definedName name="SkillNameList">'Skills'!$B$6:INDEX('Skills'!$B$6:$B$21,COUNTA('Skills'!$B$6:$B$21))</definedName>
    <definedName name="YearList">'Years'!$B$8:INDEX('Years'!$B$8:$B$23,COUNTA('Years'!$B$8:$B$23))</definedName>
    <definedName name="ViewModeList">'Lists'!$C$6:$C$8</definedName>
    <definedName name="DepartmentList">'Lists'!$A$6:INDEX('Lists'!$A$6:$A$21,COUNTA('Lists'!$A$6:$A$21))</definedName>
    <definedName name="DeptFilterList">'Lists'!$E$6:INDEX('Lists'!$E$6:$E$22,COUNTA('Lists'!$E$6:$E$22))</definedName>
    <definedName name="TargetRating">'Settings'!$B$6</definedName>
    <definedName name="CalendarYear">'Settings'!$B$9</definedName>
    <definedName name="DataEmployee">'Data'!$A$2:$A$4097</definedName>
    <definedName name="DataDept">'Data'!$B$2:$B$4097</definedName>
    <definedName name="DataSkill">'Data'!$C$2:$C$4097</definedName>
    <definedName name="DataYear">'Data'!$E$2:$E$4097</definedName>
    <definedName name="DataRating">'Data'!$F$2:$F$4097</definedName>
    <definedName name="LatestYear">'Calc'!$B$1</definedName>
    <definedName name="PreviousYear">'Calc'!$B$2</definedName>
    <definedName name="ViewMode">'Dashboard'!$B$5</definedName>
    <definedName name="DashFromYear">'Dashboard'!$D$5</definedName>
    <definedName name="DashToYear">'Dashboard'!$F$5</definedName>
    <definedName name="DeptFilter">'Dashboard'!$B$6</definedName>
    <definedName name="SkillSetFilter">'Dashboard'!$D$6</definedName>
    <definedName name="EmpFilter">'Dashboard'!$F$6</definedName>
    <definedName name="_xlnm.Print_Titles" localSheetId="1">'Skill Matrix'!$1:$5,'Skill Matrix'!$A:$C</definedName>
    <definedName name="_xlnm._FilterDatabase" localSheetId="2" hidden="1">'Ratings'!$A$5:$Y$261</definedName>
    <definedName name="_xlnm.Print_Titles" localSheetId="2">'Ratings'!$1:$5,'Ratings'!$A:$D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;-0;0"/>
    <numFmt numFmtId="165" formatCode="+0.00;-0.00;0.00"/>
    <numFmt numFmtId="166" formatCode="yyyy-mm-dd"/>
    <numFmt numFmtId="167" formatCode="YYYY-MM-DD"/>
  </numFmts>
  <fonts count="28">
    <font>
      <name val="Calibri"/>
      <family val="2"/>
      <color theme="1"/>
      <sz val="11"/>
      <scheme val="minor"/>
    </font>
    <font>
      <name val="Calibri"/>
      <i val="1"/>
      <color rgb="005E6C7A"/>
      <sz val="10"/>
    </font>
    <font>
      <name val="Calibri"/>
      <b val="1"/>
      <color rgb="00FFFFFF"/>
      <sz val="10"/>
      <u val="single"/>
    </font>
    <font>
      <name val="Calibri"/>
      <color rgb="00FFFFFF"/>
      <sz val="10"/>
      <u val="single"/>
    </font>
    <font>
      <name val="Calibri"/>
      <b val="1"/>
      <color rgb="001B365D"/>
      <sz val="22"/>
    </font>
    <font>
      <name val="Calibri"/>
      <color rgb="005E6C7A"/>
      <sz val="12"/>
    </font>
    <font>
      <name val="Calibri"/>
      <b val="1"/>
      <color rgb="00FFFFFF"/>
      <sz val="13"/>
    </font>
    <font>
      <name val="Calibri"/>
      <color rgb="001F2933"/>
      <sz val="11"/>
    </font>
    <font>
      <name val="Calibri"/>
      <b val="1"/>
      <color rgb="001B365D"/>
      <sz val="14"/>
    </font>
    <font>
      <name val="Calibri"/>
      <b val="1"/>
      <color rgb="001F2933"/>
      <sz val="12"/>
    </font>
    <font>
      <name val="Calibri"/>
      <color rgb="001F2933"/>
      <sz val="10"/>
    </font>
    <font>
      <name val="Calibri"/>
      <b val="1"/>
      <color rgb="00FFFFFF"/>
      <sz val="11"/>
    </font>
    <font>
      <name val="Calibri"/>
      <b val="1"/>
      <color rgb="000E7C7B"/>
      <sz val="12"/>
    </font>
    <font>
      <name val="Calibri"/>
      <b val="1"/>
      <color rgb="001B365D"/>
      <sz val="16"/>
    </font>
    <font>
      <name val="Calibri"/>
      <color rgb="005E6C7A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B365D"/>
      <sz val="10"/>
    </font>
    <font>
      <name val="Calibri"/>
      <b val="1"/>
      <color rgb="001F2933"/>
      <sz val="11"/>
    </font>
    <font>
      <name val="Calibri"/>
      <b val="1"/>
      <color rgb="005E6C7A"/>
      <sz val="10"/>
    </font>
    <font>
      <name val="Calibri"/>
      <color rgb="005E6C7A"/>
      <sz val="11"/>
    </font>
    <font>
      <name val="Calibri"/>
      <b val="1"/>
      <color rgb="00FFFFFF"/>
      <sz val="10"/>
    </font>
    <font>
      <name val="Calibri"/>
      <i val="1"/>
      <color rgb="005E6C7A"/>
      <sz val="11"/>
    </font>
    <font>
      <name val="Calibri"/>
      <b val="1"/>
      <color rgb="001B365D"/>
      <sz val="12"/>
    </font>
    <font>
      <name val="Calibri"/>
      <b val="1"/>
      <color rgb="00FFFFFF"/>
      <sz val="16"/>
    </font>
    <font>
      <name val="Calibri"/>
      <b val="1"/>
      <color rgb="00FFFFFF"/>
      <sz val="13"/>
      <u val="single"/>
    </font>
    <font>
      <name val="Calibri"/>
      <b val="1"/>
      <color rgb="000E7C7B"/>
      <sz val="14"/>
    </font>
    <font>
      <name val="Calibri"/>
      <b val="1"/>
      <color rgb="001F2933"/>
      <sz val="16"/>
    </font>
  </fonts>
  <fills count="18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0E7C7B"/>
      </patternFill>
    </fill>
    <fill>
      <patternFill patternType="solid">
        <fgColor rgb="001B365D"/>
      </patternFill>
    </fill>
    <fill>
      <patternFill patternType="solid">
        <fgColor rgb="00C4A35A"/>
      </patternFill>
    </fill>
    <fill>
      <patternFill patternType="solid">
        <fgColor rgb="003D5A80"/>
      </patternFill>
    </fill>
    <fill>
      <patternFill patternType="solid">
        <fgColor rgb="00F5D0D0"/>
      </patternFill>
    </fill>
    <fill>
      <patternFill patternType="solid">
        <fgColor rgb="00FAD9C4"/>
      </patternFill>
    </fill>
    <fill>
      <patternFill patternType="solid">
        <fgColor rgb="00FBF3D0"/>
      </patternFill>
    </fill>
    <fill>
      <patternFill patternType="solid">
        <fgColor rgb="00D4EDDA"/>
      </patternFill>
    </fill>
    <fill>
      <patternFill patternType="solid">
        <fgColor rgb="00A8D5BA"/>
      </patternFill>
    </fill>
    <fill>
      <patternFill patternType="solid">
        <fgColor rgb="00FFF8E7"/>
      </patternFill>
    </fill>
    <fill>
      <patternFill patternType="solid">
        <fgColor rgb="005B8FB9"/>
      </patternFill>
    </fill>
    <fill>
      <patternFill patternType="solid">
        <fgColor rgb="008A8178"/>
      </patternFill>
    </fill>
    <fill>
      <patternFill patternType="solid">
        <fgColor rgb="00E8F1FA"/>
      </patternFill>
    </fill>
    <fill>
      <patternFill patternType="solid">
        <fgColor rgb="00E6F6F1"/>
      </patternFill>
    </fill>
    <fill>
      <patternFill patternType="solid">
        <fgColor rgb="00F7F5F2"/>
      </patternFill>
    </fill>
  </fills>
  <borders count="12">
    <border>
      <left/>
      <right/>
      <top/>
      <bottom/>
      <diagonal/>
    </border>
    <border>
      <left style="medium">
        <color rgb="00D0D7DE"/>
      </left>
      <right style="medium">
        <color rgb="00D0D7DE"/>
      </right>
      <top style="medium">
        <color rgb="00D0D7DE"/>
      </top>
      <bottom style="medium">
        <color rgb="00D0D7DE"/>
      </bottom>
    </border>
    <border>
      <left style="thin">
        <color rgb="000A3A5C"/>
      </left>
      <right style="thin">
        <color rgb="000A3A5C"/>
      </right>
    </border>
    <border>
      <left style="thin">
        <color rgb="00D0D7DE"/>
      </left>
      <right style="thin">
        <color rgb="00D0D7DE"/>
      </right>
      <top style="thin">
        <color rgb="00D0D7DE"/>
      </top>
      <bottom/>
    </border>
    <border>
      <left style="thin">
        <color rgb="00D0D7DE"/>
      </left>
      <right style="thin">
        <color rgb="00D0D7DE"/>
      </right>
      <top/>
      <bottom/>
    </border>
    <border>
      <left style="thin">
        <color rgb="00D0D7DE"/>
      </left>
      <right style="thin">
        <color rgb="00D0D7DE"/>
      </right>
      <top/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2" borderId="3" applyAlignment="1" pivotButton="0" quotePrefix="0" xfId="0">
      <alignment horizontal="left" vertical="top" wrapText="1"/>
    </xf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6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8" fillId="0" borderId="0" pivotButton="0" quotePrefix="0" xfId="0"/>
    <xf numFmtId="0" fontId="9" fillId="7" borderId="6" applyAlignment="1" pivotButton="0" quotePrefix="0" xfId="0">
      <alignment horizontal="center" vertical="center"/>
    </xf>
    <xf numFmtId="0" fontId="0" fillId="7" borderId="6" pivotButton="0" quotePrefix="0" xfId="0"/>
    <xf numFmtId="0" fontId="9" fillId="8" borderId="6" applyAlignment="1" pivotButton="0" quotePrefix="0" xfId="0">
      <alignment horizontal="center" vertical="center"/>
    </xf>
    <xf numFmtId="0" fontId="0" fillId="8" borderId="6" pivotButton="0" quotePrefix="0" xfId="0"/>
    <xf numFmtId="0" fontId="9" fillId="9" borderId="6" applyAlignment="1" pivotButton="0" quotePrefix="0" xfId="0">
      <alignment horizontal="center" vertical="center"/>
    </xf>
    <xf numFmtId="0" fontId="0" fillId="9" borderId="6" pivotButton="0" quotePrefix="0" xfId="0"/>
    <xf numFmtId="0" fontId="9" fillId="10" borderId="6" applyAlignment="1" pivotButton="0" quotePrefix="0" xfId="0">
      <alignment horizontal="center" vertical="center"/>
    </xf>
    <xf numFmtId="0" fontId="0" fillId="10" borderId="6" pivotButton="0" quotePrefix="0" xfId="0"/>
    <xf numFmtId="0" fontId="9" fillId="11" borderId="6" applyAlignment="1" pivotButton="0" quotePrefix="0" xfId="0">
      <alignment horizontal="center" vertical="center"/>
    </xf>
    <xf numFmtId="0" fontId="0" fillId="11" borderId="6" pivotButton="0" quotePrefix="0" xfId="0"/>
    <xf numFmtId="0" fontId="10" fillId="7" borderId="6" applyAlignment="1" pivotButton="0" quotePrefix="0" xfId="0">
      <alignment horizontal="center" vertical="top" wrapText="1"/>
    </xf>
    <xf numFmtId="0" fontId="10" fillId="8" borderId="6" applyAlignment="1" pivotButton="0" quotePrefix="0" xfId="0">
      <alignment horizontal="center" vertical="top" wrapText="1"/>
    </xf>
    <xf numFmtId="0" fontId="10" fillId="9" borderId="6" applyAlignment="1" pivotButton="0" quotePrefix="0" xfId="0">
      <alignment horizontal="center" vertical="top" wrapText="1"/>
    </xf>
    <xf numFmtId="0" fontId="10" fillId="10" borderId="6" applyAlignment="1" pivotButton="0" quotePrefix="0" xfId="0">
      <alignment horizontal="center" vertical="top" wrapText="1"/>
    </xf>
    <xf numFmtId="0" fontId="10" fillId="11" borderId="6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1" fillId="3" borderId="0" applyAlignment="1" pivotButton="0" quotePrefix="0" xfId="0">
      <alignment horizontal="center" vertical="center"/>
    </xf>
    <xf numFmtId="1" fontId="13" fillId="12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4" borderId="6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center" vertical="center"/>
    </xf>
    <xf numFmtId="0" fontId="0" fillId="4" borderId="6" pivotButton="0" quotePrefix="0" xfId="0"/>
    <xf numFmtId="0" fontId="17" fillId="2" borderId="6" applyAlignment="1" pivotButton="0" quotePrefix="0" xfId="0">
      <alignment horizontal="center" vertical="center" wrapText="1"/>
    </xf>
    <xf numFmtId="0" fontId="18" fillId="0" borderId="6" pivotButton="0" quotePrefix="0" xfId="0"/>
    <xf numFmtId="0" fontId="14" fillId="0" borderId="6" pivotButton="0" quotePrefix="0" xfId="0"/>
    <xf numFmtId="2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9" fillId="0" borderId="0" pivotButton="0" quotePrefix="0" xfId="0"/>
    <xf numFmtId="0" fontId="18" fillId="7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0" fontId="18" fillId="10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20" fillId="0" borderId="0" pivotButton="0" quotePrefix="0" xfId="0"/>
    <xf numFmtId="0" fontId="11" fillId="4" borderId="6" applyAlignment="1" pivotButton="0" quotePrefix="0" xfId="0">
      <alignment horizontal="center" vertical="center" wrapText="1"/>
    </xf>
    <xf numFmtId="1" fontId="11" fillId="13" borderId="6" applyAlignment="1" pivotButton="0" quotePrefix="0" xfId="0">
      <alignment horizontal="center" vertical="center"/>
    </xf>
    <xf numFmtId="0" fontId="21" fillId="14" borderId="6" applyAlignment="1" pivotButton="0" quotePrefix="0" xfId="0">
      <alignment horizontal="center" vertical="center" wrapText="1"/>
    </xf>
    <xf numFmtId="0" fontId="7" fillId="0" borderId="6" pivotButton="0" quotePrefix="0" xfId="0"/>
    <xf numFmtId="0" fontId="9" fillId="15" borderId="6" applyAlignment="1" pivotButton="0" quotePrefix="0" xfId="0">
      <alignment horizontal="center" vertical="center"/>
    </xf>
    <xf numFmtId="0" fontId="9" fillId="16" borderId="6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164" fontId="0" fillId="17" borderId="6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/>
    </xf>
    <xf numFmtId="0" fontId="8" fillId="12" borderId="7" applyAlignment="1" pivotButton="0" quotePrefix="0" xfId="0">
      <alignment horizontal="center" vertical="center"/>
    </xf>
    <xf numFmtId="1" fontId="8" fillId="12" borderId="7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3" fillId="12" borderId="7" applyAlignment="1" pivotButton="0" quotePrefix="0" xfId="0">
      <alignment horizontal="center" vertical="center"/>
    </xf>
    <xf numFmtId="1" fontId="21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2" fontId="18" fillId="0" borderId="6" applyAlignment="1" pivotButton="0" quotePrefix="0" xfId="0">
      <alignment horizontal="left" vertical="center"/>
    </xf>
    <xf numFmtId="2" fontId="0" fillId="0" borderId="6" applyAlignment="1" pivotButton="0" quotePrefix="0" xfId="0">
      <alignment horizontal="center" vertical="center"/>
    </xf>
    <xf numFmtId="165" fontId="0" fillId="0" borderId="6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7" fontId="7" fillId="0" borderId="6" pivotButton="0" quotePrefix="0" xfId="0"/>
    <xf numFmtId="0" fontId="7" fillId="12" borderId="6" applyAlignment="1" pivotButton="0" quotePrefix="0" xfId="0">
      <alignment horizontal="center" vertical="center"/>
    </xf>
    <xf numFmtId="0" fontId="7" fillId="12" borderId="6" pivotButton="0" quotePrefix="0" xfId="0"/>
    <xf numFmtId="167" fontId="7" fillId="12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12" borderId="6" applyAlignment="1" pivotButton="0" quotePrefix="0" xfId="0">
      <alignment horizontal="center" vertical="center" wrapText="1"/>
    </xf>
    <xf numFmtId="0" fontId="7" fillId="12" borderId="6" applyAlignment="1" pivotButton="0" quotePrefix="0" xfId="0">
      <alignment horizontal="left" vertical="center" wrapText="1"/>
    </xf>
    <xf numFmtId="0" fontId="24" fillId="3" borderId="7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 wrapText="1"/>
    </xf>
    <xf numFmtId="0" fontId="25" fillId="4" borderId="0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" fontId="7" fillId="12" borderId="6" applyAlignment="1" pivotButton="0" quotePrefix="0" xfId="0">
      <alignment horizontal="center" vertical="center"/>
    </xf>
    <xf numFmtId="0" fontId="22" fillId="0" borderId="0" pivotButton="0" quotePrefix="0" xfId="0"/>
    <xf numFmtId="0" fontId="18" fillId="2" borderId="6" pivotButton="0" quotePrefix="0" xfId="0"/>
    <xf numFmtId="0" fontId="12" fillId="12" borderId="7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27" fillId="7" borderId="6" applyAlignment="1" pivotButton="0" quotePrefix="0" xfId="0">
      <alignment horizontal="center" vertical="center" wrapText="1"/>
    </xf>
    <xf numFmtId="0" fontId="18" fillId="7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7" fillId="8" borderId="6" applyAlignment="1" pivotButton="0" quotePrefix="0" xfId="0">
      <alignment horizontal="center" vertical="center" wrapText="1"/>
    </xf>
    <xf numFmtId="0" fontId="18" fillId="8" borderId="6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left" vertical="center" wrapText="1"/>
    </xf>
    <xf numFmtId="0" fontId="27" fillId="9" borderId="6" applyAlignment="1" pivotButton="0" quotePrefix="0" xfId="0">
      <alignment horizontal="center" vertical="center" wrapText="1"/>
    </xf>
    <xf numFmtId="0" fontId="18" fillId="9" borderId="6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left" vertical="center" wrapText="1"/>
    </xf>
    <xf numFmtId="0" fontId="27" fillId="10" borderId="6" applyAlignment="1" pivotButton="0" quotePrefix="0" xfId="0">
      <alignment horizontal="center" vertical="center" wrapText="1"/>
    </xf>
    <xf numFmtId="0" fontId="18" fillId="10" borderId="6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left" vertical="center" wrapText="1"/>
    </xf>
    <xf numFmtId="0" fontId="27" fillId="11" borderId="6" applyAlignment="1" pivotButton="0" quotePrefix="0" xfId="0">
      <alignment horizontal="center" vertical="center" wrapText="1"/>
    </xf>
    <xf numFmtId="0" fontId="18" fillId="11" borderId="6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left" vertical="center" wrapText="1"/>
    </xf>
    <xf numFmtId="0" fontId="11" fillId="4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2">
    <dxf>
      <font>
        <name val="Calibri"/>
        <b val="1"/>
        <color rgb="001F2933"/>
        <sz val="12"/>
      </font>
      <fill>
        <patternFill patternType="solid">
          <fgColor rgb="00F5D0D0"/>
        </patternFill>
      </fill>
    </dxf>
    <dxf>
      <font>
        <name val="Calibri"/>
        <b val="1"/>
        <color rgb="001F2933"/>
        <sz val="12"/>
      </font>
      <fill>
        <patternFill patternType="solid">
          <fgColor rgb="00FAD9C4"/>
        </patternFill>
      </fill>
    </dxf>
    <dxf>
      <font>
        <name val="Calibri"/>
        <b val="1"/>
        <color rgb="001F2933"/>
        <sz val="12"/>
      </font>
      <fill>
        <patternFill patternType="solid">
          <fgColor rgb="00FBF3D0"/>
        </patternFill>
      </fill>
    </dxf>
    <dxf>
      <font>
        <name val="Calibri"/>
        <b val="1"/>
        <color rgb="001F2933"/>
        <sz val="12"/>
      </font>
      <fill>
        <patternFill patternType="solid">
          <fgColor rgb="00D4EDDA"/>
        </patternFill>
      </fill>
    </dxf>
    <dxf>
      <font>
        <name val="Calibri"/>
        <b val="1"/>
        <color rgb="001F2933"/>
        <sz val="12"/>
      </font>
      <fill>
        <patternFill patternType="solid">
          <fgColor rgb="00A8D5BA"/>
        </patternFill>
      </fill>
    </dxf>
    <dxf>
      <font>
        <name val="Calibri"/>
        <b val="1"/>
        <color rgb="001B365D"/>
        <sz val="12"/>
      </font>
      <fill>
        <patternFill patternType="solid">
          <fgColor rgb="00FFE08A"/>
        </patternFill>
      </fill>
    </dxf>
    <dxf>
      <font>
        <name val="Calibri"/>
        <b val="1"/>
        <color rgb="00FFFFFF"/>
        <sz val="11"/>
      </font>
      <fill>
        <patternFill patternType="solid">
          <fgColor rgb="000E7C7B"/>
        </patternFill>
      </fill>
    </dxf>
    <dxf>
      <fill>
        <patternFill patternType="solid">
          <fgColor rgb="00FFF8E7"/>
        </patternFill>
      </fill>
    </dxf>
    <dxf>
      <font>
        <name val="Calibri"/>
        <b val="1"/>
        <color rgb="001E7A46"/>
        <sz val="11"/>
      </font>
      <fill>
        <patternFill patternType="solid">
          <fgColor rgb="00D4EDDA"/>
        </patternFill>
      </fill>
    </dxf>
    <dxf>
      <font>
        <name val="Calibri"/>
        <b val="1"/>
        <color rgb="00B42318"/>
        <sz val="11"/>
      </font>
      <fill>
        <patternFill patternType="solid">
          <fgColor rgb="00F8D7DA"/>
        </patternFill>
      </fill>
    </dxf>
    <dxf>
      <font>
        <name val="Calibri"/>
        <color rgb="005E6C7A"/>
        <sz val="11"/>
      </font>
      <fill>
        <patternFill patternType="solid">
          <fgColor rgb="00E9ECEF"/>
        </patternFill>
      </fill>
    </dxf>
    <dxf>
      <font>
        <name val="Calibri"/>
        <b val="1"/>
        <color rgb="001F2933"/>
        <sz val="11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Year-on-year overall (Team or Individual)</a:t>
            </a:r>
          </a:p>
        </rich>
      </tx>
    </title>
    <plotArea>
      <lineChart>
        <grouping val="standard"/>
        <ser>
          <idx val="0"/>
          <order val="0"/>
          <tx>
            <strRef>
              <f>'Calc'!AI4</f>
            </strRef>
          </tx>
          <spPr>
            <a:ln w="25000">
              <a:solidFill>
                <a:srgbClr val="0E7C7B"/>
              </a:solidFill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cat>
            <numRef>
              <f>'Calc'!$AH$5:$AH$20</f>
            </numRef>
          </cat>
          <val>
            <numRef>
              <f>'Calc'!$AI$5:$AI$20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(1-5)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Skill Matrix</author>
  </authors>
  <commentList>
    <comment ref="A1" authorId="0" shapeId="0">
      <text>
        <t>Insert the logo once here: Insert &gt; Pictures &gt; Place in Cell. It then appears in this box on every other tab. Do not use Place over Cells, or the other tabs will stay blank.</t>
      </text>
    </comment>
  </commentList>
</comments>
</file>

<file path=xl/comments/comment2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C4" authorId="0" shapeId="0">
      <text>
        <t>Average of this year's skill ratings. The highest overall is highlighted in gold.</t>
      </text>
    </comment>
  </commentList>
</comments>
</file>

<file path=xl/comments/comment3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</commentList>
</comments>
</file>

<file path=xl/comments/comment4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D6" authorId="0" shapeId="0">
      <text>
        <t>This is the job to fill. Set Look at to Skillsets, then pick a skill. The table ranks everyone on that skill; the top row is the best candidate.</t>
      </text>
    </comment>
  </commentList>
</comments>
</file>

<file path=xl/comments/comment5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B14" authorId="0" shapeId="0">
      <text>
        <t>Type a new employee's name here, then pick Department from the dropdown.</t>
      </text>
    </comment>
  </commentList>
</comments>
</file>

<file path=xl/comments/comment6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B17" authorId="0" shapeId="0">
      <text>
        <t>Type a new skillset name here. It appears on the Skill Matrix and in the Dashboard Skillsets list.</t>
      </text>
    </comment>
  </commentList>
</comments>
</file>

<file path=xl/comments/comment7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B20" authorId="0" shapeId="0">
      <text>
        <t>Type a new year here (for example 2035). Keep years in order, oldest at the top. The Skill Matrix and Dashboard pick it up automatically.</t>
      </text>
    </comment>
  </commentList>
</comments>
</file>

<file path=xl/comments/comment8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  <comment ref="A10" authorId="0" shapeId="0">
      <text>
        <t>Type a new department here. It will appear in the Department dropdown on Employees.</t>
      </text>
    </comment>
  </commentList>
</comments>
</file>

<file path=xl/comments/comment9.xml><?xml version="1.0" encoding="utf-8"?>
<comments xmlns="http://schemas.openxmlformats.org/spreadsheetml/2006/main">
  <authors>
    <author>Skill Matrix</author>
  </authors>
  <commentList>
    <comment ref="A1" authorId="0" shapeId="0">
      <text>
        <t>Linked from How to Use. Insert the logo there with Insert &gt; Pictures &gt; Place in Cell.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mployees" displayName="tblEmployees" ref="A5:E21" headerRowCount="1">
  <autoFilter ref="A5:E21"/>
  <tableColumns count="5">
    <tableColumn id="1" name="Employee ID"/>
    <tableColumn id="2" name="Full Name"/>
    <tableColumn id="3" name="Department"/>
    <tableColumn id="4" name="Hire Date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kills" displayName="tblSkills" ref="A5:D21" headerRowCount="1">
  <autoFilter ref="A5:D21"/>
  <tableColumns count="4">
    <tableColumn id="1" name="Skill ID"/>
    <tableColumn id="2" name="Skill Name"/>
    <tableColumn id="3" name="Category"/>
    <tableColumn id="4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ears" displayName="tblYears" ref="A7:D23" headerRowCount="1">
  <autoFilter ref="A7:D23"/>
  <tableColumns count="4">
    <tableColumn id="1" name="#"/>
    <tableColumn id="2" name="Year"/>
    <tableColumn id="3" name="Label"/>
    <tableColumn id="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partments" displayName="tblDepartments" ref="A5:A21" headerRowCount="1">
  <autoFilter ref="A5:A21"/>
  <tableColumns count="1">
    <tableColumn id="1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drawing" Target="/xl/drawings/drawing1.xml" Id="rId9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table" Target="/xl/tables/table1.xml" Id="rId9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table" Target="/xl/tables/table2.xml" Id="rId9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table" Target="/xl/tables/table3.xml" Id="rId9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table" Target="/xl/tables/table4.xml" Id="rId9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#'How to Use'!A1" TargetMode="External" Id="rId1" /><Relationship Type="http://schemas.openxmlformats.org/officeDocument/2006/relationships/hyperlink" Target="#'Skill Matrix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hyperlink" Target="#'Employees'!A1" TargetMode="External" Id="rId4" /><Relationship Type="http://schemas.openxmlformats.org/officeDocument/2006/relationships/hyperlink" Target="#'Skills'!A1" TargetMode="External" Id="rId5" /><Relationship Type="http://schemas.openxmlformats.org/officeDocument/2006/relationships/hyperlink" Target="#'Years'!A1" TargetMode="External" Id="rId6" /><Relationship Type="http://schemas.openxmlformats.org/officeDocument/2006/relationships/hyperlink" Target="#'Lists'!A1" TargetMode="External" Id="rId7" /><Relationship Type="http://schemas.openxmlformats.org/officeDocument/2006/relationships/hyperlink" Target="#'Settings'!A1" TargetMode="External" Id="rId8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0" customHeight="1">
      <c r="A1" s="1" t="inlineStr">
        <is>
          <t>Company logo</t>
        </is>
      </c>
      <c r="B1" s="2" t="n"/>
      <c r="C1" s="3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  <c r="K1" s="5" t="n"/>
      <c r="L1" s="5" t="n"/>
    </row>
    <row r="2" ht="28" customHeight="1">
      <c r="A2" s="2" t="n"/>
      <c r="B2" s="2" t="n"/>
      <c r="C2" s="6" t="inlineStr">
        <is>
          <t>How to use this skill matrix</t>
        </is>
      </c>
    </row>
    <row r="3" ht="36" customHeight="1">
      <c r="A3" s="7" t="inlineStr">
        <is>
          <t>Skill Matrix is this year's grid. On Dashboard, start with Look at: Team, Skillsets, or Individual. Insert a company logo once in the top-left box (Insert &gt; Pictures &gt; Place in Cell). It appears on every tab. Ratings is hidden until you Unhide it.</t>
        </is>
      </c>
    </row>
    <row r="5">
      <c r="A5" s="8" t="inlineStr">
        <is>
          <t>1. This year's crew grid</t>
        </is>
      </c>
      <c r="B5" s="5" t="n"/>
      <c r="C5" s="5" t="n"/>
      <c r="D5" s="5" t="n"/>
      <c r="E5" s="5" t="n"/>
      <c r="F5" s="5" t="n"/>
      <c r="G5" s="9" t="inlineStr">
        <is>
          <t>2. Dashboard — pick what to look at</t>
        </is>
      </c>
      <c r="H5" s="10" t="n"/>
      <c r="I5" s="10" t="n"/>
      <c r="J5" s="10" t="n"/>
      <c r="K5" s="10" t="n"/>
      <c r="L5" s="10" t="n"/>
    </row>
    <row r="6">
      <c r="A6" s="11" t="inlineStr">
        <is>
          <t>Open Skill Matrix. Each row is one person. Each column is one skillset, coloured 1 (red) to 5 (green). Overall is that person's average. The highest overall is highlighted in gold.
Only this calendar year is shown (or pick another year at the top).
To type 1-5: right-click a sheet tab, Unhide, choose Ratings. Then Hide it again when you are done.</t>
        </is>
      </c>
      <c r="B6" s="12" t="n"/>
      <c r="C6" s="12" t="n"/>
      <c r="D6" s="12" t="n"/>
      <c r="E6" s="12" t="n"/>
      <c r="F6" s="12" t="n"/>
      <c r="G6" s="11" t="inlineStr">
        <is>
          <t>Look at: Team, Skillsets, or Individual. Then pick From year and To year.
Team — year-on-year overall ratings (optionally one department).
Skillsets — pick a skill in the Skillset dropdown. Everyone is ranked on that job. Top row is the best candidate.
Individual — pick a person in the Employee dropdown. That person vs themselves on each skillset.</t>
        </is>
      </c>
      <c r="H6" s="12" t="n"/>
      <c r="I6" s="12" t="n"/>
      <c r="J6" s="12" t="n"/>
      <c r="K6" s="12" t="n"/>
      <c r="L6" s="12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6">
      <c r="A16" s="15" t="inlineStr">
        <is>
          <t>3. Add people and skillsets</t>
        </is>
      </c>
      <c r="B16" s="16" t="n"/>
      <c r="C16" s="16" t="n"/>
      <c r="D16" s="16" t="n"/>
      <c r="E16" s="16" t="n"/>
      <c r="F16" s="16" t="n"/>
      <c r="G16" s="17" t="inlineStr">
        <is>
          <t>4. Ratings (hidden) and new years</t>
        </is>
      </c>
      <c r="H16" s="18" t="n"/>
      <c r="I16" s="18" t="n"/>
      <c r="J16" s="18" t="n"/>
      <c r="K16" s="18" t="n"/>
      <c r="L16" s="18" t="n"/>
    </row>
    <row r="17">
      <c r="A17" s="11" t="inlineStr">
        <is>
          <t>Employees — next yellow row. Type the name, pick Department (Vision, Sound, Lighting, Staging), fill Hire date.
Skillsets — next yellow row on Skills. Every person gets a rating row, and Dashboard can rank who is strongest on it.
Lists — departments only.
Keep using this file as you add people and scores. A newly generated workbook would not include them unless you copy the data across (see README).</t>
        </is>
      </c>
      <c r="B17" s="12" t="n"/>
      <c r="C17" s="12" t="n"/>
      <c r="D17" s="12" t="n"/>
      <c r="E17" s="12" t="n"/>
      <c r="F17" s="12" t="n"/>
      <c r="G17" s="11" t="inlineStr">
        <is>
          <t>Ratings holds every year. It is hidden so the tabs stay simple.
Recall it: right-click any sheet tab &gt; Unhide &gt; Ratings. Hide it the same way when finished.
Years 2023-2034 are already columns. To add 2035 or later, type it on Years in the next yellow row.</t>
        </is>
      </c>
      <c r="H17" s="12" t="n"/>
      <c r="I17" s="12" t="n"/>
      <c r="J17" s="12" t="n"/>
      <c r="K17" s="12" t="n"/>
      <c r="L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6">
      <c r="A26" s="19" t="inlineStr">
        <is>
          <t>Rating scale</t>
        </is>
      </c>
    </row>
    <row r="27">
      <c r="A27" s="20" t="inlineStr">
        <is>
          <t>1  Beginner</t>
        </is>
      </c>
      <c r="B27" s="21" t="n"/>
      <c r="C27" s="22" t="inlineStr">
        <is>
          <t>2  Basic</t>
        </is>
      </c>
      <c r="D27" s="23" t="n"/>
      <c r="E27" s="24" t="inlineStr">
        <is>
          <t>3  Competent</t>
        </is>
      </c>
      <c r="F27" s="25" t="n"/>
      <c r="G27" s="26" t="inlineStr">
        <is>
          <t>4  Proficient</t>
        </is>
      </c>
      <c r="H27" s="27" t="n"/>
      <c r="I27" s="28" t="inlineStr">
        <is>
          <t>5  Expert</t>
        </is>
      </c>
      <c r="J27" s="29" t="n"/>
    </row>
    <row r="28">
      <c r="A28" s="30" t="inlineStr">
        <is>
          <t>Little or no hands-on experience. Needs close guidance.</t>
        </is>
      </c>
      <c r="B28" s="21" t="n"/>
      <c r="C28" s="31" t="inlineStr">
        <is>
          <t>Can complete simple tasks with help or a checklist.</t>
        </is>
      </c>
      <c r="D28" s="23" t="n"/>
      <c r="E28" s="32" t="inlineStr">
        <is>
          <t>Works independently on standard tasks. Meets the target.</t>
        </is>
      </c>
      <c r="F28" s="25" t="n"/>
      <c r="G28" s="33" t="inlineStr">
        <is>
          <t>Handles complex work and can coach others.</t>
        </is>
      </c>
      <c r="H28" s="27" t="n"/>
      <c r="I28" s="34" t="inlineStr">
        <is>
          <t>Go-to specialist. Sets the standard for the team.</t>
        </is>
      </c>
      <c r="J28" s="29" t="n"/>
    </row>
    <row r="29" ht="32" customHeight="1">
      <c r="A29" s="21" t="n"/>
      <c r="B29" s="21" t="n"/>
      <c r="C29" s="23" t="n"/>
      <c r="D29" s="23" t="n"/>
      <c r="E29" s="25" t="n"/>
      <c r="F29" s="25" t="n"/>
      <c r="G29" s="27" t="n"/>
      <c r="H29" s="27" t="n"/>
      <c r="I29" s="29" t="n"/>
      <c r="J29" s="29" t="n"/>
    </row>
    <row r="31">
      <c r="A31" s="35" t="inlineStr">
        <is>
          <t>Microsoft 365 / Excel 2021+ is recommended (MAXIFS, SUMIFS, LOOKUP). Ratings is hidden (Unhide from a sheet tab). Data/Calc stay hidden — do not edit those.</t>
        </is>
      </c>
    </row>
    <row r="32"/>
  </sheetData>
  <mergeCells count="23">
    <mergeCell ref="A16:F16"/>
    <mergeCell ref="E28:F29"/>
    <mergeCell ref="G28:H29"/>
    <mergeCell ref="G27:H27"/>
    <mergeCell ref="A17:F24"/>
    <mergeCell ref="I27:J27"/>
    <mergeCell ref="A3:L3"/>
    <mergeCell ref="A26:L26"/>
    <mergeCell ref="G5:L5"/>
    <mergeCell ref="A6:F14"/>
    <mergeCell ref="I28:J29"/>
    <mergeCell ref="A5:F5"/>
    <mergeCell ref="A31:L32"/>
    <mergeCell ref="A27:B27"/>
    <mergeCell ref="A28:B29"/>
    <mergeCell ref="G6:L14"/>
    <mergeCell ref="G16:L16"/>
    <mergeCell ref="C28:D29"/>
    <mergeCell ref="C27:D27"/>
    <mergeCell ref="E27:F27"/>
    <mergeCell ref="G17:L24"/>
    <mergeCell ref="A1:B2"/>
    <mergeCell ref="C2:L2"/>
  </mergeCell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landscape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S23"/>
  <sheetViews>
    <sheetView showGridLines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3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 ht="28" customHeight="1">
      <c r="A2" s="2" t="n"/>
      <c r="B2" s="2" t="n"/>
      <c r="C2" s="6" t="inlineStr">
        <is>
          <t>Crew skill matrix</t>
        </is>
      </c>
      <c r="G2" s="36" t="inlineStr">
        <is>
          <t>This year's scores only. Compare years on the Dashboard.</t>
        </is>
      </c>
    </row>
    <row r="3" ht="28" customHeight="1">
      <c r="A3" s="37" t="inlineStr">
        <is>
          <t>Year</t>
        </is>
      </c>
      <c r="B3" s="38">
        <f>CalendarYear</f>
        <v/>
      </c>
      <c r="C3" s="39" t="inlineStr">
        <is>
          <t>Each skill is coloured 1 (red) to 5 (green). Overall is the average for this year. The highest overall is highlighted. Compare years on the Dashboard. To type 1-5: right-click a sheet tab, Unhide, choose Ratings.</t>
        </is>
      </c>
    </row>
    <row r="4" ht="18" customHeight="1">
      <c r="A4" s="40" t="inlineStr">
        <is>
          <t>Employee</t>
        </is>
      </c>
      <c r="B4" s="40" t="inlineStr">
        <is>
          <t>Department</t>
        </is>
      </c>
      <c r="C4" s="40" t="inlineStr">
        <is>
          <t>Overall</t>
        </is>
      </c>
      <c r="D4" s="41">
        <f>IF('Skills'!B6="","",'Skills'!C6)</f>
        <v/>
      </c>
      <c r="E4" s="41">
        <f>IF('Skills'!B7="","",'Skills'!C7)</f>
        <v/>
      </c>
      <c r="F4" s="41">
        <f>IF('Skills'!B8="","",'Skills'!C8)</f>
        <v/>
      </c>
      <c r="G4" s="41">
        <f>IF('Skills'!B9="","",'Skills'!C9)</f>
        <v/>
      </c>
      <c r="H4" s="41">
        <f>IF('Skills'!B10="","",'Skills'!C10)</f>
        <v/>
      </c>
      <c r="I4" s="41">
        <f>IF('Skills'!B11="","",'Skills'!C11)</f>
        <v/>
      </c>
      <c r="J4" s="41">
        <f>IF('Skills'!B12="","",'Skills'!C12)</f>
        <v/>
      </c>
      <c r="K4" s="41">
        <f>IF('Skills'!B13="","",'Skills'!C13)</f>
        <v/>
      </c>
      <c r="L4" s="41">
        <f>IF('Skills'!B14="","",'Skills'!C14)</f>
        <v/>
      </c>
      <c r="M4" s="41">
        <f>IF('Skills'!B15="","",'Skills'!C15)</f>
        <v/>
      </c>
      <c r="N4" s="41">
        <f>IF('Skills'!B16="","",'Skills'!C16)</f>
        <v/>
      </c>
      <c r="O4" s="41">
        <f>IF('Skills'!B17="","",'Skills'!C17)</f>
        <v/>
      </c>
      <c r="P4" s="41">
        <f>IF('Skills'!B18="","",'Skills'!C18)</f>
        <v/>
      </c>
      <c r="Q4" s="41">
        <f>IF('Skills'!B19="","",'Skills'!C19)</f>
        <v/>
      </c>
      <c r="R4" s="41">
        <f>IF('Skills'!B20="","",'Skills'!C20)</f>
        <v/>
      </c>
      <c r="S4" s="41">
        <f>IF('Skills'!B21="","",'Skills'!C21)</f>
        <v/>
      </c>
    </row>
    <row r="5" ht="36" customHeight="1">
      <c r="A5" s="42" t="n"/>
      <c r="B5" s="42" t="n"/>
      <c r="C5" s="42" t="n"/>
      <c r="D5" s="43">
        <f>IF('Skills'!B6="","",'Skills'!B6)</f>
        <v/>
      </c>
      <c r="E5" s="43">
        <f>IF('Skills'!B7="","",'Skills'!B7)</f>
        <v/>
      </c>
      <c r="F5" s="43">
        <f>IF('Skills'!B8="","",'Skills'!B8)</f>
        <v/>
      </c>
      <c r="G5" s="43">
        <f>IF('Skills'!B9="","",'Skills'!B9)</f>
        <v/>
      </c>
      <c r="H5" s="43">
        <f>IF('Skills'!B10="","",'Skills'!B10)</f>
        <v/>
      </c>
      <c r="I5" s="43">
        <f>IF('Skills'!B11="","",'Skills'!B11)</f>
        <v/>
      </c>
      <c r="J5" s="43">
        <f>IF('Skills'!B12="","",'Skills'!B12)</f>
        <v/>
      </c>
      <c r="K5" s="43">
        <f>IF('Skills'!B13="","",'Skills'!B13)</f>
        <v/>
      </c>
      <c r="L5" s="43">
        <f>IF('Skills'!B14="","",'Skills'!B14)</f>
        <v/>
      </c>
      <c r="M5" s="43">
        <f>IF('Skills'!B15="","",'Skills'!B15)</f>
        <v/>
      </c>
      <c r="N5" s="43">
        <f>IF('Skills'!B16="","",'Skills'!B16)</f>
        <v/>
      </c>
      <c r="O5" s="43">
        <f>IF('Skills'!B17="","",'Skills'!B17)</f>
        <v/>
      </c>
      <c r="P5" s="43">
        <f>IF('Skills'!B18="","",'Skills'!B18)</f>
        <v/>
      </c>
      <c r="Q5" s="43">
        <f>IF('Skills'!B19="","",'Skills'!B19)</f>
        <v/>
      </c>
      <c r="R5" s="43">
        <f>IF('Skills'!B20="","",'Skills'!B20)</f>
        <v/>
      </c>
      <c r="S5" s="43">
        <f>IF('Skills'!B21="","",'Skills'!B21)</f>
        <v/>
      </c>
    </row>
    <row r="6" ht="22" customHeight="1">
      <c r="A6" s="44">
        <f>IF('Employees'!B6="","",'Employees'!B6)</f>
        <v/>
      </c>
      <c r="B6" s="45">
        <f>IF(A6="","",'Employees'!C6)</f>
        <v/>
      </c>
      <c r="C6" s="46">
        <f>IF($A6="","",IFERROR(ROUND(AVERAGE(D6:S6),2),""))</f>
        <v/>
      </c>
      <c r="D6" s="47">
        <f>IF(OR($A6="",D$5="",ViewYear=""),"",IF(SUMIFS(DataRating,DataEmployee,$A6,DataSkill,D$5,DataYear,ViewYear)=0,"",SUMIFS(DataRating,DataEmployee,$A6,DataSkill,D$5,DataYear,ViewYear)))</f>
        <v/>
      </c>
      <c r="E6" s="47">
        <f>IF(OR($A6="",E$5="",ViewYear=""),"",IF(SUMIFS(DataRating,DataEmployee,$A6,DataSkill,E$5,DataYear,ViewYear)=0,"",SUMIFS(DataRating,DataEmployee,$A6,DataSkill,E$5,DataYear,ViewYear)))</f>
        <v/>
      </c>
      <c r="F6" s="47">
        <f>IF(OR($A6="",F$5="",ViewYear=""),"",IF(SUMIFS(DataRating,DataEmployee,$A6,DataSkill,F$5,DataYear,ViewYear)=0,"",SUMIFS(DataRating,DataEmployee,$A6,DataSkill,F$5,DataYear,ViewYear)))</f>
        <v/>
      </c>
      <c r="G6" s="47">
        <f>IF(OR($A6="",G$5="",ViewYear=""),"",IF(SUMIFS(DataRating,DataEmployee,$A6,DataSkill,G$5,DataYear,ViewYear)=0,"",SUMIFS(DataRating,DataEmployee,$A6,DataSkill,G$5,DataYear,ViewYear)))</f>
        <v/>
      </c>
      <c r="H6" s="47">
        <f>IF(OR($A6="",H$5="",ViewYear=""),"",IF(SUMIFS(DataRating,DataEmployee,$A6,DataSkill,H$5,DataYear,ViewYear)=0,"",SUMIFS(DataRating,DataEmployee,$A6,DataSkill,H$5,DataYear,ViewYear)))</f>
        <v/>
      </c>
      <c r="I6" s="47">
        <f>IF(OR($A6="",I$5="",ViewYear=""),"",IF(SUMIFS(DataRating,DataEmployee,$A6,DataSkill,I$5,DataYear,ViewYear)=0,"",SUMIFS(DataRating,DataEmployee,$A6,DataSkill,I$5,DataYear,ViewYear)))</f>
        <v/>
      </c>
      <c r="J6" s="47">
        <f>IF(OR($A6="",J$5="",ViewYear=""),"",IF(SUMIFS(DataRating,DataEmployee,$A6,DataSkill,J$5,DataYear,ViewYear)=0,"",SUMIFS(DataRating,DataEmployee,$A6,DataSkill,J$5,DataYear,ViewYear)))</f>
        <v/>
      </c>
      <c r="K6" s="47">
        <f>IF(OR($A6="",K$5="",ViewYear=""),"",IF(SUMIFS(DataRating,DataEmployee,$A6,DataSkill,K$5,DataYear,ViewYear)=0,"",SUMIFS(DataRating,DataEmployee,$A6,DataSkill,K$5,DataYear,ViewYear)))</f>
        <v/>
      </c>
      <c r="L6" s="47">
        <f>IF(OR($A6="",L$5="",ViewYear=""),"",IF(SUMIFS(DataRating,DataEmployee,$A6,DataSkill,L$5,DataYear,ViewYear)=0,"",SUMIFS(DataRating,DataEmployee,$A6,DataSkill,L$5,DataYear,ViewYear)))</f>
        <v/>
      </c>
      <c r="M6" s="47">
        <f>IF(OR($A6="",M$5="",ViewYear=""),"",IF(SUMIFS(DataRating,DataEmployee,$A6,DataSkill,M$5,DataYear,ViewYear)=0,"",SUMIFS(DataRating,DataEmployee,$A6,DataSkill,M$5,DataYear,ViewYear)))</f>
        <v/>
      </c>
      <c r="N6" s="47">
        <f>IF(OR($A6="",N$5="",ViewYear=""),"",IF(SUMIFS(DataRating,DataEmployee,$A6,DataSkill,N$5,DataYear,ViewYear)=0,"",SUMIFS(DataRating,DataEmployee,$A6,DataSkill,N$5,DataYear,ViewYear)))</f>
        <v/>
      </c>
      <c r="O6" s="47">
        <f>IF(OR($A6="",O$5="",ViewYear=""),"",IF(SUMIFS(DataRating,DataEmployee,$A6,DataSkill,O$5,DataYear,ViewYear)=0,"",SUMIFS(DataRating,DataEmployee,$A6,DataSkill,O$5,DataYear,ViewYear)))</f>
        <v/>
      </c>
      <c r="P6" s="47">
        <f>IF(OR($A6="",P$5="",ViewYear=""),"",IF(SUMIFS(DataRating,DataEmployee,$A6,DataSkill,P$5,DataYear,ViewYear)=0,"",SUMIFS(DataRating,DataEmployee,$A6,DataSkill,P$5,DataYear,ViewYear)))</f>
        <v/>
      </c>
      <c r="Q6" s="47">
        <f>IF(OR($A6="",Q$5="",ViewYear=""),"",IF(SUMIFS(DataRating,DataEmployee,$A6,DataSkill,Q$5,DataYear,ViewYear)=0,"",SUMIFS(DataRating,DataEmployee,$A6,DataSkill,Q$5,DataYear,ViewYear)))</f>
        <v/>
      </c>
      <c r="R6" s="47">
        <f>IF(OR($A6="",R$5="",ViewYear=""),"",IF(SUMIFS(DataRating,DataEmployee,$A6,DataSkill,R$5,DataYear,ViewYear)=0,"",SUMIFS(DataRating,DataEmployee,$A6,DataSkill,R$5,DataYear,ViewYear)))</f>
        <v/>
      </c>
      <c r="S6" s="47">
        <f>IF(OR($A6="",S$5="",ViewYear=""),"",IF(SUMIFS(DataRating,DataEmployee,$A6,DataSkill,S$5,DataYear,ViewYear)=0,"",SUMIFS(DataRating,DataEmployee,$A6,DataSkill,S$5,DataYear,ViewYear)))</f>
        <v/>
      </c>
    </row>
    <row r="7" ht="22" customHeight="1">
      <c r="A7" s="44">
        <f>IF('Employees'!B7="","",'Employees'!B7)</f>
        <v/>
      </c>
      <c r="B7" s="45">
        <f>IF(A7="","",'Employees'!C7)</f>
        <v/>
      </c>
      <c r="C7" s="46">
        <f>IF($A7="","",IFERROR(ROUND(AVERAGE(D7:S7),2),""))</f>
        <v/>
      </c>
      <c r="D7" s="47">
        <f>IF(OR($A7="",D$5="",ViewYear=""),"",IF(SUMIFS(DataRating,DataEmployee,$A7,DataSkill,D$5,DataYear,ViewYear)=0,"",SUMIFS(DataRating,DataEmployee,$A7,DataSkill,D$5,DataYear,ViewYear)))</f>
        <v/>
      </c>
      <c r="E7" s="47">
        <f>IF(OR($A7="",E$5="",ViewYear=""),"",IF(SUMIFS(DataRating,DataEmployee,$A7,DataSkill,E$5,DataYear,ViewYear)=0,"",SUMIFS(DataRating,DataEmployee,$A7,DataSkill,E$5,DataYear,ViewYear)))</f>
        <v/>
      </c>
      <c r="F7" s="47">
        <f>IF(OR($A7="",F$5="",ViewYear=""),"",IF(SUMIFS(DataRating,DataEmployee,$A7,DataSkill,F$5,DataYear,ViewYear)=0,"",SUMIFS(DataRating,DataEmployee,$A7,DataSkill,F$5,DataYear,ViewYear)))</f>
        <v/>
      </c>
      <c r="G7" s="47">
        <f>IF(OR($A7="",G$5="",ViewYear=""),"",IF(SUMIFS(DataRating,DataEmployee,$A7,DataSkill,G$5,DataYear,ViewYear)=0,"",SUMIFS(DataRating,DataEmployee,$A7,DataSkill,G$5,DataYear,ViewYear)))</f>
        <v/>
      </c>
      <c r="H7" s="47">
        <f>IF(OR($A7="",H$5="",ViewYear=""),"",IF(SUMIFS(DataRating,DataEmployee,$A7,DataSkill,H$5,DataYear,ViewYear)=0,"",SUMIFS(DataRating,DataEmployee,$A7,DataSkill,H$5,DataYear,ViewYear)))</f>
        <v/>
      </c>
      <c r="I7" s="47">
        <f>IF(OR($A7="",I$5="",ViewYear=""),"",IF(SUMIFS(DataRating,DataEmployee,$A7,DataSkill,I$5,DataYear,ViewYear)=0,"",SUMIFS(DataRating,DataEmployee,$A7,DataSkill,I$5,DataYear,ViewYear)))</f>
        <v/>
      </c>
      <c r="J7" s="47">
        <f>IF(OR($A7="",J$5="",ViewYear=""),"",IF(SUMIFS(DataRating,DataEmployee,$A7,DataSkill,J$5,DataYear,ViewYear)=0,"",SUMIFS(DataRating,DataEmployee,$A7,DataSkill,J$5,DataYear,ViewYear)))</f>
        <v/>
      </c>
      <c r="K7" s="47">
        <f>IF(OR($A7="",K$5="",ViewYear=""),"",IF(SUMIFS(DataRating,DataEmployee,$A7,DataSkill,K$5,DataYear,ViewYear)=0,"",SUMIFS(DataRating,DataEmployee,$A7,DataSkill,K$5,DataYear,ViewYear)))</f>
        <v/>
      </c>
      <c r="L7" s="47">
        <f>IF(OR($A7="",L$5="",ViewYear=""),"",IF(SUMIFS(DataRating,DataEmployee,$A7,DataSkill,L$5,DataYear,ViewYear)=0,"",SUMIFS(DataRating,DataEmployee,$A7,DataSkill,L$5,DataYear,ViewYear)))</f>
        <v/>
      </c>
      <c r="M7" s="47">
        <f>IF(OR($A7="",M$5="",ViewYear=""),"",IF(SUMIFS(DataRating,DataEmployee,$A7,DataSkill,M$5,DataYear,ViewYear)=0,"",SUMIFS(DataRating,DataEmployee,$A7,DataSkill,M$5,DataYear,ViewYear)))</f>
        <v/>
      </c>
      <c r="N7" s="47">
        <f>IF(OR($A7="",N$5="",ViewYear=""),"",IF(SUMIFS(DataRating,DataEmployee,$A7,DataSkill,N$5,DataYear,ViewYear)=0,"",SUMIFS(DataRating,DataEmployee,$A7,DataSkill,N$5,DataYear,ViewYear)))</f>
        <v/>
      </c>
      <c r="O7" s="47">
        <f>IF(OR($A7="",O$5="",ViewYear=""),"",IF(SUMIFS(DataRating,DataEmployee,$A7,DataSkill,O$5,DataYear,ViewYear)=0,"",SUMIFS(DataRating,DataEmployee,$A7,DataSkill,O$5,DataYear,ViewYear)))</f>
        <v/>
      </c>
      <c r="P7" s="47">
        <f>IF(OR($A7="",P$5="",ViewYear=""),"",IF(SUMIFS(DataRating,DataEmployee,$A7,DataSkill,P$5,DataYear,ViewYear)=0,"",SUMIFS(DataRating,DataEmployee,$A7,DataSkill,P$5,DataYear,ViewYear)))</f>
        <v/>
      </c>
      <c r="Q7" s="47">
        <f>IF(OR($A7="",Q$5="",ViewYear=""),"",IF(SUMIFS(DataRating,DataEmployee,$A7,DataSkill,Q$5,DataYear,ViewYear)=0,"",SUMIFS(DataRating,DataEmployee,$A7,DataSkill,Q$5,DataYear,ViewYear)))</f>
        <v/>
      </c>
      <c r="R7" s="47">
        <f>IF(OR($A7="",R$5="",ViewYear=""),"",IF(SUMIFS(DataRating,DataEmployee,$A7,DataSkill,R$5,DataYear,ViewYear)=0,"",SUMIFS(DataRating,DataEmployee,$A7,DataSkill,R$5,DataYear,ViewYear)))</f>
        <v/>
      </c>
      <c r="S7" s="47">
        <f>IF(OR($A7="",S$5="",ViewYear=""),"",IF(SUMIFS(DataRating,DataEmployee,$A7,DataSkill,S$5,DataYear,ViewYear)=0,"",SUMIFS(DataRating,DataEmployee,$A7,DataSkill,S$5,DataYear,ViewYear)))</f>
        <v/>
      </c>
    </row>
    <row r="8" ht="22" customHeight="1">
      <c r="A8" s="44">
        <f>IF('Employees'!B8="","",'Employees'!B8)</f>
        <v/>
      </c>
      <c r="B8" s="45">
        <f>IF(A8="","",'Employees'!C8)</f>
        <v/>
      </c>
      <c r="C8" s="46">
        <f>IF($A8="","",IFERROR(ROUND(AVERAGE(D8:S8),2),""))</f>
        <v/>
      </c>
      <c r="D8" s="47">
        <f>IF(OR($A8="",D$5="",ViewYear=""),"",IF(SUMIFS(DataRating,DataEmployee,$A8,DataSkill,D$5,DataYear,ViewYear)=0,"",SUMIFS(DataRating,DataEmployee,$A8,DataSkill,D$5,DataYear,ViewYear)))</f>
        <v/>
      </c>
      <c r="E8" s="47">
        <f>IF(OR($A8="",E$5="",ViewYear=""),"",IF(SUMIFS(DataRating,DataEmployee,$A8,DataSkill,E$5,DataYear,ViewYear)=0,"",SUMIFS(DataRating,DataEmployee,$A8,DataSkill,E$5,DataYear,ViewYear)))</f>
        <v/>
      </c>
      <c r="F8" s="47">
        <f>IF(OR($A8="",F$5="",ViewYear=""),"",IF(SUMIFS(DataRating,DataEmployee,$A8,DataSkill,F$5,DataYear,ViewYear)=0,"",SUMIFS(DataRating,DataEmployee,$A8,DataSkill,F$5,DataYear,ViewYear)))</f>
        <v/>
      </c>
      <c r="G8" s="47">
        <f>IF(OR($A8="",G$5="",ViewYear=""),"",IF(SUMIFS(DataRating,DataEmployee,$A8,DataSkill,G$5,DataYear,ViewYear)=0,"",SUMIFS(DataRating,DataEmployee,$A8,DataSkill,G$5,DataYear,ViewYear)))</f>
        <v/>
      </c>
      <c r="H8" s="47">
        <f>IF(OR($A8="",H$5="",ViewYear=""),"",IF(SUMIFS(DataRating,DataEmployee,$A8,DataSkill,H$5,DataYear,ViewYear)=0,"",SUMIFS(DataRating,DataEmployee,$A8,DataSkill,H$5,DataYear,ViewYear)))</f>
        <v/>
      </c>
      <c r="I8" s="47">
        <f>IF(OR($A8="",I$5="",ViewYear=""),"",IF(SUMIFS(DataRating,DataEmployee,$A8,DataSkill,I$5,DataYear,ViewYear)=0,"",SUMIFS(DataRating,DataEmployee,$A8,DataSkill,I$5,DataYear,ViewYear)))</f>
        <v/>
      </c>
      <c r="J8" s="47">
        <f>IF(OR($A8="",J$5="",ViewYear=""),"",IF(SUMIFS(DataRating,DataEmployee,$A8,DataSkill,J$5,DataYear,ViewYear)=0,"",SUMIFS(DataRating,DataEmployee,$A8,DataSkill,J$5,DataYear,ViewYear)))</f>
        <v/>
      </c>
      <c r="K8" s="47">
        <f>IF(OR($A8="",K$5="",ViewYear=""),"",IF(SUMIFS(DataRating,DataEmployee,$A8,DataSkill,K$5,DataYear,ViewYear)=0,"",SUMIFS(DataRating,DataEmployee,$A8,DataSkill,K$5,DataYear,ViewYear)))</f>
        <v/>
      </c>
      <c r="L8" s="47">
        <f>IF(OR($A8="",L$5="",ViewYear=""),"",IF(SUMIFS(DataRating,DataEmployee,$A8,DataSkill,L$5,DataYear,ViewYear)=0,"",SUMIFS(DataRating,DataEmployee,$A8,DataSkill,L$5,DataYear,ViewYear)))</f>
        <v/>
      </c>
      <c r="M8" s="47">
        <f>IF(OR($A8="",M$5="",ViewYear=""),"",IF(SUMIFS(DataRating,DataEmployee,$A8,DataSkill,M$5,DataYear,ViewYear)=0,"",SUMIFS(DataRating,DataEmployee,$A8,DataSkill,M$5,DataYear,ViewYear)))</f>
        <v/>
      </c>
      <c r="N8" s="47">
        <f>IF(OR($A8="",N$5="",ViewYear=""),"",IF(SUMIFS(DataRating,DataEmployee,$A8,DataSkill,N$5,DataYear,ViewYear)=0,"",SUMIFS(DataRating,DataEmployee,$A8,DataSkill,N$5,DataYear,ViewYear)))</f>
        <v/>
      </c>
      <c r="O8" s="47">
        <f>IF(OR($A8="",O$5="",ViewYear=""),"",IF(SUMIFS(DataRating,DataEmployee,$A8,DataSkill,O$5,DataYear,ViewYear)=0,"",SUMIFS(DataRating,DataEmployee,$A8,DataSkill,O$5,DataYear,ViewYear)))</f>
        <v/>
      </c>
      <c r="P8" s="47">
        <f>IF(OR($A8="",P$5="",ViewYear=""),"",IF(SUMIFS(DataRating,DataEmployee,$A8,DataSkill,P$5,DataYear,ViewYear)=0,"",SUMIFS(DataRating,DataEmployee,$A8,DataSkill,P$5,DataYear,ViewYear)))</f>
        <v/>
      </c>
      <c r="Q8" s="47">
        <f>IF(OR($A8="",Q$5="",ViewYear=""),"",IF(SUMIFS(DataRating,DataEmployee,$A8,DataSkill,Q$5,DataYear,ViewYear)=0,"",SUMIFS(DataRating,DataEmployee,$A8,DataSkill,Q$5,DataYear,ViewYear)))</f>
        <v/>
      </c>
      <c r="R8" s="47">
        <f>IF(OR($A8="",R$5="",ViewYear=""),"",IF(SUMIFS(DataRating,DataEmployee,$A8,DataSkill,R$5,DataYear,ViewYear)=0,"",SUMIFS(DataRating,DataEmployee,$A8,DataSkill,R$5,DataYear,ViewYear)))</f>
        <v/>
      </c>
      <c r="S8" s="47">
        <f>IF(OR($A8="",S$5="",ViewYear=""),"",IF(SUMIFS(DataRating,DataEmployee,$A8,DataSkill,S$5,DataYear,ViewYear)=0,"",SUMIFS(DataRating,DataEmployee,$A8,DataSkill,S$5,DataYear,ViewYear)))</f>
        <v/>
      </c>
    </row>
    <row r="9" ht="22" customHeight="1">
      <c r="A9" s="44">
        <f>IF('Employees'!B9="","",'Employees'!B9)</f>
        <v/>
      </c>
      <c r="B9" s="45">
        <f>IF(A9="","",'Employees'!C9)</f>
        <v/>
      </c>
      <c r="C9" s="46">
        <f>IF($A9="","",IFERROR(ROUND(AVERAGE(D9:S9),2),""))</f>
        <v/>
      </c>
      <c r="D9" s="47">
        <f>IF(OR($A9="",D$5="",ViewYear=""),"",IF(SUMIFS(DataRating,DataEmployee,$A9,DataSkill,D$5,DataYear,ViewYear)=0,"",SUMIFS(DataRating,DataEmployee,$A9,DataSkill,D$5,DataYear,ViewYear)))</f>
        <v/>
      </c>
      <c r="E9" s="47">
        <f>IF(OR($A9="",E$5="",ViewYear=""),"",IF(SUMIFS(DataRating,DataEmployee,$A9,DataSkill,E$5,DataYear,ViewYear)=0,"",SUMIFS(DataRating,DataEmployee,$A9,DataSkill,E$5,DataYear,ViewYear)))</f>
        <v/>
      </c>
      <c r="F9" s="47">
        <f>IF(OR($A9="",F$5="",ViewYear=""),"",IF(SUMIFS(DataRating,DataEmployee,$A9,DataSkill,F$5,DataYear,ViewYear)=0,"",SUMIFS(DataRating,DataEmployee,$A9,DataSkill,F$5,DataYear,ViewYear)))</f>
        <v/>
      </c>
      <c r="G9" s="47">
        <f>IF(OR($A9="",G$5="",ViewYear=""),"",IF(SUMIFS(DataRating,DataEmployee,$A9,DataSkill,G$5,DataYear,ViewYear)=0,"",SUMIFS(DataRating,DataEmployee,$A9,DataSkill,G$5,DataYear,ViewYear)))</f>
        <v/>
      </c>
      <c r="H9" s="47">
        <f>IF(OR($A9="",H$5="",ViewYear=""),"",IF(SUMIFS(DataRating,DataEmployee,$A9,DataSkill,H$5,DataYear,ViewYear)=0,"",SUMIFS(DataRating,DataEmployee,$A9,DataSkill,H$5,DataYear,ViewYear)))</f>
        <v/>
      </c>
      <c r="I9" s="47">
        <f>IF(OR($A9="",I$5="",ViewYear=""),"",IF(SUMIFS(DataRating,DataEmployee,$A9,DataSkill,I$5,DataYear,ViewYear)=0,"",SUMIFS(DataRating,DataEmployee,$A9,DataSkill,I$5,DataYear,ViewYear)))</f>
        <v/>
      </c>
      <c r="J9" s="47">
        <f>IF(OR($A9="",J$5="",ViewYear=""),"",IF(SUMIFS(DataRating,DataEmployee,$A9,DataSkill,J$5,DataYear,ViewYear)=0,"",SUMIFS(DataRating,DataEmployee,$A9,DataSkill,J$5,DataYear,ViewYear)))</f>
        <v/>
      </c>
      <c r="K9" s="47">
        <f>IF(OR($A9="",K$5="",ViewYear=""),"",IF(SUMIFS(DataRating,DataEmployee,$A9,DataSkill,K$5,DataYear,ViewYear)=0,"",SUMIFS(DataRating,DataEmployee,$A9,DataSkill,K$5,DataYear,ViewYear)))</f>
        <v/>
      </c>
      <c r="L9" s="47">
        <f>IF(OR($A9="",L$5="",ViewYear=""),"",IF(SUMIFS(DataRating,DataEmployee,$A9,DataSkill,L$5,DataYear,ViewYear)=0,"",SUMIFS(DataRating,DataEmployee,$A9,DataSkill,L$5,DataYear,ViewYear)))</f>
        <v/>
      </c>
      <c r="M9" s="47">
        <f>IF(OR($A9="",M$5="",ViewYear=""),"",IF(SUMIFS(DataRating,DataEmployee,$A9,DataSkill,M$5,DataYear,ViewYear)=0,"",SUMIFS(DataRating,DataEmployee,$A9,DataSkill,M$5,DataYear,ViewYear)))</f>
        <v/>
      </c>
      <c r="N9" s="47">
        <f>IF(OR($A9="",N$5="",ViewYear=""),"",IF(SUMIFS(DataRating,DataEmployee,$A9,DataSkill,N$5,DataYear,ViewYear)=0,"",SUMIFS(DataRating,DataEmployee,$A9,DataSkill,N$5,DataYear,ViewYear)))</f>
        <v/>
      </c>
      <c r="O9" s="47">
        <f>IF(OR($A9="",O$5="",ViewYear=""),"",IF(SUMIFS(DataRating,DataEmployee,$A9,DataSkill,O$5,DataYear,ViewYear)=0,"",SUMIFS(DataRating,DataEmployee,$A9,DataSkill,O$5,DataYear,ViewYear)))</f>
        <v/>
      </c>
      <c r="P9" s="47">
        <f>IF(OR($A9="",P$5="",ViewYear=""),"",IF(SUMIFS(DataRating,DataEmployee,$A9,DataSkill,P$5,DataYear,ViewYear)=0,"",SUMIFS(DataRating,DataEmployee,$A9,DataSkill,P$5,DataYear,ViewYear)))</f>
        <v/>
      </c>
      <c r="Q9" s="47">
        <f>IF(OR($A9="",Q$5="",ViewYear=""),"",IF(SUMIFS(DataRating,DataEmployee,$A9,DataSkill,Q$5,DataYear,ViewYear)=0,"",SUMIFS(DataRating,DataEmployee,$A9,DataSkill,Q$5,DataYear,ViewYear)))</f>
        <v/>
      </c>
      <c r="R9" s="47">
        <f>IF(OR($A9="",R$5="",ViewYear=""),"",IF(SUMIFS(DataRating,DataEmployee,$A9,DataSkill,R$5,DataYear,ViewYear)=0,"",SUMIFS(DataRating,DataEmployee,$A9,DataSkill,R$5,DataYear,ViewYear)))</f>
        <v/>
      </c>
      <c r="S9" s="47">
        <f>IF(OR($A9="",S$5="",ViewYear=""),"",IF(SUMIFS(DataRating,DataEmployee,$A9,DataSkill,S$5,DataYear,ViewYear)=0,"",SUMIFS(DataRating,DataEmployee,$A9,DataSkill,S$5,DataYear,ViewYear)))</f>
        <v/>
      </c>
    </row>
    <row r="10" ht="22" customHeight="1">
      <c r="A10" s="44">
        <f>IF('Employees'!B10="","",'Employees'!B10)</f>
        <v/>
      </c>
      <c r="B10" s="45">
        <f>IF(A10="","",'Employees'!C10)</f>
        <v/>
      </c>
      <c r="C10" s="46">
        <f>IF($A10="","",IFERROR(ROUND(AVERAGE(D10:S10),2),""))</f>
        <v/>
      </c>
      <c r="D10" s="47">
        <f>IF(OR($A10="",D$5="",ViewYear=""),"",IF(SUMIFS(DataRating,DataEmployee,$A10,DataSkill,D$5,DataYear,ViewYear)=0,"",SUMIFS(DataRating,DataEmployee,$A10,DataSkill,D$5,DataYear,ViewYear)))</f>
        <v/>
      </c>
      <c r="E10" s="47">
        <f>IF(OR($A10="",E$5="",ViewYear=""),"",IF(SUMIFS(DataRating,DataEmployee,$A10,DataSkill,E$5,DataYear,ViewYear)=0,"",SUMIFS(DataRating,DataEmployee,$A10,DataSkill,E$5,DataYear,ViewYear)))</f>
        <v/>
      </c>
      <c r="F10" s="47">
        <f>IF(OR($A10="",F$5="",ViewYear=""),"",IF(SUMIFS(DataRating,DataEmployee,$A10,DataSkill,F$5,DataYear,ViewYear)=0,"",SUMIFS(DataRating,DataEmployee,$A10,DataSkill,F$5,DataYear,ViewYear)))</f>
        <v/>
      </c>
      <c r="G10" s="47">
        <f>IF(OR($A10="",G$5="",ViewYear=""),"",IF(SUMIFS(DataRating,DataEmployee,$A10,DataSkill,G$5,DataYear,ViewYear)=0,"",SUMIFS(DataRating,DataEmployee,$A10,DataSkill,G$5,DataYear,ViewYear)))</f>
        <v/>
      </c>
      <c r="H10" s="47">
        <f>IF(OR($A10="",H$5="",ViewYear=""),"",IF(SUMIFS(DataRating,DataEmployee,$A10,DataSkill,H$5,DataYear,ViewYear)=0,"",SUMIFS(DataRating,DataEmployee,$A10,DataSkill,H$5,DataYear,ViewYear)))</f>
        <v/>
      </c>
      <c r="I10" s="47">
        <f>IF(OR($A10="",I$5="",ViewYear=""),"",IF(SUMIFS(DataRating,DataEmployee,$A10,DataSkill,I$5,DataYear,ViewYear)=0,"",SUMIFS(DataRating,DataEmployee,$A10,DataSkill,I$5,DataYear,ViewYear)))</f>
        <v/>
      </c>
      <c r="J10" s="47">
        <f>IF(OR($A10="",J$5="",ViewYear=""),"",IF(SUMIFS(DataRating,DataEmployee,$A10,DataSkill,J$5,DataYear,ViewYear)=0,"",SUMIFS(DataRating,DataEmployee,$A10,DataSkill,J$5,DataYear,ViewYear)))</f>
        <v/>
      </c>
      <c r="K10" s="47">
        <f>IF(OR($A10="",K$5="",ViewYear=""),"",IF(SUMIFS(DataRating,DataEmployee,$A10,DataSkill,K$5,DataYear,ViewYear)=0,"",SUMIFS(DataRating,DataEmployee,$A10,DataSkill,K$5,DataYear,ViewYear)))</f>
        <v/>
      </c>
      <c r="L10" s="47">
        <f>IF(OR($A10="",L$5="",ViewYear=""),"",IF(SUMIFS(DataRating,DataEmployee,$A10,DataSkill,L$5,DataYear,ViewYear)=0,"",SUMIFS(DataRating,DataEmployee,$A10,DataSkill,L$5,DataYear,ViewYear)))</f>
        <v/>
      </c>
      <c r="M10" s="47">
        <f>IF(OR($A10="",M$5="",ViewYear=""),"",IF(SUMIFS(DataRating,DataEmployee,$A10,DataSkill,M$5,DataYear,ViewYear)=0,"",SUMIFS(DataRating,DataEmployee,$A10,DataSkill,M$5,DataYear,ViewYear)))</f>
        <v/>
      </c>
      <c r="N10" s="47">
        <f>IF(OR($A10="",N$5="",ViewYear=""),"",IF(SUMIFS(DataRating,DataEmployee,$A10,DataSkill,N$5,DataYear,ViewYear)=0,"",SUMIFS(DataRating,DataEmployee,$A10,DataSkill,N$5,DataYear,ViewYear)))</f>
        <v/>
      </c>
      <c r="O10" s="47">
        <f>IF(OR($A10="",O$5="",ViewYear=""),"",IF(SUMIFS(DataRating,DataEmployee,$A10,DataSkill,O$5,DataYear,ViewYear)=0,"",SUMIFS(DataRating,DataEmployee,$A10,DataSkill,O$5,DataYear,ViewYear)))</f>
        <v/>
      </c>
      <c r="P10" s="47">
        <f>IF(OR($A10="",P$5="",ViewYear=""),"",IF(SUMIFS(DataRating,DataEmployee,$A10,DataSkill,P$5,DataYear,ViewYear)=0,"",SUMIFS(DataRating,DataEmployee,$A10,DataSkill,P$5,DataYear,ViewYear)))</f>
        <v/>
      </c>
      <c r="Q10" s="47">
        <f>IF(OR($A10="",Q$5="",ViewYear=""),"",IF(SUMIFS(DataRating,DataEmployee,$A10,DataSkill,Q$5,DataYear,ViewYear)=0,"",SUMIFS(DataRating,DataEmployee,$A10,DataSkill,Q$5,DataYear,ViewYear)))</f>
        <v/>
      </c>
      <c r="R10" s="47">
        <f>IF(OR($A10="",R$5="",ViewYear=""),"",IF(SUMIFS(DataRating,DataEmployee,$A10,DataSkill,R$5,DataYear,ViewYear)=0,"",SUMIFS(DataRating,DataEmployee,$A10,DataSkill,R$5,DataYear,ViewYear)))</f>
        <v/>
      </c>
      <c r="S10" s="47">
        <f>IF(OR($A10="",S$5="",ViewYear=""),"",IF(SUMIFS(DataRating,DataEmployee,$A10,DataSkill,S$5,DataYear,ViewYear)=0,"",SUMIFS(DataRating,DataEmployee,$A10,DataSkill,S$5,DataYear,ViewYear)))</f>
        <v/>
      </c>
    </row>
    <row r="11" ht="22" customHeight="1">
      <c r="A11" s="44">
        <f>IF('Employees'!B11="","",'Employees'!B11)</f>
        <v/>
      </c>
      <c r="B11" s="45">
        <f>IF(A11="","",'Employees'!C11)</f>
        <v/>
      </c>
      <c r="C11" s="46">
        <f>IF($A11="","",IFERROR(ROUND(AVERAGE(D11:S11),2),""))</f>
        <v/>
      </c>
      <c r="D11" s="47">
        <f>IF(OR($A11="",D$5="",ViewYear=""),"",IF(SUMIFS(DataRating,DataEmployee,$A11,DataSkill,D$5,DataYear,ViewYear)=0,"",SUMIFS(DataRating,DataEmployee,$A11,DataSkill,D$5,DataYear,ViewYear)))</f>
        <v/>
      </c>
      <c r="E11" s="47">
        <f>IF(OR($A11="",E$5="",ViewYear=""),"",IF(SUMIFS(DataRating,DataEmployee,$A11,DataSkill,E$5,DataYear,ViewYear)=0,"",SUMIFS(DataRating,DataEmployee,$A11,DataSkill,E$5,DataYear,ViewYear)))</f>
        <v/>
      </c>
      <c r="F11" s="47">
        <f>IF(OR($A11="",F$5="",ViewYear=""),"",IF(SUMIFS(DataRating,DataEmployee,$A11,DataSkill,F$5,DataYear,ViewYear)=0,"",SUMIFS(DataRating,DataEmployee,$A11,DataSkill,F$5,DataYear,ViewYear)))</f>
        <v/>
      </c>
      <c r="G11" s="47">
        <f>IF(OR($A11="",G$5="",ViewYear=""),"",IF(SUMIFS(DataRating,DataEmployee,$A11,DataSkill,G$5,DataYear,ViewYear)=0,"",SUMIFS(DataRating,DataEmployee,$A11,DataSkill,G$5,DataYear,ViewYear)))</f>
        <v/>
      </c>
      <c r="H11" s="47">
        <f>IF(OR($A11="",H$5="",ViewYear=""),"",IF(SUMIFS(DataRating,DataEmployee,$A11,DataSkill,H$5,DataYear,ViewYear)=0,"",SUMIFS(DataRating,DataEmployee,$A11,DataSkill,H$5,DataYear,ViewYear)))</f>
        <v/>
      </c>
      <c r="I11" s="47">
        <f>IF(OR($A11="",I$5="",ViewYear=""),"",IF(SUMIFS(DataRating,DataEmployee,$A11,DataSkill,I$5,DataYear,ViewYear)=0,"",SUMIFS(DataRating,DataEmployee,$A11,DataSkill,I$5,DataYear,ViewYear)))</f>
        <v/>
      </c>
      <c r="J11" s="47">
        <f>IF(OR($A11="",J$5="",ViewYear=""),"",IF(SUMIFS(DataRating,DataEmployee,$A11,DataSkill,J$5,DataYear,ViewYear)=0,"",SUMIFS(DataRating,DataEmployee,$A11,DataSkill,J$5,DataYear,ViewYear)))</f>
        <v/>
      </c>
      <c r="K11" s="47">
        <f>IF(OR($A11="",K$5="",ViewYear=""),"",IF(SUMIFS(DataRating,DataEmployee,$A11,DataSkill,K$5,DataYear,ViewYear)=0,"",SUMIFS(DataRating,DataEmployee,$A11,DataSkill,K$5,DataYear,ViewYear)))</f>
        <v/>
      </c>
      <c r="L11" s="47">
        <f>IF(OR($A11="",L$5="",ViewYear=""),"",IF(SUMIFS(DataRating,DataEmployee,$A11,DataSkill,L$5,DataYear,ViewYear)=0,"",SUMIFS(DataRating,DataEmployee,$A11,DataSkill,L$5,DataYear,ViewYear)))</f>
        <v/>
      </c>
      <c r="M11" s="47">
        <f>IF(OR($A11="",M$5="",ViewYear=""),"",IF(SUMIFS(DataRating,DataEmployee,$A11,DataSkill,M$5,DataYear,ViewYear)=0,"",SUMIFS(DataRating,DataEmployee,$A11,DataSkill,M$5,DataYear,ViewYear)))</f>
        <v/>
      </c>
      <c r="N11" s="47">
        <f>IF(OR($A11="",N$5="",ViewYear=""),"",IF(SUMIFS(DataRating,DataEmployee,$A11,DataSkill,N$5,DataYear,ViewYear)=0,"",SUMIFS(DataRating,DataEmployee,$A11,DataSkill,N$5,DataYear,ViewYear)))</f>
        <v/>
      </c>
      <c r="O11" s="47">
        <f>IF(OR($A11="",O$5="",ViewYear=""),"",IF(SUMIFS(DataRating,DataEmployee,$A11,DataSkill,O$5,DataYear,ViewYear)=0,"",SUMIFS(DataRating,DataEmployee,$A11,DataSkill,O$5,DataYear,ViewYear)))</f>
        <v/>
      </c>
      <c r="P11" s="47">
        <f>IF(OR($A11="",P$5="",ViewYear=""),"",IF(SUMIFS(DataRating,DataEmployee,$A11,DataSkill,P$5,DataYear,ViewYear)=0,"",SUMIFS(DataRating,DataEmployee,$A11,DataSkill,P$5,DataYear,ViewYear)))</f>
        <v/>
      </c>
      <c r="Q11" s="47">
        <f>IF(OR($A11="",Q$5="",ViewYear=""),"",IF(SUMIFS(DataRating,DataEmployee,$A11,DataSkill,Q$5,DataYear,ViewYear)=0,"",SUMIFS(DataRating,DataEmployee,$A11,DataSkill,Q$5,DataYear,ViewYear)))</f>
        <v/>
      </c>
      <c r="R11" s="47">
        <f>IF(OR($A11="",R$5="",ViewYear=""),"",IF(SUMIFS(DataRating,DataEmployee,$A11,DataSkill,R$5,DataYear,ViewYear)=0,"",SUMIFS(DataRating,DataEmployee,$A11,DataSkill,R$5,DataYear,ViewYear)))</f>
        <v/>
      </c>
      <c r="S11" s="47">
        <f>IF(OR($A11="",S$5="",ViewYear=""),"",IF(SUMIFS(DataRating,DataEmployee,$A11,DataSkill,S$5,DataYear,ViewYear)=0,"",SUMIFS(DataRating,DataEmployee,$A11,DataSkill,S$5,DataYear,ViewYear)))</f>
        <v/>
      </c>
    </row>
    <row r="12" ht="22" customHeight="1">
      <c r="A12" s="44">
        <f>IF('Employees'!B12="","",'Employees'!B12)</f>
        <v/>
      </c>
      <c r="B12" s="45">
        <f>IF(A12="","",'Employees'!C12)</f>
        <v/>
      </c>
      <c r="C12" s="46">
        <f>IF($A12="","",IFERROR(ROUND(AVERAGE(D12:S12),2),""))</f>
        <v/>
      </c>
      <c r="D12" s="47">
        <f>IF(OR($A12="",D$5="",ViewYear=""),"",IF(SUMIFS(DataRating,DataEmployee,$A12,DataSkill,D$5,DataYear,ViewYear)=0,"",SUMIFS(DataRating,DataEmployee,$A12,DataSkill,D$5,DataYear,ViewYear)))</f>
        <v/>
      </c>
      <c r="E12" s="47">
        <f>IF(OR($A12="",E$5="",ViewYear=""),"",IF(SUMIFS(DataRating,DataEmployee,$A12,DataSkill,E$5,DataYear,ViewYear)=0,"",SUMIFS(DataRating,DataEmployee,$A12,DataSkill,E$5,DataYear,ViewYear)))</f>
        <v/>
      </c>
      <c r="F12" s="47">
        <f>IF(OR($A12="",F$5="",ViewYear=""),"",IF(SUMIFS(DataRating,DataEmployee,$A12,DataSkill,F$5,DataYear,ViewYear)=0,"",SUMIFS(DataRating,DataEmployee,$A12,DataSkill,F$5,DataYear,ViewYear)))</f>
        <v/>
      </c>
      <c r="G12" s="47">
        <f>IF(OR($A12="",G$5="",ViewYear=""),"",IF(SUMIFS(DataRating,DataEmployee,$A12,DataSkill,G$5,DataYear,ViewYear)=0,"",SUMIFS(DataRating,DataEmployee,$A12,DataSkill,G$5,DataYear,ViewYear)))</f>
        <v/>
      </c>
      <c r="H12" s="47">
        <f>IF(OR($A12="",H$5="",ViewYear=""),"",IF(SUMIFS(DataRating,DataEmployee,$A12,DataSkill,H$5,DataYear,ViewYear)=0,"",SUMIFS(DataRating,DataEmployee,$A12,DataSkill,H$5,DataYear,ViewYear)))</f>
        <v/>
      </c>
      <c r="I12" s="47">
        <f>IF(OR($A12="",I$5="",ViewYear=""),"",IF(SUMIFS(DataRating,DataEmployee,$A12,DataSkill,I$5,DataYear,ViewYear)=0,"",SUMIFS(DataRating,DataEmployee,$A12,DataSkill,I$5,DataYear,ViewYear)))</f>
        <v/>
      </c>
      <c r="J12" s="47">
        <f>IF(OR($A12="",J$5="",ViewYear=""),"",IF(SUMIFS(DataRating,DataEmployee,$A12,DataSkill,J$5,DataYear,ViewYear)=0,"",SUMIFS(DataRating,DataEmployee,$A12,DataSkill,J$5,DataYear,ViewYear)))</f>
        <v/>
      </c>
      <c r="K12" s="47">
        <f>IF(OR($A12="",K$5="",ViewYear=""),"",IF(SUMIFS(DataRating,DataEmployee,$A12,DataSkill,K$5,DataYear,ViewYear)=0,"",SUMIFS(DataRating,DataEmployee,$A12,DataSkill,K$5,DataYear,ViewYear)))</f>
        <v/>
      </c>
      <c r="L12" s="47">
        <f>IF(OR($A12="",L$5="",ViewYear=""),"",IF(SUMIFS(DataRating,DataEmployee,$A12,DataSkill,L$5,DataYear,ViewYear)=0,"",SUMIFS(DataRating,DataEmployee,$A12,DataSkill,L$5,DataYear,ViewYear)))</f>
        <v/>
      </c>
      <c r="M12" s="47">
        <f>IF(OR($A12="",M$5="",ViewYear=""),"",IF(SUMIFS(DataRating,DataEmployee,$A12,DataSkill,M$5,DataYear,ViewYear)=0,"",SUMIFS(DataRating,DataEmployee,$A12,DataSkill,M$5,DataYear,ViewYear)))</f>
        <v/>
      </c>
      <c r="N12" s="47">
        <f>IF(OR($A12="",N$5="",ViewYear=""),"",IF(SUMIFS(DataRating,DataEmployee,$A12,DataSkill,N$5,DataYear,ViewYear)=0,"",SUMIFS(DataRating,DataEmployee,$A12,DataSkill,N$5,DataYear,ViewYear)))</f>
        <v/>
      </c>
      <c r="O12" s="47">
        <f>IF(OR($A12="",O$5="",ViewYear=""),"",IF(SUMIFS(DataRating,DataEmployee,$A12,DataSkill,O$5,DataYear,ViewYear)=0,"",SUMIFS(DataRating,DataEmployee,$A12,DataSkill,O$5,DataYear,ViewYear)))</f>
        <v/>
      </c>
      <c r="P12" s="47">
        <f>IF(OR($A12="",P$5="",ViewYear=""),"",IF(SUMIFS(DataRating,DataEmployee,$A12,DataSkill,P$5,DataYear,ViewYear)=0,"",SUMIFS(DataRating,DataEmployee,$A12,DataSkill,P$5,DataYear,ViewYear)))</f>
        <v/>
      </c>
      <c r="Q12" s="47">
        <f>IF(OR($A12="",Q$5="",ViewYear=""),"",IF(SUMIFS(DataRating,DataEmployee,$A12,DataSkill,Q$5,DataYear,ViewYear)=0,"",SUMIFS(DataRating,DataEmployee,$A12,DataSkill,Q$5,DataYear,ViewYear)))</f>
        <v/>
      </c>
      <c r="R12" s="47">
        <f>IF(OR($A12="",R$5="",ViewYear=""),"",IF(SUMIFS(DataRating,DataEmployee,$A12,DataSkill,R$5,DataYear,ViewYear)=0,"",SUMIFS(DataRating,DataEmployee,$A12,DataSkill,R$5,DataYear,ViewYear)))</f>
        <v/>
      </c>
      <c r="S12" s="47">
        <f>IF(OR($A12="",S$5="",ViewYear=""),"",IF(SUMIFS(DataRating,DataEmployee,$A12,DataSkill,S$5,DataYear,ViewYear)=0,"",SUMIFS(DataRating,DataEmployee,$A12,DataSkill,S$5,DataYear,ViewYear)))</f>
        <v/>
      </c>
    </row>
    <row r="13" ht="22" customHeight="1">
      <c r="A13" s="44">
        <f>IF('Employees'!B13="","",'Employees'!B13)</f>
        <v/>
      </c>
      <c r="B13" s="45">
        <f>IF(A13="","",'Employees'!C13)</f>
        <v/>
      </c>
      <c r="C13" s="46">
        <f>IF($A13="","",IFERROR(ROUND(AVERAGE(D13:S13),2),""))</f>
        <v/>
      </c>
      <c r="D13" s="47">
        <f>IF(OR($A13="",D$5="",ViewYear=""),"",IF(SUMIFS(DataRating,DataEmployee,$A13,DataSkill,D$5,DataYear,ViewYear)=0,"",SUMIFS(DataRating,DataEmployee,$A13,DataSkill,D$5,DataYear,ViewYear)))</f>
        <v/>
      </c>
      <c r="E13" s="47">
        <f>IF(OR($A13="",E$5="",ViewYear=""),"",IF(SUMIFS(DataRating,DataEmployee,$A13,DataSkill,E$5,DataYear,ViewYear)=0,"",SUMIFS(DataRating,DataEmployee,$A13,DataSkill,E$5,DataYear,ViewYear)))</f>
        <v/>
      </c>
      <c r="F13" s="47">
        <f>IF(OR($A13="",F$5="",ViewYear=""),"",IF(SUMIFS(DataRating,DataEmployee,$A13,DataSkill,F$5,DataYear,ViewYear)=0,"",SUMIFS(DataRating,DataEmployee,$A13,DataSkill,F$5,DataYear,ViewYear)))</f>
        <v/>
      </c>
      <c r="G13" s="47">
        <f>IF(OR($A13="",G$5="",ViewYear=""),"",IF(SUMIFS(DataRating,DataEmployee,$A13,DataSkill,G$5,DataYear,ViewYear)=0,"",SUMIFS(DataRating,DataEmployee,$A13,DataSkill,G$5,DataYear,ViewYear)))</f>
        <v/>
      </c>
      <c r="H13" s="47">
        <f>IF(OR($A13="",H$5="",ViewYear=""),"",IF(SUMIFS(DataRating,DataEmployee,$A13,DataSkill,H$5,DataYear,ViewYear)=0,"",SUMIFS(DataRating,DataEmployee,$A13,DataSkill,H$5,DataYear,ViewYear)))</f>
        <v/>
      </c>
      <c r="I13" s="47">
        <f>IF(OR($A13="",I$5="",ViewYear=""),"",IF(SUMIFS(DataRating,DataEmployee,$A13,DataSkill,I$5,DataYear,ViewYear)=0,"",SUMIFS(DataRating,DataEmployee,$A13,DataSkill,I$5,DataYear,ViewYear)))</f>
        <v/>
      </c>
      <c r="J13" s="47">
        <f>IF(OR($A13="",J$5="",ViewYear=""),"",IF(SUMIFS(DataRating,DataEmployee,$A13,DataSkill,J$5,DataYear,ViewYear)=0,"",SUMIFS(DataRating,DataEmployee,$A13,DataSkill,J$5,DataYear,ViewYear)))</f>
        <v/>
      </c>
      <c r="K13" s="47">
        <f>IF(OR($A13="",K$5="",ViewYear=""),"",IF(SUMIFS(DataRating,DataEmployee,$A13,DataSkill,K$5,DataYear,ViewYear)=0,"",SUMIFS(DataRating,DataEmployee,$A13,DataSkill,K$5,DataYear,ViewYear)))</f>
        <v/>
      </c>
      <c r="L13" s="47">
        <f>IF(OR($A13="",L$5="",ViewYear=""),"",IF(SUMIFS(DataRating,DataEmployee,$A13,DataSkill,L$5,DataYear,ViewYear)=0,"",SUMIFS(DataRating,DataEmployee,$A13,DataSkill,L$5,DataYear,ViewYear)))</f>
        <v/>
      </c>
      <c r="M13" s="47">
        <f>IF(OR($A13="",M$5="",ViewYear=""),"",IF(SUMIFS(DataRating,DataEmployee,$A13,DataSkill,M$5,DataYear,ViewYear)=0,"",SUMIFS(DataRating,DataEmployee,$A13,DataSkill,M$5,DataYear,ViewYear)))</f>
        <v/>
      </c>
      <c r="N13" s="47">
        <f>IF(OR($A13="",N$5="",ViewYear=""),"",IF(SUMIFS(DataRating,DataEmployee,$A13,DataSkill,N$5,DataYear,ViewYear)=0,"",SUMIFS(DataRating,DataEmployee,$A13,DataSkill,N$5,DataYear,ViewYear)))</f>
        <v/>
      </c>
      <c r="O13" s="47">
        <f>IF(OR($A13="",O$5="",ViewYear=""),"",IF(SUMIFS(DataRating,DataEmployee,$A13,DataSkill,O$5,DataYear,ViewYear)=0,"",SUMIFS(DataRating,DataEmployee,$A13,DataSkill,O$5,DataYear,ViewYear)))</f>
        <v/>
      </c>
      <c r="P13" s="47">
        <f>IF(OR($A13="",P$5="",ViewYear=""),"",IF(SUMIFS(DataRating,DataEmployee,$A13,DataSkill,P$5,DataYear,ViewYear)=0,"",SUMIFS(DataRating,DataEmployee,$A13,DataSkill,P$5,DataYear,ViewYear)))</f>
        <v/>
      </c>
      <c r="Q13" s="47">
        <f>IF(OR($A13="",Q$5="",ViewYear=""),"",IF(SUMIFS(DataRating,DataEmployee,$A13,DataSkill,Q$5,DataYear,ViewYear)=0,"",SUMIFS(DataRating,DataEmployee,$A13,DataSkill,Q$5,DataYear,ViewYear)))</f>
        <v/>
      </c>
      <c r="R13" s="47">
        <f>IF(OR($A13="",R$5="",ViewYear=""),"",IF(SUMIFS(DataRating,DataEmployee,$A13,DataSkill,R$5,DataYear,ViewYear)=0,"",SUMIFS(DataRating,DataEmployee,$A13,DataSkill,R$5,DataYear,ViewYear)))</f>
        <v/>
      </c>
      <c r="S13" s="47">
        <f>IF(OR($A13="",S$5="",ViewYear=""),"",IF(SUMIFS(DataRating,DataEmployee,$A13,DataSkill,S$5,DataYear,ViewYear)=0,"",SUMIFS(DataRating,DataEmployee,$A13,DataSkill,S$5,DataYear,ViewYear)))</f>
        <v/>
      </c>
    </row>
    <row r="14" ht="22" customHeight="1">
      <c r="A14" s="44">
        <f>IF('Employees'!B14="","",'Employees'!B14)</f>
        <v/>
      </c>
      <c r="B14" s="45">
        <f>IF(A14="","",'Employees'!C14)</f>
        <v/>
      </c>
      <c r="C14" s="46">
        <f>IF($A14="","",IFERROR(ROUND(AVERAGE(D14:S14),2),""))</f>
        <v/>
      </c>
      <c r="D14" s="47">
        <f>IF(OR($A14="",D$5="",ViewYear=""),"",IF(SUMIFS(DataRating,DataEmployee,$A14,DataSkill,D$5,DataYear,ViewYear)=0,"",SUMIFS(DataRating,DataEmployee,$A14,DataSkill,D$5,DataYear,ViewYear)))</f>
        <v/>
      </c>
      <c r="E14" s="47">
        <f>IF(OR($A14="",E$5="",ViewYear=""),"",IF(SUMIFS(DataRating,DataEmployee,$A14,DataSkill,E$5,DataYear,ViewYear)=0,"",SUMIFS(DataRating,DataEmployee,$A14,DataSkill,E$5,DataYear,ViewYear)))</f>
        <v/>
      </c>
      <c r="F14" s="47">
        <f>IF(OR($A14="",F$5="",ViewYear=""),"",IF(SUMIFS(DataRating,DataEmployee,$A14,DataSkill,F$5,DataYear,ViewYear)=0,"",SUMIFS(DataRating,DataEmployee,$A14,DataSkill,F$5,DataYear,ViewYear)))</f>
        <v/>
      </c>
      <c r="G14" s="47">
        <f>IF(OR($A14="",G$5="",ViewYear=""),"",IF(SUMIFS(DataRating,DataEmployee,$A14,DataSkill,G$5,DataYear,ViewYear)=0,"",SUMIFS(DataRating,DataEmployee,$A14,DataSkill,G$5,DataYear,ViewYear)))</f>
        <v/>
      </c>
      <c r="H14" s="47">
        <f>IF(OR($A14="",H$5="",ViewYear=""),"",IF(SUMIFS(DataRating,DataEmployee,$A14,DataSkill,H$5,DataYear,ViewYear)=0,"",SUMIFS(DataRating,DataEmployee,$A14,DataSkill,H$5,DataYear,ViewYear)))</f>
        <v/>
      </c>
      <c r="I14" s="47">
        <f>IF(OR($A14="",I$5="",ViewYear=""),"",IF(SUMIFS(DataRating,DataEmployee,$A14,DataSkill,I$5,DataYear,ViewYear)=0,"",SUMIFS(DataRating,DataEmployee,$A14,DataSkill,I$5,DataYear,ViewYear)))</f>
        <v/>
      </c>
      <c r="J14" s="47">
        <f>IF(OR($A14="",J$5="",ViewYear=""),"",IF(SUMIFS(DataRating,DataEmployee,$A14,DataSkill,J$5,DataYear,ViewYear)=0,"",SUMIFS(DataRating,DataEmployee,$A14,DataSkill,J$5,DataYear,ViewYear)))</f>
        <v/>
      </c>
      <c r="K14" s="47">
        <f>IF(OR($A14="",K$5="",ViewYear=""),"",IF(SUMIFS(DataRating,DataEmployee,$A14,DataSkill,K$5,DataYear,ViewYear)=0,"",SUMIFS(DataRating,DataEmployee,$A14,DataSkill,K$5,DataYear,ViewYear)))</f>
        <v/>
      </c>
      <c r="L14" s="47">
        <f>IF(OR($A14="",L$5="",ViewYear=""),"",IF(SUMIFS(DataRating,DataEmployee,$A14,DataSkill,L$5,DataYear,ViewYear)=0,"",SUMIFS(DataRating,DataEmployee,$A14,DataSkill,L$5,DataYear,ViewYear)))</f>
        <v/>
      </c>
      <c r="M14" s="47">
        <f>IF(OR($A14="",M$5="",ViewYear=""),"",IF(SUMIFS(DataRating,DataEmployee,$A14,DataSkill,M$5,DataYear,ViewYear)=0,"",SUMIFS(DataRating,DataEmployee,$A14,DataSkill,M$5,DataYear,ViewYear)))</f>
        <v/>
      </c>
      <c r="N14" s="47">
        <f>IF(OR($A14="",N$5="",ViewYear=""),"",IF(SUMIFS(DataRating,DataEmployee,$A14,DataSkill,N$5,DataYear,ViewYear)=0,"",SUMIFS(DataRating,DataEmployee,$A14,DataSkill,N$5,DataYear,ViewYear)))</f>
        <v/>
      </c>
      <c r="O14" s="47">
        <f>IF(OR($A14="",O$5="",ViewYear=""),"",IF(SUMIFS(DataRating,DataEmployee,$A14,DataSkill,O$5,DataYear,ViewYear)=0,"",SUMIFS(DataRating,DataEmployee,$A14,DataSkill,O$5,DataYear,ViewYear)))</f>
        <v/>
      </c>
      <c r="P14" s="47">
        <f>IF(OR($A14="",P$5="",ViewYear=""),"",IF(SUMIFS(DataRating,DataEmployee,$A14,DataSkill,P$5,DataYear,ViewYear)=0,"",SUMIFS(DataRating,DataEmployee,$A14,DataSkill,P$5,DataYear,ViewYear)))</f>
        <v/>
      </c>
      <c r="Q14" s="47">
        <f>IF(OR($A14="",Q$5="",ViewYear=""),"",IF(SUMIFS(DataRating,DataEmployee,$A14,DataSkill,Q$5,DataYear,ViewYear)=0,"",SUMIFS(DataRating,DataEmployee,$A14,DataSkill,Q$5,DataYear,ViewYear)))</f>
        <v/>
      </c>
      <c r="R14" s="47">
        <f>IF(OR($A14="",R$5="",ViewYear=""),"",IF(SUMIFS(DataRating,DataEmployee,$A14,DataSkill,R$5,DataYear,ViewYear)=0,"",SUMIFS(DataRating,DataEmployee,$A14,DataSkill,R$5,DataYear,ViewYear)))</f>
        <v/>
      </c>
      <c r="S14" s="47">
        <f>IF(OR($A14="",S$5="",ViewYear=""),"",IF(SUMIFS(DataRating,DataEmployee,$A14,DataSkill,S$5,DataYear,ViewYear)=0,"",SUMIFS(DataRating,DataEmployee,$A14,DataSkill,S$5,DataYear,ViewYear)))</f>
        <v/>
      </c>
    </row>
    <row r="15" ht="22" customHeight="1">
      <c r="A15" s="44">
        <f>IF('Employees'!B15="","",'Employees'!B15)</f>
        <v/>
      </c>
      <c r="B15" s="45">
        <f>IF(A15="","",'Employees'!C15)</f>
        <v/>
      </c>
      <c r="C15" s="46">
        <f>IF($A15="","",IFERROR(ROUND(AVERAGE(D15:S15),2),""))</f>
        <v/>
      </c>
      <c r="D15" s="47">
        <f>IF(OR($A15="",D$5="",ViewYear=""),"",IF(SUMIFS(DataRating,DataEmployee,$A15,DataSkill,D$5,DataYear,ViewYear)=0,"",SUMIFS(DataRating,DataEmployee,$A15,DataSkill,D$5,DataYear,ViewYear)))</f>
        <v/>
      </c>
      <c r="E15" s="47">
        <f>IF(OR($A15="",E$5="",ViewYear=""),"",IF(SUMIFS(DataRating,DataEmployee,$A15,DataSkill,E$5,DataYear,ViewYear)=0,"",SUMIFS(DataRating,DataEmployee,$A15,DataSkill,E$5,DataYear,ViewYear)))</f>
        <v/>
      </c>
      <c r="F15" s="47">
        <f>IF(OR($A15="",F$5="",ViewYear=""),"",IF(SUMIFS(DataRating,DataEmployee,$A15,DataSkill,F$5,DataYear,ViewYear)=0,"",SUMIFS(DataRating,DataEmployee,$A15,DataSkill,F$5,DataYear,ViewYear)))</f>
        <v/>
      </c>
      <c r="G15" s="47">
        <f>IF(OR($A15="",G$5="",ViewYear=""),"",IF(SUMIFS(DataRating,DataEmployee,$A15,DataSkill,G$5,DataYear,ViewYear)=0,"",SUMIFS(DataRating,DataEmployee,$A15,DataSkill,G$5,DataYear,ViewYear)))</f>
        <v/>
      </c>
      <c r="H15" s="47">
        <f>IF(OR($A15="",H$5="",ViewYear=""),"",IF(SUMIFS(DataRating,DataEmployee,$A15,DataSkill,H$5,DataYear,ViewYear)=0,"",SUMIFS(DataRating,DataEmployee,$A15,DataSkill,H$5,DataYear,ViewYear)))</f>
        <v/>
      </c>
      <c r="I15" s="47">
        <f>IF(OR($A15="",I$5="",ViewYear=""),"",IF(SUMIFS(DataRating,DataEmployee,$A15,DataSkill,I$5,DataYear,ViewYear)=0,"",SUMIFS(DataRating,DataEmployee,$A15,DataSkill,I$5,DataYear,ViewYear)))</f>
        <v/>
      </c>
      <c r="J15" s="47">
        <f>IF(OR($A15="",J$5="",ViewYear=""),"",IF(SUMIFS(DataRating,DataEmployee,$A15,DataSkill,J$5,DataYear,ViewYear)=0,"",SUMIFS(DataRating,DataEmployee,$A15,DataSkill,J$5,DataYear,ViewYear)))</f>
        <v/>
      </c>
      <c r="K15" s="47">
        <f>IF(OR($A15="",K$5="",ViewYear=""),"",IF(SUMIFS(DataRating,DataEmployee,$A15,DataSkill,K$5,DataYear,ViewYear)=0,"",SUMIFS(DataRating,DataEmployee,$A15,DataSkill,K$5,DataYear,ViewYear)))</f>
        <v/>
      </c>
      <c r="L15" s="47">
        <f>IF(OR($A15="",L$5="",ViewYear=""),"",IF(SUMIFS(DataRating,DataEmployee,$A15,DataSkill,L$5,DataYear,ViewYear)=0,"",SUMIFS(DataRating,DataEmployee,$A15,DataSkill,L$5,DataYear,ViewYear)))</f>
        <v/>
      </c>
      <c r="M15" s="47">
        <f>IF(OR($A15="",M$5="",ViewYear=""),"",IF(SUMIFS(DataRating,DataEmployee,$A15,DataSkill,M$5,DataYear,ViewYear)=0,"",SUMIFS(DataRating,DataEmployee,$A15,DataSkill,M$5,DataYear,ViewYear)))</f>
        <v/>
      </c>
      <c r="N15" s="47">
        <f>IF(OR($A15="",N$5="",ViewYear=""),"",IF(SUMIFS(DataRating,DataEmployee,$A15,DataSkill,N$5,DataYear,ViewYear)=0,"",SUMIFS(DataRating,DataEmployee,$A15,DataSkill,N$5,DataYear,ViewYear)))</f>
        <v/>
      </c>
      <c r="O15" s="47">
        <f>IF(OR($A15="",O$5="",ViewYear=""),"",IF(SUMIFS(DataRating,DataEmployee,$A15,DataSkill,O$5,DataYear,ViewYear)=0,"",SUMIFS(DataRating,DataEmployee,$A15,DataSkill,O$5,DataYear,ViewYear)))</f>
        <v/>
      </c>
      <c r="P15" s="47">
        <f>IF(OR($A15="",P$5="",ViewYear=""),"",IF(SUMIFS(DataRating,DataEmployee,$A15,DataSkill,P$5,DataYear,ViewYear)=0,"",SUMIFS(DataRating,DataEmployee,$A15,DataSkill,P$5,DataYear,ViewYear)))</f>
        <v/>
      </c>
      <c r="Q15" s="47">
        <f>IF(OR($A15="",Q$5="",ViewYear=""),"",IF(SUMIFS(DataRating,DataEmployee,$A15,DataSkill,Q$5,DataYear,ViewYear)=0,"",SUMIFS(DataRating,DataEmployee,$A15,DataSkill,Q$5,DataYear,ViewYear)))</f>
        <v/>
      </c>
      <c r="R15" s="47">
        <f>IF(OR($A15="",R$5="",ViewYear=""),"",IF(SUMIFS(DataRating,DataEmployee,$A15,DataSkill,R$5,DataYear,ViewYear)=0,"",SUMIFS(DataRating,DataEmployee,$A15,DataSkill,R$5,DataYear,ViewYear)))</f>
        <v/>
      </c>
      <c r="S15" s="47">
        <f>IF(OR($A15="",S$5="",ViewYear=""),"",IF(SUMIFS(DataRating,DataEmployee,$A15,DataSkill,S$5,DataYear,ViewYear)=0,"",SUMIFS(DataRating,DataEmployee,$A15,DataSkill,S$5,DataYear,ViewYear)))</f>
        <v/>
      </c>
    </row>
    <row r="16" ht="22" customHeight="1">
      <c r="A16" s="44">
        <f>IF('Employees'!B16="","",'Employees'!B16)</f>
        <v/>
      </c>
      <c r="B16" s="45">
        <f>IF(A16="","",'Employees'!C16)</f>
        <v/>
      </c>
      <c r="C16" s="46">
        <f>IF($A16="","",IFERROR(ROUND(AVERAGE(D16:S16),2),""))</f>
        <v/>
      </c>
      <c r="D16" s="47">
        <f>IF(OR($A16="",D$5="",ViewYear=""),"",IF(SUMIFS(DataRating,DataEmployee,$A16,DataSkill,D$5,DataYear,ViewYear)=0,"",SUMIFS(DataRating,DataEmployee,$A16,DataSkill,D$5,DataYear,ViewYear)))</f>
        <v/>
      </c>
      <c r="E16" s="47">
        <f>IF(OR($A16="",E$5="",ViewYear=""),"",IF(SUMIFS(DataRating,DataEmployee,$A16,DataSkill,E$5,DataYear,ViewYear)=0,"",SUMIFS(DataRating,DataEmployee,$A16,DataSkill,E$5,DataYear,ViewYear)))</f>
        <v/>
      </c>
      <c r="F16" s="47">
        <f>IF(OR($A16="",F$5="",ViewYear=""),"",IF(SUMIFS(DataRating,DataEmployee,$A16,DataSkill,F$5,DataYear,ViewYear)=0,"",SUMIFS(DataRating,DataEmployee,$A16,DataSkill,F$5,DataYear,ViewYear)))</f>
        <v/>
      </c>
      <c r="G16" s="47">
        <f>IF(OR($A16="",G$5="",ViewYear=""),"",IF(SUMIFS(DataRating,DataEmployee,$A16,DataSkill,G$5,DataYear,ViewYear)=0,"",SUMIFS(DataRating,DataEmployee,$A16,DataSkill,G$5,DataYear,ViewYear)))</f>
        <v/>
      </c>
      <c r="H16" s="47">
        <f>IF(OR($A16="",H$5="",ViewYear=""),"",IF(SUMIFS(DataRating,DataEmployee,$A16,DataSkill,H$5,DataYear,ViewYear)=0,"",SUMIFS(DataRating,DataEmployee,$A16,DataSkill,H$5,DataYear,ViewYear)))</f>
        <v/>
      </c>
      <c r="I16" s="47">
        <f>IF(OR($A16="",I$5="",ViewYear=""),"",IF(SUMIFS(DataRating,DataEmployee,$A16,DataSkill,I$5,DataYear,ViewYear)=0,"",SUMIFS(DataRating,DataEmployee,$A16,DataSkill,I$5,DataYear,ViewYear)))</f>
        <v/>
      </c>
      <c r="J16" s="47">
        <f>IF(OR($A16="",J$5="",ViewYear=""),"",IF(SUMIFS(DataRating,DataEmployee,$A16,DataSkill,J$5,DataYear,ViewYear)=0,"",SUMIFS(DataRating,DataEmployee,$A16,DataSkill,J$5,DataYear,ViewYear)))</f>
        <v/>
      </c>
      <c r="K16" s="47">
        <f>IF(OR($A16="",K$5="",ViewYear=""),"",IF(SUMIFS(DataRating,DataEmployee,$A16,DataSkill,K$5,DataYear,ViewYear)=0,"",SUMIFS(DataRating,DataEmployee,$A16,DataSkill,K$5,DataYear,ViewYear)))</f>
        <v/>
      </c>
      <c r="L16" s="47">
        <f>IF(OR($A16="",L$5="",ViewYear=""),"",IF(SUMIFS(DataRating,DataEmployee,$A16,DataSkill,L$5,DataYear,ViewYear)=0,"",SUMIFS(DataRating,DataEmployee,$A16,DataSkill,L$5,DataYear,ViewYear)))</f>
        <v/>
      </c>
      <c r="M16" s="47">
        <f>IF(OR($A16="",M$5="",ViewYear=""),"",IF(SUMIFS(DataRating,DataEmployee,$A16,DataSkill,M$5,DataYear,ViewYear)=0,"",SUMIFS(DataRating,DataEmployee,$A16,DataSkill,M$5,DataYear,ViewYear)))</f>
        <v/>
      </c>
      <c r="N16" s="47">
        <f>IF(OR($A16="",N$5="",ViewYear=""),"",IF(SUMIFS(DataRating,DataEmployee,$A16,DataSkill,N$5,DataYear,ViewYear)=0,"",SUMIFS(DataRating,DataEmployee,$A16,DataSkill,N$5,DataYear,ViewYear)))</f>
        <v/>
      </c>
      <c r="O16" s="47">
        <f>IF(OR($A16="",O$5="",ViewYear=""),"",IF(SUMIFS(DataRating,DataEmployee,$A16,DataSkill,O$5,DataYear,ViewYear)=0,"",SUMIFS(DataRating,DataEmployee,$A16,DataSkill,O$5,DataYear,ViewYear)))</f>
        <v/>
      </c>
      <c r="P16" s="47">
        <f>IF(OR($A16="",P$5="",ViewYear=""),"",IF(SUMIFS(DataRating,DataEmployee,$A16,DataSkill,P$5,DataYear,ViewYear)=0,"",SUMIFS(DataRating,DataEmployee,$A16,DataSkill,P$5,DataYear,ViewYear)))</f>
        <v/>
      </c>
      <c r="Q16" s="47">
        <f>IF(OR($A16="",Q$5="",ViewYear=""),"",IF(SUMIFS(DataRating,DataEmployee,$A16,DataSkill,Q$5,DataYear,ViewYear)=0,"",SUMIFS(DataRating,DataEmployee,$A16,DataSkill,Q$5,DataYear,ViewYear)))</f>
        <v/>
      </c>
      <c r="R16" s="47">
        <f>IF(OR($A16="",R$5="",ViewYear=""),"",IF(SUMIFS(DataRating,DataEmployee,$A16,DataSkill,R$5,DataYear,ViewYear)=0,"",SUMIFS(DataRating,DataEmployee,$A16,DataSkill,R$5,DataYear,ViewYear)))</f>
        <v/>
      </c>
      <c r="S16" s="47">
        <f>IF(OR($A16="",S$5="",ViewYear=""),"",IF(SUMIFS(DataRating,DataEmployee,$A16,DataSkill,S$5,DataYear,ViewYear)=0,"",SUMIFS(DataRating,DataEmployee,$A16,DataSkill,S$5,DataYear,ViewYear)))</f>
        <v/>
      </c>
    </row>
    <row r="17" ht="22" customHeight="1">
      <c r="A17" s="44">
        <f>IF('Employees'!B17="","",'Employees'!B17)</f>
        <v/>
      </c>
      <c r="B17" s="45">
        <f>IF(A17="","",'Employees'!C17)</f>
        <v/>
      </c>
      <c r="C17" s="46">
        <f>IF($A17="","",IFERROR(ROUND(AVERAGE(D17:S17),2),""))</f>
        <v/>
      </c>
      <c r="D17" s="47">
        <f>IF(OR($A17="",D$5="",ViewYear=""),"",IF(SUMIFS(DataRating,DataEmployee,$A17,DataSkill,D$5,DataYear,ViewYear)=0,"",SUMIFS(DataRating,DataEmployee,$A17,DataSkill,D$5,DataYear,ViewYear)))</f>
        <v/>
      </c>
      <c r="E17" s="47">
        <f>IF(OR($A17="",E$5="",ViewYear=""),"",IF(SUMIFS(DataRating,DataEmployee,$A17,DataSkill,E$5,DataYear,ViewYear)=0,"",SUMIFS(DataRating,DataEmployee,$A17,DataSkill,E$5,DataYear,ViewYear)))</f>
        <v/>
      </c>
      <c r="F17" s="47">
        <f>IF(OR($A17="",F$5="",ViewYear=""),"",IF(SUMIFS(DataRating,DataEmployee,$A17,DataSkill,F$5,DataYear,ViewYear)=0,"",SUMIFS(DataRating,DataEmployee,$A17,DataSkill,F$5,DataYear,ViewYear)))</f>
        <v/>
      </c>
      <c r="G17" s="47">
        <f>IF(OR($A17="",G$5="",ViewYear=""),"",IF(SUMIFS(DataRating,DataEmployee,$A17,DataSkill,G$5,DataYear,ViewYear)=0,"",SUMIFS(DataRating,DataEmployee,$A17,DataSkill,G$5,DataYear,ViewYear)))</f>
        <v/>
      </c>
      <c r="H17" s="47">
        <f>IF(OR($A17="",H$5="",ViewYear=""),"",IF(SUMIFS(DataRating,DataEmployee,$A17,DataSkill,H$5,DataYear,ViewYear)=0,"",SUMIFS(DataRating,DataEmployee,$A17,DataSkill,H$5,DataYear,ViewYear)))</f>
        <v/>
      </c>
      <c r="I17" s="47">
        <f>IF(OR($A17="",I$5="",ViewYear=""),"",IF(SUMIFS(DataRating,DataEmployee,$A17,DataSkill,I$5,DataYear,ViewYear)=0,"",SUMIFS(DataRating,DataEmployee,$A17,DataSkill,I$5,DataYear,ViewYear)))</f>
        <v/>
      </c>
      <c r="J17" s="47">
        <f>IF(OR($A17="",J$5="",ViewYear=""),"",IF(SUMIFS(DataRating,DataEmployee,$A17,DataSkill,J$5,DataYear,ViewYear)=0,"",SUMIFS(DataRating,DataEmployee,$A17,DataSkill,J$5,DataYear,ViewYear)))</f>
        <v/>
      </c>
      <c r="K17" s="47">
        <f>IF(OR($A17="",K$5="",ViewYear=""),"",IF(SUMIFS(DataRating,DataEmployee,$A17,DataSkill,K$5,DataYear,ViewYear)=0,"",SUMIFS(DataRating,DataEmployee,$A17,DataSkill,K$5,DataYear,ViewYear)))</f>
        <v/>
      </c>
      <c r="L17" s="47">
        <f>IF(OR($A17="",L$5="",ViewYear=""),"",IF(SUMIFS(DataRating,DataEmployee,$A17,DataSkill,L$5,DataYear,ViewYear)=0,"",SUMIFS(DataRating,DataEmployee,$A17,DataSkill,L$5,DataYear,ViewYear)))</f>
        <v/>
      </c>
      <c r="M17" s="47">
        <f>IF(OR($A17="",M$5="",ViewYear=""),"",IF(SUMIFS(DataRating,DataEmployee,$A17,DataSkill,M$5,DataYear,ViewYear)=0,"",SUMIFS(DataRating,DataEmployee,$A17,DataSkill,M$5,DataYear,ViewYear)))</f>
        <v/>
      </c>
      <c r="N17" s="47">
        <f>IF(OR($A17="",N$5="",ViewYear=""),"",IF(SUMIFS(DataRating,DataEmployee,$A17,DataSkill,N$5,DataYear,ViewYear)=0,"",SUMIFS(DataRating,DataEmployee,$A17,DataSkill,N$5,DataYear,ViewYear)))</f>
        <v/>
      </c>
      <c r="O17" s="47">
        <f>IF(OR($A17="",O$5="",ViewYear=""),"",IF(SUMIFS(DataRating,DataEmployee,$A17,DataSkill,O$5,DataYear,ViewYear)=0,"",SUMIFS(DataRating,DataEmployee,$A17,DataSkill,O$5,DataYear,ViewYear)))</f>
        <v/>
      </c>
      <c r="P17" s="47">
        <f>IF(OR($A17="",P$5="",ViewYear=""),"",IF(SUMIFS(DataRating,DataEmployee,$A17,DataSkill,P$5,DataYear,ViewYear)=0,"",SUMIFS(DataRating,DataEmployee,$A17,DataSkill,P$5,DataYear,ViewYear)))</f>
        <v/>
      </c>
      <c r="Q17" s="47">
        <f>IF(OR($A17="",Q$5="",ViewYear=""),"",IF(SUMIFS(DataRating,DataEmployee,$A17,DataSkill,Q$5,DataYear,ViewYear)=0,"",SUMIFS(DataRating,DataEmployee,$A17,DataSkill,Q$5,DataYear,ViewYear)))</f>
        <v/>
      </c>
      <c r="R17" s="47">
        <f>IF(OR($A17="",R$5="",ViewYear=""),"",IF(SUMIFS(DataRating,DataEmployee,$A17,DataSkill,R$5,DataYear,ViewYear)=0,"",SUMIFS(DataRating,DataEmployee,$A17,DataSkill,R$5,DataYear,ViewYear)))</f>
        <v/>
      </c>
      <c r="S17" s="47">
        <f>IF(OR($A17="",S$5="",ViewYear=""),"",IF(SUMIFS(DataRating,DataEmployee,$A17,DataSkill,S$5,DataYear,ViewYear)=0,"",SUMIFS(DataRating,DataEmployee,$A17,DataSkill,S$5,DataYear,ViewYear)))</f>
        <v/>
      </c>
    </row>
    <row r="18" ht="22" customHeight="1">
      <c r="A18" s="44">
        <f>IF('Employees'!B18="","",'Employees'!B18)</f>
        <v/>
      </c>
      <c r="B18" s="45">
        <f>IF(A18="","",'Employees'!C18)</f>
        <v/>
      </c>
      <c r="C18" s="46">
        <f>IF($A18="","",IFERROR(ROUND(AVERAGE(D18:S18),2),""))</f>
        <v/>
      </c>
      <c r="D18" s="47">
        <f>IF(OR($A18="",D$5="",ViewYear=""),"",IF(SUMIFS(DataRating,DataEmployee,$A18,DataSkill,D$5,DataYear,ViewYear)=0,"",SUMIFS(DataRating,DataEmployee,$A18,DataSkill,D$5,DataYear,ViewYear)))</f>
        <v/>
      </c>
      <c r="E18" s="47">
        <f>IF(OR($A18="",E$5="",ViewYear=""),"",IF(SUMIFS(DataRating,DataEmployee,$A18,DataSkill,E$5,DataYear,ViewYear)=0,"",SUMIFS(DataRating,DataEmployee,$A18,DataSkill,E$5,DataYear,ViewYear)))</f>
        <v/>
      </c>
      <c r="F18" s="47">
        <f>IF(OR($A18="",F$5="",ViewYear=""),"",IF(SUMIFS(DataRating,DataEmployee,$A18,DataSkill,F$5,DataYear,ViewYear)=0,"",SUMIFS(DataRating,DataEmployee,$A18,DataSkill,F$5,DataYear,ViewYear)))</f>
        <v/>
      </c>
      <c r="G18" s="47">
        <f>IF(OR($A18="",G$5="",ViewYear=""),"",IF(SUMIFS(DataRating,DataEmployee,$A18,DataSkill,G$5,DataYear,ViewYear)=0,"",SUMIFS(DataRating,DataEmployee,$A18,DataSkill,G$5,DataYear,ViewYear)))</f>
        <v/>
      </c>
      <c r="H18" s="47">
        <f>IF(OR($A18="",H$5="",ViewYear=""),"",IF(SUMIFS(DataRating,DataEmployee,$A18,DataSkill,H$5,DataYear,ViewYear)=0,"",SUMIFS(DataRating,DataEmployee,$A18,DataSkill,H$5,DataYear,ViewYear)))</f>
        <v/>
      </c>
      <c r="I18" s="47">
        <f>IF(OR($A18="",I$5="",ViewYear=""),"",IF(SUMIFS(DataRating,DataEmployee,$A18,DataSkill,I$5,DataYear,ViewYear)=0,"",SUMIFS(DataRating,DataEmployee,$A18,DataSkill,I$5,DataYear,ViewYear)))</f>
        <v/>
      </c>
      <c r="J18" s="47">
        <f>IF(OR($A18="",J$5="",ViewYear=""),"",IF(SUMIFS(DataRating,DataEmployee,$A18,DataSkill,J$5,DataYear,ViewYear)=0,"",SUMIFS(DataRating,DataEmployee,$A18,DataSkill,J$5,DataYear,ViewYear)))</f>
        <v/>
      </c>
      <c r="K18" s="47">
        <f>IF(OR($A18="",K$5="",ViewYear=""),"",IF(SUMIFS(DataRating,DataEmployee,$A18,DataSkill,K$5,DataYear,ViewYear)=0,"",SUMIFS(DataRating,DataEmployee,$A18,DataSkill,K$5,DataYear,ViewYear)))</f>
        <v/>
      </c>
      <c r="L18" s="47">
        <f>IF(OR($A18="",L$5="",ViewYear=""),"",IF(SUMIFS(DataRating,DataEmployee,$A18,DataSkill,L$5,DataYear,ViewYear)=0,"",SUMIFS(DataRating,DataEmployee,$A18,DataSkill,L$5,DataYear,ViewYear)))</f>
        <v/>
      </c>
      <c r="M18" s="47">
        <f>IF(OR($A18="",M$5="",ViewYear=""),"",IF(SUMIFS(DataRating,DataEmployee,$A18,DataSkill,M$5,DataYear,ViewYear)=0,"",SUMIFS(DataRating,DataEmployee,$A18,DataSkill,M$5,DataYear,ViewYear)))</f>
        <v/>
      </c>
      <c r="N18" s="47">
        <f>IF(OR($A18="",N$5="",ViewYear=""),"",IF(SUMIFS(DataRating,DataEmployee,$A18,DataSkill,N$5,DataYear,ViewYear)=0,"",SUMIFS(DataRating,DataEmployee,$A18,DataSkill,N$5,DataYear,ViewYear)))</f>
        <v/>
      </c>
      <c r="O18" s="47">
        <f>IF(OR($A18="",O$5="",ViewYear=""),"",IF(SUMIFS(DataRating,DataEmployee,$A18,DataSkill,O$5,DataYear,ViewYear)=0,"",SUMIFS(DataRating,DataEmployee,$A18,DataSkill,O$5,DataYear,ViewYear)))</f>
        <v/>
      </c>
      <c r="P18" s="47">
        <f>IF(OR($A18="",P$5="",ViewYear=""),"",IF(SUMIFS(DataRating,DataEmployee,$A18,DataSkill,P$5,DataYear,ViewYear)=0,"",SUMIFS(DataRating,DataEmployee,$A18,DataSkill,P$5,DataYear,ViewYear)))</f>
        <v/>
      </c>
      <c r="Q18" s="47">
        <f>IF(OR($A18="",Q$5="",ViewYear=""),"",IF(SUMIFS(DataRating,DataEmployee,$A18,DataSkill,Q$5,DataYear,ViewYear)=0,"",SUMIFS(DataRating,DataEmployee,$A18,DataSkill,Q$5,DataYear,ViewYear)))</f>
        <v/>
      </c>
      <c r="R18" s="47">
        <f>IF(OR($A18="",R$5="",ViewYear=""),"",IF(SUMIFS(DataRating,DataEmployee,$A18,DataSkill,R$5,DataYear,ViewYear)=0,"",SUMIFS(DataRating,DataEmployee,$A18,DataSkill,R$5,DataYear,ViewYear)))</f>
        <v/>
      </c>
      <c r="S18" s="47">
        <f>IF(OR($A18="",S$5="",ViewYear=""),"",IF(SUMIFS(DataRating,DataEmployee,$A18,DataSkill,S$5,DataYear,ViewYear)=0,"",SUMIFS(DataRating,DataEmployee,$A18,DataSkill,S$5,DataYear,ViewYear)))</f>
        <v/>
      </c>
    </row>
    <row r="19" ht="22" customHeight="1">
      <c r="A19" s="44">
        <f>IF('Employees'!B19="","",'Employees'!B19)</f>
        <v/>
      </c>
      <c r="B19" s="45">
        <f>IF(A19="","",'Employees'!C19)</f>
        <v/>
      </c>
      <c r="C19" s="46">
        <f>IF($A19="","",IFERROR(ROUND(AVERAGE(D19:S19),2),""))</f>
        <v/>
      </c>
      <c r="D19" s="47">
        <f>IF(OR($A19="",D$5="",ViewYear=""),"",IF(SUMIFS(DataRating,DataEmployee,$A19,DataSkill,D$5,DataYear,ViewYear)=0,"",SUMIFS(DataRating,DataEmployee,$A19,DataSkill,D$5,DataYear,ViewYear)))</f>
        <v/>
      </c>
      <c r="E19" s="47">
        <f>IF(OR($A19="",E$5="",ViewYear=""),"",IF(SUMIFS(DataRating,DataEmployee,$A19,DataSkill,E$5,DataYear,ViewYear)=0,"",SUMIFS(DataRating,DataEmployee,$A19,DataSkill,E$5,DataYear,ViewYear)))</f>
        <v/>
      </c>
      <c r="F19" s="47">
        <f>IF(OR($A19="",F$5="",ViewYear=""),"",IF(SUMIFS(DataRating,DataEmployee,$A19,DataSkill,F$5,DataYear,ViewYear)=0,"",SUMIFS(DataRating,DataEmployee,$A19,DataSkill,F$5,DataYear,ViewYear)))</f>
        <v/>
      </c>
      <c r="G19" s="47">
        <f>IF(OR($A19="",G$5="",ViewYear=""),"",IF(SUMIFS(DataRating,DataEmployee,$A19,DataSkill,G$5,DataYear,ViewYear)=0,"",SUMIFS(DataRating,DataEmployee,$A19,DataSkill,G$5,DataYear,ViewYear)))</f>
        <v/>
      </c>
      <c r="H19" s="47">
        <f>IF(OR($A19="",H$5="",ViewYear=""),"",IF(SUMIFS(DataRating,DataEmployee,$A19,DataSkill,H$5,DataYear,ViewYear)=0,"",SUMIFS(DataRating,DataEmployee,$A19,DataSkill,H$5,DataYear,ViewYear)))</f>
        <v/>
      </c>
      <c r="I19" s="47">
        <f>IF(OR($A19="",I$5="",ViewYear=""),"",IF(SUMIFS(DataRating,DataEmployee,$A19,DataSkill,I$5,DataYear,ViewYear)=0,"",SUMIFS(DataRating,DataEmployee,$A19,DataSkill,I$5,DataYear,ViewYear)))</f>
        <v/>
      </c>
      <c r="J19" s="47">
        <f>IF(OR($A19="",J$5="",ViewYear=""),"",IF(SUMIFS(DataRating,DataEmployee,$A19,DataSkill,J$5,DataYear,ViewYear)=0,"",SUMIFS(DataRating,DataEmployee,$A19,DataSkill,J$5,DataYear,ViewYear)))</f>
        <v/>
      </c>
      <c r="K19" s="47">
        <f>IF(OR($A19="",K$5="",ViewYear=""),"",IF(SUMIFS(DataRating,DataEmployee,$A19,DataSkill,K$5,DataYear,ViewYear)=0,"",SUMIFS(DataRating,DataEmployee,$A19,DataSkill,K$5,DataYear,ViewYear)))</f>
        <v/>
      </c>
      <c r="L19" s="47">
        <f>IF(OR($A19="",L$5="",ViewYear=""),"",IF(SUMIFS(DataRating,DataEmployee,$A19,DataSkill,L$5,DataYear,ViewYear)=0,"",SUMIFS(DataRating,DataEmployee,$A19,DataSkill,L$5,DataYear,ViewYear)))</f>
        <v/>
      </c>
      <c r="M19" s="47">
        <f>IF(OR($A19="",M$5="",ViewYear=""),"",IF(SUMIFS(DataRating,DataEmployee,$A19,DataSkill,M$5,DataYear,ViewYear)=0,"",SUMIFS(DataRating,DataEmployee,$A19,DataSkill,M$5,DataYear,ViewYear)))</f>
        <v/>
      </c>
      <c r="N19" s="47">
        <f>IF(OR($A19="",N$5="",ViewYear=""),"",IF(SUMIFS(DataRating,DataEmployee,$A19,DataSkill,N$5,DataYear,ViewYear)=0,"",SUMIFS(DataRating,DataEmployee,$A19,DataSkill,N$5,DataYear,ViewYear)))</f>
        <v/>
      </c>
      <c r="O19" s="47">
        <f>IF(OR($A19="",O$5="",ViewYear=""),"",IF(SUMIFS(DataRating,DataEmployee,$A19,DataSkill,O$5,DataYear,ViewYear)=0,"",SUMIFS(DataRating,DataEmployee,$A19,DataSkill,O$5,DataYear,ViewYear)))</f>
        <v/>
      </c>
      <c r="P19" s="47">
        <f>IF(OR($A19="",P$5="",ViewYear=""),"",IF(SUMIFS(DataRating,DataEmployee,$A19,DataSkill,P$5,DataYear,ViewYear)=0,"",SUMIFS(DataRating,DataEmployee,$A19,DataSkill,P$5,DataYear,ViewYear)))</f>
        <v/>
      </c>
      <c r="Q19" s="47">
        <f>IF(OR($A19="",Q$5="",ViewYear=""),"",IF(SUMIFS(DataRating,DataEmployee,$A19,DataSkill,Q$5,DataYear,ViewYear)=0,"",SUMIFS(DataRating,DataEmployee,$A19,DataSkill,Q$5,DataYear,ViewYear)))</f>
        <v/>
      </c>
      <c r="R19" s="47">
        <f>IF(OR($A19="",R$5="",ViewYear=""),"",IF(SUMIFS(DataRating,DataEmployee,$A19,DataSkill,R$5,DataYear,ViewYear)=0,"",SUMIFS(DataRating,DataEmployee,$A19,DataSkill,R$5,DataYear,ViewYear)))</f>
        <v/>
      </c>
      <c r="S19" s="47">
        <f>IF(OR($A19="",S$5="",ViewYear=""),"",IF(SUMIFS(DataRating,DataEmployee,$A19,DataSkill,S$5,DataYear,ViewYear)=0,"",SUMIFS(DataRating,DataEmployee,$A19,DataSkill,S$5,DataYear,ViewYear)))</f>
        <v/>
      </c>
    </row>
    <row r="20" ht="22" customHeight="1">
      <c r="A20" s="44">
        <f>IF('Employees'!B20="","",'Employees'!B20)</f>
        <v/>
      </c>
      <c r="B20" s="45">
        <f>IF(A20="","",'Employees'!C20)</f>
        <v/>
      </c>
      <c r="C20" s="46">
        <f>IF($A20="","",IFERROR(ROUND(AVERAGE(D20:S20),2),""))</f>
        <v/>
      </c>
      <c r="D20" s="47">
        <f>IF(OR($A20="",D$5="",ViewYear=""),"",IF(SUMIFS(DataRating,DataEmployee,$A20,DataSkill,D$5,DataYear,ViewYear)=0,"",SUMIFS(DataRating,DataEmployee,$A20,DataSkill,D$5,DataYear,ViewYear)))</f>
        <v/>
      </c>
      <c r="E20" s="47">
        <f>IF(OR($A20="",E$5="",ViewYear=""),"",IF(SUMIFS(DataRating,DataEmployee,$A20,DataSkill,E$5,DataYear,ViewYear)=0,"",SUMIFS(DataRating,DataEmployee,$A20,DataSkill,E$5,DataYear,ViewYear)))</f>
        <v/>
      </c>
      <c r="F20" s="47">
        <f>IF(OR($A20="",F$5="",ViewYear=""),"",IF(SUMIFS(DataRating,DataEmployee,$A20,DataSkill,F$5,DataYear,ViewYear)=0,"",SUMIFS(DataRating,DataEmployee,$A20,DataSkill,F$5,DataYear,ViewYear)))</f>
        <v/>
      </c>
      <c r="G20" s="47">
        <f>IF(OR($A20="",G$5="",ViewYear=""),"",IF(SUMIFS(DataRating,DataEmployee,$A20,DataSkill,G$5,DataYear,ViewYear)=0,"",SUMIFS(DataRating,DataEmployee,$A20,DataSkill,G$5,DataYear,ViewYear)))</f>
        <v/>
      </c>
      <c r="H20" s="47">
        <f>IF(OR($A20="",H$5="",ViewYear=""),"",IF(SUMIFS(DataRating,DataEmployee,$A20,DataSkill,H$5,DataYear,ViewYear)=0,"",SUMIFS(DataRating,DataEmployee,$A20,DataSkill,H$5,DataYear,ViewYear)))</f>
        <v/>
      </c>
      <c r="I20" s="47">
        <f>IF(OR($A20="",I$5="",ViewYear=""),"",IF(SUMIFS(DataRating,DataEmployee,$A20,DataSkill,I$5,DataYear,ViewYear)=0,"",SUMIFS(DataRating,DataEmployee,$A20,DataSkill,I$5,DataYear,ViewYear)))</f>
        <v/>
      </c>
      <c r="J20" s="47">
        <f>IF(OR($A20="",J$5="",ViewYear=""),"",IF(SUMIFS(DataRating,DataEmployee,$A20,DataSkill,J$5,DataYear,ViewYear)=0,"",SUMIFS(DataRating,DataEmployee,$A20,DataSkill,J$5,DataYear,ViewYear)))</f>
        <v/>
      </c>
      <c r="K20" s="47">
        <f>IF(OR($A20="",K$5="",ViewYear=""),"",IF(SUMIFS(DataRating,DataEmployee,$A20,DataSkill,K$5,DataYear,ViewYear)=0,"",SUMIFS(DataRating,DataEmployee,$A20,DataSkill,K$5,DataYear,ViewYear)))</f>
        <v/>
      </c>
      <c r="L20" s="47">
        <f>IF(OR($A20="",L$5="",ViewYear=""),"",IF(SUMIFS(DataRating,DataEmployee,$A20,DataSkill,L$5,DataYear,ViewYear)=0,"",SUMIFS(DataRating,DataEmployee,$A20,DataSkill,L$5,DataYear,ViewYear)))</f>
        <v/>
      </c>
      <c r="M20" s="47">
        <f>IF(OR($A20="",M$5="",ViewYear=""),"",IF(SUMIFS(DataRating,DataEmployee,$A20,DataSkill,M$5,DataYear,ViewYear)=0,"",SUMIFS(DataRating,DataEmployee,$A20,DataSkill,M$5,DataYear,ViewYear)))</f>
        <v/>
      </c>
      <c r="N20" s="47">
        <f>IF(OR($A20="",N$5="",ViewYear=""),"",IF(SUMIFS(DataRating,DataEmployee,$A20,DataSkill,N$5,DataYear,ViewYear)=0,"",SUMIFS(DataRating,DataEmployee,$A20,DataSkill,N$5,DataYear,ViewYear)))</f>
        <v/>
      </c>
      <c r="O20" s="47">
        <f>IF(OR($A20="",O$5="",ViewYear=""),"",IF(SUMIFS(DataRating,DataEmployee,$A20,DataSkill,O$5,DataYear,ViewYear)=0,"",SUMIFS(DataRating,DataEmployee,$A20,DataSkill,O$5,DataYear,ViewYear)))</f>
        <v/>
      </c>
      <c r="P20" s="47">
        <f>IF(OR($A20="",P$5="",ViewYear=""),"",IF(SUMIFS(DataRating,DataEmployee,$A20,DataSkill,P$5,DataYear,ViewYear)=0,"",SUMIFS(DataRating,DataEmployee,$A20,DataSkill,P$5,DataYear,ViewYear)))</f>
        <v/>
      </c>
      <c r="Q20" s="47">
        <f>IF(OR($A20="",Q$5="",ViewYear=""),"",IF(SUMIFS(DataRating,DataEmployee,$A20,DataSkill,Q$5,DataYear,ViewYear)=0,"",SUMIFS(DataRating,DataEmployee,$A20,DataSkill,Q$5,DataYear,ViewYear)))</f>
        <v/>
      </c>
      <c r="R20" s="47">
        <f>IF(OR($A20="",R$5="",ViewYear=""),"",IF(SUMIFS(DataRating,DataEmployee,$A20,DataSkill,R$5,DataYear,ViewYear)=0,"",SUMIFS(DataRating,DataEmployee,$A20,DataSkill,R$5,DataYear,ViewYear)))</f>
        <v/>
      </c>
      <c r="S20" s="47">
        <f>IF(OR($A20="",S$5="",ViewYear=""),"",IF(SUMIFS(DataRating,DataEmployee,$A20,DataSkill,S$5,DataYear,ViewYear)=0,"",SUMIFS(DataRating,DataEmployee,$A20,DataSkill,S$5,DataYear,ViewYear)))</f>
        <v/>
      </c>
    </row>
    <row r="21" ht="22" customHeight="1">
      <c r="A21" s="44">
        <f>IF('Employees'!B21="","",'Employees'!B21)</f>
        <v/>
      </c>
      <c r="B21" s="45">
        <f>IF(A21="","",'Employees'!C21)</f>
        <v/>
      </c>
      <c r="C21" s="46">
        <f>IF($A21="","",IFERROR(ROUND(AVERAGE(D21:S21),2),""))</f>
        <v/>
      </c>
      <c r="D21" s="47">
        <f>IF(OR($A21="",D$5="",ViewYear=""),"",IF(SUMIFS(DataRating,DataEmployee,$A21,DataSkill,D$5,DataYear,ViewYear)=0,"",SUMIFS(DataRating,DataEmployee,$A21,DataSkill,D$5,DataYear,ViewYear)))</f>
        <v/>
      </c>
      <c r="E21" s="47">
        <f>IF(OR($A21="",E$5="",ViewYear=""),"",IF(SUMIFS(DataRating,DataEmployee,$A21,DataSkill,E$5,DataYear,ViewYear)=0,"",SUMIFS(DataRating,DataEmployee,$A21,DataSkill,E$5,DataYear,ViewYear)))</f>
        <v/>
      </c>
      <c r="F21" s="47">
        <f>IF(OR($A21="",F$5="",ViewYear=""),"",IF(SUMIFS(DataRating,DataEmployee,$A21,DataSkill,F$5,DataYear,ViewYear)=0,"",SUMIFS(DataRating,DataEmployee,$A21,DataSkill,F$5,DataYear,ViewYear)))</f>
        <v/>
      </c>
      <c r="G21" s="47">
        <f>IF(OR($A21="",G$5="",ViewYear=""),"",IF(SUMIFS(DataRating,DataEmployee,$A21,DataSkill,G$5,DataYear,ViewYear)=0,"",SUMIFS(DataRating,DataEmployee,$A21,DataSkill,G$5,DataYear,ViewYear)))</f>
        <v/>
      </c>
      <c r="H21" s="47">
        <f>IF(OR($A21="",H$5="",ViewYear=""),"",IF(SUMIFS(DataRating,DataEmployee,$A21,DataSkill,H$5,DataYear,ViewYear)=0,"",SUMIFS(DataRating,DataEmployee,$A21,DataSkill,H$5,DataYear,ViewYear)))</f>
        <v/>
      </c>
      <c r="I21" s="47">
        <f>IF(OR($A21="",I$5="",ViewYear=""),"",IF(SUMIFS(DataRating,DataEmployee,$A21,DataSkill,I$5,DataYear,ViewYear)=0,"",SUMIFS(DataRating,DataEmployee,$A21,DataSkill,I$5,DataYear,ViewYear)))</f>
        <v/>
      </c>
      <c r="J21" s="47">
        <f>IF(OR($A21="",J$5="",ViewYear=""),"",IF(SUMIFS(DataRating,DataEmployee,$A21,DataSkill,J$5,DataYear,ViewYear)=0,"",SUMIFS(DataRating,DataEmployee,$A21,DataSkill,J$5,DataYear,ViewYear)))</f>
        <v/>
      </c>
      <c r="K21" s="47">
        <f>IF(OR($A21="",K$5="",ViewYear=""),"",IF(SUMIFS(DataRating,DataEmployee,$A21,DataSkill,K$5,DataYear,ViewYear)=0,"",SUMIFS(DataRating,DataEmployee,$A21,DataSkill,K$5,DataYear,ViewYear)))</f>
        <v/>
      </c>
      <c r="L21" s="47">
        <f>IF(OR($A21="",L$5="",ViewYear=""),"",IF(SUMIFS(DataRating,DataEmployee,$A21,DataSkill,L$5,DataYear,ViewYear)=0,"",SUMIFS(DataRating,DataEmployee,$A21,DataSkill,L$5,DataYear,ViewYear)))</f>
        <v/>
      </c>
      <c r="M21" s="47">
        <f>IF(OR($A21="",M$5="",ViewYear=""),"",IF(SUMIFS(DataRating,DataEmployee,$A21,DataSkill,M$5,DataYear,ViewYear)=0,"",SUMIFS(DataRating,DataEmployee,$A21,DataSkill,M$5,DataYear,ViewYear)))</f>
        <v/>
      </c>
      <c r="N21" s="47">
        <f>IF(OR($A21="",N$5="",ViewYear=""),"",IF(SUMIFS(DataRating,DataEmployee,$A21,DataSkill,N$5,DataYear,ViewYear)=0,"",SUMIFS(DataRating,DataEmployee,$A21,DataSkill,N$5,DataYear,ViewYear)))</f>
        <v/>
      </c>
      <c r="O21" s="47">
        <f>IF(OR($A21="",O$5="",ViewYear=""),"",IF(SUMIFS(DataRating,DataEmployee,$A21,DataSkill,O$5,DataYear,ViewYear)=0,"",SUMIFS(DataRating,DataEmployee,$A21,DataSkill,O$5,DataYear,ViewYear)))</f>
        <v/>
      </c>
      <c r="P21" s="47">
        <f>IF(OR($A21="",P$5="",ViewYear=""),"",IF(SUMIFS(DataRating,DataEmployee,$A21,DataSkill,P$5,DataYear,ViewYear)=0,"",SUMIFS(DataRating,DataEmployee,$A21,DataSkill,P$5,DataYear,ViewYear)))</f>
        <v/>
      </c>
      <c r="Q21" s="47">
        <f>IF(OR($A21="",Q$5="",ViewYear=""),"",IF(SUMIFS(DataRating,DataEmployee,$A21,DataSkill,Q$5,DataYear,ViewYear)=0,"",SUMIFS(DataRating,DataEmployee,$A21,DataSkill,Q$5,DataYear,ViewYear)))</f>
        <v/>
      </c>
      <c r="R21" s="47">
        <f>IF(OR($A21="",R$5="",ViewYear=""),"",IF(SUMIFS(DataRating,DataEmployee,$A21,DataSkill,R$5,DataYear,ViewYear)=0,"",SUMIFS(DataRating,DataEmployee,$A21,DataSkill,R$5,DataYear,ViewYear)))</f>
        <v/>
      </c>
      <c r="S21" s="47">
        <f>IF(OR($A21="",S$5="",ViewYear=""),"",IF(SUMIFS(DataRating,DataEmployee,$A21,DataSkill,S$5,DataYear,ViewYear)=0,"",SUMIFS(DataRating,DataEmployee,$A21,DataSkill,S$5,DataYear,ViewYear)))</f>
        <v/>
      </c>
    </row>
    <row r="23">
      <c r="A23" s="48" t="inlineStr">
        <is>
          <t>Rating colour</t>
        </is>
      </c>
      <c r="B23" s="49" t="n">
        <v>1</v>
      </c>
      <c r="C23" s="50" t="n">
        <v>2</v>
      </c>
      <c r="D23" s="51" t="n">
        <v>3</v>
      </c>
      <c r="E23" s="52" t="n">
        <v>4</v>
      </c>
      <c r="F23" s="53" t="n">
        <v>5</v>
      </c>
      <c r="G23" s="36" t="inlineStr">
        <is>
          <t>1 beginner  to  5 expert.  Overall = average.  Gold name = highest overall this year.</t>
        </is>
      </c>
    </row>
  </sheetData>
  <mergeCells count="8">
    <mergeCell ref="G2:S2"/>
    <mergeCell ref="B4:B5"/>
    <mergeCell ref="C4:C5"/>
    <mergeCell ref="A4:A5"/>
    <mergeCell ref="C3:L3"/>
    <mergeCell ref="G23:L23"/>
    <mergeCell ref="A1:B2"/>
    <mergeCell ref="C2:F2"/>
  </mergeCells>
  <conditionalFormatting sqref="D6:S21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  <cfRule type="cellIs" priority="5" operator="equal" dxfId="4">
      <formula>5</formula>
    </cfRule>
  </conditionalFormatting>
  <conditionalFormatting sqref="C6:C21">
    <cfRule type="colorScale" priority="6">
      <colorScale>
        <cfvo type="num" val="1"/>
        <cfvo type="num" val="3"/>
        <cfvo type="num" val="5"/>
        <color rgb="00F5D0D0"/>
        <color rgb="00FBF3D0"/>
        <color rgb="00A8D5BA"/>
      </colorScale>
    </cfRule>
    <cfRule type="expression" priority="8" dxfId="5" stopIfTrue="1">
      <formula>AND(ISNUMBER($C6),$C6=MAX($C$6:$C$21))</formula>
    </cfRule>
  </conditionalFormatting>
  <conditionalFormatting sqref="A6:A21">
    <cfRule type="expression" priority="7" dxfId="5" stopIfTrue="1">
      <formula>AND(ISNUMBER($C6),$C6=MAX($C$6:$C$21))</formula>
    </cfRule>
  </conditionalFormatting>
  <dataValidations count="1">
    <dataValidation sqref="B3" showDropDown="0" showInputMessage="0" showErrorMessage="0" allowBlank="0" promptTitle="Year" prompt="Pick a year from the Years list." type="list">
      <formula1>=YearList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landscape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B8FB9"/>
    <outlinePr summaryBelow="1" summaryRight="1"/>
    <pageSetUpPr fitToPage="1"/>
  </sheetPr>
  <dimension ref="A1:Y261"/>
  <sheetViews>
    <sheetView showGridLines="0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28" customHeight="1">
      <c r="A2" s="2" t="n"/>
      <c r="B2" s="2" t="n"/>
      <c r="C2" s="6" t="inlineStr">
        <is>
          <t>Ratings — all years</t>
        </is>
      </c>
      <c r="I2" s="36" t="inlineStr">
        <is>
          <t>Type 1-5 here for any year. This sheet is hidden in the tab bar. When you are done, right-click this tab and choose Hide.</t>
        </is>
      </c>
    </row>
    <row r="3">
      <c r="A3" s="54">
        <f>"Rating 1-5. Current calendar year: "&amp;CalendarYear&amp;". Latest year with ratings: "&amp;IF(LatestYear="","-",LatestYear)&amp;". Filter the Employee column to focus on one person."</f>
        <v/>
      </c>
    </row>
    <row r="5" ht="28" customHeight="1">
      <c r="A5" s="55" t="inlineStr">
        <is>
          <t>Employee</t>
        </is>
      </c>
      <c r="B5" s="55" t="inlineStr">
        <is>
          <t>Department</t>
        </is>
      </c>
      <c r="C5" s="55" t="inlineStr">
        <is>
          <t>Skill</t>
        </is>
      </c>
      <c r="D5" s="55" t="inlineStr">
        <is>
          <t>Category</t>
        </is>
      </c>
      <c r="E5" s="56">
        <f>IF('Years'!B8="","",'Years'!B8)</f>
        <v/>
      </c>
      <c r="F5" s="56">
        <f>IF('Years'!B9="","",'Years'!B9)</f>
        <v/>
      </c>
      <c r="G5" s="56">
        <f>IF('Years'!B10="","",'Years'!B10)</f>
        <v/>
      </c>
      <c r="H5" s="56">
        <f>IF('Years'!B11="","",'Years'!B11)</f>
        <v/>
      </c>
      <c r="I5" s="56">
        <f>IF('Years'!B12="","",'Years'!B12)</f>
        <v/>
      </c>
      <c r="J5" s="56">
        <f>IF('Years'!B13="","",'Years'!B13)</f>
        <v/>
      </c>
      <c r="K5" s="56">
        <f>IF('Years'!B14="","",'Years'!B14)</f>
        <v/>
      </c>
      <c r="L5" s="56">
        <f>IF('Years'!B15="","",'Years'!B15)</f>
        <v/>
      </c>
      <c r="M5" s="56">
        <f>IF('Years'!B16="","",'Years'!B16)</f>
        <v/>
      </c>
      <c r="N5" s="56">
        <f>IF('Years'!B17="","",'Years'!B17)</f>
        <v/>
      </c>
      <c r="O5" s="56">
        <f>IF('Years'!B18="","",'Years'!B18)</f>
        <v/>
      </c>
      <c r="P5" s="56">
        <f>IF('Years'!B19="","",'Years'!B19)</f>
        <v/>
      </c>
      <c r="Q5" s="56">
        <f>IF('Years'!B20="","",'Years'!B20)</f>
        <v/>
      </c>
      <c r="R5" s="56">
        <f>IF('Years'!B21="","",'Years'!B21)</f>
        <v/>
      </c>
      <c r="S5" s="56">
        <f>IF('Years'!B22="","",'Years'!B22)</f>
        <v/>
      </c>
      <c r="T5" s="56">
        <f>IF('Years'!B23="","",'Years'!B23)</f>
        <v/>
      </c>
      <c r="U5" s="57" t="inlineStr">
        <is>
          <t>First</t>
        </is>
      </c>
      <c r="V5" s="57" t="inlineStr">
        <is>
          <t>Latest</t>
        </is>
      </c>
      <c r="W5" s="57" t="inlineStr">
        <is>
          <t>vs last year</t>
        </is>
      </c>
      <c r="X5" s="57" t="inlineStr">
        <is>
          <t>Since joined</t>
        </is>
      </c>
      <c r="Y5" s="57" t="inlineStr">
        <is>
          <t>Years rated</t>
        </is>
      </c>
    </row>
    <row r="6">
      <c r="A6" s="44">
        <f>IF(AND('Employees'!B6&lt;&gt;"",'Skills'!B6&lt;&gt;""),'Employees'!B6,"")</f>
        <v/>
      </c>
      <c r="B6" s="45">
        <f>IF(A6="","",'Employees'!C6)</f>
        <v/>
      </c>
      <c r="C6" s="58">
        <f>IF(A6="","",'Skills'!B6)</f>
        <v/>
      </c>
      <c r="D6" s="45">
        <f>IF(A6="","",'Skills'!C6)</f>
        <v/>
      </c>
      <c r="E6" s="59" t="n">
        <v>1</v>
      </c>
      <c r="F6" s="59" t="n">
        <v>2</v>
      </c>
      <c r="G6" s="59" t="n">
        <v>3</v>
      </c>
      <c r="H6" s="60" t="n">
        <v>3</v>
      </c>
      <c r="I6" s="59" t="inlineStr"/>
      <c r="J6" s="59" t="inlineStr"/>
      <c r="K6" s="59" t="inlineStr"/>
      <c r="L6" s="59" t="inlineStr"/>
      <c r="M6" s="59" t="inlineStr"/>
      <c r="N6" s="59" t="inlineStr"/>
      <c r="O6" s="59" t="inlineStr"/>
      <c r="P6" s="59" t="inlineStr"/>
      <c r="Q6" s="59" t="inlineStr"/>
      <c r="R6" s="59" t="inlineStr"/>
      <c r="S6" s="59" t="inlineStr"/>
      <c r="T6" s="59" t="inlineStr"/>
      <c r="U6" s="61">
        <f>IF(A6="","",IFERROR(INDEX(E6:T6,MATCH(TRUE,INDEX(E6:T6&lt;&gt;"",0),0)),""))</f>
        <v/>
      </c>
      <c r="V6" s="61">
        <f>IF(A6="","",IFERROR(LOOKUP(2,1/(E6:T6&lt;&gt;""),E6:T6),""))</f>
        <v/>
      </c>
      <c r="W6" s="62">
        <f>IF(OR(A6="",PreviousYear=""),"",IFERROR(LOOKUP(2,1/(E6:T6&lt;&gt;""),E6:T6)-INDEX(E6:T6,MATCH(PreviousYear,$E$5:$T$5,0)),""))</f>
        <v/>
      </c>
      <c r="X6" s="62">
        <f>IF(OR(A6="",U6="",V6=""),"",V6-U6)</f>
        <v/>
      </c>
      <c r="Y6" s="61">
        <f>IF(A6="","",COUNT(E6:T6))</f>
        <v/>
      </c>
    </row>
    <row r="7">
      <c r="A7" s="44">
        <f>IF(AND('Employees'!B6&lt;&gt;"",'Skills'!B7&lt;&gt;""),'Employees'!B6,"")</f>
        <v/>
      </c>
      <c r="B7" s="45">
        <f>IF(A7="","",'Employees'!C6)</f>
        <v/>
      </c>
      <c r="C7" s="58">
        <f>IF(A7="","",'Skills'!B7)</f>
        <v/>
      </c>
      <c r="D7" s="45">
        <f>IF(A7="","",'Skills'!C7)</f>
        <v/>
      </c>
      <c r="E7" s="59" t="n">
        <v>2</v>
      </c>
      <c r="F7" s="59" t="n">
        <v>2</v>
      </c>
      <c r="G7" s="59" t="n">
        <v>2</v>
      </c>
      <c r="H7" s="60" t="n">
        <v>2</v>
      </c>
      <c r="I7" s="59" t="inlineStr"/>
      <c r="J7" s="59" t="inlineStr"/>
      <c r="K7" s="59" t="inlineStr"/>
      <c r="L7" s="59" t="inlineStr"/>
      <c r="M7" s="59" t="inlineStr"/>
      <c r="N7" s="59" t="inlineStr"/>
      <c r="O7" s="59" t="inlineStr"/>
      <c r="P7" s="59" t="inlineStr"/>
      <c r="Q7" s="59" t="inlineStr"/>
      <c r="R7" s="59" t="inlineStr"/>
      <c r="S7" s="59" t="inlineStr"/>
      <c r="T7" s="59" t="inlineStr"/>
      <c r="U7" s="61">
        <f>IF(A7="","",IFERROR(INDEX(E7:T7,MATCH(TRUE,INDEX(E7:T7&lt;&gt;"",0),0)),""))</f>
        <v/>
      </c>
      <c r="V7" s="61">
        <f>IF(A7="","",IFERROR(LOOKUP(2,1/(E7:T7&lt;&gt;""),E7:T7),""))</f>
        <v/>
      </c>
      <c r="W7" s="62">
        <f>IF(OR(A7="",PreviousYear=""),"",IFERROR(LOOKUP(2,1/(E7:T7&lt;&gt;""),E7:T7)-INDEX(E7:T7,MATCH(PreviousYear,$E$5:$T$5,0)),""))</f>
        <v/>
      </c>
      <c r="X7" s="62">
        <f>IF(OR(A7="",U7="",V7=""),"",V7-U7)</f>
        <v/>
      </c>
      <c r="Y7" s="61">
        <f>IF(A7="","",COUNT(E7:T7))</f>
        <v/>
      </c>
    </row>
    <row r="8">
      <c r="A8" s="44">
        <f>IF(AND('Employees'!B6&lt;&gt;"",'Skills'!B8&lt;&gt;""),'Employees'!B6,"")</f>
        <v/>
      </c>
      <c r="B8" s="45">
        <f>IF(A8="","",'Employees'!C6)</f>
        <v/>
      </c>
      <c r="C8" s="58">
        <f>IF(A8="","",'Skills'!B8)</f>
        <v/>
      </c>
      <c r="D8" s="45">
        <f>IF(A8="","",'Skills'!C8)</f>
        <v/>
      </c>
      <c r="E8" s="59" t="n">
        <v>1</v>
      </c>
      <c r="F8" s="59" t="n">
        <v>2</v>
      </c>
      <c r="G8" s="59" t="n">
        <v>2</v>
      </c>
      <c r="H8" s="60" t="n">
        <v>3</v>
      </c>
      <c r="I8" s="59" t="inlineStr"/>
      <c r="J8" s="59" t="inlineStr"/>
      <c r="K8" s="59" t="inlineStr"/>
      <c r="L8" s="59" t="inlineStr"/>
      <c r="M8" s="59" t="inlineStr"/>
      <c r="N8" s="59" t="inlineStr"/>
      <c r="O8" s="59" t="inlineStr"/>
      <c r="P8" s="59" t="inlineStr"/>
      <c r="Q8" s="59" t="inlineStr"/>
      <c r="R8" s="59" t="inlineStr"/>
      <c r="S8" s="59" t="inlineStr"/>
      <c r="T8" s="59" t="inlineStr"/>
      <c r="U8" s="61">
        <f>IF(A8="","",IFERROR(INDEX(E8:T8,MATCH(TRUE,INDEX(E8:T8&lt;&gt;"",0),0)),""))</f>
        <v/>
      </c>
      <c r="V8" s="61">
        <f>IF(A8="","",IFERROR(LOOKUP(2,1/(E8:T8&lt;&gt;""),E8:T8),""))</f>
        <v/>
      </c>
      <c r="W8" s="62">
        <f>IF(OR(A8="",PreviousYear=""),"",IFERROR(LOOKUP(2,1/(E8:T8&lt;&gt;""),E8:T8)-INDEX(E8:T8,MATCH(PreviousYear,$E$5:$T$5,0)),""))</f>
        <v/>
      </c>
      <c r="X8" s="62">
        <f>IF(OR(A8="",U8="",V8=""),"",V8-U8)</f>
        <v/>
      </c>
      <c r="Y8" s="61">
        <f>IF(A8="","",COUNT(E8:T8))</f>
        <v/>
      </c>
    </row>
    <row r="9">
      <c r="A9" s="44">
        <f>IF(AND('Employees'!B6&lt;&gt;"",'Skills'!B9&lt;&gt;""),'Employees'!B6,"")</f>
        <v/>
      </c>
      <c r="B9" s="45">
        <f>IF(A9="","",'Employees'!C6)</f>
        <v/>
      </c>
      <c r="C9" s="58">
        <f>IF(A9="","",'Skills'!B9)</f>
        <v/>
      </c>
      <c r="D9" s="45">
        <f>IF(A9="","",'Skills'!C9)</f>
        <v/>
      </c>
      <c r="E9" s="59" t="n">
        <v>2</v>
      </c>
      <c r="F9" s="59" t="n">
        <v>2</v>
      </c>
      <c r="G9" s="59" t="n">
        <v>3</v>
      </c>
      <c r="H9" s="60" t="n">
        <v>4</v>
      </c>
      <c r="I9" s="59" t="inlineStr"/>
      <c r="J9" s="59" t="inlineStr"/>
      <c r="K9" s="59" t="inlineStr"/>
      <c r="L9" s="59" t="inlineStr"/>
      <c r="M9" s="59" t="inlineStr"/>
      <c r="N9" s="59" t="inlineStr"/>
      <c r="O9" s="59" t="inlineStr"/>
      <c r="P9" s="59" t="inlineStr"/>
      <c r="Q9" s="59" t="inlineStr"/>
      <c r="R9" s="59" t="inlineStr"/>
      <c r="S9" s="59" t="inlineStr"/>
      <c r="T9" s="59" t="inlineStr"/>
      <c r="U9" s="61">
        <f>IF(A9="","",IFERROR(INDEX(E9:T9,MATCH(TRUE,INDEX(E9:T9&lt;&gt;"",0),0)),""))</f>
        <v/>
      </c>
      <c r="V9" s="61">
        <f>IF(A9="","",IFERROR(LOOKUP(2,1/(E9:T9&lt;&gt;""),E9:T9),""))</f>
        <v/>
      </c>
      <c r="W9" s="62">
        <f>IF(OR(A9="",PreviousYear=""),"",IFERROR(LOOKUP(2,1/(E9:T9&lt;&gt;""),E9:T9)-INDEX(E9:T9,MATCH(PreviousYear,$E$5:$T$5,0)),""))</f>
        <v/>
      </c>
      <c r="X9" s="62">
        <f>IF(OR(A9="",U9="",V9=""),"",V9-U9)</f>
        <v/>
      </c>
      <c r="Y9" s="61">
        <f>IF(A9="","",COUNT(E9:T9))</f>
        <v/>
      </c>
    </row>
    <row r="10">
      <c r="A10" s="44">
        <f>IF(AND('Employees'!B6&lt;&gt;"",'Skills'!B10&lt;&gt;""),'Employees'!B6,"")</f>
        <v/>
      </c>
      <c r="B10" s="45">
        <f>IF(A10="","",'Employees'!C6)</f>
        <v/>
      </c>
      <c r="C10" s="58">
        <f>IF(A10="","",'Skills'!B10)</f>
        <v/>
      </c>
      <c r="D10" s="45">
        <f>IF(A10="","",'Skills'!C10)</f>
        <v/>
      </c>
      <c r="E10" s="59" t="n">
        <v>3</v>
      </c>
      <c r="F10" s="59" t="n">
        <v>4</v>
      </c>
      <c r="G10" s="59" t="n">
        <v>4</v>
      </c>
      <c r="H10" s="60" t="n">
        <v>5</v>
      </c>
      <c r="I10" s="59" t="inlineStr"/>
      <c r="J10" s="59" t="inlineStr"/>
      <c r="K10" s="59" t="inlineStr"/>
      <c r="L10" s="59" t="inlineStr"/>
      <c r="M10" s="59" t="inlineStr"/>
      <c r="N10" s="59" t="inlineStr"/>
      <c r="O10" s="59" t="inlineStr"/>
      <c r="P10" s="59" t="inlineStr"/>
      <c r="Q10" s="59" t="inlineStr"/>
      <c r="R10" s="59" t="inlineStr"/>
      <c r="S10" s="59" t="inlineStr"/>
      <c r="T10" s="59" t="inlineStr"/>
      <c r="U10" s="61">
        <f>IF(A10="","",IFERROR(INDEX(E10:T10,MATCH(TRUE,INDEX(E10:T10&lt;&gt;"",0),0)),""))</f>
        <v/>
      </c>
      <c r="V10" s="61">
        <f>IF(A10="","",IFERROR(LOOKUP(2,1/(E10:T10&lt;&gt;""),E10:T10),""))</f>
        <v/>
      </c>
      <c r="W10" s="62">
        <f>IF(OR(A10="",PreviousYear=""),"",IFERROR(LOOKUP(2,1/(E10:T10&lt;&gt;""),E10:T10)-INDEX(E10:T10,MATCH(PreviousYear,$E$5:$T$5,0)),""))</f>
        <v/>
      </c>
      <c r="X10" s="62">
        <f>IF(OR(A10="",U10="",V10=""),"",V10-U10)</f>
        <v/>
      </c>
      <c r="Y10" s="61">
        <f>IF(A10="","",COUNT(E10:T10))</f>
        <v/>
      </c>
    </row>
    <row r="11">
      <c r="A11" s="44">
        <f>IF(AND('Employees'!B6&lt;&gt;"",'Skills'!B11&lt;&gt;""),'Employees'!B6,"")</f>
        <v/>
      </c>
      <c r="B11" s="45">
        <f>IF(A11="","",'Employees'!C6)</f>
        <v/>
      </c>
      <c r="C11" s="58">
        <f>IF(A11="","",'Skills'!B11)</f>
        <v/>
      </c>
      <c r="D11" s="45">
        <f>IF(A11="","",'Skills'!C11)</f>
        <v/>
      </c>
      <c r="E11" s="59" t="n">
        <v>3</v>
      </c>
      <c r="F11" s="59" t="n">
        <v>3</v>
      </c>
      <c r="G11" s="59" t="n">
        <v>3</v>
      </c>
      <c r="H11" s="60" t="n">
        <v>3</v>
      </c>
      <c r="I11" s="59" t="inlineStr"/>
      <c r="J11" s="59" t="inlineStr"/>
      <c r="K11" s="59" t="inlineStr"/>
      <c r="L11" s="59" t="inlineStr"/>
      <c r="M11" s="59" t="inlineStr"/>
      <c r="N11" s="59" t="inlineStr"/>
      <c r="O11" s="59" t="inlineStr"/>
      <c r="P11" s="59" t="inlineStr"/>
      <c r="Q11" s="59" t="inlineStr"/>
      <c r="R11" s="59" t="inlineStr"/>
      <c r="S11" s="59" t="inlineStr"/>
      <c r="T11" s="59" t="inlineStr"/>
      <c r="U11" s="61">
        <f>IF(A11="","",IFERROR(INDEX(E11:T11,MATCH(TRUE,INDEX(E11:T11&lt;&gt;"",0),0)),""))</f>
        <v/>
      </c>
      <c r="V11" s="61">
        <f>IF(A11="","",IFERROR(LOOKUP(2,1/(E11:T11&lt;&gt;""),E11:T11),""))</f>
        <v/>
      </c>
      <c r="W11" s="62">
        <f>IF(OR(A11="",PreviousYear=""),"",IFERROR(LOOKUP(2,1/(E11:T11&lt;&gt;""),E11:T11)-INDEX(E11:T11,MATCH(PreviousYear,$E$5:$T$5,0)),""))</f>
        <v/>
      </c>
      <c r="X11" s="62">
        <f>IF(OR(A11="",U11="",V11=""),"",V11-U11)</f>
        <v/>
      </c>
      <c r="Y11" s="61">
        <f>IF(A11="","",COUNT(E11:T11))</f>
        <v/>
      </c>
    </row>
    <row r="12">
      <c r="A12" s="44">
        <f>IF(AND('Employees'!B6&lt;&gt;"",'Skills'!B12&lt;&gt;""),'Employees'!B6,"")</f>
        <v/>
      </c>
      <c r="B12" s="45">
        <f>IF(A12="","",'Employees'!C6)</f>
        <v/>
      </c>
      <c r="C12" s="58">
        <f>IF(A12="","",'Skills'!B12)</f>
        <v/>
      </c>
      <c r="D12" s="45">
        <f>IF(A12="","",'Skills'!C12)</f>
        <v/>
      </c>
      <c r="E12" s="59" t="n">
        <v>1</v>
      </c>
      <c r="F12" s="59" t="n">
        <v>1</v>
      </c>
      <c r="G12" s="59" t="n">
        <v>2</v>
      </c>
      <c r="H12" s="60" t="n">
        <v>3</v>
      </c>
      <c r="I12" s="59" t="inlineStr"/>
      <c r="J12" s="59" t="inlineStr"/>
      <c r="K12" s="59" t="inlineStr"/>
      <c r="L12" s="59" t="inlineStr"/>
      <c r="M12" s="59" t="inlineStr"/>
      <c r="N12" s="59" t="inlineStr"/>
      <c r="O12" s="59" t="inlineStr"/>
      <c r="P12" s="59" t="inlineStr"/>
      <c r="Q12" s="59" t="inlineStr"/>
      <c r="R12" s="59" t="inlineStr"/>
      <c r="S12" s="59" t="inlineStr"/>
      <c r="T12" s="59" t="inlineStr"/>
      <c r="U12" s="61">
        <f>IF(A12="","",IFERROR(INDEX(E12:T12,MATCH(TRUE,INDEX(E12:T12&lt;&gt;"",0),0)),""))</f>
        <v/>
      </c>
      <c r="V12" s="61">
        <f>IF(A12="","",IFERROR(LOOKUP(2,1/(E12:T12&lt;&gt;""),E12:T12),""))</f>
        <v/>
      </c>
      <c r="W12" s="62">
        <f>IF(OR(A12="",PreviousYear=""),"",IFERROR(LOOKUP(2,1/(E12:T12&lt;&gt;""),E12:T12)-INDEX(E12:T12,MATCH(PreviousYear,$E$5:$T$5,0)),""))</f>
        <v/>
      </c>
      <c r="X12" s="62">
        <f>IF(OR(A12="",U12="",V12=""),"",V12-U12)</f>
        <v/>
      </c>
      <c r="Y12" s="61">
        <f>IF(A12="","",COUNT(E12:T12))</f>
        <v/>
      </c>
    </row>
    <row r="13">
      <c r="A13" s="44">
        <f>IF(AND('Employees'!B6&lt;&gt;"",'Skills'!B13&lt;&gt;""),'Employees'!B6,"")</f>
        <v/>
      </c>
      <c r="B13" s="45">
        <f>IF(A13="","",'Employees'!C6)</f>
        <v/>
      </c>
      <c r="C13" s="58">
        <f>IF(A13="","",'Skills'!B13)</f>
        <v/>
      </c>
      <c r="D13" s="45">
        <f>IF(A13="","",'Skills'!C13)</f>
        <v/>
      </c>
      <c r="E13" s="59" t="n">
        <v>3</v>
      </c>
      <c r="F13" s="59" t="n">
        <v>3</v>
      </c>
      <c r="G13" s="59" t="n">
        <v>3</v>
      </c>
      <c r="H13" s="60" t="n">
        <v>3</v>
      </c>
      <c r="I13" s="59" t="inlineStr"/>
      <c r="J13" s="59" t="inlineStr"/>
      <c r="K13" s="59" t="inlineStr"/>
      <c r="L13" s="59" t="inlineStr"/>
      <c r="M13" s="59" t="inlineStr"/>
      <c r="N13" s="59" t="inlineStr"/>
      <c r="O13" s="59" t="inlineStr"/>
      <c r="P13" s="59" t="inlineStr"/>
      <c r="Q13" s="59" t="inlineStr"/>
      <c r="R13" s="59" t="inlineStr"/>
      <c r="S13" s="59" t="inlineStr"/>
      <c r="T13" s="59" t="inlineStr"/>
      <c r="U13" s="61">
        <f>IF(A13="","",IFERROR(INDEX(E13:T13,MATCH(TRUE,INDEX(E13:T13&lt;&gt;"",0),0)),""))</f>
        <v/>
      </c>
      <c r="V13" s="61">
        <f>IF(A13="","",IFERROR(LOOKUP(2,1/(E13:T13&lt;&gt;""),E13:T13),""))</f>
        <v/>
      </c>
      <c r="W13" s="62">
        <f>IF(OR(A13="",PreviousYear=""),"",IFERROR(LOOKUP(2,1/(E13:T13&lt;&gt;""),E13:T13)-INDEX(E13:T13,MATCH(PreviousYear,$E$5:$T$5,0)),""))</f>
        <v/>
      </c>
      <c r="X13" s="62">
        <f>IF(OR(A13="",U13="",V13=""),"",V13-U13)</f>
        <v/>
      </c>
      <c r="Y13" s="61">
        <f>IF(A13="","",COUNT(E13:T13))</f>
        <v/>
      </c>
    </row>
    <row r="14">
      <c r="A14" s="44">
        <f>IF(AND('Employees'!B6&lt;&gt;"",'Skills'!B14&lt;&gt;""),'Employees'!B6,"")</f>
        <v/>
      </c>
      <c r="B14" s="45">
        <f>IF(A14="","",'Employees'!C6)</f>
        <v/>
      </c>
      <c r="C14" s="58">
        <f>IF(A14="","",'Skills'!B14)</f>
        <v/>
      </c>
      <c r="D14" s="45">
        <f>IF(A14="","",'Skills'!C14)</f>
        <v/>
      </c>
      <c r="E14" s="59" t="n">
        <v>2</v>
      </c>
      <c r="F14" s="59" t="n">
        <v>3</v>
      </c>
      <c r="G14" s="59" t="n">
        <v>3</v>
      </c>
      <c r="H14" s="60" t="n">
        <v>4</v>
      </c>
      <c r="I14" s="59" t="inlineStr"/>
      <c r="J14" s="59" t="inlineStr"/>
      <c r="K14" s="59" t="inlineStr"/>
      <c r="L14" s="59" t="inlineStr"/>
      <c r="M14" s="59" t="inlineStr"/>
      <c r="N14" s="59" t="inlineStr"/>
      <c r="O14" s="59" t="inlineStr"/>
      <c r="P14" s="59" t="inlineStr"/>
      <c r="Q14" s="59" t="inlineStr"/>
      <c r="R14" s="59" t="inlineStr"/>
      <c r="S14" s="59" t="inlineStr"/>
      <c r="T14" s="59" t="inlineStr"/>
      <c r="U14" s="61">
        <f>IF(A14="","",IFERROR(INDEX(E14:T14,MATCH(TRUE,INDEX(E14:T14&lt;&gt;"",0),0)),""))</f>
        <v/>
      </c>
      <c r="V14" s="61">
        <f>IF(A14="","",IFERROR(LOOKUP(2,1/(E14:T14&lt;&gt;""),E14:T14),""))</f>
        <v/>
      </c>
      <c r="W14" s="62">
        <f>IF(OR(A14="",PreviousYear=""),"",IFERROR(LOOKUP(2,1/(E14:T14&lt;&gt;""),E14:T14)-INDEX(E14:T14,MATCH(PreviousYear,$E$5:$T$5,0)),""))</f>
        <v/>
      </c>
      <c r="X14" s="62">
        <f>IF(OR(A14="",U14="",V14=""),"",V14-U14)</f>
        <v/>
      </c>
      <c r="Y14" s="61">
        <f>IF(A14="","",COUNT(E14:T14))</f>
        <v/>
      </c>
    </row>
    <row r="15">
      <c r="A15" s="44">
        <f>IF(AND('Employees'!B6&lt;&gt;"",'Skills'!B15&lt;&gt;""),'Employees'!B6,"")</f>
        <v/>
      </c>
      <c r="B15" s="45">
        <f>IF(A15="","",'Employees'!C6)</f>
        <v/>
      </c>
      <c r="C15" s="58">
        <f>IF(A15="","",'Skills'!B15)</f>
        <v/>
      </c>
      <c r="D15" s="45">
        <f>IF(A15="","",'Skills'!C15)</f>
        <v/>
      </c>
      <c r="E15" s="59" t="n">
        <v>1</v>
      </c>
      <c r="F15" s="59" t="n">
        <v>1</v>
      </c>
      <c r="G15" s="59" t="n">
        <v>2</v>
      </c>
      <c r="H15" s="60" t="n">
        <v>2</v>
      </c>
      <c r="I15" s="59" t="inlineStr"/>
      <c r="J15" s="59" t="inlineStr"/>
      <c r="K15" s="59" t="inlineStr"/>
      <c r="L15" s="59" t="inlineStr"/>
      <c r="M15" s="59" t="inlineStr"/>
      <c r="N15" s="59" t="inlineStr"/>
      <c r="O15" s="59" t="inlineStr"/>
      <c r="P15" s="59" t="inlineStr"/>
      <c r="Q15" s="59" t="inlineStr"/>
      <c r="R15" s="59" t="inlineStr"/>
      <c r="S15" s="59" t="inlineStr"/>
      <c r="T15" s="59" t="inlineStr"/>
      <c r="U15" s="61">
        <f>IF(A15="","",IFERROR(INDEX(E15:T15,MATCH(TRUE,INDEX(E15:T15&lt;&gt;"",0),0)),""))</f>
        <v/>
      </c>
      <c r="V15" s="61">
        <f>IF(A15="","",IFERROR(LOOKUP(2,1/(E15:T15&lt;&gt;""),E15:T15),""))</f>
        <v/>
      </c>
      <c r="W15" s="62">
        <f>IF(OR(A15="",PreviousYear=""),"",IFERROR(LOOKUP(2,1/(E15:T15&lt;&gt;""),E15:T15)-INDEX(E15:T15,MATCH(PreviousYear,$E$5:$T$5,0)),""))</f>
        <v/>
      </c>
      <c r="X15" s="62">
        <f>IF(OR(A15="",U15="",V15=""),"",V15-U15)</f>
        <v/>
      </c>
      <c r="Y15" s="61">
        <f>IF(A15="","",COUNT(E15:T15))</f>
        <v/>
      </c>
    </row>
    <row r="16">
      <c r="A16" s="44">
        <f>IF(AND('Employees'!B6&lt;&gt;"",'Skills'!B16&lt;&gt;""),'Employees'!B6,"")</f>
        <v/>
      </c>
      <c r="B16" s="45">
        <f>IF(A16="","",'Employees'!C6)</f>
        <v/>
      </c>
      <c r="C16" s="58">
        <f>IF(A16="","",'Skills'!B16)</f>
        <v/>
      </c>
      <c r="D16" s="45">
        <f>IF(A16="","",'Skills'!C16)</f>
        <v/>
      </c>
      <c r="E16" s="59" t="n">
        <v>2</v>
      </c>
      <c r="F16" s="59" t="n">
        <v>3</v>
      </c>
      <c r="G16" s="59" t="n">
        <v>3</v>
      </c>
      <c r="H16" s="60" t="n">
        <v>4</v>
      </c>
      <c r="I16" s="59" t="inlineStr"/>
      <c r="J16" s="59" t="inlineStr"/>
      <c r="K16" s="59" t="inlineStr"/>
      <c r="L16" s="59" t="inlineStr"/>
      <c r="M16" s="59" t="inlineStr"/>
      <c r="N16" s="59" t="inlineStr"/>
      <c r="O16" s="59" t="inlineStr"/>
      <c r="P16" s="59" t="inlineStr"/>
      <c r="Q16" s="59" t="inlineStr"/>
      <c r="R16" s="59" t="inlineStr"/>
      <c r="S16" s="59" t="inlineStr"/>
      <c r="T16" s="59" t="inlineStr"/>
      <c r="U16" s="61">
        <f>IF(A16="","",IFERROR(INDEX(E16:T16,MATCH(TRUE,INDEX(E16:T16&lt;&gt;"",0),0)),""))</f>
        <v/>
      </c>
      <c r="V16" s="61">
        <f>IF(A16="","",IFERROR(LOOKUP(2,1/(E16:T16&lt;&gt;""),E16:T16),""))</f>
        <v/>
      </c>
      <c r="W16" s="62">
        <f>IF(OR(A16="",PreviousYear=""),"",IFERROR(LOOKUP(2,1/(E16:T16&lt;&gt;""),E16:T16)-INDEX(E16:T16,MATCH(PreviousYear,$E$5:$T$5,0)),""))</f>
        <v/>
      </c>
      <c r="X16" s="62">
        <f>IF(OR(A16="",U16="",V16=""),"",V16-U16)</f>
        <v/>
      </c>
      <c r="Y16" s="61">
        <f>IF(A16="","",COUNT(E16:T16))</f>
        <v/>
      </c>
    </row>
    <row r="17">
      <c r="A17" s="44">
        <f>IF(AND('Employees'!B6&lt;&gt;"",'Skills'!B17&lt;&gt;""),'Employees'!B6,"")</f>
        <v/>
      </c>
      <c r="B17" s="45">
        <f>IF(A17="","",'Employees'!C6)</f>
        <v/>
      </c>
      <c r="C17" s="58">
        <f>IF(A17="","",'Skills'!B17)</f>
        <v/>
      </c>
      <c r="D17" s="45">
        <f>IF(A17="","",'Skills'!C17)</f>
        <v/>
      </c>
      <c r="E17" s="59" t="inlineStr"/>
      <c r="F17" s="59" t="inlineStr"/>
      <c r="G17" s="59" t="inlineStr"/>
      <c r="H17" s="60" t="inlineStr"/>
      <c r="I17" s="59" t="inlineStr"/>
      <c r="J17" s="59" t="inlineStr"/>
      <c r="K17" s="59" t="inlineStr"/>
      <c r="L17" s="59" t="inlineStr"/>
      <c r="M17" s="59" t="inlineStr"/>
      <c r="N17" s="59" t="inlineStr"/>
      <c r="O17" s="59" t="inlineStr"/>
      <c r="P17" s="59" t="inlineStr"/>
      <c r="Q17" s="59" t="inlineStr"/>
      <c r="R17" s="59" t="inlineStr"/>
      <c r="S17" s="59" t="inlineStr"/>
      <c r="T17" s="59" t="inlineStr"/>
      <c r="U17" s="61">
        <f>IF(A17="","",IFERROR(INDEX(E17:T17,MATCH(TRUE,INDEX(E17:T17&lt;&gt;"",0),0)),""))</f>
        <v/>
      </c>
      <c r="V17" s="61">
        <f>IF(A17="","",IFERROR(LOOKUP(2,1/(E17:T17&lt;&gt;""),E17:T17),""))</f>
        <v/>
      </c>
      <c r="W17" s="62">
        <f>IF(OR(A17="",PreviousYear=""),"",IFERROR(LOOKUP(2,1/(E17:T17&lt;&gt;""),E17:T17)-INDEX(E17:T17,MATCH(PreviousYear,$E$5:$T$5,0)),""))</f>
        <v/>
      </c>
      <c r="X17" s="62">
        <f>IF(OR(A17="",U17="",V17=""),"",V17-U17)</f>
        <v/>
      </c>
      <c r="Y17" s="61">
        <f>IF(A17="","",COUNT(E17:T17))</f>
        <v/>
      </c>
    </row>
    <row r="18">
      <c r="A18" s="44">
        <f>IF(AND('Employees'!B6&lt;&gt;"",'Skills'!B18&lt;&gt;""),'Employees'!B6,"")</f>
        <v/>
      </c>
      <c r="B18" s="45">
        <f>IF(A18="","",'Employees'!C6)</f>
        <v/>
      </c>
      <c r="C18" s="58">
        <f>IF(A18="","",'Skills'!B18)</f>
        <v/>
      </c>
      <c r="D18" s="45">
        <f>IF(A18="","",'Skills'!C18)</f>
        <v/>
      </c>
      <c r="E18" s="59" t="inlineStr"/>
      <c r="F18" s="59" t="inlineStr"/>
      <c r="G18" s="59" t="inlineStr"/>
      <c r="H18" s="60" t="inlineStr"/>
      <c r="I18" s="59" t="inlineStr"/>
      <c r="J18" s="59" t="inlineStr"/>
      <c r="K18" s="59" t="inlineStr"/>
      <c r="L18" s="59" t="inlineStr"/>
      <c r="M18" s="59" t="inlineStr"/>
      <c r="N18" s="59" t="inlineStr"/>
      <c r="O18" s="59" t="inlineStr"/>
      <c r="P18" s="59" t="inlineStr"/>
      <c r="Q18" s="59" t="inlineStr"/>
      <c r="R18" s="59" t="inlineStr"/>
      <c r="S18" s="59" t="inlineStr"/>
      <c r="T18" s="59" t="inlineStr"/>
      <c r="U18" s="61">
        <f>IF(A18="","",IFERROR(INDEX(E18:T18,MATCH(TRUE,INDEX(E18:T18&lt;&gt;"",0),0)),""))</f>
        <v/>
      </c>
      <c r="V18" s="61">
        <f>IF(A18="","",IFERROR(LOOKUP(2,1/(E18:T18&lt;&gt;""),E18:T18),""))</f>
        <v/>
      </c>
      <c r="W18" s="62">
        <f>IF(OR(A18="",PreviousYear=""),"",IFERROR(LOOKUP(2,1/(E18:T18&lt;&gt;""),E18:T18)-INDEX(E18:T18,MATCH(PreviousYear,$E$5:$T$5,0)),""))</f>
        <v/>
      </c>
      <c r="X18" s="62">
        <f>IF(OR(A18="",U18="",V18=""),"",V18-U18)</f>
        <v/>
      </c>
      <c r="Y18" s="61">
        <f>IF(A18="","",COUNT(E18:T18))</f>
        <v/>
      </c>
    </row>
    <row r="19">
      <c r="A19" s="44">
        <f>IF(AND('Employees'!B6&lt;&gt;"",'Skills'!B19&lt;&gt;""),'Employees'!B6,"")</f>
        <v/>
      </c>
      <c r="B19" s="45">
        <f>IF(A19="","",'Employees'!C6)</f>
        <v/>
      </c>
      <c r="C19" s="58">
        <f>IF(A19="","",'Skills'!B19)</f>
        <v/>
      </c>
      <c r="D19" s="45">
        <f>IF(A19="","",'Skills'!C19)</f>
        <v/>
      </c>
      <c r="E19" s="59" t="inlineStr"/>
      <c r="F19" s="59" t="inlineStr"/>
      <c r="G19" s="59" t="inlineStr"/>
      <c r="H19" s="60" t="inlineStr"/>
      <c r="I19" s="59" t="inlineStr"/>
      <c r="J19" s="59" t="inlineStr"/>
      <c r="K19" s="59" t="inlineStr"/>
      <c r="L19" s="59" t="inlineStr"/>
      <c r="M19" s="59" t="inlineStr"/>
      <c r="N19" s="59" t="inlineStr"/>
      <c r="O19" s="59" t="inlineStr"/>
      <c r="P19" s="59" t="inlineStr"/>
      <c r="Q19" s="59" t="inlineStr"/>
      <c r="R19" s="59" t="inlineStr"/>
      <c r="S19" s="59" t="inlineStr"/>
      <c r="T19" s="59" t="inlineStr"/>
      <c r="U19" s="61">
        <f>IF(A19="","",IFERROR(INDEX(E19:T19,MATCH(TRUE,INDEX(E19:T19&lt;&gt;"",0),0)),""))</f>
        <v/>
      </c>
      <c r="V19" s="61">
        <f>IF(A19="","",IFERROR(LOOKUP(2,1/(E19:T19&lt;&gt;""),E19:T19),""))</f>
        <v/>
      </c>
      <c r="W19" s="62">
        <f>IF(OR(A19="",PreviousYear=""),"",IFERROR(LOOKUP(2,1/(E19:T19&lt;&gt;""),E19:T19)-INDEX(E19:T19,MATCH(PreviousYear,$E$5:$T$5,0)),""))</f>
        <v/>
      </c>
      <c r="X19" s="62">
        <f>IF(OR(A19="",U19="",V19=""),"",V19-U19)</f>
        <v/>
      </c>
      <c r="Y19" s="61">
        <f>IF(A19="","",COUNT(E19:T19))</f>
        <v/>
      </c>
    </row>
    <row r="20">
      <c r="A20" s="44">
        <f>IF(AND('Employees'!B6&lt;&gt;"",'Skills'!B20&lt;&gt;""),'Employees'!B6,"")</f>
        <v/>
      </c>
      <c r="B20" s="45">
        <f>IF(A20="","",'Employees'!C6)</f>
        <v/>
      </c>
      <c r="C20" s="58">
        <f>IF(A20="","",'Skills'!B20)</f>
        <v/>
      </c>
      <c r="D20" s="45">
        <f>IF(A20="","",'Skills'!C20)</f>
        <v/>
      </c>
      <c r="E20" s="59" t="inlineStr"/>
      <c r="F20" s="59" t="inlineStr"/>
      <c r="G20" s="59" t="inlineStr"/>
      <c r="H20" s="60" t="inlineStr"/>
      <c r="I20" s="59" t="inlineStr"/>
      <c r="J20" s="59" t="inlineStr"/>
      <c r="K20" s="59" t="inlineStr"/>
      <c r="L20" s="59" t="inlineStr"/>
      <c r="M20" s="59" t="inlineStr"/>
      <c r="N20" s="59" t="inlineStr"/>
      <c r="O20" s="59" t="inlineStr"/>
      <c r="P20" s="59" t="inlineStr"/>
      <c r="Q20" s="59" t="inlineStr"/>
      <c r="R20" s="59" t="inlineStr"/>
      <c r="S20" s="59" t="inlineStr"/>
      <c r="T20" s="59" t="inlineStr"/>
      <c r="U20" s="61">
        <f>IF(A20="","",IFERROR(INDEX(E20:T20,MATCH(TRUE,INDEX(E20:T20&lt;&gt;"",0),0)),""))</f>
        <v/>
      </c>
      <c r="V20" s="61">
        <f>IF(A20="","",IFERROR(LOOKUP(2,1/(E20:T20&lt;&gt;""),E20:T20),""))</f>
        <v/>
      </c>
      <c r="W20" s="62">
        <f>IF(OR(A20="",PreviousYear=""),"",IFERROR(LOOKUP(2,1/(E20:T20&lt;&gt;""),E20:T20)-INDEX(E20:T20,MATCH(PreviousYear,$E$5:$T$5,0)),""))</f>
        <v/>
      </c>
      <c r="X20" s="62">
        <f>IF(OR(A20="",U20="",V20=""),"",V20-U20)</f>
        <v/>
      </c>
      <c r="Y20" s="61">
        <f>IF(A20="","",COUNT(E20:T20))</f>
        <v/>
      </c>
    </row>
    <row r="21">
      <c r="A21" s="44">
        <f>IF(AND('Employees'!B6&lt;&gt;"",'Skills'!B21&lt;&gt;""),'Employees'!B6,"")</f>
        <v/>
      </c>
      <c r="B21" s="45">
        <f>IF(A21="","",'Employees'!C6)</f>
        <v/>
      </c>
      <c r="C21" s="58">
        <f>IF(A21="","",'Skills'!B21)</f>
        <v/>
      </c>
      <c r="D21" s="45">
        <f>IF(A21="","",'Skills'!C21)</f>
        <v/>
      </c>
      <c r="E21" s="59" t="inlineStr"/>
      <c r="F21" s="59" t="inlineStr"/>
      <c r="G21" s="59" t="inlineStr"/>
      <c r="H21" s="60" t="inlineStr"/>
      <c r="I21" s="59" t="inlineStr"/>
      <c r="J21" s="59" t="inlineStr"/>
      <c r="K21" s="59" t="inlineStr"/>
      <c r="L21" s="59" t="inlineStr"/>
      <c r="M21" s="59" t="inlineStr"/>
      <c r="N21" s="59" t="inlineStr"/>
      <c r="O21" s="59" t="inlineStr"/>
      <c r="P21" s="59" t="inlineStr"/>
      <c r="Q21" s="59" t="inlineStr"/>
      <c r="R21" s="59" t="inlineStr"/>
      <c r="S21" s="59" t="inlineStr"/>
      <c r="T21" s="59" t="inlineStr"/>
      <c r="U21" s="61">
        <f>IF(A21="","",IFERROR(INDEX(E21:T21,MATCH(TRUE,INDEX(E21:T21&lt;&gt;"",0),0)),""))</f>
        <v/>
      </c>
      <c r="V21" s="61">
        <f>IF(A21="","",IFERROR(LOOKUP(2,1/(E21:T21&lt;&gt;""),E21:T21),""))</f>
        <v/>
      </c>
      <c r="W21" s="62">
        <f>IF(OR(A21="",PreviousYear=""),"",IFERROR(LOOKUP(2,1/(E21:T21&lt;&gt;""),E21:T21)-INDEX(E21:T21,MATCH(PreviousYear,$E$5:$T$5,0)),""))</f>
        <v/>
      </c>
      <c r="X21" s="62">
        <f>IF(OR(A21="",U21="",V21=""),"",V21-U21)</f>
        <v/>
      </c>
      <c r="Y21" s="61">
        <f>IF(A21="","",COUNT(E21:T21))</f>
        <v/>
      </c>
    </row>
    <row r="22">
      <c r="A22" s="44">
        <f>IF(AND('Employees'!B7&lt;&gt;"",'Skills'!B6&lt;&gt;""),'Employees'!B7,"")</f>
        <v/>
      </c>
      <c r="B22" s="45">
        <f>IF(A22="","",'Employees'!C7)</f>
        <v/>
      </c>
      <c r="C22" s="58">
        <f>IF(A22="","",'Skills'!B6)</f>
        <v/>
      </c>
      <c r="D22" s="45">
        <f>IF(A22="","",'Skills'!C6)</f>
        <v/>
      </c>
      <c r="E22" s="59" t="n">
        <v>5</v>
      </c>
      <c r="F22" s="59" t="n">
        <v>5</v>
      </c>
      <c r="G22" s="59" t="n">
        <v>5</v>
      </c>
      <c r="H22" s="60" t="n">
        <v>5</v>
      </c>
      <c r="I22" s="59" t="inlineStr"/>
      <c r="J22" s="59" t="inlineStr"/>
      <c r="K22" s="59" t="inlineStr"/>
      <c r="L22" s="59" t="inlineStr"/>
      <c r="M22" s="59" t="inlineStr"/>
      <c r="N22" s="59" t="inlineStr"/>
      <c r="O22" s="59" t="inlineStr"/>
      <c r="P22" s="59" t="inlineStr"/>
      <c r="Q22" s="59" t="inlineStr"/>
      <c r="R22" s="59" t="inlineStr"/>
      <c r="S22" s="59" t="inlineStr"/>
      <c r="T22" s="59" t="inlineStr"/>
      <c r="U22" s="61">
        <f>IF(A22="","",IFERROR(INDEX(E22:T22,MATCH(TRUE,INDEX(E22:T22&lt;&gt;"",0),0)),""))</f>
        <v/>
      </c>
      <c r="V22" s="61">
        <f>IF(A22="","",IFERROR(LOOKUP(2,1/(E22:T22&lt;&gt;""),E22:T22),""))</f>
        <v/>
      </c>
      <c r="W22" s="62">
        <f>IF(OR(A22="",PreviousYear=""),"",IFERROR(LOOKUP(2,1/(E22:T22&lt;&gt;""),E22:T22)-INDEX(E22:T22,MATCH(PreviousYear,$E$5:$T$5,0)),""))</f>
        <v/>
      </c>
      <c r="X22" s="62">
        <f>IF(OR(A22="",U22="",V22=""),"",V22-U22)</f>
        <v/>
      </c>
      <c r="Y22" s="61">
        <f>IF(A22="","",COUNT(E22:T22))</f>
        <v/>
      </c>
    </row>
    <row r="23">
      <c r="A23" s="44">
        <f>IF(AND('Employees'!B7&lt;&gt;"",'Skills'!B7&lt;&gt;""),'Employees'!B7,"")</f>
        <v/>
      </c>
      <c r="B23" s="45">
        <f>IF(A23="","",'Employees'!C7)</f>
        <v/>
      </c>
      <c r="C23" s="58">
        <f>IF(A23="","",'Skills'!B7)</f>
        <v/>
      </c>
      <c r="D23" s="45">
        <f>IF(A23="","",'Skills'!C7)</f>
        <v/>
      </c>
      <c r="E23" s="59" t="n">
        <v>3</v>
      </c>
      <c r="F23" s="59" t="n">
        <v>4</v>
      </c>
      <c r="G23" s="59" t="n">
        <v>4</v>
      </c>
      <c r="H23" s="60" t="n">
        <v>4</v>
      </c>
      <c r="I23" s="59" t="inlineStr"/>
      <c r="J23" s="59" t="inlineStr"/>
      <c r="K23" s="59" t="inlineStr"/>
      <c r="L23" s="59" t="inlineStr"/>
      <c r="M23" s="59" t="inlineStr"/>
      <c r="N23" s="59" t="inlineStr"/>
      <c r="O23" s="59" t="inlineStr"/>
      <c r="P23" s="59" t="inlineStr"/>
      <c r="Q23" s="59" t="inlineStr"/>
      <c r="R23" s="59" t="inlineStr"/>
      <c r="S23" s="59" t="inlineStr"/>
      <c r="T23" s="59" t="inlineStr"/>
      <c r="U23" s="61">
        <f>IF(A23="","",IFERROR(INDEX(E23:T23,MATCH(TRUE,INDEX(E23:T23&lt;&gt;"",0),0)),""))</f>
        <v/>
      </c>
      <c r="V23" s="61">
        <f>IF(A23="","",IFERROR(LOOKUP(2,1/(E23:T23&lt;&gt;""),E23:T23),""))</f>
        <v/>
      </c>
      <c r="W23" s="62">
        <f>IF(OR(A23="",PreviousYear=""),"",IFERROR(LOOKUP(2,1/(E23:T23&lt;&gt;""),E23:T23)-INDEX(E23:T23,MATCH(PreviousYear,$E$5:$T$5,0)),""))</f>
        <v/>
      </c>
      <c r="X23" s="62">
        <f>IF(OR(A23="",U23="",V23=""),"",V23-U23)</f>
        <v/>
      </c>
      <c r="Y23" s="61">
        <f>IF(A23="","",COUNT(E23:T23))</f>
        <v/>
      </c>
    </row>
    <row r="24">
      <c r="A24" s="44">
        <f>IF(AND('Employees'!B7&lt;&gt;"",'Skills'!B8&lt;&gt;""),'Employees'!B7,"")</f>
        <v/>
      </c>
      <c r="B24" s="45">
        <f>IF(A24="","",'Employees'!C7)</f>
        <v/>
      </c>
      <c r="C24" s="58">
        <f>IF(A24="","",'Skills'!B8)</f>
        <v/>
      </c>
      <c r="D24" s="45">
        <f>IF(A24="","",'Skills'!C8)</f>
        <v/>
      </c>
      <c r="E24" s="59" t="n">
        <v>3</v>
      </c>
      <c r="F24" s="59" t="n">
        <v>3</v>
      </c>
      <c r="G24" s="59" t="n">
        <v>4</v>
      </c>
      <c r="H24" s="60" t="n">
        <v>5</v>
      </c>
      <c r="I24" s="59" t="inlineStr"/>
      <c r="J24" s="59" t="inlineStr"/>
      <c r="K24" s="59" t="inlineStr"/>
      <c r="L24" s="59" t="inlineStr"/>
      <c r="M24" s="59" t="inlineStr"/>
      <c r="N24" s="59" t="inlineStr"/>
      <c r="O24" s="59" t="inlineStr"/>
      <c r="P24" s="59" t="inlineStr"/>
      <c r="Q24" s="59" t="inlineStr"/>
      <c r="R24" s="59" t="inlineStr"/>
      <c r="S24" s="59" t="inlineStr"/>
      <c r="T24" s="59" t="inlineStr"/>
      <c r="U24" s="61">
        <f>IF(A24="","",IFERROR(INDEX(E24:T24,MATCH(TRUE,INDEX(E24:T24&lt;&gt;"",0),0)),""))</f>
        <v/>
      </c>
      <c r="V24" s="61">
        <f>IF(A24="","",IFERROR(LOOKUP(2,1/(E24:T24&lt;&gt;""),E24:T24),""))</f>
        <v/>
      </c>
      <c r="W24" s="62">
        <f>IF(OR(A24="",PreviousYear=""),"",IFERROR(LOOKUP(2,1/(E24:T24&lt;&gt;""),E24:T24)-INDEX(E24:T24,MATCH(PreviousYear,$E$5:$T$5,0)),""))</f>
        <v/>
      </c>
      <c r="X24" s="62">
        <f>IF(OR(A24="",U24="",V24=""),"",V24-U24)</f>
        <v/>
      </c>
      <c r="Y24" s="61">
        <f>IF(A24="","",COUNT(E24:T24))</f>
        <v/>
      </c>
    </row>
    <row r="25">
      <c r="A25" s="44">
        <f>IF(AND('Employees'!B7&lt;&gt;"",'Skills'!B9&lt;&gt;""),'Employees'!B7,"")</f>
        <v/>
      </c>
      <c r="B25" s="45">
        <f>IF(A25="","",'Employees'!C7)</f>
        <v/>
      </c>
      <c r="C25" s="58">
        <f>IF(A25="","",'Skills'!B9)</f>
        <v/>
      </c>
      <c r="D25" s="45">
        <f>IF(A25="","",'Skills'!C9)</f>
        <v/>
      </c>
      <c r="E25" s="59" t="n">
        <v>1</v>
      </c>
      <c r="F25" s="59" t="n">
        <v>2</v>
      </c>
      <c r="G25" s="59" t="n">
        <v>2</v>
      </c>
      <c r="H25" s="60" t="n">
        <v>3</v>
      </c>
      <c r="I25" s="59" t="inlineStr"/>
      <c r="J25" s="59" t="inlineStr"/>
      <c r="K25" s="59" t="inlineStr"/>
      <c r="L25" s="59" t="inlineStr"/>
      <c r="M25" s="59" t="inlineStr"/>
      <c r="N25" s="59" t="inlineStr"/>
      <c r="O25" s="59" t="inlineStr"/>
      <c r="P25" s="59" t="inlineStr"/>
      <c r="Q25" s="59" t="inlineStr"/>
      <c r="R25" s="59" t="inlineStr"/>
      <c r="S25" s="59" t="inlineStr"/>
      <c r="T25" s="59" t="inlineStr"/>
      <c r="U25" s="61">
        <f>IF(A25="","",IFERROR(INDEX(E25:T25,MATCH(TRUE,INDEX(E25:T25&lt;&gt;"",0),0)),""))</f>
        <v/>
      </c>
      <c r="V25" s="61">
        <f>IF(A25="","",IFERROR(LOOKUP(2,1/(E25:T25&lt;&gt;""),E25:T25),""))</f>
        <v/>
      </c>
      <c r="W25" s="62">
        <f>IF(OR(A25="",PreviousYear=""),"",IFERROR(LOOKUP(2,1/(E25:T25&lt;&gt;""),E25:T25)-INDEX(E25:T25,MATCH(PreviousYear,$E$5:$T$5,0)),""))</f>
        <v/>
      </c>
      <c r="X25" s="62">
        <f>IF(OR(A25="",U25="",V25=""),"",V25-U25)</f>
        <v/>
      </c>
      <c r="Y25" s="61">
        <f>IF(A25="","",COUNT(E25:T25))</f>
        <v/>
      </c>
    </row>
    <row r="26">
      <c r="A26" s="44">
        <f>IF(AND('Employees'!B7&lt;&gt;"",'Skills'!B10&lt;&gt;""),'Employees'!B7,"")</f>
        <v/>
      </c>
      <c r="B26" s="45">
        <f>IF(A26="","",'Employees'!C7)</f>
        <v/>
      </c>
      <c r="C26" s="58">
        <f>IF(A26="","",'Skills'!B10)</f>
        <v/>
      </c>
      <c r="D26" s="45">
        <f>IF(A26="","",'Skills'!C10)</f>
        <v/>
      </c>
      <c r="E26" s="59" t="n">
        <v>2</v>
      </c>
      <c r="F26" s="59" t="n">
        <v>2</v>
      </c>
      <c r="G26" s="59" t="n">
        <v>2</v>
      </c>
      <c r="H26" s="60" t="n">
        <v>2</v>
      </c>
      <c r="I26" s="59" t="inlineStr"/>
      <c r="J26" s="59" t="inlineStr"/>
      <c r="K26" s="59" t="inlineStr"/>
      <c r="L26" s="59" t="inlineStr"/>
      <c r="M26" s="59" t="inlineStr"/>
      <c r="N26" s="59" t="inlineStr"/>
      <c r="O26" s="59" t="inlineStr"/>
      <c r="P26" s="59" t="inlineStr"/>
      <c r="Q26" s="59" t="inlineStr"/>
      <c r="R26" s="59" t="inlineStr"/>
      <c r="S26" s="59" t="inlineStr"/>
      <c r="T26" s="59" t="inlineStr"/>
      <c r="U26" s="61">
        <f>IF(A26="","",IFERROR(INDEX(E26:T26,MATCH(TRUE,INDEX(E26:T26&lt;&gt;"",0),0)),""))</f>
        <v/>
      </c>
      <c r="V26" s="61">
        <f>IF(A26="","",IFERROR(LOOKUP(2,1/(E26:T26&lt;&gt;""),E26:T26),""))</f>
        <v/>
      </c>
      <c r="W26" s="62">
        <f>IF(OR(A26="",PreviousYear=""),"",IFERROR(LOOKUP(2,1/(E26:T26&lt;&gt;""),E26:T26)-INDEX(E26:T26,MATCH(PreviousYear,$E$5:$T$5,0)),""))</f>
        <v/>
      </c>
      <c r="X26" s="62">
        <f>IF(OR(A26="",U26="",V26=""),"",V26-U26)</f>
        <v/>
      </c>
      <c r="Y26" s="61">
        <f>IF(A26="","",COUNT(E26:T26))</f>
        <v/>
      </c>
    </row>
    <row r="27">
      <c r="A27" s="44">
        <f>IF(AND('Employees'!B7&lt;&gt;"",'Skills'!B11&lt;&gt;""),'Employees'!B7,"")</f>
        <v/>
      </c>
      <c r="B27" s="45">
        <f>IF(A27="","",'Employees'!C7)</f>
        <v/>
      </c>
      <c r="C27" s="58">
        <f>IF(A27="","",'Skills'!B11)</f>
        <v/>
      </c>
      <c r="D27" s="45">
        <f>IF(A27="","",'Skills'!C11)</f>
        <v/>
      </c>
      <c r="E27" s="59" t="n">
        <v>3</v>
      </c>
      <c r="F27" s="59" t="n">
        <v>4</v>
      </c>
      <c r="G27" s="59" t="n">
        <v>5</v>
      </c>
      <c r="H27" s="60" t="n">
        <v>5</v>
      </c>
      <c r="I27" s="59" t="inlineStr"/>
      <c r="J27" s="59" t="inlineStr"/>
      <c r="K27" s="59" t="inlineStr"/>
      <c r="L27" s="59" t="inlineStr"/>
      <c r="M27" s="59" t="inlineStr"/>
      <c r="N27" s="59" t="inlineStr"/>
      <c r="O27" s="59" t="inlineStr"/>
      <c r="P27" s="59" t="inlineStr"/>
      <c r="Q27" s="59" t="inlineStr"/>
      <c r="R27" s="59" t="inlineStr"/>
      <c r="S27" s="59" t="inlineStr"/>
      <c r="T27" s="59" t="inlineStr"/>
      <c r="U27" s="61">
        <f>IF(A27="","",IFERROR(INDEX(E27:T27,MATCH(TRUE,INDEX(E27:T27&lt;&gt;"",0),0)),""))</f>
        <v/>
      </c>
      <c r="V27" s="61">
        <f>IF(A27="","",IFERROR(LOOKUP(2,1/(E27:T27&lt;&gt;""),E27:T27),""))</f>
        <v/>
      </c>
      <c r="W27" s="62">
        <f>IF(OR(A27="",PreviousYear=""),"",IFERROR(LOOKUP(2,1/(E27:T27&lt;&gt;""),E27:T27)-INDEX(E27:T27,MATCH(PreviousYear,$E$5:$T$5,0)),""))</f>
        <v/>
      </c>
      <c r="X27" s="62">
        <f>IF(OR(A27="",U27="",V27=""),"",V27-U27)</f>
        <v/>
      </c>
      <c r="Y27" s="61">
        <f>IF(A27="","",COUNT(E27:T27))</f>
        <v/>
      </c>
    </row>
    <row r="28">
      <c r="A28" s="44">
        <f>IF(AND('Employees'!B7&lt;&gt;"",'Skills'!B12&lt;&gt;""),'Employees'!B7,"")</f>
        <v/>
      </c>
      <c r="B28" s="45">
        <f>IF(A28="","",'Employees'!C7)</f>
        <v/>
      </c>
      <c r="C28" s="58">
        <f>IF(A28="","",'Skills'!B12)</f>
        <v/>
      </c>
      <c r="D28" s="45">
        <f>IF(A28="","",'Skills'!C12)</f>
        <v/>
      </c>
      <c r="E28" s="59" t="n">
        <v>2</v>
      </c>
      <c r="F28" s="59" t="n">
        <v>2</v>
      </c>
      <c r="G28" s="59" t="n">
        <v>2</v>
      </c>
      <c r="H28" s="60" t="n">
        <v>3</v>
      </c>
      <c r="I28" s="59" t="inlineStr"/>
      <c r="J28" s="59" t="inlineStr"/>
      <c r="K28" s="59" t="inlineStr"/>
      <c r="L28" s="59" t="inlineStr"/>
      <c r="M28" s="59" t="inlineStr"/>
      <c r="N28" s="59" t="inlineStr"/>
      <c r="O28" s="59" t="inlineStr"/>
      <c r="P28" s="59" t="inlineStr"/>
      <c r="Q28" s="59" t="inlineStr"/>
      <c r="R28" s="59" t="inlineStr"/>
      <c r="S28" s="59" t="inlineStr"/>
      <c r="T28" s="59" t="inlineStr"/>
      <c r="U28" s="61">
        <f>IF(A28="","",IFERROR(INDEX(E28:T28,MATCH(TRUE,INDEX(E28:T28&lt;&gt;"",0),0)),""))</f>
        <v/>
      </c>
      <c r="V28" s="61">
        <f>IF(A28="","",IFERROR(LOOKUP(2,1/(E28:T28&lt;&gt;""),E28:T28),""))</f>
        <v/>
      </c>
      <c r="W28" s="62">
        <f>IF(OR(A28="",PreviousYear=""),"",IFERROR(LOOKUP(2,1/(E28:T28&lt;&gt;""),E28:T28)-INDEX(E28:T28,MATCH(PreviousYear,$E$5:$T$5,0)),""))</f>
        <v/>
      </c>
      <c r="X28" s="62">
        <f>IF(OR(A28="",U28="",V28=""),"",V28-U28)</f>
        <v/>
      </c>
      <c r="Y28" s="61">
        <f>IF(A28="","",COUNT(E28:T28))</f>
        <v/>
      </c>
    </row>
    <row r="29">
      <c r="A29" s="44">
        <f>IF(AND('Employees'!B7&lt;&gt;"",'Skills'!B13&lt;&gt;""),'Employees'!B7,"")</f>
        <v/>
      </c>
      <c r="B29" s="45">
        <f>IF(A29="","",'Employees'!C7)</f>
        <v/>
      </c>
      <c r="C29" s="58">
        <f>IF(A29="","",'Skills'!B13)</f>
        <v/>
      </c>
      <c r="D29" s="45">
        <f>IF(A29="","",'Skills'!C13)</f>
        <v/>
      </c>
      <c r="E29" s="59" t="n">
        <v>1</v>
      </c>
      <c r="F29" s="59" t="n">
        <v>2</v>
      </c>
      <c r="G29" s="59" t="n">
        <v>2</v>
      </c>
      <c r="H29" s="60" t="n">
        <v>3</v>
      </c>
      <c r="I29" s="59" t="inlineStr"/>
      <c r="J29" s="59" t="inlineStr"/>
      <c r="K29" s="59" t="inlineStr"/>
      <c r="L29" s="59" t="inlineStr"/>
      <c r="M29" s="59" t="inlineStr"/>
      <c r="N29" s="59" t="inlineStr"/>
      <c r="O29" s="59" t="inlineStr"/>
      <c r="P29" s="59" t="inlineStr"/>
      <c r="Q29" s="59" t="inlineStr"/>
      <c r="R29" s="59" t="inlineStr"/>
      <c r="S29" s="59" t="inlineStr"/>
      <c r="T29" s="59" t="inlineStr"/>
      <c r="U29" s="61">
        <f>IF(A29="","",IFERROR(INDEX(E29:T29,MATCH(TRUE,INDEX(E29:T29&lt;&gt;"",0),0)),""))</f>
        <v/>
      </c>
      <c r="V29" s="61">
        <f>IF(A29="","",IFERROR(LOOKUP(2,1/(E29:T29&lt;&gt;""),E29:T29),""))</f>
        <v/>
      </c>
      <c r="W29" s="62">
        <f>IF(OR(A29="",PreviousYear=""),"",IFERROR(LOOKUP(2,1/(E29:T29&lt;&gt;""),E29:T29)-INDEX(E29:T29,MATCH(PreviousYear,$E$5:$T$5,0)),""))</f>
        <v/>
      </c>
      <c r="X29" s="62">
        <f>IF(OR(A29="",U29="",V29=""),"",V29-U29)</f>
        <v/>
      </c>
      <c r="Y29" s="61">
        <f>IF(A29="","",COUNT(E29:T29))</f>
        <v/>
      </c>
    </row>
    <row r="30">
      <c r="A30" s="44">
        <f>IF(AND('Employees'!B7&lt;&gt;"",'Skills'!B14&lt;&gt;""),'Employees'!B7,"")</f>
        <v/>
      </c>
      <c r="B30" s="45">
        <f>IF(A30="","",'Employees'!C7)</f>
        <v/>
      </c>
      <c r="C30" s="58">
        <f>IF(A30="","",'Skills'!B14)</f>
        <v/>
      </c>
      <c r="D30" s="45">
        <f>IF(A30="","",'Skills'!C14)</f>
        <v/>
      </c>
      <c r="E30" s="59" t="n">
        <v>2</v>
      </c>
      <c r="F30" s="59" t="n">
        <v>2</v>
      </c>
      <c r="G30" s="59" t="n">
        <v>3</v>
      </c>
      <c r="H30" s="60" t="n">
        <v>3</v>
      </c>
      <c r="I30" s="59" t="inlineStr"/>
      <c r="J30" s="59" t="inlineStr"/>
      <c r="K30" s="59" t="inlineStr"/>
      <c r="L30" s="59" t="inlineStr"/>
      <c r="M30" s="59" t="inlineStr"/>
      <c r="N30" s="59" t="inlineStr"/>
      <c r="O30" s="59" t="inlineStr"/>
      <c r="P30" s="59" t="inlineStr"/>
      <c r="Q30" s="59" t="inlineStr"/>
      <c r="R30" s="59" t="inlineStr"/>
      <c r="S30" s="59" t="inlineStr"/>
      <c r="T30" s="59" t="inlineStr"/>
      <c r="U30" s="61">
        <f>IF(A30="","",IFERROR(INDEX(E30:T30,MATCH(TRUE,INDEX(E30:T30&lt;&gt;"",0),0)),""))</f>
        <v/>
      </c>
      <c r="V30" s="61">
        <f>IF(A30="","",IFERROR(LOOKUP(2,1/(E30:T30&lt;&gt;""),E30:T30),""))</f>
        <v/>
      </c>
      <c r="W30" s="62">
        <f>IF(OR(A30="",PreviousYear=""),"",IFERROR(LOOKUP(2,1/(E30:T30&lt;&gt;""),E30:T30)-INDEX(E30:T30,MATCH(PreviousYear,$E$5:$T$5,0)),""))</f>
        <v/>
      </c>
      <c r="X30" s="62">
        <f>IF(OR(A30="",U30="",V30=""),"",V30-U30)</f>
        <v/>
      </c>
      <c r="Y30" s="61">
        <f>IF(A30="","",COUNT(E30:T30))</f>
        <v/>
      </c>
    </row>
    <row r="31">
      <c r="A31" s="44">
        <f>IF(AND('Employees'!B7&lt;&gt;"",'Skills'!B15&lt;&gt;""),'Employees'!B7,"")</f>
        <v/>
      </c>
      <c r="B31" s="45">
        <f>IF(A31="","",'Employees'!C7)</f>
        <v/>
      </c>
      <c r="C31" s="58">
        <f>IF(A31="","",'Skills'!B15)</f>
        <v/>
      </c>
      <c r="D31" s="45">
        <f>IF(A31="","",'Skills'!C15)</f>
        <v/>
      </c>
      <c r="E31" s="59" t="n">
        <v>1</v>
      </c>
      <c r="F31" s="59" t="n">
        <v>2</v>
      </c>
      <c r="G31" s="59" t="n">
        <v>2</v>
      </c>
      <c r="H31" s="60" t="n">
        <v>2</v>
      </c>
      <c r="I31" s="59" t="inlineStr"/>
      <c r="J31" s="59" t="inlineStr"/>
      <c r="K31" s="59" t="inlineStr"/>
      <c r="L31" s="59" t="inlineStr"/>
      <c r="M31" s="59" t="inlineStr"/>
      <c r="N31" s="59" t="inlineStr"/>
      <c r="O31" s="59" t="inlineStr"/>
      <c r="P31" s="59" t="inlineStr"/>
      <c r="Q31" s="59" t="inlineStr"/>
      <c r="R31" s="59" t="inlineStr"/>
      <c r="S31" s="59" t="inlineStr"/>
      <c r="T31" s="59" t="inlineStr"/>
      <c r="U31" s="61">
        <f>IF(A31="","",IFERROR(INDEX(E31:T31,MATCH(TRUE,INDEX(E31:T31&lt;&gt;"",0),0)),""))</f>
        <v/>
      </c>
      <c r="V31" s="61">
        <f>IF(A31="","",IFERROR(LOOKUP(2,1/(E31:T31&lt;&gt;""),E31:T31),""))</f>
        <v/>
      </c>
      <c r="W31" s="62">
        <f>IF(OR(A31="",PreviousYear=""),"",IFERROR(LOOKUP(2,1/(E31:T31&lt;&gt;""),E31:T31)-INDEX(E31:T31,MATCH(PreviousYear,$E$5:$T$5,0)),""))</f>
        <v/>
      </c>
      <c r="X31" s="62">
        <f>IF(OR(A31="",U31="",V31=""),"",V31-U31)</f>
        <v/>
      </c>
      <c r="Y31" s="61">
        <f>IF(A31="","",COUNT(E31:T31))</f>
        <v/>
      </c>
    </row>
    <row r="32">
      <c r="A32" s="44">
        <f>IF(AND('Employees'!B7&lt;&gt;"",'Skills'!B16&lt;&gt;""),'Employees'!B7,"")</f>
        <v/>
      </c>
      <c r="B32" s="45">
        <f>IF(A32="","",'Employees'!C7)</f>
        <v/>
      </c>
      <c r="C32" s="58">
        <f>IF(A32="","",'Skills'!B16)</f>
        <v/>
      </c>
      <c r="D32" s="45">
        <f>IF(A32="","",'Skills'!C16)</f>
        <v/>
      </c>
      <c r="E32" s="59" t="n">
        <v>4</v>
      </c>
      <c r="F32" s="59" t="n">
        <v>4</v>
      </c>
      <c r="G32" s="59" t="n">
        <v>4</v>
      </c>
      <c r="H32" s="60" t="n">
        <v>4</v>
      </c>
      <c r="I32" s="59" t="inlineStr"/>
      <c r="J32" s="59" t="inlineStr"/>
      <c r="K32" s="59" t="inlineStr"/>
      <c r="L32" s="59" t="inlineStr"/>
      <c r="M32" s="59" t="inlineStr"/>
      <c r="N32" s="59" t="inlineStr"/>
      <c r="O32" s="59" t="inlineStr"/>
      <c r="P32" s="59" t="inlineStr"/>
      <c r="Q32" s="59" t="inlineStr"/>
      <c r="R32" s="59" t="inlineStr"/>
      <c r="S32" s="59" t="inlineStr"/>
      <c r="T32" s="59" t="inlineStr"/>
      <c r="U32" s="61">
        <f>IF(A32="","",IFERROR(INDEX(E32:T32,MATCH(TRUE,INDEX(E32:T32&lt;&gt;"",0),0)),""))</f>
        <v/>
      </c>
      <c r="V32" s="61">
        <f>IF(A32="","",IFERROR(LOOKUP(2,1/(E32:T32&lt;&gt;""),E32:T32),""))</f>
        <v/>
      </c>
      <c r="W32" s="62">
        <f>IF(OR(A32="",PreviousYear=""),"",IFERROR(LOOKUP(2,1/(E32:T32&lt;&gt;""),E32:T32)-INDEX(E32:T32,MATCH(PreviousYear,$E$5:$T$5,0)),""))</f>
        <v/>
      </c>
      <c r="X32" s="62">
        <f>IF(OR(A32="",U32="",V32=""),"",V32-U32)</f>
        <v/>
      </c>
      <c r="Y32" s="61">
        <f>IF(A32="","",COUNT(E32:T32))</f>
        <v/>
      </c>
    </row>
    <row r="33">
      <c r="A33" s="44">
        <f>IF(AND('Employees'!B7&lt;&gt;"",'Skills'!B17&lt;&gt;""),'Employees'!B7,"")</f>
        <v/>
      </c>
      <c r="B33" s="45">
        <f>IF(A33="","",'Employees'!C7)</f>
        <v/>
      </c>
      <c r="C33" s="58">
        <f>IF(A33="","",'Skills'!B17)</f>
        <v/>
      </c>
      <c r="D33" s="45">
        <f>IF(A33="","",'Skills'!C17)</f>
        <v/>
      </c>
      <c r="E33" s="59" t="inlineStr"/>
      <c r="F33" s="59" t="inlineStr"/>
      <c r="G33" s="59" t="inlineStr"/>
      <c r="H33" s="60" t="inlineStr"/>
      <c r="I33" s="59" t="inlineStr"/>
      <c r="J33" s="59" t="inlineStr"/>
      <c r="K33" s="59" t="inlineStr"/>
      <c r="L33" s="59" t="inlineStr"/>
      <c r="M33" s="59" t="inlineStr"/>
      <c r="N33" s="59" t="inlineStr"/>
      <c r="O33" s="59" t="inlineStr"/>
      <c r="P33" s="59" t="inlineStr"/>
      <c r="Q33" s="59" t="inlineStr"/>
      <c r="R33" s="59" t="inlineStr"/>
      <c r="S33" s="59" t="inlineStr"/>
      <c r="T33" s="59" t="inlineStr"/>
      <c r="U33" s="61">
        <f>IF(A33="","",IFERROR(INDEX(E33:T33,MATCH(TRUE,INDEX(E33:T33&lt;&gt;"",0),0)),""))</f>
        <v/>
      </c>
      <c r="V33" s="61">
        <f>IF(A33="","",IFERROR(LOOKUP(2,1/(E33:T33&lt;&gt;""),E33:T33),""))</f>
        <v/>
      </c>
      <c r="W33" s="62">
        <f>IF(OR(A33="",PreviousYear=""),"",IFERROR(LOOKUP(2,1/(E33:T33&lt;&gt;""),E33:T33)-INDEX(E33:T33,MATCH(PreviousYear,$E$5:$T$5,0)),""))</f>
        <v/>
      </c>
      <c r="X33" s="62">
        <f>IF(OR(A33="",U33="",V33=""),"",V33-U33)</f>
        <v/>
      </c>
      <c r="Y33" s="61">
        <f>IF(A33="","",COUNT(E33:T33))</f>
        <v/>
      </c>
    </row>
    <row r="34">
      <c r="A34" s="44">
        <f>IF(AND('Employees'!B7&lt;&gt;"",'Skills'!B18&lt;&gt;""),'Employees'!B7,"")</f>
        <v/>
      </c>
      <c r="B34" s="45">
        <f>IF(A34="","",'Employees'!C7)</f>
        <v/>
      </c>
      <c r="C34" s="58">
        <f>IF(A34="","",'Skills'!B18)</f>
        <v/>
      </c>
      <c r="D34" s="45">
        <f>IF(A34="","",'Skills'!C18)</f>
        <v/>
      </c>
      <c r="E34" s="59" t="inlineStr"/>
      <c r="F34" s="59" t="inlineStr"/>
      <c r="G34" s="59" t="inlineStr"/>
      <c r="H34" s="60" t="inlineStr"/>
      <c r="I34" s="59" t="inlineStr"/>
      <c r="J34" s="59" t="inlineStr"/>
      <c r="K34" s="59" t="inlineStr"/>
      <c r="L34" s="59" t="inlineStr"/>
      <c r="M34" s="59" t="inlineStr"/>
      <c r="N34" s="59" t="inlineStr"/>
      <c r="O34" s="59" t="inlineStr"/>
      <c r="P34" s="59" t="inlineStr"/>
      <c r="Q34" s="59" t="inlineStr"/>
      <c r="R34" s="59" t="inlineStr"/>
      <c r="S34" s="59" t="inlineStr"/>
      <c r="T34" s="59" t="inlineStr"/>
      <c r="U34" s="61">
        <f>IF(A34="","",IFERROR(INDEX(E34:T34,MATCH(TRUE,INDEX(E34:T34&lt;&gt;"",0),0)),""))</f>
        <v/>
      </c>
      <c r="V34" s="61">
        <f>IF(A34="","",IFERROR(LOOKUP(2,1/(E34:T34&lt;&gt;""),E34:T34),""))</f>
        <v/>
      </c>
      <c r="W34" s="62">
        <f>IF(OR(A34="",PreviousYear=""),"",IFERROR(LOOKUP(2,1/(E34:T34&lt;&gt;""),E34:T34)-INDEX(E34:T34,MATCH(PreviousYear,$E$5:$T$5,0)),""))</f>
        <v/>
      </c>
      <c r="X34" s="62">
        <f>IF(OR(A34="",U34="",V34=""),"",V34-U34)</f>
        <v/>
      </c>
      <c r="Y34" s="61">
        <f>IF(A34="","",COUNT(E34:T34))</f>
        <v/>
      </c>
    </row>
    <row r="35">
      <c r="A35" s="44">
        <f>IF(AND('Employees'!B7&lt;&gt;"",'Skills'!B19&lt;&gt;""),'Employees'!B7,"")</f>
        <v/>
      </c>
      <c r="B35" s="45">
        <f>IF(A35="","",'Employees'!C7)</f>
        <v/>
      </c>
      <c r="C35" s="58">
        <f>IF(A35="","",'Skills'!B19)</f>
        <v/>
      </c>
      <c r="D35" s="45">
        <f>IF(A35="","",'Skills'!C19)</f>
        <v/>
      </c>
      <c r="E35" s="59" t="inlineStr"/>
      <c r="F35" s="59" t="inlineStr"/>
      <c r="G35" s="59" t="inlineStr"/>
      <c r="H35" s="60" t="inlineStr"/>
      <c r="I35" s="59" t="inlineStr"/>
      <c r="J35" s="59" t="inlineStr"/>
      <c r="K35" s="59" t="inlineStr"/>
      <c r="L35" s="59" t="inlineStr"/>
      <c r="M35" s="59" t="inlineStr"/>
      <c r="N35" s="59" t="inlineStr"/>
      <c r="O35" s="59" t="inlineStr"/>
      <c r="P35" s="59" t="inlineStr"/>
      <c r="Q35" s="59" t="inlineStr"/>
      <c r="R35" s="59" t="inlineStr"/>
      <c r="S35" s="59" t="inlineStr"/>
      <c r="T35" s="59" t="inlineStr"/>
      <c r="U35" s="61">
        <f>IF(A35="","",IFERROR(INDEX(E35:T35,MATCH(TRUE,INDEX(E35:T35&lt;&gt;"",0),0)),""))</f>
        <v/>
      </c>
      <c r="V35" s="61">
        <f>IF(A35="","",IFERROR(LOOKUP(2,1/(E35:T35&lt;&gt;""),E35:T35),""))</f>
        <v/>
      </c>
      <c r="W35" s="62">
        <f>IF(OR(A35="",PreviousYear=""),"",IFERROR(LOOKUP(2,1/(E35:T35&lt;&gt;""),E35:T35)-INDEX(E35:T35,MATCH(PreviousYear,$E$5:$T$5,0)),""))</f>
        <v/>
      </c>
      <c r="X35" s="62">
        <f>IF(OR(A35="",U35="",V35=""),"",V35-U35)</f>
        <v/>
      </c>
      <c r="Y35" s="61">
        <f>IF(A35="","",COUNT(E35:T35))</f>
        <v/>
      </c>
    </row>
    <row r="36">
      <c r="A36" s="44">
        <f>IF(AND('Employees'!B7&lt;&gt;"",'Skills'!B20&lt;&gt;""),'Employees'!B7,"")</f>
        <v/>
      </c>
      <c r="B36" s="45">
        <f>IF(A36="","",'Employees'!C7)</f>
        <v/>
      </c>
      <c r="C36" s="58">
        <f>IF(A36="","",'Skills'!B20)</f>
        <v/>
      </c>
      <c r="D36" s="45">
        <f>IF(A36="","",'Skills'!C20)</f>
        <v/>
      </c>
      <c r="E36" s="59" t="inlineStr"/>
      <c r="F36" s="59" t="inlineStr"/>
      <c r="G36" s="59" t="inlineStr"/>
      <c r="H36" s="60" t="inlineStr"/>
      <c r="I36" s="59" t="inlineStr"/>
      <c r="J36" s="59" t="inlineStr"/>
      <c r="K36" s="59" t="inlineStr"/>
      <c r="L36" s="59" t="inlineStr"/>
      <c r="M36" s="59" t="inlineStr"/>
      <c r="N36" s="59" t="inlineStr"/>
      <c r="O36" s="59" t="inlineStr"/>
      <c r="P36" s="59" t="inlineStr"/>
      <c r="Q36" s="59" t="inlineStr"/>
      <c r="R36" s="59" t="inlineStr"/>
      <c r="S36" s="59" t="inlineStr"/>
      <c r="T36" s="59" t="inlineStr"/>
      <c r="U36" s="61">
        <f>IF(A36="","",IFERROR(INDEX(E36:T36,MATCH(TRUE,INDEX(E36:T36&lt;&gt;"",0),0)),""))</f>
        <v/>
      </c>
      <c r="V36" s="61">
        <f>IF(A36="","",IFERROR(LOOKUP(2,1/(E36:T36&lt;&gt;""),E36:T36),""))</f>
        <v/>
      </c>
      <c r="W36" s="62">
        <f>IF(OR(A36="",PreviousYear=""),"",IFERROR(LOOKUP(2,1/(E36:T36&lt;&gt;""),E36:T36)-INDEX(E36:T36,MATCH(PreviousYear,$E$5:$T$5,0)),""))</f>
        <v/>
      </c>
      <c r="X36" s="62">
        <f>IF(OR(A36="",U36="",V36=""),"",V36-U36)</f>
        <v/>
      </c>
      <c r="Y36" s="61">
        <f>IF(A36="","",COUNT(E36:T36))</f>
        <v/>
      </c>
    </row>
    <row r="37">
      <c r="A37" s="44">
        <f>IF(AND('Employees'!B7&lt;&gt;"",'Skills'!B21&lt;&gt;""),'Employees'!B7,"")</f>
        <v/>
      </c>
      <c r="B37" s="45">
        <f>IF(A37="","",'Employees'!C7)</f>
        <v/>
      </c>
      <c r="C37" s="58">
        <f>IF(A37="","",'Skills'!B21)</f>
        <v/>
      </c>
      <c r="D37" s="45">
        <f>IF(A37="","",'Skills'!C21)</f>
        <v/>
      </c>
      <c r="E37" s="59" t="inlineStr"/>
      <c r="F37" s="59" t="inlineStr"/>
      <c r="G37" s="59" t="inlineStr"/>
      <c r="H37" s="60" t="inlineStr"/>
      <c r="I37" s="59" t="inlineStr"/>
      <c r="J37" s="59" t="inlineStr"/>
      <c r="K37" s="59" t="inlineStr"/>
      <c r="L37" s="59" t="inlineStr"/>
      <c r="M37" s="59" t="inlineStr"/>
      <c r="N37" s="59" t="inlineStr"/>
      <c r="O37" s="59" t="inlineStr"/>
      <c r="P37" s="59" t="inlineStr"/>
      <c r="Q37" s="59" t="inlineStr"/>
      <c r="R37" s="59" t="inlineStr"/>
      <c r="S37" s="59" t="inlineStr"/>
      <c r="T37" s="59" t="inlineStr"/>
      <c r="U37" s="61">
        <f>IF(A37="","",IFERROR(INDEX(E37:T37,MATCH(TRUE,INDEX(E37:T37&lt;&gt;"",0),0)),""))</f>
        <v/>
      </c>
      <c r="V37" s="61">
        <f>IF(A37="","",IFERROR(LOOKUP(2,1/(E37:T37&lt;&gt;""),E37:T37),""))</f>
        <v/>
      </c>
      <c r="W37" s="62">
        <f>IF(OR(A37="",PreviousYear=""),"",IFERROR(LOOKUP(2,1/(E37:T37&lt;&gt;""),E37:T37)-INDEX(E37:T37,MATCH(PreviousYear,$E$5:$T$5,0)),""))</f>
        <v/>
      </c>
      <c r="X37" s="62">
        <f>IF(OR(A37="",U37="",V37=""),"",V37-U37)</f>
        <v/>
      </c>
      <c r="Y37" s="61">
        <f>IF(A37="","",COUNT(E37:T37))</f>
        <v/>
      </c>
    </row>
    <row r="38">
      <c r="A38" s="44">
        <f>IF(AND('Employees'!B8&lt;&gt;"",'Skills'!B6&lt;&gt;""),'Employees'!B8,"")</f>
        <v/>
      </c>
      <c r="B38" s="45">
        <f>IF(A38="","",'Employees'!C8)</f>
        <v/>
      </c>
      <c r="C38" s="58">
        <f>IF(A38="","",'Skills'!B6)</f>
        <v/>
      </c>
      <c r="D38" s="45">
        <f>IF(A38="","",'Skills'!C6)</f>
        <v/>
      </c>
      <c r="E38" s="59" t="n">
        <v>1</v>
      </c>
      <c r="F38" s="59" t="n">
        <v>2</v>
      </c>
      <c r="G38" s="59" t="n">
        <v>2</v>
      </c>
      <c r="H38" s="60" t="n">
        <v>3</v>
      </c>
      <c r="I38" s="59" t="inlineStr"/>
      <c r="J38" s="59" t="inlineStr"/>
      <c r="K38" s="59" t="inlineStr"/>
      <c r="L38" s="59" t="inlineStr"/>
      <c r="M38" s="59" t="inlineStr"/>
      <c r="N38" s="59" t="inlineStr"/>
      <c r="O38" s="59" t="inlineStr"/>
      <c r="P38" s="59" t="inlineStr"/>
      <c r="Q38" s="59" t="inlineStr"/>
      <c r="R38" s="59" t="inlineStr"/>
      <c r="S38" s="59" t="inlineStr"/>
      <c r="T38" s="59" t="inlineStr"/>
      <c r="U38" s="61">
        <f>IF(A38="","",IFERROR(INDEX(E38:T38,MATCH(TRUE,INDEX(E38:T38&lt;&gt;"",0),0)),""))</f>
        <v/>
      </c>
      <c r="V38" s="61">
        <f>IF(A38="","",IFERROR(LOOKUP(2,1/(E38:T38&lt;&gt;""),E38:T38),""))</f>
        <v/>
      </c>
      <c r="W38" s="62">
        <f>IF(OR(A38="",PreviousYear=""),"",IFERROR(LOOKUP(2,1/(E38:T38&lt;&gt;""),E38:T38)-INDEX(E38:T38,MATCH(PreviousYear,$E$5:$T$5,0)),""))</f>
        <v/>
      </c>
      <c r="X38" s="62">
        <f>IF(OR(A38="",U38="",V38=""),"",V38-U38)</f>
        <v/>
      </c>
      <c r="Y38" s="61">
        <f>IF(A38="","",COUNT(E38:T38))</f>
        <v/>
      </c>
    </row>
    <row r="39">
      <c r="A39" s="44">
        <f>IF(AND('Employees'!B8&lt;&gt;"",'Skills'!B7&lt;&gt;""),'Employees'!B8,"")</f>
        <v/>
      </c>
      <c r="B39" s="45">
        <f>IF(A39="","",'Employees'!C8)</f>
        <v/>
      </c>
      <c r="C39" s="58">
        <f>IF(A39="","",'Skills'!B7)</f>
        <v/>
      </c>
      <c r="D39" s="45">
        <f>IF(A39="","",'Skills'!C7)</f>
        <v/>
      </c>
      <c r="E39" s="59" t="n">
        <v>1</v>
      </c>
      <c r="F39" s="59" t="n">
        <v>1</v>
      </c>
      <c r="G39" s="59" t="n">
        <v>2</v>
      </c>
      <c r="H39" s="60" t="n">
        <v>2</v>
      </c>
      <c r="I39" s="59" t="inlineStr"/>
      <c r="J39" s="59" t="inlineStr"/>
      <c r="K39" s="59" t="inlineStr"/>
      <c r="L39" s="59" t="inlineStr"/>
      <c r="M39" s="59" t="inlineStr"/>
      <c r="N39" s="59" t="inlineStr"/>
      <c r="O39" s="59" t="inlineStr"/>
      <c r="P39" s="59" t="inlineStr"/>
      <c r="Q39" s="59" t="inlineStr"/>
      <c r="R39" s="59" t="inlineStr"/>
      <c r="S39" s="59" t="inlineStr"/>
      <c r="T39" s="59" t="inlineStr"/>
      <c r="U39" s="61">
        <f>IF(A39="","",IFERROR(INDEX(E39:T39,MATCH(TRUE,INDEX(E39:T39&lt;&gt;"",0),0)),""))</f>
        <v/>
      </c>
      <c r="V39" s="61">
        <f>IF(A39="","",IFERROR(LOOKUP(2,1/(E39:T39&lt;&gt;""),E39:T39),""))</f>
        <v/>
      </c>
      <c r="W39" s="62">
        <f>IF(OR(A39="",PreviousYear=""),"",IFERROR(LOOKUP(2,1/(E39:T39&lt;&gt;""),E39:T39)-INDEX(E39:T39,MATCH(PreviousYear,$E$5:$T$5,0)),""))</f>
        <v/>
      </c>
      <c r="X39" s="62">
        <f>IF(OR(A39="",U39="",V39=""),"",V39-U39)</f>
        <v/>
      </c>
      <c r="Y39" s="61">
        <f>IF(A39="","",COUNT(E39:T39))</f>
        <v/>
      </c>
    </row>
    <row r="40">
      <c r="A40" s="44">
        <f>IF(AND('Employees'!B8&lt;&gt;"",'Skills'!B8&lt;&gt;""),'Employees'!B8,"")</f>
        <v/>
      </c>
      <c r="B40" s="45">
        <f>IF(A40="","",'Employees'!C8)</f>
        <v/>
      </c>
      <c r="C40" s="58">
        <f>IF(A40="","",'Skills'!B8)</f>
        <v/>
      </c>
      <c r="D40" s="45">
        <f>IF(A40="","",'Skills'!C8)</f>
        <v/>
      </c>
      <c r="E40" s="59" t="n">
        <v>1</v>
      </c>
      <c r="F40" s="59" t="n">
        <v>2</v>
      </c>
      <c r="G40" s="59" t="n">
        <v>2</v>
      </c>
      <c r="H40" s="60" t="n">
        <v>2</v>
      </c>
      <c r="I40" s="59" t="inlineStr"/>
      <c r="J40" s="59" t="inlineStr"/>
      <c r="K40" s="59" t="inlineStr"/>
      <c r="L40" s="59" t="inlineStr"/>
      <c r="M40" s="59" t="inlineStr"/>
      <c r="N40" s="59" t="inlineStr"/>
      <c r="O40" s="59" t="inlineStr"/>
      <c r="P40" s="59" t="inlineStr"/>
      <c r="Q40" s="59" t="inlineStr"/>
      <c r="R40" s="59" t="inlineStr"/>
      <c r="S40" s="59" t="inlineStr"/>
      <c r="T40" s="59" t="inlineStr"/>
      <c r="U40" s="61">
        <f>IF(A40="","",IFERROR(INDEX(E40:T40,MATCH(TRUE,INDEX(E40:T40&lt;&gt;"",0),0)),""))</f>
        <v/>
      </c>
      <c r="V40" s="61">
        <f>IF(A40="","",IFERROR(LOOKUP(2,1/(E40:T40&lt;&gt;""),E40:T40),""))</f>
        <v/>
      </c>
      <c r="W40" s="62">
        <f>IF(OR(A40="",PreviousYear=""),"",IFERROR(LOOKUP(2,1/(E40:T40&lt;&gt;""),E40:T40)-INDEX(E40:T40,MATCH(PreviousYear,$E$5:$T$5,0)),""))</f>
        <v/>
      </c>
      <c r="X40" s="62">
        <f>IF(OR(A40="",U40="",V40=""),"",V40-U40)</f>
        <v/>
      </c>
      <c r="Y40" s="61">
        <f>IF(A40="","",COUNT(E40:T40))</f>
        <v/>
      </c>
    </row>
    <row r="41">
      <c r="A41" s="44">
        <f>IF(AND('Employees'!B8&lt;&gt;"",'Skills'!B9&lt;&gt;""),'Employees'!B8,"")</f>
        <v/>
      </c>
      <c r="B41" s="45">
        <f>IF(A41="","",'Employees'!C8)</f>
        <v/>
      </c>
      <c r="C41" s="58">
        <f>IF(A41="","",'Skills'!B9)</f>
        <v/>
      </c>
      <c r="D41" s="45">
        <f>IF(A41="","",'Skills'!C9)</f>
        <v/>
      </c>
      <c r="E41" s="59" t="n">
        <v>4</v>
      </c>
      <c r="F41" s="59" t="n">
        <v>4</v>
      </c>
      <c r="G41" s="59" t="n">
        <v>4</v>
      </c>
      <c r="H41" s="60" t="n">
        <v>5</v>
      </c>
      <c r="I41" s="59" t="inlineStr"/>
      <c r="J41" s="59" t="inlineStr"/>
      <c r="K41" s="59" t="inlineStr"/>
      <c r="L41" s="59" t="inlineStr"/>
      <c r="M41" s="59" t="inlineStr"/>
      <c r="N41" s="59" t="inlineStr"/>
      <c r="O41" s="59" t="inlineStr"/>
      <c r="P41" s="59" t="inlineStr"/>
      <c r="Q41" s="59" t="inlineStr"/>
      <c r="R41" s="59" t="inlineStr"/>
      <c r="S41" s="59" t="inlineStr"/>
      <c r="T41" s="59" t="inlineStr"/>
      <c r="U41" s="61">
        <f>IF(A41="","",IFERROR(INDEX(E41:T41,MATCH(TRUE,INDEX(E41:T41&lt;&gt;"",0),0)),""))</f>
        <v/>
      </c>
      <c r="V41" s="61">
        <f>IF(A41="","",IFERROR(LOOKUP(2,1/(E41:T41&lt;&gt;""),E41:T41),""))</f>
        <v/>
      </c>
      <c r="W41" s="62">
        <f>IF(OR(A41="",PreviousYear=""),"",IFERROR(LOOKUP(2,1/(E41:T41&lt;&gt;""),E41:T41)-INDEX(E41:T41,MATCH(PreviousYear,$E$5:$T$5,0)),""))</f>
        <v/>
      </c>
      <c r="X41" s="62">
        <f>IF(OR(A41="",U41="",V41=""),"",V41-U41)</f>
        <v/>
      </c>
      <c r="Y41" s="61">
        <f>IF(A41="","",COUNT(E41:T41))</f>
        <v/>
      </c>
    </row>
    <row r="42">
      <c r="A42" s="44">
        <f>IF(AND('Employees'!B8&lt;&gt;"",'Skills'!B10&lt;&gt;""),'Employees'!B8,"")</f>
        <v/>
      </c>
      <c r="B42" s="45">
        <f>IF(A42="","",'Employees'!C8)</f>
        <v/>
      </c>
      <c r="C42" s="58">
        <f>IF(A42="","",'Skills'!B10)</f>
        <v/>
      </c>
      <c r="D42" s="45">
        <f>IF(A42="","",'Skills'!C10)</f>
        <v/>
      </c>
      <c r="E42" s="59" t="n">
        <v>1</v>
      </c>
      <c r="F42" s="59" t="n">
        <v>1</v>
      </c>
      <c r="G42" s="59" t="n">
        <v>2</v>
      </c>
      <c r="H42" s="60" t="n">
        <v>3</v>
      </c>
      <c r="I42" s="59" t="inlineStr"/>
      <c r="J42" s="59" t="inlineStr"/>
      <c r="K42" s="59" t="inlineStr"/>
      <c r="L42" s="59" t="inlineStr"/>
      <c r="M42" s="59" t="inlineStr"/>
      <c r="N42" s="59" t="inlineStr"/>
      <c r="O42" s="59" t="inlineStr"/>
      <c r="P42" s="59" t="inlineStr"/>
      <c r="Q42" s="59" t="inlineStr"/>
      <c r="R42" s="59" t="inlineStr"/>
      <c r="S42" s="59" t="inlineStr"/>
      <c r="T42" s="59" t="inlineStr"/>
      <c r="U42" s="61">
        <f>IF(A42="","",IFERROR(INDEX(E42:T42,MATCH(TRUE,INDEX(E42:T42&lt;&gt;"",0),0)),""))</f>
        <v/>
      </c>
      <c r="V42" s="61">
        <f>IF(A42="","",IFERROR(LOOKUP(2,1/(E42:T42&lt;&gt;""),E42:T42),""))</f>
        <v/>
      </c>
      <c r="W42" s="62">
        <f>IF(OR(A42="",PreviousYear=""),"",IFERROR(LOOKUP(2,1/(E42:T42&lt;&gt;""),E42:T42)-INDEX(E42:T42,MATCH(PreviousYear,$E$5:$T$5,0)),""))</f>
        <v/>
      </c>
      <c r="X42" s="62">
        <f>IF(OR(A42="",U42="",V42=""),"",V42-U42)</f>
        <v/>
      </c>
      <c r="Y42" s="61">
        <f>IF(A42="","",COUNT(E42:T42))</f>
        <v/>
      </c>
    </row>
    <row r="43">
      <c r="A43" s="44">
        <f>IF(AND('Employees'!B8&lt;&gt;"",'Skills'!B11&lt;&gt;""),'Employees'!B8,"")</f>
        <v/>
      </c>
      <c r="B43" s="45">
        <f>IF(A43="","",'Employees'!C8)</f>
        <v/>
      </c>
      <c r="C43" s="58">
        <f>IF(A43="","",'Skills'!B11)</f>
        <v/>
      </c>
      <c r="D43" s="45">
        <f>IF(A43="","",'Skills'!C11)</f>
        <v/>
      </c>
      <c r="E43" s="59" t="n">
        <v>3</v>
      </c>
      <c r="F43" s="59" t="n">
        <v>3</v>
      </c>
      <c r="G43" s="59" t="n">
        <v>3</v>
      </c>
      <c r="H43" s="60" t="n">
        <v>3</v>
      </c>
      <c r="I43" s="59" t="inlineStr"/>
      <c r="J43" s="59" t="inlineStr"/>
      <c r="K43" s="59" t="inlineStr"/>
      <c r="L43" s="59" t="inlineStr"/>
      <c r="M43" s="59" t="inlineStr"/>
      <c r="N43" s="59" t="inlineStr"/>
      <c r="O43" s="59" t="inlineStr"/>
      <c r="P43" s="59" t="inlineStr"/>
      <c r="Q43" s="59" t="inlineStr"/>
      <c r="R43" s="59" t="inlineStr"/>
      <c r="S43" s="59" t="inlineStr"/>
      <c r="T43" s="59" t="inlineStr"/>
      <c r="U43" s="61">
        <f>IF(A43="","",IFERROR(INDEX(E43:T43,MATCH(TRUE,INDEX(E43:T43&lt;&gt;"",0),0)),""))</f>
        <v/>
      </c>
      <c r="V43" s="61">
        <f>IF(A43="","",IFERROR(LOOKUP(2,1/(E43:T43&lt;&gt;""),E43:T43),""))</f>
        <v/>
      </c>
      <c r="W43" s="62">
        <f>IF(OR(A43="",PreviousYear=""),"",IFERROR(LOOKUP(2,1/(E43:T43&lt;&gt;""),E43:T43)-INDEX(E43:T43,MATCH(PreviousYear,$E$5:$T$5,0)),""))</f>
        <v/>
      </c>
      <c r="X43" s="62">
        <f>IF(OR(A43="",U43="",V43=""),"",V43-U43)</f>
        <v/>
      </c>
      <c r="Y43" s="61">
        <f>IF(A43="","",COUNT(E43:T43))</f>
        <v/>
      </c>
    </row>
    <row r="44">
      <c r="A44" s="44">
        <f>IF(AND('Employees'!B8&lt;&gt;"",'Skills'!B12&lt;&gt;""),'Employees'!B8,"")</f>
        <v/>
      </c>
      <c r="B44" s="45">
        <f>IF(A44="","",'Employees'!C8)</f>
        <v/>
      </c>
      <c r="C44" s="58">
        <f>IF(A44="","",'Skills'!B12)</f>
        <v/>
      </c>
      <c r="D44" s="45">
        <f>IF(A44="","",'Skills'!C12)</f>
        <v/>
      </c>
      <c r="E44" s="59" t="n">
        <v>3</v>
      </c>
      <c r="F44" s="59" t="n">
        <v>4</v>
      </c>
      <c r="G44" s="59" t="n">
        <v>4</v>
      </c>
      <c r="H44" s="60" t="n">
        <v>5</v>
      </c>
      <c r="I44" s="59" t="inlineStr"/>
      <c r="J44" s="59" t="inlineStr"/>
      <c r="K44" s="59" t="inlineStr"/>
      <c r="L44" s="59" t="inlineStr"/>
      <c r="M44" s="59" t="inlineStr"/>
      <c r="N44" s="59" t="inlineStr"/>
      <c r="O44" s="59" t="inlineStr"/>
      <c r="P44" s="59" t="inlineStr"/>
      <c r="Q44" s="59" t="inlineStr"/>
      <c r="R44" s="59" t="inlineStr"/>
      <c r="S44" s="59" t="inlineStr"/>
      <c r="T44" s="59" t="inlineStr"/>
      <c r="U44" s="61">
        <f>IF(A44="","",IFERROR(INDEX(E44:T44,MATCH(TRUE,INDEX(E44:T44&lt;&gt;"",0),0)),""))</f>
        <v/>
      </c>
      <c r="V44" s="61">
        <f>IF(A44="","",IFERROR(LOOKUP(2,1/(E44:T44&lt;&gt;""),E44:T44),""))</f>
        <v/>
      </c>
      <c r="W44" s="62">
        <f>IF(OR(A44="",PreviousYear=""),"",IFERROR(LOOKUP(2,1/(E44:T44&lt;&gt;""),E44:T44)-INDEX(E44:T44,MATCH(PreviousYear,$E$5:$T$5,0)),""))</f>
        <v/>
      </c>
      <c r="X44" s="62">
        <f>IF(OR(A44="",U44="",V44=""),"",V44-U44)</f>
        <v/>
      </c>
      <c r="Y44" s="61">
        <f>IF(A44="","",COUNT(E44:T44))</f>
        <v/>
      </c>
    </row>
    <row r="45">
      <c r="A45" s="44">
        <f>IF(AND('Employees'!B8&lt;&gt;"",'Skills'!B13&lt;&gt;""),'Employees'!B8,"")</f>
        <v/>
      </c>
      <c r="B45" s="45">
        <f>IF(A45="","",'Employees'!C8)</f>
        <v/>
      </c>
      <c r="C45" s="58">
        <f>IF(A45="","",'Skills'!B13)</f>
        <v/>
      </c>
      <c r="D45" s="45">
        <f>IF(A45="","",'Skills'!C13)</f>
        <v/>
      </c>
      <c r="E45" s="59" t="n">
        <v>1</v>
      </c>
      <c r="F45" s="59" t="n">
        <v>1</v>
      </c>
      <c r="G45" s="59" t="n">
        <v>2</v>
      </c>
      <c r="H45" s="60" t="n">
        <v>3</v>
      </c>
      <c r="I45" s="59" t="inlineStr"/>
      <c r="J45" s="59" t="inlineStr"/>
      <c r="K45" s="59" t="inlineStr"/>
      <c r="L45" s="59" t="inlineStr"/>
      <c r="M45" s="59" t="inlineStr"/>
      <c r="N45" s="59" t="inlineStr"/>
      <c r="O45" s="59" t="inlineStr"/>
      <c r="P45" s="59" t="inlineStr"/>
      <c r="Q45" s="59" t="inlineStr"/>
      <c r="R45" s="59" t="inlineStr"/>
      <c r="S45" s="59" t="inlineStr"/>
      <c r="T45" s="59" t="inlineStr"/>
      <c r="U45" s="61">
        <f>IF(A45="","",IFERROR(INDEX(E45:T45,MATCH(TRUE,INDEX(E45:T45&lt;&gt;"",0),0)),""))</f>
        <v/>
      </c>
      <c r="V45" s="61">
        <f>IF(A45="","",IFERROR(LOOKUP(2,1/(E45:T45&lt;&gt;""),E45:T45),""))</f>
        <v/>
      </c>
      <c r="W45" s="62">
        <f>IF(OR(A45="",PreviousYear=""),"",IFERROR(LOOKUP(2,1/(E45:T45&lt;&gt;""),E45:T45)-INDEX(E45:T45,MATCH(PreviousYear,$E$5:$T$5,0)),""))</f>
        <v/>
      </c>
      <c r="X45" s="62">
        <f>IF(OR(A45="",U45="",V45=""),"",V45-U45)</f>
        <v/>
      </c>
      <c r="Y45" s="61">
        <f>IF(A45="","",COUNT(E45:T45))</f>
        <v/>
      </c>
    </row>
    <row r="46">
      <c r="A46" s="44">
        <f>IF(AND('Employees'!B8&lt;&gt;"",'Skills'!B14&lt;&gt;""),'Employees'!B8,"")</f>
        <v/>
      </c>
      <c r="B46" s="45">
        <f>IF(A46="","",'Employees'!C8)</f>
        <v/>
      </c>
      <c r="C46" s="58">
        <f>IF(A46="","",'Skills'!B14)</f>
        <v/>
      </c>
      <c r="D46" s="45">
        <f>IF(A46="","",'Skills'!C14)</f>
        <v/>
      </c>
      <c r="E46" s="59" t="n">
        <v>2</v>
      </c>
      <c r="F46" s="59" t="n">
        <v>3</v>
      </c>
      <c r="G46" s="59" t="n">
        <v>3</v>
      </c>
      <c r="H46" s="60" t="n">
        <v>3</v>
      </c>
      <c r="I46" s="59" t="inlineStr"/>
      <c r="J46" s="59" t="inlineStr"/>
      <c r="K46" s="59" t="inlineStr"/>
      <c r="L46" s="59" t="inlineStr"/>
      <c r="M46" s="59" t="inlineStr"/>
      <c r="N46" s="59" t="inlineStr"/>
      <c r="O46" s="59" t="inlineStr"/>
      <c r="P46" s="59" t="inlineStr"/>
      <c r="Q46" s="59" t="inlineStr"/>
      <c r="R46" s="59" t="inlineStr"/>
      <c r="S46" s="59" t="inlineStr"/>
      <c r="T46" s="59" t="inlineStr"/>
      <c r="U46" s="61">
        <f>IF(A46="","",IFERROR(INDEX(E46:T46,MATCH(TRUE,INDEX(E46:T46&lt;&gt;"",0),0)),""))</f>
        <v/>
      </c>
      <c r="V46" s="61">
        <f>IF(A46="","",IFERROR(LOOKUP(2,1/(E46:T46&lt;&gt;""),E46:T46),""))</f>
        <v/>
      </c>
      <c r="W46" s="62">
        <f>IF(OR(A46="",PreviousYear=""),"",IFERROR(LOOKUP(2,1/(E46:T46&lt;&gt;""),E46:T46)-INDEX(E46:T46,MATCH(PreviousYear,$E$5:$T$5,0)),""))</f>
        <v/>
      </c>
      <c r="X46" s="62">
        <f>IF(OR(A46="",U46="",V46=""),"",V46-U46)</f>
        <v/>
      </c>
      <c r="Y46" s="61">
        <f>IF(A46="","",COUNT(E46:T46))</f>
        <v/>
      </c>
    </row>
    <row r="47">
      <c r="A47" s="44">
        <f>IF(AND('Employees'!B8&lt;&gt;"",'Skills'!B15&lt;&gt;""),'Employees'!B8,"")</f>
        <v/>
      </c>
      <c r="B47" s="45">
        <f>IF(A47="","",'Employees'!C8)</f>
        <v/>
      </c>
      <c r="C47" s="58">
        <f>IF(A47="","",'Skills'!B15)</f>
        <v/>
      </c>
      <c r="D47" s="45">
        <f>IF(A47="","",'Skills'!C15)</f>
        <v/>
      </c>
      <c r="E47" s="59" t="n">
        <v>4</v>
      </c>
      <c r="F47" s="59" t="n">
        <v>4</v>
      </c>
      <c r="G47" s="59" t="n">
        <v>4</v>
      </c>
      <c r="H47" s="60" t="n">
        <v>4</v>
      </c>
      <c r="I47" s="59" t="inlineStr"/>
      <c r="J47" s="59" t="inlineStr"/>
      <c r="K47" s="59" t="inlineStr"/>
      <c r="L47" s="59" t="inlineStr"/>
      <c r="M47" s="59" t="inlineStr"/>
      <c r="N47" s="59" t="inlineStr"/>
      <c r="O47" s="59" t="inlineStr"/>
      <c r="P47" s="59" t="inlineStr"/>
      <c r="Q47" s="59" t="inlineStr"/>
      <c r="R47" s="59" t="inlineStr"/>
      <c r="S47" s="59" t="inlineStr"/>
      <c r="T47" s="59" t="inlineStr"/>
      <c r="U47" s="61">
        <f>IF(A47="","",IFERROR(INDEX(E47:T47,MATCH(TRUE,INDEX(E47:T47&lt;&gt;"",0),0)),""))</f>
        <v/>
      </c>
      <c r="V47" s="61">
        <f>IF(A47="","",IFERROR(LOOKUP(2,1/(E47:T47&lt;&gt;""),E47:T47),""))</f>
        <v/>
      </c>
      <c r="W47" s="62">
        <f>IF(OR(A47="",PreviousYear=""),"",IFERROR(LOOKUP(2,1/(E47:T47&lt;&gt;""),E47:T47)-INDEX(E47:T47,MATCH(PreviousYear,$E$5:$T$5,0)),""))</f>
        <v/>
      </c>
      <c r="X47" s="62">
        <f>IF(OR(A47="",U47="",V47=""),"",V47-U47)</f>
        <v/>
      </c>
      <c r="Y47" s="61">
        <f>IF(A47="","",COUNT(E47:T47))</f>
        <v/>
      </c>
    </row>
    <row r="48">
      <c r="A48" s="44">
        <f>IF(AND('Employees'!B8&lt;&gt;"",'Skills'!B16&lt;&gt;""),'Employees'!B8,"")</f>
        <v/>
      </c>
      <c r="B48" s="45">
        <f>IF(A48="","",'Employees'!C8)</f>
        <v/>
      </c>
      <c r="C48" s="58">
        <f>IF(A48="","",'Skills'!B16)</f>
        <v/>
      </c>
      <c r="D48" s="45">
        <f>IF(A48="","",'Skills'!C16)</f>
        <v/>
      </c>
      <c r="E48" s="59" t="n">
        <v>1</v>
      </c>
      <c r="F48" s="59" t="n">
        <v>2</v>
      </c>
      <c r="G48" s="59" t="n">
        <v>3</v>
      </c>
      <c r="H48" s="60" t="n">
        <v>4</v>
      </c>
      <c r="I48" s="59" t="inlineStr"/>
      <c r="J48" s="59" t="inlineStr"/>
      <c r="K48" s="59" t="inlineStr"/>
      <c r="L48" s="59" t="inlineStr"/>
      <c r="M48" s="59" t="inlineStr"/>
      <c r="N48" s="59" t="inlineStr"/>
      <c r="O48" s="59" t="inlineStr"/>
      <c r="P48" s="59" t="inlineStr"/>
      <c r="Q48" s="59" t="inlineStr"/>
      <c r="R48" s="59" t="inlineStr"/>
      <c r="S48" s="59" t="inlineStr"/>
      <c r="T48" s="59" t="inlineStr"/>
      <c r="U48" s="61">
        <f>IF(A48="","",IFERROR(INDEX(E48:T48,MATCH(TRUE,INDEX(E48:T48&lt;&gt;"",0),0)),""))</f>
        <v/>
      </c>
      <c r="V48" s="61">
        <f>IF(A48="","",IFERROR(LOOKUP(2,1/(E48:T48&lt;&gt;""),E48:T48),""))</f>
        <v/>
      </c>
      <c r="W48" s="62">
        <f>IF(OR(A48="",PreviousYear=""),"",IFERROR(LOOKUP(2,1/(E48:T48&lt;&gt;""),E48:T48)-INDEX(E48:T48,MATCH(PreviousYear,$E$5:$T$5,0)),""))</f>
        <v/>
      </c>
      <c r="X48" s="62">
        <f>IF(OR(A48="",U48="",V48=""),"",V48-U48)</f>
        <v/>
      </c>
      <c r="Y48" s="61">
        <f>IF(A48="","",COUNT(E48:T48))</f>
        <v/>
      </c>
    </row>
    <row r="49">
      <c r="A49" s="44">
        <f>IF(AND('Employees'!B8&lt;&gt;"",'Skills'!B17&lt;&gt;""),'Employees'!B8,"")</f>
        <v/>
      </c>
      <c r="B49" s="45">
        <f>IF(A49="","",'Employees'!C8)</f>
        <v/>
      </c>
      <c r="C49" s="58">
        <f>IF(A49="","",'Skills'!B17)</f>
        <v/>
      </c>
      <c r="D49" s="45">
        <f>IF(A49="","",'Skills'!C17)</f>
        <v/>
      </c>
      <c r="E49" s="59" t="inlineStr"/>
      <c r="F49" s="59" t="inlineStr"/>
      <c r="G49" s="59" t="inlineStr"/>
      <c r="H49" s="60" t="inlineStr"/>
      <c r="I49" s="59" t="inlineStr"/>
      <c r="J49" s="59" t="inlineStr"/>
      <c r="K49" s="59" t="inlineStr"/>
      <c r="L49" s="59" t="inlineStr"/>
      <c r="M49" s="59" t="inlineStr"/>
      <c r="N49" s="59" t="inlineStr"/>
      <c r="O49" s="59" t="inlineStr"/>
      <c r="P49" s="59" t="inlineStr"/>
      <c r="Q49" s="59" t="inlineStr"/>
      <c r="R49" s="59" t="inlineStr"/>
      <c r="S49" s="59" t="inlineStr"/>
      <c r="T49" s="59" t="inlineStr"/>
      <c r="U49" s="61">
        <f>IF(A49="","",IFERROR(INDEX(E49:T49,MATCH(TRUE,INDEX(E49:T49&lt;&gt;"",0),0)),""))</f>
        <v/>
      </c>
      <c r="V49" s="61">
        <f>IF(A49="","",IFERROR(LOOKUP(2,1/(E49:T49&lt;&gt;""),E49:T49),""))</f>
        <v/>
      </c>
      <c r="W49" s="62">
        <f>IF(OR(A49="",PreviousYear=""),"",IFERROR(LOOKUP(2,1/(E49:T49&lt;&gt;""),E49:T49)-INDEX(E49:T49,MATCH(PreviousYear,$E$5:$T$5,0)),""))</f>
        <v/>
      </c>
      <c r="X49" s="62">
        <f>IF(OR(A49="",U49="",V49=""),"",V49-U49)</f>
        <v/>
      </c>
      <c r="Y49" s="61">
        <f>IF(A49="","",COUNT(E49:T49))</f>
        <v/>
      </c>
    </row>
    <row r="50">
      <c r="A50" s="44">
        <f>IF(AND('Employees'!B8&lt;&gt;"",'Skills'!B18&lt;&gt;""),'Employees'!B8,"")</f>
        <v/>
      </c>
      <c r="B50" s="45">
        <f>IF(A50="","",'Employees'!C8)</f>
        <v/>
      </c>
      <c r="C50" s="58">
        <f>IF(A50="","",'Skills'!B18)</f>
        <v/>
      </c>
      <c r="D50" s="45">
        <f>IF(A50="","",'Skills'!C18)</f>
        <v/>
      </c>
      <c r="E50" s="59" t="inlineStr"/>
      <c r="F50" s="59" t="inlineStr"/>
      <c r="G50" s="59" t="inlineStr"/>
      <c r="H50" s="60" t="inlineStr"/>
      <c r="I50" s="59" t="inlineStr"/>
      <c r="J50" s="59" t="inlineStr"/>
      <c r="K50" s="59" t="inlineStr"/>
      <c r="L50" s="59" t="inlineStr"/>
      <c r="M50" s="59" t="inlineStr"/>
      <c r="N50" s="59" t="inlineStr"/>
      <c r="O50" s="59" t="inlineStr"/>
      <c r="P50" s="59" t="inlineStr"/>
      <c r="Q50" s="59" t="inlineStr"/>
      <c r="R50" s="59" t="inlineStr"/>
      <c r="S50" s="59" t="inlineStr"/>
      <c r="T50" s="59" t="inlineStr"/>
      <c r="U50" s="61">
        <f>IF(A50="","",IFERROR(INDEX(E50:T50,MATCH(TRUE,INDEX(E50:T50&lt;&gt;"",0),0)),""))</f>
        <v/>
      </c>
      <c r="V50" s="61">
        <f>IF(A50="","",IFERROR(LOOKUP(2,1/(E50:T50&lt;&gt;""),E50:T50),""))</f>
        <v/>
      </c>
      <c r="W50" s="62">
        <f>IF(OR(A50="",PreviousYear=""),"",IFERROR(LOOKUP(2,1/(E50:T50&lt;&gt;""),E50:T50)-INDEX(E50:T50,MATCH(PreviousYear,$E$5:$T$5,0)),""))</f>
        <v/>
      </c>
      <c r="X50" s="62">
        <f>IF(OR(A50="",U50="",V50=""),"",V50-U50)</f>
        <v/>
      </c>
      <c r="Y50" s="61">
        <f>IF(A50="","",COUNT(E50:T50))</f>
        <v/>
      </c>
    </row>
    <row r="51">
      <c r="A51" s="44">
        <f>IF(AND('Employees'!B8&lt;&gt;"",'Skills'!B19&lt;&gt;""),'Employees'!B8,"")</f>
        <v/>
      </c>
      <c r="B51" s="45">
        <f>IF(A51="","",'Employees'!C8)</f>
        <v/>
      </c>
      <c r="C51" s="58">
        <f>IF(A51="","",'Skills'!B19)</f>
        <v/>
      </c>
      <c r="D51" s="45">
        <f>IF(A51="","",'Skills'!C19)</f>
        <v/>
      </c>
      <c r="E51" s="59" t="inlineStr"/>
      <c r="F51" s="59" t="inlineStr"/>
      <c r="G51" s="59" t="inlineStr"/>
      <c r="H51" s="60" t="inlineStr"/>
      <c r="I51" s="59" t="inlineStr"/>
      <c r="J51" s="59" t="inlineStr"/>
      <c r="K51" s="59" t="inlineStr"/>
      <c r="L51" s="59" t="inlineStr"/>
      <c r="M51" s="59" t="inlineStr"/>
      <c r="N51" s="59" t="inlineStr"/>
      <c r="O51" s="59" t="inlineStr"/>
      <c r="P51" s="59" t="inlineStr"/>
      <c r="Q51" s="59" t="inlineStr"/>
      <c r="R51" s="59" t="inlineStr"/>
      <c r="S51" s="59" t="inlineStr"/>
      <c r="T51" s="59" t="inlineStr"/>
      <c r="U51" s="61">
        <f>IF(A51="","",IFERROR(INDEX(E51:T51,MATCH(TRUE,INDEX(E51:T51&lt;&gt;"",0),0)),""))</f>
        <v/>
      </c>
      <c r="V51" s="61">
        <f>IF(A51="","",IFERROR(LOOKUP(2,1/(E51:T51&lt;&gt;""),E51:T51),""))</f>
        <v/>
      </c>
      <c r="W51" s="62">
        <f>IF(OR(A51="",PreviousYear=""),"",IFERROR(LOOKUP(2,1/(E51:T51&lt;&gt;""),E51:T51)-INDEX(E51:T51,MATCH(PreviousYear,$E$5:$T$5,0)),""))</f>
        <v/>
      </c>
      <c r="X51" s="62">
        <f>IF(OR(A51="",U51="",V51=""),"",V51-U51)</f>
        <v/>
      </c>
      <c r="Y51" s="61">
        <f>IF(A51="","",COUNT(E51:T51))</f>
        <v/>
      </c>
    </row>
    <row r="52">
      <c r="A52" s="44">
        <f>IF(AND('Employees'!B8&lt;&gt;"",'Skills'!B20&lt;&gt;""),'Employees'!B8,"")</f>
        <v/>
      </c>
      <c r="B52" s="45">
        <f>IF(A52="","",'Employees'!C8)</f>
        <v/>
      </c>
      <c r="C52" s="58">
        <f>IF(A52="","",'Skills'!B20)</f>
        <v/>
      </c>
      <c r="D52" s="45">
        <f>IF(A52="","",'Skills'!C20)</f>
        <v/>
      </c>
      <c r="E52" s="59" t="inlineStr"/>
      <c r="F52" s="59" t="inlineStr"/>
      <c r="G52" s="59" t="inlineStr"/>
      <c r="H52" s="60" t="inlineStr"/>
      <c r="I52" s="59" t="inlineStr"/>
      <c r="J52" s="59" t="inlineStr"/>
      <c r="K52" s="59" t="inlineStr"/>
      <c r="L52" s="59" t="inlineStr"/>
      <c r="M52" s="59" t="inlineStr"/>
      <c r="N52" s="59" t="inlineStr"/>
      <c r="O52" s="59" t="inlineStr"/>
      <c r="P52" s="59" t="inlineStr"/>
      <c r="Q52" s="59" t="inlineStr"/>
      <c r="R52" s="59" t="inlineStr"/>
      <c r="S52" s="59" t="inlineStr"/>
      <c r="T52" s="59" t="inlineStr"/>
      <c r="U52" s="61">
        <f>IF(A52="","",IFERROR(INDEX(E52:T52,MATCH(TRUE,INDEX(E52:T52&lt;&gt;"",0),0)),""))</f>
        <v/>
      </c>
      <c r="V52" s="61">
        <f>IF(A52="","",IFERROR(LOOKUP(2,1/(E52:T52&lt;&gt;""),E52:T52),""))</f>
        <v/>
      </c>
      <c r="W52" s="62">
        <f>IF(OR(A52="",PreviousYear=""),"",IFERROR(LOOKUP(2,1/(E52:T52&lt;&gt;""),E52:T52)-INDEX(E52:T52,MATCH(PreviousYear,$E$5:$T$5,0)),""))</f>
        <v/>
      </c>
      <c r="X52" s="62">
        <f>IF(OR(A52="",U52="",V52=""),"",V52-U52)</f>
        <v/>
      </c>
      <c r="Y52" s="61">
        <f>IF(A52="","",COUNT(E52:T52))</f>
        <v/>
      </c>
    </row>
    <row r="53">
      <c r="A53" s="44">
        <f>IF(AND('Employees'!B8&lt;&gt;"",'Skills'!B21&lt;&gt;""),'Employees'!B8,"")</f>
        <v/>
      </c>
      <c r="B53" s="45">
        <f>IF(A53="","",'Employees'!C8)</f>
        <v/>
      </c>
      <c r="C53" s="58">
        <f>IF(A53="","",'Skills'!B21)</f>
        <v/>
      </c>
      <c r="D53" s="45">
        <f>IF(A53="","",'Skills'!C21)</f>
        <v/>
      </c>
      <c r="E53" s="59" t="inlineStr"/>
      <c r="F53" s="59" t="inlineStr"/>
      <c r="G53" s="59" t="inlineStr"/>
      <c r="H53" s="60" t="inlineStr"/>
      <c r="I53" s="59" t="inlineStr"/>
      <c r="J53" s="59" t="inlineStr"/>
      <c r="K53" s="59" t="inlineStr"/>
      <c r="L53" s="59" t="inlineStr"/>
      <c r="M53" s="59" t="inlineStr"/>
      <c r="N53" s="59" t="inlineStr"/>
      <c r="O53" s="59" t="inlineStr"/>
      <c r="P53" s="59" t="inlineStr"/>
      <c r="Q53" s="59" t="inlineStr"/>
      <c r="R53" s="59" t="inlineStr"/>
      <c r="S53" s="59" t="inlineStr"/>
      <c r="T53" s="59" t="inlineStr"/>
      <c r="U53" s="61">
        <f>IF(A53="","",IFERROR(INDEX(E53:T53,MATCH(TRUE,INDEX(E53:T53&lt;&gt;"",0),0)),""))</f>
        <v/>
      </c>
      <c r="V53" s="61">
        <f>IF(A53="","",IFERROR(LOOKUP(2,1/(E53:T53&lt;&gt;""),E53:T53),""))</f>
        <v/>
      </c>
      <c r="W53" s="62">
        <f>IF(OR(A53="",PreviousYear=""),"",IFERROR(LOOKUP(2,1/(E53:T53&lt;&gt;""),E53:T53)-INDEX(E53:T53,MATCH(PreviousYear,$E$5:$T$5,0)),""))</f>
        <v/>
      </c>
      <c r="X53" s="62">
        <f>IF(OR(A53="",U53="",V53=""),"",V53-U53)</f>
        <v/>
      </c>
      <c r="Y53" s="61">
        <f>IF(A53="","",COUNT(E53:T53))</f>
        <v/>
      </c>
    </row>
    <row r="54">
      <c r="A54" s="44">
        <f>IF(AND('Employees'!B9&lt;&gt;"",'Skills'!B6&lt;&gt;""),'Employees'!B9,"")</f>
        <v/>
      </c>
      <c r="B54" s="45">
        <f>IF(A54="","",'Employees'!C9)</f>
        <v/>
      </c>
      <c r="C54" s="58">
        <f>IF(A54="","",'Skills'!B6)</f>
        <v/>
      </c>
      <c r="D54" s="45">
        <f>IF(A54="","",'Skills'!C6)</f>
        <v/>
      </c>
      <c r="E54" s="59" t="n">
        <v>1</v>
      </c>
      <c r="F54" s="59" t="n">
        <v>1</v>
      </c>
      <c r="G54" s="59" t="n">
        <v>2</v>
      </c>
      <c r="H54" s="60" t="n">
        <v>2</v>
      </c>
      <c r="I54" s="59" t="inlineStr"/>
      <c r="J54" s="59" t="inlineStr"/>
      <c r="K54" s="59" t="inlineStr"/>
      <c r="L54" s="59" t="inlineStr"/>
      <c r="M54" s="59" t="inlineStr"/>
      <c r="N54" s="59" t="inlineStr"/>
      <c r="O54" s="59" t="inlineStr"/>
      <c r="P54" s="59" t="inlineStr"/>
      <c r="Q54" s="59" t="inlineStr"/>
      <c r="R54" s="59" t="inlineStr"/>
      <c r="S54" s="59" t="inlineStr"/>
      <c r="T54" s="59" t="inlineStr"/>
      <c r="U54" s="61">
        <f>IF(A54="","",IFERROR(INDEX(E54:T54,MATCH(TRUE,INDEX(E54:T54&lt;&gt;"",0),0)),""))</f>
        <v/>
      </c>
      <c r="V54" s="61">
        <f>IF(A54="","",IFERROR(LOOKUP(2,1/(E54:T54&lt;&gt;""),E54:T54),""))</f>
        <v/>
      </c>
      <c r="W54" s="62">
        <f>IF(OR(A54="",PreviousYear=""),"",IFERROR(LOOKUP(2,1/(E54:T54&lt;&gt;""),E54:T54)-INDEX(E54:T54,MATCH(PreviousYear,$E$5:$T$5,0)),""))</f>
        <v/>
      </c>
      <c r="X54" s="62">
        <f>IF(OR(A54="",U54="",V54=""),"",V54-U54)</f>
        <v/>
      </c>
      <c r="Y54" s="61">
        <f>IF(A54="","",COUNT(E54:T54))</f>
        <v/>
      </c>
    </row>
    <row r="55">
      <c r="A55" s="44">
        <f>IF(AND('Employees'!B9&lt;&gt;"",'Skills'!B7&lt;&gt;""),'Employees'!B9,"")</f>
        <v/>
      </c>
      <c r="B55" s="45">
        <f>IF(A55="","",'Employees'!C9)</f>
        <v/>
      </c>
      <c r="C55" s="58">
        <f>IF(A55="","",'Skills'!B7)</f>
        <v/>
      </c>
      <c r="D55" s="45">
        <f>IF(A55="","",'Skills'!C7)</f>
        <v/>
      </c>
      <c r="E55" s="59" t="n">
        <v>1</v>
      </c>
      <c r="F55" s="59" t="n">
        <v>2</v>
      </c>
      <c r="G55" s="59" t="n">
        <v>2</v>
      </c>
      <c r="H55" s="60" t="n">
        <v>2</v>
      </c>
      <c r="I55" s="59" t="inlineStr"/>
      <c r="J55" s="59" t="inlineStr"/>
      <c r="K55" s="59" t="inlineStr"/>
      <c r="L55" s="59" t="inlineStr"/>
      <c r="M55" s="59" t="inlineStr"/>
      <c r="N55" s="59" t="inlineStr"/>
      <c r="O55" s="59" t="inlineStr"/>
      <c r="P55" s="59" t="inlineStr"/>
      <c r="Q55" s="59" t="inlineStr"/>
      <c r="R55" s="59" t="inlineStr"/>
      <c r="S55" s="59" t="inlineStr"/>
      <c r="T55" s="59" t="inlineStr"/>
      <c r="U55" s="61">
        <f>IF(A55="","",IFERROR(INDEX(E55:T55,MATCH(TRUE,INDEX(E55:T55&lt;&gt;"",0),0)),""))</f>
        <v/>
      </c>
      <c r="V55" s="61">
        <f>IF(A55="","",IFERROR(LOOKUP(2,1/(E55:T55&lt;&gt;""),E55:T55),""))</f>
        <v/>
      </c>
      <c r="W55" s="62">
        <f>IF(OR(A55="",PreviousYear=""),"",IFERROR(LOOKUP(2,1/(E55:T55&lt;&gt;""),E55:T55)-INDEX(E55:T55,MATCH(PreviousYear,$E$5:$T$5,0)),""))</f>
        <v/>
      </c>
      <c r="X55" s="62">
        <f>IF(OR(A55="",U55="",V55=""),"",V55-U55)</f>
        <v/>
      </c>
      <c r="Y55" s="61">
        <f>IF(A55="","",COUNT(E55:T55))</f>
        <v/>
      </c>
    </row>
    <row r="56">
      <c r="A56" s="44">
        <f>IF(AND('Employees'!B9&lt;&gt;"",'Skills'!B8&lt;&gt;""),'Employees'!B9,"")</f>
        <v/>
      </c>
      <c r="B56" s="45">
        <f>IF(A56="","",'Employees'!C9)</f>
        <v/>
      </c>
      <c r="C56" s="58">
        <f>IF(A56="","",'Skills'!B8)</f>
        <v/>
      </c>
      <c r="D56" s="45">
        <f>IF(A56="","",'Skills'!C8)</f>
        <v/>
      </c>
      <c r="E56" s="59" t="n">
        <v>3</v>
      </c>
      <c r="F56" s="59" t="n">
        <v>3</v>
      </c>
      <c r="G56" s="59" t="n">
        <v>3</v>
      </c>
      <c r="H56" s="60" t="n">
        <v>3</v>
      </c>
      <c r="I56" s="59" t="inlineStr"/>
      <c r="J56" s="59" t="inlineStr"/>
      <c r="K56" s="59" t="inlineStr"/>
      <c r="L56" s="59" t="inlineStr"/>
      <c r="M56" s="59" t="inlineStr"/>
      <c r="N56" s="59" t="inlineStr"/>
      <c r="O56" s="59" t="inlineStr"/>
      <c r="P56" s="59" t="inlineStr"/>
      <c r="Q56" s="59" t="inlineStr"/>
      <c r="R56" s="59" t="inlineStr"/>
      <c r="S56" s="59" t="inlineStr"/>
      <c r="T56" s="59" t="inlineStr"/>
      <c r="U56" s="61">
        <f>IF(A56="","",IFERROR(INDEX(E56:T56,MATCH(TRUE,INDEX(E56:T56&lt;&gt;"",0),0)),""))</f>
        <v/>
      </c>
      <c r="V56" s="61">
        <f>IF(A56="","",IFERROR(LOOKUP(2,1/(E56:T56&lt;&gt;""),E56:T56),""))</f>
        <v/>
      </c>
      <c r="W56" s="62">
        <f>IF(OR(A56="",PreviousYear=""),"",IFERROR(LOOKUP(2,1/(E56:T56&lt;&gt;""),E56:T56)-INDEX(E56:T56,MATCH(PreviousYear,$E$5:$T$5,0)),""))</f>
        <v/>
      </c>
      <c r="X56" s="62">
        <f>IF(OR(A56="",U56="",V56=""),"",V56-U56)</f>
        <v/>
      </c>
      <c r="Y56" s="61">
        <f>IF(A56="","",COUNT(E56:T56))</f>
        <v/>
      </c>
    </row>
    <row r="57">
      <c r="A57" s="44">
        <f>IF(AND('Employees'!B9&lt;&gt;"",'Skills'!B9&lt;&gt;""),'Employees'!B9,"")</f>
        <v/>
      </c>
      <c r="B57" s="45">
        <f>IF(A57="","",'Employees'!C9)</f>
        <v/>
      </c>
      <c r="C57" s="58">
        <f>IF(A57="","",'Skills'!B9)</f>
        <v/>
      </c>
      <c r="D57" s="45">
        <f>IF(A57="","",'Skills'!C9)</f>
        <v/>
      </c>
      <c r="E57" s="59" t="n">
        <v>1</v>
      </c>
      <c r="F57" s="59" t="n">
        <v>1</v>
      </c>
      <c r="G57" s="59" t="n">
        <v>2</v>
      </c>
      <c r="H57" s="60" t="n">
        <v>3</v>
      </c>
      <c r="I57" s="59" t="inlineStr"/>
      <c r="J57" s="59" t="inlineStr"/>
      <c r="K57" s="59" t="inlineStr"/>
      <c r="L57" s="59" t="inlineStr"/>
      <c r="M57" s="59" t="inlineStr"/>
      <c r="N57" s="59" t="inlineStr"/>
      <c r="O57" s="59" t="inlineStr"/>
      <c r="P57" s="59" t="inlineStr"/>
      <c r="Q57" s="59" t="inlineStr"/>
      <c r="R57" s="59" t="inlineStr"/>
      <c r="S57" s="59" t="inlineStr"/>
      <c r="T57" s="59" t="inlineStr"/>
      <c r="U57" s="61">
        <f>IF(A57="","",IFERROR(INDEX(E57:T57,MATCH(TRUE,INDEX(E57:T57&lt;&gt;"",0),0)),""))</f>
        <v/>
      </c>
      <c r="V57" s="61">
        <f>IF(A57="","",IFERROR(LOOKUP(2,1/(E57:T57&lt;&gt;""),E57:T57),""))</f>
        <v/>
      </c>
      <c r="W57" s="62">
        <f>IF(OR(A57="",PreviousYear=""),"",IFERROR(LOOKUP(2,1/(E57:T57&lt;&gt;""),E57:T57)-INDEX(E57:T57,MATCH(PreviousYear,$E$5:$T$5,0)),""))</f>
        <v/>
      </c>
      <c r="X57" s="62">
        <f>IF(OR(A57="",U57="",V57=""),"",V57-U57)</f>
        <v/>
      </c>
      <c r="Y57" s="61">
        <f>IF(A57="","",COUNT(E57:T57))</f>
        <v/>
      </c>
    </row>
    <row r="58">
      <c r="A58" s="44">
        <f>IF(AND('Employees'!B9&lt;&gt;"",'Skills'!B10&lt;&gt;""),'Employees'!B9,"")</f>
        <v/>
      </c>
      <c r="B58" s="45">
        <f>IF(A58="","",'Employees'!C9)</f>
        <v/>
      </c>
      <c r="C58" s="58">
        <f>IF(A58="","",'Skills'!B10)</f>
        <v/>
      </c>
      <c r="D58" s="45">
        <f>IF(A58="","",'Skills'!C10)</f>
        <v/>
      </c>
      <c r="E58" s="59" t="n">
        <v>3</v>
      </c>
      <c r="F58" s="59" t="n">
        <v>3</v>
      </c>
      <c r="G58" s="59" t="n">
        <v>3</v>
      </c>
      <c r="H58" s="60" t="n">
        <v>3</v>
      </c>
      <c r="I58" s="59" t="inlineStr"/>
      <c r="J58" s="59" t="inlineStr"/>
      <c r="K58" s="59" t="inlineStr"/>
      <c r="L58" s="59" t="inlineStr"/>
      <c r="M58" s="59" t="inlineStr"/>
      <c r="N58" s="59" t="inlineStr"/>
      <c r="O58" s="59" t="inlineStr"/>
      <c r="P58" s="59" t="inlineStr"/>
      <c r="Q58" s="59" t="inlineStr"/>
      <c r="R58" s="59" t="inlineStr"/>
      <c r="S58" s="59" t="inlineStr"/>
      <c r="T58" s="59" t="inlineStr"/>
      <c r="U58" s="61">
        <f>IF(A58="","",IFERROR(INDEX(E58:T58,MATCH(TRUE,INDEX(E58:T58&lt;&gt;"",0),0)),""))</f>
        <v/>
      </c>
      <c r="V58" s="61">
        <f>IF(A58="","",IFERROR(LOOKUP(2,1/(E58:T58&lt;&gt;""),E58:T58),""))</f>
        <v/>
      </c>
      <c r="W58" s="62">
        <f>IF(OR(A58="",PreviousYear=""),"",IFERROR(LOOKUP(2,1/(E58:T58&lt;&gt;""),E58:T58)-INDEX(E58:T58,MATCH(PreviousYear,$E$5:$T$5,0)),""))</f>
        <v/>
      </c>
      <c r="X58" s="62">
        <f>IF(OR(A58="",U58="",V58=""),"",V58-U58)</f>
        <v/>
      </c>
      <c r="Y58" s="61">
        <f>IF(A58="","",COUNT(E58:T58))</f>
        <v/>
      </c>
    </row>
    <row r="59">
      <c r="A59" s="44">
        <f>IF(AND('Employees'!B9&lt;&gt;"",'Skills'!B11&lt;&gt;""),'Employees'!B9,"")</f>
        <v/>
      </c>
      <c r="B59" s="45">
        <f>IF(A59="","",'Employees'!C9)</f>
        <v/>
      </c>
      <c r="C59" s="58">
        <f>IF(A59="","",'Skills'!B11)</f>
        <v/>
      </c>
      <c r="D59" s="45">
        <f>IF(A59="","",'Skills'!C11)</f>
        <v/>
      </c>
      <c r="E59" s="59" t="n">
        <v>1</v>
      </c>
      <c r="F59" s="59" t="n">
        <v>2</v>
      </c>
      <c r="G59" s="59" t="n">
        <v>2</v>
      </c>
      <c r="H59" s="60" t="n">
        <v>2</v>
      </c>
      <c r="I59" s="59" t="inlineStr"/>
      <c r="J59" s="59" t="inlineStr"/>
      <c r="K59" s="59" t="inlineStr"/>
      <c r="L59" s="59" t="inlineStr"/>
      <c r="M59" s="59" t="inlineStr"/>
      <c r="N59" s="59" t="inlineStr"/>
      <c r="O59" s="59" t="inlineStr"/>
      <c r="P59" s="59" t="inlineStr"/>
      <c r="Q59" s="59" t="inlineStr"/>
      <c r="R59" s="59" t="inlineStr"/>
      <c r="S59" s="59" t="inlineStr"/>
      <c r="T59" s="59" t="inlineStr"/>
      <c r="U59" s="61">
        <f>IF(A59="","",IFERROR(INDEX(E59:T59,MATCH(TRUE,INDEX(E59:T59&lt;&gt;"",0),0)),""))</f>
        <v/>
      </c>
      <c r="V59" s="61">
        <f>IF(A59="","",IFERROR(LOOKUP(2,1/(E59:T59&lt;&gt;""),E59:T59),""))</f>
        <v/>
      </c>
      <c r="W59" s="62">
        <f>IF(OR(A59="",PreviousYear=""),"",IFERROR(LOOKUP(2,1/(E59:T59&lt;&gt;""),E59:T59)-INDEX(E59:T59,MATCH(PreviousYear,$E$5:$T$5,0)),""))</f>
        <v/>
      </c>
      <c r="X59" s="62">
        <f>IF(OR(A59="",U59="",V59=""),"",V59-U59)</f>
        <v/>
      </c>
      <c r="Y59" s="61">
        <f>IF(A59="","",COUNT(E59:T59))</f>
        <v/>
      </c>
    </row>
    <row r="60">
      <c r="A60" s="44">
        <f>IF(AND('Employees'!B9&lt;&gt;"",'Skills'!B12&lt;&gt;""),'Employees'!B9,"")</f>
        <v/>
      </c>
      <c r="B60" s="45">
        <f>IF(A60="","",'Employees'!C9)</f>
        <v/>
      </c>
      <c r="C60" s="58">
        <f>IF(A60="","",'Skills'!B12)</f>
        <v/>
      </c>
      <c r="D60" s="45">
        <f>IF(A60="","",'Skills'!C12)</f>
        <v/>
      </c>
      <c r="E60" s="59" t="n">
        <v>2</v>
      </c>
      <c r="F60" s="59" t="n">
        <v>2</v>
      </c>
      <c r="G60" s="59" t="n">
        <v>3</v>
      </c>
      <c r="H60" s="60" t="n">
        <v>3</v>
      </c>
      <c r="I60" s="59" t="inlineStr"/>
      <c r="J60" s="59" t="inlineStr"/>
      <c r="K60" s="59" t="inlineStr"/>
      <c r="L60" s="59" t="inlineStr"/>
      <c r="M60" s="59" t="inlineStr"/>
      <c r="N60" s="59" t="inlineStr"/>
      <c r="O60" s="59" t="inlineStr"/>
      <c r="P60" s="59" t="inlineStr"/>
      <c r="Q60" s="59" t="inlineStr"/>
      <c r="R60" s="59" t="inlineStr"/>
      <c r="S60" s="59" t="inlineStr"/>
      <c r="T60" s="59" t="inlineStr"/>
      <c r="U60" s="61">
        <f>IF(A60="","",IFERROR(INDEX(E60:T60,MATCH(TRUE,INDEX(E60:T60&lt;&gt;"",0),0)),""))</f>
        <v/>
      </c>
      <c r="V60" s="61">
        <f>IF(A60="","",IFERROR(LOOKUP(2,1/(E60:T60&lt;&gt;""),E60:T60),""))</f>
        <v/>
      </c>
      <c r="W60" s="62">
        <f>IF(OR(A60="",PreviousYear=""),"",IFERROR(LOOKUP(2,1/(E60:T60&lt;&gt;""),E60:T60)-INDEX(E60:T60,MATCH(PreviousYear,$E$5:$T$5,0)),""))</f>
        <v/>
      </c>
      <c r="X60" s="62">
        <f>IF(OR(A60="",U60="",V60=""),"",V60-U60)</f>
        <v/>
      </c>
      <c r="Y60" s="61">
        <f>IF(A60="","",COUNT(E60:T60))</f>
        <v/>
      </c>
    </row>
    <row r="61">
      <c r="A61" s="44">
        <f>IF(AND('Employees'!B9&lt;&gt;"",'Skills'!B13&lt;&gt;""),'Employees'!B9,"")</f>
        <v/>
      </c>
      <c r="B61" s="45">
        <f>IF(A61="","",'Employees'!C9)</f>
        <v/>
      </c>
      <c r="C61" s="58">
        <f>IF(A61="","",'Skills'!B13)</f>
        <v/>
      </c>
      <c r="D61" s="45">
        <f>IF(A61="","",'Skills'!C13)</f>
        <v/>
      </c>
      <c r="E61" s="59" t="n">
        <v>4</v>
      </c>
      <c r="F61" s="59" t="n">
        <v>5</v>
      </c>
      <c r="G61" s="59" t="n">
        <v>5</v>
      </c>
      <c r="H61" s="60" t="n">
        <v>5</v>
      </c>
      <c r="I61" s="59" t="inlineStr"/>
      <c r="J61" s="59" t="inlineStr"/>
      <c r="K61" s="59" t="inlineStr"/>
      <c r="L61" s="59" t="inlineStr"/>
      <c r="M61" s="59" t="inlineStr"/>
      <c r="N61" s="59" t="inlineStr"/>
      <c r="O61" s="59" t="inlineStr"/>
      <c r="P61" s="59" t="inlineStr"/>
      <c r="Q61" s="59" t="inlineStr"/>
      <c r="R61" s="59" t="inlineStr"/>
      <c r="S61" s="59" t="inlineStr"/>
      <c r="T61" s="59" t="inlineStr"/>
      <c r="U61" s="61">
        <f>IF(A61="","",IFERROR(INDEX(E61:T61,MATCH(TRUE,INDEX(E61:T61&lt;&gt;"",0),0)),""))</f>
        <v/>
      </c>
      <c r="V61" s="61">
        <f>IF(A61="","",IFERROR(LOOKUP(2,1/(E61:T61&lt;&gt;""),E61:T61),""))</f>
        <v/>
      </c>
      <c r="W61" s="62">
        <f>IF(OR(A61="",PreviousYear=""),"",IFERROR(LOOKUP(2,1/(E61:T61&lt;&gt;""),E61:T61)-INDEX(E61:T61,MATCH(PreviousYear,$E$5:$T$5,0)),""))</f>
        <v/>
      </c>
      <c r="X61" s="62">
        <f>IF(OR(A61="",U61="",V61=""),"",V61-U61)</f>
        <v/>
      </c>
      <c r="Y61" s="61">
        <f>IF(A61="","",COUNT(E61:T61))</f>
        <v/>
      </c>
    </row>
    <row r="62">
      <c r="A62" s="44">
        <f>IF(AND('Employees'!B9&lt;&gt;"",'Skills'!B14&lt;&gt;""),'Employees'!B9,"")</f>
        <v/>
      </c>
      <c r="B62" s="45">
        <f>IF(A62="","",'Employees'!C9)</f>
        <v/>
      </c>
      <c r="C62" s="58">
        <f>IF(A62="","",'Skills'!B14)</f>
        <v/>
      </c>
      <c r="D62" s="45">
        <f>IF(A62="","",'Skills'!C14)</f>
        <v/>
      </c>
      <c r="E62" s="59" t="n">
        <v>4</v>
      </c>
      <c r="F62" s="59" t="n">
        <v>4</v>
      </c>
      <c r="G62" s="59" t="n">
        <v>4</v>
      </c>
      <c r="H62" s="60" t="n">
        <v>5</v>
      </c>
      <c r="I62" s="59" t="inlineStr"/>
      <c r="J62" s="59" t="inlineStr"/>
      <c r="K62" s="59" t="inlineStr"/>
      <c r="L62" s="59" t="inlineStr"/>
      <c r="M62" s="59" t="inlineStr"/>
      <c r="N62" s="59" t="inlineStr"/>
      <c r="O62" s="59" t="inlineStr"/>
      <c r="P62" s="59" t="inlineStr"/>
      <c r="Q62" s="59" t="inlineStr"/>
      <c r="R62" s="59" t="inlineStr"/>
      <c r="S62" s="59" t="inlineStr"/>
      <c r="T62" s="59" t="inlineStr"/>
      <c r="U62" s="61">
        <f>IF(A62="","",IFERROR(INDEX(E62:T62,MATCH(TRUE,INDEX(E62:T62&lt;&gt;"",0),0)),""))</f>
        <v/>
      </c>
      <c r="V62" s="61">
        <f>IF(A62="","",IFERROR(LOOKUP(2,1/(E62:T62&lt;&gt;""),E62:T62),""))</f>
        <v/>
      </c>
      <c r="W62" s="62">
        <f>IF(OR(A62="",PreviousYear=""),"",IFERROR(LOOKUP(2,1/(E62:T62&lt;&gt;""),E62:T62)-INDEX(E62:T62,MATCH(PreviousYear,$E$5:$T$5,0)),""))</f>
        <v/>
      </c>
      <c r="X62" s="62">
        <f>IF(OR(A62="",U62="",V62=""),"",V62-U62)</f>
        <v/>
      </c>
      <c r="Y62" s="61">
        <f>IF(A62="","",COUNT(E62:T62))</f>
        <v/>
      </c>
    </row>
    <row r="63">
      <c r="A63" s="44">
        <f>IF(AND('Employees'!B9&lt;&gt;"",'Skills'!B15&lt;&gt;""),'Employees'!B9,"")</f>
        <v/>
      </c>
      <c r="B63" s="45">
        <f>IF(A63="","",'Employees'!C9)</f>
        <v/>
      </c>
      <c r="C63" s="58">
        <f>IF(A63="","",'Skills'!B15)</f>
        <v/>
      </c>
      <c r="D63" s="45">
        <f>IF(A63="","",'Skills'!C15)</f>
        <v/>
      </c>
      <c r="E63" s="59" t="n">
        <v>1</v>
      </c>
      <c r="F63" s="59" t="n">
        <v>2</v>
      </c>
      <c r="G63" s="59" t="n">
        <v>3</v>
      </c>
      <c r="H63" s="60" t="n">
        <v>3</v>
      </c>
      <c r="I63" s="59" t="inlineStr"/>
      <c r="J63" s="59" t="inlineStr"/>
      <c r="K63" s="59" t="inlineStr"/>
      <c r="L63" s="59" t="inlineStr"/>
      <c r="M63" s="59" t="inlineStr"/>
      <c r="N63" s="59" t="inlineStr"/>
      <c r="O63" s="59" t="inlineStr"/>
      <c r="P63" s="59" t="inlineStr"/>
      <c r="Q63" s="59" t="inlineStr"/>
      <c r="R63" s="59" t="inlineStr"/>
      <c r="S63" s="59" t="inlineStr"/>
      <c r="T63" s="59" t="inlineStr"/>
      <c r="U63" s="61">
        <f>IF(A63="","",IFERROR(INDEX(E63:T63,MATCH(TRUE,INDEX(E63:T63&lt;&gt;"",0),0)),""))</f>
        <v/>
      </c>
      <c r="V63" s="61">
        <f>IF(A63="","",IFERROR(LOOKUP(2,1/(E63:T63&lt;&gt;""),E63:T63),""))</f>
        <v/>
      </c>
      <c r="W63" s="62">
        <f>IF(OR(A63="",PreviousYear=""),"",IFERROR(LOOKUP(2,1/(E63:T63&lt;&gt;""),E63:T63)-INDEX(E63:T63,MATCH(PreviousYear,$E$5:$T$5,0)),""))</f>
        <v/>
      </c>
      <c r="X63" s="62">
        <f>IF(OR(A63="",U63="",V63=""),"",V63-U63)</f>
        <v/>
      </c>
      <c r="Y63" s="61">
        <f>IF(A63="","",COUNT(E63:T63))</f>
        <v/>
      </c>
    </row>
    <row r="64">
      <c r="A64" s="44">
        <f>IF(AND('Employees'!B9&lt;&gt;"",'Skills'!B16&lt;&gt;""),'Employees'!B9,"")</f>
        <v/>
      </c>
      <c r="B64" s="45">
        <f>IF(A64="","",'Employees'!C9)</f>
        <v/>
      </c>
      <c r="C64" s="58">
        <f>IF(A64="","",'Skills'!B16)</f>
        <v/>
      </c>
      <c r="D64" s="45">
        <f>IF(A64="","",'Skills'!C16)</f>
        <v/>
      </c>
      <c r="E64" s="59" t="n">
        <v>4</v>
      </c>
      <c r="F64" s="59" t="n">
        <v>4</v>
      </c>
      <c r="G64" s="59" t="n">
        <v>4</v>
      </c>
      <c r="H64" s="60" t="n">
        <v>5</v>
      </c>
      <c r="I64" s="59" t="inlineStr"/>
      <c r="J64" s="59" t="inlineStr"/>
      <c r="K64" s="59" t="inlineStr"/>
      <c r="L64" s="59" t="inlineStr"/>
      <c r="M64" s="59" t="inlineStr"/>
      <c r="N64" s="59" t="inlineStr"/>
      <c r="O64" s="59" t="inlineStr"/>
      <c r="P64" s="59" t="inlineStr"/>
      <c r="Q64" s="59" t="inlineStr"/>
      <c r="R64" s="59" t="inlineStr"/>
      <c r="S64" s="59" t="inlineStr"/>
      <c r="T64" s="59" t="inlineStr"/>
      <c r="U64" s="61">
        <f>IF(A64="","",IFERROR(INDEX(E64:T64,MATCH(TRUE,INDEX(E64:T64&lt;&gt;"",0),0)),""))</f>
        <v/>
      </c>
      <c r="V64" s="61">
        <f>IF(A64="","",IFERROR(LOOKUP(2,1/(E64:T64&lt;&gt;""),E64:T64),""))</f>
        <v/>
      </c>
      <c r="W64" s="62">
        <f>IF(OR(A64="",PreviousYear=""),"",IFERROR(LOOKUP(2,1/(E64:T64&lt;&gt;""),E64:T64)-INDEX(E64:T64,MATCH(PreviousYear,$E$5:$T$5,0)),""))</f>
        <v/>
      </c>
      <c r="X64" s="62">
        <f>IF(OR(A64="",U64="",V64=""),"",V64-U64)</f>
        <v/>
      </c>
      <c r="Y64" s="61">
        <f>IF(A64="","",COUNT(E64:T64))</f>
        <v/>
      </c>
    </row>
    <row r="65">
      <c r="A65" s="44">
        <f>IF(AND('Employees'!B9&lt;&gt;"",'Skills'!B17&lt;&gt;""),'Employees'!B9,"")</f>
        <v/>
      </c>
      <c r="B65" s="45">
        <f>IF(A65="","",'Employees'!C9)</f>
        <v/>
      </c>
      <c r="C65" s="58">
        <f>IF(A65="","",'Skills'!B17)</f>
        <v/>
      </c>
      <c r="D65" s="45">
        <f>IF(A65="","",'Skills'!C17)</f>
        <v/>
      </c>
      <c r="E65" s="59" t="inlineStr"/>
      <c r="F65" s="59" t="inlineStr"/>
      <c r="G65" s="59" t="inlineStr"/>
      <c r="H65" s="60" t="inlineStr"/>
      <c r="I65" s="59" t="inlineStr"/>
      <c r="J65" s="59" t="inlineStr"/>
      <c r="K65" s="59" t="inlineStr"/>
      <c r="L65" s="59" t="inlineStr"/>
      <c r="M65" s="59" t="inlineStr"/>
      <c r="N65" s="59" t="inlineStr"/>
      <c r="O65" s="59" t="inlineStr"/>
      <c r="P65" s="59" t="inlineStr"/>
      <c r="Q65" s="59" t="inlineStr"/>
      <c r="R65" s="59" t="inlineStr"/>
      <c r="S65" s="59" t="inlineStr"/>
      <c r="T65" s="59" t="inlineStr"/>
      <c r="U65" s="61">
        <f>IF(A65="","",IFERROR(INDEX(E65:T65,MATCH(TRUE,INDEX(E65:T65&lt;&gt;"",0),0)),""))</f>
        <v/>
      </c>
      <c r="V65" s="61">
        <f>IF(A65="","",IFERROR(LOOKUP(2,1/(E65:T65&lt;&gt;""),E65:T65),""))</f>
        <v/>
      </c>
      <c r="W65" s="62">
        <f>IF(OR(A65="",PreviousYear=""),"",IFERROR(LOOKUP(2,1/(E65:T65&lt;&gt;""),E65:T65)-INDEX(E65:T65,MATCH(PreviousYear,$E$5:$T$5,0)),""))</f>
        <v/>
      </c>
      <c r="X65" s="62">
        <f>IF(OR(A65="",U65="",V65=""),"",V65-U65)</f>
        <v/>
      </c>
      <c r="Y65" s="61">
        <f>IF(A65="","",COUNT(E65:T65))</f>
        <v/>
      </c>
    </row>
    <row r="66">
      <c r="A66" s="44">
        <f>IF(AND('Employees'!B9&lt;&gt;"",'Skills'!B18&lt;&gt;""),'Employees'!B9,"")</f>
        <v/>
      </c>
      <c r="B66" s="45">
        <f>IF(A66="","",'Employees'!C9)</f>
        <v/>
      </c>
      <c r="C66" s="58">
        <f>IF(A66="","",'Skills'!B18)</f>
        <v/>
      </c>
      <c r="D66" s="45">
        <f>IF(A66="","",'Skills'!C18)</f>
        <v/>
      </c>
      <c r="E66" s="59" t="inlineStr"/>
      <c r="F66" s="59" t="inlineStr"/>
      <c r="G66" s="59" t="inlineStr"/>
      <c r="H66" s="60" t="inlineStr"/>
      <c r="I66" s="59" t="inlineStr"/>
      <c r="J66" s="59" t="inlineStr"/>
      <c r="K66" s="59" t="inlineStr"/>
      <c r="L66" s="59" t="inlineStr"/>
      <c r="M66" s="59" t="inlineStr"/>
      <c r="N66" s="59" t="inlineStr"/>
      <c r="O66" s="59" t="inlineStr"/>
      <c r="P66" s="59" t="inlineStr"/>
      <c r="Q66" s="59" t="inlineStr"/>
      <c r="R66" s="59" t="inlineStr"/>
      <c r="S66" s="59" t="inlineStr"/>
      <c r="T66" s="59" t="inlineStr"/>
      <c r="U66" s="61">
        <f>IF(A66="","",IFERROR(INDEX(E66:T66,MATCH(TRUE,INDEX(E66:T66&lt;&gt;"",0),0)),""))</f>
        <v/>
      </c>
      <c r="V66" s="61">
        <f>IF(A66="","",IFERROR(LOOKUP(2,1/(E66:T66&lt;&gt;""),E66:T66),""))</f>
        <v/>
      </c>
      <c r="W66" s="62">
        <f>IF(OR(A66="",PreviousYear=""),"",IFERROR(LOOKUP(2,1/(E66:T66&lt;&gt;""),E66:T66)-INDEX(E66:T66,MATCH(PreviousYear,$E$5:$T$5,0)),""))</f>
        <v/>
      </c>
      <c r="X66" s="62">
        <f>IF(OR(A66="",U66="",V66=""),"",V66-U66)</f>
        <v/>
      </c>
      <c r="Y66" s="61">
        <f>IF(A66="","",COUNT(E66:T66))</f>
        <v/>
      </c>
    </row>
    <row r="67">
      <c r="A67" s="44">
        <f>IF(AND('Employees'!B9&lt;&gt;"",'Skills'!B19&lt;&gt;""),'Employees'!B9,"")</f>
        <v/>
      </c>
      <c r="B67" s="45">
        <f>IF(A67="","",'Employees'!C9)</f>
        <v/>
      </c>
      <c r="C67" s="58">
        <f>IF(A67="","",'Skills'!B19)</f>
        <v/>
      </c>
      <c r="D67" s="45">
        <f>IF(A67="","",'Skills'!C19)</f>
        <v/>
      </c>
      <c r="E67" s="59" t="inlineStr"/>
      <c r="F67" s="59" t="inlineStr"/>
      <c r="G67" s="59" t="inlineStr"/>
      <c r="H67" s="60" t="inlineStr"/>
      <c r="I67" s="59" t="inlineStr"/>
      <c r="J67" s="59" t="inlineStr"/>
      <c r="K67" s="59" t="inlineStr"/>
      <c r="L67" s="59" t="inlineStr"/>
      <c r="M67" s="59" t="inlineStr"/>
      <c r="N67" s="59" t="inlineStr"/>
      <c r="O67" s="59" t="inlineStr"/>
      <c r="P67" s="59" t="inlineStr"/>
      <c r="Q67" s="59" t="inlineStr"/>
      <c r="R67" s="59" t="inlineStr"/>
      <c r="S67" s="59" t="inlineStr"/>
      <c r="T67" s="59" t="inlineStr"/>
      <c r="U67" s="61">
        <f>IF(A67="","",IFERROR(INDEX(E67:T67,MATCH(TRUE,INDEX(E67:T67&lt;&gt;"",0),0)),""))</f>
        <v/>
      </c>
      <c r="V67" s="61">
        <f>IF(A67="","",IFERROR(LOOKUP(2,1/(E67:T67&lt;&gt;""),E67:T67),""))</f>
        <v/>
      </c>
      <c r="W67" s="62">
        <f>IF(OR(A67="",PreviousYear=""),"",IFERROR(LOOKUP(2,1/(E67:T67&lt;&gt;""),E67:T67)-INDEX(E67:T67,MATCH(PreviousYear,$E$5:$T$5,0)),""))</f>
        <v/>
      </c>
      <c r="X67" s="62">
        <f>IF(OR(A67="",U67="",V67=""),"",V67-U67)</f>
        <v/>
      </c>
      <c r="Y67" s="61">
        <f>IF(A67="","",COUNT(E67:T67))</f>
        <v/>
      </c>
    </row>
    <row r="68">
      <c r="A68" s="44">
        <f>IF(AND('Employees'!B9&lt;&gt;"",'Skills'!B20&lt;&gt;""),'Employees'!B9,"")</f>
        <v/>
      </c>
      <c r="B68" s="45">
        <f>IF(A68="","",'Employees'!C9)</f>
        <v/>
      </c>
      <c r="C68" s="58">
        <f>IF(A68="","",'Skills'!B20)</f>
        <v/>
      </c>
      <c r="D68" s="45">
        <f>IF(A68="","",'Skills'!C20)</f>
        <v/>
      </c>
      <c r="E68" s="59" t="inlineStr"/>
      <c r="F68" s="59" t="inlineStr"/>
      <c r="G68" s="59" t="inlineStr"/>
      <c r="H68" s="60" t="inlineStr"/>
      <c r="I68" s="59" t="inlineStr"/>
      <c r="J68" s="59" t="inlineStr"/>
      <c r="K68" s="59" t="inlineStr"/>
      <c r="L68" s="59" t="inlineStr"/>
      <c r="M68" s="59" t="inlineStr"/>
      <c r="N68" s="59" t="inlineStr"/>
      <c r="O68" s="59" t="inlineStr"/>
      <c r="P68" s="59" t="inlineStr"/>
      <c r="Q68" s="59" t="inlineStr"/>
      <c r="R68" s="59" t="inlineStr"/>
      <c r="S68" s="59" t="inlineStr"/>
      <c r="T68" s="59" t="inlineStr"/>
      <c r="U68" s="61">
        <f>IF(A68="","",IFERROR(INDEX(E68:T68,MATCH(TRUE,INDEX(E68:T68&lt;&gt;"",0),0)),""))</f>
        <v/>
      </c>
      <c r="V68" s="61">
        <f>IF(A68="","",IFERROR(LOOKUP(2,1/(E68:T68&lt;&gt;""),E68:T68),""))</f>
        <v/>
      </c>
      <c r="W68" s="62">
        <f>IF(OR(A68="",PreviousYear=""),"",IFERROR(LOOKUP(2,1/(E68:T68&lt;&gt;""),E68:T68)-INDEX(E68:T68,MATCH(PreviousYear,$E$5:$T$5,0)),""))</f>
        <v/>
      </c>
      <c r="X68" s="62">
        <f>IF(OR(A68="",U68="",V68=""),"",V68-U68)</f>
        <v/>
      </c>
      <c r="Y68" s="61">
        <f>IF(A68="","",COUNT(E68:T68))</f>
        <v/>
      </c>
    </row>
    <row r="69">
      <c r="A69" s="44">
        <f>IF(AND('Employees'!B9&lt;&gt;"",'Skills'!B21&lt;&gt;""),'Employees'!B9,"")</f>
        <v/>
      </c>
      <c r="B69" s="45">
        <f>IF(A69="","",'Employees'!C9)</f>
        <v/>
      </c>
      <c r="C69" s="58">
        <f>IF(A69="","",'Skills'!B21)</f>
        <v/>
      </c>
      <c r="D69" s="45">
        <f>IF(A69="","",'Skills'!C21)</f>
        <v/>
      </c>
      <c r="E69" s="59" t="inlineStr"/>
      <c r="F69" s="59" t="inlineStr"/>
      <c r="G69" s="59" t="inlineStr"/>
      <c r="H69" s="60" t="inlineStr"/>
      <c r="I69" s="59" t="inlineStr"/>
      <c r="J69" s="59" t="inlineStr"/>
      <c r="K69" s="59" t="inlineStr"/>
      <c r="L69" s="59" t="inlineStr"/>
      <c r="M69" s="59" t="inlineStr"/>
      <c r="N69" s="59" t="inlineStr"/>
      <c r="O69" s="59" t="inlineStr"/>
      <c r="P69" s="59" t="inlineStr"/>
      <c r="Q69" s="59" t="inlineStr"/>
      <c r="R69" s="59" t="inlineStr"/>
      <c r="S69" s="59" t="inlineStr"/>
      <c r="T69" s="59" t="inlineStr"/>
      <c r="U69" s="61">
        <f>IF(A69="","",IFERROR(INDEX(E69:T69,MATCH(TRUE,INDEX(E69:T69&lt;&gt;"",0),0)),""))</f>
        <v/>
      </c>
      <c r="V69" s="61">
        <f>IF(A69="","",IFERROR(LOOKUP(2,1/(E69:T69&lt;&gt;""),E69:T69),""))</f>
        <v/>
      </c>
      <c r="W69" s="62">
        <f>IF(OR(A69="",PreviousYear=""),"",IFERROR(LOOKUP(2,1/(E69:T69&lt;&gt;""),E69:T69)-INDEX(E69:T69,MATCH(PreviousYear,$E$5:$T$5,0)),""))</f>
        <v/>
      </c>
      <c r="X69" s="62">
        <f>IF(OR(A69="",U69="",V69=""),"",V69-U69)</f>
        <v/>
      </c>
      <c r="Y69" s="61">
        <f>IF(A69="","",COUNT(E69:T69))</f>
        <v/>
      </c>
    </row>
    <row r="70">
      <c r="A70" s="44">
        <f>IF(AND('Employees'!B10&lt;&gt;"",'Skills'!B6&lt;&gt;""),'Employees'!B10,"")</f>
        <v/>
      </c>
      <c r="B70" s="45">
        <f>IF(A70="","",'Employees'!C10)</f>
        <v/>
      </c>
      <c r="C70" s="58">
        <f>IF(A70="","",'Skills'!B6)</f>
        <v/>
      </c>
      <c r="D70" s="45">
        <f>IF(A70="","",'Skills'!C6)</f>
        <v/>
      </c>
      <c r="E70" s="59" t="inlineStr"/>
      <c r="F70" s="59" t="n">
        <v>1</v>
      </c>
      <c r="G70" s="59" t="n">
        <v>1</v>
      </c>
      <c r="H70" s="60" t="n">
        <v>2</v>
      </c>
      <c r="I70" s="59" t="inlineStr"/>
      <c r="J70" s="59" t="inlineStr"/>
      <c r="K70" s="59" t="inlineStr"/>
      <c r="L70" s="59" t="inlineStr"/>
      <c r="M70" s="59" t="inlineStr"/>
      <c r="N70" s="59" t="inlineStr"/>
      <c r="O70" s="59" t="inlineStr"/>
      <c r="P70" s="59" t="inlineStr"/>
      <c r="Q70" s="59" t="inlineStr"/>
      <c r="R70" s="59" t="inlineStr"/>
      <c r="S70" s="59" t="inlineStr"/>
      <c r="T70" s="59" t="inlineStr"/>
      <c r="U70" s="61">
        <f>IF(A70="","",IFERROR(INDEX(E70:T70,MATCH(TRUE,INDEX(E70:T70&lt;&gt;"",0),0)),""))</f>
        <v/>
      </c>
      <c r="V70" s="61">
        <f>IF(A70="","",IFERROR(LOOKUP(2,1/(E70:T70&lt;&gt;""),E70:T70),""))</f>
        <v/>
      </c>
      <c r="W70" s="62">
        <f>IF(OR(A70="",PreviousYear=""),"",IFERROR(LOOKUP(2,1/(E70:T70&lt;&gt;""),E70:T70)-INDEX(E70:T70,MATCH(PreviousYear,$E$5:$T$5,0)),""))</f>
        <v/>
      </c>
      <c r="X70" s="62">
        <f>IF(OR(A70="",U70="",V70=""),"",V70-U70)</f>
        <v/>
      </c>
      <c r="Y70" s="61">
        <f>IF(A70="","",COUNT(E70:T70))</f>
        <v/>
      </c>
    </row>
    <row r="71">
      <c r="A71" s="44">
        <f>IF(AND('Employees'!B10&lt;&gt;"",'Skills'!B7&lt;&gt;""),'Employees'!B10,"")</f>
        <v/>
      </c>
      <c r="B71" s="45">
        <f>IF(A71="","",'Employees'!C10)</f>
        <v/>
      </c>
      <c r="C71" s="58">
        <f>IF(A71="","",'Skills'!B7)</f>
        <v/>
      </c>
      <c r="D71" s="45">
        <f>IF(A71="","",'Skills'!C7)</f>
        <v/>
      </c>
      <c r="E71" s="59" t="inlineStr"/>
      <c r="F71" s="59" t="n">
        <v>1</v>
      </c>
      <c r="G71" s="59" t="n">
        <v>1</v>
      </c>
      <c r="H71" s="60" t="n">
        <v>2</v>
      </c>
      <c r="I71" s="59" t="inlineStr"/>
      <c r="J71" s="59" t="inlineStr"/>
      <c r="K71" s="59" t="inlineStr"/>
      <c r="L71" s="59" t="inlineStr"/>
      <c r="M71" s="59" t="inlineStr"/>
      <c r="N71" s="59" t="inlineStr"/>
      <c r="O71" s="59" t="inlineStr"/>
      <c r="P71" s="59" t="inlineStr"/>
      <c r="Q71" s="59" t="inlineStr"/>
      <c r="R71" s="59" t="inlineStr"/>
      <c r="S71" s="59" t="inlineStr"/>
      <c r="T71" s="59" t="inlineStr"/>
      <c r="U71" s="61">
        <f>IF(A71="","",IFERROR(INDEX(E71:T71,MATCH(TRUE,INDEX(E71:T71&lt;&gt;"",0),0)),""))</f>
        <v/>
      </c>
      <c r="V71" s="61">
        <f>IF(A71="","",IFERROR(LOOKUP(2,1/(E71:T71&lt;&gt;""),E71:T71),""))</f>
        <v/>
      </c>
      <c r="W71" s="62">
        <f>IF(OR(A71="",PreviousYear=""),"",IFERROR(LOOKUP(2,1/(E71:T71&lt;&gt;""),E71:T71)-INDEX(E71:T71,MATCH(PreviousYear,$E$5:$T$5,0)),""))</f>
        <v/>
      </c>
      <c r="X71" s="62">
        <f>IF(OR(A71="",U71="",V71=""),"",V71-U71)</f>
        <v/>
      </c>
      <c r="Y71" s="61">
        <f>IF(A71="","",COUNT(E71:T71))</f>
        <v/>
      </c>
    </row>
    <row r="72">
      <c r="A72" s="44">
        <f>IF(AND('Employees'!B10&lt;&gt;"",'Skills'!B8&lt;&gt;""),'Employees'!B10,"")</f>
        <v/>
      </c>
      <c r="B72" s="45">
        <f>IF(A72="","",'Employees'!C10)</f>
        <v/>
      </c>
      <c r="C72" s="58">
        <f>IF(A72="","",'Skills'!B8)</f>
        <v/>
      </c>
      <c r="D72" s="45">
        <f>IF(A72="","",'Skills'!C8)</f>
        <v/>
      </c>
      <c r="E72" s="59" t="inlineStr"/>
      <c r="F72" s="59" t="n">
        <v>1</v>
      </c>
      <c r="G72" s="59" t="n">
        <v>1</v>
      </c>
      <c r="H72" s="60" t="n">
        <v>2</v>
      </c>
      <c r="I72" s="59" t="inlineStr"/>
      <c r="J72" s="59" t="inlineStr"/>
      <c r="K72" s="59" t="inlineStr"/>
      <c r="L72" s="59" t="inlineStr"/>
      <c r="M72" s="59" t="inlineStr"/>
      <c r="N72" s="59" t="inlineStr"/>
      <c r="O72" s="59" t="inlineStr"/>
      <c r="P72" s="59" t="inlineStr"/>
      <c r="Q72" s="59" t="inlineStr"/>
      <c r="R72" s="59" t="inlineStr"/>
      <c r="S72" s="59" t="inlineStr"/>
      <c r="T72" s="59" t="inlineStr"/>
      <c r="U72" s="61">
        <f>IF(A72="","",IFERROR(INDEX(E72:T72,MATCH(TRUE,INDEX(E72:T72&lt;&gt;"",0),0)),""))</f>
        <v/>
      </c>
      <c r="V72" s="61">
        <f>IF(A72="","",IFERROR(LOOKUP(2,1/(E72:T72&lt;&gt;""),E72:T72),""))</f>
        <v/>
      </c>
      <c r="W72" s="62">
        <f>IF(OR(A72="",PreviousYear=""),"",IFERROR(LOOKUP(2,1/(E72:T72&lt;&gt;""),E72:T72)-INDEX(E72:T72,MATCH(PreviousYear,$E$5:$T$5,0)),""))</f>
        <v/>
      </c>
      <c r="X72" s="62">
        <f>IF(OR(A72="",U72="",V72=""),"",V72-U72)</f>
        <v/>
      </c>
      <c r="Y72" s="61">
        <f>IF(A72="","",COUNT(E72:T72))</f>
        <v/>
      </c>
    </row>
    <row r="73">
      <c r="A73" s="44">
        <f>IF(AND('Employees'!B10&lt;&gt;"",'Skills'!B9&lt;&gt;""),'Employees'!B10,"")</f>
        <v/>
      </c>
      <c r="B73" s="45">
        <f>IF(A73="","",'Employees'!C10)</f>
        <v/>
      </c>
      <c r="C73" s="58">
        <f>IF(A73="","",'Skills'!B9)</f>
        <v/>
      </c>
      <c r="D73" s="45">
        <f>IF(A73="","",'Skills'!C9)</f>
        <v/>
      </c>
      <c r="E73" s="59" t="inlineStr"/>
      <c r="F73" s="59" t="n">
        <v>1</v>
      </c>
      <c r="G73" s="59" t="n">
        <v>1</v>
      </c>
      <c r="H73" s="60" t="n">
        <v>2</v>
      </c>
      <c r="I73" s="59" t="inlineStr"/>
      <c r="J73" s="59" t="inlineStr"/>
      <c r="K73" s="59" t="inlineStr"/>
      <c r="L73" s="59" t="inlineStr"/>
      <c r="M73" s="59" t="inlineStr"/>
      <c r="N73" s="59" t="inlineStr"/>
      <c r="O73" s="59" t="inlineStr"/>
      <c r="P73" s="59" t="inlineStr"/>
      <c r="Q73" s="59" t="inlineStr"/>
      <c r="R73" s="59" t="inlineStr"/>
      <c r="S73" s="59" t="inlineStr"/>
      <c r="T73" s="59" t="inlineStr"/>
      <c r="U73" s="61">
        <f>IF(A73="","",IFERROR(INDEX(E73:T73,MATCH(TRUE,INDEX(E73:T73&lt;&gt;"",0),0)),""))</f>
        <v/>
      </c>
      <c r="V73" s="61">
        <f>IF(A73="","",IFERROR(LOOKUP(2,1/(E73:T73&lt;&gt;""),E73:T73),""))</f>
        <v/>
      </c>
      <c r="W73" s="62">
        <f>IF(OR(A73="",PreviousYear=""),"",IFERROR(LOOKUP(2,1/(E73:T73&lt;&gt;""),E73:T73)-INDEX(E73:T73,MATCH(PreviousYear,$E$5:$T$5,0)),""))</f>
        <v/>
      </c>
      <c r="X73" s="62">
        <f>IF(OR(A73="",U73="",V73=""),"",V73-U73)</f>
        <v/>
      </c>
      <c r="Y73" s="61">
        <f>IF(A73="","",COUNT(E73:T73))</f>
        <v/>
      </c>
    </row>
    <row r="74">
      <c r="A74" s="44">
        <f>IF(AND('Employees'!B10&lt;&gt;"",'Skills'!B10&lt;&gt;""),'Employees'!B10,"")</f>
        <v/>
      </c>
      <c r="B74" s="45">
        <f>IF(A74="","",'Employees'!C10)</f>
        <v/>
      </c>
      <c r="C74" s="58">
        <f>IF(A74="","",'Skills'!B10)</f>
        <v/>
      </c>
      <c r="D74" s="45">
        <f>IF(A74="","",'Skills'!C10)</f>
        <v/>
      </c>
      <c r="E74" s="59" t="inlineStr"/>
      <c r="F74" s="59" t="n">
        <v>1</v>
      </c>
      <c r="G74" s="59" t="n">
        <v>1</v>
      </c>
      <c r="H74" s="60" t="n">
        <v>2</v>
      </c>
      <c r="I74" s="59" t="inlineStr"/>
      <c r="J74" s="59" t="inlineStr"/>
      <c r="K74" s="59" t="inlineStr"/>
      <c r="L74" s="59" t="inlineStr"/>
      <c r="M74" s="59" t="inlineStr"/>
      <c r="N74" s="59" t="inlineStr"/>
      <c r="O74" s="59" t="inlineStr"/>
      <c r="P74" s="59" t="inlineStr"/>
      <c r="Q74" s="59" t="inlineStr"/>
      <c r="R74" s="59" t="inlineStr"/>
      <c r="S74" s="59" t="inlineStr"/>
      <c r="T74" s="59" t="inlineStr"/>
      <c r="U74" s="61">
        <f>IF(A74="","",IFERROR(INDEX(E74:T74,MATCH(TRUE,INDEX(E74:T74&lt;&gt;"",0),0)),""))</f>
        <v/>
      </c>
      <c r="V74" s="61">
        <f>IF(A74="","",IFERROR(LOOKUP(2,1/(E74:T74&lt;&gt;""),E74:T74),""))</f>
        <v/>
      </c>
      <c r="W74" s="62">
        <f>IF(OR(A74="",PreviousYear=""),"",IFERROR(LOOKUP(2,1/(E74:T74&lt;&gt;""),E74:T74)-INDEX(E74:T74,MATCH(PreviousYear,$E$5:$T$5,0)),""))</f>
        <v/>
      </c>
      <c r="X74" s="62">
        <f>IF(OR(A74="",U74="",V74=""),"",V74-U74)</f>
        <v/>
      </c>
      <c r="Y74" s="61">
        <f>IF(A74="","",COUNT(E74:T74))</f>
        <v/>
      </c>
    </row>
    <row r="75">
      <c r="A75" s="44">
        <f>IF(AND('Employees'!B10&lt;&gt;"",'Skills'!B11&lt;&gt;""),'Employees'!B10,"")</f>
        <v/>
      </c>
      <c r="B75" s="45">
        <f>IF(A75="","",'Employees'!C10)</f>
        <v/>
      </c>
      <c r="C75" s="58">
        <f>IF(A75="","",'Skills'!B11)</f>
        <v/>
      </c>
      <c r="D75" s="45">
        <f>IF(A75="","",'Skills'!C11)</f>
        <v/>
      </c>
      <c r="E75" s="59" t="inlineStr"/>
      <c r="F75" s="59" t="n">
        <v>1</v>
      </c>
      <c r="G75" s="59" t="n">
        <v>1</v>
      </c>
      <c r="H75" s="60" t="n">
        <v>2</v>
      </c>
      <c r="I75" s="59" t="inlineStr"/>
      <c r="J75" s="59" t="inlineStr"/>
      <c r="K75" s="59" t="inlineStr"/>
      <c r="L75" s="59" t="inlineStr"/>
      <c r="M75" s="59" t="inlineStr"/>
      <c r="N75" s="59" t="inlineStr"/>
      <c r="O75" s="59" t="inlineStr"/>
      <c r="P75" s="59" t="inlineStr"/>
      <c r="Q75" s="59" t="inlineStr"/>
      <c r="R75" s="59" t="inlineStr"/>
      <c r="S75" s="59" t="inlineStr"/>
      <c r="T75" s="59" t="inlineStr"/>
      <c r="U75" s="61">
        <f>IF(A75="","",IFERROR(INDEX(E75:T75,MATCH(TRUE,INDEX(E75:T75&lt;&gt;"",0),0)),""))</f>
        <v/>
      </c>
      <c r="V75" s="61">
        <f>IF(A75="","",IFERROR(LOOKUP(2,1/(E75:T75&lt;&gt;""),E75:T75),""))</f>
        <v/>
      </c>
      <c r="W75" s="62">
        <f>IF(OR(A75="",PreviousYear=""),"",IFERROR(LOOKUP(2,1/(E75:T75&lt;&gt;""),E75:T75)-INDEX(E75:T75,MATCH(PreviousYear,$E$5:$T$5,0)),""))</f>
        <v/>
      </c>
      <c r="X75" s="62">
        <f>IF(OR(A75="",U75="",V75=""),"",V75-U75)</f>
        <v/>
      </c>
      <c r="Y75" s="61">
        <f>IF(A75="","",COUNT(E75:T75))</f>
        <v/>
      </c>
    </row>
    <row r="76">
      <c r="A76" s="44">
        <f>IF(AND('Employees'!B10&lt;&gt;"",'Skills'!B12&lt;&gt;""),'Employees'!B10,"")</f>
        <v/>
      </c>
      <c r="B76" s="45">
        <f>IF(A76="","",'Employees'!C10)</f>
        <v/>
      </c>
      <c r="C76" s="58">
        <f>IF(A76="","",'Skills'!B12)</f>
        <v/>
      </c>
      <c r="D76" s="45">
        <f>IF(A76="","",'Skills'!C12)</f>
        <v/>
      </c>
      <c r="E76" s="59" t="inlineStr"/>
      <c r="F76" s="59" t="n">
        <v>2</v>
      </c>
      <c r="G76" s="59" t="n">
        <v>2</v>
      </c>
      <c r="H76" s="60" t="n">
        <v>3</v>
      </c>
      <c r="I76" s="59" t="inlineStr"/>
      <c r="J76" s="59" t="inlineStr"/>
      <c r="K76" s="59" t="inlineStr"/>
      <c r="L76" s="59" t="inlineStr"/>
      <c r="M76" s="59" t="inlineStr"/>
      <c r="N76" s="59" t="inlineStr"/>
      <c r="O76" s="59" t="inlineStr"/>
      <c r="P76" s="59" t="inlineStr"/>
      <c r="Q76" s="59" t="inlineStr"/>
      <c r="R76" s="59" t="inlineStr"/>
      <c r="S76" s="59" t="inlineStr"/>
      <c r="T76" s="59" t="inlineStr"/>
      <c r="U76" s="61">
        <f>IF(A76="","",IFERROR(INDEX(E76:T76,MATCH(TRUE,INDEX(E76:T76&lt;&gt;"",0),0)),""))</f>
        <v/>
      </c>
      <c r="V76" s="61">
        <f>IF(A76="","",IFERROR(LOOKUP(2,1/(E76:T76&lt;&gt;""),E76:T76),""))</f>
        <v/>
      </c>
      <c r="W76" s="62">
        <f>IF(OR(A76="",PreviousYear=""),"",IFERROR(LOOKUP(2,1/(E76:T76&lt;&gt;""),E76:T76)-INDEX(E76:T76,MATCH(PreviousYear,$E$5:$T$5,0)),""))</f>
        <v/>
      </c>
      <c r="X76" s="62">
        <f>IF(OR(A76="",U76="",V76=""),"",V76-U76)</f>
        <v/>
      </c>
      <c r="Y76" s="61">
        <f>IF(A76="","",COUNT(E76:T76))</f>
        <v/>
      </c>
    </row>
    <row r="77">
      <c r="A77" s="44">
        <f>IF(AND('Employees'!B10&lt;&gt;"",'Skills'!B13&lt;&gt;""),'Employees'!B10,"")</f>
        <v/>
      </c>
      <c r="B77" s="45">
        <f>IF(A77="","",'Employees'!C10)</f>
        <v/>
      </c>
      <c r="C77" s="58">
        <f>IF(A77="","",'Skills'!B13)</f>
        <v/>
      </c>
      <c r="D77" s="45">
        <f>IF(A77="","",'Skills'!C13)</f>
        <v/>
      </c>
      <c r="E77" s="59" t="inlineStr"/>
      <c r="F77" s="59" t="n">
        <v>3</v>
      </c>
      <c r="G77" s="59" t="n">
        <v>3</v>
      </c>
      <c r="H77" s="60" t="n">
        <v>4</v>
      </c>
      <c r="I77" s="59" t="inlineStr"/>
      <c r="J77" s="59" t="inlineStr"/>
      <c r="K77" s="59" t="inlineStr"/>
      <c r="L77" s="59" t="inlineStr"/>
      <c r="M77" s="59" t="inlineStr"/>
      <c r="N77" s="59" t="inlineStr"/>
      <c r="O77" s="59" t="inlineStr"/>
      <c r="P77" s="59" t="inlineStr"/>
      <c r="Q77" s="59" t="inlineStr"/>
      <c r="R77" s="59" t="inlineStr"/>
      <c r="S77" s="59" t="inlineStr"/>
      <c r="T77" s="59" t="inlineStr"/>
      <c r="U77" s="61">
        <f>IF(A77="","",IFERROR(INDEX(E77:T77,MATCH(TRUE,INDEX(E77:T77&lt;&gt;"",0),0)),""))</f>
        <v/>
      </c>
      <c r="V77" s="61">
        <f>IF(A77="","",IFERROR(LOOKUP(2,1/(E77:T77&lt;&gt;""),E77:T77),""))</f>
        <v/>
      </c>
      <c r="W77" s="62">
        <f>IF(OR(A77="",PreviousYear=""),"",IFERROR(LOOKUP(2,1/(E77:T77&lt;&gt;""),E77:T77)-INDEX(E77:T77,MATCH(PreviousYear,$E$5:$T$5,0)),""))</f>
        <v/>
      </c>
      <c r="X77" s="62">
        <f>IF(OR(A77="",U77="",V77=""),"",V77-U77)</f>
        <v/>
      </c>
      <c r="Y77" s="61">
        <f>IF(A77="","",COUNT(E77:T77))</f>
        <v/>
      </c>
    </row>
    <row r="78">
      <c r="A78" s="44">
        <f>IF(AND('Employees'!B10&lt;&gt;"",'Skills'!B14&lt;&gt;""),'Employees'!B10,"")</f>
        <v/>
      </c>
      <c r="B78" s="45">
        <f>IF(A78="","",'Employees'!C10)</f>
        <v/>
      </c>
      <c r="C78" s="58">
        <f>IF(A78="","",'Skills'!B14)</f>
        <v/>
      </c>
      <c r="D78" s="45">
        <f>IF(A78="","",'Skills'!C14)</f>
        <v/>
      </c>
      <c r="E78" s="59" t="inlineStr"/>
      <c r="F78" s="59" t="n">
        <v>3</v>
      </c>
      <c r="G78" s="59" t="n">
        <v>4</v>
      </c>
      <c r="H78" s="60" t="n">
        <v>5</v>
      </c>
      <c r="I78" s="59" t="inlineStr"/>
      <c r="J78" s="59" t="inlineStr"/>
      <c r="K78" s="59" t="inlineStr"/>
      <c r="L78" s="59" t="inlineStr"/>
      <c r="M78" s="59" t="inlineStr"/>
      <c r="N78" s="59" t="inlineStr"/>
      <c r="O78" s="59" t="inlineStr"/>
      <c r="P78" s="59" t="inlineStr"/>
      <c r="Q78" s="59" t="inlineStr"/>
      <c r="R78" s="59" t="inlineStr"/>
      <c r="S78" s="59" t="inlineStr"/>
      <c r="T78" s="59" t="inlineStr"/>
      <c r="U78" s="61">
        <f>IF(A78="","",IFERROR(INDEX(E78:T78,MATCH(TRUE,INDEX(E78:T78&lt;&gt;"",0),0)),""))</f>
        <v/>
      </c>
      <c r="V78" s="61">
        <f>IF(A78="","",IFERROR(LOOKUP(2,1/(E78:T78&lt;&gt;""),E78:T78),""))</f>
        <v/>
      </c>
      <c r="W78" s="62">
        <f>IF(OR(A78="",PreviousYear=""),"",IFERROR(LOOKUP(2,1/(E78:T78&lt;&gt;""),E78:T78)-INDEX(E78:T78,MATCH(PreviousYear,$E$5:$T$5,0)),""))</f>
        <v/>
      </c>
      <c r="X78" s="62">
        <f>IF(OR(A78="",U78="",V78=""),"",V78-U78)</f>
        <v/>
      </c>
      <c r="Y78" s="61">
        <f>IF(A78="","",COUNT(E78:T78))</f>
        <v/>
      </c>
    </row>
    <row r="79">
      <c r="A79" s="44">
        <f>IF(AND('Employees'!B10&lt;&gt;"",'Skills'!B15&lt;&gt;""),'Employees'!B10,"")</f>
        <v/>
      </c>
      <c r="B79" s="45">
        <f>IF(A79="","",'Employees'!C10)</f>
        <v/>
      </c>
      <c r="C79" s="58">
        <f>IF(A79="","",'Skills'!B15)</f>
        <v/>
      </c>
      <c r="D79" s="45">
        <f>IF(A79="","",'Skills'!C15)</f>
        <v/>
      </c>
      <c r="E79" s="59" t="inlineStr"/>
      <c r="F79" s="59" t="n">
        <v>2</v>
      </c>
      <c r="G79" s="59" t="n">
        <v>2</v>
      </c>
      <c r="H79" s="60" t="n">
        <v>2</v>
      </c>
      <c r="I79" s="59" t="inlineStr"/>
      <c r="J79" s="59" t="inlineStr"/>
      <c r="K79" s="59" t="inlineStr"/>
      <c r="L79" s="59" t="inlineStr"/>
      <c r="M79" s="59" t="inlineStr"/>
      <c r="N79" s="59" t="inlineStr"/>
      <c r="O79" s="59" t="inlineStr"/>
      <c r="P79" s="59" t="inlineStr"/>
      <c r="Q79" s="59" t="inlineStr"/>
      <c r="R79" s="59" t="inlineStr"/>
      <c r="S79" s="59" t="inlineStr"/>
      <c r="T79" s="59" t="inlineStr"/>
      <c r="U79" s="61">
        <f>IF(A79="","",IFERROR(INDEX(E79:T79,MATCH(TRUE,INDEX(E79:T79&lt;&gt;"",0),0)),""))</f>
        <v/>
      </c>
      <c r="V79" s="61">
        <f>IF(A79="","",IFERROR(LOOKUP(2,1/(E79:T79&lt;&gt;""),E79:T79),""))</f>
        <v/>
      </c>
      <c r="W79" s="62">
        <f>IF(OR(A79="",PreviousYear=""),"",IFERROR(LOOKUP(2,1/(E79:T79&lt;&gt;""),E79:T79)-INDEX(E79:T79,MATCH(PreviousYear,$E$5:$T$5,0)),""))</f>
        <v/>
      </c>
      <c r="X79" s="62">
        <f>IF(OR(A79="",U79="",V79=""),"",V79-U79)</f>
        <v/>
      </c>
      <c r="Y79" s="61">
        <f>IF(A79="","",COUNT(E79:T79))</f>
        <v/>
      </c>
    </row>
    <row r="80">
      <c r="A80" s="44">
        <f>IF(AND('Employees'!B10&lt;&gt;"",'Skills'!B16&lt;&gt;""),'Employees'!B10,"")</f>
        <v/>
      </c>
      <c r="B80" s="45">
        <f>IF(A80="","",'Employees'!C10)</f>
        <v/>
      </c>
      <c r="C80" s="58">
        <f>IF(A80="","",'Skills'!B16)</f>
        <v/>
      </c>
      <c r="D80" s="45">
        <f>IF(A80="","",'Skills'!C16)</f>
        <v/>
      </c>
      <c r="E80" s="59" t="inlineStr"/>
      <c r="F80" s="59" t="n">
        <v>3</v>
      </c>
      <c r="G80" s="59" t="n">
        <v>3</v>
      </c>
      <c r="H80" s="60" t="n">
        <v>4</v>
      </c>
      <c r="I80" s="59" t="inlineStr"/>
      <c r="J80" s="59" t="inlineStr"/>
      <c r="K80" s="59" t="inlineStr"/>
      <c r="L80" s="59" t="inlineStr"/>
      <c r="M80" s="59" t="inlineStr"/>
      <c r="N80" s="59" t="inlineStr"/>
      <c r="O80" s="59" t="inlineStr"/>
      <c r="P80" s="59" t="inlineStr"/>
      <c r="Q80" s="59" t="inlineStr"/>
      <c r="R80" s="59" t="inlineStr"/>
      <c r="S80" s="59" t="inlineStr"/>
      <c r="T80" s="59" t="inlineStr"/>
      <c r="U80" s="61">
        <f>IF(A80="","",IFERROR(INDEX(E80:T80,MATCH(TRUE,INDEX(E80:T80&lt;&gt;"",0),0)),""))</f>
        <v/>
      </c>
      <c r="V80" s="61">
        <f>IF(A80="","",IFERROR(LOOKUP(2,1/(E80:T80&lt;&gt;""),E80:T80),""))</f>
        <v/>
      </c>
      <c r="W80" s="62">
        <f>IF(OR(A80="",PreviousYear=""),"",IFERROR(LOOKUP(2,1/(E80:T80&lt;&gt;""),E80:T80)-INDEX(E80:T80,MATCH(PreviousYear,$E$5:$T$5,0)),""))</f>
        <v/>
      </c>
      <c r="X80" s="62">
        <f>IF(OR(A80="",U80="",V80=""),"",V80-U80)</f>
        <v/>
      </c>
      <c r="Y80" s="61">
        <f>IF(A80="","",COUNT(E80:T80))</f>
        <v/>
      </c>
    </row>
    <row r="81">
      <c r="A81" s="44">
        <f>IF(AND('Employees'!B10&lt;&gt;"",'Skills'!B17&lt;&gt;""),'Employees'!B10,"")</f>
        <v/>
      </c>
      <c r="B81" s="45">
        <f>IF(A81="","",'Employees'!C10)</f>
        <v/>
      </c>
      <c r="C81" s="58">
        <f>IF(A81="","",'Skills'!B17)</f>
        <v/>
      </c>
      <c r="D81" s="45">
        <f>IF(A81="","",'Skills'!C17)</f>
        <v/>
      </c>
      <c r="E81" s="59" t="inlineStr"/>
      <c r="F81" s="59" t="inlineStr"/>
      <c r="G81" s="59" t="inlineStr"/>
      <c r="H81" s="60" t="inlineStr"/>
      <c r="I81" s="59" t="inlineStr"/>
      <c r="J81" s="59" t="inlineStr"/>
      <c r="K81" s="59" t="inlineStr"/>
      <c r="L81" s="59" t="inlineStr"/>
      <c r="M81" s="59" t="inlineStr"/>
      <c r="N81" s="59" t="inlineStr"/>
      <c r="O81" s="59" t="inlineStr"/>
      <c r="P81" s="59" t="inlineStr"/>
      <c r="Q81" s="59" t="inlineStr"/>
      <c r="R81" s="59" t="inlineStr"/>
      <c r="S81" s="59" t="inlineStr"/>
      <c r="T81" s="59" t="inlineStr"/>
      <c r="U81" s="61">
        <f>IF(A81="","",IFERROR(INDEX(E81:T81,MATCH(TRUE,INDEX(E81:T81&lt;&gt;"",0),0)),""))</f>
        <v/>
      </c>
      <c r="V81" s="61">
        <f>IF(A81="","",IFERROR(LOOKUP(2,1/(E81:T81&lt;&gt;""),E81:T81),""))</f>
        <v/>
      </c>
      <c r="W81" s="62">
        <f>IF(OR(A81="",PreviousYear=""),"",IFERROR(LOOKUP(2,1/(E81:T81&lt;&gt;""),E81:T81)-INDEX(E81:T81,MATCH(PreviousYear,$E$5:$T$5,0)),""))</f>
        <v/>
      </c>
      <c r="X81" s="62">
        <f>IF(OR(A81="",U81="",V81=""),"",V81-U81)</f>
        <v/>
      </c>
      <c r="Y81" s="61">
        <f>IF(A81="","",COUNT(E81:T81))</f>
        <v/>
      </c>
    </row>
    <row r="82">
      <c r="A82" s="44">
        <f>IF(AND('Employees'!B10&lt;&gt;"",'Skills'!B18&lt;&gt;""),'Employees'!B10,"")</f>
        <v/>
      </c>
      <c r="B82" s="45">
        <f>IF(A82="","",'Employees'!C10)</f>
        <v/>
      </c>
      <c r="C82" s="58">
        <f>IF(A82="","",'Skills'!B18)</f>
        <v/>
      </c>
      <c r="D82" s="45">
        <f>IF(A82="","",'Skills'!C18)</f>
        <v/>
      </c>
      <c r="E82" s="59" t="inlineStr"/>
      <c r="F82" s="59" t="inlineStr"/>
      <c r="G82" s="59" t="inlineStr"/>
      <c r="H82" s="60" t="inlineStr"/>
      <c r="I82" s="59" t="inlineStr"/>
      <c r="J82" s="59" t="inlineStr"/>
      <c r="K82" s="59" t="inlineStr"/>
      <c r="L82" s="59" t="inlineStr"/>
      <c r="M82" s="59" t="inlineStr"/>
      <c r="N82" s="59" t="inlineStr"/>
      <c r="O82" s="59" t="inlineStr"/>
      <c r="P82" s="59" t="inlineStr"/>
      <c r="Q82" s="59" t="inlineStr"/>
      <c r="R82" s="59" t="inlineStr"/>
      <c r="S82" s="59" t="inlineStr"/>
      <c r="T82" s="59" t="inlineStr"/>
      <c r="U82" s="61">
        <f>IF(A82="","",IFERROR(INDEX(E82:T82,MATCH(TRUE,INDEX(E82:T82&lt;&gt;"",0),0)),""))</f>
        <v/>
      </c>
      <c r="V82" s="61">
        <f>IF(A82="","",IFERROR(LOOKUP(2,1/(E82:T82&lt;&gt;""),E82:T82),""))</f>
        <v/>
      </c>
      <c r="W82" s="62">
        <f>IF(OR(A82="",PreviousYear=""),"",IFERROR(LOOKUP(2,1/(E82:T82&lt;&gt;""),E82:T82)-INDEX(E82:T82,MATCH(PreviousYear,$E$5:$T$5,0)),""))</f>
        <v/>
      </c>
      <c r="X82" s="62">
        <f>IF(OR(A82="",U82="",V82=""),"",V82-U82)</f>
        <v/>
      </c>
      <c r="Y82" s="61">
        <f>IF(A82="","",COUNT(E82:T82))</f>
        <v/>
      </c>
    </row>
    <row r="83">
      <c r="A83" s="44">
        <f>IF(AND('Employees'!B10&lt;&gt;"",'Skills'!B19&lt;&gt;""),'Employees'!B10,"")</f>
        <v/>
      </c>
      <c r="B83" s="45">
        <f>IF(A83="","",'Employees'!C10)</f>
        <v/>
      </c>
      <c r="C83" s="58">
        <f>IF(A83="","",'Skills'!B19)</f>
        <v/>
      </c>
      <c r="D83" s="45">
        <f>IF(A83="","",'Skills'!C19)</f>
        <v/>
      </c>
      <c r="E83" s="59" t="inlineStr"/>
      <c r="F83" s="59" t="inlineStr"/>
      <c r="G83" s="59" t="inlineStr"/>
      <c r="H83" s="60" t="inlineStr"/>
      <c r="I83" s="59" t="inlineStr"/>
      <c r="J83" s="59" t="inlineStr"/>
      <c r="K83" s="59" t="inlineStr"/>
      <c r="L83" s="59" t="inlineStr"/>
      <c r="M83" s="59" t="inlineStr"/>
      <c r="N83" s="59" t="inlineStr"/>
      <c r="O83" s="59" t="inlineStr"/>
      <c r="P83" s="59" t="inlineStr"/>
      <c r="Q83" s="59" t="inlineStr"/>
      <c r="R83" s="59" t="inlineStr"/>
      <c r="S83" s="59" t="inlineStr"/>
      <c r="T83" s="59" t="inlineStr"/>
      <c r="U83" s="61">
        <f>IF(A83="","",IFERROR(INDEX(E83:T83,MATCH(TRUE,INDEX(E83:T83&lt;&gt;"",0),0)),""))</f>
        <v/>
      </c>
      <c r="V83" s="61">
        <f>IF(A83="","",IFERROR(LOOKUP(2,1/(E83:T83&lt;&gt;""),E83:T83),""))</f>
        <v/>
      </c>
      <c r="W83" s="62">
        <f>IF(OR(A83="",PreviousYear=""),"",IFERROR(LOOKUP(2,1/(E83:T83&lt;&gt;""),E83:T83)-INDEX(E83:T83,MATCH(PreviousYear,$E$5:$T$5,0)),""))</f>
        <v/>
      </c>
      <c r="X83" s="62">
        <f>IF(OR(A83="",U83="",V83=""),"",V83-U83)</f>
        <v/>
      </c>
      <c r="Y83" s="61">
        <f>IF(A83="","",COUNT(E83:T83))</f>
        <v/>
      </c>
    </row>
    <row r="84">
      <c r="A84" s="44">
        <f>IF(AND('Employees'!B10&lt;&gt;"",'Skills'!B20&lt;&gt;""),'Employees'!B10,"")</f>
        <v/>
      </c>
      <c r="B84" s="45">
        <f>IF(A84="","",'Employees'!C10)</f>
        <v/>
      </c>
      <c r="C84" s="58">
        <f>IF(A84="","",'Skills'!B20)</f>
        <v/>
      </c>
      <c r="D84" s="45">
        <f>IF(A84="","",'Skills'!C20)</f>
        <v/>
      </c>
      <c r="E84" s="59" t="inlineStr"/>
      <c r="F84" s="59" t="inlineStr"/>
      <c r="G84" s="59" t="inlineStr"/>
      <c r="H84" s="60" t="inlineStr"/>
      <c r="I84" s="59" t="inlineStr"/>
      <c r="J84" s="59" t="inlineStr"/>
      <c r="K84" s="59" t="inlineStr"/>
      <c r="L84" s="59" t="inlineStr"/>
      <c r="M84" s="59" t="inlineStr"/>
      <c r="N84" s="59" t="inlineStr"/>
      <c r="O84" s="59" t="inlineStr"/>
      <c r="P84" s="59" t="inlineStr"/>
      <c r="Q84" s="59" t="inlineStr"/>
      <c r="R84" s="59" t="inlineStr"/>
      <c r="S84" s="59" t="inlineStr"/>
      <c r="T84" s="59" t="inlineStr"/>
      <c r="U84" s="61">
        <f>IF(A84="","",IFERROR(INDEX(E84:T84,MATCH(TRUE,INDEX(E84:T84&lt;&gt;"",0),0)),""))</f>
        <v/>
      </c>
      <c r="V84" s="61">
        <f>IF(A84="","",IFERROR(LOOKUP(2,1/(E84:T84&lt;&gt;""),E84:T84),""))</f>
        <v/>
      </c>
      <c r="W84" s="62">
        <f>IF(OR(A84="",PreviousYear=""),"",IFERROR(LOOKUP(2,1/(E84:T84&lt;&gt;""),E84:T84)-INDEX(E84:T84,MATCH(PreviousYear,$E$5:$T$5,0)),""))</f>
        <v/>
      </c>
      <c r="X84" s="62">
        <f>IF(OR(A84="",U84="",V84=""),"",V84-U84)</f>
        <v/>
      </c>
      <c r="Y84" s="61">
        <f>IF(A84="","",COUNT(E84:T84))</f>
        <v/>
      </c>
    </row>
    <row r="85">
      <c r="A85" s="44">
        <f>IF(AND('Employees'!B10&lt;&gt;"",'Skills'!B21&lt;&gt;""),'Employees'!B10,"")</f>
        <v/>
      </c>
      <c r="B85" s="45">
        <f>IF(A85="","",'Employees'!C10)</f>
        <v/>
      </c>
      <c r="C85" s="58">
        <f>IF(A85="","",'Skills'!B21)</f>
        <v/>
      </c>
      <c r="D85" s="45">
        <f>IF(A85="","",'Skills'!C21)</f>
        <v/>
      </c>
      <c r="E85" s="59" t="inlineStr"/>
      <c r="F85" s="59" t="inlineStr"/>
      <c r="G85" s="59" t="inlineStr"/>
      <c r="H85" s="60" t="inlineStr"/>
      <c r="I85" s="59" t="inlineStr"/>
      <c r="J85" s="59" t="inlineStr"/>
      <c r="K85" s="59" t="inlineStr"/>
      <c r="L85" s="59" t="inlineStr"/>
      <c r="M85" s="59" t="inlineStr"/>
      <c r="N85" s="59" t="inlineStr"/>
      <c r="O85" s="59" t="inlineStr"/>
      <c r="P85" s="59" t="inlineStr"/>
      <c r="Q85" s="59" t="inlineStr"/>
      <c r="R85" s="59" t="inlineStr"/>
      <c r="S85" s="59" t="inlineStr"/>
      <c r="T85" s="59" t="inlineStr"/>
      <c r="U85" s="61">
        <f>IF(A85="","",IFERROR(INDEX(E85:T85,MATCH(TRUE,INDEX(E85:T85&lt;&gt;"",0),0)),""))</f>
        <v/>
      </c>
      <c r="V85" s="61">
        <f>IF(A85="","",IFERROR(LOOKUP(2,1/(E85:T85&lt;&gt;""),E85:T85),""))</f>
        <v/>
      </c>
      <c r="W85" s="62">
        <f>IF(OR(A85="",PreviousYear=""),"",IFERROR(LOOKUP(2,1/(E85:T85&lt;&gt;""),E85:T85)-INDEX(E85:T85,MATCH(PreviousYear,$E$5:$T$5,0)),""))</f>
        <v/>
      </c>
      <c r="X85" s="62">
        <f>IF(OR(A85="",U85="",V85=""),"",V85-U85)</f>
        <v/>
      </c>
      <c r="Y85" s="61">
        <f>IF(A85="","",COUNT(E85:T85))</f>
        <v/>
      </c>
    </row>
    <row r="86">
      <c r="A86" s="44">
        <f>IF(AND('Employees'!B11&lt;&gt;"",'Skills'!B6&lt;&gt;""),'Employees'!B11,"")</f>
        <v/>
      </c>
      <c r="B86" s="45">
        <f>IF(A86="","",'Employees'!C11)</f>
        <v/>
      </c>
      <c r="C86" s="58">
        <f>IF(A86="","",'Skills'!B6)</f>
        <v/>
      </c>
      <c r="D86" s="45">
        <f>IF(A86="","",'Skills'!C6)</f>
        <v/>
      </c>
      <c r="E86" s="59" t="n">
        <v>1</v>
      </c>
      <c r="F86" s="59" t="n">
        <v>1</v>
      </c>
      <c r="G86" s="59" t="n">
        <v>1</v>
      </c>
      <c r="H86" s="60" t="n">
        <v>2</v>
      </c>
      <c r="I86" s="59" t="inlineStr"/>
      <c r="J86" s="59" t="inlineStr"/>
      <c r="K86" s="59" t="inlineStr"/>
      <c r="L86" s="59" t="inlineStr"/>
      <c r="M86" s="59" t="inlineStr"/>
      <c r="N86" s="59" t="inlineStr"/>
      <c r="O86" s="59" t="inlineStr"/>
      <c r="P86" s="59" t="inlineStr"/>
      <c r="Q86" s="59" t="inlineStr"/>
      <c r="R86" s="59" t="inlineStr"/>
      <c r="S86" s="59" t="inlineStr"/>
      <c r="T86" s="59" t="inlineStr"/>
      <c r="U86" s="61">
        <f>IF(A86="","",IFERROR(INDEX(E86:T86,MATCH(TRUE,INDEX(E86:T86&lt;&gt;"",0),0)),""))</f>
        <v/>
      </c>
      <c r="V86" s="61">
        <f>IF(A86="","",IFERROR(LOOKUP(2,1/(E86:T86&lt;&gt;""),E86:T86),""))</f>
        <v/>
      </c>
      <c r="W86" s="62">
        <f>IF(OR(A86="",PreviousYear=""),"",IFERROR(LOOKUP(2,1/(E86:T86&lt;&gt;""),E86:T86)-INDEX(E86:T86,MATCH(PreviousYear,$E$5:$T$5,0)),""))</f>
        <v/>
      </c>
      <c r="X86" s="62">
        <f>IF(OR(A86="",U86="",V86=""),"",V86-U86)</f>
        <v/>
      </c>
      <c r="Y86" s="61">
        <f>IF(A86="","",COUNT(E86:T86))</f>
        <v/>
      </c>
    </row>
    <row r="87">
      <c r="A87" s="44">
        <f>IF(AND('Employees'!B11&lt;&gt;"",'Skills'!B7&lt;&gt;""),'Employees'!B11,"")</f>
        <v/>
      </c>
      <c r="B87" s="45">
        <f>IF(A87="","",'Employees'!C11)</f>
        <v/>
      </c>
      <c r="C87" s="58">
        <f>IF(A87="","",'Skills'!B7)</f>
        <v/>
      </c>
      <c r="D87" s="45">
        <f>IF(A87="","",'Skills'!C7)</f>
        <v/>
      </c>
      <c r="E87" s="59" t="n">
        <v>1</v>
      </c>
      <c r="F87" s="59" t="n">
        <v>1</v>
      </c>
      <c r="G87" s="59" t="n">
        <v>2</v>
      </c>
      <c r="H87" s="60" t="n">
        <v>2</v>
      </c>
      <c r="I87" s="59" t="inlineStr"/>
      <c r="J87" s="59" t="inlineStr"/>
      <c r="K87" s="59" t="inlineStr"/>
      <c r="L87" s="59" t="inlineStr"/>
      <c r="M87" s="59" t="inlineStr"/>
      <c r="N87" s="59" t="inlineStr"/>
      <c r="O87" s="59" t="inlineStr"/>
      <c r="P87" s="59" t="inlineStr"/>
      <c r="Q87" s="59" t="inlineStr"/>
      <c r="R87" s="59" t="inlineStr"/>
      <c r="S87" s="59" t="inlineStr"/>
      <c r="T87" s="59" t="inlineStr"/>
      <c r="U87" s="61">
        <f>IF(A87="","",IFERROR(INDEX(E87:T87,MATCH(TRUE,INDEX(E87:T87&lt;&gt;"",0),0)),""))</f>
        <v/>
      </c>
      <c r="V87" s="61">
        <f>IF(A87="","",IFERROR(LOOKUP(2,1/(E87:T87&lt;&gt;""),E87:T87),""))</f>
        <v/>
      </c>
      <c r="W87" s="62">
        <f>IF(OR(A87="",PreviousYear=""),"",IFERROR(LOOKUP(2,1/(E87:T87&lt;&gt;""),E87:T87)-INDEX(E87:T87,MATCH(PreviousYear,$E$5:$T$5,0)),""))</f>
        <v/>
      </c>
      <c r="X87" s="62">
        <f>IF(OR(A87="",U87="",V87=""),"",V87-U87)</f>
        <v/>
      </c>
      <c r="Y87" s="61">
        <f>IF(A87="","",COUNT(E87:T87))</f>
        <v/>
      </c>
    </row>
    <row r="88">
      <c r="A88" s="44">
        <f>IF(AND('Employees'!B11&lt;&gt;"",'Skills'!B8&lt;&gt;""),'Employees'!B11,"")</f>
        <v/>
      </c>
      <c r="B88" s="45">
        <f>IF(A88="","",'Employees'!C11)</f>
        <v/>
      </c>
      <c r="C88" s="58">
        <f>IF(A88="","",'Skills'!B8)</f>
        <v/>
      </c>
      <c r="D88" s="45">
        <f>IF(A88="","",'Skills'!C8)</f>
        <v/>
      </c>
      <c r="E88" s="59" t="n">
        <v>1</v>
      </c>
      <c r="F88" s="59" t="n">
        <v>1</v>
      </c>
      <c r="G88" s="59" t="n">
        <v>1</v>
      </c>
      <c r="H88" s="60" t="n">
        <v>2</v>
      </c>
      <c r="I88" s="59" t="inlineStr"/>
      <c r="J88" s="59" t="inlineStr"/>
      <c r="K88" s="59" t="inlineStr"/>
      <c r="L88" s="59" t="inlineStr"/>
      <c r="M88" s="59" t="inlineStr"/>
      <c r="N88" s="59" t="inlineStr"/>
      <c r="O88" s="59" t="inlineStr"/>
      <c r="P88" s="59" t="inlineStr"/>
      <c r="Q88" s="59" t="inlineStr"/>
      <c r="R88" s="59" t="inlineStr"/>
      <c r="S88" s="59" t="inlineStr"/>
      <c r="T88" s="59" t="inlineStr"/>
      <c r="U88" s="61">
        <f>IF(A88="","",IFERROR(INDEX(E88:T88,MATCH(TRUE,INDEX(E88:T88&lt;&gt;"",0),0)),""))</f>
        <v/>
      </c>
      <c r="V88" s="61">
        <f>IF(A88="","",IFERROR(LOOKUP(2,1/(E88:T88&lt;&gt;""),E88:T88),""))</f>
        <v/>
      </c>
      <c r="W88" s="62">
        <f>IF(OR(A88="",PreviousYear=""),"",IFERROR(LOOKUP(2,1/(E88:T88&lt;&gt;""),E88:T88)-INDEX(E88:T88,MATCH(PreviousYear,$E$5:$T$5,0)),""))</f>
        <v/>
      </c>
      <c r="X88" s="62">
        <f>IF(OR(A88="",U88="",V88=""),"",V88-U88)</f>
        <v/>
      </c>
      <c r="Y88" s="61">
        <f>IF(A88="","",COUNT(E88:T88))</f>
        <v/>
      </c>
    </row>
    <row r="89">
      <c r="A89" s="44">
        <f>IF(AND('Employees'!B11&lt;&gt;"",'Skills'!B9&lt;&gt;""),'Employees'!B11,"")</f>
        <v/>
      </c>
      <c r="B89" s="45">
        <f>IF(A89="","",'Employees'!C11)</f>
        <v/>
      </c>
      <c r="C89" s="58">
        <f>IF(A89="","",'Skills'!B9)</f>
        <v/>
      </c>
      <c r="D89" s="45">
        <f>IF(A89="","",'Skills'!C9)</f>
        <v/>
      </c>
      <c r="E89" s="59" t="n">
        <v>1</v>
      </c>
      <c r="F89" s="59" t="n">
        <v>2</v>
      </c>
      <c r="G89" s="59" t="n">
        <v>2</v>
      </c>
      <c r="H89" s="60" t="n">
        <v>2</v>
      </c>
      <c r="I89" s="59" t="inlineStr"/>
      <c r="J89" s="59" t="inlineStr"/>
      <c r="K89" s="59" t="inlineStr"/>
      <c r="L89" s="59" t="inlineStr"/>
      <c r="M89" s="59" t="inlineStr"/>
      <c r="N89" s="59" t="inlineStr"/>
      <c r="O89" s="59" t="inlineStr"/>
      <c r="P89" s="59" t="inlineStr"/>
      <c r="Q89" s="59" t="inlineStr"/>
      <c r="R89" s="59" t="inlineStr"/>
      <c r="S89" s="59" t="inlineStr"/>
      <c r="T89" s="59" t="inlineStr"/>
      <c r="U89" s="61">
        <f>IF(A89="","",IFERROR(INDEX(E89:T89,MATCH(TRUE,INDEX(E89:T89&lt;&gt;"",0),0)),""))</f>
        <v/>
      </c>
      <c r="V89" s="61">
        <f>IF(A89="","",IFERROR(LOOKUP(2,1/(E89:T89&lt;&gt;""),E89:T89),""))</f>
        <v/>
      </c>
      <c r="W89" s="62">
        <f>IF(OR(A89="",PreviousYear=""),"",IFERROR(LOOKUP(2,1/(E89:T89&lt;&gt;""),E89:T89)-INDEX(E89:T89,MATCH(PreviousYear,$E$5:$T$5,0)),""))</f>
        <v/>
      </c>
      <c r="X89" s="62">
        <f>IF(OR(A89="",U89="",V89=""),"",V89-U89)</f>
        <v/>
      </c>
      <c r="Y89" s="61">
        <f>IF(A89="","",COUNT(E89:T89))</f>
        <v/>
      </c>
    </row>
    <row r="90">
      <c r="A90" s="44">
        <f>IF(AND('Employees'!B11&lt;&gt;"",'Skills'!B10&lt;&gt;""),'Employees'!B11,"")</f>
        <v/>
      </c>
      <c r="B90" s="45">
        <f>IF(A90="","",'Employees'!C11)</f>
        <v/>
      </c>
      <c r="C90" s="58">
        <f>IF(A90="","",'Skills'!B10)</f>
        <v/>
      </c>
      <c r="D90" s="45">
        <f>IF(A90="","",'Skills'!C10)</f>
        <v/>
      </c>
      <c r="E90" s="59" t="n">
        <v>1</v>
      </c>
      <c r="F90" s="59" t="n">
        <v>1</v>
      </c>
      <c r="G90" s="59" t="n">
        <v>1</v>
      </c>
      <c r="H90" s="60" t="n">
        <v>2</v>
      </c>
      <c r="I90" s="59" t="inlineStr"/>
      <c r="J90" s="59" t="inlineStr"/>
      <c r="K90" s="59" t="inlineStr"/>
      <c r="L90" s="59" t="inlineStr"/>
      <c r="M90" s="59" t="inlineStr"/>
      <c r="N90" s="59" t="inlineStr"/>
      <c r="O90" s="59" t="inlineStr"/>
      <c r="P90" s="59" t="inlineStr"/>
      <c r="Q90" s="59" t="inlineStr"/>
      <c r="R90" s="59" t="inlineStr"/>
      <c r="S90" s="59" t="inlineStr"/>
      <c r="T90" s="59" t="inlineStr"/>
      <c r="U90" s="61">
        <f>IF(A90="","",IFERROR(INDEX(E90:T90,MATCH(TRUE,INDEX(E90:T90&lt;&gt;"",0),0)),""))</f>
        <v/>
      </c>
      <c r="V90" s="61">
        <f>IF(A90="","",IFERROR(LOOKUP(2,1/(E90:T90&lt;&gt;""),E90:T90),""))</f>
        <v/>
      </c>
      <c r="W90" s="62">
        <f>IF(OR(A90="",PreviousYear=""),"",IFERROR(LOOKUP(2,1/(E90:T90&lt;&gt;""),E90:T90)-INDEX(E90:T90,MATCH(PreviousYear,$E$5:$T$5,0)),""))</f>
        <v/>
      </c>
      <c r="X90" s="62">
        <f>IF(OR(A90="",U90="",V90=""),"",V90-U90)</f>
        <v/>
      </c>
      <c r="Y90" s="61">
        <f>IF(A90="","",COUNT(E90:T90))</f>
        <v/>
      </c>
    </row>
    <row r="91">
      <c r="A91" s="44">
        <f>IF(AND('Employees'!B11&lt;&gt;"",'Skills'!B11&lt;&gt;""),'Employees'!B11,"")</f>
        <v/>
      </c>
      <c r="B91" s="45">
        <f>IF(A91="","",'Employees'!C11)</f>
        <v/>
      </c>
      <c r="C91" s="58">
        <f>IF(A91="","",'Skills'!B11)</f>
        <v/>
      </c>
      <c r="D91" s="45">
        <f>IF(A91="","",'Skills'!C11)</f>
        <v/>
      </c>
      <c r="E91" s="59" t="n">
        <v>1</v>
      </c>
      <c r="F91" s="59" t="n">
        <v>2</v>
      </c>
      <c r="G91" s="59" t="n">
        <v>2</v>
      </c>
      <c r="H91" s="60" t="n">
        <v>2</v>
      </c>
      <c r="I91" s="59" t="inlineStr"/>
      <c r="J91" s="59" t="inlineStr"/>
      <c r="K91" s="59" t="inlineStr"/>
      <c r="L91" s="59" t="inlineStr"/>
      <c r="M91" s="59" t="inlineStr"/>
      <c r="N91" s="59" t="inlineStr"/>
      <c r="O91" s="59" t="inlineStr"/>
      <c r="P91" s="59" t="inlineStr"/>
      <c r="Q91" s="59" t="inlineStr"/>
      <c r="R91" s="59" t="inlineStr"/>
      <c r="S91" s="59" t="inlineStr"/>
      <c r="T91" s="59" t="inlineStr"/>
      <c r="U91" s="61">
        <f>IF(A91="","",IFERROR(INDEX(E91:T91,MATCH(TRUE,INDEX(E91:T91&lt;&gt;"",0),0)),""))</f>
        <v/>
      </c>
      <c r="V91" s="61">
        <f>IF(A91="","",IFERROR(LOOKUP(2,1/(E91:T91&lt;&gt;""),E91:T91),""))</f>
        <v/>
      </c>
      <c r="W91" s="62">
        <f>IF(OR(A91="",PreviousYear=""),"",IFERROR(LOOKUP(2,1/(E91:T91&lt;&gt;""),E91:T91)-INDEX(E91:T91,MATCH(PreviousYear,$E$5:$T$5,0)),""))</f>
        <v/>
      </c>
      <c r="X91" s="62">
        <f>IF(OR(A91="",U91="",V91=""),"",V91-U91)</f>
        <v/>
      </c>
      <c r="Y91" s="61">
        <f>IF(A91="","",COUNT(E91:T91))</f>
        <v/>
      </c>
    </row>
    <row r="92">
      <c r="A92" s="44">
        <f>IF(AND('Employees'!B11&lt;&gt;"",'Skills'!B12&lt;&gt;""),'Employees'!B11,"")</f>
        <v/>
      </c>
      <c r="B92" s="45">
        <f>IF(A92="","",'Employees'!C11)</f>
        <v/>
      </c>
      <c r="C92" s="58">
        <f>IF(A92="","",'Skills'!B12)</f>
        <v/>
      </c>
      <c r="D92" s="45">
        <f>IF(A92="","",'Skills'!C12)</f>
        <v/>
      </c>
      <c r="E92" s="59" t="n">
        <v>3</v>
      </c>
      <c r="F92" s="59" t="n">
        <v>3</v>
      </c>
      <c r="G92" s="59" t="n">
        <v>3</v>
      </c>
      <c r="H92" s="60" t="n">
        <v>3</v>
      </c>
      <c r="I92" s="59" t="inlineStr"/>
      <c r="J92" s="59" t="inlineStr"/>
      <c r="K92" s="59" t="inlineStr"/>
      <c r="L92" s="59" t="inlineStr"/>
      <c r="M92" s="59" t="inlineStr"/>
      <c r="N92" s="59" t="inlineStr"/>
      <c r="O92" s="59" t="inlineStr"/>
      <c r="P92" s="59" t="inlineStr"/>
      <c r="Q92" s="59" t="inlineStr"/>
      <c r="R92" s="59" t="inlineStr"/>
      <c r="S92" s="59" t="inlineStr"/>
      <c r="T92" s="59" t="inlineStr"/>
      <c r="U92" s="61">
        <f>IF(A92="","",IFERROR(INDEX(E92:T92,MATCH(TRUE,INDEX(E92:T92&lt;&gt;"",0),0)),""))</f>
        <v/>
      </c>
      <c r="V92" s="61">
        <f>IF(A92="","",IFERROR(LOOKUP(2,1/(E92:T92&lt;&gt;""),E92:T92),""))</f>
        <v/>
      </c>
      <c r="W92" s="62">
        <f>IF(OR(A92="",PreviousYear=""),"",IFERROR(LOOKUP(2,1/(E92:T92&lt;&gt;""),E92:T92)-INDEX(E92:T92,MATCH(PreviousYear,$E$5:$T$5,0)),""))</f>
        <v/>
      </c>
      <c r="X92" s="62">
        <f>IF(OR(A92="",U92="",V92=""),"",V92-U92)</f>
        <v/>
      </c>
      <c r="Y92" s="61">
        <f>IF(A92="","",COUNT(E92:T92))</f>
        <v/>
      </c>
    </row>
    <row r="93">
      <c r="A93" s="44">
        <f>IF(AND('Employees'!B11&lt;&gt;"",'Skills'!B13&lt;&gt;""),'Employees'!B11,"")</f>
        <v/>
      </c>
      <c r="B93" s="45">
        <f>IF(A93="","",'Employees'!C11)</f>
        <v/>
      </c>
      <c r="C93" s="58">
        <f>IF(A93="","",'Skills'!B13)</f>
        <v/>
      </c>
      <c r="D93" s="45">
        <f>IF(A93="","",'Skills'!C13)</f>
        <v/>
      </c>
      <c r="E93" s="59" t="n">
        <v>1</v>
      </c>
      <c r="F93" s="59" t="n">
        <v>2</v>
      </c>
      <c r="G93" s="59" t="n">
        <v>3</v>
      </c>
      <c r="H93" s="60" t="n">
        <v>3</v>
      </c>
      <c r="I93" s="59" t="inlineStr"/>
      <c r="J93" s="59" t="inlineStr"/>
      <c r="K93" s="59" t="inlineStr"/>
      <c r="L93" s="59" t="inlineStr"/>
      <c r="M93" s="59" t="inlineStr"/>
      <c r="N93" s="59" t="inlineStr"/>
      <c r="O93" s="59" t="inlineStr"/>
      <c r="P93" s="59" t="inlineStr"/>
      <c r="Q93" s="59" t="inlineStr"/>
      <c r="R93" s="59" t="inlineStr"/>
      <c r="S93" s="59" t="inlineStr"/>
      <c r="T93" s="59" t="inlineStr"/>
      <c r="U93" s="61">
        <f>IF(A93="","",IFERROR(INDEX(E93:T93,MATCH(TRUE,INDEX(E93:T93&lt;&gt;"",0),0)),""))</f>
        <v/>
      </c>
      <c r="V93" s="61">
        <f>IF(A93="","",IFERROR(LOOKUP(2,1/(E93:T93&lt;&gt;""),E93:T93),""))</f>
        <v/>
      </c>
      <c r="W93" s="62">
        <f>IF(OR(A93="",PreviousYear=""),"",IFERROR(LOOKUP(2,1/(E93:T93&lt;&gt;""),E93:T93)-INDEX(E93:T93,MATCH(PreviousYear,$E$5:$T$5,0)),""))</f>
        <v/>
      </c>
      <c r="X93" s="62">
        <f>IF(OR(A93="",U93="",V93=""),"",V93-U93)</f>
        <v/>
      </c>
      <c r="Y93" s="61">
        <f>IF(A93="","",COUNT(E93:T93))</f>
        <v/>
      </c>
    </row>
    <row r="94">
      <c r="A94" s="44">
        <f>IF(AND('Employees'!B11&lt;&gt;"",'Skills'!B14&lt;&gt;""),'Employees'!B11,"")</f>
        <v/>
      </c>
      <c r="B94" s="45">
        <f>IF(A94="","",'Employees'!C11)</f>
        <v/>
      </c>
      <c r="C94" s="58">
        <f>IF(A94="","",'Skills'!B14)</f>
        <v/>
      </c>
      <c r="D94" s="45">
        <f>IF(A94="","",'Skills'!C14)</f>
        <v/>
      </c>
      <c r="E94" s="59" t="n">
        <v>3</v>
      </c>
      <c r="F94" s="59" t="n">
        <v>3</v>
      </c>
      <c r="G94" s="59" t="n">
        <v>3</v>
      </c>
      <c r="H94" s="60" t="n">
        <v>3</v>
      </c>
      <c r="I94" s="59" t="inlineStr"/>
      <c r="J94" s="59" t="inlineStr"/>
      <c r="K94" s="59" t="inlineStr"/>
      <c r="L94" s="59" t="inlineStr"/>
      <c r="M94" s="59" t="inlineStr"/>
      <c r="N94" s="59" t="inlineStr"/>
      <c r="O94" s="59" t="inlineStr"/>
      <c r="P94" s="59" t="inlineStr"/>
      <c r="Q94" s="59" t="inlineStr"/>
      <c r="R94" s="59" t="inlineStr"/>
      <c r="S94" s="59" t="inlineStr"/>
      <c r="T94" s="59" t="inlineStr"/>
      <c r="U94" s="61">
        <f>IF(A94="","",IFERROR(INDEX(E94:T94,MATCH(TRUE,INDEX(E94:T94&lt;&gt;"",0),0)),""))</f>
        <v/>
      </c>
      <c r="V94" s="61">
        <f>IF(A94="","",IFERROR(LOOKUP(2,1/(E94:T94&lt;&gt;""),E94:T94),""))</f>
        <v/>
      </c>
      <c r="W94" s="62">
        <f>IF(OR(A94="",PreviousYear=""),"",IFERROR(LOOKUP(2,1/(E94:T94&lt;&gt;""),E94:T94)-INDEX(E94:T94,MATCH(PreviousYear,$E$5:$T$5,0)),""))</f>
        <v/>
      </c>
      <c r="X94" s="62">
        <f>IF(OR(A94="",U94="",V94=""),"",V94-U94)</f>
        <v/>
      </c>
      <c r="Y94" s="61">
        <f>IF(A94="","",COUNT(E94:T94))</f>
        <v/>
      </c>
    </row>
    <row r="95">
      <c r="A95" s="44">
        <f>IF(AND('Employees'!B11&lt;&gt;"",'Skills'!B15&lt;&gt;""),'Employees'!B11,"")</f>
        <v/>
      </c>
      <c r="B95" s="45">
        <f>IF(A95="","",'Employees'!C11)</f>
        <v/>
      </c>
      <c r="C95" s="58">
        <f>IF(A95="","",'Skills'!B15)</f>
        <v/>
      </c>
      <c r="D95" s="45">
        <f>IF(A95="","",'Skills'!C15)</f>
        <v/>
      </c>
      <c r="E95" s="59" t="n">
        <v>3</v>
      </c>
      <c r="F95" s="59" t="n">
        <v>4</v>
      </c>
      <c r="G95" s="59" t="n">
        <v>4</v>
      </c>
      <c r="H95" s="60" t="n">
        <v>5</v>
      </c>
      <c r="I95" s="59" t="inlineStr"/>
      <c r="J95" s="59" t="inlineStr"/>
      <c r="K95" s="59" t="inlineStr"/>
      <c r="L95" s="59" t="inlineStr"/>
      <c r="M95" s="59" t="inlineStr"/>
      <c r="N95" s="59" t="inlineStr"/>
      <c r="O95" s="59" t="inlineStr"/>
      <c r="P95" s="59" t="inlineStr"/>
      <c r="Q95" s="59" t="inlineStr"/>
      <c r="R95" s="59" t="inlineStr"/>
      <c r="S95" s="59" t="inlineStr"/>
      <c r="T95" s="59" t="inlineStr"/>
      <c r="U95" s="61">
        <f>IF(A95="","",IFERROR(INDEX(E95:T95,MATCH(TRUE,INDEX(E95:T95&lt;&gt;"",0),0)),""))</f>
        <v/>
      </c>
      <c r="V95" s="61">
        <f>IF(A95="","",IFERROR(LOOKUP(2,1/(E95:T95&lt;&gt;""),E95:T95),""))</f>
        <v/>
      </c>
      <c r="W95" s="62">
        <f>IF(OR(A95="",PreviousYear=""),"",IFERROR(LOOKUP(2,1/(E95:T95&lt;&gt;""),E95:T95)-INDEX(E95:T95,MATCH(PreviousYear,$E$5:$T$5,0)),""))</f>
        <v/>
      </c>
      <c r="X95" s="62">
        <f>IF(OR(A95="",U95="",V95=""),"",V95-U95)</f>
        <v/>
      </c>
      <c r="Y95" s="61">
        <f>IF(A95="","",COUNT(E95:T95))</f>
        <v/>
      </c>
    </row>
    <row r="96">
      <c r="A96" s="44">
        <f>IF(AND('Employees'!B11&lt;&gt;"",'Skills'!B16&lt;&gt;""),'Employees'!B11,"")</f>
        <v/>
      </c>
      <c r="B96" s="45">
        <f>IF(A96="","",'Employees'!C11)</f>
        <v/>
      </c>
      <c r="C96" s="58">
        <f>IF(A96="","",'Skills'!B16)</f>
        <v/>
      </c>
      <c r="D96" s="45">
        <f>IF(A96="","",'Skills'!C16)</f>
        <v/>
      </c>
      <c r="E96" s="59" t="n">
        <v>1</v>
      </c>
      <c r="F96" s="59" t="n">
        <v>1</v>
      </c>
      <c r="G96" s="59" t="n">
        <v>2</v>
      </c>
      <c r="H96" s="60" t="n">
        <v>3</v>
      </c>
      <c r="I96" s="59" t="inlineStr"/>
      <c r="J96" s="59" t="inlineStr"/>
      <c r="K96" s="59" t="inlineStr"/>
      <c r="L96" s="59" t="inlineStr"/>
      <c r="M96" s="59" t="inlineStr"/>
      <c r="N96" s="59" t="inlineStr"/>
      <c r="O96" s="59" t="inlineStr"/>
      <c r="P96" s="59" t="inlineStr"/>
      <c r="Q96" s="59" t="inlineStr"/>
      <c r="R96" s="59" t="inlineStr"/>
      <c r="S96" s="59" t="inlineStr"/>
      <c r="T96" s="59" t="inlineStr"/>
      <c r="U96" s="61">
        <f>IF(A96="","",IFERROR(INDEX(E96:T96,MATCH(TRUE,INDEX(E96:T96&lt;&gt;"",0),0)),""))</f>
        <v/>
      </c>
      <c r="V96" s="61">
        <f>IF(A96="","",IFERROR(LOOKUP(2,1/(E96:T96&lt;&gt;""),E96:T96),""))</f>
        <v/>
      </c>
      <c r="W96" s="62">
        <f>IF(OR(A96="",PreviousYear=""),"",IFERROR(LOOKUP(2,1/(E96:T96&lt;&gt;""),E96:T96)-INDEX(E96:T96,MATCH(PreviousYear,$E$5:$T$5,0)),""))</f>
        <v/>
      </c>
      <c r="X96" s="62">
        <f>IF(OR(A96="",U96="",V96=""),"",V96-U96)</f>
        <v/>
      </c>
      <c r="Y96" s="61">
        <f>IF(A96="","",COUNT(E96:T96))</f>
        <v/>
      </c>
    </row>
    <row r="97">
      <c r="A97" s="44">
        <f>IF(AND('Employees'!B11&lt;&gt;"",'Skills'!B17&lt;&gt;""),'Employees'!B11,"")</f>
        <v/>
      </c>
      <c r="B97" s="45">
        <f>IF(A97="","",'Employees'!C11)</f>
        <v/>
      </c>
      <c r="C97" s="58">
        <f>IF(A97="","",'Skills'!B17)</f>
        <v/>
      </c>
      <c r="D97" s="45">
        <f>IF(A97="","",'Skills'!C17)</f>
        <v/>
      </c>
      <c r="E97" s="59" t="inlineStr"/>
      <c r="F97" s="59" t="inlineStr"/>
      <c r="G97" s="59" t="inlineStr"/>
      <c r="H97" s="60" t="inlineStr"/>
      <c r="I97" s="59" t="inlineStr"/>
      <c r="J97" s="59" t="inlineStr"/>
      <c r="K97" s="59" t="inlineStr"/>
      <c r="L97" s="59" t="inlineStr"/>
      <c r="M97" s="59" t="inlineStr"/>
      <c r="N97" s="59" t="inlineStr"/>
      <c r="O97" s="59" t="inlineStr"/>
      <c r="P97" s="59" t="inlineStr"/>
      <c r="Q97" s="59" t="inlineStr"/>
      <c r="R97" s="59" t="inlineStr"/>
      <c r="S97" s="59" t="inlineStr"/>
      <c r="T97" s="59" t="inlineStr"/>
      <c r="U97" s="61">
        <f>IF(A97="","",IFERROR(INDEX(E97:T97,MATCH(TRUE,INDEX(E97:T97&lt;&gt;"",0),0)),""))</f>
        <v/>
      </c>
      <c r="V97" s="61">
        <f>IF(A97="","",IFERROR(LOOKUP(2,1/(E97:T97&lt;&gt;""),E97:T97),""))</f>
        <v/>
      </c>
      <c r="W97" s="62">
        <f>IF(OR(A97="",PreviousYear=""),"",IFERROR(LOOKUP(2,1/(E97:T97&lt;&gt;""),E97:T97)-INDEX(E97:T97,MATCH(PreviousYear,$E$5:$T$5,0)),""))</f>
        <v/>
      </c>
      <c r="X97" s="62">
        <f>IF(OR(A97="",U97="",V97=""),"",V97-U97)</f>
        <v/>
      </c>
      <c r="Y97" s="61">
        <f>IF(A97="","",COUNT(E97:T97))</f>
        <v/>
      </c>
    </row>
    <row r="98">
      <c r="A98" s="44">
        <f>IF(AND('Employees'!B11&lt;&gt;"",'Skills'!B18&lt;&gt;""),'Employees'!B11,"")</f>
        <v/>
      </c>
      <c r="B98" s="45">
        <f>IF(A98="","",'Employees'!C11)</f>
        <v/>
      </c>
      <c r="C98" s="58">
        <f>IF(A98="","",'Skills'!B18)</f>
        <v/>
      </c>
      <c r="D98" s="45">
        <f>IF(A98="","",'Skills'!C18)</f>
        <v/>
      </c>
      <c r="E98" s="59" t="inlineStr"/>
      <c r="F98" s="59" t="inlineStr"/>
      <c r="G98" s="59" t="inlineStr"/>
      <c r="H98" s="60" t="inlineStr"/>
      <c r="I98" s="59" t="inlineStr"/>
      <c r="J98" s="59" t="inlineStr"/>
      <c r="K98" s="59" t="inlineStr"/>
      <c r="L98" s="59" t="inlineStr"/>
      <c r="M98" s="59" t="inlineStr"/>
      <c r="N98" s="59" t="inlineStr"/>
      <c r="O98" s="59" t="inlineStr"/>
      <c r="P98" s="59" t="inlineStr"/>
      <c r="Q98" s="59" t="inlineStr"/>
      <c r="R98" s="59" t="inlineStr"/>
      <c r="S98" s="59" t="inlineStr"/>
      <c r="T98" s="59" t="inlineStr"/>
      <c r="U98" s="61">
        <f>IF(A98="","",IFERROR(INDEX(E98:T98,MATCH(TRUE,INDEX(E98:T98&lt;&gt;"",0),0)),""))</f>
        <v/>
      </c>
      <c r="V98" s="61">
        <f>IF(A98="","",IFERROR(LOOKUP(2,1/(E98:T98&lt;&gt;""),E98:T98),""))</f>
        <v/>
      </c>
      <c r="W98" s="62">
        <f>IF(OR(A98="",PreviousYear=""),"",IFERROR(LOOKUP(2,1/(E98:T98&lt;&gt;""),E98:T98)-INDEX(E98:T98,MATCH(PreviousYear,$E$5:$T$5,0)),""))</f>
        <v/>
      </c>
      <c r="X98" s="62">
        <f>IF(OR(A98="",U98="",V98=""),"",V98-U98)</f>
        <v/>
      </c>
      <c r="Y98" s="61">
        <f>IF(A98="","",COUNT(E98:T98))</f>
        <v/>
      </c>
    </row>
    <row r="99">
      <c r="A99" s="44">
        <f>IF(AND('Employees'!B11&lt;&gt;"",'Skills'!B19&lt;&gt;""),'Employees'!B11,"")</f>
        <v/>
      </c>
      <c r="B99" s="45">
        <f>IF(A99="","",'Employees'!C11)</f>
        <v/>
      </c>
      <c r="C99" s="58">
        <f>IF(A99="","",'Skills'!B19)</f>
        <v/>
      </c>
      <c r="D99" s="45">
        <f>IF(A99="","",'Skills'!C19)</f>
        <v/>
      </c>
      <c r="E99" s="59" t="inlineStr"/>
      <c r="F99" s="59" t="inlineStr"/>
      <c r="G99" s="59" t="inlineStr"/>
      <c r="H99" s="60" t="inlineStr"/>
      <c r="I99" s="59" t="inlineStr"/>
      <c r="J99" s="59" t="inlineStr"/>
      <c r="K99" s="59" t="inlineStr"/>
      <c r="L99" s="59" t="inlineStr"/>
      <c r="M99" s="59" t="inlineStr"/>
      <c r="N99" s="59" t="inlineStr"/>
      <c r="O99" s="59" t="inlineStr"/>
      <c r="P99" s="59" t="inlineStr"/>
      <c r="Q99" s="59" t="inlineStr"/>
      <c r="R99" s="59" t="inlineStr"/>
      <c r="S99" s="59" t="inlineStr"/>
      <c r="T99" s="59" t="inlineStr"/>
      <c r="U99" s="61">
        <f>IF(A99="","",IFERROR(INDEX(E99:T99,MATCH(TRUE,INDEX(E99:T99&lt;&gt;"",0),0)),""))</f>
        <v/>
      </c>
      <c r="V99" s="61">
        <f>IF(A99="","",IFERROR(LOOKUP(2,1/(E99:T99&lt;&gt;""),E99:T99),""))</f>
        <v/>
      </c>
      <c r="W99" s="62">
        <f>IF(OR(A99="",PreviousYear=""),"",IFERROR(LOOKUP(2,1/(E99:T99&lt;&gt;""),E99:T99)-INDEX(E99:T99,MATCH(PreviousYear,$E$5:$T$5,0)),""))</f>
        <v/>
      </c>
      <c r="X99" s="62">
        <f>IF(OR(A99="",U99="",V99=""),"",V99-U99)</f>
        <v/>
      </c>
      <c r="Y99" s="61">
        <f>IF(A99="","",COUNT(E99:T99))</f>
        <v/>
      </c>
    </row>
    <row r="100">
      <c r="A100" s="44">
        <f>IF(AND('Employees'!B11&lt;&gt;"",'Skills'!B20&lt;&gt;""),'Employees'!B11,"")</f>
        <v/>
      </c>
      <c r="B100" s="45">
        <f>IF(A100="","",'Employees'!C11)</f>
        <v/>
      </c>
      <c r="C100" s="58">
        <f>IF(A100="","",'Skills'!B20)</f>
        <v/>
      </c>
      <c r="D100" s="45">
        <f>IF(A100="","",'Skills'!C20)</f>
        <v/>
      </c>
      <c r="E100" s="59" t="inlineStr"/>
      <c r="F100" s="59" t="inlineStr"/>
      <c r="G100" s="59" t="inlineStr"/>
      <c r="H100" s="60" t="inlineStr"/>
      <c r="I100" s="59" t="inlineStr"/>
      <c r="J100" s="59" t="inlineStr"/>
      <c r="K100" s="59" t="inlineStr"/>
      <c r="L100" s="59" t="inlineStr"/>
      <c r="M100" s="59" t="inlineStr"/>
      <c r="N100" s="59" t="inlineStr"/>
      <c r="O100" s="59" t="inlineStr"/>
      <c r="P100" s="59" t="inlineStr"/>
      <c r="Q100" s="59" t="inlineStr"/>
      <c r="R100" s="59" t="inlineStr"/>
      <c r="S100" s="59" t="inlineStr"/>
      <c r="T100" s="59" t="inlineStr"/>
      <c r="U100" s="61">
        <f>IF(A100="","",IFERROR(INDEX(E100:T100,MATCH(TRUE,INDEX(E100:T100&lt;&gt;"",0),0)),""))</f>
        <v/>
      </c>
      <c r="V100" s="61">
        <f>IF(A100="","",IFERROR(LOOKUP(2,1/(E100:T100&lt;&gt;""),E100:T100),""))</f>
        <v/>
      </c>
      <c r="W100" s="62">
        <f>IF(OR(A100="",PreviousYear=""),"",IFERROR(LOOKUP(2,1/(E100:T100&lt;&gt;""),E100:T100)-INDEX(E100:T100,MATCH(PreviousYear,$E$5:$T$5,0)),""))</f>
        <v/>
      </c>
      <c r="X100" s="62">
        <f>IF(OR(A100="",U100="",V100=""),"",V100-U100)</f>
        <v/>
      </c>
      <c r="Y100" s="61">
        <f>IF(A100="","",COUNT(E100:T100))</f>
        <v/>
      </c>
    </row>
    <row r="101">
      <c r="A101" s="44">
        <f>IF(AND('Employees'!B11&lt;&gt;"",'Skills'!B21&lt;&gt;""),'Employees'!B11,"")</f>
        <v/>
      </c>
      <c r="B101" s="45">
        <f>IF(A101="","",'Employees'!C11)</f>
        <v/>
      </c>
      <c r="C101" s="58">
        <f>IF(A101="","",'Skills'!B21)</f>
        <v/>
      </c>
      <c r="D101" s="45">
        <f>IF(A101="","",'Skills'!C21)</f>
        <v/>
      </c>
      <c r="E101" s="59" t="inlineStr"/>
      <c r="F101" s="59" t="inlineStr"/>
      <c r="G101" s="59" t="inlineStr"/>
      <c r="H101" s="60" t="inlineStr"/>
      <c r="I101" s="59" t="inlineStr"/>
      <c r="J101" s="59" t="inlineStr"/>
      <c r="K101" s="59" t="inlineStr"/>
      <c r="L101" s="59" t="inlineStr"/>
      <c r="M101" s="59" t="inlineStr"/>
      <c r="N101" s="59" t="inlineStr"/>
      <c r="O101" s="59" t="inlineStr"/>
      <c r="P101" s="59" t="inlineStr"/>
      <c r="Q101" s="59" t="inlineStr"/>
      <c r="R101" s="59" t="inlineStr"/>
      <c r="S101" s="59" t="inlineStr"/>
      <c r="T101" s="59" t="inlineStr"/>
      <c r="U101" s="61">
        <f>IF(A101="","",IFERROR(INDEX(E101:T101,MATCH(TRUE,INDEX(E101:T101&lt;&gt;"",0),0)),""))</f>
        <v/>
      </c>
      <c r="V101" s="61">
        <f>IF(A101="","",IFERROR(LOOKUP(2,1/(E101:T101&lt;&gt;""),E101:T101),""))</f>
        <v/>
      </c>
      <c r="W101" s="62">
        <f>IF(OR(A101="",PreviousYear=""),"",IFERROR(LOOKUP(2,1/(E101:T101&lt;&gt;""),E101:T101)-INDEX(E101:T101,MATCH(PreviousYear,$E$5:$T$5,0)),""))</f>
        <v/>
      </c>
      <c r="X101" s="62">
        <f>IF(OR(A101="",U101="",V101=""),"",V101-U101)</f>
        <v/>
      </c>
      <c r="Y101" s="61">
        <f>IF(A101="","",COUNT(E101:T101))</f>
        <v/>
      </c>
    </row>
    <row r="102">
      <c r="A102" s="44">
        <f>IF(AND('Employees'!B12&lt;&gt;"",'Skills'!B6&lt;&gt;""),'Employees'!B12,"")</f>
        <v/>
      </c>
      <c r="B102" s="45">
        <f>IF(A102="","",'Employees'!C12)</f>
        <v/>
      </c>
      <c r="C102" s="58">
        <f>IF(A102="","",'Skills'!B6)</f>
        <v/>
      </c>
      <c r="D102" s="45">
        <f>IF(A102="","",'Skills'!C6)</f>
        <v/>
      </c>
      <c r="E102" s="59" t="n">
        <v>2</v>
      </c>
      <c r="F102" s="59" t="n">
        <v>3</v>
      </c>
      <c r="G102" s="59" t="n">
        <v>4</v>
      </c>
      <c r="H102" s="60" t="n">
        <v>4</v>
      </c>
      <c r="I102" s="59" t="inlineStr"/>
      <c r="J102" s="59" t="inlineStr"/>
      <c r="K102" s="59" t="inlineStr"/>
      <c r="L102" s="59" t="inlineStr"/>
      <c r="M102" s="59" t="inlineStr"/>
      <c r="N102" s="59" t="inlineStr"/>
      <c r="O102" s="59" t="inlineStr"/>
      <c r="P102" s="59" t="inlineStr"/>
      <c r="Q102" s="59" t="inlineStr"/>
      <c r="R102" s="59" t="inlineStr"/>
      <c r="S102" s="59" t="inlineStr"/>
      <c r="T102" s="59" t="inlineStr"/>
      <c r="U102" s="61">
        <f>IF(A102="","",IFERROR(INDEX(E102:T102,MATCH(TRUE,INDEX(E102:T102&lt;&gt;"",0),0)),""))</f>
        <v/>
      </c>
      <c r="V102" s="61">
        <f>IF(A102="","",IFERROR(LOOKUP(2,1/(E102:T102&lt;&gt;""),E102:T102),""))</f>
        <v/>
      </c>
      <c r="W102" s="62">
        <f>IF(OR(A102="",PreviousYear=""),"",IFERROR(LOOKUP(2,1/(E102:T102&lt;&gt;""),E102:T102)-INDEX(E102:T102,MATCH(PreviousYear,$E$5:$T$5,0)),""))</f>
        <v/>
      </c>
      <c r="X102" s="62">
        <f>IF(OR(A102="",U102="",V102=""),"",V102-U102)</f>
        <v/>
      </c>
      <c r="Y102" s="61">
        <f>IF(A102="","",COUNT(E102:T102))</f>
        <v/>
      </c>
    </row>
    <row r="103">
      <c r="A103" s="44">
        <f>IF(AND('Employees'!B12&lt;&gt;"",'Skills'!B7&lt;&gt;""),'Employees'!B12,"")</f>
        <v/>
      </c>
      <c r="B103" s="45">
        <f>IF(A103="","",'Employees'!C12)</f>
        <v/>
      </c>
      <c r="C103" s="58">
        <f>IF(A103="","",'Skills'!B7)</f>
        <v/>
      </c>
      <c r="D103" s="45">
        <f>IF(A103="","",'Skills'!C7)</f>
        <v/>
      </c>
      <c r="E103" s="59" t="n">
        <v>3</v>
      </c>
      <c r="F103" s="59" t="n">
        <v>3</v>
      </c>
      <c r="G103" s="59" t="n">
        <v>3</v>
      </c>
      <c r="H103" s="60" t="n">
        <v>4</v>
      </c>
      <c r="I103" s="59" t="inlineStr"/>
      <c r="J103" s="59" t="inlineStr"/>
      <c r="K103" s="59" t="inlineStr"/>
      <c r="L103" s="59" t="inlineStr"/>
      <c r="M103" s="59" t="inlineStr"/>
      <c r="N103" s="59" t="inlineStr"/>
      <c r="O103" s="59" t="inlineStr"/>
      <c r="P103" s="59" t="inlineStr"/>
      <c r="Q103" s="59" t="inlineStr"/>
      <c r="R103" s="59" t="inlineStr"/>
      <c r="S103" s="59" t="inlineStr"/>
      <c r="T103" s="59" t="inlineStr"/>
      <c r="U103" s="61">
        <f>IF(A103="","",IFERROR(INDEX(E103:T103,MATCH(TRUE,INDEX(E103:T103&lt;&gt;"",0),0)),""))</f>
        <v/>
      </c>
      <c r="V103" s="61">
        <f>IF(A103="","",IFERROR(LOOKUP(2,1/(E103:T103&lt;&gt;""),E103:T103),""))</f>
        <v/>
      </c>
      <c r="W103" s="62">
        <f>IF(OR(A103="",PreviousYear=""),"",IFERROR(LOOKUP(2,1/(E103:T103&lt;&gt;""),E103:T103)-INDEX(E103:T103,MATCH(PreviousYear,$E$5:$T$5,0)),""))</f>
        <v/>
      </c>
      <c r="X103" s="62">
        <f>IF(OR(A103="",U103="",V103=""),"",V103-U103)</f>
        <v/>
      </c>
      <c r="Y103" s="61">
        <f>IF(A103="","",COUNT(E103:T103))</f>
        <v/>
      </c>
    </row>
    <row r="104">
      <c r="A104" s="44">
        <f>IF(AND('Employees'!B12&lt;&gt;"",'Skills'!B8&lt;&gt;""),'Employees'!B12,"")</f>
        <v/>
      </c>
      <c r="B104" s="45">
        <f>IF(A104="","",'Employees'!C12)</f>
        <v/>
      </c>
      <c r="C104" s="58">
        <f>IF(A104="","",'Skills'!B8)</f>
        <v/>
      </c>
      <c r="D104" s="45">
        <f>IF(A104="","",'Skills'!C8)</f>
        <v/>
      </c>
      <c r="E104" s="59" t="n">
        <v>3</v>
      </c>
      <c r="F104" s="59" t="n">
        <v>4</v>
      </c>
      <c r="G104" s="59" t="n">
        <v>4</v>
      </c>
      <c r="H104" s="60" t="n">
        <v>4</v>
      </c>
      <c r="I104" s="59" t="inlineStr"/>
      <c r="J104" s="59" t="inlineStr"/>
      <c r="K104" s="59" t="inlineStr"/>
      <c r="L104" s="59" t="inlineStr"/>
      <c r="M104" s="59" t="inlineStr"/>
      <c r="N104" s="59" t="inlineStr"/>
      <c r="O104" s="59" t="inlineStr"/>
      <c r="P104" s="59" t="inlineStr"/>
      <c r="Q104" s="59" t="inlineStr"/>
      <c r="R104" s="59" t="inlineStr"/>
      <c r="S104" s="59" t="inlineStr"/>
      <c r="T104" s="59" t="inlineStr"/>
      <c r="U104" s="61">
        <f>IF(A104="","",IFERROR(INDEX(E104:T104,MATCH(TRUE,INDEX(E104:T104&lt;&gt;"",0),0)),""))</f>
        <v/>
      </c>
      <c r="V104" s="61">
        <f>IF(A104="","",IFERROR(LOOKUP(2,1/(E104:T104&lt;&gt;""),E104:T104),""))</f>
        <v/>
      </c>
      <c r="W104" s="62">
        <f>IF(OR(A104="",PreviousYear=""),"",IFERROR(LOOKUP(2,1/(E104:T104&lt;&gt;""),E104:T104)-INDEX(E104:T104,MATCH(PreviousYear,$E$5:$T$5,0)),""))</f>
        <v/>
      </c>
      <c r="X104" s="62">
        <f>IF(OR(A104="",U104="",V104=""),"",V104-U104)</f>
        <v/>
      </c>
      <c r="Y104" s="61">
        <f>IF(A104="","",COUNT(E104:T104))</f>
        <v/>
      </c>
    </row>
    <row r="105">
      <c r="A105" s="44">
        <f>IF(AND('Employees'!B12&lt;&gt;"",'Skills'!B9&lt;&gt;""),'Employees'!B12,"")</f>
        <v/>
      </c>
      <c r="B105" s="45">
        <f>IF(A105="","",'Employees'!C12)</f>
        <v/>
      </c>
      <c r="C105" s="58">
        <f>IF(A105="","",'Skills'!B9)</f>
        <v/>
      </c>
      <c r="D105" s="45">
        <f>IF(A105="","",'Skills'!C9)</f>
        <v/>
      </c>
      <c r="E105" s="59" t="n">
        <v>3</v>
      </c>
      <c r="F105" s="59" t="n">
        <v>3</v>
      </c>
      <c r="G105" s="59" t="n">
        <v>4</v>
      </c>
      <c r="H105" s="60" t="n">
        <v>4</v>
      </c>
      <c r="I105" s="59" t="inlineStr"/>
      <c r="J105" s="59" t="inlineStr"/>
      <c r="K105" s="59" t="inlineStr"/>
      <c r="L105" s="59" t="inlineStr"/>
      <c r="M105" s="59" t="inlineStr"/>
      <c r="N105" s="59" t="inlineStr"/>
      <c r="O105" s="59" t="inlineStr"/>
      <c r="P105" s="59" t="inlineStr"/>
      <c r="Q105" s="59" t="inlineStr"/>
      <c r="R105" s="59" t="inlineStr"/>
      <c r="S105" s="59" t="inlineStr"/>
      <c r="T105" s="59" t="inlineStr"/>
      <c r="U105" s="61">
        <f>IF(A105="","",IFERROR(INDEX(E105:T105,MATCH(TRUE,INDEX(E105:T105&lt;&gt;"",0),0)),""))</f>
        <v/>
      </c>
      <c r="V105" s="61">
        <f>IF(A105="","",IFERROR(LOOKUP(2,1/(E105:T105&lt;&gt;""),E105:T105),""))</f>
        <v/>
      </c>
      <c r="W105" s="62">
        <f>IF(OR(A105="",PreviousYear=""),"",IFERROR(LOOKUP(2,1/(E105:T105&lt;&gt;""),E105:T105)-INDEX(E105:T105,MATCH(PreviousYear,$E$5:$T$5,0)),""))</f>
        <v/>
      </c>
      <c r="X105" s="62">
        <f>IF(OR(A105="",U105="",V105=""),"",V105-U105)</f>
        <v/>
      </c>
      <c r="Y105" s="61">
        <f>IF(A105="","",COUNT(E105:T105))</f>
        <v/>
      </c>
    </row>
    <row r="106">
      <c r="A106" s="44">
        <f>IF(AND('Employees'!B12&lt;&gt;"",'Skills'!B10&lt;&gt;""),'Employees'!B12,"")</f>
        <v/>
      </c>
      <c r="B106" s="45">
        <f>IF(A106="","",'Employees'!C12)</f>
        <v/>
      </c>
      <c r="C106" s="58">
        <f>IF(A106="","",'Skills'!B10)</f>
        <v/>
      </c>
      <c r="D106" s="45">
        <f>IF(A106="","",'Skills'!C10)</f>
        <v/>
      </c>
      <c r="E106" s="59" t="n">
        <v>3</v>
      </c>
      <c r="F106" s="59" t="n">
        <v>4</v>
      </c>
      <c r="G106" s="59" t="n">
        <v>4</v>
      </c>
      <c r="H106" s="60" t="n">
        <v>4</v>
      </c>
      <c r="I106" s="59" t="inlineStr"/>
      <c r="J106" s="59" t="inlineStr"/>
      <c r="K106" s="59" t="inlineStr"/>
      <c r="L106" s="59" t="inlineStr"/>
      <c r="M106" s="59" t="inlineStr"/>
      <c r="N106" s="59" t="inlineStr"/>
      <c r="O106" s="59" t="inlineStr"/>
      <c r="P106" s="59" t="inlineStr"/>
      <c r="Q106" s="59" t="inlineStr"/>
      <c r="R106" s="59" t="inlineStr"/>
      <c r="S106" s="59" t="inlineStr"/>
      <c r="T106" s="59" t="inlineStr"/>
      <c r="U106" s="61">
        <f>IF(A106="","",IFERROR(INDEX(E106:T106,MATCH(TRUE,INDEX(E106:T106&lt;&gt;"",0),0)),""))</f>
        <v/>
      </c>
      <c r="V106" s="61">
        <f>IF(A106="","",IFERROR(LOOKUP(2,1/(E106:T106&lt;&gt;""),E106:T106),""))</f>
        <v/>
      </c>
      <c r="W106" s="62">
        <f>IF(OR(A106="",PreviousYear=""),"",IFERROR(LOOKUP(2,1/(E106:T106&lt;&gt;""),E106:T106)-INDEX(E106:T106,MATCH(PreviousYear,$E$5:$T$5,0)),""))</f>
        <v/>
      </c>
      <c r="X106" s="62">
        <f>IF(OR(A106="",U106="",V106=""),"",V106-U106)</f>
        <v/>
      </c>
      <c r="Y106" s="61">
        <f>IF(A106="","",COUNT(E106:T106))</f>
        <v/>
      </c>
    </row>
    <row r="107">
      <c r="A107" s="44">
        <f>IF(AND('Employees'!B12&lt;&gt;"",'Skills'!B11&lt;&gt;""),'Employees'!B12,"")</f>
        <v/>
      </c>
      <c r="B107" s="45">
        <f>IF(A107="","",'Employees'!C12)</f>
        <v/>
      </c>
      <c r="C107" s="58">
        <f>IF(A107="","",'Skills'!B11)</f>
        <v/>
      </c>
      <c r="D107" s="45">
        <f>IF(A107="","",'Skills'!C11)</f>
        <v/>
      </c>
      <c r="E107" s="59" t="n">
        <v>4</v>
      </c>
      <c r="F107" s="59" t="n">
        <v>4</v>
      </c>
      <c r="G107" s="59" t="n">
        <v>4</v>
      </c>
      <c r="H107" s="60" t="n">
        <v>4</v>
      </c>
      <c r="I107" s="59" t="inlineStr"/>
      <c r="J107" s="59" t="inlineStr"/>
      <c r="K107" s="59" t="inlineStr"/>
      <c r="L107" s="59" t="inlineStr"/>
      <c r="M107" s="59" t="inlineStr"/>
      <c r="N107" s="59" t="inlineStr"/>
      <c r="O107" s="59" t="inlineStr"/>
      <c r="P107" s="59" t="inlineStr"/>
      <c r="Q107" s="59" t="inlineStr"/>
      <c r="R107" s="59" t="inlineStr"/>
      <c r="S107" s="59" t="inlineStr"/>
      <c r="T107" s="59" t="inlineStr"/>
      <c r="U107" s="61">
        <f>IF(A107="","",IFERROR(INDEX(E107:T107,MATCH(TRUE,INDEX(E107:T107&lt;&gt;"",0),0)),""))</f>
        <v/>
      </c>
      <c r="V107" s="61">
        <f>IF(A107="","",IFERROR(LOOKUP(2,1/(E107:T107&lt;&gt;""),E107:T107),""))</f>
        <v/>
      </c>
      <c r="W107" s="62">
        <f>IF(OR(A107="",PreviousYear=""),"",IFERROR(LOOKUP(2,1/(E107:T107&lt;&gt;""),E107:T107)-INDEX(E107:T107,MATCH(PreviousYear,$E$5:$T$5,0)),""))</f>
        <v/>
      </c>
      <c r="X107" s="62">
        <f>IF(OR(A107="",U107="",V107=""),"",V107-U107)</f>
        <v/>
      </c>
      <c r="Y107" s="61">
        <f>IF(A107="","",COUNT(E107:T107))</f>
        <v/>
      </c>
    </row>
    <row r="108">
      <c r="A108" s="44">
        <f>IF(AND('Employees'!B12&lt;&gt;"",'Skills'!B12&lt;&gt;""),'Employees'!B12,"")</f>
        <v/>
      </c>
      <c r="B108" s="45">
        <f>IF(A108="","",'Employees'!C12)</f>
        <v/>
      </c>
      <c r="C108" s="58">
        <f>IF(A108="","",'Skills'!B12)</f>
        <v/>
      </c>
      <c r="D108" s="45">
        <f>IF(A108="","",'Skills'!C12)</f>
        <v/>
      </c>
      <c r="E108" s="59" t="n">
        <v>1</v>
      </c>
      <c r="F108" s="59" t="n">
        <v>2</v>
      </c>
      <c r="G108" s="59" t="n">
        <v>3</v>
      </c>
      <c r="H108" s="60" t="n">
        <v>4</v>
      </c>
      <c r="I108" s="59" t="inlineStr"/>
      <c r="J108" s="59" t="inlineStr"/>
      <c r="K108" s="59" t="inlineStr"/>
      <c r="L108" s="59" t="inlineStr"/>
      <c r="M108" s="59" t="inlineStr"/>
      <c r="N108" s="59" t="inlineStr"/>
      <c r="O108" s="59" t="inlineStr"/>
      <c r="P108" s="59" t="inlineStr"/>
      <c r="Q108" s="59" t="inlineStr"/>
      <c r="R108" s="59" t="inlineStr"/>
      <c r="S108" s="59" t="inlineStr"/>
      <c r="T108" s="59" t="inlineStr"/>
      <c r="U108" s="61">
        <f>IF(A108="","",IFERROR(INDEX(E108:T108,MATCH(TRUE,INDEX(E108:T108&lt;&gt;"",0),0)),""))</f>
        <v/>
      </c>
      <c r="V108" s="61">
        <f>IF(A108="","",IFERROR(LOOKUP(2,1/(E108:T108&lt;&gt;""),E108:T108),""))</f>
        <v/>
      </c>
      <c r="W108" s="62">
        <f>IF(OR(A108="",PreviousYear=""),"",IFERROR(LOOKUP(2,1/(E108:T108&lt;&gt;""),E108:T108)-INDEX(E108:T108,MATCH(PreviousYear,$E$5:$T$5,0)),""))</f>
        <v/>
      </c>
      <c r="X108" s="62">
        <f>IF(OR(A108="",U108="",V108=""),"",V108-U108)</f>
        <v/>
      </c>
      <c r="Y108" s="61">
        <f>IF(A108="","",COUNT(E108:T108))</f>
        <v/>
      </c>
    </row>
    <row r="109">
      <c r="A109" s="44">
        <f>IF(AND('Employees'!B12&lt;&gt;"",'Skills'!B13&lt;&gt;""),'Employees'!B12,"")</f>
        <v/>
      </c>
      <c r="B109" s="45">
        <f>IF(A109="","",'Employees'!C12)</f>
        <v/>
      </c>
      <c r="C109" s="58">
        <f>IF(A109="","",'Skills'!B13)</f>
        <v/>
      </c>
      <c r="D109" s="45">
        <f>IF(A109="","",'Skills'!C13)</f>
        <v/>
      </c>
      <c r="E109" s="59" t="n">
        <v>4</v>
      </c>
      <c r="F109" s="59" t="n">
        <v>4</v>
      </c>
      <c r="G109" s="59" t="n">
        <v>4</v>
      </c>
      <c r="H109" s="60" t="n">
        <v>4</v>
      </c>
      <c r="I109" s="59" t="inlineStr"/>
      <c r="J109" s="59" t="inlineStr"/>
      <c r="K109" s="59" t="inlineStr"/>
      <c r="L109" s="59" t="inlineStr"/>
      <c r="M109" s="59" t="inlineStr"/>
      <c r="N109" s="59" t="inlineStr"/>
      <c r="O109" s="59" t="inlineStr"/>
      <c r="P109" s="59" t="inlineStr"/>
      <c r="Q109" s="59" t="inlineStr"/>
      <c r="R109" s="59" t="inlineStr"/>
      <c r="S109" s="59" t="inlineStr"/>
      <c r="T109" s="59" t="inlineStr"/>
      <c r="U109" s="61">
        <f>IF(A109="","",IFERROR(INDEX(E109:T109,MATCH(TRUE,INDEX(E109:T109&lt;&gt;"",0),0)),""))</f>
        <v/>
      </c>
      <c r="V109" s="61">
        <f>IF(A109="","",IFERROR(LOOKUP(2,1/(E109:T109&lt;&gt;""),E109:T109),""))</f>
        <v/>
      </c>
      <c r="W109" s="62">
        <f>IF(OR(A109="",PreviousYear=""),"",IFERROR(LOOKUP(2,1/(E109:T109&lt;&gt;""),E109:T109)-INDEX(E109:T109,MATCH(PreviousYear,$E$5:$T$5,0)),""))</f>
        <v/>
      </c>
      <c r="X109" s="62">
        <f>IF(OR(A109="",U109="",V109=""),"",V109-U109)</f>
        <v/>
      </c>
      <c r="Y109" s="61">
        <f>IF(A109="","",COUNT(E109:T109))</f>
        <v/>
      </c>
    </row>
    <row r="110">
      <c r="A110" s="44">
        <f>IF(AND('Employees'!B12&lt;&gt;"",'Skills'!B14&lt;&gt;""),'Employees'!B12,"")</f>
        <v/>
      </c>
      <c r="B110" s="45">
        <f>IF(A110="","",'Employees'!C12)</f>
        <v/>
      </c>
      <c r="C110" s="58">
        <f>IF(A110="","",'Skills'!B14)</f>
        <v/>
      </c>
      <c r="D110" s="45">
        <f>IF(A110="","",'Skills'!C14)</f>
        <v/>
      </c>
      <c r="E110" s="59" t="n">
        <v>3</v>
      </c>
      <c r="F110" s="59" t="n">
        <v>4</v>
      </c>
      <c r="G110" s="59" t="n">
        <v>4</v>
      </c>
      <c r="H110" s="60" t="n">
        <v>4</v>
      </c>
      <c r="I110" s="59" t="inlineStr"/>
      <c r="J110" s="59" t="inlineStr"/>
      <c r="K110" s="59" t="inlineStr"/>
      <c r="L110" s="59" t="inlineStr"/>
      <c r="M110" s="59" t="inlineStr"/>
      <c r="N110" s="59" t="inlineStr"/>
      <c r="O110" s="59" t="inlineStr"/>
      <c r="P110" s="59" t="inlineStr"/>
      <c r="Q110" s="59" t="inlineStr"/>
      <c r="R110" s="59" t="inlineStr"/>
      <c r="S110" s="59" t="inlineStr"/>
      <c r="T110" s="59" t="inlineStr"/>
      <c r="U110" s="61">
        <f>IF(A110="","",IFERROR(INDEX(E110:T110,MATCH(TRUE,INDEX(E110:T110&lt;&gt;"",0),0)),""))</f>
        <v/>
      </c>
      <c r="V110" s="61">
        <f>IF(A110="","",IFERROR(LOOKUP(2,1/(E110:T110&lt;&gt;""),E110:T110),""))</f>
        <v/>
      </c>
      <c r="W110" s="62">
        <f>IF(OR(A110="",PreviousYear=""),"",IFERROR(LOOKUP(2,1/(E110:T110&lt;&gt;""),E110:T110)-INDEX(E110:T110,MATCH(PreviousYear,$E$5:$T$5,0)),""))</f>
        <v/>
      </c>
      <c r="X110" s="62">
        <f>IF(OR(A110="",U110="",V110=""),"",V110-U110)</f>
        <v/>
      </c>
      <c r="Y110" s="61">
        <f>IF(A110="","",COUNT(E110:T110))</f>
        <v/>
      </c>
    </row>
    <row r="111">
      <c r="A111" s="44">
        <f>IF(AND('Employees'!B12&lt;&gt;"",'Skills'!B15&lt;&gt;""),'Employees'!B12,"")</f>
        <v/>
      </c>
      <c r="B111" s="45">
        <f>IF(A111="","",'Employees'!C12)</f>
        <v/>
      </c>
      <c r="C111" s="58">
        <f>IF(A111="","",'Skills'!B15)</f>
        <v/>
      </c>
      <c r="D111" s="45">
        <f>IF(A111="","",'Skills'!C15)</f>
        <v/>
      </c>
      <c r="E111" s="59" t="n">
        <v>2</v>
      </c>
      <c r="F111" s="59" t="n">
        <v>2</v>
      </c>
      <c r="G111" s="59" t="n">
        <v>3</v>
      </c>
      <c r="H111" s="60" t="n">
        <v>3</v>
      </c>
      <c r="I111" s="59" t="inlineStr"/>
      <c r="J111" s="59" t="inlineStr"/>
      <c r="K111" s="59" t="inlineStr"/>
      <c r="L111" s="59" t="inlineStr"/>
      <c r="M111" s="59" t="inlineStr"/>
      <c r="N111" s="59" t="inlineStr"/>
      <c r="O111" s="59" t="inlineStr"/>
      <c r="P111" s="59" t="inlineStr"/>
      <c r="Q111" s="59" t="inlineStr"/>
      <c r="R111" s="59" t="inlineStr"/>
      <c r="S111" s="59" t="inlineStr"/>
      <c r="T111" s="59" t="inlineStr"/>
      <c r="U111" s="61">
        <f>IF(A111="","",IFERROR(INDEX(E111:T111,MATCH(TRUE,INDEX(E111:T111&lt;&gt;"",0),0)),""))</f>
        <v/>
      </c>
      <c r="V111" s="61">
        <f>IF(A111="","",IFERROR(LOOKUP(2,1/(E111:T111&lt;&gt;""),E111:T111),""))</f>
        <v/>
      </c>
      <c r="W111" s="62">
        <f>IF(OR(A111="",PreviousYear=""),"",IFERROR(LOOKUP(2,1/(E111:T111&lt;&gt;""),E111:T111)-INDEX(E111:T111,MATCH(PreviousYear,$E$5:$T$5,0)),""))</f>
        <v/>
      </c>
      <c r="X111" s="62">
        <f>IF(OR(A111="",U111="",V111=""),"",V111-U111)</f>
        <v/>
      </c>
      <c r="Y111" s="61">
        <f>IF(A111="","",COUNT(E111:T111))</f>
        <v/>
      </c>
    </row>
    <row r="112">
      <c r="A112" s="44">
        <f>IF(AND('Employees'!B12&lt;&gt;"",'Skills'!B16&lt;&gt;""),'Employees'!B12,"")</f>
        <v/>
      </c>
      <c r="B112" s="45">
        <f>IF(A112="","",'Employees'!C12)</f>
        <v/>
      </c>
      <c r="C112" s="58">
        <f>IF(A112="","",'Skills'!B16)</f>
        <v/>
      </c>
      <c r="D112" s="45">
        <f>IF(A112="","",'Skills'!C16)</f>
        <v/>
      </c>
      <c r="E112" s="59" t="n">
        <v>3</v>
      </c>
      <c r="F112" s="59" t="n">
        <v>4</v>
      </c>
      <c r="G112" s="59" t="n">
        <v>4</v>
      </c>
      <c r="H112" s="60" t="n">
        <v>5</v>
      </c>
      <c r="I112" s="59" t="inlineStr"/>
      <c r="J112" s="59" t="inlineStr"/>
      <c r="K112" s="59" t="inlineStr"/>
      <c r="L112" s="59" t="inlineStr"/>
      <c r="M112" s="59" t="inlineStr"/>
      <c r="N112" s="59" t="inlineStr"/>
      <c r="O112" s="59" t="inlineStr"/>
      <c r="P112" s="59" t="inlineStr"/>
      <c r="Q112" s="59" t="inlineStr"/>
      <c r="R112" s="59" t="inlineStr"/>
      <c r="S112" s="59" t="inlineStr"/>
      <c r="T112" s="59" t="inlineStr"/>
      <c r="U112" s="61">
        <f>IF(A112="","",IFERROR(INDEX(E112:T112,MATCH(TRUE,INDEX(E112:T112&lt;&gt;"",0),0)),""))</f>
        <v/>
      </c>
      <c r="V112" s="61">
        <f>IF(A112="","",IFERROR(LOOKUP(2,1/(E112:T112&lt;&gt;""),E112:T112),""))</f>
        <v/>
      </c>
      <c r="W112" s="62">
        <f>IF(OR(A112="",PreviousYear=""),"",IFERROR(LOOKUP(2,1/(E112:T112&lt;&gt;""),E112:T112)-INDEX(E112:T112,MATCH(PreviousYear,$E$5:$T$5,0)),""))</f>
        <v/>
      </c>
      <c r="X112" s="62">
        <f>IF(OR(A112="",U112="",V112=""),"",V112-U112)</f>
        <v/>
      </c>
      <c r="Y112" s="61">
        <f>IF(A112="","",COUNT(E112:T112))</f>
        <v/>
      </c>
    </row>
    <row r="113">
      <c r="A113" s="44">
        <f>IF(AND('Employees'!B12&lt;&gt;"",'Skills'!B17&lt;&gt;""),'Employees'!B12,"")</f>
        <v/>
      </c>
      <c r="B113" s="45">
        <f>IF(A113="","",'Employees'!C12)</f>
        <v/>
      </c>
      <c r="C113" s="58">
        <f>IF(A113="","",'Skills'!B17)</f>
        <v/>
      </c>
      <c r="D113" s="45">
        <f>IF(A113="","",'Skills'!C17)</f>
        <v/>
      </c>
      <c r="E113" s="59" t="inlineStr"/>
      <c r="F113" s="59" t="inlineStr"/>
      <c r="G113" s="59" t="inlineStr"/>
      <c r="H113" s="60" t="inlineStr"/>
      <c r="I113" s="59" t="inlineStr"/>
      <c r="J113" s="59" t="inlineStr"/>
      <c r="K113" s="59" t="inlineStr"/>
      <c r="L113" s="59" t="inlineStr"/>
      <c r="M113" s="59" t="inlineStr"/>
      <c r="N113" s="59" t="inlineStr"/>
      <c r="O113" s="59" t="inlineStr"/>
      <c r="P113" s="59" t="inlineStr"/>
      <c r="Q113" s="59" t="inlineStr"/>
      <c r="R113" s="59" t="inlineStr"/>
      <c r="S113" s="59" t="inlineStr"/>
      <c r="T113" s="59" t="inlineStr"/>
      <c r="U113" s="61">
        <f>IF(A113="","",IFERROR(INDEX(E113:T113,MATCH(TRUE,INDEX(E113:T113&lt;&gt;"",0),0)),""))</f>
        <v/>
      </c>
      <c r="V113" s="61">
        <f>IF(A113="","",IFERROR(LOOKUP(2,1/(E113:T113&lt;&gt;""),E113:T113),""))</f>
        <v/>
      </c>
      <c r="W113" s="62">
        <f>IF(OR(A113="",PreviousYear=""),"",IFERROR(LOOKUP(2,1/(E113:T113&lt;&gt;""),E113:T113)-INDEX(E113:T113,MATCH(PreviousYear,$E$5:$T$5,0)),""))</f>
        <v/>
      </c>
      <c r="X113" s="62">
        <f>IF(OR(A113="",U113="",V113=""),"",V113-U113)</f>
        <v/>
      </c>
      <c r="Y113" s="61">
        <f>IF(A113="","",COUNT(E113:T113))</f>
        <v/>
      </c>
    </row>
    <row r="114">
      <c r="A114" s="44">
        <f>IF(AND('Employees'!B12&lt;&gt;"",'Skills'!B18&lt;&gt;""),'Employees'!B12,"")</f>
        <v/>
      </c>
      <c r="B114" s="45">
        <f>IF(A114="","",'Employees'!C12)</f>
        <v/>
      </c>
      <c r="C114" s="58">
        <f>IF(A114="","",'Skills'!B18)</f>
        <v/>
      </c>
      <c r="D114" s="45">
        <f>IF(A114="","",'Skills'!C18)</f>
        <v/>
      </c>
      <c r="E114" s="59" t="inlineStr"/>
      <c r="F114" s="59" t="inlineStr"/>
      <c r="G114" s="59" t="inlineStr"/>
      <c r="H114" s="60" t="inlineStr"/>
      <c r="I114" s="59" t="inlineStr"/>
      <c r="J114" s="59" t="inlineStr"/>
      <c r="K114" s="59" t="inlineStr"/>
      <c r="L114" s="59" t="inlineStr"/>
      <c r="M114" s="59" t="inlineStr"/>
      <c r="N114" s="59" t="inlineStr"/>
      <c r="O114" s="59" t="inlineStr"/>
      <c r="P114" s="59" t="inlineStr"/>
      <c r="Q114" s="59" t="inlineStr"/>
      <c r="R114" s="59" t="inlineStr"/>
      <c r="S114" s="59" t="inlineStr"/>
      <c r="T114" s="59" t="inlineStr"/>
      <c r="U114" s="61">
        <f>IF(A114="","",IFERROR(INDEX(E114:T114,MATCH(TRUE,INDEX(E114:T114&lt;&gt;"",0),0)),""))</f>
        <v/>
      </c>
      <c r="V114" s="61">
        <f>IF(A114="","",IFERROR(LOOKUP(2,1/(E114:T114&lt;&gt;""),E114:T114),""))</f>
        <v/>
      </c>
      <c r="W114" s="62">
        <f>IF(OR(A114="",PreviousYear=""),"",IFERROR(LOOKUP(2,1/(E114:T114&lt;&gt;""),E114:T114)-INDEX(E114:T114,MATCH(PreviousYear,$E$5:$T$5,0)),""))</f>
        <v/>
      </c>
      <c r="X114" s="62">
        <f>IF(OR(A114="",U114="",V114=""),"",V114-U114)</f>
        <v/>
      </c>
      <c r="Y114" s="61">
        <f>IF(A114="","",COUNT(E114:T114))</f>
        <v/>
      </c>
    </row>
    <row r="115">
      <c r="A115" s="44">
        <f>IF(AND('Employees'!B12&lt;&gt;"",'Skills'!B19&lt;&gt;""),'Employees'!B12,"")</f>
        <v/>
      </c>
      <c r="B115" s="45">
        <f>IF(A115="","",'Employees'!C12)</f>
        <v/>
      </c>
      <c r="C115" s="58">
        <f>IF(A115="","",'Skills'!B19)</f>
        <v/>
      </c>
      <c r="D115" s="45">
        <f>IF(A115="","",'Skills'!C19)</f>
        <v/>
      </c>
      <c r="E115" s="59" t="inlineStr"/>
      <c r="F115" s="59" t="inlineStr"/>
      <c r="G115" s="59" t="inlineStr"/>
      <c r="H115" s="60" t="inlineStr"/>
      <c r="I115" s="59" t="inlineStr"/>
      <c r="J115" s="59" t="inlineStr"/>
      <c r="K115" s="59" t="inlineStr"/>
      <c r="L115" s="59" t="inlineStr"/>
      <c r="M115" s="59" t="inlineStr"/>
      <c r="N115" s="59" t="inlineStr"/>
      <c r="O115" s="59" t="inlineStr"/>
      <c r="P115" s="59" t="inlineStr"/>
      <c r="Q115" s="59" t="inlineStr"/>
      <c r="R115" s="59" t="inlineStr"/>
      <c r="S115" s="59" t="inlineStr"/>
      <c r="T115" s="59" t="inlineStr"/>
      <c r="U115" s="61">
        <f>IF(A115="","",IFERROR(INDEX(E115:T115,MATCH(TRUE,INDEX(E115:T115&lt;&gt;"",0),0)),""))</f>
        <v/>
      </c>
      <c r="V115" s="61">
        <f>IF(A115="","",IFERROR(LOOKUP(2,1/(E115:T115&lt;&gt;""),E115:T115),""))</f>
        <v/>
      </c>
      <c r="W115" s="62">
        <f>IF(OR(A115="",PreviousYear=""),"",IFERROR(LOOKUP(2,1/(E115:T115&lt;&gt;""),E115:T115)-INDEX(E115:T115,MATCH(PreviousYear,$E$5:$T$5,0)),""))</f>
        <v/>
      </c>
      <c r="X115" s="62">
        <f>IF(OR(A115="",U115="",V115=""),"",V115-U115)</f>
        <v/>
      </c>
      <c r="Y115" s="61">
        <f>IF(A115="","",COUNT(E115:T115))</f>
        <v/>
      </c>
    </row>
    <row r="116">
      <c r="A116" s="44">
        <f>IF(AND('Employees'!B12&lt;&gt;"",'Skills'!B20&lt;&gt;""),'Employees'!B12,"")</f>
        <v/>
      </c>
      <c r="B116" s="45">
        <f>IF(A116="","",'Employees'!C12)</f>
        <v/>
      </c>
      <c r="C116" s="58">
        <f>IF(A116="","",'Skills'!B20)</f>
        <v/>
      </c>
      <c r="D116" s="45">
        <f>IF(A116="","",'Skills'!C20)</f>
        <v/>
      </c>
      <c r="E116" s="59" t="inlineStr"/>
      <c r="F116" s="59" t="inlineStr"/>
      <c r="G116" s="59" t="inlineStr"/>
      <c r="H116" s="60" t="inlineStr"/>
      <c r="I116" s="59" t="inlineStr"/>
      <c r="J116" s="59" t="inlineStr"/>
      <c r="K116" s="59" t="inlineStr"/>
      <c r="L116" s="59" t="inlineStr"/>
      <c r="M116" s="59" t="inlineStr"/>
      <c r="N116" s="59" t="inlineStr"/>
      <c r="O116" s="59" t="inlineStr"/>
      <c r="P116" s="59" t="inlineStr"/>
      <c r="Q116" s="59" t="inlineStr"/>
      <c r="R116" s="59" t="inlineStr"/>
      <c r="S116" s="59" t="inlineStr"/>
      <c r="T116" s="59" t="inlineStr"/>
      <c r="U116" s="61">
        <f>IF(A116="","",IFERROR(INDEX(E116:T116,MATCH(TRUE,INDEX(E116:T116&lt;&gt;"",0),0)),""))</f>
        <v/>
      </c>
      <c r="V116" s="61">
        <f>IF(A116="","",IFERROR(LOOKUP(2,1/(E116:T116&lt;&gt;""),E116:T116),""))</f>
        <v/>
      </c>
      <c r="W116" s="62">
        <f>IF(OR(A116="",PreviousYear=""),"",IFERROR(LOOKUP(2,1/(E116:T116&lt;&gt;""),E116:T116)-INDEX(E116:T116,MATCH(PreviousYear,$E$5:$T$5,0)),""))</f>
        <v/>
      </c>
      <c r="X116" s="62">
        <f>IF(OR(A116="",U116="",V116=""),"",V116-U116)</f>
        <v/>
      </c>
      <c r="Y116" s="61">
        <f>IF(A116="","",COUNT(E116:T116))</f>
        <v/>
      </c>
    </row>
    <row r="117">
      <c r="A117" s="44">
        <f>IF(AND('Employees'!B12&lt;&gt;"",'Skills'!B21&lt;&gt;""),'Employees'!B12,"")</f>
        <v/>
      </c>
      <c r="B117" s="45">
        <f>IF(A117="","",'Employees'!C12)</f>
        <v/>
      </c>
      <c r="C117" s="58">
        <f>IF(A117="","",'Skills'!B21)</f>
        <v/>
      </c>
      <c r="D117" s="45">
        <f>IF(A117="","",'Skills'!C21)</f>
        <v/>
      </c>
      <c r="E117" s="59" t="inlineStr"/>
      <c r="F117" s="59" t="inlineStr"/>
      <c r="G117" s="59" t="inlineStr"/>
      <c r="H117" s="60" t="inlineStr"/>
      <c r="I117" s="59" t="inlineStr"/>
      <c r="J117" s="59" t="inlineStr"/>
      <c r="K117" s="59" t="inlineStr"/>
      <c r="L117" s="59" t="inlineStr"/>
      <c r="M117" s="59" t="inlineStr"/>
      <c r="N117" s="59" t="inlineStr"/>
      <c r="O117" s="59" t="inlineStr"/>
      <c r="P117" s="59" t="inlineStr"/>
      <c r="Q117" s="59" t="inlineStr"/>
      <c r="R117" s="59" t="inlineStr"/>
      <c r="S117" s="59" t="inlineStr"/>
      <c r="T117" s="59" t="inlineStr"/>
      <c r="U117" s="61">
        <f>IF(A117="","",IFERROR(INDEX(E117:T117,MATCH(TRUE,INDEX(E117:T117&lt;&gt;"",0),0)),""))</f>
        <v/>
      </c>
      <c r="V117" s="61">
        <f>IF(A117="","",IFERROR(LOOKUP(2,1/(E117:T117&lt;&gt;""),E117:T117),""))</f>
        <v/>
      </c>
      <c r="W117" s="62">
        <f>IF(OR(A117="",PreviousYear=""),"",IFERROR(LOOKUP(2,1/(E117:T117&lt;&gt;""),E117:T117)-INDEX(E117:T117,MATCH(PreviousYear,$E$5:$T$5,0)),""))</f>
        <v/>
      </c>
      <c r="X117" s="62">
        <f>IF(OR(A117="",U117="",V117=""),"",V117-U117)</f>
        <v/>
      </c>
      <c r="Y117" s="61">
        <f>IF(A117="","",COUNT(E117:T117))</f>
        <v/>
      </c>
    </row>
    <row r="118">
      <c r="A118" s="44">
        <f>IF(AND('Employees'!B13&lt;&gt;"",'Skills'!B6&lt;&gt;""),'Employees'!B13,"")</f>
        <v/>
      </c>
      <c r="B118" s="45">
        <f>IF(A118="","",'Employees'!C13)</f>
        <v/>
      </c>
      <c r="C118" s="58">
        <f>IF(A118="","",'Skills'!B6)</f>
        <v/>
      </c>
      <c r="D118" s="45">
        <f>IF(A118="","",'Skills'!C6)</f>
        <v/>
      </c>
      <c r="E118" s="59" t="inlineStr"/>
      <c r="F118" s="59" t="n">
        <v>2</v>
      </c>
      <c r="G118" s="59" t="n">
        <v>2</v>
      </c>
      <c r="H118" s="60" t="n">
        <v>2</v>
      </c>
      <c r="I118" s="59" t="inlineStr"/>
      <c r="J118" s="59" t="inlineStr"/>
      <c r="K118" s="59" t="inlineStr"/>
      <c r="L118" s="59" t="inlineStr"/>
      <c r="M118" s="59" t="inlineStr"/>
      <c r="N118" s="59" t="inlineStr"/>
      <c r="O118" s="59" t="inlineStr"/>
      <c r="P118" s="59" t="inlineStr"/>
      <c r="Q118" s="59" t="inlineStr"/>
      <c r="R118" s="59" t="inlineStr"/>
      <c r="S118" s="59" t="inlineStr"/>
      <c r="T118" s="59" t="inlineStr"/>
      <c r="U118" s="61">
        <f>IF(A118="","",IFERROR(INDEX(E118:T118,MATCH(TRUE,INDEX(E118:T118&lt;&gt;"",0),0)),""))</f>
        <v/>
      </c>
      <c r="V118" s="61">
        <f>IF(A118="","",IFERROR(LOOKUP(2,1/(E118:T118&lt;&gt;""),E118:T118),""))</f>
        <v/>
      </c>
      <c r="W118" s="62">
        <f>IF(OR(A118="",PreviousYear=""),"",IFERROR(LOOKUP(2,1/(E118:T118&lt;&gt;""),E118:T118)-INDEX(E118:T118,MATCH(PreviousYear,$E$5:$T$5,0)),""))</f>
        <v/>
      </c>
      <c r="X118" s="62">
        <f>IF(OR(A118="",U118="",V118=""),"",V118-U118)</f>
        <v/>
      </c>
      <c r="Y118" s="61">
        <f>IF(A118="","",COUNT(E118:T118))</f>
        <v/>
      </c>
    </row>
    <row r="119">
      <c r="A119" s="44">
        <f>IF(AND('Employees'!B13&lt;&gt;"",'Skills'!B7&lt;&gt;""),'Employees'!B13,"")</f>
        <v/>
      </c>
      <c r="B119" s="45">
        <f>IF(A119="","",'Employees'!C13)</f>
        <v/>
      </c>
      <c r="C119" s="58">
        <f>IF(A119="","",'Skills'!B7)</f>
        <v/>
      </c>
      <c r="D119" s="45">
        <f>IF(A119="","",'Skills'!C7)</f>
        <v/>
      </c>
      <c r="E119" s="59" t="inlineStr"/>
      <c r="F119" s="59" t="n">
        <v>2</v>
      </c>
      <c r="G119" s="59" t="n">
        <v>2</v>
      </c>
      <c r="H119" s="60" t="n">
        <v>2</v>
      </c>
      <c r="I119" s="59" t="inlineStr"/>
      <c r="J119" s="59" t="inlineStr"/>
      <c r="K119" s="59" t="inlineStr"/>
      <c r="L119" s="59" t="inlineStr"/>
      <c r="M119" s="59" t="inlineStr"/>
      <c r="N119" s="59" t="inlineStr"/>
      <c r="O119" s="59" t="inlineStr"/>
      <c r="P119" s="59" t="inlineStr"/>
      <c r="Q119" s="59" t="inlineStr"/>
      <c r="R119" s="59" t="inlineStr"/>
      <c r="S119" s="59" t="inlineStr"/>
      <c r="T119" s="59" t="inlineStr"/>
      <c r="U119" s="61">
        <f>IF(A119="","",IFERROR(INDEX(E119:T119,MATCH(TRUE,INDEX(E119:T119&lt;&gt;"",0),0)),""))</f>
        <v/>
      </c>
      <c r="V119" s="61">
        <f>IF(A119="","",IFERROR(LOOKUP(2,1/(E119:T119&lt;&gt;""),E119:T119),""))</f>
        <v/>
      </c>
      <c r="W119" s="62">
        <f>IF(OR(A119="",PreviousYear=""),"",IFERROR(LOOKUP(2,1/(E119:T119&lt;&gt;""),E119:T119)-INDEX(E119:T119,MATCH(PreviousYear,$E$5:$T$5,0)),""))</f>
        <v/>
      </c>
      <c r="X119" s="62">
        <f>IF(OR(A119="",U119="",V119=""),"",V119-U119)</f>
        <v/>
      </c>
      <c r="Y119" s="61">
        <f>IF(A119="","",COUNT(E119:T119))</f>
        <v/>
      </c>
    </row>
    <row r="120">
      <c r="A120" s="44">
        <f>IF(AND('Employees'!B13&lt;&gt;"",'Skills'!B8&lt;&gt;""),'Employees'!B13,"")</f>
        <v/>
      </c>
      <c r="B120" s="45">
        <f>IF(A120="","",'Employees'!C13)</f>
        <v/>
      </c>
      <c r="C120" s="58">
        <f>IF(A120="","",'Skills'!B8)</f>
        <v/>
      </c>
      <c r="D120" s="45">
        <f>IF(A120="","",'Skills'!C8)</f>
        <v/>
      </c>
      <c r="E120" s="59" t="inlineStr"/>
      <c r="F120" s="59" t="n">
        <v>1</v>
      </c>
      <c r="G120" s="59" t="n">
        <v>2</v>
      </c>
      <c r="H120" s="60" t="n">
        <v>2</v>
      </c>
      <c r="I120" s="59" t="inlineStr"/>
      <c r="J120" s="59" t="inlineStr"/>
      <c r="K120" s="59" t="inlineStr"/>
      <c r="L120" s="59" t="inlineStr"/>
      <c r="M120" s="59" t="inlineStr"/>
      <c r="N120" s="59" t="inlineStr"/>
      <c r="O120" s="59" t="inlineStr"/>
      <c r="P120" s="59" t="inlineStr"/>
      <c r="Q120" s="59" t="inlineStr"/>
      <c r="R120" s="59" t="inlineStr"/>
      <c r="S120" s="59" t="inlineStr"/>
      <c r="T120" s="59" t="inlineStr"/>
      <c r="U120" s="61">
        <f>IF(A120="","",IFERROR(INDEX(E120:T120,MATCH(TRUE,INDEX(E120:T120&lt;&gt;"",0),0)),""))</f>
        <v/>
      </c>
      <c r="V120" s="61">
        <f>IF(A120="","",IFERROR(LOOKUP(2,1/(E120:T120&lt;&gt;""),E120:T120),""))</f>
        <v/>
      </c>
      <c r="W120" s="62">
        <f>IF(OR(A120="",PreviousYear=""),"",IFERROR(LOOKUP(2,1/(E120:T120&lt;&gt;""),E120:T120)-INDEX(E120:T120,MATCH(PreviousYear,$E$5:$T$5,0)),""))</f>
        <v/>
      </c>
      <c r="X120" s="62">
        <f>IF(OR(A120="",U120="",V120=""),"",V120-U120)</f>
        <v/>
      </c>
      <c r="Y120" s="61">
        <f>IF(A120="","",COUNT(E120:T120))</f>
        <v/>
      </c>
    </row>
    <row r="121">
      <c r="A121" s="44">
        <f>IF(AND('Employees'!B13&lt;&gt;"",'Skills'!B9&lt;&gt;""),'Employees'!B13,"")</f>
        <v/>
      </c>
      <c r="B121" s="45">
        <f>IF(A121="","",'Employees'!C13)</f>
        <v/>
      </c>
      <c r="C121" s="58">
        <f>IF(A121="","",'Skills'!B9)</f>
        <v/>
      </c>
      <c r="D121" s="45">
        <f>IF(A121="","",'Skills'!C9)</f>
        <v/>
      </c>
      <c r="E121" s="59" t="inlineStr"/>
      <c r="F121" s="59" t="n">
        <v>2</v>
      </c>
      <c r="G121" s="59" t="n">
        <v>2</v>
      </c>
      <c r="H121" s="60" t="n">
        <v>3</v>
      </c>
      <c r="I121" s="59" t="inlineStr"/>
      <c r="J121" s="59" t="inlineStr"/>
      <c r="K121" s="59" t="inlineStr"/>
      <c r="L121" s="59" t="inlineStr"/>
      <c r="M121" s="59" t="inlineStr"/>
      <c r="N121" s="59" t="inlineStr"/>
      <c r="O121" s="59" t="inlineStr"/>
      <c r="P121" s="59" t="inlineStr"/>
      <c r="Q121" s="59" t="inlineStr"/>
      <c r="R121" s="59" t="inlineStr"/>
      <c r="S121" s="59" t="inlineStr"/>
      <c r="T121" s="59" t="inlineStr"/>
      <c r="U121" s="61">
        <f>IF(A121="","",IFERROR(INDEX(E121:T121,MATCH(TRUE,INDEX(E121:T121&lt;&gt;"",0),0)),""))</f>
        <v/>
      </c>
      <c r="V121" s="61">
        <f>IF(A121="","",IFERROR(LOOKUP(2,1/(E121:T121&lt;&gt;""),E121:T121),""))</f>
        <v/>
      </c>
      <c r="W121" s="62">
        <f>IF(OR(A121="",PreviousYear=""),"",IFERROR(LOOKUP(2,1/(E121:T121&lt;&gt;""),E121:T121)-INDEX(E121:T121,MATCH(PreviousYear,$E$5:$T$5,0)),""))</f>
        <v/>
      </c>
      <c r="X121" s="62">
        <f>IF(OR(A121="",U121="",V121=""),"",V121-U121)</f>
        <v/>
      </c>
      <c r="Y121" s="61">
        <f>IF(A121="","",COUNT(E121:T121))</f>
        <v/>
      </c>
    </row>
    <row r="122">
      <c r="A122" s="44">
        <f>IF(AND('Employees'!B13&lt;&gt;"",'Skills'!B10&lt;&gt;""),'Employees'!B13,"")</f>
        <v/>
      </c>
      <c r="B122" s="45">
        <f>IF(A122="","",'Employees'!C13)</f>
        <v/>
      </c>
      <c r="C122" s="58">
        <f>IF(A122="","",'Skills'!B10)</f>
        <v/>
      </c>
      <c r="D122" s="45">
        <f>IF(A122="","",'Skills'!C10)</f>
        <v/>
      </c>
      <c r="E122" s="59" t="inlineStr"/>
      <c r="F122" s="59" t="n">
        <v>2</v>
      </c>
      <c r="G122" s="59" t="n">
        <v>2</v>
      </c>
      <c r="H122" s="60" t="n">
        <v>2</v>
      </c>
      <c r="I122" s="59" t="inlineStr"/>
      <c r="J122" s="59" t="inlineStr"/>
      <c r="K122" s="59" t="inlineStr"/>
      <c r="L122" s="59" t="inlineStr"/>
      <c r="M122" s="59" t="inlineStr"/>
      <c r="N122" s="59" t="inlineStr"/>
      <c r="O122" s="59" t="inlineStr"/>
      <c r="P122" s="59" t="inlineStr"/>
      <c r="Q122" s="59" t="inlineStr"/>
      <c r="R122" s="59" t="inlineStr"/>
      <c r="S122" s="59" t="inlineStr"/>
      <c r="T122" s="59" t="inlineStr"/>
      <c r="U122" s="61">
        <f>IF(A122="","",IFERROR(INDEX(E122:T122,MATCH(TRUE,INDEX(E122:T122&lt;&gt;"",0),0)),""))</f>
        <v/>
      </c>
      <c r="V122" s="61">
        <f>IF(A122="","",IFERROR(LOOKUP(2,1/(E122:T122&lt;&gt;""),E122:T122),""))</f>
        <v/>
      </c>
      <c r="W122" s="62">
        <f>IF(OR(A122="",PreviousYear=""),"",IFERROR(LOOKUP(2,1/(E122:T122&lt;&gt;""),E122:T122)-INDEX(E122:T122,MATCH(PreviousYear,$E$5:$T$5,0)),""))</f>
        <v/>
      </c>
      <c r="X122" s="62">
        <f>IF(OR(A122="",U122="",V122=""),"",V122-U122)</f>
        <v/>
      </c>
      <c r="Y122" s="61">
        <f>IF(A122="","",COUNT(E122:T122))</f>
        <v/>
      </c>
    </row>
    <row r="123">
      <c r="A123" s="44">
        <f>IF(AND('Employees'!B13&lt;&gt;"",'Skills'!B11&lt;&gt;""),'Employees'!B13,"")</f>
        <v/>
      </c>
      <c r="B123" s="45">
        <f>IF(A123="","",'Employees'!C13)</f>
        <v/>
      </c>
      <c r="C123" s="58">
        <f>IF(A123="","",'Skills'!B11)</f>
        <v/>
      </c>
      <c r="D123" s="45">
        <f>IF(A123="","",'Skills'!C11)</f>
        <v/>
      </c>
      <c r="E123" s="59" t="inlineStr"/>
      <c r="F123" s="59" t="n">
        <v>1</v>
      </c>
      <c r="G123" s="59" t="n">
        <v>2</v>
      </c>
      <c r="H123" s="60" t="n">
        <v>2</v>
      </c>
      <c r="I123" s="59" t="inlineStr"/>
      <c r="J123" s="59" t="inlineStr"/>
      <c r="K123" s="59" t="inlineStr"/>
      <c r="L123" s="59" t="inlineStr"/>
      <c r="M123" s="59" t="inlineStr"/>
      <c r="N123" s="59" t="inlineStr"/>
      <c r="O123" s="59" t="inlineStr"/>
      <c r="P123" s="59" t="inlineStr"/>
      <c r="Q123" s="59" t="inlineStr"/>
      <c r="R123" s="59" t="inlineStr"/>
      <c r="S123" s="59" t="inlineStr"/>
      <c r="T123" s="59" t="inlineStr"/>
      <c r="U123" s="61">
        <f>IF(A123="","",IFERROR(INDEX(E123:T123,MATCH(TRUE,INDEX(E123:T123&lt;&gt;"",0),0)),""))</f>
        <v/>
      </c>
      <c r="V123" s="61">
        <f>IF(A123="","",IFERROR(LOOKUP(2,1/(E123:T123&lt;&gt;""),E123:T123),""))</f>
        <v/>
      </c>
      <c r="W123" s="62">
        <f>IF(OR(A123="",PreviousYear=""),"",IFERROR(LOOKUP(2,1/(E123:T123&lt;&gt;""),E123:T123)-INDEX(E123:T123,MATCH(PreviousYear,$E$5:$T$5,0)),""))</f>
        <v/>
      </c>
      <c r="X123" s="62">
        <f>IF(OR(A123="",U123="",V123=""),"",V123-U123)</f>
        <v/>
      </c>
      <c r="Y123" s="61">
        <f>IF(A123="","",COUNT(E123:T123))</f>
        <v/>
      </c>
    </row>
    <row r="124">
      <c r="A124" s="44">
        <f>IF(AND('Employees'!B13&lt;&gt;"",'Skills'!B12&lt;&gt;""),'Employees'!B13,"")</f>
        <v/>
      </c>
      <c r="B124" s="45">
        <f>IF(A124="","",'Employees'!C13)</f>
        <v/>
      </c>
      <c r="C124" s="58">
        <f>IF(A124="","",'Skills'!B12)</f>
        <v/>
      </c>
      <c r="D124" s="45">
        <f>IF(A124="","",'Skills'!C12)</f>
        <v/>
      </c>
      <c r="E124" s="59" t="inlineStr"/>
      <c r="F124" s="59" t="n">
        <v>4</v>
      </c>
      <c r="G124" s="59" t="n">
        <v>4</v>
      </c>
      <c r="H124" s="60" t="n">
        <v>5</v>
      </c>
      <c r="I124" s="59" t="inlineStr"/>
      <c r="J124" s="59" t="inlineStr"/>
      <c r="K124" s="59" t="inlineStr"/>
      <c r="L124" s="59" t="inlineStr"/>
      <c r="M124" s="59" t="inlineStr"/>
      <c r="N124" s="59" t="inlineStr"/>
      <c r="O124" s="59" t="inlineStr"/>
      <c r="P124" s="59" t="inlineStr"/>
      <c r="Q124" s="59" t="inlineStr"/>
      <c r="R124" s="59" t="inlineStr"/>
      <c r="S124" s="59" t="inlineStr"/>
      <c r="T124" s="59" t="inlineStr"/>
      <c r="U124" s="61">
        <f>IF(A124="","",IFERROR(INDEX(E124:T124,MATCH(TRUE,INDEX(E124:T124&lt;&gt;"",0),0)),""))</f>
        <v/>
      </c>
      <c r="V124" s="61">
        <f>IF(A124="","",IFERROR(LOOKUP(2,1/(E124:T124&lt;&gt;""),E124:T124),""))</f>
        <v/>
      </c>
      <c r="W124" s="62">
        <f>IF(OR(A124="",PreviousYear=""),"",IFERROR(LOOKUP(2,1/(E124:T124&lt;&gt;""),E124:T124)-INDEX(E124:T124,MATCH(PreviousYear,$E$5:$T$5,0)),""))</f>
        <v/>
      </c>
      <c r="X124" s="62">
        <f>IF(OR(A124="",U124="",V124=""),"",V124-U124)</f>
        <v/>
      </c>
      <c r="Y124" s="61">
        <f>IF(A124="","",COUNT(E124:T124))</f>
        <v/>
      </c>
    </row>
    <row r="125">
      <c r="A125" s="44">
        <f>IF(AND('Employees'!B13&lt;&gt;"",'Skills'!B13&lt;&gt;""),'Employees'!B13,"")</f>
        <v/>
      </c>
      <c r="B125" s="45">
        <f>IF(A125="","",'Employees'!C13)</f>
        <v/>
      </c>
      <c r="C125" s="58">
        <f>IF(A125="","",'Skills'!B13)</f>
        <v/>
      </c>
      <c r="D125" s="45">
        <f>IF(A125="","",'Skills'!C13)</f>
        <v/>
      </c>
      <c r="E125" s="59" t="inlineStr"/>
      <c r="F125" s="59" t="n">
        <v>2</v>
      </c>
      <c r="G125" s="59" t="n">
        <v>2</v>
      </c>
      <c r="H125" s="60" t="n">
        <v>3</v>
      </c>
      <c r="I125" s="59" t="inlineStr"/>
      <c r="J125" s="59" t="inlineStr"/>
      <c r="K125" s="59" t="inlineStr"/>
      <c r="L125" s="59" t="inlineStr"/>
      <c r="M125" s="59" t="inlineStr"/>
      <c r="N125" s="59" t="inlineStr"/>
      <c r="O125" s="59" t="inlineStr"/>
      <c r="P125" s="59" t="inlineStr"/>
      <c r="Q125" s="59" t="inlineStr"/>
      <c r="R125" s="59" t="inlineStr"/>
      <c r="S125" s="59" t="inlineStr"/>
      <c r="T125" s="59" t="inlineStr"/>
      <c r="U125" s="61">
        <f>IF(A125="","",IFERROR(INDEX(E125:T125,MATCH(TRUE,INDEX(E125:T125&lt;&gt;"",0),0)),""))</f>
        <v/>
      </c>
      <c r="V125" s="61">
        <f>IF(A125="","",IFERROR(LOOKUP(2,1/(E125:T125&lt;&gt;""),E125:T125),""))</f>
        <v/>
      </c>
      <c r="W125" s="62">
        <f>IF(OR(A125="",PreviousYear=""),"",IFERROR(LOOKUP(2,1/(E125:T125&lt;&gt;""),E125:T125)-INDEX(E125:T125,MATCH(PreviousYear,$E$5:$T$5,0)),""))</f>
        <v/>
      </c>
      <c r="X125" s="62">
        <f>IF(OR(A125="",U125="",V125=""),"",V125-U125)</f>
        <v/>
      </c>
      <c r="Y125" s="61">
        <f>IF(A125="","",COUNT(E125:T125))</f>
        <v/>
      </c>
    </row>
    <row r="126">
      <c r="A126" s="44">
        <f>IF(AND('Employees'!B13&lt;&gt;"",'Skills'!B14&lt;&gt;""),'Employees'!B13,"")</f>
        <v/>
      </c>
      <c r="B126" s="45">
        <f>IF(A126="","",'Employees'!C13)</f>
        <v/>
      </c>
      <c r="C126" s="58">
        <f>IF(A126="","",'Skills'!B14)</f>
        <v/>
      </c>
      <c r="D126" s="45">
        <f>IF(A126="","",'Skills'!C14)</f>
        <v/>
      </c>
      <c r="E126" s="59" t="inlineStr"/>
      <c r="F126" s="59" t="n">
        <v>1</v>
      </c>
      <c r="G126" s="59" t="n">
        <v>2</v>
      </c>
      <c r="H126" s="60" t="n">
        <v>3</v>
      </c>
      <c r="I126" s="59" t="inlineStr"/>
      <c r="J126" s="59" t="inlineStr"/>
      <c r="K126" s="59" t="inlineStr"/>
      <c r="L126" s="59" t="inlineStr"/>
      <c r="M126" s="59" t="inlineStr"/>
      <c r="N126" s="59" t="inlineStr"/>
      <c r="O126" s="59" t="inlineStr"/>
      <c r="P126" s="59" t="inlineStr"/>
      <c r="Q126" s="59" t="inlineStr"/>
      <c r="R126" s="59" t="inlineStr"/>
      <c r="S126" s="59" t="inlineStr"/>
      <c r="T126" s="59" t="inlineStr"/>
      <c r="U126" s="61">
        <f>IF(A126="","",IFERROR(INDEX(E126:T126,MATCH(TRUE,INDEX(E126:T126&lt;&gt;"",0),0)),""))</f>
        <v/>
      </c>
      <c r="V126" s="61">
        <f>IF(A126="","",IFERROR(LOOKUP(2,1/(E126:T126&lt;&gt;""),E126:T126),""))</f>
        <v/>
      </c>
      <c r="W126" s="62">
        <f>IF(OR(A126="",PreviousYear=""),"",IFERROR(LOOKUP(2,1/(E126:T126&lt;&gt;""),E126:T126)-INDEX(E126:T126,MATCH(PreviousYear,$E$5:$T$5,0)),""))</f>
        <v/>
      </c>
      <c r="X126" s="62">
        <f>IF(OR(A126="",U126="",V126=""),"",V126-U126)</f>
        <v/>
      </c>
      <c r="Y126" s="61">
        <f>IF(A126="","",COUNT(E126:T126))</f>
        <v/>
      </c>
    </row>
    <row r="127">
      <c r="A127" s="44">
        <f>IF(AND('Employees'!B13&lt;&gt;"",'Skills'!B15&lt;&gt;""),'Employees'!B13,"")</f>
        <v/>
      </c>
      <c r="B127" s="45">
        <f>IF(A127="","",'Employees'!C13)</f>
        <v/>
      </c>
      <c r="C127" s="58">
        <f>IF(A127="","",'Skills'!B15)</f>
        <v/>
      </c>
      <c r="D127" s="45">
        <f>IF(A127="","",'Skills'!C15)</f>
        <v/>
      </c>
      <c r="E127" s="59" t="inlineStr"/>
      <c r="F127" s="59" t="n">
        <v>3</v>
      </c>
      <c r="G127" s="59" t="n">
        <v>3</v>
      </c>
      <c r="H127" s="60" t="n">
        <v>4</v>
      </c>
      <c r="I127" s="59" t="inlineStr"/>
      <c r="J127" s="59" t="inlineStr"/>
      <c r="K127" s="59" t="inlineStr"/>
      <c r="L127" s="59" t="inlineStr"/>
      <c r="M127" s="59" t="inlineStr"/>
      <c r="N127" s="59" t="inlineStr"/>
      <c r="O127" s="59" t="inlineStr"/>
      <c r="P127" s="59" t="inlineStr"/>
      <c r="Q127" s="59" t="inlineStr"/>
      <c r="R127" s="59" t="inlineStr"/>
      <c r="S127" s="59" t="inlineStr"/>
      <c r="T127" s="59" t="inlineStr"/>
      <c r="U127" s="61">
        <f>IF(A127="","",IFERROR(INDEX(E127:T127,MATCH(TRUE,INDEX(E127:T127&lt;&gt;"",0),0)),""))</f>
        <v/>
      </c>
      <c r="V127" s="61">
        <f>IF(A127="","",IFERROR(LOOKUP(2,1/(E127:T127&lt;&gt;""),E127:T127),""))</f>
        <v/>
      </c>
      <c r="W127" s="62">
        <f>IF(OR(A127="",PreviousYear=""),"",IFERROR(LOOKUP(2,1/(E127:T127&lt;&gt;""),E127:T127)-INDEX(E127:T127,MATCH(PreviousYear,$E$5:$T$5,0)),""))</f>
        <v/>
      </c>
      <c r="X127" s="62">
        <f>IF(OR(A127="",U127="",V127=""),"",V127-U127)</f>
        <v/>
      </c>
      <c r="Y127" s="61">
        <f>IF(A127="","",COUNT(E127:T127))</f>
        <v/>
      </c>
    </row>
    <row r="128">
      <c r="A128" s="44">
        <f>IF(AND('Employees'!B13&lt;&gt;"",'Skills'!B16&lt;&gt;""),'Employees'!B13,"")</f>
        <v/>
      </c>
      <c r="B128" s="45">
        <f>IF(A128="","",'Employees'!C13)</f>
        <v/>
      </c>
      <c r="C128" s="58">
        <f>IF(A128="","",'Skills'!B16)</f>
        <v/>
      </c>
      <c r="D128" s="45">
        <f>IF(A128="","",'Skills'!C16)</f>
        <v/>
      </c>
      <c r="E128" s="59" t="inlineStr"/>
      <c r="F128" s="59" t="n">
        <v>2</v>
      </c>
      <c r="G128" s="59" t="n">
        <v>2</v>
      </c>
      <c r="H128" s="60" t="n">
        <v>3</v>
      </c>
      <c r="I128" s="59" t="inlineStr"/>
      <c r="J128" s="59" t="inlineStr"/>
      <c r="K128" s="59" t="inlineStr"/>
      <c r="L128" s="59" t="inlineStr"/>
      <c r="M128" s="59" t="inlineStr"/>
      <c r="N128" s="59" t="inlineStr"/>
      <c r="O128" s="59" t="inlineStr"/>
      <c r="P128" s="59" t="inlineStr"/>
      <c r="Q128" s="59" t="inlineStr"/>
      <c r="R128" s="59" t="inlineStr"/>
      <c r="S128" s="59" t="inlineStr"/>
      <c r="T128" s="59" t="inlineStr"/>
      <c r="U128" s="61">
        <f>IF(A128="","",IFERROR(INDEX(E128:T128,MATCH(TRUE,INDEX(E128:T128&lt;&gt;"",0),0)),""))</f>
        <v/>
      </c>
      <c r="V128" s="61">
        <f>IF(A128="","",IFERROR(LOOKUP(2,1/(E128:T128&lt;&gt;""),E128:T128),""))</f>
        <v/>
      </c>
      <c r="W128" s="62">
        <f>IF(OR(A128="",PreviousYear=""),"",IFERROR(LOOKUP(2,1/(E128:T128&lt;&gt;""),E128:T128)-INDEX(E128:T128,MATCH(PreviousYear,$E$5:$T$5,0)),""))</f>
        <v/>
      </c>
      <c r="X128" s="62">
        <f>IF(OR(A128="",U128="",V128=""),"",V128-U128)</f>
        <v/>
      </c>
      <c r="Y128" s="61">
        <f>IF(A128="","",COUNT(E128:T128))</f>
        <v/>
      </c>
    </row>
    <row r="129">
      <c r="A129" s="44">
        <f>IF(AND('Employees'!B13&lt;&gt;"",'Skills'!B17&lt;&gt;""),'Employees'!B13,"")</f>
        <v/>
      </c>
      <c r="B129" s="45">
        <f>IF(A129="","",'Employees'!C13)</f>
        <v/>
      </c>
      <c r="C129" s="58">
        <f>IF(A129="","",'Skills'!B17)</f>
        <v/>
      </c>
      <c r="D129" s="45">
        <f>IF(A129="","",'Skills'!C17)</f>
        <v/>
      </c>
      <c r="E129" s="59" t="inlineStr"/>
      <c r="F129" s="59" t="inlineStr"/>
      <c r="G129" s="59" t="inlineStr"/>
      <c r="H129" s="60" t="inlineStr"/>
      <c r="I129" s="59" t="inlineStr"/>
      <c r="J129" s="59" t="inlineStr"/>
      <c r="K129" s="59" t="inlineStr"/>
      <c r="L129" s="59" t="inlineStr"/>
      <c r="M129" s="59" t="inlineStr"/>
      <c r="N129" s="59" t="inlineStr"/>
      <c r="O129" s="59" t="inlineStr"/>
      <c r="P129" s="59" t="inlineStr"/>
      <c r="Q129" s="59" t="inlineStr"/>
      <c r="R129" s="59" t="inlineStr"/>
      <c r="S129" s="59" t="inlineStr"/>
      <c r="T129" s="59" t="inlineStr"/>
      <c r="U129" s="61">
        <f>IF(A129="","",IFERROR(INDEX(E129:T129,MATCH(TRUE,INDEX(E129:T129&lt;&gt;"",0),0)),""))</f>
        <v/>
      </c>
      <c r="V129" s="61">
        <f>IF(A129="","",IFERROR(LOOKUP(2,1/(E129:T129&lt;&gt;""),E129:T129),""))</f>
        <v/>
      </c>
      <c r="W129" s="62">
        <f>IF(OR(A129="",PreviousYear=""),"",IFERROR(LOOKUP(2,1/(E129:T129&lt;&gt;""),E129:T129)-INDEX(E129:T129,MATCH(PreviousYear,$E$5:$T$5,0)),""))</f>
        <v/>
      </c>
      <c r="X129" s="62">
        <f>IF(OR(A129="",U129="",V129=""),"",V129-U129)</f>
        <v/>
      </c>
      <c r="Y129" s="61">
        <f>IF(A129="","",COUNT(E129:T129))</f>
        <v/>
      </c>
    </row>
    <row r="130">
      <c r="A130" s="44">
        <f>IF(AND('Employees'!B13&lt;&gt;"",'Skills'!B18&lt;&gt;""),'Employees'!B13,"")</f>
        <v/>
      </c>
      <c r="B130" s="45">
        <f>IF(A130="","",'Employees'!C13)</f>
        <v/>
      </c>
      <c r="C130" s="58">
        <f>IF(A130="","",'Skills'!B18)</f>
        <v/>
      </c>
      <c r="D130" s="45">
        <f>IF(A130="","",'Skills'!C18)</f>
        <v/>
      </c>
      <c r="E130" s="59" t="inlineStr"/>
      <c r="F130" s="59" t="inlineStr"/>
      <c r="G130" s="59" t="inlineStr"/>
      <c r="H130" s="60" t="inlineStr"/>
      <c r="I130" s="59" t="inlineStr"/>
      <c r="J130" s="59" t="inlineStr"/>
      <c r="K130" s="59" t="inlineStr"/>
      <c r="L130" s="59" t="inlineStr"/>
      <c r="M130" s="59" t="inlineStr"/>
      <c r="N130" s="59" t="inlineStr"/>
      <c r="O130" s="59" t="inlineStr"/>
      <c r="P130" s="59" t="inlineStr"/>
      <c r="Q130" s="59" t="inlineStr"/>
      <c r="R130" s="59" t="inlineStr"/>
      <c r="S130" s="59" t="inlineStr"/>
      <c r="T130" s="59" t="inlineStr"/>
      <c r="U130" s="61">
        <f>IF(A130="","",IFERROR(INDEX(E130:T130,MATCH(TRUE,INDEX(E130:T130&lt;&gt;"",0),0)),""))</f>
        <v/>
      </c>
      <c r="V130" s="61">
        <f>IF(A130="","",IFERROR(LOOKUP(2,1/(E130:T130&lt;&gt;""),E130:T130),""))</f>
        <v/>
      </c>
      <c r="W130" s="62">
        <f>IF(OR(A130="",PreviousYear=""),"",IFERROR(LOOKUP(2,1/(E130:T130&lt;&gt;""),E130:T130)-INDEX(E130:T130,MATCH(PreviousYear,$E$5:$T$5,0)),""))</f>
        <v/>
      </c>
      <c r="X130" s="62">
        <f>IF(OR(A130="",U130="",V130=""),"",V130-U130)</f>
        <v/>
      </c>
      <c r="Y130" s="61">
        <f>IF(A130="","",COUNT(E130:T130))</f>
        <v/>
      </c>
    </row>
    <row r="131">
      <c r="A131" s="44">
        <f>IF(AND('Employees'!B13&lt;&gt;"",'Skills'!B19&lt;&gt;""),'Employees'!B13,"")</f>
        <v/>
      </c>
      <c r="B131" s="45">
        <f>IF(A131="","",'Employees'!C13)</f>
        <v/>
      </c>
      <c r="C131" s="58">
        <f>IF(A131="","",'Skills'!B19)</f>
        <v/>
      </c>
      <c r="D131" s="45">
        <f>IF(A131="","",'Skills'!C19)</f>
        <v/>
      </c>
      <c r="E131" s="59" t="inlineStr"/>
      <c r="F131" s="59" t="inlineStr"/>
      <c r="G131" s="59" t="inlineStr"/>
      <c r="H131" s="60" t="inlineStr"/>
      <c r="I131" s="59" t="inlineStr"/>
      <c r="J131" s="59" t="inlineStr"/>
      <c r="K131" s="59" t="inlineStr"/>
      <c r="L131" s="59" t="inlineStr"/>
      <c r="M131" s="59" t="inlineStr"/>
      <c r="N131" s="59" t="inlineStr"/>
      <c r="O131" s="59" t="inlineStr"/>
      <c r="P131" s="59" t="inlineStr"/>
      <c r="Q131" s="59" t="inlineStr"/>
      <c r="R131" s="59" t="inlineStr"/>
      <c r="S131" s="59" t="inlineStr"/>
      <c r="T131" s="59" t="inlineStr"/>
      <c r="U131" s="61">
        <f>IF(A131="","",IFERROR(INDEX(E131:T131,MATCH(TRUE,INDEX(E131:T131&lt;&gt;"",0),0)),""))</f>
        <v/>
      </c>
      <c r="V131" s="61">
        <f>IF(A131="","",IFERROR(LOOKUP(2,1/(E131:T131&lt;&gt;""),E131:T131),""))</f>
        <v/>
      </c>
      <c r="W131" s="62">
        <f>IF(OR(A131="",PreviousYear=""),"",IFERROR(LOOKUP(2,1/(E131:T131&lt;&gt;""),E131:T131)-INDEX(E131:T131,MATCH(PreviousYear,$E$5:$T$5,0)),""))</f>
        <v/>
      </c>
      <c r="X131" s="62">
        <f>IF(OR(A131="",U131="",V131=""),"",V131-U131)</f>
        <v/>
      </c>
      <c r="Y131" s="61">
        <f>IF(A131="","",COUNT(E131:T131))</f>
        <v/>
      </c>
    </row>
    <row r="132">
      <c r="A132" s="44">
        <f>IF(AND('Employees'!B13&lt;&gt;"",'Skills'!B20&lt;&gt;""),'Employees'!B13,"")</f>
        <v/>
      </c>
      <c r="B132" s="45">
        <f>IF(A132="","",'Employees'!C13)</f>
        <v/>
      </c>
      <c r="C132" s="58">
        <f>IF(A132="","",'Skills'!B20)</f>
        <v/>
      </c>
      <c r="D132" s="45">
        <f>IF(A132="","",'Skills'!C20)</f>
        <v/>
      </c>
      <c r="E132" s="59" t="inlineStr"/>
      <c r="F132" s="59" t="inlineStr"/>
      <c r="G132" s="59" t="inlineStr"/>
      <c r="H132" s="60" t="inlineStr"/>
      <c r="I132" s="59" t="inlineStr"/>
      <c r="J132" s="59" t="inlineStr"/>
      <c r="K132" s="59" t="inlineStr"/>
      <c r="L132" s="59" t="inlineStr"/>
      <c r="M132" s="59" t="inlineStr"/>
      <c r="N132" s="59" t="inlineStr"/>
      <c r="O132" s="59" t="inlineStr"/>
      <c r="P132" s="59" t="inlineStr"/>
      <c r="Q132" s="59" t="inlineStr"/>
      <c r="R132" s="59" t="inlineStr"/>
      <c r="S132" s="59" t="inlineStr"/>
      <c r="T132" s="59" t="inlineStr"/>
      <c r="U132" s="61">
        <f>IF(A132="","",IFERROR(INDEX(E132:T132,MATCH(TRUE,INDEX(E132:T132&lt;&gt;"",0),0)),""))</f>
        <v/>
      </c>
      <c r="V132" s="61">
        <f>IF(A132="","",IFERROR(LOOKUP(2,1/(E132:T132&lt;&gt;""),E132:T132),""))</f>
        <v/>
      </c>
      <c r="W132" s="62">
        <f>IF(OR(A132="",PreviousYear=""),"",IFERROR(LOOKUP(2,1/(E132:T132&lt;&gt;""),E132:T132)-INDEX(E132:T132,MATCH(PreviousYear,$E$5:$T$5,0)),""))</f>
        <v/>
      </c>
      <c r="X132" s="62">
        <f>IF(OR(A132="",U132="",V132=""),"",V132-U132)</f>
        <v/>
      </c>
      <c r="Y132" s="61">
        <f>IF(A132="","",COUNT(E132:T132))</f>
        <v/>
      </c>
    </row>
    <row r="133">
      <c r="A133" s="44">
        <f>IF(AND('Employees'!B13&lt;&gt;"",'Skills'!B21&lt;&gt;""),'Employees'!B13,"")</f>
        <v/>
      </c>
      <c r="B133" s="45">
        <f>IF(A133="","",'Employees'!C13)</f>
        <v/>
      </c>
      <c r="C133" s="58">
        <f>IF(A133="","",'Skills'!B21)</f>
        <v/>
      </c>
      <c r="D133" s="45">
        <f>IF(A133="","",'Skills'!C21)</f>
        <v/>
      </c>
      <c r="E133" s="59" t="inlineStr"/>
      <c r="F133" s="59" t="inlineStr"/>
      <c r="G133" s="59" t="inlineStr"/>
      <c r="H133" s="60" t="inlineStr"/>
      <c r="I133" s="59" t="inlineStr"/>
      <c r="J133" s="59" t="inlineStr"/>
      <c r="K133" s="59" t="inlineStr"/>
      <c r="L133" s="59" t="inlineStr"/>
      <c r="M133" s="59" t="inlineStr"/>
      <c r="N133" s="59" t="inlineStr"/>
      <c r="O133" s="59" t="inlineStr"/>
      <c r="P133" s="59" t="inlineStr"/>
      <c r="Q133" s="59" t="inlineStr"/>
      <c r="R133" s="59" t="inlineStr"/>
      <c r="S133" s="59" t="inlineStr"/>
      <c r="T133" s="59" t="inlineStr"/>
      <c r="U133" s="61">
        <f>IF(A133="","",IFERROR(INDEX(E133:T133,MATCH(TRUE,INDEX(E133:T133&lt;&gt;"",0),0)),""))</f>
        <v/>
      </c>
      <c r="V133" s="61">
        <f>IF(A133="","",IFERROR(LOOKUP(2,1/(E133:T133&lt;&gt;""),E133:T133),""))</f>
        <v/>
      </c>
      <c r="W133" s="62">
        <f>IF(OR(A133="",PreviousYear=""),"",IFERROR(LOOKUP(2,1/(E133:T133&lt;&gt;""),E133:T133)-INDEX(E133:T133,MATCH(PreviousYear,$E$5:$T$5,0)),""))</f>
        <v/>
      </c>
      <c r="X133" s="62">
        <f>IF(OR(A133="",U133="",V133=""),"",V133-U133)</f>
        <v/>
      </c>
      <c r="Y133" s="61">
        <f>IF(A133="","",COUNT(E133:T133))</f>
        <v/>
      </c>
    </row>
    <row r="134">
      <c r="A134" s="44">
        <f>IF(AND('Employees'!B14&lt;&gt;"",'Skills'!B6&lt;&gt;""),'Employees'!B14,"")</f>
        <v/>
      </c>
      <c r="B134" s="45">
        <f>IF(A134="","",'Employees'!C14)</f>
        <v/>
      </c>
      <c r="C134" s="58">
        <f>IF(A134="","",'Skills'!B6)</f>
        <v/>
      </c>
      <c r="D134" s="45">
        <f>IF(A134="","",'Skills'!C6)</f>
        <v/>
      </c>
      <c r="E134" s="59" t="inlineStr"/>
      <c r="F134" s="59" t="inlineStr"/>
      <c r="G134" s="59" t="inlineStr"/>
      <c r="H134" s="60" t="inlineStr"/>
      <c r="I134" s="59" t="inlineStr"/>
      <c r="J134" s="59" t="inlineStr"/>
      <c r="K134" s="59" t="inlineStr"/>
      <c r="L134" s="59" t="inlineStr"/>
      <c r="M134" s="59" t="inlineStr"/>
      <c r="N134" s="59" t="inlineStr"/>
      <c r="O134" s="59" t="inlineStr"/>
      <c r="P134" s="59" t="inlineStr"/>
      <c r="Q134" s="59" t="inlineStr"/>
      <c r="R134" s="59" t="inlineStr"/>
      <c r="S134" s="59" t="inlineStr"/>
      <c r="T134" s="59" t="inlineStr"/>
      <c r="U134" s="61">
        <f>IF(A134="","",IFERROR(INDEX(E134:T134,MATCH(TRUE,INDEX(E134:T134&lt;&gt;"",0),0)),""))</f>
        <v/>
      </c>
      <c r="V134" s="61">
        <f>IF(A134="","",IFERROR(LOOKUP(2,1/(E134:T134&lt;&gt;""),E134:T134),""))</f>
        <v/>
      </c>
      <c r="W134" s="62">
        <f>IF(OR(A134="",PreviousYear=""),"",IFERROR(LOOKUP(2,1/(E134:T134&lt;&gt;""),E134:T134)-INDEX(E134:T134,MATCH(PreviousYear,$E$5:$T$5,0)),""))</f>
        <v/>
      </c>
      <c r="X134" s="62">
        <f>IF(OR(A134="",U134="",V134=""),"",V134-U134)</f>
        <v/>
      </c>
      <c r="Y134" s="61">
        <f>IF(A134="","",COUNT(E134:T134))</f>
        <v/>
      </c>
    </row>
    <row r="135">
      <c r="A135" s="44">
        <f>IF(AND('Employees'!B14&lt;&gt;"",'Skills'!B7&lt;&gt;""),'Employees'!B14,"")</f>
        <v/>
      </c>
      <c r="B135" s="45">
        <f>IF(A135="","",'Employees'!C14)</f>
        <v/>
      </c>
      <c r="C135" s="58">
        <f>IF(A135="","",'Skills'!B7)</f>
        <v/>
      </c>
      <c r="D135" s="45">
        <f>IF(A135="","",'Skills'!C7)</f>
        <v/>
      </c>
      <c r="E135" s="59" t="inlineStr"/>
      <c r="F135" s="59" t="inlineStr"/>
      <c r="G135" s="59" t="inlineStr"/>
      <c r="H135" s="60" t="inlineStr"/>
      <c r="I135" s="59" t="inlineStr"/>
      <c r="J135" s="59" t="inlineStr"/>
      <c r="K135" s="59" t="inlineStr"/>
      <c r="L135" s="59" t="inlineStr"/>
      <c r="M135" s="59" t="inlineStr"/>
      <c r="N135" s="59" t="inlineStr"/>
      <c r="O135" s="59" t="inlineStr"/>
      <c r="P135" s="59" t="inlineStr"/>
      <c r="Q135" s="59" t="inlineStr"/>
      <c r="R135" s="59" t="inlineStr"/>
      <c r="S135" s="59" t="inlineStr"/>
      <c r="T135" s="59" t="inlineStr"/>
      <c r="U135" s="61">
        <f>IF(A135="","",IFERROR(INDEX(E135:T135,MATCH(TRUE,INDEX(E135:T135&lt;&gt;"",0),0)),""))</f>
        <v/>
      </c>
      <c r="V135" s="61">
        <f>IF(A135="","",IFERROR(LOOKUP(2,1/(E135:T135&lt;&gt;""),E135:T135),""))</f>
        <v/>
      </c>
      <c r="W135" s="62">
        <f>IF(OR(A135="",PreviousYear=""),"",IFERROR(LOOKUP(2,1/(E135:T135&lt;&gt;""),E135:T135)-INDEX(E135:T135,MATCH(PreviousYear,$E$5:$T$5,0)),""))</f>
        <v/>
      </c>
      <c r="X135" s="62">
        <f>IF(OR(A135="",U135="",V135=""),"",V135-U135)</f>
        <v/>
      </c>
      <c r="Y135" s="61">
        <f>IF(A135="","",COUNT(E135:T135))</f>
        <v/>
      </c>
    </row>
    <row r="136">
      <c r="A136" s="44">
        <f>IF(AND('Employees'!B14&lt;&gt;"",'Skills'!B8&lt;&gt;""),'Employees'!B14,"")</f>
        <v/>
      </c>
      <c r="B136" s="45">
        <f>IF(A136="","",'Employees'!C14)</f>
        <v/>
      </c>
      <c r="C136" s="58">
        <f>IF(A136="","",'Skills'!B8)</f>
        <v/>
      </c>
      <c r="D136" s="45">
        <f>IF(A136="","",'Skills'!C8)</f>
        <v/>
      </c>
      <c r="E136" s="59" t="inlineStr"/>
      <c r="F136" s="59" t="inlineStr"/>
      <c r="G136" s="59" t="inlineStr"/>
      <c r="H136" s="60" t="inlineStr"/>
      <c r="I136" s="59" t="inlineStr"/>
      <c r="J136" s="59" t="inlineStr"/>
      <c r="K136" s="59" t="inlineStr"/>
      <c r="L136" s="59" t="inlineStr"/>
      <c r="M136" s="59" t="inlineStr"/>
      <c r="N136" s="59" t="inlineStr"/>
      <c r="O136" s="59" t="inlineStr"/>
      <c r="P136" s="59" t="inlineStr"/>
      <c r="Q136" s="59" t="inlineStr"/>
      <c r="R136" s="59" t="inlineStr"/>
      <c r="S136" s="59" t="inlineStr"/>
      <c r="T136" s="59" t="inlineStr"/>
      <c r="U136" s="61">
        <f>IF(A136="","",IFERROR(INDEX(E136:T136,MATCH(TRUE,INDEX(E136:T136&lt;&gt;"",0),0)),""))</f>
        <v/>
      </c>
      <c r="V136" s="61">
        <f>IF(A136="","",IFERROR(LOOKUP(2,1/(E136:T136&lt;&gt;""),E136:T136),""))</f>
        <v/>
      </c>
      <c r="W136" s="62">
        <f>IF(OR(A136="",PreviousYear=""),"",IFERROR(LOOKUP(2,1/(E136:T136&lt;&gt;""),E136:T136)-INDEX(E136:T136,MATCH(PreviousYear,$E$5:$T$5,0)),""))</f>
        <v/>
      </c>
      <c r="X136" s="62">
        <f>IF(OR(A136="",U136="",V136=""),"",V136-U136)</f>
        <v/>
      </c>
      <c r="Y136" s="61">
        <f>IF(A136="","",COUNT(E136:T136))</f>
        <v/>
      </c>
    </row>
    <row r="137">
      <c r="A137" s="44">
        <f>IF(AND('Employees'!B14&lt;&gt;"",'Skills'!B9&lt;&gt;""),'Employees'!B14,"")</f>
        <v/>
      </c>
      <c r="B137" s="45">
        <f>IF(A137="","",'Employees'!C14)</f>
        <v/>
      </c>
      <c r="C137" s="58">
        <f>IF(A137="","",'Skills'!B9)</f>
        <v/>
      </c>
      <c r="D137" s="45">
        <f>IF(A137="","",'Skills'!C9)</f>
        <v/>
      </c>
      <c r="E137" s="59" t="inlineStr"/>
      <c r="F137" s="59" t="inlineStr"/>
      <c r="G137" s="59" t="inlineStr"/>
      <c r="H137" s="60" t="inlineStr"/>
      <c r="I137" s="59" t="inlineStr"/>
      <c r="J137" s="59" t="inlineStr"/>
      <c r="K137" s="59" t="inlineStr"/>
      <c r="L137" s="59" t="inlineStr"/>
      <c r="M137" s="59" t="inlineStr"/>
      <c r="N137" s="59" t="inlineStr"/>
      <c r="O137" s="59" t="inlineStr"/>
      <c r="P137" s="59" t="inlineStr"/>
      <c r="Q137" s="59" t="inlineStr"/>
      <c r="R137" s="59" t="inlineStr"/>
      <c r="S137" s="59" t="inlineStr"/>
      <c r="T137" s="59" t="inlineStr"/>
      <c r="U137" s="61">
        <f>IF(A137="","",IFERROR(INDEX(E137:T137,MATCH(TRUE,INDEX(E137:T137&lt;&gt;"",0),0)),""))</f>
        <v/>
      </c>
      <c r="V137" s="61">
        <f>IF(A137="","",IFERROR(LOOKUP(2,1/(E137:T137&lt;&gt;""),E137:T137),""))</f>
        <v/>
      </c>
      <c r="W137" s="62">
        <f>IF(OR(A137="",PreviousYear=""),"",IFERROR(LOOKUP(2,1/(E137:T137&lt;&gt;""),E137:T137)-INDEX(E137:T137,MATCH(PreviousYear,$E$5:$T$5,0)),""))</f>
        <v/>
      </c>
      <c r="X137" s="62">
        <f>IF(OR(A137="",U137="",V137=""),"",V137-U137)</f>
        <v/>
      </c>
      <c r="Y137" s="61">
        <f>IF(A137="","",COUNT(E137:T137))</f>
        <v/>
      </c>
    </row>
    <row r="138">
      <c r="A138" s="44">
        <f>IF(AND('Employees'!B14&lt;&gt;"",'Skills'!B10&lt;&gt;""),'Employees'!B14,"")</f>
        <v/>
      </c>
      <c r="B138" s="45">
        <f>IF(A138="","",'Employees'!C14)</f>
        <v/>
      </c>
      <c r="C138" s="58">
        <f>IF(A138="","",'Skills'!B10)</f>
        <v/>
      </c>
      <c r="D138" s="45">
        <f>IF(A138="","",'Skills'!C10)</f>
        <v/>
      </c>
      <c r="E138" s="59" t="inlineStr"/>
      <c r="F138" s="59" t="inlineStr"/>
      <c r="G138" s="59" t="inlineStr"/>
      <c r="H138" s="60" t="inlineStr"/>
      <c r="I138" s="59" t="inlineStr"/>
      <c r="J138" s="59" t="inlineStr"/>
      <c r="K138" s="59" t="inlineStr"/>
      <c r="L138" s="59" t="inlineStr"/>
      <c r="M138" s="59" t="inlineStr"/>
      <c r="N138" s="59" t="inlineStr"/>
      <c r="O138" s="59" t="inlineStr"/>
      <c r="P138" s="59" t="inlineStr"/>
      <c r="Q138" s="59" t="inlineStr"/>
      <c r="R138" s="59" t="inlineStr"/>
      <c r="S138" s="59" t="inlineStr"/>
      <c r="T138" s="59" t="inlineStr"/>
      <c r="U138" s="61">
        <f>IF(A138="","",IFERROR(INDEX(E138:T138,MATCH(TRUE,INDEX(E138:T138&lt;&gt;"",0),0)),""))</f>
        <v/>
      </c>
      <c r="V138" s="61">
        <f>IF(A138="","",IFERROR(LOOKUP(2,1/(E138:T138&lt;&gt;""),E138:T138),""))</f>
        <v/>
      </c>
      <c r="W138" s="62">
        <f>IF(OR(A138="",PreviousYear=""),"",IFERROR(LOOKUP(2,1/(E138:T138&lt;&gt;""),E138:T138)-INDEX(E138:T138,MATCH(PreviousYear,$E$5:$T$5,0)),""))</f>
        <v/>
      </c>
      <c r="X138" s="62">
        <f>IF(OR(A138="",U138="",V138=""),"",V138-U138)</f>
        <v/>
      </c>
      <c r="Y138" s="61">
        <f>IF(A138="","",COUNT(E138:T138))</f>
        <v/>
      </c>
    </row>
    <row r="139">
      <c r="A139" s="44">
        <f>IF(AND('Employees'!B14&lt;&gt;"",'Skills'!B11&lt;&gt;""),'Employees'!B14,"")</f>
        <v/>
      </c>
      <c r="B139" s="45">
        <f>IF(A139="","",'Employees'!C14)</f>
        <v/>
      </c>
      <c r="C139" s="58">
        <f>IF(A139="","",'Skills'!B11)</f>
        <v/>
      </c>
      <c r="D139" s="45">
        <f>IF(A139="","",'Skills'!C11)</f>
        <v/>
      </c>
      <c r="E139" s="59" t="inlineStr"/>
      <c r="F139" s="59" t="inlineStr"/>
      <c r="G139" s="59" t="inlineStr"/>
      <c r="H139" s="60" t="inlineStr"/>
      <c r="I139" s="59" t="inlineStr"/>
      <c r="J139" s="59" t="inlineStr"/>
      <c r="K139" s="59" t="inlineStr"/>
      <c r="L139" s="59" t="inlineStr"/>
      <c r="M139" s="59" t="inlineStr"/>
      <c r="N139" s="59" t="inlineStr"/>
      <c r="O139" s="59" t="inlineStr"/>
      <c r="P139" s="59" t="inlineStr"/>
      <c r="Q139" s="59" t="inlineStr"/>
      <c r="R139" s="59" t="inlineStr"/>
      <c r="S139" s="59" t="inlineStr"/>
      <c r="T139" s="59" t="inlineStr"/>
      <c r="U139" s="61">
        <f>IF(A139="","",IFERROR(INDEX(E139:T139,MATCH(TRUE,INDEX(E139:T139&lt;&gt;"",0),0)),""))</f>
        <v/>
      </c>
      <c r="V139" s="61">
        <f>IF(A139="","",IFERROR(LOOKUP(2,1/(E139:T139&lt;&gt;""),E139:T139),""))</f>
        <v/>
      </c>
      <c r="W139" s="62">
        <f>IF(OR(A139="",PreviousYear=""),"",IFERROR(LOOKUP(2,1/(E139:T139&lt;&gt;""),E139:T139)-INDEX(E139:T139,MATCH(PreviousYear,$E$5:$T$5,0)),""))</f>
        <v/>
      </c>
      <c r="X139" s="62">
        <f>IF(OR(A139="",U139="",V139=""),"",V139-U139)</f>
        <v/>
      </c>
      <c r="Y139" s="61">
        <f>IF(A139="","",COUNT(E139:T139))</f>
        <v/>
      </c>
    </row>
    <row r="140">
      <c r="A140" s="44">
        <f>IF(AND('Employees'!B14&lt;&gt;"",'Skills'!B12&lt;&gt;""),'Employees'!B14,"")</f>
        <v/>
      </c>
      <c r="B140" s="45">
        <f>IF(A140="","",'Employees'!C14)</f>
        <v/>
      </c>
      <c r="C140" s="58">
        <f>IF(A140="","",'Skills'!B12)</f>
        <v/>
      </c>
      <c r="D140" s="45">
        <f>IF(A140="","",'Skills'!C12)</f>
        <v/>
      </c>
      <c r="E140" s="59" t="inlineStr"/>
      <c r="F140" s="59" t="inlineStr"/>
      <c r="G140" s="59" t="inlineStr"/>
      <c r="H140" s="60" t="inlineStr"/>
      <c r="I140" s="59" t="inlineStr"/>
      <c r="J140" s="59" t="inlineStr"/>
      <c r="K140" s="59" t="inlineStr"/>
      <c r="L140" s="59" t="inlineStr"/>
      <c r="M140" s="59" t="inlineStr"/>
      <c r="N140" s="59" t="inlineStr"/>
      <c r="O140" s="59" t="inlineStr"/>
      <c r="P140" s="59" t="inlineStr"/>
      <c r="Q140" s="59" t="inlineStr"/>
      <c r="R140" s="59" t="inlineStr"/>
      <c r="S140" s="59" t="inlineStr"/>
      <c r="T140" s="59" t="inlineStr"/>
      <c r="U140" s="61">
        <f>IF(A140="","",IFERROR(INDEX(E140:T140,MATCH(TRUE,INDEX(E140:T140&lt;&gt;"",0),0)),""))</f>
        <v/>
      </c>
      <c r="V140" s="61">
        <f>IF(A140="","",IFERROR(LOOKUP(2,1/(E140:T140&lt;&gt;""),E140:T140),""))</f>
        <v/>
      </c>
      <c r="W140" s="62">
        <f>IF(OR(A140="",PreviousYear=""),"",IFERROR(LOOKUP(2,1/(E140:T140&lt;&gt;""),E140:T140)-INDEX(E140:T140,MATCH(PreviousYear,$E$5:$T$5,0)),""))</f>
        <v/>
      </c>
      <c r="X140" s="62">
        <f>IF(OR(A140="",U140="",V140=""),"",V140-U140)</f>
        <v/>
      </c>
      <c r="Y140" s="61">
        <f>IF(A140="","",COUNT(E140:T140))</f>
        <v/>
      </c>
    </row>
    <row r="141">
      <c r="A141" s="44">
        <f>IF(AND('Employees'!B14&lt;&gt;"",'Skills'!B13&lt;&gt;""),'Employees'!B14,"")</f>
        <v/>
      </c>
      <c r="B141" s="45">
        <f>IF(A141="","",'Employees'!C14)</f>
        <v/>
      </c>
      <c r="C141" s="58">
        <f>IF(A141="","",'Skills'!B13)</f>
        <v/>
      </c>
      <c r="D141" s="45">
        <f>IF(A141="","",'Skills'!C13)</f>
        <v/>
      </c>
      <c r="E141" s="59" t="inlineStr"/>
      <c r="F141" s="59" t="inlineStr"/>
      <c r="G141" s="59" t="inlineStr"/>
      <c r="H141" s="60" t="inlineStr"/>
      <c r="I141" s="59" t="inlineStr"/>
      <c r="J141" s="59" t="inlineStr"/>
      <c r="K141" s="59" t="inlineStr"/>
      <c r="L141" s="59" t="inlineStr"/>
      <c r="M141" s="59" t="inlineStr"/>
      <c r="N141" s="59" t="inlineStr"/>
      <c r="O141" s="59" t="inlineStr"/>
      <c r="P141" s="59" t="inlineStr"/>
      <c r="Q141" s="59" t="inlineStr"/>
      <c r="R141" s="59" t="inlineStr"/>
      <c r="S141" s="59" t="inlineStr"/>
      <c r="T141" s="59" t="inlineStr"/>
      <c r="U141" s="61">
        <f>IF(A141="","",IFERROR(INDEX(E141:T141,MATCH(TRUE,INDEX(E141:T141&lt;&gt;"",0),0)),""))</f>
        <v/>
      </c>
      <c r="V141" s="61">
        <f>IF(A141="","",IFERROR(LOOKUP(2,1/(E141:T141&lt;&gt;""),E141:T141),""))</f>
        <v/>
      </c>
      <c r="W141" s="62">
        <f>IF(OR(A141="",PreviousYear=""),"",IFERROR(LOOKUP(2,1/(E141:T141&lt;&gt;""),E141:T141)-INDEX(E141:T141,MATCH(PreviousYear,$E$5:$T$5,0)),""))</f>
        <v/>
      </c>
      <c r="X141" s="62">
        <f>IF(OR(A141="",U141="",V141=""),"",V141-U141)</f>
        <v/>
      </c>
      <c r="Y141" s="61">
        <f>IF(A141="","",COUNT(E141:T141))</f>
        <v/>
      </c>
    </row>
    <row r="142">
      <c r="A142" s="44">
        <f>IF(AND('Employees'!B14&lt;&gt;"",'Skills'!B14&lt;&gt;""),'Employees'!B14,"")</f>
        <v/>
      </c>
      <c r="B142" s="45">
        <f>IF(A142="","",'Employees'!C14)</f>
        <v/>
      </c>
      <c r="C142" s="58">
        <f>IF(A142="","",'Skills'!B14)</f>
        <v/>
      </c>
      <c r="D142" s="45">
        <f>IF(A142="","",'Skills'!C14)</f>
        <v/>
      </c>
      <c r="E142" s="59" t="inlineStr"/>
      <c r="F142" s="59" t="inlineStr"/>
      <c r="G142" s="59" t="inlineStr"/>
      <c r="H142" s="60" t="inlineStr"/>
      <c r="I142" s="59" t="inlineStr"/>
      <c r="J142" s="59" t="inlineStr"/>
      <c r="K142" s="59" t="inlineStr"/>
      <c r="L142" s="59" t="inlineStr"/>
      <c r="M142" s="59" t="inlineStr"/>
      <c r="N142" s="59" t="inlineStr"/>
      <c r="O142" s="59" t="inlineStr"/>
      <c r="P142" s="59" t="inlineStr"/>
      <c r="Q142" s="59" t="inlineStr"/>
      <c r="R142" s="59" t="inlineStr"/>
      <c r="S142" s="59" t="inlineStr"/>
      <c r="T142" s="59" t="inlineStr"/>
      <c r="U142" s="61">
        <f>IF(A142="","",IFERROR(INDEX(E142:T142,MATCH(TRUE,INDEX(E142:T142&lt;&gt;"",0),0)),""))</f>
        <v/>
      </c>
      <c r="V142" s="61">
        <f>IF(A142="","",IFERROR(LOOKUP(2,1/(E142:T142&lt;&gt;""),E142:T142),""))</f>
        <v/>
      </c>
      <c r="W142" s="62">
        <f>IF(OR(A142="",PreviousYear=""),"",IFERROR(LOOKUP(2,1/(E142:T142&lt;&gt;""),E142:T142)-INDEX(E142:T142,MATCH(PreviousYear,$E$5:$T$5,0)),""))</f>
        <v/>
      </c>
      <c r="X142" s="62">
        <f>IF(OR(A142="",U142="",V142=""),"",V142-U142)</f>
        <v/>
      </c>
      <c r="Y142" s="61">
        <f>IF(A142="","",COUNT(E142:T142))</f>
        <v/>
      </c>
    </row>
    <row r="143">
      <c r="A143" s="44">
        <f>IF(AND('Employees'!B14&lt;&gt;"",'Skills'!B15&lt;&gt;""),'Employees'!B14,"")</f>
        <v/>
      </c>
      <c r="B143" s="45">
        <f>IF(A143="","",'Employees'!C14)</f>
        <v/>
      </c>
      <c r="C143" s="58">
        <f>IF(A143="","",'Skills'!B15)</f>
        <v/>
      </c>
      <c r="D143" s="45">
        <f>IF(A143="","",'Skills'!C15)</f>
        <v/>
      </c>
      <c r="E143" s="59" t="inlineStr"/>
      <c r="F143" s="59" t="inlineStr"/>
      <c r="G143" s="59" t="inlineStr"/>
      <c r="H143" s="60" t="inlineStr"/>
      <c r="I143" s="59" t="inlineStr"/>
      <c r="J143" s="59" t="inlineStr"/>
      <c r="K143" s="59" t="inlineStr"/>
      <c r="L143" s="59" t="inlineStr"/>
      <c r="M143" s="59" t="inlineStr"/>
      <c r="N143" s="59" t="inlineStr"/>
      <c r="O143" s="59" t="inlineStr"/>
      <c r="P143" s="59" t="inlineStr"/>
      <c r="Q143" s="59" t="inlineStr"/>
      <c r="R143" s="59" t="inlineStr"/>
      <c r="S143" s="59" t="inlineStr"/>
      <c r="T143" s="59" t="inlineStr"/>
      <c r="U143" s="61">
        <f>IF(A143="","",IFERROR(INDEX(E143:T143,MATCH(TRUE,INDEX(E143:T143&lt;&gt;"",0),0)),""))</f>
        <v/>
      </c>
      <c r="V143" s="61">
        <f>IF(A143="","",IFERROR(LOOKUP(2,1/(E143:T143&lt;&gt;""),E143:T143),""))</f>
        <v/>
      </c>
      <c r="W143" s="62">
        <f>IF(OR(A143="",PreviousYear=""),"",IFERROR(LOOKUP(2,1/(E143:T143&lt;&gt;""),E143:T143)-INDEX(E143:T143,MATCH(PreviousYear,$E$5:$T$5,0)),""))</f>
        <v/>
      </c>
      <c r="X143" s="62">
        <f>IF(OR(A143="",U143="",V143=""),"",V143-U143)</f>
        <v/>
      </c>
      <c r="Y143" s="61">
        <f>IF(A143="","",COUNT(E143:T143))</f>
        <v/>
      </c>
    </row>
    <row r="144">
      <c r="A144" s="44">
        <f>IF(AND('Employees'!B14&lt;&gt;"",'Skills'!B16&lt;&gt;""),'Employees'!B14,"")</f>
        <v/>
      </c>
      <c r="B144" s="45">
        <f>IF(A144="","",'Employees'!C14)</f>
        <v/>
      </c>
      <c r="C144" s="58">
        <f>IF(A144="","",'Skills'!B16)</f>
        <v/>
      </c>
      <c r="D144" s="45">
        <f>IF(A144="","",'Skills'!C16)</f>
        <v/>
      </c>
      <c r="E144" s="59" t="inlineStr"/>
      <c r="F144" s="59" t="inlineStr"/>
      <c r="G144" s="59" t="inlineStr"/>
      <c r="H144" s="60" t="inlineStr"/>
      <c r="I144" s="59" t="inlineStr"/>
      <c r="J144" s="59" t="inlineStr"/>
      <c r="K144" s="59" t="inlineStr"/>
      <c r="L144" s="59" t="inlineStr"/>
      <c r="M144" s="59" t="inlineStr"/>
      <c r="N144" s="59" t="inlineStr"/>
      <c r="O144" s="59" t="inlineStr"/>
      <c r="P144" s="59" t="inlineStr"/>
      <c r="Q144" s="59" t="inlineStr"/>
      <c r="R144" s="59" t="inlineStr"/>
      <c r="S144" s="59" t="inlineStr"/>
      <c r="T144" s="59" t="inlineStr"/>
      <c r="U144" s="61">
        <f>IF(A144="","",IFERROR(INDEX(E144:T144,MATCH(TRUE,INDEX(E144:T144&lt;&gt;"",0),0)),""))</f>
        <v/>
      </c>
      <c r="V144" s="61">
        <f>IF(A144="","",IFERROR(LOOKUP(2,1/(E144:T144&lt;&gt;""),E144:T144),""))</f>
        <v/>
      </c>
      <c r="W144" s="62">
        <f>IF(OR(A144="",PreviousYear=""),"",IFERROR(LOOKUP(2,1/(E144:T144&lt;&gt;""),E144:T144)-INDEX(E144:T144,MATCH(PreviousYear,$E$5:$T$5,0)),""))</f>
        <v/>
      </c>
      <c r="X144" s="62">
        <f>IF(OR(A144="",U144="",V144=""),"",V144-U144)</f>
        <v/>
      </c>
      <c r="Y144" s="61">
        <f>IF(A144="","",COUNT(E144:T144))</f>
        <v/>
      </c>
    </row>
    <row r="145">
      <c r="A145" s="44">
        <f>IF(AND('Employees'!B14&lt;&gt;"",'Skills'!B17&lt;&gt;""),'Employees'!B14,"")</f>
        <v/>
      </c>
      <c r="B145" s="45">
        <f>IF(A145="","",'Employees'!C14)</f>
        <v/>
      </c>
      <c r="C145" s="58">
        <f>IF(A145="","",'Skills'!B17)</f>
        <v/>
      </c>
      <c r="D145" s="45">
        <f>IF(A145="","",'Skills'!C17)</f>
        <v/>
      </c>
      <c r="E145" s="59" t="inlineStr"/>
      <c r="F145" s="59" t="inlineStr"/>
      <c r="G145" s="59" t="inlineStr"/>
      <c r="H145" s="60" t="inlineStr"/>
      <c r="I145" s="59" t="inlineStr"/>
      <c r="J145" s="59" t="inlineStr"/>
      <c r="K145" s="59" t="inlineStr"/>
      <c r="L145" s="59" t="inlineStr"/>
      <c r="M145" s="59" t="inlineStr"/>
      <c r="N145" s="59" t="inlineStr"/>
      <c r="O145" s="59" t="inlineStr"/>
      <c r="P145" s="59" t="inlineStr"/>
      <c r="Q145" s="59" t="inlineStr"/>
      <c r="R145" s="59" t="inlineStr"/>
      <c r="S145" s="59" t="inlineStr"/>
      <c r="T145" s="59" t="inlineStr"/>
      <c r="U145" s="61">
        <f>IF(A145="","",IFERROR(INDEX(E145:T145,MATCH(TRUE,INDEX(E145:T145&lt;&gt;"",0),0)),""))</f>
        <v/>
      </c>
      <c r="V145" s="61">
        <f>IF(A145="","",IFERROR(LOOKUP(2,1/(E145:T145&lt;&gt;""),E145:T145),""))</f>
        <v/>
      </c>
      <c r="W145" s="62">
        <f>IF(OR(A145="",PreviousYear=""),"",IFERROR(LOOKUP(2,1/(E145:T145&lt;&gt;""),E145:T145)-INDEX(E145:T145,MATCH(PreviousYear,$E$5:$T$5,0)),""))</f>
        <v/>
      </c>
      <c r="X145" s="62">
        <f>IF(OR(A145="",U145="",V145=""),"",V145-U145)</f>
        <v/>
      </c>
      <c r="Y145" s="61">
        <f>IF(A145="","",COUNT(E145:T145))</f>
        <v/>
      </c>
    </row>
    <row r="146">
      <c r="A146" s="44">
        <f>IF(AND('Employees'!B14&lt;&gt;"",'Skills'!B18&lt;&gt;""),'Employees'!B14,"")</f>
        <v/>
      </c>
      <c r="B146" s="45">
        <f>IF(A146="","",'Employees'!C14)</f>
        <v/>
      </c>
      <c r="C146" s="58">
        <f>IF(A146="","",'Skills'!B18)</f>
        <v/>
      </c>
      <c r="D146" s="45">
        <f>IF(A146="","",'Skills'!C18)</f>
        <v/>
      </c>
      <c r="E146" s="59" t="inlineStr"/>
      <c r="F146" s="59" t="inlineStr"/>
      <c r="G146" s="59" t="inlineStr"/>
      <c r="H146" s="60" t="inlineStr"/>
      <c r="I146" s="59" t="inlineStr"/>
      <c r="J146" s="59" t="inlineStr"/>
      <c r="K146" s="59" t="inlineStr"/>
      <c r="L146" s="59" t="inlineStr"/>
      <c r="M146" s="59" t="inlineStr"/>
      <c r="N146" s="59" t="inlineStr"/>
      <c r="O146" s="59" t="inlineStr"/>
      <c r="P146" s="59" t="inlineStr"/>
      <c r="Q146" s="59" t="inlineStr"/>
      <c r="R146" s="59" t="inlineStr"/>
      <c r="S146" s="59" t="inlineStr"/>
      <c r="T146" s="59" t="inlineStr"/>
      <c r="U146" s="61">
        <f>IF(A146="","",IFERROR(INDEX(E146:T146,MATCH(TRUE,INDEX(E146:T146&lt;&gt;"",0),0)),""))</f>
        <v/>
      </c>
      <c r="V146" s="61">
        <f>IF(A146="","",IFERROR(LOOKUP(2,1/(E146:T146&lt;&gt;""),E146:T146),""))</f>
        <v/>
      </c>
      <c r="W146" s="62">
        <f>IF(OR(A146="",PreviousYear=""),"",IFERROR(LOOKUP(2,1/(E146:T146&lt;&gt;""),E146:T146)-INDEX(E146:T146,MATCH(PreviousYear,$E$5:$T$5,0)),""))</f>
        <v/>
      </c>
      <c r="X146" s="62">
        <f>IF(OR(A146="",U146="",V146=""),"",V146-U146)</f>
        <v/>
      </c>
      <c r="Y146" s="61">
        <f>IF(A146="","",COUNT(E146:T146))</f>
        <v/>
      </c>
    </row>
    <row r="147">
      <c r="A147" s="44">
        <f>IF(AND('Employees'!B14&lt;&gt;"",'Skills'!B19&lt;&gt;""),'Employees'!B14,"")</f>
        <v/>
      </c>
      <c r="B147" s="45">
        <f>IF(A147="","",'Employees'!C14)</f>
        <v/>
      </c>
      <c r="C147" s="58">
        <f>IF(A147="","",'Skills'!B19)</f>
        <v/>
      </c>
      <c r="D147" s="45">
        <f>IF(A147="","",'Skills'!C19)</f>
        <v/>
      </c>
      <c r="E147" s="59" t="inlineStr"/>
      <c r="F147" s="59" t="inlineStr"/>
      <c r="G147" s="59" t="inlineStr"/>
      <c r="H147" s="60" t="inlineStr"/>
      <c r="I147" s="59" t="inlineStr"/>
      <c r="J147" s="59" t="inlineStr"/>
      <c r="K147" s="59" t="inlineStr"/>
      <c r="L147" s="59" t="inlineStr"/>
      <c r="M147" s="59" t="inlineStr"/>
      <c r="N147" s="59" t="inlineStr"/>
      <c r="O147" s="59" t="inlineStr"/>
      <c r="P147" s="59" t="inlineStr"/>
      <c r="Q147" s="59" t="inlineStr"/>
      <c r="R147" s="59" t="inlineStr"/>
      <c r="S147" s="59" t="inlineStr"/>
      <c r="T147" s="59" t="inlineStr"/>
      <c r="U147" s="61">
        <f>IF(A147="","",IFERROR(INDEX(E147:T147,MATCH(TRUE,INDEX(E147:T147&lt;&gt;"",0),0)),""))</f>
        <v/>
      </c>
      <c r="V147" s="61">
        <f>IF(A147="","",IFERROR(LOOKUP(2,1/(E147:T147&lt;&gt;""),E147:T147),""))</f>
        <v/>
      </c>
      <c r="W147" s="62">
        <f>IF(OR(A147="",PreviousYear=""),"",IFERROR(LOOKUP(2,1/(E147:T147&lt;&gt;""),E147:T147)-INDEX(E147:T147,MATCH(PreviousYear,$E$5:$T$5,0)),""))</f>
        <v/>
      </c>
      <c r="X147" s="62">
        <f>IF(OR(A147="",U147="",V147=""),"",V147-U147)</f>
        <v/>
      </c>
      <c r="Y147" s="61">
        <f>IF(A147="","",COUNT(E147:T147))</f>
        <v/>
      </c>
    </row>
    <row r="148">
      <c r="A148" s="44">
        <f>IF(AND('Employees'!B14&lt;&gt;"",'Skills'!B20&lt;&gt;""),'Employees'!B14,"")</f>
        <v/>
      </c>
      <c r="B148" s="45">
        <f>IF(A148="","",'Employees'!C14)</f>
        <v/>
      </c>
      <c r="C148" s="58">
        <f>IF(A148="","",'Skills'!B20)</f>
        <v/>
      </c>
      <c r="D148" s="45">
        <f>IF(A148="","",'Skills'!C20)</f>
        <v/>
      </c>
      <c r="E148" s="59" t="inlineStr"/>
      <c r="F148" s="59" t="inlineStr"/>
      <c r="G148" s="59" t="inlineStr"/>
      <c r="H148" s="60" t="inlineStr"/>
      <c r="I148" s="59" t="inlineStr"/>
      <c r="J148" s="59" t="inlineStr"/>
      <c r="K148" s="59" t="inlineStr"/>
      <c r="L148" s="59" t="inlineStr"/>
      <c r="M148" s="59" t="inlineStr"/>
      <c r="N148" s="59" t="inlineStr"/>
      <c r="O148" s="59" t="inlineStr"/>
      <c r="P148" s="59" t="inlineStr"/>
      <c r="Q148" s="59" t="inlineStr"/>
      <c r="R148" s="59" t="inlineStr"/>
      <c r="S148" s="59" t="inlineStr"/>
      <c r="T148" s="59" t="inlineStr"/>
      <c r="U148" s="61">
        <f>IF(A148="","",IFERROR(INDEX(E148:T148,MATCH(TRUE,INDEX(E148:T148&lt;&gt;"",0),0)),""))</f>
        <v/>
      </c>
      <c r="V148" s="61">
        <f>IF(A148="","",IFERROR(LOOKUP(2,1/(E148:T148&lt;&gt;""),E148:T148),""))</f>
        <v/>
      </c>
      <c r="W148" s="62">
        <f>IF(OR(A148="",PreviousYear=""),"",IFERROR(LOOKUP(2,1/(E148:T148&lt;&gt;""),E148:T148)-INDEX(E148:T148,MATCH(PreviousYear,$E$5:$T$5,0)),""))</f>
        <v/>
      </c>
      <c r="X148" s="62">
        <f>IF(OR(A148="",U148="",V148=""),"",V148-U148)</f>
        <v/>
      </c>
      <c r="Y148" s="61">
        <f>IF(A148="","",COUNT(E148:T148))</f>
        <v/>
      </c>
    </row>
    <row r="149">
      <c r="A149" s="44">
        <f>IF(AND('Employees'!B14&lt;&gt;"",'Skills'!B21&lt;&gt;""),'Employees'!B14,"")</f>
        <v/>
      </c>
      <c r="B149" s="45">
        <f>IF(A149="","",'Employees'!C14)</f>
        <v/>
      </c>
      <c r="C149" s="58">
        <f>IF(A149="","",'Skills'!B21)</f>
        <v/>
      </c>
      <c r="D149" s="45">
        <f>IF(A149="","",'Skills'!C21)</f>
        <v/>
      </c>
      <c r="E149" s="59" t="inlineStr"/>
      <c r="F149" s="59" t="inlineStr"/>
      <c r="G149" s="59" t="inlineStr"/>
      <c r="H149" s="60" t="inlineStr"/>
      <c r="I149" s="59" t="inlineStr"/>
      <c r="J149" s="59" t="inlineStr"/>
      <c r="K149" s="59" t="inlineStr"/>
      <c r="L149" s="59" t="inlineStr"/>
      <c r="M149" s="59" t="inlineStr"/>
      <c r="N149" s="59" t="inlineStr"/>
      <c r="O149" s="59" t="inlineStr"/>
      <c r="P149" s="59" t="inlineStr"/>
      <c r="Q149" s="59" t="inlineStr"/>
      <c r="R149" s="59" t="inlineStr"/>
      <c r="S149" s="59" t="inlineStr"/>
      <c r="T149" s="59" t="inlineStr"/>
      <c r="U149" s="61">
        <f>IF(A149="","",IFERROR(INDEX(E149:T149,MATCH(TRUE,INDEX(E149:T149&lt;&gt;"",0),0)),""))</f>
        <v/>
      </c>
      <c r="V149" s="61">
        <f>IF(A149="","",IFERROR(LOOKUP(2,1/(E149:T149&lt;&gt;""),E149:T149),""))</f>
        <v/>
      </c>
      <c r="W149" s="62">
        <f>IF(OR(A149="",PreviousYear=""),"",IFERROR(LOOKUP(2,1/(E149:T149&lt;&gt;""),E149:T149)-INDEX(E149:T149,MATCH(PreviousYear,$E$5:$T$5,0)),""))</f>
        <v/>
      </c>
      <c r="X149" s="62">
        <f>IF(OR(A149="",U149="",V149=""),"",V149-U149)</f>
        <v/>
      </c>
      <c r="Y149" s="61">
        <f>IF(A149="","",COUNT(E149:T149))</f>
        <v/>
      </c>
    </row>
    <row r="150">
      <c r="A150" s="44">
        <f>IF(AND('Employees'!B15&lt;&gt;"",'Skills'!B6&lt;&gt;""),'Employees'!B15,"")</f>
        <v/>
      </c>
      <c r="B150" s="45">
        <f>IF(A150="","",'Employees'!C15)</f>
        <v/>
      </c>
      <c r="C150" s="58">
        <f>IF(A150="","",'Skills'!B6)</f>
        <v/>
      </c>
      <c r="D150" s="45">
        <f>IF(A150="","",'Skills'!C6)</f>
        <v/>
      </c>
      <c r="E150" s="59" t="inlineStr"/>
      <c r="F150" s="59" t="inlineStr"/>
      <c r="G150" s="59" t="inlineStr"/>
      <c r="H150" s="60" t="inlineStr"/>
      <c r="I150" s="59" t="inlineStr"/>
      <c r="J150" s="59" t="inlineStr"/>
      <c r="K150" s="59" t="inlineStr"/>
      <c r="L150" s="59" t="inlineStr"/>
      <c r="M150" s="59" t="inlineStr"/>
      <c r="N150" s="59" t="inlineStr"/>
      <c r="O150" s="59" t="inlineStr"/>
      <c r="P150" s="59" t="inlineStr"/>
      <c r="Q150" s="59" t="inlineStr"/>
      <c r="R150" s="59" t="inlineStr"/>
      <c r="S150" s="59" t="inlineStr"/>
      <c r="T150" s="59" t="inlineStr"/>
      <c r="U150" s="61">
        <f>IF(A150="","",IFERROR(INDEX(E150:T150,MATCH(TRUE,INDEX(E150:T150&lt;&gt;"",0),0)),""))</f>
        <v/>
      </c>
      <c r="V150" s="61">
        <f>IF(A150="","",IFERROR(LOOKUP(2,1/(E150:T150&lt;&gt;""),E150:T150),""))</f>
        <v/>
      </c>
      <c r="W150" s="62">
        <f>IF(OR(A150="",PreviousYear=""),"",IFERROR(LOOKUP(2,1/(E150:T150&lt;&gt;""),E150:T150)-INDEX(E150:T150,MATCH(PreviousYear,$E$5:$T$5,0)),""))</f>
        <v/>
      </c>
      <c r="X150" s="62">
        <f>IF(OR(A150="",U150="",V150=""),"",V150-U150)</f>
        <v/>
      </c>
      <c r="Y150" s="61">
        <f>IF(A150="","",COUNT(E150:T150))</f>
        <v/>
      </c>
    </row>
    <row r="151">
      <c r="A151" s="44">
        <f>IF(AND('Employees'!B15&lt;&gt;"",'Skills'!B7&lt;&gt;""),'Employees'!B15,"")</f>
        <v/>
      </c>
      <c r="B151" s="45">
        <f>IF(A151="","",'Employees'!C15)</f>
        <v/>
      </c>
      <c r="C151" s="58">
        <f>IF(A151="","",'Skills'!B7)</f>
        <v/>
      </c>
      <c r="D151" s="45">
        <f>IF(A151="","",'Skills'!C7)</f>
        <v/>
      </c>
      <c r="E151" s="59" t="inlineStr"/>
      <c r="F151" s="59" t="inlineStr"/>
      <c r="G151" s="59" t="inlineStr"/>
      <c r="H151" s="60" t="inlineStr"/>
      <c r="I151" s="59" t="inlineStr"/>
      <c r="J151" s="59" t="inlineStr"/>
      <c r="K151" s="59" t="inlineStr"/>
      <c r="L151" s="59" t="inlineStr"/>
      <c r="M151" s="59" t="inlineStr"/>
      <c r="N151" s="59" t="inlineStr"/>
      <c r="O151" s="59" t="inlineStr"/>
      <c r="P151" s="59" t="inlineStr"/>
      <c r="Q151" s="59" t="inlineStr"/>
      <c r="R151" s="59" t="inlineStr"/>
      <c r="S151" s="59" t="inlineStr"/>
      <c r="T151" s="59" t="inlineStr"/>
      <c r="U151" s="61">
        <f>IF(A151="","",IFERROR(INDEX(E151:T151,MATCH(TRUE,INDEX(E151:T151&lt;&gt;"",0),0)),""))</f>
        <v/>
      </c>
      <c r="V151" s="61">
        <f>IF(A151="","",IFERROR(LOOKUP(2,1/(E151:T151&lt;&gt;""),E151:T151),""))</f>
        <v/>
      </c>
      <c r="W151" s="62">
        <f>IF(OR(A151="",PreviousYear=""),"",IFERROR(LOOKUP(2,1/(E151:T151&lt;&gt;""),E151:T151)-INDEX(E151:T151,MATCH(PreviousYear,$E$5:$T$5,0)),""))</f>
        <v/>
      </c>
      <c r="X151" s="62">
        <f>IF(OR(A151="",U151="",V151=""),"",V151-U151)</f>
        <v/>
      </c>
      <c r="Y151" s="61">
        <f>IF(A151="","",COUNT(E151:T151))</f>
        <v/>
      </c>
    </row>
    <row r="152">
      <c r="A152" s="44">
        <f>IF(AND('Employees'!B15&lt;&gt;"",'Skills'!B8&lt;&gt;""),'Employees'!B15,"")</f>
        <v/>
      </c>
      <c r="B152" s="45">
        <f>IF(A152="","",'Employees'!C15)</f>
        <v/>
      </c>
      <c r="C152" s="58">
        <f>IF(A152="","",'Skills'!B8)</f>
        <v/>
      </c>
      <c r="D152" s="45">
        <f>IF(A152="","",'Skills'!C8)</f>
        <v/>
      </c>
      <c r="E152" s="59" t="inlineStr"/>
      <c r="F152" s="59" t="inlineStr"/>
      <c r="G152" s="59" t="inlineStr"/>
      <c r="H152" s="60" t="inlineStr"/>
      <c r="I152" s="59" t="inlineStr"/>
      <c r="J152" s="59" t="inlineStr"/>
      <c r="K152" s="59" t="inlineStr"/>
      <c r="L152" s="59" t="inlineStr"/>
      <c r="M152" s="59" t="inlineStr"/>
      <c r="N152" s="59" t="inlineStr"/>
      <c r="O152" s="59" t="inlineStr"/>
      <c r="P152" s="59" t="inlineStr"/>
      <c r="Q152" s="59" t="inlineStr"/>
      <c r="R152" s="59" t="inlineStr"/>
      <c r="S152" s="59" t="inlineStr"/>
      <c r="T152" s="59" t="inlineStr"/>
      <c r="U152" s="61">
        <f>IF(A152="","",IFERROR(INDEX(E152:T152,MATCH(TRUE,INDEX(E152:T152&lt;&gt;"",0),0)),""))</f>
        <v/>
      </c>
      <c r="V152" s="61">
        <f>IF(A152="","",IFERROR(LOOKUP(2,1/(E152:T152&lt;&gt;""),E152:T152),""))</f>
        <v/>
      </c>
      <c r="W152" s="62">
        <f>IF(OR(A152="",PreviousYear=""),"",IFERROR(LOOKUP(2,1/(E152:T152&lt;&gt;""),E152:T152)-INDEX(E152:T152,MATCH(PreviousYear,$E$5:$T$5,0)),""))</f>
        <v/>
      </c>
      <c r="X152" s="62">
        <f>IF(OR(A152="",U152="",V152=""),"",V152-U152)</f>
        <v/>
      </c>
      <c r="Y152" s="61">
        <f>IF(A152="","",COUNT(E152:T152))</f>
        <v/>
      </c>
    </row>
    <row r="153">
      <c r="A153" s="44">
        <f>IF(AND('Employees'!B15&lt;&gt;"",'Skills'!B9&lt;&gt;""),'Employees'!B15,"")</f>
        <v/>
      </c>
      <c r="B153" s="45">
        <f>IF(A153="","",'Employees'!C15)</f>
        <v/>
      </c>
      <c r="C153" s="58">
        <f>IF(A153="","",'Skills'!B9)</f>
        <v/>
      </c>
      <c r="D153" s="45">
        <f>IF(A153="","",'Skills'!C9)</f>
        <v/>
      </c>
      <c r="E153" s="59" t="inlineStr"/>
      <c r="F153" s="59" t="inlineStr"/>
      <c r="G153" s="59" t="inlineStr"/>
      <c r="H153" s="60" t="inlineStr"/>
      <c r="I153" s="59" t="inlineStr"/>
      <c r="J153" s="59" t="inlineStr"/>
      <c r="K153" s="59" t="inlineStr"/>
      <c r="L153" s="59" t="inlineStr"/>
      <c r="M153" s="59" t="inlineStr"/>
      <c r="N153" s="59" t="inlineStr"/>
      <c r="O153" s="59" t="inlineStr"/>
      <c r="P153" s="59" t="inlineStr"/>
      <c r="Q153" s="59" t="inlineStr"/>
      <c r="R153" s="59" t="inlineStr"/>
      <c r="S153" s="59" t="inlineStr"/>
      <c r="T153" s="59" t="inlineStr"/>
      <c r="U153" s="61">
        <f>IF(A153="","",IFERROR(INDEX(E153:T153,MATCH(TRUE,INDEX(E153:T153&lt;&gt;"",0),0)),""))</f>
        <v/>
      </c>
      <c r="V153" s="61">
        <f>IF(A153="","",IFERROR(LOOKUP(2,1/(E153:T153&lt;&gt;""),E153:T153),""))</f>
        <v/>
      </c>
      <c r="W153" s="62">
        <f>IF(OR(A153="",PreviousYear=""),"",IFERROR(LOOKUP(2,1/(E153:T153&lt;&gt;""),E153:T153)-INDEX(E153:T153,MATCH(PreviousYear,$E$5:$T$5,0)),""))</f>
        <v/>
      </c>
      <c r="X153" s="62">
        <f>IF(OR(A153="",U153="",V153=""),"",V153-U153)</f>
        <v/>
      </c>
      <c r="Y153" s="61">
        <f>IF(A153="","",COUNT(E153:T153))</f>
        <v/>
      </c>
    </row>
    <row r="154">
      <c r="A154" s="44">
        <f>IF(AND('Employees'!B15&lt;&gt;"",'Skills'!B10&lt;&gt;""),'Employees'!B15,"")</f>
        <v/>
      </c>
      <c r="B154" s="45">
        <f>IF(A154="","",'Employees'!C15)</f>
        <v/>
      </c>
      <c r="C154" s="58">
        <f>IF(A154="","",'Skills'!B10)</f>
        <v/>
      </c>
      <c r="D154" s="45">
        <f>IF(A154="","",'Skills'!C10)</f>
        <v/>
      </c>
      <c r="E154" s="59" t="inlineStr"/>
      <c r="F154" s="59" t="inlineStr"/>
      <c r="G154" s="59" t="inlineStr"/>
      <c r="H154" s="60" t="inlineStr"/>
      <c r="I154" s="59" t="inlineStr"/>
      <c r="J154" s="59" t="inlineStr"/>
      <c r="K154" s="59" t="inlineStr"/>
      <c r="L154" s="59" t="inlineStr"/>
      <c r="M154" s="59" t="inlineStr"/>
      <c r="N154" s="59" t="inlineStr"/>
      <c r="O154" s="59" t="inlineStr"/>
      <c r="P154" s="59" t="inlineStr"/>
      <c r="Q154" s="59" t="inlineStr"/>
      <c r="R154" s="59" t="inlineStr"/>
      <c r="S154" s="59" t="inlineStr"/>
      <c r="T154" s="59" t="inlineStr"/>
      <c r="U154" s="61">
        <f>IF(A154="","",IFERROR(INDEX(E154:T154,MATCH(TRUE,INDEX(E154:T154&lt;&gt;"",0),0)),""))</f>
        <v/>
      </c>
      <c r="V154" s="61">
        <f>IF(A154="","",IFERROR(LOOKUP(2,1/(E154:T154&lt;&gt;""),E154:T154),""))</f>
        <v/>
      </c>
      <c r="W154" s="62">
        <f>IF(OR(A154="",PreviousYear=""),"",IFERROR(LOOKUP(2,1/(E154:T154&lt;&gt;""),E154:T154)-INDEX(E154:T154,MATCH(PreviousYear,$E$5:$T$5,0)),""))</f>
        <v/>
      </c>
      <c r="X154" s="62">
        <f>IF(OR(A154="",U154="",V154=""),"",V154-U154)</f>
        <v/>
      </c>
      <c r="Y154" s="61">
        <f>IF(A154="","",COUNT(E154:T154))</f>
        <v/>
      </c>
    </row>
    <row r="155">
      <c r="A155" s="44">
        <f>IF(AND('Employees'!B15&lt;&gt;"",'Skills'!B11&lt;&gt;""),'Employees'!B15,"")</f>
        <v/>
      </c>
      <c r="B155" s="45">
        <f>IF(A155="","",'Employees'!C15)</f>
        <v/>
      </c>
      <c r="C155" s="58">
        <f>IF(A155="","",'Skills'!B11)</f>
        <v/>
      </c>
      <c r="D155" s="45">
        <f>IF(A155="","",'Skills'!C11)</f>
        <v/>
      </c>
      <c r="E155" s="59" t="inlineStr"/>
      <c r="F155" s="59" t="inlineStr"/>
      <c r="G155" s="59" t="inlineStr"/>
      <c r="H155" s="60" t="inlineStr"/>
      <c r="I155" s="59" t="inlineStr"/>
      <c r="J155" s="59" t="inlineStr"/>
      <c r="K155" s="59" t="inlineStr"/>
      <c r="L155" s="59" t="inlineStr"/>
      <c r="M155" s="59" t="inlineStr"/>
      <c r="N155" s="59" t="inlineStr"/>
      <c r="O155" s="59" t="inlineStr"/>
      <c r="P155" s="59" t="inlineStr"/>
      <c r="Q155" s="59" t="inlineStr"/>
      <c r="R155" s="59" t="inlineStr"/>
      <c r="S155" s="59" t="inlineStr"/>
      <c r="T155" s="59" t="inlineStr"/>
      <c r="U155" s="61">
        <f>IF(A155="","",IFERROR(INDEX(E155:T155,MATCH(TRUE,INDEX(E155:T155&lt;&gt;"",0),0)),""))</f>
        <v/>
      </c>
      <c r="V155" s="61">
        <f>IF(A155="","",IFERROR(LOOKUP(2,1/(E155:T155&lt;&gt;""),E155:T155),""))</f>
        <v/>
      </c>
      <c r="W155" s="62">
        <f>IF(OR(A155="",PreviousYear=""),"",IFERROR(LOOKUP(2,1/(E155:T155&lt;&gt;""),E155:T155)-INDEX(E155:T155,MATCH(PreviousYear,$E$5:$T$5,0)),""))</f>
        <v/>
      </c>
      <c r="X155" s="62">
        <f>IF(OR(A155="",U155="",V155=""),"",V155-U155)</f>
        <v/>
      </c>
      <c r="Y155" s="61">
        <f>IF(A155="","",COUNT(E155:T155))</f>
        <v/>
      </c>
    </row>
    <row r="156">
      <c r="A156" s="44">
        <f>IF(AND('Employees'!B15&lt;&gt;"",'Skills'!B12&lt;&gt;""),'Employees'!B15,"")</f>
        <v/>
      </c>
      <c r="B156" s="45">
        <f>IF(A156="","",'Employees'!C15)</f>
        <v/>
      </c>
      <c r="C156" s="58">
        <f>IF(A156="","",'Skills'!B12)</f>
        <v/>
      </c>
      <c r="D156" s="45">
        <f>IF(A156="","",'Skills'!C12)</f>
        <v/>
      </c>
      <c r="E156" s="59" t="inlineStr"/>
      <c r="F156" s="59" t="inlineStr"/>
      <c r="G156" s="59" t="inlineStr"/>
      <c r="H156" s="60" t="inlineStr"/>
      <c r="I156" s="59" t="inlineStr"/>
      <c r="J156" s="59" t="inlineStr"/>
      <c r="K156" s="59" t="inlineStr"/>
      <c r="L156" s="59" t="inlineStr"/>
      <c r="M156" s="59" t="inlineStr"/>
      <c r="N156" s="59" t="inlineStr"/>
      <c r="O156" s="59" t="inlineStr"/>
      <c r="P156" s="59" t="inlineStr"/>
      <c r="Q156" s="59" t="inlineStr"/>
      <c r="R156" s="59" t="inlineStr"/>
      <c r="S156" s="59" t="inlineStr"/>
      <c r="T156" s="59" t="inlineStr"/>
      <c r="U156" s="61">
        <f>IF(A156="","",IFERROR(INDEX(E156:T156,MATCH(TRUE,INDEX(E156:T156&lt;&gt;"",0),0)),""))</f>
        <v/>
      </c>
      <c r="V156" s="61">
        <f>IF(A156="","",IFERROR(LOOKUP(2,1/(E156:T156&lt;&gt;""),E156:T156),""))</f>
        <v/>
      </c>
      <c r="W156" s="62">
        <f>IF(OR(A156="",PreviousYear=""),"",IFERROR(LOOKUP(2,1/(E156:T156&lt;&gt;""),E156:T156)-INDEX(E156:T156,MATCH(PreviousYear,$E$5:$T$5,0)),""))</f>
        <v/>
      </c>
      <c r="X156" s="62">
        <f>IF(OR(A156="",U156="",V156=""),"",V156-U156)</f>
        <v/>
      </c>
      <c r="Y156" s="61">
        <f>IF(A156="","",COUNT(E156:T156))</f>
        <v/>
      </c>
    </row>
    <row r="157">
      <c r="A157" s="44">
        <f>IF(AND('Employees'!B15&lt;&gt;"",'Skills'!B13&lt;&gt;""),'Employees'!B15,"")</f>
        <v/>
      </c>
      <c r="B157" s="45">
        <f>IF(A157="","",'Employees'!C15)</f>
        <v/>
      </c>
      <c r="C157" s="58">
        <f>IF(A157="","",'Skills'!B13)</f>
        <v/>
      </c>
      <c r="D157" s="45">
        <f>IF(A157="","",'Skills'!C13)</f>
        <v/>
      </c>
      <c r="E157" s="59" t="inlineStr"/>
      <c r="F157" s="59" t="inlineStr"/>
      <c r="G157" s="59" t="inlineStr"/>
      <c r="H157" s="60" t="inlineStr"/>
      <c r="I157" s="59" t="inlineStr"/>
      <c r="J157" s="59" t="inlineStr"/>
      <c r="K157" s="59" t="inlineStr"/>
      <c r="L157" s="59" t="inlineStr"/>
      <c r="M157" s="59" t="inlineStr"/>
      <c r="N157" s="59" t="inlineStr"/>
      <c r="O157" s="59" t="inlineStr"/>
      <c r="P157" s="59" t="inlineStr"/>
      <c r="Q157" s="59" t="inlineStr"/>
      <c r="R157" s="59" t="inlineStr"/>
      <c r="S157" s="59" t="inlineStr"/>
      <c r="T157" s="59" t="inlineStr"/>
      <c r="U157" s="61">
        <f>IF(A157="","",IFERROR(INDEX(E157:T157,MATCH(TRUE,INDEX(E157:T157&lt;&gt;"",0),0)),""))</f>
        <v/>
      </c>
      <c r="V157" s="61">
        <f>IF(A157="","",IFERROR(LOOKUP(2,1/(E157:T157&lt;&gt;""),E157:T157),""))</f>
        <v/>
      </c>
      <c r="W157" s="62">
        <f>IF(OR(A157="",PreviousYear=""),"",IFERROR(LOOKUP(2,1/(E157:T157&lt;&gt;""),E157:T157)-INDEX(E157:T157,MATCH(PreviousYear,$E$5:$T$5,0)),""))</f>
        <v/>
      </c>
      <c r="X157" s="62">
        <f>IF(OR(A157="",U157="",V157=""),"",V157-U157)</f>
        <v/>
      </c>
      <c r="Y157" s="61">
        <f>IF(A157="","",COUNT(E157:T157))</f>
        <v/>
      </c>
    </row>
    <row r="158">
      <c r="A158" s="44">
        <f>IF(AND('Employees'!B15&lt;&gt;"",'Skills'!B14&lt;&gt;""),'Employees'!B15,"")</f>
        <v/>
      </c>
      <c r="B158" s="45">
        <f>IF(A158="","",'Employees'!C15)</f>
        <v/>
      </c>
      <c r="C158" s="58">
        <f>IF(A158="","",'Skills'!B14)</f>
        <v/>
      </c>
      <c r="D158" s="45">
        <f>IF(A158="","",'Skills'!C14)</f>
        <v/>
      </c>
      <c r="E158" s="59" t="inlineStr"/>
      <c r="F158" s="59" t="inlineStr"/>
      <c r="G158" s="59" t="inlineStr"/>
      <c r="H158" s="60" t="inlineStr"/>
      <c r="I158" s="59" t="inlineStr"/>
      <c r="J158" s="59" t="inlineStr"/>
      <c r="K158" s="59" t="inlineStr"/>
      <c r="L158" s="59" t="inlineStr"/>
      <c r="M158" s="59" t="inlineStr"/>
      <c r="N158" s="59" t="inlineStr"/>
      <c r="O158" s="59" t="inlineStr"/>
      <c r="P158" s="59" t="inlineStr"/>
      <c r="Q158" s="59" t="inlineStr"/>
      <c r="R158" s="59" t="inlineStr"/>
      <c r="S158" s="59" t="inlineStr"/>
      <c r="T158" s="59" t="inlineStr"/>
      <c r="U158" s="61">
        <f>IF(A158="","",IFERROR(INDEX(E158:T158,MATCH(TRUE,INDEX(E158:T158&lt;&gt;"",0),0)),""))</f>
        <v/>
      </c>
      <c r="V158" s="61">
        <f>IF(A158="","",IFERROR(LOOKUP(2,1/(E158:T158&lt;&gt;""),E158:T158),""))</f>
        <v/>
      </c>
      <c r="W158" s="62">
        <f>IF(OR(A158="",PreviousYear=""),"",IFERROR(LOOKUP(2,1/(E158:T158&lt;&gt;""),E158:T158)-INDEX(E158:T158,MATCH(PreviousYear,$E$5:$T$5,0)),""))</f>
        <v/>
      </c>
      <c r="X158" s="62">
        <f>IF(OR(A158="",U158="",V158=""),"",V158-U158)</f>
        <v/>
      </c>
      <c r="Y158" s="61">
        <f>IF(A158="","",COUNT(E158:T158))</f>
        <v/>
      </c>
    </row>
    <row r="159">
      <c r="A159" s="44">
        <f>IF(AND('Employees'!B15&lt;&gt;"",'Skills'!B15&lt;&gt;""),'Employees'!B15,"")</f>
        <v/>
      </c>
      <c r="B159" s="45">
        <f>IF(A159="","",'Employees'!C15)</f>
        <v/>
      </c>
      <c r="C159" s="58">
        <f>IF(A159="","",'Skills'!B15)</f>
        <v/>
      </c>
      <c r="D159" s="45">
        <f>IF(A159="","",'Skills'!C15)</f>
        <v/>
      </c>
      <c r="E159" s="59" t="inlineStr"/>
      <c r="F159" s="59" t="inlineStr"/>
      <c r="G159" s="59" t="inlineStr"/>
      <c r="H159" s="60" t="inlineStr"/>
      <c r="I159" s="59" t="inlineStr"/>
      <c r="J159" s="59" t="inlineStr"/>
      <c r="K159" s="59" t="inlineStr"/>
      <c r="L159" s="59" t="inlineStr"/>
      <c r="M159" s="59" t="inlineStr"/>
      <c r="N159" s="59" t="inlineStr"/>
      <c r="O159" s="59" t="inlineStr"/>
      <c r="P159" s="59" t="inlineStr"/>
      <c r="Q159" s="59" t="inlineStr"/>
      <c r="R159" s="59" t="inlineStr"/>
      <c r="S159" s="59" t="inlineStr"/>
      <c r="T159" s="59" t="inlineStr"/>
      <c r="U159" s="61">
        <f>IF(A159="","",IFERROR(INDEX(E159:T159,MATCH(TRUE,INDEX(E159:T159&lt;&gt;"",0),0)),""))</f>
        <v/>
      </c>
      <c r="V159" s="61">
        <f>IF(A159="","",IFERROR(LOOKUP(2,1/(E159:T159&lt;&gt;""),E159:T159),""))</f>
        <v/>
      </c>
      <c r="W159" s="62">
        <f>IF(OR(A159="",PreviousYear=""),"",IFERROR(LOOKUP(2,1/(E159:T159&lt;&gt;""),E159:T159)-INDEX(E159:T159,MATCH(PreviousYear,$E$5:$T$5,0)),""))</f>
        <v/>
      </c>
      <c r="X159" s="62">
        <f>IF(OR(A159="",U159="",V159=""),"",V159-U159)</f>
        <v/>
      </c>
      <c r="Y159" s="61">
        <f>IF(A159="","",COUNT(E159:T159))</f>
        <v/>
      </c>
    </row>
    <row r="160">
      <c r="A160" s="44">
        <f>IF(AND('Employees'!B15&lt;&gt;"",'Skills'!B16&lt;&gt;""),'Employees'!B15,"")</f>
        <v/>
      </c>
      <c r="B160" s="45">
        <f>IF(A160="","",'Employees'!C15)</f>
        <v/>
      </c>
      <c r="C160" s="58">
        <f>IF(A160="","",'Skills'!B16)</f>
        <v/>
      </c>
      <c r="D160" s="45">
        <f>IF(A160="","",'Skills'!C16)</f>
        <v/>
      </c>
      <c r="E160" s="59" t="inlineStr"/>
      <c r="F160" s="59" t="inlineStr"/>
      <c r="G160" s="59" t="inlineStr"/>
      <c r="H160" s="60" t="inlineStr"/>
      <c r="I160" s="59" t="inlineStr"/>
      <c r="J160" s="59" t="inlineStr"/>
      <c r="K160" s="59" t="inlineStr"/>
      <c r="L160" s="59" t="inlineStr"/>
      <c r="M160" s="59" t="inlineStr"/>
      <c r="N160" s="59" t="inlineStr"/>
      <c r="O160" s="59" t="inlineStr"/>
      <c r="P160" s="59" t="inlineStr"/>
      <c r="Q160" s="59" t="inlineStr"/>
      <c r="R160" s="59" t="inlineStr"/>
      <c r="S160" s="59" t="inlineStr"/>
      <c r="T160" s="59" t="inlineStr"/>
      <c r="U160" s="61">
        <f>IF(A160="","",IFERROR(INDEX(E160:T160,MATCH(TRUE,INDEX(E160:T160&lt;&gt;"",0),0)),""))</f>
        <v/>
      </c>
      <c r="V160" s="61">
        <f>IF(A160="","",IFERROR(LOOKUP(2,1/(E160:T160&lt;&gt;""),E160:T160),""))</f>
        <v/>
      </c>
      <c r="W160" s="62">
        <f>IF(OR(A160="",PreviousYear=""),"",IFERROR(LOOKUP(2,1/(E160:T160&lt;&gt;""),E160:T160)-INDEX(E160:T160,MATCH(PreviousYear,$E$5:$T$5,0)),""))</f>
        <v/>
      </c>
      <c r="X160" s="62">
        <f>IF(OR(A160="",U160="",V160=""),"",V160-U160)</f>
        <v/>
      </c>
      <c r="Y160" s="61">
        <f>IF(A160="","",COUNT(E160:T160))</f>
        <v/>
      </c>
    </row>
    <row r="161">
      <c r="A161" s="44">
        <f>IF(AND('Employees'!B15&lt;&gt;"",'Skills'!B17&lt;&gt;""),'Employees'!B15,"")</f>
        <v/>
      </c>
      <c r="B161" s="45">
        <f>IF(A161="","",'Employees'!C15)</f>
        <v/>
      </c>
      <c r="C161" s="58">
        <f>IF(A161="","",'Skills'!B17)</f>
        <v/>
      </c>
      <c r="D161" s="45">
        <f>IF(A161="","",'Skills'!C17)</f>
        <v/>
      </c>
      <c r="E161" s="59" t="inlineStr"/>
      <c r="F161" s="59" t="inlineStr"/>
      <c r="G161" s="59" t="inlineStr"/>
      <c r="H161" s="60" t="inlineStr"/>
      <c r="I161" s="59" t="inlineStr"/>
      <c r="J161" s="59" t="inlineStr"/>
      <c r="K161" s="59" t="inlineStr"/>
      <c r="L161" s="59" t="inlineStr"/>
      <c r="M161" s="59" t="inlineStr"/>
      <c r="N161" s="59" t="inlineStr"/>
      <c r="O161" s="59" t="inlineStr"/>
      <c r="P161" s="59" t="inlineStr"/>
      <c r="Q161" s="59" t="inlineStr"/>
      <c r="R161" s="59" t="inlineStr"/>
      <c r="S161" s="59" t="inlineStr"/>
      <c r="T161" s="59" t="inlineStr"/>
      <c r="U161" s="61">
        <f>IF(A161="","",IFERROR(INDEX(E161:T161,MATCH(TRUE,INDEX(E161:T161&lt;&gt;"",0),0)),""))</f>
        <v/>
      </c>
      <c r="V161" s="61">
        <f>IF(A161="","",IFERROR(LOOKUP(2,1/(E161:T161&lt;&gt;""),E161:T161),""))</f>
        <v/>
      </c>
      <c r="W161" s="62">
        <f>IF(OR(A161="",PreviousYear=""),"",IFERROR(LOOKUP(2,1/(E161:T161&lt;&gt;""),E161:T161)-INDEX(E161:T161,MATCH(PreviousYear,$E$5:$T$5,0)),""))</f>
        <v/>
      </c>
      <c r="X161" s="62">
        <f>IF(OR(A161="",U161="",V161=""),"",V161-U161)</f>
        <v/>
      </c>
      <c r="Y161" s="61">
        <f>IF(A161="","",COUNT(E161:T161))</f>
        <v/>
      </c>
    </row>
    <row r="162">
      <c r="A162" s="44">
        <f>IF(AND('Employees'!B15&lt;&gt;"",'Skills'!B18&lt;&gt;""),'Employees'!B15,"")</f>
        <v/>
      </c>
      <c r="B162" s="45">
        <f>IF(A162="","",'Employees'!C15)</f>
        <v/>
      </c>
      <c r="C162" s="58">
        <f>IF(A162="","",'Skills'!B18)</f>
        <v/>
      </c>
      <c r="D162" s="45">
        <f>IF(A162="","",'Skills'!C18)</f>
        <v/>
      </c>
      <c r="E162" s="59" t="inlineStr"/>
      <c r="F162" s="59" t="inlineStr"/>
      <c r="G162" s="59" t="inlineStr"/>
      <c r="H162" s="60" t="inlineStr"/>
      <c r="I162" s="59" t="inlineStr"/>
      <c r="J162" s="59" t="inlineStr"/>
      <c r="K162" s="59" t="inlineStr"/>
      <c r="L162" s="59" t="inlineStr"/>
      <c r="M162" s="59" t="inlineStr"/>
      <c r="N162" s="59" t="inlineStr"/>
      <c r="O162" s="59" t="inlineStr"/>
      <c r="P162" s="59" t="inlineStr"/>
      <c r="Q162" s="59" t="inlineStr"/>
      <c r="R162" s="59" t="inlineStr"/>
      <c r="S162" s="59" t="inlineStr"/>
      <c r="T162" s="59" t="inlineStr"/>
      <c r="U162" s="61">
        <f>IF(A162="","",IFERROR(INDEX(E162:T162,MATCH(TRUE,INDEX(E162:T162&lt;&gt;"",0),0)),""))</f>
        <v/>
      </c>
      <c r="V162" s="61">
        <f>IF(A162="","",IFERROR(LOOKUP(2,1/(E162:T162&lt;&gt;""),E162:T162),""))</f>
        <v/>
      </c>
      <c r="W162" s="62">
        <f>IF(OR(A162="",PreviousYear=""),"",IFERROR(LOOKUP(2,1/(E162:T162&lt;&gt;""),E162:T162)-INDEX(E162:T162,MATCH(PreviousYear,$E$5:$T$5,0)),""))</f>
        <v/>
      </c>
      <c r="X162" s="62">
        <f>IF(OR(A162="",U162="",V162=""),"",V162-U162)</f>
        <v/>
      </c>
      <c r="Y162" s="61">
        <f>IF(A162="","",COUNT(E162:T162))</f>
        <v/>
      </c>
    </row>
    <row r="163">
      <c r="A163" s="44">
        <f>IF(AND('Employees'!B15&lt;&gt;"",'Skills'!B19&lt;&gt;""),'Employees'!B15,"")</f>
        <v/>
      </c>
      <c r="B163" s="45">
        <f>IF(A163="","",'Employees'!C15)</f>
        <v/>
      </c>
      <c r="C163" s="58">
        <f>IF(A163="","",'Skills'!B19)</f>
        <v/>
      </c>
      <c r="D163" s="45">
        <f>IF(A163="","",'Skills'!C19)</f>
        <v/>
      </c>
      <c r="E163" s="59" t="inlineStr"/>
      <c r="F163" s="59" t="inlineStr"/>
      <c r="G163" s="59" t="inlineStr"/>
      <c r="H163" s="60" t="inlineStr"/>
      <c r="I163" s="59" t="inlineStr"/>
      <c r="J163" s="59" t="inlineStr"/>
      <c r="K163" s="59" t="inlineStr"/>
      <c r="L163" s="59" t="inlineStr"/>
      <c r="M163" s="59" t="inlineStr"/>
      <c r="N163" s="59" t="inlineStr"/>
      <c r="O163" s="59" t="inlineStr"/>
      <c r="P163" s="59" t="inlineStr"/>
      <c r="Q163" s="59" t="inlineStr"/>
      <c r="R163" s="59" t="inlineStr"/>
      <c r="S163" s="59" t="inlineStr"/>
      <c r="T163" s="59" t="inlineStr"/>
      <c r="U163" s="61">
        <f>IF(A163="","",IFERROR(INDEX(E163:T163,MATCH(TRUE,INDEX(E163:T163&lt;&gt;"",0),0)),""))</f>
        <v/>
      </c>
      <c r="V163" s="61">
        <f>IF(A163="","",IFERROR(LOOKUP(2,1/(E163:T163&lt;&gt;""),E163:T163),""))</f>
        <v/>
      </c>
      <c r="W163" s="62">
        <f>IF(OR(A163="",PreviousYear=""),"",IFERROR(LOOKUP(2,1/(E163:T163&lt;&gt;""),E163:T163)-INDEX(E163:T163,MATCH(PreviousYear,$E$5:$T$5,0)),""))</f>
        <v/>
      </c>
      <c r="X163" s="62">
        <f>IF(OR(A163="",U163="",V163=""),"",V163-U163)</f>
        <v/>
      </c>
      <c r="Y163" s="61">
        <f>IF(A163="","",COUNT(E163:T163))</f>
        <v/>
      </c>
    </row>
    <row r="164">
      <c r="A164" s="44">
        <f>IF(AND('Employees'!B15&lt;&gt;"",'Skills'!B20&lt;&gt;""),'Employees'!B15,"")</f>
        <v/>
      </c>
      <c r="B164" s="45">
        <f>IF(A164="","",'Employees'!C15)</f>
        <v/>
      </c>
      <c r="C164" s="58">
        <f>IF(A164="","",'Skills'!B20)</f>
        <v/>
      </c>
      <c r="D164" s="45">
        <f>IF(A164="","",'Skills'!C20)</f>
        <v/>
      </c>
      <c r="E164" s="59" t="inlineStr"/>
      <c r="F164" s="59" t="inlineStr"/>
      <c r="G164" s="59" t="inlineStr"/>
      <c r="H164" s="60" t="inlineStr"/>
      <c r="I164" s="59" t="inlineStr"/>
      <c r="J164" s="59" t="inlineStr"/>
      <c r="K164" s="59" t="inlineStr"/>
      <c r="L164" s="59" t="inlineStr"/>
      <c r="M164" s="59" t="inlineStr"/>
      <c r="N164" s="59" t="inlineStr"/>
      <c r="O164" s="59" t="inlineStr"/>
      <c r="P164" s="59" t="inlineStr"/>
      <c r="Q164" s="59" t="inlineStr"/>
      <c r="R164" s="59" t="inlineStr"/>
      <c r="S164" s="59" t="inlineStr"/>
      <c r="T164" s="59" t="inlineStr"/>
      <c r="U164" s="61">
        <f>IF(A164="","",IFERROR(INDEX(E164:T164,MATCH(TRUE,INDEX(E164:T164&lt;&gt;"",0),0)),""))</f>
        <v/>
      </c>
      <c r="V164" s="61">
        <f>IF(A164="","",IFERROR(LOOKUP(2,1/(E164:T164&lt;&gt;""),E164:T164),""))</f>
        <v/>
      </c>
      <c r="W164" s="62">
        <f>IF(OR(A164="",PreviousYear=""),"",IFERROR(LOOKUP(2,1/(E164:T164&lt;&gt;""),E164:T164)-INDEX(E164:T164,MATCH(PreviousYear,$E$5:$T$5,0)),""))</f>
        <v/>
      </c>
      <c r="X164" s="62">
        <f>IF(OR(A164="",U164="",V164=""),"",V164-U164)</f>
        <v/>
      </c>
      <c r="Y164" s="61">
        <f>IF(A164="","",COUNT(E164:T164))</f>
        <v/>
      </c>
    </row>
    <row r="165">
      <c r="A165" s="44">
        <f>IF(AND('Employees'!B15&lt;&gt;"",'Skills'!B21&lt;&gt;""),'Employees'!B15,"")</f>
        <v/>
      </c>
      <c r="B165" s="45">
        <f>IF(A165="","",'Employees'!C15)</f>
        <v/>
      </c>
      <c r="C165" s="58">
        <f>IF(A165="","",'Skills'!B21)</f>
        <v/>
      </c>
      <c r="D165" s="45">
        <f>IF(A165="","",'Skills'!C21)</f>
        <v/>
      </c>
      <c r="E165" s="59" t="inlineStr"/>
      <c r="F165" s="59" t="inlineStr"/>
      <c r="G165" s="59" t="inlineStr"/>
      <c r="H165" s="60" t="inlineStr"/>
      <c r="I165" s="59" t="inlineStr"/>
      <c r="J165" s="59" t="inlineStr"/>
      <c r="K165" s="59" t="inlineStr"/>
      <c r="L165" s="59" t="inlineStr"/>
      <c r="M165" s="59" t="inlineStr"/>
      <c r="N165" s="59" t="inlineStr"/>
      <c r="O165" s="59" t="inlineStr"/>
      <c r="P165" s="59" t="inlineStr"/>
      <c r="Q165" s="59" t="inlineStr"/>
      <c r="R165" s="59" t="inlineStr"/>
      <c r="S165" s="59" t="inlineStr"/>
      <c r="T165" s="59" t="inlineStr"/>
      <c r="U165" s="61">
        <f>IF(A165="","",IFERROR(INDEX(E165:T165,MATCH(TRUE,INDEX(E165:T165&lt;&gt;"",0),0)),""))</f>
        <v/>
      </c>
      <c r="V165" s="61">
        <f>IF(A165="","",IFERROR(LOOKUP(2,1/(E165:T165&lt;&gt;""),E165:T165),""))</f>
        <v/>
      </c>
      <c r="W165" s="62">
        <f>IF(OR(A165="",PreviousYear=""),"",IFERROR(LOOKUP(2,1/(E165:T165&lt;&gt;""),E165:T165)-INDEX(E165:T165,MATCH(PreviousYear,$E$5:$T$5,0)),""))</f>
        <v/>
      </c>
      <c r="X165" s="62">
        <f>IF(OR(A165="",U165="",V165=""),"",V165-U165)</f>
        <v/>
      </c>
      <c r="Y165" s="61">
        <f>IF(A165="","",COUNT(E165:T165))</f>
        <v/>
      </c>
    </row>
    <row r="166">
      <c r="A166" s="44">
        <f>IF(AND('Employees'!B16&lt;&gt;"",'Skills'!B6&lt;&gt;""),'Employees'!B16,"")</f>
        <v/>
      </c>
      <c r="B166" s="45">
        <f>IF(A166="","",'Employees'!C16)</f>
        <v/>
      </c>
      <c r="C166" s="58">
        <f>IF(A166="","",'Skills'!B6)</f>
        <v/>
      </c>
      <c r="D166" s="45">
        <f>IF(A166="","",'Skills'!C6)</f>
        <v/>
      </c>
      <c r="E166" s="59" t="inlineStr"/>
      <c r="F166" s="59" t="inlineStr"/>
      <c r="G166" s="59" t="inlineStr"/>
      <c r="H166" s="60" t="inlineStr"/>
      <c r="I166" s="59" t="inlineStr"/>
      <c r="J166" s="59" t="inlineStr"/>
      <c r="K166" s="59" t="inlineStr"/>
      <c r="L166" s="59" t="inlineStr"/>
      <c r="M166" s="59" t="inlineStr"/>
      <c r="N166" s="59" t="inlineStr"/>
      <c r="O166" s="59" t="inlineStr"/>
      <c r="P166" s="59" t="inlineStr"/>
      <c r="Q166" s="59" t="inlineStr"/>
      <c r="R166" s="59" t="inlineStr"/>
      <c r="S166" s="59" t="inlineStr"/>
      <c r="T166" s="59" t="inlineStr"/>
      <c r="U166" s="61">
        <f>IF(A166="","",IFERROR(INDEX(E166:T166,MATCH(TRUE,INDEX(E166:T166&lt;&gt;"",0),0)),""))</f>
        <v/>
      </c>
      <c r="V166" s="61">
        <f>IF(A166="","",IFERROR(LOOKUP(2,1/(E166:T166&lt;&gt;""),E166:T166),""))</f>
        <v/>
      </c>
      <c r="W166" s="62">
        <f>IF(OR(A166="",PreviousYear=""),"",IFERROR(LOOKUP(2,1/(E166:T166&lt;&gt;""),E166:T166)-INDEX(E166:T166,MATCH(PreviousYear,$E$5:$T$5,0)),""))</f>
        <v/>
      </c>
      <c r="X166" s="62">
        <f>IF(OR(A166="",U166="",V166=""),"",V166-U166)</f>
        <v/>
      </c>
      <c r="Y166" s="61">
        <f>IF(A166="","",COUNT(E166:T166))</f>
        <v/>
      </c>
    </row>
    <row r="167">
      <c r="A167" s="44">
        <f>IF(AND('Employees'!B16&lt;&gt;"",'Skills'!B7&lt;&gt;""),'Employees'!B16,"")</f>
        <v/>
      </c>
      <c r="B167" s="45">
        <f>IF(A167="","",'Employees'!C16)</f>
        <v/>
      </c>
      <c r="C167" s="58">
        <f>IF(A167="","",'Skills'!B7)</f>
        <v/>
      </c>
      <c r="D167" s="45">
        <f>IF(A167="","",'Skills'!C7)</f>
        <v/>
      </c>
      <c r="E167" s="59" t="inlineStr"/>
      <c r="F167" s="59" t="inlineStr"/>
      <c r="G167" s="59" t="inlineStr"/>
      <c r="H167" s="60" t="inlineStr"/>
      <c r="I167" s="59" t="inlineStr"/>
      <c r="J167" s="59" t="inlineStr"/>
      <c r="K167" s="59" t="inlineStr"/>
      <c r="L167" s="59" t="inlineStr"/>
      <c r="M167" s="59" t="inlineStr"/>
      <c r="N167" s="59" t="inlineStr"/>
      <c r="O167" s="59" t="inlineStr"/>
      <c r="P167" s="59" t="inlineStr"/>
      <c r="Q167" s="59" t="inlineStr"/>
      <c r="R167" s="59" t="inlineStr"/>
      <c r="S167" s="59" t="inlineStr"/>
      <c r="T167" s="59" t="inlineStr"/>
      <c r="U167" s="61">
        <f>IF(A167="","",IFERROR(INDEX(E167:T167,MATCH(TRUE,INDEX(E167:T167&lt;&gt;"",0),0)),""))</f>
        <v/>
      </c>
      <c r="V167" s="61">
        <f>IF(A167="","",IFERROR(LOOKUP(2,1/(E167:T167&lt;&gt;""),E167:T167),""))</f>
        <v/>
      </c>
      <c r="W167" s="62">
        <f>IF(OR(A167="",PreviousYear=""),"",IFERROR(LOOKUP(2,1/(E167:T167&lt;&gt;""),E167:T167)-INDEX(E167:T167,MATCH(PreviousYear,$E$5:$T$5,0)),""))</f>
        <v/>
      </c>
      <c r="X167" s="62">
        <f>IF(OR(A167="",U167="",V167=""),"",V167-U167)</f>
        <v/>
      </c>
      <c r="Y167" s="61">
        <f>IF(A167="","",COUNT(E167:T167))</f>
        <v/>
      </c>
    </row>
    <row r="168">
      <c r="A168" s="44">
        <f>IF(AND('Employees'!B16&lt;&gt;"",'Skills'!B8&lt;&gt;""),'Employees'!B16,"")</f>
        <v/>
      </c>
      <c r="B168" s="45">
        <f>IF(A168="","",'Employees'!C16)</f>
        <v/>
      </c>
      <c r="C168" s="58">
        <f>IF(A168="","",'Skills'!B8)</f>
        <v/>
      </c>
      <c r="D168" s="45">
        <f>IF(A168="","",'Skills'!C8)</f>
        <v/>
      </c>
      <c r="E168" s="59" t="inlineStr"/>
      <c r="F168" s="59" t="inlineStr"/>
      <c r="G168" s="59" t="inlineStr"/>
      <c r="H168" s="60" t="inlineStr"/>
      <c r="I168" s="59" t="inlineStr"/>
      <c r="J168" s="59" t="inlineStr"/>
      <c r="K168" s="59" t="inlineStr"/>
      <c r="L168" s="59" t="inlineStr"/>
      <c r="M168" s="59" t="inlineStr"/>
      <c r="N168" s="59" t="inlineStr"/>
      <c r="O168" s="59" t="inlineStr"/>
      <c r="P168" s="59" t="inlineStr"/>
      <c r="Q168" s="59" t="inlineStr"/>
      <c r="R168" s="59" t="inlineStr"/>
      <c r="S168" s="59" t="inlineStr"/>
      <c r="T168" s="59" t="inlineStr"/>
      <c r="U168" s="61">
        <f>IF(A168="","",IFERROR(INDEX(E168:T168,MATCH(TRUE,INDEX(E168:T168&lt;&gt;"",0),0)),""))</f>
        <v/>
      </c>
      <c r="V168" s="61">
        <f>IF(A168="","",IFERROR(LOOKUP(2,1/(E168:T168&lt;&gt;""),E168:T168),""))</f>
        <v/>
      </c>
      <c r="W168" s="62">
        <f>IF(OR(A168="",PreviousYear=""),"",IFERROR(LOOKUP(2,1/(E168:T168&lt;&gt;""),E168:T168)-INDEX(E168:T168,MATCH(PreviousYear,$E$5:$T$5,0)),""))</f>
        <v/>
      </c>
      <c r="X168" s="62">
        <f>IF(OR(A168="",U168="",V168=""),"",V168-U168)</f>
        <v/>
      </c>
      <c r="Y168" s="61">
        <f>IF(A168="","",COUNT(E168:T168))</f>
        <v/>
      </c>
    </row>
    <row r="169">
      <c r="A169" s="44">
        <f>IF(AND('Employees'!B16&lt;&gt;"",'Skills'!B9&lt;&gt;""),'Employees'!B16,"")</f>
        <v/>
      </c>
      <c r="B169" s="45">
        <f>IF(A169="","",'Employees'!C16)</f>
        <v/>
      </c>
      <c r="C169" s="58">
        <f>IF(A169="","",'Skills'!B9)</f>
        <v/>
      </c>
      <c r="D169" s="45">
        <f>IF(A169="","",'Skills'!C9)</f>
        <v/>
      </c>
      <c r="E169" s="59" t="inlineStr"/>
      <c r="F169" s="59" t="inlineStr"/>
      <c r="G169" s="59" t="inlineStr"/>
      <c r="H169" s="60" t="inlineStr"/>
      <c r="I169" s="59" t="inlineStr"/>
      <c r="J169" s="59" t="inlineStr"/>
      <c r="K169" s="59" t="inlineStr"/>
      <c r="L169" s="59" t="inlineStr"/>
      <c r="M169" s="59" t="inlineStr"/>
      <c r="N169" s="59" t="inlineStr"/>
      <c r="O169" s="59" t="inlineStr"/>
      <c r="P169" s="59" t="inlineStr"/>
      <c r="Q169" s="59" t="inlineStr"/>
      <c r="R169" s="59" t="inlineStr"/>
      <c r="S169" s="59" t="inlineStr"/>
      <c r="T169" s="59" t="inlineStr"/>
      <c r="U169" s="61">
        <f>IF(A169="","",IFERROR(INDEX(E169:T169,MATCH(TRUE,INDEX(E169:T169&lt;&gt;"",0),0)),""))</f>
        <v/>
      </c>
      <c r="V169" s="61">
        <f>IF(A169="","",IFERROR(LOOKUP(2,1/(E169:T169&lt;&gt;""),E169:T169),""))</f>
        <v/>
      </c>
      <c r="W169" s="62">
        <f>IF(OR(A169="",PreviousYear=""),"",IFERROR(LOOKUP(2,1/(E169:T169&lt;&gt;""),E169:T169)-INDEX(E169:T169,MATCH(PreviousYear,$E$5:$T$5,0)),""))</f>
        <v/>
      </c>
      <c r="X169" s="62">
        <f>IF(OR(A169="",U169="",V169=""),"",V169-U169)</f>
        <v/>
      </c>
      <c r="Y169" s="61">
        <f>IF(A169="","",COUNT(E169:T169))</f>
        <v/>
      </c>
    </row>
    <row r="170">
      <c r="A170" s="44">
        <f>IF(AND('Employees'!B16&lt;&gt;"",'Skills'!B10&lt;&gt;""),'Employees'!B16,"")</f>
        <v/>
      </c>
      <c r="B170" s="45">
        <f>IF(A170="","",'Employees'!C16)</f>
        <v/>
      </c>
      <c r="C170" s="58">
        <f>IF(A170="","",'Skills'!B10)</f>
        <v/>
      </c>
      <c r="D170" s="45">
        <f>IF(A170="","",'Skills'!C10)</f>
        <v/>
      </c>
      <c r="E170" s="59" t="inlineStr"/>
      <c r="F170" s="59" t="inlineStr"/>
      <c r="G170" s="59" t="inlineStr"/>
      <c r="H170" s="60" t="inlineStr"/>
      <c r="I170" s="59" t="inlineStr"/>
      <c r="J170" s="59" t="inlineStr"/>
      <c r="K170" s="59" t="inlineStr"/>
      <c r="L170" s="59" t="inlineStr"/>
      <c r="M170" s="59" t="inlineStr"/>
      <c r="N170" s="59" t="inlineStr"/>
      <c r="O170" s="59" t="inlineStr"/>
      <c r="P170" s="59" t="inlineStr"/>
      <c r="Q170" s="59" t="inlineStr"/>
      <c r="R170" s="59" t="inlineStr"/>
      <c r="S170" s="59" t="inlineStr"/>
      <c r="T170" s="59" t="inlineStr"/>
      <c r="U170" s="61">
        <f>IF(A170="","",IFERROR(INDEX(E170:T170,MATCH(TRUE,INDEX(E170:T170&lt;&gt;"",0),0)),""))</f>
        <v/>
      </c>
      <c r="V170" s="61">
        <f>IF(A170="","",IFERROR(LOOKUP(2,1/(E170:T170&lt;&gt;""),E170:T170),""))</f>
        <v/>
      </c>
      <c r="W170" s="62">
        <f>IF(OR(A170="",PreviousYear=""),"",IFERROR(LOOKUP(2,1/(E170:T170&lt;&gt;""),E170:T170)-INDEX(E170:T170,MATCH(PreviousYear,$E$5:$T$5,0)),""))</f>
        <v/>
      </c>
      <c r="X170" s="62">
        <f>IF(OR(A170="",U170="",V170=""),"",V170-U170)</f>
        <v/>
      </c>
      <c r="Y170" s="61">
        <f>IF(A170="","",COUNT(E170:T170))</f>
        <v/>
      </c>
    </row>
    <row r="171">
      <c r="A171" s="44">
        <f>IF(AND('Employees'!B16&lt;&gt;"",'Skills'!B11&lt;&gt;""),'Employees'!B16,"")</f>
        <v/>
      </c>
      <c r="B171" s="45">
        <f>IF(A171="","",'Employees'!C16)</f>
        <v/>
      </c>
      <c r="C171" s="58">
        <f>IF(A171="","",'Skills'!B11)</f>
        <v/>
      </c>
      <c r="D171" s="45">
        <f>IF(A171="","",'Skills'!C11)</f>
        <v/>
      </c>
      <c r="E171" s="59" t="inlineStr"/>
      <c r="F171" s="59" t="inlineStr"/>
      <c r="G171" s="59" t="inlineStr"/>
      <c r="H171" s="60" t="inlineStr"/>
      <c r="I171" s="59" t="inlineStr"/>
      <c r="J171" s="59" t="inlineStr"/>
      <c r="K171" s="59" t="inlineStr"/>
      <c r="L171" s="59" t="inlineStr"/>
      <c r="M171" s="59" t="inlineStr"/>
      <c r="N171" s="59" t="inlineStr"/>
      <c r="O171" s="59" t="inlineStr"/>
      <c r="P171" s="59" t="inlineStr"/>
      <c r="Q171" s="59" t="inlineStr"/>
      <c r="R171" s="59" t="inlineStr"/>
      <c r="S171" s="59" t="inlineStr"/>
      <c r="T171" s="59" t="inlineStr"/>
      <c r="U171" s="61">
        <f>IF(A171="","",IFERROR(INDEX(E171:T171,MATCH(TRUE,INDEX(E171:T171&lt;&gt;"",0),0)),""))</f>
        <v/>
      </c>
      <c r="V171" s="61">
        <f>IF(A171="","",IFERROR(LOOKUP(2,1/(E171:T171&lt;&gt;""),E171:T171),""))</f>
        <v/>
      </c>
      <c r="W171" s="62">
        <f>IF(OR(A171="",PreviousYear=""),"",IFERROR(LOOKUP(2,1/(E171:T171&lt;&gt;""),E171:T171)-INDEX(E171:T171,MATCH(PreviousYear,$E$5:$T$5,0)),""))</f>
        <v/>
      </c>
      <c r="X171" s="62">
        <f>IF(OR(A171="",U171="",V171=""),"",V171-U171)</f>
        <v/>
      </c>
      <c r="Y171" s="61">
        <f>IF(A171="","",COUNT(E171:T171))</f>
        <v/>
      </c>
    </row>
    <row r="172">
      <c r="A172" s="44">
        <f>IF(AND('Employees'!B16&lt;&gt;"",'Skills'!B12&lt;&gt;""),'Employees'!B16,"")</f>
        <v/>
      </c>
      <c r="B172" s="45">
        <f>IF(A172="","",'Employees'!C16)</f>
        <v/>
      </c>
      <c r="C172" s="58">
        <f>IF(A172="","",'Skills'!B12)</f>
        <v/>
      </c>
      <c r="D172" s="45">
        <f>IF(A172="","",'Skills'!C12)</f>
        <v/>
      </c>
      <c r="E172" s="59" t="inlineStr"/>
      <c r="F172" s="59" t="inlineStr"/>
      <c r="G172" s="59" t="inlineStr"/>
      <c r="H172" s="60" t="inlineStr"/>
      <c r="I172" s="59" t="inlineStr"/>
      <c r="J172" s="59" t="inlineStr"/>
      <c r="K172" s="59" t="inlineStr"/>
      <c r="L172" s="59" t="inlineStr"/>
      <c r="M172" s="59" t="inlineStr"/>
      <c r="N172" s="59" t="inlineStr"/>
      <c r="O172" s="59" t="inlineStr"/>
      <c r="P172" s="59" t="inlineStr"/>
      <c r="Q172" s="59" t="inlineStr"/>
      <c r="R172" s="59" t="inlineStr"/>
      <c r="S172" s="59" t="inlineStr"/>
      <c r="T172" s="59" t="inlineStr"/>
      <c r="U172" s="61">
        <f>IF(A172="","",IFERROR(INDEX(E172:T172,MATCH(TRUE,INDEX(E172:T172&lt;&gt;"",0),0)),""))</f>
        <v/>
      </c>
      <c r="V172" s="61">
        <f>IF(A172="","",IFERROR(LOOKUP(2,1/(E172:T172&lt;&gt;""),E172:T172),""))</f>
        <v/>
      </c>
      <c r="W172" s="62">
        <f>IF(OR(A172="",PreviousYear=""),"",IFERROR(LOOKUP(2,1/(E172:T172&lt;&gt;""),E172:T172)-INDEX(E172:T172,MATCH(PreviousYear,$E$5:$T$5,0)),""))</f>
        <v/>
      </c>
      <c r="X172" s="62">
        <f>IF(OR(A172="",U172="",V172=""),"",V172-U172)</f>
        <v/>
      </c>
      <c r="Y172" s="61">
        <f>IF(A172="","",COUNT(E172:T172))</f>
        <v/>
      </c>
    </row>
    <row r="173">
      <c r="A173" s="44">
        <f>IF(AND('Employees'!B16&lt;&gt;"",'Skills'!B13&lt;&gt;""),'Employees'!B16,"")</f>
        <v/>
      </c>
      <c r="B173" s="45">
        <f>IF(A173="","",'Employees'!C16)</f>
        <v/>
      </c>
      <c r="C173" s="58">
        <f>IF(A173="","",'Skills'!B13)</f>
        <v/>
      </c>
      <c r="D173" s="45">
        <f>IF(A173="","",'Skills'!C13)</f>
        <v/>
      </c>
      <c r="E173" s="59" t="inlineStr"/>
      <c r="F173" s="59" t="inlineStr"/>
      <c r="G173" s="59" t="inlineStr"/>
      <c r="H173" s="60" t="inlineStr"/>
      <c r="I173" s="59" t="inlineStr"/>
      <c r="J173" s="59" t="inlineStr"/>
      <c r="K173" s="59" t="inlineStr"/>
      <c r="L173" s="59" t="inlineStr"/>
      <c r="M173" s="59" t="inlineStr"/>
      <c r="N173" s="59" t="inlineStr"/>
      <c r="O173" s="59" t="inlineStr"/>
      <c r="P173" s="59" t="inlineStr"/>
      <c r="Q173" s="59" t="inlineStr"/>
      <c r="R173" s="59" t="inlineStr"/>
      <c r="S173" s="59" t="inlineStr"/>
      <c r="T173" s="59" t="inlineStr"/>
      <c r="U173" s="61">
        <f>IF(A173="","",IFERROR(INDEX(E173:T173,MATCH(TRUE,INDEX(E173:T173&lt;&gt;"",0),0)),""))</f>
        <v/>
      </c>
      <c r="V173" s="61">
        <f>IF(A173="","",IFERROR(LOOKUP(2,1/(E173:T173&lt;&gt;""),E173:T173),""))</f>
        <v/>
      </c>
      <c r="W173" s="62">
        <f>IF(OR(A173="",PreviousYear=""),"",IFERROR(LOOKUP(2,1/(E173:T173&lt;&gt;""),E173:T173)-INDEX(E173:T173,MATCH(PreviousYear,$E$5:$T$5,0)),""))</f>
        <v/>
      </c>
      <c r="X173" s="62">
        <f>IF(OR(A173="",U173="",V173=""),"",V173-U173)</f>
        <v/>
      </c>
      <c r="Y173" s="61">
        <f>IF(A173="","",COUNT(E173:T173))</f>
        <v/>
      </c>
    </row>
    <row r="174">
      <c r="A174" s="44">
        <f>IF(AND('Employees'!B16&lt;&gt;"",'Skills'!B14&lt;&gt;""),'Employees'!B16,"")</f>
        <v/>
      </c>
      <c r="B174" s="45">
        <f>IF(A174="","",'Employees'!C16)</f>
        <v/>
      </c>
      <c r="C174" s="58">
        <f>IF(A174="","",'Skills'!B14)</f>
        <v/>
      </c>
      <c r="D174" s="45">
        <f>IF(A174="","",'Skills'!C14)</f>
        <v/>
      </c>
      <c r="E174" s="59" t="inlineStr"/>
      <c r="F174" s="59" t="inlineStr"/>
      <c r="G174" s="59" t="inlineStr"/>
      <c r="H174" s="60" t="inlineStr"/>
      <c r="I174" s="59" t="inlineStr"/>
      <c r="J174" s="59" t="inlineStr"/>
      <c r="K174" s="59" t="inlineStr"/>
      <c r="L174" s="59" t="inlineStr"/>
      <c r="M174" s="59" t="inlineStr"/>
      <c r="N174" s="59" t="inlineStr"/>
      <c r="O174" s="59" t="inlineStr"/>
      <c r="P174" s="59" t="inlineStr"/>
      <c r="Q174" s="59" t="inlineStr"/>
      <c r="R174" s="59" t="inlineStr"/>
      <c r="S174" s="59" t="inlineStr"/>
      <c r="T174" s="59" t="inlineStr"/>
      <c r="U174" s="61">
        <f>IF(A174="","",IFERROR(INDEX(E174:T174,MATCH(TRUE,INDEX(E174:T174&lt;&gt;"",0),0)),""))</f>
        <v/>
      </c>
      <c r="V174" s="61">
        <f>IF(A174="","",IFERROR(LOOKUP(2,1/(E174:T174&lt;&gt;""),E174:T174),""))</f>
        <v/>
      </c>
      <c r="W174" s="62">
        <f>IF(OR(A174="",PreviousYear=""),"",IFERROR(LOOKUP(2,1/(E174:T174&lt;&gt;""),E174:T174)-INDEX(E174:T174,MATCH(PreviousYear,$E$5:$T$5,0)),""))</f>
        <v/>
      </c>
      <c r="X174" s="62">
        <f>IF(OR(A174="",U174="",V174=""),"",V174-U174)</f>
        <v/>
      </c>
      <c r="Y174" s="61">
        <f>IF(A174="","",COUNT(E174:T174))</f>
        <v/>
      </c>
    </row>
    <row r="175">
      <c r="A175" s="44">
        <f>IF(AND('Employees'!B16&lt;&gt;"",'Skills'!B15&lt;&gt;""),'Employees'!B16,"")</f>
        <v/>
      </c>
      <c r="B175" s="45">
        <f>IF(A175="","",'Employees'!C16)</f>
        <v/>
      </c>
      <c r="C175" s="58">
        <f>IF(A175="","",'Skills'!B15)</f>
        <v/>
      </c>
      <c r="D175" s="45">
        <f>IF(A175="","",'Skills'!C15)</f>
        <v/>
      </c>
      <c r="E175" s="59" t="inlineStr"/>
      <c r="F175" s="59" t="inlineStr"/>
      <c r="G175" s="59" t="inlineStr"/>
      <c r="H175" s="60" t="inlineStr"/>
      <c r="I175" s="59" t="inlineStr"/>
      <c r="J175" s="59" t="inlineStr"/>
      <c r="K175" s="59" t="inlineStr"/>
      <c r="L175" s="59" t="inlineStr"/>
      <c r="M175" s="59" t="inlineStr"/>
      <c r="N175" s="59" t="inlineStr"/>
      <c r="O175" s="59" t="inlineStr"/>
      <c r="P175" s="59" t="inlineStr"/>
      <c r="Q175" s="59" t="inlineStr"/>
      <c r="R175" s="59" t="inlineStr"/>
      <c r="S175" s="59" t="inlineStr"/>
      <c r="T175" s="59" t="inlineStr"/>
      <c r="U175" s="61">
        <f>IF(A175="","",IFERROR(INDEX(E175:T175,MATCH(TRUE,INDEX(E175:T175&lt;&gt;"",0),0)),""))</f>
        <v/>
      </c>
      <c r="V175" s="61">
        <f>IF(A175="","",IFERROR(LOOKUP(2,1/(E175:T175&lt;&gt;""),E175:T175),""))</f>
        <v/>
      </c>
      <c r="W175" s="62">
        <f>IF(OR(A175="",PreviousYear=""),"",IFERROR(LOOKUP(2,1/(E175:T175&lt;&gt;""),E175:T175)-INDEX(E175:T175,MATCH(PreviousYear,$E$5:$T$5,0)),""))</f>
        <v/>
      </c>
      <c r="X175" s="62">
        <f>IF(OR(A175="",U175="",V175=""),"",V175-U175)</f>
        <v/>
      </c>
      <c r="Y175" s="61">
        <f>IF(A175="","",COUNT(E175:T175))</f>
        <v/>
      </c>
    </row>
    <row r="176">
      <c r="A176" s="44">
        <f>IF(AND('Employees'!B16&lt;&gt;"",'Skills'!B16&lt;&gt;""),'Employees'!B16,"")</f>
        <v/>
      </c>
      <c r="B176" s="45">
        <f>IF(A176="","",'Employees'!C16)</f>
        <v/>
      </c>
      <c r="C176" s="58">
        <f>IF(A176="","",'Skills'!B16)</f>
        <v/>
      </c>
      <c r="D176" s="45">
        <f>IF(A176="","",'Skills'!C16)</f>
        <v/>
      </c>
      <c r="E176" s="59" t="inlineStr"/>
      <c r="F176" s="59" t="inlineStr"/>
      <c r="G176" s="59" t="inlineStr"/>
      <c r="H176" s="60" t="inlineStr"/>
      <c r="I176" s="59" t="inlineStr"/>
      <c r="J176" s="59" t="inlineStr"/>
      <c r="K176" s="59" t="inlineStr"/>
      <c r="L176" s="59" t="inlineStr"/>
      <c r="M176" s="59" t="inlineStr"/>
      <c r="N176" s="59" t="inlineStr"/>
      <c r="O176" s="59" t="inlineStr"/>
      <c r="P176" s="59" t="inlineStr"/>
      <c r="Q176" s="59" t="inlineStr"/>
      <c r="R176" s="59" t="inlineStr"/>
      <c r="S176" s="59" t="inlineStr"/>
      <c r="T176" s="59" t="inlineStr"/>
      <c r="U176" s="61">
        <f>IF(A176="","",IFERROR(INDEX(E176:T176,MATCH(TRUE,INDEX(E176:T176&lt;&gt;"",0),0)),""))</f>
        <v/>
      </c>
      <c r="V176" s="61">
        <f>IF(A176="","",IFERROR(LOOKUP(2,1/(E176:T176&lt;&gt;""),E176:T176),""))</f>
        <v/>
      </c>
      <c r="W176" s="62">
        <f>IF(OR(A176="",PreviousYear=""),"",IFERROR(LOOKUP(2,1/(E176:T176&lt;&gt;""),E176:T176)-INDEX(E176:T176,MATCH(PreviousYear,$E$5:$T$5,0)),""))</f>
        <v/>
      </c>
      <c r="X176" s="62">
        <f>IF(OR(A176="",U176="",V176=""),"",V176-U176)</f>
        <v/>
      </c>
      <c r="Y176" s="61">
        <f>IF(A176="","",COUNT(E176:T176))</f>
        <v/>
      </c>
    </row>
    <row r="177">
      <c r="A177" s="44">
        <f>IF(AND('Employees'!B16&lt;&gt;"",'Skills'!B17&lt;&gt;""),'Employees'!B16,"")</f>
        <v/>
      </c>
      <c r="B177" s="45">
        <f>IF(A177="","",'Employees'!C16)</f>
        <v/>
      </c>
      <c r="C177" s="58">
        <f>IF(A177="","",'Skills'!B17)</f>
        <v/>
      </c>
      <c r="D177" s="45">
        <f>IF(A177="","",'Skills'!C17)</f>
        <v/>
      </c>
      <c r="E177" s="59" t="inlineStr"/>
      <c r="F177" s="59" t="inlineStr"/>
      <c r="G177" s="59" t="inlineStr"/>
      <c r="H177" s="60" t="inlineStr"/>
      <c r="I177" s="59" t="inlineStr"/>
      <c r="J177" s="59" t="inlineStr"/>
      <c r="K177" s="59" t="inlineStr"/>
      <c r="L177" s="59" t="inlineStr"/>
      <c r="M177" s="59" t="inlineStr"/>
      <c r="N177" s="59" t="inlineStr"/>
      <c r="O177" s="59" t="inlineStr"/>
      <c r="P177" s="59" t="inlineStr"/>
      <c r="Q177" s="59" t="inlineStr"/>
      <c r="R177" s="59" t="inlineStr"/>
      <c r="S177" s="59" t="inlineStr"/>
      <c r="T177" s="59" t="inlineStr"/>
      <c r="U177" s="61">
        <f>IF(A177="","",IFERROR(INDEX(E177:T177,MATCH(TRUE,INDEX(E177:T177&lt;&gt;"",0),0)),""))</f>
        <v/>
      </c>
      <c r="V177" s="61">
        <f>IF(A177="","",IFERROR(LOOKUP(2,1/(E177:T177&lt;&gt;""),E177:T177),""))</f>
        <v/>
      </c>
      <c r="W177" s="62">
        <f>IF(OR(A177="",PreviousYear=""),"",IFERROR(LOOKUP(2,1/(E177:T177&lt;&gt;""),E177:T177)-INDEX(E177:T177,MATCH(PreviousYear,$E$5:$T$5,0)),""))</f>
        <v/>
      </c>
      <c r="X177" s="62">
        <f>IF(OR(A177="",U177="",V177=""),"",V177-U177)</f>
        <v/>
      </c>
      <c r="Y177" s="61">
        <f>IF(A177="","",COUNT(E177:T177))</f>
        <v/>
      </c>
    </row>
    <row r="178">
      <c r="A178" s="44">
        <f>IF(AND('Employees'!B16&lt;&gt;"",'Skills'!B18&lt;&gt;""),'Employees'!B16,"")</f>
        <v/>
      </c>
      <c r="B178" s="45">
        <f>IF(A178="","",'Employees'!C16)</f>
        <v/>
      </c>
      <c r="C178" s="58">
        <f>IF(A178="","",'Skills'!B18)</f>
        <v/>
      </c>
      <c r="D178" s="45">
        <f>IF(A178="","",'Skills'!C18)</f>
        <v/>
      </c>
      <c r="E178" s="59" t="inlineStr"/>
      <c r="F178" s="59" t="inlineStr"/>
      <c r="G178" s="59" t="inlineStr"/>
      <c r="H178" s="60" t="inlineStr"/>
      <c r="I178" s="59" t="inlineStr"/>
      <c r="J178" s="59" t="inlineStr"/>
      <c r="K178" s="59" t="inlineStr"/>
      <c r="L178" s="59" t="inlineStr"/>
      <c r="M178" s="59" t="inlineStr"/>
      <c r="N178" s="59" t="inlineStr"/>
      <c r="O178" s="59" t="inlineStr"/>
      <c r="P178" s="59" t="inlineStr"/>
      <c r="Q178" s="59" t="inlineStr"/>
      <c r="R178" s="59" t="inlineStr"/>
      <c r="S178" s="59" t="inlineStr"/>
      <c r="T178" s="59" t="inlineStr"/>
      <c r="U178" s="61">
        <f>IF(A178="","",IFERROR(INDEX(E178:T178,MATCH(TRUE,INDEX(E178:T178&lt;&gt;"",0),0)),""))</f>
        <v/>
      </c>
      <c r="V178" s="61">
        <f>IF(A178="","",IFERROR(LOOKUP(2,1/(E178:T178&lt;&gt;""),E178:T178),""))</f>
        <v/>
      </c>
      <c r="W178" s="62">
        <f>IF(OR(A178="",PreviousYear=""),"",IFERROR(LOOKUP(2,1/(E178:T178&lt;&gt;""),E178:T178)-INDEX(E178:T178,MATCH(PreviousYear,$E$5:$T$5,0)),""))</f>
        <v/>
      </c>
      <c r="X178" s="62">
        <f>IF(OR(A178="",U178="",V178=""),"",V178-U178)</f>
        <v/>
      </c>
      <c r="Y178" s="61">
        <f>IF(A178="","",COUNT(E178:T178))</f>
        <v/>
      </c>
    </row>
    <row r="179">
      <c r="A179" s="44">
        <f>IF(AND('Employees'!B16&lt;&gt;"",'Skills'!B19&lt;&gt;""),'Employees'!B16,"")</f>
        <v/>
      </c>
      <c r="B179" s="45">
        <f>IF(A179="","",'Employees'!C16)</f>
        <v/>
      </c>
      <c r="C179" s="58">
        <f>IF(A179="","",'Skills'!B19)</f>
        <v/>
      </c>
      <c r="D179" s="45">
        <f>IF(A179="","",'Skills'!C19)</f>
        <v/>
      </c>
      <c r="E179" s="59" t="inlineStr"/>
      <c r="F179" s="59" t="inlineStr"/>
      <c r="G179" s="59" t="inlineStr"/>
      <c r="H179" s="60" t="inlineStr"/>
      <c r="I179" s="59" t="inlineStr"/>
      <c r="J179" s="59" t="inlineStr"/>
      <c r="K179" s="59" t="inlineStr"/>
      <c r="L179" s="59" t="inlineStr"/>
      <c r="M179" s="59" t="inlineStr"/>
      <c r="N179" s="59" t="inlineStr"/>
      <c r="O179" s="59" t="inlineStr"/>
      <c r="P179" s="59" t="inlineStr"/>
      <c r="Q179" s="59" t="inlineStr"/>
      <c r="R179" s="59" t="inlineStr"/>
      <c r="S179" s="59" t="inlineStr"/>
      <c r="T179" s="59" t="inlineStr"/>
      <c r="U179" s="61">
        <f>IF(A179="","",IFERROR(INDEX(E179:T179,MATCH(TRUE,INDEX(E179:T179&lt;&gt;"",0),0)),""))</f>
        <v/>
      </c>
      <c r="V179" s="61">
        <f>IF(A179="","",IFERROR(LOOKUP(2,1/(E179:T179&lt;&gt;""),E179:T179),""))</f>
        <v/>
      </c>
      <c r="W179" s="62">
        <f>IF(OR(A179="",PreviousYear=""),"",IFERROR(LOOKUP(2,1/(E179:T179&lt;&gt;""),E179:T179)-INDEX(E179:T179,MATCH(PreviousYear,$E$5:$T$5,0)),""))</f>
        <v/>
      </c>
      <c r="X179" s="62">
        <f>IF(OR(A179="",U179="",V179=""),"",V179-U179)</f>
        <v/>
      </c>
      <c r="Y179" s="61">
        <f>IF(A179="","",COUNT(E179:T179))</f>
        <v/>
      </c>
    </row>
    <row r="180">
      <c r="A180" s="44">
        <f>IF(AND('Employees'!B16&lt;&gt;"",'Skills'!B20&lt;&gt;""),'Employees'!B16,"")</f>
        <v/>
      </c>
      <c r="B180" s="45">
        <f>IF(A180="","",'Employees'!C16)</f>
        <v/>
      </c>
      <c r="C180" s="58">
        <f>IF(A180="","",'Skills'!B20)</f>
        <v/>
      </c>
      <c r="D180" s="45">
        <f>IF(A180="","",'Skills'!C20)</f>
        <v/>
      </c>
      <c r="E180" s="59" t="inlineStr"/>
      <c r="F180" s="59" t="inlineStr"/>
      <c r="G180" s="59" t="inlineStr"/>
      <c r="H180" s="60" t="inlineStr"/>
      <c r="I180" s="59" t="inlineStr"/>
      <c r="J180" s="59" t="inlineStr"/>
      <c r="K180" s="59" t="inlineStr"/>
      <c r="L180" s="59" t="inlineStr"/>
      <c r="M180" s="59" t="inlineStr"/>
      <c r="N180" s="59" t="inlineStr"/>
      <c r="O180" s="59" t="inlineStr"/>
      <c r="P180" s="59" t="inlineStr"/>
      <c r="Q180" s="59" t="inlineStr"/>
      <c r="R180" s="59" t="inlineStr"/>
      <c r="S180" s="59" t="inlineStr"/>
      <c r="T180" s="59" t="inlineStr"/>
      <c r="U180" s="61">
        <f>IF(A180="","",IFERROR(INDEX(E180:T180,MATCH(TRUE,INDEX(E180:T180&lt;&gt;"",0),0)),""))</f>
        <v/>
      </c>
      <c r="V180" s="61">
        <f>IF(A180="","",IFERROR(LOOKUP(2,1/(E180:T180&lt;&gt;""),E180:T180),""))</f>
        <v/>
      </c>
      <c r="W180" s="62">
        <f>IF(OR(A180="",PreviousYear=""),"",IFERROR(LOOKUP(2,1/(E180:T180&lt;&gt;""),E180:T180)-INDEX(E180:T180,MATCH(PreviousYear,$E$5:$T$5,0)),""))</f>
        <v/>
      </c>
      <c r="X180" s="62">
        <f>IF(OR(A180="",U180="",V180=""),"",V180-U180)</f>
        <v/>
      </c>
      <c r="Y180" s="61">
        <f>IF(A180="","",COUNT(E180:T180))</f>
        <v/>
      </c>
    </row>
    <row r="181">
      <c r="A181" s="44">
        <f>IF(AND('Employees'!B16&lt;&gt;"",'Skills'!B21&lt;&gt;""),'Employees'!B16,"")</f>
        <v/>
      </c>
      <c r="B181" s="45">
        <f>IF(A181="","",'Employees'!C16)</f>
        <v/>
      </c>
      <c r="C181" s="58">
        <f>IF(A181="","",'Skills'!B21)</f>
        <v/>
      </c>
      <c r="D181" s="45">
        <f>IF(A181="","",'Skills'!C21)</f>
        <v/>
      </c>
      <c r="E181" s="59" t="inlineStr"/>
      <c r="F181" s="59" t="inlineStr"/>
      <c r="G181" s="59" t="inlineStr"/>
      <c r="H181" s="60" t="inlineStr"/>
      <c r="I181" s="59" t="inlineStr"/>
      <c r="J181" s="59" t="inlineStr"/>
      <c r="K181" s="59" t="inlineStr"/>
      <c r="L181" s="59" t="inlineStr"/>
      <c r="M181" s="59" t="inlineStr"/>
      <c r="N181" s="59" t="inlineStr"/>
      <c r="O181" s="59" t="inlineStr"/>
      <c r="P181" s="59" t="inlineStr"/>
      <c r="Q181" s="59" t="inlineStr"/>
      <c r="R181" s="59" t="inlineStr"/>
      <c r="S181" s="59" t="inlineStr"/>
      <c r="T181" s="59" t="inlineStr"/>
      <c r="U181" s="61">
        <f>IF(A181="","",IFERROR(INDEX(E181:T181,MATCH(TRUE,INDEX(E181:T181&lt;&gt;"",0),0)),""))</f>
        <v/>
      </c>
      <c r="V181" s="61">
        <f>IF(A181="","",IFERROR(LOOKUP(2,1/(E181:T181&lt;&gt;""),E181:T181),""))</f>
        <v/>
      </c>
      <c r="W181" s="62">
        <f>IF(OR(A181="",PreviousYear=""),"",IFERROR(LOOKUP(2,1/(E181:T181&lt;&gt;""),E181:T181)-INDEX(E181:T181,MATCH(PreviousYear,$E$5:$T$5,0)),""))</f>
        <v/>
      </c>
      <c r="X181" s="62">
        <f>IF(OR(A181="",U181="",V181=""),"",V181-U181)</f>
        <v/>
      </c>
      <c r="Y181" s="61">
        <f>IF(A181="","",COUNT(E181:T181))</f>
        <v/>
      </c>
    </row>
    <row r="182">
      <c r="A182" s="44">
        <f>IF(AND('Employees'!B17&lt;&gt;"",'Skills'!B6&lt;&gt;""),'Employees'!B17,"")</f>
        <v/>
      </c>
      <c r="B182" s="45">
        <f>IF(A182="","",'Employees'!C17)</f>
        <v/>
      </c>
      <c r="C182" s="58">
        <f>IF(A182="","",'Skills'!B6)</f>
        <v/>
      </c>
      <c r="D182" s="45">
        <f>IF(A182="","",'Skills'!C6)</f>
        <v/>
      </c>
      <c r="E182" s="59" t="inlineStr"/>
      <c r="F182" s="59" t="inlineStr"/>
      <c r="G182" s="59" t="inlineStr"/>
      <c r="H182" s="60" t="inlineStr"/>
      <c r="I182" s="59" t="inlineStr"/>
      <c r="J182" s="59" t="inlineStr"/>
      <c r="K182" s="59" t="inlineStr"/>
      <c r="L182" s="59" t="inlineStr"/>
      <c r="M182" s="59" t="inlineStr"/>
      <c r="N182" s="59" t="inlineStr"/>
      <c r="O182" s="59" t="inlineStr"/>
      <c r="P182" s="59" t="inlineStr"/>
      <c r="Q182" s="59" t="inlineStr"/>
      <c r="R182" s="59" t="inlineStr"/>
      <c r="S182" s="59" t="inlineStr"/>
      <c r="T182" s="59" t="inlineStr"/>
      <c r="U182" s="61">
        <f>IF(A182="","",IFERROR(INDEX(E182:T182,MATCH(TRUE,INDEX(E182:T182&lt;&gt;"",0),0)),""))</f>
        <v/>
      </c>
      <c r="V182" s="61">
        <f>IF(A182="","",IFERROR(LOOKUP(2,1/(E182:T182&lt;&gt;""),E182:T182),""))</f>
        <v/>
      </c>
      <c r="W182" s="62">
        <f>IF(OR(A182="",PreviousYear=""),"",IFERROR(LOOKUP(2,1/(E182:T182&lt;&gt;""),E182:T182)-INDEX(E182:T182,MATCH(PreviousYear,$E$5:$T$5,0)),""))</f>
        <v/>
      </c>
      <c r="X182" s="62">
        <f>IF(OR(A182="",U182="",V182=""),"",V182-U182)</f>
        <v/>
      </c>
      <c r="Y182" s="61">
        <f>IF(A182="","",COUNT(E182:T182))</f>
        <v/>
      </c>
    </row>
    <row r="183">
      <c r="A183" s="44">
        <f>IF(AND('Employees'!B17&lt;&gt;"",'Skills'!B7&lt;&gt;""),'Employees'!B17,"")</f>
        <v/>
      </c>
      <c r="B183" s="45">
        <f>IF(A183="","",'Employees'!C17)</f>
        <v/>
      </c>
      <c r="C183" s="58">
        <f>IF(A183="","",'Skills'!B7)</f>
        <v/>
      </c>
      <c r="D183" s="45">
        <f>IF(A183="","",'Skills'!C7)</f>
        <v/>
      </c>
      <c r="E183" s="59" t="inlineStr"/>
      <c r="F183" s="59" t="inlineStr"/>
      <c r="G183" s="59" t="inlineStr"/>
      <c r="H183" s="60" t="inlineStr"/>
      <c r="I183" s="59" t="inlineStr"/>
      <c r="J183" s="59" t="inlineStr"/>
      <c r="K183" s="59" t="inlineStr"/>
      <c r="L183" s="59" t="inlineStr"/>
      <c r="M183" s="59" t="inlineStr"/>
      <c r="N183" s="59" t="inlineStr"/>
      <c r="O183" s="59" t="inlineStr"/>
      <c r="P183" s="59" t="inlineStr"/>
      <c r="Q183" s="59" t="inlineStr"/>
      <c r="R183" s="59" t="inlineStr"/>
      <c r="S183" s="59" t="inlineStr"/>
      <c r="T183" s="59" t="inlineStr"/>
      <c r="U183" s="61">
        <f>IF(A183="","",IFERROR(INDEX(E183:T183,MATCH(TRUE,INDEX(E183:T183&lt;&gt;"",0),0)),""))</f>
        <v/>
      </c>
      <c r="V183" s="61">
        <f>IF(A183="","",IFERROR(LOOKUP(2,1/(E183:T183&lt;&gt;""),E183:T183),""))</f>
        <v/>
      </c>
      <c r="W183" s="62">
        <f>IF(OR(A183="",PreviousYear=""),"",IFERROR(LOOKUP(2,1/(E183:T183&lt;&gt;""),E183:T183)-INDEX(E183:T183,MATCH(PreviousYear,$E$5:$T$5,0)),""))</f>
        <v/>
      </c>
      <c r="X183" s="62">
        <f>IF(OR(A183="",U183="",V183=""),"",V183-U183)</f>
        <v/>
      </c>
      <c r="Y183" s="61">
        <f>IF(A183="","",COUNT(E183:T183))</f>
        <v/>
      </c>
    </row>
    <row r="184">
      <c r="A184" s="44">
        <f>IF(AND('Employees'!B17&lt;&gt;"",'Skills'!B8&lt;&gt;""),'Employees'!B17,"")</f>
        <v/>
      </c>
      <c r="B184" s="45">
        <f>IF(A184="","",'Employees'!C17)</f>
        <v/>
      </c>
      <c r="C184" s="58">
        <f>IF(A184="","",'Skills'!B8)</f>
        <v/>
      </c>
      <c r="D184" s="45">
        <f>IF(A184="","",'Skills'!C8)</f>
        <v/>
      </c>
      <c r="E184" s="59" t="inlineStr"/>
      <c r="F184" s="59" t="inlineStr"/>
      <c r="G184" s="59" t="inlineStr"/>
      <c r="H184" s="60" t="inlineStr"/>
      <c r="I184" s="59" t="inlineStr"/>
      <c r="J184" s="59" t="inlineStr"/>
      <c r="K184" s="59" t="inlineStr"/>
      <c r="L184" s="59" t="inlineStr"/>
      <c r="M184" s="59" t="inlineStr"/>
      <c r="N184" s="59" t="inlineStr"/>
      <c r="O184" s="59" t="inlineStr"/>
      <c r="P184" s="59" t="inlineStr"/>
      <c r="Q184" s="59" t="inlineStr"/>
      <c r="R184" s="59" t="inlineStr"/>
      <c r="S184" s="59" t="inlineStr"/>
      <c r="T184" s="59" t="inlineStr"/>
      <c r="U184" s="61">
        <f>IF(A184="","",IFERROR(INDEX(E184:T184,MATCH(TRUE,INDEX(E184:T184&lt;&gt;"",0),0)),""))</f>
        <v/>
      </c>
      <c r="V184" s="61">
        <f>IF(A184="","",IFERROR(LOOKUP(2,1/(E184:T184&lt;&gt;""),E184:T184),""))</f>
        <v/>
      </c>
      <c r="W184" s="62">
        <f>IF(OR(A184="",PreviousYear=""),"",IFERROR(LOOKUP(2,1/(E184:T184&lt;&gt;""),E184:T184)-INDEX(E184:T184,MATCH(PreviousYear,$E$5:$T$5,0)),""))</f>
        <v/>
      </c>
      <c r="X184" s="62">
        <f>IF(OR(A184="",U184="",V184=""),"",V184-U184)</f>
        <v/>
      </c>
      <c r="Y184" s="61">
        <f>IF(A184="","",COUNT(E184:T184))</f>
        <v/>
      </c>
    </row>
    <row r="185">
      <c r="A185" s="44">
        <f>IF(AND('Employees'!B17&lt;&gt;"",'Skills'!B9&lt;&gt;""),'Employees'!B17,"")</f>
        <v/>
      </c>
      <c r="B185" s="45">
        <f>IF(A185="","",'Employees'!C17)</f>
        <v/>
      </c>
      <c r="C185" s="58">
        <f>IF(A185="","",'Skills'!B9)</f>
        <v/>
      </c>
      <c r="D185" s="45">
        <f>IF(A185="","",'Skills'!C9)</f>
        <v/>
      </c>
      <c r="E185" s="59" t="inlineStr"/>
      <c r="F185" s="59" t="inlineStr"/>
      <c r="G185" s="59" t="inlineStr"/>
      <c r="H185" s="60" t="inlineStr"/>
      <c r="I185" s="59" t="inlineStr"/>
      <c r="J185" s="59" t="inlineStr"/>
      <c r="K185" s="59" t="inlineStr"/>
      <c r="L185" s="59" t="inlineStr"/>
      <c r="M185" s="59" t="inlineStr"/>
      <c r="N185" s="59" t="inlineStr"/>
      <c r="O185" s="59" t="inlineStr"/>
      <c r="P185" s="59" t="inlineStr"/>
      <c r="Q185" s="59" t="inlineStr"/>
      <c r="R185" s="59" t="inlineStr"/>
      <c r="S185" s="59" t="inlineStr"/>
      <c r="T185" s="59" t="inlineStr"/>
      <c r="U185" s="61">
        <f>IF(A185="","",IFERROR(INDEX(E185:T185,MATCH(TRUE,INDEX(E185:T185&lt;&gt;"",0),0)),""))</f>
        <v/>
      </c>
      <c r="V185" s="61">
        <f>IF(A185="","",IFERROR(LOOKUP(2,1/(E185:T185&lt;&gt;""),E185:T185),""))</f>
        <v/>
      </c>
      <c r="W185" s="62">
        <f>IF(OR(A185="",PreviousYear=""),"",IFERROR(LOOKUP(2,1/(E185:T185&lt;&gt;""),E185:T185)-INDEX(E185:T185,MATCH(PreviousYear,$E$5:$T$5,0)),""))</f>
        <v/>
      </c>
      <c r="X185" s="62">
        <f>IF(OR(A185="",U185="",V185=""),"",V185-U185)</f>
        <v/>
      </c>
      <c r="Y185" s="61">
        <f>IF(A185="","",COUNT(E185:T185))</f>
        <v/>
      </c>
    </row>
    <row r="186">
      <c r="A186" s="44">
        <f>IF(AND('Employees'!B17&lt;&gt;"",'Skills'!B10&lt;&gt;""),'Employees'!B17,"")</f>
        <v/>
      </c>
      <c r="B186" s="45">
        <f>IF(A186="","",'Employees'!C17)</f>
        <v/>
      </c>
      <c r="C186" s="58">
        <f>IF(A186="","",'Skills'!B10)</f>
        <v/>
      </c>
      <c r="D186" s="45">
        <f>IF(A186="","",'Skills'!C10)</f>
        <v/>
      </c>
      <c r="E186" s="59" t="inlineStr"/>
      <c r="F186" s="59" t="inlineStr"/>
      <c r="G186" s="59" t="inlineStr"/>
      <c r="H186" s="60" t="inlineStr"/>
      <c r="I186" s="59" t="inlineStr"/>
      <c r="J186" s="59" t="inlineStr"/>
      <c r="K186" s="59" t="inlineStr"/>
      <c r="L186" s="59" t="inlineStr"/>
      <c r="M186" s="59" t="inlineStr"/>
      <c r="N186" s="59" t="inlineStr"/>
      <c r="O186" s="59" t="inlineStr"/>
      <c r="P186" s="59" t="inlineStr"/>
      <c r="Q186" s="59" t="inlineStr"/>
      <c r="R186" s="59" t="inlineStr"/>
      <c r="S186" s="59" t="inlineStr"/>
      <c r="T186" s="59" t="inlineStr"/>
      <c r="U186" s="61">
        <f>IF(A186="","",IFERROR(INDEX(E186:T186,MATCH(TRUE,INDEX(E186:T186&lt;&gt;"",0),0)),""))</f>
        <v/>
      </c>
      <c r="V186" s="61">
        <f>IF(A186="","",IFERROR(LOOKUP(2,1/(E186:T186&lt;&gt;""),E186:T186),""))</f>
        <v/>
      </c>
      <c r="W186" s="62">
        <f>IF(OR(A186="",PreviousYear=""),"",IFERROR(LOOKUP(2,1/(E186:T186&lt;&gt;""),E186:T186)-INDEX(E186:T186,MATCH(PreviousYear,$E$5:$T$5,0)),""))</f>
        <v/>
      </c>
      <c r="X186" s="62">
        <f>IF(OR(A186="",U186="",V186=""),"",V186-U186)</f>
        <v/>
      </c>
      <c r="Y186" s="61">
        <f>IF(A186="","",COUNT(E186:T186))</f>
        <v/>
      </c>
    </row>
    <row r="187">
      <c r="A187" s="44">
        <f>IF(AND('Employees'!B17&lt;&gt;"",'Skills'!B11&lt;&gt;""),'Employees'!B17,"")</f>
        <v/>
      </c>
      <c r="B187" s="45">
        <f>IF(A187="","",'Employees'!C17)</f>
        <v/>
      </c>
      <c r="C187" s="58">
        <f>IF(A187="","",'Skills'!B11)</f>
        <v/>
      </c>
      <c r="D187" s="45">
        <f>IF(A187="","",'Skills'!C11)</f>
        <v/>
      </c>
      <c r="E187" s="59" t="inlineStr"/>
      <c r="F187" s="59" t="inlineStr"/>
      <c r="G187" s="59" t="inlineStr"/>
      <c r="H187" s="60" t="inlineStr"/>
      <c r="I187" s="59" t="inlineStr"/>
      <c r="J187" s="59" t="inlineStr"/>
      <c r="K187" s="59" t="inlineStr"/>
      <c r="L187" s="59" t="inlineStr"/>
      <c r="M187" s="59" t="inlineStr"/>
      <c r="N187" s="59" t="inlineStr"/>
      <c r="O187" s="59" t="inlineStr"/>
      <c r="P187" s="59" t="inlineStr"/>
      <c r="Q187" s="59" t="inlineStr"/>
      <c r="R187" s="59" t="inlineStr"/>
      <c r="S187" s="59" t="inlineStr"/>
      <c r="T187" s="59" t="inlineStr"/>
      <c r="U187" s="61">
        <f>IF(A187="","",IFERROR(INDEX(E187:T187,MATCH(TRUE,INDEX(E187:T187&lt;&gt;"",0),0)),""))</f>
        <v/>
      </c>
      <c r="V187" s="61">
        <f>IF(A187="","",IFERROR(LOOKUP(2,1/(E187:T187&lt;&gt;""),E187:T187),""))</f>
        <v/>
      </c>
      <c r="W187" s="62">
        <f>IF(OR(A187="",PreviousYear=""),"",IFERROR(LOOKUP(2,1/(E187:T187&lt;&gt;""),E187:T187)-INDEX(E187:T187,MATCH(PreviousYear,$E$5:$T$5,0)),""))</f>
        <v/>
      </c>
      <c r="X187" s="62">
        <f>IF(OR(A187="",U187="",V187=""),"",V187-U187)</f>
        <v/>
      </c>
      <c r="Y187" s="61">
        <f>IF(A187="","",COUNT(E187:T187))</f>
        <v/>
      </c>
    </row>
    <row r="188">
      <c r="A188" s="44">
        <f>IF(AND('Employees'!B17&lt;&gt;"",'Skills'!B12&lt;&gt;""),'Employees'!B17,"")</f>
        <v/>
      </c>
      <c r="B188" s="45">
        <f>IF(A188="","",'Employees'!C17)</f>
        <v/>
      </c>
      <c r="C188" s="58">
        <f>IF(A188="","",'Skills'!B12)</f>
        <v/>
      </c>
      <c r="D188" s="45">
        <f>IF(A188="","",'Skills'!C12)</f>
        <v/>
      </c>
      <c r="E188" s="59" t="inlineStr"/>
      <c r="F188" s="59" t="inlineStr"/>
      <c r="G188" s="59" t="inlineStr"/>
      <c r="H188" s="60" t="inlineStr"/>
      <c r="I188" s="59" t="inlineStr"/>
      <c r="J188" s="59" t="inlineStr"/>
      <c r="K188" s="59" t="inlineStr"/>
      <c r="L188" s="59" t="inlineStr"/>
      <c r="M188" s="59" t="inlineStr"/>
      <c r="N188" s="59" t="inlineStr"/>
      <c r="O188" s="59" t="inlineStr"/>
      <c r="P188" s="59" t="inlineStr"/>
      <c r="Q188" s="59" t="inlineStr"/>
      <c r="R188" s="59" t="inlineStr"/>
      <c r="S188" s="59" t="inlineStr"/>
      <c r="T188" s="59" t="inlineStr"/>
      <c r="U188" s="61">
        <f>IF(A188="","",IFERROR(INDEX(E188:T188,MATCH(TRUE,INDEX(E188:T188&lt;&gt;"",0),0)),""))</f>
        <v/>
      </c>
      <c r="V188" s="61">
        <f>IF(A188="","",IFERROR(LOOKUP(2,1/(E188:T188&lt;&gt;""),E188:T188),""))</f>
        <v/>
      </c>
      <c r="W188" s="62">
        <f>IF(OR(A188="",PreviousYear=""),"",IFERROR(LOOKUP(2,1/(E188:T188&lt;&gt;""),E188:T188)-INDEX(E188:T188,MATCH(PreviousYear,$E$5:$T$5,0)),""))</f>
        <v/>
      </c>
      <c r="X188" s="62">
        <f>IF(OR(A188="",U188="",V188=""),"",V188-U188)</f>
        <v/>
      </c>
      <c r="Y188" s="61">
        <f>IF(A188="","",COUNT(E188:T188))</f>
        <v/>
      </c>
    </row>
    <row r="189">
      <c r="A189" s="44">
        <f>IF(AND('Employees'!B17&lt;&gt;"",'Skills'!B13&lt;&gt;""),'Employees'!B17,"")</f>
        <v/>
      </c>
      <c r="B189" s="45">
        <f>IF(A189="","",'Employees'!C17)</f>
        <v/>
      </c>
      <c r="C189" s="58">
        <f>IF(A189="","",'Skills'!B13)</f>
        <v/>
      </c>
      <c r="D189" s="45">
        <f>IF(A189="","",'Skills'!C13)</f>
        <v/>
      </c>
      <c r="E189" s="59" t="inlineStr"/>
      <c r="F189" s="59" t="inlineStr"/>
      <c r="G189" s="59" t="inlineStr"/>
      <c r="H189" s="60" t="inlineStr"/>
      <c r="I189" s="59" t="inlineStr"/>
      <c r="J189" s="59" t="inlineStr"/>
      <c r="K189" s="59" t="inlineStr"/>
      <c r="L189" s="59" t="inlineStr"/>
      <c r="M189" s="59" t="inlineStr"/>
      <c r="N189" s="59" t="inlineStr"/>
      <c r="O189" s="59" t="inlineStr"/>
      <c r="P189" s="59" t="inlineStr"/>
      <c r="Q189" s="59" t="inlineStr"/>
      <c r="R189" s="59" t="inlineStr"/>
      <c r="S189" s="59" t="inlineStr"/>
      <c r="T189" s="59" t="inlineStr"/>
      <c r="U189" s="61">
        <f>IF(A189="","",IFERROR(INDEX(E189:T189,MATCH(TRUE,INDEX(E189:T189&lt;&gt;"",0),0)),""))</f>
        <v/>
      </c>
      <c r="V189" s="61">
        <f>IF(A189="","",IFERROR(LOOKUP(2,1/(E189:T189&lt;&gt;""),E189:T189),""))</f>
        <v/>
      </c>
      <c r="W189" s="62">
        <f>IF(OR(A189="",PreviousYear=""),"",IFERROR(LOOKUP(2,1/(E189:T189&lt;&gt;""),E189:T189)-INDEX(E189:T189,MATCH(PreviousYear,$E$5:$T$5,0)),""))</f>
        <v/>
      </c>
      <c r="X189" s="62">
        <f>IF(OR(A189="",U189="",V189=""),"",V189-U189)</f>
        <v/>
      </c>
      <c r="Y189" s="61">
        <f>IF(A189="","",COUNT(E189:T189))</f>
        <v/>
      </c>
    </row>
    <row r="190">
      <c r="A190" s="44">
        <f>IF(AND('Employees'!B17&lt;&gt;"",'Skills'!B14&lt;&gt;""),'Employees'!B17,"")</f>
        <v/>
      </c>
      <c r="B190" s="45">
        <f>IF(A190="","",'Employees'!C17)</f>
        <v/>
      </c>
      <c r="C190" s="58">
        <f>IF(A190="","",'Skills'!B14)</f>
        <v/>
      </c>
      <c r="D190" s="45">
        <f>IF(A190="","",'Skills'!C14)</f>
        <v/>
      </c>
      <c r="E190" s="59" t="inlineStr"/>
      <c r="F190" s="59" t="inlineStr"/>
      <c r="G190" s="59" t="inlineStr"/>
      <c r="H190" s="60" t="inlineStr"/>
      <c r="I190" s="59" t="inlineStr"/>
      <c r="J190" s="59" t="inlineStr"/>
      <c r="K190" s="59" t="inlineStr"/>
      <c r="L190" s="59" t="inlineStr"/>
      <c r="M190" s="59" t="inlineStr"/>
      <c r="N190" s="59" t="inlineStr"/>
      <c r="O190" s="59" t="inlineStr"/>
      <c r="P190" s="59" t="inlineStr"/>
      <c r="Q190" s="59" t="inlineStr"/>
      <c r="R190" s="59" t="inlineStr"/>
      <c r="S190" s="59" t="inlineStr"/>
      <c r="T190" s="59" t="inlineStr"/>
      <c r="U190" s="61">
        <f>IF(A190="","",IFERROR(INDEX(E190:T190,MATCH(TRUE,INDEX(E190:T190&lt;&gt;"",0),0)),""))</f>
        <v/>
      </c>
      <c r="V190" s="61">
        <f>IF(A190="","",IFERROR(LOOKUP(2,1/(E190:T190&lt;&gt;""),E190:T190),""))</f>
        <v/>
      </c>
      <c r="W190" s="62">
        <f>IF(OR(A190="",PreviousYear=""),"",IFERROR(LOOKUP(2,1/(E190:T190&lt;&gt;""),E190:T190)-INDEX(E190:T190,MATCH(PreviousYear,$E$5:$T$5,0)),""))</f>
        <v/>
      </c>
      <c r="X190" s="62">
        <f>IF(OR(A190="",U190="",V190=""),"",V190-U190)</f>
        <v/>
      </c>
      <c r="Y190" s="61">
        <f>IF(A190="","",COUNT(E190:T190))</f>
        <v/>
      </c>
    </row>
    <row r="191">
      <c r="A191" s="44">
        <f>IF(AND('Employees'!B17&lt;&gt;"",'Skills'!B15&lt;&gt;""),'Employees'!B17,"")</f>
        <v/>
      </c>
      <c r="B191" s="45">
        <f>IF(A191="","",'Employees'!C17)</f>
        <v/>
      </c>
      <c r="C191" s="58">
        <f>IF(A191="","",'Skills'!B15)</f>
        <v/>
      </c>
      <c r="D191" s="45">
        <f>IF(A191="","",'Skills'!C15)</f>
        <v/>
      </c>
      <c r="E191" s="59" t="inlineStr"/>
      <c r="F191" s="59" t="inlineStr"/>
      <c r="G191" s="59" t="inlineStr"/>
      <c r="H191" s="60" t="inlineStr"/>
      <c r="I191" s="59" t="inlineStr"/>
      <c r="J191" s="59" t="inlineStr"/>
      <c r="K191" s="59" t="inlineStr"/>
      <c r="L191" s="59" t="inlineStr"/>
      <c r="M191" s="59" t="inlineStr"/>
      <c r="N191" s="59" t="inlineStr"/>
      <c r="O191" s="59" t="inlineStr"/>
      <c r="P191" s="59" t="inlineStr"/>
      <c r="Q191" s="59" t="inlineStr"/>
      <c r="R191" s="59" t="inlineStr"/>
      <c r="S191" s="59" t="inlineStr"/>
      <c r="T191" s="59" t="inlineStr"/>
      <c r="U191" s="61">
        <f>IF(A191="","",IFERROR(INDEX(E191:T191,MATCH(TRUE,INDEX(E191:T191&lt;&gt;"",0),0)),""))</f>
        <v/>
      </c>
      <c r="V191" s="61">
        <f>IF(A191="","",IFERROR(LOOKUP(2,1/(E191:T191&lt;&gt;""),E191:T191),""))</f>
        <v/>
      </c>
      <c r="W191" s="62">
        <f>IF(OR(A191="",PreviousYear=""),"",IFERROR(LOOKUP(2,1/(E191:T191&lt;&gt;""),E191:T191)-INDEX(E191:T191,MATCH(PreviousYear,$E$5:$T$5,0)),""))</f>
        <v/>
      </c>
      <c r="X191" s="62">
        <f>IF(OR(A191="",U191="",V191=""),"",V191-U191)</f>
        <v/>
      </c>
      <c r="Y191" s="61">
        <f>IF(A191="","",COUNT(E191:T191))</f>
        <v/>
      </c>
    </row>
    <row r="192">
      <c r="A192" s="44">
        <f>IF(AND('Employees'!B17&lt;&gt;"",'Skills'!B16&lt;&gt;""),'Employees'!B17,"")</f>
        <v/>
      </c>
      <c r="B192" s="45">
        <f>IF(A192="","",'Employees'!C17)</f>
        <v/>
      </c>
      <c r="C192" s="58">
        <f>IF(A192="","",'Skills'!B16)</f>
        <v/>
      </c>
      <c r="D192" s="45">
        <f>IF(A192="","",'Skills'!C16)</f>
        <v/>
      </c>
      <c r="E192" s="59" t="inlineStr"/>
      <c r="F192" s="59" t="inlineStr"/>
      <c r="G192" s="59" t="inlineStr"/>
      <c r="H192" s="60" t="inlineStr"/>
      <c r="I192" s="59" t="inlineStr"/>
      <c r="J192" s="59" t="inlineStr"/>
      <c r="K192" s="59" t="inlineStr"/>
      <c r="L192" s="59" t="inlineStr"/>
      <c r="M192" s="59" t="inlineStr"/>
      <c r="N192" s="59" t="inlineStr"/>
      <c r="O192" s="59" t="inlineStr"/>
      <c r="P192" s="59" t="inlineStr"/>
      <c r="Q192" s="59" t="inlineStr"/>
      <c r="R192" s="59" t="inlineStr"/>
      <c r="S192" s="59" t="inlineStr"/>
      <c r="T192" s="59" t="inlineStr"/>
      <c r="U192" s="61">
        <f>IF(A192="","",IFERROR(INDEX(E192:T192,MATCH(TRUE,INDEX(E192:T192&lt;&gt;"",0),0)),""))</f>
        <v/>
      </c>
      <c r="V192" s="61">
        <f>IF(A192="","",IFERROR(LOOKUP(2,1/(E192:T192&lt;&gt;""),E192:T192),""))</f>
        <v/>
      </c>
      <c r="W192" s="62">
        <f>IF(OR(A192="",PreviousYear=""),"",IFERROR(LOOKUP(2,1/(E192:T192&lt;&gt;""),E192:T192)-INDEX(E192:T192,MATCH(PreviousYear,$E$5:$T$5,0)),""))</f>
        <v/>
      </c>
      <c r="X192" s="62">
        <f>IF(OR(A192="",U192="",V192=""),"",V192-U192)</f>
        <v/>
      </c>
      <c r="Y192" s="61">
        <f>IF(A192="","",COUNT(E192:T192))</f>
        <v/>
      </c>
    </row>
    <row r="193">
      <c r="A193" s="44">
        <f>IF(AND('Employees'!B17&lt;&gt;"",'Skills'!B17&lt;&gt;""),'Employees'!B17,"")</f>
        <v/>
      </c>
      <c r="B193" s="45">
        <f>IF(A193="","",'Employees'!C17)</f>
        <v/>
      </c>
      <c r="C193" s="58">
        <f>IF(A193="","",'Skills'!B17)</f>
        <v/>
      </c>
      <c r="D193" s="45">
        <f>IF(A193="","",'Skills'!C17)</f>
        <v/>
      </c>
      <c r="E193" s="59" t="inlineStr"/>
      <c r="F193" s="59" t="inlineStr"/>
      <c r="G193" s="59" t="inlineStr"/>
      <c r="H193" s="60" t="inlineStr"/>
      <c r="I193" s="59" t="inlineStr"/>
      <c r="J193" s="59" t="inlineStr"/>
      <c r="K193" s="59" t="inlineStr"/>
      <c r="L193" s="59" t="inlineStr"/>
      <c r="M193" s="59" t="inlineStr"/>
      <c r="N193" s="59" t="inlineStr"/>
      <c r="O193" s="59" t="inlineStr"/>
      <c r="P193" s="59" t="inlineStr"/>
      <c r="Q193" s="59" t="inlineStr"/>
      <c r="R193" s="59" t="inlineStr"/>
      <c r="S193" s="59" t="inlineStr"/>
      <c r="T193" s="59" t="inlineStr"/>
      <c r="U193" s="61">
        <f>IF(A193="","",IFERROR(INDEX(E193:T193,MATCH(TRUE,INDEX(E193:T193&lt;&gt;"",0),0)),""))</f>
        <v/>
      </c>
      <c r="V193" s="61">
        <f>IF(A193="","",IFERROR(LOOKUP(2,1/(E193:T193&lt;&gt;""),E193:T193),""))</f>
        <v/>
      </c>
      <c r="W193" s="62">
        <f>IF(OR(A193="",PreviousYear=""),"",IFERROR(LOOKUP(2,1/(E193:T193&lt;&gt;""),E193:T193)-INDEX(E193:T193,MATCH(PreviousYear,$E$5:$T$5,0)),""))</f>
        <v/>
      </c>
      <c r="X193" s="62">
        <f>IF(OR(A193="",U193="",V193=""),"",V193-U193)</f>
        <v/>
      </c>
      <c r="Y193" s="61">
        <f>IF(A193="","",COUNT(E193:T193))</f>
        <v/>
      </c>
    </row>
    <row r="194">
      <c r="A194" s="44">
        <f>IF(AND('Employees'!B17&lt;&gt;"",'Skills'!B18&lt;&gt;""),'Employees'!B17,"")</f>
        <v/>
      </c>
      <c r="B194" s="45">
        <f>IF(A194="","",'Employees'!C17)</f>
        <v/>
      </c>
      <c r="C194" s="58">
        <f>IF(A194="","",'Skills'!B18)</f>
        <v/>
      </c>
      <c r="D194" s="45">
        <f>IF(A194="","",'Skills'!C18)</f>
        <v/>
      </c>
      <c r="E194" s="59" t="inlineStr"/>
      <c r="F194" s="59" t="inlineStr"/>
      <c r="G194" s="59" t="inlineStr"/>
      <c r="H194" s="60" t="inlineStr"/>
      <c r="I194" s="59" t="inlineStr"/>
      <c r="J194" s="59" t="inlineStr"/>
      <c r="K194" s="59" t="inlineStr"/>
      <c r="L194" s="59" t="inlineStr"/>
      <c r="M194" s="59" t="inlineStr"/>
      <c r="N194" s="59" t="inlineStr"/>
      <c r="O194" s="59" t="inlineStr"/>
      <c r="P194" s="59" t="inlineStr"/>
      <c r="Q194" s="59" t="inlineStr"/>
      <c r="R194" s="59" t="inlineStr"/>
      <c r="S194" s="59" t="inlineStr"/>
      <c r="T194" s="59" t="inlineStr"/>
      <c r="U194" s="61">
        <f>IF(A194="","",IFERROR(INDEX(E194:T194,MATCH(TRUE,INDEX(E194:T194&lt;&gt;"",0),0)),""))</f>
        <v/>
      </c>
      <c r="V194" s="61">
        <f>IF(A194="","",IFERROR(LOOKUP(2,1/(E194:T194&lt;&gt;""),E194:T194),""))</f>
        <v/>
      </c>
      <c r="W194" s="62">
        <f>IF(OR(A194="",PreviousYear=""),"",IFERROR(LOOKUP(2,1/(E194:T194&lt;&gt;""),E194:T194)-INDEX(E194:T194,MATCH(PreviousYear,$E$5:$T$5,0)),""))</f>
        <v/>
      </c>
      <c r="X194" s="62">
        <f>IF(OR(A194="",U194="",V194=""),"",V194-U194)</f>
        <v/>
      </c>
      <c r="Y194" s="61">
        <f>IF(A194="","",COUNT(E194:T194))</f>
        <v/>
      </c>
    </row>
    <row r="195">
      <c r="A195" s="44">
        <f>IF(AND('Employees'!B17&lt;&gt;"",'Skills'!B19&lt;&gt;""),'Employees'!B17,"")</f>
        <v/>
      </c>
      <c r="B195" s="45">
        <f>IF(A195="","",'Employees'!C17)</f>
        <v/>
      </c>
      <c r="C195" s="58">
        <f>IF(A195="","",'Skills'!B19)</f>
        <v/>
      </c>
      <c r="D195" s="45">
        <f>IF(A195="","",'Skills'!C19)</f>
        <v/>
      </c>
      <c r="E195" s="59" t="inlineStr"/>
      <c r="F195" s="59" t="inlineStr"/>
      <c r="G195" s="59" t="inlineStr"/>
      <c r="H195" s="60" t="inlineStr"/>
      <c r="I195" s="59" t="inlineStr"/>
      <c r="J195" s="59" t="inlineStr"/>
      <c r="K195" s="59" t="inlineStr"/>
      <c r="L195" s="59" t="inlineStr"/>
      <c r="M195" s="59" t="inlineStr"/>
      <c r="N195" s="59" t="inlineStr"/>
      <c r="O195" s="59" t="inlineStr"/>
      <c r="P195" s="59" t="inlineStr"/>
      <c r="Q195" s="59" t="inlineStr"/>
      <c r="R195" s="59" t="inlineStr"/>
      <c r="S195" s="59" t="inlineStr"/>
      <c r="T195" s="59" t="inlineStr"/>
      <c r="U195" s="61">
        <f>IF(A195="","",IFERROR(INDEX(E195:T195,MATCH(TRUE,INDEX(E195:T195&lt;&gt;"",0),0)),""))</f>
        <v/>
      </c>
      <c r="V195" s="61">
        <f>IF(A195="","",IFERROR(LOOKUP(2,1/(E195:T195&lt;&gt;""),E195:T195),""))</f>
        <v/>
      </c>
      <c r="W195" s="62">
        <f>IF(OR(A195="",PreviousYear=""),"",IFERROR(LOOKUP(2,1/(E195:T195&lt;&gt;""),E195:T195)-INDEX(E195:T195,MATCH(PreviousYear,$E$5:$T$5,0)),""))</f>
        <v/>
      </c>
      <c r="X195" s="62">
        <f>IF(OR(A195="",U195="",V195=""),"",V195-U195)</f>
        <v/>
      </c>
      <c r="Y195" s="61">
        <f>IF(A195="","",COUNT(E195:T195))</f>
        <v/>
      </c>
    </row>
    <row r="196">
      <c r="A196" s="44">
        <f>IF(AND('Employees'!B17&lt;&gt;"",'Skills'!B20&lt;&gt;""),'Employees'!B17,"")</f>
        <v/>
      </c>
      <c r="B196" s="45">
        <f>IF(A196="","",'Employees'!C17)</f>
        <v/>
      </c>
      <c r="C196" s="58">
        <f>IF(A196="","",'Skills'!B20)</f>
        <v/>
      </c>
      <c r="D196" s="45">
        <f>IF(A196="","",'Skills'!C20)</f>
        <v/>
      </c>
      <c r="E196" s="59" t="inlineStr"/>
      <c r="F196" s="59" t="inlineStr"/>
      <c r="G196" s="59" t="inlineStr"/>
      <c r="H196" s="60" t="inlineStr"/>
      <c r="I196" s="59" t="inlineStr"/>
      <c r="J196" s="59" t="inlineStr"/>
      <c r="K196" s="59" t="inlineStr"/>
      <c r="L196" s="59" t="inlineStr"/>
      <c r="M196" s="59" t="inlineStr"/>
      <c r="N196" s="59" t="inlineStr"/>
      <c r="O196" s="59" t="inlineStr"/>
      <c r="P196" s="59" t="inlineStr"/>
      <c r="Q196" s="59" t="inlineStr"/>
      <c r="R196" s="59" t="inlineStr"/>
      <c r="S196" s="59" t="inlineStr"/>
      <c r="T196" s="59" t="inlineStr"/>
      <c r="U196" s="61">
        <f>IF(A196="","",IFERROR(INDEX(E196:T196,MATCH(TRUE,INDEX(E196:T196&lt;&gt;"",0),0)),""))</f>
        <v/>
      </c>
      <c r="V196" s="61">
        <f>IF(A196="","",IFERROR(LOOKUP(2,1/(E196:T196&lt;&gt;""),E196:T196),""))</f>
        <v/>
      </c>
      <c r="W196" s="62">
        <f>IF(OR(A196="",PreviousYear=""),"",IFERROR(LOOKUP(2,1/(E196:T196&lt;&gt;""),E196:T196)-INDEX(E196:T196,MATCH(PreviousYear,$E$5:$T$5,0)),""))</f>
        <v/>
      </c>
      <c r="X196" s="62">
        <f>IF(OR(A196="",U196="",V196=""),"",V196-U196)</f>
        <v/>
      </c>
      <c r="Y196" s="61">
        <f>IF(A196="","",COUNT(E196:T196))</f>
        <v/>
      </c>
    </row>
    <row r="197">
      <c r="A197" s="44">
        <f>IF(AND('Employees'!B17&lt;&gt;"",'Skills'!B21&lt;&gt;""),'Employees'!B17,"")</f>
        <v/>
      </c>
      <c r="B197" s="45">
        <f>IF(A197="","",'Employees'!C17)</f>
        <v/>
      </c>
      <c r="C197" s="58">
        <f>IF(A197="","",'Skills'!B21)</f>
        <v/>
      </c>
      <c r="D197" s="45">
        <f>IF(A197="","",'Skills'!C21)</f>
        <v/>
      </c>
      <c r="E197" s="59" t="inlineStr"/>
      <c r="F197" s="59" t="inlineStr"/>
      <c r="G197" s="59" t="inlineStr"/>
      <c r="H197" s="60" t="inlineStr"/>
      <c r="I197" s="59" t="inlineStr"/>
      <c r="J197" s="59" t="inlineStr"/>
      <c r="K197" s="59" t="inlineStr"/>
      <c r="L197" s="59" t="inlineStr"/>
      <c r="M197" s="59" t="inlineStr"/>
      <c r="N197" s="59" t="inlineStr"/>
      <c r="O197" s="59" t="inlineStr"/>
      <c r="P197" s="59" t="inlineStr"/>
      <c r="Q197" s="59" t="inlineStr"/>
      <c r="R197" s="59" t="inlineStr"/>
      <c r="S197" s="59" t="inlineStr"/>
      <c r="T197" s="59" t="inlineStr"/>
      <c r="U197" s="61">
        <f>IF(A197="","",IFERROR(INDEX(E197:T197,MATCH(TRUE,INDEX(E197:T197&lt;&gt;"",0),0)),""))</f>
        <v/>
      </c>
      <c r="V197" s="61">
        <f>IF(A197="","",IFERROR(LOOKUP(2,1/(E197:T197&lt;&gt;""),E197:T197),""))</f>
        <v/>
      </c>
      <c r="W197" s="62">
        <f>IF(OR(A197="",PreviousYear=""),"",IFERROR(LOOKUP(2,1/(E197:T197&lt;&gt;""),E197:T197)-INDEX(E197:T197,MATCH(PreviousYear,$E$5:$T$5,0)),""))</f>
        <v/>
      </c>
      <c r="X197" s="62">
        <f>IF(OR(A197="",U197="",V197=""),"",V197-U197)</f>
        <v/>
      </c>
      <c r="Y197" s="61">
        <f>IF(A197="","",COUNT(E197:T197))</f>
        <v/>
      </c>
    </row>
    <row r="198">
      <c r="A198" s="44">
        <f>IF(AND('Employees'!B18&lt;&gt;"",'Skills'!B6&lt;&gt;""),'Employees'!B18,"")</f>
        <v/>
      </c>
      <c r="B198" s="45">
        <f>IF(A198="","",'Employees'!C18)</f>
        <v/>
      </c>
      <c r="C198" s="58">
        <f>IF(A198="","",'Skills'!B6)</f>
        <v/>
      </c>
      <c r="D198" s="45">
        <f>IF(A198="","",'Skills'!C6)</f>
        <v/>
      </c>
      <c r="E198" s="59" t="inlineStr"/>
      <c r="F198" s="59" t="inlineStr"/>
      <c r="G198" s="59" t="inlineStr"/>
      <c r="H198" s="60" t="inlineStr"/>
      <c r="I198" s="59" t="inlineStr"/>
      <c r="J198" s="59" t="inlineStr"/>
      <c r="K198" s="59" t="inlineStr"/>
      <c r="L198" s="59" t="inlineStr"/>
      <c r="M198" s="59" t="inlineStr"/>
      <c r="N198" s="59" t="inlineStr"/>
      <c r="O198" s="59" t="inlineStr"/>
      <c r="P198" s="59" t="inlineStr"/>
      <c r="Q198" s="59" t="inlineStr"/>
      <c r="R198" s="59" t="inlineStr"/>
      <c r="S198" s="59" t="inlineStr"/>
      <c r="T198" s="59" t="inlineStr"/>
      <c r="U198" s="61">
        <f>IF(A198="","",IFERROR(INDEX(E198:T198,MATCH(TRUE,INDEX(E198:T198&lt;&gt;"",0),0)),""))</f>
        <v/>
      </c>
      <c r="V198" s="61">
        <f>IF(A198="","",IFERROR(LOOKUP(2,1/(E198:T198&lt;&gt;""),E198:T198),""))</f>
        <v/>
      </c>
      <c r="W198" s="62">
        <f>IF(OR(A198="",PreviousYear=""),"",IFERROR(LOOKUP(2,1/(E198:T198&lt;&gt;""),E198:T198)-INDEX(E198:T198,MATCH(PreviousYear,$E$5:$T$5,0)),""))</f>
        <v/>
      </c>
      <c r="X198" s="62">
        <f>IF(OR(A198="",U198="",V198=""),"",V198-U198)</f>
        <v/>
      </c>
      <c r="Y198" s="61">
        <f>IF(A198="","",COUNT(E198:T198))</f>
        <v/>
      </c>
    </row>
    <row r="199">
      <c r="A199" s="44">
        <f>IF(AND('Employees'!B18&lt;&gt;"",'Skills'!B7&lt;&gt;""),'Employees'!B18,"")</f>
        <v/>
      </c>
      <c r="B199" s="45">
        <f>IF(A199="","",'Employees'!C18)</f>
        <v/>
      </c>
      <c r="C199" s="58">
        <f>IF(A199="","",'Skills'!B7)</f>
        <v/>
      </c>
      <c r="D199" s="45">
        <f>IF(A199="","",'Skills'!C7)</f>
        <v/>
      </c>
      <c r="E199" s="59" t="inlineStr"/>
      <c r="F199" s="59" t="inlineStr"/>
      <c r="G199" s="59" t="inlineStr"/>
      <c r="H199" s="60" t="inlineStr"/>
      <c r="I199" s="59" t="inlineStr"/>
      <c r="J199" s="59" t="inlineStr"/>
      <c r="K199" s="59" t="inlineStr"/>
      <c r="L199" s="59" t="inlineStr"/>
      <c r="M199" s="59" t="inlineStr"/>
      <c r="N199" s="59" t="inlineStr"/>
      <c r="O199" s="59" t="inlineStr"/>
      <c r="P199" s="59" t="inlineStr"/>
      <c r="Q199" s="59" t="inlineStr"/>
      <c r="R199" s="59" t="inlineStr"/>
      <c r="S199" s="59" t="inlineStr"/>
      <c r="T199" s="59" t="inlineStr"/>
      <c r="U199" s="61">
        <f>IF(A199="","",IFERROR(INDEX(E199:T199,MATCH(TRUE,INDEX(E199:T199&lt;&gt;"",0),0)),""))</f>
        <v/>
      </c>
      <c r="V199" s="61">
        <f>IF(A199="","",IFERROR(LOOKUP(2,1/(E199:T199&lt;&gt;""),E199:T199),""))</f>
        <v/>
      </c>
      <c r="W199" s="62">
        <f>IF(OR(A199="",PreviousYear=""),"",IFERROR(LOOKUP(2,1/(E199:T199&lt;&gt;""),E199:T199)-INDEX(E199:T199,MATCH(PreviousYear,$E$5:$T$5,0)),""))</f>
        <v/>
      </c>
      <c r="X199" s="62">
        <f>IF(OR(A199="",U199="",V199=""),"",V199-U199)</f>
        <v/>
      </c>
      <c r="Y199" s="61">
        <f>IF(A199="","",COUNT(E199:T199))</f>
        <v/>
      </c>
    </row>
    <row r="200">
      <c r="A200" s="44">
        <f>IF(AND('Employees'!B18&lt;&gt;"",'Skills'!B8&lt;&gt;""),'Employees'!B18,"")</f>
        <v/>
      </c>
      <c r="B200" s="45">
        <f>IF(A200="","",'Employees'!C18)</f>
        <v/>
      </c>
      <c r="C200" s="58">
        <f>IF(A200="","",'Skills'!B8)</f>
        <v/>
      </c>
      <c r="D200" s="45">
        <f>IF(A200="","",'Skills'!C8)</f>
        <v/>
      </c>
      <c r="E200" s="59" t="inlineStr"/>
      <c r="F200" s="59" t="inlineStr"/>
      <c r="G200" s="59" t="inlineStr"/>
      <c r="H200" s="60" t="inlineStr"/>
      <c r="I200" s="59" t="inlineStr"/>
      <c r="J200" s="59" t="inlineStr"/>
      <c r="K200" s="59" t="inlineStr"/>
      <c r="L200" s="59" t="inlineStr"/>
      <c r="M200" s="59" t="inlineStr"/>
      <c r="N200" s="59" t="inlineStr"/>
      <c r="O200" s="59" t="inlineStr"/>
      <c r="P200" s="59" t="inlineStr"/>
      <c r="Q200" s="59" t="inlineStr"/>
      <c r="R200" s="59" t="inlineStr"/>
      <c r="S200" s="59" t="inlineStr"/>
      <c r="T200" s="59" t="inlineStr"/>
      <c r="U200" s="61">
        <f>IF(A200="","",IFERROR(INDEX(E200:T200,MATCH(TRUE,INDEX(E200:T200&lt;&gt;"",0),0)),""))</f>
        <v/>
      </c>
      <c r="V200" s="61">
        <f>IF(A200="","",IFERROR(LOOKUP(2,1/(E200:T200&lt;&gt;""),E200:T200),""))</f>
        <v/>
      </c>
      <c r="W200" s="62">
        <f>IF(OR(A200="",PreviousYear=""),"",IFERROR(LOOKUP(2,1/(E200:T200&lt;&gt;""),E200:T200)-INDEX(E200:T200,MATCH(PreviousYear,$E$5:$T$5,0)),""))</f>
        <v/>
      </c>
      <c r="X200" s="62">
        <f>IF(OR(A200="",U200="",V200=""),"",V200-U200)</f>
        <v/>
      </c>
      <c r="Y200" s="61">
        <f>IF(A200="","",COUNT(E200:T200))</f>
        <v/>
      </c>
    </row>
    <row r="201">
      <c r="A201" s="44">
        <f>IF(AND('Employees'!B18&lt;&gt;"",'Skills'!B9&lt;&gt;""),'Employees'!B18,"")</f>
        <v/>
      </c>
      <c r="B201" s="45">
        <f>IF(A201="","",'Employees'!C18)</f>
        <v/>
      </c>
      <c r="C201" s="58">
        <f>IF(A201="","",'Skills'!B9)</f>
        <v/>
      </c>
      <c r="D201" s="45">
        <f>IF(A201="","",'Skills'!C9)</f>
        <v/>
      </c>
      <c r="E201" s="59" t="inlineStr"/>
      <c r="F201" s="59" t="inlineStr"/>
      <c r="G201" s="59" t="inlineStr"/>
      <c r="H201" s="60" t="inlineStr"/>
      <c r="I201" s="59" t="inlineStr"/>
      <c r="J201" s="59" t="inlineStr"/>
      <c r="K201" s="59" t="inlineStr"/>
      <c r="L201" s="59" t="inlineStr"/>
      <c r="M201" s="59" t="inlineStr"/>
      <c r="N201" s="59" t="inlineStr"/>
      <c r="O201" s="59" t="inlineStr"/>
      <c r="P201" s="59" t="inlineStr"/>
      <c r="Q201" s="59" t="inlineStr"/>
      <c r="R201" s="59" t="inlineStr"/>
      <c r="S201" s="59" t="inlineStr"/>
      <c r="T201" s="59" t="inlineStr"/>
      <c r="U201" s="61">
        <f>IF(A201="","",IFERROR(INDEX(E201:T201,MATCH(TRUE,INDEX(E201:T201&lt;&gt;"",0),0)),""))</f>
        <v/>
      </c>
      <c r="V201" s="61">
        <f>IF(A201="","",IFERROR(LOOKUP(2,1/(E201:T201&lt;&gt;""),E201:T201),""))</f>
        <v/>
      </c>
      <c r="W201" s="62">
        <f>IF(OR(A201="",PreviousYear=""),"",IFERROR(LOOKUP(2,1/(E201:T201&lt;&gt;""),E201:T201)-INDEX(E201:T201,MATCH(PreviousYear,$E$5:$T$5,0)),""))</f>
        <v/>
      </c>
      <c r="X201" s="62">
        <f>IF(OR(A201="",U201="",V201=""),"",V201-U201)</f>
        <v/>
      </c>
      <c r="Y201" s="61">
        <f>IF(A201="","",COUNT(E201:T201))</f>
        <v/>
      </c>
    </row>
    <row r="202">
      <c r="A202" s="44">
        <f>IF(AND('Employees'!B18&lt;&gt;"",'Skills'!B10&lt;&gt;""),'Employees'!B18,"")</f>
        <v/>
      </c>
      <c r="B202" s="45">
        <f>IF(A202="","",'Employees'!C18)</f>
        <v/>
      </c>
      <c r="C202" s="58">
        <f>IF(A202="","",'Skills'!B10)</f>
        <v/>
      </c>
      <c r="D202" s="45">
        <f>IF(A202="","",'Skills'!C10)</f>
        <v/>
      </c>
      <c r="E202" s="59" t="inlineStr"/>
      <c r="F202" s="59" t="inlineStr"/>
      <c r="G202" s="59" t="inlineStr"/>
      <c r="H202" s="60" t="inlineStr"/>
      <c r="I202" s="59" t="inlineStr"/>
      <c r="J202" s="59" t="inlineStr"/>
      <c r="K202" s="59" t="inlineStr"/>
      <c r="L202" s="59" t="inlineStr"/>
      <c r="M202" s="59" t="inlineStr"/>
      <c r="N202" s="59" t="inlineStr"/>
      <c r="O202" s="59" t="inlineStr"/>
      <c r="P202" s="59" t="inlineStr"/>
      <c r="Q202" s="59" t="inlineStr"/>
      <c r="R202" s="59" t="inlineStr"/>
      <c r="S202" s="59" t="inlineStr"/>
      <c r="T202" s="59" t="inlineStr"/>
      <c r="U202" s="61">
        <f>IF(A202="","",IFERROR(INDEX(E202:T202,MATCH(TRUE,INDEX(E202:T202&lt;&gt;"",0),0)),""))</f>
        <v/>
      </c>
      <c r="V202" s="61">
        <f>IF(A202="","",IFERROR(LOOKUP(2,1/(E202:T202&lt;&gt;""),E202:T202),""))</f>
        <v/>
      </c>
      <c r="W202" s="62">
        <f>IF(OR(A202="",PreviousYear=""),"",IFERROR(LOOKUP(2,1/(E202:T202&lt;&gt;""),E202:T202)-INDEX(E202:T202,MATCH(PreviousYear,$E$5:$T$5,0)),""))</f>
        <v/>
      </c>
      <c r="X202" s="62">
        <f>IF(OR(A202="",U202="",V202=""),"",V202-U202)</f>
        <v/>
      </c>
      <c r="Y202" s="61">
        <f>IF(A202="","",COUNT(E202:T202))</f>
        <v/>
      </c>
    </row>
    <row r="203">
      <c r="A203" s="44">
        <f>IF(AND('Employees'!B18&lt;&gt;"",'Skills'!B11&lt;&gt;""),'Employees'!B18,"")</f>
        <v/>
      </c>
      <c r="B203" s="45">
        <f>IF(A203="","",'Employees'!C18)</f>
        <v/>
      </c>
      <c r="C203" s="58">
        <f>IF(A203="","",'Skills'!B11)</f>
        <v/>
      </c>
      <c r="D203" s="45">
        <f>IF(A203="","",'Skills'!C11)</f>
        <v/>
      </c>
      <c r="E203" s="59" t="inlineStr"/>
      <c r="F203" s="59" t="inlineStr"/>
      <c r="G203" s="59" t="inlineStr"/>
      <c r="H203" s="60" t="inlineStr"/>
      <c r="I203" s="59" t="inlineStr"/>
      <c r="J203" s="59" t="inlineStr"/>
      <c r="K203" s="59" t="inlineStr"/>
      <c r="L203" s="59" t="inlineStr"/>
      <c r="M203" s="59" t="inlineStr"/>
      <c r="N203" s="59" t="inlineStr"/>
      <c r="O203" s="59" t="inlineStr"/>
      <c r="P203" s="59" t="inlineStr"/>
      <c r="Q203" s="59" t="inlineStr"/>
      <c r="R203" s="59" t="inlineStr"/>
      <c r="S203" s="59" t="inlineStr"/>
      <c r="T203" s="59" t="inlineStr"/>
      <c r="U203" s="61">
        <f>IF(A203="","",IFERROR(INDEX(E203:T203,MATCH(TRUE,INDEX(E203:T203&lt;&gt;"",0),0)),""))</f>
        <v/>
      </c>
      <c r="V203" s="61">
        <f>IF(A203="","",IFERROR(LOOKUP(2,1/(E203:T203&lt;&gt;""),E203:T203),""))</f>
        <v/>
      </c>
      <c r="W203" s="62">
        <f>IF(OR(A203="",PreviousYear=""),"",IFERROR(LOOKUP(2,1/(E203:T203&lt;&gt;""),E203:T203)-INDEX(E203:T203,MATCH(PreviousYear,$E$5:$T$5,0)),""))</f>
        <v/>
      </c>
      <c r="X203" s="62">
        <f>IF(OR(A203="",U203="",V203=""),"",V203-U203)</f>
        <v/>
      </c>
      <c r="Y203" s="61">
        <f>IF(A203="","",COUNT(E203:T203))</f>
        <v/>
      </c>
    </row>
    <row r="204">
      <c r="A204" s="44">
        <f>IF(AND('Employees'!B18&lt;&gt;"",'Skills'!B12&lt;&gt;""),'Employees'!B18,"")</f>
        <v/>
      </c>
      <c r="B204" s="45">
        <f>IF(A204="","",'Employees'!C18)</f>
        <v/>
      </c>
      <c r="C204" s="58">
        <f>IF(A204="","",'Skills'!B12)</f>
        <v/>
      </c>
      <c r="D204" s="45">
        <f>IF(A204="","",'Skills'!C12)</f>
        <v/>
      </c>
      <c r="E204" s="59" t="inlineStr"/>
      <c r="F204" s="59" t="inlineStr"/>
      <c r="G204" s="59" t="inlineStr"/>
      <c r="H204" s="60" t="inlineStr"/>
      <c r="I204" s="59" t="inlineStr"/>
      <c r="J204" s="59" t="inlineStr"/>
      <c r="K204" s="59" t="inlineStr"/>
      <c r="L204" s="59" t="inlineStr"/>
      <c r="M204" s="59" t="inlineStr"/>
      <c r="N204" s="59" t="inlineStr"/>
      <c r="O204" s="59" t="inlineStr"/>
      <c r="P204" s="59" t="inlineStr"/>
      <c r="Q204" s="59" t="inlineStr"/>
      <c r="R204" s="59" t="inlineStr"/>
      <c r="S204" s="59" t="inlineStr"/>
      <c r="T204" s="59" t="inlineStr"/>
      <c r="U204" s="61">
        <f>IF(A204="","",IFERROR(INDEX(E204:T204,MATCH(TRUE,INDEX(E204:T204&lt;&gt;"",0),0)),""))</f>
        <v/>
      </c>
      <c r="V204" s="61">
        <f>IF(A204="","",IFERROR(LOOKUP(2,1/(E204:T204&lt;&gt;""),E204:T204),""))</f>
        <v/>
      </c>
      <c r="W204" s="62">
        <f>IF(OR(A204="",PreviousYear=""),"",IFERROR(LOOKUP(2,1/(E204:T204&lt;&gt;""),E204:T204)-INDEX(E204:T204,MATCH(PreviousYear,$E$5:$T$5,0)),""))</f>
        <v/>
      </c>
      <c r="X204" s="62">
        <f>IF(OR(A204="",U204="",V204=""),"",V204-U204)</f>
        <v/>
      </c>
      <c r="Y204" s="61">
        <f>IF(A204="","",COUNT(E204:T204))</f>
        <v/>
      </c>
    </row>
    <row r="205">
      <c r="A205" s="44">
        <f>IF(AND('Employees'!B18&lt;&gt;"",'Skills'!B13&lt;&gt;""),'Employees'!B18,"")</f>
        <v/>
      </c>
      <c r="B205" s="45">
        <f>IF(A205="","",'Employees'!C18)</f>
        <v/>
      </c>
      <c r="C205" s="58">
        <f>IF(A205="","",'Skills'!B13)</f>
        <v/>
      </c>
      <c r="D205" s="45">
        <f>IF(A205="","",'Skills'!C13)</f>
        <v/>
      </c>
      <c r="E205" s="59" t="inlineStr"/>
      <c r="F205" s="59" t="inlineStr"/>
      <c r="G205" s="59" t="inlineStr"/>
      <c r="H205" s="60" t="inlineStr"/>
      <c r="I205" s="59" t="inlineStr"/>
      <c r="J205" s="59" t="inlineStr"/>
      <c r="K205" s="59" t="inlineStr"/>
      <c r="L205" s="59" t="inlineStr"/>
      <c r="M205" s="59" t="inlineStr"/>
      <c r="N205" s="59" t="inlineStr"/>
      <c r="O205" s="59" t="inlineStr"/>
      <c r="P205" s="59" t="inlineStr"/>
      <c r="Q205" s="59" t="inlineStr"/>
      <c r="R205" s="59" t="inlineStr"/>
      <c r="S205" s="59" t="inlineStr"/>
      <c r="T205" s="59" t="inlineStr"/>
      <c r="U205" s="61">
        <f>IF(A205="","",IFERROR(INDEX(E205:T205,MATCH(TRUE,INDEX(E205:T205&lt;&gt;"",0),0)),""))</f>
        <v/>
      </c>
      <c r="V205" s="61">
        <f>IF(A205="","",IFERROR(LOOKUP(2,1/(E205:T205&lt;&gt;""),E205:T205),""))</f>
        <v/>
      </c>
      <c r="W205" s="62">
        <f>IF(OR(A205="",PreviousYear=""),"",IFERROR(LOOKUP(2,1/(E205:T205&lt;&gt;""),E205:T205)-INDEX(E205:T205,MATCH(PreviousYear,$E$5:$T$5,0)),""))</f>
        <v/>
      </c>
      <c r="X205" s="62">
        <f>IF(OR(A205="",U205="",V205=""),"",V205-U205)</f>
        <v/>
      </c>
      <c r="Y205" s="61">
        <f>IF(A205="","",COUNT(E205:T205))</f>
        <v/>
      </c>
    </row>
    <row r="206">
      <c r="A206" s="44">
        <f>IF(AND('Employees'!B18&lt;&gt;"",'Skills'!B14&lt;&gt;""),'Employees'!B18,"")</f>
        <v/>
      </c>
      <c r="B206" s="45">
        <f>IF(A206="","",'Employees'!C18)</f>
        <v/>
      </c>
      <c r="C206" s="58">
        <f>IF(A206="","",'Skills'!B14)</f>
        <v/>
      </c>
      <c r="D206" s="45">
        <f>IF(A206="","",'Skills'!C14)</f>
        <v/>
      </c>
      <c r="E206" s="59" t="inlineStr"/>
      <c r="F206" s="59" t="inlineStr"/>
      <c r="G206" s="59" t="inlineStr"/>
      <c r="H206" s="60" t="inlineStr"/>
      <c r="I206" s="59" t="inlineStr"/>
      <c r="J206" s="59" t="inlineStr"/>
      <c r="K206" s="59" t="inlineStr"/>
      <c r="L206" s="59" t="inlineStr"/>
      <c r="M206" s="59" t="inlineStr"/>
      <c r="N206" s="59" t="inlineStr"/>
      <c r="O206" s="59" t="inlineStr"/>
      <c r="P206" s="59" t="inlineStr"/>
      <c r="Q206" s="59" t="inlineStr"/>
      <c r="R206" s="59" t="inlineStr"/>
      <c r="S206" s="59" t="inlineStr"/>
      <c r="T206" s="59" t="inlineStr"/>
      <c r="U206" s="61">
        <f>IF(A206="","",IFERROR(INDEX(E206:T206,MATCH(TRUE,INDEX(E206:T206&lt;&gt;"",0),0)),""))</f>
        <v/>
      </c>
      <c r="V206" s="61">
        <f>IF(A206="","",IFERROR(LOOKUP(2,1/(E206:T206&lt;&gt;""),E206:T206),""))</f>
        <v/>
      </c>
      <c r="W206" s="62">
        <f>IF(OR(A206="",PreviousYear=""),"",IFERROR(LOOKUP(2,1/(E206:T206&lt;&gt;""),E206:T206)-INDEX(E206:T206,MATCH(PreviousYear,$E$5:$T$5,0)),""))</f>
        <v/>
      </c>
      <c r="X206" s="62">
        <f>IF(OR(A206="",U206="",V206=""),"",V206-U206)</f>
        <v/>
      </c>
      <c r="Y206" s="61">
        <f>IF(A206="","",COUNT(E206:T206))</f>
        <v/>
      </c>
    </row>
    <row r="207">
      <c r="A207" s="44">
        <f>IF(AND('Employees'!B18&lt;&gt;"",'Skills'!B15&lt;&gt;""),'Employees'!B18,"")</f>
        <v/>
      </c>
      <c r="B207" s="45">
        <f>IF(A207="","",'Employees'!C18)</f>
        <v/>
      </c>
      <c r="C207" s="58">
        <f>IF(A207="","",'Skills'!B15)</f>
        <v/>
      </c>
      <c r="D207" s="45">
        <f>IF(A207="","",'Skills'!C15)</f>
        <v/>
      </c>
      <c r="E207" s="59" t="inlineStr"/>
      <c r="F207" s="59" t="inlineStr"/>
      <c r="G207" s="59" t="inlineStr"/>
      <c r="H207" s="60" t="inlineStr"/>
      <c r="I207" s="59" t="inlineStr"/>
      <c r="J207" s="59" t="inlineStr"/>
      <c r="K207" s="59" t="inlineStr"/>
      <c r="L207" s="59" t="inlineStr"/>
      <c r="M207" s="59" t="inlineStr"/>
      <c r="N207" s="59" t="inlineStr"/>
      <c r="O207" s="59" t="inlineStr"/>
      <c r="P207" s="59" t="inlineStr"/>
      <c r="Q207" s="59" t="inlineStr"/>
      <c r="R207" s="59" t="inlineStr"/>
      <c r="S207" s="59" t="inlineStr"/>
      <c r="T207" s="59" t="inlineStr"/>
      <c r="U207" s="61">
        <f>IF(A207="","",IFERROR(INDEX(E207:T207,MATCH(TRUE,INDEX(E207:T207&lt;&gt;"",0),0)),""))</f>
        <v/>
      </c>
      <c r="V207" s="61">
        <f>IF(A207="","",IFERROR(LOOKUP(2,1/(E207:T207&lt;&gt;""),E207:T207),""))</f>
        <v/>
      </c>
      <c r="W207" s="62">
        <f>IF(OR(A207="",PreviousYear=""),"",IFERROR(LOOKUP(2,1/(E207:T207&lt;&gt;""),E207:T207)-INDEX(E207:T207,MATCH(PreviousYear,$E$5:$T$5,0)),""))</f>
        <v/>
      </c>
      <c r="X207" s="62">
        <f>IF(OR(A207="",U207="",V207=""),"",V207-U207)</f>
        <v/>
      </c>
      <c r="Y207" s="61">
        <f>IF(A207="","",COUNT(E207:T207))</f>
        <v/>
      </c>
    </row>
    <row r="208">
      <c r="A208" s="44">
        <f>IF(AND('Employees'!B18&lt;&gt;"",'Skills'!B16&lt;&gt;""),'Employees'!B18,"")</f>
        <v/>
      </c>
      <c r="B208" s="45">
        <f>IF(A208="","",'Employees'!C18)</f>
        <v/>
      </c>
      <c r="C208" s="58">
        <f>IF(A208="","",'Skills'!B16)</f>
        <v/>
      </c>
      <c r="D208" s="45">
        <f>IF(A208="","",'Skills'!C16)</f>
        <v/>
      </c>
      <c r="E208" s="59" t="inlineStr"/>
      <c r="F208" s="59" t="inlineStr"/>
      <c r="G208" s="59" t="inlineStr"/>
      <c r="H208" s="60" t="inlineStr"/>
      <c r="I208" s="59" t="inlineStr"/>
      <c r="J208" s="59" t="inlineStr"/>
      <c r="K208" s="59" t="inlineStr"/>
      <c r="L208" s="59" t="inlineStr"/>
      <c r="M208" s="59" t="inlineStr"/>
      <c r="N208" s="59" t="inlineStr"/>
      <c r="O208" s="59" t="inlineStr"/>
      <c r="P208" s="59" t="inlineStr"/>
      <c r="Q208" s="59" t="inlineStr"/>
      <c r="R208" s="59" t="inlineStr"/>
      <c r="S208" s="59" t="inlineStr"/>
      <c r="T208" s="59" t="inlineStr"/>
      <c r="U208" s="61">
        <f>IF(A208="","",IFERROR(INDEX(E208:T208,MATCH(TRUE,INDEX(E208:T208&lt;&gt;"",0),0)),""))</f>
        <v/>
      </c>
      <c r="V208" s="61">
        <f>IF(A208="","",IFERROR(LOOKUP(2,1/(E208:T208&lt;&gt;""),E208:T208),""))</f>
        <v/>
      </c>
      <c r="W208" s="62">
        <f>IF(OR(A208="",PreviousYear=""),"",IFERROR(LOOKUP(2,1/(E208:T208&lt;&gt;""),E208:T208)-INDEX(E208:T208,MATCH(PreviousYear,$E$5:$T$5,0)),""))</f>
        <v/>
      </c>
      <c r="X208" s="62">
        <f>IF(OR(A208="",U208="",V208=""),"",V208-U208)</f>
        <v/>
      </c>
      <c r="Y208" s="61">
        <f>IF(A208="","",COUNT(E208:T208))</f>
        <v/>
      </c>
    </row>
    <row r="209">
      <c r="A209" s="44">
        <f>IF(AND('Employees'!B18&lt;&gt;"",'Skills'!B17&lt;&gt;""),'Employees'!B18,"")</f>
        <v/>
      </c>
      <c r="B209" s="45">
        <f>IF(A209="","",'Employees'!C18)</f>
        <v/>
      </c>
      <c r="C209" s="58">
        <f>IF(A209="","",'Skills'!B17)</f>
        <v/>
      </c>
      <c r="D209" s="45">
        <f>IF(A209="","",'Skills'!C17)</f>
        <v/>
      </c>
      <c r="E209" s="59" t="inlineStr"/>
      <c r="F209" s="59" t="inlineStr"/>
      <c r="G209" s="59" t="inlineStr"/>
      <c r="H209" s="60" t="inlineStr"/>
      <c r="I209" s="59" t="inlineStr"/>
      <c r="J209" s="59" t="inlineStr"/>
      <c r="K209" s="59" t="inlineStr"/>
      <c r="L209" s="59" t="inlineStr"/>
      <c r="M209" s="59" t="inlineStr"/>
      <c r="N209" s="59" t="inlineStr"/>
      <c r="O209" s="59" t="inlineStr"/>
      <c r="P209" s="59" t="inlineStr"/>
      <c r="Q209" s="59" t="inlineStr"/>
      <c r="R209" s="59" t="inlineStr"/>
      <c r="S209" s="59" t="inlineStr"/>
      <c r="T209" s="59" t="inlineStr"/>
      <c r="U209" s="61">
        <f>IF(A209="","",IFERROR(INDEX(E209:T209,MATCH(TRUE,INDEX(E209:T209&lt;&gt;"",0),0)),""))</f>
        <v/>
      </c>
      <c r="V209" s="61">
        <f>IF(A209="","",IFERROR(LOOKUP(2,1/(E209:T209&lt;&gt;""),E209:T209),""))</f>
        <v/>
      </c>
      <c r="W209" s="62">
        <f>IF(OR(A209="",PreviousYear=""),"",IFERROR(LOOKUP(2,1/(E209:T209&lt;&gt;""),E209:T209)-INDEX(E209:T209,MATCH(PreviousYear,$E$5:$T$5,0)),""))</f>
        <v/>
      </c>
      <c r="X209" s="62">
        <f>IF(OR(A209="",U209="",V209=""),"",V209-U209)</f>
        <v/>
      </c>
      <c r="Y209" s="61">
        <f>IF(A209="","",COUNT(E209:T209))</f>
        <v/>
      </c>
    </row>
    <row r="210">
      <c r="A210" s="44">
        <f>IF(AND('Employees'!B18&lt;&gt;"",'Skills'!B18&lt;&gt;""),'Employees'!B18,"")</f>
        <v/>
      </c>
      <c r="B210" s="45">
        <f>IF(A210="","",'Employees'!C18)</f>
        <v/>
      </c>
      <c r="C210" s="58">
        <f>IF(A210="","",'Skills'!B18)</f>
        <v/>
      </c>
      <c r="D210" s="45">
        <f>IF(A210="","",'Skills'!C18)</f>
        <v/>
      </c>
      <c r="E210" s="59" t="inlineStr"/>
      <c r="F210" s="59" t="inlineStr"/>
      <c r="G210" s="59" t="inlineStr"/>
      <c r="H210" s="60" t="inlineStr"/>
      <c r="I210" s="59" t="inlineStr"/>
      <c r="J210" s="59" t="inlineStr"/>
      <c r="K210" s="59" t="inlineStr"/>
      <c r="L210" s="59" t="inlineStr"/>
      <c r="M210" s="59" t="inlineStr"/>
      <c r="N210" s="59" t="inlineStr"/>
      <c r="O210" s="59" t="inlineStr"/>
      <c r="P210" s="59" t="inlineStr"/>
      <c r="Q210" s="59" t="inlineStr"/>
      <c r="R210" s="59" t="inlineStr"/>
      <c r="S210" s="59" t="inlineStr"/>
      <c r="T210" s="59" t="inlineStr"/>
      <c r="U210" s="61">
        <f>IF(A210="","",IFERROR(INDEX(E210:T210,MATCH(TRUE,INDEX(E210:T210&lt;&gt;"",0),0)),""))</f>
        <v/>
      </c>
      <c r="V210" s="61">
        <f>IF(A210="","",IFERROR(LOOKUP(2,1/(E210:T210&lt;&gt;""),E210:T210),""))</f>
        <v/>
      </c>
      <c r="W210" s="62">
        <f>IF(OR(A210="",PreviousYear=""),"",IFERROR(LOOKUP(2,1/(E210:T210&lt;&gt;""),E210:T210)-INDEX(E210:T210,MATCH(PreviousYear,$E$5:$T$5,0)),""))</f>
        <v/>
      </c>
      <c r="X210" s="62">
        <f>IF(OR(A210="",U210="",V210=""),"",V210-U210)</f>
        <v/>
      </c>
      <c r="Y210" s="61">
        <f>IF(A210="","",COUNT(E210:T210))</f>
        <v/>
      </c>
    </row>
    <row r="211">
      <c r="A211" s="44">
        <f>IF(AND('Employees'!B18&lt;&gt;"",'Skills'!B19&lt;&gt;""),'Employees'!B18,"")</f>
        <v/>
      </c>
      <c r="B211" s="45">
        <f>IF(A211="","",'Employees'!C18)</f>
        <v/>
      </c>
      <c r="C211" s="58">
        <f>IF(A211="","",'Skills'!B19)</f>
        <v/>
      </c>
      <c r="D211" s="45">
        <f>IF(A211="","",'Skills'!C19)</f>
        <v/>
      </c>
      <c r="E211" s="59" t="inlineStr"/>
      <c r="F211" s="59" t="inlineStr"/>
      <c r="G211" s="59" t="inlineStr"/>
      <c r="H211" s="60" t="inlineStr"/>
      <c r="I211" s="59" t="inlineStr"/>
      <c r="J211" s="59" t="inlineStr"/>
      <c r="K211" s="59" t="inlineStr"/>
      <c r="L211" s="59" t="inlineStr"/>
      <c r="M211" s="59" t="inlineStr"/>
      <c r="N211" s="59" t="inlineStr"/>
      <c r="O211" s="59" t="inlineStr"/>
      <c r="P211" s="59" t="inlineStr"/>
      <c r="Q211" s="59" t="inlineStr"/>
      <c r="R211" s="59" t="inlineStr"/>
      <c r="S211" s="59" t="inlineStr"/>
      <c r="T211" s="59" t="inlineStr"/>
      <c r="U211" s="61">
        <f>IF(A211="","",IFERROR(INDEX(E211:T211,MATCH(TRUE,INDEX(E211:T211&lt;&gt;"",0),0)),""))</f>
        <v/>
      </c>
      <c r="V211" s="61">
        <f>IF(A211="","",IFERROR(LOOKUP(2,1/(E211:T211&lt;&gt;""),E211:T211),""))</f>
        <v/>
      </c>
      <c r="W211" s="62">
        <f>IF(OR(A211="",PreviousYear=""),"",IFERROR(LOOKUP(2,1/(E211:T211&lt;&gt;""),E211:T211)-INDEX(E211:T211,MATCH(PreviousYear,$E$5:$T$5,0)),""))</f>
        <v/>
      </c>
      <c r="X211" s="62">
        <f>IF(OR(A211="",U211="",V211=""),"",V211-U211)</f>
        <v/>
      </c>
      <c r="Y211" s="61">
        <f>IF(A211="","",COUNT(E211:T211))</f>
        <v/>
      </c>
    </row>
    <row r="212">
      <c r="A212" s="44">
        <f>IF(AND('Employees'!B18&lt;&gt;"",'Skills'!B20&lt;&gt;""),'Employees'!B18,"")</f>
        <v/>
      </c>
      <c r="B212" s="45">
        <f>IF(A212="","",'Employees'!C18)</f>
        <v/>
      </c>
      <c r="C212" s="58">
        <f>IF(A212="","",'Skills'!B20)</f>
        <v/>
      </c>
      <c r="D212" s="45">
        <f>IF(A212="","",'Skills'!C20)</f>
        <v/>
      </c>
      <c r="E212" s="59" t="inlineStr"/>
      <c r="F212" s="59" t="inlineStr"/>
      <c r="G212" s="59" t="inlineStr"/>
      <c r="H212" s="60" t="inlineStr"/>
      <c r="I212" s="59" t="inlineStr"/>
      <c r="J212" s="59" t="inlineStr"/>
      <c r="K212" s="59" t="inlineStr"/>
      <c r="L212" s="59" t="inlineStr"/>
      <c r="M212" s="59" t="inlineStr"/>
      <c r="N212" s="59" t="inlineStr"/>
      <c r="O212" s="59" t="inlineStr"/>
      <c r="P212" s="59" t="inlineStr"/>
      <c r="Q212" s="59" t="inlineStr"/>
      <c r="R212" s="59" t="inlineStr"/>
      <c r="S212" s="59" t="inlineStr"/>
      <c r="T212" s="59" t="inlineStr"/>
      <c r="U212" s="61">
        <f>IF(A212="","",IFERROR(INDEX(E212:T212,MATCH(TRUE,INDEX(E212:T212&lt;&gt;"",0),0)),""))</f>
        <v/>
      </c>
      <c r="V212" s="61">
        <f>IF(A212="","",IFERROR(LOOKUP(2,1/(E212:T212&lt;&gt;""),E212:T212),""))</f>
        <v/>
      </c>
      <c r="W212" s="62">
        <f>IF(OR(A212="",PreviousYear=""),"",IFERROR(LOOKUP(2,1/(E212:T212&lt;&gt;""),E212:T212)-INDEX(E212:T212,MATCH(PreviousYear,$E$5:$T$5,0)),""))</f>
        <v/>
      </c>
      <c r="X212" s="62">
        <f>IF(OR(A212="",U212="",V212=""),"",V212-U212)</f>
        <v/>
      </c>
      <c r="Y212" s="61">
        <f>IF(A212="","",COUNT(E212:T212))</f>
        <v/>
      </c>
    </row>
    <row r="213">
      <c r="A213" s="44">
        <f>IF(AND('Employees'!B18&lt;&gt;"",'Skills'!B21&lt;&gt;""),'Employees'!B18,"")</f>
        <v/>
      </c>
      <c r="B213" s="45">
        <f>IF(A213="","",'Employees'!C18)</f>
        <v/>
      </c>
      <c r="C213" s="58">
        <f>IF(A213="","",'Skills'!B21)</f>
        <v/>
      </c>
      <c r="D213" s="45">
        <f>IF(A213="","",'Skills'!C21)</f>
        <v/>
      </c>
      <c r="E213" s="59" t="inlineStr"/>
      <c r="F213" s="59" t="inlineStr"/>
      <c r="G213" s="59" t="inlineStr"/>
      <c r="H213" s="60" t="inlineStr"/>
      <c r="I213" s="59" t="inlineStr"/>
      <c r="J213" s="59" t="inlineStr"/>
      <c r="K213" s="59" t="inlineStr"/>
      <c r="L213" s="59" t="inlineStr"/>
      <c r="M213" s="59" t="inlineStr"/>
      <c r="N213" s="59" t="inlineStr"/>
      <c r="O213" s="59" t="inlineStr"/>
      <c r="P213" s="59" t="inlineStr"/>
      <c r="Q213" s="59" t="inlineStr"/>
      <c r="R213" s="59" t="inlineStr"/>
      <c r="S213" s="59" t="inlineStr"/>
      <c r="T213" s="59" t="inlineStr"/>
      <c r="U213" s="61">
        <f>IF(A213="","",IFERROR(INDEX(E213:T213,MATCH(TRUE,INDEX(E213:T213&lt;&gt;"",0),0)),""))</f>
        <v/>
      </c>
      <c r="V213" s="61">
        <f>IF(A213="","",IFERROR(LOOKUP(2,1/(E213:T213&lt;&gt;""),E213:T213),""))</f>
        <v/>
      </c>
      <c r="W213" s="62">
        <f>IF(OR(A213="",PreviousYear=""),"",IFERROR(LOOKUP(2,1/(E213:T213&lt;&gt;""),E213:T213)-INDEX(E213:T213,MATCH(PreviousYear,$E$5:$T$5,0)),""))</f>
        <v/>
      </c>
      <c r="X213" s="62">
        <f>IF(OR(A213="",U213="",V213=""),"",V213-U213)</f>
        <v/>
      </c>
      <c r="Y213" s="61">
        <f>IF(A213="","",COUNT(E213:T213))</f>
        <v/>
      </c>
    </row>
    <row r="214">
      <c r="A214" s="44">
        <f>IF(AND('Employees'!B19&lt;&gt;"",'Skills'!B6&lt;&gt;""),'Employees'!B19,"")</f>
        <v/>
      </c>
      <c r="B214" s="45">
        <f>IF(A214="","",'Employees'!C19)</f>
        <v/>
      </c>
      <c r="C214" s="58">
        <f>IF(A214="","",'Skills'!B6)</f>
        <v/>
      </c>
      <c r="D214" s="45">
        <f>IF(A214="","",'Skills'!C6)</f>
        <v/>
      </c>
      <c r="E214" s="59" t="inlineStr"/>
      <c r="F214" s="59" t="inlineStr"/>
      <c r="G214" s="59" t="inlineStr"/>
      <c r="H214" s="60" t="inlineStr"/>
      <c r="I214" s="59" t="inlineStr"/>
      <c r="J214" s="59" t="inlineStr"/>
      <c r="K214" s="59" t="inlineStr"/>
      <c r="L214" s="59" t="inlineStr"/>
      <c r="M214" s="59" t="inlineStr"/>
      <c r="N214" s="59" t="inlineStr"/>
      <c r="O214" s="59" t="inlineStr"/>
      <c r="P214" s="59" t="inlineStr"/>
      <c r="Q214" s="59" t="inlineStr"/>
      <c r="R214" s="59" t="inlineStr"/>
      <c r="S214" s="59" t="inlineStr"/>
      <c r="T214" s="59" t="inlineStr"/>
      <c r="U214" s="61">
        <f>IF(A214="","",IFERROR(INDEX(E214:T214,MATCH(TRUE,INDEX(E214:T214&lt;&gt;"",0),0)),""))</f>
        <v/>
      </c>
      <c r="V214" s="61">
        <f>IF(A214="","",IFERROR(LOOKUP(2,1/(E214:T214&lt;&gt;""),E214:T214),""))</f>
        <v/>
      </c>
      <c r="W214" s="62">
        <f>IF(OR(A214="",PreviousYear=""),"",IFERROR(LOOKUP(2,1/(E214:T214&lt;&gt;""),E214:T214)-INDEX(E214:T214,MATCH(PreviousYear,$E$5:$T$5,0)),""))</f>
        <v/>
      </c>
      <c r="X214" s="62">
        <f>IF(OR(A214="",U214="",V214=""),"",V214-U214)</f>
        <v/>
      </c>
      <c r="Y214" s="61">
        <f>IF(A214="","",COUNT(E214:T214))</f>
        <v/>
      </c>
    </row>
    <row r="215">
      <c r="A215" s="44">
        <f>IF(AND('Employees'!B19&lt;&gt;"",'Skills'!B7&lt;&gt;""),'Employees'!B19,"")</f>
        <v/>
      </c>
      <c r="B215" s="45">
        <f>IF(A215="","",'Employees'!C19)</f>
        <v/>
      </c>
      <c r="C215" s="58">
        <f>IF(A215="","",'Skills'!B7)</f>
        <v/>
      </c>
      <c r="D215" s="45">
        <f>IF(A215="","",'Skills'!C7)</f>
        <v/>
      </c>
      <c r="E215" s="59" t="inlineStr"/>
      <c r="F215" s="59" t="inlineStr"/>
      <c r="G215" s="59" t="inlineStr"/>
      <c r="H215" s="60" t="inlineStr"/>
      <c r="I215" s="59" t="inlineStr"/>
      <c r="J215" s="59" t="inlineStr"/>
      <c r="K215" s="59" t="inlineStr"/>
      <c r="L215" s="59" t="inlineStr"/>
      <c r="M215" s="59" t="inlineStr"/>
      <c r="N215" s="59" t="inlineStr"/>
      <c r="O215" s="59" t="inlineStr"/>
      <c r="P215" s="59" t="inlineStr"/>
      <c r="Q215" s="59" t="inlineStr"/>
      <c r="R215" s="59" t="inlineStr"/>
      <c r="S215" s="59" t="inlineStr"/>
      <c r="T215" s="59" t="inlineStr"/>
      <c r="U215" s="61">
        <f>IF(A215="","",IFERROR(INDEX(E215:T215,MATCH(TRUE,INDEX(E215:T215&lt;&gt;"",0),0)),""))</f>
        <v/>
      </c>
      <c r="V215" s="61">
        <f>IF(A215="","",IFERROR(LOOKUP(2,1/(E215:T215&lt;&gt;""),E215:T215),""))</f>
        <v/>
      </c>
      <c r="W215" s="62">
        <f>IF(OR(A215="",PreviousYear=""),"",IFERROR(LOOKUP(2,1/(E215:T215&lt;&gt;""),E215:T215)-INDEX(E215:T215,MATCH(PreviousYear,$E$5:$T$5,0)),""))</f>
        <v/>
      </c>
      <c r="X215" s="62">
        <f>IF(OR(A215="",U215="",V215=""),"",V215-U215)</f>
        <v/>
      </c>
      <c r="Y215" s="61">
        <f>IF(A215="","",COUNT(E215:T215))</f>
        <v/>
      </c>
    </row>
    <row r="216">
      <c r="A216" s="44">
        <f>IF(AND('Employees'!B19&lt;&gt;"",'Skills'!B8&lt;&gt;""),'Employees'!B19,"")</f>
        <v/>
      </c>
      <c r="B216" s="45">
        <f>IF(A216="","",'Employees'!C19)</f>
        <v/>
      </c>
      <c r="C216" s="58">
        <f>IF(A216="","",'Skills'!B8)</f>
        <v/>
      </c>
      <c r="D216" s="45">
        <f>IF(A216="","",'Skills'!C8)</f>
        <v/>
      </c>
      <c r="E216" s="59" t="inlineStr"/>
      <c r="F216" s="59" t="inlineStr"/>
      <c r="G216" s="59" t="inlineStr"/>
      <c r="H216" s="60" t="inlineStr"/>
      <c r="I216" s="59" t="inlineStr"/>
      <c r="J216" s="59" t="inlineStr"/>
      <c r="K216" s="59" t="inlineStr"/>
      <c r="L216" s="59" t="inlineStr"/>
      <c r="M216" s="59" t="inlineStr"/>
      <c r="N216" s="59" t="inlineStr"/>
      <c r="O216" s="59" t="inlineStr"/>
      <c r="P216" s="59" t="inlineStr"/>
      <c r="Q216" s="59" t="inlineStr"/>
      <c r="R216" s="59" t="inlineStr"/>
      <c r="S216" s="59" t="inlineStr"/>
      <c r="T216" s="59" t="inlineStr"/>
      <c r="U216" s="61">
        <f>IF(A216="","",IFERROR(INDEX(E216:T216,MATCH(TRUE,INDEX(E216:T216&lt;&gt;"",0),0)),""))</f>
        <v/>
      </c>
      <c r="V216" s="61">
        <f>IF(A216="","",IFERROR(LOOKUP(2,1/(E216:T216&lt;&gt;""),E216:T216),""))</f>
        <v/>
      </c>
      <c r="W216" s="62">
        <f>IF(OR(A216="",PreviousYear=""),"",IFERROR(LOOKUP(2,1/(E216:T216&lt;&gt;""),E216:T216)-INDEX(E216:T216,MATCH(PreviousYear,$E$5:$T$5,0)),""))</f>
        <v/>
      </c>
      <c r="X216" s="62">
        <f>IF(OR(A216="",U216="",V216=""),"",V216-U216)</f>
        <v/>
      </c>
      <c r="Y216" s="61">
        <f>IF(A216="","",COUNT(E216:T216))</f>
        <v/>
      </c>
    </row>
    <row r="217">
      <c r="A217" s="44">
        <f>IF(AND('Employees'!B19&lt;&gt;"",'Skills'!B9&lt;&gt;""),'Employees'!B19,"")</f>
        <v/>
      </c>
      <c r="B217" s="45">
        <f>IF(A217="","",'Employees'!C19)</f>
        <v/>
      </c>
      <c r="C217" s="58">
        <f>IF(A217="","",'Skills'!B9)</f>
        <v/>
      </c>
      <c r="D217" s="45">
        <f>IF(A217="","",'Skills'!C9)</f>
        <v/>
      </c>
      <c r="E217" s="59" t="inlineStr"/>
      <c r="F217" s="59" t="inlineStr"/>
      <c r="G217" s="59" t="inlineStr"/>
      <c r="H217" s="60" t="inlineStr"/>
      <c r="I217" s="59" t="inlineStr"/>
      <c r="J217" s="59" t="inlineStr"/>
      <c r="K217" s="59" t="inlineStr"/>
      <c r="L217" s="59" t="inlineStr"/>
      <c r="M217" s="59" t="inlineStr"/>
      <c r="N217" s="59" t="inlineStr"/>
      <c r="O217" s="59" t="inlineStr"/>
      <c r="P217" s="59" t="inlineStr"/>
      <c r="Q217" s="59" t="inlineStr"/>
      <c r="R217" s="59" t="inlineStr"/>
      <c r="S217" s="59" t="inlineStr"/>
      <c r="T217" s="59" t="inlineStr"/>
      <c r="U217" s="61">
        <f>IF(A217="","",IFERROR(INDEX(E217:T217,MATCH(TRUE,INDEX(E217:T217&lt;&gt;"",0),0)),""))</f>
        <v/>
      </c>
      <c r="V217" s="61">
        <f>IF(A217="","",IFERROR(LOOKUP(2,1/(E217:T217&lt;&gt;""),E217:T217),""))</f>
        <v/>
      </c>
      <c r="W217" s="62">
        <f>IF(OR(A217="",PreviousYear=""),"",IFERROR(LOOKUP(2,1/(E217:T217&lt;&gt;""),E217:T217)-INDEX(E217:T217,MATCH(PreviousYear,$E$5:$T$5,0)),""))</f>
        <v/>
      </c>
      <c r="X217" s="62">
        <f>IF(OR(A217="",U217="",V217=""),"",V217-U217)</f>
        <v/>
      </c>
      <c r="Y217" s="61">
        <f>IF(A217="","",COUNT(E217:T217))</f>
        <v/>
      </c>
    </row>
    <row r="218">
      <c r="A218" s="44">
        <f>IF(AND('Employees'!B19&lt;&gt;"",'Skills'!B10&lt;&gt;""),'Employees'!B19,"")</f>
        <v/>
      </c>
      <c r="B218" s="45">
        <f>IF(A218="","",'Employees'!C19)</f>
        <v/>
      </c>
      <c r="C218" s="58">
        <f>IF(A218="","",'Skills'!B10)</f>
        <v/>
      </c>
      <c r="D218" s="45">
        <f>IF(A218="","",'Skills'!C10)</f>
        <v/>
      </c>
      <c r="E218" s="59" t="inlineStr"/>
      <c r="F218" s="59" t="inlineStr"/>
      <c r="G218" s="59" t="inlineStr"/>
      <c r="H218" s="60" t="inlineStr"/>
      <c r="I218" s="59" t="inlineStr"/>
      <c r="J218" s="59" t="inlineStr"/>
      <c r="K218" s="59" t="inlineStr"/>
      <c r="L218" s="59" t="inlineStr"/>
      <c r="M218" s="59" t="inlineStr"/>
      <c r="N218" s="59" t="inlineStr"/>
      <c r="O218" s="59" t="inlineStr"/>
      <c r="P218" s="59" t="inlineStr"/>
      <c r="Q218" s="59" t="inlineStr"/>
      <c r="R218" s="59" t="inlineStr"/>
      <c r="S218" s="59" t="inlineStr"/>
      <c r="T218" s="59" t="inlineStr"/>
      <c r="U218" s="61">
        <f>IF(A218="","",IFERROR(INDEX(E218:T218,MATCH(TRUE,INDEX(E218:T218&lt;&gt;"",0),0)),""))</f>
        <v/>
      </c>
      <c r="V218" s="61">
        <f>IF(A218="","",IFERROR(LOOKUP(2,1/(E218:T218&lt;&gt;""),E218:T218),""))</f>
        <v/>
      </c>
      <c r="W218" s="62">
        <f>IF(OR(A218="",PreviousYear=""),"",IFERROR(LOOKUP(2,1/(E218:T218&lt;&gt;""),E218:T218)-INDEX(E218:T218,MATCH(PreviousYear,$E$5:$T$5,0)),""))</f>
        <v/>
      </c>
      <c r="X218" s="62">
        <f>IF(OR(A218="",U218="",V218=""),"",V218-U218)</f>
        <v/>
      </c>
      <c r="Y218" s="61">
        <f>IF(A218="","",COUNT(E218:T218))</f>
        <v/>
      </c>
    </row>
    <row r="219">
      <c r="A219" s="44">
        <f>IF(AND('Employees'!B19&lt;&gt;"",'Skills'!B11&lt;&gt;""),'Employees'!B19,"")</f>
        <v/>
      </c>
      <c r="B219" s="45">
        <f>IF(A219="","",'Employees'!C19)</f>
        <v/>
      </c>
      <c r="C219" s="58">
        <f>IF(A219="","",'Skills'!B11)</f>
        <v/>
      </c>
      <c r="D219" s="45">
        <f>IF(A219="","",'Skills'!C11)</f>
        <v/>
      </c>
      <c r="E219" s="59" t="inlineStr"/>
      <c r="F219" s="59" t="inlineStr"/>
      <c r="G219" s="59" t="inlineStr"/>
      <c r="H219" s="60" t="inlineStr"/>
      <c r="I219" s="59" t="inlineStr"/>
      <c r="J219" s="59" t="inlineStr"/>
      <c r="K219" s="59" t="inlineStr"/>
      <c r="L219" s="59" t="inlineStr"/>
      <c r="M219" s="59" t="inlineStr"/>
      <c r="N219" s="59" t="inlineStr"/>
      <c r="O219" s="59" t="inlineStr"/>
      <c r="P219" s="59" t="inlineStr"/>
      <c r="Q219" s="59" t="inlineStr"/>
      <c r="R219" s="59" t="inlineStr"/>
      <c r="S219" s="59" t="inlineStr"/>
      <c r="T219" s="59" t="inlineStr"/>
      <c r="U219" s="61">
        <f>IF(A219="","",IFERROR(INDEX(E219:T219,MATCH(TRUE,INDEX(E219:T219&lt;&gt;"",0),0)),""))</f>
        <v/>
      </c>
      <c r="V219" s="61">
        <f>IF(A219="","",IFERROR(LOOKUP(2,1/(E219:T219&lt;&gt;""),E219:T219),""))</f>
        <v/>
      </c>
      <c r="W219" s="62">
        <f>IF(OR(A219="",PreviousYear=""),"",IFERROR(LOOKUP(2,1/(E219:T219&lt;&gt;""),E219:T219)-INDEX(E219:T219,MATCH(PreviousYear,$E$5:$T$5,0)),""))</f>
        <v/>
      </c>
      <c r="X219" s="62">
        <f>IF(OR(A219="",U219="",V219=""),"",V219-U219)</f>
        <v/>
      </c>
      <c r="Y219" s="61">
        <f>IF(A219="","",COUNT(E219:T219))</f>
        <v/>
      </c>
    </row>
    <row r="220">
      <c r="A220" s="44">
        <f>IF(AND('Employees'!B19&lt;&gt;"",'Skills'!B12&lt;&gt;""),'Employees'!B19,"")</f>
        <v/>
      </c>
      <c r="B220" s="45">
        <f>IF(A220="","",'Employees'!C19)</f>
        <v/>
      </c>
      <c r="C220" s="58">
        <f>IF(A220="","",'Skills'!B12)</f>
        <v/>
      </c>
      <c r="D220" s="45">
        <f>IF(A220="","",'Skills'!C12)</f>
        <v/>
      </c>
      <c r="E220" s="59" t="inlineStr"/>
      <c r="F220" s="59" t="inlineStr"/>
      <c r="G220" s="59" t="inlineStr"/>
      <c r="H220" s="60" t="inlineStr"/>
      <c r="I220" s="59" t="inlineStr"/>
      <c r="J220" s="59" t="inlineStr"/>
      <c r="K220" s="59" t="inlineStr"/>
      <c r="L220" s="59" t="inlineStr"/>
      <c r="M220" s="59" t="inlineStr"/>
      <c r="N220" s="59" t="inlineStr"/>
      <c r="O220" s="59" t="inlineStr"/>
      <c r="P220" s="59" t="inlineStr"/>
      <c r="Q220" s="59" t="inlineStr"/>
      <c r="R220" s="59" t="inlineStr"/>
      <c r="S220" s="59" t="inlineStr"/>
      <c r="T220" s="59" t="inlineStr"/>
      <c r="U220" s="61">
        <f>IF(A220="","",IFERROR(INDEX(E220:T220,MATCH(TRUE,INDEX(E220:T220&lt;&gt;"",0),0)),""))</f>
        <v/>
      </c>
      <c r="V220" s="61">
        <f>IF(A220="","",IFERROR(LOOKUP(2,1/(E220:T220&lt;&gt;""),E220:T220),""))</f>
        <v/>
      </c>
      <c r="W220" s="62">
        <f>IF(OR(A220="",PreviousYear=""),"",IFERROR(LOOKUP(2,1/(E220:T220&lt;&gt;""),E220:T220)-INDEX(E220:T220,MATCH(PreviousYear,$E$5:$T$5,0)),""))</f>
        <v/>
      </c>
      <c r="X220" s="62">
        <f>IF(OR(A220="",U220="",V220=""),"",V220-U220)</f>
        <v/>
      </c>
      <c r="Y220" s="61">
        <f>IF(A220="","",COUNT(E220:T220))</f>
        <v/>
      </c>
    </row>
    <row r="221">
      <c r="A221" s="44">
        <f>IF(AND('Employees'!B19&lt;&gt;"",'Skills'!B13&lt;&gt;""),'Employees'!B19,"")</f>
        <v/>
      </c>
      <c r="B221" s="45">
        <f>IF(A221="","",'Employees'!C19)</f>
        <v/>
      </c>
      <c r="C221" s="58">
        <f>IF(A221="","",'Skills'!B13)</f>
        <v/>
      </c>
      <c r="D221" s="45">
        <f>IF(A221="","",'Skills'!C13)</f>
        <v/>
      </c>
      <c r="E221" s="59" t="inlineStr"/>
      <c r="F221" s="59" t="inlineStr"/>
      <c r="G221" s="59" t="inlineStr"/>
      <c r="H221" s="60" t="inlineStr"/>
      <c r="I221" s="59" t="inlineStr"/>
      <c r="J221" s="59" t="inlineStr"/>
      <c r="K221" s="59" t="inlineStr"/>
      <c r="L221" s="59" t="inlineStr"/>
      <c r="M221" s="59" t="inlineStr"/>
      <c r="N221" s="59" t="inlineStr"/>
      <c r="O221" s="59" t="inlineStr"/>
      <c r="P221" s="59" t="inlineStr"/>
      <c r="Q221" s="59" t="inlineStr"/>
      <c r="R221" s="59" t="inlineStr"/>
      <c r="S221" s="59" t="inlineStr"/>
      <c r="T221" s="59" t="inlineStr"/>
      <c r="U221" s="61">
        <f>IF(A221="","",IFERROR(INDEX(E221:T221,MATCH(TRUE,INDEX(E221:T221&lt;&gt;"",0),0)),""))</f>
        <v/>
      </c>
      <c r="V221" s="61">
        <f>IF(A221="","",IFERROR(LOOKUP(2,1/(E221:T221&lt;&gt;""),E221:T221),""))</f>
        <v/>
      </c>
      <c r="W221" s="62">
        <f>IF(OR(A221="",PreviousYear=""),"",IFERROR(LOOKUP(2,1/(E221:T221&lt;&gt;""),E221:T221)-INDEX(E221:T221,MATCH(PreviousYear,$E$5:$T$5,0)),""))</f>
        <v/>
      </c>
      <c r="X221" s="62">
        <f>IF(OR(A221="",U221="",V221=""),"",V221-U221)</f>
        <v/>
      </c>
      <c r="Y221" s="61">
        <f>IF(A221="","",COUNT(E221:T221))</f>
        <v/>
      </c>
    </row>
    <row r="222">
      <c r="A222" s="44">
        <f>IF(AND('Employees'!B19&lt;&gt;"",'Skills'!B14&lt;&gt;""),'Employees'!B19,"")</f>
        <v/>
      </c>
      <c r="B222" s="45">
        <f>IF(A222="","",'Employees'!C19)</f>
        <v/>
      </c>
      <c r="C222" s="58">
        <f>IF(A222="","",'Skills'!B14)</f>
        <v/>
      </c>
      <c r="D222" s="45">
        <f>IF(A222="","",'Skills'!C14)</f>
        <v/>
      </c>
      <c r="E222" s="59" t="inlineStr"/>
      <c r="F222" s="59" t="inlineStr"/>
      <c r="G222" s="59" t="inlineStr"/>
      <c r="H222" s="60" t="inlineStr"/>
      <c r="I222" s="59" t="inlineStr"/>
      <c r="J222" s="59" t="inlineStr"/>
      <c r="K222" s="59" t="inlineStr"/>
      <c r="L222" s="59" t="inlineStr"/>
      <c r="M222" s="59" t="inlineStr"/>
      <c r="N222" s="59" t="inlineStr"/>
      <c r="O222" s="59" t="inlineStr"/>
      <c r="P222" s="59" t="inlineStr"/>
      <c r="Q222" s="59" t="inlineStr"/>
      <c r="R222" s="59" t="inlineStr"/>
      <c r="S222" s="59" t="inlineStr"/>
      <c r="T222" s="59" t="inlineStr"/>
      <c r="U222" s="61">
        <f>IF(A222="","",IFERROR(INDEX(E222:T222,MATCH(TRUE,INDEX(E222:T222&lt;&gt;"",0),0)),""))</f>
        <v/>
      </c>
      <c r="V222" s="61">
        <f>IF(A222="","",IFERROR(LOOKUP(2,1/(E222:T222&lt;&gt;""),E222:T222),""))</f>
        <v/>
      </c>
      <c r="W222" s="62">
        <f>IF(OR(A222="",PreviousYear=""),"",IFERROR(LOOKUP(2,1/(E222:T222&lt;&gt;""),E222:T222)-INDEX(E222:T222,MATCH(PreviousYear,$E$5:$T$5,0)),""))</f>
        <v/>
      </c>
      <c r="X222" s="62">
        <f>IF(OR(A222="",U222="",V222=""),"",V222-U222)</f>
        <v/>
      </c>
      <c r="Y222" s="61">
        <f>IF(A222="","",COUNT(E222:T222))</f>
        <v/>
      </c>
    </row>
    <row r="223">
      <c r="A223" s="44">
        <f>IF(AND('Employees'!B19&lt;&gt;"",'Skills'!B15&lt;&gt;""),'Employees'!B19,"")</f>
        <v/>
      </c>
      <c r="B223" s="45">
        <f>IF(A223="","",'Employees'!C19)</f>
        <v/>
      </c>
      <c r="C223" s="58">
        <f>IF(A223="","",'Skills'!B15)</f>
        <v/>
      </c>
      <c r="D223" s="45">
        <f>IF(A223="","",'Skills'!C15)</f>
        <v/>
      </c>
      <c r="E223" s="59" t="inlineStr"/>
      <c r="F223" s="59" t="inlineStr"/>
      <c r="G223" s="59" t="inlineStr"/>
      <c r="H223" s="60" t="inlineStr"/>
      <c r="I223" s="59" t="inlineStr"/>
      <c r="J223" s="59" t="inlineStr"/>
      <c r="K223" s="59" t="inlineStr"/>
      <c r="L223" s="59" t="inlineStr"/>
      <c r="M223" s="59" t="inlineStr"/>
      <c r="N223" s="59" t="inlineStr"/>
      <c r="O223" s="59" t="inlineStr"/>
      <c r="P223" s="59" t="inlineStr"/>
      <c r="Q223" s="59" t="inlineStr"/>
      <c r="R223" s="59" t="inlineStr"/>
      <c r="S223" s="59" t="inlineStr"/>
      <c r="T223" s="59" t="inlineStr"/>
      <c r="U223" s="61">
        <f>IF(A223="","",IFERROR(INDEX(E223:T223,MATCH(TRUE,INDEX(E223:T223&lt;&gt;"",0),0)),""))</f>
        <v/>
      </c>
      <c r="V223" s="61">
        <f>IF(A223="","",IFERROR(LOOKUP(2,1/(E223:T223&lt;&gt;""),E223:T223),""))</f>
        <v/>
      </c>
      <c r="W223" s="62">
        <f>IF(OR(A223="",PreviousYear=""),"",IFERROR(LOOKUP(2,1/(E223:T223&lt;&gt;""),E223:T223)-INDEX(E223:T223,MATCH(PreviousYear,$E$5:$T$5,0)),""))</f>
        <v/>
      </c>
      <c r="X223" s="62">
        <f>IF(OR(A223="",U223="",V223=""),"",V223-U223)</f>
        <v/>
      </c>
      <c r="Y223" s="61">
        <f>IF(A223="","",COUNT(E223:T223))</f>
        <v/>
      </c>
    </row>
    <row r="224">
      <c r="A224" s="44">
        <f>IF(AND('Employees'!B19&lt;&gt;"",'Skills'!B16&lt;&gt;""),'Employees'!B19,"")</f>
        <v/>
      </c>
      <c r="B224" s="45">
        <f>IF(A224="","",'Employees'!C19)</f>
        <v/>
      </c>
      <c r="C224" s="58">
        <f>IF(A224="","",'Skills'!B16)</f>
        <v/>
      </c>
      <c r="D224" s="45">
        <f>IF(A224="","",'Skills'!C16)</f>
        <v/>
      </c>
      <c r="E224" s="59" t="inlineStr"/>
      <c r="F224" s="59" t="inlineStr"/>
      <c r="G224" s="59" t="inlineStr"/>
      <c r="H224" s="60" t="inlineStr"/>
      <c r="I224" s="59" t="inlineStr"/>
      <c r="J224" s="59" t="inlineStr"/>
      <c r="K224" s="59" t="inlineStr"/>
      <c r="L224" s="59" t="inlineStr"/>
      <c r="M224" s="59" t="inlineStr"/>
      <c r="N224" s="59" t="inlineStr"/>
      <c r="O224" s="59" t="inlineStr"/>
      <c r="P224" s="59" t="inlineStr"/>
      <c r="Q224" s="59" t="inlineStr"/>
      <c r="R224" s="59" t="inlineStr"/>
      <c r="S224" s="59" t="inlineStr"/>
      <c r="T224" s="59" t="inlineStr"/>
      <c r="U224" s="61">
        <f>IF(A224="","",IFERROR(INDEX(E224:T224,MATCH(TRUE,INDEX(E224:T224&lt;&gt;"",0),0)),""))</f>
        <v/>
      </c>
      <c r="V224" s="61">
        <f>IF(A224="","",IFERROR(LOOKUP(2,1/(E224:T224&lt;&gt;""),E224:T224),""))</f>
        <v/>
      </c>
      <c r="W224" s="62">
        <f>IF(OR(A224="",PreviousYear=""),"",IFERROR(LOOKUP(2,1/(E224:T224&lt;&gt;""),E224:T224)-INDEX(E224:T224,MATCH(PreviousYear,$E$5:$T$5,0)),""))</f>
        <v/>
      </c>
      <c r="X224" s="62">
        <f>IF(OR(A224="",U224="",V224=""),"",V224-U224)</f>
        <v/>
      </c>
      <c r="Y224" s="61">
        <f>IF(A224="","",COUNT(E224:T224))</f>
        <v/>
      </c>
    </row>
    <row r="225">
      <c r="A225" s="44">
        <f>IF(AND('Employees'!B19&lt;&gt;"",'Skills'!B17&lt;&gt;""),'Employees'!B19,"")</f>
        <v/>
      </c>
      <c r="B225" s="45">
        <f>IF(A225="","",'Employees'!C19)</f>
        <v/>
      </c>
      <c r="C225" s="58">
        <f>IF(A225="","",'Skills'!B17)</f>
        <v/>
      </c>
      <c r="D225" s="45">
        <f>IF(A225="","",'Skills'!C17)</f>
        <v/>
      </c>
      <c r="E225" s="59" t="inlineStr"/>
      <c r="F225" s="59" t="inlineStr"/>
      <c r="G225" s="59" t="inlineStr"/>
      <c r="H225" s="60" t="inlineStr"/>
      <c r="I225" s="59" t="inlineStr"/>
      <c r="J225" s="59" t="inlineStr"/>
      <c r="K225" s="59" t="inlineStr"/>
      <c r="L225" s="59" t="inlineStr"/>
      <c r="M225" s="59" t="inlineStr"/>
      <c r="N225" s="59" t="inlineStr"/>
      <c r="O225" s="59" t="inlineStr"/>
      <c r="P225" s="59" t="inlineStr"/>
      <c r="Q225" s="59" t="inlineStr"/>
      <c r="R225" s="59" t="inlineStr"/>
      <c r="S225" s="59" t="inlineStr"/>
      <c r="T225" s="59" t="inlineStr"/>
      <c r="U225" s="61">
        <f>IF(A225="","",IFERROR(INDEX(E225:T225,MATCH(TRUE,INDEX(E225:T225&lt;&gt;"",0),0)),""))</f>
        <v/>
      </c>
      <c r="V225" s="61">
        <f>IF(A225="","",IFERROR(LOOKUP(2,1/(E225:T225&lt;&gt;""),E225:T225),""))</f>
        <v/>
      </c>
      <c r="W225" s="62">
        <f>IF(OR(A225="",PreviousYear=""),"",IFERROR(LOOKUP(2,1/(E225:T225&lt;&gt;""),E225:T225)-INDEX(E225:T225,MATCH(PreviousYear,$E$5:$T$5,0)),""))</f>
        <v/>
      </c>
      <c r="X225" s="62">
        <f>IF(OR(A225="",U225="",V225=""),"",V225-U225)</f>
        <v/>
      </c>
      <c r="Y225" s="61">
        <f>IF(A225="","",COUNT(E225:T225))</f>
        <v/>
      </c>
    </row>
    <row r="226">
      <c r="A226" s="44">
        <f>IF(AND('Employees'!B19&lt;&gt;"",'Skills'!B18&lt;&gt;""),'Employees'!B19,"")</f>
        <v/>
      </c>
      <c r="B226" s="45">
        <f>IF(A226="","",'Employees'!C19)</f>
        <v/>
      </c>
      <c r="C226" s="58">
        <f>IF(A226="","",'Skills'!B18)</f>
        <v/>
      </c>
      <c r="D226" s="45">
        <f>IF(A226="","",'Skills'!C18)</f>
        <v/>
      </c>
      <c r="E226" s="59" t="inlineStr"/>
      <c r="F226" s="59" t="inlineStr"/>
      <c r="G226" s="59" t="inlineStr"/>
      <c r="H226" s="60" t="inlineStr"/>
      <c r="I226" s="59" t="inlineStr"/>
      <c r="J226" s="59" t="inlineStr"/>
      <c r="K226" s="59" t="inlineStr"/>
      <c r="L226" s="59" t="inlineStr"/>
      <c r="M226" s="59" t="inlineStr"/>
      <c r="N226" s="59" t="inlineStr"/>
      <c r="O226" s="59" t="inlineStr"/>
      <c r="P226" s="59" t="inlineStr"/>
      <c r="Q226" s="59" t="inlineStr"/>
      <c r="R226" s="59" t="inlineStr"/>
      <c r="S226" s="59" t="inlineStr"/>
      <c r="T226" s="59" t="inlineStr"/>
      <c r="U226" s="61">
        <f>IF(A226="","",IFERROR(INDEX(E226:T226,MATCH(TRUE,INDEX(E226:T226&lt;&gt;"",0),0)),""))</f>
        <v/>
      </c>
      <c r="V226" s="61">
        <f>IF(A226="","",IFERROR(LOOKUP(2,1/(E226:T226&lt;&gt;""),E226:T226),""))</f>
        <v/>
      </c>
      <c r="W226" s="62">
        <f>IF(OR(A226="",PreviousYear=""),"",IFERROR(LOOKUP(2,1/(E226:T226&lt;&gt;""),E226:T226)-INDEX(E226:T226,MATCH(PreviousYear,$E$5:$T$5,0)),""))</f>
        <v/>
      </c>
      <c r="X226" s="62">
        <f>IF(OR(A226="",U226="",V226=""),"",V226-U226)</f>
        <v/>
      </c>
      <c r="Y226" s="61">
        <f>IF(A226="","",COUNT(E226:T226))</f>
        <v/>
      </c>
    </row>
    <row r="227">
      <c r="A227" s="44">
        <f>IF(AND('Employees'!B19&lt;&gt;"",'Skills'!B19&lt;&gt;""),'Employees'!B19,"")</f>
        <v/>
      </c>
      <c r="B227" s="45">
        <f>IF(A227="","",'Employees'!C19)</f>
        <v/>
      </c>
      <c r="C227" s="58">
        <f>IF(A227="","",'Skills'!B19)</f>
        <v/>
      </c>
      <c r="D227" s="45">
        <f>IF(A227="","",'Skills'!C19)</f>
        <v/>
      </c>
      <c r="E227" s="59" t="inlineStr"/>
      <c r="F227" s="59" t="inlineStr"/>
      <c r="G227" s="59" t="inlineStr"/>
      <c r="H227" s="60" t="inlineStr"/>
      <c r="I227" s="59" t="inlineStr"/>
      <c r="J227" s="59" t="inlineStr"/>
      <c r="K227" s="59" t="inlineStr"/>
      <c r="L227" s="59" t="inlineStr"/>
      <c r="M227" s="59" t="inlineStr"/>
      <c r="N227" s="59" t="inlineStr"/>
      <c r="O227" s="59" t="inlineStr"/>
      <c r="P227" s="59" t="inlineStr"/>
      <c r="Q227" s="59" t="inlineStr"/>
      <c r="R227" s="59" t="inlineStr"/>
      <c r="S227" s="59" t="inlineStr"/>
      <c r="T227" s="59" t="inlineStr"/>
      <c r="U227" s="61">
        <f>IF(A227="","",IFERROR(INDEX(E227:T227,MATCH(TRUE,INDEX(E227:T227&lt;&gt;"",0),0)),""))</f>
        <v/>
      </c>
      <c r="V227" s="61">
        <f>IF(A227="","",IFERROR(LOOKUP(2,1/(E227:T227&lt;&gt;""),E227:T227),""))</f>
        <v/>
      </c>
      <c r="W227" s="62">
        <f>IF(OR(A227="",PreviousYear=""),"",IFERROR(LOOKUP(2,1/(E227:T227&lt;&gt;""),E227:T227)-INDEX(E227:T227,MATCH(PreviousYear,$E$5:$T$5,0)),""))</f>
        <v/>
      </c>
      <c r="X227" s="62">
        <f>IF(OR(A227="",U227="",V227=""),"",V227-U227)</f>
        <v/>
      </c>
      <c r="Y227" s="61">
        <f>IF(A227="","",COUNT(E227:T227))</f>
        <v/>
      </c>
    </row>
    <row r="228">
      <c r="A228" s="44">
        <f>IF(AND('Employees'!B19&lt;&gt;"",'Skills'!B20&lt;&gt;""),'Employees'!B19,"")</f>
        <v/>
      </c>
      <c r="B228" s="45">
        <f>IF(A228="","",'Employees'!C19)</f>
        <v/>
      </c>
      <c r="C228" s="58">
        <f>IF(A228="","",'Skills'!B20)</f>
        <v/>
      </c>
      <c r="D228" s="45">
        <f>IF(A228="","",'Skills'!C20)</f>
        <v/>
      </c>
      <c r="E228" s="59" t="inlineStr"/>
      <c r="F228" s="59" t="inlineStr"/>
      <c r="G228" s="59" t="inlineStr"/>
      <c r="H228" s="60" t="inlineStr"/>
      <c r="I228" s="59" t="inlineStr"/>
      <c r="J228" s="59" t="inlineStr"/>
      <c r="K228" s="59" t="inlineStr"/>
      <c r="L228" s="59" t="inlineStr"/>
      <c r="M228" s="59" t="inlineStr"/>
      <c r="N228" s="59" t="inlineStr"/>
      <c r="O228" s="59" t="inlineStr"/>
      <c r="P228" s="59" t="inlineStr"/>
      <c r="Q228" s="59" t="inlineStr"/>
      <c r="R228" s="59" t="inlineStr"/>
      <c r="S228" s="59" t="inlineStr"/>
      <c r="T228" s="59" t="inlineStr"/>
      <c r="U228" s="61">
        <f>IF(A228="","",IFERROR(INDEX(E228:T228,MATCH(TRUE,INDEX(E228:T228&lt;&gt;"",0),0)),""))</f>
        <v/>
      </c>
      <c r="V228" s="61">
        <f>IF(A228="","",IFERROR(LOOKUP(2,1/(E228:T228&lt;&gt;""),E228:T228),""))</f>
        <v/>
      </c>
      <c r="W228" s="62">
        <f>IF(OR(A228="",PreviousYear=""),"",IFERROR(LOOKUP(2,1/(E228:T228&lt;&gt;""),E228:T228)-INDEX(E228:T228,MATCH(PreviousYear,$E$5:$T$5,0)),""))</f>
        <v/>
      </c>
      <c r="X228" s="62">
        <f>IF(OR(A228="",U228="",V228=""),"",V228-U228)</f>
        <v/>
      </c>
      <c r="Y228" s="61">
        <f>IF(A228="","",COUNT(E228:T228))</f>
        <v/>
      </c>
    </row>
    <row r="229">
      <c r="A229" s="44">
        <f>IF(AND('Employees'!B19&lt;&gt;"",'Skills'!B21&lt;&gt;""),'Employees'!B19,"")</f>
        <v/>
      </c>
      <c r="B229" s="45">
        <f>IF(A229="","",'Employees'!C19)</f>
        <v/>
      </c>
      <c r="C229" s="58">
        <f>IF(A229="","",'Skills'!B21)</f>
        <v/>
      </c>
      <c r="D229" s="45">
        <f>IF(A229="","",'Skills'!C21)</f>
        <v/>
      </c>
      <c r="E229" s="59" t="inlineStr"/>
      <c r="F229" s="59" t="inlineStr"/>
      <c r="G229" s="59" t="inlineStr"/>
      <c r="H229" s="60" t="inlineStr"/>
      <c r="I229" s="59" t="inlineStr"/>
      <c r="J229" s="59" t="inlineStr"/>
      <c r="K229" s="59" t="inlineStr"/>
      <c r="L229" s="59" t="inlineStr"/>
      <c r="M229" s="59" t="inlineStr"/>
      <c r="N229" s="59" t="inlineStr"/>
      <c r="O229" s="59" t="inlineStr"/>
      <c r="P229" s="59" t="inlineStr"/>
      <c r="Q229" s="59" t="inlineStr"/>
      <c r="R229" s="59" t="inlineStr"/>
      <c r="S229" s="59" t="inlineStr"/>
      <c r="T229" s="59" t="inlineStr"/>
      <c r="U229" s="61">
        <f>IF(A229="","",IFERROR(INDEX(E229:T229,MATCH(TRUE,INDEX(E229:T229&lt;&gt;"",0),0)),""))</f>
        <v/>
      </c>
      <c r="V229" s="61">
        <f>IF(A229="","",IFERROR(LOOKUP(2,1/(E229:T229&lt;&gt;""),E229:T229),""))</f>
        <v/>
      </c>
      <c r="W229" s="62">
        <f>IF(OR(A229="",PreviousYear=""),"",IFERROR(LOOKUP(2,1/(E229:T229&lt;&gt;""),E229:T229)-INDEX(E229:T229,MATCH(PreviousYear,$E$5:$T$5,0)),""))</f>
        <v/>
      </c>
      <c r="X229" s="62">
        <f>IF(OR(A229="",U229="",V229=""),"",V229-U229)</f>
        <v/>
      </c>
      <c r="Y229" s="61">
        <f>IF(A229="","",COUNT(E229:T229))</f>
        <v/>
      </c>
    </row>
    <row r="230">
      <c r="A230" s="44">
        <f>IF(AND('Employees'!B20&lt;&gt;"",'Skills'!B6&lt;&gt;""),'Employees'!B20,"")</f>
        <v/>
      </c>
      <c r="B230" s="45">
        <f>IF(A230="","",'Employees'!C20)</f>
        <v/>
      </c>
      <c r="C230" s="58">
        <f>IF(A230="","",'Skills'!B6)</f>
        <v/>
      </c>
      <c r="D230" s="45">
        <f>IF(A230="","",'Skills'!C6)</f>
        <v/>
      </c>
      <c r="E230" s="59" t="inlineStr"/>
      <c r="F230" s="59" t="inlineStr"/>
      <c r="G230" s="59" t="inlineStr"/>
      <c r="H230" s="60" t="inlineStr"/>
      <c r="I230" s="59" t="inlineStr"/>
      <c r="J230" s="59" t="inlineStr"/>
      <c r="K230" s="59" t="inlineStr"/>
      <c r="L230" s="59" t="inlineStr"/>
      <c r="M230" s="59" t="inlineStr"/>
      <c r="N230" s="59" t="inlineStr"/>
      <c r="O230" s="59" t="inlineStr"/>
      <c r="P230" s="59" t="inlineStr"/>
      <c r="Q230" s="59" t="inlineStr"/>
      <c r="R230" s="59" t="inlineStr"/>
      <c r="S230" s="59" t="inlineStr"/>
      <c r="T230" s="59" t="inlineStr"/>
      <c r="U230" s="61">
        <f>IF(A230="","",IFERROR(INDEX(E230:T230,MATCH(TRUE,INDEX(E230:T230&lt;&gt;"",0),0)),""))</f>
        <v/>
      </c>
      <c r="V230" s="61">
        <f>IF(A230="","",IFERROR(LOOKUP(2,1/(E230:T230&lt;&gt;""),E230:T230),""))</f>
        <v/>
      </c>
      <c r="W230" s="62">
        <f>IF(OR(A230="",PreviousYear=""),"",IFERROR(LOOKUP(2,1/(E230:T230&lt;&gt;""),E230:T230)-INDEX(E230:T230,MATCH(PreviousYear,$E$5:$T$5,0)),""))</f>
        <v/>
      </c>
      <c r="X230" s="62">
        <f>IF(OR(A230="",U230="",V230=""),"",V230-U230)</f>
        <v/>
      </c>
      <c r="Y230" s="61">
        <f>IF(A230="","",COUNT(E230:T230))</f>
        <v/>
      </c>
    </row>
    <row r="231">
      <c r="A231" s="44">
        <f>IF(AND('Employees'!B20&lt;&gt;"",'Skills'!B7&lt;&gt;""),'Employees'!B20,"")</f>
        <v/>
      </c>
      <c r="B231" s="45">
        <f>IF(A231="","",'Employees'!C20)</f>
        <v/>
      </c>
      <c r="C231" s="58">
        <f>IF(A231="","",'Skills'!B7)</f>
        <v/>
      </c>
      <c r="D231" s="45">
        <f>IF(A231="","",'Skills'!C7)</f>
        <v/>
      </c>
      <c r="E231" s="59" t="inlineStr"/>
      <c r="F231" s="59" t="inlineStr"/>
      <c r="G231" s="59" t="inlineStr"/>
      <c r="H231" s="60" t="inlineStr"/>
      <c r="I231" s="59" t="inlineStr"/>
      <c r="J231" s="59" t="inlineStr"/>
      <c r="K231" s="59" t="inlineStr"/>
      <c r="L231" s="59" t="inlineStr"/>
      <c r="M231" s="59" t="inlineStr"/>
      <c r="N231" s="59" t="inlineStr"/>
      <c r="O231" s="59" t="inlineStr"/>
      <c r="P231" s="59" t="inlineStr"/>
      <c r="Q231" s="59" t="inlineStr"/>
      <c r="R231" s="59" t="inlineStr"/>
      <c r="S231" s="59" t="inlineStr"/>
      <c r="T231" s="59" t="inlineStr"/>
      <c r="U231" s="61">
        <f>IF(A231="","",IFERROR(INDEX(E231:T231,MATCH(TRUE,INDEX(E231:T231&lt;&gt;"",0),0)),""))</f>
        <v/>
      </c>
      <c r="V231" s="61">
        <f>IF(A231="","",IFERROR(LOOKUP(2,1/(E231:T231&lt;&gt;""),E231:T231),""))</f>
        <v/>
      </c>
      <c r="W231" s="62">
        <f>IF(OR(A231="",PreviousYear=""),"",IFERROR(LOOKUP(2,1/(E231:T231&lt;&gt;""),E231:T231)-INDEX(E231:T231,MATCH(PreviousYear,$E$5:$T$5,0)),""))</f>
        <v/>
      </c>
      <c r="X231" s="62">
        <f>IF(OR(A231="",U231="",V231=""),"",V231-U231)</f>
        <v/>
      </c>
      <c r="Y231" s="61">
        <f>IF(A231="","",COUNT(E231:T231))</f>
        <v/>
      </c>
    </row>
    <row r="232">
      <c r="A232" s="44">
        <f>IF(AND('Employees'!B20&lt;&gt;"",'Skills'!B8&lt;&gt;""),'Employees'!B20,"")</f>
        <v/>
      </c>
      <c r="B232" s="45">
        <f>IF(A232="","",'Employees'!C20)</f>
        <v/>
      </c>
      <c r="C232" s="58">
        <f>IF(A232="","",'Skills'!B8)</f>
        <v/>
      </c>
      <c r="D232" s="45">
        <f>IF(A232="","",'Skills'!C8)</f>
        <v/>
      </c>
      <c r="E232" s="59" t="inlineStr"/>
      <c r="F232" s="59" t="inlineStr"/>
      <c r="G232" s="59" t="inlineStr"/>
      <c r="H232" s="60" t="inlineStr"/>
      <c r="I232" s="59" t="inlineStr"/>
      <c r="J232" s="59" t="inlineStr"/>
      <c r="K232" s="59" t="inlineStr"/>
      <c r="L232" s="59" t="inlineStr"/>
      <c r="M232" s="59" t="inlineStr"/>
      <c r="N232" s="59" t="inlineStr"/>
      <c r="O232" s="59" t="inlineStr"/>
      <c r="P232" s="59" t="inlineStr"/>
      <c r="Q232" s="59" t="inlineStr"/>
      <c r="R232" s="59" t="inlineStr"/>
      <c r="S232" s="59" t="inlineStr"/>
      <c r="T232" s="59" t="inlineStr"/>
      <c r="U232" s="61">
        <f>IF(A232="","",IFERROR(INDEX(E232:T232,MATCH(TRUE,INDEX(E232:T232&lt;&gt;"",0),0)),""))</f>
        <v/>
      </c>
      <c r="V232" s="61">
        <f>IF(A232="","",IFERROR(LOOKUP(2,1/(E232:T232&lt;&gt;""),E232:T232),""))</f>
        <v/>
      </c>
      <c r="W232" s="62">
        <f>IF(OR(A232="",PreviousYear=""),"",IFERROR(LOOKUP(2,1/(E232:T232&lt;&gt;""),E232:T232)-INDEX(E232:T232,MATCH(PreviousYear,$E$5:$T$5,0)),""))</f>
        <v/>
      </c>
      <c r="X232" s="62">
        <f>IF(OR(A232="",U232="",V232=""),"",V232-U232)</f>
        <v/>
      </c>
      <c r="Y232" s="61">
        <f>IF(A232="","",COUNT(E232:T232))</f>
        <v/>
      </c>
    </row>
    <row r="233">
      <c r="A233" s="44">
        <f>IF(AND('Employees'!B20&lt;&gt;"",'Skills'!B9&lt;&gt;""),'Employees'!B20,"")</f>
        <v/>
      </c>
      <c r="B233" s="45">
        <f>IF(A233="","",'Employees'!C20)</f>
        <v/>
      </c>
      <c r="C233" s="58">
        <f>IF(A233="","",'Skills'!B9)</f>
        <v/>
      </c>
      <c r="D233" s="45">
        <f>IF(A233="","",'Skills'!C9)</f>
        <v/>
      </c>
      <c r="E233" s="59" t="inlineStr"/>
      <c r="F233" s="59" t="inlineStr"/>
      <c r="G233" s="59" t="inlineStr"/>
      <c r="H233" s="60" t="inlineStr"/>
      <c r="I233" s="59" t="inlineStr"/>
      <c r="J233" s="59" t="inlineStr"/>
      <c r="K233" s="59" t="inlineStr"/>
      <c r="L233" s="59" t="inlineStr"/>
      <c r="M233" s="59" t="inlineStr"/>
      <c r="N233" s="59" t="inlineStr"/>
      <c r="O233" s="59" t="inlineStr"/>
      <c r="P233" s="59" t="inlineStr"/>
      <c r="Q233" s="59" t="inlineStr"/>
      <c r="R233" s="59" t="inlineStr"/>
      <c r="S233" s="59" t="inlineStr"/>
      <c r="T233" s="59" t="inlineStr"/>
      <c r="U233" s="61">
        <f>IF(A233="","",IFERROR(INDEX(E233:T233,MATCH(TRUE,INDEX(E233:T233&lt;&gt;"",0),0)),""))</f>
        <v/>
      </c>
      <c r="V233" s="61">
        <f>IF(A233="","",IFERROR(LOOKUP(2,1/(E233:T233&lt;&gt;""),E233:T233),""))</f>
        <v/>
      </c>
      <c r="W233" s="62">
        <f>IF(OR(A233="",PreviousYear=""),"",IFERROR(LOOKUP(2,1/(E233:T233&lt;&gt;""),E233:T233)-INDEX(E233:T233,MATCH(PreviousYear,$E$5:$T$5,0)),""))</f>
        <v/>
      </c>
      <c r="X233" s="62">
        <f>IF(OR(A233="",U233="",V233=""),"",V233-U233)</f>
        <v/>
      </c>
      <c r="Y233" s="61">
        <f>IF(A233="","",COUNT(E233:T233))</f>
        <v/>
      </c>
    </row>
    <row r="234">
      <c r="A234" s="44">
        <f>IF(AND('Employees'!B20&lt;&gt;"",'Skills'!B10&lt;&gt;""),'Employees'!B20,"")</f>
        <v/>
      </c>
      <c r="B234" s="45">
        <f>IF(A234="","",'Employees'!C20)</f>
        <v/>
      </c>
      <c r="C234" s="58">
        <f>IF(A234="","",'Skills'!B10)</f>
        <v/>
      </c>
      <c r="D234" s="45">
        <f>IF(A234="","",'Skills'!C10)</f>
        <v/>
      </c>
      <c r="E234" s="59" t="inlineStr"/>
      <c r="F234" s="59" t="inlineStr"/>
      <c r="G234" s="59" t="inlineStr"/>
      <c r="H234" s="60" t="inlineStr"/>
      <c r="I234" s="59" t="inlineStr"/>
      <c r="J234" s="59" t="inlineStr"/>
      <c r="K234" s="59" t="inlineStr"/>
      <c r="L234" s="59" t="inlineStr"/>
      <c r="M234" s="59" t="inlineStr"/>
      <c r="N234" s="59" t="inlineStr"/>
      <c r="O234" s="59" t="inlineStr"/>
      <c r="P234" s="59" t="inlineStr"/>
      <c r="Q234" s="59" t="inlineStr"/>
      <c r="R234" s="59" t="inlineStr"/>
      <c r="S234" s="59" t="inlineStr"/>
      <c r="T234" s="59" t="inlineStr"/>
      <c r="U234" s="61">
        <f>IF(A234="","",IFERROR(INDEX(E234:T234,MATCH(TRUE,INDEX(E234:T234&lt;&gt;"",0),0)),""))</f>
        <v/>
      </c>
      <c r="V234" s="61">
        <f>IF(A234="","",IFERROR(LOOKUP(2,1/(E234:T234&lt;&gt;""),E234:T234),""))</f>
        <v/>
      </c>
      <c r="W234" s="62">
        <f>IF(OR(A234="",PreviousYear=""),"",IFERROR(LOOKUP(2,1/(E234:T234&lt;&gt;""),E234:T234)-INDEX(E234:T234,MATCH(PreviousYear,$E$5:$T$5,0)),""))</f>
        <v/>
      </c>
      <c r="X234" s="62">
        <f>IF(OR(A234="",U234="",V234=""),"",V234-U234)</f>
        <v/>
      </c>
      <c r="Y234" s="61">
        <f>IF(A234="","",COUNT(E234:T234))</f>
        <v/>
      </c>
    </row>
    <row r="235">
      <c r="A235" s="44">
        <f>IF(AND('Employees'!B20&lt;&gt;"",'Skills'!B11&lt;&gt;""),'Employees'!B20,"")</f>
        <v/>
      </c>
      <c r="B235" s="45">
        <f>IF(A235="","",'Employees'!C20)</f>
        <v/>
      </c>
      <c r="C235" s="58">
        <f>IF(A235="","",'Skills'!B11)</f>
        <v/>
      </c>
      <c r="D235" s="45">
        <f>IF(A235="","",'Skills'!C11)</f>
        <v/>
      </c>
      <c r="E235" s="59" t="inlineStr"/>
      <c r="F235" s="59" t="inlineStr"/>
      <c r="G235" s="59" t="inlineStr"/>
      <c r="H235" s="60" t="inlineStr"/>
      <c r="I235" s="59" t="inlineStr"/>
      <c r="J235" s="59" t="inlineStr"/>
      <c r="K235" s="59" t="inlineStr"/>
      <c r="L235" s="59" t="inlineStr"/>
      <c r="M235" s="59" t="inlineStr"/>
      <c r="N235" s="59" t="inlineStr"/>
      <c r="O235" s="59" t="inlineStr"/>
      <c r="P235" s="59" t="inlineStr"/>
      <c r="Q235" s="59" t="inlineStr"/>
      <c r="R235" s="59" t="inlineStr"/>
      <c r="S235" s="59" t="inlineStr"/>
      <c r="T235" s="59" t="inlineStr"/>
      <c r="U235" s="61">
        <f>IF(A235="","",IFERROR(INDEX(E235:T235,MATCH(TRUE,INDEX(E235:T235&lt;&gt;"",0),0)),""))</f>
        <v/>
      </c>
      <c r="V235" s="61">
        <f>IF(A235="","",IFERROR(LOOKUP(2,1/(E235:T235&lt;&gt;""),E235:T235),""))</f>
        <v/>
      </c>
      <c r="W235" s="62">
        <f>IF(OR(A235="",PreviousYear=""),"",IFERROR(LOOKUP(2,1/(E235:T235&lt;&gt;""),E235:T235)-INDEX(E235:T235,MATCH(PreviousYear,$E$5:$T$5,0)),""))</f>
        <v/>
      </c>
      <c r="X235" s="62">
        <f>IF(OR(A235="",U235="",V235=""),"",V235-U235)</f>
        <v/>
      </c>
      <c r="Y235" s="61">
        <f>IF(A235="","",COUNT(E235:T235))</f>
        <v/>
      </c>
    </row>
    <row r="236">
      <c r="A236" s="44">
        <f>IF(AND('Employees'!B20&lt;&gt;"",'Skills'!B12&lt;&gt;""),'Employees'!B20,"")</f>
        <v/>
      </c>
      <c r="B236" s="45">
        <f>IF(A236="","",'Employees'!C20)</f>
        <v/>
      </c>
      <c r="C236" s="58">
        <f>IF(A236="","",'Skills'!B12)</f>
        <v/>
      </c>
      <c r="D236" s="45">
        <f>IF(A236="","",'Skills'!C12)</f>
        <v/>
      </c>
      <c r="E236" s="59" t="inlineStr"/>
      <c r="F236" s="59" t="inlineStr"/>
      <c r="G236" s="59" t="inlineStr"/>
      <c r="H236" s="60" t="inlineStr"/>
      <c r="I236" s="59" t="inlineStr"/>
      <c r="J236" s="59" t="inlineStr"/>
      <c r="K236" s="59" t="inlineStr"/>
      <c r="L236" s="59" t="inlineStr"/>
      <c r="M236" s="59" t="inlineStr"/>
      <c r="N236" s="59" t="inlineStr"/>
      <c r="O236" s="59" t="inlineStr"/>
      <c r="P236" s="59" t="inlineStr"/>
      <c r="Q236" s="59" t="inlineStr"/>
      <c r="R236" s="59" t="inlineStr"/>
      <c r="S236" s="59" t="inlineStr"/>
      <c r="T236" s="59" t="inlineStr"/>
      <c r="U236" s="61">
        <f>IF(A236="","",IFERROR(INDEX(E236:T236,MATCH(TRUE,INDEX(E236:T236&lt;&gt;"",0),0)),""))</f>
        <v/>
      </c>
      <c r="V236" s="61">
        <f>IF(A236="","",IFERROR(LOOKUP(2,1/(E236:T236&lt;&gt;""),E236:T236),""))</f>
        <v/>
      </c>
      <c r="W236" s="62">
        <f>IF(OR(A236="",PreviousYear=""),"",IFERROR(LOOKUP(2,1/(E236:T236&lt;&gt;""),E236:T236)-INDEX(E236:T236,MATCH(PreviousYear,$E$5:$T$5,0)),""))</f>
        <v/>
      </c>
      <c r="X236" s="62">
        <f>IF(OR(A236="",U236="",V236=""),"",V236-U236)</f>
        <v/>
      </c>
      <c r="Y236" s="61">
        <f>IF(A236="","",COUNT(E236:T236))</f>
        <v/>
      </c>
    </row>
    <row r="237">
      <c r="A237" s="44">
        <f>IF(AND('Employees'!B20&lt;&gt;"",'Skills'!B13&lt;&gt;""),'Employees'!B20,"")</f>
        <v/>
      </c>
      <c r="B237" s="45">
        <f>IF(A237="","",'Employees'!C20)</f>
        <v/>
      </c>
      <c r="C237" s="58">
        <f>IF(A237="","",'Skills'!B13)</f>
        <v/>
      </c>
      <c r="D237" s="45">
        <f>IF(A237="","",'Skills'!C13)</f>
        <v/>
      </c>
      <c r="E237" s="59" t="inlineStr"/>
      <c r="F237" s="59" t="inlineStr"/>
      <c r="G237" s="59" t="inlineStr"/>
      <c r="H237" s="60" t="inlineStr"/>
      <c r="I237" s="59" t="inlineStr"/>
      <c r="J237" s="59" t="inlineStr"/>
      <c r="K237" s="59" t="inlineStr"/>
      <c r="L237" s="59" t="inlineStr"/>
      <c r="M237" s="59" t="inlineStr"/>
      <c r="N237" s="59" t="inlineStr"/>
      <c r="O237" s="59" t="inlineStr"/>
      <c r="P237" s="59" t="inlineStr"/>
      <c r="Q237" s="59" t="inlineStr"/>
      <c r="R237" s="59" t="inlineStr"/>
      <c r="S237" s="59" t="inlineStr"/>
      <c r="T237" s="59" t="inlineStr"/>
      <c r="U237" s="61">
        <f>IF(A237="","",IFERROR(INDEX(E237:T237,MATCH(TRUE,INDEX(E237:T237&lt;&gt;"",0),0)),""))</f>
        <v/>
      </c>
      <c r="V237" s="61">
        <f>IF(A237="","",IFERROR(LOOKUP(2,1/(E237:T237&lt;&gt;""),E237:T237),""))</f>
        <v/>
      </c>
      <c r="W237" s="62">
        <f>IF(OR(A237="",PreviousYear=""),"",IFERROR(LOOKUP(2,1/(E237:T237&lt;&gt;""),E237:T237)-INDEX(E237:T237,MATCH(PreviousYear,$E$5:$T$5,0)),""))</f>
        <v/>
      </c>
      <c r="X237" s="62">
        <f>IF(OR(A237="",U237="",V237=""),"",V237-U237)</f>
        <v/>
      </c>
      <c r="Y237" s="61">
        <f>IF(A237="","",COUNT(E237:T237))</f>
        <v/>
      </c>
    </row>
    <row r="238">
      <c r="A238" s="44">
        <f>IF(AND('Employees'!B20&lt;&gt;"",'Skills'!B14&lt;&gt;""),'Employees'!B20,"")</f>
        <v/>
      </c>
      <c r="B238" s="45">
        <f>IF(A238="","",'Employees'!C20)</f>
        <v/>
      </c>
      <c r="C238" s="58">
        <f>IF(A238="","",'Skills'!B14)</f>
        <v/>
      </c>
      <c r="D238" s="45">
        <f>IF(A238="","",'Skills'!C14)</f>
        <v/>
      </c>
      <c r="E238" s="59" t="inlineStr"/>
      <c r="F238" s="59" t="inlineStr"/>
      <c r="G238" s="59" t="inlineStr"/>
      <c r="H238" s="60" t="inlineStr"/>
      <c r="I238" s="59" t="inlineStr"/>
      <c r="J238" s="59" t="inlineStr"/>
      <c r="K238" s="59" t="inlineStr"/>
      <c r="L238" s="59" t="inlineStr"/>
      <c r="M238" s="59" t="inlineStr"/>
      <c r="N238" s="59" t="inlineStr"/>
      <c r="O238" s="59" t="inlineStr"/>
      <c r="P238" s="59" t="inlineStr"/>
      <c r="Q238" s="59" t="inlineStr"/>
      <c r="R238" s="59" t="inlineStr"/>
      <c r="S238" s="59" t="inlineStr"/>
      <c r="T238" s="59" t="inlineStr"/>
      <c r="U238" s="61">
        <f>IF(A238="","",IFERROR(INDEX(E238:T238,MATCH(TRUE,INDEX(E238:T238&lt;&gt;"",0),0)),""))</f>
        <v/>
      </c>
      <c r="V238" s="61">
        <f>IF(A238="","",IFERROR(LOOKUP(2,1/(E238:T238&lt;&gt;""),E238:T238),""))</f>
        <v/>
      </c>
      <c r="W238" s="62">
        <f>IF(OR(A238="",PreviousYear=""),"",IFERROR(LOOKUP(2,1/(E238:T238&lt;&gt;""),E238:T238)-INDEX(E238:T238,MATCH(PreviousYear,$E$5:$T$5,0)),""))</f>
        <v/>
      </c>
      <c r="X238" s="62">
        <f>IF(OR(A238="",U238="",V238=""),"",V238-U238)</f>
        <v/>
      </c>
      <c r="Y238" s="61">
        <f>IF(A238="","",COUNT(E238:T238))</f>
        <v/>
      </c>
    </row>
    <row r="239">
      <c r="A239" s="44">
        <f>IF(AND('Employees'!B20&lt;&gt;"",'Skills'!B15&lt;&gt;""),'Employees'!B20,"")</f>
        <v/>
      </c>
      <c r="B239" s="45">
        <f>IF(A239="","",'Employees'!C20)</f>
        <v/>
      </c>
      <c r="C239" s="58">
        <f>IF(A239="","",'Skills'!B15)</f>
        <v/>
      </c>
      <c r="D239" s="45">
        <f>IF(A239="","",'Skills'!C15)</f>
        <v/>
      </c>
      <c r="E239" s="59" t="inlineStr"/>
      <c r="F239" s="59" t="inlineStr"/>
      <c r="G239" s="59" t="inlineStr"/>
      <c r="H239" s="60" t="inlineStr"/>
      <c r="I239" s="59" t="inlineStr"/>
      <c r="J239" s="59" t="inlineStr"/>
      <c r="K239" s="59" t="inlineStr"/>
      <c r="L239" s="59" t="inlineStr"/>
      <c r="M239" s="59" t="inlineStr"/>
      <c r="N239" s="59" t="inlineStr"/>
      <c r="O239" s="59" t="inlineStr"/>
      <c r="P239" s="59" t="inlineStr"/>
      <c r="Q239" s="59" t="inlineStr"/>
      <c r="R239" s="59" t="inlineStr"/>
      <c r="S239" s="59" t="inlineStr"/>
      <c r="T239" s="59" t="inlineStr"/>
      <c r="U239" s="61">
        <f>IF(A239="","",IFERROR(INDEX(E239:T239,MATCH(TRUE,INDEX(E239:T239&lt;&gt;"",0),0)),""))</f>
        <v/>
      </c>
      <c r="V239" s="61">
        <f>IF(A239="","",IFERROR(LOOKUP(2,1/(E239:T239&lt;&gt;""),E239:T239),""))</f>
        <v/>
      </c>
      <c r="W239" s="62">
        <f>IF(OR(A239="",PreviousYear=""),"",IFERROR(LOOKUP(2,1/(E239:T239&lt;&gt;""),E239:T239)-INDEX(E239:T239,MATCH(PreviousYear,$E$5:$T$5,0)),""))</f>
        <v/>
      </c>
      <c r="X239" s="62">
        <f>IF(OR(A239="",U239="",V239=""),"",V239-U239)</f>
        <v/>
      </c>
      <c r="Y239" s="61">
        <f>IF(A239="","",COUNT(E239:T239))</f>
        <v/>
      </c>
    </row>
    <row r="240">
      <c r="A240" s="44">
        <f>IF(AND('Employees'!B20&lt;&gt;"",'Skills'!B16&lt;&gt;""),'Employees'!B20,"")</f>
        <v/>
      </c>
      <c r="B240" s="45">
        <f>IF(A240="","",'Employees'!C20)</f>
        <v/>
      </c>
      <c r="C240" s="58">
        <f>IF(A240="","",'Skills'!B16)</f>
        <v/>
      </c>
      <c r="D240" s="45">
        <f>IF(A240="","",'Skills'!C16)</f>
        <v/>
      </c>
      <c r="E240" s="59" t="inlineStr"/>
      <c r="F240" s="59" t="inlineStr"/>
      <c r="G240" s="59" t="inlineStr"/>
      <c r="H240" s="60" t="inlineStr"/>
      <c r="I240" s="59" t="inlineStr"/>
      <c r="J240" s="59" t="inlineStr"/>
      <c r="K240" s="59" t="inlineStr"/>
      <c r="L240" s="59" t="inlineStr"/>
      <c r="M240" s="59" t="inlineStr"/>
      <c r="N240" s="59" t="inlineStr"/>
      <c r="O240" s="59" t="inlineStr"/>
      <c r="P240" s="59" t="inlineStr"/>
      <c r="Q240" s="59" t="inlineStr"/>
      <c r="R240" s="59" t="inlineStr"/>
      <c r="S240" s="59" t="inlineStr"/>
      <c r="T240" s="59" t="inlineStr"/>
      <c r="U240" s="61">
        <f>IF(A240="","",IFERROR(INDEX(E240:T240,MATCH(TRUE,INDEX(E240:T240&lt;&gt;"",0),0)),""))</f>
        <v/>
      </c>
      <c r="V240" s="61">
        <f>IF(A240="","",IFERROR(LOOKUP(2,1/(E240:T240&lt;&gt;""),E240:T240),""))</f>
        <v/>
      </c>
      <c r="W240" s="62">
        <f>IF(OR(A240="",PreviousYear=""),"",IFERROR(LOOKUP(2,1/(E240:T240&lt;&gt;""),E240:T240)-INDEX(E240:T240,MATCH(PreviousYear,$E$5:$T$5,0)),""))</f>
        <v/>
      </c>
      <c r="X240" s="62">
        <f>IF(OR(A240="",U240="",V240=""),"",V240-U240)</f>
        <v/>
      </c>
      <c r="Y240" s="61">
        <f>IF(A240="","",COUNT(E240:T240))</f>
        <v/>
      </c>
    </row>
    <row r="241">
      <c r="A241" s="44">
        <f>IF(AND('Employees'!B20&lt;&gt;"",'Skills'!B17&lt;&gt;""),'Employees'!B20,"")</f>
        <v/>
      </c>
      <c r="B241" s="45">
        <f>IF(A241="","",'Employees'!C20)</f>
        <v/>
      </c>
      <c r="C241" s="58">
        <f>IF(A241="","",'Skills'!B17)</f>
        <v/>
      </c>
      <c r="D241" s="45">
        <f>IF(A241="","",'Skills'!C17)</f>
        <v/>
      </c>
      <c r="E241" s="59" t="inlineStr"/>
      <c r="F241" s="59" t="inlineStr"/>
      <c r="G241" s="59" t="inlineStr"/>
      <c r="H241" s="60" t="inlineStr"/>
      <c r="I241" s="59" t="inlineStr"/>
      <c r="J241" s="59" t="inlineStr"/>
      <c r="K241" s="59" t="inlineStr"/>
      <c r="L241" s="59" t="inlineStr"/>
      <c r="M241" s="59" t="inlineStr"/>
      <c r="N241" s="59" t="inlineStr"/>
      <c r="O241" s="59" t="inlineStr"/>
      <c r="P241" s="59" t="inlineStr"/>
      <c r="Q241" s="59" t="inlineStr"/>
      <c r="R241" s="59" t="inlineStr"/>
      <c r="S241" s="59" t="inlineStr"/>
      <c r="T241" s="59" t="inlineStr"/>
      <c r="U241" s="61">
        <f>IF(A241="","",IFERROR(INDEX(E241:T241,MATCH(TRUE,INDEX(E241:T241&lt;&gt;"",0),0)),""))</f>
        <v/>
      </c>
      <c r="V241" s="61">
        <f>IF(A241="","",IFERROR(LOOKUP(2,1/(E241:T241&lt;&gt;""),E241:T241),""))</f>
        <v/>
      </c>
      <c r="W241" s="62">
        <f>IF(OR(A241="",PreviousYear=""),"",IFERROR(LOOKUP(2,1/(E241:T241&lt;&gt;""),E241:T241)-INDEX(E241:T241,MATCH(PreviousYear,$E$5:$T$5,0)),""))</f>
        <v/>
      </c>
      <c r="X241" s="62">
        <f>IF(OR(A241="",U241="",V241=""),"",V241-U241)</f>
        <v/>
      </c>
      <c r="Y241" s="61">
        <f>IF(A241="","",COUNT(E241:T241))</f>
        <v/>
      </c>
    </row>
    <row r="242">
      <c r="A242" s="44">
        <f>IF(AND('Employees'!B20&lt;&gt;"",'Skills'!B18&lt;&gt;""),'Employees'!B20,"")</f>
        <v/>
      </c>
      <c r="B242" s="45">
        <f>IF(A242="","",'Employees'!C20)</f>
        <v/>
      </c>
      <c r="C242" s="58">
        <f>IF(A242="","",'Skills'!B18)</f>
        <v/>
      </c>
      <c r="D242" s="45">
        <f>IF(A242="","",'Skills'!C18)</f>
        <v/>
      </c>
      <c r="E242" s="59" t="inlineStr"/>
      <c r="F242" s="59" t="inlineStr"/>
      <c r="G242" s="59" t="inlineStr"/>
      <c r="H242" s="60" t="inlineStr"/>
      <c r="I242" s="59" t="inlineStr"/>
      <c r="J242" s="59" t="inlineStr"/>
      <c r="K242" s="59" t="inlineStr"/>
      <c r="L242" s="59" t="inlineStr"/>
      <c r="M242" s="59" t="inlineStr"/>
      <c r="N242" s="59" t="inlineStr"/>
      <c r="O242" s="59" t="inlineStr"/>
      <c r="P242" s="59" t="inlineStr"/>
      <c r="Q242" s="59" t="inlineStr"/>
      <c r="R242" s="59" t="inlineStr"/>
      <c r="S242" s="59" t="inlineStr"/>
      <c r="T242" s="59" t="inlineStr"/>
      <c r="U242" s="61">
        <f>IF(A242="","",IFERROR(INDEX(E242:T242,MATCH(TRUE,INDEX(E242:T242&lt;&gt;"",0),0)),""))</f>
        <v/>
      </c>
      <c r="V242" s="61">
        <f>IF(A242="","",IFERROR(LOOKUP(2,1/(E242:T242&lt;&gt;""),E242:T242),""))</f>
        <v/>
      </c>
      <c r="W242" s="62">
        <f>IF(OR(A242="",PreviousYear=""),"",IFERROR(LOOKUP(2,1/(E242:T242&lt;&gt;""),E242:T242)-INDEX(E242:T242,MATCH(PreviousYear,$E$5:$T$5,0)),""))</f>
        <v/>
      </c>
      <c r="X242" s="62">
        <f>IF(OR(A242="",U242="",V242=""),"",V242-U242)</f>
        <v/>
      </c>
      <c r="Y242" s="61">
        <f>IF(A242="","",COUNT(E242:T242))</f>
        <v/>
      </c>
    </row>
    <row r="243">
      <c r="A243" s="44">
        <f>IF(AND('Employees'!B20&lt;&gt;"",'Skills'!B19&lt;&gt;""),'Employees'!B20,"")</f>
        <v/>
      </c>
      <c r="B243" s="45">
        <f>IF(A243="","",'Employees'!C20)</f>
        <v/>
      </c>
      <c r="C243" s="58">
        <f>IF(A243="","",'Skills'!B19)</f>
        <v/>
      </c>
      <c r="D243" s="45">
        <f>IF(A243="","",'Skills'!C19)</f>
        <v/>
      </c>
      <c r="E243" s="59" t="inlineStr"/>
      <c r="F243" s="59" t="inlineStr"/>
      <c r="G243" s="59" t="inlineStr"/>
      <c r="H243" s="60" t="inlineStr"/>
      <c r="I243" s="59" t="inlineStr"/>
      <c r="J243" s="59" t="inlineStr"/>
      <c r="K243" s="59" t="inlineStr"/>
      <c r="L243" s="59" t="inlineStr"/>
      <c r="M243" s="59" t="inlineStr"/>
      <c r="N243" s="59" t="inlineStr"/>
      <c r="O243" s="59" t="inlineStr"/>
      <c r="P243" s="59" t="inlineStr"/>
      <c r="Q243" s="59" t="inlineStr"/>
      <c r="R243" s="59" t="inlineStr"/>
      <c r="S243" s="59" t="inlineStr"/>
      <c r="T243" s="59" t="inlineStr"/>
      <c r="U243" s="61">
        <f>IF(A243="","",IFERROR(INDEX(E243:T243,MATCH(TRUE,INDEX(E243:T243&lt;&gt;"",0),0)),""))</f>
        <v/>
      </c>
      <c r="V243" s="61">
        <f>IF(A243="","",IFERROR(LOOKUP(2,1/(E243:T243&lt;&gt;""),E243:T243),""))</f>
        <v/>
      </c>
      <c r="W243" s="62">
        <f>IF(OR(A243="",PreviousYear=""),"",IFERROR(LOOKUP(2,1/(E243:T243&lt;&gt;""),E243:T243)-INDEX(E243:T243,MATCH(PreviousYear,$E$5:$T$5,0)),""))</f>
        <v/>
      </c>
      <c r="X243" s="62">
        <f>IF(OR(A243="",U243="",V243=""),"",V243-U243)</f>
        <v/>
      </c>
      <c r="Y243" s="61">
        <f>IF(A243="","",COUNT(E243:T243))</f>
        <v/>
      </c>
    </row>
    <row r="244">
      <c r="A244" s="44">
        <f>IF(AND('Employees'!B20&lt;&gt;"",'Skills'!B20&lt;&gt;""),'Employees'!B20,"")</f>
        <v/>
      </c>
      <c r="B244" s="45">
        <f>IF(A244="","",'Employees'!C20)</f>
        <v/>
      </c>
      <c r="C244" s="58">
        <f>IF(A244="","",'Skills'!B20)</f>
        <v/>
      </c>
      <c r="D244" s="45">
        <f>IF(A244="","",'Skills'!C20)</f>
        <v/>
      </c>
      <c r="E244" s="59" t="inlineStr"/>
      <c r="F244" s="59" t="inlineStr"/>
      <c r="G244" s="59" t="inlineStr"/>
      <c r="H244" s="60" t="inlineStr"/>
      <c r="I244" s="59" t="inlineStr"/>
      <c r="J244" s="59" t="inlineStr"/>
      <c r="K244" s="59" t="inlineStr"/>
      <c r="L244" s="59" t="inlineStr"/>
      <c r="M244" s="59" t="inlineStr"/>
      <c r="N244" s="59" t="inlineStr"/>
      <c r="O244" s="59" t="inlineStr"/>
      <c r="P244" s="59" t="inlineStr"/>
      <c r="Q244" s="59" t="inlineStr"/>
      <c r="R244" s="59" t="inlineStr"/>
      <c r="S244" s="59" t="inlineStr"/>
      <c r="T244" s="59" t="inlineStr"/>
      <c r="U244" s="61">
        <f>IF(A244="","",IFERROR(INDEX(E244:T244,MATCH(TRUE,INDEX(E244:T244&lt;&gt;"",0),0)),""))</f>
        <v/>
      </c>
      <c r="V244" s="61">
        <f>IF(A244="","",IFERROR(LOOKUP(2,1/(E244:T244&lt;&gt;""),E244:T244),""))</f>
        <v/>
      </c>
      <c r="W244" s="62">
        <f>IF(OR(A244="",PreviousYear=""),"",IFERROR(LOOKUP(2,1/(E244:T244&lt;&gt;""),E244:T244)-INDEX(E244:T244,MATCH(PreviousYear,$E$5:$T$5,0)),""))</f>
        <v/>
      </c>
      <c r="X244" s="62">
        <f>IF(OR(A244="",U244="",V244=""),"",V244-U244)</f>
        <v/>
      </c>
      <c r="Y244" s="61">
        <f>IF(A244="","",COUNT(E244:T244))</f>
        <v/>
      </c>
    </row>
    <row r="245">
      <c r="A245" s="44">
        <f>IF(AND('Employees'!B20&lt;&gt;"",'Skills'!B21&lt;&gt;""),'Employees'!B20,"")</f>
        <v/>
      </c>
      <c r="B245" s="45">
        <f>IF(A245="","",'Employees'!C20)</f>
        <v/>
      </c>
      <c r="C245" s="58">
        <f>IF(A245="","",'Skills'!B21)</f>
        <v/>
      </c>
      <c r="D245" s="45">
        <f>IF(A245="","",'Skills'!C21)</f>
        <v/>
      </c>
      <c r="E245" s="59" t="inlineStr"/>
      <c r="F245" s="59" t="inlineStr"/>
      <c r="G245" s="59" t="inlineStr"/>
      <c r="H245" s="60" t="inlineStr"/>
      <c r="I245" s="59" t="inlineStr"/>
      <c r="J245" s="59" t="inlineStr"/>
      <c r="K245" s="59" t="inlineStr"/>
      <c r="L245" s="59" t="inlineStr"/>
      <c r="M245" s="59" t="inlineStr"/>
      <c r="N245" s="59" t="inlineStr"/>
      <c r="O245" s="59" t="inlineStr"/>
      <c r="P245" s="59" t="inlineStr"/>
      <c r="Q245" s="59" t="inlineStr"/>
      <c r="R245" s="59" t="inlineStr"/>
      <c r="S245" s="59" t="inlineStr"/>
      <c r="T245" s="59" t="inlineStr"/>
      <c r="U245" s="61">
        <f>IF(A245="","",IFERROR(INDEX(E245:T245,MATCH(TRUE,INDEX(E245:T245&lt;&gt;"",0),0)),""))</f>
        <v/>
      </c>
      <c r="V245" s="61">
        <f>IF(A245="","",IFERROR(LOOKUP(2,1/(E245:T245&lt;&gt;""),E245:T245),""))</f>
        <v/>
      </c>
      <c r="W245" s="62">
        <f>IF(OR(A245="",PreviousYear=""),"",IFERROR(LOOKUP(2,1/(E245:T245&lt;&gt;""),E245:T245)-INDEX(E245:T245,MATCH(PreviousYear,$E$5:$T$5,0)),""))</f>
        <v/>
      </c>
      <c r="X245" s="62">
        <f>IF(OR(A245="",U245="",V245=""),"",V245-U245)</f>
        <v/>
      </c>
      <c r="Y245" s="61">
        <f>IF(A245="","",COUNT(E245:T245))</f>
        <v/>
      </c>
    </row>
    <row r="246">
      <c r="A246" s="44">
        <f>IF(AND('Employees'!B21&lt;&gt;"",'Skills'!B6&lt;&gt;""),'Employees'!B21,"")</f>
        <v/>
      </c>
      <c r="B246" s="45">
        <f>IF(A246="","",'Employees'!C21)</f>
        <v/>
      </c>
      <c r="C246" s="58">
        <f>IF(A246="","",'Skills'!B6)</f>
        <v/>
      </c>
      <c r="D246" s="45">
        <f>IF(A246="","",'Skills'!C6)</f>
        <v/>
      </c>
      <c r="E246" s="59" t="inlineStr"/>
      <c r="F246" s="59" t="inlineStr"/>
      <c r="G246" s="59" t="inlineStr"/>
      <c r="H246" s="60" t="inlineStr"/>
      <c r="I246" s="59" t="inlineStr"/>
      <c r="J246" s="59" t="inlineStr"/>
      <c r="K246" s="59" t="inlineStr"/>
      <c r="L246" s="59" t="inlineStr"/>
      <c r="M246" s="59" t="inlineStr"/>
      <c r="N246" s="59" t="inlineStr"/>
      <c r="O246" s="59" t="inlineStr"/>
      <c r="P246" s="59" t="inlineStr"/>
      <c r="Q246" s="59" t="inlineStr"/>
      <c r="R246" s="59" t="inlineStr"/>
      <c r="S246" s="59" t="inlineStr"/>
      <c r="T246" s="59" t="inlineStr"/>
      <c r="U246" s="61">
        <f>IF(A246="","",IFERROR(INDEX(E246:T246,MATCH(TRUE,INDEX(E246:T246&lt;&gt;"",0),0)),""))</f>
        <v/>
      </c>
      <c r="V246" s="61">
        <f>IF(A246="","",IFERROR(LOOKUP(2,1/(E246:T246&lt;&gt;""),E246:T246),""))</f>
        <v/>
      </c>
      <c r="W246" s="62">
        <f>IF(OR(A246="",PreviousYear=""),"",IFERROR(LOOKUP(2,1/(E246:T246&lt;&gt;""),E246:T246)-INDEX(E246:T246,MATCH(PreviousYear,$E$5:$T$5,0)),""))</f>
        <v/>
      </c>
      <c r="X246" s="62">
        <f>IF(OR(A246="",U246="",V246=""),"",V246-U246)</f>
        <v/>
      </c>
      <c r="Y246" s="61">
        <f>IF(A246="","",COUNT(E246:T246))</f>
        <v/>
      </c>
    </row>
    <row r="247">
      <c r="A247" s="44">
        <f>IF(AND('Employees'!B21&lt;&gt;"",'Skills'!B7&lt;&gt;""),'Employees'!B21,"")</f>
        <v/>
      </c>
      <c r="B247" s="45">
        <f>IF(A247="","",'Employees'!C21)</f>
        <v/>
      </c>
      <c r="C247" s="58">
        <f>IF(A247="","",'Skills'!B7)</f>
        <v/>
      </c>
      <c r="D247" s="45">
        <f>IF(A247="","",'Skills'!C7)</f>
        <v/>
      </c>
      <c r="E247" s="59" t="inlineStr"/>
      <c r="F247" s="59" t="inlineStr"/>
      <c r="G247" s="59" t="inlineStr"/>
      <c r="H247" s="60" t="inlineStr"/>
      <c r="I247" s="59" t="inlineStr"/>
      <c r="J247" s="59" t="inlineStr"/>
      <c r="K247" s="59" t="inlineStr"/>
      <c r="L247" s="59" t="inlineStr"/>
      <c r="M247" s="59" t="inlineStr"/>
      <c r="N247" s="59" t="inlineStr"/>
      <c r="O247" s="59" t="inlineStr"/>
      <c r="P247" s="59" t="inlineStr"/>
      <c r="Q247" s="59" t="inlineStr"/>
      <c r="R247" s="59" t="inlineStr"/>
      <c r="S247" s="59" t="inlineStr"/>
      <c r="T247" s="59" t="inlineStr"/>
      <c r="U247" s="61">
        <f>IF(A247="","",IFERROR(INDEX(E247:T247,MATCH(TRUE,INDEX(E247:T247&lt;&gt;"",0),0)),""))</f>
        <v/>
      </c>
      <c r="V247" s="61">
        <f>IF(A247="","",IFERROR(LOOKUP(2,1/(E247:T247&lt;&gt;""),E247:T247),""))</f>
        <v/>
      </c>
      <c r="W247" s="62">
        <f>IF(OR(A247="",PreviousYear=""),"",IFERROR(LOOKUP(2,1/(E247:T247&lt;&gt;""),E247:T247)-INDEX(E247:T247,MATCH(PreviousYear,$E$5:$T$5,0)),""))</f>
        <v/>
      </c>
      <c r="X247" s="62">
        <f>IF(OR(A247="",U247="",V247=""),"",V247-U247)</f>
        <v/>
      </c>
      <c r="Y247" s="61">
        <f>IF(A247="","",COUNT(E247:T247))</f>
        <v/>
      </c>
    </row>
    <row r="248">
      <c r="A248" s="44">
        <f>IF(AND('Employees'!B21&lt;&gt;"",'Skills'!B8&lt;&gt;""),'Employees'!B21,"")</f>
        <v/>
      </c>
      <c r="B248" s="45">
        <f>IF(A248="","",'Employees'!C21)</f>
        <v/>
      </c>
      <c r="C248" s="58">
        <f>IF(A248="","",'Skills'!B8)</f>
        <v/>
      </c>
      <c r="D248" s="45">
        <f>IF(A248="","",'Skills'!C8)</f>
        <v/>
      </c>
      <c r="E248" s="59" t="inlineStr"/>
      <c r="F248" s="59" t="inlineStr"/>
      <c r="G248" s="59" t="inlineStr"/>
      <c r="H248" s="60" t="inlineStr"/>
      <c r="I248" s="59" t="inlineStr"/>
      <c r="J248" s="59" t="inlineStr"/>
      <c r="K248" s="59" t="inlineStr"/>
      <c r="L248" s="59" t="inlineStr"/>
      <c r="M248" s="59" t="inlineStr"/>
      <c r="N248" s="59" t="inlineStr"/>
      <c r="O248" s="59" t="inlineStr"/>
      <c r="P248" s="59" t="inlineStr"/>
      <c r="Q248" s="59" t="inlineStr"/>
      <c r="R248" s="59" t="inlineStr"/>
      <c r="S248" s="59" t="inlineStr"/>
      <c r="T248" s="59" t="inlineStr"/>
      <c r="U248" s="61">
        <f>IF(A248="","",IFERROR(INDEX(E248:T248,MATCH(TRUE,INDEX(E248:T248&lt;&gt;"",0),0)),""))</f>
        <v/>
      </c>
      <c r="V248" s="61">
        <f>IF(A248="","",IFERROR(LOOKUP(2,1/(E248:T248&lt;&gt;""),E248:T248),""))</f>
        <v/>
      </c>
      <c r="W248" s="62">
        <f>IF(OR(A248="",PreviousYear=""),"",IFERROR(LOOKUP(2,1/(E248:T248&lt;&gt;""),E248:T248)-INDEX(E248:T248,MATCH(PreviousYear,$E$5:$T$5,0)),""))</f>
        <v/>
      </c>
      <c r="X248" s="62">
        <f>IF(OR(A248="",U248="",V248=""),"",V248-U248)</f>
        <v/>
      </c>
      <c r="Y248" s="61">
        <f>IF(A248="","",COUNT(E248:T248))</f>
        <v/>
      </c>
    </row>
    <row r="249">
      <c r="A249" s="44">
        <f>IF(AND('Employees'!B21&lt;&gt;"",'Skills'!B9&lt;&gt;""),'Employees'!B21,"")</f>
        <v/>
      </c>
      <c r="B249" s="45">
        <f>IF(A249="","",'Employees'!C21)</f>
        <v/>
      </c>
      <c r="C249" s="58">
        <f>IF(A249="","",'Skills'!B9)</f>
        <v/>
      </c>
      <c r="D249" s="45">
        <f>IF(A249="","",'Skills'!C9)</f>
        <v/>
      </c>
      <c r="E249" s="59" t="inlineStr"/>
      <c r="F249" s="59" t="inlineStr"/>
      <c r="G249" s="59" t="inlineStr"/>
      <c r="H249" s="60" t="inlineStr"/>
      <c r="I249" s="59" t="inlineStr"/>
      <c r="J249" s="59" t="inlineStr"/>
      <c r="K249" s="59" t="inlineStr"/>
      <c r="L249" s="59" t="inlineStr"/>
      <c r="M249" s="59" t="inlineStr"/>
      <c r="N249" s="59" t="inlineStr"/>
      <c r="O249" s="59" t="inlineStr"/>
      <c r="P249" s="59" t="inlineStr"/>
      <c r="Q249" s="59" t="inlineStr"/>
      <c r="R249" s="59" t="inlineStr"/>
      <c r="S249" s="59" t="inlineStr"/>
      <c r="T249" s="59" t="inlineStr"/>
      <c r="U249" s="61">
        <f>IF(A249="","",IFERROR(INDEX(E249:T249,MATCH(TRUE,INDEX(E249:T249&lt;&gt;"",0),0)),""))</f>
        <v/>
      </c>
      <c r="V249" s="61">
        <f>IF(A249="","",IFERROR(LOOKUP(2,1/(E249:T249&lt;&gt;""),E249:T249),""))</f>
        <v/>
      </c>
      <c r="W249" s="62">
        <f>IF(OR(A249="",PreviousYear=""),"",IFERROR(LOOKUP(2,1/(E249:T249&lt;&gt;""),E249:T249)-INDEX(E249:T249,MATCH(PreviousYear,$E$5:$T$5,0)),""))</f>
        <v/>
      </c>
      <c r="X249" s="62">
        <f>IF(OR(A249="",U249="",V249=""),"",V249-U249)</f>
        <v/>
      </c>
      <c r="Y249" s="61">
        <f>IF(A249="","",COUNT(E249:T249))</f>
        <v/>
      </c>
    </row>
    <row r="250">
      <c r="A250" s="44">
        <f>IF(AND('Employees'!B21&lt;&gt;"",'Skills'!B10&lt;&gt;""),'Employees'!B21,"")</f>
        <v/>
      </c>
      <c r="B250" s="45">
        <f>IF(A250="","",'Employees'!C21)</f>
        <v/>
      </c>
      <c r="C250" s="58">
        <f>IF(A250="","",'Skills'!B10)</f>
        <v/>
      </c>
      <c r="D250" s="45">
        <f>IF(A250="","",'Skills'!C10)</f>
        <v/>
      </c>
      <c r="E250" s="59" t="inlineStr"/>
      <c r="F250" s="59" t="inlineStr"/>
      <c r="G250" s="59" t="inlineStr"/>
      <c r="H250" s="60" t="inlineStr"/>
      <c r="I250" s="59" t="inlineStr"/>
      <c r="J250" s="59" t="inlineStr"/>
      <c r="K250" s="59" t="inlineStr"/>
      <c r="L250" s="59" t="inlineStr"/>
      <c r="M250" s="59" t="inlineStr"/>
      <c r="N250" s="59" t="inlineStr"/>
      <c r="O250" s="59" t="inlineStr"/>
      <c r="P250" s="59" t="inlineStr"/>
      <c r="Q250" s="59" t="inlineStr"/>
      <c r="R250" s="59" t="inlineStr"/>
      <c r="S250" s="59" t="inlineStr"/>
      <c r="T250" s="59" t="inlineStr"/>
      <c r="U250" s="61">
        <f>IF(A250="","",IFERROR(INDEX(E250:T250,MATCH(TRUE,INDEX(E250:T250&lt;&gt;"",0),0)),""))</f>
        <v/>
      </c>
      <c r="V250" s="61">
        <f>IF(A250="","",IFERROR(LOOKUP(2,1/(E250:T250&lt;&gt;""),E250:T250),""))</f>
        <v/>
      </c>
      <c r="W250" s="62">
        <f>IF(OR(A250="",PreviousYear=""),"",IFERROR(LOOKUP(2,1/(E250:T250&lt;&gt;""),E250:T250)-INDEX(E250:T250,MATCH(PreviousYear,$E$5:$T$5,0)),""))</f>
        <v/>
      </c>
      <c r="X250" s="62">
        <f>IF(OR(A250="",U250="",V250=""),"",V250-U250)</f>
        <v/>
      </c>
      <c r="Y250" s="61">
        <f>IF(A250="","",COUNT(E250:T250))</f>
        <v/>
      </c>
    </row>
    <row r="251">
      <c r="A251" s="44">
        <f>IF(AND('Employees'!B21&lt;&gt;"",'Skills'!B11&lt;&gt;""),'Employees'!B21,"")</f>
        <v/>
      </c>
      <c r="B251" s="45">
        <f>IF(A251="","",'Employees'!C21)</f>
        <v/>
      </c>
      <c r="C251" s="58">
        <f>IF(A251="","",'Skills'!B11)</f>
        <v/>
      </c>
      <c r="D251" s="45">
        <f>IF(A251="","",'Skills'!C11)</f>
        <v/>
      </c>
      <c r="E251" s="59" t="inlineStr"/>
      <c r="F251" s="59" t="inlineStr"/>
      <c r="G251" s="59" t="inlineStr"/>
      <c r="H251" s="60" t="inlineStr"/>
      <c r="I251" s="59" t="inlineStr"/>
      <c r="J251" s="59" t="inlineStr"/>
      <c r="K251" s="59" t="inlineStr"/>
      <c r="L251" s="59" t="inlineStr"/>
      <c r="M251" s="59" t="inlineStr"/>
      <c r="N251" s="59" t="inlineStr"/>
      <c r="O251" s="59" t="inlineStr"/>
      <c r="P251" s="59" t="inlineStr"/>
      <c r="Q251" s="59" t="inlineStr"/>
      <c r="R251" s="59" t="inlineStr"/>
      <c r="S251" s="59" t="inlineStr"/>
      <c r="T251" s="59" t="inlineStr"/>
      <c r="U251" s="61">
        <f>IF(A251="","",IFERROR(INDEX(E251:T251,MATCH(TRUE,INDEX(E251:T251&lt;&gt;"",0),0)),""))</f>
        <v/>
      </c>
      <c r="V251" s="61">
        <f>IF(A251="","",IFERROR(LOOKUP(2,1/(E251:T251&lt;&gt;""),E251:T251),""))</f>
        <v/>
      </c>
      <c r="W251" s="62">
        <f>IF(OR(A251="",PreviousYear=""),"",IFERROR(LOOKUP(2,1/(E251:T251&lt;&gt;""),E251:T251)-INDEX(E251:T251,MATCH(PreviousYear,$E$5:$T$5,0)),""))</f>
        <v/>
      </c>
      <c r="X251" s="62">
        <f>IF(OR(A251="",U251="",V251=""),"",V251-U251)</f>
        <v/>
      </c>
      <c r="Y251" s="61">
        <f>IF(A251="","",COUNT(E251:T251))</f>
        <v/>
      </c>
    </row>
    <row r="252">
      <c r="A252" s="44">
        <f>IF(AND('Employees'!B21&lt;&gt;"",'Skills'!B12&lt;&gt;""),'Employees'!B21,"")</f>
        <v/>
      </c>
      <c r="B252" s="45">
        <f>IF(A252="","",'Employees'!C21)</f>
        <v/>
      </c>
      <c r="C252" s="58">
        <f>IF(A252="","",'Skills'!B12)</f>
        <v/>
      </c>
      <c r="D252" s="45">
        <f>IF(A252="","",'Skills'!C12)</f>
        <v/>
      </c>
      <c r="E252" s="59" t="inlineStr"/>
      <c r="F252" s="59" t="inlineStr"/>
      <c r="G252" s="59" t="inlineStr"/>
      <c r="H252" s="60" t="inlineStr"/>
      <c r="I252" s="59" t="inlineStr"/>
      <c r="J252" s="59" t="inlineStr"/>
      <c r="K252" s="59" t="inlineStr"/>
      <c r="L252" s="59" t="inlineStr"/>
      <c r="M252" s="59" t="inlineStr"/>
      <c r="N252" s="59" t="inlineStr"/>
      <c r="O252" s="59" t="inlineStr"/>
      <c r="P252" s="59" t="inlineStr"/>
      <c r="Q252" s="59" t="inlineStr"/>
      <c r="R252" s="59" t="inlineStr"/>
      <c r="S252" s="59" t="inlineStr"/>
      <c r="T252" s="59" t="inlineStr"/>
      <c r="U252" s="61">
        <f>IF(A252="","",IFERROR(INDEX(E252:T252,MATCH(TRUE,INDEX(E252:T252&lt;&gt;"",0),0)),""))</f>
        <v/>
      </c>
      <c r="V252" s="61">
        <f>IF(A252="","",IFERROR(LOOKUP(2,1/(E252:T252&lt;&gt;""),E252:T252),""))</f>
        <v/>
      </c>
      <c r="W252" s="62">
        <f>IF(OR(A252="",PreviousYear=""),"",IFERROR(LOOKUP(2,1/(E252:T252&lt;&gt;""),E252:T252)-INDEX(E252:T252,MATCH(PreviousYear,$E$5:$T$5,0)),""))</f>
        <v/>
      </c>
      <c r="X252" s="62">
        <f>IF(OR(A252="",U252="",V252=""),"",V252-U252)</f>
        <v/>
      </c>
      <c r="Y252" s="61">
        <f>IF(A252="","",COUNT(E252:T252))</f>
        <v/>
      </c>
    </row>
    <row r="253">
      <c r="A253" s="44">
        <f>IF(AND('Employees'!B21&lt;&gt;"",'Skills'!B13&lt;&gt;""),'Employees'!B21,"")</f>
        <v/>
      </c>
      <c r="B253" s="45">
        <f>IF(A253="","",'Employees'!C21)</f>
        <v/>
      </c>
      <c r="C253" s="58">
        <f>IF(A253="","",'Skills'!B13)</f>
        <v/>
      </c>
      <c r="D253" s="45">
        <f>IF(A253="","",'Skills'!C13)</f>
        <v/>
      </c>
      <c r="E253" s="59" t="inlineStr"/>
      <c r="F253" s="59" t="inlineStr"/>
      <c r="G253" s="59" t="inlineStr"/>
      <c r="H253" s="60" t="inlineStr"/>
      <c r="I253" s="59" t="inlineStr"/>
      <c r="J253" s="59" t="inlineStr"/>
      <c r="K253" s="59" t="inlineStr"/>
      <c r="L253" s="59" t="inlineStr"/>
      <c r="M253" s="59" t="inlineStr"/>
      <c r="N253" s="59" t="inlineStr"/>
      <c r="O253" s="59" t="inlineStr"/>
      <c r="P253" s="59" t="inlineStr"/>
      <c r="Q253" s="59" t="inlineStr"/>
      <c r="R253" s="59" t="inlineStr"/>
      <c r="S253" s="59" t="inlineStr"/>
      <c r="T253" s="59" t="inlineStr"/>
      <c r="U253" s="61">
        <f>IF(A253="","",IFERROR(INDEX(E253:T253,MATCH(TRUE,INDEX(E253:T253&lt;&gt;"",0),0)),""))</f>
        <v/>
      </c>
      <c r="V253" s="61">
        <f>IF(A253="","",IFERROR(LOOKUP(2,1/(E253:T253&lt;&gt;""),E253:T253),""))</f>
        <v/>
      </c>
      <c r="W253" s="62">
        <f>IF(OR(A253="",PreviousYear=""),"",IFERROR(LOOKUP(2,1/(E253:T253&lt;&gt;""),E253:T253)-INDEX(E253:T253,MATCH(PreviousYear,$E$5:$T$5,0)),""))</f>
        <v/>
      </c>
      <c r="X253" s="62">
        <f>IF(OR(A253="",U253="",V253=""),"",V253-U253)</f>
        <v/>
      </c>
      <c r="Y253" s="61">
        <f>IF(A253="","",COUNT(E253:T253))</f>
        <v/>
      </c>
    </row>
    <row r="254">
      <c r="A254" s="44">
        <f>IF(AND('Employees'!B21&lt;&gt;"",'Skills'!B14&lt;&gt;""),'Employees'!B21,"")</f>
        <v/>
      </c>
      <c r="B254" s="45">
        <f>IF(A254="","",'Employees'!C21)</f>
        <v/>
      </c>
      <c r="C254" s="58">
        <f>IF(A254="","",'Skills'!B14)</f>
        <v/>
      </c>
      <c r="D254" s="45">
        <f>IF(A254="","",'Skills'!C14)</f>
        <v/>
      </c>
      <c r="E254" s="59" t="inlineStr"/>
      <c r="F254" s="59" t="inlineStr"/>
      <c r="G254" s="59" t="inlineStr"/>
      <c r="H254" s="60" t="inlineStr"/>
      <c r="I254" s="59" t="inlineStr"/>
      <c r="J254" s="59" t="inlineStr"/>
      <c r="K254" s="59" t="inlineStr"/>
      <c r="L254" s="59" t="inlineStr"/>
      <c r="M254" s="59" t="inlineStr"/>
      <c r="N254" s="59" t="inlineStr"/>
      <c r="O254" s="59" t="inlineStr"/>
      <c r="P254" s="59" t="inlineStr"/>
      <c r="Q254" s="59" t="inlineStr"/>
      <c r="R254" s="59" t="inlineStr"/>
      <c r="S254" s="59" t="inlineStr"/>
      <c r="T254" s="59" t="inlineStr"/>
      <c r="U254" s="61">
        <f>IF(A254="","",IFERROR(INDEX(E254:T254,MATCH(TRUE,INDEX(E254:T254&lt;&gt;"",0),0)),""))</f>
        <v/>
      </c>
      <c r="V254" s="61">
        <f>IF(A254="","",IFERROR(LOOKUP(2,1/(E254:T254&lt;&gt;""),E254:T254),""))</f>
        <v/>
      </c>
      <c r="W254" s="62">
        <f>IF(OR(A254="",PreviousYear=""),"",IFERROR(LOOKUP(2,1/(E254:T254&lt;&gt;""),E254:T254)-INDEX(E254:T254,MATCH(PreviousYear,$E$5:$T$5,0)),""))</f>
        <v/>
      </c>
      <c r="X254" s="62">
        <f>IF(OR(A254="",U254="",V254=""),"",V254-U254)</f>
        <v/>
      </c>
      <c r="Y254" s="61">
        <f>IF(A254="","",COUNT(E254:T254))</f>
        <v/>
      </c>
    </row>
    <row r="255">
      <c r="A255" s="44">
        <f>IF(AND('Employees'!B21&lt;&gt;"",'Skills'!B15&lt;&gt;""),'Employees'!B21,"")</f>
        <v/>
      </c>
      <c r="B255" s="45">
        <f>IF(A255="","",'Employees'!C21)</f>
        <v/>
      </c>
      <c r="C255" s="58">
        <f>IF(A255="","",'Skills'!B15)</f>
        <v/>
      </c>
      <c r="D255" s="45">
        <f>IF(A255="","",'Skills'!C15)</f>
        <v/>
      </c>
      <c r="E255" s="59" t="inlineStr"/>
      <c r="F255" s="59" t="inlineStr"/>
      <c r="G255" s="59" t="inlineStr"/>
      <c r="H255" s="60" t="inlineStr"/>
      <c r="I255" s="59" t="inlineStr"/>
      <c r="J255" s="59" t="inlineStr"/>
      <c r="K255" s="59" t="inlineStr"/>
      <c r="L255" s="59" t="inlineStr"/>
      <c r="M255" s="59" t="inlineStr"/>
      <c r="N255" s="59" t="inlineStr"/>
      <c r="O255" s="59" t="inlineStr"/>
      <c r="P255" s="59" t="inlineStr"/>
      <c r="Q255" s="59" t="inlineStr"/>
      <c r="R255" s="59" t="inlineStr"/>
      <c r="S255" s="59" t="inlineStr"/>
      <c r="T255" s="59" t="inlineStr"/>
      <c r="U255" s="61">
        <f>IF(A255="","",IFERROR(INDEX(E255:T255,MATCH(TRUE,INDEX(E255:T255&lt;&gt;"",0),0)),""))</f>
        <v/>
      </c>
      <c r="V255" s="61">
        <f>IF(A255="","",IFERROR(LOOKUP(2,1/(E255:T255&lt;&gt;""),E255:T255),""))</f>
        <v/>
      </c>
      <c r="W255" s="62">
        <f>IF(OR(A255="",PreviousYear=""),"",IFERROR(LOOKUP(2,1/(E255:T255&lt;&gt;""),E255:T255)-INDEX(E255:T255,MATCH(PreviousYear,$E$5:$T$5,0)),""))</f>
        <v/>
      </c>
      <c r="X255" s="62">
        <f>IF(OR(A255="",U255="",V255=""),"",V255-U255)</f>
        <v/>
      </c>
      <c r="Y255" s="61">
        <f>IF(A255="","",COUNT(E255:T255))</f>
        <v/>
      </c>
    </row>
    <row r="256">
      <c r="A256" s="44">
        <f>IF(AND('Employees'!B21&lt;&gt;"",'Skills'!B16&lt;&gt;""),'Employees'!B21,"")</f>
        <v/>
      </c>
      <c r="B256" s="45">
        <f>IF(A256="","",'Employees'!C21)</f>
        <v/>
      </c>
      <c r="C256" s="58">
        <f>IF(A256="","",'Skills'!B16)</f>
        <v/>
      </c>
      <c r="D256" s="45">
        <f>IF(A256="","",'Skills'!C16)</f>
        <v/>
      </c>
      <c r="E256" s="59" t="inlineStr"/>
      <c r="F256" s="59" t="inlineStr"/>
      <c r="G256" s="59" t="inlineStr"/>
      <c r="H256" s="60" t="inlineStr"/>
      <c r="I256" s="59" t="inlineStr"/>
      <c r="J256" s="59" t="inlineStr"/>
      <c r="K256" s="59" t="inlineStr"/>
      <c r="L256" s="59" t="inlineStr"/>
      <c r="M256" s="59" t="inlineStr"/>
      <c r="N256" s="59" t="inlineStr"/>
      <c r="O256" s="59" t="inlineStr"/>
      <c r="P256" s="59" t="inlineStr"/>
      <c r="Q256" s="59" t="inlineStr"/>
      <c r="R256" s="59" t="inlineStr"/>
      <c r="S256" s="59" t="inlineStr"/>
      <c r="T256" s="59" t="inlineStr"/>
      <c r="U256" s="61">
        <f>IF(A256="","",IFERROR(INDEX(E256:T256,MATCH(TRUE,INDEX(E256:T256&lt;&gt;"",0),0)),""))</f>
        <v/>
      </c>
      <c r="V256" s="61">
        <f>IF(A256="","",IFERROR(LOOKUP(2,1/(E256:T256&lt;&gt;""),E256:T256),""))</f>
        <v/>
      </c>
      <c r="W256" s="62">
        <f>IF(OR(A256="",PreviousYear=""),"",IFERROR(LOOKUP(2,1/(E256:T256&lt;&gt;""),E256:T256)-INDEX(E256:T256,MATCH(PreviousYear,$E$5:$T$5,0)),""))</f>
        <v/>
      </c>
      <c r="X256" s="62">
        <f>IF(OR(A256="",U256="",V256=""),"",V256-U256)</f>
        <v/>
      </c>
      <c r="Y256" s="61">
        <f>IF(A256="","",COUNT(E256:T256))</f>
        <v/>
      </c>
    </row>
    <row r="257">
      <c r="A257" s="44">
        <f>IF(AND('Employees'!B21&lt;&gt;"",'Skills'!B17&lt;&gt;""),'Employees'!B21,"")</f>
        <v/>
      </c>
      <c r="B257" s="45">
        <f>IF(A257="","",'Employees'!C21)</f>
        <v/>
      </c>
      <c r="C257" s="58">
        <f>IF(A257="","",'Skills'!B17)</f>
        <v/>
      </c>
      <c r="D257" s="45">
        <f>IF(A257="","",'Skills'!C17)</f>
        <v/>
      </c>
      <c r="E257" s="59" t="inlineStr"/>
      <c r="F257" s="59" t="inlineStr"/>
      <c r="G257" s="59" t="inlineStr"/>
      <c r="H257" s="60" t="inlineStr"/>
      <c r="I257" s="59" t="inlineStr"/>
      <c r="J257" s="59" t="inlineStr"/>
      <c r="K257" s="59" t="inlineStr"/>
      <c r="L257" s="59" t="inlineStr"/>
      <c r="M257" s="59" t="inlineStr"/>
      <c r="N257" s="59" t="inlineStr"/>
      <c r="O257" s="59" t="inlineStr"/>
      <c r="P257" s="59" t="inlineStr"/>
      <c r="Q257" s="59" t="inlineStr"/>
      <c r="R257" s="59" t="inlineStr"/>
      <c r="S257" s="59" t="inlineStr"/>
      <c r="T257" s="59" t="inlineStr"/>
      <c r="U257" s="61">
        <f>IF(A257="","",IFERROR(INDEX(E257:T257,MATCH(TRUE,INDEX(E257:T257&lt;&gt;"",0),0)),""))</f>
        <v/>
      </c>
      <c r="V257" s="61">
        <f>IF(A257="","",IFERROR(LOOKUP(2,1/(E257:T257&lt;&gt;""),E257:T257),""))</f>
        <v/>
      </c>
      <c r="W257" s="62">
        <f>IF(OR(A257="",PreviousYear=""),"",IFERROR(LOOKUP(2,1/(E257:T257&lt;&gt;""),E257:T257)-INDEX(E257:T257,MATCH(PreviousYear,$E$5:$T$5,0)),""))</f>
        <v/>
      </c>
      <c r="X257" s="62">
        <f>IF(OR(A257="",U257="",V257=""),"",V257-U257)</f>
        <v/>
      </c>
      <c r="Y257" s="61">
        <f>IF(A257="","",COUNT(E257:T257))</f>
        <v/>
      </c>
    </row>
    <row r="258">
      <c r="A258" s="44">
        <f>IF(AND('Employees'!B21&lt;&gt;"",'Skills'!B18&lt;&gt;""),'Employees'!B21,"")</f>
        <v/>
      </c>
      <c r="B258" s="45">
        <f>IF(A258="","",'Employees'!C21)</f>
        <v/>
      </c>
      <c r="C258" s="58">
        <f>IF(A258="","",'Skills'!B18)</f>
        <v/>
      </c>
      <c r="D258" s="45">
        <f>IF(A258="","",'Skills'!C18)</f>
        <v/>
      </c>
      <c r="E258" s="59" t="inlineStr"/>
      <c r="F258" s="59" t="inlineStr"/>
      <c r="G258" s="59" t="inlineStr"/>
      <c r="H258" s="60" t="inlineStr"/>
      <c r="I258" s="59" t="inlineStr"/>
      <c r="J258" s="59" t="inlineStr"/>
      <c r="K258" s="59" t="inlineStr"/>
      <c r="L258" s="59" t="inlineStr"/>
      <c r="M258" s="59" t="inlineStr"/>
      <c r="N258" s="59" t="inlineStr"/>
      <c r="O258" s="59" t="inlineStr"/>
      <c r="P258" s="59" t="inlineStr"/>
      <c r="Q258" s="59" t="inlineStr"/>
      <c r="R258" s="59" t="inlineStr"/>
      <c r="S258" s="59" t="inlineStr"/>
      <c r="T258" s="59" t="inlineStr"/>
      <c r="U258" s="61">
        <f>IF(A258="","",IFERROR(INDEX(E258:T258,MATCH(TRUE,INDEX(E258:T258&lt;&gt;"",0),0)),""))</f>
        <v/>
      </c>
      <c r="V258" s="61">
        <f>IF(A258="","",IFERROR(LOOKUP(2,1/(E258:T258&lt;&gt;""),E258:T258),""))</f>
        <v/>
      </c>
      <c r="W258" s="62">
        <f>IF(OR(A258="",PreviousYear=""),"",IFERROR(LOOKUP(2,1/(E258:T258&lt;&gt;""),E258:T258)-INDEX(E258:T258,MATCH(PreviousYear,$E$5:$T$5,0)),""))</f>
        <v/>
      </c>
      <c r="X258" s="62">
        <f>IF(OR(A258="",U258="",V258=""),"",V258-U258)</f>
        <v/>
      </c>
      <c r="Y258" s="61">
        <f>IF(A258="","",COUNT(E258:T258))</f>
        <v/>
      </c>
    </row>
    <row r="259">
      <c r="A259" s="44">
        <f>IF(AND('Employees'!B21&lt;&gt;"",'Skills'!B19&lt;&gt;""),'Employees'!B21,"")</f>
        <v/>
      </c>
      <c r="B259" s="45">
        <f>IF(A259="","",'Employees'!C21)</f>
        <v/>
      </c>
      <c r="C259" s="58">
        <f>IF(A259="","",'Skills'!B19)</f>
        <v/>
      </c>
      <c r="D259" s="45">
        <f>IF(A259="","",'Skills'!C19)</f>
        <v/>
      </c>
      <c r="E259" s="59" t="inlineStr"/>
      <c r="F259" s="59" t="inlineStr"/>
      <c r="G259" s="59" t="inlineStr"/>
      <c r="H259" s="60" t="inlineStr"/>
      <c r="I259" s="59" t="inlineStr"/>
      <c r="J259" s="59" t="inlineStr"/>
      <c r="K259" s="59" t="inlineStr"/>
      <c r="L259" s="59" t="inlineStr"/>
      <c r="M259" s="59" t="inlineStr"/>
      <c r="N259" s="59" t="inlineStr"/>
      <c r="O259" s="59" t="inlineStr"/>
      <c r="P259" s="59" t="inlineStr"/>
      <c r="Q259" s="59" t="inlineStr"/>
      <c r="R259" s="59" t="inlineStr"/>
      <c r="S259" s="59" t="inlineStr"/>
      <c r="T259" s="59" t="inlineStr"/>
      <c r="U259" s="61">
        <f>IF(A259="","",IFERROR(INDEX(E259:T259,MATCH(TRUE,INDEX(E259:T259&lt;&gt;"",0),0)),""))</f>
        <v/>
      </c>
      <c r="V259" s="61">
        <f>IF(A259="","",IFERROR(LOOKUP(2,1/(E259:T259&lt;&gt;""),E259:T259),""))</f>
        <v/>
      </c>
      <c r="W259" s="62">
        <f>IF(OR(A259="",PreviousYear=""),"",IFERROR(LOOKUP(2,1/(E259:T259&lt;&gt;""),E259:T259)-INDEX(E259:T259,MATCH(PreviousYear,$E$5:$T$5,0)),""))</f>
        <v/>
      </c>
      <c r="X259" s="62">
        <f>IF(OR(A259="",U259="",V259=""),"",V259-U259)</f>
        <v/>
      </c>
      <c r="Y259" s="61">
        <f>IF(A259="","",COUNT(E259:T259))</f>
        <v/>
      </c>
    </row>
    <row r="260">
      <c r="A260" s="44">
        <f>IF(AND('Employees'!B21&lt;&gt;"",'Skills'!B20&lt;&gt;""),'Employees'!B21,"")</f>
        <v/>
      </c>
      <c r="B260" s="45">
        <f>IF(A260="","",'Employees'!C21)</f>
        <v/>
      </c>
      <c r="C260" s="58">
        <f>IF(A260="","",'Skills'!B20)</f>
        <v/>
      </c>
      <c r="D260" s="45">
        <f>IF(A260="","",'Skills'!C20)</f>
        <v/>
      </c>
      <c r="E260" s="59" t="inlineStr"/>
      <c r="F260" s="59" t="inlineStr"/>
      <c r="G260" s="59" t="inlineStr"/>
      <c r="H260" s="60" t="inlineStr"/>
      <c r="I260" s="59" t="inlineStr"/>
      <c r="J260" s="59" t="inlineStr"/>
      <c r="K260" s="59" t="inlineStr"/>
      <c r="L260" s="59" t="inlineStr"/>
      <c r="M260" s="59" t="inlineStr"/>
      <c r="N260" s="59" t="inlineStr"/>
      <c r="O260" s="59" t="inlineStr"/>
      <c r="P260" s="59" t="inlineStr"/>
      <c r="Q260" s="59" t="inlineStr"/>
      <c r="R260" s="59" t="inlineStr"/>
      <c r="S260" s="59" t="inlineStr"/>
      <c r="T260" s="59" t="inlineStr"/>
      <c r="U260" s="61">
        <f>IF(A260="","",IFERROR(INDEX(E260:T260,MATCH(TRUE,INDEX(E260:T260&lt;&gt;"",0),0)),""))</f>
        <v/>
      </c>
      <c r="V260" s="61">
        <f>IF(A260="","",IFERROR(LOOKUP(2,1/(E260:T260&lt;&gt;""),E260:T260),""))</f>
        <v/>
      </c>
      <c r="W260" s="62">
        <f>IF(OR(A260="",PreviousYear=""),"",IFERROR(LOOKUP(2,1/(E260:T260&lt;&gt;""),E260:T260)-INDEX(E260:T260,MATCH(PreviousYear,$E$5:$T$5,0)),""))</f>
        <v/>
      </c>
      <c r="X260" s="62">
        <f>IF(OR(A260="",U260="",V260=""),"",V260-U260)</f>
        <v/>
      </c>
      <c r="Y260" s="61">
        <f>IF(A260="","",COUNT(E260:T260))</f>
        <v/>
      </c>
    </row>
    <row r="261">
      <c r="A261" s="44">
        <f>IF(AND('Employees'!B21&lt;&gt;"",'Skills'!B21&lt;&gt;""),'Employees'!B21,"")</f>
        <v/>
      </c>
      <c r="B261" s="45">
        <f>IF(A261="","",'Employees'!C21)</f>
        <v/>
      </c>
      <c r="C261" s="58">
        <f>IF(A261="","",'Skills'!B21)</f>
        <v/>
      </c>
      <c r="D261" s="45">
        <f>IF(A261="","",'Skills'!C21)</f>
        <v/>
      </c>
      <c r="E261" s="59" t="inlineStr"/>
      <c r="F261" s="59" t="inlineStr"/>
      <c r="G261" s="59" t="inlineStr"/>
      <c r="H261" s="60" t="inlineStr"/>
      <c r="I261" s="59" t="inlineStr"/>
      <c r="J261" s="59" t="inlineStr"/>
      <c r="K261" s="59" t="inlineStr"/>
      <c r="L261" s="59" t="inlineStr"/>
      <c r="M261" s="59" t="inlineStr"/>
      <c r="N261" s="59" t="inlineStr"/>
      <c r="O261" s="59" t="inlineStr"/>
      <c r="P261" s="59" t="inlineStr"/>
      <c r="Q261" s="59" t="inlineStr"/>
      <c r="R261" s="59" t="inlineStr"/>
      <c r="S261" s="59" t="inlineStr"/>
      <c r="T261" s="59" t="inlineStr"/>
      <c r="U261" s="61">
        <f>IF(A261="","",IFERROR(INDEX(E261:T261,MATCH(TRUE,INDEX(E261:T261&lt;&gt;"",0),0)),""))</f>
        <v/>
      </c>
      <c r="V261" s="61">
        <f>IF(A261="","",IFERROR(LOOKUP(2,1/(E261:T261&lt;&gt;""),E261:T261),""))</f>
        <v/>
      </c>
      <c r="W261" s="62">
        <f>IF(OR(A261="",PreviousYear=""),"",IFERROR(LOOKUP(2,1/(E261:T261&lt;&gt;""),E261:T261)-INDEX(E261:T261,MATCH(PreviousYear,$E$5:$T$5,0)),""))</f>
        <v/>
      </c>
      <c r="X261" s="62">
        <f>IF(OR(A261="",U261="",V261=""),"",V261-U261)</f>
        <v/>
      </c>
      <c r="Y261" s="61">
        <f>IF(A261="","",COUNT(E261:T261))</f>
        <v/>
      </c>
    </row>
  </sheetData>
  <autoFilter ref="A5:Y261"/>
  <mergeCells count="4">
    <mergeCell ref="A1:B2"/>
    <mergeCell ref="I2:Y2"/>
    <mergeCell ref="A3:Y3"/>
    <mergeCell ref="C2:H2"/>
  </mergeCells>
  <conditionalFormatting sqref="E5:T5">
    <cfRule type="expression" priority="1" dxfId="6">
      <formula>E5=CalendarYear</formula>
    </cfRule>
  </conditionalFormatting>
  <conditionalFormatting sqref="E6:T261">
    <cfRule type="cellIs" priority="2" operator="equal" dxfId="0">
      <formula>1</formula>
    </cfRule>
    <cfRule type="cellIs" priority="3" operator="equal" dxfId="1">
      <formula>2</formula>
    </cfRule>
    <cfRule type="cellIs" priority="4" operator="equal" dxfId="2">
      <formula>3</formula>
    </cfRule>
    <cfRule type="cellIs" priority="5" operator="equal" dxfId="3">
      <formula>4</formula>
    </cfRule>
    <cfRule type="cellIs" priority="6" operator="equal" dxfId="4">
      <formula>5</formula>
    </cfRule>
    <cfRule type="expression" priority="10" dxfId="7">
      <formula>AND(E$5=CalendarYear,E6="")</formula>
    </cfRule>
  </conditionalFormatting>
  <conditionalFormatting sqref="W6:X261">
    <cfRule type="cellIs" priority="7" operator="greaterThan" dxfId="8">
      <formula>0</formula>
    </cfRule>
    <cfRule type="cellIs" priority="8" operator="lessThan" dxfId="9">
      <formula>0</formula>
    </cfRule>
    <cfRule type="cellIs" priority="9" operator="equal" dxfId="10">
      <formula>0</formula>
    </cfRule>
  </conditionalFormatting>
  <dataValidations count="1">
    <dataValidation sqref="E6:T261" showDropDown="0" showInputMessage="1" showErrorMessage="1" allowBlank="1" errorTitle="Rating must be 1–5" error="Enter a whole number from 1 (beginner) to 5 (expert), or leave blank." promptTitle="Skill rating" prompt="1 beginner · 2 basic · 3 competent · 4 proficient · 5 expert" type="whole" operator="between">
      <formula1>1</formula1>
      <formula2>5</formula2>
    </dataValidation>
  </dataValidation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landscape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L27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28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3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  <c r="K1" s="5" t="n"/>
      <c r="L1" s="5" t="n"/>
    </row>
    <row r="2" ht="28" customHeight="1">
      <c r="A2" s="2" t="n"/>
      <c r="B2" s="2" t="n"/>
      <c r="C2" s="6" t="inlineStr">
        <is>
          <t>Dashboard</t>
        </is>
      </c>
    </row>
    <row r="3" ht="32" customHeight="1">
      <c r="A3" s="63" t="inlineStr">
        <is>
          <t>Look at Team, Skillsets, or Individual, then From year and To year. The Skillset dropdown is the job to fill: switch Look at to Skillsets and everyone is ranked on that skill. Top row is the best candidate.</t>
        </is>
      </c>
    </row>
    <row r="5" ht="28" customHeight="1">
      <c r="A5" s="64" t="inlineStr">
        <is>
          <t>Look at</t>
        </is>
      </c>
      <c r="B5" s="65" t="inlineStr">
        <is>
          <t>Team</t>
        </is>
      </c>
      <c r="C5" s="64" t="inlineStr">
        <is>
          <t>From year</t>
        </is>
      </c>
      <c r="D5" s="66" t="n">
        <v>2023</v>
      </c>
      <c r="E5" s="64" t="inlineStr">
        <is>
          <t>To year</t>
        </is>
      </c>
      <c r="F5" s="66" t="n">
        <v>2026</v>
      </c>
    </row>
    <row r="6" ht="28" customHeight="1">
      <c r="A6" s="67" t="inlineStr">
        <is>
          <t>Department</t>
        </is>
      </c>
      <c r="B6" s="68" t="inlineStr">
        <is>
          <t>(All departments)</t>
        </is>
      </c>
      <c r="C6" s="67" t="inlineStr">
        <is>
          <t>Skillset</t>
        </is>
      </c>
      <c r="D6" s="68" t="inlineStr">
        <is>
          <t>Broadcast Camera Operation</t>
        </is>
      </c>
      <c r="E6" s="67" t="inlineStr">
        <is>
          <t>Employee</t>
        </is>
      </c>
      <c r="F6" s="68" t="inlineStr">
        <is>
          <t>Alex Rivera</t>
        </is>
      </c>
      <c r="G6" s="35" t="inlineStr">
        <is>
          <t>Team uses Department. Skillsets uses Skillset (who can do that job). Individual uses Employee.</t>
        </is>
      </c>
    </row>
    <row r="7">
      <c r="A7" s="19">
        <f>IF(ViewMode="Team","Team: year-on-year overall ratings"&amp;IF(DeptFilter="(All departments)","","  |  "&amp;DeptFilter)&amp;"  ("&amp;DashFromYear&amp;" vs "&amp;DashToYear&amp;")",IF(ViewMode="Skillsets","Who is the best candidate for the job: "&amp;SkillSetFilter&amp;"  ("&amp;DashFromYear&amp;" vs "&amp;DashToYear&amp;")","Individual: "&amp;EmpFilter&amp;" vs themselves  ("&amp;DashFromYear&amp;" vs "&amp;DashToYear&amp;")"))</f>
        <v/>
      </c>
    </row>
    <row r="8" ht="28" customHeight="1">
      <c r="A8" s="69">
        <f>IF(ViewMode="Team","Year",IF(ViewMode="Skillsets","Rank","Skillset"))</f>
        <v/>
      </c>
      <c r="B8" s="69">
        <f>IF(ViewMode="Team","Overall rating",IF(ViewMode="Skillsets","Employee","From"))</f>
        <v/>
      </c>
      <c r="C8" s="69">
        <f>IF(ViewMode="Team","Change vs prior year",IF(ViewMode="Skillsets","Department","To"))</f>
        <v/>
      </c>
      <c r="D8" s="69">
        <f>IF(ViewMode="Skillsets",DashFromYear,IF(ViewMode="Individual","Change",""))</f>
        <v/>
      </c>
      <c r="E8" s="69">
        <f>IF(ViewMode="Skillsets",DashToYear,"")</f>
        <v/>
      </c>
      <c r="F8" s="69">
        <f>IF(ViewMode="Skillsets","Change","")</f>
        <v/>
      </c>
    </row>
    <row r="9">
      <c r="A9" s="70">
        <f>IF(ViewMode="Team",IF(Calc!A5="","",Calc!A5),IF(ViewMode="Skillsets",IF(Calc!S8="","",1),IF(Calc!G5="","",Calc!G5)))</f>
        <v/>
      </c>
      <c r="B9" s="71">
        <f>IF(ViewMode="Team",IF(A9="","",IF(ISNA(Calc!B5),"",Calc!B5)),IF(ViewMode="Skillsets",IF(A9="","",Calc!S8),IF(A9="","",IF(Calc!H5="","",Calc!H5))))</f>
        <v/>
      </c>
      <c r="C9" s="72">
        <f>IF(ViewMode="Team",IF(OR(A9="",B9="",NOT(ISNUMBER(B9)),NOT(ISNUMBER(B8))),"",B9-B8),IF(ViewMode="Skillsets",IF(B9="","",IFERROR(INDEX(Employees!C6:C21,MATCH(B9,Employees!B6:B21,0)),"")),IF(A9="","",IF(Calc!I5="","",Calc!I5))))</f>
        <v/>
      </c>
      <c r="D9" s="72">
        <f>IF(ViewMode="Skillsets",IF(B9="","",IFERROR(INDEX(Calc!N8:N23,MATCH(B9,Calc!L8:L23,0)),"")),IF(ViewMode="Individual",IF(OR(B9="",C9=""),"",C9-B9),""))</f>
        <v/>
      </c>
      <c r="E9" s="72">
        <f>IF(ViewMode&lt;&gt;"Skillsets","",IF(B9="","",Calc!T8))</f>
        <v/>
      </c>
      <c r="F9" s="73">
        <f>IF(ViewMode&lt;&gt;"Skillsets","",IF(OR(D9="",E9=""),"",E9-D9))</f>
        <v/>
      </c>
    </row>
    <row r="10">
      <c r="A10" s="70">
        <f>IF(ViewMode="Team",IF(Calc!A6="","",Calc!A6),IF(ViewMode="Skillsets",IF(Calc!S9="","",2),IF(Calc!G6="","",Calc!G6)))</f>
        <v/>
      </c>
      <c r="B10" s="71">
        <f>IF(ViewMode="Team",IF(A10="","",IF(ISNA(Calc!B6),"",Calc!B6)),IF(ViewMode="Skillsets",IF(A10="","",Calc!S9),IF(A10="","",IF(Calc!H6="","",Calc!H6))))</f>
        <v/>
      </c>
      <c r="C10" s="72">
        <f>IF(ViewMode="Team",IF(OR(A10="",B10="",NOT(ISNUMBER(B10)),NOT(ISNUMBER(B9))),"",B10-B9),IF(ViewMode="Skillsets",IF(B10="","",IFERROR(INDEX(Employees!C6:C21,MATCH(B10,Employees!B6:B21,0)),"")),IF(A10="","",IF(Calc!I6="","",Calc!I6))))</f>
        <v/>
      </c>
      <c r="D10" s="72">
        <f>IF(ViewMode="Skillsets",IF(B10="","",IFERROR(INDEX(Calc!N8:N23,MATCH(B10,Calc!L8:L23,0)),"")),IF(ViewMode="Individual",IF(OR(B10="",C10=""),"",C10-B10),""))</f>
        <v/>
      </c>
      <c r="E10" s="72">
        <f>IF(ViewMode&lt;&gt;"Skillsets","",IF(B10="","",Calc!T9))</f>
        <v/>
      </c>
      <c r="F10" s="73">
        <f>IF(ViewMode&lt;&gt;"Skillsets","",IF(OR(D10="",E10=""),"",E10-D10))</f>
        <v/>
      </c>
    </row>
    <row r="11">
      <c r="A11" s="70">
        <f>IF(ViewMode="Team",IF(Calc!A7="","",Calc!A7),IF(ViewMode="Skillsets",IF(Calc!S10="","",3),IF(Calc!G7="","",Calc!G7)))</f>
        <v/>
      </c>
      <c r="B11" s="71">
        <f>IF(ViewMode="Team",IF(A11="","",IF(ISNA(Calc!B7),"",Calc!B7)),IF(ViewMode="Skillsets",IF(A11="","",Calc!S10),IF(A11="","",IF(Calc!H7="","",Calc!H7))))</f>
        <v/>
      </c>
      <c r="C11" s="72">
        <f>IF(ViewMode="Team",IF(OR(A11="",B11="",NOT(ISNUMBER(B11)),NOT(ISNUMBER(B10))),"",B11-B10),IF(ViewMode="Skillsets",IF(B11="","",IFERROR(INDEX(Employees!C6:C21,MATCH(B11,Employees!B6:B21,0)),"")),IF(A11="","",IF(Calc!I7="","",Calc!I7))))</f>
        <v/>
      </c>
      <c r="D11" s="72">
        <f>IF(ViewMode="Skillsets",IF(B11="","",IFERROR(INDEX(Calc!N8:N23,MATCH(B11,Calc!L8:L23,0)),"")),IF(ViewMode="Individual",IF(OR(B11="",C11=""),"",C11-B11),""))</f>
        <v/>
      </c>
      <c r="E11" s="72">
        <f>IF(ViewMode&lt;&gt;"Skillsets","",IF(B11="","",Calc!T10))</f>
        <v/>
      </c>
      <c r="F11" s="73">
        <f>IF(ViewMode&lt;&gt;"Skillsets","",IF(OR(D11="",E11=""),"",E11-D11))</f>
        <v/>
      </c>
    </row>
    <row r="12">
      <c r="A12" s="70">
        <f>IF(ViewMode="Team",IF(Calc!A8="","",Calc!A8),IF(ViewMode="Skillsets",IF(Calc!S11="","",4),IF(Calc!G8="","",Calc!G8)))</f>
        <v/>
      </c>
      <c r="B12" s="71">
        <f>IF(ViewMode="Team",IF(A12="","",IF(ISNA(Calc!B8),"",Calc!B8)),IF(ViewMode="Skillsets",IF(A12="","",Calc!S11),IF(A12="","",IF(Calc!H8="","",Calc!H8))))</f>
        <v/>
      </c>
      <c r="C12" s="72">
        <f>IF(ViewMode="Team",IF(OR(A12="",B12="",NOT(ISNUMBER(B12)),NOT(ISNUMBER(B11))),"",B12-B11),IF(ViewMode="Skillsets",IF(B12="","",IFERROR(INDEX(Employees!C6:C21,MATCH(B12,Employees!B6:B21,0)),"")),IF(A12="","",IF(Calc!I8="","",Calc!I8))))</f>
        <v/>
      </c>
      <c r="D12" s="72">
        <f>IF(ViewMode="Skillsets",IF(B12="","",IFERROR(INDEX(Calc!N8:N23,MATCH(B12,Calc!L8:L23,0)),"")),IF(ViewMode="Individual",IF(OR(B12="",C12=""),"",C12-B12),""))</f>
        <v/>
      </c>
      <c r="E12" s="72">
        <f>IF(ViewMode&lt;&gt;"Skillsets","",IF(B12="","",Calc!T11))</f>
        <v/>
      </c>
      <c r="F12" s="73">
        <f>IF(ViewMode&lt;&gt;"Skillsets","",IF(OR(D12="",E12=""),"",E12-D12))</f>
        <v/>
      </c>
    </row>
    <row r="13">
      <c r="A13" s="70">
        <f>IF(ViewMode="Team",IF(Calc!A9="","",Calc!A9),IF(ViewMode="Skillsets",IF(Calc!S12="","",5),IF(Calc!G9="","",Calc!G9)))</f>
        <v/>
      </c>
      <c r="B13" s="71">
        <f>IF(ViewMode="Team",IF(A13="","",IF(ISNA(Calc!B9),"",Calc!B9)),IF(ViewMode="Skillsets",IF(A13="","",Calc!S12),IF(A13="","",IF(Calc!H9="","",Calc!H9))))</f>
        <v/>
      </c>
      <c r="C13" s="72">
        <f>IF(ViewMode="Team",IF(OR(A13="",B13="",NOT(ISNUMBER(B13)),NOT(ISNUMBER(B12))),"",B13-B12),IF(ViewMode="Skillsets",IF(B13="","",IFERROR(INDEX(Employees!C6:C21,MATCH(B13,Employees!B6:B21,0)),"")),IF(A13="","",IF(Calc!I9="","",Calc!I9))))</f>
        <v/>
      </c>
      <c r="D13" s="72">
        <f>IF(ViewMode="Skillsets",IF(B13="","",IFERROR(INDEX(Calc!N8:N23,MATCH(B13,Calc!L8:L23,0)),"")),IF(ViewMode="Individual",IF(OR(B13="",C13=""),"",C13-B13),""))</f>
        <v/>
      </c>
      <c r="E13" s="72">
        <f>IF(ViewMode&lt;&gt;"Skillsets","",IF(B13="","",Calc!T12))</f>
        <v/>
      </c>
      <c r="F13" s="73">
        <f>IF(ViewMode&lt;&gt;"Skillsets","",IF(OR(D13="",E13=""),"",E13-D13))</f>
        <v/>
      </c>
    </row>
    <row r="14">
      <c r="A14" s="70">
        <f>IF(ViewMode="Team",IF(Calc!A10="","",Calc!A10),IF(ViewMode="Skillsets",IF(Calc!S13="","",6),IF(Calc!G10="","",Calc!G10)))</f>
        <v/>
      </c>
      <c r="B14" s="71">
        <f>IF(ViewMode="Team",IF(A14="","",IF(ISNA(Calc!B10),"",Calc!B10)),IF(ViewMode="Skillsets",IF(A14="","",Calc!S13),IF(A14="","",IF(Calc!H10="","",Calc!H10))))</f>
        <v/>
      </c>
      <c r="C14" s="72">
        <f>IF(ViewMode="Team",IF(OR(A14="",B14="",NOT(ISNUMBER(B14)),NOT(ISNUMBER(B13))),"",B14-B13),IF(ViewMode="Skillsets",IF(B14="","",IFERROR(INDEX(Employees!C6:C21,MATCH(B14,Employees!B6:B21,0)),"")),IF(A14="","",IF(Calc!I10="","",Calc!I10))))</f>
        <v/>
      </c>
      <c r="D14" s="72">
        <f>IF(ViewMode="Skillsets",IF(B14="","",IFERROR(INDEX(Calc!N8:N23,MATCH(B14,Calc!L8:L23,0)),"")),IF(ViewMode="Individual",IF(OR(B14="",C14=""),"",C14-B14),""))</f>
        <v/>
      </c>
      <c r="E14" s="72">
        <f>IF(ViewMode&lt;&gt;"Skillsets","",IF(B14="","",Calc!T13))</f>
        <v/>
      </c>
      <c r="F14" s="73">
        <f>IF(ViewMode&lt;&gt;"Skillsets","",IF(OR(D14="",E14=""),"",E14-D14))</f>
        <v/>
      </c>
    </row>
    <row r="15">
      <c r="A15" s="70">
        <f>IF(ViewMode="Team",IF(Calc!A11="","",Calc!A11),IF(ViewMode="Skillsets",IF(Calc!S14="","",7),IF(Calc!G11="","",Calc!G11)))</f>
        <v/>
      </c>
      <c r="B15" s="71">
        <f>IF(ViewMode="Team",IF(A15="","",IF(ISNA(Calc!B11),"",Calc!B11)),IF(ViewMode="Skillsets",IF(A15="","",Calc!S14),IF(A15="","",IF(Calc!H11="","",Calc!H11))))</f>
        <v/>
      </c>
      <c r="C15" s="72">
        <f>IF(ViewMode="Team",IF(OR(A15="",B15="",NOT(ISNUMBER(B15)),NOT(ISNUMBER(B14))),"",B15-B14),IF(ViewMode="Skillsets",IF(B15="","",IFERROR(INDEX(Employees!C6:C21,MATCH(B15,Employees!B6:B21,0)),"")),IF(A15="","",IF(Calc!I11="","",Calc!I11))))</f>
        <v/>
      </c>
      <c r="D15" s="72">
        <f>IF(ViewMode="Skillsets",IF(B15="","",IFERROR(INDEX(Calc!N8:N23,MATCH(B15,Calc!L8:L23,0)),"")),IF(ViewMode="Individual",IF(OR(B15="",C15=""),"",C15-B15),""))</f>
        <v/>
      </c>
      <c r="E15" s="72">
        <f>IF(ViewMode&lt;&gt;"Skillsets","",IF(B15="","",Calc!T14))</f>
        <v/>
      </c>
      <c r="F15" s="73">
        <f>IF(ViewMode&lt;&gt;"Skillsets","",IF(OR(D15="",E15=""),"",E15-D15))</f>
        <v/>
      </c>
    </row>
    <row r="16">
      <c r="A16" s="70">
        <f>IF(ViewMode="Team",IF(Calc!A12="","",Calc!A12),IF(ViewMode="Skillsets",IF(Calc!S15="","",8),IF(Calc!G12="","",Calc!G12)))</f>
        <v/>
      </c>
      <c r="B16" s="71">
        <f>IF(ViewMode="Team",IF(A16="","",IF(ISNA(Calc!B12),"",Calc!B12)),IF(ViewMode="Skillsets",IF(A16="","",Calc!S15),IF(A16="","",IF(Calc!H12="","",Calc!H12))))</f>
        <v/>
      </c>
      <c r="C16" s="72">
        <f>IF(ViewMode="Team",IF(OR(A16="",B16="",NOT(ISNUMBER(B16)),NOT(ISNUMBER(B15))),"",B16-B15),IF(ViewMode="Skillsets",IF(B16="","",IFERROR(INDEX(Employees!C6:C21,MATCH(B16,Employees!B6:B21,0)),"")),IF(A16="","",IF(Calc!I12="","",Calc!I12))))</f>
        <v/>
      </c>
      <c r="D16" s="72">
        <f>IF(ViewMode="Skillsets",IF(B16="","",IFERROR(INDEX(Calc!N8:N23,MATCH(B16,Calc!L8:L23,0)),"")),IF(ViewMode="Individual",IF(OR(B16="",C16=""),"",C16-B16),""))</f>
        <v/>
      </c>
      <c r="E16" s="72">
        <f>IF(ViewMode&lt;&gt;"Skillsets","",IF(B16="","",Calc!T15))</f>
        <v/>
      </c>
      <c r="F16" s="73">
        <f>IF(ViewMode&lt;&gt;"Skillsets","",IF(OR(D16="",E16=""),"",E16-D16))</f>
        <v/>
      </c>
    </row>
    <row r="17">
      <c r="A17" s="70">
        <f>IF(ViewMode="Team",IF(Calc!A13="","",Calc!A13),IF(ViewMode="Skillsets",IF(Calc!S16="","",9),IF(Calc!G13="","",Calc!G13)))</f>
        <v/>
      </c>
      <c r="B17" s="71">
        <f>IF(ViewMode="Team",IF(A17="","",IF(ISNA(Calc!B13),"",Calc!B13)),IF(ViewMode="Skillsets",IF(A17="","",Calc!S16),IF(A17="","",IF(Calc!H13="","",Calc!H13))))</f>
        <v/>
      </c>
      <c r="C17" s="72">
        <f>IF(ViewMode="Team",IF(OR(A17="",B17="",NOT(ISNUMBER(B17)),NOT(ISNUMBER(B16))),"",B17-B16),IF(ViewMode="Skillsets",IF(B17="","",IFERROR(INDEX(Employees!C6:C21,MATCH(B17,Employees!B6:B21,0)),"")),IF(A17="","",IF(Calc!I13="","",Calc!I13))))</f>
        <v/>
      </c>
      <c r="D17" s="72">
        <f>IF(ViewMode="Skillsets",IF(B17="","",IFERROR(INDEX(Calc!N8:N23,MATCH(B17,Calc!L8:L23,0)),"")),IF(ViewMode="Individual",IF(OR(B17="",C17=""),"",C17-B17),""))</f>
        <v/>
      </c>
      <c r="E17" s="72">
        <f>IF(ViewMode&lt;&gt;"Skillsets","",IF(B17="","",Calc!T16))</f>
        <v/>
      </c>
      <c r="F17" s="73">
        <f>IF(ViewMode&lt;&gt;"Skillsets","",IF(OR(D17="",E17=""),"",E17-D17))</f>
        <v/>
      </c>
    </row>
    <row r="18">
      <c r="A18" s="70">
        <f>IF(ViewMode="Team",IF(Calc!A14="","",Calc!A14),IF(ViewMode="Skillsets",IF(Calc!S17="","",10),IF(Calc!G14="","",Calc!G14)))</f>
        <v/>
      </c>
      <c r="B18" s="71">
        <f>IF(ViewMode="Team",IF(A18="","",IF(ISNA(Calc!B14),"",Calc!B14)),IF(ViewMode="Skillsets",IF(A18="","",Calc!S17),IF(A18="","",IF(Calc!H14="","",Calc!H14))))</f>
        <v/>
      </c>
      <c r="C18" s="72">
        <f>IF(ViewMode="Team",IF(OR(A18="",B18="",NOT(ISNUMBER(B18)),NOT(ISNUMBER(B17))),"",B18-B17),IF(ViewMode="Skillsets",IF(B18="","",IFERROR(INDEX(Employees!C6:C21,MATCH(B18,Employees!B6:B21,0)),"")),IF(A18="","",IF(Calc!I14="","",Calc!I14))))</f>
        <v/>
      </c>
      <c r="D18" s="72">
        <f>IF(ViewMode="Skillsets",IF(B18="","",IFERROR(INDEX(Calc!N8:N23,MATCH(B18,Calc!L8:L23,0)),"")),IF(ViewMode="Individual",IF(OR(B18="",C18=""),"",C18-B18),""))</f>
        <v/>
      </c>
      <c r="E18" s="72">
        <f>IF(ViewMode&lt;&gt;"Skillsets","",IF(B18="","",Calc!T17))</f>
        <v/>
      </c>
      <c r="F18" s="73">
        <f>IF(ViewMode&lt;&gt;"Skillsets","",IF(OR(D18="",E18=""),"",E18-D18))</f>
        <v/>
      </c>
    </row>
    <row r="19">
      <c r="A19" s="70">
        <f>IF(ViewMode="Team",IF(Calc!A15="","",Calc!A15),IF(ViewMode="Skillsets",IF(Calc!S18="","",11),IF(Calc!G15="","",Calc!G15)))</f>
        <v/>
      </c>
      <c r="B19" s="71">
        <f>IF(ViewMode="Team",IF(A19="","",IF(ISNA(Calc!B15),"",Calc!B15)),IF(ViewMode="Skillsets",IF(A19="","",Calc!S18),IF(A19="","",IF(Calc!H15="","",Calc!H15))))</f>
        <v/>
      </c>
      <c r="C19" s="72">
        <f>IF(ViewMode="Team",IF(OR(A19="",B19="",NOT(ISNUMBER(B19)),NOT(ISNUMBER(B18))),"",B19-B18),IF(ViewMode="Skillsets",IF(B19="","",IFERROR(INDEX(Employees!C6:C21,MATCH(B19,Employees!B6:B21,0)),"")),IF(A19="","",IF(Calc!I15="","",Calc!I15))))</f>
        <v/>
      </c>
      <c r="D19" s="72">
        <f>IF(ViewMode="Skillsets",IF(B19="","",IFERROR(INDEX(Calc!N8:N23,MATCH(B19,Calc!L8:L23,0)),"")),IF(ViewMode="Individual",IF(OR(B19="",C19=""),"",C19-B19),""))</f>
        <v/>
      </c>
      <c r="E19" s="72">
        <f>IF(ViewMode&lt;&gt;"Skillsets","",IF(B19="","",Calc!T18))</f>
        <v/>
      </c>
      <c r="F19" s="73">
        <f>IF(ViewMode&lt;&gt;"Skillsets","",IF(OR(D19="",E19=""),"",E19-D19))</f>
        <v/>
      </c>
    </row>
    <row r="20">
      <c r="A20" s="70">
        <f>IF(ViewMode="Team",IF(Calc!A16="","",Calc!A16),IF(ViewMode="Skillsets",IF(Calc!S19="","",12),IF(Calc!G16="","",Calc!G16)))</f>
        <v/>
      </c>
      <c r="B20" s="71">
        <f>IF(ViewMode="Team",IF(A20="","",IF(ISNA(Calc!B16),"",Calc!B16)),IF(ViewMode="Skillsets",IF(A20="","",Calc!S19),IF(A20="","",IF(Calc!H16="","",Calc!H16))))</f>
        <v/>
      </c>
      <c r="C20" s="72">
        <f>IF(ViewMode="Team",IF(OR(A20="",B20="",NOT(ISNUMBER(B20)),NOT(ISNUMBER(B19))),"",B20-B19),IF(ViewMode="Skillsets",IF(B20="","",IFERROR(INDEX(Employees!C6:C21,MATCH(B20,Employees!B6:B21,0)),"")),IF(A20="","",IF(Calc!I16="","",Calc!I16))))</f>
        <v/>
      </c>
      <c r="D20" s="72">
        <f>IF(ViewMode="Skillsets",IF(B20="","",IFERROR(INDEX(Calc!N8:N23,MATCH(B20,Calc!L8:L23,0)),"")),IF(ViewMode="Individual",IF(OR(B20="",C20=""),"",C20-B20),""))</f>
        <v/>
      </c>
      <c r="E20" s="72">
        <f>IF(ViewMode&lt;&gt;"Skillsets","",IF(B20="","",Calc!T19))</f>
        <v/>
      </c>
      <c r="F20" s="73">
        <f>IF(ViewMode&lt;&gt;"Skillsets","",IF(OR(D20="",E20=""),"",E20-D20))</f>
        <v/>
      </c>
    </row>
    <row r="21">
      <c r="A21" s="70">
        <f>IF(ViewMode="Team",IF(Calc!A17="","",Calc!A17),IF(ViewMode="Skillsets",IF(Calc!S20="","",13),IF(Calc!G17="","",Calc!G17)))</f>
        <v/>
      </c>
      <c r="B21" s="71">
        <f>IF(ViewMode="Team",IF(A21="","",IF(ISNA(Calc!B17),"",Calc!B17)),IF(ViewMode="Skillsets",IF(A21="","",Calc!S20),IF(A21="","",IF(Calc!H17="","",Calc!H17))))</f>
        <v/>
      </c>
      <c r="C21" s="72">
        <f>IF(ViewMode="Team",IF(OR(A21="",B21="",NOT(ISNUMBER(B21)),NOT(ISNUMBER(B20))),"",B21-B20),IF(ViewMode="Skillsets",IF(B21="","",IFERROR(INDEX(Employees!C6:C21,MATCH(B21,Employees!B6:B21,0)),"")),IF(A21="","",IF(Calc!I17="","",Calc!I17))))</f>
        <v/>
      </c>
      <c r="D21" s="72">
        <f>IF(ViewMode="Skillsets",IF(B21="","",IFERROR(INDEX(Calc!N8:N23,MATCH(B21,Calc!L8:L23,0)),"")),IF(ViewMode="Individual",IF(OR(B21="",C21=""),"",C21-B21),""))</f>
        <v/>
      </c>
      <c r="E21" s="72">
        <f>IF(ViewMode&lt;&gt;"Skillsets","",IF(B21="","",Calc!T20))</f>
        <v/>
      </c>
      <c r="F21" s="73">
        <f>IF(ViewMode&lt;&gt;"Skillsets","",IF(OR(D21="",E21=""),"",E21-D21))</f>
        <v/>
      </c>
    </row>
    <row r="22">
      <c r="A22" s="70">
        <f>IF(ViewMode="Team",IF(Calc!A18="","",Calc!A18),IF(ViewMode="Skillsets",IF(Calc!S21="","",14),IF(Calc!G18="","",Calc!G18)))</f>
        <v/>
      </c>
      <c r="B22" s="71">
        <f>IF(ViewMode="Team",IF(A22="","",IF(ISNA(Calc!B18),"",Calc!B18)),IF(ViewMode="Skillsets",IF(A22="","",Calc!S21),IF(A22="","",IF(Calc!H18="","",Calc!H18))))</f>
        <v/>
      </c>
      <c r="C22" s="72">
        <f>IF(ViewMode="Team",IF(OR(A22="",B22="",NOT(ISNUMBER(B22)),NOT(ISNUMBER(B21))),"",B22-B21),IF(ViewMode="Skillsets",IF(B22="","",IFERROR(INDEX(Employees!C6:C21,MATCH(B22,Employees!B6:B21,0)),"")),IF(A22="","",IF(Calc!I18="","",Calc!I18))))</f>
        <v/>
      </c>
      <c r="D22" s="72">
        <f>IF(ViewMode="Skillsets",IF(B22="","",IFERROR(INDEX(Calc!N8:N23,MATCH(B22,Calc!L8:L23,0)),"")),IF(ViewMode="Individual",IF(OR(B22="",C22=""),"",C22-B22),""))</f>
        <v/>
      </c>
      <c r="E22" s="72">
        <f>IF(ViewMode&lt;&gt;"Skillsets","",IF(B22="","",Calc!T21))</f>
        <v/>
      </c>
      <c r="F22" s="73">
        <f>IF(ViewMode&lt;&gt;"Skillsets","",IF(OR(D22="",E22=""),"",E22-D22))</f>
        <v/>
      </c>
    </row>
    <row r="23">
      <c r="A23" s="70">
        <f>IF(ViewMode="Team",IF(Calc!A19="","",Calc!A19),IF(ViewMode="Skillsets",IF(Calc!S22="","",15),IF(Calc!G19="","",Calc!G19)))</f>
        <v/>
      </c>
      <c r="B23" s="71">
        <f>IF(ViewMode="Team",IF(A23="","",IF(ISNA(Calc!B19),"",Calc!B19)),IF(ViewMode="Skillsets",IF(A23="","",Calc!S22),IF(A23="","",IF(Calc!H19="","",Calc!H19))))</f>
        <v/>
      </c>
      <c r="C23" s="72">
        <f>IF(ViewMode="Team",IF(OR(A23="",B23="",NOT(ISNUMBER(B23)),NOT(ISNUMBER(B22))),"",B23-B22),IF(ViewMode="Skillsets",IF(B23="","",IFERROR(INDEX(Employees!C6:C21,MATCH(B23,Employees!B6:B21,0)),"")),IF(A23="","",IF(Calc!I19="","",Calc!I19))))</f>
        <v/>
      </c>
      <c r="D23" s="72">
        <f>IF(ViewMode="Skillsets",IF(B23="","",IFERROR(INDEX(Calc!N8:N23,MATCH(B23,Calc!L8:L23,0)),"")),IF(ViewMode="Individual",IF(OR(B23="",C23=""),"",C23-B23),""))</f>
        <v/>
      </c>
      <c r="E23" s="72">
        <f>IF(ViewMode&lt;&gt;"Skillsets","",IF(B23="","",Calc!T22))</f>
        <v/>
      </c>
      <c r="F23" s="73">
        <f>IF(ViewMode&lt;&gt;"Skillsets","",IF(OR(D23="",E23=""),"",E23-D23))</f>
        <v/>
      </c>
    </row>
    <row r="24">
      <c r="A24" s="70">
        <f>IF(ViewMode="Team",IF(Calc!A20="","",Calc!A20),IF(ViewMode="Skillsets",IF(Calc!S23="","",16),IF(Calc!G20="","",Calc!G20)))</f>
        <v/>
      </c>
      <c r="B24" s="71">
        <f>IF(ViewMode="Team",IF(A24="","",IF(ISNA(Calc!B20),"",Calc!B20)),IF(ViewMode="Skillsets",IF(A24="","",Calc!S23),IF(A24="","",IF(Calc!H20="","",Calc!H20))))</f>
        <v/>
      </c>
      <c r="C24" s="72">
        <f>IF(ViewMode="Team",IF(OR(A24="",B24="",NOT(ISNUMBER(B24)),NOT(ISNUMBER(B23))),"",B24-B23),IF(ViewMode="Skillsets",IF(B24="","",IFERROR(INDEX(Employees!C6:C21,MATCH(B24,Employees!B6:B21,0)),"")),IF(A24="","",IF(Calc!I20="","",Calc!I20))))</f>
        <v/>
      </c>
      <c r="D24" s="72">
        <f>IF(ViewMode="Skillsets",IF(B24="","",IFERROR(INDEX(Calc!N8:N23,MATCH(B24,Calc!L8:L23,0)),"")),IF(ViewMode="Individual",IF(OR(B24="",C24=""),"",C24-B24),""))</f>
        <v/>
      </c>
      <c r="E24" s="72">
        <f>IF(ViewMode&lt;&gt;"Skillsets","",IF(B24="","",Calc!T23))</f>
        <v/>
      </c>
      <c r="F24" s="73">
        <f>IF(ViewMode&lt;&gt;"Skillsets","",IF(OR(D24="",E24=""),"",E24-D24))</f>
        <v/>
      </c>
    </row>
    <row r="26">
      <c r="A26" s="35" t="inlineStr">
        <is>
          <t>The all-year Ratings sheet is hidden so the tabs stay simple. To type or edit 1-5 for any year: right-click a sheet tab, choose Unhide, then Ratings.</t>
        </is>
      </c>
    </row>
    <row r="27"/>
  </sheetData>
  <mergeCells count="6">
    <mergeCell ref="A26:L27"/>
    <mergeCell ref="A7:L7"/>
    <mergeCell ref="G6:L6"/>
    <mergeCell ref="A1:B2"/>
    <mergeCell ref="A3:L3"/>
    <mergeCell ref="C2:L2"/>
  </mergeCells>
  <conditionalFormatting sqref="B6">
    <cfRule type="expression" priority="1" dxfId="5">
      <formula>ViewMode="Team"</formula>
    </cfRule>
  </conditionalFormatting>
  <conditionalFormatting sqref="D6">
    <cfRule type="expression" priority="2" dxfId="5">
      <formula>ViewMode="Skillsets"</formula>
    </cfRule>
  </conditionalFormatting>
  <conditionalFormatting sqref="F6">
    <cfRule type="expression" priority="3" dxfId="5">
      <formula>ViewMode="Individual"</formula>
    </cfRule>
  </conditionalFormatting>
  <conditionalFormatting sqref="B9:B24">
    <cfRule type="cellIs" priority="4" operator="equal" dxfId="0">
      <formula>1</formula>
    </cfRule>
    <cfRule type="cellIs" priority="5" operator="equal" dxfId="1">
      <formula>2</formula>
    </cfRule>
    <cfRule type="cellIs" priority="6" operator="equal" dxfId="2">
      <formula>3</formula>
    </cfRule>
    <cfRule type="cellIs" priority="7" operator="equal" dxfId="3">
      <formula>4</formula>
    </cfRule>
    <cfRule type="cellIs" priority="8" operator="equal" dxfId="4">
      <formula>5</formula>
    </cfRule>
  </conditionalFormatting>
  <conditionalFormatting sqref="D9:E24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  <cfRule type="cellIs" priority="13" operator="equal" dxfId="4">
      <formula>5</formula>
    </cfRule>
  </conditionalFormatting>
  <conditionalFormatting sqref="C9:C24">
    <cfRule type="expression" priority="14" dxfId="8">
      <formula>AND(ViewMode="Team",ISNUMBER(C9),C9&gt;0)</formula>
    </cfRule>
    <cfRule type="expression" priority="15" dxfId="9">
      <formula>AND(ViewMode="Team",ISNUMBER(C9),C9&lt;0)</formula>
    </cfRule>
    <cfRule type="expression" priority="16" dxfId="10">
      <formula>AND(ViewMode="Team",ISNUMBER(C9),C9=0)</formula>
    </cfRule>
  </conditionalFormatting>
  <conditionalFormatting sqref="D9:D24">
    <cfRule type="expression" priority="17" dxfId="8">
      <formula>AND(ViewMode="Individual",ISNUMBER(D9),D9&gt;0)</formula>
    </cfRule>
    <cfRule type="expression" priority="18" dxfId="9">
      <formula>AND(ViewMode="Individual",ISNUMBER(D9),D9&lt;0)</formula>
    </cfRule>
    <cfRule type="expression" priority="19" dxfId="10">
      <formula>AND(ViewMode="Individual",ISNUMBER(D9),D9=0)</formula>
    </cfRule>
  </conditionalFormatting>
  <conditionalFormatting sqref="F9:F24">
    <cfRule type="expression" priority="20" dxfId="8">
      <formula>AND(ViewMode="Skillsets",ISNUMBER(F9),F9&gt;0)</formula>
    </cfRule>
    <cfRule type="expression" priority="21" dxfId="9">
      <formula>AND(ViewMode="Skillsets",ISNUMBER(F9),F9&lt;0)</formula>
    </cfRule>
    <cfRule type="expression" priority="22" dxfId="10">
      <formula>AND(ViewMode="Skillsets",ISNUMBER(F9),F9=0)</formula>
    </cfRule>
  </conditionalFormatting>
  <conditionalFormatting sqref="A9:F9">
    <cfRule type="expression" priority="23" dxfId="11">
      <formula>AND(ViewMode="Skillsets",$A9=1,$B9&lt;&gt;"")</formula>
    </cfRule>
  </conditionalFormatting>
  <dataValidations count="5">
    <dataValidation sqref="B5" showDropDown="0" showInputMessage="0" showErrorMessage="0" allowBlank="0" promptTitle="Look at" prompt="Team (department), Skillsets, or Individual." type="list">
      <formula1>=ViewModeList</formula1>
    </dataValidation>
    <dataValidation sqref="D5 F5" showDropDown="0" showInputMessage="0" showErrorMessage="0" allowBlank="0" promptTitle="Year" prompt="Pick From and To to compare any two years." type="list">
      <formula1>=YearList</formula1>
    </dataValidation>
    <dataValidation sqref="B6" showDropDown="0" showInputMessage="0" showErrorMessage="0" allowBlank="0" promptTitle="Department" prompt="Used when Look at is Team. Limit overall ratings to one department." type="list">
      <formula1>=DeptFilterList</formula1>
    </dataValidation>
    <dataValidation sqref="D6" showDropDown="0" showInputMessage="0" showErrorMessage="0" allowBlank="0" promptTitle="Skillset" prompt="Used when Look at is Skillsets. Pick the job to fill; everyone is ranked on this skill." type="list">
      <formula1>=SkillNameList</formula1>
    </dataValidation>
    <dataValidation sqref="F6" showDropDown="0" showInputMessage="0" showErrorMessage="0" allowBlank="0" promptTitle="Employee" prompt="Used when Look at is Individual. Compare this person to themselves." type="list">
      <formula1>=EmployeeList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landscape" fitToHeight="1" fitToWidth="1"/>
  <headerFooter>
    <oddHeader>&amp;L&amp;BEmployee Skill Matrix</oddHeader>
    <oddFooter>&amp;RPage &amp;P of &amp;N</oddFooter>
    <evenHeader/>
    <evenFooter/>
    <firstHeader/>
    <firstFooter/>
  </headerFooter>
  <drawing xmlns:r="http://schemas.openxmlformats.org/officeDocument/2006/relationships" r:id="rId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D5A80"/>
    <outlinePr summaryBelow="1" summaryRight="1"/>
    <pageSetUpPr fitToPage="1"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2" customWidth="1" min="5" max="5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3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</row>
    <row r="2" ht="28" customHeight="1">
      <c r="A2" s="2" t="n"/>
      <c r="B2" s="2" t="n"/>
      <c r="C2" s="6" t="inlineStr">
        <is>
          <t>Employees</t>
        </is>
      </c>
    </row>
    <row r="3" ht="40" customHeight="1">
      <c r="A3" s="63" t="inlineStr">
        <is>
          <t>Add a person in the next yellow row: name, department (dropdown), hire date, status. Department options are Vision, Sound, Lighting, Staging (add more on Lists first). Hire date is used for since they joined on the Dashboard.</t>
        </is>
      </c>
    </row>
    <row r="5">
      <c r="A5" s="74" t="inlineStr">
        <is>
          <t>Employee ID</t>
        </is>
      </c>
      <c r="B5" s="74" t="inlineStr">
        <is>
          <t>Full Name</t>
        </is>
      </c>
      <c r="C5" s="74" t="inlineStr">
        <is>
          <t>Department</t>
        </is>
      </c>
      <c r="D5" s="74" t="inlineStr">
        <is>
          <t>Hire Date</t>
        </is>
      </c>
      <c r="E5" s="74" t="inlineStr">
        <is>
          <t>Status</t>
        </is>
      </c>
    </row>
    <row r="6">
      <c r="A6" s="75" t="inlineStr">
        <is>
          <t>EMP-001</t>
        </is>
      </c>
      <c r="B6" s="58" t="inlineStr">
        <is>
          <t>Alex Rivera</t>
        </is>
      </c>
      <c r="C6" s="58" t="inlineStr">
        <is>
          <t>Vision</t>
        </is>
      </c>
      <c r="D6" s="76" t="n">
        <v>44632</v>
      </c>
      <c r="E6" s="58" t="inlineStr">
        <is>
          <t>Active</t>
        </is>
      </c>
    </row>
    <row r="7">
      <c r="A7" s="75" t="inlineStr">
        <is>
          <t>EMP-002</t>
        </is>
      </c>
      <c r="B7" s="58" t="inlineStr">
        <is>
          <t>Jordan Chen</t>
        </is>
      </c>
      <c r="C7" s="58" t="inlineStr">
        <is>
          <t>Vision</t>
        </is>
      </c>
      <c r="D7" s="76" t="n">
        <v>44362</v>
      </c>
      <c r="E7" s="58" t="inlineStr">
        <is>
          <t>Active</t>
        </is>
      </c>
    </row>
    <row r="8">
      <c r="A8" s="75" t="inlineStr">
        <is>
          <t>EMP-003</t>
        </is>
      </c>
      <c r="B8" s="58" t="inlineStr">
        <is>
          <t>Sam Patel</t>
        </is>
      </c>
      <c r="C8" s="58" t="inlineStr">
        <is>
          <t>Vision</t>
        </is>
      </c>
      <c r="D8" s="76" t="n">
        <v>44936</v>
      </c>
      <c r="E8" s="58" t="inlineStr">
        <is>
          <t>Active</t>
        </is>
      </c>
    </row>
    <row r="9">
      <c r="A9" s="75" t="inlineStr">
        <is>
          <t>EMP-004</t>
        </is>
      </c>
      <c r="B9" s="58" t="inlineStr">
        <is>
          <t>Taylor Brooks</t>
        </is>
      </c>
      <c r="C9" s="58" t="inlineStr">
        <is>
          <t>Lighting</t>
        </is>
      </c>
      <c r="D9" s="76" t="n">
        <v>44075</v>
      </c>
      <c r="E9" s="58" t="inlineStr">
        <is>
          <t>Active</t>
        </is>
      </c>
    </row>
    <row r="10">
      <c r="A10" s="75" t="inlineStr">
        <is>
          <t>EMP-005</t>
        </is>
      </c>
      <c r="B10" s="58" t="inlineStr">
        <is>
          <t>Morgan Lee</t>
        </is>
      </c>
      <c r="C10" s="58" t="inlineStr">
        <is>
          <t>Staging</t>
        </is>
      </c>
      <c r="D10" s="76" t="n">
        <v>45342</v>
      </c>
      <c r="E10" s="58" t="inlineStr">
        <is>
          <t>Active</t>
        </is>
      </c>
    </row>
    <row r="11">
      <c r="A11" s="75" t="inlineStr">
        <is>
          <t>EMP-006</t>
        </is>
      </c>
      <c r="B11" s="58" t="inlineStr">
        <is>
          <t>Casey Nguyen</t>
        </is>
      </c>
      <c r="C11" s="58" t="inlineStr">
        <is>
          <t>Sound</t>
        </is>
      </c>
      <c r="D11" s="76" t="n">
        <v>44869</v>
      </c>
      <c r="E11" s="58" t="inlineStr">
        <is>
          <t>Active</t>
        </is>
      </c>
    </row>
    <row r="12">
      <c r="A12" s="75" t="inlineStr">
        <is>
          <t>EMP-007</t>
        </is>
      </c>
      <c r="B12" s="58" t="inlineStr">
        <is>
          <t>Riley Thompson</t>
        </is>
      </c>
      <c r="C12" s="58" t="inlineStr">
        <is>
          <t>Vision</t>
        </is>
      </c>
      <c r="D12" s="76" t="n">
        <v>43563</v>
      </c>
      <c r="E12" s="58" t="inlineStr">
        <is>
          <t>Active</t>
        </is>
      </c>
    </row>
    <row r="13">
      <c r="A13" s="75" t="inlineStr">
        <is>
          <t>EMP-008</t>
        </is>
      </c>
      <c r="B13" s="58" t="inlineStr">
        <is>
          <t>Avery Kim</t>
        </is>
      </c>
      <c r="C13" s="58" t="inlineStr">
        <is>
          <t>Lighting</t>
        </is>
      </c>
      <c r="D13" s="76" t="n">
        <v>45522</v>
      </c>
      <c r="E13" s="58" t="inlineStr">
        <is>
          <t>Active</t>
        </is>
      </c>
    </row>
    <row r="14">
      <c r="A14" s="77" t="inlineStr">
        <is>
          <t>EMP-009</t>
        </is>
      </c>
      <c r="B14" s="78" t="inlineStr"/>
      <c r="C14" s="78" t="inlineStr"/>
      <c r="D14" s="79" t="n"/>
      <c r="E14" s="78" t="inlineStr"/>
    </row>
    <row r="15">
      <c r="A15" s="77" t="inlineStr">
        <is>
          <t>EMP-010</t>
        </is>
      </c>
      <c r="B15" s="78" t="inlineStr"/>
      <c r="C15" s="78" t="inlineStr"/>
      <c r="D15" s="79" t="n"/>
      <c r="E15" s="78" t="inlineStr"/>
    </row>
    <row r="16">
      <c r="A16" s="77" t="inlineStr">
        <is>
          <t>EMP-011</t>
        </is>
      </c>
      <c r="B16" s="78" t="inlineStr"/>
      <c r="C16" s="78" t="inlineStr"/>
      <c r="D16" s="79" t="n"/>
      <c r="E16" s="78" t="inlineStr"/>
    </row>
    <row r="17">
      <c r="A17" s="77" t="inlineStr">
        <is>
          <t>EMP-012</t>
        </is>
      </c>
      <c r="B17" s="78" t="inlineStr"/>
      <c r="C17" s="78" t="inlineStr"/>
      <c r="D17" s="79" t="n"/>
      <c r="E17" s="78" t="inlineStr"/>
    </row>
    <row r="18">
      <c r="A18" s="77" t="inlineStr">
        <is>
          <t>EMP-013</t>
        </is>
      </c>
      <c r="B18" s="78" t="inlineStr"/>
      <c r="C18" s="78" t="inlineStr"/>
      <c r="D18" s="79" t="n"/>
      <c r="E18" s="78" t="inlineStr"/>
    </row>
    <row r="19">
      <c r="A19" s="77" t="inlineStr">
        <is>
          <t>EMP-014</t>
        </is>
      </c>
      <c r="B19" s="78" t="inlineStr"/>
      <c r="C19" s="78" t="inlineStr"/>
      <c r="D19" s="79" t="n"/>
      <c r="E19" s="78" t="inlineStr"/>
    </row>
    <row r="20">
      <c r="A20" s="77" t="inlineStr">
        <is>
          <t>EMP-015</t>
        </is>
      </c>
      <c r="B20" s="78" t="inlineStr"/>
      <c r="C20" s="78" t="inlineStr"/>
      <c r="D20" s="79" t="n"/>
      <c r="E20" s="78" t="inlineStr"/>
    </row>
    <row r="21">
      <c r="A21" s="77" t="inlineStr">
        <is>
          <t>EMP-016</t>
        </is>
      </c>
      <c r="B21" s="78" t="inlineStr"/>
      <c r="C21" s="78" t="inlineStr"/>
      <c r="D21" s="79" t="n"/>
      <c r="E21" s="78" t="inlineStr"/>
    </row>
  </sheetData>
  <mergeCells count="3">
    <mergeCell ref="A1:B2"/>
    <mergeCell ref="C2:E2"/>
    <mergeCell ref="A3:E3"/>
  </mergeCells>
  <dataValidations count="1">
    <dataValidation sqref="C6:C21" showDropDown="0" showInputMessage="0" showErrorMessage="1" allowBlank="1" errorTitle="Department not in list" error="Add this department on the Lists sheet first, then choose it here." promptTitle="Department" prompt="Choose from the list. Add new departments on the Lists sheet." type="list">
      <formula1>=DepartmentList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landscape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62" customWidth="1" min="4" max="4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3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</row>
    <row r="2" ht="28" customHeight="1">
      <c r="A2" s="2" t="n"/>
      <c r="B2" s="2" t="n"/>
      <c r="C2" s="6" t="inlineStr">
        <is>
          <t>Skillsets</t>
        </is>
      </c>
    </row>
    <row r="3" ht="40" customHeight="1">
      <c r="A3" s="63" t="inlineStr">
        <is>
          <t>These are the skillsets everyone is rated on, and the list Dashboard uses when you Look at Skillsets. Add a skillset in the next yellow row. Every employee gets a rating row for it, and it appears in the Dashboard Skillsets dropdown.</t>
        </is>
      </c>
    </row>
    <row r="5">
      <c r="A5" s="74" t="inlineStr">
        <is>
          <t>Skill ID</t>
        </is>
      </c>
      <c r="B5" s="74" t="inlineStr">
        <is>
          <t>Skill Name</t>
        </is>
      </c>
      <c r="C5" s="74" t="inlineStr">
        <is>
          <t>Category</t>
        </is>
      </c>
      <c r="D5" s="74" t="inlineStr">
        <is>
          <t>Description</t>
        </is>
      </c>
    </row>
    <row r="6" ht="22" customHeight="1">
      <c r="A6" s="80" t="inlineStr">
        <is>
          <t>SK-001</t>
        </is>
      </c>
      <c r="B6" s="81" t="inlineStr">
        <is>
          <t>Broadcast Camera Operation</t>
        </is>
      </c>
      <c r="C6" s="81" t="inlineStr">
        <is>
          <t>Cameras</t>
        </is>
      </c>
      <c r="D6" s="81" t="inlineStr">
        <is>
          <t>Operate broadcast cameras on a live event</t>
        </is>
      </c>
    </row>
    <row r="7" ht="22" customHeight="1">
      <c r="A7" s="80" t="inlineStr">
        <is>
          <t>SK-002</t>
        </is>
      </c>
      <c r="B7" s="81" t="inlineStr">
        <is>
          <t>PTZ Cameras Operation</t>
        </is>
      </c>
      <c r="C7" s="81" t="inlineStr">
        <is>
          <t>Cameras</t>
        </is>
      </c>
      <c r="D7" s="81" t="inlineStr">
        <is>
          <t>Drive and frame PTZ cameras</t>
        </is>
      </c>
    </row>
    <row r="8" ht="22" customHeight="1">
      <c r="A8" s="80" t="inlineStr">
        <is>
          <t>SK-003</t>
        </is>
      </c>
      <c r="B8" s="81" t="inlineStr">
        <is>
          <t>Shading / CCU</t>
        </is>
      </c>
      <c r="C8" s="81" t="inlineStr">
        <is>
          <t>Cameras</t>
        </is>
      </c>
      <c r="D8" s="81" t="inlineStr">
        <is>
          <t>Match and shade cameras from a CCU / RCP</t>
        </is>
      </c>
    </row>
    <row r="9" ht="22" customHeight="1">
      <c r="A9" s="80" t="inlineStr">
        <is>
          <t>SK-004</t>
        </is>
      </c>
      <c r="B9" s="81" t="inlineStr">
        <is>
          <t>ATEM Vision Switching</t>
        </is>
      </c>
      <c r="C9" s="81" t="inlineStr">
        <is>
          <t>Switching</t>
        </is>
      </c>
      <c r="D9" s="81" t="inlineStr">
        <is>
          <t>Switch program on a Blackmagic ATEM</t>
        </is>
      </c>
    </row>
    <row r="10" ht="22" customHeight="1">
      <c r="A10" s="80" t="inlineStr">
        <is>
          <t>SK-005</t>
        </is>
      </c>
      <c r="B10" s="81" t="inlineStr">
        <is>
          <t>Barco Vision Switching</t>
        </is>
      </c>
      <c r="C10" s="81" t="inlineStr">
        <is>
          <t>Switching</t>
        </is>
      </c>
      <c r="D10" s="81" t="inlineStr">
        <is>
          <t>Operate Barco processors and LED / IMAG / program</t>
        </is>
      </c>
    </row>
    <row r="11" ht="22" customHeight="1">
      <c r="A11" s="80" t="inlineStr">
        <is>
          <t>SK-006</t>
        </is>
      </c>
      <c r="B11" s="81" t="inlineStr">
        <is>
          <t>Camera Switching</t>
        </is>
      </c>
      <c r="C11" s="81" t="inlineStr">
        <is>
          <t>Switching</t>
        </is>
      </c>
      <c r="D11" s="81" t="inlineStr">
        <is>
          <t>Cut cameras and direct the live picture</t>
        </is>
      </c>
    </row>
    <row r="12" ht="22" customHeight="1">
      <c r="A12" s="80" t="inlineStr">
        <is>
          <t>SK-007</t>
        </is>
      </c>
      <c r="B12" s="81" t="inlineStr">
        <is>
          <t>Content Operation</t>
        </is>
      </c>
      <c r="C12" s="81" t="inlineStr">
        <is>
          <t>Content</t>
        </is>
      </c>
      <c r="D12" s="81" t="inlineStr">
        <is>
          <t>Cue and play out show content, playback, and graphics</t>
        </is>
      </c>
    </row>
    <row r="13" ht="22" customHeight="1">
      <c r="A13" s="80" t="inlineStr">
        <is>
          <t>SK-008</t>
        </is>
      </c>
      <c r="B13" s="81" t="inlineStr">
        <is>
          <t>Systems Tech</t>
        </is>
      </c>
      <c r="C13" s="81" t="inlineStr">
        <is>
          <t>Systems</t>
        </is>
      </c>
      <c r="D13" s="81" t="inlineStr">
        <is>
          <t>Signal flow, routing, networking, and show systems</t>
        </is>
      </c>
    </row>
    <row r="14" ht="22" customHeight="1">
      <c r="A14" s="80" t="inlineStr">
        <is>
          <t>SK-009</t>
        </is>
      </c>
      <c r="B14" s="81" t="inlineStr">
        <is>
          <t>Technical Setup</t>
        </is>
      </c>
      <c r="C14" s="81" t="inlineStr">
        <is>
          <t>Systems</t>
        </is>
      </c>
      <c r="D14" s="81" t="inlineStr">
        <is>
          <t>Rig, patch, and line-check before doors</t>
        </is>
      </c>
    </row>
    <row r="15" ht="22" customHeight="1">
      <c r="A15" s="80" t="inlineStr">
        <is>
          <t>SK-010</t>
        </is>
      </c>
      <c r="B15" s="81" t="inlineStr">
        <is>
          <t>Live Streaming</t>
        </is>
      </c>
      <c r="C15" s="81" t="inlineStr">
        <is>
          <t>Streaming</t>
        </is>
      </c>
      <c r="D15" s="81" t="inlineStr">
        <is>
          <t>Encode, monitor, and deliver the live stream</t>
        </is>
      </c>
    </row>
    <row r="16" ht="22" customHeight="1">
      <c r="A16" s="80" t="inlineStr">
        <is>
          <t>SK-011</t>
        </is>
      </c>
      <c r="B16" s="81" t="inlineStr">
        <is>
          <t>Troubleshooting</t>
        </is>
      </c>
      <c r="C16" s="81" t="inlineStr">
        <is>
          <t>Systems</t>
        </is>
      </c>
      <c r="D16" s="81" t="inlineStr">
        <is>
          <t>Diagnose and fix vision issues during setup and show</t>
        </is>
      </c>
    </row>
    <row r="17" ht="22" customHeight="1">
      <c r="A17" s="82" t="inlineStr">
        <is>
          <t>SK-012</t>
        </is>
      </c>
      <c r="B17" s="83" t="inlineStr"/>
      <c r="C17" s="83" t="inlineStr"/>
      <c r="D17" s="83" t="inlineStr"/>
    </row>
    <row r="18" ht="22" customHeight="1">
      <c r="A18" s="82" t="inlineStr">
        <is>
          <t>SK-013</t>
        </is>
      </c>
      <c r="B18" s="83" t="inlineStr"/>
      <c r="C18" s="83" t="inlineStr"/>
      <c r="D18" s="83" t="inlineStr"/>
    </row>
    <row r="19" ht="22" customHeight="1">
      <c r="A19" s="82" t="inlineStr">
        <is>
          <t>SK-014</t>
        </is>
      </c>
      <c r="B19" s="83" t="inlineStr"/>
      <c r="C19" s="83" t="inlineStr"/>
      <c r="D19" s="83" t="inlineStr"/>
    </row>
    <row r="20" ht="22" customHeight="1">
      <c r="A20" s="82" t="inlineStr">
        <is>
          <t>SK-015</t>
        </is>
      </c>
      <c r="B20" s="83" t="inlineStr"/>
      <c r="C20" s="83" t="inlineStr"/>
      <c r="D20" s="83" t="inlineStr"/>
    </row>
    <row r="21" ht="22" customHeight="1">
      <c r="A21" s="82" t="inlineStr">
        <is>
          <t>SK-016</t>
        </is>
      </c>
      <c r="B21" s="83" t="inlineStr"/>
      <c r="C21" s="83" t="inlineStr"/>
      <c r="D21" s="83" t="inlineStr"/>
    </row>
  </sheetData>
  <mergeCells count="3">
    <mergeCell ref="A1:B2"/>
    <mergeCell ref="A3:D3"/>
    <mergeCell ref="C2:D2"/>
  </mergeCells>
  <dataValidations count="1">
    <dataValidation sqref="C6:C21" showDropDown="0" showInputMessage="0" showErrorMessage="0" allowBlank="1" promptTitle="Category" prompt="Optional grouping" type="list">
      <formula1>"Cameras,Switching,Content,Systems,Streaming"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portrait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7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A1:J2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36" customWidth="1" min="4" max="4"/>
    <col width="3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3" t="inlineStr">
        <is>
          <t>Years</t>
        </is>
      </c>
      <c r="I1" s="4" t="inlineStr">
        <is>
          <t>Lists</t>
        </is>
      </c>
      <c r="J1" s="4" t="inlineStr">
        <is>
          <t>Settings</t>
        </is>
      </c>
    </row>
    <row r="2" ht="28" customHeight="1">
      <c r="A2" s="2" t="n"/>
      <c r="B2" s="2" t="n"/>
      <c r="C2" s="6" t="inlineStr">
        <is>
          <t>Years</t>
        </is>
      </c>
      <c r="F2" s="84">
        <f>IF(COUNTIF(B:B,YEAR(TODAY()))&gt;0,"CURRENT YEAR IS READY","ADD THIS YEAR")</f>
        <v/>
      </c>
      <c r="G2" s="84" t="n"/>
      <c r="H2" s="84" t="n"/>
    </row>
    <row r="3">
      <c r="A3" s="85">
        <f>IF(COUNTIF($B$8:$B$23,YEAR(TODAY()))&gt;0,"Calendar year "&amp;YEAR(TODAY())&amp;" is already a column. Right-click a sheet tab, Unhide, choose Ratings, and enter this year's 1-5 scores. Skill Matrix shows that year. Compare years on the Dashboard. Next years through 2034 are already waiting.","New calendar year "&amp;YEAR(TODAY())&amp;" is not in the list yet. Type "&amp;YEAR(TODAY())&amp;" in the next yellow row in the Year column, then rate people on the Skill Matrix.")</f>
        <v/>
      </c>
      <c r="F3" s="84" t="n"/>
      <c r="G3" s="84" t="n"/>
      <c r="H3" s="84" t="n"/>
    </row>
    <row r="4">
      <c r="F4" s="84" t="n"/>
      <c r="G4" s="84" t="n"/>
      <c r="H4" s="84" t="n"/>
    </row>
    <row r="5">
      <c r="A5" s="35" t="inlineStr">
        <is>
          <t>To add a year beyond 2034 (or a missing historical year): type it in the next yellow row, in order, oldest to newest. A new column appears on Ratings, and the year is available on Skill Matrix and in the Dashboard From / To dropdowns. Do not use a formula for a year that already has ratings.</t>
        </is>
      </c>
      <c r="F5" s="86">
        <f>IF(COUNTIF($B$8:$B$23,YEAR(TODAY()))&gt;0,"Unhide Ratings to enter "&amp;YEAR(TODAY()),"Type "&amp;YEAR(TODAY())&amp;" in the yellow Year row")</f>
        <v/>
      </c>
      <c r="G5" s="5" t="n"/>
      <c r="H5" s="5" t="n"/>
    </row>
    <row r="6">
      <c r="F6" s="5" t="n"/>
      <c r="G6" s="5" t="n"/>
      <c r="H6" s="5" t="n"/>
    </row>
    <row r="7">
      <c r="A7" s="74" t="inlineStr">
        <is>
          <t>#</t>
        </is>
      </c>
      <c r="B7" s="74" t="inlineStr">
        <is>
          <t>Year</t>
        </is>
      </c>
      <c r="C7" s="74" t="inlineStr">
        <is>
          <t>Label</t>
        </is>
      </c>
      <c r="D7" s="74" t="inlineStr">
        <is>
          <t>Notes</t>
        </is>
      </c>
    </row>
    <row r="8">
      <c r="A8" s="70" t="n">
        <v>1</v>
      </c>
      <c r="B8" s="87" t="n">
        <v>2023</v>
      </c>
      <c r="C8" s="58" t="inlineStr">
        <is>
          <t>Three years back</t>
        </is>
      </c>
      <c r="D8" s="58" t="inlineStr">
        <is>
          <t>Column already on Ratings</t>
        </is>
      </c>
    </row>
    <row r="9">
      <c r="A9" s="70" t="n">
        <v>2</v>
      </c>
      <c r="B9" s="87" t="n">
        <v>2024</v>
      </c>
      <c r="C9" s="58" t="inlineStr">
        <is>
          <t>Two years back</t>
        </is>
      </c>
      <c r="D9" s="58" t="inlineStr">
        <is>
          <t>Column already on Ratings</t>
        </is>
      </c>
    </row>
    <row r="10">
      <c r="A10" s="70" t="n">
        <v>3</v>
      </c>
      <c r="B10" s="87" t="n">
        <v>2025</v>
      </c>
      <c r="C10" s="58" t="inlineStr">
        <is>
          <t>Last sample year</t>
        </is>
      </c>
      <c r="D10" s="58" t="inlineStr">
        <is>
          <t>Column already on Ratings</t>
        </is>
      </c>
    </row>
    <row r="11">
      <c r="A11" s="70" t="n">
        <v>4</v>
      </c>
      <c r="B11" s="87" t="n">
        <v>2026</v>
      </c>
      <c r="C11" s="58" t="inlineStr">
        <is>
          <t>Current sample year</t>
        </is>
      </c>
      <c r="D11" s="58" t="inlineStr">
        <is>
          <t>Column already on Ratings</t>
        </is>
      </c>
    </row>
    <row r="12">
      <c r="A12" s="70" t="n">
        <v>5</v>
      </c>
      <c r="B12" s="87" t="n">
        <v>2027</v>
      </c>
      <c r="C12" s="58" t="inlineStr">
        <is>
          <t>Ready for ratings</t>
        </is>
      </c>
      <c r="D12" s="58" t="inlineStr">
        <is>
          <t>Column already on Ratings</t>
        </is>
      </c>
    </row>
    <row r="13">
      <c r="A13" s="70" t="n">
        <v>6</v>
      </c>
      <c r="B13" s="87" t="n">
        <v>2028</v>
      </c>
      <c r="C13" s="58" t="inlineStr">
        <is>
          <t>Ready for ratings</t>
        </is>
      </c>
      <c r="D13" s="58" t="inlineStr">
        <is>
          <t>Column already on Ratings</t>
        </is>
      </c>
    </row>
    <row r="14">
      <c r="A14" s="70" t="n">
        <v>7</v>
      </c>
      <c r="B14" s="87" t="n">
        <v>2029</v>
      </c>
      <c r="C14" s="58" t="inlineStr">
        <is>
          <t>Ready for ratings</t>
        </is>
      </c>
      <c r="D14" s="58" t="inlineStr">
        <is>
          <t>Column already on Ratings</t>
        </is>
      </c>
    </row>
    <row r="15">
      <c r="A15" s="70" t="n">
        <v>8</v>
      </c>
      <c r="B15" s="87" t="n">
        <v>2030</v>
      </c>
      <c r="C15" s="58" t="inlineStr">
        <is>
          <t>Ready for ratings</t>
        </is>
      </c>
      <c r="D15" s="58" t="inlineStr">
        <is>
          <t>Column already on Ratings</t>
        </is>
      </c>
    </row>
    <row r="16">
      <c r="A16" s="70" t="n">
        <v>9</v>
      </c>
      <c r="B16" s="87" t="n">
        <v>2031</v>
      </c>
      <c r="C16" s="58" t="inlineStr">
        <is>
          <t>Ready for ratings</t>
        </is>
      </c>
      <c r="D16" s="58" t="inlineStr">
        <is>
          <t>Column already on Ratings</t>
        </is>
      </c>
    </row>
    <row r="17">
      <c r="A17" s="70" t="n">
        <v>10</v>
      </c>
      <c r="B17" s="87" t="n">
        <v>2032</v>
      </c>
      <c r="C17" s="58" t="inlineStr">
        <is>
          <t>Ready for ratings</t>
        </is>
      </c>
      <c r="D17" s="58" t="inlineStr">
        <is>
          <t>Column already on Ratings</t>
        </is>
      </c>
    </row>
    <row r="18">
      <c r="A18" s="70" t="n">
        <v>11</v>
      </c>
      <c r="B18" s="87" t="n">
        <v>2033</v>
      </c>
      <c r="C18" s="58" t="inlineStr">
        <is>
          <t>Ready for ratings</t>
        </is>
      </c>
      <c r="D18" s="58" t="inlineStr">
        <is>
          <t>Column already on Ratings</t>
        </is>
      </c>
    </row>
    <row r="19">
      <c r="A19" s="70" t="n">
        <v>12</v>
      </c>
      <c r="B19" s="87" t="n">
        <v>2034</v>
      </c>
      <c r="C19" s="58" t="inlineStr">
        <is>
          <t>Ready for ratings</t>
        </is>
      </c>
      <c r="D19" s="58" t="inlineStr">
        <is>
          <t>Column already on Ratings</t>
        </is>
      </c>
    </row>
    <row r="20">
      <c r="A20" s="70" t="n">
        <v>13</v>
      </c>
      <c r="B20" s="88" t="inlineStr"/>
      <c r="C20" s="78" t="inlineStr"/>
      <c r="D20" s="78" t="inlineStr">
        <is>
          <t>Type a year here to add a column</t>
        </is>
      </c>
    </row>
    <row r="21">
      <c r="A21" s="70" t="n">
        <v>14</v>
      </c>
      <c r="B21" s="88" t="inlineStr"/>
      <c r="C21" s="78" t="inlineStr"/>
      <c r="D21" s="78" t="inlineStr">
        <is>
          <t>Type a year here to add a column</t>
        </is>
      </c>
    </row>
    <row r="22">
      <c r="A22" s="70" t="n">
        <v>15</v>
      </c>
      <c r="B22" s="88" t="inlineStr"/>
      <c r="C22" s="78" t="inlineStr"/>
      <c r="D22" s="78" t="inlineStr">
        <is>
          <t>Type a year here to add a column</t>
        </is>
      </c>
    </row>
    <row r="23">
      <c r="A23" s="70" t="n">
        <v>16</v>
      </c>
      <c r="B23" s="88" t="inlineStr"/>
      <c r="C23" s="78" t="inlineStr"/>
      <c r="D23" s="78" t="inlineStr">
        <is>
          <t>Type a year here to add a column</t>
        </is>
      </c>
    </row>
  </sheetData>
  <mergeCells count="6">
    <mergeCell ref="C2:E2"/>
    <mergeCell ref="A5:D6"/>
    <mergeCell ref="F5:H6"/>
    <mergeCell ref="A3:D4"/>
    <mergeCell ref="A1:B2"/>
    <mergeCell ref="F2:H4"/>
  </mergeCell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portrait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tabColor rgb="003D5A80"/>
    <outlinePr summaryBelow="1" summaryRight="1"/>
    <pageSetUpPr fitToPage="1"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3" max="3"/>
    <col hidden="1" width="13" customWidth="1" min="5" max="5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3" t="inlineStr">
        <is>
          <t>Lists</t>
        </is>
      </c>
      <c r="J1" s="4" t="inlineStr">
        <is>
          <t>Settings</t>
        </is>
      </c>
    </row>
    <row r="2" ht="28" customHeight="1">
      <c r="A2" s="2" t="n"/>
      <c r="B2" s="2" t="n"/>
      <c r="C2" s="6" t="inlineStr">
        <is>
          <t>Departments</t>
        </is>
      </c>
    </row>
    <row r="3" ht="36" customHeight="1">
      <c r="A3" s="63" t="inlineStr">
        <is>
          <t>Departments: Vision, Sound, Lighting, Staging. Add another in the next yellow row, then choose it on Employees. To add a skillset, use Skills. To add a person, use Employees.</t>
        </is>
      </c>
    </row>
    <row r="5">
      <c r="A5" s="74" t="inlineStr">
        <is>
          <t>Department</t>
        </is>
      </c>
      <c r="C5" s="37" t="inlineStr">
        <is>
          <t>Look at</t>
        </is>
      </c>
      <c r="E5" t="inlineStr">
        <is>
          <t>DeptFilter</t>
        </is>
      </c>
    </row>
    <row r="6">
      <c r="A6" s="58" t="inlineStr">
        <is>
          <t>Vision</t>
        </is>
      </c>
      <c r="C6" s="58" t="inlineStr">
        <is>
          <t>Team</t>
        </is>
      </c>
      <c r="E6" t="inlineStr">
        <is>
          <t>(All departments)</t>
        </is>
      </c>
    </row>
    <row r="7">
      <c r="A7" s="58" t="inlineStr">
        <is>
          <t>Sound</t>
        </is>
      </c>
      <c r="C7" s="58" t="inlineStr">
        <is>
          <t>Skillsets</t>
        </is>
      </c>
      <c r="E7">
        <f>IF(A6="","",A6)</f>
        <v/>
      </c>
    </row>
    <row r="8">
      <c r="A8" s="58" t="inlineStr">
        <is>
          <t>Lighting</t>
        </is>
      </c>
      <c r="C8" s="58" t="inlineStr">
        <is>
          <t>Individual</t>
        </is>
      </c>
      <c r="E8">
        <f>IF(A7="","",A7)</f>
        <v/>
      </c>
    </row>
    <row r="9">
      <c r="A9" s="58" t="inlineStr">
        <is>
          <t>Staging</t>
        </is>
      </c>
      <c r="E9">
        <f>IF(A8="","",A8)</f>
        <v/>
      </c>
    </row>
    <row r="10">
      <c r="A10" s="78" t="inlineStr"/>
      <c r="E10">
        <f>IF(A9="","",A9)</f>
        <v/>
      </c>
    </row>
    <row r="11">
      <c r="A11" s="78" t="inlineStr"/>
      <c r="E11">
        <f>IF(A10="","",A10)</f>
        <v/>
      </c>
    </row>
    <row r="12">
      <c r="A12" s="78" t="inlineStr"/>
      <c r="E12">
        <f>IF(A11="","",A11)</f>
        <v/>
      </c>
    </row>
    <row r="13">
      <c r="A13" s="78" t="inlineStr"/>
      <c r="E13">
        <f>IF(A12="","",A12)</f>
        <v/>
      </c>
    </row>
    <row r="14">
      <c r="A14" s="78" t="inlineStr"/>
      <c r="E14">
        <f>IF(A13="","",A13)</f>
        <v/>
      </c>
    </row>
    <row r="15">
      <c r="A15" s="78" t="inlineStr"/>
      <c r="E15">
        <f>IF(A14="","",A14)</f>
        <v/>
      </c>
    </row>
    <row r="16">
      <c r="A16" s="78" t="inlineStr"/>
      <c r="E16">
        <f>IF(A15="","",A15)</f>
        <v/>
      </c>
    </row>
    <row r="17">
      <c r="A17" s="78" t="inlineStr"/>
      <c r="E17">
        <f>IF(A16="","",A16)</f>
        <v/>
      </c>
    </row>
    <row r="18">
      <c r="A18" s="78" t="inlineStr"/>
      <c r="E18">
        <f>IF(A17="","",A17)</f>
        <v/>
      </c>
    </row>
    <row r="19">
      <c r="A19" s="78" t="inlineStr"/>
      <c r="E19">
        <f>IF(A18="","",A18)</f>
        <v/>
      </c>
    </row>
    <row r="20">
      <c r="A20" s="78" t="inlineStr"/>
      <c r="E20">
        <f>IF(A19="","",A19)</f>
        <v/>
      </c>
    </row>
    <row r="21">
      <c r="A21" s="78" t="inlineStr"/>
      <c r="E21">
        <f>IF(A20="","",A20)</f>
        <v/>
      </c>
    </row>
    <row r="22">
      <c r="E22">
        <f>IF(A21="","",A21)</f>
        <v/>
      </c>
    </row>
  </sheetData>
  <mergeCells count="3">
    <mergeCell ref="A1:B2"/>
    <mergeCell ref="A3:H3"/>
    <mergeCell ref="C2:H2"/>
  </mergeCell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portrait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"/>
  </tableParts>
</worksheet>
</file>

<file path=xl/worksheets/sheet9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J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>
        <f>'How to Use'!A1</f>
        <v/>
      </c>
      <c r="B1" s="2" t="n"/>
      <c r="C1" s="4" t="inlineStr">
        <is>
          <t>How to Use</t>
        </is>
      </c>
      <c r="D1" s="4" t="inlineStr">
        <is>
          <t>Skill Matrix</t>
        </is>
      </c>
      <c r="E1" s="4" t="inlineStr">
        <is>
          <t>Dashboard</t>
        </is>
      </c>
      <c r="F1" s="4" t="inlineStr">
        <is>
          <t>Employees</t>
        </is>
      </c>
      <c r="G1" s="4" t="inlineStr">
        <is>
          <t>Skills</t>
        </is>
      </c>
      <c r="H1" s="4" t="inlineStr">
        <is>
          <t>Years</t>
        </is>
      </c>
      <c r="I1" s="4" t="inlineStr">
        <is>
          <t>Lists</t>
        </is>
      </c>
      <c r="J1" s="3" t="inlineStr">
        <is>
          <t>Settings</t>
        </is>
      </c>
    </row>
    <row r="2" ht="28" customHeight="1">
      <c r="A2" s="2" t="n"/>
      <c r="B2" s="2" t="n"/>
      <c r="C2" s="6" t="inlineStr">
        <is>
          <t>Settings</t>
        </is>
      </c>
    </row>
    <row r="3">
      <c r="A3" s="89" t="inlineStr">
        <is>
          <t>Target rating is the only number you usually need to change. Years are managed on the Years sheet. The all-year Ratings sheet is hidden: right-click a tab, Unhide, choose Ratings.</t>
        </is>
      </c>
    </row>
    <row r="5">
      <c r="A5" s="74" t="inlineStr">
        <is>
          <t>Setting</t>
        </is>
      </c>
      <c r="B5" s="74" t="inlineStr">
        <is>
          <t>Value</t>
        </is>
      </c>
      <c r="C5" s="74" t="inlineStr">
        <is>
          <t>What it controls</t>
        </is>
      </c>
    </row>
    <row r="6">
      <c r="A6" s="90" t="inlineStr">
        <is>
          <t>Target rating</t>
        </is>
      </c>
      <c r="B6" s="91" t="n">
        <v>3</v>
      </c>
      <c r="C6" s="54" t="inlineStr">
        <is>
          <t>Latest scores below this are flagged as development needs on the Dashboard.</t>
        </is>
      </c>
    </row>
    <row r="8">
      <c r="A8" s="19" t="inlineStr">
        <is>
          <t>Read-only (calculated)</t>
        </is>
      </c>
    </row>
    <row r="9">
      <c r="A9" s="90" t="inlineStr">
        <is>
          <t>Calendar year</t>
        </is>
      </c>
      <c r="B9" s="92">
        <f>YEAR(TODAY())</f>
        <v/>
      </c>
      <c r="C9" s="54" t="inlineStr">
        <is>
          <t>Today's calendar year. Used to highlight the current column and prompt for a new year.</t>
        </is>
      </c>
    </row>
    <row r="10">
      <c r="A10" s="90" t="inlineStr">
        <is>
          <t>Latest year with ratings</t>
        </is>
      </c>
      <c r="B10" s="92">
        <f>LatestYear</f>
        <v/>
      </c>
      <c r="C10" s="54" t="inlineStr">
        <is>
          <t>Most recent year that has at least one rating entered.</t>
        </is>
      </c>
    </row>
    <row r="11">
      <c r="A11" s="90" t="inlineStr">
        <is>
          <t>Previous year with ratings</t>
        </is>
      </c>
      <c r="B11" s="92">
        <f>PreviousYear</f>
        <v/>
      </c>
      <c r="C11" s="54" t="inlineStr">
        <is>
          <t>The year before that — used for last-year comparison.</t>
        </is>
      </c>
    </row>
    <row r="13">
      <c r="A13" s="19" t="inlineStr">
        <is>
          <t>Rating scale (1–5)</t>
        </is>
      </c>
    </row>
    <row r="14">
      <c r="A14" s="74" t="inlineStr">
        <is>
          <t>Rating</t>
        </is>
      </c>
      <c r="B14" s="74" t="inlineStr">
        <is>
          <t>Level</t>
        </is>
      </c>
      <c r="C14" s="74" t="inlineStr">
        <is>
          <t>Meaning</t>
        </is>
      </c>
    </row>
    <row r="15" ht="28" customHeight="1">
      <c r="A15" s="93" t="n">
        <v>1</v>
      </c>
      <c r="B15" s="94" t="inlineStr">
        <is>
          <t>Beginner</t>
        </is>
      </c>
      <c r="C15" s="95" t="inlineStr">
        <is>
          <t>Little or no hands-on experience. Needs close guidance.</t>
        </is>
      </c>
      <c r="D15" s="96" t="n"/>
      <c r="E15" s="96" t="n"/>
      <c r="F15" s="96" t="n"/>
      <c r="G15" s="96" t="n"/>
      <c r="H15" s="97" t="n"/>
    </row>
    <row r="16" ht="28" customHeight="1">
      <c r="A16" s="98" t="n">
        <v>2</v>
      </c>
      <c r="B16" s="99" t="inlineStr">
        <is>
          <t>Basic</t>
        </is>
      </c>
      <c r="C16" s="100" t="inlineStr">
        <is>
          <t>Can complete simple tasks with help or a checklist.</t>
        </is>
      </c>
      <c r="D16" s="96" t="n"/>
      <c r="E16" s="96" t="n"/>
      <c r="F16" s="96" t="n"/>
      <c r="G16" s="96" t="n"/>
      <c r="H16" s="97" t="n"/>
    </row>
    <row r="17" ht="28" customHeight="1">
      <c r="A17" s="101" t="n">
        <v>3</v>
      </c>
      <c r="B17" s="102" t="inlineStr">
        <is>
          <t>Competent</t>
        </is>
      </c>
      <c r="C17" s="103" t="inlineStr">
        <is>
          <t>Works independently on standard tasks. Meets the target.</t>
        </is>
      </c>
      <c r="D17" s="96" t="n"/>
      <c r="E17" s="96" t="n"/>
      <c r="F17" s="96" t="n"/>
      <c r="G17" s="96" t="n"/>
      <c r="H17" s="97" t="n"/>
    </row>
    <row r="18" ht="28" customHeight="1">
      <c r="A18" s="104" t="n">
        <v>4</v>
      </c>
      <c r="B18" s="105" t="inlineStr">
        <is>
          <t>Proficient</t>
        </is>
      </c>
      <c r="C18" s="106" t="inlineStr">
        <is>
          <t>Handles complex work and can coach others.</t>
        </is>
      </c>
      <c r="D18" s="96" t="n"/>
      <c r="E18" s="96" t="n"/>
      <c r="F18" s="96" t="n"/>
      <c r="G18" s="96" t="n"/>
      <c r="H18" s="97" t="n"/>
    </row>
    <row r="19" ht="28" customHeight="1">
      <c r="A19" s="107" t="n">
        <v>5</v>
      </c>
      <c r="B19" s="108" t="inlineStr">
        <is>
          <t>Expert</t>
        </is>
      </c>
      <c r="C19" s="109" t="inlineStr">
        <is>
          <t>Go-to specialist. Sets the standard for the team.</t>
        </is>
      </c>
      <c r="D19" s="96" t="n"/>
      <c r="E19" s="96" t="n"/>
      <c r="F19" s="96" t="n"/>
      <c r="G19" s="96" t="n"/>
      <c r="H19" s="97" t="n"/>
    </row>
  </sheetData>
  <mergeCells count="13">
    <mergeCell ref="C11:H11"/>
    <mergeCell ref="C6:H6"/>
    <mergeCell ref="A3:H3"/>
    <mergeCell ref="C2:H2"/>
    <mergeCell ref="C10:H10"/>
    <mergeCell ref="C16:H16"/>
    <mergeCell ref="C19:H19"/>
    <mergeCell ref="A8:C8"/>
    <mergeCell ref="C9:H9"/>
    <mergeCell ref="C18:H18"/>
    <mergeCell ref="C17:H17"/>
    <mergeCell ref="A1:B2"/>
    <mergeCell ref="C15:H15"/>
  </mergeCells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</hyperlinks>
  <pageMargins left="0.75" right="0.75" top="1" bottom="1" header="0.5" footer="0.5"/>
  <pageSetup orientation="portrait" fitToHeight="1" fitToWidth="1"/>
  <headerFooter>
    <oddHeader>&amp;L&amp;BEmployee Skill Matrix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9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10" t="inlineStr">
        <is>
          <t>Employee</t>
        </is>
      </c>
      <c r="B1" s="110" t="inlineStr">
        <is>
          <t>Department</t>
        </is>
      </c>
      <c r="C1" s="110" t="inlineStr">
        <is>
          <t>Skill</t>
        </is>
      </c>
      <c r="D1" s="110" t="inlineStr">
        <is>
          <t>Category</t>
        </is>
      </c>
      <c r="E1" s="110" t="inlineStr">
        <is>
          <t>Year</t>
        </is>
      </c>
      <c r="F1" s="110" t="inlineStr">
        <is>
          <t>Rating</t>
        </is>
      </c>
      <c r="G1" s="110" t="inlineStr">
        <is>
          <t>HireDate</t>
        </is>
      </c>
    </row>
    <row r="2">
      <c r="A2">
        <f>IF(AND('Ratings'!A6&lt;&gt;"",'Ratings'!E5&lt;&gt;""),'Ratings'!A6,"")</f>
        <v/>
      </c>
      <c r="B2">
        <f>IF(A2="","",'Employees'!C6)</f>
        <v/>
      </c>
      <c r="C2">
        <f>IF(A2="","",'Ratings'!C6)</f>
        <v/>
      </c>
      <c r="D2">
        <f>IF(A2="","",'Ratings'!D6)</f>
        <v/>
      </c>
      <c r="E2">
        <f>IF(AND('Ratings'!A6&lt;&gt;"",'Ratings'!E5&lt;&gt;""),'Ratings'!E5,"")</f>
        <v/>
      </c>
      <c r="F2">
        <f>IF(OR(A2="",'Ratings'!E6=""),"",'Ratings'!E6)</f>
        <v/>
      </c>
      <c r="G2">
        <f>IF(A2="","",'Employees'!D6)</f>
        <v/>
      </c>
    </row>
    <row r="3">
      <c r="A3">
        <f>IF(AND('Ratings'!A6&lt;&gt;"",'Ratings'!F5&lt;&gt;""),'Ratings'!A6,"")</f>
        <v/>
      </c>
      <c r="B3">
        <f>IF(A3="","",'Employees'!C6)</f>
        <v/>
      </c>
      <c r="C3">
        <f>IF(A3="","",'Ratings'!C6)</f>
        <v/>
      </c>
      <c r="D3">
        <f>IF(A3="","",'Ratings'!D6)</f>
        <v/>
      </c>
      <c r="E3">
        <f>IF(AND('Ratings'!A6&lt;&gt;"",'Ratings'!F5&lt;&gt;""),'Ratings'!F5,"")</f>
        <v/>
      </c>
      <c r="F3">
        <f>IF(OR(A3="",'Ratings'!F6=""),"",'Ratings'!F6)</f>
        <v/>
      </c>
      <c r="G3">
        <f>IF(A3="","",'Employees'!D6)</f>
        <v/>
      </c>
    </row>
    <row r="4">
      <c r="A4">
        <f>IF(AND('Ratings'!A6&lt;&gt;"",'Ratings'!G5&lt;&gt;""),'Ratings'!A6,"")</f>
        <v/>
      </c>
      <c r="B4">
        <f>IF(A4="","",'Employees'!C6)</f>
        <v/>
      </c>
      <c r="C4">
        <f>IF(A4="","",'Ratings'!C6)</f>
        <v/>
      </c>
      <c r="D4">
        <f>IF(A4="","",'Ratings'!D6)</f>
        <v/>
      </c>
      <c r="E4">
        <f>IF(AND('Ratings'!A6&lt;&gt;"",'Ratings'!G5&lt;&gt;""),'Ratings'!G5,"")</f>
        <v/>
      </c>
      <c r="F4">
        <f>IF(OR(A4="",'Ratings'!G6=""),"",'Ratings'!G6)</f>
        <v/>
      </c>
      <c r="G4">
        <f>IF(A4="","",'Employees'!D6)</f>
        <v/>
      </c>
    </row>
    <row r="5">
      <c r="A5">
        <f>IF(AND('Ratings'!A6&lt;&gt;"",'Ratings'!H5&lt;&gt;""),'Ratings'!A6,"")</f>
        <v/>
      </c>
      <c r="B5">
        <f>IF(A5="","",'Employees'!C6)</f>
        <v/>
      </c>
      <c r="C5">
        <f>IF(A5="","",'Ratings'!C6)</f>
        <v/>
      </c>
      <c r="D5">
        <f>IF(A5="","",'Ratings'!D6)</f>
        <v/>
      </c>
      <c r="E5">
        <f>IF(AND('Ratings'!A6&lt;&gt;"",'Ratings'!H5&lt;&gt;""),'Ratings'!H5,"")</f>
        <v/>
      </c>
      <c r="F5">
        <f>IF(OR(A5="",'Ratings'!H6=""),"",'Ratings'!H6)</f>
        <v/>
      </c>
      <c r="G5">
        <f>IF(A5="","",'Employees'!D6)</f>
        <v/>
      </c>
    </row>
    <row r="6">
      <c r="A6">
        <f>IF(AND('Ratings'!A6&lt;&gt;"",'Ratings'!I5&lt;&gt;""),'Ratings'!A6,"")</f>
        <v/>
      </c>
      <c r="B6">
        <f>IF(A6="","",'Employees'!C6)</f>
        <v/>
      </c>
      <c r="C6">
        <f>IF(A6="","",'Ratings'!C6)</f>
        <v/>
      </c>
      <c r="D6">
        <f>IF(A6="","",'Ratings'!D6)</f>
        <v/>
      </c>
      <c r="E6">
        <f>IF(AND('Ratings'!A6&lt;&gt;"",'Ratings'!I5&lt;&gt;""),'Ratings'!I5,"")</f>
        <v/>
      </c>
      <c r="F6">
        <f>IF(OR(A6="",'Ratings'!I6=""),"",'Ratings'!I6)</f>
        <v/>
      </c>
      <c r="G6">
        <f>IF(A6="","",'Employees'!D6)</f>
        <v/>
      </c>
    </row>
    <row r="7">
      <c r="A7">
        <f>IF(AND('Ratings'!A6&lt;&gt;"",'Ratings'!J5&lt;&gt;""),'Ratings'!A6,"")</f>
        <v/>
      </c>
      <c r="B7">
        <f>IF(A7="","",'Employees'!C6)</f>
        <v/>
      </c>
      <c r="C7">
        <f>IF(A7="","",'Ratings'!C6)</f>
        <v/>
      </c>
      <c r="D7">
        <f>IF(A7="","",'Ratings'!D6)</f>
        <v/>
      </c>
      <c r="E7">
        <f>IF(AND('Ratings'!A6&lt;&gt;"",'Ratings'!J5&lt;&gt;""),'Ratings'!J5,"")</f>
        <v/>
      </c>
      <c r="F7">
        <f>IF(OR(A7="",'Ratings'!J6=""),"",'Ratings'!J6)</f>
        <v/>
      </c>
      <c r="G7">
        <f>IF(A7="","",'Employees'!D6)</f>
        <v/>
      </c>
    </row>
    <row r="8">
      <c r="A8">
        <f>IF(AND('Ratings'!A6&lt;&gt;"",'Ratings'!K5&lt;&gt;""),'Ratings'!A6,"")</f>
        <v/>
      </c>
      <c r="B8">
        <f>IF(A8="","",'Employees'!C6)</f>
        <v/>
      </c>
      <c r="C8">
        <f>IF(A8="","",'Ratings'!C6)</f>
        <v/>
      </c>
      <c r="D8">
        <f>IF(A8="","",'Ratings'!D6)</f>
        <v/>
      </c>
      <c r="E8">
        <f>IF(AND('Ratings'!A6&lt;&gt;"",'Ratings'!K5&lt;&gt;""),'Ratings'!K5,"")</f>
        <v/>
      </c>
      <c r="F8">
        <f>IF(OR(A8="",'Ratings'!K6=""),"",'Ratings'!K6)</f>
        <v/>
      </c>
      <c r="G8">
        <f>IF(A8="","",'Employees'!D6)</f>
        <v/>
      </c>
    </row>
    <row r="9">
      <c r="A9">
        <f>IF(AND('Ratings'!A6&lt;&gt;"",'Ratings'!L5&lt;&gt;""),'Ratings'!A6,"")</f>
        <v/>
      </c>
      <c r="B9">
        <f>IF(A9="","",'Employees'!C6)</f>
        <v/>
      </c>
      <c r="C9">
        <f>IF(A9="","",'Ratings'!C6)</f>
        <v/>
      </c>
      <c r="D9">
        <f>IF(A9="","",'Ratings'!D6)</f>
        <v/>
      </c>
      <c r="E9">
        <f>IF(AND('Ratings'!A6&lt;&gt;"",'Ratings'!L5&lt;&gt;""),'Ratings'!L5,"")</f>
        <v/>
      </c>
      <c r="F9">
        <f>IF(OR(A9="",'Ratings'!L6=""),"",'Ratings'!L6)</f>
        <v/>
      </c>
      <c r="G9">
        <f>IF(A9="","",'Employees'!D6)</f>
        <v/>
      </c>
    </row>
    <row r="10">
      <c r="A10">
        <f>IF(AND('Ratings'!A6&lt;&gt;"",'Ratings'!M5&lt;&gt;""),'Ratings'!A6,"")</f>
        <v/>
      </c>
      <c r="B10">
        <f>IF(A10="","",'Employees'!C6)</f>
        <v/>
      </c>
      <c r="C10">
        <f>IF(A10="","",'Ratings'!C6)</f>
        <v/>
      </c>
      <c r="D10">
        <f>IF(A10="","",'Ratings'!D6)</f>
        <v/>
      </c>
      <c r="E10">
        <f>IF(AND('Ratings'!A6&lt;&gt;"",'Ratings'!M5&lt;&gt;""),'Ratings'!M5,"")</f>
        <v/>
      </c>
      <c r="F10">
        <f>IF(OR(A10="",'Ratings'!M6=""),"",'Ratings'!M6)</f>
        <v/>
      </c>
      <c r="G10">
        <f>IF(A10="","",'Employees'!D6)</f>
        <v/>
      </c>
    </row>
    <row r="11">
      <c r="A11">
        <f>IF(AND('Ratings'!A6&lt;&gt;"",'Ratings'!N5&lt;&gt;""),'Ratings'!A6,"")</f>
        <v/>
      </c>
      <c r="B11">
        <f>IF(A11="","",'Employees'!C6)</f>
        <v/>
      </c>
      <c r="C11">
        <f>IF(A11="","",'Ratings'!C6)</f>
        <v/>
      </c>
      <c r="D11">
        <f>IF(A11="","",'Ratings'!D6)</f>
        <v/>
      </c>
      <c r="E11">
        <f>IF(AND('Ratings'!A6&lt;&gt;"",'Ratings'!N5&lt;&gt;""),'Ratings'!N5,"")</f>
        <v/>
      </c>
      <c r="F11">
        <f>IF(OR(A11="",'Ratings'!N6=""),"",'Ratings'!N6)</f>
        <v/>
      </c>
      <c r="G11">
        <f>IF(A11="","",'Employees'!D6)</f>
        <v/>
      </c>
    </row>
    <row r="12">
      <c r="A12">
        <f>IF(AND('Ratings'!A6&lt;&gt;"",'Ratings'!O5&lt;&gt;""),'Ratings'!A6,"")</f>
        <v/>
      </c>
      <c r="B12">
        <f>IF(A12="","",'Employees'!C6)</f>
        <v/>
      </c>
      <c r="C12">
        <f>IF(A12="","",'Ratings'!C6)</f>
        <v/>
      </c>
      <c r="D12">
        <f>IF(A12="","",'Ratings'!D6)</f>
        <v/>
      </c>
      <c r="E12">
        <f>IF(AND('Ratings'!A6&lt;&gt;"",'Ratings'!O5&lt;&gt;""),'Ratings'!O5,"")</f>
        <v/>
      </c>
      <c r="F12">
        <f>IF(OR(A12="",'Ratings'!O6=""),"",'Ratings'!O6)</f>
        <v/>
      </c>
      <c r="G12">
        <f>IF(A12="","",'Employees'!D6)</f>
        <v/>
      </c>
    </row>
    <row r="13">
      <c r="A13">
        <f>IF(AND('Ratings'!A6&lt;&gt;"",'Ratings'!P5&lt;&gt;""),'Ratings'!A6,"")</f>
        <v/>
      </c>
      <c r="B13">
        <f>IF(A13="","",'Employees'!C6)</f>
        <v/>
      </c>
      <c r="C13">
        <f>IF(A13="","",'Ratings'!C6)</f>
        <v/>
      </c>
      <c r="D13">
        <f>IF(A13="","",'Ratings'!D6)</f>
        <v/>
      </c>
      <c r="E13">
        <f>IF(AND('Ratings'!A6&lt;&gt;"",'Ratings'!P5&lt;&gt;""),'Ratings'!P5,"")</f>
        <v/>
      </c>
      <c r="F13">
        <f>IF(OR(A13="",'Ratings'!P6=""),"",'Ratings'!P6)</f>
        <v/>
      </c>
      <c r="G13">
        <f>IF(A13="","",'Employees'!D6)</f>
        <v/>
      </c>
    </row>
    <row r="14">
      <c r="A14">
        <f>IF(AND('Ratings'!A6&lt;&gt;"",'Ratings'!Q5&lt;&gt;""),'Ratings'!A6,"")</f>
        <v/>
      </c>
      <c r="B14">
        <f>IF(A14="","",'Employees'!C6)</f>
        <v/>
      </c>
      <c r="C14">
        <f>IF(A14="","",'Ratings'!C6)</f>
        <v/>
      </c>
      <c r="D14">
        <f>IF(A14="","",'Ratings'!D6)</f>
        <v/>
      </c>
      <c r="E14">
        <f>IF(AND('Ratings'!A6&lt;&gt;"",'Ratings'!Q5&lt;&gt;""),'Ratings'!Q5,"")</f>
        <v/>
      </c>
      <c r="F14">
        <f>IF(OR(A14="",'Ratings'!Q6=""),"",'Ratings'!Q6)</f>
        <v/>
      </c>
      <c r="G14">
        <f>IF(A14="","",'Employees'!D6)</f>
        <v/>
      </c>
    </row>
    <row r="15">
      <c r="A15">
        <f>IF(AND('Ratings'!A6&lt;&gt;"",'Ratings'!R5&lt;&gt;""),'Ratings'!A6,"")</f>
        <v/>
      </c>
      <c r="B15">
        <f>IF(A15="","",'Employees'!C6)</f>
        <v/>
      </c>
      <c r="C15">
        <f>IF(A15="","",'Ratings'!C6)</f>
        <v/>
      </c>
      <c r="D15">
        <f>IF(A15="","",'Ratings'!D6)</f>
        <v/>
      </c>
      <c r="E15">
        <f>IF(AND('Ratings'!A6&lt;&gt;"",'Ratings'!R5&lt;&gt;""),'Ratings'!R5,"")</f>
        <v/>
      </c>
      <c r="F15">
        <f>IF(OR(A15="",'Ratings'!R6=""),"",'Ratings'!R6)</f>
        <v/>
      </c>
      <c r="G15">
        <f>IF(A15="","",'Employees'!D6)</f>
        <v/>
      </c>
    </row>
    <row r="16">
      <c r="A16">
        <f>IF(AND('Ratings'!A6&lt;&gt;"",'Ratings'!S5&lt;&gt;""),'Ratings'!A6,"")</f>
        <v/>
      </c>
      <c r="B16">
        <f>IF(A16="","",'Employees'!C6)</f>
        <v/>
      </c>
      <c r="C16">
        <f>IF(A16="","",'Ratings'!C6)</f>
        <v/>
      </c>
      <c r="D16">
        <f>IF(A16="","",'Ratings'!D6)</f>
        <v/>
      </c>
      <c r="E16">
        <f>IF(AND('Ratings'!A6&lt;&gt;"",'Ratings'!S5&lt;&gt;""),'Ratings'!S5,"")</f>
        <v/>
      </c>
      <c r="F16">
        <f>IF(OR(A16="",'Ratings'!S6=""),"",'Ratings'!S6)</f>
        <v/>
      </c>
      <c r="G16">
        <f>IF(A16="","",'Employees'!D6)</f>
        <v/>
      </c>
    </row>
    <row r="17">
      <c r="A17">
        <f>IF(AND('Ratings'!A6&lt;&gt;"",'Ratings'!T5&lt;&gt;""),'Ratings'!A6,"")</f>
        <v/>
      </c>
      <c r="B17">
        <f>IF(A17="","",'Employees'!C6)</f>
        <v/>
      </c>
      <c r="C17">
        <f>IF(A17="","",'Ratings'!C6)</f>
        <v/>
      </c>
      <c r="D17">
        <f>IF(A17="","",'Ratings'!D6)</f>
        <v/>
      </c>
      <c r="E17">
        <f>IF(AND('Ratings'!A6&lt;&gt;"",'Ratings'!T5&lt;&gt;""),'Ratings'!T5,"")</f>
        <v/>
      </c>
      <c r="F17">
        <f>IF(OR(A17="",'Ratings'!T6=""),"",'Ratings'!T6)</f>
        <v/>
      </c>
      <c r="G17">
        <f>IF(A17="","",'Employees'!D6)</f>
        <v/>
      </c>
    </row>
    <row r="18">
      <c r="A18">
        <f>IF(AND('Ratings'!A7&lt;&gt;"",'Ratings'!E5&lt;&gt;""),'Ratings'!A7,"")</f>
        <v/>
      </c>
      <c r="B18">
        <f>IF(A18="","",'Employees'!C6)</f>
        <v/>
      </c>
      <c r="C18">
        <f>IF(A18="","",'Ratings'!C7)</f>
        <v/>
      </c>
      <c r="D18">
        <f>IF(A18="","",'Ratings'!D7)</f>
        <v/>
      </c>
      <c r="E18">
        <f>IF(AND('Ratings'!A7&lt;&gt;"",'Ratings'!E5&lt;&gt;""),'Ratings'!E5,"")</f>
        <v/>
      </c>
      <c r="F18">
        <f>IF(OR(A18="",'Ratings'!E7=""),"",'Ratings'!E7)</f>
        <v/>
      </c>
      <c r="G18">
        <f>IF(A18="","",'Employees'!D6)</f>
        <v/>
      </c>
    </row>
    <row r="19">
      <c r="A19">
        <f>IF(AND('Ratings'!A7&lt;&gt;"",'Ratings'!F5&lt;&gt;""),'Ratings'!A7,"")</f>
        <v/>
      </c>
      <c r="B19">
        <f>IF(A19="","",'Employees'!C6)</f>
        <v/>
      </c>
      <c r="C19">
        <f>IF(A19="","",'Ratings'!C7)</f>
        <v/>
      </c>
      <c r="D19">
        <f>IF(A19="","",'Ratings'!D7)</f>
        <v/>
      </c>
      <c r="E19">
        <f>IF(AND('Ratings'!A7&lt;&gt;"",'Ratings'!F5&lt;&gt;""),'Ratings'!F5,"")</f>
        <v/>
      </c>
      <c r="F19">
        <f>IF(OR(A19="",'Ratings'!F7=""),"",'Ratings'!F7)</f>
        <v/>
      </c>
      <c r="G19">
        <f>IF(A19="","",'Employees'!D6)</f>
        <v/>
      </c>
    </row>
    <row r="20">
      <c r="A20">
        <f>IF(AND('Ratings'!A7&lt;&gt;"",'Ratings'!G5&lt;&gt;""),'Ratings'!A7,"")</f>
        <v/>
      </c>
      <c r="B20">
        <f>IF(A20="","",'Employees'!C6)</f>
        <v/>
      </c>
      <c r="C20">
        <f>IF(A20="","",'Ratings'!C7)</f>
        <v/>
      </c>
      <c r="D20">
        <f>IF(A20="","",'Ratings'!D7)</f>
        <v/>
      </c>
      <c r="E20">
        <f>IF(AND('Ratings'!A7&lt;&gt;"",'Ratings'!G5&lt;&gt;""),'Ratings'!G5,"")</f>
        <v/>
      </c>
      <c r="F20">
        <f>IF(OR(A20="",'Ratings'!G7=""),"",'Ratings'!G7)</f>
        <v/>
      </c>
      <c r="G20">
        <f>IF(A20="","",'Employees'!D6)</f>
        <v/>
      </c>
    </row>
    <row r="21">
      <c r="A21">
        <f>IF(AND('Ratings'!A7&lt;&gt;"",'Ratings'!H5&lt;&gt;""),'Ratings'!A7,"")</f>
        <v/>
      </c>
      <c r="B21">
        <f>IF(A21="","",'Employees'!C6)</f>
        <v/>
      </c>
      <c r="C21">
        <f>IF(A21="","",'Ratings'!C7)</f>
        <v/>
      </c>
      <c r="D21">
        <f>IF(A21="","",'Ratings'!D7)</f>
        <v/>
      </c>
      <c r="E21">
        <f>IF(AND('Ratings'!A7&lt;&gt;"",'Ratings'!H5&lt;&gt;""),'Ratings'!H5,"")</f>
        <v/>
      </c>
      <c r="F21">
        <f>IF(OR(A21="",'Ratings'!H7=""),"",'Ratings'!H7)</f>
        <v/>
      </c>
      <c r="G21">
        <f>IF(A21="","",'Employees'!D6)</f>
        <v/>
      </c>
    </row>
    <row r="22">
      <c r="A22">
        <f>IF(AND('Ratings'!A7&lt;&gt;"",'Ratings'!I5&lt;&gt;""),'Ratings'!A7,"")</f>
        <v/>
      </c>
      <c r="B22">
        <f>IF(A22="","",'Employees'!C6)</f>
        <v/>
      </c>
      <c r="C22">
        <f>IF(A22="","",'Ratings'!C7)</f>
        <v/>
      </c>
      <c r="D22">
        <f>IF(A22="","",'Ratings'!D7)</f>
        <v/>
      </c>
      <c r="E22">
        <f>IF(AND('Ratings'!A7&lt;&gt;"",'Ratings'!I5&lt;&gt;""),'Ratings'!I5,"")</f>
        <v/>
      </c>
      <c r="F22">
        <f>IF(OR(A22="",'Ratings'!I7=""),"",'Ratings'!I7)</f>
        <v/>
      </c>
      <c r="G22">
        <f>IF(A22="","",'Employees'!D6)</f>
        <v/>
      </c>
    </row>
    <row r="23">
      <c r="A23">
        <f>IF(AND('Ratings'!A7&lt;&gt;"",'Ratings'!J5&lt;&gt;""),'Ratings'!A7,"")</f>
        <v/>
      </c>
      <c r="B23">
        <f>IF(A23="","",'Employees'!C6)</f>
        <v/>
      </c>
      <c r="C23">
        <f>IF(A23="","",'Ratings'!C7)</f>
        <v/>
      </c>
      <c r="D23">
        <f>IF(A23="","",'Ratings'!D7)</f>
        <v/>
      </c>
      <c r="E23">
        <f>IF(AND('Ratings'!A7&lt;&gt;"",'Ratings'!J5&lt;&gt;""),'Ratings'!J5,"")</f>
        <v/>
      </c>
      <c r="F23">
        <f>IF(OR(A23="",'Ratings'!J7=""),"",'Ratings'!J7)</f>
        <v/>
      </c>
      <c r="G23">
        <f>IF(A23="","",'Employees'!D6)</f>
        <v/>
      </c>
    </row>
    <row r="24">
      <c r="A24">
        <f>IF(AND('Ratings'!A7&lt;&gt;"",'Ratings'!K5&lt;&gt;""),'Ratings'!A7,"")</f>
        <v/>
      </c>
      <c r="B24">
        <f>IF(A24="","",'Employees'!C6)</f>
        <v/>
      </c>
      <c r="C24">
        <f>IF(A24="","",'Ratings'!C7)</f>
        <v/>
      </c>
      <c r="D24">
        <f>IF(A24="","",'Ratings'!D7)</f>
        <v/>
      </c>
      <c r="E24">
        <f>IF(AND('Ratings'!A7&lt;&gt;"",'Ratings'!K5&lt;&gt;""),'Ratings'!K5,"")</f>
        <v/>
      </c>
      <c r="F24">
        <f>IF(OR(A24="",'Ratings'!K7=""),"",'Ratings'!K7)</f>
        <v/>
      </c>
      <c r="G24">
        <f>IF(A24="","",'Employees'!D6)</f>
        <v/>
      </c>
    </row>
    <row r="25">
      <c r="A25">
        <f>IF(AND('Ratings'!A7&lt;&gt;"",'Ratings'!L5&lt;&gt;""),'Ratings'!A7,"")</f>
        <v/>
      </c>
      <c r="B25">
        <f>IF(A25="","",'Employees'!C6)</f>
        <v/>
      </c>
      <c r="C25">
        <f>IF(A25="","",'Ratings'!C7)</f>
        <v/>
      </c>
      <c r="D25">
        <f>IF(A25="","",'Ratings'!D7)</f>
        <v/>
      </c>
      <c r="E25">
        <f>IF(AND('Ratings'!A7&lt;&gt;"",'Ratings'!L5&lt;&gt;""),'Ratings'!L5,"")</f>
        <v/>
      </c>
      <c r="F25">
        <f>IF(OR(A25="",'Ratings'!L7=""),"",'Ratings'!L7)</f>
        <v/>
      </c>
      <c r="G25">
        <f>IF(A25="","",'Employees'!D6)</f>
        <v/>
      </c>
    </row>
    <row r="26">
      <c r="A26">
        <f>IF(AND('Ratings'!A7&lt;&gt;"",'Ratings'!M5&lt;&gt;""),'Ratings'!A7,"")</f>
        <v/>
      </c>
      <c r="B26">
        <f>IF(A26="","",'Employees'!C6)</f>
        <v/>
      </c>
      <c r="C26">
        <f>IF(A26="","",'Ratings'!C7)</f>
        <v/>
      </c>
      <c r="D26">
        <f>IF(A26="","",'Ratings'!D7)</f>
        <v/>
      </c>
      <c r="E26">
        <f>IF(AND('Ratings'!A7&lt;&gt;"",'Ratings'!M5&lt;&gt;""),'Ratings'!M5,"")</f>
        <v/>
      </c>
      <c r="F26">
        <f>IF(OR(A26="",'Ratings'!M7=""),"",'Ratings'!M7)</f>
        <v/>
      </c>
      <c r="G26">
        <f>IF(A26="","",'Employees'!D6)</f>
        <v/>
      </c>
    </row>
    <row r="27">
      <c r="A27">
        <f>IF(AND('Ratings'!A7&lt;&gt;"",'Ratings'!N5&lt;&gt;""),'Ratings'!A7,"")</f>
        <v/>
      </c>
      <c r="B27">
        <f>IF(A27="","",'Employees'!C6)</f>
        <v/>
      </c>
      <c r="C27">
        <f>IF(A27="","",'Ratings'!C7)</f>
        <v/>
      </c>
      <c r="D27">
        <f>IF(A27="","",'Ratings'!D7)</f>
        <v/>
      </c>
      <c r="E27">
        <f>IF(AND('Ratings'!A7&lt;&gt;"",'Ratings'!N5&lt;&gt;""),'Ratings'!N5,"")</f>
        <v/>
      </c>
      <c r="F27">
        <f>IF(OR(A27="",'Ratings'!N7=""),"",'Ratings'!N7)</f>
        <v/>
      </c>
      <c r="G27">
        <f>IF(A27="","",'Employees'!D6)</f>
        <v/>
      </c>
    </row>
    <row r="28">
      <c r="A28">
        <f>IF(AND('Ratings'!A7&lt;&gt;"",'Ratings'!O5&lt;&gt;""),'Ratings'!A7,"")</f>
        <v/>
      </c>
      <c r="B28">
        <f>IF(A28="","",'Employees'!C6)</f>
        <v/>
      </c>
      <c r="C28">
        <f>IF(A28="","",'Ratings'!C7)</f>
        <v/>
      </c>
      <c r="D28">
        <f>IF(A28="","",'Ratings'!D7)</f>
        <v/>
      </c>
      <c r="E28">
        <f>IF(AND('Ratings'!A7&lt;&gt;"",'Ratings'!O5&lt;&gt;""),'Ratings'!O5,"")</f>
        <v/>
      </c>
      <c r="F28">
        <f>IF(OR(A28="",'Ratings'!O7=""),"",'Ratings'!O7)</f>
        <v/>
      </c>
      <c r="G28">
        <f>IF(A28="","",'Employees'!D6)</f>
        <v/>
      </c>
    </row>
    <row r="29">
      <c r="A29">
        <f>IF(AND('Ratings'!A7&lt;&gt;"",'Ratings'!P5&lt;&gt;""),'Ratings'!A7,"")</f>
        <v/>
      </c>
      <c r="B29">
        <f>IF(A29="","",'Employees'!C6)</f>
        <v/>
      </c>
      <c r="C29">
        <f>IF(A29="","",'Ratings'!C7)</f>
        <v/>
      </c>
      <c r="D29">
        <f>IF(A29="","",'Ratings'!D7)</f>
        <v/>
      </c>
      <c r="E29">
        <f>IF(AND('Ratings'!A7&lt;&gt;"",'Ratings'!P5&lt;&gt;""),'Ratings'!P5,"")</f>
        <v/>
      </c>
      <c r="F29">
        <f>IF(OR(A29="",'Ratings'!P7=""),"",'Ratings'!P7)</f>
        <v/>
      </c>
      <c r="G29">
        <f>IF(A29="","",'Employees'!D6)</f>
        <v/>
      </c>
    </row>
    <row r="30">
      <c r="A30">
        <f>IF(AND('Ratings'!A7&lt;&gt;"",'Ratings'!Q5&lt;&gt;""),'Ratings'!A7,"")</f>
        <v/>
      </c>
      <c r="B30">
        <f>IF(A30="","",'Employees'!C6)</f>
        <v/>
      </c>
      <c r="C30">
        <f>IF(A30="","",'Ratings'!C7)</f>
        <v/>
      </c>
      <c r="D30">
        <f>IF(A30="","",'Ratings'!D7)</f>
        <v/>
      </c>
      <c r="E30">
        <f>IF(AND('Ratings'!A7&lt;&gt;"",'Ratings'!Q5&lt;&gt;""),'Ratings'!Q5,"")</f>
        <v/>
      </c>
      <c r="F30">
        <f>IF(OR(A30="",'Ratings'!Q7=""),"",'Ratings'!Q7)</f>
        <v/>
      </c>
      <c r="G30">
        <f>IF(A30="","",'Employees'!D6)</f>
        <v/>
      </c>
    </row>
    <row r="31">
      <c r="A31">
        <f>IF(AND('Ratings'!A7&lt;&gt;"",'Ratings'!R5&lt;&gt;""),'Ratings'!A7,"")</f>
        <v/>
      </c>
      <c r="B31">
        <f>IF(A31="","",'Employees'!C6)</f>
        <v/>
      </c>
      <c r="C31">
        <f>IF(A31="","",'Ratings'!C7)</f>
        <v/>
      </c>
      <c r="D31">
        <f>IF(A31="","",'Ratings'!D7)</f>
        <v/>
      </c>
      <c r="E31">
        <f>IF(AND('Ratings'!A7&lt;&gt;"",'Ratings'!R5&lt;&gt;""),'Ratings'!R5,"")</f>
        <v/>
      </c>
      <c r="F31">
        <f>IF(OR(A31="",'Ratings'!R7=""),"",'Ratings'!R7)</f>
        <v/>
      </c>
      <c r="G31">
        <f>IF(A31="","",'Employees'!D6)</f>
        <v/>
      </c>
    </row>
    <row r="32">
      <c r="A32">
        <f>IF(AND('Ratings'!A7&lt;&gt;"",'Ratings'!S5&lt;&gt;""),'Ratings'!A7,"")</f>
        <v/>
      </c>
      <c r="B32">
        <f>IF(A32="","",'Employees'!C6)</f>
        <v/>
      </c>
      <c r="C32">
        <f>IF(A32="","",'Ratings'!C7)</f>
        <v/>
      </c>
      <c r="D32">
        <f>IF(A32="","",'Ratings'!D7)</f>
        <v/>
      </c>
      <c r="E32">
        <f>IF(AND('Ratings'!A7&lt;&gt;"",'Ratings'!S5&lt;&gt;""),'Ratings'!S5,"")</f>
        <v/>
      </c>
      <c r="F32">
        <f>IF(OR(A32="",'Ratings'!S7=""),"",'Ratings'!S7)</f>
        <v/>
      </c>
      <c r="G32">
        <f>IF(A32="","",'Employees'!D6)</f>
        <v/>
      </c>
    </row>
    <row r="33">
      <c r="A33">
        <f>IF(AND('Ratings'!A7&lt;&gt;"",'Ratings'!T5&lt;&gt;""),'Ratings'!A7,"")</f>
        <v/>
      </c>
      <c r="B33">
        <f>IF(A33="","",'Employees'!C6)</f>
        <v/>
      </c>
      <c r="C33">
        <f>IF(A33="","",'Ratings'!C7)</f>
        <v/>
      </c>
      <c r="D33">
        <f>IF(A33="","",'Ratings'!D7)</f>
        <v/>
      </c>
      <c r="E33">
        <f>IF(AND('Ratings'!A7&lt;&gt;"",'Ratings'!T5&lt;&gt;""),'Ratings'!T5,"")</f>
        <v/>
      </c>
      <c r="F33">
        <f>IF(OR(A33="",'Ratings'!T7=""),"",'Ratings'!T7)</f>
        <v/>
      </c>
      <c r="G33">
        <f>IF(A33="","",'Employees'!D6)</f>
        <v/>
      </c>
    </row>
    <row r="34">
      <c r="A34">
        <f>IF(AND('Ratings'!A8&lt;&gt;"",'Ratings'!E5&lt;&gt;""),'Ratings'!A8,"")</f>
        <v/>
      </c>
      <c r="B34">
        <f>IF(A34="","",'Employees'!C6)</f>
        <v/>
      </c>
      <c r="C34">
        <f>IF(A34="","",'Ratings'!C8)</f>
        <v/>
      </c>
      <c r="D34">
        <f>IF(A34="","",'Ratings'!D8)</f>
        <v/>
      </c>
      <c r="E34">
        <f>IF(AND('Ratings'!A8&lt;&gt;"",'Ratings'!E5&lt;&gt;""),'Ratings'!E5,"")</f>
        <v/>
      </c>
      <c r="F34">
        <f>IF(OR(A34="",'Ratings'!E8=""),"",'Ratings'!E8)</f>
        <v/>
      </c>
      <c r="G34">
        <f>IF(A34="","",'Employees'!D6)</f>
        <v/>
      </c>
    </row>
    <row r="35">
      <c r="A35">
        <f>IF(AND('Ratings'!A8&lt;&gt;"",'Ratings'!F5&lt;&gt;""),'Ratings'!A8,"")</f>
        <v/>
      </c>
      <c r="B35">
        <f>IF(A35="","",'Employees'!C6)</f>
        <v/>
      </c>
      <c r="C35">
        <f>IF(A35="","",'Ratings'!C8)</f>
        <v/>
      </c>
      <c r="D35">
        <f>IF(A35="","",'Ratings'!D8)</f>
        <v/>
      </c>
      <c r="E35">
        <f>IF(AND('Ratings'!A8&lt;&gt;"",'Ratings'!F5&lt;&gt;""),'Ratings'!F5,"")</f>
        <v/>
      </c>
      <c r="F35">
        <f>IF(OR(A35="",'Ratings'!F8=""),"",'Ratings'!F8)</f>
        <v/>
      </c>
      <c r="G35">
        <f>IF(A35="","",'Employees'!D6)</f>
        <v/>
      </c>
    </row>
    <row r="36">
      <c r="A36">
        <f>IF(AND('Ratings'!A8&lt;&gt;"",'Ratings'!G5&lt;&gt;""),'Ratings'!A8,"")</f>
        <v/>
      </c>
      <c r="B36">
        <f>IF(A36="","",'Employees'!C6)</f>
        <v/>
      </c>
      <c r="C36">
        <f>IF(A36="","",'Ratings'!C8)</f>
        <v/>
      </c>
      <c r="D36">
        <f>IF(A36="","",'Ratings'!D8)</f>
        <v/>
      </c>
      <c r="E36">
        <f>IF(AND('Ratings'!A8&lt;&gt;"",'Ratings'!G5&lt;&gt;""),'Ratings'!G5,"")</f>
        <v/>
      </c>
      <c r="F36">
        <f>IF(OR(A36="",'Ratings'!G8=""),"",'Ratings'!G8)</f>
        <v/>
      </c>
      <c r="G36">
        <f>IF(A36="","",'Employees'!D6)</f>
        <v/>
      </c>
    </row>
    <row r="37">
      <c r="A37">
        <f>IF(AND('Ratings'!A8&lt;&gt;"",'Ratings'!H5&lt;&gt;""),'Ratings'!A8,"")</f>
        <v/>
      </c>
      <c r="B37">
        <f>IF(A37="","",'Employees'!C6)</f>
        <v/>
      </c>
      <c r="C37">
        <f>IF(A37="","",'Ratings'!C8)</f>
        <v/>
      </c>
      <c r="D37">
        <f>IF(A37="","",'Ratings'!D8)</f>
        <v/>
      </c>
      <c r="E37">
        <f>IF(AND('Ratings'!A8&lt;&gt;"",'Ratings'!H5&lt;&gt;""),'Ratings'!H5,"")</f>
        <v/>
      </c>
      <c r="F37">
        <f>IF(OR(A37="",'Ratings'!H8=""),"",'Ratings'!H8)</f>
        <v/>
      </c>
      <c r="G37">
        <f>IF(A37="","",'Employees'!D6)</f>
        <v/>
      </c>
    </row>
    <row r="38">
      <c r="A38">
        <f>IF(AND('Ratings'!A8&lt;&gt;"",'Ratings'!I5&lt;&gt;""),'Ratings'!A8,"")</f>
        <v/>
      </c>
      <c r="B38">
        <f>IF(A38="","",'Employees'!C6)</f>
        <v/>
      </c>
      <c r="C38">
        <f>IF(A38="","",'Ratings'!C8)</f>
        <v/>
      </c>
      <c r="D38">
        <f>IF(A38="","",'Ratings'!D8)</f>
        <v/>
      </c>
      <c r="E38">
        <f>IF(AND('Ratings'!A8&lt;&gt;"",'Ratings'!I5&lt;&gt;""),'Ratings'!I5,"")</f>
        <v/>
      </c>
      <c r="F38">
        <f>IF(OR(A38="",'Ratings'!I8=""),"",'Ratings'!I8)</f>
        <v/>
      </c>
      <c r="G38">
        <f>IF(A38="","",'Employees'!D6)</f>
        <v/>
      </c>
    </row>
    <row r="39">
      <c r="A39">
        <f>IF(AND('Ratings'!A8&lt;&gt;"",'Ratings'!J5&lt;&gt;""),'Ratings'!A8,"")</f>
        <v/>
      </c>
      <c r="B39">
        <f>IF(A39="","",'Employees'!C6)</f>
        <v/>
      </c>
      <c r="C39">
        <f>IF(A39="","",'Ratings'!C8)</f>
        <v/>
      </c>
      <c r="D39">
        <f>IF(A39="","",'Ratings'!D8)</f>
        <v/>
      </c>
      <c r="E39">
        <f>IF(AND('Ratings'!A8&lt;&gt;"",'Ratings'!J5&lt;&gt;""),'Ratings'!J5,"")</f>
        <v/>
      </c>
      <c r="F39">
        <f>IF(OR(A39="",'Ratings'!J8=""),"",'Ratings'!J8)</f>
        <v/>
      </c>
      <c r="G39">
        <f>IF(A39="","",'Employees'!D6)</f>
        <v/>
      </c>
    </row>
    <row r="40">
      <c r="A40">
        <f>IF(AND('Ratings'!A8&lt;&gt;"",'Ratings'!K5&lt;&gt;""),'Ratings'!A8,"")</f>
        <v/>
      </c>
      <c r="B40">
        <f>IF(A40="","",'Employees'!C6)</f>
        <v/>
      </c>
      <c r="C40">
        <f>IF(A40="","",'Ratings'!C8)</f>
        <v/>
      </c>
      <c r="D40">
        <f>IF(A40="","",'Ratings'!D8)</f>
        <v/>
      </c>
      <c r="E40">
        <f>IF(AND('Ratings'!A8&lt;&gt;"",'Ratings'!K5&lt;&gt;""),'Ratings'!K5,"")</f>
        <v/>
      </c>
      <c r="F40">
        <f>IF(OR(A40="",'Ratings'!K8=""),"",'Ratings'!K8)</f>
        <v/>
      </c>
      <c r="G40">
        <f>IF(A40="","",'Employees'!D6)</f>
        <v/>
      </c>
    </row>
    <row r="41">
      <c r="A41">
        <f>IF(AND('Ratings'!A8&lt;&gt;"",'Ratings'!L5&lt;&gt;""),'Ratings'!A8,"")</f>
        <v/>
      </c>
      <c r="B41">
        <f>IF(A41="","",'Employees'!C6)</f>
        <v/>
      </c>
      <c r="C41">
        <f>IF(A41="","",'Ratings'!C8)</f>
        <v/>
      </c>
      <c r="D41">
        <f>IF(A41="","",'Ratings'!D8)</f>
        <v/>
      </c>
      <c r="E41">
        <f>IF(AND('Ratings'!A8&lt;&gt;"",'Ratings'!L5&lt;&gt;""),'Ratings'!L5,"")</f>
        <v/>
      </c>
      <c r="F41">
        <f>IF(OR(A41="",'Ratings'!L8=""),"",'Ratings'!L8)</f>
        <v/>
      </c>
      <c r="G41">
        <f>IF(A41="","",'Employees'!D6)</f>
        <v/>
      </c>
    </row>
    <row r="42">
      <c r="A42">
        <f>IF(AND('Ratings'!A8&lt;&gt;"",'Ratings'!M5&lt;&gt;""),'Ratings'!A8,"")</f>
        <v/>
      </c>
      <c r="B42">
        <f>IF(A42="","",'Employees'!C6)</f>
        <v/>
      </c>
      <c r="C42">
        <f>IF(A42="","",'Ratings'!C8)</f>
        <v/>
      </c>
      <c r="D42">
        <f>IF(A42="","",'Ratings'!D8)</f>
        <v/>
      </c>
      <c r="E42">
        <f>IF(AND('Ratings'!A8&lt;&gt;"",'Ratings'!M5&lt;&gt;""),'Ratings'!M5,"")</f>
        <v/>
      </c>
      <c r="F42">
        <f>IF(OR(A42="",'Ratings'!M8=""),"",'Ratings'!M8)</f>
        <v/>
      </c>
      <c r="G42">
        <f>IF(A42="","",'Employees'!D6)</f>
        <v/>
      </c>
    </row>
    <row r="43">
      <c r="A43">
        <f>IF(AND('Ratings'!A8&lt;&gt;"",'Ratings'!N5&lt;&gt;""),'Ratings'!A8,"")</f>
        <v/>
      </c>
      <c r="B43">
        <f>IF(A43="","",'Employees'!C6)</f>
        <v/>
      </c>
      <c r="C43">
        <f>IF(A43="","",'Ratings'!C8)</f>
        <v/>
      </c>
      <c r="D43">
        <f>IF(A43="","",'Ratings'!D8)</f>
        <v/>
      </c>
      <c r="E43">
        <f>IF(AND('Ratings'!A8&lt;&gt;"",'Ratings'!N5&lt;&gt;""),'Ratings'!N5,"")</f>
        <v/>
      </c>
      <c r="F43">
        <f>IF(OR(A43="",'Ratings'!N8=""),"",'Ratings'!N8)</f>
        <v/>
      </c>
      <c r="G43">
        <f>IF(A43="","",'Employees'!D6)</f>
        <v/>
      </c>
    </row>
    <row r="44">
      <c r="A44">
        <f>IF(AND('Ratings'!A8&lt;&gt;"",'Ratings'!O5&lt;&gt;""),'Ratings'!A8,"")</f>
        <v/>
      </c>
      <c r="B44">
        <f>IF(A44="","",'Employees'!C6)</f>
        <v/>
      </c>
      <c r="C44">
        <f>IF(A44="","",'Ratings'!C8)</f>
        <v/>
      </c>
      <c r="D44">
        <f>IF(A44="","",'Ratings'!D8)</f>
        <v/>
      </c>
      <c r="E44">
        <f>IF(AND('Ratings'!A8&lt;&gt;"",'Ratings'!O5&lt;&gt;""),'Ratings'!O5,"")</f>
        <v/>
      </c>
      <c r="F44">
        <f>IF(OR(A44="",'Ratings'!O8=""),"",'Ratings'!O8)</f>
        <v/>
      </c>
      <c r="G44">
        <f>IF(A44="","",'Employees'!D6)</f>
        <v/>
      </c>
    </row>
    <row r="45">
      <c r="A45">
        <f>IF(AND('Ratings'!A8&lt;&gt;"",'Ratings'!P5&lt;&gt;""),'Ratings'!A8,"")</f>
        <v/>
      </c>
      <c r="B45">
        <f>IF(A45="","",'Employees'!C6)</f>
        <v/>
      </c>
      <c r="C45">
        <f>IF(A45="","",'Ratings'!C8)</f>
        <v/>
      </c>
      <c r="D45">
        <f>IF(A45="","",'Ratings'!D8)</f>
        <v/>
      </c>
      <c r="E45">
        <f>IF(AND('Ratings'!A8&lt;&gt;"",'Ratings'!P5&lt;&gt;""),'Ratings'!P5,"")</f>
        <v/>
      </c>
      <c r="F45">
        <f>IF(OR(A45="",'Ratings'!P8=""),"",'Ratings'!P8)</f>
        <v/>
      </c>
      <c r="G45">
        <f>IF(A45="","",'Employees'!D6)</f>
        <v/>
      </c>
    </row>
    <row r="46">
      <c r="A46">
        <f>IF(AND('Ratings'!A8&lt;&gt;"",'Ratings'!Q5&lt;&gt;""),'Ratings'!A8,"")</f>
        <v/>
      </c>
      <c r="B46">
        <f>IF(A46="","",'Employees'!C6)</f>
        <v/>
      </c>
      <c r="C46">
        <f>IF(A46="","",'Ratings'!C8)</f>
        <v/>
      </c>
      <c r="D46">
        <f>IF(A46="","",'Ratings'!D8)</f>
        <v/>
      </c>
      <c r="E46">
        <f>IF(AND('Ratings'!A8&lt;&gt;"",'Ratings'!Q5&lt;&gt;""),'Ratings'!Q5,"")</f>
        <v/>
      </c>
      <c r="F46">
        <f>IF(OR(A46="",'Ratings'!Q8=""),"",'Ratings'!Q8)</f>
        <v/>
      </c>
      <c r="G46">
        <f>IF(A46="","",'Employees'!D6)</f>
        <v/>
      </c>
    </row>
    <row r="47">
      <c r="A47">
        <f>IF(AND('Ratings'!A8&lt;&gt;"",'Ratings'!R5&lt;&gt;""),'Ratings'!A8,"")</f>
        <v/>
      </c>
      <c r="B47">
        <f>IF(A47="","",'Employees'!C6)</f>
        <v/>
      </c>
      <c r="C47">
        <f>IF(A47="","",'Ratings'!C8)</f>
        <v/>
      </c>
      <c r="D47">
        <f>IF(A47="","",'Ratings'!D8)</f>
        <v/>
      </c>
      <c r="E47">
        <f>IF(AND('Ratings'!A8&lt;&gt;"",'Ratings'!R5&lt;&gt;""),'Ratings'!R5,"")</f>
        <v/>
      </c>
      <c r="F47">
        <f>IF(OR(A47="",'Ratings'!R8=""),"",'Ratings'!R8)</f>
        <v/>
      </c>
      <c r="G47">
        <f>IF(A47="","",'Employees'!D6)</f>
        <v/>
      </c>
    </row>
    <row r="48">
      <c r="A48">
        <f>IF(AND('Ratings'!A8&lt;&gt;"",'Ratings'!S5&lt;&gt;""),'Ratings'!A8,"")</f>
        <v/>
      </c>
      <c r="B48">
        <f>IF(A48="","",'Employees'!C6)</f>
        <v/>
      </c>
      <c r="C48">
        <f>IF(A48="","",'Ratings'!C8)</f>
        <v/>
      </c>
      <c r="D48">
        <f>IF(A48="","",'Ratings'!D8)</f>
        <v/>
      </c>
      <c r="E48">
        <f>IF(AND('Ratings'!A8&lt;&gt;"",'Ratings'!S5&lt;&gt;""),'Ratings'!S5,"")</f>
        <v/>
      </c>
      <c r="F48">
        <f>IF(OR(A48="",'Ratings'!S8=""),"",'Ratings'!S8)</f>
        <v/>
      </c>
      <c r="G48">
        <f>IF(A48="","",'Employees'!D6)</f>
        <v/>
      </c>
    </row>
    <row r="49">
      <c r="A49">
        <f>IF(AND('Ratings'!A8&lt;&gt;"",'Ratings'!T5&lt;&gt;""),'Ratings'!A8,"")</f>
        <v/>
      </c>
      <c r="B49">
        <f>IF(A49="","",'Employees'!C6)</f>
        <v/>
      </c>
      <c r="C49">
        <f>IF(A49="","",'Ratings'!C8)</f>
        <v/>
      </c>
      <c r="D49">
        <f>IF(A49="","",'Ratings'!D8)</f>
        <v/>
      </c>
      <c r="E49">
        <f>IF(AND('Ratings'!A8&lt;&gt;"",'Ratings'!T5&lt;&gt;""),'Ratings'!T5,"")</f>
        <v/>
      </c>
      <c r="F49">
        <f>IF(OR(A49="",'Ratings'!T8=""),"",'Ratings'!T8)</f>
        <v/>
      </c>
      <c r="G49">
        <f>IF(A49="","",'Employees'!D6)</f>
        <v/>
      </c>
    </row>
    <row r="50">
      <c r="A50">
        <f>IF(AND('Ratings'!A9&lt;&gt;"",'Ratings'!E5&lt;&gt;""),'Ratings'!A9,"")</f>
        <v/>
      </c>
      <c r="B50">
        <f>IF(A50="","",'Employees'!C6)</f>
        <v/>
      </c>
      <c r="C50">
        <f>IF(A50="","",'Ratings'!C9)</f>
        <v/>
      </c>
      <c r="D50">
        <f>IF(A50="","",'Ratings'!D9)</f>
        <v/>
      </c>
      <c r="E50">
        <f>IF(AND('Ratings'!A9&lt;&gt;"",'Ratings'!E5&lt;&gt;""),'Ratings'!E5,"")</f>
        <v/>
      </c>
      <c r="F50">
        <f>IF(OR(A50="",'Ratings'!E9=""),"",'Ratings'!E9)</f>
        <v/>
      </c>
      <c r="G50">
        <f>IF(A50="","",'Employees'!D6)</f>
        <v/>
      </c>
    </row>
    <row r="51">
      <c r="A51">
        <f>IF(AND('Ratings'!A9&lt;&gt;"",'Ratings'!F5&lt;&gt;""),'Ratings'!A9,"")</f>
        <v/>
      </c>
      <c r="B51">
        <f>IF(A51="","",'Employees'!C6)</f>
        <v/>
      </c>
      <c r="C51">
        <f>IF(A51="","",'Ratings'!C9)</f>
        <v/>
      </c>
      <c r="D51">
        <f>IF(A51="","",'Ratings'!D9)</f>
        <v/>
      </c>
      <c r="E51">
        <f>IF(AND('Ratings'!A9&lt;&gt;"",'Ratings'!F5&lt;&gt;""),'Ratings'!F5,"")</f>
        <v/>
      </c>
      <c r="F51">
        <f>IF(OR(A51="",'Ratings'!F9=""),"",'Ratings'!F9)</f>
        <v/>
      </c>
      <c r="G51">
        <f>IF(A51="","",'Employees'!D6)</f>
        <v/>
      </c>
    </row>
    <row r="52">
      <c r="A52">
        <f>IF(AND('Ratings'!A9&lt;&gt;"",'Ratings'!G5&lt;&gt;""),'Ratings'!A9,"")</f>
        <v/>
      </c>
      <c r="B52">
        <f>IF(A52="","",'Employees'!C6)</f>
        <v/>
      </c>
      <c r="C52">
        <f>IF(A52="","",'Ratings'!C9)</f>
        <v/>
      </c>
      <c r="D52">
        <f>IF(A52="","",'Ratings'!D9)</f>
        <v/>
      </c>
      <c r="E52">
        <f>IF(AND('Ratings'!A9&lt;&gt;"",'Ratings'!G5&lt;&gt;""),'Ratings'!G5,"")</f>
        <v/>
      </c>
      <c r="F52">
        <f>IF(OR(A52="",'Ratings'!G9=""),"",'Ratings'!G9)</f>
        <v/>
      </c>
      <c r="G52">
        <f>IF(A52="","",'Employees'!D6)</f>
        <v/>
      </c>
    </row>
    <row r="53">
      <c r="A53">
        <f>IF(AND('Ratings'!A9&lt;&gt;"",'Ratings'!H5&lt;&gt;""),'Ratings'!A9,"")</f>
        <v/>
      </c>
      <c r="B53">
        <f>IF(A53="","",'Employees'!C6)</f>
        <v/>
      </c>
      <c r="C53">
        <f>IF(A53="","",'Ratings'!C9)</f>
        <v/>
      </c>
      <c r="D53">
        <f>IF(A53="","",'Ratings'!D9)</f>
        <v/>
      </c>
      <c r="E53">
        <f>IF(AND('Ratings'!A9&lt;&gt;"",'Ratings'!H5&lt;&gt;""),'Ratings'!H5,"")</f>
        <v/>
      </c>
      <c r="F53">
        <f>IF(OR(A53="",'Ratings'!H9=""),"",'Ratings'!H9)</f>
        <v/>
      </c>
      <c r="G53">
        <f>IF(A53="","",'Employees'!D6)</f>
        <v/>
      </c>
    </row>
    <row r="54">
      <c r="A54">
        <f>IF(AND('Ratings'!A9&lt;&gt;"",'Ratings'!I5&lt;&gt;""),'Ratings'!A9,"")</f>
        <v/>
      </c>
      <c r="B54">
        <f>IF(A54="","",'Employees'!C6)</f>
        <v/>
      </c>
      <c r="C54">
        <f>IF(A54="","",'Ratings'!C9)</f>
        <v/>
      </c>
      <c r="D54">
        <f>IF(A54="","",'Ratings'!D9)</f>
        <v/>
      </c>
      <c r="E54">
        <f>IF(AND('Ratings'!A9&lt;&gt;"",'Ratings'!I5&lt;&gt;""),'Ratings'!I5,"")</f>
        <v/>
      </c>
      <c r="F54">
        <f>IF(OR(A54="",'Ratings'!I9=""),"",'Ratings'!I9)</f>
        <v/>
      </c>
      <c r="G54">
        <f>IF(A54="","",'Employees'!D6)</f>
        <v/>
      </c>
    </row>
    <row r="55">
      <c r="A55">
        <f>IF(AND('Ratings'!A9&lt;&gt;"",'Ratings'!J5&lt;&gt;""),'Ratings'!A9,"")</f>
        <v/>
      </c>
      <c r="B55">
        <f>IF(A55="","",'Employees'!C6)</f>
        <v/>
      </c>
      <c r="C55">
        <f>IF(A55="","",'Ratings'!C9)</f>
        <v/>
      </c>
      <c r="D55">
        <f>IF(A55="","",'Ratings'!D9)</f>
        <v/>
      </c>
      <c r="E55">
        <f>IF(AND('Ratings'!A9&lt;&gt;"",'Ratings'!J5&lt;&gt;""),'Ratings'!J5,"")</f>
        <v/>
      </c>
      <c r="F55">
        <f>IF(OR(A55="",'Ratings'!J9=""),"",'Ratings'!J9)</f>
        <v/>
      </c>
      <c r="G55">
        <f>IF(A55="","",'Employees'!D6)</f>
        <v/>
      </c>
    </row>
    <row r="56">
      <c r="A56">
        <f>IF(AND('Ratings'!A9&lt;&gt;"",'Ratings'!K5&lt;&gt;""),'Ratings'!A9,"")</f>
        <v/>
      </c>
      <c r="B56">
        <f>IF(A56="","",'Employees'!C6)</f>
        <v/>
      </c>
      <c r="C56">
        <f>IF(A56="","",'Ratings'!C9)</f>
        <v/>
      </c>
      <c r="D56">
        <f>IF(A56="","",'Ratings'!D9)</f>
        <v/>
      </c>
      <c r="E56">
        <f>IF(AND('Ratings'!A9&lt;&gt;"",'Ratings'!K5&lt;&gt;""),'Ratings'!K5,"")</f>
        <v/>
      </c>
      <c r="F56">
        <f>IF(OR(A56="",'Ratings'!K9=""),"",'Ratings'!K9)</f>
        <v/>
      </c>
      <c r="G56">
        <f>IF(A56="","",'Employees'!D6)</f>
        <v/>
      </c>
    </row>
    <row r="57">
      <c r="A57">
        <f>IF(AND('Ratings'!A9&lt;&gt;"",'Ratings'!L5&lt;&gt;""),'Ratings'!A9,"")</f>
        <v/>
      </c>
      <c r="B57">
        <f>IF(A57="","",'Employees'!C6)</f>
        <v/>
      </c>
      <c r="C57">
        <f>IF(A57="","",'Ratings'!C9)</f>
        <v/>
      </c>
      <c r="D57">
        <f>IF(A57="","",'Ratings'!D9)</f>
        <v/>
      </c>
      <c r="E57">
        <f>IF(AND('Ratings'!A9&lt;&gt;"",'Ratings'!L5&lt;&gt;""),'Ratings'!L5,"")</f>
        <v/>
      </c>
      <c r="F57">
        <f>IF(OR(A57="",'Ratings'!L9=""),"",'Ratings'!L9)</f>
        <v/>
      </c>
      <c r="G57">
        <f>IF(A57="","",'Employees'!D6)</f>
        <v/>
      </c>
    </row>
    <row r="58">
      <c r="A58">
        <f>IF(AND('Ratings'!A9&lt;&gt;"",'Ratings'!M5&lt;&gt;""),'Ratings'!A9,"")</f>
        <v/>
      </c>
      <c r="B58">
        <f>IF(A58="","",'Employees'!C6)</f>
        <v/>
      </c>
      <c r="C58">
        <f>IF(A58="","",'Ratings'!C9)</f>
        <v/>
      </c>
      <c r="D58">
        <f>IF(A58="","",'Ratings'!D9)</f>
        <v/>
      </c>
      <c r="E58">
        <f>IF(AND('Ratings'!A9&lt;&gt;"",'Ratings'!M5&lt;&gt;""),'Ratings'!M5,"")</f>
        <v/>
      </c>
      <c r="F58">
        <f>IF(OR(A58="",'Ratings'!M9=""),"",'Ratings'!M9)</f>
        <v/>
      </c>
      <c r="G58">
        <f>IF(A58="","",'Employees'!D6)</f>
        <v/>
      </c>
    </row>
    <row r="59">
      <c r="A59">
        <f>IF(AND('Ratings'!A9&lt;&gt;"",'Ratings'!N5&lt;&gt;""),'Ratings'!A9,"")</f>
        <v/>
      </c>
      <c r="B59">
        <f>IF(A59="","",'Employees'!C6)</f>
        <v/>
      </c>
      <c r="C59">
        <f>IF(A59="","",'Ratings'!C9)</f>
        <v/>
      </c>
      <c r="D59">
        <f>IF(A59="","",'Ratings'!D9)</f>
        <v/>
      </c>
      <c r="E59">
        <f>IF(AND('Ratings'!A9&lt;&gt;"",'Ratings'!N5&lt;&gt;""),'Ratings'!N5,"")</f>
        <v/>
      </c>
      <c r="F59">
        <f>IF(OR(A59="",'Ratings'!N9=""),"",'Ratings'!N9)</f>
        <v/>
      </c>
      <c r="G59">
        <f>IF(A59="","",'Employees'!D6)</f>
        <v/>
      </c>
    </row>
    <row r="60">
      <c r="A60">
        <f>IF(AND('Ratings'!A9&lt;&gt;"",'Ratings'!O5&lt;&gt;""),'Ratings'!A9,"")</f>
        <v/>
      </c>
      <c r="B60">
        <f>IF(A60="","",'Employees'!C6)</f>
        <v/>
      </c>
      <c r="C60">
        <f>IF(A60="","",'Ratings'!C9)</f>
        <v/>
      </c>
      <c r="D60">
        <f>IF(A60="","",'Ratings'!D9)</f>
        <v/>
      </c>
      <c r="E60">
        <f>IF(AND('Ratings'!A9&lt;&gt;"",'Ratings'!O5&lt;&gt;""),'Ratings'!O5,"")</f>
        <v/>
      </c>
      <c r="F60">
        <f>IF(OR(A60="",'Ratings'!O9=""),"",'Ratings'!O9)</f>
        <v/>
      </c>
      <c r="G60">
        <f>IF(A60="","",'Employees'!D6)</f>
        <v/>
      </c>
    </row>
    <row r="61">
      <c r="A61">
        <f>IF(AND('Ratings'!A9&lt;&gt;"",'Ratings'!P5&lt;&gt;""),'Ratings'!A9,"")</f>
        <v/>
      </c>
      <c r="B61">
        <f>IF(A61="","",'Employees'!C6)</f>
        <v/>
      </c>
      <c r="C61">
        <f>IF(A61="","",'Ratings'!C9)</f>
        <v/>
      </c>
      <c r="D61">
        <f>IF(A61="","",'Ratings'!D9)</f>
        <v/>
      </c>
      <c r="E61">
        <f>IF(AND('Ratings'!A9&lt;&gt;"",'Ratings'!P5&lt;&gt;""),'Ratings'!P5,"")</f>
        <v/>
      </c>
      <c r="F61">
        <f>IF(OR(A61="",'Ratings'!P9=""),"",'Ratings'!P9)</f>
        <v/>
      </c>
      <c r="G61">
        <f>IF(A61="","",'Employees'!D6)</f>
        <v/>
      </c>
    </row>
    <row r="62">
      <c r="A62">
        <f>IF(AND('Ratings'!A9&lt;&gt;"",'Ratings'!Q5&lt;&gt;""),'Ratings'!A9,"")</f>
        <v/>
      </c>
      <c r="B62">
        <f>IF(A62="","",'Employees'!C6)</f>
        <v/>
      </c>
      <c r="C62">
        <f>IF(A62="","",'Ratings'!C9)</f>
        <v/>
      </c>
      <c r="D62">
        <f>IF(A62="","",'Ratings'!D9)</f>
        <v/>
      </c>
      <c r="E62">
        <f>IF(AND('Ratings'!A9&lt;&gt;"",'Ratings'!Q5&lt;&gt;""),'Ratings'!Q5,"")</f>
        <v/>
      </c>
      <c r="F62">
        <f>IF(OR(A62="",'Ratings'!Q9=""),"",'Ratings'!Q9)</f>
        <v/>
      </c>
      <c r="G62">
        <f>IF(A62="","",'Employees'!D6)</f>
        <v/>
      </c>
    </row>
    <row r="63">
      <c r="A63">
        <f>IF(AND('Ratings'!A9&lt;&gt;"",'Ratings'!R5&lt;&gt;""),'Ratings'!A9,"")</f>
        <v/>
      </c>
      <c r="B63">
        <f>IF(A63="","",'Employees'!C6)</f>
        <v/>
      </c>
      <c r="C63">
        <f>IF(A63="","",'Ratings'!C9)</f>
        <v/>
      </c>
      <c r="D63">
        <f>IF(A63="","",'Ratings'!D9)</f>
        <v/>
      </c>
      <c r="E63">
        <f>IF(AND('Ratings'!A9&lt;&gt;"",'Ratings'!R5&lt;&gt;""),'Ratings'!R5,"")</f>
        <v/>
      </c>
      <c r="F63">
        <f>IF(OR(A63="",'Ratings'!R9=""),"",'Ratings'!R9)</f>
        <v/>
      </c>
      <c r="G63">
        <f>IF(A63="","",'Employees'!D6)</f>
        <v/>
      </c>
    </row>
    <row r="64">
      <c r="A64">
        <f>IF(AND('Ratings'!A9&lt;&gt;"",'Ratings'!S5&lt;&gt;""),'Ratings'!A9,"")</f>
        <v/>
      </c>
      <c r="B64">
        <f>IF(A64="","",'Employees'!C6)</f>
        <v/>
      </c>
      <c r="C64">
        <f>IF(A64="","",'Ratings'!C9)</f>
        <v/>
      </c>
      <c r="D64">
        <f>IF(A64="","",'Ratings'!D9)</f>
        <v/>
      </c>
      <c r="E64">
        <f>IF(AND('Ratings'!A9&lt;&gt;"",'Ratings'!S5&lt;&gt;""),'Ratings'!S5,"")</f>
        <v/>
      </c>
      <c r="F64">
        <f>IF(OR(A64="",'Ratings'!S9=""),"",'Ratings'!S9)</f>
        <v/>
      </c>
      <c r="G64">
        <f>IF(A64="","",'Employees'!D6)</f>
        <v/>
      </c>
    </row>
    <row r="65">
      <c r="A65">
        <f>IF(AND('Ratings'!A9&lt;&gt;"",'Ratings'!T5&lt;&gt;""),'Ratings'!A9,"")</f>
        <v/>
      </c>
      <c r="B65">
        <f>IF(A65="","",'Employees'!C6)</f>
        <v/>
      </c>
      <c r="C65">
        <f>IF(A65="","",'Ratings'!C9)</f>
        <v/>
      </c>
      <c r="D65">
        <f>IF(A65="","",'Ratings'!D9)</f>
        <v/>
      </c>
      <c r="E65">
        <f>IF(AND('Ratings'!A9&lt;&gt;"",'Ratings'!T5&lt;&gt;""),'Ratings'!T5,"")</f>
        <v/>
      </c>
      <c r="F65">
        <f>IF(OR(A65="",'Ratings'!T9=""),"",'Ratings'!T9)</f>
        <v/>
      </c>
      <c r="G65">
        <f>IF(A65="","",'Employees'!D6)</f>
        <v/>
      </c>
    </row>
    <row r="66">
      <c r="A66">
        <f>IF(AND('Ratings'!A10&lt;&gt;"",'Ratings'!E5&lt;&gt;""),'Ratings'!A10,"")</f>
        <v/>
      </c>
      <c r="B66">
        <f>IF(A66="","",'Employees'!C6)</f>
        <v/>
      </c>
      <c r="C66">
        <f>IF(A66="","",'Ratings'!C10)</f>
        <v/>
      </c>
      <c r="D66">
        <f>IF(A66="","",'Ratings'!D10)</f>
        <v/>
      </c>
      <c r="E66">
        <f>IF(AND('Ratings'!A10&lt;&gt;"",'Ratings'!E5&lt;&gt;""),'Ratings'!E5,"")</f>
        <v/>
      </c>
      <c r="F66">
        <f>IF(OR(A66="",'Ratings'!E10=""),"",'Ratings'!E10)</f>
        <v/>
      </c>
      <c r="G66">
        <f>IF(A66="","",'Employees'!D6)</f>
        <v/>
      </c>
    </row>
    <row r="67">
      <c r="A67">
        <f>IF(AND('Ratings'!A10&lt;&gt;"",'Ratings'!F5&lt;&gt;""),'Ratings'!A10,"")</f>
        <v/>
      </c>
      <c r="B67">
        <f>IF(A67="","",'Employees'!C6)</f>
        <v/>
      </c>
      <c r="C67">
        <f>IF(A67="","",'Ratings'!C10)</f>
        <v/>
      </c>
      <c r="D67">
        <f>IF(A67="","",'Ratings'!D10)</f>
        <v/>
      </c>
      <c r="E67">
        <f>IF(AND('Ratings'!A10&lt;&gt;"",'Ratings'!F5&lt;&gt;""),'Ratings'!F5,"")</f>
        <v/>
      </c>
      <c r="F67">
        <f>IF(OR(A67="",'Ratings'!F10=""),"",'Ratings'!F10)</f>
        <v/>
      </c>
      <c r="G67">
        <f>IF(A67="","",'Employees'!D6)</f>
        <v/>
      </c>
    </row>
    <row r="68">
      <c r="A68">
        <f>IF(AND('Ratings'!A10&lt;&gt;"",'Ratings'!G5&lt;&gt;""),'Ratings'!A10,"")</f>
        <v/>
      </c>
      <c r="B68">
        <f>IF(A68="","",'Employees'!C6)</f>
        <v/>
      </c>
      <c r="C68">
        <f>IF(A68="","",'Ratings'!C10)</f>
        <v/>
      </c>
      <c r="D68">
        <f>IF(A68="","",'Ratings'!D10)</f>
        <v/>
      </c>
      <c r="E68">
        <f>IF(AND('Ratings'!A10&lt;&gt;"",'Ratings'!G5&lt;&gt;""),'Ratings'!G5,"")</f>
        <v/>
      </c>
      <c r="F68">
        <f>IF(OR(A68="",'Ratings'!G10=""),"",'Ratings'!G10)</f>
        <v/>
      </c>
      <c r="G68">
        <f>IF(A68="","",'Employees'!D6)</f>
        <v/>
      </c>
    </row>
    <row r="69">
      <c r="A69">
        <f>IF(AND('Ratings'!A10&lt;&gt;"",'Ratings'!H5&lt;&gt;""),'Ratings'!A10,"")</f>
        <v/>
      </c>
      <c r="B69">
        <f>IF(A69="","",'Employees'!C6)</f>
        <v/>
      </c>
      <c r="C69">
        <f>IF(A69="","",'Ratings'!C10)</f>
        <v/>
      </c>
      <c r="D69">
        <f>IF(A69="","",'Ratings'!D10)</f>
        <v/>
      </c>
      <c r="E69">
        <f>IF(AND('Ratings'!A10&lt;&gt;"",'Ratings'!H5&lt;&gt;""),'Ratings'!H5,"")</f>
        <v/>
      </c>
      <c r="F69">
        <f>IF(OR(A69="",'Ratings'!H10=""),"",'Ratings'!H10)</f>
        <v/>
      </c>
      <c r="G69">
        <f>IF(A69="","",'Employees'!D6)</f>
        <v/>
      </c>
    </row>
    <row r="70">
      <c r="A70">
        <f>IF(AND('Ratings'!A10&lt;&gt;"",'Ratings'!I5&lt;&gt;""),'Ratings'!A10,"")</f>
        <v/>
      </c>
      <c r="B70">
        <f>IF(A70="","",'Employees'!C6)</f>
        <v/>
      </c>
      <c r="C70">
        <f>IF(A70="","",'Ratings'!C10)</f>
        <v/>
      </c>
      <c r="D70">
        <f>IF(A70="","",'Ratings'!D10)</f>
        <v/>
      </c>
      <c r="E70">
        <f>IF(AND('Ratings'!A10&lt;&gt;"",'Ratings'!I5&lt;&gt;""),'Ratings'!I5,"")</f>
        <v/>
      </c>
      <c r="F70">
        <f>IF(OR(A70="",'Ratings'!I10=""),"",'Ratings'!I10)</f>
        <v/>
      </c>
      <c r="G70">
        <f>IF(A70="","",'Employees'!D6)</f>
        <v/>
      </c>
    </row>
    <row r="71">
      <c r="A71">
        <f>IF(AND('Ratings'!A10&lt;&gt;"",'Ratings'!J5&lt;&gt;""),'Ratings'!A10,"")</f>
        <v/>
      </c>
      <c r="B71">
        <f>IF(A71="","",'Employees'!C6)</f>
        <v/>
      </c>
      <c r="C71">
        <f>IF(A71="","",'Ratings'!C10)</f>
        <v/>
      </c>
      <c r="D71">
        <f>IF(A71="","",'Ratings'!D10)</f>
        <v/>
      </c>
      <c r="E71">
        <f>IF(AND('Ratings'!A10&lt;&gt;"",'Ratings'!J5&lt;&gt;""),'Ratings'!J5,"")</f>
        <v/>
      </c>
      <c r="F71">
        <f>IF(OR(A71="",'Ratings'!J10=""),"",'Ratings'!J10)</f>
        <v/>
      </c>
      <c r="G71">
        <f>IF(A71="","",'Employees'!D6)</f>
        <v/>
      </c>
    </row>
    <row r="72">
      <c r="A72">
        <f>IF(AND('Ratings'!A10&lt;&gt;"",'Ratings'!K5&lt;&gt;""),'Ratings'!A10,"")</f>
        <v/>
      </c>
      <c r="B72">
        <f>IF(A72="","",'Employees'!C6)</f>
        <v/>
      </c>
      <c r="C72">
        <f>IF(A72="","",'Ratings'!C10)</f>
        <v/>
      </c>
      <c r="D72">
        <f>IF(A72="","",'Ratings'!D10)</f>
        <v/>
      </c>
      <c r="E72">
        <f>IF(AND('Ratings'!A10&lt;&gt;"",'Ratings'!K5&lt;&gt;""),'Ratings'!K5,"")</f>
        <v/>
      </c>
      <c r="F72">
        <f>IF(OR(A72="",'Ratings'!K10=""),"",'Ratings'!K10)</f>
        <v/>
      </c>
      <c r="G72">
        <f>IF(A72="","",'Employees'!D6)</f>
        <v/>
      </c>
    </row>
    <row r="73">
      <c r="A73">
        <f>IF(AND('Ratings'!A10&lt;&gt;"",'Ratings'!L5&lt;&gt;""),'Ratings'!A10,"")</f>
        <v/>
      </c>
      <c r="B73">
        <f>IF(A73="","",'Employees'!C6)</f>
        <v/>
      </c>
      <c r="C73">
        <f>IF(A73="","",'Ratings'!C10)</f>
        <v/>
      </c>
      <c r="D73">
        <f>IF(A73="","",'Ratings'!D10)</f>
        <v/>
      </c>
      <c r="E73">
        <f>IF(AND('Ratings'!A10&lt;&gt;"",'Ratings'!L5&lt;&gt;""),'Ratings'!L5,"")</f>
        <v/>
      </c>
      <c r="F73">
        <f>IF(OR(A73="",'Ratings'!L10=""),"",'Ratings'!L10)</f>
        <v/>
      </c>
      <c r="G73">
        <f>IF(A73="","",'Employees'!D6)</f>
        <v/>
      </c>
    </row>
    <row r="74">
      <c r="A74">
        <f>IF(AND('Ratings'!A10&lt;&gt;"",'Ratings'!M5&lt;&gt;""),'Ratings'!A10,"")</f>
        <v/>
      </c>
      <c r="B74">
        <f>IF(A74="","",'Employees'!C6)</f>
        <v/>
      </c>
      <c r="C74">
        <f>IF(A74="","",'Ratings'!C10)</f>
        <v/>
      </c>
      <c r="D74">
        <f>IF(A74="","",'Ratings'!D10)</f>
        <v/>
      </c>
      <c r="E74">
        <f>IF(AND('Ratings'!A10&lt;&gt;"",'Ratings'!M5&lt;&gt;""),'Ratings'!M5,"")</f>
        <v/>
      </c>
      <c r="F74">
        <f>IF(OR(A74="",'Ratings'!M10=""),"",'Ratings'!M10)</f>
        <v/>
      </c>
      <c r="G74">
        <f>IF(A74="","",'Employees'!D6)</f>
        <v/>
      </c>
    </row>
    <row r="75">
      <c r="A75">
        <f>IF(AND('Ratings'!A10&lt;&gt;"",'Ratings'!N5&lt;&gt;""),'Ratings'!A10,"")</f>
        <v/>
      </c>
      <c r="B75">
        <f>IF(A75="","",'Employees'!C6)</f>
        <v/>
      </c>
      <c r="C75">
        <f>IF(A75="","",'Ratings'!C10)</f>
        <v/>
      </c>
      <c r="D75">
        <f>IF(A75="","",'Ratings'!D10)</f>
        <v/>
      </c>
      <c r="E75">
        <f>IF(AND('Ratings'!A10&lt;&gt;"",'Ratings'!N5&lt;&gt;""),'Ratings'!N5,"")</f>
        <v/>
      </c>
      <c r="F75">
        <f>IF(OR(A75="",'Ratings'!N10=""),"",'Ratings'!N10)</f>
        <v/>
      </c>
      <c r="G75">
        <f>IF(A75="","",'Employees'!D6)</f>
        <v/>
      </c>
    </row>
    <row r="76">
      <c r="A76">
        <f>IF(AND('Ratings'!A10&lt;&gt;"",'Ratings'!O5&lt;&gt;""),'Ratings'!A10,"")</f>
        <v/>
      </c>
      <c r="B76">
        <f>IF(A76="","",'Employees'!C6)</f>
        <v/>
      </c>
      <c r="C76">
        <f>IF(A76="","",'Ratings'!C10)</f>
        <v/>
      </c>
      <c r="D76">
        <f>IF(A76="","",'Ratings'!D10)</f>
        <v/>
      </c>
      <c r="E76">
        <f>IF(AND('Ratings'!A10&lt;&gt;"",'Ratings'!O5&lt;&gt;""),'Ratings'!O5,"")</f>
        <v/>
      </c>
      <c r="F76">
        <f>IF(OR(A76="",'Ratings'!O10=""),"",'Ratings'!O10)</f>
        <v/>
      </c>
      <c r="G76">
        <f>IF(A76="","",'Employees'!D6)</f>
        <v/>
      </c>
    </row>
    <row r="77">
      <c r="A77">
        <f>IF(AND('Ratings'!A10&lt;&gt;"",'Ratings'!P5&lt;&gt;""),'Ratings'!A10,"")</f>
        <v/>
      </c>
      <c r="B77">
        <f>IF(A77="","",'Employees'!C6)</f>
        <v/>
      </c>
      <c r="C77">
        <f>IF(A77="","",'Ratings'!C10)</f>
        <v/>
      </c>
      <c r="D77">
        <f>IF(A77="","",'Ratings'!D10)</f>
        <v/>
      </c>
      <c r="E77">
        <f>IF(AND('Ratings'!A10&lt;&gt;"",'Ratings'!P5&lt;&gt;""),'Ratings'!P5,"")</f>
        <v/>
      </c>
      <c r="F77">
        <f>IF(OR(A77="",'Ratings'!P10=""),"",'Ratings'!P10)</f>
        <v/>
      </c>
      <c r="G77">
        <f>IF(A77="","",'Employees'!D6)</f>
        <v/>
      </c>
    </row>
    <row r="78">
      <c r="A78">
        <f>IF(AND('Ratings'!A10&lt;&gt;"",'Ratings'!Q5&lt;&gt;""),'Ratings'!A10,"")</f>
        <v/>
      </c>
      <c r="B78">
        <f>IF(A78="","",'Employees'!C6)</f>
        <v/>
      </c>
      <c r="C78">
        <f>IF(A78="","",'Ratings'!C10)</f>
        <v/>
      </c>
      <c r="D78">
        <f>IF(A78="","",'Ratings'!D10)</f>
        <v/>
      </c>
      <c r="E78">
        <f>IF(AND('Ratings'!A10&lt;&gt;"",'Ratings'!Q5&lt;&gt;""),'Ratings'!Q5,"")</f>
        <v/>
      </c>
      <c r="F78">
        <f>IF(OR(A78="",'Ratings'!Q10=""),"",'Ratings'!Q10)</f>
        <v/>
      </c>
      <c r="G78">
        <f>IF(A78="","",'Employees'!D6)</f>
        <v/>
      </c>
    </row>
    <row r="79">
      <c r="A79">
        <f>IF(AND('Ratings'!A10&lt;&gt;"",'Ratings'!R5&lt;&gt;""),'Ratings'!A10,"")</f>
        <v/>
      </c>
      <c r="B79">
        <f>IF(A79="","",'Employees'!C6)</f>
        <v/>
      </c>
      <c r="C79">
        <f>IF(A79="","",'Ratings'!C10)</f>
        <v/>
      </c>
      <c r="D79">
        <f>IF(A79="","",'Ratings'!D10)</f>
        <v/>
      </c>
      <c r="E79">
        <f>IF(AND('Ratings'!A10&lt;&gt;"",'Ratings'!R5&lt;&gt;""),'Ratings'!R5,"")</f>
        <v/>
      </c>
      <c r="F79">
        <f>IF(OR(A79="",'Ratings'!R10=""),"",'Ratings'!R10)</f>
        <v/>
      </c>
      <c r="G79">
        <f>IF(A79="","",'Employees'!D6)</f>
        <v/>
      </c>
    </row>
    <row r="80">
      <c r="A80">
        <f>IF(AND('Ratings'!A10&lt;&gt;"",'Ratings'!S5&lt;&gt;""),'Ratings'!A10,"")</f>
        <v/>
      </c>
      <c r="B80">
        <f>IF(A80="","",'Employees'!C6)</f>
        <v/>
      </c>
      <c r="C80">
        <f>IF(A80="","",'Ratings'!C10)</f>
        <v/>
      </c>
      <c r="D80">
        <f>IF(A80="","",'Ratings'!D10)</f>
        <v/>
      </c>
      <c r="E80">
        <f>IF(AND('Ratings'!A10&lt;&gt;"",'Ratings'!S5&lt;&gt;""),'Ratings'!S5,"")</f>
        <v/>
      </c>
      <c r="F80">
        <f>IF(OR(A80="",'Ratings'!S10=""),"",'Ratings'!S10)</f>
        <v/>
      </c>
      <c r="G80">
        <f>IF(A80="","",'Employees'!D6)</f>
        <v/>
      </c>
    </row>
    <row r="81">
      <c r="A81">
        <f>IF(AND('Ratings'!A10&lt;&gt;"",'Ratings'!T5&lt;&gt;""),'Ratings'!A10,"")</f>
        <v/>
      </c>
      <c r="B81">
        <f>IF(A81="","",'Employees'!C6)</f>
        <v/>
      </c>
      <c r="C81">
        <f>IF(A81="","",'Ratings'!C10)</f>
        <v/>
      </c>
      <c r="D81">
        <f>IF(A81="","",'Ratings'!D10)</f>
        <v/>
      </c>
      <c r="E81">
        <f>IF(AND('Ratings'!A10&lt;&gt;"",'Ratings'!T5&lt;&gt;""),'Ratings'!T5,"")</f>
        <v/>
      </c>
      <c r="F81">
        <f>IF(OR(A81="",'Ratings'!T10=""),"",'Ratings'!T10)</f>
        <v/>
      </c>
      <c r="G81">
        <f>IF(A81="","",'Employees'!D6)</f>
        <v/>
      </c>
    </row>
    <row r="82">
      <c r="A82">
        <f>IF(AND('Ratings'!A11&lt;&gt;"",'Ratings'!E5&lt;&gt;""),'Ratings'!A11,"")</f>
        <v/>
      </c>
      <c r="B82">
        <f>IF(A82="","",'Employees'!C6)</f>
        <v/>
      </c>
      <c r="C82">
        <f>IF(A82="","",'Ratings'!C11)</f>
        <v/>
      </c>
      <c r="D82">
        <f>IF(A82="","",'Ratings'!D11)</f>
        <v/>
      </c>
      <c r="E82">
        <f>IF(AND('Ratings'!A11&lt;&gt;"",'Ratings'!E5&lt;&gt;""),'Ratings'!E5,"")</f>
        <v/>
      </c>
      <c r="F82">
        <f>IF(OR(A82="",'Ratings'!E11=""),"",'Ratings'!E11)</f>
        <v/>
      </c>
      <c r="G82">
        <f>IF(A82="","",'Employees'!D6)</f>
        <v/>
      </c>
    </row>
    <row r="83">
      <c r="A83">
        <f>IF(AND('Ratings'!A11&lt;&gt;"",'Ratings'!F5&lt;&gt;""),'Ratings'!A11,"")</f>
        <v/>
      </c>
      <c r="B83">
        <f>IF(A83="","",'Employees'!C6)</f>
        <v/>
      </c>
      <c r="C83">
        <f>IF(A83="","",'Ratings'!C11)</f>
        <v/>
      </c>
      <c r="D83">
        <f>IF(A83="","",'Ratings'!D11)</f>
        <v/>
      </c>
      <c r="E83">
        <f>IF(AND('Ratings'!A11&lt;&gt;"",'Ratings'!F5&lt;&gt;""),'Ratings'!F5,"")</f>
        <v/>
      </c>
      <c r="F83">
        <f>IF(OR(A83="",'Ratings'!F11=""),"",'Ratings'!F11)</f>
        <v/>
      </c>
      <c r="G83">
        <f>IF(A83="","",'Employees'!D6)</f>
        <v/>
      </c>
    </row>
    <row r="84">
      <c r="A84">
        <f>IF(AND('Ratings'!A11&lt;&gt;"",'Ratings'!G5&lt;&gt;""),'Ratings'!A11,"")</f>
        <v/>
      </c>
      <c r="B84">
        <f>IF(A84="","",'Employees'!C6)</f>
        <v/>
      </c>
      <c r="C84">
        <f>IF(A84="","",'Ratings'!C11)</f>
        <v/>
      </c>
      <c r="D84">
        <f>IF(A84="","",'Ratings'!D11)</f>
        <v/>
      </c>
      <c r="E84">
        <f>IF(AND('Ratings'!A11&lt;&gt;"",'Ratings'!G5&lt;&gt;""),'Ratings'!G5,"")</f>
        <v/>
      </c>
      <c r="F84">
        <f>IF(OR(A84="",'Ratings'!G11=""),"",'Ratings'!G11)</f>
        <v/>
      </c>
      <c r="G84">
        <f>IF(A84="","",'Employees'!D6)</f>
        <v/>
      </c>
    </row>
    <row r="85">
      <c r="A85">
        <f>IF(AND('Ratings'!A11&lt;&gt;"",'Ratings'!H5&lt;&gt;""),'Ratings'!A11,"")</f>
        <v/>
      </c>
      <c r="B85">
        <f>IF(A85="","",'Employees'!C6)</f>
        <v/>
      </c>
      <c r="C85">
        <f>IF(A85="","",'Ratings'!C11)</f>
        <v/>
      </c>
      <c r="D85">
        <f>IF(A85="","",'Ratings'!D11)</f>
        <v/>
      </c>
      <c r="E85">
        <f>IF(AND('Ratings'!A11&lt;&gt;"",'Ratings'!H5&lt;&gt;""),'Ratings'!H5,"")</f>
        <v/>
      </c>
      <c r="F85">
        <f>IF(OR(A85="",'Ratings'!H11=""),"",'Ratings'!H11)</f>
        <v/>
      </c>
      <c r="G85">
        <f>IF(A85="","",'Employees'!D6)</f>
        <v/>
      </c>
    </row>
    <row r="86">
      <c r="A86">
        <f>IF(AND('Ratings'!A11&lt;&gt;"",'Ratings'!I5&lt;&gt;""),'Ratings'!A11,"")</f>
        <v/>
      </c>
      <c r="B86">
        <f>IF(A86="","",'Employees'!C6)</f>
        <v/>
      </c>
      <c r="C86">
        <f>IF(A86="","",'Ratings'!C11)</f>
        <v/>
      </c>
      <c r="D86">
        <f>IF(A86="","",'Ratings'!D11)</f>
        <v/>
      </c>
      <c r="E86">
        <f>IF(AND('Ratings'!A11&lt;&gt;"",'Ratings'!I5&lt;&gt;""),'Ratings'!I5,"")</f>
        <v/>
      </c>
      <c r="F86">
        <f>IF(OR(A86="",'Ratings'!I11=""),"",'Ratings'!I11)</f>
        <v/>
      </c>
      <c r="G86">
        <f>IF(A86="","",'Employees'!D6)</f>
        <v/>
      </c>
    </row>
    <row r="87">
      <c r="A87">
        <f>IF(AND('Ratings'!A11&lt;&gt;"",'Ratings'!J5&lt;&gt;""),'Ratings'!A11,"")</f>
        <v/>
      </c>
      <c r="B87">
        <f>IF(A87="","",'Employees'!C6)</f>
        <v/>
      </c>
      <c r="C87">
        <f>IF(A87="","",'Ratings'!C11)</f>
        <v/>
      </c>
      <c r="D87">
        <f>IF(A87="","",'Ratings'!D11)</f>
        <v/>
      </c>
      <c r="E87">
        <f>IF(AND('Ratings'!A11&lt;&gt;"",'Ratings'!J5&lt;&gt;""),'Ratings'!J5,"")</f>
        <v/>
      </c>
      <c r="F87">
        <f>IF(OR(A87="",'Ratings'!J11=""),"",'Ratings'!J11)</f>
        <v/>
      </c>
      <c r="G87">
        <f>IF(A87="","",'Employees'!D6)</f>
        <v/>
      </c>
    </row>
    <row r="88">
      <c r="A88">
        <f>IF(AND('Ratings'!A11&lt;&gt;"",'Ratings'!K5&lt;&gt;""),'Ratings'!A11,"")</f>
        <v/>
      </c>
      <c r="B88">
        <f>IF(A88="","",'Employees'!C6)</f>
        <v/>
      </c>
      <c r="C88">
        <f>IF(A88="","",'Ratings'!C11)</f>
        <v/>
      </c>
      <c r="D88">
        <f>IF(A88="","",'Ratings'!D11)</f>
        <v/>
      </c>
      <c r="E88">
        <f>IF(AND('Ratings'!A11&lt;&gt;"",'Ratings'!K5&lt;&gt;""),'Ratings'!K5,"")</f>
        <v/>
      </c>
      <c r="F88">
        <f>IF(OR(A88="",'Ratings'!K11=""),"",'Ratings'!K11)</f>
        <v/>
      </c>
      <c r="G88">
        <f>IF(A88="","",'Employees'!D6)</f>
        <v/>
      </c>
    </row>
    <row r="89">
      <c r="A89">
        <f>IF(AND('Ratings'!A11&lt;&gt;"",'Ratings'!L5&lt;&gt;""),'Ratings'!A11,"")</f>
        <v/>
      </c>
      <c r="B89">
        <f>IF(A89="","",'Employees'!C6)</f>
        <v/>
      </c>
      <c r="C89">
        <f>IF(A89="","",'Ratings'!C11)</f>
        <v/>
      </c>
      <c r="D89">
        <f>IF(A89="","",'Ratings'!D11)</f>
        <v/>
      </c>
      <c r="E89">
        <f>IF(AND('Ratings'!A11&lt;&gt;"",'Ratings'!L5&lt;&gt;""),'Ratings'!L5,"")</f>
        <v/>
      </c>
      <c r="F89">
        <f>IF(OR(A89="",'Ratings'!L11=""),"",'Ratings'!L11)</f>
        <v/>
      </c>
      <c r="G89">
        <f>IF(A89="","",'Employees'!D6)</f>
        <v/>
      </c>
    </row>
    <row r="90">
      <c r="A90">
        <f>IF(AND('Ratings'!A11&lt;&gt;"",'Ratings'!M5&lt;&gt;""),'Ratings'!A11,"")</f>
        <v/>
      </c>
      <c r="B90">
        <f>IF(A90="","",'Employees'!C6)</f>
        <v/>
      </c>
      <c r="C90">
        <f>IF(A90="","",'Ratings'!C11)</f>
        <v/>
      </c>
      <c r="D90">
        <f>IF(A90="","",'Ratings'!D11)</f>
        <v/>
      </c>
      <c r="E90">
        <f>IF(AND('Ratings'!A11&lt;&gt;"",'Ratings'!M5&lt;&gt;""),'Ratings'!M5,"")</f>
        <v/>
      </c>
      <c r="F90">
        <f>IF(OR(A90="",'Ratings'!M11=""),"",'Ratings'!M11)</f>
        <v/>
      </c>
      <c r="G90">
        <f>IF(A90="","",'Employees'!D6)</f>
        <v/>
      </c>
    </row>
    <row r="91">
      <c r="A91">
        <f>IF(AND('Ratings'!A11&lt;&gt;"",'Ratings'!N5&lt;&gt;""),'Ratings'!A11,"")</f>
        <v/>
      </c>
      <c r="B91">
        <f>IF(A91="","",'Employees'!C6)</f>
        <v/>
      </c>
      <c r="C91">
        <f>IF(A91="","",'Ratings'!C11)</f>
        <v/>
      </c>
      <c r="D91">
        <f>IF(A91="","",'Ratings'!D11)</f>
        <v/>
      </c>
      <c r="E91">
        <f>IF(AND('Ratings'!A11&lt;&gt;"",'Ratings'!N5&lt;&gt;""),'Ratings'!N5,"")</f>
        <v/>
      </c>
      <c r="F91">
        <f>IF(OR(A91="",'Ratings'!N11=""),"",'Ratings'!N11)</f>
        <v/>
      </c>
      <c r="G91">
        <f>IF(A91="","",'Employees'!D6)</f>
        <v/>
      </c>
    </row>
    <row r="92">
      <c r="A92">
        <f>IF(AND('Ratings'!A11&lt;&gt;"",'Ratings'!O5&lt;&gt;""),'Ratings'!A11,"")</f>
        <v/>
      </c>
      <c r="B92">
        <f>IF(A92="","",'Employees'!C6)</f>
        <v/>
      </c>
      <c r="C92">
        <f>IF(A92="","",'Ratings'!C11)</f>
        <v/>
      </c>
      <c r="D92">
        <f>IF(A92="","",'Ratings'!D11)</f>
        <v/>
      </c>
      <c r="E92">
        <f>IF(AND('Ratings'!A11&lt;&gt;"",'Ratings'!O5&lt;&gt;""),'Ratings'!O5,"")</f>
        <v/>
      </c>
      <c r="F92">
        <f>IF(OR(A92="",'Ratings'!O11=""),"",'Ratings'!O11)</f>
        <v/>
      </c>
      <c r="G92">
        <f>IF(A92="","",'Employees'!D6)</f>
        <v/>
      </c>
    </row>
    <row r="93">
      <c r="A93">
        <f>IF(AND('Ratings'!A11&lt;&gt;"",'Ratings'!P5&lt;&gt;""),'Ratings'!A11,"")</f>
        <v/>
      </c>
      <c r="B93">
        <f>IF(A93="","",'Employees'!C6)</f>
        <v/>
      </c>
      <c r="C93">
        <f>IF(A93="","",'Ratings'!C11)</f>
        <v/>
      </c>
      <c r="D93">
        <f>IF(A93="","",'Ratings'!D11)</f>
        <v/>
      </c>
      <c r="E93">
        <f>IF(AND('Ratings'!A11&lt;&gt;"",'Ratings'!P5&lt;&gt;""),'Ratings'!P5,"")</f>
        <v/>
      </c>
      <c r="F93">
        <f>IF(OR(A93="",'Ratings'!P11=""),"",'Ratings'!P11)</f>
        <v/>
      </c>
      <c r="G93">
        <f>IF(A93="","",'Employees'!D6)</f>
        <v/>
      </c>
    </row>
    <row r="94">
      <c r="A94">
        <f>IF(AND('Ratings'!A11&lt;&gt;"",'Ratings'!Q5&lt;&gt;""),'Ratings'!A11,"")</f>
        <v/>
      </c>
      <c r="B94">
        <f>IF(A94="","",'Employees'!C6)</f>
        <v/>
      </c>
      <c r="C94">
        <f>IF(A94="","",'Ratings'!C11)</f>
        <v/>
      </c>
      <c r="D94">
        <f>IF(A94="","",'Ratings'!D11)</f>
        <v/>
      </c>
      <c r="E94">
        <f>IF(AND('Ratings'!A11&lt;&gt;"",'Ratings'!Q5&lt;&gt;""),'Ratings'!Q5,"")</f>
        <v/>
      </c>
      <c r="F94">
        <f>IF(OR(A94="",'Ratings'!Q11=""),"",'Ratings'!Q11)</f>
        <v/>
      </c>
      <c r="G94">
        <f>IF(A94="","",'Employees'!D6)</f>
        <v/>
      </c>
    </row>
    <row r="95">
      <c r="A95">
        <f>IF(AND('Ratings'!A11&lt;&gt;"",'Ratings'!R5&lt;&gt;""),'Ratings'!A11,"")</f>
        <v/>
      </c>
      <c r="B95">
        <f>IF(A95="","",'Employees'!C6)</f>
        <v/>
      </c>
      <c r="C95">
        <f>IF(A95="","",'Ratings'!C11)</f>
        <v/>
      </c>
      <c r="D95">
        <f>IF(A95="","",'Ratings'!D11)</f>
        <v/>
      </c>
      <c r="E95">
        <f>IF(AND('Ratings'!A11&lt;&gt;"",'Ratings'!R5&lt;&gt;""),'Ratings'!R5,"")</f>
        <v/>
      </c>
      <c r="F95">
        <f>IF(OR(A95="",'Ratings'!R11=""),"",'Ratings'!R11)</f>
        <v/>
      </c>
      <c r="G95">
        <f>IF(A95="","",'Employees'!D6)</f>
        <v/>
      </c>
    </row>
    <row r="96">
      <c r="A96">
        <f>IF(AND('Ratings'!A11&lt;&gt;"",'Ratings'!S5&lt;&gt;""),'Ratings'!A11,"")</f>
        <v/>
      </c>
      <c r="B96">
        <f>IF(A96="","",'Employees'!C6)</f>
        <v/>
      </c>
      <c r="C96">
        <f>IF(A96="","",'Ratings'!C11)</f>
        <v/>
      </c>
      <c r="D96">
        <f>IF(A96="","",'Ratings'!D11)</f>
        <v/>
      </c>
      <c r="E96">
        <f>IF(AND('Ratings'!A11&lt;&gt;"",'Ratings'!S5&lt;&gt;""),'Ratings'!S5,"")</f>
        <v/>
      </c>
      <c r="F96">
        <f>IF(OR(A96="",'Ratings'!S11=""),"",'Ratings'!S11)</f>
        <v/>
      </c>
      <c r="G96">
        <f>IF(A96="","",'Employees'!D6)</f>
        <v/>
      </c>
    </row>
    <row r="97">
      <c r="A97">
        <f>IF(AND('Ratings'!A11&lt;&gt;"",'Ratings'!T5&lt;&gt;""),'Ratings'!A11,"")</f>
        <v/>
      </c>
      <c r="B97">
        <f>IF(A97="","",'Employees'!C6)</f>
        <v/>
      </c>
      <c r="C97">
        <f>IF(A97="","",'Ratings'!C11)</f>
        <v/>
      </c>
      <c r="D97">
        <f>IF(A97="","",'Ratings'!D11)</f>
        <v/>
      </c>
      <c r="E97">
        <f>IF(AND('Ratings'!A11&lt;&gt;"",'Ratings'!T5&lt;&gt;""),'Ratings'!T5,"")</f>
        <v/>
      </c>
      <c r="F97">
        <f>IF(OR(A97="",'Ratings'!T11=""),"",'Ratings'!T11)</f>
        <v/>
      </c>
      <c r="G97">
        <f>IF(A97="","",'Employees'!D6)</f>
        <v/>
      </c>
    </row>
    <row r="98">
      <c r="A98">
        <f>IF(AND('Ratings'!A12&lt;&gt;"",'Ratings'!E5&lt;&gt;""),'Ratings'!A12,"")</f>
        <v/>
      </c>
      <c r="B98">
        <f>IF(A98="","",'Employees'!C6)</f>
        <v/>
      </c>
      <c r="C98">
        <f>IF(A98="","",'Ratings'!C12)</f>
        <v/>
      </c>
      <c r="D98">
        <f>IF(A98="","",'Ratings'!D12)</f>
        <v/>
      </c>
      <c r="E98">
        <f>IF(AND('Ratings'!A12&lt;&gt;"",'Ratings'!E5&lt;&gt;""),'Ratings'!E5,"")</f>
        <v/>
      </c>
      <c r="F98">
        <f>IF(OR(A98="",'Ratings'!E12=""),"",'Ratings'!E12)</f>
        <v/>
      </c>
      <c r="G98">
        <f>IF(A98="","",'Employees'!D6)</f>
        <v/>
      </c>
    </row>
    <row r="99">
      <c r="A99">
        <f>IF(AND('Ratings'!A12&lt;&gt;"",'Ratings'!F5&lt;&gt;""),'Ratings'!A12,"")</f>
        <v/>
      </c>
      <c r="B99">
        <f>IF(A99="","",'Employees'!C6)</f>
        <v/>
      </c>
      <c r="C99">
        <f>IF(A99="","",'Ratings'!C12)</f>
        <v/>
      </c>
      <c r="D99">
        <f>IF(A99="","",'Ratings'!D12)</f>
        <v/>
      </c>
      <c r="E99">
        <f>IF(AND('Ratings'!A12&lt;&gt;"",'Ratings'!F5&lt;&gt;""),'Ratings'!F5,"")</f>
        <v/>
      </c>
      <c r="F99">
        <f>IF(OR(A99="",'Ratings'!F12=""),"",'Ratings'!F12)</f>
        <v/>
      </c>
      <c r="G99">
        <f>IF(A99="","",'Employees'!D6)</f>
        <v/>
      </c>
    </row>
    <row r="100">
      <c r="A100">
        <f>IF(AND('Ratings'!A12&lt;&gt;"",'Ratings'!G5&lt;&gt;""),'Ratings'!A12,"")</f>
        <v/>
      </c>
      <c r="B100">
        <f>IF(A100="","",'Employees'!C6)</f>
        <v/>
      </c>
      <c r="C100">
        <f>IF(A100="","",'Ratings'!C12)</f>
        <v/>
      </c>
      <c r="D100">
        <f>IF(A100="","",'Ratings'!D12)</f>
        <v/>
      </c>
      <c r="E100">
        <f>IF(AND('Ratings'!A12&lt;&gt;"",'Ratings'!G5&lt;&gt;""),'Ratings'!G5,"")</f>
        <v/>
      </c>
      <c r="F100">
        <f>IF(OR(A100="",'Ratings'!G12=""),"",'Ratings'!G12)</f>
        <v/>
      </c>
      <c r="G100">
        <f>IF(A100="","",'Employees'!D6)</f>
        <v/>
      </c>
    </row>
    <row r="101">
      <c r="A101">
        <f>IF(AND('Ratings'!A12&lt;&gt;"",'Ratings'!H5&lt;&gt;""),'Ratings'!A12,"")</f>
        <v/>
      </c>
      <c r="B101">
        <f>IF(A101="","",'Employees'!C6)</f>
        <v/>
      </c>
      <c r="C101">
        <f>IF(A101="","",'Ratings'!C12)</f>
        <v/>
      </c>
      <c r="D101">
        <f>IF(A101="","",'Ratings'!D12)</f>
        <v/>
      </c>
      <c r="E101">
        <f>IF(AND('Ratings'!A12&lt;&gt;"",'Ratings'!H5&lt;&gt;""),'Ratings'!H5,"")</f>
        <v/>
      </c>
      <c r="F101">
        <f>IF(OR(A101="",'Ratings'!H12=""),"",'Ratings'!H12)</f>
        <v/>
      </c>
      <c r="G101">
        <f>IF(A101="","",'Employees'!D6)</f>
        <v/>
      </c>
    </row>
    <row r="102">
      <c r="A102">
        <f>IF(AND('Ratings'!A12&lt;&gt;"",'Ratings'!I5&lt;&gt;""),'Ratings'!A12,"")</f>
        <v/>
      </c>
      <c r="B102">
        <f>IF(A102="","",'Employees'!C6)</f>
        <v/>
      </c>
      <c r="C102">
        <f>IF(A102="","",'Ratings'!C12)</f>
        <v/>
      </c>
      <c r="D102">
        <f>IF(A102="","",'Ratings'!D12)</f>
        <v/>
      </c>
      <c r="E102">
        <f>IF(AND('Ratings'!A12&lt;&gt;"",'Ratings'!I5&lt;&gt;""),'Ratings'!I5,"")</f>
        <v/>
      </c>
      <c r="F102">
        <f>IF(OR(A102="",'Ratings'!I12=""),"",'Ratings'!I12)</f>
        <v/>
      </c>
      <c r="G102">
        <f>IF(A102="","",'Employees'!D6)</f>
        <v/>
      </c>
    </row>
    <row r="103">
      <c r="A103">
        <f>IF(AND('Ratings'!A12&lt;&gt;"",'Ratings'!J5&lt;&gt;""),'Ratings'!A12,"")</f>
        <v/>
      </c>
      <c r="B103">
        <f>IF(A103="","",'Employees'!C6)</f>
        <v/>
      </c>
      <c r="C103">
        <f>IF(A103="","",'Ratings'!C12)</f>
        <v/>
      </c>
      <c r="D103">
        <f>IF(A103="","",'Ratings'!D12)</f>
        <v/>
      </c>
      <c r="E103">
        <f>IF(AND('Ratings'!A12&lt;&gt;"",'Ratings'!J5&lt;&gt;""),'Ratings'!J5,"")</f>
        <v/>
      </c>
      <c r="F103">
        <f>IF(OR(A103="",'Ratings'!J12=""),"",'Ratings'!J12)</f>
        <v/>
      </c>
      <c r="G103">
        <f>IF(A103="","",'Employees'!D6)</f>
        <v/>
      </c>
    </row>
    <row r="104">
      <c r="A104">
        <f>IF(AND('Ratings'!A12&lt;&gt;"",'Ratings'!K5&lt;&gt;""),'Ratings'!A12,"")</f>
        <v/>
      </c>
      <c r="B104">
        <f>IF(A104="","",'Employees'!C6)</f>
        <v/>
      </c>
      <c r="C104">
        <f>IF(A104="","",'Ratings'!C12)</f>
        <v/>
      </c>
      <c r="D104">
        <f>IF(A104="","",'Ratings'!D12)</f>
        <v/>
      </c>
      <c r="E104">
        <f>IF(AND('Ratings'!A12&lt;&gt;"",'Ratings'!K5&lt;&gt;""),'Ratings'!K5,"")</f>
        <v/>
      </c>
      <c r="F104">
        <f>IF(OR(A104="",'Ratings'!K12=""),"",'Ratings'!K12)</f>
        <v/>
      </c>
      <c r="G104">
        <f>IF(A104="","",'Employees'!D6)</f>
        <v/>
      </c>
    </row>
    <row r="105">
      <c r="A105">
        <f>IF(AND('Ratings'!A12&lt;&gt;"",'Ratings'!L5&lt;&gt;""),'Ratings'!A12,"")</f>
        <v/>
      </c>
      <c r="B105">
        <f>IF(A105="","",'Employees'!C6)</f>
        <v/>
      </c>
      <c r="C105">
        <f>IF(A105="","",'Ratings'!C12)</f>
        <v/>
      </c>
      <c r="D105">
        <f>IF(A105="","",'Ratings'!D12)</f>
        <v/>
      </c>
      <c r="E105">
        <f>IF(AND('Ratings'!A12&lt;&gt;"",'Ratings'!L5&lt;&gt;""),'Ratings'!L5,"")</f>
        <v/>
      </c>
      <c r="F105">
        <f>IF(OR(A105="",'Ratings'!L12=""),"",'Ratings'!L12)</f>
        <v/>
      </c>
      <c r="G105">
        <f>IF(A105="","",'Employees'!D6)</f>
        <v/>
      </c>
    </row>
    <row r="106">
      <c r="A106">
        <f>IF(AND('Ratings'!A12&lt;&gt;"",'Ratings'!M5&lt;&gt;""),'Ratings'!A12,"")</f>
        <v/>
      </c>
      <c r="B106">
        <f>IF(A106="","",'Employees'!C6)</f>
        <v/>
      </c>
      <c r="C106">
        <f>IF(A106="","",'Ratings'!C12)</f>
        <v/>
      </c>
      <c r="D106">
        <f>IF(A106="","",'Ratings'!D12)</f>
        <v/>
      </c>
      <c r="E106">
        <f>IF(AND('Ratings'!A12&lt;&gt;"",'Ratings'!M5&lt;&gt;""),'Ratings'!M5,"")</f>
        <v/>
      </c>
      <c r="F106">
        <f>IF(OR(A106="",'Ratings'!M12=""),"",'Ratings'!M12)</f>
        <v/>
      </c>
      <c r="G106">
        <f>IF(A106="","",'Employees'!D6)</f>
        <v/>
      </c>
    </row>
    <row r="107">
      <c r="A107">
        <f>IF(AND('Ratings'!A12&lt;&gt;"",'Ratings'!N5&lt;&gt;""),'Ratings'!A12,"")</f>
        <v/>
      </c>
      <c r="B107">
        <f>IF(A107="","",'Employees'!C6)</f>
        <v/>
      </c>
      <c r="C107">
        <f>IF(A107="","",'Ratings'!C12)</f>
        <v/>
      </c>
      <c r="D107">
        <f>IF(A107="","",'Ratings'!D12)</f>
        <v/>
      </c>
      <c r="E107">
        <f>IF(AND('Ratings'!A12&lt;&gt;"",'Ratings'!N5&lt;&gt;""),'Ratings'!N5,"")</f>
        <v/>
      </c>
      <c r="F107">
        <f>IF(OR(A107="",'Ratings'!N12=""),"",'Ratings'!N12)</f>
        <v/>
      </c>
      <c r="G107">
        <f>IF(A107="","",'Employees'!D6)</f>
        <v/>
      </c>
    </row>
    <row r="108">
      <c r="A108">
        <f>IF(AND('Ratings'!A12&lt;&gt;"",'Ratings'!O5&lt;&gt;""),'Ratings'!A12,"")</f>
        <v/>
      </c>
      <c r="B108">
        <f>IF(A108="","",'Employees'!C6)</f>
        <v/>
      </c>
      <c r="C108">
        <f>IF(A108="","",'Ratings'!C12)</f>
        <v/>
      </c>
      <c r="D108">
        <f>IF(A108="","",'Ratings'!D12)</f>
        <v/>
      </c>
      <c r="E108">
        <f>IF(AND('Ratings'!A12&lt;&gt;"",'Ratings'!O5&lt;&gt;""),'Ratings'!O5,"")</f>
        <v/>
      </c>
      <c r="F108">
        <f>IF(OR(A108="",'Ratings'!O12=""),"",'Ratings'!O12)</f>
        <v/>
      </c>
      <c r="G108">
        <f>IF(A108="","",'Employees'!D6)</f>
        <v/>
      </c>
    </row>
    <row r="109">
      <c r="A109">
        <f>IF(AND('Ratings'!A12&lt;&gt;"",'Ratings'!P5&lt;&gt;""),'Ratings'!A12,"")</f>
        <v/>
      </c>
      <c r="B109">
        <f>IF(A109="","",'Employees'!C6)</f>
        <v/>
      </c>
      <c r="C109">
        <f>IF(A109="","",'Ratings'!C12)</f>
        <v/>
      </c>
      <c r="D109">
        <f>IF(A109="","",'Ratings'!D12)</f>
        <v/>
      </c>
      <c r="E109">
        <f>IF(AND('Ratings'!A12&lt;&gt;"",'Ratings'!P5&lt;&gt;""),'Ratings'!P5,"")</f>
        <v/>
      </c>
      <c r="F109">
        <f>IF(OR(A109="",'Ratings'!P12=""),"",'Ratings'!P12)</f>
        <v/>
      </c>
      <c r="G109">
        <f>IF(A109="","",'Employees'!D6)</f>
        <v/>
      </c>
    </row>
    <row r="110">
      <c r="A110">
        <f>IF(AND('Ratings'!A12&lt;&gt;"",'Ratings'!Q5&lt;&gt;""),'Ratings'!A12,"")</f>
        <v/>
      </c>
      <c r="B110">
        <f>IF(A110="","",'Employees'!C6)</f>
        <v/>
      </c>
      <c r="C110">
        <f>IF(A110="","",'Ratings'!C12)</f>
        <v/>
      </c>
      <c r="D110">
        <f>IF(A110="","",'Ratings'!D12)</f>
        <v/>
      </c>
      <c r="E110">
        <f>IF(AND('Ratings'!A12&lt;&gt;"",'Ratings'!Q5&lt;&gt;""),'Ratings'!Q5,"")</f>
        <v/>
      </c>
      <c r="F110">
        <f>IF(OR(A110="",'Ratings'!Q12=""),"",'Ratings'!Q12)</f>
        <v/>
      </c>
      <c r="G110">
        <f>IF(A110="","",'Employees'!D6)</f>
        <v/>
      </c>
    </row>
    <row r="111">
      <c r="A111">
        <f>IF(AND('Ratings'!A12&lt;&gt;"",'Ratings'!R5&lt;&gt;""),'Ratings'!A12,"")</f>
        <v/>
      </c>
      <c r="B111">
        <f>IF(A111="","",'Employees'!C6)</f>
        <v/>
      </c>
      <c r="C111">
        <f>IF(A111="","",'Ratings'!C12)</f>
        <v/>
      </c>
      <c r="D111">
        <f>IF(A111="","",'Ratings'!D12)</f>
        <v/>
      </c>
      <c r="E111">
        <f>IF(AND('Ratings'!A12&lt;&gt;"",'Ratings'!R5&lt;&gt;""),'Ratings'!R5,"")</f>
        <v/>
      </c>
      <c r="F111">
        <f>IF(OR(A111="",'Ratings'!R12=""),"",'Ratings'!R12)</f>
        <v/>
      </c>
      <c r="G111">
        <f>IF(A111="","",'Employees'!D6)</f>
        <v/>
      </c>
    </row>
    <row r="112">
      <c r="A112">
        <f>IF(AND('Ratings'!A12&lt;&gt;"",'Ratings'!S5&lt;&gt;""),'Ratings'!A12,"")</f>
        <v/>
      </c>
      <c r="B112">
        <f>IF(A112="","",'Employees'!C6)</f>
        <v/>
      </c>
      <c r="C112">
        <f>IF(A112="","",'Ratings'!C12)</f>
        <v/>
      </c>
      <c r="D112">
        <f>IF(A112="","",'Ratings'!D12)</f>
        <v/>
      </c>
      <c r="E112">
        <f>IF(AND('Ratings'!A12&lt;&gt;"",'Ratings'!S5&lt;&gt;""),'Ratings'!S5,"")</f>
        <v/>
      </c>
      <c r="F112">
        <f>IF(OR(A112="",'Ratings'!S12=""),"",'Ratings'!S12)</f>
        <v/>
      </c>
      <c r="G112">
        <f>IF(A112="","",'Employees'!D6)</f>
        <v/>
      </c>
    </row>
    <row r="113">
      <c r="A113">
        <f>IF(AND('Ratings'!A12&lt;&gt;"",'Ratings'!T5&lt;&gt;""),'Ratings'!A12,"")</f>
        <v/>
      </c>
      <c r="B113">
        <f>IF(A113="","",'Employees'!C6)</f>
        <v/>
      </c>
      <c r="C113">
        <f>IF(A113="","",'Ratings'!C12)</f>
        <v/>
      </c>
      <c r="D113">
        <f>IF(A113="","",'Ratings'!D12)</f>
        <v/>
      </c>
      <c r="E113">
        <f>IF(AND('Ratings'!A12&lt;&gt;"",'Ratings'!T5&lt;&gt;""),'Ratings'!T5,"")</f>
        <v/>
      </c>
      <c r="F113">
        <f>IF(OR(A113="",'Ratings'!T12=""),"",'Ratings'!T12)</f>
        <v/>
      </c>
      <c r="G113">
        <f>IF(A113="","",'Employees'!D6)</f>
        <v/>
      </c>
    </row>
    <row r="114">
      <c r="A114">
        <f>IF(AND('Ratings'!A13&lt;&gt;"",'Ratings'!E5&lt;&gt;""),'Ratings'!A13,"")</f>
        <v/>
      </c>
      <c r="B114">
        <f>IF(A114="","",'Employees'!C6)</f>
        <v/>
      </c>
      <c r="C114">
        <f>IF(A114="","",'Ratings'!C13)</f>
        <v/>
      </c>
      <c r="D114">
        <f>IF(A114="","",'Ratings'!D13)</f>
        <v/>
      </c>
      <c r="E114">
        <f>IF(AND('Ratings'!A13&lt;&gt;"",'Ratings'!E5&lt;&gt;""),'Ratings'!E5,"")</f>
        <v/>
      </c>
      <c r="F114">
        <f>IF(OR(A114="",'Ratings'!E13=""),"",'Ratings'!E13)</f>
        <v/>
      </c>
      <c r="G114">
        <f>IF(A114="","",'Employees'!D6)</f>
        <v/>
      </c>
    </row>
    <row r="115">
      <c r="A115">
        <f>IF(AND('Ratings'!A13&lt;&gt;"",'Ratings'!F5&lt;&gt;""),'Ratings'!A13,"")</f>
        <v/>
      </c>
      <c r="B115">
        <f>IF(A115="","",'Employees'!C6)</f>
        <v/>
      </c>
      <c r="C115">
        <f>IF(A115="","",'Ratings'!C13)</f>
        <v/>
      </c>
      <c r="D115">
        <f>IF(A115="","",'Ratings'!D13)</f>
        <v/>
      </c>
      <c r="E115">
        <f>IF(AND('Ratings'!A13&lt;&gt;"",'Ratings'!F5&lt;&gt;""),'Ratings'!F5,"")</f>
        <v/>
      </c>
      <c r="F115">
        <f>IF(OR(A115="",'Ratings'!F13=""),"",'Ratings'!F13)</f>
        <v/>
      </c>
      <c r="G115">
        <f>IF(A115="","",'Employees'!D6)</f>
        <v/>
      </c>
    </row>
    <row r="116">
      <c r="A116">
        <f>IF(AND('Ratings'!A13&lt;&gt;"",'Ratings'!G5&lt;&gt;""),'Ratings'!A13,"")</f>
        <v/>
      </c>
      <c r="B116">
        <f>IF(A116="","",'Employees'!C6)</f>
        <v/>
      </c>
      <c r="C116">
        <f>IF(A116="","",'Ratings'!C13)</f>
        <v/>
      </c>
      <c r="D116">
        <f>IF(A116="","",'Ratings'!D13)</f>
        <v/>
      </c>
      <c r="E116">
        <f>IF(AND('Ratings'!A13&lt;&gt;"",'Ratings'!G5&lt;&gt;""),'Ratings'!G5,"")</f>
        <v/>
      </c>
      <c r="F116">
        <f>IF(OR(A116="",'Ratings'!G13=""),"",'Ratings'!G13)</f>
        <v/>
      </c>
      <c r="G116">
        <f>IF(A116="","",'Employees'!D6)</f>
        <v/>
      </c>
    </row>
    <row r="117">
      <c r="A117">
        <f>IF(AND('Ratings'!A13&lt;&gt;"",'Ratings'!H5&lt;&gt;""),'Ratings'!A13,"")</f>
        <v/>
      </c>
      <c r="B117">
        <f>IF(A117="","",'Employees'!C6)</f>
        <v/>
      </c>
      <c r="C117">
        <f>IF(A117="","",'Ratings'!C13)</f>
        <v/>
      </c>
      <c r="D117">
        <f>IF(A117="","",'Ratings'!D13)</f>
        <v/>
      </c>
      <c r="E117">
        <f>IF(AND('Ratings'!A13&lt;&gt;"",'Ratings'!H5&lt;&gt;""),'Ratings'!H5,"")</f>
        <v/>
      </c>
      <c r="F117">
        <f>IF(OR(A117="",'Ratings'!H13=""),"",'Ratings'!H13)</f>
        <v/>
      </c>
      <c r="G117">
        <f>IF(A117="","",'Employees'!D6)</f>
        <v/>
      </c>
    </row>
    <row r="118">
      <c r="A118">
        <f>IF(AND('Ratings'!A13&lt;&gt;"",'Ratings'!I5&lt;&gt;""),'Ratings'!A13,"")</f>
        <v/>
      </c>
      <c r="B118">
        <f>IF(A118="","",'Employees'!C6)</f>
        <v/>
      </c>
      <c r="C118">
        <f>IF(A118="","",'Ratings'!C13)</f>
        <v/>
      </c>
      <c r="D118">
        <f>IF(A118="","",'Ratings'!D13)</f>
        <v/>
      </c>
      <c r="E118">
        <f>IF(AND('Ratings'!A13&lt;&gt;"",'Ratings'!I5&lt;&gt;""),'Ratings'!I5,"")</f>
        <v/>
      </c>
      <c r="F118">
        <f>IF(OR(A118="",'Ratings'!I13=""),"",'Ratings'!I13)</f>
        <v/>
      </c>
      <c r="G118">
        <f>IF(A118="","",'Employees'!D6)</f>
        <v/>
      </c>
    </row>
    <row r="119">
      <c r="A119">
        <f>IF(AND('Ratings'!A13&lt;&gt;"",'Ratings'!J5&lt;&gt;""),'Ratings'!A13,"")</f>
        <v/>
      </c>
      <c r="B119">
        <f>IF(A119="","",'Employees'!C6)</f>
        <v/>
      </c>
      <c r="C119">
        <f>IF(A119="","",'Ratings'!C13)</f>
        <v/>
      </c>
      <c r="D119">
        <f>IF(A119="","",'Ratings'!D13)</f>
        <v/>
      </c>
      <c r="E119">
        <f>IF(AND('Ratings'!A13&lt;&gt;"",'Ratings'!J5&lt;&gt;""),'Ratings'!J5,"")</f>
        <v/>
      </c>
      <c r="F119">
        <f>IF(OR(A119="",'Ratings'!J13=""),"",'Ratings'!J13)</f>
        <v/>
      </c>
      <c r="G119">
        <f>IF(A119="","",'Employees'!D6)</f>
        <v/>
      </c>
    </row>
    <row r="120">
      <c r="A120">
        <f>IF(AND('Ratings'!A13&lt;&gt;"",'Ratings'!K5&lt;&gt;""),'Ratings'!A13,"")</f>
        <v/>
      </c>
      <c r="B120">
        <f>IF(A120="","",'Employees'!C6)</f>
        <v/>
      </c>
      <c r="C120">
        <f>IF(A120="","",'Ratings'!C13)</f>
        <v/>
      </c>
      <c r="D120">
        <f>IF(A120="","",'Ratings'!D13)</f>
        <v/>
      </c>
      <c r="E120">
        <f>IF(AND('Ratings'!A13&lt;&gt;"",'Ratings'!K5&lt;&gt;""),'Ratings'!K5,"")</f>
        <v/>
      </c>
      <c r="F120">
        <f>IF(OR(A120="",'Ratings'!K13=""),"",'Ratings'!K13)</f>
        <v/>
      </c>
      <c r="G120">
        <f>IF(A120="","",'Employees'!D6)</f>
        <v/>
      </c>
    </row>
    <row r="121">
      <c r="A121">
        <f>IF(AND('Ratings'!A13&lt;&gt;"",'Ratings'!L5&lt;&gt;""),'Ratings'!A13,"")</f>
        <v/>
      </c>
      <c r="B121">
        <f>IF(A121="","",'Employees'!C6)</f>
        <v/>
      </c>
      <c r="C121">
        <f>IF(A121="","",'Ratings'!C13)</f>
        <v/>
      </c>
      <c r="D121">
        <f>IF(A121="","",'Ratings'!D13)</f>
        <v/>
      </c>
      <c r="E121">
        <f>IF(AND('Ratings'!A13&lt;&gt;"",'Ratings'!L5&lt;&gt;""),'Ratings'!L5,"")</f>
        <v/>
      </c>
      <c r="F121">
        <f>IF(OR(A121="",'Ratings'!L13=""),"",'Ratings'!L13)</f>
        <v/>
      </c>
      <c r="G121">
        <f>IF(A121="","",'Employees'!D6)</f>
        <v/>
      </c>
    </row>
    <row r="122">
      <c r="A122">
        <f>IF(AND('Ratings'!A13&lt;&gt;"",'Ratings'!M5&lt;&gt;""),'Ratings'!A13,"")</f>
        <v/>
      </c>
      <c r="B122">
        <f>IF(A122="","",'Employees'!C6)</f>
        <v/>
      </c>
      <c r="C122">
        <f>IF(A122="","",'Ratings'!C13)</f>
        <v/>
      </c>
      <c r="D122">
        <f>IF(A122="","",'Ratings'!D13)</f>
        <v/>
      </c>
      <c r="E122">
        <f>IF(AND('Ratings'!A13&lt;&gt;"",'Ratings'!M5&lt;&gt;""),'Ratings'!M5,"")</f>
        <v/>
      </c>
      <c r="F122">
        <f>IF(OR(A122="",'Ratings'!M13=""),"",'Ratings'!M13)</f>
        <v/>
      </c>
      <c r="G122">
        <f>IF(A122="","",'Employees'!D6)</f>
        <v/>
      </c>
    </row>
    <row r="123">
      <c r="A123">
        <f>IF(AND('Ratings'!A13&lt;&gt;"",'Ratings'!N5&lt;&gt;""),'Ratings'!A13,"")</f>
        <v/>
      </c>
      <c r="B123">
        <f>IF(A123="","",'Employees'!C6)</f>
        <v/>
      </c>
      <c r="C123">
        <f>IF(A123="","",'Ratings'!C13)</f>
        <v/>
      </c>
      <c r="D123">
        <f>IF(A123="","",'Ratings'!D13)</f>
        <v/>
      </c>
      <c r="E123">
        <f>IF(AND('Ratings'!A13&lt;&gt;"",'Ratings'!N5&lt;&gt;""),'Ratings'!N5,"")</f>
        <v/>
      </c>
      <c r="F123">
        <f>IF(OR(A123="",'Ratings'!N13=""),"",'Ratings'!N13)</f>
        <v/>
      </c>
      <c r="G123">
        <f>IF(A123="","",'Employees'!D6)</f>
        <v/>
      </c>
    </row>
    <row r="124">
      <c r="A124">
        <f>IF(AND('Ratings'!A13&lt;&gt;"",'Ratings'!O5&lt;&gt;""),'Ratings'!A13,"")</f>
        <v/>
      </c>
      <c r="B124">
        <f>IF(A124="","",'Employees'!C6)</f>
        <v/>
      </c>
      <c r="C124">
        <f>IF(A124="","",'Ratings'!C13)</f>
        <v/>
      </c>
      <c r="D124">
        <f>IF(A124="","",'Ratings'!D13)</f>
        <v/>
      </c>
      <c r="E124">
        <f>IF(AND('Ratings'!A13&lt;&gt;"",'Ratings'!O5&lt;&gt;""),'Ratings'!O5,"")</f>
        <v/>
      </c>
      <c r="F124">
        <f>IF(OR(A124="",'Ratings'!O13=""),"",'Ratings'!O13)</f>
        <v/>
      </c>
      <c r="G124">
        <f>IF(A124="","",'Employees'!D6)</f>
        <v/>
      </c>
    </row>
    <row r="125">
      <c r="A125">
        <f>IF(AND('Ratings'!A13&lt;&gt;"",'Ratings'!P5&lt;&gt;""),'Ratings'!A13,"")</f>
        <v/>
      </c>
      <c r="B125">
        <f>IF(A125="","",'Employees'!C6)</f>
        <v/>
      </c>
      <c r="C125">
        <f>IF(A125="","",'Ratings'!C13)</f>
        <v/>
      </c>
      <c r="D125">
        <f>IF(A125="","",'Ratings'!D13)</f>
        <v/>
      </c>
      <c r="E125">
        <f>IF(AND('Ratings'!A13&lt;&gt;"",'Ratings'!P5&lt;&gt;""),'Ratings'!P5,"")</f>
        <v/>
      </c>
      <c r="F125">
        <f>IF(OR(A125="",'Ratings'!P13=""),"",'Ratings'!P13)</f>
        <v/>
      </c>
      <c r="G125">
        <f>IF(A125="","",'Employees'!D6)</f>
        <v/>
      </c>
    </row>
    <row r="126">
      <c r="A126">
        <f>IF(AND('Ratings'!A13&lt;&gt;"",'Ratings'!Q5&lt;&gt;""),'Ratings'!A13,"")</f>
        <v/>
      </c>
      <c r="B126">
        <f>IF(A126="","",'Employees'!C6)</f>
        <v/>
      </c>
      <c r="C126">
        <f>IF(A126="","",'Ratings'!C13)</f>
        <v/>
      </c>
      <c r="D126">
        <f>IF(A126="","",'Ratings'!D13)</f>
        <v/>
      </c>
      <c r="E126">
        <f>IF(AND('Ratings'!A13&lt;&gt;"",'Ratings'!Q5&lt;&gt;""),'Ratings'!Q5,"")</f>
        <v/>
      </c>
      <c r="F126">
        <f>IF(OR(A126="",'Ratings'!Q13=""),"",'Ratings'!Q13)</f>
        <v/>
      </c>
      <c r="G126">
        <f>IF(A126="","",'Employees'!D6)</f>
        <v/>
      </c>
    </row>
    <row r="127">
      <c r="A127">
        <f>IF(AND('Ratings'!A13&lt;&gt;"",'Ratings'!R5&lt;&gt;""),'Ratings'!A13,"")</f>
        <v/>
      </c>
      <c r="B127">
        <f>IF(A127="","",'Employees'!C6)</f>
        <v/>
      </c>
      <c r="C127">
        <f>IF(A127="","",'Ratings'!C13)</f>
        <v/>
      </c>
      <c r="D127">
        <f>IF(A127="","",'Ratings'!D13)</f>
        <v/>
      </c>
      <c r="E127">
        <f>IF(AND('Ratings'!A13&lt;&gt;"",'Ratings'!R5&lt;&gt;""),'Ratings'!R5,"")</f>
        <v/>
      </c>
      <c r="F127">
        <f>IF(OR(A127="",'Ratings'!R13=""),"",'Ratings'!R13)</f>
        <v/>
      </c>
      <c r="G127">
        <f>IF(A127="","",'Employees'!D6)</f>
        <v/>
      </c>
    </row>
    <row r="128">
      <c r="A128">
        <f>IF(AND('Ratings'!A13&lt;&gt;"",'Ratings'!S5&lt;&gt;""),'Ratings'!A13,"")</f>
        <v/>
      </c>
      <c r="B128">
        <f>IF(A128="","",'Employees'!C6)</f>
        <v/>
      </c>
      <c r="C128">
        <f>IF(A128="","",'Ratings'!C13)</f>
        <v/>
      </c>
      <c r="D128">
        <f>IF(A128="","",'Ratings'!D13)</f>
        <v/>
      </c>
      <c r="E128">
        <f>IF(AND('Ratings'!A13&lt;&gt;"",'Ratings'!S5&lt;&gt;""),'Ratings'!S5,"")</f>
        <v/>
      </c>
      <c r="F128">
        <f>IF(OR(A128="",'Ratings'!S13=""),"",'Ratings'!S13)</f>
        <v/>
      </c>
      <c r="G128">
        <f>IF(A128="","",'Employees'!D6)</f>
        <v/>
      </c>
    </row>
    <row r="129">
      <c r="A129">
        <f>IF(AND('Ratings'!A13&lt;&gt;"",'Ratings'!T5&lt;&gt;""),'Ratings'!A13,"")</f>
        <v/>
      </c>
      <c r="B129">
        <f>IF(A129="","",'Employees'!C6)</f>
        <v/>
      </c>
      <c r="C129">
        <f>IF(A129="","",'Ratings'!C13)</f>
        <v/>
      </c>
      <c r="D129">
        <f>IF(A129="","",'Ratings'!D13)</f>
        <v/>
      </c>
      <c r="E129">
        <f>IF(AND('Ratings'!A13&lt;&gt;"",'Ratings'!T5&lt;&gt;""),'Ratings'!T5,"")</f>
        <v/>
      </c>
      <c r="F129">
        <f>IF(OR(A129="",'Ratings'!T13=""),"",'Ratings'!T13)</f>
        <v/>
      </c>
      <c r="G129">
        <f>IF(A129="","",'Employees'!D6)</f>
        <v/>
      </c>
    </row>
    <row r="130">
      <c r="A130">
        <f>IF(AND('Ratings'!A14&lt;&gt;"",'Ratings'!E5&lt;&gt;""),'Ratings'!A14,"")</f>
        <v/>
      </c>
      <c r="B130">
        <f>IF(A130="","",'Employees'!C6)</f>
        <v/>
      </c>
      <c r="C130">
        <f>IF(A130="","",'Ratings'!C14)</f>
        <v/>
      </c>
      <c r="D130">
        <f>IF(A130="","",'Ratings'!D14)</f>
        <v/>
      </c>
      <c r="E130">
        <f>IF(AND('Ratings'!A14&lt;&gt;"",'Ratings'!E5&lt;&gt;""),'Ratings'!E5,"")</f>
        <v/>
      </c>
      <c r="F130">
        <f>IF(OR(A130="",'Ratings'!E14=""),"",'Ratings'!E14)</f>
        <v/>
      </c>
      <c r="G130">
        <f>IF(A130="","",'Employees'!D6)</f>
        <v/>
      </c>
    </row>
    <row r="131">
      <c r="A131">
        <f>IF(AND('Ratings'!A14&lt;&gt;"",'Ratings'!F5&lt;&gt;""),'Ratings'!A14,"")</f>
        <v/>
      </c>
      <c r="B131">
        <f>IF(A131="","",'Employees'!C6)</f>
        <v/>
      </c>
      <c r="C131">
        <f>IF(A131="","",'Ratings'!C14)</f>
        <v/>
      </c>
      <c r="D131">
        <f>IF(A131="","",'Ratings'!D14)</f>
        <v/>
      </c>
      <c r="E131">
        <f>IF(AND('Ratings'!A14&lt;&gt;"",'Ratings'!F5&lt;&gt;""),'Ratings'!F5,"")</f>
        <v/>
      </c>
      <c r="F131">
        <f>IF(OR(A131="",'Ratings'!F14=""),"",'Ratings'!F14)</f>
        <v/>
      </c>
      <c r="G131">
        <f>IF(A131="","",'Employees'!D6)</f>
        <v/>
      </c>
    </row>
    <row r="132">
      <c r="A132">
        <f>IF(AND('Ratings'!A14&lt;&gt;"",'Ratings'!G5&lt;&gt;""),'Ratings'!A14,"")</f>
        <v/>
      </c>
      <c r="B132">
        <f>IF(A132="","",'Employees'!C6)</f>
        <v/>
      </c>
      <c r="C132">
        <f>IF(A132="","",'Ratings'!C14)</f>
        <v/>
      </c>
      <c r="D132">
        <f>IF(A132="","",'Ratings'!D14)</f>
        <v/>
      </c>
      <c r="E132">
        <f>IF(AND('Ratings'!A14&lt;&gt;"",'Ratings'!G5&lt;&gt;""),'Ratings'!G5,"")</f>
        <v/>
      </c>
      <c r="F132">
        <f>IF(OR(A132="",'Ratings'!G14=""),"",'Ratings'!G14)</f>
        <v/>
      </c>
      <c r="G132">
        <f>IF(A132="","",'Employees'!D6)</f>
        <v/>
      </c>
    </row>
    <row r="133">
      <c r="A133">
        <f>IF(AND('Ratings'!A14&lt;&gt;"",'Ratings'!H5&lt;&gt;""),'Ratings'!A14,"")</f>
        <v/>
      </c>
      <c r="B133">
        <f>IF(A133="","",'Employees'!C6)</f>
        <v/>
      </c>
      <c r="C133">
        <f>IF(A133="","",'Ratings'!C14)</f>
        <v/>
      </c>
      <c r="D133">
        <f>IF(A133="","",'Ratings'!D14)</f>
        <v/>
      </c>
      <c r="E133">
        <f>IF(AND('Ratings'!A14&lt;&gt;"",'Ratings'!H5&lt;&gt;""),'Ratings'!H5,"")</f>
        <v/>
      </c>
      <c r="F133">
        <f>IF(OR(A133="",'Ratings'!H14=""),"",'Ratings'!H14)</f>
        <v/>
      </c>
      <c r="G133">
        <f>IF(A133="","",'Employees'!D6)</f>
        <v/>
      </c>
    </row>
    <row r="134">
      <c r="A134">
        <f>IF(AND('Ratings'!A14&lt;&gt;"",'Ratings'!I5&lt;&gt;""),'Ratings'!A14,"")</f>
        <v/>
      </c>
      <c r="B134">
        <f>IF(A134="","",'Employees'!C6)</f>
        <v/>
      </c>
      <c r="C134">
        <f>IF(A134="","",'Ratings'!C14)</f>
        <v/>
      </c>
      <c r="D134">
        <f>IF(A134="","",'Ratings'!D14)</f>
        <v/>
      </c>
      <c r="E134">
        <f>IF(AND('Ratings'!A14&lt;&gt;"",'Ratings'!I5&lt;&gt;""),'Ratings'!I5,"")</f>
        <v/>
      </c>
      <c r="F134">
        <f>IF(OR(A134="",'Ratings'!I14=""),"",'Ratings'!I14)</f>
        <v/>
      </c>
      <c r="G134">
        <f>IF(A134="","",'Employees'!D6)</f>
        <v/>
      </c>
    </row>
    <row r="135">
      <c r="A135">
        <f>IF(AND('Ratings'!A14&lt;&gt;"",'Ratings'!J5&lt;&gt;""),'Ratings'!A14,"")</f>
        <v/>
      </c>
      <c r="B135">
        <f>IF(A135="","",'Employees'!C6)</f>
        <v/>
      </c>
      <c r="C135">
        <f>IF(A135="","",'Ratings'!C14)</f>
        <v/>
      </c>
      <c r="D135">
        <f>IF(A135="","",'Ratings'!D14)</f>
        <v/>
      </c>
      <c r="E135">
        <f>IF(AND('Ratings'!A14&lt;&gt;"",'Ratings'!J5&lt;&gt;""),'Ratings'!J5,"")</f>
        <v/>
      </c>
      <c r="F135">
        <f>IF(OR(A135="",'Ratings'!J14=""),"",'Ratings'!J14)</f>
        <v/>
      </c>
      <c r="G135">
        <f>IF(A135="","",'Employees'!D6)</f>
        <v/>
      </c>
    </row>
    <row r="136">
      <c r="A136">
        <f>IF(AND('Ratings'!A14&lt;&gt;"",'Ratings'!K5&lt;&gt;""),'Ratings'!A14,"")</f>
        <v/>
      </c>
      <c r="B136">
        <f>IF(A136="","",'Employees'!C6)</f>
        <v/>
      </c>
      <c r="C136">
        <f>IF(A136="","",'Ratings'!C14)</f>
        <v/>
      </c>
      <c r="D136">
        <f>IF(A136="","",'Ratings'!D14)</f>
        <v/>
      </c>
      <c r="E136">
        <f>IF(AND('Ratings'!A14&lt;&gt;"",'Ratings'!K5&lt;&gt;""),'Ratings'!K5,"")</f>
        <v/>
      </c>
      <c r="F136">
        <f>IF(OR(A136="",'Ratings'!K14=""),"",'Ratings'!K14)</f>
        <v/>
      </c>
      <c r="G136">
        <f>IF(A136="","",'Employees'!D6)</f>
        <v/>
      </c>
    </row>
    <row r="137">
      <c r="A137">
        <f>IF(AND('Ratings'!A14&lt;&gt;"",'Ratings'!L5&lt;&gt;""),'Ratings'!A14,"")</f>
        <v/>
      </c>
      <c r="B137">
        <f>IF(A137="","",'Employees'!C6)</f>
        <v/>
      </c>
      <c r="C137">
        <f>IF(A137="","",'Ratings'!C14)</f>
        <v/>
      </c>
      <c r="D137">
        <f>IF(A137="","",'Ratings'!D14)</f>
        <v/>
      </c>
      <c r="E137">
        <f>IF(AND('Ratings'!A14&lt;&gt;"",'Ratings'!L5&lt;&gt;""),'Ratings'!L5,"")</f>
        <v/>
      </c>
      <c r="F137">
        <f>IF(OR(A137="",'Ratings'!L14=""),"",'Ratings'!L14)</f>
        <v/>
      </c>
      <c r="G137">
        <f>IF(A137="","",'Employees'!D6)</f>
        <v/>
      </c>
    </row>
    <row r="138">
      <c r="A138">
        <f>IF(AND('Ratings'!A14&lt;&gt;"",'Ratings'!M5&lt;&gt;""),'Ratings'!A14,"")</f>
        <v/>
      </c>
      <c r="B138">
        <f>IF(A138="","",'Employees'!C6)</f>
        <v/>
      </c>
      <c r="C138">
        <f>IF(A138="","",'Ratings'!C14)</f>
        <v/>
      </c>
      <c r="D138">
        <f>IF(A138="","",'Ratings'!D14)</f>
        <v/>
      </c>
      <c r="E138">
        <f>IF(AND('Ratings'!A14&lt;&gt;"",'Ratings'!M5&lt;&gt;""),'Ratings'!M5,"")</f>
        <v/>
      </c>
      <c r="F138">
        <f>IF(OR(A138="",'Ratings'!M14=""),"",'Ratings'!M14)</f>
        <v/>
      </c>
      <c r="G138">
        <f>IF(A138="","",'Employees'!D6)</f>
        <v/>
      </c>
    </row>
    <row r="139">
      <c r="A139">
        <f>IF(AND('Ratings'!A14&lt;&gt;"",'Ratings'!N5&lt;&gt;""),'Ratings'!A14,"")</f>
        <v/>
      </c>
      <c r="B139">
        <f>IF(A139="","",'Employees'!C6)</f>
        <v/>
      </c>
      <c r="C139">
        <f>IF(A139="","",'Ratings'!C14)</f>
        <v/>
      </c>
      <c r="D139">
        <f>IF(A139="","",'Ratings'!D14)</f>
        <v/>
      </c>
      <c r="E139">
        <f>IF(AND('Ratings'!A14&lt;&gt;"",'Ratings'!N5&lt;&gt;""),'Ratings'!N5,"")</f>
        <v/>
      </c>
      <c r="F139">
        <f>IF(OR(A139="",'Ratings'!N14=""),"",'Ratings'!N14)</f>
        <v/>
      </c>
      <c r="G139">
        <f>IF(A139="","",'Employees'!D6)</f>
        <v/>
      </c>
    </row>
    <row r="140">
      <c r="A140">
        <f>IF(AND('Ratings'!A14&lt;&gt;"",'Ratings'!O5&lt;&gt;""),'Ratings'!A14,"")</f>
        <v/>
      </c>
      <c r="B140">
        <f>IF(A140="","",'Employees'!C6)</f>
        <v/>
      </c>
      <c r="C140">
        <f>IF(A140="","",'Ratings'!C14)</f>
        <v/>
      </c>
      <c r="D140">
        <f>IF(A140="","",'Ratings'!D14)</f>
        <v/>
      </c>
      <c r="E140">
        <f>IF(AND('Ratings'!A14&lt;&gt;"",'Ratings'!O5&lt;&gt;""),'Ratings'!O5,"")</f>
        <v/>
      </c>
      <c r="F140">
        <f>IF(OR(A140="",'Ratings'!O14=""),"",'Ratings'!O14)</f>
        <v/>
      </c>
      <c r="G140">
        <f>IF(A140="","",'Employees'!D6)</f>
        <v/>
      </c>
    </row>
    <row r="141">
      <c r="A141">
        <f>IF(AND('Ratings'!A14&lt;&gt;"",'Ratings'!P5&lt;&gt;""),'Ratings'!A14,"")</f>
        <v/>
      </c>
      <c r="B141">
        <f>IF(A141="","",'Employees'!C6)</f>
        <v/>
      </c>
      <c r="C141">
        <f>IF(A141="","",'Ratings'!C14)</f>
        <v/>
      </c>
      <c r="D141">
        <f>IF(A141="","",'Ratings'!D14)</f>
        <v/>
      </c>
      <c r="E141">
        <f>IF(AND('Ratings'!A14&lt;&gt;"",'Ratings'!P5&lt;&gt;""),'Ratings'!P5,"")</f>
        <v/>
      </c>
      <c r="F141">
        <f>IF(OR(A141="",'Ratings'!P14=""),"",'Ratings'!P14)</f>
        <v/>
      </c>
      <c r="G141">
        <f>IF(A141="","",'Employees'!D6)</f>
        <v/>
      </c>
    </row>
    <row r="142">
      <c r="A142">
        <f>IF(AND('Ratings'!A14&lt;&gt;"",'Ratings'!Q5&lt;&gt;""),'Ratings'!A14,"")</f>
        <v/>
      </c>
      <c r="B142">
        <f>IF(A142="","",'Employees'!C6)</f>
        <v/>
      </c>
      <c r="C142">
        <f>IF(A142="","",'Ratings'!C14)</f>
        <v/>
      </c>
      <c r="D142">
        <f>IF(A142="","",'Ratings'!D14)</f>
        <v/>
      </c>
      <c r="E142">
        <f>IF(AND('Ratings'!A14&lt;&gt;"",'Ratings'!Q5&lt;&gt;""),'Ratings'!Q5,"")</f>
        <v/>
      </c>
      <c r="F142">
        <f>IF(OR(A142="",'Ratings'!Q14=""),"",'Ratings'!Q14)</f>
        <v/>
      </c>
      <c r="G142">
        <f>IF(A142="","",'Employees'!D6)</f>
        <v/>
      </c>
    </row>
    <row r="143">
      <c r="A143">
        <f>IF(AND('Ratings'!A14&lt;&gt;"",'Ratings'!R5&lt;&gt;""),'Ratings'!A14,"")</f>
        <v/>
      </c>
      <c r="B143">
        <f>IF(A143="","",'Employees'!C6)</f>
        <v/>
      </c>
      <c r="C143">
        <f>IF(A143="","",'Ratings'!C14)</f>
        <v/>
      </c>
      <c r="D143">
        <f>IF(A143="","",'Ratings'!D14)</f>
        <v/>
      </c>
      <c r="E143">
        <f>IF(AND('Ratings'!A14&lt;&gt;"",'Ratings'!R5&lt;&gt;""),'Ratings'!R5,"")</f>
        <v/>
      </c>
      <c r="F143">
        <f>IF(OR(A143="",'Ratings'!R14=""),"",'Ratings'!R14)</f>
        <v/>
      </c>
      <c r="G143">
        <f>IF(A143="","",'Employees'!D6)</f>
        <v/>
      </c>
    </row>
    <row r="144">
      <c r="A144">
        <f>IF(AND('Ratings'!A14&lt;&gt;"",'Ratings'!S5&lt;&gt;""),'Ratings'!A14,"")</f>
        <v/>
      </c>
      <c r="B144">
        <f>IF(A144="","",'Employees'!C6)</f>
        <v/>
      </c>
      <c r="C144">
        <f>IF(A144="","",'Ratings'!C14)</f>
        <v/>
      </c>
      <c r="D144">
        <f>IF(A144="","",'Ratings'!D14)</f>
        <v/>
      </c>
      <c r="E144">
        <f>IF(AND('Ratings'!A14&lt;&gt;"",'Ratings'!S5&lt;&gt;""),'Ratings'!S5,"")</f>
        <v/>
      </c>
      <c r="F144">
        <f>IF(OR(A144="",'Ratings'!S14=""),"",'Ratings'!S14)</f>
        <v/>
      </c>
      <c r="G144">
        <f>IF(A144="","",'Employees'!D6)</f>
        <v/>
      </c>
    </row>
    <row r="145">
      <c r="A145">
        <f>IF(AND('Ratings'!A14&lt;&gt;"",'Ratings'!T5&lt;&gt;""),'Ratings'!A14,"")</f>
        <v/>
      </c>
      <c r="B145">
        <f>IF(A145="","",'Employees'!C6)</f>
        <v/>
      </c>
      <c r="C145">
        <f>IF(A145="","",'Ratings'!C14)</f>
        <v/>
      </c>
      <c r="D145">
        <f>IF(A145="","",'Ratings'!D14)</f>
        <v/>
      </c>
      <c r="E145">
        <f>IF(AND('Ratings'!A14&lt;&gt;"",'Ratings'!T5&lt;&gt;""),'Ratings'!T5,"")</f>
        <v/>
      </c>
      <c r="F145">
        <f>IF(OR(A145="",'Ratings'!T14=""),"",'Ratings'!T14)</f>
        <v/>
      </c>
      <c r="G145">
        <f>IF(A145="","",'Employees'!D6)</f>
        <v/>
      </c>
    </row>
    <row r="146">
      <c r="A146">
        <f>IF(AND('Ratings'!A15&lt;&gt;"",'Ratings'!E5&lt;&gt;""),'Ratings'!A15,"")</f>
        <v/>
      </c>
      <c r="B146">
        <f>IF(A146="","",'Employees'!C6)</f>
        <v/>
      </c>
      <c r="C146">
        <f>IF(A146="","",'Ratings'!C15)</f>
        <v/>
      </c>
      <c r="D146">
        <f>IF(A146="","",'Ratings'!D15)</f>
        <v/>
      </c>
      <c r="E146">
        <f>IF(AND('Ratings'!A15&lt;&gt;"",'Ratings'!E5&lt;&gt;""),'Ratings'!E5,"")</f>
        <v/>
      </c>
      <c r="F146">
        <f>IF(OR(A146="",'Ratings'!E15=""),"",'Ratings'!E15)</f>
        <v/>
      </c>
      <c r="G146">
        <f>IF(A146="","",'Employees'!D6)</f>
        <v/>
      </c>
    </row>
    <row r="147">
      <c r="A147">
        <f>IF(AND('Ratings'!A15&lt;&gt;"",'Ratings'!F5&lt;&gt;""),'Ratings'!A15,"")</f>
        <v/>
      </c>
      <c r="B147">
        <f>IF(A147="","",'Employees'!C6)</f>
        <v/>
      </c>
      <c r="C147">
        <f>IF(A147="","",'Ratings'!C15)</f>
        <v/>
      </c>
      <c r="D147">
        <f>IF(A147="","",'Ratings'!D15)</f>
        <v/>
      </c>
      <c r="E147">
        <f>IF(AND('Ratings'!A15&lt;&gt;"",'Ratings'!F5&lt;&gt;""),'Ratings'!F5,"")</f>
        <v/>
      </c>
      <c r="F147">
        <f>IF(OR(A147="",'Ratings'!F15=""),"",'Ratings'!F15)</f>
        <v/>
      </c>
      <c r="G147">
        <f>IF(A147="","",'Employees'!D6)</f>
        <v/>
      </c>
    </row>
    <row r="148">
      <c r="A148">
        <f>IF(AND('Ratings'!A15&lt;&gt;"",'Ratings'!G5&lt;&gt;""),'Ratings'!A15,"")</f>
        <v/>
      </c>
      <c r="B148">
        <f>IF(A148="","",'Employees'!C6)</f>
        <v/>
      </c>
      <c r="C148">
        <f>IF(A148="","",'Ratings'!C15)</f>
        <v/>
      </c>
      <c r="D148">
        <f>IF(A148="","",'Ratings'!D15)</f>
        <v/>
      </c>
      <c r="E148">
        <f>IF(AND('Ratings'!A15&lt;&gt;"",'Ratings'!G5&lt;&gt;""),'Ratings'!G5,"")</f>
        <v/>
      </c>
      <c r="F148">
        <f>IF(OR(A148="",'Ratings'!G15=""),"",'Ratings'!G15)</f>
        <v/>
      </c>
      <c r="G148">
        <f>IF(A148="","",'Employees'!D6)</f>
        <v/>
      </c>
    </row>
    <row r="149">
      <c r="A149">
        <f>IF(AND('Ratings'!A15&lt;&gt;"",'Ratings'!H5&lt;&gt;""),'Ratings'!A15,"")</f>
        <v/>
      </c>
      <c r="B149">
        <f>IF(A149="","",'Employees'!C6)</f>
        <v/>
      </c>
      <c r="C149">
        <f>IF(A149="","",'Ratings'!C15)</f>
        <v/>
      </c>
      <c r="D149">
        <f>IF(A149="","",'Ratings'!D15)</f>
        <v/>
      </c>
      <c r="E149">
        <f>IF(AND('Ratings'!A15&lt;&gt;"",'Ratings'!H5&lt;&gt;""),'Ratings'!H5,"")</f>
        <v/>
      </c>
      <c r="F149">
        <f>IF(OR(A149="",'Ratings'!H15=""),"",'Ratings'!H15)</f>
        <v/>
      </c>
      <c r="G149">
        <f>IF(A149="","",'Employees'!D6)</f>
        <v/>
      </c>
    </row>
    <row r="150">
      <c r="A150">
        <f>IF(AND('Ratings'!A15&lt;&gt;"",'Ratings'!I5&lt;&gt;""),'Ratings'!A15,"")</f>
        <v/>
      </c>
      <c r="B150">
        <f>IF(A150="","",'Employees'!C6)</f>
        <v/>
      </c>
      <c r="C150">
        <f>IF(A150="","",'Ratings'!C15)</f>
        <v/>
      </c>
      <c r="D150">
        <f>IF(A150="","",'Ratings'!D15)</f>
        <v/>
      </c>
      <c r="E150">
        <f>IF(AND('Ratings'!A15&lt;&gt;"",'Ratings'!I5&lt;&gt;""),'Ratings'!I5,"")</f>
        <v/>
      </c>
      <c r="F150">
        <f>IF(OR(A150="",'Ratings'!I15=""),"",'Ratings'!I15)</f>
        <v/>
      </c>
      <c r="G150">
        <f>IF(A150="","",'Employees'!D6)</f>
        <v/>
      </c>
    </row>
    <row r="151">
      <c r="A151">
        <f>IF(AND('Ratings'!A15&lt;&gt;"",'Ratings'!J5&lt;&gt;""),'Ratings'!A15,"")</f>
        <v/>
      </c>
      <c r="B151">
        <f>IF(A151="","",'Employees'!C6)</f>
        <v/>
      </c>
      <c r="C151">
        <f>IF(A151="","",'Ratings'!C15)</f>
        <v/>
      </c>
      <c r="D151">
        <f>IF(A151="","",'Ratings'!D15)</f>
        <v/>
      </c>
      <c r="E151">
        <f>IF(AND('Ratings'!A15&lt;&gt;"",'Ratings'!J5&lt;&gt;""),'Ratings'!J5,"")</f>
        <v/>
      </c>
      <c r="F151">
        <f>IF(OR(A151="",'Ratings'!J15=""),"",'Ratings'!J15)</f>
        <v/>
      </c>
      <c r="G151">
        <f>IF(A151="","",'Employees'!D6)</f>
        <v/>
      </c>
    </row>
    <row r="152">
      <c r="A152">
        <f>IF(AND('Ratings'!A15&lt;&gt;"",'Ratings'!K5&lt;&gt;""),'Ratings'!A15,"")</f>
        <v/>
      </c>
      <c r="B152">
        <f>IF(A152="","",'Employees'!C6)</f>
        <v/>
      </c>
      <c r="C152">
        <f>IF(A152="","",'Ratings'!C15)</f>
        <v/>
      </c>
      <c r="D152">
        <f>IF(A152="","",'Ratings'!D15)</f>
        <v/>
      </c>
      <c r="E152">
        <f>IF(AND('Ratings'!A15&lt;&gt;"",'Ratings'!K5&lt;&gt;""),'Ratings'!K5,"")</f>
        <v/>
      </c>
      <c r="F152">
        <f>IF(OR(A152="",'Ratings'!K15=""),"",'Ratings'!K15)</f>
        <v/>
      </c>
      <c r="G152">
        <f>IF(A152="","",'Employees'!D6)</f>
        <v/>
      </c>
    </row>
    <row r="153">
      <c r="A153">
        <f>IF(AND('Ratings'!A15&lt;&gt;"",'Ratings'!L5&lt;&gt;""),'Ratings'!A15,"")</f>
        <v/>
      </c>
      <c r="B153">
        <f>IF(A153="","",'Employees'!C6)</f>
        <v/>
      </c>
      <c r="C153">
        <f>IF(A153="","",'Ratings'!C15)</f>
        <v/>
      </c>
      <c r="D153">
        <f>IF(A153="","",'Ratings'!D15)</f>
        <v/>
      </c>
      <c r="E153">
        <f>IF(AND('Ratings'!A15&lt;&gt;"",'Ratings'!L5&lt;&gt;""),'Ratings'!L5,"")</f>
        <v/>
      </c>
      <c r="F153">
        <f>IF(OR(A153="",'Ratings'!L15=""),"",'Ratings'!L15)</f>
        <v/>
      </c>
      <c r="G153">
        <f>IF(A153="","",'Employees'!D6)</f>
        <v/>
      </c>
    </row>
    <row r="154">
      <c r="A154">
        <f>IF(AND('Ratings'!A15&lt;&gt;"",'Ratings'!M5&lt;&gt;""),'Ratings'!A15,"")</f>
        <v/>
      </c>
      <c r="B154">
        <f>IF(A154="","",'Employees'!C6)</f>
        <v/>
      </c>
      <c r="C154">
        <f>IF(A154="","",'Ratings'!C15)</f>
        <v/>
      </c>
      <c r="D154">
        <f>IF(A154="","",'Ratings'!D15)</f>
        <v/>
      </c>
      <c r="E154">
        <f>IF(AND('Ratings'!A15&lt;&gt;"",'Ratings'!M5&lt;&gt;""),'Ratings'!M5,"")</f>
        <v/>
      </c>
      <c r="F154">
        <f>IF(OR(A154="",'Ratings'!M15=""),"",'Ratings'!M15)</f>
        <v/>
      </c>
      <c r="G154">
        <f>IF(A154="","",'Employees'!D6)</f>
        <v/>
      </c>
    </row>
    <row r="155">
      <c r="A155">
        <f>IF(AND('Ratings'!A15&lt;&gt;"",'Ratings'!N5&lt;&gt;""),'Ratings'!A15,"")</f>
        <v/>
      </c>
      <c r="B155">
        <f>IF(A155="","",'Employees'!C6)</f>
        <v/>
      </c>
      <c r="C155">
        <f>IF(A155="","",'Ratings'!C15)</f>
        <v/>
      </c>
      <c r="D155">
        <f>IF(A155="","",'Ratings'!D15)</f>
        <v/>
      </c>
      <c r="E155">
        <f>IF(AND('Ratings'!A15&lt;&gt;"",'Ratings'!N5&lt;&gt;""),'Ratings'!N5,"")</f>
        <v/>
      </c>
      <c r="F155">
        <f>IF(OR(A155="",'Ratings'!N15=""),"",'Ratings'!N15)</f>
        <v/>
      </c>
      <c r="G155">
        <f>IF(A155="","",'Employees'!D6)</f>
        <v/>
      </c>
    </row>
    <row r="156">
      <c r="A156">
        <f>IF(AND('Ratings'!A15&lt;&gt;"",'Ratings'!O5&lt;&gt;""),'Ratings'!A15,"")</f>
        <v/>
      </c>
      <c r="B156">
        <f>IF(A156="","",'Employees'!C6)</f>
        <v/>
      </c>
      <c r="C156">
        <f>IF(A156="","",'Ratings'!C15)</f>
        <v/>
      </c>
      <c r="D156">
        <f>IF(A156="","",'Ratings'!D15)</f>
        <v/>
      </c>
      <c r="E156">
        <f>IF(AND('Ratings'!A15&lt;&gt;"",'Ratings'!O5&lt;&gt;""),'Ratings'!O5,"")</f>
        <v/>
      </c>
      <c r="F156">
        <f>IF(OR(A156="",'Ratings'!O15=""),"",'Ratings'!O15)</f>
        <v/>
      </c>
      <c r="G156">
        <f>IF(A156="","",'Employees'!D6)</f>
        <v/>
      </c>
    </row>
    <row r="157">
      <c r="A157">
        <f>IF(AND('Ratings'!A15&lt;&gt;"",'Ratings'!P5&lt;&gt;""),'Ratings'!A15,"")</f>
        <v/>
      </c>
      <c r="B157">
        <f>IF(A157="","",'Employees'!C6)</f>
        <v/>
      </c>
      <c r="C157">
        <f>IF(A157="","",'Ratings'!C15)</f>
        <v/>
      </c>
      <c r="D157">
        <f>IF(A157="","",'Ratings'!D15)</f>
        <v/>
      </c>
      <c r="E157">
        <f>IF(AND('Ratings'!A15&lt;&gt;"",'Ratings'!P5&lt;&gt;""),'Ratings'!P5,"")</f>
        <v/>
      </c>
      <c r="F157">
        <f>IF(OR(A157="",'Ratings'!P15=""),"",'Ratings'!P15)</f>
        <v/>
      </c>
      <c r="G157">
        <f>IF(A157="","",'Employees'!D6)</f>
        <v/>
      </c>
    </row>
    <row r="158">
      <c r="A158">
        <f>IF(AND('Ratings'!A15&lt;&gt;"",'Ratings'!Q5&lt;&gt;""),'Ratings'!A15,"")</f>
        <v/>
      </c>
      <c r="B158">
        <f>IF(A158="","",'Employees'!C6)</f>
        <v/>
      </c>
      <c r="C158">
        <f>IF(A158="","",'Ratings'!C15)</f>
        <v/>
      </c>
      <c r="D158">
        <f>IF(A158="","",'Ratings'!D15)</f>
        <v/>
      </c>
      <c r="E158">
        <f>IF(AND('Ratings'!A15&lt;&gt;"",'Ratings'!Q5&lt;&gt;""),'Ratings'!Q5,"")</f>
        <v/>
      </c>
      <c r="F158">
        <f>IF(OR(A158="",'Ratings'!Q15=""),"",'Ratings'!Q15)</f>
        <v/>
      </c>
      <c r="G158">
        <f>IF(A158="","",'Employees'!D6)</f>
        <v/>
      </c>
    </row>
    <row r="159">
      <c r="A159">
        <f>IF(AND('Ratings'!A15&lt;&gt;"",'Ratings'!R5&lt;&gt;""),'Ratings'!A15,"")</f>
        <v/>
      </c>
      <c r="B159">
        <f>IF(A159="","",'Employees'!C6)</f>
        <v/>
      </c>
      <c r="C159">
        <f>IF(A159="","",'Ratings'!C15)</f>
        <v/>
      </c>
      <c r="D159">
        <f>IF(A159="","",'Ratings'!D15)</f>
        <v/>
      </c>
      <c r="E159">
        <f>IF(AND('Ratings'!A15&lt;&gt;"",'Ratings'!R5&lt;&gt;""),'Ratings'!R5,"")</f>
        <v/>
      </c>
      <c r="F159">
        <f>IF(OR(A159="",'Ratings'!R15=""),"",'Ratings'!R15)</f>
        <v/>
      </c>
      <c r="G159">
        <f>IF(A159="","",'Employees'!D6)</f>
        <v/>
      </c>
    </row>
    <row r="160">
      <c r="A160">
        <f>IF(AND('Ratings'!A15&lt;&gt;"",'Ratings'!S5&lt;&gt;""),'Ratings'!A15,"")</f>
        <v/>
      </c>
      <c r="B160">
        <f>IF(A160="","",'Employees'!C6)</f>
        <v/>
      </c>
      <c r="C160">
        <f>IF(A160="","",'Ratings'!C15)</f>
        <v/>
      </c>
      <c r="D160">
        <f>IF(A160="","",'Ratings'!D15)</f>
        <v/>
      </c>
      <c r="E160">
        <f>IF(AND('Ratings'!A15&lt;&gt;"",'Ratings'!S5&lt;&gt;""),'Ratings'!S5,"")</f>
        <v/>
      </c>
      <c r="F160">
        <f>IF(OR(A160="",'Ratings'!S15=""),"",'Ratings'!S15)</f>
        <v/>
      </c>
      <c r="G160">
        <f>IF(A160="","",'Employees'!D6)</f>
        <v/>
      </c>
    </row>
    <row r="161">
      <c r="A161">
        <f>IF(AND('Ratings'!A15&lt;&gt;"",'Ratings'!T5&lt;&gt;""),'Ratings'!A15,"")</f>
        <v/>
      </c>
      <c r="B161">
        <f>IF(A161="","",'Employees'!C6)</f>
        <v/>
      </c>
      <c r="C161">
        <f>IF(A161="","",'Ratings'!C15)</f>
        <v/>
      </c>
      <c r="D161">
        <f>IF(A161="","",'Ratings'!D15)</f>
        <v/>
      </c>
      <c r="E161">
        <f>IF(AND('Ratings'!A15&lt;&gt;"",'Ratings'!T5&lt;&gt;""),'Ratings'!T5,"")</f>
        <v/>
      </c>
      <c r="F161">
        <f>IF(OR(A161="",'Ratings'!T15=""),"",'Ratings'!T15)</f>
        <v/>
      </c>
      <c r="G161">
        <f>IF(A161="","",'Employees'!D6)</f>
        <v/>
      </c>
    </row>
    <row r="162">
      <c r="A162">
        <f>IF(AND('Ratings'!A16&lt;&gt;"",'Ratings'!E5&lt;&gt;""),'Ratings'!A16,"")</f>
        <v/>
      </c>
      <c r="B162">
        <f>IF(A162="","",'Employees'!C6)</f>
        <v/>
      </c>
      <c r="C162">
        <f>IF(A162="","",'Ratings'!C16)</f>
        <v/>
      </c>
      <c r="D162">
        <f>IF(A162="","",'Ratings'!D16)</f>
        <v/>
      </c>
      <c r="E162">
        <f>IF(AND('Ratings'!A16&lt;&gt;"",'Ratings'!E5&lt;&gt;""),'Ratings'!E5,"")</f>
        <v/>
      </c>
      <c r="F162">
        <f>IF(OR(A162="",'Ratings'!E16=""),"",'Ratings'!E16)</f>
        <v/>
      </c>
      <c r="G162">
        <f>IF(A162="","",'Employees'!D6)</f>
        <v/>
      </c>
    </row>
    <row r="163">
      <c r="A163">
        <f>IF(AND('Ratings'!A16&lt;&gt;"",'Ratings'!F5&lt;&gt;""),'Ratings'!A16,"")</f>
        <v/>
      </c>
      <c r="B163">
        <f>IF(A163="","",'Employees'!C6)</f>
        <v/>
      </c>
      <c r="C163">
        <f>IF(A163="","",'Ratings'!C16)</f>
        <v/>
      </c>
      <c r="D163">
        <f>IF(A163="","",'Ratings'!D16)</f>
        <v/>
      </c>
      <c r="E163">
        <f>IF(AND('Ratings'!A16&lt;&gt;"",'Ratings'!F5&lt;&gt;""),'Ratings'!F5,"")</f>
        <v/>
      </c>
      <c r="F163">
        <f>IF(OR(A163="",'Ratings'!F16=""),"",'Ratings'!F16)</f>
        <v/>
      </c>
      <c r="G163">
        <f>IF(A163="","",'Employees'!D6)</f>
        <v/>
      </c>
    </row>
    <row r="164">
      <c r="A164">
        <f>IF(AND('Ratings'!A16&lt;&gt;"",'Ratings'!G5&lt;&gt;""),'Ratings'!A16,"")</f>
        <v/>
      </c>
      <c r="B164">
        <f>IF(A164="","",'Employees'!C6)</f>
        <v/>
      </c>
      <c r="C164">
        <f>IF(A164="","",'Ratings'!C16)</f>
        <v/>
      </c>
      <c r="D164">
        <f>IF(A164="","",'Ratings'!D16)</f>
        <v/>
      </c>
      <c r="E164">
        <f>IF(AND('Ratings'!A16&lt;&gt;"",'Ratings'!G5&lt;&gt;""),'Ratings'!G5,"")</f>
        <v/>
      </c>
      <c r="F164">
        <f>IF(OR(A164="",'Ratings'!G16=""),"",'Ratings'!G16)</f>
        <v/>
      </c>
      <c r="G164">
        <f>IF(A164="","",'Employees'!D6)</f>
        <v/>
      </c>
    </row>
    <row r="165">
      <c r="A165">
        <f>IF(AND('Ratings'!A16&lt;&gt;"",'Ratings'!H5&lt;&gt;""),'Ratings'!A16,"")</f>
        <v/>
      </c>
      <c r="B165">
        <f>IF(A165="","",'Employees'!C6)</f>
        <v/>
      </c>
      <c r="C165">
        <f>IF(A165="","",'Ratings'!C16)</f>
        <v/>
      </c>
      <c r="D165">
        <f>IF(A165="","",'Ratings'!D16)</f>
        <v/>
      </c>
      <c r="E165">
        <f>IF(AND('Ratings'!A16&lt;&gt;"",'Ratings'!H5&lt;&gt;""),'Ratings'!H5,"")</f>
        <v/>
      </c>
      <c r="F165">
        <f>IF(OR(A165="",'Ratings'!H16=""),"",'Ratings'!H16)</f>
        <v/>
      </c>
      <c r="G165">
        <f>IF(A165="","",'Employees'!D6)</f>
        <v/>
      </c>
    </row>
    <row r="166">
      <c r="A166">
        <f>IF(AND('Ratings'!A16&lt;&gt;"",'Ratings'!I5&lt;&gt;""),'Ratings'!A16,"")</f>
        <v/>
      </c>
      <c r="B166">
        <f>IF(A166="","",'Employees'!C6)</f>
        <v/>
      </c>
      <c r="C166">
        <f>IF(A166="","",'Ratings'!C16)</f>
        <v/>
      </c>
      <c r="D166">
        <f>IF(A166="","",'Ratings'!D16)</f>
        <v/>
      </c>
      <c r="E166">
        <f>IF(AND('Ratings'!A16&lt;&gt;"",'Ratings'!I5&lt;&gt;""),'Ratings'!I5,"")</f>
        <v/>
      </c>
      <c r="F166">
        <f>IF(OR(A166="",'Ratings'!I16=""),"",'Ratings'!I16)</f>
        <v/>
      </c>
      <c r="G166">
        <f>IF(A166="","",'Employees'!D6)</f>
        <v/>
      </c>
    </row>
    <row r="167">
      <c r="A167">
        <f>IF(AND('Ratings'!A16&lt;&gt;"",'Ratings'!J5&lt;&gt;""),'Ratings'!A16,"")</f>
        <v/>
      </c>
      <c r="B167">
        <f>IF(A167="","",'Employees'!C6)</f>
        <v/>
      </c>
      <c r="C167">
        <f>IF(A167="","",'Ratings'!C16)</f>
        <v/>
      </c>
      <c r="D167">
        <f>IF(A167="","",'Ratings'!D16)</f>
        <v/>
      </c>
      <c r="E167">
        <f>IF(AND('Ratings'!A16&lt;&gt;"",'Ratings'!J5&lt;&gt;""),'Ratings'!J5,"")</f>
        <v/>
      </c>
      <c r="F167">
        <f>IF(OR(A167="",'Ratings'!J16=""),"",'Ratings'!J16)</f>
        <v/>
      </c>
      <c r="G167">
        <f>IF(A167="","",'Employees'!D6)</f>
        <v/>
      </c>
    </row>
    <row r="168">
      <c r="A168">
        <f>IF(AND('Ratings'!A16&lt;&gt;"",'Ratings'!K5&lt;&gt;""),'Ratings'!A16,"")</f>
        <v/>
      </c>
      <c r="B168">
        <f>IF(A168="","",'Employees'!C6)</f>
        <v/>
      </c>
      <c r="C168">
        <f>IF(A168="","",'Ratings'!C16)</f>
        <v/>
      </c>
      <c r="D168">
        <f>IF(A168="","",'Ratings'!D16)</f>
        <v/>
      </c>
      <c r="E168">
        <f>IF(AND('Ratings'!A16&lt;&gt;"",'Ratings'!K5&lt;&gt;""),'Ratings'!K5,"")</f>
        <v/>
      </c>
      <c r="F168">
        <f>IF(OR(A168="",'Ratings'!K16=""),"",'Ratings'!K16)</f>
        <v/>
      </c>
      <c r="G168">
        <f>IF(A168="","",'Employees'!D6)</f>
        <v/>
      </c>
    </row>
    <row r="169">
      <c r="A169">
        <f>IF(AND('Ratings'!A16&lt;&gt;"",'Ratings'!L5&lt;&gt;""),'Ratings'!A16,"")</f>
        <v/>
      </c>
      <c r="B169">
        <f>IF(A169="","",'Employees'!C6)</f>
        <v/>
      </c>
      <c r="C169">
        <f>IF(A169="","",'Ratings'!C16)</f>
        <v/>
      </c>
      <c r="D169">
        <f>IF(A169="","",'Ratings'!D16)</f>
        <v/>
      </c>
      <c r="E169">
        <f>IF(AND('Ratings'!A16&lt;&gt;"",'Ratings'!L5&lt;&gt;""),'Ratings'!L5,"")</f>
        <v/>
      </c>
      <c r="F169">
        <f>IF(OR(A169="",'Ratings'!L16=""),"",'Ratings'!L16)</f>
        <v/>
      </c>
      <c r="G169">
        <f>IF(A169="","",'Employees'!D6)</f>
        <v/>
      </c>
    </row>
    <row r="170">
      <c r="A170">
        <f>IF(AND('Ratings'!A16&lt;&gt;"",'Ratings'!M5&lt;&gt;""),'Ratings'!A16,"")</f>
        <v/>
      </c>
      <c r="B170">
        <f>IF(A170="","",'Employees'!C6)</f>
        <v/>
      </c>
      <c r="C170">
        <f>IF(A170="","",'Ratings'!C16)</f>
        <v/>
      </c>
      <c r="D170">
        <f>IF(A170="","",'Ratings'!D16)</f>
        <v/>
      </c>
      <c r="E170">
        <f>IF(AND('Ratings'!A16&lt;&gt;"",'Ratings'!M5&lt;&gt;""),'Ratings'!M5,"")</f>
        <v/>
      </c>
      <c r="F170">
        <f>IF(OR(A170="",'Ratings'!M16=""),"",'Ratings'!M16)</f>
        <v/>
      </c>
      <c r="G170">
        <f>IF(A170="","",'Employees'!D6)</f>
        <v/>
      </c>
    </row>
    <row r="171">
      <c r="A171">
        <f>IF(AND('Ratings'!A16&lt;&gt;"",'Ratings'!N5&lt;&gt;""),'Ratings'!A16,"")</f>
        <v/>
      </c>
      <c r="B171">
        <f>IF(A171="","",'Employees'!C6)</f>
        <v/>
      </c>
      <c r="C171">
        <f>IF(A171="","",'Ratings'!C16)</f>
        <v/>
      </c>
      <c r="D171">
        <f>IF(A171="","",'Ratings'!D16)</f>
        <v/>
      </c>
      <c r="E171">
        <f>IF(AND('Ratings'!A16&lt;&gt;"",'Ratings'!N5&lt;&gt;""),'Ratings'!N5,"")</f>
        <v/>
      </c>
      <c r="F171">
        <f>IF(OR(A171="",'Ratings'!N16=""),"",'Ratings'!N16)</f>
        <v/>
      </c>
      <c r="G171">
        <f>IF(A171="","",'Employees'!D6)</f>
        <v/>
      </c>
    </row>
    <row r="172">
      <c r="A172">
        <f>IF(AND('Ratings'!A16&lt;&gt;"",'Ratings'!O5&lt;&gt;""),'Ratings'!A16,"")</f>
        <v/>
      </c>
      <c r="B172">
        <f>IF(A172="","",'Employees'!C6)</f>
        <v/>
      </c>
      <c r="C172">
        <f>IF(A172="","",'Ratings'!C16)</f>
        <v/>
      </c>
      <c r="D172">
        <f>IF(A172="","",'Ratings'!D16)</f>
        <v/>
      </c>
      <c r="E172">
        <f>IF(AND('Ratings'!A16&lt;&gt;"",'Ratings'!O5&lt;&gt;""),'Ratings'!O5,"")</f>
        <v/>
      </c>
      <c r="F172">
        <f>IF(OR(A172="",'Ratings'!O16=""),"",'Ratings'!O16)</f>
        <v/>
      </c>
      <c r="G172">
        <f>IF(A172="","",'Employees'!D6)</f>
        <v/>
      </c>
    </row>
    <row r="173">
      <c r="A173">
        <f>IF(AND('Ratings'!A16&lt;&gt;"",'Ratings'!P5&lt;&gt;""),'Ratings'!A16,"")</f>
        <v/>
      </c>
      <c r="B173">
        <f>IF(A173="","",'Employees'!C6)</f>
        <v/>
      </c>
      <c r="C173">
        <f>IF(A173="","",'Ratings'!C16)</f>
        <v/>
      </c>
      <c r="D173">
        <f>IF(A173="","",'Ratings'!D16)</f>
        <v/>
      </c>
      <c r="E173">
        <f>IF(AND('Ratings'!A16&lt;&gt;"",'Ratings'!P5&lt;&gt;""),'Ratings'!P5,"")</f>
        <v/>
      </c>
      <c r="F173">
        <f>IF(OR(A173="",'Ratings'!P16=""),"",'Ratings'!P16)</f>
        <v/>
      </c>
      <c r="G173">
        <f>IF(A173="","",'Employees'!D6)</f>
        <v/>
      </c>
    </row>
    <row r="174">
      <c r="A174">
        <f>IF(AND('Ratings'!A16&lt;&gt;"",'Ratings'!Q5&lt;&gt;""),'Ratings'!A16,"")</f>
        <v/>
      </c>
      <c r="B174">
        <f>IF(A174="","",'Employees'!C6)</f>
        <v/>
      </c>
      <c r="C174">
        <f>IF(A174="","",'Ratings'!C16)</f>
        <v/>
      </c>
      <c r="D174">
        <f>IF(A174="","",'Ratings'!D16)</f>
        <v/>
      </c>
      <c r="E174">
        <f>IF(AND('Ratings'!A16&lt;&gt;"",'Ratings'!Q5&lt;&gt;""),'Ratings'!Q5,"")</f>
        <v/>
      </c>
      <c r="F174">
        <f>IF(OR(A174="",'Ratings'!Q16=""),"",'Ratings'!Q16)</f>
        <v/>
      </c>
      <c r="G174">
        <f>IF(A174="","",'Employees'!D6)</f>
        <v/>
      </c>
    </row>
    <row r="175">
      <c r="A175">
        <f>IF(AND('Ratings'!A16&lt;&gt;"",'Ratings'!R5&lt;&gt;""),'Ratings'!A16,"")</f>
        <v/>
      </c>
      <c r="B175">
        <f>IF(A175="","",'Employees'!C6)</f>
        <v/>
      </c>
      <c r="C175">
        <f>IF(A175="","",'Ratings'!C16)</f>
        <v/>
      </c>
      <c r="D175">
        <f>IF(A175="","",'Ratings'!D16)</f>
        <v/>
      </c>
      <c r="E175">
        <f>IF(AND('Ratings'!A16&lt;&gt;"",'Ratings'!R5&lt;&gt;""),'Ratings'!R5,"")</f>
        <v/>
      </c>
      <c r="F175">
        <f>IF(OR(A175="",'Ratings'!R16=""),"",'Ratings'!R16)</f>
        <v/>
      </c>
      <c r="G175">
        <f>IF(A175="","",'Employees'!D6)</f>
        <v/>
      </c>
    </row>
    <row r="176">
      <c r="A176">
        <f>IF(AND('Ratings'!A16&lt;&gt;"",'Ratings'!S5&lt;&gt;""),'Ratings'!A16,"")</f>
        <v/>
      </c>
      <c r="B176">
        <f>IF(A176="","",'Employees'!C6)</f>
        <v/>
      </c>
      <c r="C176">
        <f>IF(A176="","",'Ratings'!C16)</f>
        <v/>
      </c>
      <c r="D176">
        <f>IF(A176="","",'Ratings'!D16)</f>
        <v/>
      </c>
      <c r="E176">
        <f>IF(AND('Ratings'!A16&lt;&gt;"",'Ratings'!S5&lt;&gt;""),'Ratings'!S5,"")</f>
        <v/>
      </c>
      <c r="F176">
        <f>IF(OR(A176="",'Ratings'!S16=""),"",'Ratings'!S16)</f>
        <v/>
      </c>
      <c r="G176">
        <f>IF(A176="","",'Employees'!D6)</f>
        <v/>
      </c>
    </row>
    <row r="177">
      <c r="A177">
        <f>IF(AND('Ratings'!A16&lt;&gt;"",'Ratings'!T5&lt;&gt;""),'Ratings'!A16,"")</f>
        <v/>
      </c>
      <c r="B177">
        <f>IF(A177="","",'Employees'!C6)</f>
        <v/>
      </c>
      <c r="C177">
        <f>IF(A177="","",'Ratings'!C16)</f>
        <v/>
      </c>
      <c r="D177">
        <f>IF(A177="","",'Ratings'!D16)</f>
        <v/>
      </c>
      <c r="E177">
        <f>IF(AND('Ratings'!A16&lt;&gt;"",'Ratings'!T5&lt;&gt;""),'Ratings'!T5,"")</f>
        <v/>
      </c>
      <c r="F177">
        <f>IF(OR(A177="",'Ratings'!T16=""),"",'Ratings'!T16)</f>
        <v/>
      </c>
      <c r="G177">
        <f>IF(A177="","",'Employees'!D6)</f>
        <v/>
      </c>
    </row>
    <row r="178">
      <c r="A178">
        <f>IF(AND('Ratings'!A17&lt;&gt;"",'Ratings'!E5&lt;&gt;""),'Ratings'!A17,"")</f>
        <v/>
      </c>
      <c r="B178">
        <f>IF(A178="","",'Employees'!C6)</f>
        <v/>
      </c>
      <c r="C178">
        <f>IF(A178="","",'Ratings'!C17)</f>
        <v/>
      </c>
      <c r="D178">
        <f>IF(A178="","",'Ratings'!D17)</f>
        <v/>
      </c>
      <c r="E178">
        <f>IF(AND('Ratings'!A17&lt;&gt;"",'Ratings'!E5&lt;&gt;""),'Ratings'!E5,"")</f>
        <v/>
      </c>
      <c r="F178">
        <f>IF(OR(A178="",'Ratings'!E17=""),"",'Ratings'!E17)</f>
        <v/>
      </c>
      <c r="G178">
        <f>IF(A178="","",'Employees'!D6)</f>
        <v/>
      </c>
    </row>
    <row r="179">
      <c r="A179">
        <f>IF(AND('Ratings'!A17&lt;&gt;"",'Ratings'!F5&lt;&gt;""),'Ratings'!A17,"")</f>
        <v/>
      </c>
      <c r="B179">
        <f>IF(A179="","",'Employees'!C6)</f>
        <v/>
      </c>
      <c r="C179">
        <f>IF(A179="","",'Ratings'!C17)</f>
        <v/>
      </c>
      <c r="D179">
        <f>IF(A179="","",'Ratings'!D17)</f>
        <v/>
      </c>
      <c r="E179">
        <f>IF(AND('Ratings'!A17&lt;&gt;"",'Ratings'!F5&lt;&gt;""),'Ratings'!F5,"")</f>
        <v/>
      </c>
      <c r="F179">
        <f>IF(OR(A179="",'Ratings'!F17=""),"",'Ratings'!F17)</f>
        <v/>
      </c>
      <c r="G179">
        <f>IF(A179="","",'Employees'!D6)</f>
        <v/>
      </c>
    </row>
    <row r="180">
      <c r="A180">
        <f>IF(AND('Ratings'!A17&lt;&gt;"",'Ratings'!G5&lt;&gt;""),'Ratings'!A17,"")</f>
        <v/>
      </c>
      <c r="B180">
        <f>IF(A180="","",'Employees'!C6)</f>
        <v/>
      </c>
      <c r="C180">
        <f>IF(A180="","",'Ratings'!C17)</f>
        <v/>
      </c>
      <c r="D180">
        <f>IF(A180="","",'Ratings'!D17)</f>
        <v/>
      </c>
      <c r="E180">
        <f>IF(AND('Ratings'!A17&lt;&gt;"",'Ratings'!G5&lt;&gt;""),'Ratings'!G5,"")</f>
        <v/>
      </c>
      <c r="F180">
        <f>IF(OR(A180="",'Ratings'!G17=""),"",'Ratings'!G17)</f>
        <v/>
      </c>
      <c r="G180">
        <f>IF(A180="","",'Employees'!D6)</f>
        <v/>
      </c>
    </row>
    <row r="181">
      <c r="A181">
        <f>IF(AND('Ratings'!A17&lt;&gt;"",'Ratings'!H5&lt;&gt;""),'Ratings'!A17,"")</f>
        <v/>
      </c>
      <c r="B181">
        <f>IF(A181="","",'Employees'!C6)</f>
        <v/>
      </c>
      <c r="C181">
        <f>IF(A181="","",'Ratings'!C17)</f>
        <v/>
      </c>
      <c r="D181">
        <f>IF(A181="","",'Ratings'!D17)</f>
        <v/>
      </c>
      <c r="E181">
        <f>IF(AND('Ratings'!A17&lt;&gt;"",'Ratings'!H5&lt;&gt;""),'Ratings'!H5,"")</f>
        <v/>
      </c>
      <c r="F181">
        <f>IF(OR(A181="",'Ratings'!H17=""),"",'Ratings'!H17)</f>
        <v/>
      </c>
      <c r="G181">
        <f>IF(A181="","",'Employees'!D6)</f>
        <v/>
      </c>
    </row>
    <row r="182">
      <c r="A182">
        <f>IF(AND('Ratings'!A17&lt;&gt;"",'Ratings'!I5&lt;&gt;""),'Ratings'!A17,"")</f>
        <v/>
      </c>
      <c r="B182">
        <f>IF(A182="","",'Employees'!C6)</f>
        <v/>
      </c>
      <c r="C182">
        <f>IF(A182="","",'Ratings'!C17)</f>
        <v/>
      </c>
      <c r="D182">
        <f>IF(A182="","",'Ratings'!D17)</f>
        <v/>
      </c>
      <c r="E182">
        <f>IF(AND('Ratings'!A17&lt;&gt;"",'Ratings'!I5&lt;&gt;""),'Ratings'!I5,"")</f>
        <v/>
      </c>
      <c r="F182">
        <f>IF(OR(A182="",'Ratings'!I17=""),"",'Ratings'!I17)</f>
        <v/>
      </c>
      <c r="G182">
        <f>IF(A182="","",'Employees'!D6)</f>
        <v/>
      </c>
    </row>
    <row r="183">
      <c r="A183">
        <f>IF(AND('Ratings'!A17&lt;&gt;"",'Ratings'!J5&lt;&gt;""),'Ratings'!A17,"")</f>
        <v/>
      </c>
      <c r="B183">
        <f>IF(A183="","",'Employees'!C6)</f>
        <v/>
      </c>
      <c r="C183">
        <f>IF(A183="","",'Ratings'!C17)</f>
        <v/>
      </c>
      <c r="D183">
        <f>IF(A183="","",'Ratings'!D17)</f>
        <v/>
      </c>
      <c r="E183">
        <f>IF(AND('Ratings'!A17&lt;&gt;"",'Ratings'!J5&lt;&gt;""),'Ratings'!J5,"")</f>
        <v/>
      </c>
      <c r="F183">
        <f>IF(OR(A183="",'Ratings'!J17=""),"",'Ratings'!J17)</f>
        <v/>
      </c>
      <c r="G183">
        <f>IF(A183="","",'Employees'!D6)</f>
        <v/>
      </c>
    </row>
    <row r="184">
      <c r="A184">
        <f>IF(AND('Ratings'!A17&lt;&gt;"",'Ratings'!K5&lt;&gt;""),'Ratings'!A17,"")</f>
        <v/>
      </c>
      <c r="B184">
        <f>IF(A184="","",'Employees'!C6)</f>
        <v/>
      </c>
      <c r="C184">
        <f>IF(A184="","",'Ratings'!C17)</f>
        <v/>
      </c>
      <c r="D184">
        <f>IF(A184="","",'Ratings'!D17)</f>
        <v/>
      </c>
      <c r="E184">
        <f>IF(AND('Ratings'!A17&lt;&gt;"",'Ratings'!K5&lt;&gt;""),'Ratings'!K5,"")</f>
        <v/>
      </c>
      <c r="F184">
        <f>IF(OR(A184="",'Ratings'!K17=""),"",'Ratings'!K17)</f>
        <v/>
      </c>
      <c r="G184">
        <f>IF(A184="","",'Employees'!D6)</f>
        <v/>
      </c>
    </row>
    <row r="185">
      <c r="A185">
        <f>IF(AND('Ratings'!A17&lt;&gt;"",'Ratings'!L5&lt;&gt;""),'Ratings'!A17,"")</f>
        <v/>
      </c>
      <c r="B185">
        <f>IF(A185="","",'Employees'!C6)</f>
        <v/>
      </c>
      <c r="C185">
        <f>IF(A185="","",'Ratings'!C17)</f>
        <v/>
      </c>
      <c r="D185">
        <f>IF(A185="","",'Ratings'!D17)</f>
        <v/>
      </c>
      <c r="E185">
        <f>IF(AND('Ratings'!A17&lt;&gt;"",'Ratings'!L5&lt;&gt;""),'Ratings'!L5,"")</f>
        <v/>
      </c>
      <c r="F185">
        <f>IF(OR(A185="",'Ratings'!L17=""),"",'Ratings'!L17)</f>
        <v/>
      </c>
      <c r="G185">
        <f>IF(A185="","",'Employees'!D6)</f>
        <v/>
      </c>
    </row>
    <row r="186">
      <c r="A186">
        <f>IF(AND('Ratings'!A17&lt;&gt;"",'Ratings'!M5&lt;&gt;""),'Ratings'!A17,"")</f>
        <v/>
      </c>
      <c r="B186">
        <f>IF(A186="","",'Employees'!C6)</f>
        <v/>
      </c>
      <c r="C186">
        <f>IF(A186="","",'Ratings'!C17)</f>
        <v/>
      </c>
      <c r="D186">
        <f>IF(A186="","",'Ratings'!D17)</f>
        <v/>
      </c>
      <c r="E186">
        <f>IF(AND('Ratings'!A17&lt;&gt;"",'Ratings'!M5&lt;&gt;""),'Ratings'!M5,"")</f>
        <v/>
      </c>
      <c r="F186">
        <f>IF(OR(A186="",'Ratings'!M17=""),"",'Ratings'!M17)</f>
        <v/>
      </c>
      <c r="G186">
        <f>IF(A186="","",'Employees'!D6)</f>
        <v/>
      </c>
    </row>
    <row r="187">
      <c r="A187">
        <f>IF(AND('Ratings'!A17&lt;&gt;"",'Ratings'!N5&lt;&gt;""),'Ratings'!A17,"")</f>
        <v/>
      </c>
      <c r="B187">
        <f>IF(A187="","",'Employees'!C6)</f>
        <v/>
      </c>
      <c r="C187">
        <f>IF(A187="","",'Ratings'!C17)</f>
        <v/>
      </c>
      <c r="D187">
        <f>IF(A187="","",'Ratings'!D17)</f>
        <v/>
      </c>
      <c r="E187">
        <f>IF(AND('Ratings'!A17&lt;&gt;"",'Ratings'!N5&lt;&gt;""),'Ratings'!N5,"")</f>
        <v/>
      </c>
      <c r="F187">
        <f>IF(OR(A187="",'Ratings'!N17=""),"",'Ratings'!N17)</f>
        <v/>
      </c>
      <c r="G187">
        <f>IF(A187="","",'Employees'!D6)</f>
        <v/>
      </c>
    </row>
    <row r="188">
      <c r="A188">
        <f>IF(AND('Ratings'!A17&lt;&gt;"",'Ratings'!O5&lt;&gt;""),'Ratings'!A17,"")</f>
        <v/>
      </c>
      <c r="B188">
        <f>IF(A188="","",'Employees'!C6)</f>
        <v/>
      </c>
      <c r="C188">
        <f>IF(A188="","",'Ratings'!C17)</f>
        <v/>
      </c>
      <c r="D188">
        <f>IF(A188="","",'Ratings'!D17)</f>
        <v/>
      </c>
      <c r="E188">
        <f>IF(AND('Ratings'!A17&lt;&gt;"",'Ratings'!O5&lt;&gt;""),'Ratings'!O5,"")</f>
        <v/>
      </c>
      <c r="F188">
        <f>IF(OR(A188="",'Ratings'!O17=""),"",'Ratings'!O17)</f>
        <v/>
      </c>
      <c r="G188">
        <f>IF(A188="","",'Employees'!D6)</f>
        <v/>
      </c>
    </row>
    <row r="189">
      <c r="A189">
        <f>IF(AND('Ratings'!A17&lt;&gt;"",'Ratings'!P5&lt;&gt;""),'Ratings'!A17,"")</f>
        <v/>
      </c>
      <c r="B189">
        <f>IF(A189="","",'Employees'!C6)</f>
        <v/>
      </c>
      <c r="C189">
        <f>IF(A189="","",'Ratings'!C17)</f>
        <v/>
      </c>
      <c r="D189">
        <f>IF(A189="","",'Ratings'!D17)</f>
        <v/>
      </c>
      <c r="E189">
        <f>IF(AND('Ratings'!A17&lt;&gt;"",'Ratings'!P5&lt;&gt;""),'Ratings'!P5,"")</f>
        <v/>
      </c>
      <c r="F189">
        <f>IF(OR(A189="",'Ratings'!P17=""),"",'Ratings'!P17)</f>
        <v/>
      </c>
      <c r="G189">
        <f>IF(A189="","",'Employees'!D6)</f>
        <v/>
      </c>
    </row>
    <row r="190">
      <c r="A190">
        <f>IF(AND('Ratings'!A17&lt;&gt;"",'Ratings'!Q5&lt;&gt;""),'Ratings'!A17,"")</f>
        <v/>
      </c>
      <c r="B190">
        <f>IF(A190="","",'Employees'!C6)</f>
        <v/>
      </c>
      <c r="C190">
        <f>IF(A190="","",'Ratings'!C17)</f>
        <v/>
      </c>
      <c r="D190">
        <f>IF(A190="","",'Ratings'!D17)</f>
        <v/>
      </c>
      <c r="E190">
        <f>IF(AND('Ratings'!A17&lt;&gt;"",'Ratings'!Q5&lt;&gt;""),'Ratings'!Q5,"")</f>
        <v/>
      </c>
      <c r="F190">
        <f>IF(OR(A190="",'Ratings'!Q17=""),"",'Ratings'!Q17)</f>
        <v/>
      </c>
      <c r="G190">
        <f>IF(A190="","",'Employees'!D6)</f>
        <v/>
      </c>
    </row>
    <row r="191">
      <c r="A191">
        <f>IF(AND('Ratings'!A17&lt;&gt;"",'Ratings'!R5&lt;&gt;""),'Ratings'!A17,"")</f>
        <v/>
      </c>
      <c r="B191">
        <f>IF(A191="","",'Employees'!C6)</f>
        <v/>
      </c>
      <c r="C191">
        <f>IF(A191="","",'Ratings'!C17)</f>
        <v/>
      </c>
      <c r="D191">
        <f>IF(A191="","",'Ratings'!D17)</f>
        <v/>
      </c>
      <c r="E191">
        <f>IF(AND('Ratings'!A17&lt;&gt;"",'Ratings'!R5&lt;&gt;""),'Ratings'!R5,"")</f>
        <v/>
      </c>
      <c r="F191">
        <f>IF(OR(A191="",'Ratings'!R17=""),"",'Ratings'!R17)</f>
        <v/>
      </c>
      <c r="G191">
        <f>IF(A191="","",'Employees'!D6)</f>
        <v/>
      </c>
    </row>
    <row r="192">
      <c r="A192">
        <f>IF(AND('Ratings'!A17&lt;&gt;"",'Ratings'!S5&lt;&gt;""),'Ratings'!A17,"")</f>
        <v/>
      </c>
      <c r="B192">
        <f>IF(A192="","",'Employees'!C6)</f>
        <v/>
      </c>
      <c r="C192">
        <f>IF(A192="","",'Ratings'!C17)</f>
        <v/>
      </c>
      <c r="D192">
        <f>IF(A192="","",'Ratings'!D17)</f>
        <v/>
      </c>
      <c r="E192">
        <f>IF(AND('Ratings'!A17&lt;&gt;"",'Ratings'!S5&lt;&gt;""),'Ratings'!S5,"")</f>
        <v/>
      </c>
      <c r="F192">
        <f>IF(OR(A192="",'Ratings'!S17=""),"",'Ratings'!S17)</f>
        <v/>
      </c>
      <c r="G192">
        <f>IF(A192="","",'Employees'!D6)</f>
        <v/>
      </c>
    </row>
    <row r="193">
      <c r="A193">
        <f>IF(AND('Ratings'!A17&lt;&gt;"",'Ratings'!T5&lt;&gt;""),'Ratings'!A17,"")</f>
        <v/>
      </c>
      <c r="B193">
        <f>IF(A193="","",'Employees'!C6)</f>
        <v/>
      </c>
      <c r="C193">
        <f>IF(A193="","",'Ratings'!C17)</f>
        <v/>
      </c>
      <c r="D193">
        <f>IF(A193="","",'Ratings'!D17)</f>
        <v/>
      </c>
      <c r="E193">
        <f>IF(AND('Ratings'!A17&lt;&gt;"",'Ratings'!T5&lt;&gt;""),'Ratings'!T5,"")</f>
        <v/>
      </c>
      <c r="F193">
        <f>IF(OR(A193="",'Ratings'!T17=""),"",'Ratings'!T17)</f>
        <v/>
      </c>
      <c r="G193">
        <f>IF(A193="","",'Employees'!D6)</f>
        <v/>
      </c>
    </row>
    <row r="194">
      <c r="A194">
        <f>IF(AND('Ratings'!A18&lt;&gt;"",'Ratings'!E5&lt;&gt;""),'Ratings'!A18,"")</f>
        <v/>
      </c>
      <c r="B194">
        <f>IF(A194="","",'Employees'!C6)</f>
        <v/>
      </c>
      <c r="C194">
        <f>IF(A194="","",'Ratings'!C18)</f>
        <v/>
      </c>
      <c r="D194">
        <f>IF(A194="","",'Ratings'!D18)</f>
        <v/>
      </c>
      <c r="E194">
        <f>IF(AND('Ratings'!A18&lt;&gt;"",'Ratings'!E5&lt;&gt;""),'Ratings'!E5,"")</f>
        <v/>
      </c>
      <c r="F194">
        <f>IF(OR(A194="",'Ratings'!E18=""),"",'Ratings'!E18)</f>
        <v/>
      </c>
      <c r="G194">
        <f>IF(A194="","",'Employees'!D6)</f>
        <v/>
      </c>
    </row>
    <row r="195">
      <c r="A195">
        <f>IF(AND('Ratings'!A18&lt;&gt;"",'Ratings'!F5&lt;&gt;""),'Ratings'!A18,"")</f>
        <v/>
      </c>
      <c r="B195">
        <f>IF(A195="","",'Employees'!C6)</f>
        <v/>
      </c>
      <c r="C195">
        <f>IF(A195="","",'Ratings'!C18)</f>
        <v/>
      </c>
      <c r="D195">
        <f>IF(A195="","",'Ratings'!D18)</f>
        <v/>
      </c>
      <c r="E195">
        <f>IF(AND('Ratings'!A18&lt;&gt;"",'Ratings'!F5&lt;&gt;""),'Ratings'!F5,"")</f>
        <v/>
      </c>
      <c r="F195">
        <f>IF(OR(A195="",'Ratings'!F18=""),"",'Ratings'!F18)</f>
        <v/>
      </c>
      <c r="G195">
        <f>IF(A195="","",'Employees'!D6)</f>
        <v/>
      </c>
    </row>
    <row r="196">
      <c r="A196">
        <f>IF(AND('Ratings'!A18&lt;&gt;"",'Ratings'!G5&lt;&gt;""),'Ratings'!A18,"")</f>
        <v/>
      </c>
      <c r="B196">
        <f>IF(A196="","",'Employees'!C6)</f>
        <v/>
      </c>
      <c r="C196">
        <f>IF(A196="","",'Ratings'!C18)</f>
        <v/>
      </c>
      <c r="D196">
        <f>IF(A196="","",'Ratings'!D18)</f>
        <v/>
      </c>
      <c r="E196">
        <f>IF(AND('Ratings'!A18&lt;&gt;"",'Ratings'!G5&lt;&gt;""),'Ratings'!G5,"")</f>
        <v/>
      </c>
      <c r="F196">
        <f>IF(OR(A196="",'Ratings'!G18=""),"",'Ratings'!G18)</f>
        <v/>
      </c>
      <c r="G196">
        <f>IF(A196="","",'Employees'!D6)</f>
        <v/>
      </c>
    </row>
    <row r="197">
      <c r="A197">
        <f>IF(AND('Ratings'!A18&lt;&gt;"",'Ratings'!H5&lt;&gt;""),'Ratings'!A18,"")</f>
        <v/>
      </c>
      <c r="B197">
        <f>IF(A197="","",'Employees'!C6)</f>
        <v/>
      </c>
      <c r="C197">
        <f>IF(A197="","",'Ratings'!C18)</f>
        <v/>
      </c>
      <c r="D197">
        <f>IF(A197="","",'Ratings'!D18)</f>
        <v/>
      </c>
      <c r="E197">
        <f>IF(AND('Ratings'!A18&lt;&gt;"",'Ratings'!H5&lt;&gt;""),'Ratings'!H5,"")</f>
        <v/>
      </c>
      <c r="F197">
        <f>IF(OR(A197="",'Ratings'!H18=""),"",'Ratings'!H18)</f>
        <v/>
      </c>
      <c r="G197">
        <f>IF(A197="","",'Employees'!D6)</f>
        <v/>
      </c>
    </row>
    <row r="198">
      <c r="A198">
        <f>IF(AND('Ratings'!A18&lt;&gt;"",'Ratings'!I5&lt;&gt;""),'Ratings'!A18,"")</f>
        <v/>
      </c>
      <c r="B198">
        <f>IF(A198="","",'Employees'!C6)</f>
        <v/>
      </c>
      <c r="C198">
        <f>IF(A198="","",'Ratings'!C18)</f>
        <v/>
      </c>
      <c r="D198">
        <f>IF(A198="","",'Ratings'!D18)</f>
        <v/>
      </c>
      <c r="E198">
        <f>IF(AND('Ratings'!A18&lt;&gt;"",'Ratings'!I5&lt;&gt;""),'Ratings'!I5,"")</f>
        <v/>
      </c>
      <c r="F198">
        <f>IF(OR(A198="",'Ratings'!I18=""),"",'Ratings'!I18)</f>
        <v/>
      </c>
      <c r="G198">
        <f>IF(A198="","",'Employees'!D6)</f>
        <v/>
      </c>
    </row>
    <row r="199">
      <c r="A199">
        <f>IF(AND('Ratings'!A18&lt;&gt;"",'Ratings'!J5&lt;&gt;""),'Ratings'!A18,"")</f>
        <v/>
      </c>
      <c r="B199">
        <f>IF(A199="","",'Employees'!C6)</f>
        <v/>
      </c>
      <c r="C199">
        <f>IF(A199="","",'Ratings'!C18)</f>
        <v/>
      </c>
      <c r="D199">
        <f>IF(A199="","",'Ratings'!D18)</f>
        <v/>
      </c>
      <c r="E199">
        <f>IF(AND('Ratings'!A18&lt;&gt;"",'Ratings'!J5&lt;&gt;""),'Ratings'!J5,"")</f>
        <v/>
      </c>
      <c r="F199">
        <f>IF(OR(A199="",'Ratings'!J18=""),"",'Ratings'!J18)</f>
        <v/>
      </c>
      <c r="G199">
        <f>IF(A199="","",'Employees'!D6)</f>
        <v/>
      </c>
    </row>
    <row r="200">
      <c r="A200">
        <f>IF(AND('Ratings'!A18&lt;&gt;"",'Ratings'!K5&lt;&gt;""),'Ratings'!A18,"")</f>
        <v/>
      </c>
      <c r="B200">
        <f>IF(A200="","",'Employees'!C6)</f>
        <v/>
      </c>
      <c r="C200">
        <f>IF(A200="","",'Ratings'!C18)</f>
        <v/>
      </c>
      <c r="D200">
        <f>IF(A200="","",'Ratings'!D18)</f>
        <v/>
      </c>
      <c r="E200">
        <f>IF(AND('Ratings'!A18&lt;&gt;"",'Ratings'!K5&lt;&gt;""),'Ratings'!K5,"")</f>
        <v/>
      </c>
      <c r="F200">
        <f>IF(OR(A200="",'Ratings'!K18=""),"",'Ratings'!K18)</f>
        <v/>
      </c>
      <c r="G200">
        <f>IF(A200="","",'Employees'!D6)</f>
        <v/>
      </c>
    </row>
    <row r="201">
      <c r="A201">
        <f>IF(AND('Ratings'!A18&lt;&gt;"",'Ratings'!L5&lt;&gt;""),'Ratings'!A18,"")</f>
        <v/>
      </c>
      <c r="B201">
        <f>IF(A201="","",'Employees'!C6)</f>
        <v/>
      </c>
      <c r="C201">
        <f>IF(A201="","",'Ratings'!C18)</f>
        <v/>
      </c>
      <c r="D201">
        <f>IF(A201="","",'Ratings'!D18)</f>
        <v/>
      </c>
      <c r="E201">
        <f>IF(AND('Ratings'!A18&lt;&gt;"",'Ratings'!L5&lt;&gt;""),'Ratings'!L5,"")</f>
        <v/>
      </c>
      <c r="F201">
        <f>IF(OR(A201="",'Ratings'!L18=""),"",'Ratings'!L18)</f>
        <v/>
      </c>
      <c r="G201">
        <f>IF(A201="","",'Employees'!D6)</f>
        <v/>
      </c>
    </row>
    <row r="202">
      <c r="A202">
        <f>IF(AND('Ratings'!A18&lt;&gt;"",'Ratings'!M5&lt;&gt;""),'Ratings'!A18,"")</f>
        <v/>
      </c>
      <c r="B202">
        <f>IF(A202="","",'Employees'!C6)</f>
        <v/>
      </c>
      <c r="C202">
        <f>IF(A202="","",'Ratings'!C18)</f>
        <v/>
      </c>
      <c r="D202">
        <f>IF(A202="","",'Ratings'!D18)</f>
        <v/>
      </c>
      <c r="E202">
        <f>IF(AND('Ratings'!A18&lt;&gt;"",'Ratings'!M5&lt;&gt;""),'Ratings'!M5,"")</f>
        <v/>
      </c>
      <c r="F202">
        <f>IF(OR(A202="",'Ratings'!M18=""),"",'Ratings'!M18)</f>
        <v/>
      </c>
      <c r="G202">
        <f>IF(A202="","",'Employees'!D6)</f>
        <v/>
      </c>
    </row>
    <row r="203">
      <c r="A203">
        <f>IF(AND('Ratings'!A18&lt;&gt;"",'Ratings'!N5&lt;&gt;""),'Ratings'!A18,"")</f>
        <v/>
      </c>
      <c r="B203">
        <f>IF(A203="","",'Employees'!C6)</f>
        <v/>
      </c>
      <c r="C203">
        <f>IF(A203="","",'Ratings'!C18)</f>
        <v/>
      </c>
      <c r="D203">
        <f>IF(A203="","",'Ratings'!D18)</f>
        <v/>
      </c>
      <c r="E203">
        <f>IF(AND('Ratings'!A18&lt;&gt;"",'Ratings'!N5&lt;&gt;""),'Ratings'!N5,"")</f>
        <v/>
      </c>
      <c r="F203">
        <f>IF(OR(A203="",'Ratings'!N18=""),"",'Ratings'!N18)</f>
        <v/>
      </c>
      <c r="G203">
        <f>IF(A203="","",'Employees'!D6)</f>
        <v/>
      </c>
    </row>
    <row r="204">
      <c r="A204">
        <f>IF(AND('Ratings'!A18&lt;&gt;"",'Ratings'!O5&lt;&gt;""),'Ratings'!A18,"")</f>
        <v/>
      </c>
      <c r="B204">
        <f>IF(A204="","",'Employees'!C6)</f>
        <v/>
      </c>
      <c r="C204">
        <f>IF(A204="","",'Ratings'!C18)</f>
        <v/>
      </c>
      <c r="D204">
        <f>IF(A204="","",'Ratings'!D18)</f>
        <v/>
      </c>
      <c r="E204">
        <f>IF(AND('Ratings'!A18&lt;&gt;"",'Ratings'!O5&lt;&gt;""),'Ratings'!O5,"")</f>
        <v/>
      </c>
      <c r="F204">
        <f>IF(OR(A204="",'Ratings'!O18=""),"",'Ratings'!O18)</f>
        <v/>
      </c>
      <c r="G204">
        <f>IF(A204="","",'Employees'!D6)</f>
        <v/>
      </c>
    </row>
    <row r="205">
      <c r="A205">
        <f>IF(AND('Ratings'!A18&lt;&gt;"",'Ratings'!P5&lt;&gt;""),'Ratings'!A18,"")</f>
        <v/>
      </c>
      <c r="B205">
        <f>IF(A205="","",'Employees'!C6)</f>
        <v/>
      </c>
      <c r="C205">
        <f>IF(A205="","",'Ratings'!C18)</f>
        <v/>
      </c>
      <c r="D205">
        <f>IF(A205="","",'Ratings'!D18)</f>
        <v/>
      </c>
      <c r="E205">
        <f>IF(AND('Ratings'!A18&lt;&gt;"",'Ratings'!P5&lt;&gt;""),'Ratings'!P5,"")</f>
        <v/>
      </c>
      <c r="F205">
        <f>IF(OR(A205="",'Ratings'!P18=""),"",'Ratings'!P18)</f>
        <v/>
      </c>
      <c r="G205">
        <f>IF(A205="","",'Employees'!D6)</f>
        <v/>
      </c>
    </row>
    <row r="206">
      <c r="A206">
        <f>IF(AND('Ratings'!A18&lt;&gt;"",'Ratings'!Q5&lt;&gt;""),'Ratings'!A18,"")</f>
        <v/>
      </c>
      <c r="B206">
        <f>IF(A206="","",'Employees'!C6)</f>
        <v/>
      </c>
      <c r="C206">
        <f>IF(A206="","",'Ratings'!C18)</f>
        <v/>
      </c>
      <c r="D206">
        <f>IF(A206="","",'Ratings'!D18)</f>
        <v/>
      </c>
      <c r="E206">
        <f>IF(AND('Ratings'!A18&lt;&gt;"",'Ratings'!Q5&lt;&gt;""),'Ratings'!Q5,"")</f>
        <v/>
      </c>
      <c r="F206">
        <f>IF(OR(A206="",'Ratings'!Q18=""),"",'Ratings'!Q18)</f>
        <v/>
      </c>
      <c r="G206">
        <f>IF(A206="","",'Employees'!D6)</f>
        <v/>
      </c>
    </row>
    <row r="207">
      <c r="A207">
        <f>IF(AND('Ratings'!A18&lt;&gt;"",'Ratings'!R5&lt;&gt;""),'Ratings'!A18,"")</f>
        <v/>
      </c>
      <c r="B207">
        <f>IF(A207="","",'Employees'!C6)</f>
        <v/>
      </c>
      <c r="C207">
        <f>IF(A207="","",'Ratings'!C18)</f>
        <v/>
      </c>
      <c r="D207">
        <f>IF(A207="","",'Ratings'!D18)</f>
        <v/>
      </c>
      <c r="E207">
        <f>IF(AND('Ratings'!A18&lt;&gt;"",'Ratings'!R5&lt;&gt;""),'Ratings'!R5,"")</f>
        <v/>
      </c>
      <c r="F207">
        <f>IF(OR(A207="",'Ratings'!R18=""),"",'Ratings'!R18)</f>
        <v/>
      </c>
      <c r="G207">
        <f>IF(A207="","",'Employees'!D6)</f>
        <v/>
      </c>
    </row>
    <row r="208">
      <c r="A208">
        <f>IF(AND('Ratings'!A18&lt;&gt;"",'Ratings'!S5&lt;&gt;""),'Ratings'!A18,"")</f>
        <v/>
      </c>
      <c r="B208">
        <f>IF(A208="","",'Employees'!C6)</f>
        <v/>
      </c>
      <c r="C208">
        <f>IF(A208="","",'Ratings'!C18)</f>
        <v/>
      </c>
      <c r="D208">
        <f>IF(A208="","",'Ratings'!D18)</f>
        <v/>
      </c>
      <c r="E208">
        <f>IF(AND('Ratings'!A18&lt;&gt;"",'Ratings'!S5&lt;&gt;""),'Ratings'!S5,"")</f>
        <v/>
      </c>
      <c r="F208">
        <f>IF(OR(A208="",'Ratings'!S18=""),"",'Ratings'!S18)</f>
        <v/>
      </c>
      <c r="G208">
        <f>IF(A208="","",'Employees'!D6)</f>
        <v/>
      </c>
    </row>
    <row r="209">
      <c r="A209">
        <f>IF(AND('Ratings'!A18&lt;&gt;"",'Ratings'!T5&lt;&gt;""),'Ratings'!A18,"")</f>
        <v/>
      </c>
      <c r="B209">
        <f>IF(A209="","",'Employees'!C6)</f>
        <v/>
      </c>
      <c r="C209">
        <f>IF(A209="","",'Ratings'!C18)</f>
        <v/>
      </c>
      <c r="D209">
        <f>IF(A209="","",'Ratings'!D18)</f>
        <v/>
      </c>
      <c r="E209">
        <f>IF(AND('Ratings'!A18&lt;&gt;"",'Ratings'!T5&lt;&gt;""),'Ratings'!T5,"")</f>
        <v/>
      </c>
      <c r="F209">
        <f>IF(OR(A209="",'Ratings'!T18=""),"",'Ratings'!T18)</f>
        <v/>
      </c>
      <c r="G209">
        <f>IF(A209="","",'Employees'!D6)</f>
        <v/>
      </c>
    </row>
    <row r="210">
      <c r="A210">
        <f>IF(AND('Ratings'!A19&lt;&gt;"",'Ratings'!E5&lt;&gt;""),'Ratings'!A19,"")</f>
        <v/>
      </c>
      <c r="B210">
        <f>IF(A210="","",'Employees'!C6)</f>
        <v/>
      </c>
      <c r="C210">
        <f>IF(A210="","",'Ratings'!C19)</f>
        <v/>
      </c>
      <c r="D210">
        <f>IF(A210="","",'Ratings'!D19)</f>
        <v/>
      </c>
      <c r="E210">
        <f>IF(AND('Ratings'!A19&lt;&gt;"",'Ratings'!E5&lt;&gt;""),'Ratings'!E5,"")</f>
        <v/>
      </c>
      <c r="F210">
        <f>IF(OR(A210="",'Ratings'!E19=""),"",'Ratings'!E19)</f>
        <v/>
      </c>
      <c r="G210">
        <f>IF(A210="","",'Employees'!D6)</f>
        <v/>
      </c>
    </row>
    <row r="211">
      <c r="A211">
        <f>IF(AND('Ratings'!A19&lt;&gt;"",'Ratings'!F5&lt;&gt;""),'Ratings'!A19,"")</f>
        <v/>
      </c>
      <c r="B211">
        <f>IF(A211="","",'Employees'!C6)</f>
        <v/>
      </c>
      <c r="C211">
        <f>IF(A211="","",'Ratings'!C19)</f>
        <v/>
      </c>
      <c r="D211">
        <f>IF(A211="","",'Ratings'!D19)</f>
        <v/>
      </c>
      <c r="E211">
        <f>IF(AND('Ratings'!A19&lt;&gt;"",'Ratings'!F5&lt;&gt;""),'Ratings'!F5,"")</f>
        <v/>
      </c>
      <c r="F211">
        <f>IF(OR(A211="",'Ratings'!F19=""),"",'Ratings'!F19)</f>
        <v/>
      </c>
      <c r="G211">
        <f>IF(A211="","",'Employees'!D6)</f>
        <v/>
      </c>
    </row>
    <row r="212">
      <c r="A212">
        <f>IF(AND('Ratings'!A19&lt;&gt;"",'Ratings'!G5&lt;&gt;""),'Ratings'!A19,"")</f>
        <v/>
      </c>
      <c r="B212">
        <f>IF(A212="","",'Employees'!C6)</f>
        <v/>
      </c>
      <c r="C212">
        <f>IF(A212="","",'Ratings'!C19)</f>
        <v/>
      </c>
      <c r="D212">
        <f>IF(A212="","",'Ratings'!D19)</f>
        <v/>
      </c>
      <c r="E212">
        <f>IF(AND('Ratings'!A19&lt;&gt;"",'Ratings'!G5&lt;&gt;""),'Ratings'!G5,"")</f>
        <v/>
      </c>
      <c r="F212">
        <f>IF(OR(A212="",'Ratings'!G19=""),"",'Ratings'!G19)</f>
        <v/>
      </c>
      <c r="G212">
        <f>IF(A212="","",'Employees'!D6)</f>
        <v/>
      </c>
    </row>
    <row r="213">
      <c r="A213">
        <f>IF(AND('Ratings'!A19&lt;&gt;"",'Ratings'!H5&lt;&gt;""),'Ratings'!A19,"")</f>
        <v/>
      </c>
      <c r="B213">
        <f>IF(A213="","",'Employees'!C6)</f>
        <v/>
      </c>
      <c r="C213">
        <f>IF(A213="","",'Ratings'!C19)</f>
        <v/>
      </c>
      <c r="D213">
        <f>IF(A213="","",'Ratings'!D19)</f>
        <v/>
      </c>
      <c r="E213">
        <f>IF(AND('Ratings'!A19&lt;&gt;"",'Ratings'!H5&lt;&gt;""),'Ratings'!H5,"")</f>
        <v/>
      </c>
      <c r="F213">
        <f>IF(OR(A213="",'Ratings'!H19=""),"",'Ratings'!H19)</f>
        <v/>
      </c>
      <c r="G213">
        <f>IF(A213="","",'Employees'!D6)</f>
        <v/>
      </c>
    </row>
    <row r="214">
      <c r="A214">
        <f>IF(AND('Ratings'!A19&lt;&gt;"",'Ratings'!I5&lt;&gt;""),'Ratings'!A19,"")</f>
        <v/>
      </c>
      <c r="B214">
        <f>IF(A214="","",'Employees'!C6)</f>
        <v/>
      </c>
      <c r="C214">
        <f>IF(A214="","",'Ratings'!C19)</f>
        <v/>
      </c>
      <c r="D214">
        <f>IF(A214="","",'Ratings'!D19)</f>
        <v/>
      </c>
      <c r="E214">
        <f>IF(AND('Ratings'!A19&lt;&gt;"",'Ratings'!I5&lt;&gt;""),'Ratings'!I5,"")</f>
        <v/>
      </c>
      <c r="F214">
        <f>IF(OR(A214="",'Ratings'!I19=""),"",'Ratings'!I19)</f>
        <v/>
      </c>
      <c r="G214">
        <f>IF(A214="","",'Employees'!D6)</f>
        <v/>
      </c>
    </row>
    <row r="215">
      <c r="A215">
        <f>IF(AND('Ratings'!A19&lt;&gt;"",'Ratings'!J5&lt;&gt;""),'Ratings'!A19,"")</f>
        <v/>
      </c>
      <c r="B215">
        <f>IF(A215="","",'Employees'!C6)</f>
        <v/>
      </c>
      <c r="C215">
        <f>IF(A215="","",'Ratings'!C19)</f>
        <v/>
      </c>
      <c r="D215">
        <f>IF(A215="","",'Ratings'!D19)</f>
        <v/>
      </c>
      <c r="E215">
        <f>IF(AND('Ratings'!A19&lt;&gt;"",'Ratings'!J5&lt;&gt;""),'Ratings'!J5,"")</f>
        <v/>
      </c>
      <c r="F215">
        <f>IF(OR(A215="",'Ratings'!J19=""),"",'Ratings'!J19)</f>
        <v/>
      </c>
      <c r="G215">
        <f>IF(A215="","",'Employees'!D6)</f>
        <v/>
      </c>
    </row>
    <row r="216">
      <c r="A216">
        <f>IF(AND('Ratings'!A19&lt;&gt;"",'Ratings'!K5&lt;&gt;""),'Ratings'!A19,"")</f>
        <v/>
      </c>
      <c r="B216">
        <f>IF(A216="","",'Employees'!C6)</f>
        <v/>
      </c>
      <c r="C216">
        <f>IF(A216="","",'Ratings'!C19)</f>
        <v/>
      </c>
      <c r="D216">
        <f>IF(A216="","",'Ratings'!D19)</f>
        <v/>
      </c>
      <c r="E216">
        <f>IF(AND('Ratings'!A19&lt;&gt;"",'Ratings'!K5&lt;&gt;""),'Ratings'!K5,"")</f>
        <v/>
      </c>
      <c r="F216">
        <f>IF(OR(A216="",'Ratings'!K19=""),"",'Ratings'!K19)</f>
        <v/>
      </c>
      <c r="G216">
        <f>IF(A216="","",'Employees'!D6)</f>
        <v/>
      </c>
    </row>
    <row r="217">
      <c r="A217">
        <f>IF(AND('Ratings'!A19&lt;&gt;"",'Ratings'!L5&lt;&gt;""),'Ratings'!A19,"")</f>
        <v/>
      </c>
      <c r="B217">
        <f>IF(A217="","",'Employees'!C6)</f>
        <v/>
      </c>
      <c r="C217">
        <f>IF(A217="","",'Ratings'!C19)</f>
        <v/>
      </c>
      <c r="D217">
        <f>IF(A217="","",'Ratings'!D19)</f>
        <v/>
      </c>
      <c r="E217">
        <f>IF(AND('Ratings'!A19&lt;&gt;"",'Ratings'!L5&lt;&gt;""),'Ratings'!L5,"")</f>
        <v/>
      </c>
      <c r="F217">
        <f>IF(OR(A217="",'Ratings'!L19=""),"",'Ratings'!L19)</f>
        <v/>
      </c>
      <c r="G217">
        <f>IF(A217="","",'Employees'!D6)</f>
        <v/>
      </c>
    </row>
    <row r="218">
      <c r="A218">
        <f>IF(AND('Ratings'!A19&lt;&gt;"",'Ratings'!M5&lt;&gt;""),'Ratings'!A19,"")</f>
        <v/>
      </c>
      <c r="B218">
        <f>IF(A218="","",'Employees'!C6)</f>
        <v/>
      </c>
      <c r="C218">
        <f>IF(A218="","",'Ratings'!C19)</f>
        <v/>
      </c>
      <c r="D218">
        <f>IF(A218="","",'Ratings'!D19)</f>
        <v/>
      </c>
      <c r="E218">
        <f>IF(AND('Ratings'!A19&lt;&gt;"",'Ratings'!M5&lt;&gt;""),'Ratings'!M5,"")</f>
        <v/>
      </c>
      <c r="F218">
        <f>IF(OR(A218="",'Ratings'!M19=""),"",'Ratings'!M19)</f>
        <v/>
      </c>
      <c r="G218">
        <f>IF(A218="","",'Employees'!D6)</f>
        <v/>
      </c>
    </row>
    <row r="219">
      <c r="A219">
        <f>IF(AND('Ratings'!A19&lt;&gt;"",'Ratings'!N5&lt;&gt;""),'Ratings'!A19,"")</f>
        <v/>
      </c>
      <c r="B219">
        <f>IF(A219="","",'Employees'!C6)</f>
        <v/>
      </c>
      <c r="C219">
        <f>IF(A219="","",'Ratings'!C19)</f>
        <v/>
      </c>
      <c r="D219">
        <f>IF(A219="","",'Ratings'!D19)</f>
        <v/>
      </c>
      <c r="E219">
        <f>IF(AND('Ratings'!A19&lt;&gt;"",'Ratings'!N5&lt;&gt;""),'Ratings'!N5,"")</f>
        <v/>
      </c>
      <c r="F219">
        <f>IF(OR(A219="",'Ratings'!N19=""),"",'Ratings'!N19)</f>
        <v/>
      </c>
      <c r="G219">
        <f>IF(A219="","",'Employees'!D6)</f>
        <v/>
      </c>
    </row>
    <row r="220">
      <c r="A220">
        <f>IF(AND('Ratings'!A19&lt;&gt;"",'Ratings'!O5&lt;&gt;""),'Ratings'!A19,"")</f>
        <v/>
      </c>
      <c r="B220">
        <f>IF(A220="","",'Employees'!C6)</f>
        <v/>
      </c>
      <c r="C220">
        <f>IF(A220="","",'Ratings'!C19)</f>
        <v/>
      </c>
      <c r="D220">
        <f>IF(A220="","",'Ratings'!D19)</f>
        <v/>
      </c>
      <c r="E220">
        <f>IF(AND('Ratings'!A19&lt;&gt;"",'Ratings'!O5&lt;&gt;""),'Ratings'!O5,"")</f>
        <v/>
      </c>
      <c r="F220">
        <f>IF(OR(A220="",'Ratings'!O19=""),"",'Ratings'!O19)</f>
        <v/>
      </c>
      <c r="G220">
        <f>IF(A220="","",'Employees'!D6)</f>
        <v/>
      </c>
    </row>
    <row r="221">
      <c r="A221">
        <f>IF(AND('Ratings'!A19&lt;&gt;"",'Ratings'!P5&lt;&gt;""),'Ratings'!A19,"")</f>
        <v/>
      </c>
      <c r="B221">
        <f>IF(A221="","",'Employees'!C6)</f>
        <v/>
      </c>
      <c r="C221">
        <f>IF(A221="","",'Ratings'!C19)</f>
        <v/>
      </c>
      <c r="D221">
        <f>IF(A221="","",'Ratings'!D19)</f>
        <v/>
      </c>
      <c r="E221">
        <f>IF(AND('Ratings'!A19&lt;&gt;"",'Ratings'!P5&lt;&gt;""),'Ratings'!P5,"")</f>
        <v/>
      </c>
      <c r="F221">
        <f>IF(OR(A221="",'Ratings'!P19=""),"",'Ratings'!P19)</f>
        <v/>
      </c>
      <c r="G221">
        <f>IF(A221="","",'Employees'!D6)</f>
        <v/>
      </c>
    </row>
    <row r="222">
      <c r="A222">
        <f>IF(AND('Ratings'!A19&lt;&gt;"",'Ratings'!Q5&lt;&gt;""),'Ratings'!A19,"")</f>
        <v/>
      </c>
      <c r="B222">
        <f>IF(A222="","",'Employees'!C6)</f>
        <v/>
      </c>
      <c r="C222">
        <f>IF(A222="","",'Ratings'!C19)</f>
        <v/>
      </c>
      <c r="D222">
        <f>IF(A222="","",'Ratings'!D19)</f>
        <v/>
      </c>
      <c r="E222">
        <f>IF(AND('Ratings'!A19&lt;&gt;"",'Ratings'!Q5&lt;&gt;""),'Ratings'!Q5,"")</f>
        <v/>
      </c>
      <c r="F222">
        <f>IF(OR(A222="",'Ratings'!Q19=""),"",'Ratings'!Q19)</f>
        <v/>
      </c>
      <c r="G222">
        <f>IF(A222="","",'Employees'!D6)</f>
        <v/>
      </c>
    </row>
    <row r="223">
      <c r="A223">
        <f>IF(AND('Ratings'!A19&lt;&gt;"",'Ratings'!R5&lt;&gt;""),'Ratings'!A19,"")</f>
        <v/>
      </c>
      <c r="B223">
        <f>IF(A223="","",'Employees'!C6)</f>
        <v/>
      </c>
      <c r="C223">
        <f>IF(A223="","",'Ratings'!C19)</f>
        <v/>
      </c>
      <c r="D223">
        <f>IF(A223="","",'Ratings'!D19)</f>
        <v/>
      </c>
      <c r="E223">
        <f>IF(AND('Ratings'!A19&lt;&gt;"",'Ratings'!R5&lt;&gt;""),'Ratings'!R5,"")</f>
        <v/>
      </c>
      <c r="F223">
        <f>IF(OR(A223="",'Ratings'!R19=""),"",'Ratings'!R19)</f>
        <v/>
      </c>
      <c r="G223">
        <f>IF(A223="","",'Employees'!D6)</f>
        <v/>
      </c>
    </row>
    <row r="224">
      <c r="A224">
        <f>IF(AND('Ratings'!A19&lt;&gt;"",'Ratings'!S5&lt;&gt;""),'Ratings'!A19,"")</f>
        <v/>
      </c>
      <c r="B224">
        <f>IF(A224="","",'Employees'!C6)</f>
        <v/>
      </c>
      <c r="C224">
        <f>IF(A224="","",'Ratings'!C19)</f>
        <v/>
      </c>
      <c r="D224">
        <f>IF(A224="","",'Ratings'!D19)</f>
        <v/>
      </c>
      <c r="E224">
        <f>IF(AND('Ratings'!A19&lt;&gt;"",'Ratings'!S5&lt;&gt;""),'Ratings'!S5,"")</f>
        <v/>
      </c>
      <c r="F224">
        <f>IF(OR(A224="",'Ratings'!S19=""),"",'Ratings'!S19)</f>
        <v/>
      </c>
      <c r="G224">
        <f>IF(A224="","",'Employees'!D6)</f>
        <v/>
      </c>
    </row>
    <row r="225">
      <c r="A225">
        <f>IF(AND('Ratings'!A19&lt;&gt;"",'Ratings'!T5&lt;&gt;""),'Ratings'!A19,"")</f>
        <v/>
      </c>
      <c r="B225">
        <f>IF(A225="","",'Employees'!C6)</f>
        <v/>
      </c>
      <c r="C225">
        <f>IF(A225="","",'Ratings'!C19)</f>
        <v/>
      </c>
      <c r="D225">
        <f>IF(A225="","",'Ratings'!D19)</f>
        <v/>
      </c>
      <c r="E225">
        <f>IF(AND('Ratings'!A19&lt;&gt;"",'Ratings'!T5&lt;&gt;""),'Ratings'!T5,"")</f>
        <v/>
      </c>
      <c r="F225">
        <f>IF(OR(A225="",'Ratings'!T19=""),"",'Ratings'!T19)</f>
        <v/>
      </c>
      <c r="G225">
        <f>IF(A225="","",'Employees'!D6)</f>
        <v/>
      </c>
    </row>
    <row r="226">
      <c r="A226">
        <f>IF(AND('Ratings'!A20&lt;&gt;"",'Ratings'!E5&lt;&gt;""),'Ratings'!A20,"")</f>
        <v/>
      </c>
      <c r="B226">
        <f>IF(A226="","",'Employees'!C6)</f>
        <v/>
      </c>
      <c r="C226">
        <f>IF(A226="","",'Ratings'!C20)</f>
        <v/>
      </c>
      <c r="D226">
        <f>IF(A226="","",'Ratings'!D20)</f>
        <v/>
      </c>
      <c r="E226">
        <f>IF(AND('Ratings'!A20&lt;&gt;"",'Ratings'!E5&lt;&gt;""),'Ratings'!E5,"")</f>
        <v/>
      </c>
      <c r="F226">
        <f>IF(OR(A226="",'Ratings'!E20=""),"",'Ratings'!E20)</f>
        <v/>
      </c>
      <c r="G226">
        <f>IF(A226="","",'Employees'!D6)</f>
        <v/>
      </c>
    </row>
    <row r="227">
      <c r="A227">
        <f>IF(AND('Ratings'!A20&lt;&gt;"",'Ratings'!F5&lt;&gt;""),'Ratings'!A20,"")</f>
        <v/>
      </c>
      <c r="B227">
        <f>IF(A227="","",'Employees'!C6)</f>
        <v/>
      </c>
      <c r="C227">
        <f>IF(A227="","",'Ratings'!C20)</f>
        <v/>
      </c>
      <c r="D227">
        <f>IF(A227="","",'Ratings'!D20)</f>
        <v/>
      </c>
      <c r="E227">
        <f>IF(AND('Ratings'!A20&lt;&gt;"",'Ratings'!F5&lt;&gt;""),'Ratings'!F5,"")</f>
        <v/>
      </c>
      <c r="F227">
        <f>IF(OR(A227="",'Ratings'!F20=""),"",'Ratings'!F20)</f>
        <v/>
      </c>
      <c r="G227">
        <f>IF(A227="","",'Employees'!D6)</f>
        <v/>
      </c>
    </row>
    <row r="228">
      <c r="A228">
        <f>IF(AND('Ratings'!A20&lt;&gt;"",'Ratings'!G5&lt;&gt;""),'Ratings'!A20,"")</f>
        <v/>
      </c>
      <c r="B228">
        <f>IF(A228="","",'Employees'!C6)</f>
        <v/>
      </c>
      <c r="C228">
        <f>IF(A228="","",'Ratings'!C20)</f>
        <v/>
      </c>
      <c r="D228">
        <f>IF(A228="","",'Ratings'!D20)</f>
        <v/>
      </c>
      <c r="E228">
        <f>IF(AND('Ratings'!A20&lt;&gt;"",'Ratings'!G5&lt;&gt;""),'Ratings'!G5,"")</f>
        <v/>
      </c>
      <c r="F228">
        <f>IF(OR(A228="",'Ratings'!G20=""),"",'Ratings'!G20)</f>
        <v/>
      </c>
      <c r="G228">
        <f>IF(A228="","",'Employees'!D6)</f>
        <v/>
      </c>
    </row>
    <row r="229">
      <c r="A229">
        <f>IF(AND('Ratings'!A20&lt;&gt;"",'Ratings'!H5&lt;&gt;""),'Ratings'!A20,"")</f>
        <v/>
      </c>
      <c r="B229">
        <f>IF(A229="","",'Employees'!C6)</f>
        <v/>
      </c>
      <c r="C229">
        <f>IF(A229="","",'Ratings'!C20)</f>
        <v/>
      </c>
      <c r="D229">
        <f>IF(A229="","",'Ratings'!D20)</f>
        <v/>
      </c>
      <c r="E229">
        <f>IF(AND('Ratings'!A20&lt;&gt;"",'Ratings'!H5&lt;&gt;""),'Ratings'!H5,"")</f>
        <v/>
      </c>
      <c r="F229">
        <f>IF(OR(A229="",'Ratings'!H20=""),"",'Ratings'!H20)</f>
        <v/>
      </c>
      <c r="G229">
        <f>IF(A229="","",'Employees'!D6)</f>
        <v/>
      </c>
    </row>
    <row r="230">
      <c r="A230">
        <f>IF(AND('Ratings'!A20&lt;&gt;"",'Ratings'!I5&lt;&gt;""),'Ratings'!A20,"")</f>
        <v/>
      </c>
      <c r="B230">
        <f>IF(A230="","",'Employees'!C6)</f>
        <v/>
      </c>
      <c r="C230">
        <f>IF(A230="","",'Ratings'!C20)</f>
        <v/>
      </c>
      <c r="D230">
        <f>IF(A230="","",'Ratings'!D20)</f>
        <v/>
      </c>
      <c r="E230">
        <f>IF(AND('Ratings'!A20&lt;&gt;"",'Ratings'!I5&lt;&gt;""),'Ratings'!I5,"")</f>
        <v/>
      </c>
      <c r="F230">
        <f>IF(OR(A230="",'Ratings'!I20=""),"",'Ratings'!I20)</f>
        <v/>
      </c>
      <c r="G230">
        <f>IF(A230="","",'Employees'!D6)</f>
        <v/>
      </c>
    </row>
    <row r="231">
      <c r="A231">
        <f>IF(AND('Ratings'!A20&lt;&gt;"",'Ratings'!J5&lt;&gt;""),'Ratings'!A20,"")</f>
        <v/>
      </c>
      <c r="B231">
        <f>IF(A231="","",'Employees'!C6)</f>
        <v/>
      </c>
      <c r="C231">
        <f>IF(A231="","",'Ratings'!C20)</f>
        <v/>
      </c>
      <c r="D231">
        <f>IF(A231="","",'Ratings'!D20)</f>
        <v/>
      </c>
      <c r="E231">
        <f>IF(AND('Ratings'!A20&lt;&gt;"",'Ratings'!J5&lt;&gt;""),'Ratings'!J5,"")</f>
        <v/>
      </c>
      <c r="F231">
        <f>IF(OR(A231="",'Ratings'!J20=""),"",'Ratings'!J20)</f>
        <v/>
      </c>
      <c r="G231">
        <f>IF(A231="","",'Employees'!D6)</f>
        <v/>
      </c>
    </row>
    <row r="232">
      <c r="A232">
        <f>IF(AND('Ratings'!A20&lt;&gt;"",'Ratings'!K5&lt;&gt;""),'Ratings'!A20,"")</f>
        <v/>
      </c>
      <c r="B232">
        <f>IF(A232="","",'Employees'!C6)</f>
        <v/>
      </c>
      <c r="C232">
        <f>IF(A232="","",'Ratings'!C20)</f>
        <v/>
      </c>
      <c r="D232">
        <f>IF(A232="","",'Ratings'!D20)</f>
        <v/>
      </c>
      <c r="E232">
        <f>IF(AND('Ratings'!A20&lt;&gt;"",'Ratings'!K5&lt;&gt;""),'Ratings'!K5,"")</f>
        <v/>
      </c>
      <c r="F232">
        <f>IF(OR(A232="",'Ratings'!K20=""),"",'Ratings'!K20)</f>
        <v/>
      </c>
      <c r="G232">
        <f>IF(A232="","",'Employees'!D6)</f>
        <v/>
      </c>
    </row>
    <row r="233">
      <c r="A233">
        <f>IF(AND('Ratings'!A20&lt;&gt;"",'Ratings'!L5&lt;&gt;""),'Ratings'!A20,"")</f>
        <v/>
      </c>
      <c r="B233">
        <f>IF(A233="","",'Employees'!C6)</f>
        <v/>
      </c>
      <c r="C233">
        <f>IF(A233="","",'Ratings'!C20)</f>
        <v/>
      </c>
      <c r="D233">
        <f>IF(A233="","",'Ratings'!D20)</f>
        <v/>
      </c>
      <c r="E233">
        <f>IF(AND('Ratings'!A20&lt;&gt;"",'Ratings'!L5&lt;&gt;""),'Ratings'!L5,"")</f>
        <v/>
      </c>
      <c r="F233">
        <f>IF(OR(A233="",'Ratings'!L20=""),"",'Ratings'!L20)</f>
        <v/>
      </c>
      <c r="G233">
        <f>IF(A233="","",'Employees'!D6)</f>
        <v/>
      </c>
    </row>
    <row r="234">
      <c r="A234">
        <f>IF(AND('Ratings'!A20&lt;&gt;"",'Ratings'!M5&lt;&gt;""),'Ratings'!A20,"")</f>
        <v/>
      </c>
      <c r="B234">
        <f>IF(A234="","",'Employees'!C6)</f>
        <v/>
      </c>
      <c r="C234">
        <f>IF(A234="","",'Ratings'!C20)</f>
        <v/>
      </c>
      <c r="D234">
        <f>IF(A234="","",'Ratings'!D20)</f>
        <v/>
      </c>
      <c r="E234">
        <f>IF(AND('Ratings'!A20&lt;&gt;"",'Ratings'!M5&lt;&gt;""),'Ratings'!M5,"")</f>
        <v/>
      </c>
      <c r="F234">
        <f>IF(OR(A234="",'Ratings'!M20=""),"",'Ratings'!M20)</f>
        <v/>
      </c>
      <c r="G234">
        <f>IF(A234="","",'Employees'!D6)</f>
        <v/>
      </c>
    </row>
    <row r="235">
      <c r="A235">
        <f>IF(AND('Ratings'!A20&lt;&gt;"",'Ratings'!N5&lt;&gt;""),'Ratings'!A20,"")</f>
        <v/>
      </c>
      <c r="B235">
        <f>IF(A235="","",'Employees'!C6)</f>
        <v/>
      </c>
      <c r="C235">
        <f>IF(A235="","",'Ratings'!C20)</f>
        <v/>
      </c>
      <c r="D235">
        <f>IF(A235="","",'Ratings'!D20)</f>
        <v/>
      </c>
      <c r="E235">
        <f>IF(AND('Ratings'!A20&lt;&gt;"",'Ratings'!N5&lt;&gt;""),'Ratings'!N5,"")</f>
        <v/>
      </c>
      <c r="F235">
        <f>IF(OR(A235="",'Ratings'!N20=""),"",'Ratings'!N20)</f>
        <v/>
      </c>
      <c r="G235">
        <f>IF(A235="","",'Employees'!D6)</f>
        <v/>
      </c>
    </row>
    <row r="236">
      <c r="A236">
        <f>IF(AND('Ratings'!A20&lt;&gt;"",'Ratings'!O5&lt;&gt;""),'Ratings'!A20,"")</f>
        <v/>
      </c>
      <c r="B236">
        <f>IF(A236="","",'Employees'!C6)</f>
        <v/>
      </c>
      <c r="C236">
        <f>IF(A236="","",'Ratings'!C20)</f>
        <v/>
      </c>
      <c r="D236">
        <f>IF(A236="","",'Ratings'!D20)</f>
        <v/>
      </c>
      <c r="E236">
        <f>IF(AND('Ratings'!A20&lt;&gt;"",'Ratings'!O5&lt;&gt;""),'Ratings'!O5,"")</f>
        <v/>
      </c>
      <c r="F236">
        <f>IF(OR(A236="",'Ratings'!O20=""),"",'Ratings'!O20)</f>
        <v/>
      </c>
      <c r="G236">
        <f>IF(A236="","",'Employees'!D6)</f>
        <v/>
      </c>
    </row>
    <row r="237">
      <c r="A237">
        <f>IF(AND('Ratings'!A20&lt;&gt;"",'Ratings'!P5&lt;&gt;""),'Ratings'!A20,"")</f>
        <v/>
      </c>
      <c r="B237">
        <f>IF(A237="","",'Employees'!C6)</f>
        <v/>
      </c>
      <c r="C237">
        <f>IF(A237="","",'Ratings'!C20)</f>
        <v/>
      </c>
      <c r="D237">
        <f>IF(A237="","",'Ratings'!D20)</f>
        <v/>
      </c>
      <c r="E237">
        <f>IF(AND('Ratings'!A20&lt;&gt;"",'Ratings'!P5&lt;&gt;""),'Ratings'!P5,"")</f>
        <v/>
      </c>
      <c r="F237">
        <f>IF(OR(A237="",'Ratings'!P20=""),"",'Ratings'!P20)</f>
        <v/>
      </c>
      <c r="G237">
        <f>IF(A237="","",'Employees'!D6)</f>
        <v/>
      </c>
    </row>
    <row r="238">
      <c r="A238">
        <f>IF(AND('Ratings'!A20&lt;&gt;"",'Ratings'!Q5&lt;&gt;""),'Ratings'!A20,"")</f>
        <v/>
      </c>
      <c r="B238">
        <f>IF(A238="","",'Employees'!C6)</f>
        <v/>
      </c>
      <c r="C238">
        <f>IF(A238="","",'Ratings'!C20)</f>
        <v/>
      </c>
      <c r="D238">
        <f>IF(A238="","",'Ratings'!D20)</f>
        <v/>
      </c>
      <c r="E238">
        <f>IF(AND('Ratings'!A20&lt;&gt;"",'Ratings'!Q5&lt;&gt;""),'Ratings'!Q5,"")</f>
        <v/>
      </c>
      <c r="F238">
        <f>IF(OR(A238="",'Ratings'!Q20=""),"",'Ratings'!Q20)</f>
        <v/>
      </c>
      <c r="G238">
        <f>IF(A238="","",'Employees'!D6)</f>
        <v/>
      </c>
    </row>
    <row r="239">
      <c r="A239">
        <f>IF(AND('Ratings'!A20&lt;&gt;"",'Ratings'!R5&lt;&gt;""),'Ratings'!A20,"")</f>
        <v/>
      </c>
      <c r="B239">
        <f>IF(A239="","",'Employees'!C6)</f>
        <v/>
      </c>
      <c r="C239">
        <f>IF(A239="","",'Ratings'!C20)</f>
        <v/>
      </c>
      <c r="D239">
        <f>IF(A239="","",'Ratings'!D20)</f>
        <v/>
      </c>
      <c r="E239">
        <f>IF(AND('Ratings'!A20&lt;&gt;"",'Ratings'!R5&lt;&gt;""),'Ratings'!R5,"")</f>
        <v/>
      </c>
      <c r="F239">
        <f>IF(OR(A239="",'Ratings'!R20=""),"",'Ratings'!R20)</f>
        <v/>
      </c>
      <c r="G239">
        <f>IF(A239="","",'Employees'!D6)</f>
        <v/>
      </c>
    </row>
    <row r="240">
      <c r="A240">
        <f>IF(AND('Ratings'!A20&lt;&gt;"",'Ratings'!S5&lt;&gt;""),'Ratings'!A20,"")</f>
        <v/>
      </c>
      <c r="B240">
        <f>IF(A240="","",'Employees'!C6)</f>
        <v/>
      </c>
      <c r="C240">
        <f>IF(A240="","",'Ratings'!C20)</f>
        <v/>
      </c>
      <c r="D240">
        <f>IF(A240="","",'Ratings'!D20)</f>
        <v/>
      </c>
      <c r="E240">
        <f>IF(AND('Ratings'!A20&lt;&gt;"",'Ratings'!S5&lt;&gt;""),'Ratings'!S5,"")</f>
        <v/>
      </c>
      <c r="F240">
        <f>IF(OR(A240="",'Ratings'!S20=""),"",'Ratings'!S20)</f>
        <v/>
      </c>
      <c r="G240">
        <f>IF(A240="","",'Employees'!D6)</f>
        <v/>
      </c>
    </row>
    <row r="241">
      <c r="A241">
        <f>IF(AND('Ratings'!A20&lt;&gt;"",'Ratings'!T5&lt;&gt;""),'Ratings'!A20,"")</f>
        <v/>
      </c>
      <c r="B241">
        <f>IF(A241="","",'Employees'!C6)</f>
        <v/>
      </c>
      <c r="C241">
        <f>IF(A241="","",'Ratings'!C20)</f>
        <v/>
      </c>
      <c r="D241">
        <f>IF(A241="","",'Ratings'!D20)</f>
        <v/>
      </c>
      <c r="E241">
        <f>IF(AND('Ratings'!A20&lt;&gt;"",'Ratings'!T5&lt;&gt;""),'Ratings'!T5,"")</f>
        <v/>
      </c>
      <c r="F241">
        <f>IF(OR(A241="",'Ratings'!T20=""),"",'Ratings'!T20)</f>
        <v/>
      </c>
      <c r="G241">
        <f>IF(A241="","",'Employees'!D6)</f>
        <v/>
      </c>
    </row>
    <row r="242">
      <c r="A242">
        <f>IF(AND('Ratings'!A21&lt;&gt;"",'Ratings'!E5&lt;&gt;""),'Ratings'!A21,"")</f>
        <v/>
      </c>
      <c r="B242">
        <f>IF(A242="","",'Employees'!C6)</f>
        <v/>
      </c>
      <c r="C242">
        <f>IF(A242="","",'Ratings'!C21)</f>
        <v/>
      </c>
      <c r="D242">
        <f>IF(A242="","",'Ratings'!D21)</f>
        <v/>
      </c>
      <c r="E242">
        <f>IF(AND('Ratings'!A21&lt;&gt;"",'Ratings'!E5&lt;&gt;""),'Ratings'!E5,"")</f>
        <v/>
      </c>
      <c r="F242">
        <f>IF(OR(A242="",'Ratings'!E21=""),"",'Ratings'!E21)</f>
        <v/>
      </c>
      <c r="G242">
        <f>IF(A242="","",'Employees'!D6)</f>
        <v/>
      </c>
    </row>
    <row r="243">
      <c r="A243">
        <f>IF(AND('Ratings'!A21&lt;&gt;"",'Ratings'!F5&lt;&gt;""),'Ratings'!A21,"")</f>
        <v/>
      </c>
      <c r="B243">
        <f>IF(A243="","",'Employees'!C6)</f>
        <v/>
      </c>
      <c r="C243">
        <f>IF(A243="","",'Ratings'!C21)</f>
        <v/>
      </c>
      <c r="D243">
        <f>IF(A243="","",'Ratings'!D21)</f>
        <v/>
      </c>
      <c r="E243">
        <f>IF(AND('Ratings'!A21&lt;&gt;"",'Ratings'!F5&lt;&gt;""),'Ratings'!F5,"")</f>
        <v/>
      </c>
      <c r="F243">
        <f>IF(OR(A243="",'Ratings'!F21=""),"",'Ratings'!F21)</f>
        <v/>
      </c>
      <c r="G243">
        <f>IF(A243="","",'Employees'!D6)</f>
        <v/>
      </c>
    </row>
    <row r="244">
      <c r="A244">
        <f>IF(AND('Ratings'!A21&lt;&gt;"",'Ratings'!G5&lt;&gt;""),'Ratings'!A21,"")</f>
        <v/>
      </c>
      <c r="B244">
        <f>IF(A244="","",'Employees'!C6)</f>
        <v/>
      </c>
      <c r="C244">
        <f>IF(A244="","",'Ratings'!C21)</f>
        <v/>
      </c>
      <c r="D244">
        <f>IF(A244="","",'Ratings'!D21)</f>
        <v/>
      </c>
      <c r="E244">
        <f>IF(AND('Ratings'!A21&lt;&gt;"",'Ratings'!G5&lt;&gt;""),'Ratings'!G5,"")</f>
        <v/>
      </c>
      <c r="F244">
        <f>IF(OR(A244="",'Ratings'!G21=""),"",'Ratings'!G21)</f>
        <v/>
      </c>
      <c r="G244">
        <f>IF(A244="","",'Employees'!D6)</f>
        <v/>
      </c>
    </row>
    <row r="245">
      <c r="A245">
        <f>IF(AND('Ratings'!A21&lt;&gt;"",'Ratings'!H5&lt;&gt;""),'Ratings'!A21,"")</f>
        <v/>
      </c>
      <c r="B245">
        <f>IF(A245="","",'Employees'!C6)</f>
        <v/>
      </c>
      <c r="C245">
        <f>IF(A245="","",'Ratings'!C21)</f>
        <v/>
      </c>
      <c r="D245">
        <f>IF(A245="","",'Ratings'!D21)</f>
        <v/>
      </c>
      <c r="E245">
        <f>IF(AND('Ratings'!A21&lt;&gt;"",'Ratings'!H5&lt;&gt;""),'Ratings'!H5,"")</f>
        <v/>
      </c>
      <c r="F245">
        <f>IF(OR(A245="",'Ratings'!H21=""),"",'Ratings'!H21)</f>
        <v/>
      </c>
      <c r="G245">
        <f>IF(A245="","",'Employees'!D6)</f>
        <v/>
      </c>
    </row>
    <row r="246">
      <c r="A246">
        <f>IF(AND('Ratings'!A21&lt;&gt;"",'Ratings'!I5&lt;&gt;""),'Ratings'!A21,"")</f>
        <v/>
      </c>
      <c r="B246">
        <f>IF(A246="","",'Employees'!C6)</f>
        <v/>
      </c>
      <c r="C246">
        <f>IF(A246="","",'Ratings'!C21)</f>
        <v/>
      </c>
      <c r="D246">
        <f>IF(A246="","",'Ratings'!D21)</f>
        <v/>
      </c>
      <c r="E246">
        <f>IF(AND('Ratings'!A21&lt;&gt;"",'Ratings'!I5&lt;&gt;""),'Ratings'!I5,"")</f>
        <v/>
      </c>
      <c r="F246">
        <f>IF(OR(A246="",'Ratings'!I21=""),"",'Ratings'!I21)</f>
        <v/>
      </c>
      <c r="G246">
        <f>IF(A246="","",'Employees'!D6)</f>
        <v/>
      </c>
    </row>
    <row r="247">
      <c r="A247">
        <f>IF(AND('Ratings'!A21&lt;&gt;"",'Ratings'!J5&lt;&gt;""),'Ratings'!A21,"")</f>
        <v/>
      </c>
      <c r="B247">
        <f>IF(A247="","",'Employees'!C6)</f>
        <v/>
      </c>
      <c r="C247">
        <f>IF(A247="","",'Ratings'!C21)</f>
        <v/>
      </c>
      <c r="D247">
        <f>IF(A247="","",'Ratings'!D21)</f>
        <v/>
      </c>
      <c r="E247">
        <f>IF(AND('Ratings'!A21&lt;&gt;"",'Ratings'!J5&lt;&gt;""),'Ratings'!J5,"")</f>
        <v/>
      </c>
      <c r="F247">
        <f>IF(OR(A247="",'Ratings'!J21=""),"",'Ratings'!J21)</f>
        <v/>
      </c>
      <c r="G247">
        <f>IF(A247="","",'Employees'!D6)</f>
        <v/>
      </c>
    </row>
    <row r="248">
      <c r="A248">
        <f>IF(AND('Ratings'!A21&lt;&gt;"",'Ratings'!K5&lt;&gt;""),'Ratings'!A21,"")</f>
        <v/>
      </c>
      <c r="B248">
        <f>IF(A248="","",'Employees'!C6)</f>
        <v/>
      </c>
      <c r="C248">
        <f>IF(A248="","",'Ratings'!C21)</f>
        <v/>
      </c>
      <c r="D248">
        <f>IF(A248="","",'Ratings'!D21)</f>
        <v/>
      </c>
      <c r="E248">
        <f>IF(AND('Ratings'!A21&lt;&gt;"",'Ratings'!K5&lt;&gt;""),'Ratings'!K5,"")</f>
        <v/>
      </c>
      <c r="F248">
        <f>IF(OR(A248="",'Ratings'!K21=""),"",'Ratings'!K21)</f>
        <v/>
      </c>
      <c r="G248">
        <f>IF(A248="","",'Employees'!D6)</f>
        <v/>
      </c>
    </row>
    <row r="249">
      <c r="A249">
        <f>IF(AND('Ratings'!A21&lt;&gt;"",'Ratings'!L5&lt;&gt;""),'Ratings'!A21,"")</f>
        <v/>
      </c>
      <c r="B249">
        <f>IF(A249="","",'Employees'!C6)</f>
        <v/>
      </c>
      <c r="C249">
        <f>IF(A249="","",'Ratings'!C21)</f>
        <v/>
      </c>
      <c r="D249">
        <f>IF(A249="","",'Ratings'!D21)</f>
        <v/>
      </c>
      <c r="E249">
        <f>IF(AND('Ratings'!A21&lt;&gt;"",'Ratings'!L5&lt;&gt;""),'Ratings'!L5,"")</f>
        <v/>
      </c>
      <c r="F249">
        <f>IF(OR(A249="",'Ratings'!L21=""),"",'Ratings'!L21)</f>
        <v/>
      </c>
      <c r="G249">
        <f>IF(A249="","",'Employees'!D6)</f>
        <v/>
      </c>
    </row>
    <row r="250">
      <c r="A250">
        <f>IF(AND('Ratings'!A21&lt;&gt;"",'Ratings'!M5&lt;&gt;""),'Ratings'!A21,"")</f>
        <v/>
      </c>
      <c r="B250">
        <f>IF(A250="","",'Employees'!C6)</f>
        <v/>
      </c>
      <c r="C250">
        <f>IF(A250="","",'Ratings'!C21)</f>
        <v/>
      </c>
      <c r="D250">
        <f>IF(A250="","",'Ratings'!D21)</f>
        <v/>
      </c>
      <c r="E250">
        <f>IF(AND('Ratings'!A21&lt;&gt;"",'Ratings'!M5&lt;&gt;""),'Ratings'!M5,"")</f>
        <v/>
      </c>
      <c r="F250">
        <f>IF(OR(A250="",'Ratings'!M21=""),"",'Ratings'!M21)</f>
        <v/>
      </c>
      <c r="G250">
        <f>IF(A250="","",'Employees'!D6)</f>
        <v/>
      </c>
    </row>
    <row r="251">
      <c r="A251">
        <f>IF(AND('Ratings'!A21&lt;&gt;"",'Ratings'!N5&lt;&gt;""),'Ratings'!A21,"")</f>
        <v/>
      </c>
      <c r="B251">
        <f>IF(A251="","",'Employees'!C6)</f>
        <v/>
      </c>
      <c r="C251">
        <f>IF(A251="","",'Ratings'!C21)</f>
        <v/>
      </c>
      <c r="D251">
        <f>IF(A251="","",'Ratings'!D21)</f>
        <v/>
      </c>
      <c r="E251">
        <f>IF(AND('Ratings'!A21&lt;&gt;"",'Ratings'!N5&lt;&gt;""),'Ratings'!N5,"")</f>
        <v/>
      </c>
      <c r="F251">
        <f>IF(OR(A251="",'Ratings'!N21=""),"",'Ratings'!N21)</f>
        <v/>
      </c>
      <c r="G251">
        <f>IF(A251="","",'Employees'!D6)</f>
        <v/>
      </c>
    </row>
    <row r="252">
      <c r="A252">
        <f>IF(AND('Ratings'!A21&lt;&gt;"",'Ratings'!O5&lt;&gt;""),'Ratings'!A21,"")</f>
        <v/>
      </c>
      <c r="B252">
        <f>IF(A252="","",'Employees'!C6)</f>
        <v/>
      </c>
      <c r="C252">
        <f>IF(A252="","",'Ratings'!C21)</f>
        <v/>
      </c>
      <c r="D252">
        <f>IF(A252="","",'Ratings'!D21)</f>
        <v/>
      </c>
      <c r="E252">
        <f>IF(AND('Ratings'!A21&lt;&gt;"",'Ratings'!O5&lt;&gt;""),'Ratings'!O5,"")</f>
        <v/>
      </c>
      <c r="F252">
        <f>IF(OR(A252="",'Ratings'!O21=""),"",'Ratings'!O21)</f>
        <v/>
      </c>
      <c r="G252">
        <f>IF(A252="","",'Employees'!D6)</f>
        <v/>
      </c>
    </row>
    <row r="253">
      <c r="A253">
        <f>IF(AND('Ratings'!A21&lt;&gt;"",'Ratings'!P5&lt;&gt;""),'Ratings'!A21,"")</f>
        <v/>
      </c>
      <c r="B253">
        <f>IF(A253="","",'Employees'!C6)</f>
        <v/>
      </c>
      <c r="C253">
        <f>IF(A253="","",'Ratings'!C21)</f>
        <v/>
      </c>
      <c r="D253">
        <f>IF(A253="","",'Ratings'!D21)</f>
        <v/>
      </c>
      <c r="E253">
        <f>IF(AND('Ratings'!A21&lt;&gt;"",'Ratings'!P5&lt;&gt;""),'Ratings'!P5,"")</f>
        <v/>
      </c>
      <c r="F253">
        <f>IF(OR(A253="",'Ratings'!P21=""),"",'Ratings'!P21)</f>
        <v/>
      </c>
      <c r="G253">
        <f>IF(A253="","",'Employees'!D6)</f>
        <v/>
      </c>
    </row>
    <row r="254">
      <c r="A254">
        <f>IF(AND('Ratings'!A21&lt;&gt;"",'Ratings'!Q5&lt;&gt;""),'Ratings'!A21,"")</f>
        <v/>
      </c>
      <c r="B254">
        <f>IF(A254="","",'Employees'!C6)</f>
        <v/>
      </c>
      <c r="C254">
        <f>IF(A254="","",'Ratings'!C21)</f>
        <v/>
      </c>
      <c r="D254">
        <f>IF(A254="","",'Ratings'!D21)</f>
        <v/>
      </c>
      <c r="E254">
        <f>IF(AND('Ratings'!A21&lt;&gt;"",'Ratings'!Q5&lt;&gt;""),'Ratings'!Q5,"")</f>
        <v/>
      </c>
      <c r="F254">
        <f>IF(OR(A254="",'Ratings'!Q21=""),"",'Ratings'!Q21)</f>
        <v/>
      </c>
      <c r="G254">
        <f>IF(A254="","",'Employees'!D6)</f>
        <v/>
      </c>
    </row>
    <row r="255">
      <c r="A255">
        <f>IF(AND('Ratings'!A21&lt;&gt;"",'Ratings'!R5&lt;&gt;""),'Ratings'!A21,"")</f>
        <v/>
      </c>
      <c r="B255">
        <f>IF(A255="","",'Employees'!C6)</f>
        <v/>
      </c>
      <c r="C255">
        <f>IF(A255="","",'Ratings'!C21)</f>
        <v/>
      </c>
      <c r="D255">
        <f>IF(A255="","",'Ratings'!D21)</f>
        <v/>
      </c>
      <c r="E255">
        <f>IF(AND('Ratings'!A21&lt;&gt;"",'Ratings'!R5&lt;&gt;""),'Ratings'!R5,"")</f>
        <v/>
      </c>
      <c r="F255">
        <f>IF(OR(A255="",'Ratings'!R21=""),"",'Ratings'!R21)</f>
        <v/>
      </c>
      <c r="G255">
        <f>IF(A255="","",'Employees'!D6)</f>
        <v/>
      </c>
    </row>
    <row r="256">
      <c r="A256">
        <f>IF(AND('Ratings'!A21&lt;&gt;"",'Ratings'!S5&lt;&gt;""),'Ratings'!A21,"")</f>
        <v/>
      </c>
      <c r="B256">
        <f>IF(A256="","",'Employees'!C6)</f>
        <v/>
      </c>
      <c r="C256">
        <f>IF(A256="","",'Ratings'!C21)</f>
        <v/>
      </c>
      <c r="D256">
        <f>IF(A256="","",'Ratings'!D21)</f>
        <v/>
      </c>
      <c r="E256">
        <f>IF(AND('Ratings'!A21&lt;&gt;"",'Ratings'!S5&lt;&gt;""),'Ratings'!S5,"")</f>
        <v/>
      </c>
      <c r="F256">
        <f>IF(OR(A256="",'Ratings'!S21=""),"",'Ratings'!S21)</f>
        <v/>
      </c>
      <c r="G256">
        <f>IF(A256="","",'Employees'!D6)</f>
        <v/>
      </c>
    </row>
    <row r="257">
      <c r="A257">
        <f>IF(AND('Ratings'!A21&lt;&gt;"",'Ratings'!T5&lt;&gt;""),'Ratings'!A21,"")</f>
        <v/>
      </c>
      <c r="B257">
        <f>IF(A257="","",'Employees'!C6)</f>
        <v/>
      </c>
      <c r="C257">
        <f>IF(A257="","",'Ratings'!C21)</f>
        <v/>
      </c>
      <c r="D257">
        <f>IF(A257="","",'Ratings'!D21)</f>
        <v/>
      </c>
      <c r="E257">
        <f>IF(AND('Ratings'!A21&lt;&gt;"",'Ratings'!T5&lt;&gt;""),'Ratings'!T5,"")</f>
        <v/>
      </c>
      <c r="F257">
        <f>IF(OR(A257="",'Ratings'!T21=""),"",'Ratings'!T21)</f>
        <v/>
      </c>
      <c r="G257">
        <f>IF(A257="","",'Employees'!D6)</f>
        <v/>
      </c>
    </row>
    <row r="258">
      <c r="A258">
        <f>IF(AND('Ratings'!A22&lt;&gt;"",'Ratings'!E5&lt;&gt;""),'Ratings'!A22,"")</f>
        <v/>
      </c>
      <c r="B258">
        <f>IF(A258="","",'Employees'!C7)</f>
        <v/>
      </c>
      <c r="C258">
        <f>IF(A258="","",'Ratings'!C22)</f>
        <v/>
      </c>
      <c r="D258">
        <f>IF(A258="","",'Ratings'!D22)</f>
        <v/>
      </c>
      <c r="E258">
        <f>IF(AND('Ratings'!A22&lt;&gt;"",'Ratings'!E5&lt;&gt;""),'Ratings'!E5,"")</f>
        <v/>
      </c>
      <c r="F258">
        <f>IF(OR(A258="",'Ratings'!E22=""),"",'Ratings'!E22)</f>
        <v/>
      </c>
      <c r="G258">
        <f>IF(A258="","",'Employees'!D7)</f>
        <v/>
      </c>
    </row>
    <row r="259">
      <c r="A259">
        <f>IF(AND('Ratings'!A22&lt;&gt;"",'Ratings'!F5&lt;&gt;""),'Ratings'!A22,"")</f>
        <v/>
      </c>
      <c r="B259">
        <f>IF(A259="","",'Employees'!C7)</f>
        <v/>
      </c>
      <c r="C259">
        <f>IF(A259="","",'Ratings'!C22)</f>
        <v/>
      </c>
      <c r="D259">
        <f>IF(A259="","",'Ratings'!D22)</f>
        <v/>
      </c>
      <c r="E259">
        <f>IF(AND('Ratings'!A22&lt;&gt;"",'Ratings'!F5&lt;&gt;""),'Ratings'!F5,"")</f>
        <v/>
      </c>
      <c r="F259">
        <f>IF(OR(A259="",'Ratings'!F22=""),"",'Ratings'!F22)</f>
        <v/>
      </c>
      <c r="G259">
        <f>IF(A259="","",'Employees'!D7)</f>
        <v/>
      </c>
    </row>
    <row r="260">
      <c r="A260">
        <f>IF(AND('Ratings'!A22&lt;&gt;"",'Ratings'!G5&lt;&gt;""),'Ratings'!A22,"")</f>
        <v/>
      </c>
      <c r="B260">
        <f>IF(A260="","",'Employees'!C7)</f>
        <v/>
      </c>
      <c r="C260">
        <f>IF(A260="","",'Ratings'!C22)</f>
        <v/>
      </c>
      <c r="D260">
        <f>IF(A260="","",'Ratings'!D22)</f>
        <v/>
      </c>
      <c r="E260">
        <f>IF(AND('Ratings'!A22&lt;&gt;"",'Ratings'!G5&lt;&gt;""),'Ratings'!G5,"")</f>
        <v/>
      </c>
      <c r="F260">
        <f>IF(OR(A260="",'Ratings'!G22=""),"",'Ratings'!G22)</f>
        <v/>
      </c>
      <c r="G260">
        <f>IF(A260="","",'Employees'!D7)</f>
        <v/>
      </c>
    </row>
    <row r="261">
      <c r="A261">
        <f>IF(AND('Ratings'!A22&lt;&gt;"",'Ratings'!H5&lt;&gt;""),'Ratings'!A22,"")</f>
        <v/>
      </c>
      <c r="B261">
        <f>IF(A261="","",'Employees'!C7)</f>
        <v/>
      </c>
      <c r="C261">
        <f>IF(A261="","",'Ratings'!C22)</f>
        <v/>
      </c>
      <c r="D261">
        <f>IF(A261="","",'Ratings'!D22)</f>
        <v/>
      </c>
      <c r="E261">
        <f>IF(AND('Ratings'!A22&lt;&gt;"",'Ratings'!H5&lt;&gt;""),'Ratings'!H5,"")</f>
        <v/>
      </c>
      <c r="F261">
        <f>IF(OR(A261="",'Ratings'!H22=""),"",'Ratings'!H22)</f>
        <v/>
      </c>
      <c r="G261">
        <f>IF(A261="","",'Employees'!D7)</f>
        <v/>
      </c>
    </row>
    <row r="262">
      <c r="A262">
        <f>IF(AND('Ratings'!A22&lt;&gt;"",'Ratings'!I5&lt;&gt;""),'Ratings'!A22,"")</f>
        <v/>
      </c>
      <c r="B262">
        <f>IF(A262="","",'Employees'!C7)</f>
        <v/>
      </c>
      <c r="C262">
        <f>IF(A262="","",'Ratings'!C22)</f>
        <v/>
      </c>
      <c r="D262">
        <f>IF(A262="","",'Ratings'!D22)</f>
        <v/>
      </c>
      <c r="E262">
        <f>IF(AND('Ratings'!A22&lt;&gt;"",'Ratings'!I5&lt;&gt;""),'Ratings'!I5,"")</f>
        <v/>
      </c>
      <c r="F262">
        <f>IF(OR(A262="",'Ratings'!I22=""),"",'Ratings'!I22)</f>
        <v/>
      </c>
      <c r="G262">
        <f>IF(A262="","",'Employees'!D7)</f>
        <v/>
      </c>
    </row>
    <row r="263">
      <c r="A263">
        <f>IF(AND('Ratings'!A22&lt;&gt;"",'Ratings'!J5&lt;&gt;""),'Ratings'!A22,"")</f>
        <v/>
      </c>
      <c r="B263">
        <f>IF(A263="","",'Employees'!C7)</f>
        <v/>
      </c>
      <c r="C263">
        <f>IF(A263="","",'Ratings'!C22)</f>
        <v/>
      </c>
      <c r="D263">
        <f>IF(A263="","",'Ratings'!D22)</f>
        <v/>
      </c>
      <c r="E263">
        <f>IF(AND('Ratings'!A22&lt;&gt;"",'Ratings'!J5&lt;&gt;""),'Ratings'!J5,"")</f>
        <v/>
      </c>
      <c r="F263">
        <f>IF(OR(A263="",'Ratings'!J22=""),"",'Ratings'!J22)</f>
        <v/>
      </c>
      <c r="G263">
        <f>IF(A263="","",'Employees'!D7)</f>
        <v/>
      </c>
    </row>
    <row r="264">
      <c r="A264">
        <f>IF(AND('Ratings'!A22&lt;&gt;"",'Ratings'!K5&lt;&gt;""),'Ratings'!A22,"")</f>
        <v/>
      </c>
      <c r="B264">
        <f>IF(A264="","",'Employees'!C7)</f>
        <v/>
      </c>
      <c r="C264">
        <f>IF(A264="","",'Ratings'!C22)</f>
        <v/>
      </c>
      <c r="D264">
        <f>IF(A264="","",'Ratings'!D22)</f>
        <v/>
      </c>
      <c r="E264">
        <f>IF(AND('Ratings'!A22&lt;&gt;"",'Ratings'!K5&lt;&gt;""),'Ratings'!K5,"")</f>
        <v/>
      </c>
      <c r="F264">
        <f>IF(OR(A264="",'Ratings'!K22=""),"",'Ratings'!K22)</f>
        <v/>
      </c>
      <c r="G264">
        <f>IF(A264="","",'Employees'!D7)</f>
        <v/>
      </c>
    </row>
    <row r="265">
      <c r="A265">
        <f>IF(AND('Ratings'!A22&lt;&gt;"",'Ratings'!L5&lt;&gt;""),'Ratings'!A22,"")</f>
        <v/>
      </c>
      <c r="B265">
        <f>IF(A265="","",'Employees'!C7)</f>
        <v/>
      </c>
      <c r="C265">
        <f>IF(A265="","",'Ratings'!C22)</f>
        <v/>
      </c>
      <c r="D265">
        <f>IF(A265="","",'Ratings'!D22)</f>
        <v/>
      </c>
      <c r="E265">
        <f>IF(AND('Ratings'!A22&lt;&gt;"",'Ratings'!L5&lt;&gt;""),'Ratings'!L5,"")</f>
        <v/>
      </c>
      <c r="F265">
        <f>IF(OR(A265="",'Ratings'!L22=""),"",'Ratings'!L22)</f>
        <v/>
      </c>
      <c r="G265">
        <f>IF(A265="","",'Employees'!D7)</f>
        <v/>
      </c>
    </row>
    <row r="266">
      <c r="A266">
        <f>IF(AND('Ratings'!A22&lt;&gt;"",'Ratings'!M5&lt;&gt;""),'Ratings'!A22,"")</f>
        <v/>
      </c>
      <c r="B266">
        <f>IF(A266="","",'Employees'!C7)</f>
        <v/>
      </c>
      <c r="C266">
        <f>IF(A266="","",'Ratings'!C22)</f>
        <v/>
      </c>
      <c r="D266">
        <f>IF(A266="","",'Ratings'!D22)</f>
        <v/>
      </c>
      <c r="E266">
        <f>IF(AND('Ratings'!A22&lt;&gt;"",'Ratings'!M5&lt;&gt;""),'Ratings'!M5,"")</f>
        <v/>
      </c>
      <c r="F266">
        <f>IF(OR(A266="",'Ratings'!M22=""),"",'Ratings'!M22)</f>
        <v/>
      </c>
      <c r="G266">
        <f>IF(A266="","",'Employees'!D7)</f>
        <v/>
      </c>
    </row>
    <row r="267">
      <c r="A267">
        <f>IF(AND('Ratings'!A22&lt;&gt;"",'Ratings'!N5&lt;&gt;""),'Ratings'!A22,"")</f>
        <v/>
      </c>
      <c r="B267">
        <f>IF(A267="","",'Employees'!C7)</f>
        <v/>
      </c>
      <c r="C267">
        <f>IF(A267="","",'Ratings'!C22)</f>
        <v/>
      </c>
      <c r="D267">
        <f>IF(A267="","",'Ratings'!D22)</f>
        <v/>
      </c>
      <c r="E267">
        <f>IF(AND('Ratings'!A22&lt;&gt;"",'Ratings'!N5&lt;&gt;""),'Ratings'!N5,"")</f>
        <v/>
      </c>
      <c r="F267">
        <f>IF(OR(A267="",'Ratings'!N22=""),"",'Ratings'!N22)</f>
        <v/>
      </c>
      <c r="G267">
        <f>IF(A267="","",'Employees'!D7)</f>
        <v/>
      </c>
    </row>
    <row r="268">
      <c r="A268">
        <f>IF(AND('Ratings'!A22&lt;&gt;"",'Ratings'!O5&lt;&gt;""),'Ratings'!A22,"")</f>
        <v/>
      </c>
      <c r="B268">
        <f>IF(A268="","",'Employees'!C7)</f>
        <v/>
      </c>
      <c r="C268">
        <f>IF(A268="","",'Ratings'!C22)</f>
        <v/>
      </c>
      <c r="D268">
        <f>IF(A268="","",'Ratings'!D22)</f>
        <v/>
      </c>
      <c r="E268">
        <f>IF(AND('Ratings'!A22&lt;&gt;"",'Ratings'!O5&lt;&gt;""),'Ratings'!O5,"")</f>
        <v/>
      </c>
      <c r="F268">
        <f>IF(OR(A268="",'Ratings'!O22=""),"",'Ratings'!O22)</f>
        <v/>
      </c>
      <c r="G268">
        <f>IF(A268="","",'Employees'!D7)</f>
        <v/>
      </c>
    </row>
    <row r="269">
      <c r="A269">
        <f>IF(AND('Ratings'!A22&lt;&gt;"",'Ratings'!P5&lt;&gt;""),'Ratings'!A22,"")</f>
        <v/>
      </c>
      <c r="B269">
        <f>IF(A269="","",'Employees'!C7)</f>
        <v/>
      </c>
      <c r="C269">
        <f>IF(A269="","",'Ratings'!C22)</f>
        <v/>
      </c>
      <c r="D269">
        <f>IF(A269="","",'Ratings'!D22)</f>
        <v/>
      </c>
      <c r="E269">
        <f>IF(AND('Ratings'!A22&lt;&gt;"",'Ratings'!P5&lt;&gt;""),'Ratings'!P5,"")</f>
        <v/>
      </c>
      <c r="F269">
        <f>IF(OR(A269="",'Ratings'!P22=""),"",'Ratings'!P22)</f>
        <v/>
      </c>
      <c r="G269">
        <f>IF(A269="","",'Employees'!D7)</f>
        <v/>
      </c>
    </row>
    <row r="270">
      <c r="A270">
        <f>IF(AND('Ratings'!A22&lt;&gt;"",'Ratings'!Q5&lt;&gt;""),'Ratings'!A22,"")</f>
        <v/>
      </c>
      <c r="B270">
        <f>IF(A270="","",'Employees'!C7)</f>
        <v/>
      </c>
      <c r="C270">
        <f>IF(A270="","",'Ratings'!C22)</f>
        <v/>
      </c>
      <c r="D270">
        <f>IF(A270="","",'Ratings'!D22)</f>
        <v/>
      </c>
      <c r="E270">
        <f>IF(AND('Ratings'!A22&lt;&gt;"",'Ratings'!Q5&lt;&gt;""),'Ratings'!Q5,"")</f>
        <v/>
      </c>
      <c r="F270">
        <f>IF(OR(A270="",'Ratings'!Q22=""),"",'Ratings'!Q22)</f>
        <v/>
      </c>
      <c r="G270">
        <f>IF(A270="","",'Employees'!D7)</f>
        <v/>
      </c>
    </row>
    <row r="271">
      <c r="A271">
        <f>IF(AND('Ratings'!A22&lt;&gt;"",'Ratings'!R5&lt;&gt;""),'Ratings'!A22,"")</f>
        <v/>
      </c>
      <c r="B271">
        <f>IF(A271="","",'Employees'!C7)</f>
        <v/>
      </c>
      <c r="C271">
        <f>IF(A271="","",'Ratings'!C22)</f>
        <v/>
      </c>
      <c r="D271">
        <f>IF(A271="","",'Ratings'!D22)</f>
        <v/>
      </c>
      <c r="E271">
        <f>IF(AND('Ratings'!A22&lt;&gt;"",'Ratings'!R5&lt;&gt;""),'Ratings'!R5,"")</f>
        <v/>
      </c>
      <c r="F271">
        <f>IF(OR(A271="",'Ratings'!R22=""),"",'Ratings'!R22)</f>
        <v/>
      </c>
      <c r="G271">
        <f>IF(A271="","",'Employees'!D7)</f>
        <v/>
      </c>
    </row>
    <row r="272">
      <c r="A272">
        <f>IF(AND('Ratings'!A22&lt;&gt;"",'Ratings'!S5&lt;&gt;""),'Ratings'!A22,"")</f>
        <v/>
      </c>
      <c r="B272">
        <f>IF(A272="","",'Employees'!C7)</f>
        <v/>
      </c>
      <c r="C272">
        <f>IF(A272="","",'Ratings'!C22)</f>
        <v/>
      </c>
      <c r="D272">
        <f>IF(A272="","",'Ratings'!D22)</f>
        <v/>
      </c>
      <c r="E272">
        <f>IF(AND('Ratings'!A22&lt;&gt;"",'Ratings'!S5&lt;&gt;""),'Ratings'!S5,"")</f>
        <v/>
      </c>
      <c r="F272">
        <f>IF(OR(A272="",'Ratings'!S22=""),"",'Ratings'!S22)</f>
        <v/>
      </c>
      <c r="G272">
        <f>IF(A272="","",'Employees'!D7)</f>
        <v/>
      </c>
    </row>
    <row r="273">
      <c r="A273">
        <f>IF(AND('Ratings'!A22&lt;&gt;"",'Ratings'!T5&lt;&gt;""),'Ratings'!A22,"")</f>
        <v/>
      </c>
      <c r="B273">
        <f>IF(A273="","",'Employees'!C7)</f>
        <v/>
      </c>
      <c r="C273">
        <f>IF(A273="","",'Ratings'!C22)</f>
        <v/>
      </c>
      <c r="D273">
        <f>IF(A273="","",'Ratings'!D22)</f>
        <v/>
      </c>
      <c r="E273">
        <f>IF(AND('Ratings'!A22&lt;&gt;"",'Ratings'!T5&lt;&gt;""),'Ratings'!T5,"")</f>
        <v/>
      </c>
      <c r="F273">
        <f>IF(OR(A273="",'Ratings'!T22=""),"",'Ratings'!T22)</f>
        <v/>
      </c>
      <c r="G273">
        <f>IF(A273="","",'Employees'!D7)</f>
        <v/>
      </c>
    </row>
    <row r="274">
      <c r="A274">
        <f>IF(AND('Ratings'!A23&lt;&gt;"",'Ratings'!E5&lt;&gt;""),'Ratings'!A23,"")</f>
        <v/>
      </c>
      <c r="B274">
        <f>IF(A274="","",'Employees'!C7)</f>
        <v/>
      </c>
      <c r="C274">
        <f>IF(A274="","",'Ratings'!C23)</f>
        <v/>
      </c>
      <c r="D274">
        <f>IF(A274="","",'Ratings'!D23)</f>
        <v/>
      </c>
      <c r="E274">
        <f>IF(AND('Ratings'!A23&lt;&gt;"",'Ratings'!E5&lt;&gt;""),'Ratings'!E5,"")</f>
        <v/>
      </c>
      <c r="F274">
        <f>IF(OR(A274="",'Ratings'!E23=""),"",'Ratings'!E23)</f>
        <v/>
      </c>
      <c r="G274">
        <f>IF(A274="","",'Employees'!D7)</f>
        <v/>
      </c>
    </row>
    <row r="275">
      <c r="A275">
        <f>IF(AND('Ratings'!A23&lt;&gt;"",'Ratings'!F5&lt;&gt;""),'Ratings'!A23,"")</f>
        <v/>
      </c>
      <c r="B275">
        <f>IF(A275="","",'Employees'!C7)</f>
        <v/>
      </c>
      <c r="C275">
        <f>IF(A275="","",'Ratings'!C23)</f>
        <v/>
      </c>
      <c r="D275">
        <f>IF(A275="","",'Ratings'!D23)</f>
        <v/>
      </c>
      <c r="E275">
        <f>IF(AND('Ratings'!A23&lt;&gt;"",'Ratings'!F5&lt;&gt;""),'Ratings'!F5,"")</f>
        <v/>
      </c>
      <c r="F275">
        <f>IF(OR(A275="",'Ratings'!F23=""),"",'Ratings'!F23)</f>
        <v/>
      </c>
      <c r="G275">
        <f>IF(A275="","",'Employees'!D7)</f>
        <v/>
      </c>
    </row>
    <row r="276">
      <c r="A276">
        <f>IF(AND('Ratings'!A23&lt;&gt;"",'Ratings'!G5&lt;&gt;""),'Ratings'!A23,"")</f>
        <v/>
      </c>
      <c r="B276">
        <f>IF(A276="","",'Employees'!C7)</f>
        <v/>
      </c>
      <c r="C276">
        <f>IF(A276="","",'Ratings'!C23)</f>
        <v/>
      </c>
      <c r="D276">
        <f>IF(A276="","",'Ratings'!D23)</f>
        <v/>
      </c>
      <c r="E276">
        <f>IF(AND('Ratings'!A23&lt;&gt;"",'Ratings'!G5&lt;&gt;""),'Ratings'!G5,"")</f>
        <v/>
      </c>
      <c r="F276">
        <f>IF(OR(A276="",'Ratings'!G23=""),"",'Ratings'!G23)</f>
        <v/>
      </c>
      <c r="G276">
        <f>IF(A276="","",'Employees'!D7)</f>
        <v/>
      </c>
    </row>
    <row r="277">
      <c r="A277">
        <f>IF(AND('Ratings'!A23&lt;&gt;"",'Ratings'!H5&lt;&gt;""),'Ratings'!A23,"")</f>
        <v/>
      </c>
      <c r="B277">
        <f>IF(A277="","",'Employees'!C7)</f>
        <v/>
      </c>
      <c r="C277">
        <f>IF(A277="","",'Ratings'!C23)</f>
        <v/>
      </c>
      <c r="D277">
        <f>IF(A277="","",'Ratings'!D23)</f>
        <v/>
      </c>
      <c r="E277">
        <f>IF(AND('Ratings'!A23&lt;&gt;"",'Ratings'!H5&lt;&gt;""),'Ratings'!H5,"")</f>
        <v/>
      </c>
      <c r="F277">
        <f>IF(OR(A277="",'Ratings'!H23=""),"",'Ratings'!H23)</f>
        <v/>
      </c>
      <c r="G277">
        <f>IF(A277="","",'Employees'!D7)</f>
        <v/>
      </c>
    </row>
    <row r="278">
      <c r="A278">
        <f>IF(AND('Ratings'!A23&lt;&gt;"",'Ratings'!I5&lt;&gt;""),'Ratings'!A23,"")</f>
        <v/>
      </c>
      <c r="B278">
        <f>IF(A278="","",'Employees'!C7)</f>
        <v/>
      </c>
      <c r="C278">
        <f>IF(A278="","",'Ratings'!C23)</f>
        <v/>
      </c>
      <c r="D278">
        <f>IF(A278="","",'Ratings'!D23)</f>
        <v/>
      </c>
      <c r="E278">
        <f>IF(AND('Ratings'!A23&lt;&gt;"",'Ratings'!I5&lt;&gt;""),'Ratings'!I5,"")</f>
        <v/>
      </c>
      <c r="F278">
        <f>IF(OR(A278="",'Ratings'!I23=""),"",'Ratings'!I23)</f>
        <v/>
      </c>
      <c r="G278">
        <f>IF(A278="","",'Employees'!D7)</f>
        <v/>
      </c>
    </row>
    <row r="279">
      <c r="A279">
        <f>IF(AND('Ratings'!A23&lt;&gt;"",'Ratings'!J5&lt;&gt;""),'Ratings'!A23,"")</f>
        <v/>
      </c>
      <c r="B279">
        <f>IF(A279="","",'Employees'!C7)</f>
        <v/>
      </c>
      <c r="C279">
        <f>IF(A279="","",'Ratings'!C23)</f>
        <v/>
      </c>
      <c r="D279">
        <f>IF(A279="","",'Ratings'!D23)</f>
        <v/>
      </c>
      <c r="E279">
        <f>IF(AND('Ratings'!A23&lt;&gt;"",'Ratings'!J5&lt;&gt;""),'Ratings'!J5,"")</f>
        <v/>
      </c>
      <c r="F279">
        <f>IF(OR(A279="",'Ratings'!J23=""),"",'Ratings'!J23)</f>
        <v/>
      </c>
      <c r="G279">
        <f>IF(A279="","",'Employees'!D7)</f>
        <v/>
      </c>
    </row>
    <row r="280">
      <c r="A280">
        <f>IF(AND('Ratings'!A23&lt;&gt;"",'Ratings'!K5&lt;&gt;""),'Ratings'!A23,"")</f>
        <v/>
      </c>
      <c r="B280">
        <f>IF(A280="","",'Employees'!C7)</f>
        <v/>
      </c>
      <c r="C280">
        <f>IF(A280="","",'Ratings'!C23)</f>
        <v/>
      </c>
      <c r="D280">
        <f>IF(A280="","",'Ratings'!D23)</f>
        <v/>
      </c>
      <c r="E280">
        <f>IF(AND('Ratings'!A23&lt;&gt;"",'Ratings'!K5&lt;&gt;""),'Ratings'!K5,"")</f>
        <v/>
      </c>
      <c r="F280">
        <f>IF(OR(A280="",'Ratings'!K23=""),"",'Ratings'!K23)</f>
        <v/>
      </c>
      <c r="G280">
        <f>IF(A280="","",'Employees'!D7)</f>
        <v/>
      </c>
    </row>
    <row r="281">
      <c r="A281">
        <f>IF(AND('Ratings'!A23&lt;&gt;"",'Ratings'!L5&lt;&gt;""),'Ratings'!A23,"")</f>
        <v/>
      </c>
      <c r="B281">
        <f>IF(A281="","",'Employees'!C7)</f>
        <v/>
      </c>
      <c r="C281">
        <f>IF(A281="","",'Ratings'!C23)</f>
        <v/>
      </c>
      <c r="D281">
        <f>IF(A281="","",'Ratings'!D23)</f>
        <v/>
      </c>
      <c r="E281">
        <f>IF(AND('Ratings'!A23&lt;&gt;"",'Ratings'!L5&lt;&gt;""),'Ratings'!L5,"")</f>
        <v/>
      </c>
      <c r="F281">
        <f>IF(OR(A281="",'Ratings'!L23=""),"",'Ratings'!L23)</f>
        <v/>
      </c>
      <c r="G281">
        <f>IF(A281="","",'Employees'!D7)</f>
        <v/>
      </c>
    </row>
    <row r="282">
      <c r="A282">
        <f>IF(AND('Ratings'!A23&lt;&gt;"",'Ratings'!M5&lt;&gt;""),'Ratings'!A23,"")</f>
        <v/>
      </c>
      <c r="B282">
        <f>IF(A282="","",'Employees'!C7)</f>
        <v/>
      </c>
      <c r="C282">
        <f>IF(A282="","",'Ratings'!C23)</f>
        <v/>
      </c>
      <c r="D282">
        <f>IF(A282="","",'Ratings'!D23)</f>
        <v/>
      </c>
      <c r="E282">
        <f>IF(AND('Ratings'!A23&lt;&gt;"",'Ratings'!M5&lt;&gt;""),'Ratings'!M5,"")</f>
        <v/>
      </c>
      <c r="F282">
        <f>IF(OR(A282="",'Ratings'!M23=""),"",'Ratings'!M23)</f>
        <v/>
      </c>
      <c r="G282">
        <f>IF(A282="","",'Employees'!D7)</f>
        <v/>
      </c>
    </row>
    <row r="283">
      <c r="A283">
        <f>IF(AND('Ratings'!A23&lt;&gt;"",'Ratings'!N5&lt;&gt;""),'Ratings'!A23,"")</f>
        <v/>
      </c>
      <c r="B283">
        <f>IF(A283="","",'Employees'!C7)</f>
        <v/>
      </c>
      <c r="C283">
        <f>IF(A283="","",'Ratings'!C23)</f>
        <v/>
      </c>
      <c r="D283">
        <f>IF(A283="","",'Ratings'!D23)</f>
        <v/>
      </c>
      <c r="E283">
        <f>IF(AND('Ratings'!A23&lt;&gt;"",'Ratings'!N5&lt;&gt;""),'Ratings'!N5,"")</f>
        <v/>
      </c>
      <c r="F283">
        <f>IF(OR(A283="",'Ratings'!N23=""),"",'Ratings'!N23)</f>
        <v/>
      </c>
      <c r="G283">
        <f>IF(A283="","",'Employees'!D7)</f>
        <v/>
      </c>
    </row>
    <row r="284">
      <c r="A284">
        <f>IF(AND('Ratings'!A23&lt;&gt;"",'Ratings'!O5&lt;&gt;""),'Ratings'!A23,"")</f>
        <v/>
      </c>
      <c r="B284">
        <f>IF(A284="","",'Employees'!C7)</f>
        <v/>
      </c>
      <c r="C284">
        <f>IF(A284="","",'Ratings'!C23)</f>
        <v/>
      </c>
      <c r="D284">
        <f>IF(A284="","",'Ratings'!D23)</f>
        <v/>
      </c>
      <c r="E284">
        <f>IF(AND('Ratings'!A23&lt;&gt;"",'Ratings'!O5&lt;&gt;""),'Ratings'!O5,"")</f>
        <v/>
      </c>
      <c r="F284">
        <f>IF(OR(A284="",'Ratings'!O23=""),"",'Ratings'!O23)</f>
        <v/>
      </c>
      <c r="G284">
        <f>IF(A284="","",'Employees'!D7)</f>
        <v/>
      </c>
    </row>
    <row r="285">
      <c r="A285">
        <f>IF(AND('Ratings'!A23&lt;&gt;"",'Ratings'!P5&lt;&gt;""),'Ratings'!A23,"")</f>
        <v/>
      </c>
      <c r="B285">
        <f>IF(A285="","",'Employees'!C7)</f>
        <v/>
      </c>
      <c r="C285">
        <f>IF(A285="","",'Ratings'!C23)</f>
        <v/>
      </c>
      <c r="D285">
        <f>IF(A285="","",'Ratings'!D23)</f>
        <v/>
      </c>
      <c r="E285">
        <f>IF(AND('Ratings'!A23&lt;&gt;"",'Ratings'!P5&lt;&gt;""),'Ratings'!P5,"")</f>
        <v/>
      </c>
      <c r="F285">
        <f>IF(OR(A285="",'Ratings'!P23=""),"",'Ratings'!P23)</f>
        <v/>
      </c>
      <c r="G285">
        <f>IF(A285="","",'Employees'!D7)</f>
        <v/>
      </c>
    </row>
    <row r="286">
      <c r="A286">
        <f>IF(AND('Ratings'!A23&lt;&gt;"",'Ratings'!Q5&lt;&gt;""),'Ratings'!A23,"")</f>
        <v/>
      </c>
      <c r="B286">
        <f>IF(A286="","",'Employees'!C7)</f>
        <v/>
      </c>
      <c r="C286">
        <f>IF(A286="","",'Ratings'!C23)</f>
        <v/>
      </c>
      <c r="D286">
        <f>IF(A286="","",'Ratings'!D23)</f>
        <v/>
      </c>
      <c r="E286">
        <f>IF(AND('Ratings'!A23&lt;&gt;"",'Ratings'!Q5&lt;&gt;""),'Ratings'!Q5,"")</f>
        <v/>
      </c>
      <c r="F286">
        <f>IF(OR(A286="",'Ratings'!Q23=""),"",'Ratings'!Q23)</f>
        <v/>
      </c>
      <c r="G286">
        <f>IF(A286="","",'Employees'!D7)</f>
        <v/>
      </c>
    </row>
    <row r="287">
      <c r="A287">
        <f>IF(AND('Ratings'!A23&lt;&gt;"",'Ratings'!R5&lt;&gt;""),'Ratings'!A23,"")</f>
        <v/>
      </c>
      <c r="B287">
        <f>IF(A287="","",'Employees'!C7)</f>
        <v/>
      </c>
      <c r="C287">
        <f>IF(A287="","",'Ratings'!C23)</f>
        <v/>
      </c>
      <c r="D287">
        <f>IF(A287="","",'Ratings'!D23)</f>
        <v/>
      </c>
      <c r="E287">
        <f>IF(AND('Ratings'!A23&lt;&gt;"",'Ratings'!R5&lt;&gt;""),'Ratings'!R5,"")</f>
        <v/>
      </c>
      <c r="F287">
        <f>IF(OR(A287="",'Ratings'!R23=""),"",'Ratings'!R23)</f>
        <v/>
      </c>
      <c r="G287">
        <f>IF(A287="","",'Employees'!D7)</f>
        <v/>
      </c>
    </row>
    <row r="288">
      <c r="A288">
        <f>IF(AND('Ratings'!A23&lt;&gt;"",'Ratings'!S5&lt;&gt;""),'Ratings'!A23,"")</f>
        <v/>
      </c>
      <c r="B288">
        <f>IF(A288="","",'Employees'!C7)</f>
        <v/>
      </c>
      <c r="C288">
        <f>IF(A288="","",'Ratings'!C23)</f>
        <v/>
      </c>
      <c r="D288">
        <f>IF(A288="","",'Ratings'!D23)</f>
        <v/>
      </c>
      <c r="E288">
        <f>IF(AND('Ratings'!A23&lt;&gt;"",'Ratings'!S5&lt;&gt;""),'Ratings'!S5,"")</f>
        <v/>
      </c>
      <c r="F288">
        <f>IF(OR(A288="",'Ratings'!S23=""),"",'Ratings'!S23)</f>
        <v/>
      </c>
      <c r="G288">
        <f>IF(A288="","",'Employees'!D7)</f>
        <v/>
      </c>
    </row>
    <row r="289">
      <c r="A289">
        <f>IF(AND('Ratings'!A23&lt;&gt;"",'Ratings'!T5&lt;&gt;""),'Ratings'!A23,"")</f>
        <v/>
      </c>
      <c r="B289">
        <f>IF(A289="","",'Employees'!C7)</f>
        <v/>
      </c>
      <c r="C289">
        <f>IF(A289="","",'Ratings'!C23)</f>
        <v/>
      </c>
      <c r="D289">
        <f>IF(A289="","",'Ratings'!D23)</f>
        <v/>
      </c>
      <c r="E289">
        <f>IF(AND('Ratings'!A23&lt;&gt;"",'Ratings'!T5&lt;&gt;""),'Ratings'!T5,"")</f>
        <v/>
      </c>
      <c r="F289">
        <f>IF(OR(A289="",'Ratings'!T23=""),"",'Ratings'!T23)</f>
        <v/>
      </c>
      <c r="G289">
        <f>IF(A289="","",'Employees'!D7)</f>
        <v/>
      </c>
    </row>
    <row r="290">
      <c r="A290">
        <f>IF(AND('Ratings'!A24&lt;&gt;"",'Ratings'!E5&lt;&gt;""),'Ratings'!A24,"")</f>
        <v/>
      </c>
      <c r="B290">
        <f>IF(A290="","",'Employees'!C7)</f>
        <v/>
      </c>
      <c r="C290">
        <f>IF(A290="","",'Ratings'!C24)</f>
        <v/>
      </c>
      <c r="D290">
        <f>IF(A290="","",'Ratings'!D24)</f>
        <v/>
      </c>
      <c r="E290">
        <f>IF(AND('Ratings'!A24&lt;&gt;"",'Ratings'!E5&lt;&gt;""),'Ratings'!E5,"")</f>
        <v/>
      </c>
      <c r="F290">
        <f>IF(OR(A290="",'Ratings'!E24=""),"",'Ratings'!E24)</f>
        <v/>
      </c>
      <c r="G290">
        <f>IF(A290="","",'Employees'!D7)</f>
        <v/>
      </c>
    </row>
    <row r="291">
      <c r="A291">
        <f>IF(AND('Ratings'!A24&lt;&gt;"",'Ratings'!F5&lt;&gt;""),'Ratings'!A24,"")</f>
        <v/>
      </c>
      <c r="B291">
        <f>IF(A291="","",'Employees'!C7)</f>
        <v/>
      </c>
      <c r="C291">
        <f>IF(A291="","",'Ratings'!C24)</f>
        <v/>
      </c>
      <c r="D291">
        <f>IF(A291="","",'Ratings'!D24)</f>
        <v/>
      </c>
      <c r="E291">
        <f>IF(AND('Ratings'!A24&lt;&gt;"",'Ratings'!F5&lt;&gt;""),'Ratings'!F5,"")</f>
        <v/>
      </c>
      <c r="F291">
        <f>IF(OR(A291="",'Ratings'!F24=""),"",'Ratings'!F24)</f>
        <v/>
      </c>
      <c r="G291">
        <f>IF(A291="","",'Employees'!D7)</f>
        <v/>
      </c>
    </row>
    <row r="292">
      <c r="A292">
        <f>IF(AND('Ratings'!A24&lt;&gt;"",'Ratings'!G5&lt;&gt;""),'Ratings'!A24,"")</f>
        <v/>
      </c>
      <c r="B292">
        <f>IF(A292="","",'Employees'!C7)</f>
        <v/>
      </c>
      <c r="C292">
        <f>IF(A292="","",'Ratings'!C24)</f>
        <v/>
      </c>
      <c r="D292">
        <f>IF(A292="","",'Ratings'!D24)</f>
        <v/>
      </c>
      <c r="E292">
        <f>IF(AND('Ratings'!A24&lt;&gt;"",'Ratings'!G5&lt;&gt;""),'Ratings'!G5,"")</f>
        <v/>
      </c>
      <c r="F292">
        <f>IF(OR(A292="",'Ratings'!G24=""),"",'Ratings'!G24)</f>
        <v/>
      </c>
      <c r="G292">
        <f>IF(A292="","",'Employees'!D7)</f>
        <v/>
      </c>
    </row>
    <row r="293">
      <c r="A293">
        <f>IF(AND('Ratings'!A24&lt;&gt;"",'Ratings'!H5&lt;&gt;""),'Ratings'!A24,"")</f>
        <v/>
      </c>
      <c r="B293">
        <f>IF(A293="","",'Employees'!C7)</f>
        <v/>
      </c>
      <c r="C293">
        <f>IF(A293="","",'Ratings'!C24)</f>
        <v/>
      </c>
      <c r="D293">
        <f>IF(A293="","",'Ratings'!D24)</f>
        <v/>
      </c>
      <c r="E293">
        <f>IF(AND('Ratings'!A24&lt;&gt;"",'Ratings'!H5&lt;&gt;""),'Ratings'!H5,"")</f>
        <v/>
      </c>
      <c r="F293">
        <f>IF(OR(A293="",'Ratings'!H24=""),"",'Ratings'!H24)</f>
        <v/>
      </c>
      <c r="G293">
        <f>IF(A293="","",'Employees'!D7)</f>
        <v/>
      </c>
    </row>
    <row r="294">
      <c r="A294">
        <f>IF(AND('Ratings'!A24&lt;&gt;"",'Ratings'!I5&lt;&gt;""),'Ratings'!A24,"")</f>
        <v/>
      </c>
      <c r="B294">
        <f>IF(A294="","",'Employees'!C7)</f>
        <v/>
      </c>
      <c r="C294">
        <f>IF(A294="","",'Ratings'!C24)</f>
        <v/>
      </c>
      <c r="D294">
        <f>IF(A294="","",'Ratings'!D24)</f>
        <v/>
      </c>
      <c r="E294">
        <f>IF(AND('Ratings'!A24&lt;&gt;"",'Ratings'!I5&lt;&gt;""),'Ratings'!I5,"")</f>
        <v/>
      </c>
      <c r="F294">
        <f>IF(OR(A294="",'Ratings'!I24=""),"",'Ratings'!I24)</f>
        <v/>
      </c>
      <c r="G294">
        <f>IF(A294="","",'Employees'!D7)</f>
        <v/>
      </c>
    </row>
    <row r="295">
      <c r="A295">
        <f>IF(AND('Ratings'!A24&lt;&gt;"",'Ratings'!J5&lt;&gt;""),'Ratings'!A24,"")</f>
        <v/>
      </c>
      <c r="B295">
        <f>IF(A295="","",'Employees'!C7)</f>
        <v/>
      </c>
      <c r="C295">
        <f>IF(A295="","",'Ratings'!C24)</f>
        <v/>
      </c>
      <c r="D295">
        <f>IF(A295="","",'Ratings'!D24)</f>
        <v/>
      </c>
      <c r="E295">
        <f>IF(AND('Ratings'!A24&lt;&gt;"",'Ratings'!J5&lt;&gt;""),'Ratings'!J5,"")</f>
        <v/>
      </c>
      <c r="F295">
        <f>IF(OR(A295="",'Ratings'!J24=""),"",'Ratings'!J24)</f>
        <v/>
      </c>
      <c r="G295">
        <f>IF(A295="","",'Employees'!D7)</f>
        <v/>
      </c>
    </row>
    <row r="296">
      <c r="A296">
        <f>IF(AND('Ratings'!A24&lt;&gt;"",'Ratings'!K5&lt;&gt;""),'Ratings'!A24,"")</f>
        <v/>
      </c>
      <c r="B296">
        <f>IF(A296="","",'Employees'!C7)</f>
        <v/>
      </c>
      <c r="C296">
        <f>IF(A296="","",'Ratings'!C24)</f>
        <v/>
      </c>
      <c r="D296">
        <f>IF(A296="","",'Ratings'!D24)</f>
        <v/>
      </c>
      <c r="E296">
        <f>IF(AND('Ratings'!A24&lt;&gt;"",'Ratings'!K5&lt;&gt;""),'Ratings'!K5,"")</f>
        <v/>
      </c>
      <c r="F296">
        <f>IF(OR(A296="",'Ratings'!K24=""),"",'Ratings'!K24)</f>
        <v/>
      </c>
      <c r="G296">
        <f>IF(A296="","",'Employees'!D7)</f>
        <v/>
      </c>
    </row>
    <row r="297">
      <c r="A297">
        <f>IF(AND('Ratings'!A24&lt;&gt;"",'Ratings'!L5&lt;&gt;""),'Ratings'!A24,"")</f>
        <v/>
      </c>
      <c r="B297">
        <f>IF(A297="","",'Employees'!C7)</f>
        <v/>
      </c>
      <c r="C297">
        <f>IF(A297="","",'Ratings'!C24)</f>
        <v/>
      </c>
      <c r="D297">
        <f>IF(A297="","",'Ratings'!D24)</f>
        <v/>
      </c>
      <c r="E297">
        <f>IF(AND('Ratings'!A24&lt;&gt;"",'Ratings'!L5&lt;&gt;""),'Ratings'!L5,"")</f>
        <v/>
      </c>
      <c r="F297">
        <f>IF(OR(A297="",'Ratings'!L24=""),"",'Ratings'!L24)</f>
        <v/>
      </c>
      <c r="G297">
        <f>IF(A297="","",'Employees'!D7)</f>
        <v/>
      </c>
    </row>
    <row r="298">
      <c r="A298">
        <f>IF(AND('Ratings'!A24&lt;&gt;"",'Ratings'!M5&lt;&gt;""),'Ratings'!A24,"")</f>
        <v/>
      </c>
      <c r="B298">
        <f>IF(A298="","",'Employees'!C7)</f>
        <v/>
      </c>
      <c r="C298">
        <f>IF(A298="","",'Ratings'!C24)</f>
        <v/>
      </c>
      <c r="D298">
        <f>IF(A298="","",'Ratings'!D24)</f>
        <v/>
      </c>
      <c r="E298">
        <f>IF(AND('Ratings'!A24&lt;&gt;"",'Ratings'!M5&lt;&gt;""),'Ratings'!M5,"")</f>
        <v/>
      </c>
      <c r="F298">
        <f>IF(OR(A298="",'Ratings'!M24=""),"",'Ratings'!M24)</f>
        <v/>
      </c>
      <c r="G298">
        <f>IF(A298="","",'Employees'!D7)</f>
        <v/>
      </c>
    </row>
    <row r="299">
      <c r="A299">
        <f>IF(AND('Ratings'!A24&lt;&gt;"",'Ratings'!N5&lt;&gt;""),'Ratings'!A24,"")</f>
        <v/>
      </c>
      <c r="B299">
        <f>IF(A299="","",'Employees'!C7)</f>
        <v/>
      </c>
      <c r="C299">
        <f>IF(A299="","",'Ratings'!C24)</f>
        <v/>
      </c>
      <c r="D299">
        <f>IF(A299="","",'Ratings'!D24)</f>
        <v/>
      </c>
      <c r="E299">
        <f>IF(AND('Ratings'!A24&lt;&gt;"",'Ratings'!N5&lt;&gt;""),'Ratings'!N5,"")</f>
        <v/>
      </c>
      <c r="F299">
        <f>IF(OR(A299="",'Ratings'!N24=""),"",'Ratings'!N24)</f>
        <v/>
      </c>
      <c r="G299">
        <f>IF(A299="","",'Employees'!D7)</f>
        <v/>
      </c>
    </row>
    <row r="300">
      <c r="A300">
        <f>IF(AND('Ratings'!A24&lt;&gt;"",'Ratings'!O5&lt;&gt;""),'Ratings'!A24,"")</f>
        <v/>
      </c>
      <c r="B300">
        <f>IF(A300="","",'Employees'!C7)</f>
        <v/>
      </c>
      <c r="C300">
        <f>IF(A300="","",'Ratings'!C24)</f>
        <v/>
      </c>
      <c r="D300">
        <f>IF(A300="","",'Ratings'!D24)</f>
        <v/>
      </c>
      <c r="E300">
        <f>IF(AND('Ratings'!A24&lt;&gt;"",'Ratings'!O5&lt;&gt;""),'Ratings'!O5,"")</f>
        <v/>
      </c>
      <c r="F300">
        <f>IF(OR(A300="",'Ratings'!O24=""),"",'Ratings'!O24)</f>
        <v/>
      </c>
      <c r="G300">
        <f>IF(A300="","",'Employees'!D7)</f>
        <v/>
      </c>
    </row>
    <row r="301">
      <c r="A301">
        <f>IF(AND('Ratings'!A24&lt;&gt;"",'Ratings'!P5&lt;&gt;""),'Ratings'!A24,"")</f>
        <v/>
      </c>
      <c r="B301">
        <f>IF(A301="","",'Employees'!C7)</f>
        <v/>
      </c>
      <c r="C301">
        <f>IF(A301="","",'Ratings'!C24)</f>
        <v/>
      </c>
      <c r="D301">
        <f>IF(A301="","",'Ratings'!D24)</f>
        <v/>
      </c>
      <c r="E301">
        <f>IF(AND('Ratings'!A24&lt;&gt;"",'Ratings'!P5&lt;&gt;""),'Ratings'!P5,"")</f>
        <v/>
      </c>
      <c r="F301">
        <f>IF(OR(A301="",'Ratings'!P24=""),"",'Ratings'!P24)</f>
        <v/>
      </c>
      <c r="G301">
        <f>IF(A301="","",'Employees'!D7)</f>
        <v/>
      </c>
    </row>
    <row r="302">
      <c r="A302">
        <f>IF(AND('Ratings'!A24&lt;&gt;"",'Ratings'!Q5&lt;&gt;""),'Ratings'!A24,"")</f>
        <v/>
      </c>
      <c r="B302">
        <f>IF(A302="","",'Employees'!C7)</f>
        <v/>
      </c>
      <c r="C302">
        <f>IF(A302="","",'Ratings'!C24)</f>
        <v/>
      </c>
      <c r="D302">
        <f>IF(A302="","",'Ratings'!D24)</f>
        <v/>
      </c>
      <c r="E302">
        <f>IF(AND('Ratings'!A24&lt;&gt;"",'Ratings'!Q5&lt;&gt;""),'Ratings'!Q5,"")</f>
        <v/>
      </c>
      <c r="F302">
        <f>IF(OR(A302="",'Ratings'!Q24=""),"",'Ratings'!Q24)</f>
        <v/>
      </c>
      <c r="G302">
        <f>IF(A302="","",'Employees'!D7)</f>
        <v/>
      </c>
    </row>
    <row r="303">
      <c r="A303">
        <f>IF(AND('Ratings'!A24&lt;&gt;"",'Ratings'!R5&lt;&gt;""),'Ratings'!A24,"")</f>
        <v/>
      </c>
      <c r="B303">
        <f>IF(A303="","",'Employees'!C7)</f>
        <v/>
      </c>
      <c r="C303">
        <f>IF(A303="","",'Ratings'!C24)</f>
        <v/>
      </c>
      <c r="D303">
        <f>IF(A303="","",'Ratings'!D24)</f>
        <v/>
      </c>
      <c r="E303">
        <f>IF(AND('Ratings'!A24&lt;&gt;"",'Ratings'!R5&lt;&gt;""),'Ratings'!R5,"")</f>
        <v/>
      </c>
      <c r="F303">
        <f>IF(OR(A303="",'Ratings'!R24=""),"",'Ratings'!R24)</f>
        <v/>
      </c>
      <c r="G303">
        <f>IF(A303="","",'Employees'!D7)</f>
        <v/>
      </c>
    </row>
    <row r="304">
      <c r="A304">
        <f>IF(AND('Ratings'!A24&lt;&gt;"",'Ratings'!S5&lt;&gt;""),'Ratings'!A24,"")</f>
        <v/>
      </c>
      <c r="B304">
        <f>IF(A304="","",'Employees'!C7)</f>
        <v/>
      </c>
      <c r="C304">
        <f>IF(A304="","",'Ratings'!C24)</f>
        <v/>
      </c>
      <c r="D304">
        <f>IF(A304="","",'Ratings'!D24)</f>
        <v/>
      </c>
      <c r="E304">
        <f>IF(AND('Ratings'!A24&lt;&gt;"",'Ratings'!S5&lt;&gt;""),'Ratings'!S5,"")</f>
        <v/>
      </c>
      <c r="F304">
        <f>IF(OR(A304="",'Ratings'!S24=""),"",'Ratings'!S24)</f>
        <v/>
      </c>
      <c r="G304">
        <f>IF(A304="","",'Employees'!D7)</f>
        <v/>
      </c>
    </row>
    <row r="305">
      <c r="A305">
        <f>IF(AND('Ratings'!A24&lt;&gt;"",'Ratings'!T5&lt;&gt;""),'Ratings'!A24,"")</f>
        <v/>
      </c>
      <c r="B305">
        <f>IF(A305="","",'Employees'!C7)</f>
        <v/>
      </c>
      <c r="C305">
        <f>IF(A305="","",'Ratings'!C24)</f>
        <v/>
      </c>
      <c r="D305">
        <f>IF(A305="","",'Ratings'!D24)</f>
        <v/>
      </c>
      <c r="E305">
        <f>IF(AND('Ratings'!A24&lt;&gt;"",'Ratings'!T5&lt;&gt;""),'Ratings'!T5,"")</f>
        <v/>
      </c>
      <c r="F305">
        <f>IF(OR(A305="",'Ratings'!T24=""),"",'Ratings'!T24)</f>
        <v/>
      </c>
      <c r="G305">
        <f>IF(A305="","",'Employees'!D7)</f>
        <v/>
      </c>
    </row>
    <row r="306">
      <c r="A306">
        <f>IF(AND('Ratings'!A25&lt;&gt;"",'Ratings'!E5&lt;&gt;""),'Ratings'!A25,"")</f>
        <v/>
      </c>
      <c r="B306">
        <f>IF(A306="","",'Employees'!C7)</f>
        <v/>
      </c>
      <c r="C306">
        <f>IF(A306="","",'Ratings'!C25)</f>
        <v/>
      </c>
      <c r="D306">
        <f>IF(A306="","",'Ratings'!D25)</f>
        <v/>
      </c>
      <c r="E306">
        <f>IF(AND('Ratings'!A25&lt;&gt;"",'Ratings'!E5&lt;&gt;""),'Ratings'!E5,"")</f>
        <v/>
      </c>
      <c r="F306">
        <f>IF(OR(A306="",'Ratings'!E25=""),"",'Ratings'!E25)</f>
        <v/>
      </c>
      <c r="G306">
        <f>IF(A306="","",'Employees'!D7)</f>
        <v/>
      </c>
    </row>
    <row r="307">
      <c r="A307">
        <f>IF(AND('Ratings'!A25&lt;&gt;"",'Ratings'!F5&lt;&gt;""),'Ratings'!A25,"")</f>
        <v/>
      </c>
      <c r="B307">
        <f>IF(A307="","",'Employees'!C7)</f>
        <v/>
      </c>
      <c r="C307">
        <f>IF(A307="","",'Ratings'!C25)</f>
        <v/>
      </c>
      <c r="D307">
        <f>IF(A307="","",'Ratings'!D25)</f>
        <v/>
      </c>
      <c r="E307">
        <f>IF(AND('Ratings'!A25&lt;&gt;"",'Ratings'!F5&lt;&gt;""),'Ratings'!F5,"")</f>
        <v/>
      </c>
      <c r="F307">
        <f>IF(OR(A307="",'Ratings'!F25=""),"",'Ratings'!F25)</f>
        <v/>
      </c>
      <c r="G307">
        <f>IF(A307="","",'Employees'!D7)</f>
        <v/>
      </c>
    </row>
    <row r="308">
      <c r="A308">
        <f>IF(AND('Ratings'!A25&lt;&gt;"",'Ratings'!G5&lt;&gt;""),'Ratings'!A25,"")</f>
        <v/>
      </c>
      <c r="B308">
        <f>IF(A308="","",'Employees'!C7)</f>
        <v/>
      </c>
      <c r="C308">
        <f>IF(A308="","",'Ratings'!C25)</f>
        <v/>
      </c>
      <c r="D308">
        <f>IF(A308="","",'Ratings'!D25)</f>
        <v/>
      </c>
      <c r="E308">
        <f>IF(AND('Ratings'!A25&lt;&gt;"",'Ratings'!G5&lt;&gt;""),'Ratings'!G5,"")</f>
        <v/>
      </c>
      <c r="F308">
        <f>IF(OR(A308="",'Ratings'!G25=""),"",'Ratings'!G25)</f>
        <v/>
      </c>
      <c r="G308">
        <f>IF(A308="","",'Employees'!D7)</f>
        <v/>
      </c>
    </row>
    <row r="309">
      <c r="A309">
        <f>IF(AND('Ratings'!A25&lt;&gt;"",'Ratings'!H5&lt;&gt;""),'Ratings'!A25,"")</f>
        <v/>
      </c>
      <c r="B309">
        <f>IF(A309="","",'Employees'!C7)</f>
        <v/>
      </c>
      <c r="C309">
        <f>IF(A309="","",'Ratings'!C25)</f>
        <v/>
      </c>
      <c r="D309">
        <f>IF(A309="","",'Ratings'!D25)</f>
        <v/>
      </c>
      <c r="E309">
        <f>IF(AND('Ratings'!A25&lt;&gt;"",'Ratings'!H5&lt;&gt;""),'Ratings'!H5,"")</f>
        <v/>
      </c>
      <c r="F309">
        <f>IF(OR(A309="",'Ratings'!H25=""),"",'Ratings'!H25)</f>
        <v/>
      </c>
      <c r="G309">
        <f>IF(A309="","",'Employees'!D7)</f>
        <v/>
      </c>
    </row>
    <row r="310">
      <c r="A310">
        <f>IF(AND('Ratings'!A25&lt;&gt;"",'Ratings'!I5&lt;&gt;""),'Ratings'!A25,"")</f>
        <v/>
      </c>
      <c r="B310">
        <f>IF(A310="","",'Employees'!C7)</f>
        <v/>
      </c>
      <c r="C310">
        <f>IF(A310="","",'Ratings'!C25)</f>
        <v/>
      </c>
      <c r="D310">
        <f>IF(A310="","",'Ratings'!D25)</f>
        <v/>
      </c>
      <c r="E310">
        <f>IF(AND('Ratings'!A25&lt;&gt;"",'Ratings'!I5&lt;&gt;""),'Ratings'!I5,"")</f>
        <v/>
      </c>
      <c r="F310">
        <f>IF(OR(A310="",'Ratings'!I25=""),"",'Ratings'!I25)</f>
        <v/>
      </c>
      <c r="G310">
        <f>IF(A310="","",'Employees'!D7)</f>
        <v/>
      </c>
    </row>
    <row r="311">
      <c r="A311">
        <f>IF(AND('Ratings'!A25&lt;&gt;"",'Ratings'!J5&lt;&gt;""),'Ratings'!A25,"")</f>
        <v/>
      </c>
      <c r="B311">
        <f>IF(A311="","",'Employees'!C7)</f>
        <v/>
      </c>
      <c r="C311">
        <f>IF(A311="","",'Ratings'!C25)</f>
        <v/>
      </c>
      <c r="D311">
        <f>IF(A311="","",'Ratings'!D25)</f>
        <v/>
      </c>
      <c r="E311">
        <f>IF(AND('Ratings'!A25&lt;&gt;"",'Ratings'!J5&lt;&gt;""),'Ratings'!J5,"")</f>
        <v/>
      </c>
      <c r="F311">
        <f>IF(OR(A311="",'Ratings'!J25=""),"",'Ratings'!J25)</f>
        <v/>
      </c>
      <c r="G311">
        <f>IF(A311="","",'Employees'!D7)</f>
        <v/>
      </c>
    </row>
    <row r="312">
      <c r="A312">
        <f>IF(AND('Ratings'!A25&lt;&gt;"",'Ratings'!K5&lt;&gt;""),'Ratings'!A25,"")</f>
        <v/>
      </c>
      <c r="B312">
        <f>IF(A312="","",'Employees'!C7)</f>
        <v/>
      </c>
      <c r="C312">
        <f>IF(A312="","",'Ratings'!C25)</f>
        <v/>
      </c>
      <c r="D312">
        <f>IF(A312="","",'Ratings'!D25)</f>
        <v/>
      </c>
      <c r="E312">
        <f>IF(AND('Ratings'!A25&lt;&gt;"",'Ratings'!K5&lt;&gt;""),'Ratings'!K5,"")</f>
        <v/>
      </c>
      <c r="F312">
        <f>IF(OR(A312="",'Ratings'!K25=""),"",'Ratings'!K25)</f>
        <v/>
      </c>
      <c r="G312">
        <f>IF(A312="","",'Employees'!D7)</f>
        <v/>
      </c>
    </row>
    <row r="313">
      <c r="A313">
        <f>IF(AND('Ratings'!A25&lt;&gt;"",'Ratings'!L5&lt;&gt;""),'Ratings'!A25,"")</f>
        <v/>
      </c>
      <c r="B313">
        <f>IF(A313="","",'Employees'!C7)</f>
        <v/>
      </c>
      <c r="C313">
        <f>IF(A313="","",'Ratings'!C25)</f>
        <v/>
      </c>
      <c r="D313">
        <f>IF(A313="","",'Ratings'!D25)</f>
        <v/>
      </c>
      <c r="E313">
        <f>IF(AND('Ratings'!A25&lt;&gt;"",'Ratings'!L5&lt;&gt;""),'Ratings'!L5,"")</f>
        <v/>
      </c>
      <c r="F313">
        <f>IF(OR(A313="",'Ratings'!L25=""),"",'Ratings'!L25)</f>
        <v/>
      </c>
      <c r="G313">
        <f>IF(A313="","",'Employees'!D7)</f>
        <v/>
      </c>
    </row>
    <row r="314">
      <c r="A314">
        <f>IF(AND('Ratings'!A25&lt;&gt;"",'Ratings'!M5&lt;&gt;""),'Ratings'!A25,"")</f>
        <v/>
      </c>
      <c r="B314">
        <f>IF(A314="","",'Employees'!C7)</f>
        <v/>
      </c>
      <c r="C314">
        <f>IF(A314="","",'Ratings'!C25)</f>
        <v/>
      </c>
      <c r="D314">
        <f>IF(A314="","",'Ratings'!D25)</f>
        <v/>
      </c>
      <c r="E314">
        <f>IF(AND('Ratings'!A25&lt;&gt;"",'Ratings'!M5&lt;&gt;""),'Ratings'!M5,"")</f>
        <v/>
      </c>
      <c r="F314">
        <f>IF(OR(A314="",'Ratings'!M25=""),"",'Ratings'!M25)</f>
        <v/>
      </c>
      <c r="G314">
        <f>IF(A314="","",'Employees'!D7)</f>
        <v/>
      </c>
    </row>
    <row r="315">
      <c r="A315">
        <f>IF(AND('Ratings'!A25&lt;&gt;"",'Ratings'!N5&lt;&gt;""),'Ratings'!A25,"")</f>
        <v/>
      </c>
      <c r="B315">
        <f>IF(A315="","",'Employees'!C7)</f>
        <v/>
      </c>
      <c r="C315">
        <f>IF(A315="","",'Ratings'!C25)</f>
        <v/>
      </c>
      <c r="D315">
        <f>IF(A315="","",'Ratings'!D25)</f>
        <v/>
      </c>
      <c r="E315">
        <f>IF(AND('Ratings'!A25&lt;&gt;"",'Ratings'!N5&lt;&gt;""),'Ratings'!N5,"")</f>
        <v/>
      </c>
      <c r="F315">
        <f>IF(OR(A315="",'Ratings'!N25=""),"",'Ratings'!N25)</f>
        <v/>
      </c>
      <c r="G315">
        <f>IF(A315="","",'Employees'!D7)</f>
        <v/>
      </c>
    </row>
    <row r="316">
      <c r="A316">
        <f>IF(AND('Ratings'!A25&lt;&gt;"",'Ratings'!O5&lt;&gt;""),'Ratings'!A25,"")</f>
        <v/>
      </c>
      <c r="B316">
        <f>IF(A316="","",'Employees'!C7)</f>
        <v/>
      </c>
      <c r="C316">
        <f>IF(A316="","",'Ratings'!C25)</f>
        <v/>
      </c>
      <c r="D316">
        <f>IF(A316="","",'Ratings'!D25)</f>
        <v/>
      </c>
      <c r="E316">
        <f>IF(AND('Ratings'!A25&lt;&gt;"",'Ratings'!O5&lt;&gt;""),'Ratings'!O5,"")</f>
        <v/>
      </c>
      <c r="F316">
        <f>IF(OR(A316="",'Ratings'!O25=""),"",'Ratings'!O25)</f>
        <v/>
      </c>
      <c r="G316">
        <f>IF(A316="","",'Employees'!D7)</f>
        <v/>
      </c>
    </row>
    <row r="317">
      <c r="A317">
        <f>IF(AND('Ratings'!A25&lt;&gt;"",'Ratings'!P5&lt;&gt;""),'Ratings'!A25,"")</f>
        <v/>
      </c>
      <c r="B317">
        <f>IF(A317="","",'Employees'!C7)</f>
        <v/>
      </c>
      <c r="C317">
        <f>IF(A317="","",'Ratings'!C25)</f>
        <v/>
      </c>
      <c r="D317">
        <f>IF(A317="","",'Ratings'!D25)</f>
        <v/>
      </c>
      <c r="E317">
        <f>IF(AND('Ratings'!A25&lt;&gt;"",'Ratings'!P5&lt;&gt;""),'Ratings'!P5,"")</f>
        <v/>
      </c>
      <c r="F317">
        <f>IF(OR(A317="",'Ratings'!P25=""),"",'Ratings'!P25)</f>
        <v/>
      </c>
      <c r="G317">
        <f>IF(A317="","",'Employees'!D7)</f>
        <v/>
      </c>
    </row>
    <row r="318">
      <c r="A318">
        <f>IF(AND('Ratings'!A25&lt;&gt;"",'Ratings'!Q5&lt;&gt;""),'Ratings'!A25,"")</f>
        <v/>
      </c>
      <c r="B318">
        <f>IF(A318="","",'Employees'!C7)</f>
        <v/>
      </c>
      <c r="C318">
        <f>IF(A318="","",'Ratings'!C25)</f>
        <v/>
      </c>
      <c r="D318">
        <f>IF(A318="","",'Ratings'!D25)</f>
        <v/>
      </c>
      <c r="E318">
        <f>IF(AND('Ratings'!A25&lt;&gt;"",'Ratings'!Q5&lt;&gt;""),'Ratings'!Q5,"")</f>
        <v/>
      </c>
      <c r="F318">
        <f>IF(OR(A318="",'Ratings'!Q25=""),"",'Ratings'!Q25)</f>
        <v/>
      </c>
      <c r="G318">
        <f>IF(A318="","",'Employees'!D7)</f>
        <v/>
      </c>
    </row>
    <row r="319">
      <c r="A319">
        <f>IF(AND('Ratings'!A25&lt;&gt;"",'Ratings'!R5&lt;&gt;""),'Ratings'!A25,"")</f>
        <v/>
      </c>
      <c r="B319">
        <f>IF(A319="","",'Employees'!C7)</f>
        <v/>
      </c>
      <c r="C319">
        <f>IF(A319="","",'Ratings'!C25)</f>
        <v/>
      </c>
      <c r="D319">
        <f>IF(A319="","",'Ratings'!D25)</f>
        <v/>
      </c>
      <c r="E319">
        <f>IF(AND('Ratings'!A25&lt;&gt;"",'Ratings'!R5&lt;&gt;""),'Ratings'!R5,"")</f>
        <v/>
      </c>
      <c r="F319">
        <f>IF(OR(A319="",'Ratings'!R25=""),"",'Ratings'!R25)</f>
        <v/>
      </c>
      <c r="G319">
        <f>IF(A319="","",'Employees'!D7)</f>
        <v/>
      </c>
    </row>
    <row r="320">
      <c r="A320">
        <f>IF(AND('Ratings'!A25&lt;&gt;"",'Ratings'!S5&lt;&gt;""),'Ratings'!A25,"")</f>
        <v/>
      </c>
      <c r="B320">
        <f>IF(A320="","",'Employees'!C7)</f>
        <v/>
      </c>
      <c r="C320">
        <f>IF(A320="","",'Ratings'!C25)</f>
        <v/>
      </c>
      <c r="D320">
        <f>IF(A320="","",'Ratings'!D25)</f>
        <v/>
      </c>
      <c r="E320">
        <f>IF(AND('Ratings'!A25&lt;&gt;"",'Ratings'!S5&lt;&gt;""),'Ratings'!S5,"")</f>
        <v/>
      </c>
      <c r="F320">
        <f>IF(OR(A320="",'Ratings'!S25=""),"",'Ratings'!S25)</f>
        <v/>
      </c>
      <c r="G320">
        <f>IF(A320="","",'Employees'!D7)</f>
        <v/>
      </c>
    </row>
    <row r="321">
      <c r="A321">
        <f>IF(AND('Ratings'!A25&lt;&gt;"",'Ratings'!T5&lt;&gt;""),'Ratings'!A25,"")</f>
        <v/>
      </c>
      <c r="B321">
        <f>IF(A321="","",'Employees'!C7)</f>
        <v/>
      </c>
      <c r="C321">
        <f>IF(A321="","",'Ratings'!C25)</f>
        <v/>
      </c>
      <c r="D321">
        <f>IF(A321="","",'Ratings'!D25)</f>
        <v/>
      </c>
      <c r="E321">
        <f>IF(AND('Ratings'!A25&lt;&gt;"",'Ratings'!T5&lt;&gt;""),'Ratings'!T5,"")</f>
        <v/>
      </c>
      <c r="F321">
        <f>IF(OR(A321="",'Ratings'!T25=""),"",'Ratings'!T25)</f>
        <v/>
      </c>
      <c r="G321">
        <f>IF(A321="","",'Employees'!D7)</f>
        <v/>
      </c>
    </row>
    <row r="322">
      <c r="A322">
        <f>IF(AND('Ratings'!A26&lt;&gt;"",'Ratings'!E5&lt;&gt;""),'Ratings'!A26,"")</f>
        <v/>
      </c>
      <c r="B322">
        <f>IF(A322="","",'Employees'!C7)</f>
        <v/>
      </c>
      <c r="C322">
        <f>IF(A322="","",'Ratings'!C26)</f>
        <v/>
      </c>
      <c r="D322">
        <f>IF(A322="","",'Ratings'!D26)</f>
        <v/>
      </c>
      <c r="E322">
        <f>IF(AND('Ratings'!A26&lt;&gt;"",'Ratings'!E5&lt;&gt;""),'Ratings'!E5,"")</f>
        <v/>
      </c>
      <c r="F322">
        <f>IF(OR(A322="",'Ratings'!E26=""),"",'Ratings'!E26)</f>
        <v/>
      </c>
      <c r="G322">
        <f>IF(A322="","",'Employees'!D7)</f>
        <v/>
      </c>
    </row>
    <row r="323">
      <c r="A323">
        <f>IF(AND('Ratings'!A26&lt;&gt;"",'Ratings'!F5&lt;&gt;""),'Ratings'!A26,"")</f>
        <v/>
      </c>
      <c r="B323">
        <f>IF(A323="","",'Employees'!C7)</f>
        <v/>
      </c>
      <c r="C323">
        <f>IF(A323="","",'Ratings'!C26)</f>
        <v/>
      </c>
      <c r="D323">
        <f>IF(A323="","",'Ratings'!D26)</f>
        <v/>
      </c>
      <c r="E323">
        <f>IF(AND('Ratings'!A26&lt;&gt;"",'Ratings'!F5&lt;&gt;""),'Ratings'!F5,"")</f>
        <v/>
      </c>
      <c r="F323">
        <f>IF(OR(A323="",'Ratings'!F26=""),"",'Ratings'!F26)</f>
        <v/>
      </c>
      <c r="G323">
        <f>IF(A323="","",'Employees'!D7)</f>
        <v/>
      </c>
    </row>
    <row r="324">
      <c r="A324">
        <f>IF(AND('Ratings'!A26&lt;&gt;"",'Ratings'!G5&lt;&gt;""),'Ratings'!A26,"")</f>
        <v/>
      </c>
      <c r="B324">
        <f>IF(A324="","",'Employees'!C7)</f>
        <v/>
      </c>
      <c r="C324">
        <f>IF(A324="","",'Ratings'!C26)</f>
        <v/>
      </c>
      <c r="D324">
        <f>IF(A324="","",'Ratings'!D26)</f>
        <v/>
      </c>
      <c r="E324">
        <f>IF(AND('Ratings'!A26&lt;&gt;"",'Ratings'!G5&lt;&gt;""),'Ratings'!G5,"")</f>
        <v/>
      </c>
      <c r="F324">
        <f>IF(OR(A324="",'Ratings'!G26=""),"",'Ratings'!G26)</f>
        <v/>
      </c>
      <c r="G324">
        <f>IF(A324="","",'Employees'!D7)</f>
        <v/>
      </c>
    </row>
    <row r="325">
      <c r="A325">
        <f>IF(AND('Ratings'!A26&lt;&gt;"",'Ratings'!H5&lt;&gt;""),'Ratings'!A26,"")</f>
        <v/>
      </c>
      <c r="B325">
        <f>IF(A325="","",'Employees'!C7)</f>
        <v/>
      </c>
      <c r="C325">
        <f>IF(A325="","",'Ratings'!C26)</f>
        <v/>
      </c>
      <c r="D325">
        <f>IF(A325="","",'Ratings'!D26)</f>
        <v/>
      </c>
      <c r="E325">
        <f>IF(AND('Ratings'!A26&lt;&gt;"",'Ratings'!H5&lt;&gt;""),'Ratings'!H5,"")</f>
        <v/>
      </c>
      <c r="F325">
        <f>IF(OR(A325="",'Ratings'!H26=""),"",'Ratings'!H26)</f>
        <v/>
      </c>
      <c r="G325">
        <f>IF(A325="","",'Employees'!D7)</f>
        <v/>
      </c>
    </row>
    <row r="326">
      <c r="A326">
        <f>IF(AND('Ratings'!A26&lt;&gt;"",'Ratings'!I5&lt;&gt;""),'Ratings'!A26,"")</f>
        <v/>
      </c>
      <c r="B326">
        <f>IF(A326="","",'Employees'!C7)</f>
        <v/>
      </c>
      <c r="C326">
        <f>IF(A326="","",'Ratings'!C26)</f>
        <v/>
      </c>
      <c r="D326">
        <f>IF(A326="","",'Ratings'!D26)</f>
        <v/>
      </c>
      <c r="E326">
        <f>IF(AND('Ratings'!A26&lt;&gt;"",'Ratings'!I5&lt;&gt;""),'Ratings'!I5,"")</f>
        <v/>
      </c>
      <c r="F326">
        <f>IF(OR(A326="",'Ratings'!I26=""),"",'Ratings'!I26)</f>
        <v/>
      </c>
      <c r="G326">
        <f>IF(A326="","",'Employees'!D7)</f>
        <v/>
      </c>
    </row>
    <row r="327">
      <c r="A327">
        <f>IF(AND('Ratings'!A26&lt;&gt;"",'Ratings'!J5&lt;&gt;""),'Ratings'!A26,"")</f>
        <v/>
      </c>
      <c r="B327">
        <f>IF(A327="","",'Employees'!C7)</f>
        <v/>
      </c>
      <c r="C327">
        <f>IF(A327="","",'Ratings'!C26)</f>
        <v/>
      </c>
      <c r="D327">
        <f>IF(A327="","",'Ratings'!D26)</f>
        <v/>
      </c>
      <c r="E327">
        <f>IF(AND('Ratings'!A26&lt;&gt;"",'Ratings'!J5&lt;&gt;""),'Ratings'!J5,"")</f>
        <v/>
      </c>
      <c r="F327">
        <f>IF(OR(A327="",'Ratings'!J26=""),"",'Ratings'!J26)</f>
        <v/>
      </c>
      <c r="G327">
        <f>IF(A327="","",'Employees'!D7)</f>
        <v/>
      </c>
    </row>
    <row r="328">
      <c r="A328">
        <f>IF(AND('Ratings'!A26&lt;&gt;"",'Ratings'!K5&lt;&gt;""),'Ratings'!A26,"")</f>
        <v/>
      </c>
      <c r="B328">
        <f>IF(A328="","",'Employees'!C7)</f>
        <v/>
      </c>
      <c r="C328">
        <f>IF(A328="","",'Ratings'!C26)</f>
        <v/>
      </c>
      <c r="D328">
        <f>IF(A328="","",'Ratings'!D26)</f>
        <v/>
      </c>
      <c r="E328">
        <f>IF(AND('Ratings'!A26&lt;&gt;"",'Ratings'!K5&lt;&gt;""),'Ratings'!K5,"")</f>
        <v/>
      </c>
      <c r="F328">
        <f>IF(OR(A328="",'Ratings'!K26=""),"",'Ratings'!K26)</f>
        <v/>
      </c>
      <c r="G328">
        <f>IF(A328="","",'Employees'!D7)</f>
        <v/>
      </c>
    </row>
    <row r="329">
      <c r="A329">
        <f>IF(AND('Ratings'!A26&lt;&gt;"",'Ratings'!L5&lt;&gt;""),'Ratings'!A26,"")</f>
        <v/>
      </c>
      <c r="B329">
        <f>IF(A329="","",'Employees'!C7)</f>
        <v/>
      </c>
      <c r="C329">
        <f>IF(A329="","",'Ratings'!C26)</f>
        <v/>
      </c>
      <c r="D329">
        <f>IF(A329="","",'Ratings'!D26)</f>
        <v/>
      </c>
      <c r="E329">
        <f>IF(AND('Ratings'!A26&lt;&gt;"",'Ratings'!L5&lt;&gt;""),'Ratings'!L5,"")</f>
        <v/>
      </c>
      <c r="F329">
        <f>IF(OR(A329="",'Ratings'!L26=""),"",'Ratings'!L26)</f>
        <v/>
      </c>
      <c r="G329">
        <f>IF(A329="","",'Employees'!D7)</f>
        <v/>
      </c>
    </row>
    <row r="330">
      <c r="A330">
        <f>IF(AND('Ratings'!A26&lt;&gt;"",'Ratings'!M5&lt;&gt;""),'Ratings'!A26,"")</f>
        <v/>
      </c>
      <c r="B330">
        <f>IF(A330="","",'Employees'!C7)</f>
        <v/>
      </c>
      <c r="C330">
        <f>IF(A330="","",'Ratings'!C26)</f>
        <v/>
      </c>
      <c r="D330">
        <f>IF(A330="","",'Ratings'!D26)</f>
        <v/>
      </c>
      <c r="E330">
        <f>IF(AND('Ratings'!A26&lt;&gt;"",'Ratings'!M5&lt;&gt;""),'Ratings'!M5,"")</f>
        <v/>
      </c>
      <c r="F330">
        <f>IF(OR(A330="",'Ratings'!M26=""),"",'Ratings'!M26)</f>
        <v/>
      </c>
      <c r="G330">
        <f>IF(A330="","",'Employees'!D7)</f>
        <v/>
      </c>
    </row>
    <row r="331">
      <c r="A331">
        <f>IF(AND('Ratings'!A26&lt;&gt;"",'Ratings'!N5&lt;&gt;""),'Ratings'!A26,"")</f>
        <v/>
      </c>
      <c r="B331">
        <f>IF(A331="","",'Employees'!C7)</f>
        <v/>
      </c>
      <c r="C331">
        <f>IF(A331="","",'Ratings'!C26)</f>
        <v/>
      </c>
      <c r="D331">
        <f>IF(A331="","",'Ratings'!D26)</f>
        <v/>
      </c>
      <c r="E331">
        <f>IF(AND('Ratings'!A26&lt;&gt;"",'Ratings'!N5&lt;&gt;""),'Ratings'!N5,"")</f>
        <v/>
      </c>
      <c r="F331">
        <f>IF(OR(A331="",'Ratings'!N26=""),"",'Ratings'!N26)</f>
        <v/>
      </c>
      <c r="G331">
        <f>IF(A331="","",'Employees'!D7)</f>
        <v/>
      </c>
    </row>
    <row r="332">
      <c r="A332">
        <f>IF(AND('Ratings'!A26&lt;&gt;"",'Ratings'!O5&lt;&gt;""),'Ratings'!A26,"")</f>
        <v/>
      </c>
      <c r="B332">
        <f>IF(A332="","",'Employees'!C7)</f>
        <v/>
      </c>
      <c r="C332">
        <f>IF(A332="","",'Ratings'!C26)</f>
        <v/>
      </c>
      <c r="D332">
        <f>IF(A332="","",'Ratings'!D26)</f>
        <v/>
      </c>
      <c r="E332">
        <f>IF(AND('Ratings'!A26&lt;&gt;"",'Ratings'!O5&lt;&gt;""),'Ratings'!O5,"")</f>
        <v/>
      </c>
      <c r="F332">
        <f>IF(OR(A332="",'Ratings'!O26=""),"",'Ratings'!O26)</f>
        <v/>
      </c>
      <c r="G332">
        <f>IF(A332="","",'Employees'!D7)</f>
        <v/>
      </c>
    </row>
    <row r="333">
      <c r="A333">
        <f>IF(AND('Ratings'!A26&lt;&gt;"",'Ratings'!P5&lt;&gt;""),'Ratings'!A26,"")</f>
        <v/>
      </c>
      <c r="B333">
        <f>IF(A333="","",'Employees'!C7)</f>
        <v/>
      </c>
      <c r="C333">
        <f>IF(A333="","",'Ratings'!C26)</f>
        <v/>
      </c>
      <c r="D333">
        <f>IF(A333="","",'Ratings'!D26)</f>
        <v/>
      </c>
      <c r="E333">
        <f>IF(AND('Ratings'!A26&lt;&gt;"",'Ratings'!P5&lt;&gt;""),'Ratings'!P5,"")</f>
        <v/>
      </c>
      <c r="F333">
        <f>IF(OR(A333="",'Ratings'!P26=""),"",'Ratings'!P26)</f>
        <v/>
      </c>
      <c r="G333">
        <f>IF(A333="","",'Employees'!D7)</f>
        <v/>
      </c>
    </row>
    <row r="334">
      <c r="A334">
        <f>IF(AND('Ratings'!A26&lt;&gt;"",'Ratings'!Q5&lt;&gt;""),'Ratings'!A26,"")</f>
        <v/>
      </c>
      <c r="B334">
        <f>IF(A334="","",'Employees'!C7)</f>
        <v/>
      </c>
      <c r="C334">
        <f>IF(A334="","",'Ratings'!C26)</f>
        <v/>
      </c>
      <c r="D334">
        <f>IF(A334="","",'Ratings'!D26)</f>
        <v/>
      </c>
      <c r="E334">
        <f>IF(AND('Ratings'!A26&lt;&gt;"",'Ratings'!Q5&lt;&gt;""),'Ratings'!Q5,"")</f>
        <v/>
      </c>
      <c r="F334">
        <f>IF(OR(A334="",'Ratings'!Q26=""),"",'Ratings'!Q26)</f>
        <v/>
      </c>
      <c r="G334">
        <f>IF(A334="","",'Employees'!D7)</f>
        <v/>
      </c>
    </row>
    <row r="335">
      <c r="A335">
        <f>IF(AND('Ratings'!A26&lt;&gt;"",'Ratings'!R5&lt;&gt;""),'Ratings'!A26,"")</f>
        <v/>
      </c>
      <c r="B335">
        <f>IF(A335="","",'Employees'!C7)</f>
        <v/>
      </c>
      <c r="C335">
        <f>IF(A335="","",'Ratings'!C26)</f>
        <v/>
      </c>
      <c r="D335">
        <f>IF(A335="","",'Ratings'!D26)</f>
        <v/>
      </c>
      <c r="E335">
        <f>IF(AND('Ratings'!A26&lt;&gt;"",'Ratings'!R5&lt;&gt;""),'Ratings'!R5,"")</f>
        <v/>
      </c>
      <c r="F335">
        <f>IF(OR(A335="",'Ratings'!R26=""),"",'Ratings'!R26)</f>
        <v/>
      </c>
      <c r="G335">
        <f>IF(A335="","",'Employees'!D7)</f>
        <v/>
      </c>
    </row>
    <row r="336">
      <c r="A336">
        <f>IF(AND('Ratings'!A26&lt;&gt;"",'Ratings'!S5&lt;&gt;""),'Ratings'!A26,"")</f>
        <v/>
      </c>
      <c r="B336">
        <f>IF(A336="","",'Employees'!C7)</f>
        <v/>
      </c>
      <c r="C336">
        <f>IF(A336="","",'Ratings'!C26)</f>
        <v/>
      </c>
      <c r="D336">
        <f>IF(A336="","",'Ratings'!D26)</f>
        <v/>
      </c>
      <c r="E336">
        <f>IF(AND('Ratings'!A26&lt;&gt;"",'Ratings'!S5&lt;&gt;""),'Ratings'!S5,"")</f>
        <v/>
      </c>
      <c r="F336">
        <f>IF(OR(A336="",'Ratings'!S26=""),"",'Ratings'!S26)</f>
        <v/>
      </c>
      <c r="G336">
        <f>IF(A336="","",'Employees'!D7)</f>
        <v/>
      </c>
    </row>
    <row r="337">
      <c r="A337">
        <f>IF(AND('Ratings'!A26&lt;&gt;"",'Ratings'!T5&lt;&gt;""),'Ratings'!A26,"")</f>
        <v/>
      </c>
      <c r="B337">
        <f>IF(A337="","",'Employees'!C7)</f>
        <v/>
      </c>
      <c r="C337">
        <f>IF(A337="","",'Ratings'!C26)</f>
        <v/>
      </c>
      <c r="D337">
        <f>IF(A337="","",'Ratings'!D26)</f>
        <v/>
      </c>
      <c r="E337">
        <f>IF(AND('Ratings'!A26&lt;&gt;"",'Ratings'!T5&lt;&gt;""),'Ratings'!T5,"")</f>
        <v/>
      </c>
      <c r="F337">
        <f>IF(OR(A337="",'Ratings'!T26=""),"",'Ratings'!T26)</f>
        <v/>
      </c>
      <c r="G337">
        <f>IF(A337="","",'Employees'!D7)</f>
        <v/>
      </c>
    </row>
    <row r="338">
      <c r="A338">
        <f>IF(AND('Ratings'!A27&lt;&gt;"",'Ratings'!E5&lt;&gt;""),'Ratings'!A27,"")</f>
        <v/>
      </c>
      <c r="B338">
        <f>IF(A338="","",'Employees'!C7)</f>
        <v/>
      </c>
      <c r="C338">
        <f>IF(A338="","",'Ratings'!C27)</f>
        <v/>
      </c>
      <c r="D338">
        <f>IF(A338="","",'Ratings'!D27)</f>
        <v/>
      </c>
      <c r="E338">
        <f>IF(AND('Ratings'!A27&lt;&gt;"",'Ratings'!E5&lt;&gt;""),'Ratings'!E5,"")</f>
        <v/>
      </c>
      <c r="F338">
        <f>IF(OR(A338="",'Ratings'!E27=""),"",'Ratings'!E27)</f>
        <v/>
      </c>
      <c r="G338">
        <f>IF(A338="","",'Employees'!D7)</f>
        <v/>
      </c>
    </row>
    <row r="339">
      <c r="A339">
        <f>IF(AND('Ratings'!A27&lt;&gt;"",'Ratings'!F5&lt;&gt;""),'Ratings'!A27,"")</f>
        <v/>
      </c>
      <c r="B339">
        <f>IF(A339="","",'Employees'!C7)</f>
        <v/>
      </c>
      <c r="C339">
        <f>IF(A339="","",'Ratings'!C27)</f>
        <v/>
      </c>
      <c r="D339">
        <f>IF(A339="","",'Ratings'!D27)</f>
        <v/>
      </c>
      <c r="E339">
        <f>IF(AND('Ratings'!A27&lt;&gt;"",'Ratings'!F5&lt;&gt;""),'Ratings'!F5,"")</f>
        <v/>
      </c>
      <c r="F339">
        <f>IF(OR(A339="",'Ratings'!F27=""),"",'Ratings'!F27)</f>
        <v/>
      </c>
      <c r="G339">
        <f>IF(A339="","",'Employees'!D7)</f>
        <v/>
      </c>
    </row>
    <row r="340">
      <c r="A340">
        <f>IF(AND('Ratings'!A27&lt;&gt;"",'Ratings'!G5&lt;&gt;""),'Ratings'!A27,"")</f>
        <v/>
      </c>
      <c r="B340">
        <f>IF(A340="","",'Employees'!C7)</f>
        <v/>
      </c>
      <c r="C340">
        <f>IF(A340="","",'Ratings'!C27)</f>
        <v/>
      </c>
      <c r="D340">
        <f>IF(A340="","",'Ratings'!D27)</f>
        <v/>
      </c>
      <c r="E340">
        <f>IF(AND('Ratings'!A27&lt;&gt;"",'Ratings'!G5&lt;&gt;""),'Ratings'!G5,"")</f>
        <v/>
      </c>
      <c r="F340">
        <f>IF(OR(A340="",'Ratings'!G27=""),"",'Ratings'!G27)</f>
        <v/>
      </c>
      <c r="G340">
        <f>IF(A340="","",'Employees'!D7)</f>
        <v/>
      </c>
    </row>
    <row r="341">
      <c r="A341">
        <f>IF(AND('Ratings'!A27&lt;&gt;"",'Ratings'!H5&lt;&gt;""),'Ratings'!A27,"")</f>
        <v/>
      </c>
      <c r="B341">
        <f>IF(A341="","",'Employees'!C7)</f>
        <v/>
      </c>
      <c r="C341">
        <f>IF(A341="","",'Ratings'!C27)</f>
        <v/>
      </c>
      <c r="D341">
        <f>IF(A341="","",'Ratings'!D27)</f>
        <v/>
      </c>
      <c r="E341">
        <f>IF(AND('Ratings'!A27&lt;&gt;"",'Ratings'!H5&lt;&gt;""),'Ratings'!H5,"")</f>
        <v/>
      </c>
      <c r="F341">
        <f>IF(OR(A341="",'Ratings'!H27=""),"",'Ratings'!H27)</f>
        <v/>
      </c>
      <c r="G341">
        <f>IF(A341="","",'Employees'!D7)</f>
        <v/>
      </c>
    </row>
    <row r="342">
      <c r="A342">
        <f>IF(AND('Ratings'!A27&lt;&gt;"",'Ratings'!I5&lt;&gt;""),'Ratings'!A27,"")</f>
        <v/>
      </c>
      <c r="B342">
        <f>IF(A342="","",'Employees'!C7)</f>
        <v/>
      </c>
      <c r="C342">
        <f>IF(A342="","",'Ratings'!C27)</f>
        <v/>
      </c>
      <c r="D342">
        <f>IF(A342="","",'Ratings'!D27)</f>
        <v/>
      </c>
      <c r="E342">
        <f>IF(AND('Ratings'!A27&lt;&gt;"",'Ratings'!I5&lt;&gt;""),'Ratings'!I5,"")</f>
        <v/>
      </c>
      <c r="F342">
        <f>IF(OR(A342="",'Ratings'!I27=""),"",'Ratings'!I27)</f>
        <v/>
      </c>
      <c r="G342">
        <f>IF(A342="","",'Employees'!D7)</f>
        <v/>
      </c>
    </row>
    <row r="343">
      <c r="A343">
        <f>IF(AND('Ratings'!A27&lt;&gt;"",'Ratings'!J5&lt;&gt;""),'Ratings'!A27,"")</f>
        <v/>
      </c>
      <c r="B343">
        <f>IF(A343="","",'Employees'!C7)</f>
        <v/>
      </c>
      <c r="C343">
        <f>IF(A343="","",'Ratings'!C27)</f>
        <v/>
      </c>
      <c r="D343">
        <f>IF(A343="","",'Ratings'!D27)</f>
        <v/>
      </c>
      <c r="E343">
        <f>IF(AND('Ratings'!A27&lt;&gt;"",'Ratings'!J5&lt;&gt;""),'Ratings'!J5,"")</f>
        <v/>
      </c>
      <c r="F343">
        <f>IF(OR(A343="",'Ratings'!J27=""),"",'Ratings'!J27)</f>
        <v/>
      </c>
      <c r="G343">
        <f>IF(A343="","",'Employees'!D7)</f>
        <v/>
      </c>
    </row>
    <row r="344">
      <c r="A344">
        <f>IF(AND('Ratings'!A27&lt;&gt;"",'Ratings'!K5&lt;&gt;""),'Ratings'!A27,"")</f>
        <v/>
      </c>
      <c r="B344">
        <f>IF(A344="","",'Employees'!C7)</f>
        <v/>
      </c>
      <c r="C344">
        <f>IF(A344="","",'Ratings'!C27)</f>
        <v/>
      </c>
      <c r="D344">
        <f>IF(A344="","",'Ratings'!D27)</f>
        <v/>
      </c>
      <c r="E344">
        <f>IF(AND('Ratings'!A27&lt;&gt;"",'Ratings'!K5&lt;&gt;""),'Ratings'!K5,"")</f>
        <v/>
      </c>
      <c r="F344">
        <f>IF(OR(A344="",'Ratings'!K27=""),"",'Ratings'!K27)</f>
        <v/>
      </c>
      <c r="G344">
        <f>IF(A344="","",'Employees'!D7)</f>
        <v/>
      </c>
    </row>
    <row r="345">
      <c r="A345">
        <f>IF(AND('Ratings'!A27&lt;&gt;"",'Ratings'!L5&lt;&gt;""),'Ratings'!A27,"")</f>
        <v/>
      </c>
      <c r="B345">
        <f>IF(A345="","",'Employees'!C7)</f>
        <v/>
      </c>
      <c r="C345">
        <f>IF(A345="","",'Ratings'!C27)</f>
        <v/>
      </c>
      <c r="D345">
        <f>IF(A345="","",'Ratings'!D27)</f>
        <v/>
      </c>
      <c r="E345">
        <f>IF(AND('Ratings'!A27&lt;&gt;"",'Ratings'!L5&lt;&gt;""),'Ratings'!L5,"")</f>
        <v/>
      </c>
      <c r="F345">
        <f>IF(OR(A345="",'Ratings'!L27=""),"",'Ratings'!L27)</f>
        <v/>
      </c>
      <c r="G345">
        <f>IF(A345="","",'Employees'!D7)</f>
        <v/>
      </c>
    </row>
    <row r="346">
      <c r="A346">
        <f>IF(AND('Ratings'!A27&lt;&gt;"",'Ratings'!M5&lt;&gt;""),'Ratings'!A27,"")</f>
        <v/>
      </c>
      <c r="B346">
        <f>IF(A346="","",'Employees'!C7)</f>
        <v/>
      </c>
      <c r="C346">
        <f>IF(A346="","",'Ratings'!C27)</f>
        <v/>
      </c>
      <c r="D346">
        <f>IF(A346="","",'Ratings'!D27)</f>
        <v/>
      </c>
      <c r="E346">
        <f>IF(AND('Ratings'!A27&lt;&gt;"",'Ratings'!M5&lt;&gt;""),'Ratings'!M5,"")</f>
        <v/>
      </c>
      <c r="F346">
        <f>IF(OR(A346="",'Ratings'!M27=""),"",'Ratings'!M27)</f>
        <v/>
      </c>
      <c r="G346">
        <f>IF(A346="","",'Employees'!D7)</f>
        <v/>
      </c>
    </row>
    <row r="347">
      <c r="A347">
        <f>IF(AND('Ratings'!A27&lt;&gt;"",'Ratings'!N5&lt;&gt;""),'Ratings'!A27,"")</f>
        <v/>
      </c>
      <c r="B347">
        <f>IF(A347="","",'Employees'!C7)</f>
        <v/>
      </c>
      <c r="C347">
        <f>IF(A347="","",'Ratings'!C27)</f>
        <v/>
      </c>
      <c r="D347">
        <f>IF(A347="","",'Ratings'!D27)</f>
        <v/>
      </c>
      <c r="E347">
        <f>IF(AND('Ratings'!A27&lt;&gt;"",'Ratings'!N5&lt;&gt;""),'Ratings'!N5,"")</f>
        <v/>
      </c>
      <c r="F347">
        <f>IF(OR(A347="",'Ratings'!N27=""),"",'Ratings'!N27)</f>
        <v/>
      </c>
      <c r="G347">
        <f>IF(A347="","",'Employees'!D7)</f>
        <v/>
      </c>
    </row>
    <row r="348">
      <c r="A348">
        <f>IF(AND('Ratings'!A27&lt;&gt;"",'Ratings'!O5&lt;&gt;""),'Ratings'!A27,"")</f>
        <v/>
      </c>
      <c r="B348">
        <f>IF(A348="","",'Employees'!C7)</f>
        <v/>
      </c>
      <c r="C348">
        <f>IF(A348="","",'Ratings'!C27)</f>
        <v/>
      </c>
      <c r="D348">
        <f>IF(A348="","",'Ratings'!D27)</f>
        <v/>
      </c>
      <c r="E348">
        <f>IF(AND('Ratings'!A27&lt;&gt;"",'Ratings'!O5&lt;&gt;""),'Ratings'!O5,"")</f>
        <v/>
      </c>
      <c r="F348">
        <f>IF(OR(A348="",'Ratings'!O27=""),"",'Ratings'!O27)</f>
        <v/>
      </c>
      <c r="G348">
        <f>IF(A348="","",'Employees'!D7)</f>
        <v/>
      </c>
    </row>
    <row r="349">
      <c r="A349">
        <f>IF(AND('Ratings'!A27&lt;&gt;"",'Ratings'!P5&lt;&gt;""),'Ratings'!A27,"")</f>
        <v/>
      </c>
      <c r="B349">
        <f>IF(A349="","",'Employees'!C7)</f>
        <v/>
      </c>
      <c r="C349">
        <f>IF(A349="","",'Ratings'!C27)</f>
        <v/>
      </c>
      <c r="D349">
        <f>IF(A349="","",'Ratings'!D27)</f>
        <v/>
      </c>
      <c r="E349">
        <f>IF(AND('Ratings'!A27&lt;&gt;"",'Ratings'!P5&lt;&gt;""),'Ratings'!P5,"")</f>
        <v/>
      </c>
      <c r="F349">
        <f>IF(OR(A349="",'Ratings'!P27=""),"",'Ratings'!P27)</f>
        <v/>
      </c>
      <c r="G349">
        <f>IF(A349="","",'Employees'!D7)</f>
        <v/>
      </c>
    </row>
    <row r="350">
      <c r="A350">
        <f>IF(AND('Ratings'!A27&lt;&gt;"",'Ratings'!Q5&lt;&gt;""),'Ratings'!A27,"")</f>
        <v/>
      </c>
      <c r="B350">
        <f>IF(A350="","",'Employees'!C7)</f>
        <v/>
      </c>
      <c r="C350">
        <f>IF(A350="","",'Ratings'!C27)</f>
        <v/>
      </c>
      <c r="D350">
        <f>IF(A350="","",'Ratings'!D27)</f>
        <v/>
      </c>
      <c r="E350">
        <f>IF(AND('Ratings'!A27&lt;&gt;"",'Ratings'!Q5&lt;&gt;""),'Ratings'!Q5,"")</f>
        <v/>
      </c>
      <c r="F350">
        <f>IF(OR(A350="",'Ratings'!Q27=""),"",'Ratings'!Q27)</f>
        <v/>
      </c>
      <c r="G350">
        <f>IF(A350="","",'Employees'!D7)</f>
        <v/>
      </c>
    </row>
    <row r="351">
      <c r="A351">
        <f>IF(AND('Ratings'!A27&lt;&gt;"",'Ratings'!R5&lt;&gt;""),'Ratings'!A27,"")</f>
        <v/>
      </c>
      <c r="B351">
        <f>IF(A351="","",'Employees'!C7)</f>
        <v/>
      </c>
      <c r="C351">
        <f>IF(A351="","",'Ratings'!C27)</f>
        <v/>
      </c>
      <c r="D351">
        <f>IF(A351="","",'Ratings'!D27)</f>
        <v/>
      </c>
      <c r="E351">
        <f>IF(AND('Ratings'!A27&lt;&gt;"",'Ratings'!R5&lt;&gt;""),'Ratings'!R5,"")</f>
        <v/>
      </c>
      <c r="F351">
        <f>IF(OR(A351="",'Ratings'!R27=""),"",'Ratings'!R27)</f>
        <v/>
      </c>
      <c r="G351">
        <f>IF(A351="","",'Employees'!D7)</f>
        <v/>
      </c>
    </row>
    <row r="352">
      <c r="A352">
        <f>IF(AND('Ratings'!A27&lt;&gt;"",'Ratings'!S5&lt;&gt;""),'Ratings'!A27,"")</f>
        <v/>
      </c>
      <c r="B352">
        <f>IF(A352="","",'Employees'!C7)</f>
        <v/>
      </c>
      <c r="C352">
        <f>IF(A352="","",'Ratings'!C27)</f>
        <v/>
      </c>
      <c r="D352">
        <f>IF(A352="","",'Ratings'!D27)</f>
        <v/>
      </c>
      <c r="E352">
        <f>IF(AND('Ratings'!A27&lt;&gt;"",'Ratings'!S5&lt;&gt;""),'Ratings'!S5,"")</f>
        <v/>
      </c>
      <c r="F352">
        <f>IF(OR(A352="",'Ratings'!S27=""),"",'Ratings'!S27)</f>
        <v/>
      </c>
      <c r="G352">
        <f>IF(A352="","",'Employees'!D7)</f>
        <v/>
      </c>
    </row>
    <row r="353">
      <c r="A353">
        <f>IF(AND('Ratings'!A27&lt;&gt;"",'Ratings'!T5&lt;&gt;""),'Ratings'!A27,"")</f>
        <v/>
      </c>
      <c r="B353">
        <f>IF(A353="","",'Employees'!C7)</f>
        <v/>
      </c>
      <c r="C353">
        <f>IF(A353="","",'Ratings'!C27)</f>
        <v/>
      </c>
      <c r="D353">
        <f>IF(A353="","",'Ratings'!D27)</f>
        <v/>
      </c>
      <c r="E353">
        <f>IF(AND('Ratings'!A27&lt;&gt;"",'Ratings'!T5&lt;&gt;""),'Ratings'!T5,"")</f>
        <v/>
      </c>
      <c r="F353">
        <f>IF(OR(A353="",'Ratings'!T27=""),"",'Ratings'!T27)</f>
        <v/>
      </c>
      <c r="G353">
        <f>IF(A353="","",'Employees'!D7)</f>
        <v/>
      </c>
    </row>
    <row r="354">
      <c r="A354">
        <f>IF(AND('Ratings'!A28&lt;&gt;"",'Ratings'!E5&lt;&gt;""),'Ratings'!A28,"")</f>
        <v/>
      </c>
      <c r="B354">
        <f>IF(A354="","",'Employees'!C7)</f>
        <v/>
      </c>
      <c r="C354">
        <f>IF(A354="","",'Ratings'!C28)</f>
        <v/>
      </c>
      <c r="D354">
        <f>IF(A354="","",'Ratings'!D28)</f>
        <v/>
      </c>
      <c r="E354">
        <f>IF(AND('Ratings'!A28&lt;&gt;"",'Ratings'!E5&lt;&gt;""),'Ratings'!E5,"")</f>
        <v/>
      </c>
      <c r="F354">
        <f>IF(OR(A354="",'Ratings'!E28=""),"",'Ratings'!E28)</f>
        <v/>
      </c>
      <c r="G354">
        <f>IF(A354="","",'Employees'!D7)</f>
        <v/>
      </c>
    </row>
    <row r="355">
      <c r="A355">
        <f>IF(AND('Ratings'!A28&lt;&gt;"",'Ratings'!F5&lt;&gt;""),'Ratings'!A28,"")</f>
        <v/>
      </c>
      <c r="B355">
        <f>IF(A355="","",'Employees'!C7)</f>
        <v/>
      </c>
      <c r="C355">
        <f>IF(A355="","",'Ratings'!C28)</f>
        <v/>
      </c>
      <c r="D355">
        <f>IF(A355="","",'Ratings'!D28)</f>
        <v/>
      </c>
      <c r="E355">
        <f>IF(AND('Ratings'!A28&lt;&gt;"",'Ratings'!F5&lt;&gt;""),'Ratings'!F5,"")</f>
        <v/>
      </c>
      <c r="F355">
        <f>IF(OR(A355="",'Ratings'!F28=""),"",'Ratings'!F28)</f>
        <v/>
      </c>
      <c r="G355">
        <f>IF(A355="","",'Employees'!D7)</f>
        <v/>
      </c>
    </row>
    <row r="356">
      <c r="A356">
        <f>IF(AND('Ratings'!A28&lt;&gt;"",'Ratings'!G5&lt;&gt;""),'Ratings'!A28,"")</f>
        <v/>
      </c>
      <c r="B356">
        <f>IF(A356="","",'Employees'!C7)</f>
        <v/>
      </c>
      <c r="C356">
        <f>IF(A356="","",'Ratings'!C28)</f>
        <v/>
      </c>
      <c r="D356">
        <f>IF(A356="","",'Ratings'!D28)</f>
        <v/>
      </c>
      <c r="E356">
        <f>IF(AND('Ratings'!A28&lt;&gt;"",'Ratings'!G5&lt;&gt;""),'Ratings'!G5,"")</f>
        <v/>
      </c>
      <c r="F356">
        <f>IF(OR(A356="",'Ratings'!G28=""),"",'Ratings'!G28)</f>
        <v/>
      </c>
      <c r="G356">
        <f>IF(A356="","",'Employees'!D7)</f>
        <v/>
      </c>
    </row>
    <row r="357">
      <c r="A357">
        <f>IF(AND('Ratings'!A28&lt;&gt;"",'Ratings'!H5&lt;&gt;""),'Ratings'!A28,"")</f>
        <v/>
      </c>
      <c r="B357">
        <f>IF(A357="","",'Employees'!C7)</f>
        <v/>
      </c>
      <c r="C357">
        <f>IF(A357="","",'Ratings'!C28)</f>
        <v/>
      </c>
      <c r="D357">
        <f>IF(A357="","",'Ratings'!D28)</f>
        <v/>
      </c>
      <c r="E357">
        <f>IF(AND('Ratings'!A28&lt;&gt;"",'Ratings'!H5&lt;&gt;""),'Ratings'!H5,"")</f>
        <v/>
      </c>
      <c r="F357">
        <f>IF(OR(A357="",'Ratings'!H28=""),"",'Ratings'!H28)</f>
        <v/>
      </c>
      <c r="G357">
        <f>IF(A357="","",'Employees'!D7)</f>
        <v/>
      </c>
    </row>
    <row r="358">
      <c r="A358">
        <f>IF(AND('Ratings'!A28&lt;&gt;"",'Ratings'!I5&lt;&gt;""),'Ratings'!A28,"")</f>
        <v/>
      </c>
      <c r="B358">
        <f>IF(A358="","",'Employees'!C7)</f>
        <v/>
      </c>
      <c r="C358">
        <f>IF(A358="","",'Ratings'!C28)</f>
        <v/>
      </c>
      <c r="D358">
        <f>IF(A358="","",'Ratings'!D28)</f>
        <v/>
      </c>
      <c r="E358">
        <f>IF(AND('Ratings'!A28&lt;&gt;"",'Ratings'!I5&lt;&gt;""),'Ratings'!I5,"")</f>
        <v/>
      </c>
      <c r="F358">
        <f>IF(OR(A358="",'Ratings'!I28=""),"",'Ratings'!I28)</f>
        <v/>
      </c>
      <c r="G358">
        <f>IF(A358="","",'Employees'!D7)</f>
        <v/>
      </c>
    </row>
    <row r="359">
      <c r="A359">
        <f>IF(AND('Ratings'!A28&lt;&gt;"",'Ratings'!J5&lt;&gt;""),'Ratings'!A28,"")</f>
        <v/>
      </c>
      <c r="B359">
        <f>IF(A359="","",'Employees'!C7)</f>
        <v/>
      </c>
      <c r="C359">
        <f>IF(A359="","",'Ratings'!C28)</f>
        <v/>
      </c>
      <c r="D359">
        <f>IF(A359="","",'Ratings'!D28)</f>
        <v/>
      </c>
      <c r="E359">
        <f>IF(AND('Ratings'!A28&lt;&gt;"",'Ratings'!J5&lt;&gt;""),'Ratings'!J5,"")</f>
        <v/>
      </c>
      <c r="F359">
        <f>IF(OR(A359="",'Ratings'!J28=""),"",'Ratings'!J28)</f>
        <v/>
      </c>
      <c r="G359">
        <f>IF(A359="","",'Employees'!D7)</f>
        <v/>
      </c>
    </row>
    <row r="360">
      <c r="A360">
        <f>IF(AND('Ratings'!A28&lt;&gt;"",'Ratings'!K5&lt;&gt;""),'Ratings'!A28,"")</f>
        <v/>
      </c>
      <c r="B360">
        <f>IF(A360="","",'Employees'!C7)</f>
        <v/>
      </c>
      <c r="C360">
        <f>IF(A360="","",'Ratings'!C28)</f>
        <v/>
      </c>
      <c r="D360">
        <f>IF(A360="","",'Ratings'!D28)</f>
        <v/>
      </c>
      <c r="E360">
        <f>IF(AND('Ratings'!A28&lt;&gt;"",'Ratings'!K5&lt;&gt;""),'Ratings'!K5,"")</f>
        <v/>
      </c>
      <c r="F360">
        <f>IF(OR(A360="",'Ratings'!K28=""),"",'Ratings'!K28)</f>
        <v/>
      </c>
      <c r="G360">
        <f>IF(A360="","",'Employees'!D7)</f>
        <v/>
      </c>
    </row>
    <row r="361">
      <c r="A361">
        <f>IF(AND('Ratings'!A28&lt;&gt;"",'Ratings'!L5&lt;&gt;""),'Ratings'!A28,"")</f>
        <v/>
      </c>
      <c r="B361">
        <f>IF(A361="","",'Employees'!C7)</f>
        <v/>
      </c>
      <c r="C361">
        <f>IF(A361="","",'Ratings'!C28)</f>
        <v/>
      </c>
      <c r="D361">
        <f>IF(A361="","",'Ratings'!D28)</f>
        <v/>
      </c>
      <c r="E361">
        <f>IF(AND('Ratings'!A28&lt;&gt;"",'Ratings'!L5&lt;&gt;""),'Ratings'!L5,"")</f>
        <v/>
      </c>
      <c r="F361">
        <f>IF(OR(A361="",'Ratings'!L28=""),"",'Ratings'!L28)</f>
        <v/>
      </c>
      <c r="G361">
        <f>IF(A361="","",'Employees'!D7)</f>
        <v/>
      </c>
    </row>
    <row r="362">
      <c r="A362">
        <f>IF(AND('Ratings'!A28&lt;&gt;"",'Ratings'!M5&lt;&gt;""),'Ratings'!A28,"")</f>
        <v/>
      </c>
      <c r="B362">
        <f>IF(A362="","",'Employees'!C7)</f>
        <v/>
      </c>
      <c r="C362">
        <f>IF(A362="","",'Ratings'!C28)</f>
        <v/>
      </c>
      <c r="D362">
        <f>IF(A362="","",'Ratings'!D28)</f>
        <v/>
      </c>
      <c r="E362">
        <f>IF(AND('Ratings'!A28&lt;&gt;"",'Ratings'!M5&lt;&gt;""),'Ratings'!M5,"")</f>
        <v/>
      </c>
      <c r="F362">
        <f>IF(OR(A362="",'Ratings'!M28=""),"",'Ratings'!M28)</f>
        <v/>
      </c>
      <c r="G362">
        <f>IF(A362="","",'Employees'!D7)</f>
        <v/>
      </c>
    </row>
    <row r="363">
      <c r="A363">
        <f>IF(AND('Ratings'!A28&lt;&gt;"",'Ratings'!N5&lt;&gt;""),'Ratings'!A28,"")</f>
        <v/>
      </c>
      <c r="B363">
        <f>IF(A363="","",'Employees'!C7)</f>
        <v/>
      </c>
      <c r="C363">
        <f>IF(A363="","",'Ratings'!C28)</f>
        <v/>
      </c>
      <c r="D363">
        <f>IF(A363="","",'Ratings'!D28)</f>
        <v/>
      </c>
      <c r="E363">
        <f>IF(AND('Ratings'!A28&lt;&gt;"",'Ratings'!N5&lt;&gt;""),'Ratings'!N5,"")</f>
        <v/>
      </c>
      <c r="F363">
        <f>IF(OR(A363="",'Ratings'!N28=""),"",'Ratings'!N28)</f>
        <v/>
      </c>
      <c r="G363">
        <f>IF(A363="","",'Employees'!D7)</f>
        <v/>
      </c>
    </row>
    <row r="364">
      <c r="A364">
        <f>IF(AND('Ratings'!A28&lt;&gt;"",'Ratings'!O5&lt;&gt;""),'Ratings'!A28,"")</f>
        <v/>
      </c>
      <c r="B364">
        <f>IF(A364="","",'Employees'!C7)</f>
        <v/>
      </c>
      <c r="C364">
        <f>IF(A364="","",'Ratings'!C28)</f>
        <v/>
      </c>
      <c r="D364">
        <f>IF(A364="","",'Ratings'!D28)</f>
        <v/>
      </c>
      <c r="E364">
        <f>IF(AND('Ratings'!A28&lt;&gt;"",'Ratings'!O5&lt;&gt;""),'Ratings'!O5,"")</f>
        <v/>
      </c>
      <c r="F364">
        <f>IF(OR(A364="",'Ratings'!O28=""),"",'Ratings'!O28)</f>
        <v/>
      </c>
      <c r="G364">
        <f>IF(A364="","",'Employees'!D7)</f>
        <v/>
      </c>
    </row>
    <row r="365">
      <c r="A365">
        <f>IF(AND('Ratings'!A28&lt;&gt;"",'Ratings'!P5&lt;&gt;""),'Ratings'!A28,"")</f>
        <v/>
      </c>
      <c r="B365">
        <f>IF(A365="","",'Employees'!C7)</f>
        <v/>
      </c>
      <c r="C365">
        <f>IF(A365="","",'Ratings'!C28)</f>
        <v/>
      </c>
      <c r="D365">
        <f>IF(A365="","",'Ratings'!D28)</f>
        <v/>
      </c>
      <c r="E365">
        <f>IF(AND('Ratings'!A28&lt;&gt;"",'Ratings'!P5&lt;&gt;""),'Ratings'!P5,"")</f>
        <v/>
      </c>
      <c r="F365">
        <f>IF(OR(A365="",'Ratings'!P28=""),"",'Ratings'!P28)</f>
        <v/>
      </c>
      <c r="G365">
        <f>IF(A365="","",'Employees'!D7)</f>
        <v/>
      </c>
    </row>
    <row r="366">
      <c r="A366">
        <f>IF(AND('Ratings'!A28&lt;&gt;"",'Ratings'!Q5&lt;&gt;""),'Ratings'!A28,"")</f>
        <v/>
      </c>
      <c r="B366">
        <f>IF(A366="","",'Employees'!C7)</f>
        <v/>
      </c>
      <c r="C366">
        <f>IF(A366="","",'Ratings'!C28)</f>
        <v/>
      </c>
      <c r="D366">
        <f>IF(A366="","",'Ratings'!D28)</f>
        <v/>
      </c>
      <c r="E366">
        <f>IF(AND('Ratings'!A28&lt;&gt;"",'Ratings'!Q5&lt;&gt;""),'Ratings'!Q5,"")</f>
        <v/>
      </c>
      <c r="F366">
        <f>IF(OR(A366="",'Ratings'!Q28=""),"",'Ratings'!Q28)</f>
        <v/>
      </c>
      <c r="G366">
        <f>IF(A366="","",'Employees'!D7)</f>
        <v/>
      </c>
    </row>
    <row r="367">
      <c r="A367">
        <f>IF(AND('Ratings'!A28&lt;&gt;"",'Ratings'!R5&lt;&gt;""),'Ratings'!A28,"")</f>
        <v/>
      </c>
      <c r="B367">
        <f>IF(A367="","",'Employees'!C7)</f>
        <v/>
      </c>
      <c r="C367">
        <f>IF(A367="","",'Ratings'!C28)</f>
        <v/>
      </c>
      <c r="D367">
        <f>IF(A367="","",'Ratings'!D28)</f>
        <v/>
      </c>
      <c r="E367">
        <f>IF(AND('Ratings'!A28&lt;&gt;"",'Ratings'!R5&lt;&gt;""),'Ratings'!R5,"")</f>
        <v/>
      </c>
      <c r="F367">
        <f>IF(OR(A367="",'Ratings'!R28=""),"",'Ratings'!R28)</f>
        <v/>
      </c>
      <c r="G367">
        <f>IF(A367="","",'Employees'!D7)</f>
        <v/>
      </c>
    </row>
    <row r="368">
      <c r="A368">
        <f>IF(AND('Ratings'!A28&lt;&gt;"",'Ratings'!S5&lt;&gt;""),'Ratings'!A28,"")</f>
        <v/>
      </c>
      <c r="B368">
        <f>IF(A368="","",'Employees'!C7)</f>
        <v/>
      </c>
      <c r="C368">
        <f>IF(A368="","",'Ratings'!C28)</f>
        <v/>
      </c>
      <c r="D368">
        <f>IF(A368="","",'Ratings'!D28)</f>
        <v/>
      </c>
      <c r="E368">
        <f>IF(AND('Ratings'!A28&lt;&gt;"",'Ratings'!S5&lt;&gt;""),'Ratings'!S5,"")</f>
        <v/>
      </c>
      <c r="F368">
        <f>IF(OR(A368="",'Ratings'!S28=""),"",'Ratings'!S28)</f>
        <v/>
      </c>
      <c r="G368">
        <f>IF(A368="","",'Employees'!D7)</f>
        <v/>
      </c>
    </row>
    <row r="369">
      <c r="A369">
        <f>IF(AND('Ratings'!A28&lt;&gt;"",'Ratings'!T5&lt;&gt;""),'Ratings'!A28,"")</f>
        <v/>
      </c>
      <c r="B369">
        <f>IF(A369="","",'Employees'!C7)</f>
        <v/>
      </c>
      <c r="C369">
        <f>IF(A369="","",'Ratings'!C28)</f>
        <v/>
      </c>
      <c r="D369">
        <f>IF(A369="","",'Ratings'!D28)</f>
        <v/>
      </c>
      <c r="E369">
        <f>IF(AND('Ratings'!A28&lt;&gt;"",'Ratings'!T5&lt;&gt;""),'Ratings'!T5,"")</f>
        <v/>
      </c>
      <c r="F369">
        <f>IF(OR(A369="",'Ratings'!T28=""),"",'Ratings'!T28)</f>
        <v/>
      </c>
      <c r="G369">
        <f>IF(A369="","",'Employees'!D7)</f>
        <v/>
      </c>
    </row>
    <row r="370">
      <c r="A370">
        <f>IF(AND('Ratings'!A29&lt;&gt;"",'Ratings'!E5&lt;&gt;""),'Ratings'!A29,"")</f>
        <v/>
      </c>
      <c r="B370">
        <f>IF(A370="","",'Employees'!C7)</f>
        <v/>
      </c>
      <c r="C370">
        <f>IF(A370="","",'Ratings'!C29)</f>
        <v/>
      </c>
      <c r="D370">
        <f>IF(A370="","",'Ratings'!D29)</f>
        <v/>
      </c>
      <c r="E370">
        <f>IF(AND('Ratings'!A29&lt;&gt;"",'Ratings'!E5&lt;&gt;""),'Ratings'!E5,"")</f>
        <v/>
      </c>
      <c r="F370">
        <f>IF(OR(A370="",'Ratings'!E29=""),"",'Ratings'!E29)</f>
        <v/>
      </c>
      <c r="G370">
        <f>IF(A370="","",'Employees'!D7)</f>
        <v/>
      </c>
    </row>
    <row r="371">
      <c r="A371">
        <f>IF(AND('Ratings'!A29&lt;&gt;"",'Ratings'!F5&lt;&gt;""),'Ratings'!A29,"")</f>
        <v/>
      </c>
      <c r="B371">
        <f>IF(A371="","",'Employees'!C7)</f>
        <v/>
      </c>
      <c r="C371">
        <f>IF(A371="","",'Ratings'!C29)</f>
        <v/>
      </c>
      <c r="D371">
        <f>IF(A371="","",'Ratings'!D29)</f>
        <v/>
      </c>
      <c r="E371">
        <f>IF(AND('Ratings'!A29&lt;&gt;"",'Ratings'!F5&lt;&gt;""),'Ratings'!F5,"")</f>
        <v/>
      </c>
      <c r="F371">
        <f>IF(OR(A371="",'Ratings'!F29=""),"",'Ratings'!F29)</f>
        <v/>
      </c>
      <c r="G371">
        <f>IF(A371="","",'Employees'!D7)</f>
        <v/>
      </c>
    </row>
    <row r="372">
      <c r="A372">
        <f>IF(AND('Ratings'!A29&lt;&gt;"",'Ratings'!G5&lt;&gt;""),'Ratings'!A29,"")</f>
        <v/>
      </c>
      <c r="B372">
        <f>IF(A372="","",'Employees'!C7)</f>
        <v/>
      </c>
      <c r="C372">
        <f>IF(A372="","",'Ratings'!C29)</f>
        <v/>
      </c>
      <c r="D372">
        <f>IF(A372="","",'Ratings'!D29)</f>
        <v/>
      </c>
      <c r="E372">
        <f>IF(AND('Ratings'!A29&lt;&gt;"",'Ratings'!G5&lt;&gt;""),'Ratings'!G5,"")</f>
        <v/>
      </c>
      <c r="F372">
        <f>IF(OR(A372="",'Ratings'!G29=""),"",'Ratings'!G29)</f>
        <v/>
      </c>
      <c r="G372">
        <f>IF(A372="","",'Employees'!D7)</f>
        <v/>
      </c>
    </row>
    <row r="373">
      <c r="A373">
        <f>IF(AND('Ratings'!A29&lt;&gt;"",'Ratings'!H5&lt;&gt;""),'Ratings'!A29,"")</f>
        <v/>
      </c>
      <c r="B373">
        <f>IF(A373="","",'Employees'!C7)</f>
        <v/>
      </c>
      <c r="C373">
        <f>IF(A373="","",'Ratings'!C29)</f>
        <v/>
      </c>
      <c r="D373">
        <f>IF(A373="","",'Ratings'!D29)</f>
        <v/>
      </c>
      <c r="E373">
        <f>IF(AND('Ratings'!A29&lt;&gt;"",'Ratings'!H5&lt;&gt;""),'Ratings'!H5,"")</f>
        <v/>
      </c>
      <c r="F373">
        <f>IF(OR(A373="",'Ratings'!H29=""),"",'Ratings'!H29)</f>
        <v/>
      </c>
      <c r="G373">
        <f>IF(A373="","",'Employees'!D7)</f>
        <v/>
      </c>
    </row>
    <row r="374">
      <c r="A374">
        <f>IF(AND('Ratings'!A29&lt;&gt;"",'Ratings'!I5&lt;&gt;""),'Ratings'!A29,"")</f>
        <v/>
      </c>
      <c r="B374">
        <f>IF(A374="","",'Employees'!C7)</f>
        <v/>
      </c>
      <c r="C374">
        <f>IF(A374="","",'Ratings'!C29)</f>
        <v/>
      </c>
      <c r="D374">
        <f>IF(A374="","",'Ratings'!D29)</f>
        <v/>
      </c>
      <c r="E374">
        <f>IF(AND('Ratings'!A29&lt;&gt;"",'Ratings'!I5&lt;&gt;""),'Ratings'!I5,"")</f>
        <v/>
      </c>
      <c r="F374">
        <f>IF(OR(A374="",'Ratings'!I29=""),"",'Ratings'!I29)</f>
        <v/>
      </c>
      <c r="G374">
        <f>IF(A374="","",'Employees'!D7)</f>
        <v/>
      </c>
    </row>
    <row r="375">
      <c r="A375">
        <f>IF(AND('Ratings'!A29&lt;&gt;"",'Ratings'!J5&lt;&gt;""),'Ratings'!A29,"")</f>
        <v/>
      </c>
      <c r="B375">
        <f>IF(A375="","",'Employees'!C7)</f>
        <v/>
      </c>
      <c r="C375">
        <f>IF(A375="","",'Ratings'!C29)</f>
        <v/>
      </c>
      <c r="D375">
        <f>IF(A375="","",'Ratings'!D29)</f>
        <v/>
      </c>
      <c r="E375">
        <f>IF(AND('Ratings'!A29&lt;&gt;"",'Ratings'!J5&lt;&gt;""),'Ratings'!J5,"")</f>
        <v/>
      </c>
      <c r="F375">
        <f>IF(OR(A375="",'Ratings'!J29=""),"",'Ratings'!J29)</f>
        <v/>
      </c>
      <c r="G375">
        <f>IF(A375="","",'Employees'!D7)</f>
        <v/>
      </c>
    </row>
    <row r="376">
      <c r="A376">
        <f>IF(AND('Ratings'!A29&lt;&gt;"",'Ratings'!K5&lt;&gt;""),'Ratings'!A29,"")</f>
        <v/>
      </c>
      <c r="B376">
        <f>IF(A376="","",'Employees'!C7)</f>
        <v/>
      </c>
      <c r="C376">
        <f>IF(A376="","",'Ratings'!C29)</f>
        <v/>
      </c>
      <c r="D376">
        <f>IF(A376="","",'Ratings'!D29)</f>
        <v/>
      </c>
      <c r="E376">
        <f>IF(AND('Ratings'!A29&lt;&gt;"",'Ratings'!K5&lt;&gt;""),'Ratings'!K5,"")</f>
        <v/>
      </c>
      <c r="F376">
        <f>IF(OR(A376="",'Ratings'!K29=""),"",'Ratings'!K29)</f>
        <v/>
      </c>
      <c r="G376">
        <f>IF(A376="","",'Employees'!D7)</f>
        <v/>
      </c>
    </row>
    <row r="377">
      <c r="A377">
        <f>IF(AND('Ratings'!A29&lt;&gt;"",'Ratings'!L5&lt;&gt;""),'Ratings'!A29,"")</f>
        <v/>
      </c>
      <c r="B377">
        <f>IF(A377="","",'Employees'!C7)</f>
        <v/>
      </c>
      <c r="C377">
        <f>IF(A377="","",'Ratings'!C29)</f>
        <v/>
      </c>
      <c r="D377">
        <f>IF(A377="","",'Ratings'!D29)</f>
        <v/>
      </c>
      <c r="E377">
        <f>IF(AND('Ratings'!A29&lt;&gt;"",'Ratings'!L5&lt;&gt;""),'Ratings'!L5,"")</f>
        <v/>
      </c>
      <c r="F377">
        <f>IF(OR(A377="",'Ratings'!L29=""),"",'Ratings'!L29)</f>
        <v/>
      </c>
      <c r="G377">
        <f>IF(A377="","",'Employees'!D7)</f>
        <v/>
      </c>
    </row>
    <row r="378">
      <c r="A378">
        <f>IF(AND('Ratings'!A29&lt;&gt;"",'Ratings'!M5&lt;&gt;""),'Ratings'!A29,"")</f>
        <v/>
      </c>
      <c r="B378">
        <f>IF(A378="","",'Employees'!C7)</f>
        <v/>
      </c>
      <c r="C378">
        <f>IF(A378="","",'Ratings'!C29)</f>
        <v/>
      </c>
      <c r="D378">
        <f>IF(A378="","",'Ratings'!D29)</f>
        <v/>
      </c>
      <c r="E378">
        <f>IF(AND('Ratings'!A29&lt;&gt;"",'Ratings'!M5&lt;&gt;""),'Ratings'!M5,"")</f>
        <v/>
      </c>
      <c r="F378">
        <f>IF(OR(A378="",'Ratings'!M29=""),"",'Ratings'!M29)</f>
        <v/>
      </c>
      <c r="G378">
        <f>IF(A378="","",'Employees'!D7)</f>
        <v/>
      </c>
    </row>
    <row r="379">
      <c r="A379">
        <f>IF(AND('Ratings'!A29&lt;&gt;"",'Ratings'!N5&lt;&gt;""),'Ratings'!A29,"")</f>
        <v/>
      </c>
      <c r="B379">
        <f>IF(A379="","",'Employees'!C7)</f>
        <v/>
      </c>
      <c r="C379">
        <f>IF(A379="","",'Ratings'!C29)</f>
        <v/>
      </c>
      <c r="D379">
        <f>IF(A379="","",'Ratings'!D29)</f>
        <v/>
      </c>
      <c r="E379">
        <f>IF(AND('Ratings'!A29&lt;&gt;"",'Ratings'!N5&lt;&gt;""),'Ratings'!N5,"")</f>
        <v/>
      </c>
      <c r="F379">
        <f>IF(OR(A379="",'Ratings'!N29=""),"",'Ratings'!N29)</f>
        <v/>
      </c>
      <c r="G379">
        <f>IF(A379="","",'Employees'!D7)</f>
        <v/>
      </c>
    </row>
    <row r="380">
      <c r="A380">
        <f>IF(AND('Ratings'!A29&lt;&gt;"",'Ratings'!O5&lt;&gt;""),'Ratings'!A29,"")</f>
        <v/>
      </c>
      <c r="B380">
        <f>IF(A380="","",'Employees'!C7)</f>
        <v/>
      </c>
      <c r="C380">
        <f>IF(A380="","",'Ratings'!C29)</f>
        <v/>
      </c>
      <c r="D380">
        <f>IF(A380="","",'Ratings'!D29)</f>
        <v/>
      </c>
      <c r="E380">
        <f>IF(AND('Ratings'!A29&lt;&gt;"",'Ratings'!O5&lt;&gt;""),'Ratings'!O5,"")</f>
        <v/>
      </c>
      <c r="F380">
        <f>IF(OR(A380="",'Ratings'!O29=""),"",'Ratings'!O29)</f>
        <v/>
      </c>
      <c r="G380">
        <f>IF(A380="","",'Employees'!D7)</f>
        <v/>
      </c>
    </row>
    <row r="381">
      <c r="A381">
        <f>IF(AND('Ratings'!A29&lt;&gt;"",'Ratings'!P5&lt;&gt;""),'Ratings'!A29,"")</f>
        <v/>
      </c>
      <c r="B381">
        <f>IF(A381="","",'Employees'!C7)</f>
        <v/>
      </c>
      <c r="C381">
        <f>IF(A381="","",'Ratings'!C29)</f>
        <v/>
      </c>
      <c r="D381">
        <f>IF(A381="","",'Ratings'!D29)</f>
        <v/>
      </c>
      <c r="E381">
        <f>IF(AND('Ratings'!A29&lt;&gt;"",'Ratings'!P5&lt;&gt;""),'Ratings'!P5,"")</f>
        <v/>
      </c>
      <c r="F381">
        <f>IF(OR(A381="",'Ratings'!P29=""),"",'Ratings'!P29)</f>
        <v/>
      </c>
      <c r="G381">
        <f>IF(A381="","",'Employees'!D7)</f>
        <v/>
      </c>
    </row>
    <row r="382">
      <c r="A382">
        <f>IF(AND('Ratings'!A29&lt;&gt;"",'Ratings'!Q5&lt;&gt;""),'Ratings'!A29,"")</f>
        <v/>
      </c>
      <c r="B382">
        <f>IF(A382="","",'Employees'!C7)</f>
        <v/>
      </c>
      <c r="C382">
        <f>IF(A382="","",'Ratings'!C29)</f>
        <v/>
      </c>
      <c r="D382">
        <f>IF(A382="","",'Ratings'!D29)</f>
        <v/>
      </c>
      <c r="E382">
        <f>IF(AND('Ratings'!A29&lt;&gt;"",'Ratings'!Q5&lt;&gt;""),'Ratings'!Q5,"")</f>
        <v/>
      </c>
      <c r="F382">
        <f>IF(OR(A382="",'Ratings'!Q29=""),"",'Ratings'!Q29)</f>
        <v/>
      </c>
      <c r="G382">
        <f>IF(A382="","",'Employees'!D7)</f>
        <v/>
      </c>
    </row>
    <row r="383">
      <c r="A383">
        <f>IF(AND('Ratings'!A29&lt;&gt;"",'Ratings'!R5&lt;&gt;""),'Ratings'!A29,"")</f>
        <v/>
      </c>
      <c r="B383">
        <f>IF(A383="","",'Employees'!C7)</f>
        <v/>
      </c>
      <c r="C383">
        <f>IF(A383="","",'Ratings'!C29)</f>
        <v/>
      </c>
      <c r="D383">
        <f>IF(A383="","",'Ratings'!D29)</f>
        <v/>
      </c>
      <c r="E383">
        <f>IF(AND('Ratings'!A29&lt;&gt;"",'Ratings'!R5&lt;&gt;""),'Ratings'!R5,"")</f>
        <v/>
      </c>
      <c r="F383">
        <f>IF(OR(A383="",'Ratings'!R29=""),"",'Ratings'!R29)</f>
        <v/>
      </c>
      <c r="G383">
        <f>IF(A383="","",'Employees'!D7)</f>
        <v/>
      </c>
    </row>
    <row r="384">
      <c r="A384">
        <f>IF(AND('Ratings'!A29&lt;&gt;"",'Ratings'!S5&lt;&gt;""),'Ratings'!A29,"")</f>
        <v/>
      </c>
      <c r="B384">
        <f>IF(A384="","",'Employees'!C7)</f>
        <v/>
      </c>
      <c r="C384">
        <f>IF(A384="","",'Ratings'!C29)</f>
        <v/>
      </c>
      <c r="D384">
        <f>IF(A384="","",'Ratings'!D29)</f>
        <v/>
      </c>
      <c r="E384">
        <f>IF(AND('Ratings'!A29&lt;&gt;"",'Ratings'!S5&lt;&gt;""),'Ratings'!S5,"")</f>
        <v/>
      </c>
      <c r="F384">
        <f>IF(OR(A384="",'Ratings'!S29=""),"",'Ratings'!S29)</f>
        <v/>
      </c>
      <c r="G384">
        <f>IF(A384="","",'Employees'!D7)</f>
        <v/>
      </c>
    </row>
    <row r="385">
      <c r="A385">
        <f>IF(AND('Ratings'!A29&lt;&gt;"",'Ratings'!T5&lt;&gt;""),'Ratings'!A29,"")</f>
        <v/>
      </c>
      <c r="B385">
        <f>IF(A385="","",'Employees'!C7)</f>
        <v/>
      </c>
      <c r="C385">
        <f>IF(A385="","",'Ratings'!C29)</f>
        <v/>
      </c>
      <c r="D385">
        <f>IF(A385="","",'Ratings'!D29)</f>
        <v/>
      </c>
      <c r="E385">
        <f>IF(AND('Ratings'!A29&lt;&gt;"",'Ratings'!T5&lt;&gt;""),'Ratings'!T5,"")</f>
        <v/>
      </c>
      <c r="F385">
        <f>IF(OR(A385="",'Ratings'!T29=""),"",'Ratings'!T29)</f>
        <v/>
      </c>
      <c r="G385">
        <f>IF(A385="","",'Employees'!D7)</f>
        <v/>
      </c>
    </row>
    <row r="386">
      <c r="A386">
        <f>IF(AND('Ratings'!A30&lt;&gt;"",'Ratings'!E5&lt;&gt;""),'Ratings'!A30,"")</f>
        <v/>
      </c>
      <c r="B386">
        <f>IF(A386="","",'Employees'!C7)</f>
        <v/>
      </c>
      <c r="C386">
        <f>IF(A386="","",'Ratings'!C30)</f>
        <v/>
      </c>
      <c r="D386">
        <f>IF(A386="","",'Ratings'!D30)</f>
        <v/>
      </c>
      <c r="E386">
        <f>IF(AND('Ratings'!A30&lt;&gt;"",'Ratings'!E5&lt;&gt;""),'Ratings'!E5,"")</f>
        <v/>
      </c>
      <c r="F386">
        <f>IF(OR(A386="",'Ratings'!E30=""),"",'Ratings'!E30)</f>
        <v/>
      </c>
      <c r="G386">
        <f>IF(A386="","",'Employees'!D7)</f>
        <v/>
      </c>
    </row>
    <row r="387">
      <c r="A387">
        <f>IF(AND('Ratings'!A30&lt;&gt;"",'Ratings'!F5&lt;&gt;""),'Ratings'!A30,"")</f>
        <v/>
      </c>
      <c r="B387">
        <f>IF(A387="","",'Employees'!C7)</f>
        <v/>
      </c>
      <c r="C387">
        <f>IF(A387="","",'Ratings'!C30)</f>
        <v/>
      </c>
      <c r="D387">
        <f>IF(A387="","",'Ratings'!D30)</f>
        <v/>
      </c>
      <c r="E387">
        <f>IF(AND('Ratings'!A30&lt;&gt;"",'Ratings'!F5&lt;&gt;""),'Ratings'!F5,"")</f>
        <v/>
      </c>
      <c r="F387">
        <f>IF(OR(A387="",'Ratings'!F30=""),"",'Ratings'!F30)</f>
        <v/>
      </c>
      <c r="G387">
        <f>IF(A387="","",'Employees'!D7)</f>
        <v/>
      </c>
    </row>
    <row r="388">
      <c r="A388">
        <f>IF(AND('Ratings'!A30&lt;&gt;"",'Ratings'!G5&lt;&gt;""),'Ratings'!A30,"")</f>
        <v/>
      </c>
      <c r="B388">
        <f>IF(A388="","",'Employees'!C7)</f>
        <v/>
      </c>
      <c r="C388">
        <f>IF(A388="","",'Ratings'!C30)</f>
        <v/>
      </c>
      <c r="D388">
        <f>IF(A388="","",'Ratings'!D30)</f>
        <v/>
      </c>
      <c r="E388">
        <f>IF(AND('Ratings'!A30&lt;&gt;"",'Ratings'!G5&lt;&gt;""),'Ratings'!G5,"")</f>
        <v/>
      </c>
      <c r="F388">
        <f>IF(OR(A388="",'Ratings'!G30=""),"",'Ratings'!G30)</f>
        <v/>
      </c>
      <c r="G388">
        <f>IF(A388="","",'Employees'!D7)</f>
        <v/>
      </c>
    </row>
    <row r="389">
      <c r="A389">
        <f>IF(AND('Ratings'!A30&lt;&gt;"",'Ratings'!H5&lt;&gt;""),'Ratings'!A30,"")</f>
        <v/>
      </c>
      <c r="B389">
        <f>IF(A389="","",'Employees'!C7)</f>
        <v/>
      </c>
      <c r="C389">
        <f>IF(A389="","",'Ratings'!C30)</f>
        <v/>
      </c>
      <c r="D389">
        <f>IF(A389="","",'Ratings'!D30)</f>
        <v/>
      </c>
      <c r="E389">
        <f>IF(AND('Ratings'!A30&lt;&gt;"",'Ratings'!H5&lt;&gt;""),'Ratings'!H5,"")</f>
        <v/>
      </c>
      <c r="F389">
        <f>IF(OR(A389="",'Ratings'!H30=""),"",'Ratings'!H30)</f>
        <v/>
      </c>
      <c r="G389">
        <f>IF(A389="","",'Employees'!D7)</f>
        <v/>
      </c>
    </row>
    <row r="390">
      <c r="A390">
        <f>IF(AND('Ratings'!A30&lt;&gt;"",'Ratings'!I5&lt;&gt;""),'Ratings'!A30,"")</f>
        <v/>
      </c>
      <c r="B390">
        <f>IF(A390="","",'Employees'!C7)</f>
        <v/>
      </c>
      <c r="C390">
        <f>IF(A390="","",'Ratings'!C30)</f>
        <v/>
      </c>
      <c r="D390">
        <f>IF(A390="","",'Ratings'!D30)</f>
        <v/>
      </c>
      <c r="E390">
        <f>IF(AND('Ratings'!A30&lt;&gt;"",'Ratings'!I5&lt;&gt;""),'Ratings'!I5,"")</f>
        <v/>
      </c>
      <c r="F390">
        <f>IF(OR(A390="",'Ratings'!I30=""),"",'Ratings'!I30)</f>
        <v/>
      </c>
      <c r="G390">
        <f>IF(A390="","",'Employees'!D7)</f>
        <v/>
      </c>
    </row>
    <row r="391">
      <c r="A391">
        <f>IF(AND('Ratings'!A30&lt;&gt;"",'Ratings'!J5&lt;&gt;""),'Ratings'!A30,"")</f>
        <v/>
      </c>
      <c r="B391">
        <f>IF(A391="","",'Employees'!C7)</f>
        <v/>
      </c>
      <c r="C391">
        <f>IF(A391="","",'Ratings'!C30)</f>
        <v/>
      </c>
      <c r="D391">
        <f>IF(A391="","",'Ratings'!D30)</f>
        <v/>
      </c>
      <c r="E391">
        <f>IF(AND('Ratings'!A30&lt;&gt;"",'Ratings'!J5&lt;&gt;""),'Ratings'!J5,"")</f>
        <v/>
      </c>
      <c r="F391">
        <f>IF(OR(A391="",'Ratings'!J30=""),"",'Ratings'!J30)</f>
        <v/>
      </c>
      <c r="G391">
        <f>IF(A391="","",'Employees'!D7)</f>
        <v/>
      </c>
    </row>
    <row r="392">
      <c r="A392">
        <f>IF(AND('Ratings'!A30&lt;&gt;"",'Ratings'!K5&lt;&gt;""),'Ratings'!A30,"")</f>
        <v/>
      </c>
      <c r="B392">
        <f>IF(A392="","",'Employees'!C7)</f>
        <v/>
      </c>
      <c r="C392">
        <f>IF(A392="","",'Ratings'!C30)</f>
        <v/>
      </c>
      <c r="D392">
        <f>IF(A392="","",'Ratings'!D30)</f>
        <v/>
      </c>
      <c r="E392">
        <f>IF(AND('Ratings'!A30&lt;&gt;"",'Ratings'!K5&lt;&gt;""),'Ratings'!K5,"")</f>
        <v/>
      </c>
      <c r="F392">
        <f>IF(OR(A392="",'Ratings'!K30=""),"",'Ratings'!K30)</f>
        <v/>
      </c>
      <c r="G392">
        <f>IF(A392="","",'Employees'!D7)</f>
        <v/>
      </c>
    </row>
    <row r="393">
      <c r="A393">
        <f>IF(AND('Ratings'!A30&lt;&gt;"",'Ratings'!L5&lt;&gt;""),'Ratings'!A30,"")</f>
        <v/>
      </c>
      <c r="B393">
        <f>IF(A393="","",'Employees'!C7)</f>
        <v/>
      </c>
      <c r="C393">
        <f>IF(A393="","",'Ratings'!C30)</f>
        <v/>
      </c>
      <c r="D393">
        <f>IF(A393="","",'Ratings'!D30)</f>
        <v/>
      </c>
      <c r="E393">
        <f>IF(AND('Ratings'!A30&lt;&gt;"",'Ratings'!L5&lt;&gt;""),'Ratings'!L5,"")</f>
        <v/>
      </c>
      <c r="F393">
        <f>IF(OR(A393="",'Ratings'!L30=""),"",'Ratings'!L30)</f>
        <v/>
      </c>
      <c r="G393">
        <f>IF(A393="","",'Employees'!D7)</f>
        <v/>
      </c>
    </row>
    <row r="394">
      <c r="A394">
        <f>IF(AND('Ratings'!A30&lt;&gt;"",'Ratings'!M5&lt;&gt;""),'Ratings'!A30,"")</f>
        <v/>
      </c>
      <c r="B394">
        <f>IF(A394="","",'Employees'!C7)</f>
        <v/>
      </c>
      <c r="C394">
        <f>IF(A394="","",'Ratings'!C30)</f>
        <v/>
      </c>
      <c r="D394">
        <f>IF(A394="","",'Ratings'!D30)</f>
        <v/>
      </c>
      <c r="E394">
        <f>IF(AND('Ratings'!A30&lt;&gt;"",'Ratings'!M5&lt;&gt;""),'Ratings'!M5,"")</f>
        <v/>
      </c>
      <c r="F394">
        <f>IF(OR(A394="",'Ratings'!M30=""),"",'Ratings'!M30)</f>
        <v/>
      </c>
      <c r="G394">
        <f>IF(A394="","",'Employees'!D7)</f>
        <v/>
      </c>
    </row>
    <row r="395">
      <c r="A395">
        <f>IF(AND('Ratings'!A30&lt;&gt;"",'Ratings'!N5&lt;&gt;""),'Ratings'!A30,"")</f>
        <v/>
      </c>
      <c r="B395">
        <f>IF(A395="","",'Employees'!C7)</f>
        <v/>
      </c>
      <c r="C395">
        <f>IF(A395="","",'Ratings'!C30)</f>
        <v/>
      </c>
      <c r="D395">
        <f>IF(A395="","",'Ratings'!D30)</f>
        <v/>
      </c>
      <c r="E395">
        <f>IF(AND('Ratings'!A30&lt;&gt;"",'Ratings'!N5&lt;&gt;""),'Ratings'!N5,"")</f>
        <v/>
      </c>
      <c r="F395">
        <f>IF(OR(A395="",'Ratings'!N30=""),"",'Ratings'!N30)</f>
        <v/>
      </c>
      <c r="G395">
        <f>IF(A395="","",'Employees'!D7)</f>
        <v/>
      </c>
    </row>
    <row r="396">
      <c r="A396">
        <f>IF(AND('Ratings'!A30&lt;&gt;"",'Ratings'!O5&lt;&gt;""),'Ratings'!A30,"")</f>
        <v/>
      </c>
      <c r="B396">
        <f>IF(A396="","",'Employees'!C7)</f>
        <v/>
      </c>
      <c r="C396">
        <f>IF(A396="","",'Ratings'!C30)</f>
        <v/>
      </c>
      <c r="D396">
        <f>IF(A396="","",'Ratings'!D30)</f>
        <v/>
      </c>
      <c r="E396">
        <f>IF(AND('Ratings'!A30&lt;&gt;"",'Ratings'!O5&lt;&gt;""),'Ratings'!O5,"")</f>
        <v/>
      </c>
      <c r="F396">
        <f>IF(OR(A396="",'Ratings'!O30=""),"",'Ratings'!O30)</f>
        <v/>
      </c>
      <c r="G396">
        <f>IF(A396="","",'Employees'!D7)</f>
        <v/>
      </c>
    </row>
    <row r="397">
      <c r="A397">
        <f>IF(AND('Ratings'!A30&lt;&gt;"",'Ratings'!P5&lt;&gt;""),'Ratings'!A30,"")</f>
        <v/>
      </c>
      <c r="B397">
        <f>IF(A397="","",'Employees'!C7)</f>
        <v/>
      </c>
      <c r="C397">
        <f>IF(A397="","",'Ratings'!C30)</f>
        <v/>
      </c>
      <c r="D397">
        <f>IF(A397="","",'Ratings'!D30)</f>
        <v/>
      </c>
      <c r="E397">
        <f>IF(AND('Ratings'!A30&lt;&gt;"",'Ratings'!P5&lt;&gt;""),'Ratings'!P5,"")</f>
        <v/>
      </c>
      <c r="F397">
        <f>IF(OR(A397="",'Ratings'!P30=""),"",'Ratings'!P30)</f>
        <v/>
      </c>
      <c r="G397">
        <f>IF(A397="","",'Employees'!D7)</f>
        <v/>
      </c>
    </row>
    <row r="398">
      <c r="A398">
        <f>IF(AND('Ratings'!A30&lt;&gt;"",'Ratings'!Q5&lt;&gt;""),'Ratings'!A30,"")</f>
        <v/>
      </c>
      <c r="B398">
        <f>IF(A398="","",'Employees'!C7)</f>
        <v/>
      </c>
      <c r="C398">
        <f>IF(A398="","",'Ratings'!C30)</f>
        <v/>
      </c>
      <c r="D398">
        <f>IF(A398="","",'Ratings'!D30)</f>
        <v/>
      </c>
      <c r="E398">
        <f>IF(AND('Ratings'!A30&lt;&gt;"",'Ratings'!Q5&lt;&gt;""),'Ratings'!Q5,"")</f>
        <v/>
      </c>
      <c r="F398">
        <f>IF(OR(A398="",'Ratings'!Q30=""),"",'Ratings'!Q30)</f>
        <v/>
      </c>
      <c r="G398">
        <f>IF(A398="","",'Employees'!D7)</f>
        <v/>
      </c>
    </row>
    <row r="399">
      <c r="A399">
        <f>IF(AND('Ratings'!A30&lt;&gt;"",'Ratings'!R5&lt;&gt;""),'Ratings'!A30,"")</f>
        <v/>
      </c>
      <c r="B399">
        <f>IF(A399="","",'Employees'!C7)</f>
        <v/>
      </c>
      <c r="C399">
        <f>IF(A399="","",'Ratings'!C30)</f>
        <v/>
      </c>
      <c r="D399">
        <f>IF(A399="","",'Ratings'!D30)</f>
        <v/>
      </c>
      <c r="E399">
        <f>IF(AND('Ratings'!A30&lt;&gt;"",'Ratings'!R5&lt;&gt;""),'Ratings'!R5,"")</f>
        <v/>
      </c>
      <c r="F399">
        <f>IF(OR(A399="",'Ratings'!R30=""),"",'Ratings'!R30)</f>
        <v/>
      </c>
      <c r="G399">
        <f>IF(A399="","",'Employees'!D7)</f>
        <v/>
      </c>
    </row>
    <row r="400">
      <c r="A400">
        <f>IF(AND('Ratings'!A30&lt;&gt;"",'Ratings'!S5&lt;&gt;""),'Ratings'!A30,"")</f>
        <v/>
      </c>
      <c r="B400">
        <f>IF(A400="","",'Employees'!C7)</f>
        <v/>
      </c>
      <c r="C400">
        <f>IF(A400="","",'Ratings'!C30)</f>
        <v/>
      </c>
      <c r="D400">
        <f>IF(A400="","",'Ratings'!D30)</f>
        <v/>
      </c>
      <c r="E400">
        <f>IF(AND('Ratings'!A30&lt;&gt;"",'Ratings'!S5&lt;&gt;""),'Ratings'!S5,"")</f>
        <v/>
      </c>
      <c r="F400">
        <f>IF(OR(A400="",'Ratings'!S30=""),"",'Ratings'!S30)</f>
        <v/>
      </c>
      <c r="G400">
        <f>IF(A400="","",'Employees'!D7)</f>
        <v/>
      </c>
    </row>
    <row r="401">
      <c r="A401">
        <f>IF(AND('Ratings'!A30&lt;&gt;"",'Ratings'!T5&lt;&gt;""),'Ratings'!A30,"")</f>
        <v/>
      </c>
      <c r="B401">
        <f>IF(A401="","",'Employees'!C7)</f>
        <v/>
      </c>
      <c r="C401">
        <f>IF(A401="","",'Ratings'!C30)</f>
        <v/>
      </c>
      <c r="D401">
        <f>IF(A401="","",'Ratings'!D30)</f>
        <v/>
      </c>
      <c r="E401">
        <f>IF(AND('Ratings'!A30&lt;&gt;"",'Ratings'!T5&lt;&gt;""),'Ratings'!T5,"")</f>
        <v/>
      </c>
      <c r="F401">
        <f>IF(OR(A401="",'Ratings'!T30=""),"",'Ratings'!T30)</f>
        <v/>
      </c>
      <c r="G401">
        <f>IF(A401="","",'Employees'!D7)</f>
        <v/>
      </c>
    </row>
    <row r="402">
      <c r="A402">
        <f>IF(AND('Ratings'!A31&lt;&gt;"",'Ratings'!E5&lt;&gt;""),'Ratings'!A31,"")</f>
        <v/>
      </c>
      <c r="B402">
        <f>IF(A402="","",'Employees'!C7)</f>
        <v/>
      </c>
      <c r="C402">
        <f>IF(A402="","",'Ratings'!C31)</f>
        <v/>
      </c>
      <c r="D402">
        <f>IF(A402="","",'Ratings'!D31)</f>
        <v/>
      </c>
      <c r="E402">
        <f>IF(AND('Ratings'!A31&lt;&gt;"",'Ratings'!E5&lt;&gt;""),'Ratings'!E5,"")</f>
        <v/>
      </c>
      <c r="F402">
        <f>IF(OR(A402="",'Ratings'!E31=""),"",'Ratings'!E31)</f>
        <v/>
      </c>
      <c r="G402">
        <f>IF(A402="","",'Employees'!D7)</f>
        <v/>
      </c>
    </row>
    <row r="403">
      <c r="A403">
        <f>IF(AND('Ratings'!A31&lt;&gt;"",'Ratings'!F5&lt;&gt;""),'Ratings'!A31,"")</f>
        <v/>
      </c>
      <c r="B403">
        <f>IF(A403="","",'Employees'!C7)</f>
        <v/>
      </c>
      <c r="C403">
        <f>IF(A403="","",'Ratings'!C31)</f>
        <v/>
      </c>
      <c r="D403">
        <f>IF(A403="","",'Ratings'!D31)</f>
        <v/>
      </c>
      <c r="E403">
        <f>IF(AND('Ratings'!A31&lt;&gt;"",'Ratings'!F5&lt;&gt;""),'Ratings'!F5,"")</f>
        <v/>
      </c>
      <c r="F403">
        <f>IF(OR(A403="",'Ratings'!F31=""),"",'Ratings'!F31)</f>
        <v/>
      </c>
      <c r="G403">
        <f>IF(A403="","",'Employees'!D7)</f>
        <v/>
      </c>
    </row>
    <row r="404">
      <c r="A404">
        <f>IF(AND('Ratings'!A31&lt;&gt;"",'Ratings'!G5&lt;&gt;""),'Ratings'!A31,"")</f>
        <v/>
      </c>
      <c r="B404">
        <f>IF(A404="","",'Employees'!C7)</f>
        <v/>
      </c>
      <c r="C404">
        <f>IF(A404="","",'Ratings'!C31)</f>
        <v/>
      </c>
      <c r="D404">
        <f>IF(A404="","",'Ratings'!D31)</f>
        <v/>
      </c>
      <c r="E404">
        <f>IF(AND('Ratings'!A31&lt;&gt;"",'Ratings'!G5&lt;&gt;""),'Ratings'!G5,"")</f>
        <v/>
      </c>
      <c r="F404">
        <f>IF(OR(A404="",'Ratings'!G31=""),"",'Ratings'!G31)</f>
        <v/>
      </c>
      <c r="G404">
        <f>IF(A404="","",'Employees'!D7)</f>
        <v/>
      </c>
    </row>
    <row r="405">
      <c r="A405">
        <f>IF(AND('Ratings'!A31&lt;&gt;"",'Ratings'!H5&lt;&gt;""),'Ratings'!A31,"")</f>
        <v/>
      </c>
      <c r="B405">
        <f>IF(A405="","",'Employees'!C7)</f>
        <v/>
      </c>
      <c r="C405">
        <f>IF(A405="","",'Ratings'!C31)</f>
        <v/>
      </c>
      <c r="D405">
        <f>IF(A405="","",'Ratings'!D31)</f>
        <v/>
      </c>
      <c r="E405">
        <f>IF(AND('Ratings'!A31&lt;&gt;"",'Ratings'!H5&lt;&gt;""),'Ratings'!H5,"")</f>
        <v/>
      </c>
      <c r="F405">
        <f>IF(OR(A405="",'Ratings'!H31=""),"",'Ratings'!H31)</f>
        <v/>
      </c>
      <c r="G405">
        <f>IF(A405="","",'Employees'!D7)</f>
        <v/>
      </c>
    </row>
    <row r="406">
      <c r="A406">
        <f>IF(AND('Ratings'!A31&lt;&gt;"",'Ratings'!I5&lt;&gt;""),'Ratings'!A31,"")</f>
        <v/>
      </c>
      <c r="B406">
        <f>IF(A406="","",'Employees'!C7)</f>
        <v/>
      </c>
      <c r="C406">
        <f>IF(A406="","",'Ratings'!C31)</f>
        <v/>
      </c>
      <c r="D406">
        <f>IF(A406="","",'Ratings'!D31)</f>
        <v/>
      </c>
      <c r="E406">
        <f>IF(AND('Ratings'!A31&lt;&gt;"",'Ratings'!I5&lt;&gt;""),'Ratings'!I5,"")</f>
        <v/>
      </c>
      <c r="F406">
        <f>IF(OR(A406="",'Ratings'!I31=""),"",'Ratings'!I31)</f>
        <v/>
      </c>
      <c r="G406">
        <f>IF(A406="","",'Employees'!D7)</f>
        <v/>
      </c>
    </row>
    <row r="407">
      <c r="A407">
        <f>IF(AND('Ratings'!A31&lt;&gt;"",'Ratings'!J5&lt;&gt;""),'Ratings'!A31,"")</f>
        <v/>
      </c>
      <c r="B407">
        <f>IF(A407="","",'Employees'!C7)</f>
        <v/>
      </c>
      <c r="C407">
        <f>IF(A407="","",'Ratings'!C31)</f>
        <v/>
      </c>
      <c r="D407">
        <f>IF(A407="","",'Ratings'!D31)</f>
        <v/>
      </c>
      <c r="E407">
        <f>IF(AND('Ratings'!A31&lt;&gt;"",'Ratings'!J5&lt;&gt;""),'Ratings'!J5,"")</f>
        <v/>
      </c>
      <c r="F407">
        <f>IF(OR(A407="",'Ratings'!J31=""),"",'Ratings'!J31)</f>
        <v/>
      </c>
      <c r="G407">
        <f>IF(A407="","",'Employees'!D7)</f>
        <v/>
      </c>
    </row>
    <row r="408">
      <c r="A408">
        <f>IF(AND('Ratings'!A31&lt;&gt;"",'Ratings'!K5&lt;&gt;""),'Ratings'!A31,"")</f>
        <v/>
      </c>
      <c r="B408">
        <f>IF(A408="","",'Employees'!C7)</f>
        <v/>
      </c>
      <c r="C408">
        <f>IF(A408="","",'Ratings'!C31)</f>
        <v/>
      </c>
      <c r="D408">
        <f>IF(A408="","",'Ratings'!D31)</f>
        <v/>
      </c>
      <c r="E408">
        <f>IF(AND('Ratings'!A31&lt;&gt;"",'Ratings'!K5&lt;&gt;""),'Ratings'!K5,"")</f>
        <v/>
      </c>
      <c r="F408">
        <f>IF(OR(A408="",'Ratings'!K31=""),"",'Ratings'!K31)</f>
        <v/>
      </c>
      <c r="G408">
        <f>IF(A408="","",'Employees'!D7)</f>
        <v/>
      </c>
    </row>
    <row r="409">
      <c r="A409">
        <f>IF(AND('Ratings'!A31&lt;&gt;"",'Ratings'!L5&lt;&gt;""),'Ratings'!A31,"")</f>
        <v/>
      </c>
      <c r="B409">
        <f>IF(A409="","",'Employees'!C7)</f>
        <v/>
      </c>
      <c r="C409">
        <f>IF(A409="","",'Ratings'!C31)</f>
        <v/>
      </c>
      <c r="D409">
        <f>IF(A409="","",'Ratings'!D31)</f>
        <v/>
      </c>
      <c r="E409">
        <f>IF(AND('Ratings'!A31&lt;&gt;"",'Ratings'!L5&lt;&gt;""),'Ratings'!L5,"")</f>
        <v/>
      </c>
      <c r="F409">
        <f>IF(OR(A409="",'Ratings'!L31=""),"",'Ratings'!L31)</f>
        <v/>
      </c>
      <c r="G409">
        <f>IF(A409="","",'Employees'!D7)</f>
        <v/>
      </c>
    </row>
    <row r="410">
      <c r="A410">
        <f>IF(AND('Ratings'!A31&lt;&gt;"",'Ratings'!M5&lt;&gt;""),'Ratings'!A31,"")</f>
        <v/>
      </c>
      <c r="B410">
        <f>IF(A410="","",'Employees'!C7)</f>
        <v/>
      </c>
      <c r="C410">
        <f>IF(A410="","",'Ratings'!C31)</f>
        <v/>
      </c>
      <c r="D410">
        <f>IF(A410="","",'Ratings'!D31)</f>
        <v/>
      </c>
      <c r="E410">
        <f>IF(AND('Ratings'!A31&lt;&gt;"",'Ratings'!M5&lt;&gt;""),'Ratings'!M5,"")</f>
        <v/>
      </c>
      <c r="F410">
        <f>IF(OR(A410="",'Ratings'!M31=""),"",'Ratings'!M31)</f>
        <v/>
      </c>
      <c r="G410">
        <f>IF(A410="","",'Employees'!D7)</f>
        <v/>
      </c>
    </row>
    <row r="411">
      <c r="A411">
        <f>IF(AND('Ratings'!A31&lt;&gt;"",'Ratings'!N5&lt;&gt;""),'Ratings'!A31,"")</f>
        <v/>
      </c>
      <c r="B411">
        <f>IF(A411="","",'Employees'!C7)</f>
        <v/>
      </c>
      <c r="C411">
        <f>IF(A411="","",'Ratings'!C31)</f>
        <v/>
      </c>
      <c r="D411">
        <f>IF(A411="","",'Ratings'!D31)</f>
        <v/>
      </c>
      <c r="E411">
        <f>IF(AND('Ratings'!A31&lt;&gt;"",'Ratings'!N5&lt;&gt;""),'Ratings'!N5,"")</f>
        <v/>
      </c>
      <c r="F411">
        <f>IF(OR(A411="",'Ratings'!N31=""),"",'Ratings'!N31)</f>
        <v/>
      </c>
      <c r="G411">
        <f>IF(A411="","",'Employees'!D7)</f>
        <v/>
      </c>
    </row>
    <row r="412">
      <c r="A412">
        <f>IF(AND('Ratings'!A31&lt;&gt;"",'Ratings'!O5&lt;&gt;""),'Ratings'!A31,"")</f>
        <v/>
      </c>
      <c r="B412">
        <f>IF(A412="","",'Employees'!C7)</f>
        <v/>
      </c>
      <c r="C412">
        <f>IF(A412="","",'Ratings'!C31)</f>
        <v/>
      </c>
      <c r="D412">
        <f>IF(A412="","",'Ratings'!D31)</f>
        <v/>
      </c>
      <c r="E412">
        <f>IF(AND('Ratings'!A31&lt;&gt;"",'Ratings'!O5&lt;&gt;""),'Ratings'!O5,"")</f>
        <v/>
      </c>
      <c r="F412">
        <f>IF(OR(A412="",'Ratings'!O31=""),"",'Ratings'!O31)</f>
        <v/>
      </c>
      <c r="G412">
        <f>IF(A412="","",'Employees'!D7)</f>
        <v/>
      </c>
    </row>
    <row r="413">
      <c r="A413">
        <f>IF(AND('Ratings'!A31&lt;&gt;"",'Ratings'!P5&lt;&gt;""),'Ratings'!A31,"")</f>
        <v/>
      </c>
      <c r="B413">
        <f>IF(A413="","",'Employees'!C7)</f>
        <v/>
      </c>
      <c r="C413">
        <f>IF(A413="","",'Ratings'!C31)</f>
        <v/>
      </c>
      <c r="D413">
        <f>IF(A413="","",'Ratings'!D31)</f>
        <v/>
      </c>
      <c r="E413">
        <f>IF(AND('Ratings'!A31&lt;&gt;"",'Ratings'!P5&lt;&gt;""),'Ratings'!P5,"")</f>
        <v/>
      </c>
      <c r="F413">
        <f>IF(OR(A413="",'Ratings'!P31=""),"",'Ratings'!P31)</f>
        <v/>
      </c>
      <c r="G413">
        <f>IF(A413="","",'Employees'!D7)</f>
        <v/>
      </c>
    </row>
    <row r="414">
      <c r="A414">
        <f>IF(AND('Ratings'!A31&lt;&gt;"",'Ratings'!Q5&lt;&gt;""),'Ratings'!A31,"")</f>
        <v/>
      </c>
      <c r="B414">
        <f>IF(A414="","",'Employees'!C7)</f>
        <v/>
      </c>
      <c r="C414">
        <f>IF(A414="","",'Ratings'!C31)</f>
        <v/>
      </c>
      <c r="D414">
        <f>IF(A414="","",'Ratings'!D31)</f>
        <v/>
      </c>
      <c r="E414">
        <f>IF(AND('Ratings'!A31&lt;&gt;"",'Ratings'!Q5&lt;&gt;""),'Ratings'!Q5,"")</f>
        <v/>
      </c>
      <c r="F414">
        <f>IF(OR(A414="",'Ratings'!Q31=""),"",'Ratings'!Q31)</f>
        <v/>
      </c>
      <c r="G414">
        <f>IF(A414="","",'Employees'!D7)</f>
        <v/>
      </c>
    </row>
    <row r="415">
      <c r="A415">
        <f>IF(AND('Ratings'!A31&lt;&gt;"",'Ratings'!R5&lt;&gt;""),'Ratings'!A31,"")</f>
        <v/>
      </c>
      <c r="B415">
        <f>IF(A415="","",'Employees'!C7)</f>
        <v/>
      </c>
      <c r="C415">
        <f>IF(A415="","",'Ratings'!C31)</f>
        <v/>
      </c>
      <c r="D415">
        <f>IF(A415="","",'Ratings'!D31)</f>
        <v/>
      </c>
      <c r="E415">
        <f>IF(AND('Ratings'!A31&lt;&gt;"",'Ratings'!R5&lt;&gt;""),'Ratings'!R5,"")</f>
        <v/>
      </c>
      <c r="F415">
        <f>IF(OR(A415="",'Ratings'!R31=""),"",'Ratings'!R31)</f>
        <v/>
      </c>
      <c r="G415">
        <f>IF(A415="","",'Employees'!D7)</f>
        <v/>
      </c>
    </row>
    <row r="416">
      <c r="A416">
        <f>IF(AND('Ratings'!A31&lt;&gt;"",'Ratings'!S5&lt;&gt;""),'Ratings'!A31,"")</f>
        <v/>
      </c>
      <c r="B416">
        <f>IF(A416="","",'Employees'!C7)</f>
        <v/>
      </c>
      <c r="C416">
        <f>IF(A416="","",'Ratings'!C31)</f>
        <v/>
      </c>
      <c r="D416">
        <f>IF(A416="","",'Ratings'!D31)</f>
        <v/>
      </c>
      <c r="E416">
        <f>IF(AND('Ratings'!A31&lt;&gt;"",'Ratings'!S5&lt;&gt;""),'Ratings'!S5,"")</f>
        <v/>
      </c>
      <c r="F416">
        <f>IF(OR(A416="",'Ratings'!S31=""),"",'Ratings'!S31)</f>
        <v/>
      </c>
      <c r="G416">
        <f>IF(A416="","",'Employees'!D7)</f>
        <v/>
      </c>
    </row>
    <row r="417">
      <c r="A417">
        <f>IF(AND('Ratings'!A31&lt;&gt;"",'Ratings'!T5&lt;&gt;""),'Ratings'!A31,"")</f>
        <v/>
      </c>
      <c r="B417">
        <f>IF(A417="","",'Employees'!C7)</f>
        <v/>
      </c>
      <c r="C417">
        <f>IF(A417="","",'Ratings'!C31)</f>
        <v/>
      </c>
      <c r="D417">
        <f>IF(A417="","",'Ratings'!D31)</f>
        <v/>
      </c>
      <c r="E417">
        <f>IF(AND('Ratings'!A31&lt;&gt;"",'Ratings'!T5&lt;&gt;""),'Ratings'!T5,"")</f>
        <v/>
      </c>
      <c r="F417">
        <f>IF(OR(A417="",'Ratings'!T31=""),"",'Ratings'!T31)</f>
        <v/>
      </c>
      <c r="G417">
        <f>IF(A417="","",'Employees'!D7)</f>
        <v/>
      </c>
    </row>
    <row r="418">
      <c r="A418">
        <f>IF(AND('Ratings'!A32&lt;&gt;"",'Ratings'!E5&lt;&gt;""),'Ratings'!A32,"")</f>
        <v/>
      </c>
      <c r="B418">
        <f>IF(A418="","",'Employees'!C7)</f>
        <v/>
      </c>
      <c r="C418">
        <f>IF(A418="","",'Ratings'!C32)</f>
        <v/>
      </c>
      <c r="D418">
        <f>IF(A418="","",'Ratings'!D32)</f>
        <v/>
      </c>
      <c r="E418">
        <f>IF(AND('Ratings'!A32&lt;&gt;"",'Ratings'!E5&lt;&gt;""),'Ratings'!E5,"")</f>
        <v/>
      </c>
      <c r="F418">
        <f>IF(OR(A418="",'Ratings'!E32=""),"",'Ratings'!E32)</f>
        <v/>
      </c>
      <c r="G418">
        <f>IF(A418="","",'Employees'!D7)</f>
        <v/>
      </c>
    </row>
    <row r="419">
      <c r="A419">
        <f>IF(AND('Ratings'!A32&lt;&gt;"",'Ratings'!F5&lt;&gt;""),'Ratings'!A32,"")</f>
        <v/>
      </c>
      <c r="B419">
        <f>IF(A419="","",'Employees'!C7)</f>
        <v/>
      </c>
      <c r="C419">
        <f>IF(A419="","",'Ratings'!C32)</f>
        <v/>
      </c>
      <c r="D419">
        <f>IF(A419="","",'Ratings'!D32)</f>
        <v/>
      </c>
      <c r="E419">
        <f>IF(AND('Ratings'!A32&lt;&gt;"",'Ratings'!F5&lt;&gt;""),'Ratings'!F5,"")</f>
        <v/>
      </c>
      <c r="F419">
        <f>IF(OR(A419="",'Ratings'!F32=""),"",'Ratings'!F32)</f>
        <v/>
      </c>
      <c r="G419">
        <f>IF(A419="","",'Employees'!D7)</f>
        <v/>
      </c>
    </row>
    <row r="420">
      <c r="A420">
        <f>IF(AND('Ratings'!A32&lt;&gt;"",'Ratings'!G5&lt;&gt;""),'Ratings'!A32,"")</f>
        <v/>
      </c>
      <c r="B420">
        <f>IF(A420="","",'Employees'!C7)</f>
        <v/>
      </c>
      <c r="C420">
        <f>IF(A420="","",'Ratings'!C32)</f>
        <v/>
      </c>
      <c r="D420">
        <f>IF(A420="","",'Ratings'!D32)</f>
        <v/>
      </c>
      <c r="E420">
        <f>IF(AND('Ratings'!A32&lt;&gt;"",'Ratings'!G5&lt;&gt;""),'Ratings'!G5,"")</f>
        <v/>
      </c>
      <c r="F420">
        <f>IF(OR(A420="",'Ratings'!G32=""),"",'Ratings'!G32)</f>
        <v/>
      </c>
      <c r="G420">
        <f>IF(A420="","",'Employees'!D7)</f>
        <v/>
      </c>
    </row>
    <row r="421">
      <c r="A421">
        <f>IF(AND('Ratings'!A32&lt;&gt;"",'Ratings'!H5&lt;&gt;""),'Ratings'!A32,"")</f>
        <v/>
      </c>
      <c r="B421">
        <f>IF(A421="","",'Employees'!C7)</f>
        <v/>
      </c>
      <c r="C421">
        <f>IF(A421="","",'Ratings'!C32)</f>
        <v/>
      </c>
      <c r="D421">
        <f>IF(A421="","",'Ratings'!D32)</f>
        <v/>
      </c>
      <c r="E421">
        <f>IF(AND('Ratings'!A32&lt;&gt;"",'Ratings'!H5&lt;&gt;""),'Ratings'!H5,"")</f>
        <v/>
      </c>
      <c r="F421">
        <f>IF(OR(A421="",'Ratings'!H32=""),"",'Ratings'!H32)</f>
        <v/>
      </c>
      <c r="G421">
        <f>IF(A421="","",'Employees'!D7)</f>
        <v/>
      </c>
    </row>
    <row r="422">
      <c r="A422">
        <f>IF(AND('Ratings'!A32&lt;&gt;"",'Ratings'!I5&lt;&gt;""),'Ratings'!A32,"")</f>
        <v/>
      </c>
      <c r="B422">
        <f>IF(A422="","",'Employees'!C7)</f>
        <v/>
      </c>
      <c r="C422">
        <f>IF(A422="","",'Ratings'!C32)</f>
        <v/>
      </c>
      <c r="D422">
        <f>IF(A422="","",'Ratings'!D32)</f>
        <v/>
      </c>
      <c r="E422">
        <f>IF(AND('Ratings'!A32&lt;&gt;"",'Ratings'!I5&lt;&gt;""),'Ratings'!I5,"")</f>
        <v/>
      </c>
      <c r="F422">
        <f>IF(OR(A422="",'Ratings'!I32=""),"",'Ratings'!I32)</f>
        <v/>
      </c>
      <c r="G422">
        <f>IF(A422="","",'Employees'!D7)</f>
        <v/>
      </c>
    </row>
    <row r="423">
      <c r="A423">
        <f>IF(AND('Ratings'!A32&lt;&gt;"",'Ratings'!J5&lt;&gt;""),'Ratings'!A32,"")</f>
        <v/>
      </c>
      <c r="B423">
        <f>IF(A423="","",'Employees'!C7)</f>
        <v/>
      </c>
      <c r="C423">
        <f>IF(A423="","",'Ratings'!C32)</f>
        <v/>
      </c>
      <c r="D423">
        <f>IF(A423="","",'Ratings'!D32)</f>
        <v/>
      </c>
      <c r="E423">
        <f>IF(AND('Ratings'!A32&lt;&gt;"",'Ratings'!J5&lt;&gt;""),'Ratings'!J5,"")</f>
        <v/>
      </c>
      <c r="F423">
        <f>IF(OR(A423="",'Ratings'!J32=""),"",'Ratings'!J32)</f>
        <v/>
      </c>
      <c r="G423">
        <f>IF(A423="","",'Employees'!D7)</f>
        <v/>
      </c>
    </row>
    <row r="424">
      <c r="A424">
        <f>IF(AND('Ratings'!A32&lt;&gt;"",'Ratings'!K5&lt;&gt;""),'Ratings'!A32,"")</f>
        <v/>
      </c>
      <c r="B424">
        <f>IF(A424="","",'Employees'!C7)</f>
        <v/>
      </c>
      <c r="C424">
        <f>IF(A424="","",'Ratings'!C32)</f>
        <v/>
      </c>
      <c r="D424">
        <f>IF(A424="","",'Ratings'!D32)</f>
        <v/>
      </c>
      <c r="E424">
        <f>IF(AND('Ratings'!A32&lt;&gt;"",'Ratings'!K5&lt;&gt;""),'Ratings'!K5,"")</f>
        <v/>
      </c>
      <c r="F424">
        <f>IF(OR(A424="",'Ratings'!K32=""),"",'Ratings'!K32)</f>
        <v/>
      </c>
      <c r="G424">
        <f>IF(A424="","",'Employees'!D7)</f>
        <v/>
      </c>
    </row>
    <row r="425">
      <c r="A425">
        <f>IF(AND('Ratings'!A32&lt;&gt;"",'Ratings'!L5&lt;&gt;""),'Ratings'!A32,"")</f>
        <v/>
      </c>
      <c r="B425">
        <f>IF(A425="","",'Employees'!C7)</f>
        <v/>
      </c>
      <c r="C425">
        <f>IF(A425="","",'Ratings'!C32)</f>
        <v/>
      </c>
      <c r="D425">
        <f>IF(A425="","",'Ratings'!D32)</f>
        <v/>
      </c>
      <c r="E425">
        <f>IF(AND('Ratings'!A32&lt;&gt;"",'Ratings'!L5&lt;&gt;""),'Ratings'!L5,"")</f>
        <v/>
      </c>
      <c r="F425">
        <f>IF(OR(A425="",'Ratings'!L32=""),"",'Ratings'!L32)</f>
        <v/>
      </c>
      <c r="G425">
        <f>IF(A425="","",'Employees'!D7)</f>
        <v/>
      </c>
    </row>
    <row r="426">
      <c r="A426">
        <f>IF(AND('Ratings'!A32&lt;&gt;"",'Ratings'!M5&lt;&gt;""),'Ratings'!A32,"")</f>
        <v/>
      </c>
      <c r="B426">
        <f>IF(A426="","",'Employees'!C7)</f>
        <v/>
      </c>
      <c r="C426">
        <f>IF(A426="","",'Ratings'!C32)</f>
        <v/>
      </c>
      <c r="D426">
        <f>IF(A426="","",'Ratings'!D32)</f>
        <v/>
      </c>
      <c r="E426">
        <f>IF(AND('Ratings'!A32&lt;&gt;"",'Ratings'!M5&lt;&gt;""),'Ratings'!M5,"")</f>
        <v/>
      </c>
      <c r="F426">
        <f>IF(OR(A426="",'Ratings'!M32=""),"",'Ratings'!M32)</f>
        <v/>
      </c>
      <c r="G426">
        <f>IF(A426="","",'Employees'!D7)</f>
        <v/>
      </c>
    </row>
    <row r="427">
      <c r="A427">
        <f>IF(AND('Ratings'!A32&lt;&gt;"",'Ratings'!N5&lt;&gt;""),'Ratings'!A32,"")</f>
        <v/>
      </c>
      <c r="B427">
        <f>IF(A427="","",'Employees'!C7)</f>
        <v/>
      </c>
      <c r="C427">
        <f>IF(A427="","",'Ratings'!C32)</f>
        <v/>
      </c>
      <c r="D427">
        <f>IF(A427="","",'Ratings'!D32)</f>
        <v/>
      </c>
      <c r="E427">
        <f>IF(AND('Ratings'!A32&lt;&gt;"",'Ratings'!N5&lt;&gt;""),'Ratings'!N5,"")</f>
        <v/>
      </c>
      <c r="F427">
        <f>IF(OR(A427="",'Ratings'!N32=""),"",'Ratings'!N32)</f>
        <v/>
      </c>
      <c r="G427">
        <f>IF(A427="","",'Employees'!D7)</f>
        <v/>
      </c>
    </row>
    <row r="428">
      <c r="A428">
        <f>IF(AND('Ratings'!A32&lt;&gt;"",'Ratings'!O5&lt;&gt;""),'Ratings'!A32,"")</f>
        <v/>
      </c>
      <c r="B428">
        <f>IF(A428="","",'Employees'!C7)</f>
        <v/>
      </c>
      <c r="C428">
        <f>IF(A428="","",'Ratings'!C32)</f>
        <v/>
      </c>
      <c r="D428">
        <f>IF(A428="","",'Ratings'!D32)</f>
        <v/>
      </c>
      <c r="E428">
        <f>IF(AND('Ratings'!A32&lt;&gt;"",'Ratings'!O5&lt;&gt;""),'Ratings'!O5,"")</f>
        <v/>
      </c>
      <c r="F428">
        <f>IF(OR(A428="",'Ratings'!O32=""),"",'Ratings'!O32)</f>
        <v/>
      </c>
      <c r="G428">
        <f>IF(A428="","",'Employees'!D7)</f>
        <v/>
      </c>
    </row>
    <row r="429">
      <c r="A429">
        <f>IF(AND('Ratings'!A32&lt;&gt;"",'Ratings'!P5&lt;&gt;""),'Ratings'!A32,"")</f>
        <v/>
      </c>
      <c r="B429">
        <f>IF(A429="","",'Employees'!C7)</f>
        <v/>
      </c>
      <c r="C429">
        <f>IF(A429="","",'Ratings'!C32)</f>
        <v/>
      </c>
      <c r="D429">
        <f>IF(A429="","",'Ratings'!D32)</f>
        <v/>
      </c>
      <c r="E429">
        <f>IF(AND('Ratings'!A32&lt;&gt;"",'Ratings'!P5&lt;&gt;""),'Ratings'!P5,"")</f>
        <v/>
      </c>
      <c r="F429">
        <f>IF(OR(A429="",'Ratings'!P32=""),"",'Ratings'!P32)</f>
        <v/>
      </c>
      <c r="G429">
        <f>IF(A429="","",'Employees'!D7)</f>
        <v/>
      </c>
    </row>
    <row r="430">
      <c r="A430">
        <f>IF(AND('Ratings'!A32&lt;&gt;"",'Ratings'!Q5&lt;&gt;""),'Ratings'!A32,"")</f>
        <v/>
      </c>
      <c r="B430">
        <f>IF(A430="","",'Employees'!C7)</f>
        <v/>
      </c>
      <c r="C430">
        <f>IF(A430="","",'Ratings'!C32)</f>
        <v/>
      </c>
      <c r="D430">
        <f>IF(A430="","",'Ratings'!D32)</f>
        <v/>
      </c>
      <c r="E430">
        <f>IF(AND('Ratings'!A32&lt;&gt;"",'Ratings'!Q5&lt;&gt;""),'Ratings'!Q5,"")</f>
        <v/>
      </c>
      <c r="F430">
        <f>IF(OR(A430="",'Ratings'!Q32=""),"",'Ratings'!Q32)</f>
        <v/>
      </c>
      <c r="G430">
        <f>IF(A430="","",'Employees'!D7)</f>
        <v/>
      </c>
    </row>
    <row r="431">
      <c r="A431">
        <f>IF(AND('Ratings'!A32&lt;&gt;"",'Ratings'!R5&lt;&gt;""),'Ratings'!A32,"")</f>
        <v/>
      </c>
      <c r="B431">
        <f>IF(A431="","",'Employees'!C7)</f>
        <v/>
      </c>
      <c r="C431">
        <f>IF(A431="","",'Ratings'!C32)</f>
        <v/>
      </c>
      <c r="D431">
        <f>IF(A431="","",'Ratings'!D32)</f>
        <v/>
      </c>
      <c r="E431">
        <f>IF(AND('Ratings'!A32&lt;&gt;"",'Ratings'!R5&lt;&gt;""),'Ratings'!R5,"")</f>
        <v/>
      </c>
      <c r="F431">
        <f>IF(OR(A431="",'Ratings'!R32=""),"",'Ratings'!R32)</f>
        <v/>
      </c>
      <c r="G431">
        <f>IF(A431="","",'Employees'!D7)</f>
        <v/>
      </c>
    </row>
    <row r="432">
      <c r="A432">
        <f>IF(AND('Ratings'!A32&lt;&gt;"",'Ratings'!S5&lt;&gt;""),'Ratings'!A32,"")</f>
        <v/>
      </c>
      <c r="B432">
        <f>IF(A432="","",'Employees'!C7)</f>
        <v/>
      </c>
      <c r="C432">
        <f>IF(A432="","",'Ratings'!C32)</f>
        <v/>
      </c>
      <c r="D432">
        <f>IF(A432="","",'Ratings'!D32)</f>
        <v/>
      </c>
      <c r="E432">
        <f>IF(AND('Ratings'!A32&lt;&gt;"",'Ratings'!S5&lt;&gt;""),'Ratings'!S5,"")</f>
        <v/>
      </c>
      <c r="F432">
        <f>IF(OR(A432="",'Ratings'!S32=""),"",'Ratings'!S32)</f>
        <v/>
      </c>
      <c r="G432">
        <f>IF(A432="","",'Employees'!D7)</f>
        <v/>
      </c>
    </row>
    <row r="433">
      <c r="A433">
        <f>IF(AND('Ratings'!A32&lt;&gt;"",'Ratings'!T5&lt;&gt;""),'Ratings'!A32,"")</f>
        <v/>
      </c>
      <c r="B433">
        <f>IF(A433="","",'Employees'!C7)</f>
        <v/>
      </c>
      <c r="C433">
        <f>IF(A433="","",'Ratings'!C32)</f>
        <v/>
      </c>
      <c r="D433">
        <f>IF(A433="","",'Ratings'!D32)</f>
        <v/>
      </c>
      <c r="E433">
        <f>IF(AND('Ratings'!A32&lt;&gt;"",'Ratings'!T5&lt;&gt;""),'Ratings'!T5,"")</f>
        <v/>
      </c>
      <c r="F433">
        <f>IF(OR(A433="",'Ratings'!T32=""),"",'Ratings'!T32)</f>
        <v/>
      </c>
      <c r="G433">
        <f>IF(A433="","",'Employees'!D7)</f>
        <v/>
      </c>
    </row>
    <row r="434">
      <c r="A434">
        <f>IF(AND('Ratings'!A33&lt;&gt;"",'Ratings'!E5&lt;&gt;""),'Ratings'!A33,"")</f>
        <v/>
      </c>
      <c r="B434">
        <f>IF(A434="","",'Employees'!C7)</f>
        <v/>
      </c>
      <c r="C434">
        <f>IF(A434="","",'Ratings'!C33)</f>
        <v/>
      </c>
      <c r="D434">
        <f>IF(A434="","",'Ratings'!D33)</f>
        <v/>
      </c>
      <c r="E434">
        <f>IF(AND('Ratings'!A33&lt;&gt;"",'Ratings'!E5&lt;&gt;""),'Ratings'!E5,"")</f>
        <v/>
      </c>
      <c r="F434">
        <f>IF(OR(A434="",'Ratings'!E33=""),"",'Ratings'!E33)</f>
        <v/>
      </c>
      <c r="G434">
        <f>IF(A434="","",'Employees'!D7)</f>
        <v/>
      </c>
    </row>
    <row r="435">
      <c r="A435">
        <f>IF(AND('Ratings'!A33&lt;&gt;"",'Ratings'!F5&lt;&gt;""),'Ratings'!A33,"")</f>
        <v/>
      </c>
      <c r="B435">
        <f>IF(A435="","",'Employees'!C7)</f>
        <v/>
      </c>
      <c r="C435">
        <f>IF(A435="","",'Ratings'!C33)</f>
        <v/>
      </c>
      <c r="D435">
        <f>IF(A435="","",'Ratings'!D33)</f>
        <v/>
      </c>
      <c r="E435">
        <f>IF(AND('Ratings'!A33&lt;&gt;"",'Ratings'!F5&lt;&gt;""),'Ratings'!F5,"")</f>
        <v/>
      </c>
      <c r="F435">
        <f>IF(OR(A435="",'Ratings'!F33=""),"",'Ratings'!F33)</f>
        <v/>
      </c>
      <c r="G435">
        <f>IF(A435="","",'Employees'!D7)</f>
        <v/>
      </c>
    </row>
    <row r="436">
      <c r="A436">
        <f>IF(AND('Ratings'!A33&lt;&gt;"",'Ratings'!G5&lt;&gt;""),'Ratings'!A33,"")</f>
        <v/>
      </c>
      <c r="B436">
        <f>IF(A436="","",'Employees'!C7)</f>
        <v/>
      </c>
      <c r="C436">
        <f>IF(A436="","",'Ratings'!C33)</f>
        <v/>
      </c>
      <c r="D436">
        <f>IF(A436="","",'Ratings'!D33)</f>
        <v/>
      </c>
      <c r="E436">
        <f>IF(AND('Ratings'!A33&lt;&gt;"",'Ratings'!G5&lt;&gt;""),'Ratings'!G5,"")</f>
        <v/>
      </c>
      <c r="F436">
        <f>IF(OR(A436="",'Ratings'!G33=""),"",'Ratings'!G33)</f>
        <v/>
      </c>
      <c r="G436">
        <f>IF(A436="","",'Employees'!D7)</f>
        <v/>
      </c>
    </row>
    <row r="437">
      <c r="A437">
        <f>IF(AND('Ratings'!A33&lt;&gt;"",'Ratings'!H5&lt;&gt;""),'Ratings'!A33,"")</f>
        <v/>
      </c>
      <c r="B437">
        <f>IF(A437="","",'Employees'!C7)</f>
        <v/>
      </c>
      <c r="C437">
        <f>IF(A437="","",'Ratings'!C33)</f>
        <v/>
      </c>
      <c r="D437">
        <f>IF(A437="","",'Ratings'!D33)</f>
        <v/>
      </c>
      <c r="E437">
        <f>IF(AND('Ratings'!A33&lt;&gt;"",'Ratings'!H5&lt;&gt;""),'Ratings'!H5,"")</f>
        <v/>
      </c>
      <c r="F437">
        <f>IF(OR(A437="",'Ratings'!H33=""),"",'Ratings'!H33)</f>
        <v/>
      </c>
      <c r="G437">
        <f>IF(A437="","",'Employees'!D7)</f>
        <v/>
      </c>
    </row>
    <row r="438">
      <c r="A438">
        <f>IF(AND('Ratings'!A33&lt;&gt;"",'Ratings'!I5&lt;&gt;""),'Ratings'!A33,"")</f>
        <v/>
      </c>
      <c r="B438">
        <f>IF(A438="","",'Employees'!C7)</f>
        <v/>
      </c>
      <c r="C438">
        <f>IF(A438="","",'Ratings'!C33)</f>
        <v/>
      </c>
      <c r="D438">
        <f>IF(A438="","",'Ratings'!D33)</f>
        <v/>
      </c>
      <c r="E438">
        <f>IF(AND('Ratings'!A33&lt;&gt;"",'Ratings'!I5&lt;&gt;""),'Ratings'!I5,"")</f>
        <v/>
      </c>
      <c r="F438">
        <f>IF(OR(A438="",'Ratings'!I33=""),"",'Ratings'!I33)</f>
        <v/>
      </c>
      <c r="G438">
        <f>IF(A438="","",'Employees'!D7)</f>
        <v/>
      </c>
    </row>
    <row r="439">
      <c r="A439">
        <f>IF(AND('Ratings'!A33&lt;&gt;"",'Ratings'!J5&lt;&gt;""),'Ratings'!A33,"")</f>
        <v/>
      </c>
      <c r="B439">
        <f>IF(A439="","",'Employees'!C7)</f>
        <v/>
      </c>
      <c r="C439">
        <f>IF(A439="","",'Ratings'!C33)</f>
        <v/>
      </c>
      <c r="D439">
        <f>IF(A439="","",'Ratings'!D33)</f>
        <v/>
      </c>
      <c r="E439">
        <f>IF(AND('Ratings'!A33&lt;&gt;"",'Ratings'!J5&lt;&gt;""),'Ratings'!J5,"")</f>
        <v/>
      </c>
      <c r="F439">
        <f>IF(OR(A439="",'Ratings'!J33=""),"",'Ratings'!J33)</f>
        <v/>
      </c>
      <c r="G439">
        <f>IF(A439="","",'Employees'!D7)</f>
        <v/>
      </c>
    </row>
    <row r="440">
      <c r="A440">
        <f>IF(AND('Ratings'!A33&lt;&gt;"",'Ratings'!K5&lt;&gt;""),'Ratings'!A33,"")</f>
        <v/>
      </c>
      <c r="B440">
        <f>IF(A440="","",'Employees'!C7)</f>
        <v/>
      </c>
      <c r="C440">
        <f>IF(A440="","",'Ratings'!C33)</f>
        <v/>
      </c>
      <c r="D440">
        <f>IF(A440="","",'Ratings'!D33)</f>
        <v/>
      </c>
      <c r="E440">
        <f>IF(AND('Ratings'!A33&lt;&gt;"",'Ratings'!K5&lt;&gt;""),'Ratings'!K5,"")</f>
        <v/>
      </c>
      <c r="F440">
        <f>IF(OR(A440="",'Ratings'!K33=""),"",'Ratings'!K33)</f>
        <v/>
      </c>
      <c r="G440">
        <f>IF(A440="","",'Employees'!D7)</f>
        <v/>
      </c>
    </row>
    <row r="441">
      <c r="A441">
        <f>IF(AND('Ratings'!A33&lt;&gt;"",'Ratings'!L5&lt;&gt;""),'Ratings'!A33,"")</f>
        <v/>
      </c>
      <c r="B441">
        <f>IF(A441="","",'Employees'!C7)</f>
        <v/>
      </c>
      <c r="C441">
        <f>IF(A441="","",'Ratings'!C33)</f>
        <v/>
      </c>
      <c r="D441">
        <f>IF(A441="","",'Ratings'!D33)</f>
        <v/>
      </c>
      <c r="E441">
        <f>IF(AND('Ratings'!A33&lt;&gt;"",'Ratings'!L5&lt;&gt;""),'Ratings'!L5,"")</f>
        <v/>
      </c>
      <c r="F441">
        <f>IF(OR(A441="",'Ratings'!L33=""),"",'Ratings'!L33)</f>
        <v/>
      </c>
      <c r="G441">
        <f>IF(A441="","",'Employees'!D7)</f>
        <v/>
      </c>
    </row>
    <row r="442">
      <c r="A442">
        <f>IF(AND('Ratings'!A33&lt;&gt;"",'Ratings'!M5&lt;&gt;""),'Ratings'!A33,"")</f>
        <v/>
      </c>
      <c r="B442">
        <f>IF(A442="","",'Employees'!C7)</f>
        <v/>
      </c>
      <c r="C442">
        <f>IF(A442="","",'Ratings'!C33)</f>
        <v/>
      </c>
      <c r="D442">
        <f>IF(A442="","",'Ratings'!D33)</f>
        <v/>
      </c>
      <c r="E442">
        <f>IF(AND('Ratings'!A33&lt;&gt;"",'Ratings'!M5&lt;&gt;""),'Ratings'!M5,"")</f>
        <v/>
      </c>
      <c r="F442">
        <f>IF(OR(A442="",'Ratings'!M33=""),"",'Ratings'!M33)</f>
        <v/>
      </c>
      <c r="G442">
        <f>IF(A442="","",'Employees'!D7)</f>
        <v/>
      </c>
    </row>
    <row r="443">
      <c r="A443">
        <f>IF(AND('Ratings'!A33&lt;&gt;"",'Ratings'!N5&lt;&gt;""),'Ratings'!A33,"")</f>
        <v/>
      </c>
      <c r="B443">
        <f>IF(A443="","",'Employees'!C7)</f>
        <v/>
      </c>
      <c r="C443">
        <f>IF(A443="","",'Ratings'!C33)</f>
        <v/>
      </c>
      <c r="D443">
        <f>IF(A443="","",'Ratings'!D33)</f>
        <v/>
      </c>
      <c r="E443">
        <f>IF(AND('Ratings'!A33&lt;&gt;"",'Ratings'!N5&lt;&gt;""),'Ratings'!N5,"")</f>
        <v/>
      </c>
      <c r="F443">
        <f>IF(OR(A443="",'Ratings'!N33=""),"",'Ratings'!N33)</f>
        <v/>
      </c>
      <c r="G443">
        <f>IF(A443="","",'Employees'!D7)</f>
        <v/>
      </c>
    </row>
    <row r="444">
      <c r="A444">
        <f>IF(AND('Ratings'!A33&lt;&gt;"",'Ratings'!O5&lt;&gt;""),'Ratings'!A33,"")</f>
        <v/>
      </c>
      <c r="B444">
        <f>IF(A444="","",'Employees'!C7)</f>
        <v/>
      </c>
      <c r="C444">
        <f>IF(A444="","",'Ratings'!C33)</f>
        <v/>
      </c>
      <c r="D444">
        <f>IF(A444="","",'Ratings'!D33)</f>
        <v/>
      </c>
      <c r="E444">
        <f>IF(AND('Ratings'!A33&lt;&gt;"",'Ratings'!O5&lt;&gt;""),'Ratings'!O5,"")</f>
        <v/>
      </c>
      <c r="F444">
        <f>IF(OR(A444="",'Ratings'!O33=""),"",'Ratings'!O33)</f>
        <v/>
      </c>
      <c r="G444">
        <f>IF(A444="","",'Employees'!D7)</f>
        <v/>
      </c>
    </row>
    <row r="445">
      <c r="A445">
        <f>IF(AND('Ratings'!A33&lt;&gt;"",'Ratings'!P5&lt;&gt;""),'Ratings'!A33,"")</f>
        <v/>
      </c>
      <c r="B445">
        <f>IF(A445="","",'Employees'!C7)</f>
        <v/>
      </c>
      <c r="C445">
        <f>IF(A445="","",'Ratings'!C33)</f>
        <v/>
      </c>
      <c r="D445">
        <f>IF(A445="","",'Ratings'!D33)</f>
        <v/>
      </c>
      <c r="E445">
        <f>IF(AND('Ratings'!A33&lt;&gt;"",'Ratings'!P5&lt;&gt;""),'Ratings'!P5,"")</f>
        <v/>
      </c>
      <c r="F445">
        <f>IF(OR(A445="",'Ratings'!P33=""),"",'Ratings'!P33)</f>
        <v/>
      </c>
      <c r="G445">
        <f>IF(A445="","",'Employees'!D7)</f>
        <v/>
      </c>
    </row>
    <row r="446">
      <c r="A446">
        <f>IF(AND('Ratings'!A33&lt;&gt;"",'Ratings'!Q5&lt;&gt;""),'Ratings'!A33,"")</f>
        <v/>
      </c>
      <c r="B446">
        <f>IF(A446="","",'Employees'!C7)</f>
        <v/>
      </c>
      <c r="C446">
        <f>IF(A446="","",'Ratings'!C33)</f>
        <v/>
      </c>
      <c r="D446">
        <f>IF(A446="","",'Ratings'!D33)</f>
        <v/>
      </c>
      <c r="E446">
        <f>IF(AND('Ratings'!A33&lt;&gt;"",'Ratings'!Q5&lt;&gt;""),'Ratings'!Q5,"")</f>
        <v/>
      </c>
      <c r="F446">
        <f>IF(OR(A446="",'Ratings'!Q33=""),"",'Ratings'!Q33)</f>
        <v/>
      </c>
      <c r="G446">
        <f>IF(A446="","",'Employees'!D7)</f>
        <v/>
      </c>
    </row>
    <row r="447">
      <c r="A447">
        <f>IF(AND('Ratings'!A33&lt;&gt;"",'Ratings'!R5&lt;&gt;""),'Ratings'!A33,"")</f>
        <v/>
      </c>
      <c r="B447">
        <f>IF(A447="","",'Employees'!C7)</f>
        <v/>
      </c>
      <c r="C447">
        <f>IF(A447="","",'Ratings'!C33)</f>
        <v/>
      </c>
      <c r="D447">
        <f>IF(A447="","",'Ratings'!D33)</f>
        <v/>
      </c>
      <c r="E447">
        <f>IF(AND('Ratings'!A33&lt;&gt;"",'Ratings'!R5&lt;&gt;""),'Ratings'!R5,"")</f>
        <v/>
      </c>
      <c r="F447">
        <f>IF(OR(A447="",'Ratings'!R33=""),"",'Ratings'!R33)</f>
        <v/>
      </c>
      <c r="G447">
        <f>IF(A447="","",'Employees'!D7)</f>
        <v/>
      </c>
    </row>
    <row r="448">
      <c r="A448">
        <f>IF(AND('Ratings'!A33&lt;&gt;"",'Ratings'!S5&lt;&gt;""),'Ratings'!A33,"")</f>
        <v/>
      </c>
      <c r="B448">
        <f>IF(A448="","",'Employees'!C7)</f>
        <v/>
      </c>
      <c r="C448">
        <f>IF(A448="","",'Ratings'!C33)</f>
        <v/>
      </c>
      <c r="D448">
        <f>IF(A448="","",'Ratings'!D33)</f>
        <v/>
      </c>
      <c r="E448">
        <f>IF(AND('Ratings'!A33&lt;&gt;"",'Ratings'!S5&lt;&gt;""),'Ratings'!S5,"")</f>
        <v/>
      </c>
      <c r="F448">
        <f>IF(OR(A448="",'Ratings'!S33=""),"",'Ratings'!S33)</f>
        <v/>
      </c>
      <c r="G448">
        <f>IF(A448="","",'Employees'!D7)</f>
        <v/>
      </c>
    </row>
    <row r="449">
      <c r="A449">
        <f>IF(AND('Ratings'!A33&lt;&gt;"",'Ratings'!T5&lt;&gt;""),'Ratings'!A33,"")</f>
        <v/>
      </c>
      <c r="B449">
        <f>IF(A449="","",'Employees'!C7)</f>
        <v/>
      </c>
      <c r="C449">
        <f>IF(A449="","",'Ratings'!C33)</f>
        <v/>
      </c>
      <c r="D449">
        <f>IF(A449="","",'Ratings'!D33)</f>
        <v/>
      </c>
      <c r="E449">
        <f>IF(AND('Ratings'!A33&lt;&gt;"",'Ratings'!T5&lt;&gt;""),'Ratings'!T5,"")</f>
        <v/>
      </c>
      <c r="F449">
        <f>IF(OR(A449="",'Ratings'!T33=""),"",'Ratings'!T33)</f>
        <v/>
      </c>
      <c r="G449">
        <f>IF(A449="","",'Employees'!D7)</f>
        <v/>
      </c>
    </row>
    <row r="450">
      <c r="A450">
        <f>IF(AND('Ratings'!A34&lt;&gt;"",'Ratings'!E5&lt;&gt;""),'Ratings'!A34,"")</f>
        <v/>
      </c>
      <c r="B450">
        <f>IF(A450="","",'Employees'!C7)</f>
        <v/>
      </c>
      <c r="C450">
        <f>IF(A450="","",'Ratings'!C34)</f>
        <v/>
      </c>
      <c r="D450">
        <f>IF(A450="","",'Ratings'!D34)</f>
        <v/>
      </c>
      <c r="E450">
        <f>IF(AND('Ratings'!A34&lt;&gt;"",'Ratings'!E5&lt;&gt;""),'Ratings'!E5,"")</f>
        <v/>
      </c>
      <c r="F450">
        <f>IF(OR(A450="",'Ratings'!E34=""),"",'Ratings'!E34)</f>
        <v/>
      </c>
      <c r="G450">
        <f>IF(A450="","",'Employees'!D7)</f>
        <v/>
      </c>
    </row>
    <row r="451">
      <c r="A451">
        <f>IF(AND('Ratings'!A34&lt;&gt;"",'Ratings'!F5&lt;&gt;""),'Ratings'!A34,"")</f>
        <v/>
      </c>
      <c r="B451">
        <f>IF(A451="","",'Employees'!C7)</f>
        <v/>
      </c>
      <c r="C451">
        <f>IF(A451="","",'Ratings'!C34)</f>
        <v/>
      </c>
      <c r="D451">
        <f>IF(A451="","",'Ratings'!D34)</f>
        <v/>
      </c>
      <c r="E451">
        <f>IF(AND('Ratings'!A34&lt;&gt;"",'Ratings'!F5&lt;&gt;""),'Ratings'!F5,"")</f>
        <v/>
      </c>
      <c r="F451">
        <f>IF(OR(A451="",'Ratings'!F34=""),"",'Ratings'!F34)</f>
        <v/>
      </c>
      <c r="G451">
        <f>IF(A451="","",'Employees'!D7)</f>
        <v/>
      </c>
    </row>
    <row r="452">
      <c r="A452">
        <f>IF(AND('Ratings'!A34&lt;&gt;"",'Ratings'!G5&lt;&gt;""),'Ratings'!A34,"")</f>
        <v/>
      </c>
      <c r="B452">
        <f>IF(A452="","",'Employees'!C7)</f>
        <v/>
      </c>
      <c r="C452">
        <f>IF(A452="","",'Ratings'!C34)</f>
        <v/>
      </c>
      <c r="D452">
        <f>IF(A452="","",'Ratings'!D34)</f>
        <v/>
      </c>
      <c r="E452">
        <f>IF(AND('Ratings'!A34&lt;&gt;"",'Ratings'!G5&lt;&gt;""),'Ratings'!G5,"")</f>
        <v/>
      </c>
      <c r="F452">
        <f>IF(OR(A452="",'Ratings'!G34=""),"",'Ratings'!G34)</f>
        <v/>
      </c>
      <c r="G452">
        <f>IF(A452="","",'Employees'!D7)</f>
        <v/>
      </c>
    </row>
    <row r="453">
      <c r="A453">
        <f>IF(AND('Ratings'!A34&lt;&gt;"",'Ratings'!H5&lt;&gt;""),'Ratings'!A34,"")</f>
        <v/>
      </c>
      <c r="B453">
        <f>IF(A453="","",'Employees'!C7)</f>
        <v/>
      </c>
      <c r="C453">
        <f>IF(A453="","",'Ratings'!C34)</f>
        <v/>
      </c>
      <c r="D453">
        <f>IF(A453="","",'Ratings'!D34)</f>
        <v/>
      </c>
      <c r="E453">
        <f>IF(AND('Ratings'!A34&lt;&gt;"",'Ratings'!H5&lt;&gt;""),'Ratings'!H5,"")</f>
        <v/>
      </c>
      <c r="F453">
        <f>IF(OR(A453="",'Ratings'!H34=""),"",'Ratings'!H34)</f>
        <v/>
      </c>
      <c r="G453">
        <f>IF(A453="","",'Employees'!D7)</f>
        <v/>
      </c>
    </row>
    <row r="454">
      <c r="A454">
        <f>IF(AND('Ratings'!A34&lt;&gt;"",'Ratings'!I5&lt;&gt;""),'Ratings'!A34,"")</f>
        <v/>
      </c>
      <c r="B454">
        <f>IF(A454="","",'Employees'!C7)</f>
        <v/>
      </c>
      <c r="C454">
        <f>IF(A454="","",'Ratings'!C34)</f>
        <v/>
      </c>
      <c r="D454">
        <f>IF(A454="","",'Ratings'!D34)</f>
        <v/>
      </c>
      <c r="E454">
        <f>IF(AND('Ratings'!A34&lt;&gt;"",'Ratings'!I5&lt;&gt;""),'Ratings'!I5,"")</f>
        <v/>
      </c>
      <c r="F454">
        <f>IF(OR(A454="",'Ratings'!I34=""),"",'Ratings'!I34)</f>
        <v/>
      </c>
      <c r="G454">
        <f>IF(A454="","",'Employees'!D7)</f>
        <v/>
      </c>
    </row>
    <row r="455">
      <c r="A455">
        <f>IF(AND('Ratings'!A34&lt;&gt;"",'Ratings'!J5&lt;&gt;""),'Ratings'!A34,"")</f>
        <v/>
      </c>
      <c r="B455">
        <f>IF(A455="","",'Employees'!C7)</f>
        <v/>
      </c>
      <c r="C455">
        <f>IF(A455="","",'Ratings'!C34)</f>
        <v/>
      </c>
      <c r="D455">
        <f>IF(A455="","",'Ratings'!D34)</f>
        <v/>
      </c>
      <c r="E455">
        <f>IF(AND('Ratings'!A34&lt;&gt;"",'Ratings'!J5&lt;&gt;""),'Ratings'!J5,"")</f>
        <v/>
      </c>
      <c r="F455">
        <f>IF(OR(A455="",'Ratings'!J34=""),"",'Ratings'!J34)</f>
        <v/>
      </c>
      <c r="G455">
        <f>IF(A455="","",'Employees'!D7)</f>
        <v/>
      </c>
    </row>
    <row r="456">
      <c r="A456">
        <f>IF(AND('Ratings'!A34&lt;&gt;"",'Ratings'!K5&lt;&gt;""),'Ratings'!A34,"")</f>
        <v/>
      </c>
      <c r="B456">
        <f>IF(A456="","",'Employees'!C7)</f>
        <v/>
      </c>
      <c r="C456">
        <f>IF(A456="","",'Ratings'!C34)</f>
        <v/>
      </c>
      <c r="D456">
        <f>IF(A456="","",'Ratings'!D34)</f>
        <v/>
      </c>
      <c r="E456">
        <f>IF(AND('Ratings'!A34&lt;&gt;"",'Ratings'!K5&lt;&gt;""),'Ratings'!K5,"")</f>
        <v/>
      </c>
      <c r="F456">
        <f>IF(OR(A456="",'Ratings'!K34=""),"",'Ratings'!K34)</f>
        <v/>
      </c>
      <c r="G456">
        <f>IF(A456="","",'Employees'!D7)</f>
        <v/>
      </c>
    </row>
    <row r="457">
      <c r="A457">
        <f>IF(AND('Ratings'!A34&lt;&gt;"",'Ratings'!L5&lt;&gt;""),'Ratings'!A34,"")</f>
        <v/>
      </c>
      <c r="B457">
        <f>IF(A457="","",'Employees'!C7)</f>
        <v/>
      </c>
      <c r="C457">
        <f>IF(A457="","",'Ratings'!C34)</f>
        <v/>
      </c>
      <c r="D457">
        <f>IF(A457="","",'Ratings'!D34)</f>
        <v/>
      </c>
      <c r="E457">
        <f>IF(AND('Ratings'!A34&lt;&gt;"",'Ratings'!L5&lt;&gt;""),'Ratings'!L5,"")</f>
        <v/>
      </c>
      <c r="F457">
        <f>IF(OR(A457="",'Ratings'!L34=""),"",'Ratings'!L34)</f>
        <v/>
      </c>
      <c r="G457">
        <f>IF(A457="","",'Employees'!D7)</f>
        <v/>
      </c>
    </row>
    <row r="458">
      <c r="A458">
        <f>IF(AND('Ratings'!A34&lt;&gt;"",'Ratings'!M5&lt;&gt;""),'Ratings'!A34,"")</f>
        <v/>
      </c>
      <c r="B458">
        <f>IF(A458="","",'Employees'!C7)</f>
        <v/>
      </c>
      <c r="C458">
        <f>IF(A458="","",'Ratings'!C34)</f>
        <v/>
      </c>
      <c r="D458">
        <f>IF(A458="","",'Ratings'!D34)</f>
        <v/>
      </c>
      <c r="E458">
        <f>IF(AND('Ratings'!A34&lt;&gt;"",'Ratings'!M5&lt;&gt;""),'Ratings'!M5,"")</f>
        <v/>
      </c>
      <c r="F458">
        <f>IF(OR(A458="",'Ratings'!M34=""),"",'Ratings'!M34)</f>
        <v/>
      </c>
      <c r="G458">
        <f>IF(A458="","",'Employees'!D7)</f>
        <v/>
      </c>
    </row>
    <row r="459">
      <c r="A459">
        <f>IF(AND('Ratings'!A34&lt;&gt;"",'Ratings'!N5&lt;&gt;""),'Ratings'!A34,"")</f>
        <v/>
      </c>
      <c r="B459">
        <f>IF(A459="","",'Employees'!C7)</f>
        <v/>
      </c>
      <c r="C459">
        <f>IF(A459="","",'Ratings'!C34)</f>
        <v/>
      </c>
      <c r="D459">
        <f>IF(A459="","",'Ratings'!D34)</f>
        <v/>
      </c>
      <c r="E459">
        <f>IF(AND('Ratings'!A34&lt;&gt;"",'Ratings'!N5&lt;&gt;""),'Ratings'!N5,"")</f>
        <v/>
      </c>
      <c r="F459">
        <f>IF(OR(A459="",'Ratings'!N34=""),"",'Ratings'!N34)</f>
        <v/>
      </c>
      <c r="G459">
        <f>IF(A459="","",'Employees'!D7)</f>
        <v/>
      </c>
    </row>
    <row r="460">
      <c r="A460">
        <f>IF(AND('Ratings'!A34&lt;&gt;"",'Ratings'!O5&lt;&gt;""),'Ratings'!A34,"")</f>
        <v/>
      </c>
      <c r="B460">
        <f>IF(A460="","",'Employees'!C7)</f>
        <v/>
      </c>
      <c r="C460">
        <f>IF(A460="","",'Ratings'!C34)</f>
        <v/>
      </c>
      <c r="D460">
        <f>IF(A460="","",'Ratings'!D34)</f>
        <v/>
      </c>
      <c r="E460">
        <f>IF(AND('Ratings'!A34&lt;&gt;"",'Ratings'!O5&lt;&gt;""),'Ratings'!O5,"")</f>
        <v/>
      </c>
      <c r="F460">
        <f>IF(OR(A460="",'Ratings'!O34=""),"",'Ratings'!O34)</f>
        <v/>
      </c>
      <c r="G460">
        <f>IF(A460="","",'Employees'!D7)</f>
        <v/>
      </c>
    </row>
    <row r="461">
      <c r="A461">
        <f>IF(AND('Ratings'!A34&lt;&gt;"",'Ratings'!P5&lt;&gt;""),'Ratings'!A34,"")</f>
        <v/>
      </c>
      <c r="B461">
        <f>IF(A461="","",'Employees'!C7)</f>
        <v/>
      </c>
      <c r="C461">
        <f>IF(A461="","",'Ratings'!C34)</f>
        <v/>
      </c>
      <c r="D461">
        <f>IF(A461="","",'Ratings'!D34)</f>
        <v/>
      </c>
      <c r="E461">
        <f>IF(AND('Ratings'!A34&lt;&gt;"",'Ratings'!P5&lt;&gt;""),'Ratings'!P5,"")</f>
        <v/>
      </c>
      <c r="F461">
        <f>IF(OR(A461="",'Ratings'!P34=""),"",'Ratings'!P34)</f>
        <v/>
      </c>
      <c r="G461">
        <f>IF(A461="","",'Employees'!D7)</f>
        <v/>
      </c>
    </row>
    <row r="462">
      <c r="A462">
        <f>IF(AND('Ratings'!A34&lt;&gt;"",'Ratings'!Q5&lt;&gt;""),'Ratings'!A34,"")</f>
        <v/>
      </c>
      <c r="B462">
        <f>IF(A462="","",'Employees'!C7)</f>
        <v/>
      </c>
      <c r="C462">
        <f>IF(A462="","",'Ratings'!C34)</f>
        <v/>
      </c>
      <c r="D462">
        <f>IF(A462="","",'Ratings'!D34)</f>
        <v/>
      </c>
      <c r="E462">
        <f>IF(AND('Ratings'!A34&lt;&gt;"",'Ratings'!Q5&lt;&gt;""),'Ratings'!Q5,"")</f>
        <v/>
      </c>
      <c r="F462">
        <f>IF(OR(A462="",'Ratings'!Q34=""),"",'Ratings'!Q34)</f>
        <v/>
      </c>
      <c r="G462">
        <f>IF(A462="","",'Employees'!D7)</f>
        <v/>
      </c>
    </row>
    <row r="463">
      <c r="A463">
        <f>IF(AND('Ratings'!A34&lt;&gt;"",'Ratings'!R5&lt;&gt;""),'Ratings'!A34,"")</f>
        <v/>
      </c>
      <c r="B463">
        <f>IF(A463="","",'Employees'!C7)</f>
        <v/>
      </c>
      <c r="C463">
        <f>IF(A463="","",'Ratings'!C34)</f>
        <v/>
      </c>
      <c r="D463">
        <f>IF(A463="","",'Ratings'!D34)</f>
        <v/>
      </c>
      <c r="E463">
        <f>IF(AND('Ratings'!A34&lt;&gt;"",'Ratings'!R5&lt;&gt;""),'Ratings'!R5,"")</f>
        <v/>
      </c>
      <c r="F463">
        <f>IF(OR(A463="",'Ratings'!R34=""),"",'Ratings'!R34)</f>
        <v/>
      </c>
      <c r="G463">
        <f>IF(A463="","",'Employees'!D7)</f>
        <v/>
      </c>
    </row>
    <row r="464">
      <c r="A464">
        <f>IF(AND('Ratings'!A34&lt;&gt;"",'Ratings'!S5&lt;&gt;""),'Ratings'!A34,"")</f>
        <v/>
      </c>
      <c r="B464">
        <f>IF(A464="","",'Employees'!C7)</f>
        <v/>
      </c>
      <c r="C464">
        <f>IF(A464="","",'Ratings'!C34)</f>
        <v/>
      </c>
      <c r="D464">
        <f>IF(A464="","",'Ratings'!D34)</f>
        <v/>
      </c>
      <c r="E464">
        <f>IF(AND('Ratings'!A34&lt;&gt;"",'Ratings'!S5&lt;&gt;""),'Ratings'!S5,"")</f>
        <v/>
      </c>
      <c r="F464">
        <f>IF(OR(A464="",'Ratings'!S34=""),"",'Ratings'!S34)</f>
        <v/>
      </c>
      <c r="G464">
        <f>IF(A464="","",'Employees'!D7)</f>
        <v/>
      </c>
    </row>
    <row r="465">
      <c r="A465">
        <f>IF(AND('Ratings'!A34&lt;&gt;"",'Ratings'!T5&lt;&gt;""),'Ratings'!A34,"")</f>
        <v/>
      </c>
      <c r="B465">
        <f>IF(A465="","",'Employees'!C7)</f>
        <v/>
      </c>
      <c r="C465">
        <f>IF(A465="","",'Ratings'!C34)</f>
        <v/>
      </c>
      <c r="D465">
        <f>IF(A465="","",'Ratings'!D34)</f>
        <v/>
      </c>
      <c r="E465">
        <f>IF(AND('Ratings'!A34&lt;&gt;"",'Ratings'!T5&lt;&gt;""),'Ratings'!T5,"")</f>
        <v/>
      </c>
      <c r="F465">
        <f>IF(OR(A465="",'Ratings'!T34=""),"",'Ratings'!T34)</f>
        <v/>
      </c>
      <c r="G465">
        <f>IF(A465="","",'Employees'!D7)</f>
        <v/>
      </c>
    </row>
    <row r="466">
      <c r="A466">
        <f>IF(AND('Ratings'!A35&lt;&gt;"",'Ratings'!E5&lt;&gt;""),'Ratings'!A35,"")</f>
        <v/>
      </c>
      <c r="B466">
        <f>IF(A466="","",'Employees'!C7)</f>
        <v/>
      </c>
      <c r="C466">
        <f>IF(A466="","",'Ratings'!C35)</f>
        <v/>
      </c>
      <c r="D466">
        <f>IF(A466="","",'Ratings'!D35)</f>
        <v/>
      </c>
      <c r="E466">
        <f>IF(AND('Ratings'!A35&lt;&gt;"",'Ratings'!E5&lt;&gt;""),'Ratings'!E5,"")</f>
        <v/>
      </c>
      <c r="F466">
        <f>IF(OR(A466="",'Ratings'!E35=""),"",'Ratings'!E35)</f>
        <v/>
      </c>
      <c r="G466">
        <f>IF(A466="","",'Employees'!D7)</f>
        <v/>
      </c>
    </row>
    <row r="467">
      <c r="A467">
        <f>IF(AND('Ratings'!A35&lt;&gt;"",'Ratings'!F5&lt;&gt;""),'Ratings'!A35,"")</f>
        <v/>
      </c>
      <c r="B467">
        <f>IF(A467="","",'Employees'!C7)</f>
        <v/>
      </c>
      <c r="C467">
        <f>IF(A467="","",'Ratings'!C35)</f>
        <v/>
      </c>
      <c r="D467">
        <f>IF(A467="","",'Ratings'!D35)</f>
        <v/>
      </c>
      <c r="E467">
        <f>IF(AND('Ratings'!A35&lt;&gt;"",'Ratings'!F5&lt;&gt;""),'Ratings'!F5,"")</f>
        <v/>
      </c>
      <c r="F467">
        <f>IF(OR(A467="",'Ratings'!F35=""),"",'Ratings'!F35)</f>
        <v/>
      </c>
      <c r="G467">
        <f>IF(A467="","",'Employees'!D7)</f>
        <v/>
      </c>
    </row>
    <row r="468">
      <c r="A468">
        <f>IF(AND('Ratings'!A35&lt;&gt;"",'Ratings'!G5&lt;&gt;""),'Ratings'!A35,"")</f>
        <v/>
      </c>
      <c r="B468">
        <f>IF(A468="","",'Employees'!C7)</f>
        <v/>
      </c>
      <c r="C468">
        <f>IF(A468="","",'Ratings'!C35)</f>
        <v/>
      </c>
      <c r="D468">
        <f>IF(A468="","",'Ratings'!D35)</f>
        <v/>
      </c>
      <c r="E468">
        <f>IF(AND('Ratings'!A35&lt;&gt;"",'Ratings'!G5&lt;&gt;""),'Ratings'!G5,"")</f>
        <v/>
      </c>
      <c r="F468">
        <f>IF(OR(A468="",'Ratings'!G35=""),"",'Ratings'!G35)</f>
        <v/>
      </c>
      <c r="G468">
        <f>IF(A468="","",'Employees'!D7)</f>
        <v/>
      </c>
    </row>
    <row r="469">
      <c r="A469">
        <f>IF(AND('Ratings'!A35&lt;&gt;"",'Ratings'!H5&lt;&gt;""),'Ratings'!A35,"")</f>
        <v/>
      </c>
      <c r="B469">
        <f>IF(A469="","",'Employees'!C7)</f>
        <v/>
      </c>
      <c r="C469">
        <f>IF(A469="","",'Ratings'!C35)</f>
        <v/>
      </c>
      <c r="D469">
        <f>IF(A469="","",'Ratings'!D35)</f>
        <v/>
      </c>
      <c r="E469">
        <f>IF(AND('Ratings'!A35&lt;&gt;"",'Ratings'!H5&lt;&gt;""),'Ratings'!H5,"")</f>
        <v/>
      </c>
      <c r="F469">
        <f>IF(OR(A469="",'Ratings'!H35=""),"",'Ratings'!H35)</f>
        <v/>
      </c>
      <c r="G469">
        <f>IF(A469="","",'Employees'!D7)</f>
        <v/>
      </c>
    </row>
    <row r="470">
      <c r="A470">
        <f>IF(AND('Ratings'!A35&lt;&gt;"",'Ratings'!I5&lt;&gt;""),'Ratings'!A35,"")</f>
        <v/>
      </c>
      <c r="B470">
        <f>IF(A470="","",'Employees'!C7)</f>
        <v/>
      </c>
      <c r="C470">
        <f>IF(A470="","",'Ratings'!C35)</f>
        <v/>
      </c>
      <c r="D470">
        <f>IF(A470="","",'Ratings'!D35)</f>
        <v/>
      </c>
      <c r="E470">
        <f>IF(AND('Ratings'!A35&lt;&gt;"",'Ratings'!I5&lt;&gt;""),'Ratings'!I5,"")</f>
        <v/>
      </c>
      <c r="F470">
        <f>IF(OR(A470="",'Ratings'!I35=""),"",'Ratings'!I35)</f>
        <v/>
      </c>
      <c r="G470">
        <f>IF(A470="","",'Employees'!D7)</f>
        <v/>
      </c>
    </row>
    <row r="471">
      <c r="A471">
        <f>IF(AND('Ratings'!A35&lt;&gt;"",'Ratings'!J5&lt;&gt;""),'Ratings'!A35,"")</f>
        <v/>
      </c>
      <c r="B471">
        <f>IF(A471="","",'Employees'!C7)</f>
        <v/>
      </c>
      <c r="C471">
        <f>IF(A471="","",'Ratings'!C35)</f>
        <v/>
      </c>
      <c r="D471">
        <f>IF(A471="","",'Ratings'!D35)</f>
        <v/>
      </c>
      <c r="E471">
        <f>IF(AND('Ratings'!A35&lt;&gt;"",'Ratings'!J5&lt;&gt;""),'Ratings'!J5,"")</f>
        <v/>
      </c>
      <c r="F471">
        <f>IF(OR(A471="",'Ratings'!J35=""),"",'Ratings'!J35)</f>
        <v/>
      </c>
      <c r="G471">
        <f>IF(A471="","",'Employees'!D7)</f>
        <v/>
      </c>
    </row>
    <row r="472">
      <c r="A472">
        <f>IF(AND('Ratings'!A35&lt;&gt;"",'Ratings'!K5&lt;&gt;""),'Ratings'!A35,"")</f>
        <v/>
      </c>
      <c r="B472">
        <f>IF(A472="","",'Employees'!C7)</f>
        <v/>
      </c>
      <c r="C472">
        <f>IF(A472="","",'Ratings'!C35)</f>
        <v/>
      </c>
      <c r="D472">
        <f>IF(A472="","",'Ratings'!D35)</f>
        <v/>
      </c>
      <c r="E472">
        <f>IF(AND('Ratings'!A35&lt;&gt;"",'Ratings'!K5&lt;&gt;""),'Ratings'!K5,"")</f>
        <v/>
      </c>
      <c r="F472">
        <f>IF(OR(A472="",'Ratings'!K35=""),"",'Ratings'!K35)</f>
        <v/>
      </c>
      <c r="G472">
        <f>IF(A472="","",'Employees'!D7)</f>
        <v/>
      </c>
    </row>
    <row r="473">
      <c r="A473">
        <f>IF(AND('Ratings'!A35&lt;&gt;"",'Ratings'!L5&lt;&gt;""),'Ratings'!A35,"")</f>
        <v/>
      </c>
      <c r="B473">
        <f>IF(A473="","",'Employees'!C7)</f>
        <v/>
      </c>
      <c r="C473">
        <f>IF(A473="","",'Ratings'!C35)</f>
        <v/>
      </c>
      <c r="D473">
        <f>IF(A473="","",'Ratings'!D35)</f>
        <v/>
      </c>
      <c r="E473">
        <f>IF(AND('Ratings'!A35&lt;&gt;"",'Ratings'!L5&lt;&gt;""),'Ratings'!L5,"")</f>
        <v/>
      </c>
      <c r="F473">
        <f>IF(OR(A473="",'Ratings'!L35=""),"",'Ratings'!L35)</f>
        <v/>
      </c>
      <c r="G473">
        <f>IF(A473="","",'Employees'!D7)</f>
        <v/>
      </c>
    </row>
    <row r="474">
      <c r="A474">
        <f>IF(AND('Ratings'!A35&lt;&gt;"",'Ratings'!M5&lt;&gt;""),'Ratings'!A35,"")</f>
        <v/>
      </c>
      <c r="B474">
        <f>IF(A474="","",'Employees'!C7)</f>
        <v/>
      </c>
      <c r="C474">
        <f>IF(A474="","",'Ratings'!C35)</f>
        <v/>
      </c>
      <c r="D474">
        <f>IF(A474="","",'Ratings'!D35)</f>
        <v/>
      </c>
      <c r="E474">
        <f>IF(AND('Ratings'!A35&lt;&gt;"",'Ratings'!M5&lt;&gt;""),'Ratings'!M5,"")</f>
        <v/>
      </c>
      <c r="F474">
        <f>IF(OR(A474="",'Ratings'!M35=""),"",'Ratings'!M35)</f>
        <v/>
      </c>
      <c r="G474">
        <f>IF(A474="","",'Employees'!D7)</f>
        <v/>
      </c>
    </row>
    <row r="475">
      <c r="A475">
        <f>IF(AND('Ratings'!A35&lt;&gt;"",'Ratings'!N5&lt;&gt;""),'Ratings'!A35,"")</f>
        <v/>
      </c>
      <c r="B475">
        <f>IF(A475="","",'Employees'!C7)</f>
        <v/>
      </c>
      <c r="C475">
        <f>IF(A475="","",'Ratings'!C35)</f>
        <v/>
      </c>
      <c r="D475">
        <f>IF(A475="","",'Ratings'!D35)</f>
        <v/>
      </c>
      <c r="E475">
        <f>IF(AND('Ratings'!A35&lt;&gt;"",'Ratings'!N5&lt;&gt;""),'Ratings'!N5,"")</f>
        <v/>
      </c>
      <c r="F475">
        <f>IF(OR(A475="",'Ratings'!N35=""),"",'Ratings'!N35)</f>
        <v/>
      </c>
      <c r="G475">
        <f>IF(A475="","",'Employees'!D7)</f>
        <v/>
      </c>
    </row>
    <row r="476">
      <c r="A476">
        <f>IF(AND('Ratings'!A35&lt;&gt;"",'Ratings'!O5&lt;&gt;""),'Ratings'!A35,"")</f>
        <v/>
      </c>
      <c r="B476">
        <f>IF(A476="","",'Employees'!C7)</f>
        <v/>
      </c>
      <c r="C476">
        <f>IF(A476="","",'Ratings'!C35)</f>
        <v/>
      </c>
      <c r="D476">
        <f>IF(A476="","",'Ratings'!D35)</f>
        <v/>
      </c>
      <c r="E476">
        <f>IF(AND('Ratings'!A35&lt;&gt;"",'Ratings'!O5&lt;&gt;""),'Ratings'!O5,"")</f>
        <v/>
      </c>
      <c r="F476">
        <f>IF(OR(A476="",'Ratings'!O35=""),"",'Ratings'!O35)</f>
        <v/>
      </c>
      <c r="G476">
        <f>IF(A476="","",'Employees'!D7)</f>
        <v/>
      </c>
    </row>
    <row r="477">
      <c r="A477">
        <f>IF(AND('Ratings'!A35&lt;&gt;"",'Ratings'!P5&lt;&gt;""),'Ratings'!A35,"")</f>
        <v/>
      </c>
      <c r="B477">
        <f>IF(A477="","",'Employees'!C7)</f>
        <v/>
      </c>
      <c r="C477">
        <f>IF(A477="","",'Ratings'!C35)</f>
        <v/>
      </c>
      <c r="D477">
        <f>IF(A477="","",'Ratings'!D35)</f>
        <v/>
      </c>
      <c r="E477">
        <f>IF(AND('Ratings'!A35&lt;&gt;"",'Ratings'!P5&lt;&gt;""),'Ratings'!P5,"")</f>
        <v/>
      </c>
      <c r="F477">
        <f>IF(OR(A477="",'Ratings'!P35=""),"",'Ratings'!P35)</f>
        <v/>
      </c>
      <c r="G477">
        <f>IF(A477="","",'Employees'!D7)</f>
        <v/>
      </c>
    </row>
    <row r="478">
      <c r="A478">
        <f>IF(AND('Ratings'!A35&lt;&gt;"",'Ratings'!Q5&lt;&gt;""),'Ratings'!A35,"")</f>
        <v/>
      </c>
      <c r="B478">
        <f>IF(A478="","",'Employees'!C7)</f>
        <v/>
      </c>
      <c r="C478">
        <f>IF(A478="","",'Ratings'!C35)</f>
        <v/>
      </c>
      <c r="D478">
        <f>IF(A478="","",'Ratings'!D35)</f>
        <v/>
      </c>
      <c r="E478">
        <f>IF(AND('Ratings'!A35&lt;&gt;"",'Ratings'!Q5&lt;&gt;""),'Ratings'!Q5,"")</f>
        <v/>
      </c>
      <c r="F478">
        <f>IF(OR(A478="",'Ratings'!Q35=""),"",'Ratings'!Q35)</f>
        <v/>
      </c>
      <c r="G478">
        <f>IF(A478="","",'Employees'!D7)</f>
        <v/>
      </c>
    </row>
    <row r="479">
      <c r="A479">
        <f>IF(AND('Ratings'!A35&lt;&gt;"",'Ratings'!R5&lt;&gt;""),'Ratings'!A35,"")</f>
        <v/>
      </c>
      <c r="B479">
        <f>IF(A479="","",'Employees'!C7)</f>
        <v/>
      </c>
      <c r="C479">
        <f>IF(A479="","",'Ratings'!C35)</f>
        <v/>
      </c>
      <c r="D479">
        <f>IF(A479="","",'Ratings'!D35)</f>
        <v/>
      </c>
      <c r="E479">
        <f>IF(AND('Ratings'!A35&lt;&gt;"",'Ratings'!R5&lt;&gt;""),'Ratings'!R5,"")</f>
        <v/>
      </c>
      <c r="F479">
        <f>IF(OR(A479="",'Ratings'!R35=""),"",'Ratings'!R35)</f>
        <v/>
      </c>
      <c r="G479">
        <f>IF(A479="","",'Employees'!D7)</f>
        <v/>
      </c>
    </row>
    <row r="480">
      <c r="A480">
        <f>IF(AND('Ratings'!A35&lt;&gt;"",'Ratings'!S5&lt;&gt;""),'Ratings'!A35,"")</f>
        <v/>
      </c>
      <c r="B480">
        <f>IF(A480="","",'Employees'!C7)</f>
        <v/>
      </c>
      <c r="C480">
        <f>IF(A480="","",'Ratings'!C35)</f>
        <v/>
      </c>
      <c r="D480">
        <f>IF(A480="","",'Ratings'!D35)</f>
        <v/>
      </c>
      <c r="E480">
        <f>IF(AND('Ratings'!A35&lt;&gt;"",'Ratings'!S5&lt;&gt;""),'Ratings'!S5,"")</f>
        <v/>
      </c>
      <c r="F480">
        <f>IF(OR(A480="",'Ratings'!S35=""),"",'Ratings'!S35)</f>
        <v/>
      </c>
      <c r="G480">
        <f>IF(A480="","",'Employees'!D7)</f>
        <v/>
      </c>
    </row>
    <row r="481">
      <c r="A481">
        <f>IF(AND('Ratings'!A35&lt;&gt;"",'Ratings'!T5&lt;&gt;""),'Ratings'!A35,"")</f>
        <v/>
      </c>
      <c r="B481">
        <f>IF(A481="","",'Employees'!C7)</f>
        <v/>
      </c>
      <c r="C481">
        <f>IF(A481="","",'Ratings'!C35)</f>
        <v/>
      </c>
      <c r="D481">
        <f>IF(A481="","",'Ratings'!D35)</f>
        <v/>
      </c>
      <c r="E481">
        <f>IF(AND('Ratings'!A35&lt;&gt;"",'Ratings'!T5&lt;&gt;""),'Ratings'!T5,"")</f>
        <v/>
      </c>
      <c r="F481">
        <f>IF(OR(A481="",'Ratings'!T35=""),"",'Ratings'!T35)</f>
        <v/>
      </c>
      <c r="G481">
        <f>IF(A481="","",'Employees'!D7)</f>
        <v/>
      </c>
    </row>
    <row r="482">
      <c r="A482">
        <f>IF(AND('Ratings'!A36&lt;&gt;"",'Ratings'!E5&lt;&gt;""),'Ratings'!A36,"")</f>
        <v/>
      </c>
      <c r="B482">
        <f>IF(A482="","",'Employees'!C7)</f>
        <v/>
      </c>
      <c r="C482">
        <f>IF(A482="","",'Ratings'!C36)</f>
        <v/>
      </c>
      <c r="D482">
        <f>IF(A482="","",'Ratings'!D36)</f>
        <v/>
      </c>
      <c r="E482">
        <f>IF(AND('Ratings'!A36&lt;&gt;"",'Ratings'!E5&lt;&gt;""),'Ratings'!E5,"")</f>
        <v/>
      </c>
      <c r="F482">
        <f>IF(OR(A482="",'Ratings'!E36=""),"",'Ratings'!E36)</f>
        <v/>
      </c>
      <c r="G482">
        <f>IF(A482="","",'Employees'!D7)</f>
        <v/>
      </c>
    </row>
    <row r="483">
      <c r="A483">
        <f>IF(AND('Ratings'!A36&lt;&gt;"",'Ratings'!F5&lt;&gt;""),'Ratings'!A36,"")</f>
        <v/>
      </c>
      <c r="B483">
        <f>IF(A483="","",'Employees'!C7)</f>
        <v/>
      </c>
      <c r="C483">
        <f>IF(A483="","",'Ratings'!C36)</f>
        <v/>
      </c>
      <c r="D483">
        <f>IF(A483="","",'Ratings'!D36)</f>
        <v/>
      </c>
      <c r="E483">
        <f>IF(AND('Ratings'!A36&lt;&gt;"",'Ratings'!F5&lt;&gt;""),'Ratings'!F5,"")</f>
        <v/>
      </c>
      <c r="F483">
        <f>IF(OR(A483="",'Ratings'!F36=""),"",'Ratings'!F36)</f>
        <v/>
      </c>
      <c r="G483">
        <f>IF(A483="","",'Employees'!D7)</f>
        <v/>
      </c>
    </row>
    <row r="484">
      <c r="A484">
        <f>IF(AND('Ratings'!A36&lt;&gt;"",'Ratings'!G5&lt;&gt;""),'Ratings'!A36,"")</f>
        <v/>
      </c>
      <c r="B484">
        <f>IF(A484="","",'Employees'!C7)</f>
        <v/>
      </c>
      <c r="C484">
        <f>IF(A484="","",'Ratings'!C36)</f>
        <v/>
      </c>
      <c r="D484">
        <f>IF(A484="","",'Ratings'!D36)</f>
        <v/>
      </c>
      <c r="E484">
        <f>IF(AND('Ratings'!A36&lt;&gt;"",'Ratings'!G5&lt;&gt;""),'Ratings'!G5,"")</f>
        <v/>
      </c>
      <c r="F484">
        <f>IF(OR(A484="",'Ratings'!G36=""),"",'Ratings'!G36)</f>
        <v/>
      </c>
      <c r="G484">
        <f>IF(A484="","",'Employees'!D7)</f>
        <v/>
      </c>
    </row>
    <row r="485">
      <c r="A485">
        <f>IF(AND('Ratings'!A36&lt;&gt;"",'Ratings'!H5&lt;&gt;""),'Ratings'!A36,"")</f>
        <v/>
      </c>
      <c r="B485">
        <f>IF(A485="","",'Employees'!C7)</f>
        <v/>
      </c>
      <c r="C485">
        <f>IF(A485="","",'Ratings'!C36)</f>
        <v/>
      </c>
      <c r="D485">
        <f>IF(A485="","",'Ratings'!D36)</f>
        <v/>
      </c>
      <c r="E485">
        <f>IF(AND('Ratings'!A36&lt;&gt;"",'Ratings'!H5&lt;&gt;""),'Ratings'!H5,"")</f>
        <v/>
      </c>
      <c r="F485">
        <f>IF(OR(A485="",'Ratings'!H36=""),"",'Ratings'!H36)</f>
        <v/>
      </c>
      <c r="G485">
        <f>IF(A485="","",'Employees'!D7)</f>
        <v/>
      </c>
    </row>
    <row r="486">
      <c r="A486">
        <f>IF(AND('Ratings'!A36&lt;&gt;"",'Ratings'!I5&lt;&gt;""),'Ratings'!A36,"")</f>
        <v/>
      </c>
      <c r="B486">
        <f>IF(A486="","",'Employees'!C7)</f>
        <v/>
      </c>
      <c r="C486">
        <f>IF(A486="","",'Ratings'!C36)</f>
        <v/>
      </c>
      <c r="D486">
        <f>IF(A486="","",'Ratings'!D36)</f>
        <v/>
      </c>
      <c r="E486">
        <f>IF(AND('Ratings'!A36&lt;&gt;"",'Ratings'!I5&lt;&gt;""),'Ratings'!I5,"")</f>
        <v/>
      </c>
      <c r="F486">
        <f>IF(OR(A486="",'Ratings'!I36=""),"",'Ratings'!I36)</f>
        <v/>
      </c>
      <c r="G486">
        <f>IF(A486="","",'Employees'!D7)</f>
        <v/>
      </c>
    </row>
    <row r="487">
      <c r="A487">
        <f>IF(AND('Ratings'!A36&lt;&gt;"",'Ratings'!J5&lt;&gt;""),'Ratings'!A36,"")</f>
        <v/>
      </c>
      <c r="B487">
        <f>IF(A487="","",'Employees'!C7)</f>
        <v/>
      </c>
      <c r="C487">
        <f>IF(A487="","",'Ratings'!C36)</f>
        <v/>
      </c>
      <c r="D487">
        <f>IF(A487="","",'Ratings'!D36)</f>
        <v/>
      </c>
      <c r="E487">
        <f>IF(AND('Ratings'!A36&lt;&gt;"",'Ratings'!J5&lt;&gt;""),'Ratings'!J5,"")</f>
        <v/>
      </c>
      <c r="F487">
        <f>IF(OR(A487="",'Ratings'!J36=""),"",'Ratings'!J36)</f>
        <v/>
      </c>
      <c r="G487">
        <f>IF(A487="","",'Employees'!D7)</f>
        <v/>
      </c>
    </row>
    <row r="488">
      <c r="A488">
        <f>IF(AND('Ratings'!A36&lt;&gt;"",'Ratings'!K5&lt;&gt;""),'Ratings'!A36,"")</f>
        <v/>
      </c>
      <c r="B488">
        <f>IF(A488="","",'Employees'!C7)</f>
        <v/>
      </c>
      <c r="C488">
        <f>IF(A488="","",'Ratings'!C36)</f>
        <v/>
      </c>
      <c r="D488">
        <f>IF(A488="","",'Ratings'!D36)</f>
        <v/>
      </c>
      <c r="E488">
        <f>IF(AND('Ratings'!A36&lt;&gt;"",'Ratings'!K5&lt;&gt;""),'Ratings'!K5,"")</f>
        <v/>
      </c>
      <c r="F488">
        <f>IF(OR(A488="",'Ratings'!K36=""),"",'Ratings'!K36)</f>
        <v/>
      </c>
      <c r="G488">
        <f>IF(A488="","",'Employees'!D7)</f>
        <v/>
      </c>
    </row>
    <row r="489">
      <c r="A489">
        <f>IF(AND('Ratings'!A36&lt;&gt;"",'Ratings'!L5&lt;&gt;""),'Ratings'!A36,"")</f>
        <v/>
      </c>
      <c r="B489">
        <f>IF(A489="","",'Employees'!C7)</f>
        <v/>
      </c>
      <c r="C489">
        <f>IF(A489="","",'Ratings'!C36)</f>
        <v/>
      </c>
      <c r="D489">
        <f>IF(A489="","",'Ratings'!D36)</f>
        <v/>
      </c>
      <c r="E489">
        <f>IF(AND('Ratings'!A36&lt;&gt;"",'Ratings'!L5&lt;&gt;""),'Ratings'!L5,"")</f>
        <v/>
      </c>
      <c r="F489">
        <f>IF(OR(A489="",'Ratings'!L36=""),"",'Ratings'!L36)</f>
        <v/>
      </c>
      <c r="G489">
        <f>IF(A489="","",'Employees'!D7)</f>
        <v/>
      </c>
    </row>
    <row r="490">
      <c r="A490">
        <f>IF(AND('Ratings'!A36&lt;&gt;"",'Ratings'!M5&lt;&gt;""),'Ratings'!A36,"")</f>
        <v/>
      </c>
      <c r="B490">
        <f>IF(A490="","",'Employees'!C7)</f>
        <v/>
      </c>
      <c r="C490">
        <f>IF(A490="","",'Ratings'!C36)</f>
        <v/>
      </c>
      <c r="D490">
        <f>IF(A490="","",'Ratings'!D36)</f>
        <v/>
      </c>
      <c r="E490">
        <f>IF(AND('Ratings'!A36&lt;&gt;"",'Ratings'!M5&lt;&gt;""),'Ratings'!M5,"")</f>
        <v/>
      </c>
      <c r="F490">
        <f>IF(OR(A490="",'Ratings'!M36=""),"",'Ratings'!M36)</f>
        <v/>
      </c>
      <c r="G490">
        <f>IF(A490="","",'Employees'!D7)</f>
        <v/>
      </c>
    </row>
    <row r="491">
      <c r="A491">
        <f>IF(AND('Ratings'!A36&lt;&gt;"",'Ratings'!N5&lt;&gt;""),'Ratings'!A36,"")</f>
        <v/>
      </c>
      <c r="B491">
        <f>IF(A491="","",'Employees'!C7)</f>
        <v/>
      </c>
      <c r="C491">
        <f>IF(A491="","",'Ratings'!C36)</f>
        <v/>
      </c>
      <c r="D491">
        <f>IF(A491="","",'Ratings'!D36)</f>
        <v/>
      </c>
      <c r="E491">
        <f>IF(AND('Ratings'!A36&lt;&gt;"",'Ratings'!N5&lt;&gt;""),'Ratings'!N5,"")</f>
        <v/>
      </c>
      <c r="F491">
        <f>IF(OR(A491="",'Ratings'!N36=""),"",'Ratings'!N36)</f>
        <v/>
      </c>
      <c r="G491">
        <f>IF(A491="","",'Employees'!D7)</f>
        <v/>
      </c>
    </row>
    <row r="492">
      <c r="A492">
        <f>IF(AND('Ratings'!A36&lt;&gt;"",'Ratings'!O5&lt;&gt;""),'Ratings'!A36,"")</f>
        <v/>
      </c>
      <c r="B492">
        <f>IF(A492="","",'Employees'!C7)</f>
        <v/>
      </c>
      <c r="C492">
        <f>IF(A492="","",'Ratings'!C36)</f>
        <v/>
      </c>
      <c r="D492">
        <f>IF(A492="","",'Ratings'!D36)</f>
        <v/>
      </c>
      <c r="E492">
        <f>IF(AND('Ratings'!A36&lt;&gt;"",'Ratings'!O5&lt;&gt;""),'Ratings'!O5,"")</f>
        <v/>
      </c>
      <c r="F492">
        <f>IF(OR(A492="",'Ratings'!O36=""),"",'Ratings'!O36)</f>
        <v/>
      </c>
      <c r="G492">
        <f>IF(A492="","",'Employees'!D7)</f>
        <v/>
      </c>
    </row>
    <row r="493">
      <c r="A493">
        <f>IF(AND('Ratings'!A36&lt;&gt;"",'Ratings'!P5&lt;&gt;""),'Ratings'!A36,"")</f>
        <v/>
      </c>
      <c r="B493">
        <f>IF(A493="","",'Employees'!C7)</f>
        <v/>
      </c>
      <c r="C493">
        <f>IF(A493="","",'Ratings'!C36)</f>
        <v/>
      </c>
      <c r="D493">
        <f>IF(A493="","",'Ratings'!D36)</f>
        <v/>
      </c>
      <c r="E493">
        <f>IF(AND('Ratings'!A36&lt;&gt;"",'Ratings'!P5&lt;&gt;""),'Ratings'!P5,"")</f>
        <v/>
      </c>
      <c r="F493">
        <f>IF(OR(A493="",'Ratings'!P36=""),"",'Ratings'!P36)</f>
        <v/>
      </c>
      <c r="G493">
        <f>IF(A493="","",'Employees'!D7)</f>
        <v/>
      </c>
    </row>
    <row r="494">
      <c r="A494">
        <f>IF(AND('Ratings'!A36&lt;&gt;"",'Ratings'!Q5&lt;&gt;""),'Ratings'!A36,"")</f>
        <v/>
      </c>
      <c r="B494">
        <f>IF(A494="","",'Employees'!C7)</f>
        <v/>
      </c>
      <c r="C494">
        <f>IF(A494="","",'Ratings'!C36)</f>
        <v/>
      </c>
      <c r="D494">
        <f>IF(A494="","",'Ratings'!D36)</f>
        <v/>
      </c>
      <c r="E494">
        <f>IF(AND('Ratings'!A36&lt;&gt;"",'Ratings'!Q5&lt;&gt;""),'Ratings'!Q5,"")</f>
        <v/>
      </c>
      <c r="F494">
        <f>IF(OR(A494="",'Ratings'!Q36=""),"",'Ratings'!Q36)</f>
        <v/>
      </c>
      <c r="G494">
        <f>IF(A494="","",'Employees'!D7)</f>
        <v/>
      </c>
    </row>
    <row r="495">
      <c r="A495">
        <f>IF(AND('Ratings'!A36&lt;&gt;"",'Ratings'!R5&lt;&gt;""),'Ratings'!A36,"")</f>
        <v/>
      </c>
      <c r="B495">
        <f>IF(A495="","",'Employees'!C7)</f>
        <v/>
      </c>
      <c r="C495">
        <f>IF(A495="","",'Ratings'!C36)</f>
        <v/>
      </c>
      <c r="D495">
        <f>IF(A495="","",'Ratings'!D36)</f>
        <v/>
      </c>
      <c r="E495">
        <f>IF(AND('Ratings'!A36&lt;&gt;"",'Ratings'!R5&lt;&gt;""),'Ratings'!R5,"")</f>
        <v/>
      </c>
      <c r="F495">
        <f>IF(OR(A495="",'Ratings'!R36=""),"",'Ratings'!R36)</f>
        <v/>
      </c>
      <c r="G495">
        <f>IF(A495="","",'Employees'!D7)</f>
        <v/>
      </c>
    </row>
    <row r="496">
      <c r="A496">
        <f>IF(AND('Ratings'!A36&lt;&gt;"",'Ratings'!S5&lt;&gt;""),'Ratings'!A36,"")</f>
        <v/>
      </c>
      <c r="B496">
        <f>IF(A496="","",'Employees'!C7)</f>
        <v/>
      </c>
      <c r="C496">
        <f>IF(A496="","",'Ratings'!C36)</f>
        <v/>
      </c>
      <c r="D496">
        <f>IF(A496="","",'Ratings'!D36)</f>
        <v/>
      </c>
      <c r="E496">
        <f>IF(AND('Ratings'!A36&lt;&gt;"",'Ratings'!S5&lt;&gt;""),'Ratings'!S5,"")</f>
        <v/>
      </c>
      <c r="F496">
        <f>IF(OR(A496="",'Ratings'!S36=""),"",'Ratings'!S36)</f>
        <v/>
      </c>
      <c r="G496">
        <f>IF(A496="","",'Employees'!D7)</f>
        <v/>
      </c>
    </row>
    <row r="497">
      <c r="A497">
        <f>IF(AND('Ratings'!A36&lt;&gt;"",'Ratings'!T5&lt;&gt;""),'Ratings'!A36,"")</f>
        <v/>
      </c>
      <c r="B497">
        <f>IF(A497="","",'Employees'!C7)</f>
        <v/>
      </c>
      <c r="C497">
        <f>IF(A497="","",'Ratings'!C36)</f>
        <v/>
      </c>
      <c r="D497">
        <f>IF(A497="","",'Ratings'!D36)</f>
        <v/>
      </c>
      <c r="E497">
        <f>IF(AND('Ratings'!A36&lt;&gt;"",'Ratings'!T5&lt;&gt;""),'Ratings'!T5,"")</f>
        <v/>
      </c>
      <c r="F497">
        <f>IF(OR(A497="",'Ratings'!T36=""),"",'Ratings'!T36)</f>
        <v/>
      </c>
      <c r="G497">
        <f>IF(A497="","",'Employees'!D7)</f>
        <v/>
      </c>
    </row>
    <row r="498">
      <c r="A498">
        <f>IF(AND('Ratings'!A37&lt;&gt;"",'Ratings'!E5&lt;&gt;""),'Ratings'!A37,"")</f>
        <v/>
      </c>
      <c r="B498">
        <f>IF(A498="","",'Employees'!C7)</f>
        <v/>
      </c>
      <c r="C498">
        <f>IF(A498="","",'Ratings'!C37)</f>
        <v/>
      </c>
      <c r="D498">
        <f>IF(A498="","",'Ratings'!D37)</f>
        <v/>
      </c>
      <c r="E498">
        <f>IF(AND('Ratings'!A37&lt;&gt;"",'Ratings'!E5&lt;&gt;""),'Ratings'!E5,"")</f>
        <v/>
      </c>
      <c r="F498">
        <f>IF(OR(A498="",'Ratings'!E37=""),"",'Ratings'!E37)</f>
        <v/>
      </c>
      <c r="G498">
        <f>IF(A498="","",'Employees'!D7)</f>
        <v/>
      </c>
    </row>
    <row r="499">
      <c r="A499">
        <f>IF(AND('Ratings'!A37&lt;&gt;"",'Ratings'!F5&lt;&gt;""),'Ratings'!A37,"")</f>
        <v/>
      </c>
      <c r="B499">
        <f>IF(A499="","",'Employees'!C7)</f>
        <v/>
      </c>
      <c r="C499">
        <f>IF(A499="","",'Ratings'!C37)</f>
        <v/>
      </c>
      <c r="D499">
        <f>IF(A499="","",'Ratings'!D37)</f>
        <v/>
      </c>
      <c r="E499">
        <f>IF(AND('Ratings'!A37&lt;&gt;"",'Ratings'!F5&lt;&gt;""),'Ratings'!F5,"")</f>
        <v/>
      </c>
      <c r="F499">
        <f>IF(OR(A499="",'Ratings'!F37=""),"",'Ratings'!F37)</f>
        <v/>
      </c>
      <c r="G499">
        <f>IF(A499="","",'Employees'!D7)</f>
        <v/>
      </c>
    </row>
    <row r="500">
      <c r="A500">
        <f>IF(AND('Ratings'!A37&lt;&gt;"",'Ratings'!G5&lt;&gt;""),'Ratings'!A37,"")</f>
        <v/>
      </c>
      <c r="B500">
        <f>IF(A500="","",'Employees'!C7)</f>
        <v/>
      </c>
      <c r="C500">
        <f>IF(A500="","",'Ratings'!C37)</f>
        <v/>
      </c>
      <c r="D500">
        <f>IF(A500="","",'Ratings'!D37)</f>
        <v/>
      </c>
      <c r="E500">
        <f>IF(AND('Ratings'!A37&lt;&gt;"",'Ratings'!G5&lt;&gt;""),'Ratings'!G5,"")</f>
        <v/>
      </c>
      <c r="F500">
        <f>IF(OR(A500="",'Ratings'!G37=""),"",'Ratings'!G37)</f>
        <v/>
      </c>
      <c r="G500">
        <f>IF(A500="","",'Employees'!D7)</f>
        <v/>
      </c>
    </row>
    <row r="501">
      <c r="A501">
        <f>IF(AND('Ratings'!A37&lt;&gt;"",'Ratings'!H5&lt;&gt;""),'Ratings'!A37,"")</f>
        <v/>
      </c>
      <c r="B501">
        <f>IF(A501="","",'Employees'!C7)</f>
        <v/>
      </c>
      <c r="C501">
        <f>IF(A501="","",'Ratings'!C37)</f>
        <v/>
      </c>
      <c r="D501">
        <f>IF(A501="","",'Ratings'!D37)</f>
        <v/>
      </c>
      <c r="E501">
        <f>IF(AND('Ratings'!A37&lt;&gt;"",'Ratings'!H5&lt;&gt;""),'Ratings'!H5,"")</f>
        <v/>
      </c>
      <c r="F501">
        <f>IF(OR(A501="",'Ratings'!H37=""),"",'Ratings'!H37)</f>
        <v/>
      </c>
      <c r="G501">
        <f>IF(A501="","",'Employees'!D7)</f>
        <v/>
      </c>
    </row>
    <row r="502">
      <c r="A502">
        <f>IF(AND('Ratings'!A37&lt;&gt;"",'Ratings'!I5&lt;&gt;""),'Ratings'!A37,"")</f>
        <v/>
      </c>
      <c r="B502">
        <f>IF(A502="","",'Employees'!C7)</f>
        <v/>
      </c>
      <c r="C502">
        <f>IF(A502="","",'Ratings'!C37)</f>
        <v/>
      </c>
      <c r="D502">
        <f>IF(A502="","",'Ratings'!D37)</f>
        <v/>
      </c>
      <c r="E502">
        <f>IF(AND('Ratings'!A37&lt;&gt;"",'Ratings'!I5&lt;&gt;""),'Ratings'!I5,"")</f>
        <v/>
      </c>
      <c r="F502">
        <f>IF(OR(A502="",'Ratings'!I37=""),"",'Ratings'!I37)</f>
        <v/>
      </c>
      <c r="G502">
        <f>IF(A502="","",'Employees'!D7)</f>
        <v/>
      </c>
    </row>
    <row r="503">
      <c r="A503">
        <f>IF(AND('Ratings'!A37&lt;&gt;"",'Ratings'!J5&lt;&gt;""),'Ratings'!A37,"")</f>
        <v/>
      </c>
      <c r="B503">
        <f>IF(A503="","",'Employees'!C7)</f>
        <v/>
      </c>
      <c r="C503">
        <f>IF(A503="","",'Ratings'!C37)</f>
        <v/>
      </c>
      <c r="D503">
        <f>IF(A503="","",'Ratings'!D37)</f>
        <v/>
      </c>
      <c r="E503">
        <f>IF(AND('Ratings'!A37&lt;&gt;"",'Ratings'!J5&lt;&gt;""),'Ratings'!J5,"")</f>
        <v/>
      </c>
      <c r="F503">
        <f>IF(OR(A503="",'Ratings'!J37=""),"",'Ratings'!J37)</f>
        <v/>
      </c>
      <c r="G503">
        <f>IF(A503="","",'Employees'!D7)</f>
        <v/>
      </c>
    </row>
    <row r="504">
      <c r="A504">
        <f>IF(AND('Ratings'!A37&lt;&gt;"",'Ratings'!K5&lt;&gt;""),'Ratings'!A37,"")</f>
        <v/>
      </c>
      <c r="B504">
        <f>IF(A504="","",'Employees'!C7)</f>
        <v/>
      </c>
      <c r="C504">
        <f>IF(A504="","",'Ratings'!C37)</f>
        <v/>
      </c>
      <c r="D504">
        <f>IF(A504="","",'Ratings'!D37)</f>
        <v/>
      </c>
      <c r="E504">
        <f>IF(AND('Ratings'!A37&lt;&gt;"",'Ratings'!K5&lt;&gt;""),'Ratings'!K5,"")</f>
        <v/>
      </c>
      <c r="F504">
        <f>IF(OR(A504="",'Ratings'!K37=""),"",'Ratings'!K37)</f>
        <v/>
      </c>
      <c r="G504">
        <f>IF(A504="","",'Employees'!D7)</f>
        <v/>
      </c>
    </row>
    <row r="505">
      <c r="A505">
        <f>IF(AND('Ratings'!A37&lt;&gt;"",'Ratings'!L5&lt;&gt;""),'Ratings'!A37,"")</f>
        <v/>
      </c>
      <c r="B505">
        <f>IF(A505="","",'Employees'!C7)</f>
        <v/>
      </c>
      <c r="C505">
        <f>IF(A505="","",'Ratings'!C37)</f>
        <v/>
      </c>
      <c r="D505">
        <f>IF(A505="","",'Ratings'!D37)</f>
        <v/>
      </c>
      <c r="E505">
        <f>IF(AND('Ratings'!A37&lt;&gt;"",'Ratings'!L5&lt;&gt;""),'Ratings'!L5,"")</f>
        <v/>
      </c>
      <c r="F505">
        <f>IF(OR(A505="",'Ratings'!L37=""),"",'Ratings'!L37)</f>
        <v/>
      </c>
      <c r="G505">
        <f>IF(A505="","",'Employees'!D7)</f>
        <v/>
      </c>
    </row>
    <row r="506">
      <c r="A506">
        <f>IF(AND('Ratings'!A37&lt;&gt;"",'Ratings'!M5&lt;&gt;""),'Ratings'!A37,"")</f>
        <v/>
      </c>
      <c r="B506">
        <f>IF(A506="","",'Employees'!C7)</f>
        <v/>
      </c>
      <c r="C506">
        <f>IF(A506="","",'Ratings'!C37)</f>
        <v/>
      </c>
      <c r="D506">
        <f>IF(A506="","",'Ratings'!D37)</f>
        <v/>
      </c>
      <c r="E506">
        <f>IF(AND('Ratings'!A37&lt;&gt;"",'Ratings'!M5&lt;&gt;""),'Ratings'!M5,"")</f>
        <v/>
      </c>
      <c r="F506">
        <f>IF(OR(A506="",'Ratings'!M37=""),"",'Ratings'!M37)</f>
        <v/>
      </c>
      <c r="G506">
        <f>IF(A506="","",'Employees'!D7)</f>
        <v/>
      </c>
    </row>
    <row r="507">
      <c r="A507">
        <f>IF(AND('Ratings'!A37&lt;&gt;"",'Ratings'!N5&lt;&gt;""),'Ratings'!A37,"")</f>
        <v/>
      </c>
      <c r="B507">
        <f>IF(A507="","",'Employees'!C7)</f>
        <v/>
      </c>
      <c r="C507">
        <f>IF(A507="","",'Ratings'!C37)</f>
        <v/>
      </c>
      <c r="D507">
        <f>IF(A507="","",'Ratings'!D37)</f>
        <v/>
      </c>
      <c r="E507">
        <f>IF(AND('Ratings'!A37&lt;&gt;"",'Ratings'!N5&lt;&gt;""),'Ratings'!N5,"")</f>
        <v/>
      </c>
      <c r="F507">
        <f>IF(OR(A507="",'Ratings'!N37=""),"",'Ratings'!N37)</f>
        <v/>
      </c>
      <c r="G507">
        <f>IF(A507="","",'Employees'!D7)</f>
        <v/>
      </c>
    </row>
    <row r="508">
      <c r="A508">
        <f>IF(AND('Ratings'!A37&lt;&gt;"",'Ratings'!O5&lt;&gt;""),'Ratings'!A37,"")</f>
        <v/>
      </c>
      <c r="B508">
        <f>IF(A508="","",'Employees'!C7)</f>
        <v/>
      </c>
      <c r="C508">
        <f>IF(A508="","",'Ratings'!C37)</f>
        <v/>
      </c>
      <c r="D508">
        <f>IF(A508="","",'Ratings'!D37)</f>
        <v/>
      </c>
      <c r="E508">
        <f>IF(AND('Ratings'!A37&lt;&gt;"",'Ratings'!O5&lt;&gt;""),'Ratings'!O5,"")</f>
        <v/>
      </c>
      <c r="F508">
        <f>IF(OR(A508="",'Ratings'!O37=""),"",'Ratings'!O37)</f>
        <v/>
      </c>
      <c r="G508">
        <f>IF(A508="","",'Employees'!D7)</f>
        <v/>
      </c>
    </row>
    <row r="509">
      <c r="A509">
        <f>IF(AND('Ratings'!A37&lt;&gt;"",'Ratings'!P5&lt;&gt;""),'Ratings'!A37,"")</f>
        <v/>
      </c>
      <c r="B509">
        <f>IF(A509="","",'Employees'!C7)</f>
        <v/>
      </c>
      <c r="C509">
        <f>IF(A509="","",'Ratings'!C37)</f>
        <v/>
      </c>
      <c r="D509">
        <f>IF(A509="","",'Ratings'!D37)</f>
        <v/>
      </c>
      <c r="E509">
        <f>IF(AND('Ratings'!A37&lt;&gt;"",'Ratings'!P5&lt;&gt;""),'Ratings'!P5,"")</f>
        <v/>
      </c>
      <c r="F509">
        <f>IF(OR(A509="",'Ratings'!P37=""),"",'Ratings'!P37)</f>
        <v/>
      </c>
      <c r="G509">
        <f>IF(A509="","",'Employees'!D7)</f>
        <v/>
      </c>
    </row>
    <row r="510">
      <c r="A510">
        <f>IF(AND('Ratings'!A37&lt;&gt;"",'Ratings'!Q5&lt;&gt;""),'Ratings'!A37,"")</f>
        <v/>
      </c>
      <c r="B510">
        <f>IF(A510="","",'Employees'!C7)</f>
        <v/>
      </c>
      <c r="C510">
        <f>IF(A510="","",'Ratings'!C37)</f>
        <v/>
      </c>
      <c r="D510">
        <f>IF(A510="","",'Ratings'!D37)</f>
        <v/>
      </c>
      <c r="E510">
        <f>IF(AND('Ratings'!A37&lt;&gt;"",'Ratings'!Q5&lt;&gt;""),'Ratings'!Q5,"")</f>
        <v/>
      </c>
      <c r="F510">
        <f>IF(OR(A510="",'Ratings'!Q37=""),"",'Ratings'!Q37)</f>
        <v/>
      </c>
      <c r="G510">
        <f>IF(A510="","",'Employees'!D7)</f>
        <v/>
      </c>
    </row>
    <row r="511">
      <c r="A511">
        <f>IF(AND('Ratings'!A37&lt;&gt;"",'Ratings'!R5&lt;&gt;""),'Ratings'!A37,"")</f>
        <v/>
      </c>
      <c r="B511">
        <f>IF(A511="","",'Employees'!C7)</f>
        <v/>
      </c>
      <c r="C511">
        <f>IF(A511="","",'Ratings'!C37)</f>
        <v/>
      </c>
      <c r="D511">
        <f>IF(A511="","",'Ratings'!D37)</f>
        <v/>
      </c>
      <c r="E511">
        <f>IF(AND('Ratings'!A37&lt;&gt;"",'Ratings'!R5&lt;&gt;""),'Ratings'!R5,"")</f>
        <v/>
      </c>
      <c r="F511">
        <f>IF(OR(A511="",'Ratings'!R37=""),"",'Ratings'!R37)</f>
        <v/>
      </c>
      <c r="G511">
        <f>IF(A511="","",'Employees'!D7)</f>
        <v/>
      </c>
    </row>
    <row r="512">
      <c r="A512">
        <f>IF(AND('Ratings'!A37&lt;&gt;"",'Ratings'!S5&lt;&gt;""),'Ratings'!A37,"")</f>
        <v/>
      </c>
      <c r="B512">
        <f>IF(A512="","",'Employees'!C7)</f>
        <v/>
      </c>
      <c r="C512">
        <f>IF(A512="","",'Ratings'!C37)</f>
        <v/>
      </c>
      <c r="D512">
        <f>IF(A512="","",'Ratings'!D37)</f>
        <v/>
      </c>
      <c r="E512">
        <f>IF(AND('Ratings'!A37&lt;&gt;"",'Ratings'!S5&lt;&gt;""),'Ratings'!S5,"")</f>
        <v/>
      </c>
      <c r="F512">
        <f>IF(OR(A512="",'Ratings'!S37=""),"",'Ratings'!S37)</f>
        <v/>
      </c>
      <c r="G512">
        <f>IF(A512="","",'Employees'!D7)</f>
        <v/>
      </c>
    </row>
    <row r="513">
      <c r="A513">
        <f>IF(AND('Ratings'!A37&lt;&gt;"",'Ratings'!T5&lt;&gt;""),'Ratings'!A37,"")</f>
        <v/>
      </c>
      <c r="B513">
        <f>IF(A513="","",'Employees'!C7)</f>
        <v/>
      </c>
      <c r="C513">
        <f>IF(A513="","",'Ratings'!C37)</f>
        <v/>
      </c>
      <c r="D513">
        <f>IF(A513="","",'Ratings'!D37)</f>
        <v/>
      </c>
      <c r="E513">
        <f>IF(AND('Ratings'!A37&lt;&gt;"",'Ratings'!T5&lt;&gt;""),'Ratings'!T5,"")</f>
        <v/>
      </c>
      <c r="F513">
        <f>IF(OR(A513="",'Ratings'!T37=""),"",'Ratings'!T37)</f>
        <v/>
      </c>
      <c r="G513">
        <f>IF(A513="","",'Employees'!D7)</f>
        <v/>
      </c>
    </row>
    <row r="514">
      <c r="A514">
        <f>IF(AND('Ratings'!A38&lt;&gt;"",'Ratings'!E5&lt;&gt;""),'Ratings'!A38,"")</f>
        <v/>
      </c>
      <c r="B514">
        <f>IF(A514="","",'Employees'!C8)</f>
        <v/>
      </c>
      <c r="C514">
        <f>IF(A514="","",'Ratings'!C38)</f>
        <v/>
      </c>
      <c r="D514">
        <f>IF(A514="","",'Ratings'!D38)</f>
        <v/>
      </c>
      <c r="E514">
        <f>IF(AND('Ratings'!A38&lt;&gt;"",'Ratings'!E5&lt;&gt;""),'Ratings'!E5,"")</f>
        <v/>
      </c>
      <c r="F514">
        <f>IF(OR(A514="",'Ratings'!E38=""),"",'Ratings'!E38)</f>
        <v/>
      </c>
      <c r="G514">
        <f>IF(A514="","",'Employees'!D8)</f>
        <v/>
      </c>
    </row>
    <row r="515">
      <c r="A515">
        <f>IF(AND('Ratings'!A38&lt;&gt;"",'Ratings'!F5&lt;&gt;""),'Ratings'!A38,"")</f>
        <v/>
      </c>
      <c r="B515">
        <f>IF(A515="","",'Employees'!C8)</f>
        <v/>
      </c>
      <c r="C515">
        <f>IF(A515="","",'Ratings'!C38)</f>
        <v/>
      </c>
      <c r="D515">
        <f>IF(A515="","",'Ratings'!D38)</f>
        <v/>
      </c>
      <c r="E515">
        <f>IF(AND('Ratings'!A38&lt;&gt;"",'Ratings'!F5&lt;&gt;""),'Ratings'!F5,"")</f>
        <v/>
      </c>
      <c r="F515">
        <f>IF(OR(A515="",'Ratings'!F38=""),"",'Ratings'!F38)</f>
        <v/>
      </c>
      <c r="G515">
        <f>IF(A515="","",'Employees'!D8)</f>
        <v/>
      </c>
    </row>
    <row r="516">
      <c r="A516">
        <f>IF(AND('Ratings'!A38&lt;&gt;"",'Ratings'!G5&lt;&gt;""),'Ratings'!A38,"")</f>
        <v/>
      </c>
      <c r="B516">
        <f>IF(A516="","",'Employees'!C8)</f>
        <v/>
      </c>
      <c r="C516">
        <f>IF(A516="","",'Ratings'!C38)</f>
        <v/>
      </c>
      <c r="D516">
        <f>IF(A516="","",'Ratings'!D38)</f>
        <v/>
      </c>
      <c r="E516">
        <f>IF(AND('Ratings'!A38&lt;&gt;"",'Ratings'!G5&lt;&gt;""),'Ratings'!G5,"")</f>
        <v/>
      </c>
      <c r="F516">
        <f>IF(OR(A516="",'Ratings'!G38=""),"",'Ratings'!G38)</f>
        <v/>
      </c>
      <c r="G516">
        <f>IF(A516="","",'Employees'!D8)</f>
        <v/>
      </c>
    </row>
    <row r="517">
      <c r="A517">
        <f>IF(AND('Ratings'!A38&lt;&gt;"",'Ratings'!H5&lt;&gt;""),'Ratings'!A38,"")</f>
        <v/>
      </c>
      <c r="B517">
        <f>IF(A517="","",'Employees'!C8)</f>
        <v/>
      </c>
      <c r="C517">
        <f>IF(A517="","",'Ratings'!C38)</f>
        <v/>
      </c>
      <c r="D517">
        <f>IF(A517="","",'Ratings'!D38)</f>
        <v/>
      </c>
      <c r="E517">
        <f>IF(AND('Ratings'!A38&lt;&gt;"",'Ratings'!H5&lt;&gt;""),'Ratings'!H5,"")</f>
        <v/>
      </c>
      <c r="F517">
        <f>IF(OR(A517="",'Ratings'!H38=""),"",'Ratings'!H38)</f>
        <v/>
      </c>
      <c r="G517">
        <f>IF(A517="","",'Employees'!D8)</f>
        <v/>
      </c>
    </row>
    <row r="518">
      <c r="A518">
        <f>IF(AND('Ratings'!A38&lt;&gt;"",'Ratings'!I5&lt;&gt;""),'Ratings'!A38,"")</f>
        <v/>
      </c>
      <c r="B518">
        <f>IF(A518="","",'Employees'!C8)</f>
        <v/>
      </c>
      <c r="C518">
        <f>IF(A518="","",'Ratings'!C38)</f>
        <v/>
      </c>
      <c r="D518">
        <f>IF(A518="","",'Ratings'!D38)</f>
        <v/>
      </c>
      <c r="E518">
        <f>IF(AND('Ratings'!A38&lt;&gt;"",'Ratings'!I5&lt;&gt;""),'Ratings'!I5,"")</f>
        <v/>
      </c>
      <c r="F518">
        <f>IF(OR(A518="",'Ratings'!I38=""),"",'Ratings'!I38)</f>
        <v/>
      </c>
      <c r="G518">
        <f>IF(A518="","",'Employees'!D8)</f>
        <v/>
      </c>
    </row>
    <row r="519">
      <c r="A519">
        <f>IF(AND('Ratings'!A38&lt;&gt;"",'Ratings'!J5&lt;&gt;""),'Ratings'!A38,"")</f>
        <v/>
      </c>
      <c r="B519">
        <f>IF(A519="","",'Employees'!C8)</f>
        <v/>
      </c>
      <c r="C519">
        <f>IF(A519="","",'Ratings'!C38)</f>
        <v/>
      </c>
      <c r="D519">
        <f>IF(A519="","",'Ratings'!D38)</f>
        <v/>
      </c>
      <c r="E519">
        <f>IF(AND('Ratings'!A38&lt;&gt;"",'Ratings'!J5&lt;&gt;""),'Ratings'!J5,"")</f>
        <v/>
      </c>
      <c r="F519">
        <f>IF(OR(A519="",'Ratings'!J38=""),"",'Ratings'!J38)</f>
        <v/>
      </c>
      <c r="G519">
        <f>IF(A519="","",'Employees'!D8)</f>
        <v/>
      </c>
    </row>
    <row r="520">
      <c r="A520">
        <f>IF(AND('Ratings'!A38&lt;&gt;"",'Ratings'!K5&lt;&gt;""),'Ratings'!A38,"")</f>
        <v/>
      </c>
      <c r="B520">
        <f>IF(A520="","",'Employees'!C8)</f>
        <v/>
      </c>
      <c r="C520">
        <f>IF(A520="","",'Ratings'!C38)</f>
        <v/>
      </c>
      <c r="D520">
        <f>IF(A520="","",'Ratings'!D38)</f>
        <v/>
      </c>
      <c r="E520">
        <f>IF(AND('Ratings'!A38&lt;&gt;"",'Ratings'!K5&lt;&gt;""),'Ratings'!K5,"")</f>
        <v/>
      </c>
      <c r="F520">
        <f>IF(OR(A520="",'Ratings'!K38=""),"",'Ratings'!K38)</f>
        <v/>
      </c>
      <c r="G520">
        <f>IF(A520="","",'Employees'!D8)</f>
        <v/>
      </c>
    </row>
    <row r="521">
      <c r="A521">
        <f>IF(AND('Ratings'!A38&lt;&gt;"",'Ratings'!L5&lt;&gt;""),'Ratings'!A38,"")</f>
        <v/>
      </c>
      <c r="B521">
        <f>IF(A521="","",'Employees'!C8)</f>
        <v/>
      </c>
      <c r="C521">
        <f>IF(A521="","",'Ratings'!C38)</f>
        <v/>
      </c>
      <c r="D521">
        <f>IF(A521="","",'Ratings'!D38)</f>
        <v/>
      </c>
      <c r="E521">
        <f>IF(AND('Ratings'!A38&lt;&gt;"",'Ratings'!L5&lt;&gt;""),'Ratings'!L5,"")</f>
        <v/>
      </c>
      <c r="F521">
        <f>IF(OR(A521="",'Ratings'!L38=""),"",'Ratings'!L38)</f>
        <v/>
      </c>
      <c r="G521">
        <f>IF(A521="","",'Employees'!D8)</f>
        <v/>
      </c>
    </row>
    <row r="522">
      <c r="A522">
        <f>IF(AND('Ratings'!A38&lt;&gt;"",'Ratings'!M5&lt;&gt;""),'Ratings'!A38,"")</f>
        <v/>
      </c>
      <c r="B522">
        <f>IF(A522="","",'Employees'!C8)</f>
        <v/>
      </c>
      <c r="C522">
        <f>IF(A522="","",'Ratings'!C38)</f>
        <v/>
      </c>
      <c r="D522">
        <f>IF(A522="","",'Ratings'!D38)</f>
        <v/>
      </c>
      <c r="E522">
        <f>IF(AND('Ratings'!A38&lt;&gt;"",'Ratings'!M5&lt;&gt;""),'Ratings'!M5,"")</f>
        <v/>
      </c>
      <c r="F522">
        <f>IF(OR(A522="",'Ratings'!M38=""),"",'Ratings'!M38)</f>
        <v/>
      </c>
      <c r="G522">
        <f>IF(A522="","",'Employees'!D8)</f>
        <v/>
      </c>
    </row>
    <row r="523">
      <c r="A523">
        <f>IF(AND('Ratings'!A38&lt;&gt;"",'Ratings'!N5&lt;&gt;""),'Ratings'!A38,"")</f>
        <v/>
      </c>
      <c r="B523">
        <f>IF(A523="","",'Employees'!C8)</f>
        <v/>
      </c>
      <c r="C523">
        <f>IF(A523="","",'Ratings'!C38)</f>
        <v/>
      </c>
      <c r="D523">
        <f>IF(A523="","",'Ratings'!D38)</f>
        <v/>
      </c>
      <c r="E523">
        <f>IF(AND('Ratings'!A38&lt;&gt;"",'Ratings'!N5&lt;&gt;""),'Ratings'!N5,"")</f>
        <v/>
      </c>
      <c r="F523">
        <f>IF(OR(A523="",'Ratings'!N38=""),"",'Ratings'!N38)</f>
        <v/>
      </c>
      <c r="G523">
        <f>IF(A523="","",'Employees'!D8)</f>
        <v/>
      </c>
    </row>
    <row r="524">
      <c r="A524">
        <f>IF(AND('Ratings'!A38&lt;&gt;"",'Ratings'!O5&lt;&gt;""),'Ratings'!A38,"")</f>
        <v/>
      </c>
      <c r="B524">
        <f>IF(A524="","",'Employees'!C8)</f>
        <v/>
      </c>
      <c r="C524">
        <f>IF(A524="","",'Ratings'!C38)</f>
        <v/>
      </c>
      <c r="D524">
        <f>IF(A524="","",'Ratings'!D38)</f>
        <v/>
      </c>
      <c r="E524">
        <f>IF(AND('Ratings'!A38&lt;&gt;"",'Ratings'!O5&lt;&gt;""),'Ratings'!O5,"")</f>
        <v/>
      </c>
      <c r="F524">
        <f>IF(OR(A524="",'Ratings'!O38=""),"",'Ratings'!O38)</f>
        <v/>
      </c>
      <c r="G524">
        <f>IF(A524="","",'Employees'!D8)</f>
        <v/>
      </c>
    </row>
    <row r="525">
      <c r="A525">
        <f>IF(AND('Ratings'!A38&lt;&gt;"",'Ratings'!P5&lt;&gt;""),'Ratings'!A38,"")</f>
        <v/>
      </c>
      <c r="B525">
        <f>IF(A525="","",'Employees'!C8)</f>
        <v/>
      </c>
      <c r="C525">
        <f>IF(A525="","",'Ratings'!C38)</f>
        <v/>
      </c>
      <c r="D525">
        <f>IF(A525="","",'Ratings'!D38)</f>
        <v/>
      </c>
      <c r="E525">
        <f>IF(AND('Ratings'!A38&lt;&gt;"",'Ratings'!P5&lt;&gt;""),'Ratings'!P5,"")</f>
        <v/>
      </c>
      <c r="F525">
        <f>IF(OR(A525="",'Ratings'!P38=""),"",'Ratings'!P38)</f>
        <v/>
      </c>
      <c r="G525">
        <f>IF(A525="","",'Employees'!D8)</f>
        <v/>
      </c>
    </row>
    <row r="526">
      <c r="A526">
        <f>IF(AND('Ratings'!A38&lt;&gt;"",'Ratings'!Q5&lt;&gt;""),'Ratings'!A38,"")</f>
        <v/>
      </c>
      <c r="B526">
        <f>IF(A526="","",'Employees'!C8)</f>
        <v/>
      </c>
      <c r="C526">
        <f>IF(A526="","",'Ratings'!C38)</f>
        <v/>
      </c>
      <c r="D526">
        <f>IF(A526="","",'Ratings'!D38)</f>
        <v/>
      </c>
      <c r="E526">
        <f>IF(AND('Ratings'!A38&lt;&gt;"",'Ratings'!Q5&lt;&gt;""),'Ratings'!Q5,"")</f>
        <v/>
      </c>
      <c r="F526">
        <f>IF(OR(A526="",'Ratings'!Q38=""),"",'Ratings'!Q38)</f>
        <v/>
      </c>
      <c r="G526">
        <f>IF(A526="","",'Employees'!D8)</f>
        <v/>
      </c>
    </row>
    <row r="527">
      <c r="A527">
        <f>IF(AND('Ratings'!A38&lt;&gt;"",'Ratings'!R5&lt;&gt;""),'Ratings'!A38,"")</f>
        <v/>
      </c>
      <c r="B527">
        <f>IF(A527="","",'Employees'!C8)</f>
        <v/>
      </c>
      <c r="C527">
        <f>IF(A527="","",'Ratings'!C38)</f>
        <v/>
      </c>
      <c r="D527">
        <f>IF(A527="","",'Ratings'!D38)</f>
        <v/>
      </c>
      <c r="E527">
        <f>IF(AND('Ratings'!A38&lt;&gt;"",'Ratings'!R5&lt;&gt;""),'Ratings'!R5,"")</f>
        <v/>
      </c>
      <c r="F527">
        <f>IF(OR(A527="",'Ratings'!R38=""),"",'Ratings'!R38)</f>
        <v/>
      </c>
      <c r="G527">
        <f>IF(A527="","",'Employees'!D8)</f>
        <v/>
      </c>
    </row>
    <row r="528">
      <c r="A528">
        <f>IF(AND('Ratings'!A38&lt;&gt;"",'Ratings'!S5&lt;&gt;""),'Ratings'!A38,"")</f>
        <v/>
      </c>
      <c r="B528">
        <f>IF(A528="","",'Employees'!C8)</f>
        <v/>
      </c>
      <c r="C528">
        <f>IF(A528="","",'Ratings'!C38)</f>
        <v/>
      </c>
      <c r="D528">
        <f>IF(A528="","",'Ratings'!D38)</f>
        <v/>
      </c>
      <c r="E528">
        <f>IF(AND('Ratings'!A38&lt;&gt;"",'Ratings'!S5&lt;&gt;""),'Ratings'!S5,"")</f>
        <v/>
      </c>
      <c r="F528">
        <f>IF(OR(A528="",'Ratings'!S38=""),"",'Ratings'!S38)</f>
        <v/>
      </c>
      <c r="G528">
        <f>IF(A528="","",'Employees'!D8)</f>
        <v/>
      </c>
    </row>
    <row r="529">
      <c r="A529">
        <f>IF(AND('Ratings'!A38&lt;&gt;"",'Ratings'!T5&lt;&gt;""),'Ratings'!A38,"")</f>
        <v/>
      </c>
      <c r="B529">
        <f>IF(A529="","",'Employees'!C8)</f>
        <v/>
      </c>
      <c r="C529">
        <f>IF(A529="","",'Ratings'!C38)</f>
        <v/>
      </c>
      <c r="D529">
        <f>IF(A529="","",'Ratings'!D38)</f>
        <v/>
      </c>
      <c r="E529">
        <f>IF(AND('Ratings'!A38&lt;&gt;"",'Ratings'!T5&lt;&gt;""),'Ratings'!T5,"")</f>
        <v/>
      </c>
      <c r="F529">
        <f>IF(OR(A529="",'Ratings'!T38=""),"",'Ratings'!T38)</f>
        <v/>
      </c>
      <c r="G529">
        <f>IF(A529="","",'Employees'!D8)</f>
        <v/>
      </c>
    </row>
    <row r="530">
      <c r="A530">
        <f>IF(AND('Ratings'!A39&lt;&gt;"",'Ratings'!E5&lt;&gt;""),'Ratings'!A39,"")</f>
        <v/>
      </c>
      <c r="B530">
        <f>IF(A530="","",'Employees'!C8)</f>
        <v/>
      </c>
      <c r="C530">
        <f>IF(A530="","",'Ratings'!C39)</f>
        <v/>
      </c>
      <c r="D530">
        <f>IF(A530="","",'Ratings'!D39)</f>
        <v/>
      </c>
      <c r="E530">
        <f>IF(AND('Ratings'!A39&lt;&gt;"",'Ratings'!E5&lt;&gt;""),'Ratings'!E5,"")</f>
        <v/>
      </c>
      <c r="F530">
        <f>IF(OR(A530="",'Ratings'!E39=""),"",'Ratings'!E39)</f>
        <v/>
      </c>
      <c r="G530">
        <f>IF(A530="","",'Employees'!D8)</f>
        <v/>
      </c>
    </row>
    <row r="531">
      <c r="A531">
        <f>IF(AND('Ratings'!A39&lt;&gt;"",'Ratings'!F5&lt;&gt;""),'Ratings'!A39,"")</f>
        <v/>
      </c>
      <c r="B531">
        <f>IF(A531="","",'Employees'!C8)</f>
        <v/>
      </c>
      <c r="C531">
        <f>IF(A531="","",'Ratings'!C39)</f>
        <v/>
      </c>
      <c r="D531">
        <f>IF(A531="","",'Ratings'!D39)</f>
        <v/>
      </c>
      <c r="E531">
        <f>IF(AND('Ratings'!A39&lt;&gt;"",'Ratings'!F5&lt;&gt;""),'Ratings'!F5,"")</f>
        <v/>
      </c>
      <c r="F531">
        <f>IF(OR(A531="",'Ratings'!F39=""),"",'Ratings'!F39)</f>
        <v/>
      </c>
      <c r="G531">
        <f>IF(A531="","",'Employees'!D8)</f>
        <v/>
      </c>
    </row>
    <row r="532">
      <c r="A532">
        <f>IF(AND('Ratings'!A39&lt;&gt;"",'Ratings'!G5&lt;&gt;""),'Ratings'!A39,"")</f>
        <v/>
      </c>
      <c r="B532">
        <f>IF(A532="","",'Employees'!C8)</f>
        <v/>
      </c>
      <c r="C532">
        <f>IF(A532="","",'Ratings'!C39)</f>
        <v/>
      </c>
      <c r="D532">
        <f>IF(A532="","",'Ratings'!D39)</f>
        <v/>
      </c>
      <c r="E532">
        <f>IF(AND('Ratings'!A39&lt;&gt;"",'Ratings'!G5&lt;&gt;""),'Ratings'!G5,"")</f>
        <v/>
      </c>
      <c r="F532">
        <f>IF(OR(A532="",'Ratings'!G39=""),"",'Ratings'!G39)</f>
        <v/>
      </c>
      <c r="G532">
        <f>IF(A532="","",'Employees'!D8)</f>
        <v/>
      </c>
    </row>
    <row r="533">
      <c r="A533">
        <f>IF(AND('Ratings'!A39&lt;&gt;"",'Ratings'!H5&lt;&gt;""),'Ratings'!A39,"")</f>
        <v/>
      </c>
      <c r="B533">
        <f>IF(A533="","",'Employees'!C8)</f>
        <v/>
      </c>
      <c r="C533">
        <f>IF(A533="","",'Ratings'!C39)</f>
        <v/>
      </c>
      <c r="D533">
        <f>IF(A533="","",'Ratings'!D39)</f>
        <v/>
      </c>
      <c r="E533">
        <f>IF(AND('Ratings'!A39&lt;&gt;"",'Ratings'!H5&lt;&gt;""),'Ratings'!H5,"")</f>
        <v/>
      </c>
      <c r="F533">
        <f>IF(OR(A533="",'Ratings'!H39=""),"",'Ratings'!H39)</f>
        <v/>
      </c>
      <c r="G533">
        <f>IF(A533="","",'Employees'!D8)</f>
        <v/>
      </c>
    </row>
    <row r="534">
      <c r="A534">
        <f>IF(AND('Ratings'!A39&lt;&gt;"",'Ratings'!I5&lt;&gt;""),'Ratings'!A39,"")</f>
        <v/>
      </c>
      <c r="B534">
        <f>IF(A534="","",'Employees'!C8)</f>
        <v/>
      </c>
      <c r="C534">
        <f>IF(A534="","",'Ratings'!C39)</f>
        <v/>
      </c>
      <c r="D534">
        <f>IF(A534="","",'Ratings'!D39)</f>
        <v/>
      </c>
      <c r="E534">
        <f>IF(AND('Ratings'!A39&lt;&gt;"",'Ratings'!I5&lt;&gt;""),'Ratings'!I5,"")</f>
        <v/>
      </c>
      <c r="F534">
        <f>IF(OR(A534="",'Ratings'!I39=""),"",'Ratings'!I39)</f>
        <v/>
      </c>
      <c r="G534">
        <f>IF(A534="","",'Employees'!D8)</f>
        <v/>
      </c>
    </row>
    <row r="535">
      <c r="A535">
        <f>IF(AND('Ratings'!A39&lt;&gt;"",'Ratings'!J5&lt;&gt;""),'Ratings'!A39,"")</f>
        <v/>
      </c>
      <c r="B535">
        <f>IF(A535="","",'Employees'!C8)</f>
        <v/>
      </c>
      <c r="C535">
        <f>IF(A535="","",'Ratings'!C39)</f>
        <v/>
      </c>
      <c r="D535">
        <f>IF(A535="","",'Ratings'!D39)</f>
        <v/>
      </c>
      <c r="E535">
        <f>IF(AND('Ratings'!A39&lt;&gt;"",'Ratings'!J5&lt;&gt;""),'Ratings'!J5,"")</f>
        <v/>
      </c>
      <c r="F535">
        <f>IF(OR(A535="",'Ratings'!J39=""),"",'Ratings'!J39)</f>
        <v/>
      </c>
      <c r="G535">
        <f>IF(A535="","",'Employees'!D8)</f>
        <v/>
      </c>
    </row>
    <row r="536">
      <c r="A536">
        <f>IF(AND('Ratings'!A39&lt;&gt;"",'Ratings'!K5&lt;&gt;""),'Ratings'!A39,"")</f>
        <v/>
      </c>
      <c r="B536">
        <f>IF(A536="","",'Employees'!C8)</f>
        <v/>
      </c>
      <c r="C536">
        <f>IF(A536="","",'Ratings'!C39)</f>
        <v/>
      </c>
      <c r="D536">
        <f>IF(A536="","",'Ratings'!D39)</f>
        <v/>
      </c>
      <c r="E536">
        <f>IF(AND('Ratings'!A39&lt;&gt;"",'Ratings'!K5&lt;&gt;""),'Ratings'!K5,"")</f>
        <v/>
      </c>
      <c r="F536">
        <f>IF(OR(A536="",'Ratings'!K39=""),"",'Ratings'!K39)</f>
        <v/>
      </c>
      <c r="G536">
        <f>IF(A536="","",'Employees'!D8)</f>
        <v/>
      </c>
    </row>
    <row r="537">
      <c r="A537">
        <f>IF(AND('Ratings'!A39&lt;&gt;"",'Ratings'!L5&lt;&gt;""),'Ratings'!A39,"")</f>
        <v/>
      </c>
      <c r="B537">
        <f>IF(A537="","",'Employees'!C8)</f>
        <v/>
      </c>
      <c r="C537">
        <f>IF(A537="","",'Ratings'!C39)</f>
        <v/>
      </c>
      <c r="D537">
        <f>IF(A537="","",'Ratings'!D39)</f>
        <v/>
      </c>
      <c r="E537">
        <f>IF(AND('Ratings'!A39&lt;&gt;"",'Ratings'!L5&lt;&gt;""),'Ratings'!L5,"")</f>
        <v/>
      </c>
      <c r="F537">
        <f>IF(OR(A537="",'Ratings'!L39=""),"",'Ratings'!L39)</f>
        <v/>
      </c>
      <c r="G537">
        <f>IF(A537="","",'Employees'!D8)</f>
        <v/>
      </c>
    </row>
    <row r="538">
      <c r="A538">
        <f>IF(AND('Ratings'!A39&lt;&gt;"",'Ratings'!M5&lt;&gt;""),'Ratings'!A39,"")</f>
        <v/>
      </c>
      <c r="B538">
        <f>IF(A538="","",'Employees'!C8)</f>
        <v/>
      </c>
      <c r="C538">
        <f>IF(A538="","",'Ratings'!C39)</f>
        <v/>
      </c>
      <c r="D538">
        <f>IF(A538="","",'Ratings'!D39)</f>
        <v/>
      </c>
      <c r="E538">
        <f>IF(AND('Ratings'!A39&lt;&gt;"",'Ratings'!M5&lt;&gt;""),'Ratings'!M5,"")</f>
        <v/>
      </c>
      <c r="F538">
        <f>IF(OR(A538="",'Ratings'!M39=""),"",'Ratings'!M39)</f>
        <v/>
      </c>
      <c r="G538">
        <f>IF(A538="","",'Employees'!D8)</f>
        <v/>
      </c>
    </row>
    <row r="539">
      <c r="A539">
        <f>IF(AND('Ratings'!A39&lt;&gt;"",'Ratings'!N5&lt;&gt;""),'Ratings'!A39,"")</f>
        <v/>
      </c>
      <c r="B539">
        <f>IF(A539="","",'Employees'!C8)</f>
        <v/>
      </c>
      <c r="C539">
        <f>IF(A539="","",'Ratings'!C39)</f>
        <v/>
      </c>
      <c r="D539">
        <f>IF(A539="","",'Ratings'!D39)</f>
        <v/>
      </c>
      <c r="E539">
        <f>IF(AND('Ratings'!A39&lt;&gt;"",'Ratings'!N5&lt;&gt;""),'Ratings'!N5,"")</f>
        <v/>
      </c>
      <c r="F539">
        <f>IF(OR(A539="",'Ratings'!N39=""),"",'Ratings'!N39)</f>
        <v/>
      </c>
      <c r="G539">
        <f>IF(A539="","",'Employees'!D8)</f>
        <v/>
      </c>
    </row>
    <row r="540">
      <c r="A540">
        <f>IF(AND('Ratings'!A39&lt;&gt;"",'Ratings'!O5&lt;&gt;""),'Ratings'!A39,"")</f>
        <v/>
      </c>
      <c r="B540">
        <f>IF(A540="","",'Employees'!C8)</f>
        <v/>
      </c>
      <c r="C540">
        <f>IF(A540="","",'Ratings'!C39)</f>
        <v/>
      </c>
      <c r="D540">
        <f>IF(A540="","",'Ratings'!D39)</f>
        <v/>
      </c>
      <c r="E540">
        <f>IF(AND('Ratings'!A39&lt;&gt;"",'Ratings'!O5&lt;&gt;""),'Ratings'!O5,"")</f>
        <v/>
      </c>
      <c r="F540">
        <f>IF(OR(A540="",'Ratings'!O39=""),"",'Ratings'!O39)</f>
        <v/>
      </c>
      <c r="G540">
        <f>IF(A540="","",'Employees'!D8)</f>
        <v/>
      </c>
    </row>
    <row r="541">
      <c r="A541">
        <f>IF(AND('Ratings'!A39&lt;&gt;"",'Ratings'!P5&lt;&gt;""),'Ratings'!A39,"")</f>
        <v/>
      </c>
      <c r="B541">
        <f>IF(A541="","",'Employees'!C8)</f>
        <v/>
      </c>
      <c r="C541">
        <f>IF(A541="","",'Ratings'!C39)</f>
        <v/>
      </c>
      <c r="D541">
        <f>IF(A541="","",'Ratings'!D39)</f>
        <v/>
      </c>
      <c r="E541">
        <f>IF(AND('Ratings'!A39&lt;&gt;"",'Ratings'!P5&lt;&gt;""),'Ratings'!P5,"")</f>
        <v/>
      </c>
      <c r="F541">
        <f>IF(OR(A541="",'Ratings'!P39=""),"",'Ratings'!P39)</f>
        <v/>
      </c>
      <c r="G541">
        <f>IF(A541="","",'Employees'!D8)</f>
        <v/>
      </c>
    </row>
    <row r="542">
      <c r="A542">
        <f>IF(AND('Ratings'!A39&lt;&gt;"",'Ratings'!Q5&lt;&gt;""),'Ratings'!A39,"")</f>
        <v/>
      </c>
      <c r="B542">
        <f>IF(A542="","",'Employees'!C8)</f>
        <v/>
      </c>
      <c r="C542">
        <f>IF(A542="","",'Ratings'!C39)</f>
        <v/>
      </c>
      <c r="D542">
        <f>IF(A542="","",'Ratings'!D39)</f>
        <v/>
      </c>
      <c r="E542">
        <f>IF(AND('Ratings'!A39&lt;&gt;"",'Ratings'!Q5&lt;&gt;""),'Ratings'!Q5,"")</f>
        <v/>
      </c>
      <c r="F542">
        <f>IF(OR(A542="",'Ratings'!Q39=""),"",'Ratings'!Q39)</f>
        <v/>
      </c>
      <c r="G542">
        <f>IF(A542="","",'Employees'!D8)</f>
        <v/>
      </c>
    </row>
    <row r="543">
      <c r="A543">
        <f>IF(AND('Ratings'!A39&lt;&gt;"",'Ratings'!R5&lt;&gt;""),'Ratings'!A39,"")</f>
        <v/>
      </c>
      <c r="B543">
        <f>IF(A543="","",'Employees'!C8)</f>
        <v/>
      </c>
      <c r="C543">
        <f>IF(A543="","",'Ratings'!C39)</f>
        <v/>
      </c>
      <c r="D543">
        <f>IF(A543="","",'Ratings'!D39)</f>
        <v/>
      </c>
      <c r="E543">
        <f>IF(AND('Ratings'!A39&lt;&gt;"",'Ratings'!R5&lt;&gt;""),'Ratings'!R5,"")</f>
        <v/>
      </c>
      <c r="F543">
        <f>IF(OR(A543="",'Ratings'!R39=""),"",'Ratings'!R39)</f>
        <v/>
      </c>
      <c r="G543">
        <f>IF(A543="","",'Employees'!D8)</f>
        <v/>
      </c>
    </row>
    <row r="544">
      <c r="A544">
        <f>IF(AND('Ratings'!A39&lt;&gt;"",'Ratings'!S5&lt;&gt;""),'Ratings'!A39,"")</f>
        <v/>
      </c>
      <c r="B544">
        <f>IF(A544="","",'Employees'!C8)</f>
        <v/>
      </c>
      <c r="C544">
        <f>IF(A544="","",'Ratings'!C39)</f>
        <v/>
      </c>
      <c r="D544">
        <f>IF(A544="","",'Ratings'!D39)</f>
        <v/>
      </c>
      <c r="E544">
        <f>IF(AND('Ratings'!A39&lt;&gt;"",'Ratings'!S5&lt;&gt;""),'Ratings'!S5,"")</f>
        <v/>
      </c>
      <c r="F544">
        <f>IF(OR(A544="",'Ratings'!S39=""),"",'Ratings'!S39)</f>
        <v/>
      </c>
      <c r="G544">
        <f>IF(A544="","",'Employees'!D8)</f>
        <v/>
      </c>
    </row>
    <row r="545">
      <c r="A545">
        <f>IF(AND('Ratings'!A39&lt;&gt;"",'Ratings'!T5&lt;&gt;""),'Ratings'!A39,"")</f>
        <v/>
      </c>
      <c r="B545">
        <f>IF(A545="","",'Employees'!C8)</f>
        <v/>
      </c>
      <c r="C545">
        <f>IF(A545="","",'Ratings'!C39)</f>
        <v/>
      </c>
      <c r="D545">
        <f>IF(A545="","",'Ratings'!D39)</f>
        <v/>
      </c>
      <c r="E545">
        <f>IF(AND('Ratings'!A39&lt;&gt;"",'Ratings'!T5&lt;&gt;""),'Ratings'!T5,"")</f>
        <v/>
      </c>
      <c r="F545">
        <f>IF(OR(A545="",'Ratings'!T39=""),"",'Ratings'!T39)</f>
        <v/>
      </c>
      <c r="G545">
        <f>IF(A545="","",'Employees'!D8)</f>
        <v/>
      </c>
    </row>
    <row r="546">
      <c r="A546">
        <f>IF(AND('Ratings'!A40&lt;&gt;"",'Ratings'!E5&lt;&gt;""),'Ratings'!A40,"")</f>
        <v/>
      </c>
      <c r="B546">
        <f>IF(A546="","",'Employees'!C8)</f>
        <v/>
      </c>
      <c r="C546">
        <f>IF(A546="","",'Ratings'!C40)</f>
        <v/>
      </c>
      <c r="D546">
        <f>IF(A546="","",'Ratings'!D40)</f>
        <v/>
      </c>
      <c r="E546">
        <f>IF(AND('Ratings'!A40&lt;&gt;"",'Ratings'!E5&lt;&gt;""),'Ratings'!E5,"")</f>
        <v/>
      </c>
      <c r="F546">
        <f>IF(OR(A546="",'Ratings'!E40=""),"",'Ratings'!E40)</f>
        <v/>
      </c>
      <c r="G546">
        <f>IF(A546="","",'Employees'!D8)</f>
        <v/>
      </c>
    </row>
    <row r="547">
      <c r="A547">
        <f>IF(AND('Ratings'!A40&lt;&gt;"",'Ratings'!F5&lt;&gt;""),'Ratings'!A40,"")</f>
        <v/>
      </c>
      <c r="B547">
        <f>IF(A547="","",'Employees'!C8)</f>
        <v/>
      </c>
      <c r="C547">
        <f>IF(A547="","",'Ratings'!C40)</f>
        <v/>
      </c>
      <c r="D547">
        <f>IF(A547="","",'Ratings'!D40)</f>
        <v/>
      </c>
      <c r="E547">
        <f>IF(AND('Ratings'!A40&lt;&gt;"",'Ratings'!F5&lt;&gt;""),'Ratings'!F5,"")</f>
        <v/>
      </c>
      <c r="F547">
        <f>IF(OR(A547="",'Ratings'!F40=""),"",'Ratings'!F40)</f>
        <v/>
      </c>
      <c r="G547">
        <f>IF(A547="","",'Employees'!D8)</f>
        <v/>
      </c>
    </row>
    <row r="548">
      <c r="A548">
        <f>IF(AND('Ratings'!A40&lt;&gt;"",'Ratings'!G5&lt;&gt;""),'Ratings'!A40,"")</f>
        <v/>
      </c>
      <c r="B548">
        <f>IF(A548="","",'Employees'!C8)</f>
        <v/>
      </c>
      <c r="C548">
        <f>IF(A548="","",'Ratings'!C40)</f>
        <v/>
      </c>
      <c r="D548">
        <f>IF(A548="","",'Ratings'!D40)</f>
        <v/>
      </c>
      <c r="E548">
        <f>IF(AND('Ratings'!A40&lt;&gt;"",'Ratings'!G5&lt;&gt;""),'Ratings'!G5,"")</f>
        <v/>
      </c>
      <c r="F548">
        <f>IF(OR(A548="",'Ratings'!G40=""),"",'Ratings'!G40)</f>
        <v/>
      </c>
      <c r="G548">
        <f>IF(A548="","",'Employees'!D8)</f>
        <v/>
      </c>
    </row>
    <row r="549">
      <c r="A549">
        <f>IF(AND('Ratings'!A40&lt;&gt;"",'Ratings'!H5&lt;&gt;""),'Ratings'!A40,"")</f>
        <v/>
      </c>
      <c r="B549">
        <f>IF(A549="","",'Employees'!C8)</f>
        <v/>
      </c>
      <c r="C549">
        <f>IF(A549="","",'Ratings'!C40)</f>
        <v/>
      </c>
      <c r="D549">
        <f>IF(A549="","",'Ratings'!D40)</f>
        <v/>
      </c>
      <c r="E549">
        <f>IF(AND('Ratings'!A40&lt;&gt;"",'Ratings'!H5&lt;&gt;""),'Ratings'!H5,"")</f>
        <v/>
      </c>
      <c r="F549">
        <f>IF(OR(A549="",'Ratings'!H40=""),"",'Ratings'!H40)</f>
        <v/>
      </c>
      <c r="G549">
        <f>IF(A549="","",'Employees'!D8)</f>
        <v/>
      </c>
    </row>
    <row r="550">
      <c r="A550">
        <f>IF(AND('Ratings'!A40&lt;&gt;"",'Ratings'!I5&lt;&gt;""),'Ratings'!A40,"")</f>
        <v/>
      </c>
      <c r="B550">
        <f>IF(A550="","",'Employees'!C8)</f>
        <v/>
      </c>
      <c r="C550">
        <f>IF(A550="","",'Ratings'!C40)</f>
        <v/>
      </c>
      <c r="D550">
        <f>IF(A550="","",'Ratings'!D40)</f>
        <v/>
      </c>
      <c r="E550">
        <f>IF(AND('Ratings'!A40&lt;&gt;"",'Ratings'!I5&lt;&gt;""),'Ratings'!I5,"")</f>
        <v/>
      </c>
      <c r="F550">
        <f>IF(OR(A550="",'Ratings'!I40=""),"",'Ratings'!I40)</f>
        <v/>
      </c>
      <c r="G550">
        <f>IF(A550="","",'Employees'!D8)</f>
        <v/>
      </c>
    </row>
    <row r="551">
      <c r="A551">
        <f>IF(AND('Ratings'!A40&lt;&gt;"",'Ratings'!J5&lt;&gt;""),'Ratings'!A40,"")</f>
        <v/>
      </c>
      <c r="B551">
        <f>IF(A551="","",'Employees'!C8)</f>
        <v/>
      </c>
      <c r="C551">
        <f>IF(A551="","",'Ratings'!C40)</f>
        <v/>
      </c>
      <c r="D551">
        <f>IF(A551="","",'Ratings'!D40)</f>
        <v/>
      </c>
      <c r="E551">
        <f>IF(AND('Ratings'!A40&lt;&gt;"",'Ratings'!J5&lt;&gt;""),'Ratings'!J5,"")</f>
        <v/>
      </c>
      <c r="F551">
        <f>IF(OR(A551="",'Ratings'!J40=""),"",'Ratings'!J40)</f>
        <v/>
      </c>
      <c r="G551">
        <f>IF(A551="","",'Employees'!D8)</f>
        <v/>
      </c>
    </row>
    <row r="552">
      <c r="A552">
        <f>IF(AND('Ratings'!A40&lt;&gt;"",'Ratings'!K5&lt;&gt;""),'Ratings'!A40,"")</f>
        <v/>
      </c>
      <c r="B552">
        <f>IF(A552="","",'Employees'!C8)</f>
        <v/>
      </c>
      <c r="C552">
        <f>IF(A552="","",'Ratings'!C40)</f>
        <v/>
      </c>
      <c r="D552">
        <f>IF(A552="","",'Ratings'!D40)</f>
        <v/>
      </c>
      <c r="E552">
        <f>IF(AND('Ratings'!A40&lt;&gt;"",'Ratings'!K5&lt;&gt;""),'Ratings'!K5,"")</f>
        <v/>
      </c>
      <c r="F552">
        <f>IF(OR(A552="",'Ratings'!K40=""),"",'Ratings'!K40)</f>
        <v/>
      </c>
      <c r="G552">
        <f>IF(A552="","",'Employees'!D8)</f>
        <v/>
      </c>
    </row>
    <row r="553">
      <c r="A553">
        <f>IF(AND('Ratings'!A40&lt;&gt;"",'Ratings'!L5&lt;&gt;""),'Ratings'!A40,"")</f>
        <v/>
      </c>
      <c r="B553">
        <f>IF(A553="","",'Employees'!C8)</f>
        <v/>
      </c>
      <c r="C553">
        <f>IF(A553="","",'Ratings'!C40)</f>
        <v/>
      </c>
      <c r="D553">
        <f>IF(A553="","",'Ratings'!D40)</f>
        <v/>
      </c>
      <c r="E553">
        <f>IF(AND('Ratings'!A40&lt;&gt;"",'Ratings'!L5&lt;&gt;""),'Ratings'!L5,"")</f>
        <v/>
      </c>
      <c r="F553">
        <f>IF(OR(A553="",'Ratings'!L40=""),"",'Ratings'!L40)</f>
        <v/>
      </c>
      <c r="G553">
        <f>IF(A553="","",'Employees'!D8)</f>
        <v/>
      </c>
    </row>
    <row r="554">
      <c r="A554">
        <f>IF(AND('Ratings'!A40&lt;&gt;"",'Ratings'!M5&lt;&gt;""),'Ratings'!A40,"")</f>
        <v/>
      </c>
      <c r="B554">
        <f>IF(A554="","",'Employees'!C8)</f>
        <v/>
      </c>
      <c r="C554">
        <f>IF(A554="","",'Ratings'!C40)</f>
        <v/>
      </c>
      <c r="D554">
        <f>IF(A554="","",'Ratings'!D40)</f>
        <v/>
      </c>
      <c r="E554">
        <f>IF(AND('Ratings'!A40&lt;&gt;"",'Ratings'!M5&lt;&gt;""),'Ratings'!M5,"")</f>
        <v/>
      </c>
      <c r="F554">
        <f>IF(OR(A554="",'Ratings'!M40=""),"",'Ratings'!M40)</f>
        <v/>
      </c>
      <c r="G554">
        <f>IF(A554="","",'Employees'!D8)</f>
        <v/>
      </c>
    </row>
    <row r="555">
      <c r="A555">
        <f>IF(AND('Ratings'!A40&lt;&gt;"",'Ratings'!N5&lt;&gt;""),'Ratings'!A40,"")</f>
        <v/>
      </c>
      <c r="B555">
        <f>IF(A555="","",'Employees'!C8)</f>
        <v/>
      </c>
      <c r="C555">
        <f>IF(A555="","",'Ratings'!C40)</f>
        <v/>
      </c>
      <c r="D555">
        <f>IF(A555="","",'Ratings'!D40)</f>
        <v/>
      </c>
      <c r="E555">
        <f>IF(AND('Ratings'!A40&lt;&gt;"",'Ratings'!N5&lt;&gt;""),'Ratings'!N5,"")</f>
        <v/>
      </c>
      <c r="F555">
        <f>IF(OR(A555="",'Ratings'!N40=""),"",'Ratings'!N40)</f>
        <v/>
      </c>
      <c r="G555">
        <f>IF(A555="","",'Employees'!D8)</f>
        <v/>
      </c>
    </row>
    <row r="556">
      <c r="A556">
        <f>IF(AND('Ratings'!A40&lt;&gt;"",'Ratings'!O5&lt;&gt;""),'Ratings'!A40,"")</f>
        <v/>
      </c>
      <c r="B556">
        <f>IF(A556="","",'Employees'!C8)</f>
        <v/>
      </c>
      <c r="C556">
        <f>IF(A556="","",'Ratings'!C40)</f>
        <v/>
      </c>
      <c r="D556">
        <f>IF(A556="","",'Ratings'!D40)</f>
        <v/>
      </c>
      <c r="E556">
        <f>IF(AND('Ratings'!A40&lt;&gt;"",'Ratings'!O5&lt;&gt;""),'Ratings'!O5,"")</f>
        <v/>
      </c>
      <c r="F556">
        <f>IF(OR(A556="",'Ratings'!O40=""),"",'Ratings'!O40)</f>
        <v/>
      </c>
      <c r="G556">
        <f>IF(A556="","",'Employees'!D8)</f>
        <v/>
      </c>
    </row>
    <row r="557">
      <c r="A557">
        <f>IF(AND('Ratings'!A40&lt;&gt;"",'Ratings'!P5&lt;&gt;""),'Ratings'!A40,"")</f>
        <v/>
      </c>
      <c r="B557">
        <f>IF(A557="","",'Employees'!C8)</f>
        <v/>
      </c>
      <c r="C557">
        <f>IF(A557="","",'Ratings'!C40)</f>
        <v/>
      </c>
      <c r="D557">
        <f>IF(A557="","",'Ratings'!D40)</f>
        <v/>
      </c>
      <c r="E557">
        <f>IF(AND('Ratings'!A40&lt;&gt;"",'Ratings'!P5&lt;&gt;""),'Ratings'!P5,"")</f>
        <v/>
      </c>
      <c r="F557">
        <f>IF(OR(A557="",'Ratings'!P40=""),"",'Ratings'!P40)</f>
        <v/>
      </c>
      <c r="G557">
        <f>IF(A557="","",'Employees'!D8)</f>
        <v/>
      </c>
    </row>
    <row r="558">
      <c r="A558">
        <f>IF(AND('Ratings'!A40&lt;&gt;"",'Ratings'!Q5&lt;&gt;""),'Ratings'!A40,"")</f>
        <v/>
      </c>
      <c r="B558">
        <f>IF(A558="","",'Employees'!C8)</f>
        <v/>
      </c>
      <c r="C558">
        <f>IF(A558="","",'Ratings'!C40)</f>
        <v/>
      </c>
      <c r="D558">
        <f>IF(A558="","",'Ratings'!D40)</f>
        <v/>
      </c>
      <c r="E558">
        <f>IF(AND('Ratings'!A40&lt;&gt;"",'Ratings'!Q5&lt;&gt;""),'Ratings'!Q5,"")</f>
        <v/>
      </c>
      <c r="F558">
        <f>IF(OR(A558="",'Ratings'!Q40=""),"",'Ratings'!Q40)</f>
        <v/>
      </c>
      <c r="G558">
        <f>IF(A558="","",'Employees'!D8)</f>
        <v/>
      </c>
    </row>
    <row r="559">
      <c r="A559">
        <f>IF(AND('Ratings'!A40&lt;&gt;"",'Ratings'!R5&lt;&gt;""),'Ratings'!A40,"")</f>
        <v/>
      </c>
      <c r="B559">
        <f>IF(A559="","",'Employees'!C8)</f>
        <v/>
      </c>
      <c r="C559">
        <f>IF(A559="","",'Ratings'!C40)</f>
        <v/>
      </c>
      <c r="D559">
        <f>IF(A559="","",'Ratings'!D40)</f>
        <v/>
      </c>
      <c r="E559">
        <f>IF(AND('Ratings'!A40&lt;&gt;"",'Ratings'!R5&lt;&gt;""),'Ratings'!R5,"")</f>
        <v/>
      </c>
      <c r="F559">
        <f>IF(OR(A559="",'Ratings'!R40=""),"",'Ratings'!R40)</f>
        <v/>
      </c>
      <c r="G559">
        <f>IF(A559="","",'Employees'!D8)</f>
        <v/>
      </c>
    </row>
    <row r="560">
      <c r="A560">
        <f>IF(AND('Ratings'!A40&lt;&gt;"",'Ratings'!S5&lt;&gt;""),'Ratings'!A40,"")</f>
        <v/>
      </c>
      <c r="B560">
        <f>IF(A560="","",'Employees'!C8)</f>
        <v/>
      </c>
      <c r="C560">
        <f>IF(A560="","",'Ratings'!C40)</f>
        <v/>
      </c>
      <c r="D560">
        <f>IF(A560="","",'Ratings'!D40)</f>
        <v/>
      </c>
      <c r="E560">
        <f>IF(AND('Ratings'!A40&lt;&gt;"",'Ratings'!S5&lt;&gt;""),'Ratings'!S5,"")</f>
        <v/>
      </c>
      <c r="F560">
        <f>IF(OR(A560="",'Ratings'!S40=""),"",'Ratings'!S40)</f>
        <v/>
      </c>
      <c r="G560">
        <f>IF(A560="","",'Employees'!D8)</f>
        <v/>
      </c>
    </row>
    <row r="561">
      <c r="A561">
        <f>IF(AND('Ratings'!A40&lt;&gt;"",'Ratings'!T5&lt;&gt;""),'Ratings'!A40,"")</f>
        <v/>
      </c>
      <c r="B561">
        <f>IF(A561="","",'Employees'!C8)</f>
        <v/>
      </c>
      <c r="C561">
        <f>IF(A561="","",'Ratings'!C40)</f>
        <v/>
      </c>
      <c r="D561">
        <f>IF(A561="","",'Ratings'!D40)</f>
        <v/>
      </c>
      <c r="E561">
        <f>IF(AND('Ratings'!A40&lt;&gt;"",'Ratings'!T5&lt;&gt;""),'Ratings'!T5,"")</f>
        <v/>
      </c>
      <c r="F561">
        <f>IF(OR(A561="",'Ratings'!T40=""),"",'Ratings'!T40)</f>
        <v/>
      </c>
      <c r="G561">
        <f>IF(A561="","",'Employees'!D8)</f>
        <v/>
      </c>
    </row>
    <row r="562">
      <c r="A562">
        <f>IF(AND('Ratings'!A41&lt;&gt;"",'Ratings'!E5&lt;&gt;""),'Ratings'!A41,"")</f>
        <v/>
      </c>
      <c r="B562">
        <f>IF(A562="","",'Employees'!C8)</f>
        <v/>
      </c>
      <c r="C562">
        <f>IF(A562="","",'Ratings'!C41)</f>
        <v/>
      </c>
      <c r="D562">
        <f>IF(A562="","",'Ratings'!D41)</f>
        <v/>
      </c>
      <c r="E562">
        <f>IF(AND('Ratings'!A41&lt;&gt;"",'Ratings'!E5&lt;&gt;""),'Ratings'!E5,"")</f>
        <v/>
      </c>
      <c r="F562">
        <f>IF(OR(A562="",'Ratings'!E41=""),"",'Ratings'!E41)</f>
        <v/>
      </c>
      <c r="G562">
        <f>IF(A562="","",'Employees'!D8)</f>
        <v/>
      </c>
    </row>
    <row r="563">
      <c r="A563">
        <f>IF(AND('Ratings'!A41&lt;&gt;"",'Ratings'!F5&lt;&gt;""),'Ratings'!A41,"")</f>
        <v/>
      </c>
      <c r="B563">
        <f>IF(A563="","",'Employees'!C8)</f>
        <v/>
      </c>
      <c r="C563">
        <f>IF(A563="","",'Ratings'!C41)</f>
        <v/>
      </c>
      <c r="D563">
        <f>IF(A563="","",'Ratings'!D41)</f>
        <v/>
      </c>
      <c r="E563">
        <f>IF(AND('Ratings'!A41&lt;&gt;"",'Ratings'!F5&lt;&gt;""),'Ratings'!F5,"")</f>
        <v/>
      </c>
      <c r="F563">
        <f>IF(OR(A563="",'Ratings'!F41=""),"",'Ratings'!F41)</f>
        <v/>
      </c>
      <c r="G563">
        <f>IF(A563="","",'Employees'!D8)</f>
        <v/>
      </c>
    </row>
    <row r="564">
      <c r="A564">
        <f>IF(AND('Ratings'!A41&lt;&gt;"",'Ratings'!G5&lt;&gt;""),'Ratings'!A41,"")</f>
        <v/>
      </c>
      <c r="B564">
        <f>IF(A564="","",'Employees'!C8)</f>
        <v/>
      </c>
      <c r="C564">
        <f>IF(A564="","",'Ratings'!C41)</f>
        <v/>
      </c>
      <c r="D564">
        <f>IF(A564="","",'Ratings'!D41)</f>
        <v/>
      </c>
      <c r="E564">
        <f>IF(AND('Ratings'!A41&lt;&gt;"",'Ratings'!G5&lt;&gt;""),'Ratings'!G5,"")</f>
        <v/>
      </c>
      <c r="F564">
        <f>IF(OR(A564="",'Ratings'!G41=""),"",'Ratings'!G41)</f>
        <v/>
      </c>
      <c r="G564">
        <f>IF(A564="","",'Employees'!D8)</f>
        <v/>
      </c>
    </row>
    <row r="565">
      <c r="A565">
        <f>IF(AND('Ratings'!A41&lt;&gt;"",'Ratings'!H5&lt;&gt;""),'Ratings'!A41,"")</f>
        <v/>
      </c>
      <c r="B565">
        <f>IF(A565="","",'Employees'!C8)</f>
        <v/>
      </c>
      <c r="C565">
        <f>IF(A565="","",'Ratings'!C41)</f>
        <v/>
      </c>
      <c r="D565">
        <f>IF(A565="","",'Ratings'!D41)</f>
        <v/>
      </c>
      <c r="E565">
        <f>IF(AND('Ratings'!A41&lt;&gt;"",'Ratings'!H5&lt;&gt;""),'Ratings'!H5,"")</f>
        <v/>
      </c>
      <c r="F565">
        <f>IF(OR(A565="",'Ratings'!H41=""),"",'Ratings'!H41)</f>
        <v/>
      </c>
      <c r="G565">
        <f>IF(A565="","",'Employees'!D8)</f>
        <v/>
      </c>
    </row>
    <row r="566">
      <c r="A566">
        <f>IF(AND('Ratings'!A41&lt;&gt;"",'Ratings'!I5&lt;&gt;""),'Ratings'!A41,"")</f>
        <v/>
      </c>
      <c r="B566">
        <f>IF(A566="","",'Employees'!C8)</f>
        <v/>
      </c>
      <c r="C566">
        <f>IF(A566="","",'Ratings'!C41)</f>
        <v/>
      </c>
      <c r="D566">
        <f>IF(A566="","",'Ratings'!D41)</f>
        <v/>
      </c>
      <c r="E566">
        <f>IF(AND('Ratings'!A41&lt;&gt;"",'Ratings'!I5&lt;&gt;""),'Ratings'!I5,"")</f>
        <v/>
      </c>
      <c r="F566">
        <f>IF(OR(A566="",'Ratings'!I41=""),"",'Ratings'!I41)</f>
        <v/>
      </c>
      <c r="G566">
        <f>IF(A566="","",'Employees'!D8)</f>
        <v/>
      </c>
    </row>
    <row r="567">
      <c r="A567">
        <f>IF(AND('Ratings'!A41&lt;&gt;"",'Ratings'!J5&lt;&gt;""),'Ratings'!A41,"")</f>
        <v/>
      </c>
      <c r="B567">
        <f>IF(A567="","",'Employees'!C8)</f>
        <v/>
      </c>
      <c r="C567">
        <f>IF(A567="","",'Ratings'!C41)</f>
        <v/>
      </c>
      <c r="D567">
        <f>IF(A567="","",'Ratings'!D41)</f>
        <v/>
      </c>
      <c r="E567">
        <f>IF(AND('Ratings'!A41&lt;&gt;"",'Ratings'!J5&lt;&gt;""),'Ratings'!J5,"")</f>
        <v/>
      </c>
      <c r="F567">
        <f>IF(OR(A567="",'Ratings'!J41=""),"",'Ratings'!J41)</f>
        <v/>
      </c>
      <c r="G567">
        <f>IF(A567="","",'Employees'!D8)</f>
        <v/>
      </c>
    </row>
    <row r="568">
      <c r="A568">
        <f>IF(AND('Ratings'!A41&lt;&gt;"",'Ratings'!K5&lt;&gt;""),'Ratings'!A41,"")</f>
        <v/>
      </c>
      <c r="B568">
        <f>IF(A568="","",'Employees'!C8)</f>
        <v/>
      </c>
      <c r="C568">
        <f>IF(A568="","",'Ratings'!C41)</f>
        <v/>
      </c>
      <c r="D568">
        <f>IF(A568="","",'Ratings'!D41)</f>
        <v/>
      </c>
      <c r="E568">
        <f>IF(AND('Ratings'!A41&lt;&gt;"",'Ratings'!K5&lt;&gt;""),'Ratings'!K5,"")</f>
        <v/>
      </c>
      <c r="F568">
        <f>IF(OR(A568="",'Ratings'!K41=""),"",'Ratings'!K41)</f>
        <v/>
      </c>
      <c r="G568">
        <f>IF(A568="","",'Employees'!D8)</f>
        <v/>
      </c>
    </row>
    <row r="569">
      <c r="A569">
        <f>IF(AND('Ratings'!A41&lt;&gt;"",'Ratings'!L5&lt;&gt;""),'Ratings'!A41,"")</f>
        <v/>
      </c>
      <c r="B569">
        <f>IF(A569="","",'Employees'!C8)</f>
        <v/>
      </c>
      <c r="C569">
        <f>IF(A569="","",'Ratings'!C41)</f>
        <v/>
      </c>
      <c r="D569">
        <f>IF(A569="","",'Ratings'!D41)</f>
        <v/>
      </c>
      <c r="E569">
        <f>IF(AND('Ratings'!A41&lt;&gt;"",'Ratings'!L5&lt;&gt;""),'Ratings'!L5,"")</f>
        <v/>
      </c>
      <c r="F569">
        <f>IF(OR(A569="",'Ratings'!L41=""),"",'Ratings'!L41)</f>
        <v/>
      </c>
      <c r="G569">
        <f>IF(A569="","",'Employees'!D8)</f>
        <v/>
      </c>
    </row>
    <row r="570">
      <c r="A570">
        <f>IF(AND('Ratings'!A41&lt;&gt;"",'Ratings'!M5&lt;&gt;""),'Ratings'!A41,"")</f>
        <v/>
      </c>
      <c r="B570">
        <f>IF(A570="","",'Employees'!C8)</f>
        <v/>
      </c>
      <c r="C570">
        <f>IF(A570="","",'Ratings'!C41)</f>
        <v/>
      </c>
      <c r="D570">
        <f>IF(A570="","",'Ratings'!D41)</f>
        <v/>
      </c>
      <c r="E570">
        <f>IF(AND('Ratings'!A41&lt;&gt;"",'Ratings'!M5&lt;&gt;""),'Ratings'!M5,"")</f>
        <v/>
      </c>
      <c r="F570">
        <f>IF(OR(A570="",'Ratings'!M41=""),"",'Ratings'!M41)</f>
        <v/>
      </c>
      <c r="G570">
        <f>IF(A570="","",'Employees'!D8)</f>
        <v/>
      </c>
    </row>
    <row r="571">
      <c r="A571">
        <f>IF(AND('Ratings'!A41&lt;&gt;"",'Ratings'!N5&lt;&gt;""),'Ratings'!A41,"")</f>
        <v/>
      </c>
      <c r="B571">
        <f>IF(A571="","",'Employees'!C8)</f>
        <v/>
      </c>
      <c r="C571">
        <f>IF(A571="","",'Ratings'!C41)</f>
        <v/>
      </c>
      <c r="D571">
        <f>IF(A571="","",'Ratings'!D41)</f>
        <v/>
      </c>
      <c r="E571">
        <f>IF(AND('Ratings'!A41&lt;&gt;"",'Ratings'!N5&lt;&gt;""),'Ratings'!N5,"")</f>
        <v/>
      </c>
      <c r="F571">
        <f>IF(OR(A571="",'Ratings'!N41=""),"",'Ratings'!N41)</f>
        <v/>
      </c>
      <c r="G571">
        <f>IF(A571="","",'Employees'!D8)</f>
        <v/>
      </c>
    </row>
    <row r="572">
      <c r="A572">
        <f>IF(AND('Ratings'!A41&lt;&gt;"",'Ratings'!O5&lt;&gt;""),'Ratings'!A41,"")</f>
        <v/>
      </c>
      <c r="B572">
        <f>IF(A572="","",'Employees'!C8)</f>
        <v/>
      </c>
      <c r="C572">
        <f>IF(A572="","",'Ratings'!C41)</f>
        <v/>
      </c>
      <c r="D572">
        <f>IF(A572="","",'Ratings'!D41)</f>
        <v/>
      </c>
      <c r="E572">
        <f>IF(AND('Ratings'!A41&lt;&gt;"",'Ratings'!O5&lt;&gt;""),'Ratings'!O5,"")</f>
        <v/>
      </c>
      <c r="F572">
        <f>IF(OR(A572="",'Ratings'!O41=""),"",'Ratings'!O41)</f>
        <v/>
      </c>
      <c r="G572">
        <f>IF(A572="","",'Employees'!D8)</f>
        <v/>
      </c>
    </row>
    <row r="573">
      <c r="A573">
        <f>IF(AND('Ratings'!A41&lt;&gt;"",'Ratings'!P5&lt;&gt;""),'Ratings'!A41,"")</f>
        <v/>
      </c>
      <c r="B573">
        <f>IF(A573="","",'Employees'!C8)</f>
        <v/>
      </c>
      <c r="C573">
        <f>IF(A573="","",'Ratings'!C41)</f>
        <v/>
      </c>
      <c r="D573">
        <f>IF(A573="","",'Ratings'!D41)</f>
        <v/>
      </c>
      <c r="E573">
        <f>IF(AND('Ratings'!A41&lt;&gt;"",'Ratings'!P5&lt;&gt;""),'Ratings'!P5,"")</f>
        <v/>
      </c>
      <c r="F573">
        <f>IF(OR(A573="",'Ratings'!P41=""),"",'Ratings'!P41)</f>
        <v/>
      </c>
      <c r="G573">
        <f>IF(A573="","",'Employees'!D8)</f>
        <v/>
      </c>
    </row>
    <row r="574">
      <c r="A574">
        <f>IF(AND('Ratings'!A41&lt;&gt;"",'Ratings'!Q5&lt;&gt;""),'Ratings'!A41,"")</f>
        <v/>
      </c>
      <c r="B574">
        <f>IF(A574="","",'Employees'!C8)</f>
        <v/>
      </c>
      <c r="C574">
        <f>IF(A574="","",'Ratings'!C41)</f>
        <v/>
      </c>
      <c r="D574">
        <f>IF(A574="","",'Ratings'!D41)</f>
        <v/>
      </c>
      <c r="E574">
        <f>IF(AND('Ratings'!A41&lt;&gt;"",'Ratings'!Q5&lt;&gt;""),'Ratings'!Q5,"")</f>
        <v/>
      </c>
      <c r="F574">
        <f>IF(OR(A574="",'Ratings'!Q41=""),"",'Ratings'!Q41)</f>
        <v/>
      </c>
      <c r="G574">
        <f>IF(A574="","",'Employees'!D8)</f>
        <v/>
      </c>
    </row>
    <row r="575">
      <c r="A575">
        <f>IF(AND('Ratings'!A41&lt;&gt;"",'Ratings'!R5&lt;&gt;""),'Ratings'!A41,"")</f>
        <v/>
      </c>
      <c r="B575">
        <f>IF(A575="","",'Employees'!C8)</f>
        <v/>
      </c>
      <c r="C575">
        <f>IF(A575="","",'Ratings'!C41)</f>
        <v/>
      </c>
      <c r="D575">
        <f>IF(A575="","",'Ratings'!D41)</f>
        <v/>
      </c>
      <c r="E575">
        <f>IF(AND('Ratings'!A41&lt;&gt;"",'Ratings'!R5&lt;&gt;""),'Ratings'!R5,"")</f>
        <v/>
      </c>
      <c r="F575">
        <f>IF(OR(A575="",'Ratings'!R41=""),"",'Ratings'!R41)</f>
        <v/>
      </c>
      <c r="G575">
        <f>IF(A575="","",'Employees'!D8)</f>
        <v/>
      </c>
    </row>
    <row r="576">
      <c r="A576">
        <f>IF(AND('Ratings'!A41&lt;&gt;"",'Ratings'!S5&lt;&gt;""),'Ratings'!A41,"")</f>
        <v/>
      </c>
      <c r="B576">
        <f>IF(A576="","",'Employees'!C8)</f>
        <v/>
      </c>
      <c r="C576">
        <f>IF(A576="","",'Ratings'!C41)</f>
        <v/>
      </c>
      <c r="D576">
        <f>IF(A576="","",'Ratings'!D41)</f>
        <v/>
      </c>
      <c r="E576">
        <f>IF(AND('Ratings'!A41&lt;&gt;"",'Ratings'!S5&lt;&gt;""),'Ratings'!S5,"")</f>
        <v/>
      </c>
      <c r="F576">
        <f>IF(OR(A576="",'Ratings'!S41=""),"",'Ratings'!S41)</f>
        <v/>
      </c>
      <c r="G576">
        <f>IF(A576="","",'Employees'!D8)</f>
        <v/>
      </c>
    </row>
    <row r="577">
      <c r="A577">
        <f>IF(AND('Ratings'!A41&lt;&gt;"",'Ratings'!T5&lt;&gt;""),'Ratings'!A41,"")</f>
        <v/>
      </c>
      <c r="B577">
        <f>IF(A577="","",'Employees'!C8)</f>
        <v/>
      </c>
      <c r="C577">
        <f>IF(A577="","",'Ratings'!C41)</f>
        <v/>
      </c>
      <c r="D577">
        <f>IF(A577="","",'Ratings'!D41)</f>
        <v/>
      </c>
      <c r="E577">
        <f>IF(AND('Ratings'!A41&lt;&gt;"",'Ratings'!T5&lt;&gt;""),'Ratings'!T5,"")</f>
        <v/>
      </c>
      <c r="F577">
        <f>IF(OR(A577="",'Ratings'!T41=""),"",'Ratings'!T41)</f>
        <v/>
      </c>
      <c r="G577">
        <f>IF(A577="","",'Employees'!D8)</f>
        <v/>
      </c>
    </row>
    <row r="578">
      <c r="A578">
        <f>IF(AND('Ratings'!A42&lt;&gt;"",'Ratings'!E5&lt;&gt;""),'Ratings'!A42,"")</f>
        <v/>
      </c>
      <c r="B578">
        <f>IF(A578="","",'Employees'!C8)</f>
        <v/>
      </c>
      <c r="C578">
        <f>IF(A578="","",'Ratings'!C42)</f>
        <v/>
      </c>
      <c r="D578">
        <f>IF(A578="","",'Ratings'!D42)</f>
        <v/>
      </c>
      <c r="E578">
        <f>IF(AND('Ratings'!A42&lt;&gt;"",'Ratings'!E5&lt;&gt;""),'Ratings'!E5,"")</f>
        <v/>
      </c>
      <c r="F578">
        <f>IF(OR(A578="",'Ratings'!E42=""),"",'Ratings'!E42)</f>
        <v/>
      </c>
      <c r="G578">
        <f>IF(A578="","",'Employees'!D8)</f>
        <v/>
      </c>
    </row>
    <row r="579">
      <c r="A579">
        <f>IF(AND('Ratings'!A42&lt;&gt;"",'Ratings'!F5&lt;&gt;""),'Ratings'!A42,"")</f>
        <v/>
      </c>
      <c r="B579">
        <f>IF(A579="","",'Employees'!C8)</f>
        <v/>
      </c>
      <c r="C579">
        <f>IF(A579="","",'Ratings'!C42)</f>
        <v/>
      </c>
      <c r="D579">
        <f>IF(A579="","",'Ratings'!D42)</f>
        <v/>
      </c>
      <c r="E579">
        <f>IF(AND('Ratings'!A42&lt;&gt;"",'Ratings'!F5&lt;&gt;""),'Ratings'!F5,"")</f>
        <v/>
      </c>
      <c r="F579">
        <f>IF(OR(A579="",'Ratings'!F42=""),"",'Ratings'!F42)</f>
        <v/>
      </c>
      <c r="G579">
        <f>IF(A579="","",'Employees'!D8)</f>
        <v/>
      </c>
    </row>
    <row r="580">
      <c r="A580">
        <f>IF(AND('Ratings'!A42&lt;&gt;"",'Ratings'!G5&lt;&gt;""),'Ratings'!A42,"")</f>
        <v/>
      </c>
      <c r="B580">
        <f>IF(A580="","",'Employees'!C8)</f>
        <v/>
      </c>
      <c r="C580">
        <f>IF(A580="","",'Ratings'!C42)</f>
        <v/>
      </c>
      <c r="D580">
        <f>IF(A580="","",'Ratings'!D42)</f>
        <v/>
      </c>
      <c r="E580">
        <f>IF(AND('Ratings'!A42&lt;&gt;"",'Ratings'!G5&lt;&gt;""),'Ratings'!G5,"")</f>
        <v/>
      </c>
      <c r="F580">
        <f>IF(OR(A580="",'Ratings'!G42=""),"",'Ratings'!G42)</f>
        <v/>
      </c>
      <c r="G580">
        <f>IF(A580="","",'Employees'!D8)</f>
        <v/>
      </c>
    </row>
    <row r="581">
      <c r="A581">
        <f>IF(AND('Ratings'!A42&lt;&gt;"",'Ratings'!H5&lt;&gt;""),'Ratings'!A42,"")</f>
        <v/>
      </c>
      <c r="B581">
        <f>IF(A581="","",'Employees'!C8)</f>
        <v/>
      </c>
      <c r="C581">
        <f>IF(A581="","",'Ratings'!C42)</f>
        <v/>
      </c>
      <c r="D581">
        <f>IF(A581="","",'Ratings'!D42)</f>
        <v/>
      </c>
      <c r="E581">
        <f>IF(AND('Ratings'!A42&lt;&gt;"",'Ratings'!H5&lt;&gt;""),'Ratings'!H5,"")</f>
        <v/>
      </c>
      <c r="F581">
        <f>IF(OR(A581="",'Ratings'!H42=""),"",'Ratings'!H42)</f>
        <v/>
      </c>
      <c r="G581">
        <f>IF(A581="","",'Employees'!D8)</f>
        <v/>
      </c>
    </row>
    <row r="582">
      <c r="A582">
        <f>IF(AND('Ratings'!A42&lt;&gt;"",'Ratings'!I5&lt;&gt;""),'Ratings'!A42,"")</f>
        <v/>
      </c>
      <c r="B582">
        <f>IF(A582="","",'Employees'!C8)</f>
        <v/>
      </c>
      <c r="C582">
        <f>IF(A582="","",'Ratings'!C42)</f>
        <v/>
      </c>
      <c r="D582">
        <f>IF(A582="","",'Ratings'!D42)</f>
        <v/>
      </c>
      <c r="E582">
        <f>IF(AND('Ratings'!A42&lt;&gt;"",'Ratings'!I5&lt;&gt;""),'Ratings'!I5,"")</f>
        <v/>
      </c>
      <c r="F582">
        <f>IF(OR(A582="",'Ratings'!I42=""),"",'Ratings'!I42)</f>
        <v/>
      </c>
      <c r="G582">
        <f>IF(A582="","",'Employees'!D8)</f>
        <v/>
      </c>
    </row>
    <row r="583">
      <c r="A583">
        <f>IF(AND('Ratings'!A42&lt;&gt;"",'Ratings'!J5&lt;&gt;""),'Ratings'!A42,"")</f>
        <v/>
      </c>
      <c r="B583">
        <f>IF(A583="","",'Employees'!C8)</f>
        <v/>
      </c>
      <c r="C583">
        <f>IF(A583="","",'Ratings'!C42)</f>
        <v/>
      </c>
      <c r="D583">
        <f>IF(A583="","",'Ratings'!D42)</f>
        <v/>
      </c>
      <c r="E583">
        <f>IF(AND('Ratings'!A42&lt;&gt;"",'Ratings'!J5&lt;&gt;""),'Ratings'!J5,"")</f>
        <v/>
      </c>
      <c r="F583">
        <f>IF(OR(A583="",'Ratings'!J42=""),"",'Ratings'!J42)</f>
        <v/>
      </c>
      <c r="G583">
        <f>IF(A583="","",'Employees'!D8)</f>
        <v/>
      </c>
    </row>
    <row r="584">
      <c r="A584">
        <f>IF(AND('Ratings'!A42&lt;&gt;"",'Ratings'!K5&lt;&gt;""),'Ratings'!A42,"")</f>
        <v/>
      </c>
      <c r="B584">
        <f>IF(A584="","",'Employees'!C8)</f>
        <v/>
      </c>
      <c r="C584">
        <f>IF(A584="","",'Ratings'!C42)</f>
        <v/>
      </c>
      <c r="D584">
        <f>IF(A584="","",'Ratings'!D42)</f>
        <v/>
      </c>
      <c r="E584">
        <f>IF(AND('Ratings'!A42&lt;&gt;"",'Ratings'!K5&lt;&gt;""),'Ratings'!K5,"")</f>
        <v/>
      </c>
      <c r="F584">
        <f>IF(OR(A584="",'Ratings'!K42=""),"",'Ratings'!K42)</f>
        <v/>
      </c>
      <c r="G584">
        <f>IF(A584="","",'Employees'!D8)</f>
        <v/>
      </c>
    </row>
    <row r="585">
      <c r="A585">
        <f>IF(AND('Ratings'!A42&lt;&gt;"",'Ratings'!L5&lt;&gt;""),'Ratings'!A42,"")</f>
        <v/>
      </c>
      <c r="B585">
        <f>IF(A585="","",'Employees'!C8)</f>
        <v/>
      </c>
      <c r="C585">
        <f>IF(A585="","",'Ratings'!C42)</f>
        <v/>
      </c>
      <c r="D585">
        <f>IF(A585="","",'Ratings'!D42)</f>
        <v/>
      </c>
      <c r="E585">
        <f>IF(AND('Ratings'!A42&lt;&gt;"",'Ratings'!L5&lt;&gt;""),'Ratings'!L5,"")</f>
        <v/>
      </c>
      <c r="F585">
        <f>IF(OR(A585="",'Ratings'!L42=""),"",'Ratings'!L42)</f>
        <v/>
      </c>
      <c r="G585">
        <f>IF(A585="","",'Employees'!D8)</f>
        <v/>
      </c>
    </row>
    <row r="586">
      <c r="A586">
        <f>IF(AND('Ratings'!A42&lt;&gt;"",'Ratings'!M5&lt;&gt;""),'Ratings'!A42,"")</f>
        <v/>
      </c>
      <c r="B586">
        <f>IF(A586="","",'Employees'!C8)</f>
        <v/>
      </c>
      <c r="C586">
        <f>IF(A586="","",'Ratings'!C42)</f>
        <v/>
      </c>
      <c r="D586">
        <f>IF(A586="","",'Ratings'!D42)</f>
        <v/>
      </c>
      <c r="E586">
        <f>IF(AND('Ratings'!A42&lt;&gt;"",'Ratings'!M5&lt;&gt;""),'Ratings'!M5,"")</f>
        <v/>
      </c>
      <c r="F586">
        <f>IF(OR(A586="",'Ratings'!M42=""),"",'Ratings'!M42)</f>
        <v/>
      </c>
      <c r="G586">
        <f>IF(A586="","",'Employees'!D8)</f>
        <v/>
      </c>
    </row>
    <row r="587">
      <c r="A587">
        <f>IF(AND('Ratings'!A42&lt;&gt;"",'Ratings'!N5&lt;&gt;""),'Ratings'!A42,"")</f>
        <v/>
      </c>
      <c r="B587">
        <f>IF(A587="","",'Employees'!C8)</f>
        <v/>
      </c>
      <c r="C587">
        <f>IF(A587="","",'Ratings'!C42)</f>
        <v/>
      </c>
      <c r="D587">
        <f>IF(A587="","",'Ratings'!D42)</f>
        <v/>
      </c>
      <c r="E587">
        <f>IF(AND('Ratings'!A42&lt;&gt;"",'Ratings'!N5&lt;&gt;""),'Ratings'!N5,"")</f>
        <v/>
      </c>
      <c r="F587">
        <f>IF(OR(A587="",'Ratings'!N42=""),"",'Ratings'!N42)</f>
        <v/>
      </c>
      <c r="G587">
        <f>IF(A587="","",'Employees'!D8)</f>
        <v/>
      </c>
    </row>
    <row r="588">
      <c r="A588">
        <f>IF(AND('Ratings'!A42&lt;&gt;"",'Ratings'!O5&lt;&gt;""),'Ratings'!A42,"")</f>
        <v/>
      </c>
      <c r="B588">
        <f>IF(A588="","",'Employees'!C8)</f>
        <v/>
      </c>
      <c r="C588">
        <f>IF(A588="","",'Ratings'!C42)</f>
        <v/>
      </c>
      <c r="D588">
        <f>IF(A588="","",'Ratings'!D42)</f>
        <v/>
      </c>
      <c r="E588">
        <f>IF(AND('Ratings'!A42&lt;&gt;"",'Ratings'!O5&lt;&gt;""),'Ratings'!O5,"")</f>
        <v/>
      </c>
      <c r="F588">
        <f>IF(OR(A588="",'Ratings'!O42=""),"",'Ratings'!O42)</f>
        <v/>
      </c>
      <c r="G588">
        <f>IF(A588="","",'Employees'!D8)</f>
        <v/>
      </c>
    </row>
    <row r="589">
      <c r="A589">
        <f>IF(AND('Ratings'!A42&lt;&gt;"",'Ratings'!P5&lt;&gt;""),'Ratings'!A42,"")</f>
        <v/>
      </c>
      <c r="B589">
        <f>IF(A589="","",'Employees'!C8)</f>
        <v/>
      </c>
      <c r="C589">
        <f>IF(A589="","",'Ratings'!C42)</f>
        <v/>
      </c>
      <c r="D589">
        <f>IF(A589="","",'Ratings'!D42)</f>
        <v/>
      </c>
      <c r="E589">
        <f>IF(AND('Ratings'!A42&lt;&gt;"",'Ratings'!P5&lt;&gt;""),'Ratings'!P5,"")</f>
        <v/>
      </c>
      <c r="F589">
        <f>IF(OR(A589="",'Ratings'!P42=""),"",'Ratings'!P42)</f>
        <v/>
      </c>
      <c r="G589">
        <f>IF(A589="","",'Employees'!D8)</f>
        <v/>
      </c>
    </row>
    <row r="590">
      <c r="A590">
        <f>IF(AND('Ratings'!A42&lt;&gt;"",'Ratings'!Q5&lt;&gt;""),'Ratings'!A42,"")</f>
        <v/>
      </c>
      <c r="B590">
        <f>IF(A590="","",'Employees'!C8)</f>
        <v/>
      </c>
      <c r="C590">
        <f>IF(A590="","",'Ratings'!C42)</f>
        <v/>
      </c>
      <c r="D590">
        <f>IF(A590="","",'Ratings'!D42)</f>
        <v/>
      </c>
      <c r="E590">
        <f>IF(AND('Ratings'!A42&lt;&gt;"",'Ratings'!Q5&lt;&gt;""),'Ratings'!Q5,"")</f>
        <v/>
      </c>
      <c r="F590">
        <f>IF(OR(A590="",'Ratings'!Q42=""),"",'Ratings'!Q42)</f>
        <v/>
      </c>
      <c r="G590">
        <f>IF(A590="","",'Employees'!D8)</f>
        <v/>
      </c>
    </row>
    <row r="591">
      <c r="A591">
        <f>IF(AND('Ratings'!A42&lt;&gt;"",'Ratings'!R5&lt;&gt;""),'Ratings'!A42,"")</f>
        <v/>
      </c>
      <c r="B591">
        <f>IF(A591="","",'Employees'!C8)</f>
        <v/>
      </c>
      <c r="C591">
        <f>IF(A591="","",'Ratings'!C42)</f>
        <v/>
      </c>
      <c r="D591">
        <f>IF(A591="","",'Ratings'!D42)</f>
        <v/>
      </c>
      <c r="E591">
        <f>IF(AND('Ratings'!A42&lt;&gt;"",'Ratings'!R5&lt;&gt;""),'Ratings'!R5,"")</f>
        <v/>
      </c>
      <c r="F591">
        <f>IF(OR(A591="",'Ratings'!R42=""),"",'Ratings'!R42)</f>
        <v/>
      </c>
      <c r="G591">
        <f>IF(A591="","",'Employees'!D8)</f>
        <v/>
      </c>
    </row>
    <row r="592">
      <c r="A592">
        <f>IF(AND('Ratings'!A42&lt;&gt;"",'Ratings'!S5&lt;&gt;""),'Ratings'!A42,"")</f>
        <v/>
      </c>
      <c r="B592">
        <f>IF(A592="","",'Employees'!C8)</f>
        <v/>
      </c>
      <c r="C592">
        <f>IF(A592="","",'Ratings'!C42)</f>
        <v/>
      </c>
      <c r="D592">
        <f>IF(A592="","",'Ratings'!D42)</f>
        <v/>
      </c>
      <c r="E592">
        <f>IF(AND('Ratings'!A42&lt;&gt;"",'Ratings'!S5&lt;&gt;""),'Ratings'!S5,"")</f>
        <v/>
      </c>
      <c r="F592">
        <f>IF(OR(A592="",'Ratings'!S42=""),"",'Ratings'!S42)</f>
        <v/>
      </c>
      <c r="G592">
        <f>IF(A592="","",'Employees'!D8)</f>
        <v/>
      </c>
    </row>
    <row r="593">
      <c r="A593">
        <f>IF(AND('Ratings'!A42&lt;&gt;"",'Ratings'!T5&lt;&gt;""),'Ratings'!A42,"")</f>
        <v/>
      </c>
      <c r="B593">
        <f>IF(A593="","",'Employees'!C8)</f>
        <v/>
      </c>
      <c r="C593">
        <f>IF(A593="","",'Ratings'!C42)</f>
        <v/>
      </c>
      <c r="D593">
        <f>IF(A593="","",'Ratings'!D42)</f>
        <v/>
      </c>
      <c r="E593">
        <f>IF(AND('Ratings'!A42&lt;&gt;"",'Ratings'!T5&lt;&gt;""),'Ratings'!T5,"")</f>
        <v/>
      </c>
      <c r="F593">
        <f>IF(OR(A593="",'Ratings'!T42=""),"",'Ratings'!T42)</f>
        <v/>
      </c>
      <c r="G593">
        <f>IF(A593="","",'Employees'!D8)</f>
        <v/>
      </c>
    </row>
    <row r="594">
      <c r="A594">
        <f>IF(AND('Ratings'!A43&lt;&gt;"",'Ratings'!E5&lt;&gt;""),'Ratings'!A43,"")</f>
        <v/>
      </c>
      <c r="B594">
        <f>IF(A594="","",'Employees'!C8)</f>
        <v/>
      </c>
      <c r="C594">
        <f>IF(A594="","",'Ratings'!C43)</f>
        <v/>
      </c>
      <c r="D594">
        <f>IF(A594="","",'Ratings'!D43)</f>
        <v/>
      </c>
      <c r="E594">
        <f>IF(AND('Ratings'!A43&lt;&gt;"",'Ratings'!E5&lt;&gt;""),'Ratings'!E5,"")</f>
        <v/>
      </c>
      <c r="F594">
        <f>IF(OR(A594="",'Ratings'!E43=""),"",'Ratings'!E43)</f>
        <v/>
      </c>
      <c r="G594">
        <f>IF(A594="","",'Employees'!D8)</f>
        <v/>
      </c>
    </row>
    <row r="595">
      <c r="A595">
        <f>IF(AND('Ratings'!A43&lt;&gt;"",'Ratings'!F5&lt;&gt;""),'Ratings'!A43,"")</f>
        <v/>
      </c>
      <c r="B595">
        <f>IF(A595="","",'Employees'!C8)</f>
        <v/>
      </c>
      <c r="C595">
        <f>IF(A595="","",'Ratings'!C43)</f>
        <v/>
      </c>
      <c r="D595">
        <f>IF(A595="","",'Ratings'!D43)</f>
        <v/>
      </c>
      <c r="E595">
        <f>IF(AND('Ratings'!A43&lt;&gt;"",'Ratings'!F5&lt;&gt;""),'Ratings'!F5,"")</f>
        <v/>
      </c>
      <c r="F595">
        <f>IF(OR(A595="",'Ratings'!F43=""),"",'Ratings'!F43)</f>
        <v/>
      </c>
      <c r="G595">
        <f>IF(A595="","",'Employees'!D8)</f>
        <v/>
      </c>
    </row>
    <row r="596">
      <c r="A596">
        <f>IF(AND('Ratings'!A43&lt;&gt;"",'Ratings'!G5&lt;&gt;""),'Ratings'!A43,"")</f>
        <v/>
      </c>
      <c r="B596">
        <f>IF(A596="","",'Employees'!C8)</f>
        <v/>
      </c>
      <c r="C596">
        <f>IF(A596="","",'Ratings'!C43)</f>
        <v/>
      </c>
      <c r="D596">
        <f>IF(A596="","",'Ratings'!D43)</f>
        <v/>
      </c>
      <c r="E596">
        <f>IF(AND('Ratings'!A43&lt;&gt;"",'Ratings'!G5&lt;&gt;""),'Ratings'!G5,"")</f>
        <v/>
      </c>
      <c r="F596">
        <f>IF(OR(A596="",'Ratings'!G43=""),"",'Ratings'!G43)</f>
        <v/>
      </c>
      <c r="G596">
        <f>IF(A596="","",'Employees'!D8)</f>
        <v/>
      </c>
    </row>
    <row r="597">
      <c r="A597">
        <f>IF(AND('Ratings'!A43&lt;&gt;"",'Ratings'!H5&lt;&gt;""),'Ratings'!A43,"")</f>
        <v/>
      </c>
      <c r="B597">
        <f>IF(A597="","",'Employees'!C8)</f>
        <v/>
      </c>
      <c r="C597">
        <f>IF(A597="","",'Ratings'!C43)</f>
        <v/>
      </c>
      <c r="D597">
        <f>IF(A597="","",'Ratings'!D43)</f>
        <v/>
      </c>
      <c r="E597">
        <f>IF(AND('Ratings'!A43&lt;&gt;"",'Ratings'!H5&lt;&gt;""),'Ratings'!H5,"")</f>
        <v/>
      </c>
      <c r="F597">
        <f>IF(OR(A597="",'Ratings'!H43=""),"",'Ratings'!H43)</f>
        <v/>
      </c>
      <c r="G597">
        <f>IF(A597="","",'Employees'!D8)</f>
        <v/>
      </c>
    </row>
    <row r="598">
      <c r="A598">
        <f>IF(AND('Ratings'!A43&lt;&gt;"",'Ratings'!I5&lt;&gt;""),'Ratings'!A43,"")</f>
        <v/>
      </c>
      <c r="B598">
        <f>IF(A598="","",'Employees'!C8)</f>
        <v/>
      </c>
      <c r="C598">
        <f>IF(A598="","",'Ratings'!C43)</f>
        <v/>
      </c>
      <c r="D598">
        <f>IF(A598="","",'Ratings'!D43)</f>
        <v/>
      </c>
      <c r="E598">
        <f>IF(AND('Ratings'!A43&lt;&gt;"",'Ratings'!I5&lt;&gt;""),'Ratings'!I5,"")</f>
        <v/>
      </c>
      <c r="F598">
        <f>IF(OR(A598="",'Ratings'!I43=""),"",'Ratings'!I43)</f>
        <v/>
      </c>
      <c r="G598">
        <f>IF(A598="","",'Employees'!D8)</f>
        <v/>
      </c>
    </row>
    <row r="599">
      <c r="A599">
        <f>IF(AND('Ratings'!A43&lt;&gt;"",'Ratings'!J5&lt;&gt;""),'Ratings'!A43,"")</f>
        <v/>
      </c>
      <c r="B599">
        <f>IF(A599="","",'Employees'!C8)</f>
        <v/>
      </c>
      <c r="C599">
        <f>IF(A599="","",'Ratings'!C43)</f>
        <v/>
      </c>
      <c r="D599">
        <f>IF(A599="","",'Ratings'!D43)</f>
        <v/>
      </c>
      <c r="E599">
        <f>IF(AND('Ratings'!A43&lt;&gt;"",'Ratings'!J5&lt;&gt;""),'Ratings'!J5,"")</f>
        <v/>
      </c>
      <c r="F599">
        <f>IF(OR(A599="",'Ratings'!J43=""),"",'Ratings'!J43)</f>
        <v/>
      </c>
      <c r="G599">
        <f>IF(A599="","",'Employees'!D8)</f>
        <v/>
      </c>
    </row>
    <row r="600">
      <c r="A600">
        <f>IF(AND('Ratings'!A43&lt;&gt;"",'Ratings'!K5&lt;&gt;""),'Ratings'!A43,"")</f>
        <v/>
      </c>
      <c r="B600">
        <f>IF(A600="","",'Employees'!C8)</f>
        <v/>
      </c>
      <c r="C600">
        <f>IF(A600="","",'Ratings'!C43)</f>
        <v/>
      </c>
      <c r="D600">
        <f>IF(A600="","",'Ratings'!D43)</f>
        <v/>
      </c>
      <c r="E600">
        <f>IF(AND('Ratings'!A43&lt;&gt;"",'Ratings'!K5&lt;&gt;""),'Ratings'!K5,"")</f>
        <v/>
      </c>
      <c r="F600">
        <f>IF(OR(A600="",'Ratings'!K43=""),"",'Ratings'!K43)</f>
        <v/>
      </c>
      <c r="G600">
        <f>IF(A600="","",'Employees'!D8)</f>
        <v/>
      </c>
    </row>
    <row r="601">
      <c r="A601">
        <f>IF(AND('Ratings'!A43&lt;&gt;"",'Ratings'!L5&lt;&gt;""),'Ratings'!A43,"")</f>
        <v/>
      </c>
      <c r="B601">
        <f>IF(A601="","",'Employees'!C8)</f>
        <v/>
      </c>
      <c r="C601">
        <f>IF(A601="","",'Ratings'!C43)</f>
        <v/>
      </c>
      <c r="D601">
        <f>IF(A601="","",'Ratings'!D43)</f>
        <v/>
      </c>
      <c r="E601">
        <f>IF(AND('Ratings'!A43&lt;&gt;"",'Ratings'!L5&lt;&gt;""),'Ratings'!L5,"")</f>
        <v/>
      </c>
      <c r="F601">
        <f>IF(OR(A601="",'Ratings'!L43=""),"",'Ratings'!L43)</f>
        <v/>
      </c>
      <c r="G601">
        <f>IF(A601="","",'Employees'!D8)</f>
        <v/>
      </c>
    </row>
    <row r="602">
      <c r="A602">
        <f>IF(AND('Ratings'!A43&lt;&gt;"",'Ratings'!M5&lt;&gt;""),'Ratings'!A43,"")</f>
        <v/>
      </c>
      <c r="B602">
        <f>IF(A602="","",'Employees'!C8)</f>
        <v/>
      </c>
      <c r="C602">
        <f>IF(A602="","",'Ratings'!C43)</f>
        <v/>
      </c>
      <c r="D602">
        <f>IF(A602="","",'Ratings'!D43)</f>
        <v/>
      </c>
      <c r="E602">
        <f>IF(AND('Ratings'!A43&lt;&gt;"",'Ratings'!M5&lt;&gt;""),'Ratings'!M5,"")</f>
        <v/>
      </c>
      <c r="F602">
        <f>IF(OR(A602="",'Ratings'!M43=""),"",'Ratings'!M43)</f>
        <v/>
      </c>
      <c r="G602">
        <f>IF(A602="","",'Employees'!D8)</f>
        <v/>
      </c>
    </row>
    <row r="603">
      <c r="A603">
        <f>IF(AND('Ratings'!A43&lt;&gt;"",'Ratings'!N5&lt;&gt;""),'Ratings'!A43,"")</f>
        <v/>
      </c>
      <c r="B603">
        <f>IF(A603="","",'Employees'!C8)</f>
        <v/>
      </c>
      <c r="C603">
        <f>IF(A603="","",'Ratings'!C43)</f>
        <v/>
      </c>
      <c r="D603">
        <f>IF(A603="","",'Ratings'!D43)</f>
        <v/>
      </c>
      <c r="E603">
        <f>IF(AND('Ratings'!A43&lt;&gt;"",'Ratings'!N5&lt;&gt;""),'Ratings'!N5,"")</f>
        <v/>
      </c>
      <c r="F603">
        <f>IF(OR(A603="",'Ratings'!N43=""),"",'Ratings'!N43)</f>
        <v/>
      </c>
      <c r="G603">
        <f>IF(A603="","",'Employees'!D8)</f>
        <v/>
      </c>
    </row>
    <row r="604">
      <c r="A604">
        <f>IF(AND('Ratings'!A43&lt;&gt;"",'Ratings'!O5&lt;&gt;""),'Ratings'!A43,"")</f>
        <v/>
      </c>
      <c r="B604">
        <f>IF(A604="","",'Employees'!C8)</f>
        <v/>
      </c>
      <c r="C604">
        <f>IF(A604="","",'Ratings'!C43)</f>
        <v/>
      </c>
      <c r="D604">
        <f>IF(A604="","",'Ratings'!D43)</f>
        <v/>
      </c>
      <c r="E604">
        <f>IF(AND('Ratings'!A43&lt;&gt;"",'Ratings'!O5&lt;&gt;""),'Ratings'!O5,"")</f>
        <v/>
      </c>
      <c r="F604">
        <f>IF(OR(A604="",'Ratings'!O43=""),"",'Ratings'!O43)</f>
        <v/>
      </c>
      <c r="G604">
        <f>IF(A604="","",'Employees'!D8)</f>
        <v/>
      </c>
    </row>
    <row r="605">
      <c r="A605">
        <f>IF(AND('Ratings'!A43&lt;&gt;"",'Ratings'!P5&lt;&gt;""),'Ratings'!A43,"")</f>
        <v/>
      </c>
      <c r="B605">
        <f>IF(A605="","",'Employees'!C8)</f>
        <v/>
      </c>
      <c r="C605">
        <f>IF(A605="","",'Ratings'!C43)</f>
        <v/>
      </c>
      <c r="D605">
        <f>IF(A605="","",'Ratings'!D43)</f>
        <v/>
      </c>
      <c r="E605">
        <f>IF(AND('Ratings'!A43&lt;&gt;"",'Ratings'!P5&lt;&gt;""),'Ratings'!P5,"")</f>
        <v/>
      </c>
      <c r="F605">
        <f>IF(OR(A605="",'Ratings'!P43=""),"",'Ratings'!P43)</f>
        <v/>
      </c>
      <c r="G605">
        <f>IF(A605="","",'Employees'!D8)</f>
        <v/>
      </c>
    </row>
    <row r="606">
      <c r="A606">
        <f>IF(AND('Ratings'!A43&lt;&gt;"",'Ratings'!Q5&lt;&gt;""),'Ratings'!A43,"")</f>
        <v/>
      </c>
      <c r="B606">
        <f>IF(A606="","",'Employees'!C8)</f>
        <v/>
      </c>
      <c r="C606">
        <f>IF(A606="","",'Ratings'!C43)</f>
        <v/>
      </c>
      <c r="D606">
        <f>IF(A606="","",'Ratings'!D43)</f>
        <v/>
      </c>
      <c r="E606">
        <f>IF(AND('Ratings'!A43&lt;&gt;"",'Ratings'!Q5&lt;&gt;""),'Ratings'!Q5,"")</f>
        <v/>
      </c>
      <c r="F606">
        <f>IF(OR(A606="",'Ratings'!Q43=""),"",'Ratings'!Q43)</f>
        <v/>
      </c>
      <c r="G606">
        <f>IF(A606="","",'Employees'!D8)</f>
        <v/>
      </c>
    </row>
    <row r="607">
      <c r="A607">
        <f>IF(AND('Ratings'!A43&lt;&gt;"",'Ratings'!R5&lt;&gt;""),'Ratings'!A43,"")</f>
        <v/>
      </c>
      <c r="B607">
        <f>IF(A607="","",'Employees'!C8)</f>
        <v/>
      </c>
      <c r="C607">
        <f>IF(A607="","",'Ratings'!C43)</f>
        <v/>
      </c>
      <c r="D607">
        <f>IF(A607="","",'Ratings'!D43)</f>
        <v/>
      </c>
      <c r="E607">
        <f>IF(AND('Ratings'!A43&lt;&gt;"",'Ratings'!R5&lt;&gt;""),'Ratings'!R5,"")</f>
        <v/>
      </c>
      <c r="F607">
        <f>IF(OR(A607="",'Ratings'!R43=""),"",'Ratings'!R43)</f>
        <v/>
      </c>
      <c r="G607">
        <f>IF(A607="","",'Employees'!D8)</f>
        <v/>
      </c>
    </row>
    <row r="608">
      <c r="A608">
        <f>IF(AND('Ratings'!A43&lt;&gt;"",'Ratings'!S5&lt;&gt;""),'Ratings'!A43,"")</f>
        <v/>
      </c>
      <c r="B608">
        <f>IF(A608="","",'Employees'!C8)</f>
        <v/>
      </c>
      <c r="C608">
        <f>IF(A608="","",'Ratings'!C43)</f>
        <v/>
      </c>
      <c r="D608">
        <f>IF(A608="","",'Ratings'!D43)</f>
        <v/>
      </c>
      <c r="E608">
        <f>IF(AND('Ratings'!A43&lt;&gt;"",'Ratings'!S5&lt;&gt;""),'Ratings'!S5,"")</f>
        <v/>
      </c>
      <c r="F608">
        <f>IF(OR(A608="",'Ratings'!S43=""),"",'Ratings'!S43)</f>
        <v/>
      </c>
      <c r="G608">
        <f>IF(A608="","",'Employees'!D8)</f>
        <v/>
      </c>
    </row>
    <row r="609">
      <c r="A609">
        <f>IF(AND('Ratings'!A43&lt;&gt;"",'Ratings'!T5&lt;&gt;""),'Ratings'!A43,"")</f>
        <v/>
      </c>
      <c r="B609">
        <f>IF(A609="","",'Employees'!C8)</f>
        <v/>
      </c>
      <c r="C609">
        <f>IF(A609="","",'Ratings'!C43)</f>
        <v/>
      </c>
      <c r="D609">
        <f>IF(A609="","",'Ratings'!D43)</f>
        <v/>
      </c>
      <c r="E609">
        <f>IF(AND('Ratings'!A43&lt;&gt;"",'Ratings'!T5&lt;&gt;""),'Ratings'!T5,"")</f>
        <v/>
      </c>
      <c r="F609">
        <f>IF(OR(A609="",'Ratings'!T43=""),"",'Ratings'!T43)</f>
        <v/>
      </c>
      <c r="G609">
        <f>IF(A609="","",'Employees'!D8)</f>
        <v/>
      </c>
    </row>
    <row r="610">
      <c r="A610">
        <f>IF(AND('Ratings'!A44&lt;&gt;"",'Ratings'!E5&lt;&gt;""),'Ratings'!A44,"")</f>
        <v/>
      </c>
      <c r="B610">
        <f>IF(A610="","",'Employees'!C8)</f>
        <v/>
      </c>
      <c r="C610">
        <f>IF(A610="","",'Ratings'!C44)</f>
        <v/>
      </c>
      <c r="D610">
        <f>IF(A610="","",'Ratings'!D44)</f>
        <v/>
      </c>
      <c r="E610">
        <f>IF(AND('Ratings'!A44&lt;&gt;"",'Ratings'!E5&lt;&gt;""),'Ratings'!E5,"")</f>
        <v/>
      </c>
      <c r="F610">
        <f>IF(OR(A610="",'Ratings'!E44=""),"",'Ratings'!E44)</f>
        <v/>
      </c>
      <c r="G610">
        <f>IF(A610="","",'Employees'!D8)</f>
        <v/>
      </c>
    </row>
    <row r="611">
      <c r="A611">
        <f>IF(AND('Ratings'!A44&lt;&gt;"",'Ratings'!F5&lt;&gt;""),'Ratings'!A44,"")</f>
        <v/>
      </c>
      <c r="B611">
        <f>IF(A611="","",'Employees'!C8)</f>
        <v/>
      </c>
      <c r="C611">
        <f>IF(A611="","",'Ratings'!C44)</f>
        <v/>
      </c>
      <c r="D611">
        <f>IF(A611="","",'Ratings'!D44)</f>
        <v/>
      </c>
      <c r="E611">
        <f>IF(AND('Ratings'!A44&lt;&gt;"",'Ratings'!F5&lt;&gt;""),'Ratings'!F5,"")</f>
        <v/>
      </c>
      <c r="F611">
        <f>IF(OR(A611="",'Ratings'!F44=""),"",'Ratings'!F44)</f>
        <v/>
      </c>
      <c r="G611">
        <f>IF(A611="","",'Employees'!D8)</f>
        <v/>
      </c>
    </row>
    <row r="612">
      <c r="A612">
        <f>IF(AND('Ratings'!A44&lt;&gt;"",'Ratings'!G5&lt;&gt;""),'Ratings'!A44,"")</f>
        <v/>
      </c>
      <c r="B612">
        <f>IF(A612="","",'Employees'!C8)</f>
        <v/>
      </c>
      <c r="C612">
        <f>IF(A612="","",'Ratings'!C44)</f>
        <v/>
      </c>
      <c r="D612">
        <f>IF(A612="","",'Ratings'!D44)</f>
        <v/>
      </c>
      <c r="E612">
        <f>IF(AND('Ratings'!A44&lt;&gt;"",'Ratings'!G5&lt;&gt;""),'Ratings'!G5,"")</f>
        <v/>
      </c>
      <c r="F612">
        <f>IF(OR(A612="",'Ratings'!G44=""),"",'Ratings'!G44)</f>
        <v/>
      </c>
      <c r="G612">
        <f>IF(A612="","",'Employees'!D8)</f>
        <v/>
      </c>
    </row>
    <row r="613">
      <c r="A613">
        <f>IF(AND('Ratings'!A44&lt;&gt;"",'Ratings'!H5&lt;&gt;""),'Ratings'!A44,"")</f>
        <v/>
      </c>
      <c r="B613">
        <f>IF(A613="","",'Employees'!C8)</f>
        <v/>
      </c>
      <c r="C613">
        <f>IF(A613="","",'Ratings'!C44)</f>
        <v/>
      </c>
      <c r="D613">
        <f>IF(A613="","",'Ratings'!D44)</f>
        <v/>
      </c>
      <c r="E613">
        <f>IF(AND('Ratings'!A44&lt;&gt;"",'Ratings'!H5&lt;&gt;""),'Ratings'!H5,"")</f>
        <v/>
      </c>
      <c r="F613">
        <f>IF(OR(A613="",'Ratings'!H44=""),"",'Ratings'!H44)</f>
        <v/>
      </c>
      <c r="G613">
        <f>IF(A613="","",'Employees'!D8)</f>
        <v/>
      </c>
    </row>
    <row r="614">
      <c r="A614">
        <f>IF(AND('Ratings'!A44&lt;&gt;"",'Ratings'!I5&lt;&gt;""),'Ratings'!A44,"")</f>
        <v/>
      </c>
      <c r="B614">
        <f>IF(A614="","",'Employees'!C8)</f>
        <v/>
      </c>
      <c r="C614">
        <f>IF(A614="","",'Ratings'!C44)</f>
        <v/>
      </c>
      <c r="D614">
        <f>IF(A614="","",'Ratings'!D44)</f>
        <v/>
      </c>
      <c r="E614">
        <f>IF(AND('Ratings'!A44&lt;&gt;"",'Ratings'!I5&lt;&gt;""),'Ratings'!I5,"")</f>
        <v/>
      </c>
      <c r="F614">
        <f>IF(OR(A614="",'Ratings'!I44=""),"",'Ratings'!I44)</f>
        <v/>
      </c>
      <c r="G614">
        <f>IF(A614="","",'Employees'!D8)</f>
        <v/>
      </c>
    </row>
    <row r="615">
      <c r="A615">
        <f>IF(AND('Ratings'!A44&lt;&gt;"",'Ratings'!J5&lt;&gt;""),'Ratings'!A44,"")</f>
        <v/>
      </c>
      <c r="B615">
        <f>IF(A615="","",'Employees'!C8)</f>
        <v/>
      </c>
      <c r="C615">
        <f>IF(A615="","",'Ratings'!C44)</f>
        <v/>
      </c>
      <c r="D615">
        <f>IF(A615="","",'Ratings'!D44)</f>
        <v/>
      </c>
      <c r="E615">
        <f>IF(AND('Ratings'!A44&lt;&gt;"",'Ratings'!J5&lt;&gt;""),'Ratings'!J5,"")</f>
        <v/>
      </c>
      <c r="F615">
        <f>IF(OR(A615="",'Ratings'!J44=""),"",'Ratings'!J44)</f>
        <v/>
      </c>
      <c r="G615">
        <f>IF(A615="","",'Employees'!D8)</f>
        <v/>
      </c>
    </row>
    <row r="616">
      <c r="A616">
        <f>IF(AND('Ratings'!A44&lt;&gt;"",'Ratings'!K5&lt;&gt;""),'Ratings'!A44,"")</f>
        <v/>
      </c>
      <c r="B616">
        <f>IF(A616="","",'Employees'!C8)</f>
        <v/>
      </c>
      <c r="C616">
        <f>IF(A616="","",'Ratings'!C44)</f>
        <v/>
      </c>
      <c r="D616">
        <f>IF(A616="","",'Ratings'!D44)</f>
        <v/>
      </c>
      <c r="E616">
        <f>IF(AND('Ratings'!A44&lt;&gt;"",'Ratings'!K5&lt;&gt;""),'Ratings'!K5,"")</f>
        <v/>
      </c>
      <c r="F616">
        <f>IF(OR(A616="",'Ratings'!K44=""),"",'Ratings'!K44)</f>
        <v/>
      </c>
      <c r="G616">
        <f>IF(A616="","",'Employees'!D8)</f>
        <v/>
      </c>
    </row>
    <row r="617">
      <c r="A617">
        <f>IF(AND('Ratings'!A44&lt;&gt;"",'Ratings'!L5&lt;&gt;""),'Ratings'!A44,"")</f>
        <v/>
      </c>
      <c r="B617">
        <f>IF(A617="","",'Employees'!C8)</f>
        <v/>
      </c>
      <c r="C617">
        <f>IF(A617="","",'Ratings'!C44)</f>
        <v/>
      </c>
      <c r="D617">
        <f>IF(A617="","",'Ratings'!D44)</f>
        <v/>
      </c>
      <c r="E617">
        <f>IF(AND('Ratings'!A44&lt;&gt;"",'Ratings'!L5&lt;&gt;""),'Ratings'!L5,"")</f>
        <v/>
      </c>
      <c r="F617">
        <f>IF(OR(A617="",'Ratings'!L44=""),"",'Ratings'!L44)</f>
        <v/>
      </c>
      <c r="G617">
        <f>IF(A617="","",'Employees'!D8)</f>
        <v/>
      </c>
    </row>
    <row r="618">
      <c r="A618">
        <f>IF(AND('Ratings'!A44&lt;&gt;"",'Ratings'!M5&lt;&gt;""),'Ratings'!A44,"")</f>
        <v/>
      </c>
      <c r="B618">
        <f>IF(A618="","",'Employees'!C8)</f>
        <v/>
      </c>
      <c r="C618">
        <f>IF(A618="","",'Ratings'!C44)</f>
        <v/>
      </c>
      <c r="D618">
        <f>IF(A618="","",'Ratings'!D44)</f>
        <v/>
      </c>
      <c r="E618">
        <f>IF(AND('Ratings'!A44&lt;&gt;"",'Ratings'!M5&lt;&gt;""),'Ratings'!M5,"")</f>
        <v/>
      </c>
      <c r="F618">
        <f>IF(OR(A618="",'Ratings'!M44=""),"",'Ratings'!M44)</f>
        <v/>
      </c>
      <c r="G618">
        <f>IF(A618="","",'Employees'!D8)</f>
        <v/>
      </c>
    </row>
    <row r="619">
      <c r="A619">
        <f>IF(AND('Ratings'!A44&lt;&gt;"",'Ratings'!N5&lt;&gt;""),'Ratings'!A44,"")</f>
        <v/>
      </c>
      <c r="B619">
        <f>IF(A619="","",'Employees'!C8)</f>
        <v/>
      </c>
      <c r="C619">
        <f>IF(A619="","",'Ratings'!C44)</f>
        <v/>
      </c>
      <c r="D619">
        <f>IF(A619="","",'Ratings'!D44)</f>
        <v/>
      </c>
      <c r="E619">
        <f>IF(AND('Ratings'!A44&lt;&gt;"",'Ratings'!N5&lt;&gt;""),'Ratings'!N5,"")</f>
        <v/>
      </c>
      <c r="F619">
        <f>IF(OR(A619="",'Ratings'!N44=""),"",'Ratings'!N44)</f>
        <v/>
      </c>
      <c r="G619">
        <f>IF(A619="","",'Employees'!D8)</f>
        <v/>
      </c>
    </row>
    <row r="620">
      <c r="A620">
        <f>IF(AND('Ratings'!A44&lt;&gt;"",'Ratings'!O5&lt;&gt;""),'Ratings'!A44,"")</f>
        <v/>
      </c>
      <c r="B620">
        <f>IF(A620="","",'Employees'!C8)</f>
        <v/>
      </c>
      <c r="C620">
        <f>IF(A620="","",'Ratings'!C44)</f>
        <v/>
      </c>
      <c r="D620">
        <f>IF(A620="","",'Ratings'!D44)</f>
        <v/>
      </c>
      <c r="E620">
        <f>IF(AND('Ratings'!A44&lt;&gt;"",'Ratings'!O5&lt;&gt;""),'Ratings'!O5,"")</f>
        <v/>
      </c>
      <c r="F620">
        <f>IF(OR(A620="",'Ratings'!O44=""),"",'Ratings'!O44)</f>
        <v/>
      </c>
      <c r="G620">
        <f>IF(A620="","",'Employees'!D8)</f>
        <v/>
      </c>
    </row>
    <row r="621">
      <c r="A621">
        <f>IF(AND('Ratings'!A44&lt;&gt;"",'Ratings'!P5&lt;&gt;""),'Ratings'!A44,"")</f>
        <v/>
      </c>
      <c r="B621">
        <f>IF(A621="","",'Employees'!C8)</f>
        <v/>
      </c>
      <c r="C621">
        <f>IF(A621="","",'Ratings'!C44)</f>
        <v/>
      </c>
      <c r="D621">
        <f>IF(A621="","",'Ratings'!D44)</f>
        <v/>
      </c>
      <c r="E621">
        <f>IF(AND('Ratings'!A44&lt;&gt;"",'Ratings'!P5&lt;&gt;""),'Ratings'!P5,"")</f>
        <v/>
      </c>
      <c r="F621">
        <f>IF(OR(A621="",'Ratings'!P44=""),"",'Ratings'!P44)</f>
        <v/>
      </c>
      <c r="G621">
        <f>IF(A621="","",'Employees'!D8)</f>
        <v/>
      </c>
    </row>
    <row r="622">
      <c r="A622">
        <f>IF(AND('Ratings'!A44&lt;&gt;"",'Ratings'!Q5&lt;&gt;""),'Ratings'!A44,"")</f>
        <v/>
      </c>
      <c r="B622">
        <f>IF(A622="","",'Employees'!C8)</f>
        <v/>
      </c>
      <c r="C622">
        <f>IF(A622="","",'Ratings'!C44)</f>
        <v/>
      </c>
      <c r="D622">
        <f>IF(A622="","",'Ratings'!D44)</f>
        <v/>
      </c>
      <c r="E622">
        <f>IF(AND('Ratings'!A44&lt;&gt;"",'Ratings'!Q5&lt;&gt;""),'Ratings'!Q5,"")</f>
        <v/>
      </c>
      <c r="F622">
        <f>IF(OR(A622="",'Ratings'!Q44=""),"",'Ratings'!Q44)</f>
        <v/>
      </c>
      <c r="G622">
        <f>IF(A622="","",'Employees'!D8)</f>
        <v/>
      </c>
    </row>
    <row r="623">
      <c r="A623">
        <f>IF(AND('Ratings'!A44&lt;&gt;"",'Ratings'!R5&lt;&gt;""),'Ratings'!A44,"")</f>
        <v/>
      </c>
      <c r="B623">
        <f>IF(A623="","",'Employees'!C8)</f>
        <v/>
      </c>
      <c r="C623">
        <f>IF(A623="","",'Ratings'!C44)</f>
        <v/>
      </c>
      <c r="D623">
        <f>IF(A623="","",'Ratings'!D44)</f>
        <v/>
      </c>
      <c r="E623">
        <f>IF(AND('Ratings'!A44&lt;&gt;"",'Ratings'!R5&lt;&gt;""),'Ratings'!R5,"")</f>
        <v/>
      </c>
      <c r="F623">
        <f>IF(OR(A623="",'Ratings'!R44=""),"",'Ratings'!R44)</f>
        <v/>
      </c>
      <c r="G623">
        <f>IF(A623="","",'Employees'!D8)</f>
        <v/>
      </c>
    </row>
    <row r="624">
      <c r="A624">
        <f>IF(AND('Ratings'!A44&lt;&gt;"",'Ratings'!S5&lt;&gt;""),'Ratings'!A44,"")</f>
        <v/>
      </c>
      <c r="B624">
        <f>IF(A624="","",'Employees'!C8)</f>
        <v/>
      </c>
      <c r="C624">
        <f>IF(A624="","",'Ratings'!C44)</f>
        <v/>
      </c>
      <c r="D624">
        <f>IF(A624="","",'Ratings'!D44)</f>
        <v/>
      </c>
      <c r="E624">
        <f>IF(AND('Ratings'!A44&lt;&gt;"",'Ratings'!S5&lt;&gt;""),'Ratings'!S5,"")</f>
        <v/>
      </c>
      <c r="F624">
        <f>IF(OR(A624="",'Ratings'!S44=""),"",'Ratings'!S44)</f>
        <v/>
      </c>
      <c r="G624">
        <f>IF(A624="","",'Employees'!D8)</f>
        <v/>
      </c>
    </row>
    <row r="625">
      <c r="A625">
        <f>IF(AND('Ratings'!A44&lt;&gt;"",'Ratings'!T5&lt;&gt;""),'Ratings'!A44,"")</f>
        <v/>
      </c>
      <c r="B625">
        <f>IF(A625="","",'Employees'!C8)</f>
        <v/>
      </c>
      <c r="C625">
        <f>IF(A625="","",'Ratings'!C44)</f>
        <v/>
      </c>
      <c r="D625">
        <f>IF(A625="","",'Ratings'!D44)</f>
        <v/>
      </c>
      <c r="E625">
        <f>IF(AND('Ratings'!A44&lt;&gt;"",'Ratings'!T5&lt;&gt;""),'Ratings'!T5,"")</f>
        <v/>
      </c>
      <c r="F625">
        <f>IF(OR(A625="",'Ratings'!T44=""),"",'Ratings'!T44)</f>
        <v/>
      </c>
      <c r="G625">
        <f>IF(A625="","",'Employees'!D8)</f>
        <v/>
      </c>
    </row>
    <row r="626">
      <c r="A626">
        <f>IF(AND('Ratings'!A45&lt;&gt;"",'Ratings'!E5&lt;&gt;""),'Ratings'!A45,"")</f>
        <v/>
      </c>
      <c r="B626">
        <f>IF(A626="","",'Employees'!C8)</f>
        <v/>
      </c>
      <c r="C626">
        <f>IF(A626="","",'Ratings'!C45)</f>
        <v/>
      </c>
      <c r="D626">
        <f>IF(A626="","",'Ratings'!D45)</f>
        <v/>
      </c>
      <c r="E626">
        <f>IF(AND('Ratings'!A45&lt;&gt;"",'Ratings'!E5&lt;&gt;""),'Ratings'!E5,"")</f>
        <v/>
      </c>
      <c r="F626">
        <f>IF(OR(A626="",'Ratings'!E45=""),"",'Ratings'!E45)</f>
        <v/>
      </c>
      <c r="G626">
        <f>IF(A626="","",'Employees'!D8)</f>
        <v/>
      </c>
    </row>
    <row r="627">
      <c r="A627">
        <f>IF(AND('Ratings'!A45&lt;&gt;"",'Ratings'!F5&lt;&gt;""),'Ratings'!A45,"")</f>
        <v/>
      </c>
      <c r="B627">
        <f>IF(A627="","",'Employees'!C8)</f>
        <v/>
      </c>
      <c r="C627">
        <f>IF(A627="","",'Ratings'!C45)</f>
        <v/>
      </c>
      <c r="D627">
        <f>IF(A627="","",'Ratings'!D45)</f>
        <v/>
      </c>
      <c r="E627">
        <f>IF(AND('Ratings'!A45&lt;&gt;"",'Ratings'!F5&lt;&gt;""),'Ratings'!F5,"")</f>
        <v/>
      </c>
      <c r="F627">
        <f>IF(OR(A627="",'Ratings'!F45=""),"",'Ratings'!F45)</f>
        <v/>
      </c>
      <c r="G627">
        <f>IF(A627="","",'Employees'!D8)</f>
        <v/>
      </c>
    </row>
    <row r="628">
      <c r="A628">
        <f>IF(AND('Ratings'!A45&lt;&gt;"",'Ratings'!G5&lt;&gt;""),'Ratings'!A45,"")</f>
        <v/>
      </c>
      <c r="B628">
        <f>IF(A628="","",'Employees'!C8)</f>
        <v/>
      </c>
      <c r="C628">
        <f>IF(A628="","",'Ratings'!C45)</f>
        <v/>
      </c>
      <c r="D628">
        <f>IF(A628="","",'Ratings'!D45)</f>
        <v/>
      </c>
      <c r="E628">
        <f>IF(AND('Ratings'!A45&lt;&gt;"",'Ratings'!G5&lt;&gt;""),'Ratings'!G5,"")</f>
        <v/>
      </c>
      <c r="F628">
        <f>IF(OR(A628="",'Ratings'!G45=""),"",'Ratings'!G45)</f>
        <v/>
      </c>
      <c r="G628">
        <f>IF(A628="","",'Employees'!D8)</f>
        <v/>
      </c>
    </row>
    <row r="629">
      <c r="A629">
        <f>IF(AND('Ratings'!A45&lt;&gt;"",'Ratings'!H5&lt;&gt;""),'Ratings'!A45,"")</f>
        <v/>
      </c>
      <c r="B629">
        <f>IF(A629="","",'Employees'!C8)</f>
        <v/>
      </c>
      <c r="C629">
        <f>IF(A629="","",'Ratings'!C45)</f>
        <v/>
      </c>
      <c r="D629">
        <f>IF(A629="","",'Ratings'!D45)</f>
        <v/>
      </c>
      <c r="E629">
        <f>IF(AND('Ratings'!A45&lt;&gt;"",'Ratings'!H5&lt;&gt;""),'Ratings'!H5,"")</f>
        <v/>
      </c>
      <c r="F629">
        <f>IF(OR(A629="",'Ratings'!H45=""),"",'Ratings'!H45)</f>
        <v/>
      </c>
      <c r="G629">
        <f>IF(A629="","",'Employees'!D8)</f>
        <v/>
      </c>
    </row>
    <row r="630">
      <c r="A630">
        <f>IF(AND('Ratings'!A45&lt;&gt;"",'Ratings'!I5&lt;&gt;""),'Ratings'!A45,"")</f>
        <v/>
      </c>
      <c r="B630">
        <f>IF(A630="","",'Employees'!C8)</f>
        <v/>
      </c>
      <c r="C630">
        <f>IF(A630="","",'Ratings'!C45)</f>
        <v/>
      </c>
      <c r="D630">
        <f>IF(A630="","",'Ratings'!D45)</f>
        <v/>
      </c>
      <c r="E630">
        <f>IF(AND('Ratings'!A45&lt;&gt;"",'Ratings'!I5&lt;&gt;""),'Ratings'!I5,"")</f>
        <v/>
      </c>
      <c r="F630">
        <f>IF(OR(A630="",'Ratings'!I45=""),"",'Ratings'!I45)</f>
        <v/>
      </c>
      <c r="G630">
        <f>IF(A630="","",'Employees'!D8)</f>
        <v/>
      </c>
    </row>
    <row r="631">
      <c r="A631">
        <f>IF(AND('Ratings'!A45&lt;&gt;"",'Ratings'!J5&lt;&gt;""),'Ratings'!A45,"")</f>
        <v/>
      </c>
      <c r="B631">
        <f>IF(A631="","",'Employees'!C8)</f>
        <v/>
      </c>
      <c r="C631">
        <f>IF(A631="","",'Ratings'!C45)</f>
        <v/>
      </c>
      <c r="D631">
        <f>IF(A631="","",'Ratings'!D45)</f>
        <v/>
      </c>
      <c r="E631">
        <f>IF(AND('Ratings'!A45&lt;&gt;"",'Ratings'!J5&lt;&gt;""),'Ratings'!J5,"")</f>
        <v/>
      </c>
      <c r="F631">
        <f>IF(OR(A631="",'Ratings'!J45=""),"",'Ratings'!J45)</f>
        <v/>
      </c>
      <c r="G631">
        <f>IF(A631="","",'Employees'!D8)</f>
        <v/>
      </c>
    </row>
    <row r="632">
      <c r="A632">
        <f>IF(AND('Ratings'!A45&lt;&gt;"",'Ratings'!K5&lt;&gt;""),'Ratings'!A45,"")</f>
        <v/>
      </c>
      <c r="B632">
        <f>IF(A632="","",'Employees'!C8)</f>
        <v/>
      </c>
      <c r="C632">
        <f>IF(A632="","",'Ratings'!C45)</f>
        <v/>
      </c>
      <c r="D632">
        <f>IF(A632="","",'Ratings'!D45)</f>
        <v/>
      </c>
      <c r="E632">
        <f>IF(AND('Ratings'!A45&lt;&gt;"",'Ratings'!K5&lt;&gt;""),'Ratings'!K5,"")</f>
        <v/>
      </c>
      <c r="F632">
        <f>IF(OR(A632="",'Ratings'!K45=""),"",'Ratings'!K45)</f>
        <v/>
      </c>
      <c r="G632">
        <f>IF(A632="","",'Employees'!D8)</f>
        <v/>
      </c>
    </row>
    <row r="633">
      <c r="A633">
        <f>IF(AND('Ratings'!A45&lt;&gt;"",'Ratings'!L5&lt;&gt;""),'Ratings'!A45,"")</f>
        <v/>
      </c>
      <c r="B633">
        <f>IF(A633="","",'Employees'!C8)</f>
        <v/>
      </c>
      <c r="C633">
        <f>IF(A633="","",'Ratings'!C45)</f>
        <v/>
      </c>
      <c r="D633">
        <f>IF(A633="","",'Ratings'!D45)</f>
        <v/>
      </c>
      <c r="E633">
        <f>IF(AND('Ratings'!A45&lt;&gt;"",'Ratings'!L5&lt;&gt;""),'Ratings'!L5,"")</f>
        <v/>
      </c>
      <c r="F633">
        <f>IF(OR(A633="",'Ratings'!L45=""),"",'Ratings'!L45)</f>
        <v/>
      </c>
      <c r="G633">
        <f>IF(A633="","",'Employees'!D8)</f>
        <v/>
      </c>
    </row>
    <row r="634">
      <c r="A634">
        <f>IF(AND('Ratings'!A45&lt;&gt;"",'Ratings'!M5&lt;&gt;""),'Ratings'!A45,"")</f>
        <v/>
      </c>
      <c r="B634">
        <f>IF(A634="","",'Employees'!C8)</f>
        <v/>
      </c>
      <c r="C634">
        <f>IF(A634="","",'Ratings'!C45)</f>
        <v/>
      </c>
      <c r="D634">
        <f>IF(A634="","",'Ratings'!D45)</f>
        <v/>
      </c>
      <c r="E634">
        <f>IF(AND('Ratings'!A45&lt;&gt;"",'Ratings'!M5&lt;&gt;""),'Ratings'!M5,"")</f>
        <v/>
      </c>
      <c r="F634">
        <f>IF(OR(A634="",'Ratings'!M45=""),"",'Ratings'!M45)</f>
        <v/>
      </c>
      <c r="G634">
        <f>IF(A634="","",'Employees'!D8)</f>
        <v/>
      </c>
    </row>
    <row r="635">
      <c r="A635">
        <f>IF(AND('Ratings'!A45&lt;&gt;"",'Ratings'!N5&lt;&gt;""),'Ratings'!A45,"")</f>
        <v/>
      </c>
      <c r="B635">
        <f>IF(A635="","",'Employees'!C8)</f>
        <v/>
      </c>
      <c r="C635">
        <f>IF(A635="","",'Ratings'!C45)</f>
        <v/>
      </c>
      <c r="D635">
        <f>IF(A635="","",'Ratings'!D45)</f>
        <v/>
      </c>
      <c r="E635">
        <f>IF(AND('Ratings'!A45&lt;&gt;"",'Ratings'!N5&lt;&gt;""),'Ratings'!N5,"")</f>
        <v/>
      </c>
      <c r="F635">
        <f>IF(OR(A635="",'Ratings'!N45=""),"",'Ratings'!N45)</f>
        <v/>
      </c>
      <c r="G635">
        <f>IF(A635="","",'Employees'!D8)</f>
        <v/>
      </c>
    </row>
    <row r="636">
      <c r="A636">
        <f>IF(AND('Ratings'!A45&lt;&gt;"",'Ratings'!O5&lt;&gt;""),'Ratings'!A45,"")</f>
        <v/>
      </c>
      <c r="B636">
        <f>IF(A636="","",'Employees'!C8)</f>
        <v/>
      </c>
      <c r="C636">
        <f>IF(A636="","",'Ratings'!C45)</f>
        <v/>
      </c>
      <c r="D636">
        <f>IF(A636="","",'Ratings'!D45)</f>
        <v/>
      </c>
      <c r="E636">
        <f>IF(AND('Ratings'!A45&lt;&gt;"",'Ratings'!O5&lt;&gt;""),'Ratings'!O5,"")</f>
        <v/>
      </c>
      <c r="F636">
        <f>IF(OR(A636="",'Ratings'!O45=""),"",'Ratings'!O45)</f>
        <v/>
      </c>
      <c r="G636">
        <f>IF(A636="","",'Employees'!D8)</f>
        <v/>
      </c>
    </row>
    <row r="637">
      <c r="A637">
        <f>IF(AND('Ratings'!A45&lt;&gt;"",'Ratings'!P5&lt;&gt;""),'Ratings'!A45,"")</f>
        <v/>
      </c>
      <c r="B637">
        <f>IF(A637="","",'Employees'!C8)</f>
        <v/>
      </c>
      <c r="C637">
        <f>IF(A637="","",'Ratings'!C45)</f>
        <v/>
      </c>
      <c r="D637">
        <f>IF(A637="","",'Ratings'!D45)</f>
        <v/>
      </c>
      <c r="E637">
        <f>IF(AND('Ratings'!A45&lt;&gt;"",'Ratings'!P5&lt;&gt;""),'Ratings'!P5,"")</f>
        <v/>
      </c>
      <c r="F637">
        <f>IF(OR(A637="",'Ratings'!P45=""),"",'Ratings'!P45)</f>
        <v/>
      </c>
      <c r="G637">
        <f>IF(A637="","",'Employees'!D8)</f>
        <v/>
      </c>
    </row>
    <row r="638">
      <c r="A638">
        <f>IF(AND('Ratings'!A45&lt;&gt;"",'Ratings'!Q5&lt;&gt;""),'Ratings'!A45,"")</f>
        <v/>
      </c>
      <c r="B638">
        <f>IF(A638="","",'Employees'!C8)</f>
        <v/>
      </c>
      <c r="C638">
        <f>IF(A638="","",'Ratings'!C45)</f>
        <v/>
      </c>
      <c r="D638">
        <f>IF(A638="","",'Ratings'!D45)</f>
        <v/>
      </c>
      <c r="E638">
        <f>IF(AND('Ratings'!A45&lt;&gt;"",'Ratings'!Q5&lt;&gt;""),'Ratings'!Q5,"")</f>
        <v/>
      </c>
      <c r="F638">
        <f>IF(OR(A638="",'Ratings'!Q45=""),"",'Ratings'!Q45)</f>
        <v/>
      </c>
      <c r="G638">
        <f>IF(A638="","",'Employees'!D8)</f>
        <v/>
      </c>
    </row>
    <row r="639">
      <c r="A639">
        <f>IF(AND('Ratings'!A45&lt;&gt;"",'Ratings'!R5&lt;&gt;""),'Ratings'!A45,"")</f>
        <v/>
      </c>
      <c r="B639">
        <f>IF(A639="","",'Employees'!C8)</f>
        <v/>
      </c>
      <c r="C639">
        <f>IF(A639="","",'Ratings'!C45)</f>
        <v/>
      </c>
      <c r="D639">
        <f>IF(A639="","",'Ratings'!D45)</f>
        <v/>
      </c>
      <c r="E639">
        <f>IF(AND('Ratings'!A45&lt;&gt;"",'Ratings'!R5&lt;&gt;""),'Ratings'!R5,"")</f>
        <v/>
      </c>
      <c r="F639">
        <f>IF(OR(A639="",'Ratings'!R45=""),"",'Ratings'!R45)</f>
        <v/>
      </c>
      <c r="G639">
        <f>IF(A639="","",'Employees'!D8)</f>
        <v/>
      </c>
    </row>
    <row r="640">
      <c r="A640">
        <f>IF(AND('Ratings'!A45&lt;&gt;"",'Ratings'!S5&lt;&gt;""),'Ratings'!A45,"")</f>
        <v/>
      </c>
      <c r="B640">
        <f>IF(A640="","",'Employees'!C8)</f>
        <v/>
      </c>
      <c r="C640">
        <f>IF(A640="","",'Ratings'!C45)</f>
        <v/>
      </c>
      <c r="D640">
        <f>IF(A640="","",'Ratings'!D45)</f>
        <v/>
      </c>
      <c r="E640">
        <f>IF(AND('Ratings'!A45&lt;&gt;"",'Ratings'!S5&lt;&gt;""),'Ratings'!S5,"")</f>
        <v/>
      </c>
      <c r="F640">
        <f>IF(OR(A640="",'Ratings'!S45=""),"",'Ratings'!S45)</f>
        <v/>
      </c>
      <c r="G640">
        <f>IF(A640="","",'Employees'!D8)</f>
        <v/>
      </c>
    </row>
    <row r="641">
      <c r="A641">
        <f>IF(AND('Ratings'!A45&lt;&gt;"",'Ratings'!T5&lt;&gt;""),'Ratings'!A45,"")</f>
        <v/>
      </c>
      <c r="B641">
        <f>IF(A641="","",'Employees'!C8)</f>
        <v/>
      </c>
      <c r="C641">
        <f>IF(A641="","",'Ratings'!C45)</f>
        <v/>
      </c>
      <c r="D641">
        <f>IF(A641="","",'Ratings'!D45)</f>
        <v/>
      </c>
      <c r="E641">
        <f>IF(AND('Ratings'!A45&lt;&gt;"",'Ratings'!T5&lt;&gt;""),'Ratings'!T5,"")</f>
        <v/>
      </c>
      <c r="F641">
        <f>IF(OR(A641="",'Ratings'!T45=""),"",'Ratings'!T45)</f>
        <v/>
      </c>
      <c r="G641">
        <f>IF(A641="","",'Employees'!D8)</f>
        <v/>
      </c>
    </row>
    <row r="642">
      <c r="A642">
        <f>IF(AND('Ratings'!A46&lt;&gt;"",'Ratings'!E5&lt;&gt;""),'Ratings'!A46,"")</f>
        <v/>
      </c>
      <c r="B642">
        <f>IF(A642="","",'Employees'!C8)</f>
        <v/>
      </c>
      <c r="C642">
        <f>IF(A642="","",'Ratings'!C46)</f>
        <v/>
      </c>
      <c r="D642">
        <f>IF(A642="","",'Ratings'!D46)</f>
        <v/>
      </c>
      <c r="E642">
        <f>IF(AND('Ratings'!A46&lt;&gt;"",'Ratings'!E5&lt;&gt;""),'Ratings'!E5,"")</f>
        <v/>
      </c>
      <c r="F642">
        <f>IF(OR(A642="",'Ratings'!E46=""),"",'Ratings'!E46)</f>
        <v/>
      </c>
      <c r="G642">
        <f>IF(A642="","",'Employees'!D8)</f>
        <v/>
      </c>
    </row>
    <row r="643">
      <c r="A643">
        <f>IF(AND('Ratings'!A46&lt;&gt;"",'Ratings'!F5&lt;&gt;""),'Ratings'!A46,"")</f>
        <v/>
      </c>
      <c r="B643">
        <f>IF(A643="","",'Employees'!C8)</f>
        <v/>
      </c>
      <c r="C643">
        <f>IF(A643="","",'Ratings'!C46)</f>
        <v/>
      </c>
      <c r="D643">
        <f>IF(A643="","",'Ratings'!D46)</f>
        <v/>
      </c>
      <c r="E643">
        <f>IF(AND('Ratings'!A46&lt;&gt;"",'Ratings'!F5&lt;&gt;""),'Ratings'!F5,"")</f>
        <v/>
      </c>
      <c r="F643">
        <f>IF(OR(A643="",'Ratings'!F46=""),"",'Ratings'!F46)</f>
        <v/>
      </c>
      <c r="G643">
        <f>IF(A643="","",'Employees'!D8)</f>
        <v/>
      </c>
    </row>
    <row r="644">
      <c r="A644">
        <f>IF(AND('Ratings'!A46&lt;&gt;"",'Ratings'!G5&lt;&gt;""),'Ratings'!A46,"")</f>
        <v/>
      </c>
      <c r="B644">
        <f>IF(A644="","",'Employees'!C8)</f>
        <v/>
      </c>
      <c r="C644">
        <f>IF(A644="","",'Ratings'!C46)</f>
        <v/>
      </c>
      <c r="D644">
        <f>IF(A644="","",'Ratings'!D46)</f>
        <v/>
      </c>
      <c r="E644">
        <f>IF(AND('Ratings'!A46&lt;&gt;"",'Ratings'!G5&lt;&gt;""),'Ratings'!G5,"")</f>
        <v/>
      </c>
      <c r="F644">
        <f>IF(OR(A644="",'Ratings'!G46=""),"",'Ratings'!G46)</f>
        <v/>
      </c>
      <c r="G644">
        <f>IF(A644="","",'Employees'!D8)</f>
        <v/>
      </c>
    </row>
    <row r="645">
      <c r="A645">
        <f>IF(AND('Ratings'!A46&lt;&gt;"",'Ratings'!H5&lt;&gt;""),'Ratings'!A46,"")</f>
        <v/>
      </c>
      <c r="B645">
        <f>IF(A645="","",'Employees'!C8)</f>
        <v/>
      </c>
      <c r="C645">
        <f>IF(A645="","",'Ratings'!C46)</f>
        <v/>
      </c>
      <c r="D645">
        <f>IF(A645="","",'Ratings'!D46)</f>
        <v/>
      </c>
      <c r="E645">
        <f>IF(AND('Ratings'!A46&lt;&gt;"",'Ratings'!H5&lt;&gt;""),'Ratings'!H5,"")</f>
        <v/>
      </c>
      <c r="F645">
        <f>IF(OR(A645="",'Ratings'!H46=""),"",'Ratings'!H46)</f>
        <v/>
      </c>
      <c r="G645">
        <f>IF(A645="","",'Employees'!D8)</f>
        <v/>
      </c>
    </row>
    <row r="646">
      <c r="A646">
        <f>IF(AND('Ratings'!A46&lt;&gt;"",'Ratings'!I5&lt;&gt;""),'Ratings'!A46,"")</f>
        <v/>
      </c>
      <c r="B646">
        <f>IF(A646="","",'Employees'!C8)</f>
        <v/>
      </c>
      <c r="C646">
        <f>IF(A646="","",'Ratings'!C46)</f>
        <v/>
      </c>
      <c r="D646">
        <f>IF(A646="","",'Ratings'!D46)</f>
        <v/>
      </c>
      <c r="E646">
        <f>IF(AND('Ratings'!A46&lt;&gt;"",'Ratings'!I5&lt;&gt;""),'Ratings'!I5,"")</f>
        <v/>
      </c>
      <c r="F646">
        <f>IF(OR(A646="",'Ratings'!I46=""),"",'Ratings'!I46)</f>
        <v/>
      </c>
      <c r="G646">
        <f>IF(A646="","",'Employees'!D8)</f>
        <v/>
      </c>
    </row>
    <row r="647">
      <c r="A647">
        <f>IF(AND('Ratings'!A46&lt;&gt;"",'Ratings'!J5&lt;&gt;""),'Ratings'!A46,"")</f>
        <v/>
      </c>
      <c r="B647">
        <f>IF(A647="","",'Employees'!C8)</f>
        <v/>
      </c>
      <c r="C647">
        <f>IF(A647="","",'Ratings'!C46)</f>
        <v/>
      </c>
      <c r="D647">
        <f>IF(A647="","",'Ratings'!D46)</f>
        <v/>
      </c>
      <c r="E647">
        <f>IF(AND('Ratings'!A46&lt;&gt;"",'Ratings'!J5&lt;&gt;""),'Ratings'!J5,"")</f>
        <v/>
      </c>
      <c r="F647">
        <f>IF(OR(A647="",'Ratings'!J46=""),"",'Ratings'!J46)</f>
        <v/>
      </c>
      <c r="G647">
        <f>IF(A647="","",'Employees'!D8)</f>
        <v/>
      </c>
    </row>
    <row r="648">
      <c r="A648">
        <f>IF(AND('Ratings'!A46&lt;&gt;"",'Ratings'!K5&lt;&gt;""),'Ratings'!A46,"")</f>
        <v/>
      </c>
      <c r="B648">
        <f>IF(A648="","",'Employees'!C8)</f>
        <v/>
      </c>
      <c r="C648">
        <f>IF(A648="","",'Ratings'!C46)</f>
        <v/>
      </c>
      <c r="D648">
        <f>IF(A648="","",'Ratings'!D46)</f>
        <v/>
      </c>
      <c r="E648">
        <f>IF(AND('Ratings'!A46&lt;&gt;"",'Ratings'!K5&lt;&gt;""),'Ratings'!K5,"")</f>
        <v/>
      </c>
      <c r="F648">
        <f>IF(OR(A648="",'Ratings'!K46=""),"",'Ratings'!K46)</f>
        <v/>
      </c>
      <c r="G648">
        <f>IF(A648="","",'Employees'!D8)</f>
        <v/>
      </c>
    </row>
    <row r="649">
      <c r="A649">
        <f>IF(AND('Ratings'!A46&lt;&gt;"",'Ratings'!L5&lt;&gt;""),'Ratings'!A46,"")</f>
        <v/>
      </c>
      <c r="B649">
        <f>IF(A649="","",'Employees'!C8)</f>
        <v/>
      </c>
      <c r="C649">
        <f>IF(A649="","",'Ratings'!C46)</f>
        <v/>
      </c>
      <c r="D649">
        <f>IF(A649="","",'Ratings'!D46)</f>
        <v/>
      </c>
      <c r="E649">
        <f>IF(AND('Ratings'!A46&lt;&gt;"",'Ratings'!L5&lt;&gt;""),'Ratings'!L5,"")</f>
        <v/>
      </c>
      <c r="F649">
        <f>IF(OR(A649="",'Ratings'!L46=""),"",'Ratings'!L46)</f>
        <v/>
      </c>
      <c r="G649">
        <f>IF(A649="","",'Employees'!D8)</f>
        <v/>
      </c>
    </row>
    <row r="650">
      <c r="A650">
        <f>IF(AND('Ratings'!A46&lt;&gt;"",'Ratings'!M5&lt;&gt;""),'Ratings'!A46,"")</f>
        <v/>
      </c>
      <c r="B650">
        <f>IF(A650="","",'Employees'!C8)</f>
        <v/>
      </c>
      <c r="C650">
        <f>IF(A650="","",'Ratings'!C46)</f>
        <v/>
      </c>
      <c r="D650">
        <f>IF(A650="","",'Ratings'!D46)</f>
        <v/>
      </c>
      <c r="E650">
        <f>IF(AND('Ratings'!A46&lt;&gt;"",'Ratings'!M5&lt;&gt;""),'Ratings'!M5,"")</f>
        <v/>
      </c>
      <c r="F650">
        <f>IF(OR(A650="",'Ratings'!M46=""),"",'Ratings'!M46)</f>
        <v/>
      </c>
      <c r="G650">
        <f>IF(A650="","",'Employees'!D8)</f>
        <v/>
      </c>
    </row>
    <row r="651">
      <c r="A651">
        <f>IF(AND('Ratings'!A46&lt;&gt;"",'Ratings'!N5&lt;&gt;""),'Ratings'!A46,"")</f>
        <v/>
      </c>
      <c r="B651">
        <f>IF(A651="","",'Employees'!C8)</f>
        <v/>
      </c>
      <c r="C651">
        <f>IF(A651="","",'Ratings'!C46)</f>
        <v/>
      </c>
      <c r="D651">
        <f>IF(A651="","",'Ratings'!D46)</f>
        <v/>
      </c>
      <c r="E651">
        <f>IF(AND('Ratings'!A46&lt;&gt;"",'Ratings'!N5&lt;&gt;""),'Ratings'!N5,"")</f>
        <v/>
      </c>
      <c r="F651">
        <f>IF(OR(A651="",'Ratings'!N46=""),"",'Ratings'!N46)</f>
        <v/>
      </c>
      <c r="G651">
        <f>IF(A651="","",'Employees'!D8)</f>
        <v/>
      </c>
    </row>
    <row r="652">
      <c r="A652">
        <f>IF(AND('Ratings'!A46&lt;&gt;"",'Ratings'!O5&lt;&gt;""),'Ratings'!A46,"")</f>
        <v/>
      </c>
      <c r="B652">
        <f>IF(A652="","",'Employees'!C8)</f>
        <v/>
      </c>
      <c r="C652">
        <f>IF(A652="","",'Ratings'!C46)</f>
        <v/>
      </c>
      <c r="D652">
        <f>IF(A652="","",'Ratings'!D46)</f>
        <v/>
      </c>
      <c r="E652">
        <f>IF(AND('Ratings'!A46&lt;&gt;"",'Ratings'!O5&lt;&gt;""),'Ratings'!O5,"")</f>
        <v/>
      </c>
      <c r="F652">
        <f>IF(OR(A652="",'Ratings'!O46=""),"",'Ratings'!O46)</f>
        <v/>
      </c>
      <c r="G652">
        <f>IF(A652="","",'Employees'!D8)</f>
        <v/>
      </c>
    </row>
    <row r="653">
      <c r="A653">
        <f>IF(AND('Ratings'!A46&lt;&gt;"",'Ratings'!P5&lt;&gt;""),'Ratings'!A46,"")</f>
        <v/>
      </c>
      <c r="B653">
        <f>IF(A653="","",'Employees'!C8)</f>
        <v/>
      </c>
      <c r="C653">
        <f>IF(A653="","",'Ratings'!C46)</f>
        <v/>
      </c>
      <c r="D653">
        <f>IF(A653="","",'Ratings'!D46)</f>
        <v/>
      </c>
      <c r="E653">
        <f>IF(AND('Ratings'!A46&lt;&gt;"",'Ratings'!P5&lt;&gt;""),'Ratings'!P5,"")</f>
        <v/>
      </c>
      <c r="F653">
        <f>IF(OR(A653="",'Ratings'!P46=""),"",'Ratings'!P46)</f>
        <v/>
      </c>
      <c r="G653">
        <f>IF(A653="","",'Employees'!D8)</f>
        <v/>
      </c>
    </row>
    <row r="654">
      <c r="A654">
        <f>IF(AND('Ratings'!A46&lt;&gt;"",'Ratings'!Q5&lt;&gt;""),'Ratings'!A46,"")</f>
        <v/>
      </c>
      <c r="B654">
        <f>IF(A654="","",'Employees'!C8)</f>
        <v/>
      </c>
      <c r="C654">
        <f>IF(A654="","",'Ratings'!C46)</f>
        <v/>
      </c>
      <c r="D654">
        <f>IF(A654="","",'Ratings'!D46)</f>
        <v/>
      </c>
      <c r="E654">
        <f>IF(AND('Ratings'!A46&lt;&gt;"",'Ratings'!Q5&lt;&gt;""),'Ratings'!Q5,"")</f>
        <v/>
      </c>
      <c r="F654">
        <f>IF(OR(A654="",'Ratings'!Q46=""),"",'Ratings'!Q46)</f>
        <v/>
      </c>
      <c r="G654">
        <f>IF(A654="","",'Employees'!D8)</f>
        <v/>
      </c>
    </row>
    <row r="655">
      <c r="A655">
        <f>IF(AND('Ratings'!A46&lt;&gt;"",'Ratings'!R5&lt;&gt;""),'Ratings'!A46,"")</f>
        <v/>
      </c>
      <c r="B655">
        <f>IF(A655="","",'Employees'!C8)</f>
        <v/>
      </c>
      <c r="C655">
        <f>IF(A655="","",'Ratings'!C46)</f>
        <v/>
      </c>
      <c r="D655">
        <f>IF(A655="","",'Ratings'!D46)</f>
        <v/>
      </c>
      <c r="E655">
        <f>IF(AND('Ratings'!A46&lt;&gt;"",'Ratings'!R5&lt;&gt;""),'Ratings'!R5,"")</f>
        <v/>
      </c>
      <c r="F655">
        <f>IF(OR(A655="",'Ratings'!R46=""),"",'Ratings'!R46)</f>
        <v/>
      </c>
      <c r="G655">
        <f>IF(A655="","",'Employees'!D8)</f>
        <v/>
      </c>
    </row>
    <row r="656">
      <c r="A656">
        <f>IF(AND('Ratings'!A46&lt;&gt;"",'Ratings'!S5&lt;&gt;""),'Ratings'!A46,"")</f>
        <v/>
      </c>
      <c r="B656">
        <f>IF(A656="","",'Employees'!C8)</f>
        <v/>
      </c>
      <c r="C656">
        <f>IF(A656="","",'Ratings'!C46)</f>
        <v/>
      </c>
      <c r="D656">
        <f>IF(A656="","",'Ratings'!D46)</f>
        <v/>
      </c>
      <c r="E656">
        <f>IF(AND('Ratings'!A46&lt;&gt;"",'Ratings'!S5&lt;&gt;""),'Ratings'!S5,"")</f>
        <v/>
      </c>
      <c r="F656">
        <f>IF(OR(A656="",'Ratings'!S46=""),"",'Ratings'!S46)</f>
        <v/>
      </c>
      <c r="G656">
        <f>IF(A656="","",'Employees'!D8)</f>
        <v/>
      </c>
    </row>
    <row r="657">
      <c r="A657">
        <f>IF(AND('Ratings'!A46&lt;&gt;"",'Ratings'!T5&lt;&gt;""),'Ratings'!A46,"")</f>
        <v/>
      </c>
      <c r="B657">
        <f>IF(A657="","",'Employees'!C8)</f>
        <v/>
      </c>
      <c r="C657">
        <f>IF(A657="","",'Ratings'!C46)</f>
        <v/>
      </c>
      <c r="D657">
        <f>IF(A657="","",'Ratings'!D46)</f>
        <v/>
      </c>
      <c r="E657">
        <f>IF(AND('Ratings'!A46&lt;&gt;"",'Ratings'!T5&lt;&gt;""),'Ratings'!T5,"")</f>
        <v/>
      </c>
      <c r="F657">
        <f>IF(OR(A657="",'Ratings'!T46=""),"",'Ratings'!T46)</f>
        <v/>
      </c>
      <c r="G657">
        <f>IF(A657="","",'Employees'!D8)</f>
        <v/>
      </c>
    </row>
    <row r="658">
      <c r="A658">
        <f>IF(AND('Ratings'!A47&lt;&gt;"",'Ratings'!E5&lt;&gt;""),'Ratings'!A47,"")</f>
        <v/>
      </c>
      <c r="B658">
        <f>IF(A658="","",'Employees'!C8)</f>
        <v/>
      </c>
      <c r="C658">
        <f>IF(A658="","",'Ratings'!C47)</f>
        <v/>
      </c>
      <c r="D658">
        <f>IF(A658="","",'Ratings'!D47)</f>
        <v/>
      </c>
      <c r="E658">
        <f>IF(AND('Ratings'!A47&lt;&gt;"",'Ratings'!E5&lt;&gt;""),'Ratings'!E5,"")</f>
        <v/>
      </c>
      <c r="F658">
        <f>IF(OR(A658="",'Ratings'!E47=""),"",'Ratings'!E47)</f>
        <v/>
      </c>
      <c r="G658">
        <f>IF(A658="","",'Employees'!D8)</f>
        <v/>
      </c>
    </row>
    <row r="659">
      <c r="A659">
        <f>IF(AND('Ratings'!A47&lt;&gt;"",'Ratings'!F5&lt;&gt;""),'Ratings'!A47,"")</f>
        <v/>
      </c>
      <c r="B659">
        <f>IF(A659="","",'Employees'!C8)</f>
        <v/>
      </c>
      <c r="C659">
        <f>IF(A659="","",'Ratings'!C47)</f>
        <v/>
      </c>
      <c r="D659">
        <f>IF(A659="","",'Ratings'!D47)</f>
        <v/>
      </c>
      <c r="E659">
        <f>IF(AND('Ratings'!A47&lt;&gt;"",'Ratings'!F5&lt;&gt;""),'Ratings'!F5,"")</f>
        <v/>
      </c>
      <c r="F659">
        <f>IF(OR(A659="",'Ratings'!F47=""),"",'Ratings'!F47)</f>
        <v/>
      </c>
      <c r="G659">
        <f>IF(A659="","",'Employees'!D8)</f>
        <v/>
      </c>
    </row>
    <row r="660">
      <c r="A660">
        <f>IF(AND('Ratings'!A47&lt;&gt;"",'Ratings'!G5&lt;&gt;""),'Ratings'!A47,"")</f>
        <v/>
      </c>
      <c r="B660">
        <f>IF(A660="","",'Employees'!C8)</f>
        <v/>
      </c>
      <c r="C660">
        <f>IF(A660="","",'Ratings'!C47)</f>
        <v/>
      </c>
      <c r="D660">
        <f>IF(A660="","",'Ratings'!D47)</f>
        <v/>
      </c>
      <c r="E660">
        <f>IF(AND('Ratings'!A47&lt;&gt;"",'Ratings'!G5&lt;&gt;""),'Ratings'!G5,"")</f>
        <v/>
      </c>
      <c r="F660">
        <f>IF(OR(A660="",'Ratings'!G47=""),"",'Ratings'!G47)</f>
        <v/>
      </c>
      <c r="G660">
        <f>IF(A660="","",'Employees'!D8)</f>
        <v/>
      </c>
    </row>
    <row r="661">
      <c r="A661">
        <f>IF(AND('Ratings'!A47&lt;&gt;"",'Ratings'!H5&lt;&gt;""),'Ratings'!A47,"")</f>
        <v/>
      </c>
      <c r="B661">
        <f>IF(A661="","",'Employees'!C8)</f>
        <v/>
      </c>
      <c r="C661">
        <f>IF(A661="","",'Ratings'!C47)</f>
        <v/>
      </c>
      <c r="D661">
        <f>IF(A661="","",'Ratings'!D47)</f>
        <v/>
      </c>
      <c r="E661">
        <f>IF(AND('Ratings'!A47&lt;&gt;"",'Ratings'!H5&lt;&gt;""),'Ratings'!H5,"")</f>
        <v/>
      </c>
      <c r="F661">
        <f>IF(OR(A661="",'Ratings'!H47=""),"",'Ratings'!H47)</f>
        <v/>
      </c>
      <c r="G661">
        <f>IF(A661="","",'Employees'!D8)</f>
        <v/>
      </c>
    </row>
    <row r="662">
      <c r="A662">
        <f>IF(AND('Ratings'!A47&lt;&gt;"",'Ratings'!I5&lt;&gt;""),'Ratings'!A47,"")</f>
        <v/>
      </c>
      <c r="B662">
        <f>IF(A662="","",'Employees'!C8)</f>
        <v/>
      </c>
      <c r="C662">
        <f>IF(A662="","",'Ratings'!C47)</f>
        <v/>
      </c>
      <c r="D662">
        <f>IF(A662="","",'Ratings'!D47)</f>
        <v/>
      </c>
      <c r="E662">
        <f>IF(AND('Ratings'!A47&lt;&gt;"",'Ratings'!I5&lt;&gt;""),'Ratings'!I5,"")</f>
        <v/>
      </c>
      <c r="F662">
        <f>IF(OR(A662="",'Ratings'!I47=""),"",'Ratings'!I47)</f>
        <v/>
      </c>
      <c r="G662">
        <f>IF(A662="","",'Employees'!D8)</f>
        <v/>
      </c>
    </row>
    <row r="663">
      <c r="A663">
        <f>IF(AND('Ratings'!A47&lt;&gt;"",'Ratings'!J5&lt;&gt;""),'Ratings'!A47,"")</f>
        <v/>
      </c>
      <c r="B663">
        <f>IF(A663="","",'Employees'!C8)</f>
        <v/>
      </c>
      <c r="C663">
        <f>IF(A663="","",'Ratings'!C47)</f>
        <v/>
      </c>
      <c r="D663">
        <f>IF(A663="","",'Ratings'!D47)</f>
        <v/>
      </c>
      <c r="E663">
        <f>IF(AND('Ratings'!A47&lt;&gt;"",'Ratings'!J5&lt;&gt;""),'Ratings'!J5,"")</f>
        <v/>
      </c>
      <c r="F663">
        <f>IF(OR(A663="",'Ratings'!J47=""),"",'Ratings'!J47)</f>
        <v/>
      </c>
      <c r="G663">
        <f>IF(A663="","",'Employees'!D8)</f>
        <v/>
      </c>
    </row>
    <row r="664">
      <c r="A664">
        <f>IF(AND('Ratings'!A47&lt;&gt;"",'Ratings'!K5&lt;&gt;""),'Ratings'!A47,"")</f>
        <v/>
      </c>
      <c r="B664">
        <f>IF(A664="","",'Employees'!C8)</f>
        <v/>
      </c>
      <c r="C664">
        <f>IF(A664="","",'Ratings'!C47)</f>
        <v/>
      </c>
      <c r="D664">
        <f>IF(A664="","",'Ratings'!D47)</f>
        <v/>
      </c>
      <c r="E664">
        <f>IF(AND('Ratings'!A47&lt;&gt;"",'Ratings'!K5&lt;&gt;""),'Ratings'!K5,"")</f>
        <v/>
      </c>
      <c r="F664">
        <f>IF(OR(A664="",'Ratings'!K47=""),"",'Ratings'!K47)</f>
        <v/>
      </c>
      <c r="G664">
        <f>IF(A664="","",'Employees'!D8)</f>
        <v/>
      </c>
    </row>
    <row r="665">
      <c r="A665">
        <f>IF(AND('Ratings'!A47&lt;&gt;"",'Ratings'!L5&lt;&gt;""),'Ratings'!A47,"")</f>
        <v/>
      </c>
      <c r="B665">
        <f>IF(A665="","",'Employees'!C8)</f>
        <v/>
      </c>
      <c r="C665">
        <f>IF(A665="","",'Ratings'!C47)</f>
        <v/>
      </c>
      <c r="D665">
        <f>IF(A665="","",'Ratings'!D47)</f>
        <v/>
      </c>
      <c r="E665">
        <f>IF(AND('Ratings'!A47&lt;&gt;"",'Ratings'!L5&lt;&gt;""),'Ratings'!L5,"")</f>
        <v/>
      </c>
      <c r="F665">
        <f>IF(OR(A665="",'Ratings'!L47=""),"",'Ratings'!L47)</f>
        <v/>
      </c>
      <c r="G665">
        <f>IF(A665="","",'Employees'!D8)</f>
        <v/>
      </c>
    </row>
    <row r="666">
      <c r="A666">
        <f>IF(AND('Ratings'!A47&lt;&gt;"",'Ratings'!M5&lt;&gt;""),'Ratings'!A47,"")</f>
        <v/>
      </c>
      <c r="B666">
        <f>IF(A666="","",'Employees'!C8)</f>
        <v/>
      </c>
      <c r="C666">
        <f>IF(A666="","",'Ratings'!C47)</f>
        <v/>
      </c>
      <c r="D666">
        <f>IF(A666="","",'Ratings'!D47)</f>
        <v/>
      </c>
      <c r="E666">
        <f>IF(AND('Ratings'!A47&lt;&gt;"",'Ratings'!M5&lt;&gt;""),'Ratings'!M5,"")</f>
        <v/>
      </c>
      <c r="F666">
        <f>IF(OR(A666="",'Ratings'!M47=""),"",'Ratings'!M47)</f>
        <v/>
      </c>
      <c r="G666">
        <f>IF(A666="","",'Employees'!D8)</f>
        <v/>
      </c>
    </row>
    <row r="667">
      <c r="A667">
        <f>IF(AND('Ratings'!A47&lt;&gt;"",'Ratings'!N5&lt;&gt;""),'Ratings'!A47,"")</f>
        <v/>
      </c>
      <c r="B667">
        <f>IF(A667="","",'Employees'!C8)</f>
        <v/>
      </c>
      <c r="C667">
        <f>IF(A667="","",'Ratings'!C47)</f>
        <v/>
      </c>
      <c r="D667">
        <f>IF(A667="","",'Ratings'!D47)</f>
        <v/>
      </c>
      <c r="E667">
        <f>IF(AND('Ratings'!A47&lt;&gt;"",'Ratings'!N5&lt;&gt;""),'Ratings'!N5,"")</f>
        <v/>
      </c>
      <c r="F667">
        <f>IF(OR(A667="",'Ratings'!N47=""),"",'Ratings'!N47)</f>
        <v/>
      </c>
      <c r="G667">
        <f>IF(A667="","",'Employees'!D8)</f>
        <v/>
      </c>
    </row>
    <row r="668">
      <c r="A668">
        <f>IF(AND('Ratings'!A47&lt;&gt;"",'Ratings'!O5&lt;&gt;""),'Ratings'!A47,"")</f>
        <v/>
      </c>
      <c r="B668">
        <f>IF(A668="","",'Employees'!C8)</f>
        <v/>
      </c>
      <c r="C668">
        <f>IF(A668="","",'Ratings'!C47)</f>
        <v/>
      </c>
      <c r="D668">
        <f>IF(A668="","",'Ratings'!D47)</f>
        <v/>
      </c>
      <c r="E668">
        <f>IF(AND('Ratings'!A47&lt;&gt;"",'Ratings'!O5&lt;&gt;""),'Ratings'!O5,"")</f>
        <v/>
      </c>
      <c r="F668">
        <f>IF(OR(A668="",'Ratings'!O47=""),"",'Ratings'!O47)</f>
        <v/>
      </c>
      <c r="G668">
        <f>IF(A668="","",'Employees'!D8)</f>
        <v/>
      </c>
    </row>
    <row r="669">
      <c r="A669">
        <f>IF(AND('Ratings'!A47&lt;&gt;"",'Ratings'!P5&lt;&gt;""),'Ratings'!A47,"")</f>
        <v/>
      </c>
      <c r="B669">
        <f>IF(A669="","",'Employees'!C8)</f>
        <v/>
      </c>
      <c r="C669">
        <f>IF(A669="","",'Ratings'!C47)</f>
        <v/>
      </c>
      <c r="D669">
        <f>IF(A669="","",'Ratings'!D47)</f>
        <v/>
      </c>
      <c r="E669">
        <f>IF(AND('Ratings'!A47&lt;&gt;"",'Ratings'!P5&lt;&gt;""),'Ratings'!P5,"")</f>
        <v/>
      </c>
      <c r="F669">
        <f>IF(OR(A669="",'Ratings'!P47=""),"",'Ratings'!P47)</f>
        <v/>
      </c>
      <c r="G669">
        <f>IF(A669="","",'Employees'!D8)</f>
        <v/>
      </c>
    </row>
    <row r="670">
      <c r="A670">
        <f>IF(AND('Ratings'!A47&lt;&gt;"",'Ratings'!Q5&lt;&gt;""),'Ratings'!A47,"")</f>
        <v/>
      </c>
      <c r="B670">
        <f>IF(A670="","",'Employees'!C8)</f>
        <v/>
      </c>
      <c r="C670">
        <f>IF(A670="","",'Ratings'!C47)</f>
        <v/>
      </c>
      <c r="D670">
        <f>IF(A670="","",'Ratings'!D47)</f>
        <v/>
      </c>
      <c r="E670">
        <f>IF(AND('Ratings'!A47&lt;&gt;"",'Ratings'!Q5&lt;&gt;""),'Ratings'!Q5,"")</f>
        <v/>
      </c>
      <c r="F670">
        <f>IF(OR(A670="",'Ratings'!Q47=""),"",'Ratings'!Q47)</f>
        <v/>
      </c>
      <c r="G670">
        <f>IF(A670="","",'Employees'!D8)</f>
        <v/>
      </c>
    </row>
    <row r="671">
      <c r="A671">
        <f>IF(AND('Ratings'!A47&lt;&gt;"",'Ratings'!R5&lt;&gt;""),'Ratings'!A47,"")</f>
        <v/>
      </c>
      <c r="B671">
        <f>IF(A671="","",'Employees'!C8)</f>
        <v/>
      </c>
      <c r="C671">
        <f>IF(A671="","",'Ratings'!C47)</f>
        <v/>
      </c>
      <c r="D671">
        <f>IF(A671="","",'Ratings'!D47)</f>
        <v/>
      </c>
      <c r="E671">
        <f>IF(AND('Ratings'!A47&lt;&gt;"",'Ratings'!R5&lt;&gt;""),'Ratings'!R5,"")</f>
        <v/>
      </c>
      <c r="F671">
        <f>IF(OR(A671="",'Ratings'!R47=""),"",'Ratings'!R47)</f>
        <v/>
      </c>
      <c r="G671">
        <f>IF(A671="","",'Employees'!D8)</f>
        <v/>
      </c>
    </row>
    <row r="672">
      <c r="A672">
        <f>IF(AND('Ratings'!A47&lt;&gt;"",'Ratings'!S5&lt;&gt;""),'Ratings'!A47,"")</f>
        <v/>
      </c>
      <c r="B672">
        <f>IF(A672="","",'Employees'!C8)</f>
        <v/>
      </c>
      <c r="C672">
        <f>IF(A672="","",'Ratings'!C47)</f>
        <v/>
      </c>
      <c r="D672">
        <f>IF(A672="","",'Ratings'!D47)</f>
        <v/>
      </c>
      <c r="E672">
        <f>IF(AND('Ratings'!A47&lt;&gt;"",'Ratings'!S5&lt;&gt;""),'Ratings'!S5,"")</f>
        <v/>
      </c>
      <c r="F672">
        <f>IF(OR(A672="",'Ratings'!S47=""),"",'Ratings'!S47)</f>
        <v/>
      </c>
      <c r="G672">
        <f>IF(A672="","",'Employees'!D8)</f>
        <v/>
      </c>
    </row>
    <row r="673">
      <c r="A673">
        <f>IF(AND('Ratings'!A47&lt;&gt;"",'Ratings'!T5&lt;&gt;""),'Ratings'!A47,"")</f>
        <v/>
      </c>
      <c r="B673">
        <f>IF(A673="","",'Employees'!C8)</f>
        <v/>
      </c>
      <c r="C673">
        <f>IF(A673="","",'Ratings'!C47)</f>
        <v/>
      </c>
      <c r="D673">
        <f>IF(A673="","",'Ratings'!D47)</f>
        <v/>
      </c>
      <c r="E673">
        <f>IF(AND('Ratings'!A47&lt;&gt;"",'Ratings'!T5&lt;&gt;""),'Ratings'!T5,"")</f>
        <v/>
      </c>
      <c r="F673">
        <f>IF(OR(A673="",'Ratings'!T47=""),"",'Ratings'!T47)</f>
        <v/>
      </c>
      <c r="G673">
        <f>IF(A673="","",'Employees'!D8)</f>
        <v/>
      </c>
    </row>
    <row r="674">
      <c r="A674">
        <f>IF(AND('Ratings'!A48&lt;&gt;"",'Ratings'!E5&lt;&gt;""),'Ratings'!A48,"")</f>
        <v/>
      </c>
      <c r="B674">
        <f>IF(A674="","",'Employees'!C8)</f>
        <v/>
      </c>
      <c r="C674">
        <f>IF(A674="","",'Ratings'!C48)</f>
        <v/>
      </c>
      <c r="D674">
        <f>IF(A674="","",'Ratings'!D48)</f>
        <v/>
      </c>
      <c r="E674">
        <f>IF(AND('Ratings'!A48&lt;&gt;"",'Ratings'!E5&lt;&gt;""),'Ratings'!E5,"")</f>
        <v/>
      </c>
      <c r="F674">
        <f>IF(OR(A674="",'Ratings'!E48=""),"",'Ratings'!E48)</f>
        <v/>
      </c>
      <c r="G674">
        <f>IF(A674="","",'Employees'!D8)</f>
        <v/>
      </c>
    </row>
    <row r="675">
      <c r="A675">
        <f>IF(AND('Ratings'!A48&lt;&gt;"",'Ratings'!F5&lt;&gt;""),'Ratings'!A48,"")</f>
        <v/>
      </c>
      <c r="B675">
        <f>IF(A675="","",'Employees'!C8)</f>
        <v/>
      </c>
      <c r="C675">
        <f>IF(A675="","",'Ratings'!C48)</f>
        <v/>
      </c>
      <c r="D675">
        <f>IF(A675="","",'Ratings'!D48)</f>
        <v/>
      </c>
      <c r="E675">
        <f>IF(AND('Ratings'!A48&lt;&gt;"",'Ratings'!F5&lt;&gt;""),'Ratings'!F5,"")</f>
        <v/>
      </c>
      <c r="F675">
        <f>IF(OR(A675="",'Ratings'!F48=""),"",'Ratings'!F48)</f>
        <v/>
      </c>
      <c r="G675">
        <f>IF(A675="","",'Employees'!D8)</f>
        <v/>
      </c>
    </row>
    <row r="676">
      <c r="A676">
        <f>IF(AND('Ratings'!A48&lt;&gt;"",'Ratings'!G5&lt;&gt;""),'Ratings'!A48,"")</f>
        <v/>
      </c>
      <c r="B676">
        <f>IF(A676="","",'Employees'!C8)</f>
        <v/>
      </c>
      <c r="C676">
        <f>IF(A676="","",'Ratings'!C48)</f>
        <v/>
      </c>
      <c r="D676">
        <f>IF(A676="","",'Ratings'!D48)</f>
        <v/>
      </c>
      <c r="E676">
        <f>IF(AND('Ratings'!A48&lt;&gt;"",'Ratings'!G5&lt;&gt;""),'Ratings'!G5,"")</f>
        <v/>
      </c>
      <c r="F676">
        <f>IF(OR(A676="",'Ratings'!G48=""),"",'Ratings'!G48)</f>
        <v/>
      </c>
      <c r="G676">
        <f>IF(A676="","",'Employees'!D8)</f>
        <v/>
      </c>
    </row>
    <row r="677">
      <c r="A677">
        <f>IF(AND('Ratings'!A48&lt;&gt;"",'Ratings'!H5&lt;&gt;""),'Ratings'!A48,"")</f>
        <v/>
      </c>
      <c r="B677">
        <f>IF(A677="","",'Employees'!C8)</f>
        <v/>
      </c>
      <c r="C677">
        <f>IF(A677="","",'Ratings'!C48)</f>
        <v/>
      </c>
      <c r="D677">
        <f>IF(A677="","",'Ratings'!D48)</f>
        <v/>
      </c>
      <c r="E677">
        <f>IF(AND('Ratings'!A48&lt;&gt;"",'Ratings'!H5&lt;&gt;""),'Ratings'!H5,"")</f>
        <v/>
      </c>
      <c r="F677">
        <f>IF(OR(A677="",'Ratings'!H48=""),"",'Ratings'!H48)</f>
        <v/>
      </c>
      <c r="G677">
        <f>IF(A677="","",'Employees'!D8)</f>
        <v/>
      </c>
    </row>
    <row r="678">
      <c r="A678">
        <f>IF(AND('Ratings'!A48&lt;&gt;"",'Ratings'!I5&lt;&gt;""),'Ratings'!A48,"")</f>
        <v/>
      </c>
      <c r="B678">
        <f>IF(A678="","",'Employees'!C8)</f>
        <v/>
      </c>
      <c r="C678">
        <f>IF(A678="","",'Ratings'!C48)</f>
        <v/>
      </c>
      <c r="D678">
        <f>IF(A678="","",'Ratings'!D48)</f>
        <v/>
      </c>
      <c r="E678">
        <f>IF(AND('Ratings'!A48&lt;&gt;"",'Ratings'!I5&lt;&gt;""),'Ratings'!I5,"")</f>
        <v/>
      </c>
      <c r="F678">
        <f>IF(OR(A678="",'Ratings'!I48=""),"",'Ratings'!I48)</f>
        <v/>
      </c>
      <c r="G678">
        <f>IF(A678="","",'Employees'!D8)</f>
        <v/>
      </c>
    </row>
    <row r="679">
      <c r="A679">
        <f>IF(AND('Ratings'!A48&lt;&gt;"",'Ratings'!J5&lt;&gt;""),'Ratings'!A48,"")</f>
        <v/>
      </c>
      <c r="B679">
        <f>IF(A679="","",'Employees'!C8)</f>
        <v/>
      </c>
      <c r="C679">
        <f>IF(A679="","",'Ratings'!C48)</f>
        <v/>
      </c>
      <c r="D679">
        <f>IF(A679="","",'Ratings'!D48)</f>
        <v/>
      </c>
      <c r="E679">
        <f>IF(AND('Ratings'!A48&lt;&gt;"",'Ratings'!J5&lt;&gt;""),'Ratings'!J5,"")</f>
        <v/>
      </c>
      <c r="F679">
        <f>IF(OR(A679="",'Ratings'!J48=""),"",'Ratings'!J48)</f>
        <v/>
      </c>
      <c r="G679">
        <f>IF(A679="","",'Employees'!D8)</f>
        <v/>
      </c>
    </row>
    <row r="680">
      <c r="A680">
        <f>IF(AND('Ratings'!A48&lt;&gt;"",'Ratings'!K5&lt;&gt;""),'Ratings'!A48,"")</f>
        <v/>
      </c>
      <c r="B680">
        <f>IF(A680="","",'Employees'!C8)</f>
        <v/>
      </c>
      <c r="C680">
        <f>IF(A680="","",'Ratings'!C48)</f>
        <v/>
      </c>
      <c r="D680">
        <f>IF(A680="","",'Ratings'!D48)</f>
        <v/>
      </c>
      <c r="E680">
        <f>IF(AND('Ratings'!A48&lt;&gt;"",'Ratings'!K5&lt;&gt;""),'Ratings'!K5,"")</f>
        <v/>
      </c>
      <c r="F680">
        <f>IF(OR(A680="",'Ratings'!K48=""),"",'Ratings'!K48)</f>
        <v/>
      </c>
      <c r="G680">
        <f>IF(A680="","",'Employees'!D8)</f>
        <v/>
      </c>
    </row>
    <row r="681">
      <c r="A681">
        <f>IF(AND('Ratings'!A48&lt;&gt;"",'Ratings'!L5&lt;&gt;""),'Ratings'!A48,"")</f>
        <v/>
      </c>
      <c r="B681">
        <f>IF(A681="","",'Employees'!C8)</f>
        <v/>
      </c>
      <c r="C681">
        <f>IF(A681="","",'Ratings'!C48)</f>
        <v/>
      </c>
      <c r="D681">
        <f>IF(A681="","",'Ratings'!D48)</f>
        <v/>
      </c>
      <c r="E681">
        <f>IF(AND('Ratings'!A48&lt;&gt;"",'Ratings'!L5&lt;&gt;""),'Ratings'!L5,"")</f>
        <v/>
      </c>
      <c r="F681">
        <f>IF(OR(A681="",'Ratings'!L48=""),"",'Ratings'!L48)</f>
        <v/>
      </c>
      <c r="G681">
        <f>IF(A681="","",'Employees'!D8)</f>
        <v/>
      </c>
    </row>
    <row r="682">
      <c r="A682">
        <f>IF(AND('Ratings'!A48&lt;&gt;"",'Ratings'!M5&lt;&gt;""),'Ratings'!A48,"")</f>
        <v/>
      </c>
      <c r="B682">
        <f>IF(A682="","",'Employees'!C8)</f>
        <v/>
      </c>
      <c r="C682">
        <f>IF(A682="","",'Ratings'!C48)</f>
        <v/>
      </c>
      <c r="D682">
        <f>IF(A682="","",'Ratings'!D48)</f>
        <v/>
      </c>
      <c r="E682">
        <f>IF(AND('Ratings'!A48&lt;&gt;"",'Ratings'!M5&lt;&gt;""),'Ratings'!M5,"")</f>
        <v/>
      </c>
      <c r="F682">
        <f>IF(OR(A682="",'Ratings'!M48=""),"",'Ratings'!M48)</f>
        <v/>
      </c>
      <c r="G682">
        <f>IF(A682="","",'Employees'!D8)</f>
        <v/>
      </c>
    </row>
    <row r="683">
      <c r="A683">
        <f>IF(AND('Ratings'!A48&lt;&gt;"",'Ratings'!N5&lt;&gt;""),'Ratings'!A48,"")</f>
        <v/>
      </c>
      <c r="B683">
        <f>IF(A683="","",'Employees'!C8)</f>
        <v/>
      </c>
      <c r="C683">
        <f>IF(A683="","",'Ratings'!C48)</f>
        <v/>
      </c>
      <c r="D683">
        <f>IF(A683="","",'Ratings'!D48)</f>
        <v/>
      </c>
      <c r="E683">
        <f>IF(AND('Ratings'!A48&lt;&gt;"",'Ratings'!N5&lt;&gt;""),'Ratings'!N5,"")</f>
        <v/>
      </c>
      <c r="F683">
        <f>IF(OR(A683="",'Ratings'!N48=""),"",'Ratings'!N48)</f>
        <v/>
      </c>
      <c r="G683">
        <f>IF(A683="","",'Employees'!D8)</f>
        <v/>
      </c>
    </row>
    <row r="684">
      <c r="A684">
        <f>IF(AND('Ratings'!A48&lt;&gt;"",'Ratings'!O5&lt;&gt;""),'Ratings'!A48,"")</f>
        <v/>
      </c>
      <c r="B684">
        <f>IF(A684="","",'Employees'!C8)</f>
        <v/>
      </c>
      <c r="C684">
        <f>IF(A684="","",'Ratings'!C48)</f>
        <v/>
      </c>
      <c r="D684">
        <f>IF(A684="","",'Ratings'!D48)</f>
        <v/>
      </c>
      <c r="E684">
        <f>IF(AND('Ratings'!A48&lt;&gt;"",'Ratings'!O5&lt;&gt;""),'Ratings'!O5,"")</f>
        <v/>
      </c>
      <c r="F684">
        <f>IF(OR(A684="",'Ratings'!O48=""),"",'Ratings'!O48)</f>
        <v/>
      </c>
      <c r="G684">
        <f>IF(A684="","",'Employees'!D8)</f>
        <v/>
      </c>
    </row>
    <row r="685">
      <c r="A685">
        <f>IF(AND('Ratings'!A48&lt;&gt;"",'Ratings'!P5&lt;&gt;""),'Ratings'!A48,"")</f>
        <v/>
      </c>
      <c r="B685">
        <f>IF(A685="","",'Employees'!C8)</f>
        <v/>
      </c>
      <c r="C685">
        <f>IF(A685="","",'Ratings'!C48)</f>
        <v/>
      </c>
      <c r="D685">
        <f>IF(A685="","",'Ratings'!D48)</f>
        <v/>
      </c>
      <c r="E685">
        <f>IF(AND('Ratings'!A48&lt;&gt;"",'Ratings'!P5&lt;&gt;""),'Ratings'!P5,"")</f>
        <v/>
      </c>
      <c r="F685">
        <f>IF(OR(A685="",'Ratings'!P48=""),"",'Ratings'!P48)</f>
        <v/>
      </c>
      <c r="G685">
        <f>IF(A685="","",'Employees'!D8)</f>
        <v/>
      </c>
    </row>
    <row r="686">
      <c r="A686">
        <f>IF(AND('Ratings'!A48&lt;&gt;"",'Ratings'!Q5&lt;&gt;""),'Ratings'!A48,"")</f>
        <v/>
      </c>
      <c r="B686">
        <f>IF(A686="","",'Employees'!C8)</f>
        <v/>
      </c>
      <c r="C686">
        <f>IF(A686="","",'Ratings'!C48)</f>
        <v/>
      </c>
      <c r="D686">
        <f>IF(A686="","",'Ratings'!D48)</f>
        <v/>
      </c>
      <c r="E686">
        <f>IF(AND('Ratings'!A48&lt;&gt;"",'Ratings'!Q5&lt;&gt;""),'Ratings'!Q5,"")</f>
        <v/>
      </c>
      <c r="F686">
        <f>IF(OR(A686="",'Ratings'!Q48=""),"",'Ratings'!Q48)</f>
        <v/>
      </c>
      <c r="G686">
        <f>IF(A686="","",'Employees'!D8)</f>
        <v/>
      </c>
    </row>
    <row r="687">
      <c r="A687">
        <f>IF(AND('Ratings'!A48&lt;&gt;"",'Ratings'!R5&lt;&gt;""),'Ratings'!A48,"")</f>
        <v/>
      </c>
      <c r="B687">
        <f>IF(A687="","",'Employees'!C8)</f>
        <v/>
      </c>
      <c r="C687">
        <f>IF(A687="","",'Ratings'!C48)</f>
        <v/>
      </c>
      <c r="D687">
        <f>IF(A687="","",'Ratings'!D48)</f>
        <v/>
      </c>
      <c r="E687">
        <f>IF(AND('Ratings'!A48&lt;&gt;"",'Ratings'!R5&lt;&gt;""),'Ratings'!R5,"")</f>
        <v/>
      </c>
      <c r="F687">
        <f>IF(OR(A687="",'Ratings'!R48=""),"",'Ratings'!R48)</f>
        <v/>
      </c>
      <c r="G687">
        <f>IF(A687="","",'Employees'!D8)</f>
        <v/>
      </c>
    </row>
    <row r="688">
      <c r="A688">
        <f>IF(AND('Ratings'!A48&lt;&gt;"",'Ratings'!S5&lt;&gt;""),'Ratings'!A48,"")</f>
        <v/>
      </c>
      <c r="B688">
        <f>IF(A688="","",'Employees'!C8)</f>
        <v/>
      </c>
      <c r="C688">
        <f>IF(A688="","",'Ratings'!C48)</f>
        <v/>
      </c>
      <c r="D688">
        <f>IF(A688="","",'Ratings'!D48)</f>
        <v/>
      </c>
      <c r="E688">
        <f>IF(AND('Ratings'!A48&lt;&gt;"",'Ratings'!S5&lt;&gt;""),'Ratings'!S5,"")</f>
        <v/>
      </c>
      <c r="F688">
        <f>IF(OR(A688="",'Ratings'!S48=""),"",'Ratings'!S48)</f>
        <v/>
      </c>
      <c r="G688">
        <f>IF(A688="","",'Employees'!D8)</f>
        <v/>
      </c>
    </row>
    <row r="689">
      <c r="A689">
        <f>IF(AND('Ratings'!A48&lt;&gt;"",'Ratings'!T5&lt;&gt;""),'Ratings'!A48,"")</f>
        <v/>
      </c>
      <c r="B689">
        <f>IF(A689="","",'Employees'!C8)</f>
        <v/>
      </c>
      <c r="C689">
        <f>IF(A689="","",'Ratings'!C48)</f>
        <v/>
      </c>
      <c r="D689">
        <f>IF(A689="","",'Ratings'!D48)</f>
        <v/>
      </c>
      <c r="E689">
        <f>IF(AND('Ratings'!A48&lt;&gt;"",'Ratings'!T5&lt;&gt;""),'Ratings'!T5,"")</f>
        <v/>
      </c>
      <c r="F689">
        <f>IF(OR(A689="",'Ratings'!T48=""),"",'Ratings'!T48)</f>
        <v/>
      </c>
      <c r="G689">
        <f>IF(A689="","",'Employees'!D8)</f>
        <v/>
      </c>
    </row>
    <row r="690">
      <c r="A690">
        <f>IF(AND('Ratings'!A49&lt;&gt;"",'Ratings'!E5&lt;&gt;""),'Ratings'!A49,"")</f>
        <v/>
      </c>
      <c r="B690">
        <f>IF(A690="","",'Employees'!C8)</f>
        <v/>
      </c>
      <c r="C690">
        <f>IF(A690="","",'Ratings'!C49)</f>
        <v/>
      </c>
      <c r="D690">
        <f>IF(A690="","",'Ratings'!D49)</f>
        <v/>
      </c>
      <c r="E690">
        <f>IF(AND('Ratings'!A49&lt;&gt;"",'Ratings'!E5&lt;&gt;""),'Ratings'!E5,"")</f>
        <v/>
      </c>
      <c r="F690">
        <f>IF(OR(A690="",'Ratings'!E49=""),"",'Ratings'!E49)</f>
        <v/>
      </c>
      <c r="G690">
        <f>IF(A690="","",'Employees'!D8)</f>
        <v/>
      </c>
    </row>
    <row r="691">
      <c r="A691">
        <f>IF(AND('Ratings'!A49&lt;&gt;"",'Ratings'!F5&lt;&gt;""),'Ratings'!A49,"")</f>
        <v/>
      </c>
      <c r="B691">
        <f>IF(A691="","",'Employees'!C8)</f>
        <v/>
      </c>
      <c r="C691">
        <f>IF(A691="","",'Ratings'!C49)</f>
        <v/>
      </c>
      <c r="D691">
        <f>IF(A691="","",'Ratings'!D49)</f>
        <v/>
      </c>
      <c r="E691">
        <f>IF(AND('Ratings'!A49&lt;&gt;"",'Ratings'!F5&lt;&gt;""),'Ratings'!F5,"")</f>
        <v/>
      </c>
      <c r="F691">
        <f>IF(OR(A691="",'Ratings'!F49=""),"",'Ratings'!F49)</f>
        <v/>
      </c>
      <c r="G691">
        <f>IF(A691="","",'Employees'!D8)</f>
        <v/>
      </c>
    </row>
    <row r="692">
      <c r="A692">
        <f>IF(AND('Ratings'!A49&lt;&gt;"",'Ratings'!G5&lt;&gt;""),'Ratings'!A49,"")</f>
        <v/>
      </c>
      <c r="B692">
        <f>IF(A692="","",'Employees'!C8)</f>
        <v/>
      </c>
      <c r="C692">
        <f>IF(A692="","",'Ratings'!C49)</f>
        <v/>
      </c>
      <c r="D692">
        <f>IF(A692="","",'Ratings'!D49)</f>
        <v/>
      </c>
      <c r="E692">
        <f>IF(AND('Ratings'!A49&lt;&gt;"",'Ratings'!G5&lt;&gt;""),'Ratings'!G5,"")</f>
        <v/>
      </c>
      <c r="F692">
        <f>IF(OR(A692="",'Ratings'!G49=""),"",'Ratings'!G49)</f>
        <v/>
      </c>
      <c r="G692">
        <f>IF(A692="","",'Employees'!D8)</f>
        <v/>
      </c>
    </row>
    <row r="693">
      <c r="A693">
        <f>IF(AND('Ratings'!A49&lt;&gt;"",'Ratings'!H5&lt;&gt;""),'Ratings'!A49,"")</f>
        <v/>
      </c>
      <c r="B693">
        <f>IF(A693="","",'Employees'!C8)</f>
        <v/>
      </c>
      <c r="C693">
        <f>IF(A693="","",'Ratings'!C49)</f>
        <v/>
      </c>
      <c r="D693">
        <f>IF(A693="","",'Ratings'!D49)</f>
        <v/>
      </c>
      <c r="E693">
        <f>IF(AND('Ratings'!A49&lt;&gt;"",'Ratings'!H5&lt;&gt;""),'Ratings'!H5,"")</f>
        <v/>
      </c>
      <c r="F693">
        <f>IF(OR(A693="",'Ratings'!H49=""),"",'Ratings'!H49)</f>
        <v/>
      </c>
      <c r="G693">
        <f>IF(A693="","",'Employees'!D8)</f>
        <v/>
      </c>
    </row>
    <row r="694">
      <c r="A694">
        <f>IF(AND('Ratings'!A49&lt;&gt;"",'Ratings'!I5&lt;&gt;""),'Ratings'!A49,"")</f>
        <v/>
      </c>
      <c r="B694">
        <f>IF(A694="","",'Employees'!C8)</f>
        <v/>
      </c>
      <c r="C694">
        <f>IF(A694="","",'Ratings'!C49)</f>
        <v/>
      </c>
      <c r="D694">
        <f>IF(A694="","",'Ratings'!D49)</f>
        <v/>
      </c>
      <c r="E694">
        <f>IF(AND('Ratings'!A49&lt;&gt;"",'Ratings'!I5&lt;&gt;""),'Ratings'!I5,"")</f>
        <v/>
      </c>
      <c r="F694">
        <f>IF(OR(A694="",'Ratings'!I49=""),"",'Ratings'!I49)</f>
        <v/>
      </c>
      <c r="G694">
        <f>IF(A694="","",'Employees'!D8)</f>
        <v/>
      </c>
    </row>
    <row r="695">
      <c r="A695">
        <f>IF(AND('Ratings'!A49&lt;&gt;"",'Ratings'!J5&lt;&gt;""),'Ratings'!A49,"")</f>
        <v/>
      </c>
      <c r="B695">
        <f>IF(A695="","",'Employees'!C8)</f>
        <v/>
      </c>
      <c r="C695">
        <f>IF(A695="","",'Ratings'!C49)</f>
        <v/>
      </c>
      <c r="D695">
        <f>IF(A695="","",'Ratings'!D49)</f>
        <v/>
      </c>
      <c r="E695">
        <f>IF(AND('Ratings'!A49&lt;&gt;"",'Ratings'!J5&lt;&gt;""),'Ratings'!J5,"")</f>
        <v/>
      </c>
      <c r="F695">
        <f>IF(OR(A695="",'Ratings'!J49=""),"",'Ratings'!J49)</f>
        <v/>
      </c>
      <c r="G695">
        <f>IF(A695="","",'Employees'!D8)</f>
        <v/>
      </c>
    </row>
    <row r="696">
      <c r="A696">
        <f>IF(AND('Ratings'!A49&lt;&gt;"",'Ratings'!K5&lt;&gt;""),'Ratings'!A49,"")</f>
        <v/>
      </c>
      <c r="B696">
        <f>IF(A696="","",'Employees'!C8)</f>
        <v/>
      </c>
      <c r="C696">
        <f>IF(A696="","",'Ratings'!C49)</f>
        <v/>
      </c>
      <c r="D696">
        <f>IF(A696="","",'Ratings'!D49)</f>
        <v/>
      </c>
      <c r="E696">
        <f>IF(AND('Ratings'!A49&lt;&gt;"",'Ratings'!K5&lt;&gt;""),'Ratings'!K5,"")</f>
        <v/>
      </c>
      <c r="F696">
        <f>IF(OR(A696="",'Ratings'!K49=""),"",'Ratings'!K49)</f>
        <v/>
      </c>
      <c r="G696">
        <f>IF(A696="","",'Employees'!D8)</f>
        <v/>
      </c>
    </row>
    <row r="697">
      <c r="A697">
        <f>IF(AND('Ratings'!A49&lt;&gt;"",'Ratings'!L5&lt;&gt;""),'Ratings'!A49,"")</f>
        <v/>
      </c>
      <c r="B697">
        <f>IF(A697="","",'Employees'!C8)</f>
        <v/>
      </c>
      <c r="C697">
        <f>IF(A697="","",'Ratings'!C49)</f>
        <v/>
      </c>
      <c r="D697">
        <f>IF(A697="","",'Ratings'!D49)</f>
        <v/>
      </c>
      <c r="E697">
        <f>IF(AND('Ratings'!A49&lt;&gt;"",'Ratings'!L5&lt;&gt;""),'Ratings'!L5,"")</f>
        <v/>
      </c>
      <c r="F697">
        <f>IF(OR(A697="",'Ratings'!L49=""),"",'Ratings'!L49)</f>
        <v/>
      </c>
      <c r="G697">
        <f>IF(A697="","",'Employees'!D8)</f>
        <v/>
      </c>
    </row>
    <row r="698">
      <c r="A698">
        <f>IF(AND('Ratings'!A49&lt;&gt;"",'Ratings'!M5&lt;&gt;""),'Ratings'!A49,"")</f>
        <v/>
      </c>
      <c r="B698">
        <f>IF(A698="","",'Employees'!C8)</f>
        <v/>
      </c>
      <c r="C698">
        <f>IF(A698="","",'Ratings'!C49)</f>
        <v/>
      </c>
      <c r="D698">
        <f>IF(A698="","",'Ratings'!D49)</f>
        <v/>
      </c>
      <c r="E698">
        <f>IF(AND('Ratings'!A49&lt;&gt;"",'Ratings'!M5&lt;&gt;""),'Ratings'!M5,"")</f>
        <v/>
      </c>
      <c r="F698">
        <f>IF(OR(A698="",'Ratings'!M49=""),"",'Ratings'!M49)</f>
        <v/>
      </c>
      <c r="G698">
        <f>IF(A698="","",'Employees'!D8)</f>
        <v/>
      </c>
    </row>
    <row r="699">
      <c r="A699">
        <f>IF(AND('Ratings'!A49&lt;&gt;"",'Ratings'!N5&lt;&gt;""),'Ratings'!A49,"")</f>
        <v/>
      </c>
      <c r="B699">
        <f>IF(A699="","",'Employees'!C8)</f>
        <v/>
      </c>
      <c r="C699">
        <f>IF(A699="","",'Ratings'!C49)</f>
        <v/>
      </c>
      <c r="D699">
        <f>IF(A699="","",'Ratings'!D49)</f>
        <v/>
      </c>
      <c r="E699">
        <f>IF(AND('Ratings'!A49&lt;&gt;"",'Ratings'!N5&lt;&gt;""),'Ratings'!N5,"")</f>
        <v/>
      </c>
      <c r="F699">
        <f>IF(OR(A699="",'Ratings'!N49=""),"",'Ratings'!N49)</f>
        <v/>
      </c>
      <c r="G699">
        <f>IF(A699="","",'Employees'!D8)</f>
        <v/>
      </c>
    </row>
    <row r="700">
      <c r="A700">
        <f>IF(AND('Ratings'!A49&lt;&gt;"",'Ratings'!O5&lt;&gt;""),'Ratings'!A49,"")</f>
        <v/>
      </c>
      <c r="B700">
        <f>IF(A700="","",'Employees'!C8)</f>
        <v/>
      </c>
      <c r="C700">
        <f>IF(A700="","",'Ratings'!C49)</f>
        <v/>
      </c>
      <c r="D700">
        <f>IF(A700="","",'Ratings'!D49)</f>
        <v/>
      </c>
      <c r="E700">
        <f>IF(AND('Ratings'!A49&lt;&gt;"",'Ratings'!O5&lt;&gt;""),'Ratings'!O5,"")</f>
        <v/>
      </c>
      <c r="F700">
        <f>IF(OR(A700="",'Ratings'!O49=""),"",'Ratings'!O49)</f>
        <v/>
      </c>
      <c r="G700">
        <f>IF(A700="","",'Employees'!D8)</f>
        <v/>
      </c>
    </row>
    <row r="701">
      <c r="A701">
        <f>IF(AND('Ratings'!A49&lt;&gt;"",'Ratings'!P5&lt;&gt;""),'Ratings'!A49,"")</f>
        <v/>
      </c>
      <c r="B701">
        <f>IF(A701="","",'Employees'!C8)</f>
        <v/>
      </c>
      <c r="C701">
        <f>IF(A701="","",'Ratings'!C49)</f>
        <v/>
      </c>
      <c r="D701">
        <f>IF(A701="","",'Ratings'!D49)</f>
        <v/>
      </c>
      <c r="E701">
        <f>IF(AND('Ratings'!A49&lt;&gt;"",'Ratings'!P5&lt;&gt;""),'Ratings'!P5,"")</f>
        <v/>
      </c>
      <c r="F701">
        <f>IF(OR(A701="",'Ratings'!P49=""),"",'Ratings'!P49)</f>
        <v/>
      </c>
      <c r="G701">
        <f>IF(A701="","",'Employees'!D8)</f>
        <v/>
      </c>
    </row>
    <row r="702">
      <c r="A702">
        <f>IF(AND('Ratings'!A49&lt;&gt;"",'Ratings'!Q5&lt;&gt;""),'Ratings'!A49,"")</f>
        <v/>
      </c>
      <c r="B702">
        <f>IF(A702="","",'Employees'!C8)</f>
        <v/>
      </c>
      <c r="C702">
        <f>IF(A702="","",'Ratings'!C49)</f>
        <v/>
      </c>
      <c r="D702">
        <f>IF(A702="","",'Ratings'!D49)</f>
        <v/>
      </c>
      <c r="E702">
        <f>IF(AND('Ratings'!A49&lt;&gt;"",'Ratings'!Q5&lt;&gt;""),'Ratings'!Q5,"")</f>
        <v/>
      </c>
      <c r="F702">
        <f>IF(OR(A702="",'Ratings'!Q49=""),"",'Ratings'!Q49)</f>
        <v/>
      </c>
      <c r="G702">
        <f>IF(A702="","",'Employees'!D8)</f>
        <v/>
      </c>
    </row>
    <row r="703">
      <c r="A703">
        <f>IF(AND('Ratings'!A49&lt;&gt;"",'Ratings'!R5&lt;&gt;""),'Ratings'!A49,"")</f>
        <v/>
      </c>
      <c r="B703">
        <f>IF(A703="","",'Employees'!C8)</f>
        <v/>
      </c>
      <c r="C703">
        <f>IF(A703="","",'Ratings'!C49)</f>
        <v/>
      </c>
      <c r="D703">
        <f>IF(A703="","",'Ratings'!D49)</f>
        <v/>
      </c>
      <c r="E703">
        <f>IF(AND('Ratings'!A49&lt;&gt;"",'Ratings'!R5&lt;&gt;""),'Ratings'!R5,"")</f>
        <v/>
      </c>
      <c r="F703">
        <f>IF(OR(A703="",'Ratings'!R49=""),"",'Ratings'!R49)</f>
        <v/>
      </c>
      <c r="G703">
        <f>IF(A703="","",'Employees'!D8)</f>
        <v/>
      </c>
    </row>
    <row r="704">
      <c r="A704">
        <f>IF(AND('Ratings'!A49&lt;&gt;"",'Ratings'!S5&lt;&gt;""),'Ratings'!A49,"")</f>
        <v/>
      </c>
      <c r="B704">
        <f>IF(A704="","",'Employees'!C8)</f>
        <v/>
      </c>
      <c r="C704">
        <f>IF(A704="","",'Ratings'!C49)</f>
        <v/>
      </c>
      <c r="D704">
        <f>IF(A704="","",'Ratings'!D49)</f>
        <v/>
      </c>
      <c r="E704">
        <f>IF(AND('Ratings'!A49&lt;&gt;"",'Ratings'!S5&lt;&gt;""),'Ratings'!S5,"")</f>
        <v/>
      </c>
      <c r="F704">
        <f>IF(OR(A704="",'Ratings'!S49=""),"",'Ratings'!S49)</f>
        <v/>
      </c>
      <c r="G704">
        <f>IF(A704="","",'Employees'!D8)</f>
        <v/>
      </c>
    </row>
    <row r="705">
      <c r="A705">
        <f>IF(AND('Ratings'!A49&lt;&gt;"",'Ratings'!T5&lt;&gt;""),'Ratings'!A49,"")</f>
        <v/>
      </c>
      <c r="B705">
        <f>IF(A705="","",'Employees'!C8)</f>
        <v/>
      </c>
      <c r="C705">
        <f>IF(A705="","",'Ratings'!C49)</f>
        <v/>
      </c>
      <c r="D705">
        <f>IF(A705="","",'Ratings'!D49)</f>
        <v/>
      </c>
      <c r="E705">
        <f>IF(AND('Ratings'!A49&lt;&gt;"",'Ratings'!T5&lt;&gt;""),'Ratings'!T5,"")</f>
        <v/>
      </c>
      <c r="F705">
        <f>IF(OR(A705="",'Ratings'!T49=""),"",'Ratings'!T49)</f>
        <v/>
      </c>
      <c r="G705">
        <f>IF(A705="","",'Employees'!D8)</f>
        <v/>
      </c>
    </row>
    <row r="706">
      <c r="A706">
        <f>IF(AND('Ratings'!A50&lt;&gt;"",'Ratings'!E5&lt;&gt;""),'Ratings'!A50,"")</f>
        <v/>
      </c>
      <c r="B706">
        <f>IF(A706="","",'Employees'!C8)</f>
        <v/>
      </c>
      <c r="C706">
        <f>IF(A706="","",'Ratings'!C50)</f>
        <v/>
      </c>
      <c r="D706">
        <f>IF(A706="","",'Ratings'!D50)</f>
        <v/>
      </c>
      <c r="E706">
        <f>IF(AND('Ratings'!A50&lt;&gt;"",'Ratings'!E5&lt;&gt;""),'Ratings'!E5,"")</f>
        <v/>
      </c>
      <c r="F706">
        <f>IF(OR(A706="",'Ratings'!E50=""),"",'Ratings'!E50)</f>
        <v/>
      </c>
      <c r="G706">
        <f>IF(A706="","",'Employees'!D8)</f>
        <v/>
      </c>
    </row>
    <row r="707">
      <c r="A707">
        <f>IF(AND('Ratings'!A50&lt;&gt;"",'Ratings'!F5&lt;&gt;""),'Ratings'!A50,"")</f>
        <v/>
      </c>
      <c r="B707">
        <f>IF(A707="","",'Employees'!C8)</f>
        <v/>
      </c>
      <c r="C707">
        <f>IF(A707="","",'Ratings'!C50)</f>
        <v/>
      </c>
      <c r="D707">
        <f>IF(A707="","",'Ratings'!D50)</f>
        <v/>
      </c>
      <c r="E707">
        <f>IF(AND('Ratings'!A50&lt;&gt;"",'Ratings'!F5&lt;&gt;""),'Ratings'!F5,"")</f>
        <v/>
      </c>
      <c r="F707">
        <f>IF(OR(A707="",'Ratings'!F50=""),"",'Ratings'!F50)</f>
        <v/>
      </c>
      <c r="G707">
        <f>IF(A707="","",'Employees'!D8)</f>
        <v/>
      </c>
    </row>
    <row r="708">
      <c r="A708">
        <f>IF(AND('Ratings'!A50&lt;&gt;"",'Ratings'!G5&lt;&gt;""),'Ratings'!A50,"")</f>
        <v/>
      </c>
      <c r="B708">
        <f>IF(A708="","",'Employees'!C8)</f>
        <v/>
      </c>
      <c r="C708">
        <f>IF(A708="","",'Ratings'!C50)</f>
        <v/>
      </c>
      <c r="D708">
        <f>IF(A708="","",'Ratings'!D50)</f>
        <v/>
      </c>
      <c r="E708">
        <f>IF(AND('Ratings'!A50&lt;&gt;"",'Ratings'!G5&lt;&gt;""),'Ratings'!G5,"")</f>
        <v/>
      </c>
      <c r="F708">
        <f>IF(OR(A708="",'Ratings'!G50=""),"",'Ratings'!G50)</f>
        <v/>
      </c>
      <c r="G708">
        <f>IF(A708="","",'Employees'!D8)</f>
        <v/>
      </c>
    </row>
    <row r="709">
      <c r="A709">
        <f>IF(AND('Ratings'!A50&lt;&gt;"",'Ratings'!H5&lt;&gt;""),'Ratings'!A50,"")</f>
        <v/>
      </c>
      <c r="B709">
        <f>IF(A709="","",'Employees'!C8)</f>
        <v/>
      </c>
      <c r="C709">
        <f>IF(A709="","",'Ratings'!C50)</f>
        <v/>
      </c>
      <c r="D709">
        <f>IF(A709="","",'Ratings'!D50)</f>
        <v/>
      </c>
      <c r="E709">
        <f>IF(AND('Ratings'!A50&lt;&gt;"",'Ratings'!H5&lt;&gt;""),'Ratings'!H5,"")</f>
        <v/>
      </c>
      <c r="F709">
        <f>IF(OR(A709="",'Ratings'!H50=""),"",'Ratings'!H50)</f>
        <v/>
      </c>
      <c r="G709">
        <f>IF(A709="","",'Employees'!D8)</f>
        <v/>
      </c>
    </row>
    <row r="710">
      <c r="A710">
        <f>IF(AND('Ratings'!A50&lt;&gt;"",'Ratings'!I5&lt;&gt;""),'Ratings'!A50,"")</f>
        <v/>
      </c>
      <c r="B710">
        <f>IF(A710="","",'Employees'!C8)</f>
        <v/>
      </c>
      <c r="C710">
        <f>IF(A710="","",'Ratings'!C50)</f>
        <v/>
      </c>
      <c r="D710">
        <f>IF(A710="","",'Ratings'!D50)</f>
        <v/>
      </c>
      <c r="E710">
        <f>IF(AND('Ratings'!A50&lt;&gt;"",'Ratings'!I5&lt;&gt;""),'Ratings'!I5,"")</f>
        <v/>
      </c>
      <c r="F710">
        <f>IF(OR(A710="",'Ratings'!I50=""),"",'Ratings'!I50)</f>
        <v/>
      </c>
      <c r="G710">
        <f>IF(A710="","",'Employees'!D8)</f>
        <v/>
      </c>
    </row>
    <row r="711">
      <c r="A711">
        <f>IF(AND('Ratings'!A50&lt;&gt;"",'Ratings'!J5&lt;&gt;""),'Ratings'!A50,"")</f>
        <v/>
      </c>
      <c r="B711">
        <f>IF(A711="","",'Employees'!C8)</f>
        <v/>
      </c>
      <c r="C711">
        <f>IF(A711="","",'Ratings'!C50)</f>
        <v/>
      </c>
      <c r="D711">
        <f>IF(A711="","",'Ratings'!D50)</f>
        <v/>
      </c>
      <c r="E711">
        <f>IF(AND('Ratings'!A50&lt;&gt;"",'Ratings'!J5&lt;&gt;""),'Ratings'!J5,"")</f>
        <v/>
      </c>
      <c r="F711">
        <f>IF(OR(A711="",'Ratings'!J50=""),"",'Ratings'!J50)</f>
        <v/>
      </c>
      <c r="G711">
        <f>IF(A711="","",'Employees'!D8)</f>
        <v/>
      </c>
    </row>
    <row r="712">
      <c r="A712">
        <f>IF(AND('Ratings'!A50&lt;&gt;"",'Ratings'!K5&lt;&gt;""),'Ratings'!A50,"")</f>
        <v/>
      </c>
      <c r="B712">
        <f>IF(A712="","",'Employees'!C8)</f>
        <v/>
      </c>
      <c r="C712">
        <f>IF(A712="","",'Ratings'!C50)</f>
        <v/>
      </c>
      <c r="D712">
        <f>IF(A712="","",'Ratings'!D50)</f>
        <v/>
      </c>
      <c r="E712">
        <f>IF(AND('Ratings'!A50&lt;&gt;"",'Ratings'!K5&lt;&gt;""),'Ratings'!K5,"")</f>
        <v/>
      </c>
      <c r="F712">
        <f>IF(OR(A712="",'Ratings'!K50=""),"",'Ratings'!K50)</f>
        <v/>
      </c>
      <c r="G712">
        <f>IF(A712="","",'Employees'!D8)</f>
        <v/>
      </c>
    </row>
    <row r="713">
      <c r="A713">
        <f>IF(AND('Ratings'!A50&lt;&gt;"",'Ratings'!L5&lt;&gt;""),'Ratings'!A50,"")</f>
        <v/>
      </c>
      <c r="B713">
        <f>IF(A713="","",'Employees'!C8)</f>
        <v/>
      </c>
      <c r="C713">
        <f>IF(A713="","",'Ratings'!C50)</f>
        <v/>
      </c>
      <c r="D713">
        <f>IF(A713="","",'Ratings'!D50)</f>
        <v/>
      </c>
      <c r="E713">
        <f>IF(AND('Ratings'!A50&lt;&gt;"",'Ratings'!L5&lt;&gt;""),'Ratings'!L5,"")</f>
        <v/>
      </c>
      <c r="F713">
        <f>IF(OR(A713="",'Ratings'!L50=""),"",'Ratings'!L50)</f>
        <v/>
      </c>
      <c r="G713">
        <f>IF(A713="","",'Employees'!D8)</f>
        <v/>
      </c>
    </row>
    <row r="714">
      <c r="A714">
        <f>IF(AND('Ratings'!A50&lt;&gt;"",'Ratings'!M5&lt;&gt;""),'Ratings'!A50,"")</f>
        <v/>
      </c>
      <c r="B714">
        <f>IF(A714="","",'Employees'!C8)</f>
        <v/>
      </c>
      <c r="C714">
        <f>IF(A714="","",'Ratings'!C50)</f>
        <v/>
      </c>
      <c r="D714">
        <f>IF(A714="","",'Ratings'!D50)</f>
        <v/>
      </c>
      <c r="E714">
        <f>IF(AND('Ratings'!A50&lt;&gt;"",'Ratings'!M5&lt;&gt;""),'Ratings'!M5,"")</f>
        <v/>
      </c>
      <c r="F714">
        <f>IF(OR(A714="",'Ratings'!M50=""),"",'Ratings'!M50)</f>
        <v/>
      </c>
      <c r="G714">
        <f>IF(A714="","",'Employees'!D8)</f>
        <v/>
      </c>
    </row>
    <row r="715">
      <c r="A715">
        <f>IF(AND('Ratings'!A50&lt;&gt;"",'Ratings'!N5&lt;&gt;""),'Ratings'!A50,"")</f>
        <v/>
      </c>
      <c r="B715">
        <f>IF(A715="","",'Employees'!C8)</f>
        <v/>
      </c>
      <c r="C715">
        <f>IF(A715="","",'Ratings'!C50)</f>
        <v/>
      </c>
      <c r="D715">
        <f>IF(A715="","",'Ratings'!D50)</f>
        <v/>
      </c>
      <c r="E715">
        <f>IF(AND('Ratings'!A50&lt;&gt;"",'Ratings'!N5&lt;&gt;""),'Ratings'!N5,"")</f>
        <v/>
      </c>
      <c r="F715">
        <f>IF(OR(A715="",'Ratings'!N50=""),"",'Ratings'!N50)</f>
        <v/>
      </c>
      <c r="G715">
        <f>IF(A715="","",'Employees'!D8)</f>
        <v/>
      </c>
    </row>
    <row r="716">
      <c r="A716">
        <f>IF(AND('Ratings'!A50&lt;&gt;"",'Ratings'!O5&lt;&gt;""),'Ratings'!A50,"")</f>
        <v/>
      </c>
      <c r="B716">
        <f>IF(A716="","",'Employees'!C8)</f>
        <v/>
      </c>
      <c r="C716">
        <f>IF(A716="","",'Ratings'!C50)</f>
        <v/>
      </c>
      <c r="D716">
        <f>IF(A716="","",'Ratings'!D50)</f>
        <v/>
      </c>
      <c r="E716">
        <f>IF(AND('Ratings'!A50&lt;&gt;"",'Ratings'!O5&lt;&gt;""),'Ratings'!O5,"")</f>
        <v/>
      </c>
      <c r="F716">
        <f>IF(OR(A716="",'Ratings'!O50=""),"",'Ratings'!O50)</f>
        <v/>
      </c>
      <c r="G716">
        <f>IF(A716="","",'Employees'!D8)</f>
        <v/>
      </c>
    </row>
    <row r="717">
      <c r="A717">
        <f>IF(AND('Ratings'!A50&lt;&gt;"",'Ratings'!P5&lt;&gt;""),'Ratings'!A50,"")</f>
        <v/>
      </c>
      <c r="B717">
        <f>IF(A717="","",'Employees'!C8)</f>
        <v/>
      </c>
      <c r="C717">
        <f>IF(A717="","",'Ratings'!C50)</f>
        <v/>
      </c>
      <c r="D717">
        <f>IF(A717="","",'Ratings'!D50)</f>
        <v/>
      </c>
      <c r="E717">
        <f>IF(AND('Ratings'!A50&lt;&gt;"",'Ratings'!P5&lt;&gt;""),'Ratings'!P5,"")</f>
        <v/>
      </c>
      <c r="F717">
        <f>IF(OR(A717="",'Ratings'!P50=""),"",'Ratings'!P50)</f>
        <v/>
      </c>
      <c r="G717">
        <f>IF(A717="","",'Employees'!D8)</f>
        <v/>
      </c>
    </row>
    <row r="718">
      <c r="A718">
        <f>IF(AND('Ratings'!A50&lt;&gt;"",'Ratings'!Q5&lt;&gt;""),'Ratings'!A50,"")</f>
        <v/>
      </c>
      <c r="B718">
        <f>IF(A718="","",'Employees'!C8)</f>
        <v/>
      </c>
      <c r="C718">
        <f>IF(A718="","",'Ratings'!C50)</f>
        <v/>
      </c>
      <c r="D718">
        <f>IF(A718="","",'Ratings'!D50)</f>
        <v/>
      </c>
      <c r="E718">
        <f>IF(AND('Ratings'!A50&lt;&gt;"",'Ratings'!Q5&lt;&gt;""),'Ratings'!Q5,"")</f>
        <v/>
      </c>
      <c r="F718">
        <f>IF(OR(A718="",'Ratings'!Q50=""),"",'Ratings'!Q50)</f>
        <v/>
      </c>
      <c r="G718">
        <f>IF(A718="","",'Employees'!D8)</f>
        <v/>
      </c>
    </row>
    <row r="719">
      <c r="A719">
        <f>IF(AND('Ratings'!A50&lt;&gt;"",'Ratings'!R5&lt;&gt;""),'Ratings'!A50,"")</f>
        <v/>
      </c>
      <c r="B719">
        <f>IF(A719="","",'Employees'!C8)</f>
        <v/>
      </c>
      <c r="C719">
        <f>IF(A719="","",'Ratings'!C50)</f>
        <v/>
      </c>
      <c r="D719">
        <f>IF(A719="","",'Ratings'!D50)</f>
        <v/>
      </c>
      <c r="E719">
        <f>IF(AND('Ratings'!A50&lt;&gt;"",'Ratings'!R5&lt;&gt;""),'Ratings'!R5,"")</f>
        <v/>
      </c>
      <c r="F719">
        <f>IF(OR(A719="",'Ratings'!R50=""),"",'Ratings'!R50)</f>
        <v/>
      </c>
      <c r="G719">
        <f>IF(A719="","",'Employees'!D8)</f>
        <v/>
      </c>
    </row>
    <row r="720">
      <c r="A720">
        <f>IF(AND('Ratings'!A50&lt;&gt;"",'Ratings'!S5&lt;&gt;""),'Ratings'!A50,"")</f>
        <v/>
      </c>
      <c r="B720">
        <f>IF(A720="","",'Employees'!C8)</f>
        <v/>
      </c>
      <c r="C720">
        <f>IF(A720="","",'Ratings'!C50)</f>
        <v/>
      </c>
      <c r="D720">
        <f>IF(A720="","",'Ratings'!D50)</f>
        <v/>
      </c>
      <c r="E720">
        <f>IF(AND('Ratings'!A50&lt;&gt;"",'Ratings'!S5&lt;&gt;""),'Ratings'!S5,"")</f>
        <v/>
      </c>
      <c r="F720">
        <f>IF(OR(A720="",'Ratings'!S50=""),"",'Ratings'!S50)</f>
        <v/>
      </c>
      <c r="G720">
        <f>IF(A720="","",'Employees'!D8)</f>
        <v/>
      </c>
    </row>
    <row r="721">
      <c r="A721">
        <f>IF(AND('Ratings'!A50&lt;&gt;"",'Ratings'!T5&lt;&gt;""),'Ratings'!A50,"")</f>
        <v/>
      </c>
      <c r="B721">
        <f>IF(A721="","",'Employees'!C8)</f>
        <v/>
      </c>
      <c r="C721">
        <f>IF(A721="","",'Ratings'!C50)</f>
        <v/>
      </c>
      <c r="D721">
        <f>IF(A721="","",'Ratings'!D50)</f>
        <v/>
      </c>
      <c r="E721">
        <f>IF(AND('Ratings'!A50&lt;&gt;"",'Ratings'!T5&lt;&gt;""),'Ratings'!T5,"")</f>
        <v/>
      </c>
      <c r="F721">
        <f>IF(OR(A721="",'Ratings'!T50=""),"",'Ratings'!T50)</f>
        <v/>
      </c>
      <c r="G721">
        <f>IF(A721="","",'Employees'!D8)</f>
        <v/>
      </c>
    </row>
    <row r="722">
      <c r="A722">
        <f>IF(AND('Ratings'!A51&lt;&gt;"",'Ratings'!E5&lt;&gt;""),'Ratings'!A51,"")</f>
        <v/>
      </c>
      <c r="B722">
        <f>IF(A722="","",'Employees'!C8)</f>
        <v/>
      </c>
      <c r="C722">
        <f>IF(A722="","",'Ratings'!C51)</f>
        <v/>
      </c>
      <c r="D722">
        <f>IF(A722="","",'Ratings'!D51)</f>
        <v/>
      </c>
      <c r="E722">
        <f>IF(AND('Ratings'!A51&lt;&gt;"",'Ratings'!E5&lt;&gt;""),'Ratings'!E5,"")</f>
        <v/>
      </c>
      <c r="F722">
        <f>IF(OR(A722="",'Ratings'!E51=""),"",'Ratings'!E51)</f>
        <v/>
      </c>
      <c r="G722">
        <f>IF(A722="","",'Employees'!D8)</f>
        <v/>
      </c>
    </row>
    <row r="723">
      <c r="A723">
        <f>IF(AND('Ratings'!A51&lt;&gt;"",'Ratings'!F5&lt;&gt;""),'Ratings'!A51,"")</f>
        <v/>
      </c>
      <c r="B723">
        <f>IF(A723="","",'Employees'!C8)</f>
        <v/>
      </c>
      <c r="C723">
        <f>IF(A723="","",'Ratings'!C51)</f>
        <v/>
      </c>
      <c r="D723">
        <f>IF(A723="","",'Ratings'!D51)</f>
        <v/>
      </c>
      <c r="E723">
        <f>IF(AND('Ratings'!A51&lt;&gt;"",'Ratings'!F5&lt;&gt;""),'Ratings'!F5,"")</f>
        <v/>
      </c>
      <c r="F723">
        <f>IF(OR(A723="",'Ratings'!F51=""),"",'Ratings'!F51)</f>
        <v/>
      </c>
      <c r="G723">
        <f>IF(A723="","",'Employees'!D8)</f>
        <v/>
      </c>
    </row>
    <row r="724">
      <c r="A724">
        <f>IF(AND('Ratings'!A51&lt;&gt;"",'Ratings'!G5&lt;&gt;""),'Ratings'!A51,"")</f>
        <v/>
      </c>
      <c r="B724">
        <f>IF(A724="","",'Employees'!C8)</f>
        <v/>
      </c>
      <c r="C724">
        <f>IF(A724="","",'Ratings'!C51)</f>
        <v/>
      </c>
      <c r="D724">
        <f>IF(A724="","",'Ratings'!D51)</f>
        <v/>
      </c>
      <c r="E724">
        <f>IF(AND('Ratings'!A51&lt;&gt;"",'Ratings'!G5&lt;&gt;""),'Ratings'!G5,"")</f>
        <v/>
      </c>
      <c r="F724">
        <f>IF(OR(A724="",'Ratings'!G51=""),"",'Ratings'!G51)</f>
        <v/>
      </c>
      <c r="G724">
        <f>IF(A724="","",'Employees'!D8)</f>
        <v/>
      </c>
    </row>
    <row r="725">
      <c r="A725">
        <f>IF(AND('Ratings'!A51&lt;&gt;"",'Ratings'!H5&lt;&gt;""),'Ratings'!A51,"")</f>
        <v/>
      </c>
      <c r="B725">
        <f>IF(A725="","",'Employees'!C8)</f>
        <v/>
      </c>
      <c r="C725">
        <f>IF(A725="","",'Ratings'!C51)</f>
        <v/>
      </c>
      <c r="D725">
        <f>IF(A725="","",'Ratings'!D51)</f>
        <v/>
      </c>
      <c r="E725">
        <f>IF(AND('Ratings'!A51&lt;&gt;"",'Ratings'!H5&lt;&gt;""),'Ratings'!H5,"")</f>
        <v/>
      </c>
      <c r="F725">
        <f>IF(OR(A725="",'Ratings'!H51=""),"",'Ratings'!H51)</f>
        <v/>
      </c>
      <c r="G725">
        <f>IF(A725="","",'Employees'!D8)</f>
        <v/>
      </c>
    </row>
    <row r="726">
      <c r="A726">
        <f>IF(AND('Ratings'!A51&lt;&gt;"",'Ratings'!I5&lt;&gt;""),'Ratings'!A51,"")</f>
        <v/>
      </c>
      <c r="B726">
        <f>IF(A726="","",'Employees'!C8)</f>
        <v/>
      </c>
      <c r="C726">
        <f>IF(A726="","",'Ratings'!C51)</f>
        <v/>
      </c>
      <c r="D726">
        <f>IF(A726="","",'Ratings'!D51)</f>
        <v/>
      </c>
      <c r="E726">
        <f>IF(AND('Ratings'!A51&lt;&gt;"",'Ratings'!I5&lt;&gt;""),'Ratings'!I5,"")</f>
        <v/>
      </c>
      <c r="F726">
        <f>IF(OR(A726="",'Ratings'!I51=""),"",'Ratings'!I51)</f>
        <v/>
      </c>
      <c r="G726">
        <f>IF(A726="","",'Employees'!D8)</f>
        <v/>
      </c>
    </row>
    <row r="727">
      <c r="A727">
        <f>IF(AND('Ratings'!A51&lt;&gt;"",'Ratings'!J5&lt;&gt;""),'Ratings'!A51,"")</f>
        <v/>
      </c>
      <c r="B727">
        <f>IF(A727="","",'Employees'!C8)</f>
        <v/>
      </c>
      <c r="C727">
        <f>IF(A727="","",'Ratings'!C51)</f>
        <v/>
      </c>
      <c r="D727">
        <f>IF(A727="","",'Ratings'!D51)</f>
        <v/>
      </c>
      <c r="E727">
        <f>IF(AND('Ratings'!A51&lt;&gt;"",'Ratings'!J5&lt;&gt;""),'Ratings'!J5,"")</f>
        <v/>
      </c>
      <c r="F727">
        <f>IF(OR(A727="",'Ratings'!J51=""),"",'Ratings'!J51)</f>
        <v/>
      </c>
      <c r="G727">
        <f>IF(A727="","",'Employees'!D8)</f>
        <v/>
      </c>
    </row>
    <row r="728">
      <c r="A728">
        <f>IF(AND('Ratings'!A51&lt;&gt;"",'Ratings'!K5&lt;&gt;""),'Ratings'!A51,"")</f>
        <v/>
      </c>
      <c r="B728">
        <f>IF(A728="","",'Employees'!C8)</f>
        <v/>
      </c>
      <c r="C728">
        <f>IF(A728="","",'Ratings'!C51)</f>
        <v/>
      </c>
      <c r="D728">
        <f>IF(A728="","",'Ratings'!D51)</f>
        <v/>
      </c>
      <c r="E728">
        <f>IF(AND('Ratings'!A51&lt;&gt;"",'Ratings'!K5&lt;&gt;""),'Ratings'!K5,"")</f>
        <v/>
      </c>
      <c r="F728">
        <f>IF(OR(A728="",'Ratings'!K51=""),"",'Ratings'!K51)</f>
        <v/>
      </c>
      <c r="G728">
        <f>IF(A728="","",'Employees'!D8)</f>
        <v/>
      </c>
    </row>
    <row r="729">
      <c r="A729">
        <f>IF(AND('Ratings'!A51&lt;&gt;"",'Ratings'!L5&lt;&gt;""),'Ratings'!A51,"")</f>
        <v/>
      </c>
      <c r="B729">
        <f>IF(A729="","",'Employees'!C8)</f>
        <v/>
      </c>
      <c r="C729">
        <f>IF(A729="","",'Ratings'!C51)</f>
        <v/>
      </c>
      <c r="D729">
        <f>IF(A729="","",'Ratings'!D51)</f>
        <v/>
      </c>
      <c r="E729">
        <f>IF(AND('Ratings'!A51&lt;&gt;"",'Ratings'!L5&lt;&gt;""),'Ratings'!L5,"")</f>
        <v/>
      </c>
      <c r="F729">
        <f>IF(OR(A729="",'Ratings'!L51=""),"",'Ratings'!L51)</f>
        <v/>
      </c>
      <c r="G729">
        <f>IF(A729="","",'Employees'!D8)</f>
        <v/>
      </c>
    </row>
    <row r="730">
      <c r="A730">
        <f>IF(AND('Ratings'!A51&lt;&gt;"",'Ratings'!M5&lt;&gt;""),'Ratings'!A51,"")</f>
        <v/>
      </c>
      <c r="B730">
        <f>IF(A730="","",'Employees'!C8)</f>
        <v/>
      </c>
      <c r="C730">
        <f>IF(A730="","",'Ratings'!C51)</f>
        <v/>
      </c>
      <c r="D730">
        <f>IF(A730="","",'Ratings'!D51)</f>
        <v/>
      </c>
      <c r="E730">
        <f>IF(AND('Ratings'!A51&lt;&gt;"",'Ratings'!M5&lt;&gt;""),'Ratings'!M5,"")</f>
        <v/>
      </c>
      <c r="F730">
        <f>IF(OR(A730="",'Ratings'!M51=""),"",'Ratings'!M51)</f>
        <v/>
      </c>
      <c r="G730">
        <f>IF(A730="","",'Employees'!D8)</f>
        <v/>
      </c>
    </row>
    <row r="731">
      <c r="A731">
        <f>IF(AND('Ratings'!A51&lt;&gt;"",'Ratings'!N5&lt;&gt;""),'Ratings'!A51,"")</f>
        <v/>
      </c>
      <c r="B731">
        <f>IF(A731="","",'Employees'!C8)</f>
        <v/>
      </c>
      <c r="C731">
        <f>IF(A731="","",'Ratings'!C51)</f>
        <v/>
      </c>
      <c r="D731">
        <f>IF(A731="","",'Ratings'!D51)</f>
        <v/>
      </c>
      <c r="E731">
        <f>IF(AND('Ratings'!A51&lt;&gt;"",'Ratings'!N5&lt;&gt;""),'Ratings'!N5,"")</f>
        <v/>
      </c>
      <c r="F731">
        <f>IF(OR(A731="",'Ratings'!N51=""),"",'Ratings'!N51)</f>
        <v/>
      </c>
      <c r="G731">
        <f>IF(A731="","",'Employees'!D8)</f>
        <v/>
      </c>
    </row>
    <row r="732">
      <c r="A732">
        <f>IF(AND('Ratings'!A51&lt;&gt;"",'Ratings'!O5&lt;&gt;""),'Ratings'!A51,"")</f>
        <v/>
      </c>
      <c r="B732">
        <f>IF(A732="","",'Employees'!C8)</f>
        <v/>
      </c>
      <c r="C732">
        <f>IF(A732="","",'Ratings'!C51)</f>
        <v/>
      </c>
      <c r="D732">
        <f>IF(A732="","",'Ratings'!D51)</f>
        <v/>
      </c>
      <c r="E732">
        <f>IF(AND('Ratings'!A51&lt;&gt;"",'Ratings'!O5&lt;&gt;""),'Ratings'!O5,"")</f>
        <v/>
      </c>
      <c r="F732">
        <f>IF(OR(A732="",'Ratings'!O51=""),"",'Ratings'!O51)</f>
        <v/>
      </c>
      <c r="G732">
        <f>IF(A732="","",'Employees'!D8)</f>
        <v/>
      </c>
    </row>
    <row r="733">
      <c r="A733">
        <f>IF(AND('Ratings'!A51&lt;&gt;"",'Ratings'!P5&lt;&gt;""),'Ratings'!A51,"")</f>
        <v/>
      </c>
      <c r="B733">
        <f>IF(A733="","",'Employees'!C8)</f>
        <v/>
      </c>
      <c r="C733">
        <f>IF(A733="","",'Ratings'!C51)</f>
        <v/>
      </c>
      <c r="D733">
        <f>IF(A733="","",'Ratings'!D51)</f>
        <v/>
      </c>
      <c r="E733">
        <f>IF(AND('Ratings'!A51&lt;&gt;"",'Ratings'!P5&lt;&gt;""),'Ratings'!P5,"")</f>
        <v/>
      </c>
      <c r="F733">
        <f>IF(OR(A733="",'Ratings'!P51=""),"",'Ratings'!P51)</f>
        <v/>
      </c>
      <c r="G733">
        <f>IF(A733="","",'Employees'!D8)</f>
        <v/>
      </c>
    </row>
    <row r="734">
      <c r="A734">
        <f>IF(AND('Ratings'!A51&lt;&gt;"",'Ratings'!Q5&lt;&gt;""),'Ratings'!A51,"")</f>
        <v/>
      </c>
      <c r="B734">
        <f>IF(A734="","",'Employees'!C8)</f>
        <v/>
      </c>
      <c r="C734">
        <f>IF(A734="","",'Ratings'!C51)</f>
        <v/>
      </c>
      <c r="D734">
        <f>IF(A734="","",'Ratings'!D51)</f>
        <v/>
      </c>
      <c r="E734">
        <f>IF(AND('Ratings'!A51&lt;&gt;"",'Ratings'!Q5&lt;&gt;""),'Ratings'!Q5,"")</f>
        <v/>
      </c>
      <c r="F734">
        <f>IF(OR(A734="",'Ratings'!Q51=""),"",'Ratings'!Q51)</f>
        <v/>
      </c>
      <c r="G734">
        <f>IF(A734="","",'Employees'!D8)</f>
        <v/>
      </c>
    </row>
    <row r="735">
      <c r="A735">
        <f>IF(AND('Ratings'!A51&lt;&gt;"",'Ratings'!R5&lt;&gt;""),'Ratings'!A51,"")</f>
        <v/>
      </c>
      <c r="B735">
        <f>IF(A735="","",'Employees'!C8)</f>
        <v/>
      </c>
      <c r="C735">
        <f>IF(A735="","",'Ratings'!C51)</f>
        <v/>
      </c>
      <c r="D735">
        <f>IF(A735="","",'Ratings'!D51)</f>
        <v/>
      </c>
      <c r="E735">
        <f>IF(AND('Ratings'!A51&lt;&gt;"",'Ratings'!R5&lt;&gt;""),'Ratings'!R5,"")</f>
        <v/>
      </c>
      <c r="F735">
        <f>IF(OR(A735="",'Ratings'!R51=""),"",'Ratings'!R51)</f>
        <v/>
      </c>
      <c r="G735">
        <f>IF(A735="","",'Employees'!D8)</f>
        <v/>
      </c>
    </row>
    <row r="736">
      <c r="A736">
        <f>IF(AND('Ratings'!A51&lt;&gt;"",'Ratings'!S5&lt;&gt;""),'Ratings'!A51,"")</f>
        <v/>
      </c>
      <c r="B736">
        <f>IF(A736="","",'Employees'!C8)</f>
        <v/>
      </c>
      <c r="C736">
        <f>IF(A736="","",'Ratings'!C51)</f>
        <v/>
      </c>
      <c r="D736">
        <f>IF(A736="","",'Ratings'!D51)</f>
        <v/>
      </c>
      <c r="E736">
        <f>IF(AND('Ratings'!A51&lt;&gt;"",'Ratings'!S5&lt;&gt;""),'Ratings'!S5,"")</f>
        <v/>
      </c>
      <c r="F736">
        <f>IF(OR(A736="",'Ratings'!S51=""),"",'Ratings'!S51)</f>
        <v/>
      </c>
      <c r="G736">
        <f>IF(A736="","",'Employees'!D8)</f>
        <v/>
      </c>
    </row>
    <row r="737">
      <c r="A737">
        <f>IF(AND('Ratings'!A51&lt;&gt;"",'Ratings'!T5&lt;&gt;""),'Ratings'!A51,"")</f>
        <v/>
      </c>
      <c r="B737">
        <f>IF(A737="","",'Employees'!C8)</f>
        <v/>
      </c>
      <c r="C737">
        <f>IF(A737="","",'Ratings'!C51)</f>
        <v/>
      </c>
      <c r="D737">
        <f>IF(A737="","",'Ratings'!D51)</f>
        <v/>
      </c>
      <c r="E737">
        <f>IF(AND('Ratings'!A51&lt;&gt;"",'Ratings'!T5&lt;&gt;""),'Ratings'!T5,"")</f>
        <v/>
      </c>
      <c r="F737">
        <f>IF(OR(A737="",'Ratings'!T51=""),"",'Ratings'!T51)</f>
        <v/>
      </c>
      <c r="G737">
        <f>IF(A737="","",'Employees'!D8)</f>
        <v/>
      </c>
    </row>
    <row r="738">
      <c r="A738">
        <f>IF(AND('Ratings'!A52&lt;&gt;"",'Ratings'!E5&lt;&gt;""),'Ratings'!A52,"")</f>
        <v/>
      </c>
      <c r="B738">
        <f>IF(A738="","",'Employees'!C8)</f>
        <v/>
      </c>
      <c r="C738">
        <f>IF(A738="","",'Ratings'!C52)</f>
        <v/>
      </c>
      <c r="D738">
        <f>IF(A738="","",'Ratings'!D52)</f>
        <v/>
      </c>
      <c r="E738">
        <f>IF(AND('Ratings'!A52&lt;&gt;"",'Ratings'!E5&lt;&gt;""),'Ratings'!E5,"")</f>
        <v/>
      </c>
      <c r="F738">
        <f>IF(OR(A738="",'Ratings'!E52=""),"",'Ratings'!E52)</f>
        <v/>
      </c>
      <c r="G738">
        <f>IF(A738="","",'Employees'!D8)</f>
        <v/>
      </c>
    </row>
    <row r="739">
      <c r="A739">
        <f>IF(AND('Ratings'!A52&lt;&gt;"",'Ratings'!F5&lt;&gt;""),'Ratings'!A52,"")</f>
        <v/>
      </c>
      <c r="B739">
        <f>IF(A739="","",'Employees'!C8)</f>
        <v/>
      </c>
      <c r="C739">
        <f>IF(A739="","",'Ratings'!C52)</f>
        <v/>
      </c>
      <c r="D739">
        <f>IF(A739="","",'Ratings'!D52)</f>
        <v/>
      </c>
      <c r="E739">
        <f>IF(AND('Ratings'!A52&lt;&gt;"",'Ratings'!F5&lt;&gt;""),'Ratings'!F5,"")</f>
        <v/>
      </c>
      <c r="F739">
        <f>IF(OR(A739="",'Ratings'!F52=""),"",'Ratings'!F52)</f>
        <v/>
      </c>
      <c r="G739">
        <f>IF(A739="","",'Employees'!D8)</f>
        <v/>
      </c>
    </row>
    <row r="740">
      <c r="A740">
        <f>IF(AND('Ratings'!A52&lt;&gt;"",'Ratings'!G5&lt;&gt;""),'Ratings'!A52,"")</f>
        <v/>
      </c>
      <c r="B740">
        <f>IF(A740="","",'Employees'!C8)</f>
        <v/>
      </c>
      <c r="C740">
        <f>IF(A740="","",'Ratings'!C52)</f>
        <v/>
      </c>
      <c r="D740">
        <f>IF(A740="","",'Ratings'!D52)</f>
        <v/>
      </c>
      <c r="E740">
        <f>IF(AND('Ratings'!A52&lt;&gt;"",'Ratings'!G5&lt;&gt;""),'Ratings'!G5,"")</f>
        <v/>
      </c>
      <c r="F740">
        <f>IF(OR(A740="",'Ratings'!G52=""),"",'Ratings'!G52)</f>
        <v/>
      </c>
      <c r="G740">
        <f>IF(A740="","",'Employees'!D8)</f>
        <v/>
      </c>
    </row>
    <row r="741">
      <c r="A741">
        <f>IF(AND('Ratings'!A52&lt;&gt;"",'Ratings'!H5&lt;&gt;""),'Ratings'!A52,"")</f>
        <v/>
      </c>
      <c r="B741">
        <f>IF(A741="","",'Employees'!C8)</f>
        <v/>
      </c>
      <c r="C741">
        <f>IF(A741="","",'Ratings'!C52)</f>
        <v/>
      </c>
      <c r="D741">
        <f>IF(A741="","",'Ratings'!D52)</f>
        <v/>
      </c>
      <c r="E741">
        <f>IF(AND('Ratings'!A52&lt;&gt;"",'Ratings'!H5&lt;&gt;""),'Ratings'!H5,"")</f>
        <v/>
      </c>
      <c r="F741">
        <f>IF(OR(A741="",'Ratings'!H52=""),"",'Ratings'!H52)</f>
        <v/>
      </c>
      <c r="G741">
        <f>IF(A741="","",'Employees'!D8)</f>
        <v/>
      </c>
    </row>
    <row r="742">
      <c r="A742">
        <f>IF(AND('Ratings'!A52&lt;&gt;"",'Ratings'!I5&lt;&gt;""),'Ratings'!A52,"")</f>
        <v/>
      </c>
      <c r="B742">
        <f>IF(A742="","",'Employees'!C8)</f>
        <v/>
      </c>
      <c r="C742">
        <f>IF(A742="","",'Ratings'!C52)</f>
        <v/>
      </c>
      <c r="D742">
        <f>IF(A742="","",'Ratings'!D52)</f>
        <v/>
      </c>
      <c r="E742">
        <f>IF(AND('Ratings'!A52&lt;&gt;"",'Ratings'!I5&lt;&gt;""),'Ratings'!I5,"")</f>
        <v/>
      </c>
      <c r="F742">
        <f>IF(OR(A742="",'Ratings'!I52=""),"",'Ratings'!I52)</f>
        <v/>
      </c>
      <c r="G742">
        <f>IF(A742="","",'Employees'!D8)</f>
        <v/>
      </c>
    </row>
    <row r="743">
      <c r="A743">
        <f>IF(AND('Ratings'!A52&lt;&gt;"",'Ratings'!J5&lt;&gt;""),'Ratings'!A52,"")</f>
        <v/>
      </c>
      <c r="B743">
        <f>IF(A743="","",'Employees'!C8)</f>
        <v/>
      </c>
      <c r="C743">
        <f>IF(A743="","",'Ratings'!C52)</f>
        <v/>
      </c>
      <c r="D743">
        <f>IF(A743="","",'Ratings'!D52)</f>
        <v/>
      </c>
      <c r="E743">
        <f>IF(AND('Ratings'!A52&lt;&gt;"",'Ratings'!J5&lt;&gt;""),'Ratings'!J5,"")</f>
        <v/>
      </c>
      <c r="F743">
        <f>IF(OR(A743="",'Ratings'!J52=""),"",'Ratings'!J52)</f>
        <v/>
      </c>
      <c r="G743">
        <f>IF(A743="","",'Employees'!D8)</f>
        <v/>
      </c>
    </row>
    <row r="744">
      <c r="A744">
        <f>IF(AND('Ratings'!A52&lt;&gt;"",'Ratings'!K5&lt;&gt;""),'Ratings'!A52,"")</f>
        <v/>
      </c>
      <c r="B744">
        <f>IF(A744="","",'Employees'!C8)</f>
        <v/>
      </c>
      <c r="C744">
        <f>IF(A744="","",'Ratings'!C52)</f>
        <v/>
      </c>
      <c r="D744">
        <f>IF(A744="","",'Ratings'!D52)</f>
        <v/>
      </c>
      <c r="E744">
        <f>IF(AND('Ratings'!A52&lt;&gt;"",'Ratings'!K5&lt;&gt;""),'Ratings'!K5,"")</f>
        <v/>
      </c>
      <c r="F744">
        <f>IF(OR(A744="",'Ratings'!K52=""),"",'Ratings'!K52)</f>
        <v/>
      </c>
      <c r="G744">
        <f>IF(A744="","",'Employees'!D8)</f>
        <v/>
      </c>
    </row>
    <row r="745">
      <c r="A745">
        <f>IF(AND('Ratings'!A52&lt;&gt;"",'Ratings'!L5&lt;&gt;""),'Ratings'!A52,"")</f>
        <v/>
      </c>
      <c r="B745">
        <f>IF(A745="","",'Employees'!C8)</f>
        <v/>
      </c>
      <c r="C745">
        <f>IF(A745="","",'Ratings'!C52)</f>
        <v/>
      </c>
      <c r="D745">
        <f>IF(A745="","",'Ratings'!D52)</f>
        <v/>
      </c>
      <c r="E745">
        <f>IF(AND('Ratings'!A52&lt;&gt;"",'Ratings'!L5&lt;&gt;""),'Ratings'!L5,"")</f>
        <v/>
      </c>
      <c r="F745">
        <f>IF(OR(A745="",'Ratings'!L52=""),"",'Ratings'!L52)</f>
        <v/>
      </c>
      <c r="G745">
        <f>IF(A745="","",'Employees'!D8)</f>
        <v/>
      </c>
    </row>
    <row r="746">
      <c r="A746">
        <f>IF(AND('Ratings'!A52&lt;&gt;"",'Ratings'!M5&lt;&gt;""),'Ratings'!A52,"")</f>
        <v/>
      </c>
      <c r="B746">
        <f>IF(A746="","",'Employees'!C8)</f>
        <v/>
      </c>
      <c r="C746">
        <f>IF(A746="","",'Ratings'!C52)</f>
        <v/>
      </c>
      <c r="D746">
        <f>IF(A746="","",'Ratings'!D52)</f>
        <v/>
      </c>
      <c r="E746">
        <f>IF(AND('Ratings'!A52&lt;&gt;"",'Ratings'!M5&lt;&gt;""),'Ratings'!M5,"")</f>
        <v/>
      </c>
      <c r="F746">
        <f>IF(OR(A746="",'Ratings'!M52=""),"",'Ratings'!M52)</f>
        <v/>
      </c>
      <c r="G746">
        <f>IF(A746="","",'Employees'!D8)</f>
        <v/>
      </c>
    </row>
    <row r="747">
      <c r="A747">
        <f>IF(AND('Ratings'!A52&lt;&gt;"",'Ratings'!N5&lt;&gt;""),'Ratings'!A52,"")</f>
        <v/>
      </c>
      <c r="B747">
        <f>IF(A747="","",'Employees'!C8)</f>
        <v/>
      </c>
      <c r="C747">
        <f>IF(A747="","",'Ratings'!C52)</f>
        <v/>
      </c>
      <c r="D747">
        <f>IF(A747="","",'Ratings'!D52)</f>
        <v/>
      </c>
      <c r="E747">
        <f>IF(AND('Ratings'!A52&lt;&gt;"",'Ratings'!N5&lt;&gt;""),'Ratings'!N5,"")</f>
        <v/>
      </c>
      <c r="F747">
        <f>IF(OR(A747="",'Ratings'!N52=""),"",'Ratings'!N52)</f>
        <v/>
      </c>
      <c r="G747">
        <f>IF(A747="","",'Employees'!D8)</f>
        <v/>
      </c>
    </row>
    <row r="748">
      <c r="A748">
        <f>IF(AND('Ratings'!A52&lt;&gt;"",'Ratings'!O5&lt;&gt;""),'Ratings'!A52,"")</f>
        <v/>
      </c>
      <c r="B748">
        <f>IF(A748="","",'Employees'!C8)</f>
        <v/>
      </c>
      <c r="C748">
        <f>IF(A748="","",'Ratings'!C52)</f>
        <v/>
      </c>
      <c r="D748">
        <f>IF(A748="","",'Ratings'!D52)</f>
        <v/>
      </c>
      <c r="E748">
        <f>IF(AND('Ratings'!A52&lt;&gt;"",'Ratings'!O5&lt;&gt;""),'Ratings'!O5,"")</f>
        <v/>
      </c>
      <c r="F748">
        <f>IF(OR(A748="",'Ratings'!O52=""),"",'Ratings'!O52)</f>
        <v/>
      </c>
      <c r="G748">
        <f>IF(A748="","",'Employees'!D8)</f>
        <v/>
      </c>
    </row>
    <row r="749">
      <c r="A749">
        <f>IF(AND('Ratings'!A52&lt;&gt;"",'Ratings'!P5&lt;&gt;""),'Ratings'!A52,"")</f>
        <v/>
      </c>
      <c r="B749">
        <f>IF(A749="","",'Employees'!C8)</f>
        <v/>
      </c>
      <c r="C749">
        <f>IF(A749="","",'Ratings'!C52)</f>
        <v/>
      </c>
      <c r="D749">
        <f>IF(A749="","",'Ratings'!D52)</f>
        <v/>
      </c>
      <c r="E749">
        <f>IF(AND('Ratings'!A52&lt;&gt;"",'Ratings'!P5&lt;&gt;""),'Ratings'!P5,"")</f>
        <v/>
      </c>
      <c r="F749">
        <f>IF(OR(A749="",'Ratings'!P52=""),"",'Ratings'!P52)</f>
        <v/>
      </c>
      <c r="G749">
        <f>IF(A749="","",'Employees'!D8)</f>
        <v/>
      </c>
    </row>
    <row r="750">
      <c r="A750">
        <f>IF(AND('Ratings'!A52&lt;&gt;"",'Ratings'!Q5&lt;&gt;""),'Ratings'!A52,"")</f>
        <v/>
      </c>
      <c r="B750">
        <f>IF(A750="","",'Employees'!C8)</f>
        <v/>
      </c>
      <c r="C750">
        <f>IF(A750="","",'Ratings'!C52)</f>
        <v/>
      </c>
      <c r="D750">
        <f>IF(A750="","",'Ratings'!D52)</f>
        <v/>
      </c>
      <c r="E750">
        <f>IF(AND('Ratings'!A52&lt;&gt;"",'Ratings'!Q5&lt;&gt;""),'Ratings'!Q5,"")</f>
        <v/>
      </c>
      <c r="F750">
        <f>IF(OR(A750="",'Ratings'!Q52=""),"",'Ratings'!Q52)</f>
        <v/>
      </c>
      <c r="G750">
        <f>IF(A750="","",'Employees'!D8)</f>
        <v/>
      </c>
    </row>
    <row r="751">
      <c r="A751">
        <f>IF(AND('Ratings'!A52&lt;&gt;"",'Ratings'!R5&lt;&gt;""),'Ratings'!A52,"")</f>
        <v/>
      </c>
      <c r="B751">
        <f>IF(A751="","",'Employees'!C8)</f>
        <v/>
      </c>
      <c r="C751">
        <f>IF(A751="","",'Ratings'!C52)</f>
        <v/>
      </c>
      <c r="D751">
        <f>IF(A751="","",'Ratings'!D52)</f>
        <v/>
      </c>
      <c r="E751">
        <f>IF(AND('Ratings'!A52&lt;&gt;"",'Ratings'!R5&lt;&gt;""),'Ratings'!R5,"")</f>
        <v/>
      </c>
      <c r="F751">
        <f>IF(OR(A751="",'Ratings'!R52=""),"",'Ratings'!R52)</f>
        <v/>
      </c>
      <c r="G751">
        <f>IF(A751="","",'Employees'!D8)</f>
        <v/>
      </c>
    </row>
    <row r="752">
      <c r="A752">
        <f>IF(AND('Ratings'!A52&lt;&gt;"",'Ratings'!S5&lt;&gt;""),'Ratings'!A52,"")</f>
        <v/>
      </c>
      <c r="B752">
        <f>IF(A752="","",'Employees'!C8)</f>
        <v/>
      </c>
      <c r="C752">
        <f>IF(A752="","",'Ratings'!C52)</f>
        <v/>
      </c>
      <c r="D752">
        <f>IF(A752="","",'Ratings'!D52)</f>
        <v/>
      </c>
      <c r="E752">
        <f>IF(AND('Ratings'!A52&lt;&gt;"",'Ratings'!S5&lt;&gt;""),'Ratings'!S5,"")</f>
        <v/>
      </c>
      <c r="F752">
        <f>IF(OR(A752="",'Ratings'!S52=""),"",'Ratings'!S52)</f>
        <v/>
      </c>
      <c r="G752">
        <f>IF(A752="","",'Employees'!D8)</f>
        <v/>
      </c>
    </row>
    <row r="753">
      <c r="A753">
        <f>IF(AND('Ratings'!A52&lt;&gt;"",'Ratings'!T5&lt;&gt;""),'Ratings'!A52,"")</f>
        <v/>
      </c>
      <c r="B753">
        <f>IF(A753="","",'Employees'!C8)</f>
        <v/>
      </c>
      <c r="C753">
        <f>IF(A753="","",'Ratings'!C52)</f>
        <v/>
      </c>
      <c r="D753">
        <f>IF(A753="","",'Ratings'!D52)</f>
        <v/>
      </c>
      <c r="E753">
        <f>IF(AND('Ratings'!A52&lt;&gt;"",'Ratings'!T5&lt;&gt;""),'Ratings'!T5,"")</f>
        <v/>
      </c>
      <c r="F753">
        <f>IF(OR(A753="",'Ratings'!T52=""),"",'Ratings'!T52)</f>
        <v/>
      </c>
      <c r="G753">
        <f>IF(A753="","",'Employees'!D8)</f>
        <v/>
      </c>
    </row>
    <row r="754">
      <c r="A754">
        <f>IF(AND('Ratings'!A53&lt;&gt;"",'Ratings'!E5&lt;&gt;""),'Ratings'!A53,"")</f>
        <v/>
      </c>
      <c r="B754">
        <f>IF(A754="","",'Employees'!C8)</f>
        <v/>
      </c>
      <c r="C754">
        <f>IF(A754="","",'Ratings'!C53)</f>
        <v/>
      </c>
      <c r="D754">
        <f>IF(A754="","",'Ratings'!D53)</f>
        <v/>
      </c>
      <c r="E754">
        <f>IF(AND('Ratings'!A53&lt;&gt;"",'Ratings'!E5&lt;&gt;""),'Ratings'!E5,"")</f>
        <v/>
      </c>
      <c r="F754">
        <f>IF(OR(A754="",'Ratings'!E53=""),"",'Ratings'!E53)</f>
        <v/>
      </c>
      <c r="G754">
        <f>IF(A754="","",'Employees'!D8)</f>
        <v/>
      </c>
    </row>
    <row r="755">
      <c r="A755">
        <f>IF(AND('Ratings'!A53&lt;&gt;"",'Ratings'!F5&lt;&gt;""),'Ratings'!A53,"")</f>
        <v/>
      </c>
      <c r="B755">
        <f>IF(A755="","",'Employees'!C8)</f>
        <v/>
      </c>
      <c r="C755">
        <f>IF(A755="","",'Ratings'!C53)</f>
        <v/>
      </c>
      <c r="D755">
        <f>IF(A755="","",'Ratings'!D53)</f>
        <v/>
      </c>
      <c r="E755">
        <f>IF(AND('Ratings'!A53&lt;&gt;"",'Ratings'!F5&lt;&gt;""),'Ratings'!F5,"")</f>
        <v/>
      </c>
      <c r="F755">
        <f>IF(OR(A755="",'Ratings'!F53=""),"",'Ratings'!F53)</f>
        <v/>
      </c>
      <c r="G755">
        <f>IF(A755="","",'Employees'!D8)</f>
        <v/>
      </c>
    </row>
    <row r="756">
      <c r="A756">
        <f>IF(AND('Ratings'!A53&lt;&gt;"",'Ratings'!G5&lt;&gt;""),'Ratings'!A53,"")</f>
        <v/>
      </c>
      <c r="B756">
        <f>IF(A756="","",'Employees'!C8)</f>
        <v/>
      </c>
      <c r="C756">
        <f>IF(A756="","",'Ratings'!C53)</f>
        <v/>
      </c>
      <c r="D756">
        <f>IF(A756="","",'Ratings'!D53)</f>
        <v/>
      </c>
      <c r="E756">
        <f>IF(AND('Ratings'!A53&lt;&gt;"",'Ratings'!G5&lt;&gt;""),'Ratings'!G5,"")</f>
        <v/>
      </c>
      <c r="F756">
        <f>IF(OR(A756="",'Ratings'!G53=""),"",'Ratings'!G53)</f>
        <v/>
      </c>
      <c r="G756">
        <f>IF(A756="","",'Employees'!D8)</f>
        <v/>
      </c>
    </row>
    <row r="757">
      <c r="A757">
        <f>IF(AND('Ratings'!A53&lt;&gt;"",'Ratings'!H5&lt;&gt;""),'Ratings'!A53,"")</f>
        <v/>
      </c>
      <c r="B757">
        <f>IF(A757="","",'Employees'!C8)</f>
        <v/>
      </c>
      <c r="C757">
        <f>IF(A757="","",'Ratings'!C53)</f>
        <v/>
      </c>
      <c r="D757">
        <f>IF(A757="","",'Ratings'!D53)</f>
        <v/>
      </c>
      <c r="E757">
        <f>IF(AND('Ratings'!A53&lt;&gt;"",'Ratings'!H5&lt;&gt;""),'Ratings'!H5,"")</f>
        <v/>
      </c>
      <c r="F757">
        <f>IF(OR(A757="",'Ratings'!H53=""),"",'Ratings'!H53)</f>
        <v/>
      </c>
      <c r="G757">
        <f>IF(A757="","",'Employees'!D8)</f>
        <v/>
      </c>
    </row>
    <row r="758">
      <c r="A758">
        <f>IF(AND('Ratings'!A53&lt;&gt;"",'Ratings'!I5&lt;&gt;""),'Ratings'!A53,"")</f>
        <v/>
      </c>
      <c r="B758">
        <f>IF(A758="","",'Employees'!C8)</f>
        <v/>
      </c>
      <c r="C758">
        <f>IF(A758="","",'Ratings'!C53)</f>
        <v/>
      </c>
      <c r="D758">
        <f>IF(A758="","",'Ratings'!D53)</f>
        <v/>
      </c>
      <c r="E758">
        <f>IF(AND('Ratings'!A53&lt;&gt;"",'Ratings'!I5&lt;&gt;""),'Ratings'!I5,"")</f>
        <v/>
      </c>
      <c r="F758">
        <f>IF(OR(A758="",'Ratings'!I53=""),"",'Ratings'!I53)</f>
        <v/>
      </c>
      <c r="G758">
        <f>IF(A758="","",'Employees'!D8)</f>
        <v/>
      </c>
    </row>
    <row r="759">
      <c r="A759">
        <f>IF(AND('Ratings'!A53&lt;&gt;"",'Ratings'!J5&lt;&gt;""),'Ratings'!A53,"")</f>
        <v/>
      </c>
      <c r="B759">
        <f>IF(A759="","",'Employees'!C8)</f>
        <v/>
      </c>
      <c r="C759">
        <f>IF(A759="","",'Ratings'!C53)</f>
        <v/>
      </c>
      <c r="D759">
        <f>IF(A759="","",'Ratings'!D53)</f>
        <v/>
      </c>
      <c r="E759">
        <f>IF(AND('Ratings'!A53&lt;&gt;"",'Ratings'!J5&lt;&gt;""),'Ratings'!J5,"")</f>
        <v/>
      </c>
      <c r="F759">
        <f>IF(OR(A759="",'Ratings'!J53=""),"",'Ratings'!J53)</f>
        <v/>
      </c>
      <c r="G759">
        <f>IF(A759="","",'Employees'!D8)</f>
        <v/>
      </c>
    </row>
    <row r="760">
      <c r="A760">
        <f>IF(AND('Ratings'!A53&lt;&gt;"",'Ratings'!K5&lt;&gt;""),'Ratings'!A53,"")</f>
        <v/>
      </c>
      <c r="B760">
        <f>IF(A760="","",'Employees'!C8)</f>
        <v/>
      </c>
      <c r="C760">
        <f>IF(A760="","",'Ratings'!C53)</f>
        <v/>
      </c>
      <c r="D760">
        <f>IF(A760="","",'Ratings'!D53)</f>
        <v/>
      </c>
      <c r="E760">
        <f>IF(AND('Ratings'!A53&lt;&gt;"",'Ratings'!K5&lt;&gt;""),'Ratings'!K5,"")</f>
        <v/>
      </c>
      <c r="F760">
        <f>IF(OR(A760="",'Ratings'!K53=""),"",'Ratings'!K53)</f>
        <v/>
      </c>
      <c r="G760">
        <f>IF(A760="","",'Employees'!D8)</f>
        <v/>
      </c>
    </row>
    <row r="761">
      <c r="A761">
        <f>IF(AND('Ratings'!A53&lt;&gt;"",'Ratings'!L5&lt;&gt;""),'Ratings'!A53,"")</f>
        <v/>
      </c>
      <c r="B761">
        <f>IF(A761="","",'Employees'!C8)</f>
        <v/>
      </c>
      <c r="C761">
        <f>IF(A761="","",'Ratings'!C53)</f>
        <v/>
      </c>
      <c r="D761">
        <f>IF(A761="","",'Ratings'!D53)</f>
        <v/>
      </c>
      <c r="E761">
        <f>IF(AND('Ratings'!A53&lt;&gt;"",'Ratings'!L5&lt;&gt;""),'Ratings'!L5,"")</f>
        <v/>
      </c>
      <c r="F761">
        <f>IF(OR(A761="",'Ratings'!L53=""),"",'Ratings'!L53)</f>
        <v/>
      </c>
      <c r="G761">
        <f>IF(A761="","",'Employees'!D8)</f>
        <v/>
      </c>
    </row>
    <row r="762">
      <c r="A762">
        <f>IF(AND('Ratings'!A53&lt;&gt;"",'Ratings'!M5&lt;&gt;""),'Ratings'!A53,"")</f>
        <v/>
      </c>
      <c r="B762">
        <f>IF(A762="","",'Employees'!C8)</f>
        <v/>
      </c>
      <c r="C762">
        <f>IF(A762="","",'Ratings'!C53)</f>
        <v/>
      </c>
      <c r="D762">
        <f>IF(A762="","",'Ratings'!D53)</f>
        <v/>
      </c>
      <c r="E762">
        <f>IF(AND('Ratings'!A53&lt;&gt;"",'Ratings'!M5&lt;&gt;""),'Ratings'!M5,"")</f>
        <v/>
      </c>
      <c r="F762">
        <f>IF(OR(A762="",'Ratings'!M53=""),"",'Ratings'!M53)</f>
        <v/>
      </c>
      <c r="G762">
        <f>IF(A762="","",'Employees'!D8)</f>
        <v/>
      </c>
    </row>
    <row r="763">
      <c r="A763">
        <f>IF(AND('Ratings'!A53&lt;&gt;"",'Ratings'!N5&lt;&gt;""),'Ratings'!A53,"")</f>
        <v/>
      </c>
      <c r="B763">
        <f>IF(A763="","",'Employees'!C8)</f>
        <v/>
      </c>
      <c r="C763">
        <f>IF(A763="","",'Ratings'!C53)</f>
        <v/>
      </c>
      <c r="D763">
        <f>IF(A763="","",'Ratings'!D53)</f>
        <v/>
      </c>
      <c r="E763">
        <f>IF(AND('Ratings'!A53&lt;&gt;"",'Ratings'!N5&lt;&gt;""),'Ratings'!N5,"")</f>
        <v/>
      </c>
      <c r="F763">
        <f>IF(OR(A763="",'Ratings'!N53=""),"",'Ratings'!N53)</f>
        <v/>
      </c>
      <c r="G763">
        <f>IF(A763="","",'Employees'!D8)</f>
        <v/>
      </c>
    </row>
    <row r="764">
      <c r="A764">
        <f>IF(AND('Ratings'!A53&lt;&gt;"",'Ratings'!O5&lt;&gt;""),'Ratings'!A53,"")</f>
        <v/>
      </c>
      <c r="B764">
        <f>IF(A764="","",'Employees'!C8)</f>
        <v/>
      </c>
      <c r="C764">
        <f>IF(A764="","",'Ratings'!C53)</f>
        <v/>
      </c>
      <c r="D764">
        <f>IF(A764="","",'Ratings'!D53)</f>
        <v/>
      </c>
      <c r="E764">
        <f>IF(AND('Ratings'!A53&lt;&gt;"",'Ratings'!O5&lt;&gt;""),'Ratings'!O5,"")</f>
        <v/>
      </c>
      <c r="F764">
        <f>IF(OR(A764="",'Ratings'!O53=""),"",'Ratings'!O53)</f>
        <v/>
      </c>
      <c r="G764">
        <f>IF(A764="","",'Employees'!D8)</f>
        <v/>
      </c>
    </row>
    <row r="765">
      <c r="A765">
        <f>IF(AND('Ratings'!A53&lt;&gt;"",'Ratings'!P5&lt;&gt;""),'Ratings'!A53,"")</f>
        <v/>
      </c>
      <c r="B765">
        <f>IF(A765="","",'Employees'!C8)</f>
        <v/>
      </c>
      <c r="C765">
        <f>IF(A765="","",'Ratings'!C53)</f>
        <v/>
      </c>
      <c r="D765">
        <f>IF(A765="","",'Ratings'!D53)</f>
        <v/>
      </c>
      <c r="E765">
        <f>IF(AND('Ratings'!A53&lt;&gt;"",'Ratings'!P5&lt;&gt;""),'Ratings'!P5,"")</f>
        <v/>
      </c>
      <c r="F765">
        <f>IF(OR(A765="",'Ratings'!P53=""),"",'Ratings'!P53)</f>
        <v/>
      </c>
      <c r="G765">
        <f>IF(A765="","",'Employees'!D8)</f>
        <v/>
      </c>
    </row>
    <row r="766">
      <c r="A766">
        <f>IF(AND('Ratings'!A53&lt;&gt;"",'Ratings'!Q5&lt;&gt;""),'Ratings'!A53,"")</f>
        <v/>
      </c>
      <c r="B766">
        <f>IF(A766="","",'Employees'!C8)</f>
        <v/>
      </c>
      <c r="C766">
        <f>IF(A766="","",'Ratings'!C53)</f>
        <v/>
      </c>
      <c r="D766">
        <f>IF(A766="","",'Ratings'!D53)</f>
        <v/>
      </c>
      <c r="E766">
        <f>IF(AND('Ratings'!A53&lt;&gt;"",'Ratings'!Q5&lt;&gt;""),'Ratings'!Q5,"")</f>
        <v/>
      </c>
      <c r="F766">
        <f>IF(OR(A766="",'Ratings'!Q53=""),"",'Ratings'!Q53)</f>
        <v/>
      </c>
      <c r="G766">
        <f>IF(A766="","",'Employees'!D8)</f>
        <v/>
      </c>
    </row>
    <row r="767">
      <c r="A767">
        <f>IF(AND('Ratings'!A53&lt;&gt;"",'Ratings'!R5&lt;&gt;""),'Ratings'!A53,"")</f>
        <v/>
      </c>
      <c r="B767">
        <f>IF(A767="","",'Employees'!C8)</f>
        <v/>
      </c>
      <c r="C767">
        <f>IF(A767="","",'Ratings'!C53)</f>
        <v/>
      </c>
      <c r="D767">
        <f>IF(A767="","",'Ratings'!D53)</f>
        <v/>
      </c>
      <c r="E767">
        <f>IF(AND('Ratings'!A53&lt;&gt;"",'Ratings'!R5&lt;&gt;""),'Ratings'!R5,"")</f>
        <v/>
      </c>
      <c r="F767">
        <f>IF(OR(A767="",'Ratings'!R53=""),"",'Ratings'!R53)</f>
        <v/>
      </c>
      <c r="G767">
        <f>IF(A767="","",'Employees'!D8)</f>
        <v/>
      </c>
    </row>
    <row r="768">
      <c r="A768">
        <f>IF(AND('Ratings'!A53&lt;&gt;"",'Ratings'!S5&lt;&gt;""),'Ratings'!A53,"")</f>
        <v/>
      </c>
      <c r="B768">
        <f>IF(A768="","",'Employees'!C8)</f>
        <v/>
      </c>
      <c r="C768">
        <f>IF(A768="","",'Ratings'!C53)</f>
        <v/>
      </c>
      <c r="D768">
        <f>IF(A768="","",'Ratings'!D53)</f>
        <v/>
      </c>
      <c r="E768">
        <f>IF(AND('Ratings'!A53&lt;&gt;"",'Ratings'!S5&lt;&gt;""),'Ratings'!S5,"")</f>
        <v/>
      </c>
      <c r="F768">
        <f>IF(OR(A768="",'Ratings'!S53=""),"",'Ratings'!S53)</f>
        <v/>
      </c>
      <c r="G768">
        <f>IF(A768="","",'Employees'!D8)</f>
        <v/>
      </c>
    </row>
    <row r="769">
      <c r="A769">
        <f>IF(AND('Ratings'!A53&lt;&gt;"",'Ratings'!T5&lt;&gt;""),'Ratings'!A53,"")</f>
        <v/>
      </c>
      <c r="B769">
        <f>IF(A769="","",'Employees'!C8)</f>
        <v/>
      </c>
      <c r="C769">
        <f>IF(A769="","",'Ratings'!C53)</f>
        <v/>
      </c>
      <c r="D769">
        <f>IF(A769="","",'Ratings'!D53)</f>
        <v/>
      </c>
      <c r="E769">
        <f>IF(AND('Ratings'!A53&lt;&gt;"",'Ratings'!T5&lt;&gt;""),'Ratings'!T5,"")</f>
        <v/>
      </c>
      <c r="F769">
        <f>IF(OR(A769="",'Ratings'!T53=""),"",'Ratings'!T53)</f>
        <v/>
      </c>
      <c r="G769">
        <f>IF(A769="","",'Employees'!D8)</f>
        <v/>
      </c>
    </row>
    <row r="770">
      <c r="A770">
        <f>IF(AND('Ratings'!A54&lt;&gt;"",'Ratings'!E5&lt;&gt;""),'Ratings'!A54,"")</f>
        <v/>
      </c>
      <c r="B770">
        <f>IF(A770="","",'Employees'!C9)</f>
        <v/>
      </c>
      <c r="C770">
        <f>IF(A770="","",'Ratings'!C54)</f>
        <v/>
      </c>
      <c r="D770">
        <f>IF(A770="","",'Ratings'!D54)</f>
        <v/>
      </c>
      <c r="E770">
        <f>IF(AND('Ratings'!A54&lt;&gt;"",'Ratings'!E5&lt;&gt;""),'Ratings'!E5,"")</f>
        <v/>
      </c>
      <c r="F770">
        <f>IF(OR(A770="",'Ratings'!E54=""),"",'Ratings'!E54)</f>
        <v/>
      </c>
      <c r="G770">
        <f>IF(A770="","",'Employees'!D9)</f>
        <v/>
      </c>
    </row>
    <row r="771">
      <c r="A771">
        <f>IF(AND('Ratings'!A54&lt;&gt;"",'Ratings'!F5&lt;&gt;""),'Ratings'!A54,"")</f>
        <v/>
      </c>
      <c r="B771">
        <f>IF(A771="","",'Employees'!C9)</f>
        <v/>
      </c>
      <c r="C771">
        <f>IF(A771="","",'Ratings'!C54)</f>
        <v/>
      </c>
      <c r="D771">
        <f>IF(A771="","",'Ratings'!D54)</f>
        <v/>
      </c>
      <c r="E771">
        <f>IF(AND('Ratings'!A54&lt;&gt;"",'Ratings'!F5&lt;&gt;""),'Ratings'!F5,"")</f>
        <v/>
      </c>
      <c r="F771">
        <f>IF(OR(A771="",'Ratings'!F54=""),"",'Ratings'!F54)</f>
        <v/>
      </c>
      <c r="G771">
        <f>IF(A771="","",'Employees'!D9)</f>
        <v/>
      </c>
    </row>
    <row r="772">
      <c r="A772">
        <f>IF(AND('Ratings'!A54&lt;&gt;"",'Ratings'!G5&lt;&gt;""),'Ratings'!A54,"")</f>
        <v/>
      </c>
      <c r="B772">
        <f>IF(A772="","",'Employees'!C9)</f>
        <v/>
      </c>
      <c r="C772">
        <f>IF(A772="","",'Ratings'!C54)</f>
        <v/>
      </c>
      <c r="D772">
        <f>IF(A772="","",'Ratings'!D54)</f>
        <v/>
      </c>
      <c r="E772">
        <f>IF(AND('Ratings'!A54&lt;&gt;"",'Ratings'!G5&lt;&gt;""),'Ratings'!G5,"")</f>
        <v/>
      </c>
      <c r="F772">
        <f>IF(OR(A772="",'Ratings'!G54=""),"",'Ratings'!G54)</f>
        <v/>
      </c>
      <c r="G772">
        <f>IF(A772="","",'Employees'!D9)</f>
        <v/>
      </c>
    </row>
    <row r="773">
      <c r="A773">
        <f>IF(AND('Ratings'!A54&lt;&gt;"",'Ratings'!H5&lt;&gt;""),'Ratings'!A54,"")</f>
        <v/>
      </c>
      <c r="B773">
        <f>IF(A773="","",'Employees'!C9)</f>
        <v/>
      </c>
      <c r="C773">
        <f>IF(A773="","",'Ratings'!C54)</f>
        <v/>
      </c>
      <c r="D773">
        <f>IF(A773="","",'Ratings'!D54)</f>
        <v/>
      </c>
      <c r="E773">
        <f>IF(AND('Ratings'!A54&lt;&gt;"",'Ratings'!H5&lt;&gt;""),'Ratings'!H5,"")</f>
        <v/>
      </c>
      <c r="F773">
        <f>IF(OR(A773="",'Ratings'!H54=""),"",'Ratings'!H54)</f>
        <v/>
      </c>
      <c r="G773">
        <f>IF(A773="","",'Employees'!D9)</f>
        <v/>
      </c>
    </row>
    <row r="774">
      <c r="A774">
        <f>IF(AND('Ratings'!A54&lt;&gt;"",'Ratings'!I5&lt;&gt;""),'Ratings'!A54,"")</f>
        <v/>
      </c>
      <c r="B774">
        <f>IF(A774="","",'Employees'!C9)</f>
        <v/>
      </c>
      <c r="C774">
        <f>IF(A774="","",'Ratings'!C54)</f>
        <v/>
      </c>
      <c r="D774">
        <f>IF(A774="","",'Ratings'!D54)</f>
        <v/>
      </c>
      <c r="E774">
        <f>IF(AND('Ratings'!A54&lt;&gt;"",'Ratings'!I5&lt;&gt;""),'Ratings'!I5,"")</f>
        <v/>
      </c>
      <c r="F774">
        <f>IF(OR(A774="",'Ratings'!I54=""),"",'Ratings'!I54)</f>
        <v/>
      </c>
      <c r="G774">
        <f>IF(A774="","",'Employees'!D9)</f>
        <v/>
      </c>
    </row>
    <row r="775">
      <c r="A775">
        <f>IF(AND('Ratings'!A54&lt;&gt;"",'Ratings'!J5&lt;&gt;""),'Ratings'!A54,"")</f>
        <v/>
      </c>
      <c r="B775">
        <f>IF(A775="","",'Employees'!C9)</f>
        <v/>
      </c>
      <c r="C775">
        <f>IF(A775="","",'Ratings'!C54)</f>
        <v/>
      </c>
      <c r="D775">
        <f>IF(A775="","",'Ratings'!D54)</f>
        <v/>
      </c>
      <c r="E775">
        <f>IF(AND('Ratings'!A54&lt;&gt;"",'Ratings'!J5&lt;&gt;""),'Ratings'!J5,"")</f>
        <v/>
      </c>
      <c r="F775">
        <f>IF(OR(A775="",'Ratings'!J54=""),"",'Ratings'!J54)</f>
        <v/>
      </c>
      <c r="G775">
        <f>IF(A775="","",'Employees'!D9)</f>
        <v/>
      </c>
    </row>
    <row r="776">
      <c r="A776">
        <f>IF(AND('Ratings'!A54&lt;&gt;"",'Ratings'!K5&lt;&gt;""),'Ratings'!A54,"")</f>
        <v/>
      </c>
      <c r="B776">
        <f>IF(A776="","",'Employees'!C9)</f>
        <v/>
      </c>
      <c r="C776">
        <f>IF(A776="","",'Ratings'!C54)</f>
        <v/>
      </c>
      <c r="D776">
        <f>IF(A776="","",'Ratings'!D54)</f>
        <v/>
      </c>
      <c r="E776">
        <f>IF(AND('Ratings'!A54&lt;&gt;"",'Ratings'!K5&lt;&gt;""),'Ratings'!K5,"")</f>
        <v/>
      </c>
      <c r="F776">
        <f>IF(OR(A776="",'Ratings'!K54=""),"",'Ratings'!K54)</f>
        <v/>
      </c>
      <c r="G776">
        <f>IF(A776="","",'Employees'!D9)</f>
        <v/>
      </c>
    </row>
    <row r="777">
      <c r="A777">
        <f>IF(AND('Ratings'!A54&lt;&gt;"",'Ratings'!L5&lt;&gt;""),'Ratings'!A54,"")</f>
        <v/>
      </c>
      <c r="B777">
        <f>IF(A777="","",'Employees'!C9)</f>
        <v/>
      </c>
      <c r="C777">
        <f>IF(A777="","",'Ratings'!C54)</f>
        <v/>
      </c>
      <c r="D777">
        <f>IF(A777="","",'Ratings'!D54)</f>
        <v/>
      </c>
      <c r="E777">
        <f>IF(AND('Ratings'!A54&lt;&gt;"",'Ratings'!L5&lt;&gt;""),'Ratings'!L5,"")</f>
        <v/>
      </c>
      <c r="F777">
        <f>IF(OR(A777="",'Ratings'!L54=""),"",'Ratings'!L54)</f>
        <v/>
      </c>
      <c r="G777">
        <f>IF(A777="","",'Employees'!D9)</f>
        <v/>
      </c>
    </row>
    <row r="778">
      <c r="A778">
        <f>IF(AND('Ratings'!A54&lt;&gt;"",'Ratings'!M5&lt;&gt;""),'Ratings'!A54,"")</f>
        <v/>
      </c>
      <c r="B778">
        <f>IF(A778="","",'Employees'!C9)</f>
        <v/>
      </c>
      <c r="C778">
        <f>IF(A778="","",'Ratings'!C54)</f>
        <v/>
      </c>
      <c r="D778">
        <f>IF(A778="","",'Ratings'!D54)</f>
        <v/>
      </c>
      <c r="E778">
        <f>IF(AND('Ratings'!A54&lt;&gt;"",'Ratings'!M5&lt;&gt;""),'Ratings'!M5,"")</f>
        <v/>
      </c>
      <c r="F778">
        <f>IF(OR(A778="",'Ratings'!M54=""),"",'Ratings'!M54)</f>
        <v/>
      </c>
      <c r="G778">
        <f>IF(A778="","",'Employees'!D9)</f>
        <v/>
      </c>
    </row>
    <row r="779">
      <c r="A779">
        <f>IF(AND('Ratings'!A54&lt;&gt;"",'Ratings'!N5&lt;&gt;""),'Ratings'!A54,"")</f>
        <v/>
      </c>
      <c r="B779">
        <f>IF(A779="","",'Employees'!C9)</f>
        <v/>
      </c>
      <c r="C779">
        <f>IF(A779="","",'Ratings'!C54)</f>
        <v/>
      </c>
      <c r="D779">
        <f>IF(A779="","",'Ratings'!D54)</f>
        <v/>
      </c>
      <c r="E779">
        <f>IF(AND('Ratings'!A54&lt;&gt;"",'Ratings'!N5&lt;&gt;""),'Ratings'!N5,"")</f>
        <v/>
      </c>
      <c r="F779">
        <f>IF(OR(A779="",'Ratings'!N54=""),"",'Ratings'!N54)</f>
        <v/>
      </c>
      <c r="G779">
        <f>IF(A779="","",'Employees'!D9)</f>
        <v/>
      </c>
    </row>
    <row r="780">
      <c r="A780">
        <f>IF(AND('Ratings'!A54&lt;&gt;"",'Ratings'!O5&lt;&gt;""),'Ratings'!A54,"")</f>
        <v/>
      </c>
      <c r="B780">
        <f>IF(A780="","",'Employees'!C9)</f>
        <v/>
      </c>
      <c r="C780">
        <f>IF(A780="","",'Ratings'!C54)</f>
        <v/>
      </c>
      <c r="D780">
        <f>IF(A780="","",'Ratings'!D54)</f>
        <v/>
      </c>
      <c r="E780">
        <f>IF(AND('Ratings'!A54&lt;&gt;"",'Ratings'!O5&lt;&gt;""),'Ratings'!O5,"")</f>
        <v/>
      </c>
      <c r="F780">
        <f>IF(OR(A780="",'Ratings'!O54=""),"",'Ratings'!O54)</f>
        <v/>
      </c>
      <c r="G780">
        <f>IF(A780="","",'Employees'!D9)</f>
        <v/>
      </c>
    </row>
    <row r="781">
      <c r="A781">
        <f>IF(AND('Ratings'!A54&lt;&gt;"",'Ratings'!P5&lt;&gt;""),'Ratings'!A54,"")</f>
        <v/>
      </c>
      <c r="B781">
        <f>IF(A781="","",'Employees'!C9)</f>
        <v/>
      </c>
      <c r="C781">
        <f>IF(A781="","",'Ratings'!C54)</f>
        <v/>
      </c>
      <c r="D781">
        <f>IF(A781="","",'Ratings'!D54)</f>
        <v/>
      </c>
      <c r="E781">
        <f>IF(AND('Ratings'!A54&lt;&gt;"",'Ratings'!P5&lt;&gt;""),'Ratings'!P5,"")</f>
        <v/>
      </c>
      <c r="F781">
        <f>IF(OR(A781="",'Ratings'!P54=""),"",'Ratings'!P54)</f>
        <v/>
      </c>
      <c r="G781">
        <f>IF(A781="","",'Employees'!D9)</f>
        <v/>
      </c>
    </row>
    <row r="782">
      <c r="A782">
        <f>IF(AND('Ratings'!A54&lt;&gt;"",'Ratings'!Q5&lt;&gt;""),'Ratings'!A54,"")</f>
        <v/>
      </c>
      <c r="B782">
        <f>IF(A782="","",'Employees'!C9)</f>
        <v/>
      </c>
      <c r="C782">
        <f>IF(A782="","",'Ratings'!C54)</f>
        <v/>
      </c>
      <c r="D782">
        <f>IF(A782="","",'Ratings'!D54)</f>
        <v/>
      </c>
      <c r="E782">
        <f>IF(AND('Ratings'!A54&lt;&gt;"",'Ratings'!Q5&lt;&gt;""),'Ratings'!Q5,"")</f>
        <v/>
      </c>
      <c r="F782">
        <f>IF(OR(A782="",'Ratings'!Q54=""),"",'Ratings'!Q54)</f>
        <v/>
      </c>
      <c r="G782">
        <f>IF(A782="","",'Employees'!D9)</f>
        <v/>
      </c>
    </row>
    <row r="783">
      <c r="A783">
        <f>IF(AND('Ratings'!A54&lt;&gt;"",'Ratings'!R5&lt;&gt;""),'Ratings'!A54,"")</f>
        <v/>
      </c>
      <c r="B783">
        <f>IF(A783="","",'Employees'!C9)</f>
        <v/>
      </c>
      <c r="C783">
        <f>IF(A783="","",'Ratings'!C54)</f>
        <v/>
      </c>
      <c r="D783">
        <f>IF(A783="","",'Ratings'!D54)</f>
        <v/>
      </c>
      <c r="E783">
        <f>IF(AND('Ratings'!A54&lt;&gt;"",'Ratings'!R5&lt;&gt;""),'Ratings'!R5,"")</f>
        <v/>
      </c>
      <c r="F783">
        <f>IF(OR(A783="",'Ratings'!R54=""),"",'Ratings'!R54)</f>
        <v/>
      </c>
      <c r="G783">
        <f>IF(A783="","",'Employees'!D9)</f>
        <v/>
      </c>
    </row>
    <row r="784">
      <c r="A784">
        <f>IF(AND('Ratings'!A54&lt;&gt;"",'Ratings'!S5&lt;&gt;""),'Ratings'!A54,"")</f>
        <v/>
      </c>
      <c r="B784">
        <f>IF(A784="","",'Employees'!C9)</f>
        <v/>
      </c>
      <c r="C784">
        <f>IF(A784="","",'Ratings'!C54)</f>
        <v/>
      </c>
      <c r="D784">
        <f>IF(A784="","",'Ratings'!D54)</f>
        <v/>
      </c>
      <c r="E784">
        <f>IF(AND('Ratings'!A54&lt;&gt;"",'Ratings'!S5&lt;&gt;""),'Ratings'!S5,"")</f>
        <v/>
      </c>
      <c r="F784">
        <f>IF(OR(A784="",'Ratings'!S54=""),"",'Ratings'!S54)</f>
        <v/>
      </c>
      <c r="G784">
        <f>IF(A784="","",'Employees'!D9)</f>
        <v/>
      </c>
    </row>
    <row r="785">
      <c r="A785">
        <f>IF(AND('Ratings'!A54&lt;&gt;"",'Ratings'!T5&lt;&gt;""),'Ratings'!A54,"")</f>
        <v/>
      </c>
      <c r="B785">
        <f>IF(A785="","",'Employees'!C9)</f>
        <v/>
      </c>
      <c r="C785">
        <f>IF(A785="","",'Ratings'!C54)</f>
        <v/>
      </c>
      <c r="D785">
        <f>IF(A785="","",'Ratings'!D54)</f>
        <v/>
      </c>
      <c r="E785">
        <f>IF(AND('Ratings'!A54&lt;&gt;"",'Ratings'!T5&lt;&gt;""),'Ratings'!T5,"")</f>
        <v/>
      </c>
      <c r="F785">
        <f>IF(OR(A785="",'Ratings'!T54=""),"",'Ratings'!T54)</f>
        <v/>
      </c>
      <c r="G785">
        <f>IF(A785="","",'Employees'!D9)</f>
        <v/>
      </c>
    </row>
    <row r="786">
      <c r="A786">
        <f>IF(AND('Ratings'!A55&lt;&gt;"",'Ratings'!E5&lt;&gt;""),'Ratings'!A55,"")</f>
        <v/>
      </c>
      <c r="B786">
        <f>IF(A786="","",'Employees'!C9)</f>
        <v/>
      </c>
      <c r="C786">
        <f>IF(A786="","",'Ratings'!C55)</f>
        <v/>
      </c>
      <c r="D786">
        <f>IF(A786="","",'Ratings'!D55)</f>
        <v/>
      </c>
      <c r="E786">
        <f>IF(AND('Ratings'!A55&lt;&gt;"",'Ratings'!E5&lt;&gt;""),'Ratings'!E5,"")</f>
        <v/>
      </c>
      <c r="F786">
        <f>IF(OR(A786="",'Ratings'!E55=""),"",'Ratings'!E55)</f>
        <v/>
      </c>
      <c r="G786">
        <f>IF(A786="","",'Employees'!D9)</f>
        <v/>
      </c>
    </row>
    <row r="787">
      <c r="A787">
        <f>IF(AND('Ratings'!A55&lt;&gt;"",'Ratings'!F5&lt;&gt;""),'Ratings'!A55,"")</f>
        <v/>
      </c>
      <c r="B787">
        <f>IF(A787="","",'Employees'!C9)</f>
        <v/>
      </c>
      <c r="C787">
        <f>IF(A787="","",'Ratings'!C55)</f>
        <v/>
      </c>
      <c r="D787">
        <f>IF(A787="","",'Ratings'!D55)</f>
        <v/>
      </c>
      <c r="E787">
        <f>IF(AND('Ratings'!A55&lt;&gt;"",'Ratings'!F5&lt;&gt;""),'Ratings'!F5,"")</f>
        <v/>
      </c>
      <c r="F787">
        <f>IF(OR(A787="",'Ratings'!F55=""),"",'Ratings'!F55)</f>
        <v/>
      </c>
      <c r="G787">
        <f>IF(A787="","",'Employees'!D9)</f>
        <v/>
      </c>
    </row>
    <row r="788">
      <c r="A788">
        <f>IF(AND('Ratings'!A55&lt;&gt;"",'Ratings'!G5&lt;&gt;""),'Ratings'!A55,"")</f>
        <v/>
      </c>
      <c r="B788">
        <f>IF(A788="","",'Employees'!C9)</f>
        <v/>
      </c>
      <c r="C788">
        <f>IF(A788="","",'Ratings'!C55)</f>
        <v/>
      </c>
      <c r="D788">
        <f>IF(A788="","",'Ratings'!D55)</f>
        <v/>
      </c>
      <c r="E788">
        <f>IF(AND('Ratings'!A55&lt;&gt;"",'Ratings'!G5&lt;&gt;""),'Ratings'!G5,"")</f>
        <v/>
      </c>
      <c r="F788">
        <f>IF(OR(A788="",'Ratings'!G55=""),"",'Ratings'!G55)</f>
        <v/>
      </c>
      <c r="G788">
        <f>IF(A788="","",'Employees'!D9)</f>
        <v/>
      </c>
    </row>
    <row r="789">
      <c r="A789">
        <f>IF(AND('Ratings'!A55&lt;&gt;"",'Ratings'!H5&lt;&gt;""),'Ratings'!A55,"")</f>
        <v/>
      </c>
      <c r="B789">
        <f>IF(A789="","",'Employees'!C9)</f>
        <v/>
      </c>
      <c r="C789">
        <f>IF(A789="","",'Ratings'!C55)</f>
        <v/>
      </c>
      <c r="D789">
        <f>IF(A789="","",'Ratings'!D55)</f>
        <v/>
      </c>
      <c r="E789">
        <f>IF(AND('Ratings'!A55&lt;&gt;"",'Ratings'!H5&lt;&gt;""),'Ratings'!H5,"")</f>
        <v/>
      </c>
      <c r="F789">
        <f>IF(OR(A789="",'Ratings'!H55=""),"",'Ratings'!H55)</f>
        <v/>
      </c>
      <c r="G789">
        <f>IF(A789="","",'Employees'!D9)</f>
        <v/>
      </c>
    </row>
    <row r="790">
      <c r="A790">
        <f>IF(AND('Ratings'!A55&lt;&gt;"",'Ratings'!I5&lt;&gt;""),'Ratings'!A55,"")</f>
        <v/>
      </c>
      <c r="B790">
        <f>IF(A790="","",'Employees'!C9)</f>
        <v/>
      </c>
      <c r="C790">
        <f>IF(A790="","",'Ratings'!C55)</f>
        <v/>
      </c>
      <c r="D790">
        <f>IF(A790="","",'Ratings'!D55)</f>
        <v/>
      </c>
      <c r="E790">
        <f>IF(AND('Ratings'!A55&lt;&gt;"",'Ratings'!I5&lt;&gt;""),'Ratings'!I5,"")</f>
        <v/>
      </c>
      <c r="F790">
        <f>IF(OR(A790="",'Ratings'!I55=""),"",'Ratings'!I55)</f>
        <v/>
      </c>
      <c r="G790">
        <f>IF(A790="","",'Employees'!D9)</f>
        <v/>
      </c>
    </row>
    <row r="791">
      <c r="A791">
        <f>IF(AND('Ratings'!A55&lt;&gt;"",'Ratings'!J5&lt;&gt;""),'Ratings'!A55,"")</f>
        <v/>
      </c>
      <c r="B791">
        <f>IF(A791="","",'Employees'!C9)</f>
        <v/>
      </c>
      <c r="C791">
        <f>IF(A791="","",'Ratings'!C55)</f>
        <v/>
      </c>
      <c r="D791">
        <f>IF(A791="","",'Ratings'!D55)</f>
        <v/>
      </c>
      <c r="E791">
        <f>IF(AND('Ratings'!A55&lt;&gt;"",'Ratings'!J5&lt;&gt;""),'Ratings'!J5,"")</f>
        <v/>
      </c>
      <c r="F791">
        <f>IF(OR(A791="",'Ratings'!J55=""),"",'Ratings'!J55)</f>
        <v/>
      </c>
      <c r="G791">
        <f>IF(A791="","",'Employees'!D9)</f>
        <v/>
      </c>
    </row>
    <row r="792">
      <c r="A792">
        <f>IF(AND('Ratings'!A55&lt;&gt;"",'Ratings'!K5&lt;&gt;""),'Ratings'!A55,"")</f>
        <v/>
      </c>
      <c r="B792">
        <f>IF(A792="","",'Employees'!C9)</f>
        <v/>
      </c>
      <c r="C792">
        <f>IF(A792="","",'Ratings'!C55)</f>
        <v/>
      </c>
      <c r="D792">
        <f>IF(A792="","",'Ratings'!D55)</f>
        <v/>
      </c>
      <c r="E792">
        <f>IF(AND('Ratings'!A55&lt;&gt;"",'Ratings'!K5&lt;&gt;""),'Ratings'!K5,"")</f>
        <v/>
      </c>
      <c r="F792">
        <f>IF(OR(A792="",'Ratings'!K55=""),"",'Ratings'!K55)</f>
        <v/>
      </c>
      <c r="G792">
        <f>IF(A792="","",'Employees'!D9)</f>
        <v/>
      </c>
    </row>
    <row r="793">
      <c r="A793">
        <f>IF(AND('Ratings'!A55&lt;&gt;"",'Ratings'!L5&lt;&gt;""),'Ratings'!A55,"")</f>
        <v/>
      </c>
      <c r="B793">
        <f>IF(A793="","",'Employees'!C9)</f>
        <v/>
      </c>
      <c r="C793">
        <f>IF(A793="","",'Ratings'!C55)</f>
        <v/>
      </c>
      <c r="D793">
        <f>IF(A793="","",'Ratings'!D55)</f>
        <v/>
      </c>
      <c r="E793">
        <f>IF(AND('Ratings'!A55&lt;&gt;"",'Ratings'!L5&lt;&gt;""),'Ratings'!L5,"")</f>
        <v/>
      </c>
      <c r="F793">
        <f>IF(OR(A793="",'Ratings'!L55=""),"",'Ratings'!L55)</f>
        <v/>
      </c>
      <c r="G793">
        <f>IF(A793="","",'Employees'!D9)</f>
        <v/>
      </c>
    </row>
    <row r="794">
      <c r="A794">
        <f>IF(AND('Ratings'!A55&lt;&gt;"",'Ratings'!M5&lt;&gt;""),'Ratings'!A55,"")</f>
        <v/>
      </c>
      <c r="B794">
        <f>IF(A794="","",'Employees'!C9)</f>
        <v/>
      </c>
      <c r="C794">
        <f>IF(A794="","",'Ratings'!C55)</f>
        <v/>
      </c>
      <c r="D794">
        <f>IF(A794="","",'Ratings'!D55)</f>
        <v/>
      </c>
      <c r="E794">
        <f>IF(AND('Ratings'!A55&lt;&gt;"",'Ratings'!M5&lt;&gt;""),'Ratings'!M5,"")</f>
        <v/>
      </c>
      <c r="F794">
        <f>IF(OR(A794="",'Ratings'!M55=""),"",'Ratings'!M55)</f>
        <v/>
      </c>
      <c r="G794">
        <f>IF(A794="","",'Employees'!D9)</f>
        <v/>
      </c>
    </row>
    <row r="795">
      <c r="A795">
        <f>IF(AND('Ratings'!A55&lt;&gt;"",'Ratings'!N5&lt;&gt;""),'Ratings'!A55,"")</f>
        <v/>
      </c>
      <c r="B795">
        <f>IF(A795="","",'Employees'!C9)</f>
        <v/>
      </c>
      <c r="C795">
        <f>IF(A795="","",'Ratings'!C55)</f>
        <v/>
      </c>
      <c r="D795">
        <f>IF(A795="","",'Ratings'!D55)</f>
        <v/>
      </c>
      <c r="E795">
        <f>IF(AND('Ratings'!A55&lt;&gt;"",'Ratings'!N5&lt;&gt;""),'Ratings'!N5,"")</f>
        <v/>
      </c>
      <c r="F795">
        <f>IF(OR(A795="",'Ratings'!N55=""),"",'Ratings'!N55)</f>
        <v/>
      </c>
      <c r="G795">
        <f>IF(A795="","",'Employees'!D9)</f>
        <v/>
      </c>
    </row>
    <row r="796">
      <c r="A796">
        <f>IF(AND('Ratings'!A55&lt;&gt;"",'Ratings'!O5&lt;&gt;""),'Ratings'!A55,"")</f>
        <v/>
      </c>
      <c r="B796">
        <f>IF(A796="","",'Employees'!C9)</f>
        <v/>
      </c>
      <c r="C796">
        <f>IF(A796="","",'Ratings'!C55)</f>
        <v/>
      </c>
      <c r="D796">
        <f>IF(A796="","",'Ratings'!D55)</f>
        <v/>
      </c>
      <c r="E796">
        <f>IF(AND('Ratings'!A55&lt;&gt;"",'Ratings'!O5&lt;&gt;""),'Ratings'!O5,"")</f>
        <v/>
      </c>
      <c r="F796">
        <f>IF(OR(A796="",'Ratings'!O55=""),"",'Ratings'!O55)</f>
        <v/>
      </c>
      <c r="G796">
        <f>IF(A796="","",'Employees'!D9)</f>
        <v/>
      </c>
    </row>
    <row r="797">
      <c r="A797">
        <f>IF(AND('Ratings'!A55&lt;&gt;"",'Ratings'!P5&lt;&gt;""),'Ratings'!A55,"")</f>
        <v/>
      </c>
      <c r="B797">
        <f>IF(A797="","",'Employees'!C9)</f>
        <v/>
      </c>
      <c r="C797">
        <f>IF(A797="","",'Ratings'!C55)</f>
        <v/>
      </c>
      <c r="D797">
        <f>IF(A797="","",'Ratings'!D55)</f>
        <v/>
      </c>
      <c r="E797">
        <f>IF(AND('Ratings'!A55&lt;&gt;"",'Ratings'!P5&lt;&gt;""),'Ratings'!P5,"")</f>
        <v/>
      </c>
      <c r="F797">
        <f>IF(OR(A797="",'Ratings'!P55=""),"",'Ratings'!P55)</f>
        <v/>
      </c>
      <c r="G797">
        <f>IF(A797="","",'Employees'!D9)</f>
        <v/>
      </c>
    </row>
    <row r="798">
      <c r="A798">
        <f>IF(AND('Ratings'!A55&lt;&gt;"",'Ratings'!Q5&lt;&gt;""),'Ratings'!A55,"")</f>
        <v/>
      </c>
      <c r="B798">
        <f>IF(A798="","",'Employees'!C9)</f>
        <v/>
      </c>
      <c r="C798">
        <f>IF(A798="","",'Ratings'!C55)</f>
        <v/>
      </c>
      <c r="D798">
        <f>IF(A798="","",'Ratings'!D55)</f>
        <v/>
      </c>
      <c r="E798">
        <f>IF(AND('Ratings'!A55&lt;&gt;"",'Ratings'!Q5&lt;&gt;""),'Ratings'!Q5,"")</f>
        <v/>
      </c>
      <c r="F798">
        <f>IF(OR(A798="",'Ratings'!Q55=""),"",'Ratings'!Q55)</f>
        <v/>
      </c>
      <c r="G798">
        <f>IF(A798="","",'Employees'!D9)</f>
        <v/>
      </c>
    </row>
    <row r="799">
      <c r="A799">
        <f>IF(AND('Ratings'!A55&lt;&gt;"",'Ratings'!R5&lt;&gt;""),'Ratings'!A55,"")</f>
        <v/>
      </c>
      <c r="B799">
        <f>IF(A799="","",'Employees'!C9)</f>
        <v/>
      </c>
      <c r="C799">
        <f>IF(A799="","",'Ratings'!C55)</f>
        <v/>
      </c>
      <c r="D799">
        <f>IF(A799="","",'Ratings'!D55)</f>
        <v/>
      </c>
      <c r="E799">
        <f>IF(AND('Ratings'!A55&lt;&gt;"",'Ratings'!R5&lt;&gt;""),'Ratings'!R5,"")</f>
        <v/>
      </c>
      <c r="F799">
        <f>IF(OR(A799="",'Ratings'!R55=""),"",'Ratings'!R55)</f>
        <v/>
      </c>
      <c r="G799">
        <f>IF(A799="","",'Employees'!D9)</f>
        <v/>
      </c>
    </row>
    <row r="800">
      <c r="A800">
        <f>IF(AND('Ratings'!A55&lt;&gt;"",'Ratings'!S5&lt;&gt;""),'Ratings'!A55,"")</f>
        <v/>
      </c>
      <c r="B800">
        <f>IF(A800="","",'Employees'!C9)</f>
        <v/>
      </c>
      <c r="C800">
        <f>IF(A800="","",'Ratings'!C55)</f>
        <v/>
      </c>
      <c r="D800">
        <f>IF(A800="","",'Ratings'!D55)</f>
        <v/>
      </c>
      <c r="E800">
        <f>IF(AND('Ratings'!A55&lt;&gt;"",'Ratings'!S5&lt;&gt;""),'Ratings'!S5,"")</f>
        <v/>
      </c>
      <c r="F800">
        <f>IF(OR(A800="",'Ratings'!S55=""),"",'Ratings'!S55)</f>
        <v/>
      </c>
      <c r="G800">
        <f>IF(A800="","",'Employees'!D9)</f>
        <v/>
      </c>
    </row>
    <row r="801">
      <c r="A801">
        <f>IF(AND('Ratings'!A55&lt;&gt;"",'Ratings'!T5&lt;&gt;""),'Ratings'!A55,"")</f>
        <v/>
      </c>
      <c r="B801">
        <f>IF(A801="","",'Employees'!C9)</f>
        <v/>
      </c>
      <c r="C801">
        <f>IF(A801="","",'Ratings'!C55)</f>
        <v/>
      </c>
      <c r="D801">
        <f>IF(A801="","",'Ratings'!D55)</f>
        <v/>
      </c>
      <c r="E801">
        <f>IF(AND('Ratings'!A55&lt;&gt;"",'Ratings'!T5&lt;&gt;""),'Ratings'!T5,"")</f>
        <v/>
      </c>
      <c r="F801">
        <f>IF(OR(A801="",'Ratings'!T55=""),"",'Ratings'!T55)</f>
        <v/>
      </c>
      <c r="G801">
        <f>IF(A801="","",'Employees'!D9)</f>
        <v/>
      </c>
    </row>
    <row r="802">
      <c r="A802">
        <f>IF(AND('Ratings'!A56&lt;&gt;"",'Ratings'!E5&lt;&gt;""),'Ratings'!A56,"")</f>
        <v/>
      </c>
      <c r="B802">
        <f>IF(A802="","",'Employees'!C9)</f>
        <v/>
      </c>
      <c r="C802">
        <f>IF(A802="","",'Ratings'!C56)</f>
        <v/>
      </c>
      <c r="D802">
        <f>IF(A802="","",'Ratings'!D56)</f>
        <v/>
      </c>
      <c r="E802">
        <f>IF(AND('Ratings'!A56&lt;&gt;"",'Ratings'!E5&lt;&gt;""),'Ratings'!E5,"")</f>
        <v/>
      </c>
      <c r="F802">
        <f>IF(OR(A802="",'Ratings'!E56=""),"",'Ratings'!E56)</f>
        <v/>
      </c>
      <c r="G802">
        <f>IF(A802="","",'Employees'!D9)</f>
        <v/>
      </c>
    </row>
    <row r="803">
      <c r="A803">
        <f>IF(AND('Ratings'!A56&lt;&gt;"",'Ratings'!F5&lt;&gt;""),'Ratings'!A56,"")</f>
        <v/>
      </c>
      <c r="B803">
        <f>IF(A803="","",'Employees'!C9)</f>
        <v/>
      </c>
      <c r="C803">
        <f>IF(A803="","",'Ratings'!C56)</f>
        <v/>
      </c>
      <c r="D803">
        <f>IF(A803="","",'Ratings'!D56)</f>
        <v/>
      </c>
      <c r="E803">
        <f>IF(AND('Ratings'!A56&lt;&gt;"",'Ratings'!F5&lt;&gt;""),'Ratings'!F5,"")</f>
        <v/>
      </c>
      <c r="F803">
        <f>IF(OR(A803="",'Ratings'!F56=""),"",'Ratings'!F56)</f>
        <v/>
      </c>
      <c r="G803">
        <f>IF(A803="","",'Employees'!D9)</f>
        <v/>
      </c>
    </row>
    <row r="804">
      <c r="A804">
        <f>IF(AND('Ratings'!A56&lt;&gt;"",'Ratings'!G5&lt;&gt;""),'Ratings'!A56,"")</f>
        <v/>
      </c>
      <c r="B804">
        <f>IF(A804="","",'Employees'!C9)</f>
        <v/>
      </c>
      <c r="C804">
        <f>IF(A804="","",'Ratings'!C56)</f>
        <v/>
      </c>
      <c r="D804">
        <f>IF(A804="","",'Ratings'!D56)</f>
        <v/>
      </c>
      <c r="E804">
        <f>IF(AND('Ratings'!A56&lt;&gt;"",'Ratings'!G5&lt;&gt;""),'Ratings'!G5,"")</f>
        <v/>
      </c>
      <c r="F804">
        <f>IF(OR(A804="",'Ratings'!G56=""),"",'Ratings'!G56)</f>
        <v/>
      </c>
      <c r="G804">
        <f>IF(A804="","",'Employees'!D9)</f>
        <v/>
      </c>
    </row>
    <row r="805">
      <c r="A805">
        <f>IF(AND('Ratings'!A56&lt;&gt;"",'Ratings'!H5&lt;&gt;""),'Ratings'!A56,"")</f>
        <v/>
      </c>
      <c r="B805">
        <f>IF(A805="","",'Employees'!C9)</f>
        <v/>
      </c>
      <c r="C805">
        <f>IF(A805="","",'Ratings'!C56)</f>
        <v/>
      </c>
      <c r="D805">
        <f>IF(A805="","",'Ratings'!D56)</f>
        <v/>
      </c>
      <c r="E805">
        <f>IF(AND('Ratings'!A56&lt;&gt;"",'Ratings'!H5&lt;&gt;""),'Ratings'!H5,"")</f>
        <v/>
      </c>
      <c r="F805">
        <f>IF(OR(A805="",'Ratings'!H56=""),"",'Ratings'!H56)</f>
        <v/>
      </c>
      <c r="G805">
        <f>IF(A805="","",'Employees'!D9)</f>
        <v/>
      </c>
    </row>
    <row r="806">
      <c r="A806">
        <f>IF(AND('Ratings'!A56&lt;&gt;"",'Ratings'!I5&lt;&gt;""),'Ratings'!A56,"")</f>
        <v/>
      </c>
      <c r="B806">
        <f>IF(A806="","",'Employees'!C9)</f>
        <v/>
      </c>
      <c r="C806">
        <f>IF(A806="","",'Ratings'!C56)</f>
        <v/>
      </c>
      <c r="D806">
        <f>IF(A806="","",'Ratings'!D56)</f>
        <v/>
      </c>
      <c r="E806">
        <f>IF(AND('Ratings'!A56&lt;&gt;"",'Ratings'!I5&lt;&gt;""),'Ratings'!I5,"")</f>
        <v/>
      </c>
      <c r="F806">
        <f>IF(OR(A806="",'Ratings'!I56=""),"",'Ratings'!I56)</f>
        <v/>
      </c>
      <c r="G806">
        <f>IF(A806="","",'Employees'!D9)</f>
        <v/>
      </c>
    </row>
    <row r="807">
      <c r="A807">
        <f>IF(AND('Ratings'!A56&lt;&gt;"",'Ratings'!J5&lt;&gt;""),'Ratings'!A56,"")</f>
        <v/>
      </c>
      <c r="B807">
        <f>IF(A807="","",'Employees'!C9)</f>
        <v/>
      </c>
      <c r="C807">
        <f>IF(A807="","",'Ratings'!C56)</f>
        <v/>
      </c>
      <c r="D807">
        <f>IF(A807="","",'Ratings'!D56)</f>
        <v/>
      </c>
      <c r="E807">
        <f>IF(AND('Ratings'!A56&lt;&gt;"",'Ratings'!J5&lt;&gt;""),'Ratings'!J5,"")</f>
        <v/>
      </c>
      <c r="F807">
        <f>IF(OR(A807="",'Ratings'!J56=""),"",'Ratings'!J56)</f>
        <v/>
      </c>
      <c r="G807">
        <f>IF(A807="","",'Employees'!D9)</f>
        <v/>
      </c>
    </row>
    <row r="808">
      <c r="A808">
        <f>IF(AND('Ratings'!A56&lt;&gt;"",'Ratings'!K5&lt;&gt;""),'Ratings'!A56,"")</f>
        <v/>
      </c>
      <c r="B808">
        <f>IF(A808="","",'Employees'!C9)</f>
        <v/>
      </c>
      <c r="C808">
        <f>IF(A808="","",'Ratings'!C56)</f>
        <v/>
      </c>
      <c r="D808">
        <f>IF(A808="","",'Ratings'!D56)</f>
        <v/>
      </c>
      <c r="E808">
        <f>IF(AND('Ratings'!A56&lt;&gt;"",'Ratings'!K5&lt;&gt;""),'Ratings'!K5,"")</f>
        <v/>
      </c>
      <c r="F808">
        <f>IF(OR(A808="",'Ratings'!K56=""),"",'Ratings'!K56)</f>
        <v/>
      </c>
      <c r="G808">
        <f>IF(A808="","",'Employees'!D9)</f>
        <v/>
      </c>
    </row>
    <row r="809">
      <c r="A809">
        <f>IF(AND('Ratings'!A56&lt;&gt;"",'Ratings'!L5&lt;&gt;""),'Ratings'!A56,"")</f>
        <v/>
      </c>
      <c r="B809">
        <f>IF(A809="","",'Employees'!C9)</f>
        <v/>
      </c>
      <c r="C809">
        <f>IF(A809="","",'Ratings'!C56)</f>
        <v/>
      </c>
      <c r="D809">
        <f>IF(A809="","",'Ratings'!D56)</f>
        <v/>
      </c>
      <c r="E809">
        <f>IF(AND('Ratings'!A56&lt;&gt;"",'Ratings'!L5&lt;&gt;""),'Ratings'!L5,"")</f>
        <v/>
      </c>
      <c r="F809">
        <f>IF(OR(A809="",'Ratings'!L56=""),"",'Ratings'!L56)</f>
        <v/>
      </c>
      <c r="G809">
        <f>IF(A809="","",'Employees'!D9)</f>
        <v/>
      </c>
    </row>
    <row r="810">
      <c r="A810">
        <f>IF(AND('Ratings'!A56&lt;&gt;"",'Ratings'!M5&lt;&gt;""),'Ratings'!A56,"")</f>
        <v/>
      </c>
      <c r="B810">
        <f>IF(A810="","",'Employees'!C9)</f>
        <v/>
      </c>
      <c r="C810">
        <f>IF(A810="","",'Ratings'!C56)</f>
        <v/>
      </c>
      <c r="D810">
        <f>IF(A810="","",'Ratings'!D56)</f>
        <v/>
      </c>
      <c r="E810">
        <f>IF(AND('Ratings'!A56&lt;&gt;"",'Ratings'!M5&lt;&gt;""),'Ratings'!M5,"")</f>
        <v/>
      </c>
      <c r="F810">
        <f>IF(OR(A810="",'Ratings'!M56=""),"",'Ratings'!M56)</f>
        <v/>
      </c>
      <c r="G810">
        <f>IF(A810="","",'Employees'!D9)</f>
        <v/>
      </c>
    </row>
    <row r="811">
      <c r="A811">
        <f>IF(AND('Ratings'!A56&lt;&gt;"",'Ratings'!N5&lt;&gt;""),'Ratings'!A56,"")</f>
        <v/>
      </c>
      <c r="B811">
        <f>IF(A811="","",'Employees'!C9)</f>
        <v/>
      </c>
      <c r="C811">
        <f>IF(A811="","",'Ratings'!C56)</f>
        <v/>
      </c>
      <c r="D811">
        <f>IF(A811="","",'Ratings'!D56)</f>
        <v/>
      </c>
      <c r="E811">
        <f>IF(AND('Ratings'!A56&lt;&gt;"",'Ratings'!N5&lt;&gt;""),'Ratings'!N5,"")</f>
        <v/>
      </c>
      <c r="F811">
        <f>IF(OR(A811="",'Ratings'!N56=""),"",'Ratings'!N56)</f>
        <v/>
      </c>
      <c r="G811">
        <f>IF(A811="","",'Employees'!D9)</f>
        <v/>
      </c>
    </row>
    <row r="812">
      <c r="A812">
        <f>IF(AND('Ratings'!A56&lt;&gt;"",'Ratings'!O5&lt;&gt;""),'Ratings'!A56,"")</f>
        <v/>
      </c>
      <c r="B812">
        <f>IF(A812="","",'Employees'!C9)</f>
        <v/>
      </c>
      <c r="C812">
        <f>IF(A812="","",'Ratings'!C56)</f>
        <v/>
      </c>
      <c r="D812">
        <f>IF(A812="","",'Ratings'!D56)</f>
        <v/>
      </c>
      <c r="E812">
        <f>IF(AND('Ratings'!A56&lt;&gt;"",'Ratings'!O5&lt;&gt;""),'Ratings'!O5,"")</f>
        <v/>
      </c>
      <c r="F812">
        <f>IF(OR(A812="",'Ratings'!O56=""),"",'Ratings'!O56)</f>
        <v/>
      </c>
      <c r="G812">
        <f>IF(A812="","",'Employees'!D9)</f>
        <v/>
      </c>
    </row>
    <row r="813">
      <c r="A813">
        <f>IF(AND('Ratings'!A56&lt;&gt;"",'Ratings'!P5&lt;&gt;""),'Ratings'!A56,"")</f>
        <v/>
      </c>
      <c r="B813">
        <f>IF(A813="","",'Employees'!C9)</f>
        <v/>
      </c>
      <c r="C813">
        <f>IF(A813="","",'Ratings'!C56)</f>
        <v/>
      </c>
      <c r="D813">
        <f>IF(A813="","",'Ratings'!D56)</f>
        <v/>
      </c>
      <c r="E813">
        <f>IF(AND('Ratings'!A56&lt;&gt;"",'Ratings'!P5&lt;&gt;""),'Ratings'!P5,"")</f>
        <v/>
      </c>
      <c r="F813">
        <f>IF(OR(A813="",'Ratings'!P56=""),"",'Ratings'!P56)</f>
        <v/>
      </c>
      <c r="G813">
        <f>IF(A813="","",'Employees'!D9)</f>
        <v/>
      </c>
    </row>
    <row r="814">
      <c r="A814">
        <f>IF(AND('Ratings'!A56&lt;&gt;"",'Ratings'!Q5&lt;&gt;""),'Ratings'!A56,"")</f>
        <v/>
      </c>
      <c r="B814">
        <f>IF(A814="","",'Employees'!C9)</f>
        <v/>
      </c>
      <c r="C814">
        <f>IF(A814="","",'Ratings'!C56)</f>
        <v/>
      </c>
      <c r="D814">
        <f>IF(A814="","",'Ratings'!D56)</f>
        <v/>
      </c>
      <c r="E814">
        <f>IF(AND('Ratings'!A56&lt;&gt;"",'Ratings'!Q5&lt;&gt;""),'Ratings'!Q5,"")</f>
        <v/>
      </c>
      <c r="F814">
        <f>IF(OR(A814="",'Ratings'!Q56=""),"",'Ratings'!Q56)</f>
        <v/>
      </c>
      <c r="G814">
        <f>IF(A814="","",'Employees'!D9)</f>
        <v/>
      </c>
    </row>
    <row r="815">
      <c r="A815">
        <f>IF(AND('Ratings'!A56&lt;&gt;"",'Ratings'!R5&lt;&gt;""),'Ratings'!A56,"")</f>
        <v/>
      </c>
      <c r="B815">
        <f>IF(A815="","",'Employees'!C9)</f>
        <v/>
      </c>
      <c r="C815">
        <f>IF(A815="","",'Ratings'!C56)</f>
        <v/>
      </c>
      <c r="D815">
        <f>IF(A815="","",'Ratings'!D56)</f>
        <v/>
      </c>
      <c r="E815">
        <f>IF(AND('Ratings'!A56&lt;&gt;"",'Ratings'!R5&lt;&gt;""),'Ratings'!R5,"")</f>
        <v/>
      </c>
      <c r="F815">
        <f>IF(OR(A815="",'Ratings'!R56=""),"",'Ratings'!R56)</f>
        <v/>
      </c>
      <c r="G815">
        <f>IF(A815="","",'Employees'!D9)</f>
        <v/>
      </c>
    </row>
    <row r="816">
      <c r="A816">
        <f>IF(AND('Ratings'!A56&lt;&gt;"",'Ratings'!S5&lt;&gt;""),'Ratings'!A56,"")</f>
        <v/>
      </c>
      <c r="B816">
        <f>IF(A816="","",'Employees'!C9)</f>
        <v/>
      </c>
      <c r="C816">
        <f>IF(A816="","",'Ratings'!C56)</f>
        <v/>
      </c>
      <c r="D816">
        <f>IF(A816="","",'Ratings'!D56)</f>
        <v/>
      </c>
      <c r="E816">
        <f>IF(AND('Ratings'!A56&lt;&gt;"",'Ratings'!S5&lt;&gt;""),'Ratings'!S5,"")</f>
        <v/>
      </c>
      <c r="F816">
        <f>IF(OR(A816="",'Ratings'!S56=""),"",'Ratings'!S56)</f>
        <v/>
      </c>
      <c r="G816">
        <f>IF(A816="","",'Employees'!D9)</f>
        <v/>
      </c>
    </row>
    <row r="817">
      <c r="A817">
        <f>IF(AND('Ratings'!A56&lt;&gt;"",'Ratings'!T5&lt;&gt;""),'Ratings'!A56,"")</f>
        <v/>
      </c>
      <c r="B817">
        <f>IF(A817="","",'Employees'!C9)</f>
        <v/>
      </c>
      <c r="C817">
        <f>IF(A817="","",'Ratings'!C56)</f>
        <v/>
      </c>
      <c r="D817">
        <f>IF(A817="","",'Ratings'!D56)</f>
        <v/>
      </c>
      <c r="E817">
        <f>IF(AND('Ratings'!A56&lt;&gt;"",'Ratings'!T5&lt;&gt;""),'Ratings'!T5,"")</f>
        <v/>
      </c>
      <c r="F817">
        <f>IF(OR(A817="",'Ratings'!T56=""),"",'Ratings'!T56)</f>
        <v/>
      </c>
      <c r="G817">
        <f>IF(A817="","",'Employees'!D9)</f>
        <v/>
      </c>
    </row>
    <row r="818">
      <c r="A818">
        <f>IF(AND('Ratings'!A57&lt;&gt;"",'Ratings'!E5&lt;&gt;""),'Ratings'!A57,"")</f>
        <v/>
      </c>
      <c r="B818">
        <f>IF(A818="","",'Employees'!C9)</f>
        <v/>
      </c>
      <c r="C818">
        <f>IF(A818="","",'Ratings'!C57)</f>
        <v/>
      </c>
      <c r="D818">
        <f>IF(A818="","",'Ratings'!D57)</f>
        <v/>
      </c>
      <c r="E818">
        <f>IF(AND('Ratings'!A57&lt;&gt;"",'Ratings'!E5&lt;&gt;""),'Ratings'!E5,"")</f>
        <v/>
      </c>
      <c r="F818">
        <f>IF(OR(A818="",'Ratings'!E57=""),"",'Ratings'!E57)</f>
        <v/>
      </c>
      <c r="G818">
        <f>IF(A818="","",'Employees'!D9)</f>
        <v/>
      </c>
    </row>
    <row r="819">
      <c r="A819">
        <f>IF(AND('Ratings'!A57&lt;&gt;"",'Ratings'!F5&lt;&gt;""),'Ratings'!A57,"")</f>
        <v/>
      </c>
      <c r="B819">
        <f>IF(A819="","",'Employees'!C9)</f>
        <v/>
      </c>
      <c r="C819">
        <f>IF(A819="","",'Ratings'!C57)</f>
        <v/>
      </c>
      <c r="D819">
        <f>IF(A819="","",'Ratings'!D57)</f>
        <v/>
      </c>
      <c r="E819">
        <f>IF(AND('Ratings'!A57&lt;&gt;"",'Ratings'!F5&lt;&gt;""),'Ratings'!F5,"")</f>
        <v/>
      </c>
      <c r="F819">
        <f>IF(OR(A819="",'Ratings'!F57=""),"",'Ratings'!F57)</f>
        <v/>
      </c>
      <c r="G819">
        <f>IF(A819="","",'Employees'!D9)</f>
        <v/>
      </c>
    </row>
    <row r="820">
      <c r="A820">
        <f>IF(AND('Ratings'!A57&lt;&gt;"",'Ratings'!G5&lt;&gt;""),'Ratings'!A57,"")</f>
        <v/>
      </c>
      <c r="B820">
        <f>IF(A820="","",'Employees'!C9)</f>
        <v/>
      </c>
      <c r="C820">
        <f>IF(A820="","",'Ratings'!C57)</f>
        <v/>
      </c>
      <c r="D820">
        <f>IF(A820="","",'Ratings'!D57)</f>
        <v/>
      </c>
      <c r="E820">
        <f>IF(AND('Ratings'!A57&lt;&gt;"",'Ratings'!G5&lt;&gt;""),'Ratings'!G5,"")</f>
        <v/>
      </c>
      <c r="F820">
        <f>IF(OR(A820="",'Ratings'!G57=""),"",'Ratings'!G57)</f>
        <v/>
      </c>
      <c r="G820">
        <f>IF(A820="","",'Employees'!D9)</f>
        <v/>
      </c>
    </row>
    <row r="821">
      <c r="A821">
        <f>IF(AND('Ratings'!A57&lt;&gt;"",'Ratings'!H5&lt;&gt;""),'Ratings'!A57,"")</f>
        <v/>
      </c>
      <c r="B821">
        <f>IF(A821="","",'Employees'!C9)</f>
        <v/>
      </c>
      <c r="C821">
        <f>IF(A821="","",'Ratings'!C57)</f>
        <v/>
      </c>
      <c r="D821">
        <f>IF(A821="","",'Ratings'!D57)</f>
        <v/>
      </c>
      <c r="E821">
        <f>IF(AND('Ratings'!A57&lt;&gt;"",'Ratings'!H5&lt;&gt;""),'Ratings'!H5,"")</f>
        <v/>
      </c>
      <c r="F821">
        <f>IF(OR(A821="",'Ratings'!H57=""),"",'Ratings'!H57)</f>
        <v/>
      </c>
      <c r="G821">
        <f>IF(A821="","",'Employees'!D9)</f>
        <v/>
      </c>
    </row>
    <row r="822">
      <c r="A822">
        <f>IF(AND('Ratings'!A57&lt;&gt;"",'Ratings'!I5&lt;&gt;""),'Ratings'!A57,"")</f>
        <v/>
      </c>
      <c r="B822">
        <f>IF(A822="","",'Employees'!C9)</f>
        <v/>
      </c>
      <c r="C822">
        <f>IF(A822="","",'Ratings'!C57)</f>
        <v/>
      </c>
      <c r="D822">
        <f>IF(A822="","",'Ratings'!D57)</f>
        <v/>
      </c>
      <c r="E822">
        <f>IF(AND('Ratings'!A57&lt;&gt;"",'Ratings'!I5&lt;&gt;""),'Ratings'!I5,"")</f>
        <v/>
      </c>
      <c r="F822">
        <f>IF(OR(A822="",'Ratings'!I57=""),"",'Ratings'!I57)</f>
        <v/>
      </c>
      <c r="G822">
        <f>IF(A822="","",'Employees'!D9)</f>
        <v/>
      </c>
    </row>
    <row r="823">
      <c r="A823">
        <f>IF(AND('Ratings'!A57&lt;&gt;"",'Ratings'!J5&lt;&gt;""),'Ratings'!A57,"")</f>
        <v/>
      </c>
      <c r="B823">
        <f>IF(A823="","",'Employees'!C9)</f>
        <v/>
      </c>
      <c r="C823">
        <f>IF(A823="","",'Ratings'!C57)</f>
        <v/>
      </c>
      <c r="D823">
        <f>IF(A823="","",'Ratings'!D57)</f>
        <v/>
      </c>
      <c r="E823">
        <f>IF(AND('Ratings'!A57&lt;&gt;"",'Ratings'!J5&lt;&gt;""),'Ratings'!J5,"")</f>
        <v/>
      </c>
      <c r="F823">
        <f>IF(OR(A823="",'Ratings'!J57=""),"",'Ratings'!J57)</f>
        <v/>
      </c>
      <c r="G823">
        <f>IF(A823="","",'Employees'!D9)</f>
        <v/>
      </c>
    </row>
    <row r="824">
      <c r="A824">
        <f>IF(AND('Ratings'!A57&lt;&gt;"",'Ratings'!K5&lt;&gt;""),'Ratings'!A57,"")</f>
        <v/>
      </c>
      <c r="B824">
        <f>IF(A824="","",'Employees'!C9)</f>
        <v/>
      </c>
      <c r="C824">
        <f>IF(A824="","",'Ratings'!C57)</f>
        <v/>
      </c>
      <c r="D824">
        <f>IF(A824="","",'Ratings'!D57)</f>
        <v/>
      </c>
      <c r="E824">
        <f>IF(AND('Ratings'!A57&lt;&gt;"",'Ratings'!K5&lt;&gt;""),'Ratings'!K5,"")</f>
        <v/>
      </c>
      <c r="F824">
        <f>IF(OR(A824="",'Ratings'!K57=""),"",'Ratings'!K57)</f>
        <v/>
      </c>
      <c r="G824">
        <f>IF(A824="","",'Employees'!D9)</f>
        <v/>
      </c>
    </row>
    <row r="825">
      <c r="A825">
        <f>IF(AND('Ratings'!A57&lt;&gt;"",'Ratings'!L5&lt;&gt;""),'Ratings'!A57,"")</f>
        <v/>
      </c>
      <c r="B825">
        <f>IF(A825="","",'Employees'!C9)</f>
        <v/>
      </c>
      <c r="C825">
        <f>IF(A825="","",'Ratings'!C57)</f>
        <v/>
      </c>
      <c r="D825">
        <f>IF(A825="","",'Ratings'!D57)</f>
        <v/>
      </c>
      <c r="E825">
        <f>IF(AND('Ratings'!A57&lt;&gt;"",'Ratings'!L5&lt;&gt;""),'Ratings'!L5,"")</f>
        <v/>
      </c>
      <c r="F825">
        <f>IF(OR(A825="",'Ratings'!L57=""),"",'Ratings'!L57)</f>
        <v/>
      </c>
      <c r="G825">
        <f>IF(A825="","",'Employees'!D9)</f>
        <v/>
      </c>
    </row>
    <row r="826">
      <c r="A826">
        <f>IF(AND('Ratings'!A57&lt;&gt;"",'Ratings'!M5&lt;&gt;""),'Ratings'!A57,"")</f>
        <v/>
      </c>
      <c r="B826">
        <f>IF(A826="","",'Employees'!C9)</f>
        <v/>
      </c>
      <c r="C826">
        <f>IF(A826="","",'Ratings'!C57)</f>
        <v/>
      </c>
      <c r="D826">
        <f>IF(A826="","",'Ratings'!D57)</f>
        <v/>
      </c>
      <c r="E826">
        <f>IF(AND('Ratings'!A57&lt;&gt;"",'Ratings'!M5&lt;&gt;""),'Ratings'!M5,"")</f>
        <v/>
      </c>
      <c r="F826">
        <f>IF(OR(A826="",'Ratings'!M57=""),"",'Ratings'!M57)</f>
        <v/>
      </c>
      <c r="G826">
        <f>IF(A826="","",'Employees'!D9)</f>
        <v/>
      </c>
    </row>
    <row r="827">
      <c r="A827">
        <f>IF(AND('Ratings'!A57&lt;&gt;"",'Ratings'!N5&lt;&gt;""),'Ratings'!A57,"")</f>
        <v/>
      </c>
      <c r="B827">
        <f>IF(A827="","",'Employees'!C9)</f>
        <v/>
      </c>
      <c r="C827">
        <f>IF(A827="","",'Ratings'!C57)</f>
        <v/>
      </c>
      <c r="D827">
        <f>IF(A827="","",'Ratings'!D57)</f>
        <v/>
      </c>
      <c r="E827">
        <f>IF(AND('Ratings'!A57&lt;&gt;"",'Ratings'!N5&lt;&gt;""),'Ratings'!N5,"")</f>
        <v/>
      </c>
      <c r="F827">
        <f>IF(OR(A827="",'Ratings'!N57=""),"",'Ratings'!N57)</f>
        <v/>
      </c>
      <c r="G827">
        <f>IF(A827="","",'Employees'!D9)</f>
        <v/>
      </c>
    </row>
    <row r="828">
      <c r="A828">
        <f>IF(AND('Ratings'!A57&lt;&gt;"",'Ratings'!O5&lt;&gt;""),'Ratings'!A57,"")</f>
        <v/>
      </c>
      <c r="B828">
        <f>IF(A828="","",'Employees'!C9)</f>
        <v/>
      </c>
      <c r="C828">
        <f>IF(A828="","",'Ratings'!C57)</f>
        <v/>
      </c>
      <c r="D828">
        <f>IF(A828="","",'Ratings'!D57)</f>
        <v/>
      </c>
      <c r="E828">
        <f>IF(AND('Ratings'!A57&lt;&gt;"",'Ratings'!O5&lt;&gt;""),'Ratings'!O5,"")</f>
        <v/>
      </c>
      <c r="F828">
        <f>IF(OR(A828="",'Ratings'!O57=""),"",'Ratings'!O57)</f>
        <v/>
      </c>
      <c r="G828">
        <f>IF(A828="","",'Employees'!D9)</f>
        <v/>
      </c>
    </row>
    <row r="829">
      <c r="A829">
        <f>IF(AND('Ratings'!A57&lt;&gt;"",'Ratings'!P5&lt;&gt;""),'Ratings'!A57,"")</f>
        <v/>
      </c>
      <c r="B829">
        <f>IF(A829="","",'Employees'!C9)</f>
        <v/>
      </c>
      <c r="C829">
        <f>IF(A829="","",'Ratings'!C57)</f>
        <v/>
      </c>
      <c r="D829">
        <f>IF(A829="","",'Ratings'!D57)</f>
        <v/>
      </c>
      <c r="E829">
        <f>IF(AND('Ratings'!A57&lt;&gt;"",'Ratings'!P5&lt;&gt;""),'Ratings'!P5,"")</f>
        <v/>
      </c>
      <c r="F829">
        <f>IF(OR(A829="",'Ratings'!P57=""),"",'Ratings'!P57)</f>
        <v/>
      </c>
      <c r="G829">
        <f>IF(A829="","",'Employees'!D9)</f>
        <v/>
      </c>
    </row>
    <row r="830">
      <c r="A830">
        <f>IF(AND('Ratings'!A57&lt;&gt;"",'Ratings'!Q5&lt;&gt;""),'Ratings'!A57,"")</f>
        <v/>
      </c>
      <c r="B830">
        <f>IF(A830="","",'Employees'!C9)</f>
        <v/>
      </c>
      <c r="C830">
        <f>IF(A830="","",'Ratings'!C57)</f>
        <v/>
      </c>
      <c r="D830">
        <f>IF(A830="","",'Ratings'!D57)</f>
        <v/>
      </c>
      <c r="E830">
        <f>IF(AND('Ratings'!A57&lt;&gt;"",'Ratings'!Q5&lt;&gt;""),'Ratings'!Q5,"")</f>
        <v/>
      </c>
      <c r="F830">
        <f>IF(OR(A830="",'Ratings'!Q57=""),"",'Ratings'!Q57)</f>
        <v/>
      </c>
      <c r="G830">
        <f>IF(A830="","",'Employees'!D9)</f>
        <v/>
      </c>
    </row>
    <row r="831">
      <c r="A831">
        <f>IF(AND('Ratings'!A57&lt;&gt;"",'Ratings'!R5&lt;&gt;""),'Ratings'!A57,"")</f>
        <v/>
      </c>
      <c r="B831">
        <f>IF(A831="","",'Employees'!C9)</f>
        <v/>
      </c>
      <c r="C831">
        <f>IF(A831="","",'Ratings'!C57)</f>
        <v/>
      </c>
      <c r="D831">
        <f>IF(A831="","",'Ratings'!D57)</f>
        <v/>
      </c>
      <c r="E831">
        <f>IF(AND('Ratings'!A57&lt;&gt;"",'Ratings'!R5&lt;&gt;""),'Ratings'!R5,"")</f>
        <v/>
      </c>
      <c r="F831">
        <f>IF(OR(A831="",'Ratings'!R57=""),"",'Ratings'!R57)</f>
        <v/>
      </c>
      <c r="G831">
        <f>IF(A831="","",'Employees'!D9)</f>
        <v/>
      </c>
    </row>
    <row r="832">
      <c r="A832">
        <f>IF(AND('Ratings'!A57&lt;&gt;"",'Ratings'!S5&lt;&gt;""),'Ratings'!A57,"")</f>
        <v/>
      </c>
      <c r="B832">
        <f>IF(A832="","",'Employees'!C9)</f>
        <v/>
      </c>
      <c r="C832">
        <f>IF(A832="","",'Ratings'!C57)</f>
        <v/>
      </c>
      <c r="D832">
        <f>IF(A832="","",'Ratings'!D57)</f>
        <v/>
      </c>
      <c r="E832">
        <f>IF(AND('Ratings'!A57&lt;&gt;"",'Ratings'!S5&lt;&gt;""),'Ratings'!S5,"")</f>
        <v/>
      </c>
      <c r="F832">
        <f>IF(OR(A832="",'Ratings'!S57=""),"",'Ratings'!S57)</f>
        <v/>
      </c>
      <c r="G832">
        <f>IF(A832="","",'Employees'!D9)</f>
        <v/>
      </c>
    </row>
    <row r="833">
      <c r="A833">
        <f>IF(AND('Ratings'!A57&lt;&gt;"",'Ratings'!T5&lt;&gt;""),'Ratings'!A57,"")</f>
        <v/>
      </c>
      <c r="B833">
        <f>IF(A833="","",'Employees'!C9)</f>
        <v/>
      </c>
      <c r="C833">
        <f>IF(A833="","",'Ratings'!C57)</f>
        <v/>
      </c>
      <c r="D833">
        <f>IF(A833="","",'Ratings'!D57)</f>
        <v/>
      </c>
      <c r="E833">
        <f>IF(AND('Ratings'!A57&lt;&gt;"",'Ratings'!T5&lt;&gt;""),'Ratings'!T5,"")</f>
        <v/>
      </c>
      <c r="F833">
        <f>IF(OR(A833="",'Ratings'!T57=""),"",'Ratings'!T57)</f>
        <v/>
      </c>
      <c r="G833">
        <f>IF(A833="","",'Employees'!D9)</f>
        <v/>
      </c>
    </row>
    <row r="834">
      <c r="A834">
        <f>IF(AND('Ratings'!A58&lt;&gt;"",'Ratings'!E5&lt;&gt;""),'Ratings'!A58,"")</f>
        <v/>
      </c>
      <c r="B834">
        <f>IF(A834="","",'Employees'!C9)</f>
        <v/>
      </c>
      <c r="C834">
        <f>IF(A834="","",'Ratings'!C58)</f>
        <v/>
      </c>
      <c r="D834">
        <f>IF(A834="","",'Ratings'!D58)</f>
        <v/>
      </c>
      <c r="E834">
        <f>IF(AND('Ratings'!A58&lt;&gt;"",'Ratings'!E5&lt;&gt;""),'Ratings'!E5,"")</f>
        <v/>
      </c>
      <c r="F834">
        <f>IF(OR(A834="",'Ratings'!E58=""),"",'Ratings'!E58)</f>
        <v/>
      </c>
      <c r="G834">
        <f>IF(A834="","",'Employees'!D9)</f>
        <v/>
      </c>
    </row>
    <row r="835">
      <c r="A835">
        <f>IF(AND('Ratings'!A58&lt;&gt;"",'Ratings'!F5&lt;&gt;""),'Ratings'!A58,"")</f>
        <v/>
      </c>
      <c r="B835">
        <f>IF(A835="","",'Employees'!C9)</f>
        <v/>
      </c>
      <c r="C835">
        <f>IF(A835="","",'Ratings'!C58)</f>
        <v/>
      </c>
      <c r="D835">
        <f>IF(A835="","",'Ratings'!D58)</f>
        <v/>
      </c>
      <c r="E835">
        <f>IF(AND('Ratings'!A58&lt;&gt;"",'Ratings'!F5&lt;&gt;""),'Ratings'!F5,"")</f>
        <v/>
      </c>
      <c r="F835">
        <f>IF(OR(A835="",'Ratings'!F58=""),"",'Ratings'!F58)</f>
        <v/>
      </c>
      <c r="G835">
        <f>IF(A835="","",'Employees'!D9)</f>
        <v/>
      </c>
    </row>
    <row r="836">
      <c r="A836">
        <f>IF(AND('Ratings'!A58&lt;&gt;"",'Ratings'!G5&lt;&gt;""),'Ratings'!A58,"")</f>
        <v/>
      </c>
      <c r="B836">
        <f>IF(A836="","",'Employees'!C9)</f>
        <v/>
      </c>
      <c r="C836">
        <f>IF(A836="","",'Ratings'!C58)</f>
        <v/>
      </c>
      <c r="D836">
        <f>IF(A836="","",'Ratings'!D58)</f>
        <v/>
      </c>
      <c r="E836">
        <f>IF(AND('Ratings'!A58&lt;&gt;"",'Ratings'!G5&lt;&gt;""),'Ratings'!G5,"")</f>
        <v/>
      </c>
      <c r="F836">
        <f>IF(OR(A836="",'Ratings'!G58=""),"",'Ratings'!G58)</f>
        <v/>
      </c>
      <c r="G836">
        <f>IF(A836="","",'Employees'!D9)</f>
        <v/>
      </c>
    </row>
    <row r="837">
      <c r="A837">
        <f>IF(AND('Ratings'!A58&lt;&gt;"",'Ratings'!H5&lt;&gt;""),'Ratings'!A58,"")</f>
        <v/>
      </c>
      <c r="B837">
        <f>IF(A837="","",'Employees'!C9)</f>
        <v/>
      </c>
      <c r="C837">
        <f>IF(A837="","",'Ratings'!C58)</f>
        <v/>
      </c>
      <c r="D837">
        <f>IF(A837="","",'Ratings'!D58)</f>
        <v/>
      </c>
      <c r="E837">
        <f>IF(AND('Ratings'!A58&lt;&gt;"",'Ratings'!H5&lt;&gt;""),'Ratings'!H5,"")</f>
        <v/>
      </c>
      <c r="F837">
        <f>IF(OR(A837="",'Ratings'!H58=""),"",'Ratings'!H58)</f>
        <v/>
      </c>
      <c r="G837">
        <f>IF(A837="","",'Employees'!D9)</f>
        <v/>
      </c>
    </row>
    <row r="838">
      <c r="A838">
        <f>IF(AND('Ratings'!A58&lt;&gt;"",'Ratings'!I5&lt;&gt;""),'Ratings'!A58,"")</f>
        <v/>
      </c>
      <c r="B838">
        <f>IF(A838="","",'Employees'!C9)</f>
        <v/>
      </c>
      <c r="C838">
        <f>IF(A838="","",'Ratings'!C58)</f>
        <v/>
      </c>
      <c r="D838">
        <f>IF(A838="","",'Ratings'!D58)</f>
        <v/>
      </c>
      <c r="E838">
        <f>IF(AND('Ratings'!A58&lt;&gt;"",'Ratings'!I5&lt;&gt;""),'Ratings'!I5,"")</f>
        <v/>
      </c>
      <c r="F838">
        <f>IF(OR(A838="",'Ratings'!I58=""),"",'Ratings'!I58)</f>
        <v/>
      </c>
      <c r="G838">
        <f>IF(A838="","",'Employees'!D9)</f>
        <v/>
      </c>
    </row>
    <row r="839">
      <c r="A839">
        <f>IF(AND('Ratings'!A58&lt;&gt;"",'Ratings'!J5&lt;&gt;""),'Ratings'!A58,"")</f>
        <v/>
      </c>
      <c r="B839">
        <f>IF(A839="","",'Employees'!C9)</f>
        <v/>
      </c>
      <c r="C839">
        <f>IF(A839="","",'Ratings'!C58)</f>
        <v/>
      </c>
      <c r="D839">
        <f>IF(A839="","",'Ratings'!D58)</f>
        <v/>
      </c>
      <c r="E839">
        <f>IF(AND('Ratings'!A58&lt;&gt;"",'Ratings'!J5&lt;&gt;""),'Ratings'!J5,"")</f>
        <v/>
      </c>
      <c r="F839">
        <f>IF(OR(A839="",'Ratings'!J58=""),"",'Ratings'!J58)</f>
        <v/>
      </c>
      <c r="G839">
        <f>IF(A839="","",'Employees'!D9)</f>
        <v/>
      </c>
    </row>
    <row r="840">
      <c r="A840">
        <f>IF(AND('Ratings'!A58&lt;&gt;"",'Ratings'!K5&lt;&gt;""),'Ratings'!A58,"")</f>
        <v/>
      </c>
      <c r="B840">
        <f>IF(A840="","",'Employees'!C9)</f>
        <v/>
      </c>
      <c r="C840">
        <f>IF(A840="","",'Ratings'!C58)</f>
        <v/>
      </c>
      <c r="D840">
        <f>IF(A840="","",'Ratings'!D58)</f>
        <v/>
      </c>
      <c r="E840">
        <f>IF(AND('Ratings'!A58&lt;&gt;"",'Ratings'!K5&lt;&gt;""),'Ratings'!K5,"")</f>
        <v/>
      </c>
      <c r="F840">
        <f>IF(OR(A840="",'Ratings'!K58=""),"",'Ratings'!K58)</f>
        <v/>
      </c>
      <c r="G840">
        <f>IF(A840="","",'Employees'!D9)</f>
        <v/>
      </c>
    </row>
    <row r="841">
      <c r="A841">
        <f>IF(AND('Ratings'!A58&lt;&gt;"",'Ratings'!L5&lt;&gt;""),'Ratings'!A58,"")</f>
        <v/>
      </c>
      <c r="B841">
        <f>IF(A841="","",'Employees'!C9)</f>
        <v/>
      </c>
      <c r="C841">
        <f>IF(A841="","",'Ratings'!C58)</f>
        <v/>
      </c>
      <c r="D841">
        <f>IF(A841="","",'Ratings'!D58)</f>
        <v/>
      </c>
      <c r="E841">
        <f>IF(AND('Ratings'!A58&lt;&gt;"",'Ratings'!L5&lt;&gt;""),'Ratings'!L5,"")</f>
        <v/>
      </c>
      <c r="F841">
        <f>IF(OR(A841="",'Ratings'!L58=""),"",'Ratings'!L58)</f>
        <v/>
      </c>
      <c r="G841">
        <f>IF(A841="","",'Employees'!D9)</f>
        <v/>
      </c>
    </row>
    <row r="842">
      <c r="A842">
        <f>IF(AND('Ratings'!A58&lt;&gt;"",'Ratings'!M5&lt;&gt;""),'Ratings'!A58,"")</f>
        <v/>
      </c>
      <c r="B842">
        <f>IF(A842="","",'Employees'!C9)</f>
        <v/>
      </c>
      <c r="C842">
        <f>IF(A842="","",'Ratings'!C58)</f>
        <v/>
      </c>
      <c r="D842">
        <f>IF(A842="","",'Ratings'!D58)</f>
        <v/>
      </c>
      <c r="E842">
        <f>IF(AND('Ratings'!A58&lt;&gt;"",'Ratings'!M5&lt;&gt;""),'Ratings'!M5,"")</f>
        <v/>
      </c>
      <c r="F842">
        <f>IF(OR(A842="",'Ratings'!M58=""),"",'Ratings'!M58)</f>
        <v/>
      </c>
      <c r="G842">
        <f>IF(A842="","",'Employees'!D9)</f>
        <v/>
      </c>
    </row>
    <row r="843">
      <c r="A843">
        <f>IF(AND('Ratings'!A58&lt;&gt;"",'Ratings'!N5&lt;&gt;""),'Ratings'!A58,"")</f>
        <v/>
      </c>
      <c r="B843">
        <f>IF(A843="","",'Employees'!C9)</f>
        <v/>
      </c>
      <c r="C843">
        <f>IF(A843="","",'Ratings'!C58)</f>
        <v/>
      </c>
      <c r="D843">
        <f>IF(A843="","",'Ratings'!D58)</f>
        <v/>
      </c>
      <c r="E843">
        <f>IF(AND('Ratings'!A58&lt;&gt;"",'Ratings'!N5&lt;&gt;""),'Ratings'!N5,"")</f>
        <v/>
      </c>
      <c r="F843">
        <f>IF(OR(A843="",'Ratings'!N58=""),"",'Ratings'!N58)</f>
        <v/>
      </c>
      <c r="G843">
        <f>IF(A843="","",'Employees'!D9)</f>
        <v/>
      </c>
    </row>
    <row r="844">
      <c r="A844">
        <f>IF(AND('Ratings'!A58&lt;&gt;"",'Ratings'!O5&lt;&gt;""),'Ratings'!A58,"")</f>
        <v/>
      </c>
      <c r="B844">
        <f>IF(A844="","",'Employees'!C9)</f>
        <v/>
      </c>
      <c r="C844">
        <f>IF(A844="","",'Ratings'!C58)</f>
        <v/>
      </c>
      <c r="D844">
        <f>IF(A844="","",'Ratings'!D58)</f>
        <v/>
      </c>
      <c r="E844">
        <f>IF(AND('Ratings'!A58&lt;&gt;"",'Ratings'!O5&lt;&gt;""),'Ratings'!O5,"")</f>
        <v/>
      </c>
      <c r="F844">
        <f>IF(OR(A844="",'Ratings'!O58=""),"",'Ratings'!O58)</f>
        <v/>
      </c>
      <c r="G844">
        <f>IF(A844="","",'Employees'!D9)</f>
        <v/>
      </c>
    </row>
    <row r="845">
      <c r="A845">
        <f>IF(AND('Ratings'!A58&lt;&gt;"",'Ratings'!P5&lt;&gt;""),'Ratings'!A58,"")</f>
        <v/>
      </c>
      <c r="B845">
        <f>IF(A845="","",'Employees'!C9)</f>
        <v/>
      </c>
      <c r="C845">
        <f>IF(A845="","",'Ratings'!C58)</f>
        <v/>
      </c>
      <c r="D845">
        <f>IF(A845="","",'Ratings'!D58)</f>
        <v/>
      </c>
      <c r="E845">
        <f>IF(AND('Ratings'!A58&lt;&gt;"",'Ratings'!P5&lt;&gt;""),'Ratings'!P5,"")</f>
        <v/>
      </c>
      <c r="F845">
        <f>IF(OR(A845="",'Ratings'!P58=""),"",'Ratings'!P58)</f>
        <v/>
      </c>
      <c r="G845">
        <f>IF(A845="","",'Employees'!D9)</f>
        <v/>
      </c>
    </row>
    <row r="846">
      <c r="A846">
        <f>IF(AND('Ratings'!A58&lt;&gt;"",'Ratings'!Q5&lt;&gt;""),'Ratings'!A58,"")</f>
        <v/>
      </c>
      <c r="B846">
        <f>IF(A846="","",'Employees'!C9)</f>
        <v/>
      </c>
      <c r="C846">
        <f>IF(A846="","",'Ratings'!C58)</f>
        <v/>
      </c>
      <c r="D846">
        <f>IF(A846="","",'Ratings'!D58)</f>
        <v/>
      </c>
      <c r="E846">
        <f>IF(AND('Ratings'!A58&lt;&gt;"",'Ratings'!Q5&lt;&gt;""),'Ratings'!Q5,"")</f>
        <v/>
      </c>
      <c r="F846">
        <f>IF(OR(A846="",'Ratings'!Q58=""),"",'Ratings'!Q58)</f>
        <v/>
      </c>
      <c r="G846">
        <f>IF(A846="","",'Employees'!D9)</f>
        <v/>
      </c>
    </row>
    <row r="847">
      <c r="A847">
        <f>IF(AND('Ratings'!A58&lt;&gt;"",'Ratings'!R5&lt;&gt;""),'Ratings'!A58,"")</f>
        <v/>
      </c>
      <c r="B847">
        <f>IF(A847="","",'Employees'!C9)</f>
        <v/>
      </c>
      <c r="C847">
        <f>IF(A847="","",'Ratings'!C58)</f>
        <v/>
      </c>
      <c r="D847">
        <f>IF(A847="","",'Ratings'!D58)</f>
        <v/>
      </c>
      <c r="E847">
        <f>IF(AND('Ratings'!A58&lt;&gt;"",'Ratings'!R5&lt;&gt;""),'Ratings'!R5,"")</f>
        <v/>
      </c>
      <c r="F847">
        <f>IF(OR(A847="",'Ratings'!R58=""),"",'Ratings'!R58)</f>
        <v/>
      </c>
      <c r="G847">
        <f>IF(A847="","",'Employees'!D9)</f>
        <v/>
      </c>
    </row>
    <row r="848">
      <c r="A848">
        <f>IF(AND('Ratings'!A58&lt;&gt;"",'Ratings'!S5&lt;&gt;""),'Ratings'!A58,"")</f>
        <v/>
      </c>
      <c r="B848">
        <f>IF(A848="","",'Employees'!C9)</f>
        <v/>
      </c>
      <c r="C848">
        <f>IF(A848="","",'Ratings'!C58)</f>
        <v/>
      </c>
      <c r="D848">
        <f>IF(A848="","",'Ratings'!D58)</f>
        <v/>
      </c>
      <c r="E848">
        <f>IF(AND('Ratings'!A58&lt;&gt;"",'Ratings'!S5&lt;&gt;""),'Ratings'!S5,"")</f>
        <v/>
      </c>
      <c r="F848">
        <f>IF(OR(A848="",'Ratings'!S58=""),"",'Ratings'!S58)</f>
        <v/>
      </c>
      <c r="G848">
        <f>IF(A848="","",'Employees'!D9)</f>
        <v/>
      </c>
    </row>
    <row r="849">
      <c r="A849">
        <f>IF(AND('Ratings'!A58&lt;&gt;"",'Ratings'!T5&lt;&gt;""),'Ratings'!A58,"")</f>
        <v/>
      </c>
      <c r="B849">
        <f>IF(A849="","",'Employees'!C9)</f>
        <v/>
      </c>
      <c r="C849">
        <f>IF(A849="","",'Ratings'!C58)</f>
        <v/>
      </c>
      <c r="D849">
        <f>IF(A849="","",'Ratings'!D58)</f>
        <v/>
      </c>
      <c r="E849">
        <f>IF(AND('Ratings'!A58&lt;&gt;"",'Ratings'!T5&lt;&gt;""),'Ratings'!T5,"")</f>
        <v/>
      </c>
      <c r="F849">
        <f>IF(OR(A849="",'Ratings'!T58=""),"",'Ratings'!T58)</f>
        <v/>
      </c>
      <c r="G849">
        <f>IF(A849="","",'Employees'!D9)</f>
        <v/>
      </c>
    </row>
    <row r="850">
      <c r="A850">
        <f>IF(AND('Ratings'!A59&lt;&gt;"",'Ratings'!E5&lt;&gt;""),'Ratings'!A59,"")</f>
        <v/>
      </c>
      <c r="B850">
        <f>IF(A850="","",'Employees'!C9)</f>
        <v/>
      </c>
      <c r="C850">
        <f>IF(A850="","",'Ratings'!C59)</f>
        <v/>
      </c>
      <c r="D850">
        <f>IF(A850="","",'Ratings'!D59)</f>
        <v/>
      </c>
      <c r="E850">
        <f>IF(AND('Ratings'!A59&lt;&gt;"",'Ratings'!E5&lt;&gt;""),'Ratings'!E5,"")</f>
        <v/>
      </c>
      <c r="F850">
        <f>IF(OR(A850="",'Ratings'!E59=""),"",'Ratings'!E59)</f>
        <v/>
      </c>
      <c r="G850">
        <f>IF(A850="","",'Employees'!D9)</f>
        <v/>
      </c>
    </row>
    <row r="851">
      <c r="A851">
        <f>IF(AND('Ratings'!A59&lt;&gt;"",'Ratings'!F5&lt;&gt;""),'Ratings'!A59,"")</f>
        <v/>
      </c>
      <c r="B851">
        <f>IF(A851="","",'Employees'!C9)</f>
        <v/>
      </c>
      <c r="C851">
        <f>IF(A851="","",'Ratings'!C59)</f>
        <v/>
      </c>
      <c r="D851">
        <f>IF(A851="","",'Ratings'!D59)</f>
        <v/>
      </c>
      <c r="E851">
        <f>IF(AND('Ratings'!A59&lt;&gt;"",'Ratings'!F5&lt;&gt;""),'Ratings'!F5,"")</f>
        <v/>
      </c>
      <c r="F851">
        <f>IF(OR(A851="",'Ratings'!F59=""),"",'Ratings'!F59)</f>
        <v/>
      </c>
      <c r="G851">
        <f>IF(A851="","",'Employees'!D9)</f>
        <v/>
      </c>
    </row>
    <row r="852">
      <c r="A852">
        <f>IF(AND('Ratings'!A59&lt;&gt;"",'Ratings'!G5&lt;&gt;""),'Ratings'!A59,"")</f>
        <v/>
      </c>
      <c r="B852">
        <f>IF(A852="","",'Employees'!C9)</f>
        <v/>
      </c>
      <c r="C852">
        <f>IF(A852="","",'Ratings'!C59)</f>
        <v/>
      </c>
      <c r="D852">
        <f>IF(A852="","",'Ratings'!D59)</f>
        <v/>
      </c>
      <c r="E852">
        <f>IF(AND('Ratings'!A59&lt;&gt;"",'Ratings'!G5&lt;&gt;""),'Ratings'!G5,"")</f>
        <v/>
      </c>
      <c r="F852">
        <f>IF(OR(A852="",'Ratings'!G59=""),"",'Ratings'!G59)</f>
        <v/>
      </c>
      <c r="G852">
        <f>IF(A852="","",'Employees'!D9)</f>
        <v/>
      </c>
    </row>
    <row r="853">
      <c r="A853">
        <f>IF(AND('Ratings'!A59&lt;&gt;"",'Ratings'!H5&lt;&gt;""),'Ratings'!A59,"")</f>
        <v/>
      </c>
      <c r="B853">
        <f>IF(A853="","",'Employees'!C9)</f>
        <v/>
      </c>
      <c r="C853">
        <f>IF(A853="","",'Ratings'!C59)</f>
        <v/>
      </c>
      <c r="D853">
        <f>IF(A853="","",'Ratings'!D59)</f>
        <v/>
      </c>
      <c r="E853">
        <f>IF(AND('Ratings'!A59&lt;&gt;"",'Ratings'!H5&lt;&gt;""),'Ratings'!H5,"")</f>
        <v/>
      </c>
      <c r="F853">
        <f>IF(OR(A853="",'Ratings'!H59=""),"",'Ratings'!H59)</f>
        <v/>
      </c>
      <c r="G853">
        <f>IF(A853="","",'Employees'!D9)</f>
        <v/>
      </c>
    </row>
    <row r="854">
      <c r="A854">
        <f>IF(AND('Ratings'!A59&lt;&gt;"",'Ratings'!I5&lt;&gt;""),'Ratings'!A59,"")</f>
        <v/>
      </c>
      <c r="B854">
        <f>IF(A854="","",'Employees'!C9)</f>
        <v/>
      </c>
      <c r="C854">
        <f>IF(A854="","",'Ratings'!C59)</f>
        <v/>
      </c>
      <c r="D854">
        <f>IF(A854="","",'Ratings'!D59)</f>
        <v/>
      </c>
      <c r="E854">
        <f>IF(AND('Ratings'!A59&lt;&gt;"",'Ratings'!I5&lt;&gt;""),'Ratings'!I5,"")</f>
        <v/>
      </c>
      <c r="F854">
        <f>IF(OR(A854="",'Ratings'!I59=""),"",'Ratings'!I59)</f>
        <v/>
      </c>
      <c r="G854">
        <f>IF(A854="","",'Employees'!D9)</f>
        <v/>
      </c>
    </row>
    <row r="855">
      <c r="A855">
        <f>IF(AND('Ratings'!A59&lt;&gt;"",'Ratings'!J5&lt;&gt;""),'Ratings'!A59,"")</f>
        <v/>
      </c>
      <c r="B855">
        <f>IF(A855="","",'Employees'!C9)</f>
        <v/>
      </c>
      <c r="C855">
        <f>IF(A855="","",'Ratings'!C59)</f>
        <v/>
      </c>
      <c r="D855">
        <f>IF(A855="","",'Ratings'!D59)</f>
        <v/>
      </c>
      <c r="E855">
        <f>IF(AND('Ratings'!A59&lt;&gt;"",'Ratings'!J5&lt;&gt;""),'Ratings'!J5,"")</f>
        <v/>
      </c>
      <c r="F855">
        <f>IF(OR(A855="",'Ratings'!J59=""),"",'Ratings'!J59)</f>
        <v/>
      </c>
      <c r="G855">
        <f>IF(A855="","",'Employees'!D9)</f>
        <v/>
      </c>
    </row>
    <row r="856">
      <c r="A856">
        <f>IF(AND('Ratings'!A59&lt;&gt;"",'Ratings'!K5&lt;&gt;""),'Ratings'!A59,"")</f>
        <v/>
      </c>
      <c r="B856">
        <f>IF(A856="","",'Employees'!C9)</f>
        <v/>
      </c>
      <c r="C856">
        <f>IF(A856="","",'Ratings'!C59)</f>
        <v/>
      </c>
      <c r="D856">
        <f>IF(A856="","",'Ratings'!D59)</f>
        <v/>
      </c>
      <c r="E856">
        <f>IF(AND('Ratings'!A59&lt;&gt;"",'Ratings'!K5&lt;&gt;""),'Ratings'!K5,"")</f>
        <v/>
      </c>
      <c r="F856">
        <f>IF(OR(A856="",'Ratings'!K59=""),"",'Ratings'!K59)</f>
        <v/>
      </c>
      <c r="G856">
        <f>IF(A856="","",'Employees'!D9)</f>
        <v/>
      </c>
    </row>
    <row r="857">
      <c r="A857">
        <f>IF(AND('Ratings'!A59&lt;&gt;"",'Ratings'!L5&lt;&gt;""),'Ratings'!A59,"")</f>
        <v/>
      </c>
      <c r="B857">
        <f>IF(A857="","",'Employees'!C9)</f>
        <v/>
      </c>
      <c r="C857">
        <f>IF(A857="","",'Ratings'!C59)</f>
        <v/>
      </c>
      <c r="D857">
        <f>IF(A857="","",'Ratings'!D59)</f>
        <v/>
      </c>
      <c r="E857">
        <f>IF(AND('Ratings'!A59&lt;&gt;"",'Ratings'!L5&lt;&gt;""),'Ratings'!L5,"")</f>
        <v/>
      </c>
      <c r="F857">
        <f>IF(OR(A857="",'Ratings'!L59=""),"",'Ratings'!L59)</f>
        <v/>
      </c>
      <c r="G857">
        <f>IF(A857="","",'Employees'!D9)</f>
        <v/>
      </c>
    </row>
    <row r="858">
      <c r="A858">
        <f>IF(AND('Ratings'!A59&lt;&gt;"",'Ratings'!M5&lt;&gt;""),'Ratings'!A59,"")</f>
        <v/>
      </c>
      <c r="B858">
        <f>IF(A858="","",'Employees'!C9)</f>
        <v/>
      </c>
      <c r="C858">
        <f>IF(A858="","",'Ratings'!C59)</f>
        <v/>
      </c>
      <c r="D858">
        <f>IF(A858="","",'Ratings'!D59)</f>
        <v/>
      </c>
      <c r="E858">
        <f>IF(AND('Ratings'!A59&lt;&gt;"",'Ratings'!M5&lt;&gt;""),'Ratings'!M5,"")</f>
        <v/>
      </c>
      <c r="F858">
        <f>IF(OR(A858="",'Ratings'!M59=""),"",'Ratings'!M59)</f>
        <v/>
      </c>
      <c r="G858">
        <f>IF(A858="","",'Employees'!D9)</f>
        <v/>
      </c>
    </row>
    <row r="859">
      <c r="A859">
        <f>IF(AND('Ratings'!A59&lt;&gt;"",'Ratings'!N5&lt;&gt;""),'Ratings'!A59,"")</f>
        <v/>
      </c>
      <c r="B859">
        <f>IF(A859="","",'Employees'!C9)</f>
        <v/>
      </c>
      <c r="C859">
        <f>IF(A859="","",'Ratings'!C59)</f>
        <v/>
      </c>
      <c r="D859">
        <f>IF(A859="","",'Ratings'!D59)</f>
        <v/>
      </c>
      <c r="E859">
        <f>IF(AND('Ratings'!A59&lt;&gt;"",'Ratings'!N5&lt;&gt;""),'Ratings'!N5,"")</f>
        <v/>
      </c>
      <c r="F859">
        <f>IF(OR(A859="",'Ratings'!N59=""),"",'Ratings'!N59)</f>
        <v/>
      </c>
      <c r="G859">
        <f>IF(A859="","",'Employees'!D9)</f>
        <v/>
      </c>
    </row>
    <row r="860">
      <c r="A860">
        <f>IF(AND('Ratings'!A59&lt;&gt;"",'Ratings'!O5&lt;&gt;""),'Ratings'!A59,"")</f>
        <v/>
      </c>
      <c r="B860">
        <f>IF(A860="","",'Employees'!C9)</f>
        <v/>
      </c>
      <c r="C860">
        <f>IF(A860="","",'Ratings'!C59)</f>
        <v/>
      </c>
      <c r="D860">
        <f>IF(A860="","",'Ratings'!D59)</f>
        <v/>
      </c>
      <c r="E860">
        <f>IF(AND('Ratings'!A59&lt;&gt;"",'Ratings'!O5&lt;&gt;""),'Ratings'!O5,"")</f>
        <v/>
      </c>
      <c r="F860">
        <f>IF(OR(A860="",'Ratings'!O59=""),"",'Ratings'!O59)</f>
        <v/>
      </c>
      <c r="G860">
        <f>IF(A860="","",'Employees'!D9)</f>
        <v/>
      </c>
    </row>
    <row r="861">
      <c r="A861">
        <f>IF(AND('Ratings'!A59&lt;&gt;"",'Ratings'!P5&lt;&gt;""),'Ratings'!A59,"")</f>
        <v/>
      </c>
      <c r="B861">
        <f>IF(A861="","",'Employees'!C9)</f>
        <v/>
      </c>
      <c r="C861">
        <f>IF(A861="","",'Ratings'!C59)</f>
        <v/>
      </c>
      <c r="D861">
        <f>IF(A861="","",'Ratings'!D59)</f>
        <v/>
      </c>
      <c r="E861">
        <f>IF(AND('Ratings'!A59&lt;&gt;"",'Ratings'!P5&lt;&gt;""),'Ratings'!P5,"")</f>
        <v/>
      </c>
      <c r="F861">
        <f>IF(OR(A861="",'Ratings'!P59=""),"",'Ratings'!P59)</f>
        <v/>
      </c>
      <c r="G861">
        <f>IF(A861="","",'Employees'!D9)</f>
        <v/>
      </c>
    </row>
    <row r="862">
      <c r="A862">
        <f>IF(AND('Ratings'!A59&lt;&gt;"",'Ratings'!Q5&lt;&gt;""),'Ratings'!A59,"")</f>
        <v/>
      </c>
      <c r="B862">
        <f>IF(A862="","",'Employees'!C9)</f>
        <v/>
      </c>
      <c r="C862">
        <f>IF(A862="","",'Ratings'!C59)</f>
        <v/>
      </c>
      <c r="D862">
        <f>IF(A862="","",'Ratings'!D59)</f>
        <v/>
      </c>
      <c r="E862">
        <f>IF(AND('Ratings'!A59&lt;&gt;"",'Ratings'!Q5&lt;&gt;""),'Ratings'!Q5,"")</f>
        <v/>
      </c>
      <c r="F862">
        <f>IF(OR(A862="",'Ratings'!Q59=""),"",'Ratings'!Q59)</f>
        <v/>
      </c>
      <c r="G862">
        <f>IF(A862="","",'Employees'!D9)</f>
        <v/>
      </c>
    </row>
    <row r="863">
      <c r="A863">
        <f>IF(AND('Ratings'!A59&lt;&gt;"",'Ratings'!R5&lt;&gt;""),'Ratings'!A59,"")</f>
        <v/>
      </c>
      <c r="B863">
        <f>IF(A863="","",'Employees'!C9)</f>
        <v/>
      </c>
      <c r="C863">
        <f>IF(A863="","",'Ratings'!C59)</f>
        <v/>
      </c>
      <c r="D863">
        <f>IF(A863="","",'Ratings'!D59)</f>
        <v/>
      </c>
      <c r="E863">
        <f>IF(AND('Ratings'!A59&lt;&gt;"",'Ratings'!R5&lt;&gt;""),'Ratings'!R5,"")</f>
        <v/>
      </c>
      <c r="F863">
        <f>IF(OR(A863="",'Ratings'!R59=""),"",'Ratings'!R59)</f>
        <v/>
      </c>
      <c r="G863">
        <f>IF(A863="","",'Employees'!D9)</f>
        <v/>
      </c>
    </row>
    <row r="864">
      <c r="A864">
        <f>IF(AND('Ratings'!A59&lt;&gt;"",'Ratings'!S5&lt;&gt;""),'Ratings'!A59,"")</f>
        <v/>
      </c>
      <c r="B864">
        <f>IF(A864="","",'Employees'!C9)</f>
        <v/>
      </c>
      <c r="C864">
        <f>IF(A864="","",'Ratings'!C59)</f>
        <v/>
      </c>
      <c r="D864">
        <f>IF(A864="","",'Ratings'!D59)</f>
        <v/>
      </c>
      <c r="E864">
        <f>IF(AND('Ratings'!A59&lt;&gt;"",'Ratings'!S5&lt;&gt;""),'Ratings'!S5,"")</f>
        <v/>
      </c>
      <c r="F864">
        <f>IF(OR(A864="",'Ratings'!S59=""),"",'Ratings'!S59)</f>
        <v/>
      </c>
      <c r="G864">
        <f>IF(A864="","",'Employees'!D9)</f>
        <v/>
      </c>
    </row>
    <row r="865">
      <c r="A865">
        <f>IF(AND('Ratings'!A59&lt;&gt;"",'Ratings'!T5&lt;&gt;""),'Ratings'!A59,"")</f>
        <v/>
      </c>
      <c r="B865">
        <f>IF(A865="","",'Employees'!C9)</f>
        <v/>
      </c>
      <c r="C865">
        <f>IF(A865="","",'Ratings'!C59)</f>
        <v/>
      </c>
      <c r="D865">
        <f>IF(A865="","",'Ratings'!D59)</f>
        <v/>
      </c>
      <c r="E865">
        <f>IF(AND('Ratings'!A59&lt;&gt;"",'Ratings'!T5&lt;&gt;""),'Ratings'!T5,"")</f>
        <v/>
      </c>
      <c r="F865">
        <f>IF(OR(A865="",'Ratings'!T59=""),"",'Ratings'!T59)</f>
        <v/>
      </c>
      <c r="G865">
        <f>IF(A865="","",'Employees'!D9)</f>
        <v/>
      </c>
    </row>
    <row r="866">
      <c r="A866">
        <f>IF(AND('Ratings'!A60&lt;&gt;"",'Ratings'!E5&lt;&gt;""),'Ratings'!A60,"")</f>
        <v/>
      </c>
      <c r="B866">
        <f>IF(A866="","",'Employees'!C9)</f>
        <v/>
      </c>
      <c r="C866">
        <f>IF(A866="","",'Ratings'!C60)</f>
        <v/>
      </c>
      <c r="D866">
        <f>IF(A866="","",'Ratings'!D60)</f>
        <v/>
      </c>
      <c r="E866">
        <f>IF(AND('Ratings'!A60&lt;&gt;"",'Ratings'!E5&lt;&gt;""),'Ratings'!E5,"")</f>
        <v/>
      </c>
      <c r="F866">
        <f>IF(OR(A866="",'Ratings'!E60=""),"",'Ratings'!E60)</f>
        <v/>
      </c>
      <c r="G866">
        <f>IF(A866="","",'Employees'!D9)</f>
        <v/>
      </c>
    </row>
    <row r="867">
      <c r="A867">
        <f>IF(AND('Ratings'!A60&lt;&gt;"",'Ratings'!F5&lt;&gt;""),'Ratings'!A60,"")</f>
        <v/>
      </c>
      <c r="B867">
        <f>IF(A867="","",'Employees'!C9)</f>
        <v/>
      </c>
      <c r="C867">
        <f>IF(A867="","",'Ratings'!C60)</f>
        <v/>
      </c>
      <c r="D867">
        <f>IF(A867="","",'Ratings'!D60)</f>
        <v/>
      </c>
      <c r="E867">
        <f>IF(AND('Ratings'!A60&lt;&gt;"",'Ratings'!F5&lt;&gt;""),'Ratings'!F5,"")</f>
        <v/>
      </c>
      <c r="F867">
        <f>IF(OR(A867="",'Ratings'!F60=""),"",'Ratings'!F60)</f>
        <v/>
      </c>
      <c r="G867">
        <f>IF(A867="","",'Employees'!D9)</f>
        <v/>
      </c>
    </row>
    <row r="868">
      <c r="A868">
        <f>IF(AND('Ratings'!A60&lt;&gt;"",'Ratings'!G5&lt;&gt;""),'Ratings'!A60,"")</f>
        <v/>
      </c>
      <c r="B868">
        <f>IF(A868="","",'Employees'!C9)</f>
        <v/>
      </c>
      <c r="C868">
        <f>IF(A868="","",'Ratings'!C60)</f>
        <v/>
      </c>
      <c r="D868">
        <f>IF(A868="","",'Ratings'!D60)</f>
        <v/>
      </c>
      <c r="E868">
        <f>IF(AND('Ratings'!A60&lt;&gt;"",'Ratings'!G5&lt;&gt;""),'Ratings'!G5,"")</f>
        <v/>
      </c>
      <c r="F868">
        <f>IF(OR(A868="",'Ratings'!G60=""),"",'Ratings'!G60)</f>
        <v/>
      </c>
      <c r="G868">
        <f>IF(A868="","",'Employees'!D9)</f>
        <v/>
      </c>
    </row>
    <row r="869">
      <c r="A869">
        <f>IF(AND('Ratings'!A60&lt;&gt;"",'Ratings'!H5&lt;&gt;""),'Ratings'!A60,"")</f>
        <v/>
      </c>
      <c r="B869">
        <f>IF(A869="","",'Employees'!C9)</f>
        <v/>
      </c>
      <c r="C869">
        <f>IF(A869="","",'Ratings'!C60)</f>
        <v/>
      </c>
      <c r="D869">
        <f>IF(A869="","",'Ratings'!D60)</f>
        <v/>
      </c>
      <c r="E869">
        <f>IF(AND('Ratings'!A60&lt;&gt;"",'Ratings'!H5&lt;&gt;""),'Ratings'!H5,"")</f>
        <v/>
      </c>
      <c r="F869">
        <f>IF(OR(A869="",'Ratings'!H60=""),"",'Ratings'!H60)</f>
        <v/>
      </c>
      <c r="G869">
        <f>IF(A869="","",'Employees'!D9)</f>
        <v/>
      </c>
    </row>
    <row r="870">
      <c r="A870">
        <f>IF(AND('Ratings'!A60&lt;&gt;"",'Ratings'!I5&lt;&gt;""),'Ratings'!A60,"")</f>
        <v/>
      </c>
      <c r="B870">
        <f>IF(A870="","",'Employees'!C9)</f>
        <v/>
      </c>
      <c r="C870">
        <f>IF(A870="","",'Ratings'!C60)</f>
        <v/>
      </c>
      <c r="D870">
        <f>IF(A870="","",'Ratings'!D60)</f>
        <v/>
      </c>
      <c r="E870">
        <f>IF(AND('Ratings'!A60&lt;&gt;"",'Ratings'!I5&lt;&gt;""),'Ratings'!I5,"")</f>
        <v/>
      </c>
      <c r="F870">
        <f>IF(OR(A870="",'Ratings'!I60=""),"",'Ratings'!I60)</f>
        <v/>
      </c>
      <c r="G870">
        <f>IF(A870="","",'Employees'!D9)</f>
        <v/>
      </c>
    </row>
    <row r="871">
      <c r="A871">
        <f>IF(AND('Ratings'!A60&lt;&gt;"",'Ratings'!J5&lt;&gt;""),'Ratings'!A60,"")</f>
        <v/>
      </c>
      <c r="B871">
        <f>IF(A871="","",'Employees'!C9)</f>
        <v/>
      </c>
      <c r="C871">
        <f>IF(A871="","",'Ratings'!C60)</f>
        <v/>
      </c>
      <c r="D871">
        <f>IF(A871="","",'Ratings'!D60)</f>
        <v/>
      </c>
      <c r="E871">
        <f>IF(AND('Ratings'!A60&lt;&gt;"",'Ratings'!J5&lt;&gt;""),'Ratings'!J5,"")</f>
        <v/>
      </c>
      <c r="F871">
        <f>IF(OR(A871="",'Ratings'!J60=""),"",'Ratings'!J60)</f>
        <v/>
      </c>
      <c r="G871">
        <f>IF(A871="","",'Employees'!D9)</f>
        <v/>
      </c>
    </row>
    <row r="872">
      <c r="A872">
        <f>IF(AND('Ratings'!A60&lt;&gt;"",'Ratings'!K5&lt;&gt;""),'Ratings'!A60,"")</f>
        <v/>
      </c>
      <c r="B872">
        <f>IF(A872="","",'Employees'!C9)</f>
        <v/>
      </c>
      <c r="C872">
        <f>IF(A872="","",'Ratings'!C60)</f>
        <v/>
      </c>
      <c r="D872">
        <f>IF(A872="","",'Ratings'!D60)</f>
        <v/>
      </c>
      <c r="E872">
        <f>IF(AND('Ratings'!A60&lt;&gt;"",'Ratings'!K5&lt;&gt;""),'Ratings'!K5,"")</f>
        <v/>
      </c>
      <c r="F872">
        <f>IF(OR(A872="",'Ratings'!K60=""),"",'Ratings'!K60)</f>
        <v/>
      </c>
      <c r="G872">
        <f>IF(A872="","",'Employees'!D9)</f>
        <v/>
      </c>
    </row>
    <row r="873">
      <c r="A873">
        <f>IF(AND('Ratings'!A60&lt;&gt;"",'Ratings'!L5&lt;&gt;""),'Ratings'!A60,"")</f>
        <v/>
      </c>
      <c r="B873">
        <f>IF(A873="","",'Employees'!C9)</f>
        <v/>
      </c>
      <c r="C873">
        <f>IF(A873="","",'Ratings'!C60)</f>
        <v/>
      </c>
      <c r="D873">
        <f>IF(A873="","",'Ratings'!D60)</f>
        <v/>
      </c>
      <c r="E873">
        <f>IF(AND('Ratings'!A60&lt;&gt;"",'Ratings'!L5&lt;&gt;""),'Ratings'!L5,"")</f>
        <v/>
      </c>
      <c r="F873">
        <f>IF(OR(A873="",'Ratings'!L60=""),"",'Ratings'!L60)</f>
        <v/>
      </c>
      <c r="G873">
        <f>IF(A873="","",'Employees'!D9)</f>
        <v/>
      </c>
    </row>
    <row r="874">
      <c r="A874">
        <f>IF(AND('Ratings'!A60&lt;&gt;"",'Ratings'!M5&lt;&gt;""),'Ratings'!A60,"")</f>
        <v/>
      </c>
      <c r="B874">
        <f>IF(A874="","",'Employees'!C9)</f>
        <v/>
      </c>
      <c r="C874">
        <f>IF(A874="","",'Ratings'!C60)</f>
        <v/>
      </c>
      <c r="D874">
        <f>IF(A874="","",'Ratings'!D60)</f>
        <v/>
      </c>
      <c r="E874">
        <f>IF(AND('Ratings'!A60&lt;&gt;"",'Ratings'!M5&lt;&gt;""),'Ratings'!M5,"")</f>
        <v/>
      </c>
      <c r="F874">
        <f>IF(OR(A874="",'Ratings'!M60=""),"",'Ratings'!M60)</f>
        <v/>
      </c>
      <c r="G874">
        <f>IF(A874="","",'Employees'!D9)</f>
        <v/>
      </c>
    </row>
    <row r="875">
      <c r="A875">
        <f>IF(AND('Ratings'!A60&lt;&gt;"",'Ratings'!N5&lt;&gt;""),'Ratings'!A60,"")</f>
        <v/>
      </c>
      <c r="B875">
        <f>IF(A875="","",'Employees'!C9)</f>
        <v/>
      </c>
      <c r="C875">
        <f>IF(A875="","",'Ratings'!C60)</f>
        <v/>
      </c>
      <c r="D875">
        <f>IF(A875="","",'Ratings'!D60)</f>
        <v/>
      </c>
      <c r="E875">
        <f>IF(AND('Ratings'!A60&lt;&gt;"",'Ratings'!N5&lt;&gt;""),'Ratings'!N5,"")</f>
        <v/>
      </c>
      <c r="F875">
        <f>IF(OR(A875="",'Ratings'!N60=""),"",'Ratings'!N60)</f>
        <v/>
      </c>
      <c r="G875">
        <f>IF(A875="","",'Employees'!D9)</f>
        <v/>
      </c>
    </row>
    <row r="876">
      <c r="A876">
        <f>IF(AND('Ratings'!A60&lt;&gt;"",'Ratings'!O5&lt;&gt;""),'Ratings'!A60,"")</f>
        <v/>
      </c>
      <c r="B876">
        <f>IF(A876="","",'Employees'!C9)</f>
        <v/>
      </c>
      <c r="C876">
        <f>IF(A876="","",'Ratings'!C60)</f>
        <v/>
      </c>
      <c r="D876">
        <f>IF(A876="","",'Ratings'!D60)</f>
        <v/>
      </c>
      <c r="E876">
        <f>IF(AND('Ratings'!A60&lt;&gt;"",'Ratings'!O5&lt;&gt;""),'Ratings'!O5,"")</f>
        <v/>
      </c>
      <c r="F876">
        <f>IF(OR(A876="",'Ratings'!O60=""),"",'Ratings'!O60)</f>
        <v/>
      </c>
      <c r="G876">
        <f>IF(A876="","",'Employees'!D9)</f>
        <v/>
      </c>
    </row>
    <row r="877">
      <c r="A877">
        <f>IF(AND('Ratings'!A60&lt;&gt;"",'Ratings'!P5&lt;&gt;""),'Ratings'!A60,"")</f>
        <v/>
      </c>
      <c r="B877">
        <f>IF(A877="","",'Employees'!C9)</f>
        <v/>
      </c>
      <c r="C877">
        <f>IF(A877="","",'Ratings'!C60)</f>
        <v/>
      </c>
      <c r="D877">
        <f>IF(A877="","",'Ratings'!D60)</f>
        <v/>
      </c>
      <c r="E877">
        <f>IF(AND('Ratings'!A60&lt;&gt;"",'Ratings'!P5&lt;&gt;""),'Ratings'!P5,"")</f>
        <v/>
      </c>
      <c r="F877">
        <f>IF(OR(A877="",'Ratings'!P60=""),"",'Ratings'!P60)</f>
        <v/>
      </c>
      <c r="G877">
        <f>IF(A877="","",'Employees'!D9)</f>
        <v/>
      </c>
    </row>
    <row r="878">
      <c r="A878">
        <f>IF(AND('Ratings'!A60&lt;&gt;"",'Ratings'!Q5&lt;&gt;""),'Ratings'!A60,"")</f>
        <v/>
      </c>
      <c r="B878">
        <f>IF(A878="","",'Employees'!C9)</f>
        <v/>
      </c>
      <c r="C878">
        <f>IF(A878="","",'Ratings'!C60)</f>
        <v/>
      </c>
      <c r="D878">
        <f>IF(A878="","",'Ratings'!D60)</f>
        <v/>
      </c>
      <c r="E878">
        <f>IF(AND('Ratings'!A60&lt;&gt;"",'Ratings'!Q5&lt;&gt;""),'Ratings'!Q5,"")</f>
        <v/>
      </c>
      <c r="F878">
        <f>IF(OR(A878="",'Ratings'!Q60=""),"",'Ratings'!Q60)</f>
        <v/>
      </c>
      <c r="G878">
        <f>IF(A878="","",'Employees'!D9)</f>
        <v/>
      </c>
    </row>
    <row r="879">
      <c r="A879">
        <f>IF(AND('Ratings'!A60&lt;&gt;"",'Ratings'!R5&lt;&gt;""),'Ratings'!A60,"")</f>
        <v/>
      </c>
      <c r="B879">
        <f>IF(A879="","",'Employees'!C9)</f>
        <v/>
      </c>
      <c r="C879">
        <f>IF(A879="","",'Ratings'!C60)</f>
        <v/>
      </c>
      <c r="D879">
        <f>IF(A879="","",'Ratings'!D60)</f>
        <v/>
      </c>
      <c r="E879">
        <f>IF(AND('Ratings'!A60&lt;&gt;"",'Ratings'!R5&lt;&gt;""),'Ratings'!R5,"")</f>
        <v/>
      </c>
      <c r="F879">
        <f>IF(OR(A879="",'Ratings'!R60=""),"",'Ratings'!R60)</f>
        <v/>
      </c>
      <c r="G879">
        <f>IF(A879="","",'Employees'!D9)</f>
        <v/>
      </c>
    </row>
    <row r="880">
      <c r="A880">
        <f>IF(AND('Ratings'!A60&lt;&gt;"",'Ratings'!S5&lt;&gt;""),'Ratings'!A60,"")</f>
        <v/>
      </c>
      <c r="B880">
        <f>IF(A880="","",'Employees'!C9)</f>
        <v/>
      </c>
      <c r="C880">
        <f>IF(A880="","",'Ratings'!C60)</f>
        <v/>
      </c>
      <c r="D880">
        <f>IF(A880="","",'Ratings'!D60)</f>
        <v/>
      </c>
      <c r="E880">
        <f>IF(AND('Ratings'!A60&lt;&gt;"",'Ratings'!S5&lt;&gt;""),'Ratings'!S5,"")</f>
        <v/>
      </c>
      <c r="F880">
        <f>IF(OR(A880="",'Ratings'!S60=""),"",'Ratings'!S60)</f>
        <v/>
      </c>
      <c r="G880">
        <f>IF(A880="","",'Employees'!D9)</f>
        <v/>
      </c>
    </row>
    <row r="881">
      <c r="A881">
        <f>IF(AND('Ratings'!A60&lt;&gt;"",'Ratings'!T5&lt;&gt;""),'Ratings'!A60,"")</f>
        <v/>
      </c>
      <c r="B881">
        <f>IF(A881="","",'Employees'!C9)</f>
        <v/>
      </c>
      <c r="C881">
        <f>IF(A881="","",'Ratings'!C60)</f>
        <v/>
      </c>
      <c r="D881">
        <f>IF(A881="","",'Ratings'!D60)</f>
        <v/>
      </c>
      <c r="E881">
        <f>IF(AND('Ratings'!A60&lt;&gt;"",'Ratings'!T5&lt;&gt;""),'Ratings'!T5,"")</f>
        <v/>
      </c>
      <c r="F881">
        <f>IF(OR(A881="",'Ratings'!T60=""),"",'Ratings'!T60)</f>
        <v/>
      </c>
      <c r="G881">
        <f>IF(A881="","",'Employees'!D9)</f>
        <v/>
      </c>
    </row>
    <row r="882">
      <c r="A882">
        <f>IF(AND('Ratings'!A61&lt;&gt;"",'Ratings'!E5&lt;&gt;""),'Ratings'!A61,"")</f>
        <v/>
      </c>
      <c r="B882">
        <f>IF(A882="","",'Employees'!C9)</f>
        <v/>
      </c>
      <c r="C882">
        <f>IF(A882="","",'Ratings'!C61)</f>
        <v/>
      </c>
      <c r="D882">
        <f>IF(A882="","",'Ratings'!D61)</f>
        <v/>
      </c>
      <c r="E882">
        <f>IF(AND('Ratings'!A61&lt;&gt;"",'Ratings'!E5&lt;&gt;""),'Ratings'!E5,"")</f>
        <v/>
      </c>
      <c r="F882">
        <f>IF(OR(A882="",'Ratings'!E61=""),"",'Ratings'!E61)</f>
        <v/>
      </c>
      <c r="G882">
        <f>IF(A882="","",'Employees'!D9)</f>
        <v/>
      </c>
    </row>
    <row r="883">
      <c r="A883">
        <f>IF(AND('Ratings'!A61&lt;&gt;"",'Ratings'!F5&lt;&gt;""),'Ratings'!A61,"")</f>
        <v/>
      </c>
      <c r="B883">
        <f>IF(A883="","",'Employees'!C9)</f>
        <v/>
      </c>
      <c r="C883">
        <f>IF(A883="","",'Ratings'!C61)</f>
        <v/>
      </c>
      <c r="D883">
        <f>IF(A883="","",'Ratings'!D61)</f>
        <v/>
      </c>
      <c r="E883">
        <f>IF(AND('Ratings'!A61&lt;&gt;"",'Ratings'!F5&lt;&gt;""),'Ratings'!F5,"")</f>
        <v/>
      </c>
      <c r="F883">
        <f>IF(OR(A883="",'Ratings'!F61=""),"",'Ratings'!F61)</f>
        <v/>
      </c>
      <c r="G883">
        <f>IF(A883="","",'Employees'!D9)</f>
        <v/>
      </c>
    </row>
    <row r="884">
      <c r="A884">
        <f>IF(AND('Ratings'!A61&lt;&gt;"",'Ratings'!G5&lt;&gt;""),'Ratings'!A61,"")</f>
        <v/>
      </c>
      <c r="B884">
        <f>IF(A884="","",'Employees'!C9)</f>
        <v/>
      </c>
      <c r="C884">
        <f>IF(A884="","",'Ratings'!C61)</f>
        <v/>
      </c>
      <c r="D884">
        <f>IF(A884="","",'Ratings'!D61)</f>
        <v/>
      </c>
      <c r="E884">
        <f>IF(AND('Ratings'!A61&lt;&gt;"",'Ratings'!G5&lt;&gt;""),'Ratings'!G5,"")</f>
        <v/>
      </c>
      <c r="F884">
        <f>IF(OR(A884="",'Ratings'!G61=""),"",'Ratings'!G61)</f>
        <v/>
      </c>
      <c r="G884">
        <f>IF(A884="","",'Employees'!D9)</f>
        <v/>
      </c>
    </row>
    <row r="885">
      <c r="A885">
        <f>IF(AND('Ratings'!A61&lt;&gt;"",'Ratings'!H5&lt;&gt;""),'Ratings'!A61,"")</f>
        <v/>
      </c>
      <c r="B885">
        <f>IF(A885="","",'Employees'!C9)</f>
        <v/>
      </c>
      <c r="C885">
        <f>IF(A885="","",'Ratings'!C61)</f>
        <v/>
      </c>
      <c r="D885">
        <f>IF(A885="","",'Ratings'!D61)</f>
        <v/>
      </c>
      <c r="E885">
        <f>IF(AND('Ratings'!A61&lt;&gt;"",'Ratings'!H5&lt;&gt;""),'Ratings'!H5,"")</f>
        <v/>
      </c>
      <c r="F885">
        <f>IF(OR(A885="",'Ratings'!H61=""),"",'Ratings'!H61)</f>
        <v/>
      </c>
      <c r="G885">
        <f>IF(A885="","",'Employees'!D9)</f>
        <v/>
      </c>
    </row>
    <row r="886">
      <c r="A886">
        <f>IF(AND('Ratings'!A61&lt;&gt;"",'Ratings'!I5&lt;&gt;""),'Ratings'!A61,"")</f>
        <v/>
      </c>
      <c r="B886">
        <f>IF(A886="","",'Employees'!C9)</f>
        <v/>
      </c>
      <c r="C886">
        <f>IF(A886="","",'Ratings'!C61)</f>
        <v/>
      </c>
      <c r="D886">
        <f>IF(A886="","",'Ratings'!D61)</f>
        <v/>
      </c>
      <c r="E886">
        <f>IF(AND('Ratings'!A61&lt;&gt;"",'Ratings'!I5&lt;&gt;""),'Ratings'!I5,"")</f>
        <v/>
      </c>
      <c r="F886">
        <f>IF(OR(A886="",'Ratings'!I61=""),"",'Ratings'!I61)</f>
        <v/>
      </c>
      <c r="G886">
        <f>IF(A886="","",'Employees'!D9)</f>
        <v/>
      </c>
    </row>
    <row r="887">
      <c r="A887">
        <f>IF(AND('Ratings'!A61&lt;&gt;"",'Ratings'!J5&lt;&gt;""),'Ratings'!A61,"")</f>
        <v/>
      </c>
      <c r="B887">
        <f>IF(A887="","",'Employees'!C9)</f>
        <v/>
      </c>
      <c r="C887">
        <f>IF(A887="","",'Ratings'!C61)</f>
        <v/>
      </c>
      <c r="D887">
        <f>IF(A887="","",'Ratings'!D61)</f>
        <v/>
      </c>
      <c r="E887">
        <f>IF(AND('Ratings'!A61&lt;&gt;"",'Ratings'!J5&lt;&gt;""),'Ratings'!J5,"")</f>
        <v/>
      </c>
      <c r="F887">
        <f>IF(OR(A887="",'Ratings'!J61=""),"",'Ratings'!J61)</f>
        <v/>
      </c>
      <c r="G887">
        <f>IF(A887="","",'Employees'!D9)</f>
        <v/>
      </c>
    </row>
    <row r="888">
      <c r="A888">
        <f>IF(AND('Ratings'!A61&lt;&gt;"",'Ratings'!K5&lt;&gt;""),'Ratings'!A61,"")</f>
        <v/>
      </c>
      <c r="B888">
        <f>IF(A888="","",'Employees'!C9)</f>
        <v/>
      </c>
      <c r="C888">
        <f>IF(A888="","",'Ratings'!C61)</f>
        <v/>
      </c>
      <c r="D888">
        <f>IF(A888="","",'Ratings'!D61)</f>
        <v/>
      </c>
      <c r="E888">
        <f>IF(AND('Ratings'!A61&lt;&gt;"",'Ratings'!K5&lt;&gt;""),'Ratings'!K5,"")</f>
        <v/>
      </c>
      <c r="F888">
        <f>IF(OR(A888="",'Ratings'!K61=""),"",'Ratings'!K61)</f>
        <v/>
      </c>
      <c r="G888">
        <f>IF(A888="","",'Employees'!D9)</f>
        <v/>
      </c>
    </row>
    <row r="889">
      <c r="A889">
        <f>IF(AND('Ratings'!A61&lt;&gt;"",'Ratings'!L5&lt;&gt;""),'Ratings'!A61,"")</f>
        <v/>
      </c>
      <c r="B889">
        <f>IF(A889="","",'Employees'!C9)</f>
        <v/>
      </c>
      <c r="C889">
        <f>IF(A889="","",'Ratings'!C61)</f>
        <v/>
      </c>
      <c r="D889">
        <f>IF(A889="","",'Ratings'!D61)</f>
        <v/>
      </c>
      <c r="E889">
        <f>IF(AND('Ratings'!A61&lt;&gt;"",'Ratings'!L5&lt;&gt;""),'Ratings'!L5,"")</f>
        <v/>
      </c>
      <c r="F889">
        <f>IF(OR(A889="",'Ratings'!L61=""),"",'Ratings'!L61)</f>
        <v/>
      </c>
      <c r="G889">
        <f>IF(A889="","",'Employees'!D9)</f>
        <v/>
      </c>
    </row>
    <row r="890">
      <c r="A890">
        <f>IF(AND('Ratings'!A61&lt;&gt;"",'Ratings'!M5&lt;&gt;""),'Ratings'!A61,"")</f>
        <v/>
      </c>
      <c r="B890">
        <f>IF(A890="","",'Employees'!C9)</f>
        <v/>
      </c>
      <c r="C890">
        <f>IF(A890="","",'Ratings'!C61)</f>
        <v/>
      </c>
      <c r="D890">
        <f>IF(A890="","",'Ratings'!D61)</f>
        <v/>
      </c>
      <c r="E890">
        <f>IF(AND('Ratings'!A61&lt;&gt;"",'Ratings'!M5&lt;&gt;""),'Ratings'!M5,"")</f>
        <v/>
      </c>
      <c r="F890">
        <f>IF(OR(A890="",'Ratings'!M61=""),"",'Ratings'!M61)</f>
        <v/>
      </c>
      <c r="G890">
        <f>IF(A890="","",'Employees'!D9)</f>
        <v/>
      </c>
    </row>
    <row r="891">
      <c r="A891">
        <f>IF(AND('Ratings'!A61&lt;&gt;"",'Ratings'!N5&lt;&gt;""),'Ratings'!A61,"")</f>
        <v/>
      </c>
      <c r="B891">
        <f>IF(A891="","",'Employees'!C9)</f>
        <v/>
      </c>
      <c r="C891">
        <f>IF(A891="","",'Ratings'!C61)</f>
        <v/>
      </c>
      <c r="D891">
        <f>IF(A891="","",'Ratings'!D61)</f>
        <v/>
      </c>
      <c r="E891">
        <f>IF(AND('Ratings'!A61&lt;&gt;"",'Ratings'!N5&lt;&gt;""),'Ratings'!N5,"")</f>
        <v/>
      </c>
      <c r="F891">
        <f>IF(OR(A891="",'Ratings'!N61=""),"",'Ratings'!N61)</f>
        <v/>
      </c>
      <c r="G891">
        <f>IF(A891="","",'Employees'!D9)</f>
        <v/>
      </c>
    </row>
    <row r="892">
      <c r="A892">
        <f>IF(AND('Ratings'!A61&lt;&gt;"",'Ratings'!O5&lt;&gt;""),'Ratings'!A61,"")</f>
        <v/>
      </c>
      <c r="B892">
        <f>IF(A892="","",'Employees'!C9)</f>
        <v/>
      </c>
      <c r="C892">
        <f>IF(A892="","",'Ratings'!C61)</f>
        <v/>
      </c>
      <c r="D892">
        <f>IF(A892="","",'Ratings'!D61)</f>
        <v/>
      </c>
      <c r="E892">
        <f>IF(AND('Ratings'!A61&lt;&gt;"",'Ratings'!O5&lt;&gt;""),'Ratings'!O5,"")</f>
        <v/>
      </c>
      <c r="F892">
        <f>IF(OR(A892="",'Ratings'!O61=""),"",'Ratings'!O61)</f>
        <v/>
      </c>
      <c r="G892">
        <f>IF(A892="","",'Employees'!D9)</f>
        <v/>
      </c>
    </row>
    <row r="893">
      <c r="A893">
        <f>IF(AND('Ratings'!A61&lt;&gt;"",'Ratings'!P5&lt;&gt;""),'Ratings'!A61,"")</f>
        <v/>
      </c>
      <c r="B893">
        <f>IF(A893="","",'Employees'!C9)</f>
        <v/>
      </c>
      <c r="C893">
        <f>IF(A893="","",'Ratings'!C61)</f>
        <v/>
      </c>
      <c r="D893">
        <f>IF(A893="","",'Ratings'!D61)</f>
        <v/>
      </c>
      <c r="E893">
        <f>IF(AND('Ratings'!A61&lt;&gt;"",'Ratings'!P5&lt;&gt;""),'Ratings'!P5,"")</f>
        <v/>
      </c>
      <c r="F893">
        <f>IF(OR(A893="",'Ratings'!P61=""),"",'Ratings'!P61)</f>
        <v/>
      </c>
      <c r="G893">
        <f>IF(A893="","",'Employees'!D9)</f>
        <v/>
      </c>
    </row>
    <row r="894">
      <c r="A894">
        <f>IF(AND('Ratings'!A61&lt;&gt;"",'Ratings'!Q5&lt;&gt;""),'Ratings'!A61,"")</f>
        <v/>
      </c>
      <c r="B894">
        <f>IF(A894="","",'Employees'!C9)</f>
        <v/>
      </c>
      <c r="C894">
        <f>IF(A894="","",'Ratings'!C61)</f>
        <v/>
      </c>
      <c r="D894">
        <f>IF(A894="","",'Ratings'!D61)</f>
        <v/>
      </c>
      <c r="E894">
        <f>IF(AND('Ratings'!A61&lt;&gt;"",'Ratings'!Q5&lt;&gt;""),'Ratings'!Q5,"")</f>
        <v/>
      </c>
      <c r="F894">
        <f>IF(OR(A894="",'Ratings'!Q61=""),"",'Ratings'!Q61)</f>
        <v/>
      </c>
      <c r="G894">
        <f>IF(A894="","",'Employees'!D9)</f>
        <v/>
      </c>
    </row>
    <row r="895">
      <c r="A895">
        <f>IF(AND('Ratings'!A61&lt;&gt;"",'Ratings'!R5&lt;&gt;""),'Ratings'!A61,"")</f>
        <v/>
      </c>
      <c r="B895">
        <f>IF(A895="","",'Employees'!C9)</f>
        <v/>
      </c>
      <c r="C895">
        <f>IF(A895="","",'Ratings'!C61)</f>
        <v/>
      </c>
      <c r="D895">
        <f>IF(A895="","",'Ratings'!D61)</f>
        <v/>
      </c>
      <c r="E895">
        <f>IF(AND('Ratings'!A61&lt;&gt;"",'Ratings'!R5&lt;&gt;""),'Ratings'!R5,"")</f>
        <v/>
      </c>
      <c r="F895">
        <f>IF(OR(A895="",'Ratings'!R61=""),"",'Ratings'!R61)</f>
        <v/>
      </c>
      <c r="G895">
        <f>IF(A895="","",'Employees'!D9)</f>
        <v/>
      </c>
    </row>
    <row r="896">
      <c r="A896">
        <f>IF(AND('Ratings'!A61&lt;&gt;"",'Ratings'!S5&lt;&gt;""),'Ratings'!A61,"")</f>
        <v/>
      </c>
      <c r="B896">
        <f>IF(A896="","",'Employees'!C9)</f>
        <v/>
      </c>
      <c r="C896">
        <f>IF(A896="","",'Ratings'!C61)</f>
        <v/>
      </c>
      <c r="D896">
        <f>IF(A896="","",'Ratings'!D61)</f>
        <v/>
      </c>
      <c r="E896">
        <f>IF(AND('Ratings'!A61&lt;&gt;"",'Ratings'!S5&lt;&gt;""),'Ratings'!S5,"")</f>
        <v/>
      </c>
      <c r="F896">
        <f>IF(OR(A896="",'Ratings'!S61=""),"",'Ratings'!S61)</f>
        <v/>
      </c>
      <c r="G896">
        <f>IF(A896="","",'Employees'!D9)</f>
        <v/>
      </c>
    </row>
    <row r="897">
      <c r="A897">
        <f>IF(AND('Ratings'!A61&lt;&gt;"",'Ratings'!T5&lt;&gt;""),'Ratings'!A61,"")</f>
        <v/>
      </c>
      <c r="B897">
        <f>IF(A897="","",'Employees'!C9)</f>
        <v/>
      </c>
      <c r="C897">
        <f>IF(A897="","",'Ratings'!C61)</f>
        <v/>
      </c>
      <c r="D897">
        <f>IF(A897="","",'Ratings'!D61)</f>
        <v/>
      </c>
      <c r="E897">
        <f>IF(AND('Ratings'!A61&lt;&gt;"",'Ratings'!T5&lt;&gt;""),'Ratings'!T5,"")</f>
        <v/>
      </c>
      <c r="F897">
        <f>IF(OR(A897="",'Ratings'!T61=""),"",'Ratings'!T61)</f>
        <v/>
      </c>
      <c r="G897">
        <f>IF(A897="","",'Employees'!D9)</f>
        <v/>
      </c>
    </row>
    <row r="898">
      <c r="A898">
        <f>IF(AND('Ratings'!A62&lt;&gt;"",'Ratings'!E5&lt;&gt;""),'Ratings'!A62,"")</f>
        <v/>
      </c>
      <c r="B898">
        <f>IF(A898="","",'Employees'!C9)</f>
        <v/>
      </c>
      <c r="C898">
        <f>IF(A898="","",'Ratings'!C62)</f>
        <v/>
      </c>
      <c r="D898">
        <f>IF(A898="","",'Ratings'!D62)</f>
        <v/>
      </c>
      <c r="E898">
        <f>IF(AND('Ratings'!A62&lt;&gt;"",'Ratings'!E5&lt;&gt;""),'Ratings'!E5,"")</f>
        <v/>
      </c>
      <c r="F898">
        <f>IF(OR(A898="",'Ratings'!E62=""),"",'Ratings'!E62)</f>
        <v/>
      </c>
      <c r="G898">
        <f>IF(A898="","",'Employees'!D9)</f>
        <v/>
      </c>
    </row>
    <row r="899">
      <c r="A899">
        <f>IF(AND('Ratings'!A62&lt;&gt;"",'Ratings'!F5&lt;&gt;""),'Ratings'!A62,"")</f>
        <v/>
      </c>
      <c r="B899">
        <f>IF(A899="","",'Employees'!C9)</f>
        <v/>
      </c>
      <c r="C899">
        <f>IF(A899="","",'Ratings'!C62)</f>
        <v/>
      </c>
      <c r="D899">
        <f>IF(A899="","",'Ratings'!D62)</f>
        <v/>
      </c>
      <c r="E899">
        <f>IF(AND('Ratings'!A62&lt;&gt;"",'Ratings'!F5&lt;&gt;""),'Ratings'!F5,"")</f>
        <v/>
      </c>
      <c r="F899">
        <f>IF(OR(A899="",'Ratings'!F62=""),"",'Ratings'!F62)</f>
        <v/>
      </c>
      <c r="G899">
        <f>IF(A899="","",'Employees'!D9)</f>
        <v/>
      </c>
    </row>
    <row r="900">
      <c r="A900">
        <f>IF(AND('Ratings'!A62&lt;&gt;"",'Ratings'!G5&lt;&gt;""),'Ratings'!A62,"")</f>
        <v/>
      </c>
      <c r="B900">
        <f>IF(A900="","",'Employees'!C9)</f>
        <v/>
      </c>
      <c r="C900">
        <f>IF(A900="","",'Ratings'!C62)</f>
        <v/>
      </c>
      <c r="D900">
        <f>IF(A900="","",'Ratings'!D62)</f>
        <v/>
      </c>
      <c r="E900">
        <f>IF(AND('Ratings'!A62&lt;&gt;"",'Ratings'!G5&lt;&gt;""),'Ratings'!G5,"")</f>
        <v/>
      </c>
      <c r="F900">
        <f>IF(OR(A900="",'Ratings'!G62=""),"",'Ratings'!G62)</f>
        <v/>
      </c>
      <c r="G900">
        <f>IF(A900="","",'Employees'!D9)</f>
        <v/>
      </c>
    </row>
    <row r="901">
      <c r="A901">
        <f>IF(AND('Ratings'!A62&lt;&gt;"",'Ratings'!H5&lt;&gt;""),'Ratings'!A62,"")</f>
        <v/>
      </c>
      <c r="B901">
        <f>IF(A901="","",'Employees'!C9)</f>
        <v/>
      </c>
      <c r="C901">
        <f>IF(A901="","",'Ratings'!C62)</f>
        <v/>
      </c>
      <c r="D901">
        <f>IF(A901="","",'Ratings'!D62)</f>
        <v/>
      </c>
      <c r="E901">
        <f>IF(AND('Ratings'!A62&lt;&gt;"",'Ratings'!H5&lt;&gt;""),'Ratings'!H5,"")</f>
        <v/>
      </c>
      <c r="F901">
        <f>IF(OR(A901="",'Ratings'!H62=""),"",'Ratings'!H62)</f>
        <v/>
      </c>
      <c r="G901">
        <f>IF(A901="","",'Employees'!D9)</f>
        <v/>
      </c>
    </row>
    <row r="902">
      <c r="A902">
        <f>IF(AND('Ratings'!A62&lt;&gt;"",'Ratings'!I5&lt;&gt;""),'Ratings'!A62,"")</f>
        <v/>
      </c>
      <c r="B902">
        <f>IF(A902="","",'Employees'!C9)</f>
        <v/>
      </c>
      <c r="C902">
        <f>IF(A902="","",'Ratings'!C62)</f>
        <v/>
      </c>
      <c r="D902">
        <f>IF(A902="","",'Ratings'!D62)</f>
        <v/>
      </c>
      <c r="E902">
        <f>IF(AND('Ratings'!A62&lt;&gt;"",'Ratings'!I5&lt;&gt;""),'Ratings'!I5,"")</f>
        <v/>
      </c>
      <c r="F902">
        <f>IF(OR(A902="",'Ratings'!I62=""),"",'Ratings'!I62)</f>
        <v/>
      </c>
      <c r="G902">
        <f>IF(A902="","",'Employees'!D9)</f>
        <v/>
      </c>
    </row>
    <row r="903">
      <c r="A903">
        <f>IF(AND('Ratings'!A62&lt;&gt;"",'Ratings'!J5&lt;&gt;""),'Ratings'!A62,"")</f>
        <v/>
      </c>
      <c r="B903">
        <f>IF(A903="","",'Employees'!C9)</f>
        <v/>
      </c>
      <c r="C903">
        <f>IF(A903="","",'Ratings'!C62)</f>
        <v/>
      </c>
      <c r="D903">
        <f>IF(A903="","",'Ratings'!D62)</f>
        <v/>
      </c>
      <c r="E903">
        <f>IF(AND('Ratings'!A62&lt;&gt;"",'Ratings'!J5&lt;&gt;""),'Ratings'!J5,"")</f>
        <v/>
      </c>
      <c r="F903">
        <f>IF(OR(A903="",'Ratings'!J62=""),"",'Ratings'!J62)</f>
        <v/>
      </c>
      <c r="G903">
        <f>IF(A903="","",'Employees'!D9)</f>
        <v/>
      </c>
    </row>
    <row r="904">
      <c r="A904">
        <f>IF(AND('Ratings'!A62&lt;&gt;"",'Ratings'!K5&lt;&gt;""),'Ratings'!A62,"")</f>
        <v/>
      </c>
      <c r="B904">
        <f>IF(A904="","",'Employees'!C9)</f>
        <v/>
      </c>
      <c r="C904">
        <f>IF(A904="","",'Ratings'!C62)</f>
        <v/>
      </c>
      <c r="D904">
        <f>IF(A904="","",'Ratings'!D62)</f>
        <v/>
      </c>
      <c r="E904">
        <f>IF(AND('Ratings'!A62&lt;&gt;"",'Ratings'!K5&lt;&gt;""),'Ratings'!K5,"")</f>
        <v/>
      </c>
      <c r="F904">
        <f>IF(OR(A904="",'Ratings'!K62=""),"",'Ratings'!K62)</f>
        <v/>
      </c>
      <c r="G904">
        <f>IF(A904="","",'Employees'!D9)</f>
        <v/>
      </c>
    </row>
    <row r="905">
      <c r="A905">
        <f>IF(AND('Ratings'!A62&lt;&gt;"",'Ratings'!L5&lt;&gt;""),'Ratings'!A62,"")</f>
        <v/>
      </c>
      <c r="B905">
        <f>IF(A905="","",'Employees'!C9)</f>
        <v/>
      </c>
      <c r="C905">
        <f>IF(A905="","",'Ratings'!C62)</f>
        <v/>
      </c>
      <c r="D905">
        <f>IF(A905="","",'Ratings'!D62)</f>
        <v/>
      </c>
      <c r="E905">
        <f>IF(AND('Ratings'!A62&lt;&gt;"",'Ratings'!L5&lt;&gt;""),'Ratings'!L5,"")</f>
        <v/>
      </c>
      <c r="F905">
        <f>IF(OR(A905="",'Ratings'!L62=""),"",'Ratings'!L62)</f>
        <v/>
      </c>
      <c r="G905">
        <f>IF(A905="","",'Employees'!D9)</f>
        <v/>
      </c>
    </row>
    <row r="906">
      <c r="A906">
        <f>IF(AND('Ratings'!A62&lt;&gt;"",'Ratings'!M5&lt;&gt;""),'Ratings'!A62,"")</f>
        <v/>
      </c>
      <c r="B906">
        <f>IF(A906="","",'Employees'!C9)</f>
        <v/>
      </c>
      <c r="C906">
        <f>IF(A906="","",'Ratings'!C62)</f>
        <v/>
      </c>
      <c r="D906">
        <f>IF(A906="","",'Ratings'!D62)</f>
        <v/>
      </c>
      <c r="E906">
        <f>IF(AND('Ratings'!A62&lt;&gt;"",'Ratings'!M5&lt;&gt;""),'Ratings'!M5,"")</f>
        <v/>
      </c>
      <c r="F906">
        <f>IF(OR(A906="",'Ratings'!M62=""),"",'Ratings'!M62)</f>
        <v/>
      </c>
      <c r="G906">
        <f>IF(A906="","",'Employees'!D9)</f>
        <v/>
      </c>
    </row>
    <row r="907">
      <c r="A907">
        <f>IF(AND('Ratings'!A62&lt;&gt;"",'Ratings'!N5&lt;&gt;""),'Ratings'!A62,"")</f>
        <v/>
      </c>
      <c r="B907">
        <f>IF(A907="","",'Employees'!C9)</f>
        <v/>
      </c>
      <c r="C907">
        <f>IF(A907="","",'Ratings'!C62)</f>
        <v/>
      </c>
      <c r="D907">
        <f>IF(A907="","",'Ratings'!D62)</f>
        <v/>
      </c>
      <c r="E907">
        <f>IF(AND('Ratings'!A62&lt;&gt;"",'Ratings'!N5&lt;&gt;""),'Ratings'!N5,"")</f>
        <v/>
      </c>
      <c r="F907">
        <f>IF(OR(A907="",'Ratings'!N62=""),"",'Ratings'!N62)</f>
        <v/>
      </c>
      <c r="G907">
        <f>IF(A907="","",'Employees'!D9)</f>
        <v/>
      </c>
    </row>
    <row r="908">
      <c r="A908">
        <f>IF(AND('Ratings'!A62&lt;&gt;"",'Ratings'!O5&lt;&gt;""),'Ratings'!A62,"")</f>
        <v/>
      </c>
      <c r="B908">
        <f>IF(A908="","",'Employees'!C9)</f>
        <v/>
      </c>
      <c r="C908">
        <f>IF(A908="","",'Ratings'!C62)</f>
        <v/>
      </c>
      <c r="D908">
        <f>IF(A908="","",'Ratings'!D62)</f>
        <v/>
      </c>
      <c r="E908">
        <f>IF(AND('Ratings'!A62&lt;&gt;"",'Ratings'!O5&lt;&gt;""),'Ratings'!O5,"")</f>
        <v/>
      </c>
      <c r="F908">
        <f>IF(OR(A908="",'Ratings'!O62=""),"",'Ratings'!O62)</f>
        <v/>
      </c>
      <c r="G908">
        <f>IF(A908="","",'Employees'!D9)</f>
        <v/>
      </c>
    </row>
    <row r="909">
      <c r="A909">
        <f>IF(AND('Ratings'!A62&lt;&gt;"",'Ratings'!P5&lt;&gt;""),'Ratings'!A62,"")</f>
        <v/>
      </c>
      <c r="B909">
        <f>IF(A909="","",'Employees'!C9)</f>
        <v/>
      </c>
      <c r="C909">
        <f>IF(A909="","",'Ratings'!C62)</f>
        <v/>
      </c>
      <c r="D909">
        <f>IF(A909="","",'Ratings'!D62)</f>
        <v/>
      </c>
      <c r="E909">
        <f>IF(AND('Ratings'!A62&lt;&gt;"",'Ratings'!P5&lt;&gt;""),'Ratings'!P5,"")</f>
        <v/>
      </c>
      <c r="F909">
        <f>IF(OR(A909="",'Ratings'!P62=""),"",'Ratings'!P62)</f>
        <v/>
      </c>
      <c r="G909">
        <f>IF(A909="","",'Employees'!D9)</f>
        <v/>
      </c>
    </row>
    <row r="910">
      <c r="A910">
        <f>IF(AND('Ratings'!A62&lt;&gt;"",'Ratings'!Q5&lt;&gt;""),'Ratings'!A62,"")</f>
        <v/>
      </c>
      <c r="B910">
        <f>IF(A910="","",'Employees'!C9)</f>
        <v/>
      </c>
      <c r="C910">
        <f>IF(A910="","",'Ratings'!C62)</f>
        <v/>
      </c>
      <c r="D910">
        <f>IF(A910="","",'Ratings'!D62)</f>
        <v/>
      </c>
      <c r="E910">
        <f>IF(AND('Ratings'!A62&lt;&gt;"",'Ratings'!Q5&lt;&gt;""),'Ratings'!Q5,"")</f>
        <v/>
      </c>
      <c r="F910">
        <f>IF(OR(A910="",'Ratings'!Q62=""),"",'Ratings'!Q62)</f>
        <v/>
      </c>
      <c r="G910">
        <f>IF(A910="","",'Employees'!D9)</f>
        <v/>
      </c>
    </row>
    <row r="911">
      <c r="A911">
        <f>IF(AND('Ratings'!A62&lt;&gt;"",'Ratings'!R5&lt;&gt;""),'Ratings'!A62,"")</f>
        <v/>
      </c>
      <c r="B911">
        <f>IF(A911="","",'Employees'!C9)</f>
        <v/>
      </c>
      <c r="C911">
        <f>IF(A911="","",'Ratings'!C62)</f>
        <v/>
      </c>
      <c r="D911">
        <f>IF(A911="","",'Ratings'!D62)</f>
        <v/>
      </c>
      <c r="E911">
        <f>IF(AND('Ratings'!A62&lt;&gt;"",'Ratings'!R5&lt;&gt;""),'Ratings'!R5,"")</f>
        <v/>
      </c>
      <c r="F911">
        <f>IF(OR(A911="",'Ratings'!R62=""),"",'Ratings'!R62)</f>
        <v/>
      </c>
      <c r="G911">
        <f>IF(A911="","",'Employees'!D9)</f>
        <v/>
      </c>
    </row>
    <row r="912">
      <c r="A912">
        <f>IF(AND('Ratings'!A62&lt;&gt;"",'Ratings'!S5&lt;&gt;""),'Ratings'!A62,"")</f>
        <v/>
      </c>
      <c r="B912">
        <f>IF(A912="","",'Employees'!C9)</f>
        <v/>
      </c>
      <c r="C912">
        <f>IF(A912="","",'Ratings'!C62)</f>
        <v/>
      </c>
      <c r="D912">
        <f>IF(A912="","",'Ratings'!D62)</f>
        <v/>
      </c>
      <c r="E912">
        <f>IF(AND('Ratings'!A62&lt;&gt;"",'Ratings'!S5&lt;&gt;""),'Ratings'!S5,"")</f>
        <v/>
      </c>
      <c r="F912">
        <f>IF(OR(A912="",'Ratings'!S62=""),"",'Ratings'!S62)</f>
        <v/>
      </c>
      <c r="G912">
        <f>IF(A912="","",'Employees'!D9)</f>
        <v/>
      </c>
    </row>
    <row r="913">
      <c r="A913">
        <f>IF(AND('Ratings'!A62&lt;&gt;"",'Ratings'!T5&lt;&gt;""),'Ratings'!A62,"")</f>
        <v/>
      </c>
      <c r="B913">
        <f>IF(A913="","",'Employees'!C9)</f>
        <v/>
      </c>
      <c r="C913">
        <f>IF(A913="","",'Ratings'!C62)</f>
        <v/>
      </c>
      <c r="D913">
        <f>IF(A913="","",'Ratings'!D62)</f>
        <v/>
      </c>
      <c r="E913">
        <f>IF(AND('Ratings'!A62&lt;&gt;"",'Ratings'!T5&lt;&gt;""),'Ratings'!T5,"")</f>
        <v/>
      </c>
      <c r="F913">
        <f>IF(OR(A913="",'Ratings'!T62=""),"",'Ratings'!T62)</f>
        <v/>
      </c>
      <c r="G913">
        <f>IF(A913="","",'Employees'!D9)</f>
        <v/>
      </c>
    </row>
    <row r="914">
      <c r="A914">
        <f>IF(AND('Ratings'!A63&lt;&gt;"",'Ratings'!E5&lt;&gt;""),'Ratings'!A63,"")</f>
        <v/>
      </c>
      <c r="B914">
        <f>IF(A914="","",'Employees'!C9)</f>
        <v/>
      </c>
      <c r="C914">
        <f>IF(A914="","",'Ratings'!C63)</f>
        <v/>
      </c>
      <c r="D914">
        <f>IF(A914="","",'Ratings'!D63)</f>
        <v/>
      </c>
      <c r="E914">
        <f>IF(AND('Ratings'!A63&lt;&gt;"",'Ratings'!E5&lt;&gt;""),'Ratings'!E5,"")</f>
        <v/>
      </c>
      <c r="F914">
        <f>IF(OR(A914="",'Ratings'!E63=""),"",'Ratings'!E63)</f>
        <v/>
      </c>
      <c r="G914">
        <f>IF(A914="","",'Employees'!D9)</f>
        <v/>
      </c>
    </row>
    <row r="915">
      <c r="A915">
        <f>IF(AND('Ratings'!A63&lt;&gt;"",'Ratings'!F5&lt;&gt;""),'Ratings'!A63,"")</f>
        <v/>
      </c>
      <c r="B915">
        <f>IF(A915="","",'Employees'!C9)</f>
        <v/>
      </c>
      <c r="C915">
        <f>IF(A915="","",'Ratings'!C63)</f>
        <v/>
      </c>
      <c r="D915">
        <f>IF(A915="","",'Ratings'!D63)</f>
        <v/>
      </c>
      <c r="E915">
        <f>IF(AND('Ratings'!A63&lt;&gt;"",'Ratings'!F5&lt;&gt;""),'Ratings'!F5,"")</f>
        <v/>
      </c>
      <c r="F915">
        <f>IF(OR(A915="",'Ratings'!F63=""),"",'Ratings'!F63)</f>
        <v/>
      </c>
      <c r="G915">
        <f>IF(A915="","",'Employees'!D9)</f>
        <v/>
      </c>
    </row>
    <row r="916">
      <c r="A916">
        <f>IF(AND('Ratings'!A63&lt;&gt;"",'Ratings'!G5&lt;&gt;""),'Ratings'!A63,"")</f>
        <v/>
      </c>
      <c r="B916">
        <f>IF(A916="","",'Employees'!C9)</f>
        <v/>
      </c>
      <c r="C916">
        <f>IF(A916="","",'Ratings'!C63)</f>
        <v/>
      </c>
      <c r="D916">
        <f>IF(A916="","",'Ratings'!D63)</f>
        <v/>
      </c>
      <c r="E916">
        <f>IF(AND('Ratings'!A63&lt;&gt;"",'Ratings'!G5&lt;&gt;""),'Ratings'!G5,"")</f>
        <v/>
      </c>
      <c r="F916">
        <f>IF(OR(A916="",'Ratings'!G63=""),"",'Ratings'!G63)</f>
        <v/>
      </c>
      <c r="G916">
        <f>IF(A916="","",'Employees'!D9)</f>
        <v/>
      </c>
    </row>
    <row r="917">
      <c r="A917">
        <f>IF(AND('Ratings'!A63&lt;&gt;"",'Ratings'!H5&lt;&gt;""),'Ratings'!A63,"")</f>
        <v/>
      </c>
      <c r="B917">
        <f>IF(A917="","",'Employees'!C9)</f>
        <v/>
      </c>
      <c r="C917">
        <f>IF(A917="","",'Ratings'!C63)</f>
        <v/>
      </c>
      <c r="D917">
        <f>IF(A917="","",'Ratings'!D63)</f>
        <v/>
      </c>
      <c r="E917">
        <f>IF(AND('Ratings'!A63&lt;&gt;"",'Ratings'!H5&lt;&gt;""),'Ratings'!H5,"")</f>
        <v/>
      </c>
      <c r="F917">
        <f>IF(OR(A917="",'Ratings'!H63=""),"",'Ratings'!H63)</f>
        <v/>
      </c>
      <c r="G917">
        <f>IF(A917="","",'Employees'!D9)</f>
        <v/>
      </c>
    </row>
    <row r="918">
      <c r="A918">
        <f>IF(AND('Ratings'!A63&lt;&gt;"",'Ratings'!I5&lt;&gt;""),'Ratings'!A63,"")</f>
        <v/>
      </c>
      <c r="B918">
        <f>IF(A918="","",'Employees'!C9)</f>
        <v/>
      </c>
      <c r="C918">
        <f>IF(A918="","",'Ratings'!C63)</f>
        <v/>
      </c>
      <c r="D918">
        <f>IF(A918="","",'Ratings'!D63)</f>
        <v/>
      </c>
      <c r="E918">
        <f>IF(AND('Ratings'!A63&lt;&gt;"",'Ratings'!I5&lt;&gt;""),'Ratings'!I5,"")</f>
        <v/>
      </c>
      <c r="F918">
        <f>IF(OR(A918="",'Ratings'!I63=""),"",'Ratings'!I63)</f>
        <v/>
      </c>
      <c r="G918">
        <f>IF(A918="","",'Employees'!D9)</f>
        <v/>
      </c>
    </row>
    <row r="919">
      <c r="A919">
        <f>IF(AND('Ratings'!A63&lt;&gt;"",'Ratings'!J5&lt;&gt;""),'Ratings'!A63,"")</f>
        <v/>
      </c>
      <c r="B919">
        <f>IF(A919="","",'Employees'!C9)</f>
        <v/>
      </c>
      <c r="C919">
        <f>IF(A919="","",'Ratings'!C63)</f>
        <v/>
      </c>
      <c r="D919">
        <f>IF(A919="","",'Ratings'!D63)</f>
        <v/>
      </c>
      <c r="E919">
        <f>IF(AND('Ratings'!A63&lt;&gt;"",'Ratings'!J5&lt;&gt;""),'Ratings'!J5,"")</f>
        <v/>
      </c>
      <c r="F919">
        <f>IF(OR(A919="",'Ratings'!J63=""),"",'Ratings'!J63)</f>
        <v/>
      </c>
      <c r="G919">
        <f>IF(A919="","",'Employees'!D9)</f>
        <v/>
      </c>
    </row>
    <row r="920">
      <c r="A920">
        <f>IF(AND('Ratings'!A63&lt;&gt;"",'Ratings'!K5&lt;&gt;""),'Ratings'!A63,"")</f>
        <v/>
      </c>
      <c r="B920">
        <f>IF(A920="","",'Employees'!C9)</f>
        <v/>
      </c>
      <c r="C920">
        <f>IF(A920="","",'Ratings'!C63)</f>
        <v/>
      </c>
      <c r="D920">
        <f>IF(A920="","",'Ratings'!D63)</f>
        <v/>
      </c>
      <c r="E920">
        <f>IF(AND('Ratings'!A63&lt;&gt;"",'Ratings'!K5&lt;&gt;""),'Ratings'!K5,"")</f>
        <v/>
      </c>
      <c r="F920">
        <f>IF(OR(A920="",'Ratings'!K63=""),"",'Ratings'!K63)</f>
        <v/>
      </c>
      <c r="G920">
        <f>IF(A920="","",'Employees'!D9)</f>
        <v/>
      </c>
    </row>
    <row r="921">
      <c r="A921">
        <f>IF(AND('Ratings'!A63&lt;&gt;"",'Ratings'!L5&lt;&gt;""),'Ratings'!A63,"")</f>
        <v/>
      </c>
      <c r="B921">
        <f>IF(A921="","",'Employees'!C9)</f>
        <v/>
      </c>
      <c r="C921">
        <f>IF(A921="","",'Ratings'!C63)</f>
        <v/>
      </c>
      <c r="D921">
        <f>IF(A921="","",'Ratings'!D63)</f>
        <v/>
      </c>
      <c r="E921">
        <f>IF(AND('Ratings'!A63&lt;&gt;"",'Ratings'!L5&lt;&gt;""),'Ratings'!L5,"")</f>
        <v/>
      </c>
      <c r="F921">
        <f>IF(OR(A921="",'Ratings'!L63=""),"",'Ratings'!L63)</f>
        <v/>
      </c>
      <c r="G921">
        <f>IF(A921="","",'Employees'!D9)</f>
        <v/>
      </c>
    </row>
    <row r="922">
      <c r="A922">
        <f>IF(AND('Ratings'!A63&lt;&gt;"",'Ratings'!M5&lt;&gt;""),'Ratings'!A63,"")</f>
        <v/>
      </c>
      <c r="B922">
        <f>IF(A922="","",'Employees'!C9)</f>
        <v/>
      </c>
      <c r="C922">
        <f>IF(A922="","",'Ratings'!C63)</f>
        <v/>
      </c>
      <c r="D922">
        <f>IF(A922="","",'Ratings'!D63)</f>
        <v/>
      </c>
      <c r="E922">
        <f>IF(AND('Ratings'!A63&lt;&gt;"",'Ratings'!M5&lt;&gt;""),'Ratings'!M5,"")</f>
        <v/>
      </c>
      <c r="F922">
        <f>IF(OR(A922="",'Ratings'!M63=""),"",'Ratings'!M63)</f>
        <v/>
      </c>
      <c r="G922">
        <f>IF(A922="","",'Employees'!D9)</f>
        <v/>
      </c>
    </row>
    <row r="923">
      <c r="A923">
        <f>IF(AND('Ratings'!A63&lt;&gt;"",'Ratings'!N5&lt;&gt;""),'Ratings'!A63,"")</f>
        <v/>
      </c>
      <c r="B923">
        <f>IF(A923="","",'Employees'!C9)</f>
        <v/>
      </c>
      <c r="C923">
        <f>IF(A923="","",'Ratings'!C63)</f>
        <v/>
      </c>
      <c r="D923">
        <f>IF(A923="","",'Ratings'!D63)</f>
        <v/>
      </c>
      <c r="E923">
        <f>IF(AND('Ratings'!A63&lt;&gt;"",'Ratings'!N5&lt;&gt;""),'Ratings'!N5,"")</f>
        <v/>
      </c>
      <c r="F923">
        <f>IF(OR(A923="",'Ratings'!N63=""),"",'Ratings'!N63)</f>
        <v/>
      </c>
      <c r="G923">
        <f>IF(A923="","",'Employees'!D9)</f>
        <v/>
      </c>
    </row>
    <row r="924">
      <c r="A924">
        <f>IF(AND('Ratings'!A63&lt;&gt;"",'Ratings'!O5&lt;&gt;""),'Ratings'!A63,"")</f>
        <v/>
      </c>
      <c r="B924">
        <f>IF(A924="","",'Employees'!C9)</f>
        <v/>
      </c>
      <c r="C924">
        <f>IF(A924="","",'Ratings'!C63)</f>
        <v/>
      </c>
      <c r="D924">
        <f>IF(A924="","",'Ratings'!D63)</f>
        <v/>
      </c>
      <c r="E924">
        <f>IF(AND('Ratings'!A63&lt;&gt;"",'Ratings'!O5&lt;&gt;""),'Ratings'!O5,"")</f>
        <v/>
      </c>
      <c r="F924">
        <f>IF(OR(A924="",'Ratings'!O63=""),"",'Ratings'!O63)</f>
        <v/>
      </c>
      <c r="G924">
        <f>IF(A924="","",'Employees'!D9)</f>
        <v/>
      </c>
    </row>
    <row r="925">
      <c r="A925">
        <f>IF(AND('Ratings'!A63&lt;&gt;"",'Ratings'!P5&lt;&gt;""),'Ratings'!A63,"")</f>
        <v/>
      </c>
      <c r="B925">
        <f>IF(A925="","",'Employees'!C9)</f>
        <v/>
      </c>
      <c r="C925">
        <f>IF(A925="","",'Ratings'!C63)</f>
        <v/>
      </c>
      <c r="D925">
        <f>IF(A925="","",'Ratings'!D63)</f>
        <v/>
      </c>
      <c r="E925">
        <f>IF(AND('Ratings'!A63&lt;&gt;"",'Ratings'!P5&lt;&gt;""),'Ratings'!P5,"")</f>
        <v/>
      </c>
      <c r="F925">
        <f>IF(OR(A925="",'Ratings'!P63=""),"",'Ratings'!P63)</f>
        <v/>
      </c>
      <c r="G925">
        <f>IF(A925="","",'Employees'!D9)</f>
        <v/>
      </c>
    </row>
    <row r="926">
      <c r="A926">
        <f>IF(AND('Ratings'!A63&lt;&gt;"",'Ratings'!Q5&lt;&gt;""),'Ratings'!A63,"")</f>
        <v/>
      </c>
      <c r="B926">
        <f>IF(A926="","",'Employees'!C9)</f>
        <v/>
      </c>
      <c r="C926">
        <f>IF(A926="","",'Ratings'!C63)</f>
        <v/>
      </c>
      <c r="D926">
        <f>IF(A926="","",'Ratings'!D63)</f>
        <v/>
      </c>
      <c r="E926">
        <f>IF(AND('Ratings'!A63&lt;&gt;"",'Ratings'!Q5&lt;&gt;""),'Ratings'!Q5,"")</f>
        <v/>
      </c>
      <c r="F926">
        <f>IF(OR(A926="",'Ratings'!Q63=""),"",'Ratings'!Q63)</f>
        <v/>
      </c>
      <c r="G926">
        <f>IF(A926="","",'Employees'!D9)</f>
        <v/>
      </c>
    </row>
    <row r="927">
      <c r="A927">
        <f>IF(AND('Ratings'!A63&lt;&gt;"",'Ratings'!R5&lt;&gt;""),'Ratings'!A63,"")</f>
        <v/>
      </c>
      <c r="B927">
        <f>IF(A927="","",'Employees'!C9)</f>
        <v/>
      </c>
      <c r="C927">
        <f>IF(A927="","",'Ratings'!C63)</f>
        <v/>
      </c>
      <c r="D927">
        <f>IF(A927="","",'Ratings'!D63)</f>
        <v/>
      </c>
      <c r="E927">
        <f>IF(AND('Ratings'!A63&lt;&gt;"",'Ratings'!R5&lt;&gt;""),'Ratings'!R5,"")</f>
        <v/>
      </c>
      <c r="F927">
        <f>IF(OR(A927="",'Ratings'!R63=""),"",'Ratings'!R63)</f>
        <v/>
      </c>
      <c r="G927">
        <f>IF(A927="","",'Employees'!D9)</f>
        <v/>
      </c>
    </row>
    <row r="928">
      <c r="A928">
        <f>IF(AND('Ratings'!A63&lt;&gt;"",'Ratings'!S5&lt;&gt;""),'Ratings'!A63,"")</f>
        <v/>
      </c>
      <c r="B928">
        <f>IF(A928="","",'Employees'!C9)</f>
        <v/>
      </c>
      <c r="C928">
        <f>IF(A928="","",'Ratings'!C63)</f>
        <v/>
      </c>
      <c r="D928">
        <f>IF(A928="","",'Ratings'!D63)</f>
        <v/>
      </c>
      <c r="E928">
        <f>IF(AND('Ratings'!A63&lt;&gt;"",'Ratings'!S5&lt;&gt;""),'Ratings'!S5,"")</f>
        <v/>
      </c>
      <c r="F928">
        <f>IF(OR(A928="",'Ratings'!S63=""),"",'Ratings'!S63)</f>
        <v/>
      </c>
      <c r="G928">
        <f>IF(A928="","",'Employees'!D9)</f>
        <v/>
      </c>
    </row>
    <row r="929">
      <c r="A929">
        <f>IF(AND('Ratings'!A63&lt;&gt;"",'Ratings'!T5&lt;&gt;""),'Ratings'!A63,"")</f>
        <v/>
      </c>
      <c r="B929">
        <f>IF(A929="","",'Employees'!C9)</f>
        <v/>
      </c>
      <c r="C929">
        <f>IF(A929="","",'Ratings'!C63)</f>
        <v/>
      </c>
      <c r="D929">
        <f>IF(A929="","",'Ratings'!D63)</f>
        <v/>
      </c>
      <c r="E929">
        <f>IF(AND('Ratings'!A63&lt;&gt;"",'Ratings'!T5&lt;&gt;""),'Ratings'!T5,"")</f>
        <v/>
      </c>
      <c r="F929">
        <f>IF(OR(A929="",'Ratings'!T63=""),"",'Ratings'!T63)</f>
        <v/>
      </c>
      <c r="G929">
        <f>IF(A929="","",'Employees'!D9)</f>
        <v/>
      </c>
    </row>
    <row r="930">
      <c r="A930">
        <f>IF(AND('Ratings'!A64&lt;&gt;"",'Ratings'!E5&lt;&gt;""),'Ratings'!A64,"")</f>
        <v/>
      </c>
      <c r="B930">
        <f>IF(A930="","",'Employees'!C9)</f>
        <v/>
      </c>
      <c r="C930">
        <f>IF(A930="","",'Ratings'!C64)</f>
        <v/>
      </c>
      <c r="D930">
        <f>IF(A930="","",'Ratings'!D64)</f>
        <v/>
      </c>
      <c r="E930">
        <f>IF(AND('Ratings'!A64&lt;&gt;"",'Ratings'!E5&lt;&gt;""),'Ratings'!E5,"")</f>
        <v/>
      </c>
      <c r="F930">
        <f>IF(OR(A930="",'Ratings'!E64=""),"",'Ratings'!E64)</f>
        <v/>
      </c>
      <c r="G930">
        <f>IF(A930="","",'Employees'!D9)</f>
        <v/>
      </c>
    </row>
    <row r="931">
      <c r="A931">
        <f>IF(AND('Ratings'!A64&lt;&gt;"",'Ratings'!F5&lt;&gt;""),'Ratings'!A64,"")</f>
        <v/>
      </c>
      <c r="B931">
        <f>IF(A931="","",'Employees'!C9)</f>
        <v/>
      </c>
      <c r="C931">
        <f>IF(A931="","",'Ratings'!C64)</f>
        <v/>
      </c>
      <c r="D931">
        <f>IF(A931="","",'Ratings'!D64)</f>
        <v/>
      </c>
      <c r="E931">
        <f>IF(AND('Ratings'!A64&lt;&gt;"",'Ratings'!F5&lt;&gt;""),'Ratings'!F5,"")</f>
        <v/>
      </c>
      <c r="F931">
        <f>IF(OR(A931="",'Ratings'!F64=""),"",'Ratings'!F64)</f>
        <v/>
      </c>
      <c r="G931">
        <f>IF(A931="","",'Employees'!D9)</f>
        <v/>
      </c>
    </row>
    <row r="932">
      <c r="A932">
        <f>IF(AND('Ratings'!A64&lt;&gt;"",'Ratings'!G5&lt;&gt;""),'Ratings'!A64,"")</f>
        <v/>
      </c>
      <c r="B932">
        <f>IF(A932="","",'Employees'!C9)</f>
        <v/>
      </c>
      <c r="C932">
        <f>IF(A932="","",'Ratings'!C64)</f>
        <v/>
      </c>
      <c r="D932">
        <f>IF(A932="","",'Ratings'!D64)</f>
        <v/>
      </c>
      <c r="E932">
        <f>IF(AND('Ratings'!A64&lt;&gt;"",'Ratings'!G5&lt;&gt;""),'Ratings'!G5,"")</f>
        <v/>
      </c>
      <c r="F932">
        <f>IF(OR(A932="",'Ratings'!G64=""),"",'Ratings'!G64)</f>
        <v/>
      </c>
      <c r="G932">
        <f>IF(A932="","",'Employees'!D9)</f>
        <v/>
      </c>
    </row>
    <row r="933">
      <c r="A933">
        <f>IF(AND('Ratings'!A64&lt;&gt;"",'Ratings'!H5&lt;&gt;""),'Ratings'!A64,"")</f>
        <v/>
      </c>
      <c r="B933">
        <f>IF(A933="","",'Employees'!C9)</f>
        <v/>
      </c>
      <c r="C933">
        <f>IF(A933="","",'Ratings'!C64)</f>
        <v/>
      </c>
      <c r="D933">
        <f>IF(A933="","",'Ratings'!D64)</f>
        <v/>
      </c>
      <c r="E933">
        <f>IF(AND('Ratings'!A64&lt;&gt;"",'Ratings'!H5&lt;&gt;""),'Ratings'!H5,"")</f>
        <v/>
      </c>
      <c r="F933">
        <f>IF(OR(A933="",'Ratings'!H64=""),"",'Ratings'!H64)</f>
        <v/>
      </c>
      <c r="G933">
        <f>IF(A933="","",'Employees'!D9)</f>
        <v/>
      </c>
    </row>
    <row r="934">
      <c r="A934">
        <f>IF(AND('Ratings'!A64&lt;&gt;"",'Ratings'!I5&lt;&gt;""),'Ratings'!A64,"")</f>
        <v/>
      </c>
      <c r="B934">
        <f>IF(A934="","",'Employees'!C9)</f>
        <v/>
      </c>
      <c r="C934">
        <f>IF(A934="","",'Ratings'!C64)</f>
        <v/>
      </c>
      <c r="D934">
        <f>IF(A934="","",'Ratings'!D64)</f>
        <v/>
      </c>
      <c r="E934">
        <f>IF(AND('Ratings'!A64&lt;&gt;"",'Ratings'!I5&lt;&gt;""),'Ratings'!I5,"")</f>
        <v/>
      </c>
      <c r="F934">
        <f>IF(OR(A934="",'Ratings'!I64=""),"",'Ratings'!I64)</f>
        <v/>
      </c>
      <c r="G934">
        <f>IF(A934="","",'Employees'!D9)</f>
        <v/>
      </c>
    </row>
    <row r="935">
      <c r="A935">
        <f>IF(AND('Ratings'!A64&lt;&gt;"",'Ratings'!J5&lt;&gt;""),'Ratings'!A64,"")</f>
        <v/>
      </c>
      <c r="B935">
        <f>IF(A935="","",'Employees'!C9)</f>
        <v/>
      </c>
      <c r="C935">
        <f>IF(A935="","",'Ratings'!C64)</f>
        <v/>
      </c>
      <c r="D935">
        <f>IF(A935="","",'Ratings'!D64)</f>
        <v/>
      </c>
      <c r="E935">
        <f>IF(AND('Ratings'!A64&lt;&gt;"",'Ratings'!J5&lt;&gt;""),'Ratings'!J5,"")</f>
        <v/>
      </c>
      <c r="F935">
        <f>IF(OR(A935="",'Ratings'!J64=""),"",'Ratings'!J64)</f>
        <v/>
      </c>
      <c r="G935">
        <f>IF(A935="","",'Employees'!D9)</f>
        <v/>
      </c>
    </row>
    <row r="936">
      <c r="A936">
        <f>IF(AND('Ratings'!A64&lt;&gt;"",'Ratings'!K5&lt;&gt;""),'Ratings'!A64,"")</f>
        <v/>
      </c>
      <c r="B936">
        <f>IF(A936="","",'Employees'!C9)</f>
        <v/>
      </c>
      <c r="C936">
        <f>IF(A936="","",'Ratings'!C64)</f>
        <v/>
      </c>
      <c r="D936">
        <f>IF(A936="","",'Ratings'!D64)</f>
        <v/>
      </c>
      <c r="E936">
        <f>IF(AND('Ratings'!A64&lt;&gt;"",'Ratings'!K5&lt;&gt;""),'Ratings'!K5,"")</f>
        <v/>
      </c>
      <c r="F936">
        <f>IF(OR(A936="",'Ratings'!K64=""),"",'Ratings'!K64)</f>
        <v/>
      </c>
      <c r="G936">
        <f>IF(A936="","",'Employees'!D9)</f>
        <v/>
      </c>
    </row>
    <row r="937">
      <c r="A937">
        <f>IF(AND('Ratings'!A64&lt;&gt;"",'Ratings'!L5&lt;&gt;""),'Ratings'!A64,"")</f>
        <v/>
      </c>
      <c r="B937">
        <f>IF(A937="","",'Employees'!C9)</f>
        <v/>
      </c>
      <c r="C937">
        <f>IF(A937="","",'Ratings'!C64)</f>
        <v/>
      </c>
      <c r="D937">
        <f>IF(A937="","",'Ratings'!D64)</f>
        <v/>
      </c>
      <c r="E937">
        <f>IF(AND('Ratings'!A64&lt;&gt;"",'Ratings'!L5&lt;&gt;""),'Ratings'!L5,"")</f>
        <v/>
      </c>
      <c r="F937">
        <f>IF(OR(A937="",'Ratings'!L64=""),"",'Ratings'!L64)</f>
        <v/>
      </c>
      <c r="G937">
        <f>IF(A937="","",'Employees'!D9)</f>
        <v/>
      </c>
    </row>
    <row r="938">
      <c r="A938">
        <f>IF(AND('Ratings'!A64&lt;&gt;"",'Ratings'!M5&lt;&gt;""),'Ratings'!A64,"")</f>
        <v/>
      </c>
      <c r="B938">
        <f>IF(A938="","",'Employees'!C9)</f>
        <v/>
      </c>
      <c r="C938">
        <f>IF(A938="","",'Ratings'!C64)</f>
        <v/>
      </c>
      <c r="D938">
        <f>IF(A938="","",'Ratings'!D64)</f>
        <v/>
      </c>
      <c r="E938">
        <f>IF(AND('Ratings'!A64&lt;&gt;"",'Ratings'!M5&lt;&gt;""),'Ratings'!M5,"")</f>
        <v/>
      </c>
      <c r="F938">
        <f>IF(OR(A938="",'Ratings'!M64=""),"",'Ratings'!M64)</f>
        <v/>
      </c>
      <c r="G938">
        <f>IF(A938="","",'Employees'!D9)</f>
        <v/>
      </c>
    </row>
    <row r="939">
      <c r="A939">
        <f>IF(AND('Ratings'!A64&lt;&gt;"",'Ratings'!N5&lt;&gt;""),'Ratings'!A64,"")</f>
        <v/>
      </c>
      <c r="B939">
        <f>IF(A939="","",'Employees'!C9)</f>
        <v/>
      </c>
      <c r="C939">
        <f>IF(A939="","",'Ratings'!C64)</f>
        <v/>
      </c>
      <c r="D939">
        <f>IF(A939="","",'Ratings'!D64)</f>
        <v/>
      </c>
      <c r="E939">
        <f>IF(AND('Ratings'!A64&lt;&gt;"",'Ratings'!N5&lt;&gt;""),'Ratings'!N5,"")</f>
        <v/>
      </c>
      <c r="F939">
        <f>IF(OR(A939="",'Ratings'!N64=""),"",'Ratings'!N64)</f>
        <v/>
      </c>
      <c r="G939">
        <f>IF(A939="","",'Employees'!D9)</f>
        <v/>
      </c>
    </row>
    <row r="940">
      <c r="A940">
        <f>IF(AND('Ratings'!A64&lt;&gt;"",'Ratings'!O5&lt;&gt;""),'Ratings'!A64,"")</f>
        <v/>
      </c>
      <c r="B940">
        <f>IF(A940="","",'Employees'!C9)</f>
        <v/>
      </c>
      <c r="C940">
        <f>IF(A940="","",'Ratings'!C64)</f>
        <v/>
      </c>
      <c r="D940">
        <f>IF(A940="","",'Ratings'!D64)</f>
        <v/>
      </c>
      <c r="E940">
        <f>IF(AND('Ratings'!A64&lt;&gt;"",'Ratings'!O5&lt;&gt;""),'Ratings'!O5,"")</f>
        <v/>
      </c>
      <c r="F940">
        <f>IF(OR(A940="",'Ratings'!O64=""),"",'Ratings'!O64)</f>
        <v/>
      </c>
      <c r="G940">
        <f>IF(A940="","",'Employees'!D9)</f>
        <v/>
      </c>
    </row>
    <row r="941">
      <c r="A941">
        <f>IF(AND('Ratings'!A64&lt;&gt;"",'Ratings'!P5&lt;&gt;""),'Ratings'!A64,"")</f>
        <v/>
      </c>
      <c r="B941">
        <f>IF(A941="","",'Employees'!C9)</f>
        <v/>
      </c>
      <c r="C941">
        <f>IF(A941="","",'Ratings'!C64)</f>
        <v/>
      </c>
      <c r="D941">
        <f>IF(A941="","",'Ratings'!D64)</f>
        <v/>
      </c>
      <c r="E941">
        <f>IF(AND('Ratings'!A64&lt;&gt;"",'Ratings'!P5&lt;&gt;""),'Ratings'!P5,"")</f>
        <v/>
      </c>
      <c r="F941">
        <f>IF(OR(A941="",'Ratings'!P64=""),"",'Ratings'!P64)</f>
        <v/>
      </c>
      <c r="G941">
        <f>IF(A941="","",'Employees'!D9)</f>
        <v/>
      </c>
    </row>
    <row r="942">
      <c r="A942">
        <f>IF(AND('Ratings'!A64&lt;&gt;"",'Ratings'!Q5&lt;&gt;""),'Ratings'!A64,"")</f>
        <v/>
      </c>
      <c r="B942">
        <f>IF(A942="","",'Employees'!C9)</f>
        <v/>
      </c>
      <c r="C942">
        <f>IF(A942="","",'Ratings'!C64)</f>
        <v/>
      </c>
      <c r="D942">
        <f>IF(A942="","",'Ratings'!D64)</f>
        <v/>
      </c>
      <c r="E942">
        <f>IF(AND('Ratings'!A64&lt;&gt;"",'Ratings'!Q5&lt;&gt;""),'Ratings'!Q5,"")</f>
        <v/>
      </c>
      <c r="F942">
        <f>IF(OR(A942="",'Ratings'!Q64=""),"",'Ratings'!Q64)</f>
        <v/>
      </c>
      <c r="G942">
        <f>IF(A942="","",'Employees'!D9)</f>
        <v/>
      </c>
    </row>
    <row r="943">
      <c r="A943">
        <f>IF(AND('Ratings'!A64&lt;&gt;"",'Ratings'!R5&lt;&gt;""),'Ratings'!A64,"")</f>
        <v/>
      </c>
      <c r="B943">
        <f>IF(A943="","",'Employees'!C9)</f>
        <v/>
      </c>
      <c r="C943">
        <f>IF(A943="","",'Ratings'!C64)</f>
        <v/>
      </c>
      <c r="D943">
        <f>IF(A943="","",'Ratings'!D64)</f>
        <v/>
      </c>
      <c r="E943">
        <f>IF(AND('Ratings'!A64&lt;&gt;"",'Ratings'!R5&lt;&gt;""),'Ratings'!R5,"")</f>
        <v/>
      </c>
      <c r="F943">
        <f>IF(OR(A943="",'Ratings'!R64=""),"",'Ratings'!R64)</f>
        <v/>
      </c>
      <c r="G943">
        <f>IF(A943="","",'Employees'!D9)</f>
        <v/>
      </c>
    </row>
    <row r="944">
      <c r="A944">
        <f>IF(AND('Ratings'!A64&lt;&gt;"",'Ratings'!S5&lt;&gt;""),'Ratings'!A64,"")</f>
        <v/>
      </c>
      <c r="B944">
        <f>IF(A944="","",'Employees'!C9)</f>
        <v/>
      </c>
      <c r="C944">
        <f>IF(A944="","",'Ratings'!C64)</f>
        <v/>
      </c>
      <c r="D944">
        <f>IF(A944="","",'Ratings'!D64)</f>
        <v/>
      </c>
      <c r="E944">
        <f>IF(AND('Ratings'!A64&lt;&gt;"",'Ratings'!S5&lt;&gt;""),'Ratings'!S5,"")</f>
        <v/>
      </c>
      <c r="F944">
        <f>IF(OR(A944="",'Ratings'!S64=""),"",'Ratings'!S64)</f>
        <v/>
      </c>
      <c r="G944">
        <f>IF(A944="","",'Employees'!D9)</f>
        <v/>
      </c>
    </row>
    <row r="945">
      <c r="A945">
        <f>IF(AND('Ratings'!A64&lt;&gt;"",'Ratings'!T5&lt;&gt;""),'Ratings'!A64,"")</f>
        <v/>
      </c>
      <c r="B945">
        <f>IF(A945="","",'Employees'!C9)</f>
        <v/>
      </c>
      <c r="C945">
        <f>IF(A945="","",'Ratings'!C64)</f>
        <v/>
      </c>
      <c r="D945">
        <f>IF(A945="","",'Ratings'!D64)</f>
        <v/>
      </c>
      <c r="E945">
        <f>IF(AND('Ratings'!A64&lt;&gt;"",'Ratings'!T5&lt;&gt;""),'Ratings'!T5,"")</f>
        <v/>
      </c>
      <c r="F945">
        <f>IF(OR(A945="",'Ratings'!T64=""),"",'Ratings'!T64)</f>
        <v/>
      </c>
      <c r="G945">
        <f>IF(A945="","",'Employees'!D9)</f>
        <v/>
      </c>
    </row>
    <row r="946">
      <c r="A946">
        <f>IF(AND('Ratings'!A65&lt;&gt;"",'Ratings'!E5&lt;&gt;""),'Ratings'!A65,"")</f>
        <v/>
      </c>
      <c r="B946">
        <f>IF(A946="","",'Employees'!C9)</f>
        <v/>
      </c>
      <c r="C946">
        <f>IF(A946="","",'Ratings'!C65)</f>
        <v/>
      </c>
      <c r="D946">
        <f>IF(A946="","",'Ratings'!D65)</f>
        <v/>
      </c>
      <c r="E946">
        <f>IF(AND('Ratings'!A65&lt;&gt;"",'Ratings'!E5&lt;&gt;""),'Ratings'!E5,"")</f>
        <v/>
      </c>
      <c r="F946">
        <f>IF(OR(A946="",'Ratings'!E65=""),"",'Ratings'!E65)</f>
        <v/>
      </c>
      <c r="G946">
        <f>IF(A946="","",'Employees'!D9)</f>
        <v/>
      </c>
    </row>
    <row r="947">
      <c r="A947">
        <f>IF(AND('Ratings'!A65&lt;&gt;"",'Ratings'!F5&lt;&gt;""),'Ratings'!A65,"")</f>
        <v/>
      </c>
      <c r="B947">
        <f>IF(A947="","",'Employees'!C9)</f>
        <v/>
      </c>
      <c r="C947">
        <f>IF(A947="","",'Ratings'!C65)</f>
        <v/>
      </c>
      <c r="D947">
        <f>IF(A947="","",'Ratings'!D65)</f>
        <v/>
      </c>
      <c r="E947">
        <f>IF(AND('Ratings'!A65&lt;&gt;"",'Ratings'!F5&lt;&gt;""),'Ratings'!F5,"")</f>
        <v/>
      </c>
      <c r="F947">
        <f>IF(OR(A947="",'Ratings'!F65=""),"",'Ratings'!F65)</f>
        <v/>
      </c>
      <c r="G947">
        <f>IF(A947="","",'Employees'!D9)</f>
        <v/>
      </c>
    </row>
    <row r="948">
      <c r="A948">
        <f>IF(AND('Ratings'!A65&lt;&gt;"",'Ratings'!G5&lt;&gt;""),'Ratings'!A65,"")</f>
        <v/>
      </c>
      <c r="B948">
        <f>IF(A948="","",'Employees'!C9)</f>
        <v/>
      </c>
      <c r="C948">
        <f>IF(A948="","",'Ratings'!C65)</f>
        <v/>
      </c>
      <c r="D948">
        <f>IF(A948="","",'Ratings'!D65)</f>
        <v/>
      </c>
      <c r="E948">
        <f>IF(AND('Ratings'!A65&lt;&gt;"",'Ratings'!G5&lt;&gt;""),'Ratings'!G5,"")</f>
        <v/>
      </c>
      <c r="F948">
        <f>IF(OR(A948="",'Ratings'!G65=""),"",'Ratings'!G65)</f>
        <v/>
      </c>
      <c r="G948">
        <f>IF(A948="","",'Employees'!D9)</f>
        <v/>
      </c>
    </row>
    <row r="949">
      <c r="A949">
        <f>IF(AND('Ratings'!A65&lt;&gt;"",'Ratings'!H5&lt;&gt;""),'Ratings'!A65,"")</f>
        <v/>
      </c>
      <c r="B949">
        <f>IF(A949="","",'Employees'!C9)</f>
        <v/>
      </c>
      <c r="C949">
        <f>IF(A949="","",'Ratings'!C65)</f>
        <v/>
      </c>
      <c r="D949">
        <f>IF(A949="","",'Ratings'!D65)</f>
        <v/>
      </c>
      <c r="E949">
        <f>IF(AND('Ratings'!A65&lt;&gt;"",'Ratings'!H5&lt;&gt;""),'Ratings'!H5,"")</f>
        <v/>
      </c>
      <c r="F949">
        <f>IF(OR(A949="",'Ratings'!H65=""),"",'Ratings'!H65)</f>
        <v/>
      </c>
      <c r="G949">
        <f>IF(A949="","",'Employees'!D9)</f>
        <v/>
      </c>
    </row>
    <row r="950">
      <c r="A950">
        <f>IF(AND('Ratings'!A65&lt;&gt;"",'Ratings'!I5&lt;&gt;""),'Ratings'!A65,"")</f>
        <v/>
      </c>
      <c r="B950">
        <f>IF(A950="","",'Employees'!C9)</f>
        <v/>
      </c>
      <c r="C950">
        <f>IF(A950="","",'Ratings'!C65)</f>
        <v/>
      </c>
      <c r="D950">
        <f>IF(A950="","",'Ratings'!D65)</f>
        <v/>
      </c>
      <c r="E950">
        <f>IF(AND('Ratings'!A65&lt;&gt;"",'Ratings'!I5&lt;&gt;""),'Ratings'!I5,"")</f>
        <v/>
      </c>
      <c r="F950">
        <f>IF(OR(A950="",'Ratings'!I65=""),"",'Ratings'!I65)</f>
        <v/>
      </c>
      <c r="G950">
        <f>IF(A950="","",'Employees'!D9)</f>
        <v/>
      </c>
    </row>
    <row r="951">
      <c r="A951">
        <f>IF(AND('Ratings'!A65&lt;&gt;"",'Ratings'!J5&lt;&gt;""),'Ratings'!A65,"")</f>
        <v/>
      </c>
      <c r="B951">
        <f>IF(A951="","",'Employees'!C9)</f>
        <v/>
      </c>
      <c r="C951">
        <f>IF(A951="","",'Ratings'!C65)</f>
        <v/>
      </c>
      <c r="D951">
        <f>IF(A951="","",'Ratings'!D65)</f>
        <v/>
      </c>
      <c r="E951">
        <f>IF(AND('Ratings'!A65&lt;&gt;"",'Ratings'!J5&lt;&gt;""),'Ratings'!J5,"")</f>
        <v/>
      </c>
      <c r="F951">
        <f>IF(OR(A951="",'Ratings'!J65=""),"",'Ratings'!J65)</f>
        <v/>
      </c>
      <c r="G951">
        <f>IF(A951="","",'Employees'!D9)</f>
        <v/>
      </c>
    </row>
    <row r="952">
      <c r="A952">
        <f>IF(AND('Ratings'!A65&lt;&gt;"",'Ratings'!K5&lt;&gt;""),'Ratings'!A65,"")</f>
        <v/>
      </c>
      <c r="B952">
        <f>IF(A952="","",'Employees'!C9)</f>
        <v/>
      </c>
      <c r="C952">
        <f>IF(A952="","",'Ratings'!C65)</f>
        <v/>
      </c>
      <c r="D952">
        <f>IF(A952="","",'Ratings'!D65)</f>
        <v/>
      </c>
      <c r="E952">
        <f>IF(AND('Ratings'!A65&lt;&gt;"",'Ratings'!K5&lt;&gt;""),'Ratings'!K5,"")</f>
        <v/>
      </c>
      <c r="F952">
        <f>IF(OR(A952="",'Ratings'!K65=""),"",'Ratings'!K65)</f>
        <v/>
      </c>
      <c r="G952">
        <f>IF(A952="","",'Employees'!D9)</f>
        <v/>
      </c>
    </row>
    <row r="953">
      <c r="A953">
        <f>IF(AND('Ratings'!A65&lt;&gt;"",'Ratings'!L5&lt;&gt;""),'Ratings'!A65,"")</f>
        <v/>
      </c>
      <c r="B953">
        <f>IF(A953="","",'Employees'!C9)</f>
        <v/>
      </c>
      <c r="C953">
        <f>IF(A953="","",'Ratings'!C65)</f>
        <v/>
      </c>
      <c r="D953">
        <f>IF(A953="","",'Ratings'!D65)</f>
        <v/>
      </c>
      <c r="E953">
        <f>IF(AND('Ratings'!A65&lt;&gt;"",'Ratings'!L5&lt;&gt;""),'Ratings'!L5,"")</f>
        <v/>
      </c>
      <c r="F953">
        <f>IF(OR(A953="",'Ratings'!L65=""),"",'Ratings'!L65)</f>
        <v/>
      </c>
      <c r="G953">
        <f>IF(A953="","",'Employees'!D9)</f>
        <v/>
      </c>
    </row>
    <row r="954">
      <c r="A954">
        <f>IF(AND('Ratings'!A65&lt;&gt;"",'Ratings'!M5&lt;&gt;""),'Ratings'!A65,"")</f>
        <v/>
      </c>
      <c r="B954">
        <f>IF(A954="","",'Employees'!C9)</f>
        <v/>
      </c>
      <c r="C954">
        <f>IF(A954="","",'Ratings'!C65)</f>
        <v/>
      </c>
      <c r="D954">
        <f>IF(A954="","",'Ratings'!D65)</f>
        <v/>
      </c>
      <c r="E954">
        <f>IF(AND('Ratings'!A65&lt;&gt;"",'Ratings'!M5&lt;&gt;""),'Ratings'!M5,"")</f>
        <v/>
      </c>
      <c r="F954">
        <f>IF(OR(A954="",'Ratings'!M65=""),"",'Ratings'!M65)</f>
        <v/>
      </c>
      <c r="G954">
        <f>IF(A954="","",'Employees'!D9)</f>
        <v/>
      </c>
    </row>
    <row r="955">
      <c r="A955">
        <f>IF(AND('Ratings'!A65&lt;&gt;"",'Ratings'!N5&lt;&gt;""),'Ratings'!A65,"")</f>
        <v/>
      </c>
      <c r="B955">
        <f>IF(A955="","",'Employees'!C9)</f>
        <v/>
      </c>
      <c r="C955">
        <f>IF(A955="","",'Ratings'!C65)</f>
        <v/>
      </c>
      <c r="D955">
        <f>IF(A955="","",'Ratings'!D65)</f>
        <v/>
      </c>
      <c r="E955">
        <f>IF(AND('Ratings'!A65&lt;&gt;"",'Ratings'!N5&lt;&gt;""),'Ratings'!N5,"")</f>
        <v/>
      </c>
      <c r="F955">
        <f>IF(OR(A955="",'Ratings'!N65=""),"",'Ratings'!N65)</f>
        <v/>
      </c>
      <c r="G955">
        <f>IF(A955="","",'Employees'!D9)</f>
        <v/>
      </c>
    </row>
    <row r="956">
      <c r="A956">
        <f>IF(AND('Ratings'!A65&lt;&gt;"",'Ratings'!O5&lt;&gt;""),'Ratings'!A65,"")</f>
        <v/>
      </c>
      <c r="B956">
        <f>IF(A956="","",'Employees'!C9)</f>
        <v/>
      </c>
      <c r="C956">
        <f>IF(A956="","",'Ratings'!C65)</f>
        <v/>
      </c>
      <c r="D956">
        <f>IF(A956="","",'Ratings'!D65)</f>
        <v/>
      </c>
      <c r="E956">
        <f>IF(AND('Ratings'!A65&lt;&gt;"",'Ratings'!O5&lt;&gt;""),'Ratings'!O5,"")</f>
        <v/>
      </c>
      <c r="F956">
        <f>IF(OR(A956="",'Ratings'!O65=""),"",'Ratings'!O65)</f>
        <v/>
      </c>
      <c r="G956">
        <f>IF(A956="","",'Employees'!D9)</f>
        <v/>
      </c>
    </row>
    <row r="957">
      <c r="A957">
        <f>IF(AND('Ratings'!A65&lt;&gt;"",'Ratings'!P5&lt;&gt;""),'Ratings'!A65,"")</f>
        <v/>
      </c>
      <c r="B957">
        <f>IF(A957="","",'Employees'!C9)</f>
        <v/>
      </c>
      <c r="C957">
        <f>IF(A957="","",'Ratings'!C65)</f>
        <v/>
      </c>
      <c r="D957">
        <f>IF(A957="","",'Ratings'!D65)</f>
        <v/>
      </c>
      <c r="E957">
        <f>IF(AND('Ratings'!A65&lt;&gt;"",'Ratings'!P5&lt;&gt;""),'Ratings'!P5,"")</f>
        <v/>
      </c>
      <c r="F957">
        <f>IF(OR(A957="",'Ratings'!P65=""),"",'Ratings'!P65)</f>
        <v/>
      </c>
      <c r="G957">
        <f>IF(A957="","",'Employees'!D9)</f>
        <v/>
      </c>
    </row>
    <row r="958">
      <c r="A958">
        <f>IF(AND('Ratings'!A65&lt;&gt;"",'Ratings'!Q5&lt;&gt;""),'Ratings'!A65,"")</f>
        <v/>
      </c>
      <c r="B958">
        <f>IF(A958="","",'Employees'!C9)</f>
        <v/>
      </c>
      <c r="C958">
        <f>IF(A958="","",'Ratings'!C65)</f>
        <v/>
      </c>
      <c r="D958">
        <f>IF(A958="","",'Ratings'!D65)</f>
        <v/>
      </c>
      <c r="E958">
        <f>IF(AND('Ratings'!A65&lt;&gt;"",'Ratings'!Q5&lt;&gt;""),'Ratings'!Q5,"")</f>
        <v/>
      </c>
      <c r="F958">
        <f>IF(OR(A958="",'Ratings'!Q65=""),"",'Ratings'!Q65)</f>
        <v/>
      </c>
      <c r="G958">
        <f>IF(A958="","",'Employees'!D9)</f>
        <v/>
      </c>
    </row>
    <row r="959">
      <c r="A959">
        <f>IF(AND('Ratings'!A65&lt;&gt;"",'Ratings'!R5&lt;&gt;""),'Ratings'!A65,"")</f>
        <v/>
      </c>
      <c r="B959">
        <f>IF(A959="","",'Employees'!C9)</f>
        <v/>
      </c>
      <c r="C959">
        <f>IF(A959="","",'Ratings'!C65)</f>
        <v/>
      </c>
      <c r="D959">
        <f>IF(A959="","",'Ratings'!D65)</f>
        <v/>
      </c>
      <c r="E959">
        <f>IF(AND('Ratings'!A65&lt;&gt;"",'Ratings'!R5&lt;&gt;""),'Ratings'!R5,"")</f>
        <v/>
      </c>
      <c r="F959">
        <f>IF(OR(A959="",'Ratings'!R65=""),"",'Ratings'!R65)</f>
        <v/>
      </c>
      <c r="G959">
        <f>IF(A959="","",'Employees'!D9)</f>
        <v/>
      </c>
    </row>
    <row r="960">
      <c r="A960">
        <f>IF(AND('Ratings'!A65&lt;&gt;"",'Ratings'!S5&lt;&gt;""),'Ratings'!A65,"")</f>
        <v/>
      </c>
      <c r="B960">
        <f>IF(A960="","",'Employees'!C9)</f>
        <v/>
      </c>
      <c r="C960">
        <f>IF(A960="","",'Ratings'!C65)</f>
        <v/>
      </c>
      <c r="D960">
        <f>IF(A960="","",'Ratings'!D65)</f>
        <v/>
      </c>
      <c r="E960">
        <f>IF(AND('Ratings'!A65&lt;&gt;"",'Ratings'!S5&lt;&gt;""),'Ratings'!S5,"")</f>
        <v/>
      </c>
      <c r="F960">
        <f>IF(OR(A960="",'Ratings'!S65=""),"",'Ratings'!S65)</f>
        <v/>
      </c>
      <c r="G960">
        <f>IF(A960="","",'Employees'!D9)</f>
        <v/>
      </c>
    </row>
    <row r="961">
      <c r="A961">
        <f>IF(AND('Ratings'!A65&lt;&gt;"",'Ratings'!T5&lt;&gt;""),'Ratings'!A65,"")</f>
        <v/>
      </c>
      <c r="B961">
        <f>IF(A961="","",'Employees'!C9)</f>
        <v/>
      </c>
      <c r="C961">
        <f>IF(A961="","",'Ratings'!C65)</f>
        <v/>
      </c>
      <c r="D961">
        <f>IF(A961="","",'Ratings'!D65)</f>
        <v/>
      </c>
      <c r="E961">
        <f>IF(AND('Ratings'!A65&lt;&gt;"",'Ratings'!T5&lt;&gt;""),'Ratings'!T5,"")</f>
        <v/>
      </c>
      <c r="F961">
        <f>IF(OR(A961="",'Ratings'!T65=""),"",'Ratings'!T65)</f>
        <v/>
      </c>
      <c r="G961">
        <f>IF(A961="","",'Employees'!D9)</f>
        <v/>
      </c>
    </row>
    <row r="962">
      <c r="A962">
        <f>IF(AND('Ratings'!A66&lt;&gt;"",'Ratings'!E5&lt;&gt;""),'Ratings'!A66,"")</f>
        <v/>
      </c>
      <c r="B962">
        <f>IF(A962="","",'Employees'!C9)</f>
        <v/>
      </c>
      <c r="C962">
        <f>IF(A962="","",'Ratings'!C66)</f>
        <v/>
      </c>
      <c r="D962">
        <f>IF(A962="","",'Ratings'!D66)</f>
        <v/>
      </c>
      <c r="E962">
        <f>IF(AND('Ratings'!A66&lt;&gt;"",'Ratings'!E5&lt;&gt;""),'Ratings'!E5,"")</f>
        <v/>
      </c>
      <c r="F962">
        <f>IF(OR(A962="",'Ratings'!E66=""),"",'Ratings'!E66)</f>
        <v/>
      </c>
      <c r="G962">
        <f>IF(A962="","",'Employees'!D9)</f>
        <v/>
      </c>
    </row>
    <row r="963">
      <c r="A963">
        <f>IF(AND('Ratings'!A66&lt;&gt;"",'Ratings'!F5&lt;&gt;""),'Ratings'!A66,"")</f>
        <v/>
      </c>
      <c r="B963">
        <f>IF(A963="","",'Employees'!C9)</f>
        <v/>
      </c>
      <c r="C963">
        <f>IF(A963="","",'Ratings'!C66)</f>
        <v/>
      </c>
      <c r="D963">
        <f>IF(A963="","",'Ratings'!D66)</f>
        <v/>
      </c>
      <c r="E963">
        <f>IF(AND('Ratings'!A66&lt;&gt;"",'Ratings'!F5&lt;&gt;""),'Ratings'!F5,"")</f>
        <v/>
      </c>
      <c r="F963">
        <f>IF(OR(A963="",'Ratings'!F66=""),"",'Ratings'!F66)</f>
        <v/>
      </c>
      <c r="G963">
        <f>IF(A963="","",'Employees'!D9)</f>
        <v/>
      </c>
    </row>
    <row r="964">
      <c r="A964">
        <f>IF(AND('Ratings'!A66&lt;&gt;"",'Ratings'!G5&lt;&gt;""),'Ratings'!A66,"")</f>
        <v/>
      </c>
      <c r="B964">
        <f>IF(A964="","",'Employees'!C9)</f>
        <v/>
      </c>
      <c r="C964">
        <f>IF(A964="","",'Ratings'!C66)</f>
        <v/>
      </c>
      <c r="D964">
        <f>IF(A964="","",'Ratings'!D66)</f>
        <v/>
      </c>
      <c r="E964">
        <f>IF(AND('Ratings'!A66&lt;&gt;"",'Ratings'!G5&lt;&gt;""),'Ratings'!G5,"")</f>
        <v/>
      </c>
      <c r="F964">
        <f>IF(OR(A964="",'Ratings'!G66=""),"",'Ratings'!G66)</f>
        <v/>
      </c>
      <c r="G964">
        <f>IF(A964="","",'Employees'!D9)</f>
        <v/>
      </c>
    </row>
    <row r="965">
      <c r="A965">
        <f>IF(AND('Ratings'!A66&lt;&gt;"",'Ratings'!H5&lt;&gt;""),'Ratings'!A66,"")</f>
        <v/>
      </c>
      <c r="B965">
        <f>IF(A965="","",'Employees'!C9)</f>
        <v/>
      </c>
      <c r="C965">
        <f>IF(A965="","",'Ratings'!C66)</f>
        <v/>
      </c>
      <c r="D965">
        <f>IF(A965="","",'Ratings'!D66)</f>
        <v/>
      </c>
      <c r="E965">
        <f>IF(AND('Ratings'!A66&lt;&gt;"",'Ratings'!H5&lt;&gt;""),'Ratings'!H5,"")</f>
        <v/>
      </c>
      <c r="F965">
        <f>IF(OR(A965="",'Ratings'!H66=""),"",'Ratings'!H66)</f>
        <v/>
      </c>
      <c r="G965">
        <f>IF(A965="","",'Employees'!D9)</f>
        <v/>
      </c>
    </row>
    <row r="966">
      <c r="A966">
        <f>IF(AND('Ratings'!A66&lt;&gt;"",'Ratings'!I5&lt;&gt;""),'Ratings'!A66,"")</f>
        <v/>
      </c>
      <c r="B966">
        <f>IF(A966="","",'Employees'!C9)</f>
        <v/>
      </c>
      <c r="C966">
        <f>IF(A966="","",'Ratings'!C66)</f>
        <v/>
      </c>
      <c r="D966">
        <f>IF(A966="","",'Ratings'!D66)</f>
        <v/>
      </c>
      <c r="E966">
        <f>IF(AND('Ratings'!A66&lt;&gt;"",'Ratings'!I5&lt;&gt;""),'Ratings'!I5,"")</f>
        <v/>
      </c>
      <c r="F966">
        <f>IF(OR(A966="",'Ratings'!I66=""),"",'Ratings'!I66)</f>
        <v/>
      </c>
      <c r="G966">
        <f>IF(A966="","",'Employees'!D9)</f>
        <v/>
      </c>
    </row>
    <row r="967">
      <c r="A967">
        <f>IF(AND('Ratings'!A66&lt;&gt;"",'Ratings'!J5&lt;&gt;""),'Ratings'!A66,"")</f>
        <v/>
      </c>
      <c r="B967">
        <f>IF(A967="","",'Employees'!C9)</f>
        <v/>
      </c>
      <c r="C967">
        <f>IF(A967="","",'Ratings'!C66)</f>
        <v/>
      </c>
      <c r="D967">
        <f>IF(A967="","",'Ratings'!D66)</f>
        <v/>
      </c>
      <c r="E967">
        <f>IF(AND('Ratings'!A66&lt;&gt;"",'Ratings'!J5&lt;&gt;""),'Ratings'!J5,"")</f>
        <v/>
      </c>
      <c r="F967">
        <f>IF(OR(A967="",'Ratings'!J66=""),"",'Ratings'!J66)</f>
        <v/>
      </c>
      <c r="G967">
        <f>IF(A967="","",'Employees'!D9)</f>
        <v/>
      </c>
    </row>
    <row r="968">
      <c r="A968">
        <f>IF(AND('Ratings'!A66&lt;&gt;"",'Ratings'!K5&lt;&gt;""),'Ratings'!A66,"")</f>
        <v/>
      </c>
      <c r="B968">
        <f>IF(A968="","",'Employees'!C9)</f>
        <v/>
      </c>
      <c r="C968">
        <f>IF(A968="","",'Ratings'!C66)</f>
        <v/>
      </c>
      <c r="D968">
        <f>IF(A968="","",'Ratings'!D66)</f>
        <v/>
      </c>
      <c r="E968">
        <f>IF(AND('Ratings'!A66&lt;&gt;"",'Ratings'!K5&lt;&gt;""),'Ratings'!K5,"")</f>
        <v/>
      </c>
      <c r="F968">
        <f>IF(OR(A968="",'Ratings'!K66=""),"",'Ratings'!K66)</f>
        <v/>
      </c>
      <c r="G968">
        <f>IF(A968="","",'Employees'!D9)</f>
        <v/>
      </c>
    </row>
    <row r="969">
      <c r="A969">
        <f>IF(AND('Ratings'!A66&lt;&gt;"",'Ratings'!L5&lt;&gt;""),'Ratings'!A66,"")</f>
        <v/>
      </c>
      <c r="B969">
        <f>IF(A969="","",'Employees'!C9)</f>
        <v/>
      </c>
      <c r="C969">
        <f>IF(A969="","",'Ratings'!C66)</f>
        <v/>
      </c>
      <c r="D969">
        <f>IF(A969="","",'Ratings'!D66)</f>
        <v/>
      </c>
      <c r="E969">
        <f>IF(AND('Ratings'!A66&lt;&gt;"",'Ratings'!L5&lt;&gt;""),'Ratings'!L5,"")</f>
        <v/>
      </c>
      <c r="F969">
        <f>IF(OR(A969="",'Ratings'!L66=""),"",'Ratings'!L66)</f>
        <v/>
      </c>
      <c r="G969">
        <f>IF(A969="","",'Employees'!D9)</f>
        <v/>
      </c>
    </row>
    <row r="970">
      <c r="A970">
        <f>IF(AND('Ratings'!A66&lt;&gt;"",'Ratings'!M5&lt;&gt;""),'Ratings'!A66,"")</f>
        <v/>
      </c>
      <c r="B970">
        <f>IF(A970="","",'Employees'!C9)</f>
        <v/>
      </c>
      <c r="C970">
        <f>IF(A970="","",'Ratings'!C66)</f>
        <v/>
      </c>
      <c r="D970">
        <f>IF(A970="","",'Ratings'!D66)</f>
        <v/>
      </c>
      <c r="E970">
        <f>IF(AND('Ratings'!A66&lt;&gt;"",'Ratings'!M5&lt;&gt;""),'Ratings'!M5,"")</f>
        <v/>
      </c>
      <c r="F970">
        <f>IF(OR(A970="",'Ratings'!M66=""),"",'Ratings'!M66)</f>
        <v/>
      </c>
      <c r="G970">
        <f>IF(A970="","",'Employees'!D9)</f>
        <v/>
      </c>
    </row>
    <row r="971">
      <c r="A971">
        <f>IF(AND('Ratings'!A66&lt;&gt;"",'Ratings'!N5&lt;&gt;""),'Ratings'!A66,"")</f>
        <v/>
      </c>
      <c r="B971">
        <f>IF(A971="","",'Employees'!C9)</f>
        <v/>
      </c>
      <c r="C971">
        <f>IF(A971="","",'Ratings'!C66)</f>
        <v/>
      </c>
      <c r="D971">
        <f>IF(A971="","",'Ratings'!D66)</f>
        <v/>
      </c>
      <c r="E971">
        <f>IF(AND('Ratings'!A66&lt;&gt;"",'Ratings'!N5&lt;&gt;""),'Ratings'!N5,"")</f>
        <v/>
      </c>
      <c r="F971">
        <f>IF(OR(A971="",'Ratings'!N66=""),"",'Ratings'!N66)</f>
        <v/>
      </c>
      <c r="G971">
        <f>IF(A971="","",'Employees'!D9)</f>
        <v/>
      </c>
    </row>
    <row r="972">
      <c r="A972">
        <f>IF(AND('Ratings'!A66&lt;&gt;"",'Ratings'!O5&lt;&gt;""),'Ratings'!A66,"")</f>
        <v/>
      </c>
      <c r="B972">
        <f>IF(A972="","",'Employees'!C9)</f>
        <v/>
      </c>
      <c r="C972">
        <f>IF(A972="","",'Ratings'!C66)</f>
        <v/>
      </c>
      <c r="D972">
        <f>IF(A972="","",'Ratings'!D66)</f>
        <v/>
      </c>
      <c r="E972">
        <f>IF(AND('Ratings'!A66&lt;&gt;"",'Ratings'!O5&lt;&gt;""),'Ratings'!O5,"")</f>
        <v/>
      </c>
      <c r="F972">
        <f>IF(OR(A972="",'Ratings'!O66=""),"",'Ratings'!O66)</f>
        <v/>
      </c>
      <c r="G972">
        <f>IF(A972="","",'Employees'!D9)</f>
        <v/>
      </c>
    </row>
    <row r="973">
      <c r="A973">
        <f>IF(AND('Ratings'!A66&lt;&gt;"",'Ratings'!P5&lt;&gt;""),'Ratings'!A66,"")</f>
        <v/>
      </c>
      <c r="B973">
        <f>IF(A973="","",'Employees'!C9)</f>
        <v/>
      </c>
      <c r="C973">
        <f>IF(A973="","",'Ratings'!C66)</f>
        <v/>
      </c>
      <c r="D973">
        <f>IF(A973="","",'Ratings'!D66)</f>
        <v/>
      </c>
      <c r="E973">
        <f>IF(AND('Ratings'!A66&lt;&gt;"",'Ratings'!P5&lt;&gt;""),'Ratings'!P5,"")</f>
        <v/>
      </c>
      <c r="F973">
        <f>IF(OR(A973="",'Ratings'!P66=""),"",'Ratings'!P66)</f>
        <v/>
      </c>
      <c r="G973">
        <f>IF(A973="","",'Employees'!D9)</f>
        <v/>
      </c>
    </row>
    <row r="974">
      <c r="A974">
        <f>IF(AND('Ratings'!A66&lt;&gt;"",'Ratings'!Q5&lt;&gt;""),'Ratings'!A66,"")</f>
        <v/>
      </c>
      <c r="B974">
        <f>IF(A974="","",'Employees'!C9)</f>
        <v/>
      </c>
      <c r="C974">
        <f>IF(A974="","",'Ratings'!C66)</f>
        <v/>
      </c>
      <c r="D974">
        <f>IF(A974="","",'Ratings'!D66)</f>
        <v/>
      </c>
      <c r="E974">
        <f>IF(AND('Ratings'!A66&lt;&gt;"",'Ratings'!Q5&lt;&gt;""),'Ratings'!Q5,"")</f>
        <v/>
      </c>
      <c r="F974">
        <f>IF(OR(A974="",'Ratings'!Q66=""),"",'Ratings'!Q66)</f>
        <v/>
      </c>
      <c r="G974">
        <f>IF(A974="","",'Employees'!D9)</f>
        <v/>
      </c>
    </row>
    <row r="975">
      <c r="A975">
        <f>IF(AND('Ratings'!A66&lt;&gt;"",'Ratings'!R5&lt;&gt;""),'Ratings'!A66,"")</f>
        <v/>
      </c>
      <c r="B975">
        <f>IF(A975="","",'Employees'!C9)</f>
        <v/>
      </c>
      <c r="C975">
        <f>IF(A975="","",'Ratings'!C66)</f>
        <v/>
      </c>
      <c r="D975">
        <f>IF(A975="","",'Ratings'!D66)</f>
        <v/>
      </c>
      <c r="E975">
        <f>IF(AND('Ratings'!A66&lt;&gt;"",'Ratings'!R5&lt;&gt;""),'Ratings'!R5,"")</f>
        <v/>
      </c>
      <c r="F975">
        <f>IF(OR(A975="",'Ratings'!R66=""),"",'Ratings'!R66)</f>
        <v/>
      </c>
      <c r="G975">
        <f>IF(A975="","",'Employees'!D9)</f>
        <v/>
      </c>
    </row>
    <row r="976">
      <c r="A976">
        <f>IF(AND('Ratings'!A66&lt;&gt;"",'Ratings'!S5&lt;&gt;""),'Ratings'!A66,"")</f>
        <v/>
      </c>
      <c r="B976">
        <f>IF(A976="","",'Employees'!C9)</f>
        <v/>
      </c>
      <c r="C976">
        <f>IF(A976="","",'Ratings'!C66)</f>
        <v/>
      </c>
      <c r="D976">
        <f>IF(A976="","",'Ratings'!D66)</f>
        <v/>
      </c>
      <c r="E976">
        <f>IF(AND('Ratings'!A66&lt;&gt;"",'Ratings'!S5&lt;&gt;""),'Ratings'!S5,"")</f>
        <v/>
      </c>
      <c r="F976">
        <f>IF(OR(A976="",'Ratings'!S66=""),"",'Ratings'!S66)</f>
        <v/>
      </c>
      <c r="G976">
        <f>IF(A976="","",'Employees'!D9)</f>
        <v/>
      </c>
    </row>
    <row r="977">
      <c r="A977">
        <f>IF(AND('Ratings'!A66&lt;&gt;"",'Ratings'!T5&lt;&gt;""),'Ratings'!A66,"")</f>
        <v/>
      </c>
      <c r="B977">
        <f>IF(A977="","",'Employees'!C9)</f>
        <v/>
      </c>
      <c r="C977">
        <f>IF(A977="","",'Ratings'!C66)</f>
        <v/>
      </c>
      <c r="D977">
        <f>IF(A977="","",'Ratings'!D66)</f>
        <v/>
      </c>
      <c r="E977">
        <f>IF(AND('Ratings'!A66&lt;&gt;"",'Ratings'!T5&lt;&gt;""),'Ratings'!T5,"")</f>
        <v/>
      </c>
      <c r="F977">
        <f>IF(OR(A977="",'Ratings'!T66=""),"",'Ratings'!T66)</f>
        <v/>
      </c>
      <c r="G977">
        <f>IF(A977="","",'Employees'!D9)</f>
        <v/>
      </c>
    </row>
    <row r="978">
      <c r="A978">
        <f>IF(AND('Ratings'!A67&lt;&gt;"",'Ratings'!E5&lt;&gt;""),'Ratings'!A67,"")</f>
        <v/>
      </c>
      <c r="B978">
        <f>IF(A978="","",'Employees'!C9)</f>
        <v/>
      </c>
      <c r="C978">
        <f>IF(A978="","",'Ratings'!C67)</f>
        <v/>
      </c>
      <c r="D978">
        <f>IF(A978="","",'Ratings'!D67)</f>
        <v/>
      </c>
      <c r="E978">
        <f>IF(AND('Ratings'!A67&lt;&gt;"",'Ratings'!E5&lt;&gt;""),'Ratings'!E5,"")</f>
        <v/>
      </c>
      <c r="F978">
        <f>IF(OR(A978="",'Ratings'!E67=""),"",'Ratings'!E67)</f>
        <v/>
      </c>
      <c r="G978">
        <f>IF(A978="","",'Employees'!D9)</f>
        <v/>
      </c>
    </row>
    <row r="979">
      <c r="A979">
        <f>IF(AND('Ratings'!A67&lt;&gt;"",'Ratings'!F5&lt;&gt;""),'Ratings'!A67,"")</f>
        <v/>
      </c>
      <c r="B979">
        <f>IF(A979="","",'Employees'!C9)</f>
        <v/>
      </c>
      <c r="C979">
        <f>IF(A979="","",'Ratings'!C67)</f>
        <v/>
      </c>
      <c r="D979">
        <f>IF(A979="","",'Ratings'!D67)</f>
        <v/>
      </c>
      <c r="E979">
        <f>IF(AND('Ratings'!A67&lt;&gt;"",'Ratings'!F5&lt;&gt;""),'Ratings'!F5,"")</f>
        <v/>
      </c>
      <c r="F979">
        <f>IF(OR(A979="",'Ratings'!F67=""),"",'Ratings'!F67)</f>
        <v/>
      </c>
      <c r="G979">
        <f>IF(A979="","",'Employees'!D9)</f>
        <v/>
      </c>
    </row>
    <row r="980">
      <c r="A980">
        <f>IF(AND('Ratings'!A67&lt;&gt;"",'Ratings'!G5&lt;&gt;""),'Ratings'!A67,"")</f>
        <v/>
      </c>
      <c r="B980">
        <f>IF(A980="","",'Employees'!C9)</f>
        <v/>
      </c>
      <c r="C980">
        <f>IF(A980="","",'Ratings'!C67)</f>
        <v/>
      </c>
      <c r="D980">
        <f>IF(A980="","",'Ratings'!D67)</f>
        <v/>
      </c>
      <c r="E980">
        <f>IF(AND('Ratings'!A67&lt;&gt;"",'Ratings'!G5&lt;&gt;""),'Ratings'!G5,"")</f>
        <v/>
      </c>
      <c r="F980">
        <f>IF(OR(A980="",'Ratings'!G67=""),"",'Ratings'!G67)</f>
        <v/>
      </c>
      <c r="G980">
        <f>IF(A980="","",'Employees'!D9)</f>
        <v/>
      </c>
    </row>
    <row r="981">
      <c r="A981">
        <f>IF(AND('Ratings'!A67&lt;&gt;"",'Ratings'!H5&lt;&gt;""),'Ratings'!A67,"")</f>
        <v/>
      </c>
      <c r="B981">
        <f>IF(A981="","",'Employees'!C9)</f>
        <v/>
      </c>
      <c r="C981">
        <f>IF(A981="","",'Ratings'!C67)</f>
        <v/>
      </c>
      <c r="D981">
        <f>IF(A981="","",'Ratings'!D67)</f>
        <v/>
      </c>
      <c r="E981">
        <f>IF(AND('Ratings'!A67&lt;&gt;"",'Ratings'!H5&lt;&gt;""),'Ratings'!H5,"")</f>
        <v/>
      </c>
      <c r="F981">
        <f>IF(OR(A981="",'Ratings'!H67=""),"",'Ratings'!H67)</f>
        <v/>
      </c>
      <c r="G981">
        <f>IF(A981="","",'Employees'!D9)</f>
        <v/>
      </c>
    </row>
    <row r="982">
      <c r="A982">
        <f>IF(AND('Ratings'!A67&lt;&gt;"",'Ratings'!I5&lt;&gt;""),'Ratings'!A67,"")</f>
        <v/>
      </c>
      <c r="B982">
        <f>IF(A982="","",'Employees'!C9)</f>
        <v/>
      </c>
      <c r="C982">
        <f>IF(A982="","",'Ratings'!C67)</f>
        <v/>
      </c>
      <c r="D982">
        <f>IF(A982="","",'Ratings'!D67)</f>
        <v/>
      </c>
      <c r="E982">
        <f>IF(AND('Ratings'!A67&lt;&gt;"",'Ratings'!I5&lt;&gt;""),'Ratings'!I5,"")</f>
        <v/>
      </c>
      <c r="F982">
        <f>IF(OR(A982="",'Ratings'!I67=""),"",'Ratings'!I67)</f>
        <v/>
      </c>
      <c r="G982">
        <f>IF(A982="","",'Employees'!D9)</f>
        <v/>
      </c>
    </row>
    <row r="983">
      <c r="A983">
        <f>IF(AND('Ratings'!A67&lt;&gt;"",'Ratings'!J5&lt;&gt;""),'Ratings'!A67,"")</f>
        <v/>
      </c>
      <c r="B983">
        <f>IF(A983="","",'Employees'!C9)</f>
        <v/>
      </c>
      <c r="C983">
        <f>IF(A983="","",'Ratings'!C67)</f>
        <v/>
      </c>
      <c r="D983">
        <f>IF(A983="","",'Ratings'!D67)</f>
        <v/>
      </c>
      <c r="E983">
        <f>IF(AND('Ratings'!A67&lt;&gt;"",'Ratings'!J5&lt;&gt;""),'Ratings'!J5,"")</f>
        <v/>
      </c>
      <c r="F983">
        <f>IF(OR(A983="",'Ratings'!J67=""),"",'Ratings'!J67)</f>
        <v/>
      </c>
      <c r="G983">
        <f>IF(A983="","",'Employees'!D9)</f>
        <v/>
      </c>
    </row>
    <row r="984">
      <c r="A984">
        <f>IF(AND('Ratings'!A67&lt;&gt;"",'Ratings'!K5&lt;&gt;""),'Ratings'!A67,"")</f>
        <v/>
      </c>
      <c r="B984">
        <f>IF(A984="","",'Employees'!C9)</f>
        <v/>
      </c>
      <c r="C984">
        <f>IF(A984="","",'Ratings'!C67)</f>
        <v/>
      </c>
      <c r="D984">
        <f>IF(A984="","",'Ratings'!D67)</f>
        <v/>
      </c>
      <c r="E984">
        <f>IF(AND('Ratings'!A67&lt;&gt;"",'Ratings'!K5&lt;&gt;""),'Ratings'!K5,"")</f>
        <v/>
      </c>
      <c r="F984">
        <f>IF(OR(A984="",'Ratings'!K67=""),"",'Ratings'!K67)</f>
        <v/>
      </c>
      <c r="G984">
        <f>IF(A984="","",'Employees'!D9)</f>
        <v/>
      </c>
    </row>
    <row r="985">
      <c r="A985">
        <f>IF(AND('Ratings'!A67&lt;&gt;"",'Ratings'!L5&lt;&gt;""),'Ratings'!A67,"")</f>
        <v/>
      </c>
      <c r="B985">
        <f>IF(A985="","",'Employees'!C9)</f>
        <v/>
      </c>
      <c r="C985">
        <f>IF(A985="","",'Ratings'!C67)</f>
        <v/>
      </c>
      <c r="D985">
        <f>IF(A985="","",'Ratings'!D67)</f>
        <v/>
      </c>
      <c r="E985">
        <f>IF(AND('Ratings'!A67&lt;&gt;"",'Ratings'!L5&lt;&gt;""),'Ratings'!L5,"")</f>
        <v/>
      </c>
      <c r="F985">
        <f>IF(OR(A985="",'Ratings'!L67=""),"",'Ratings'!L67)</f>
        <v/>
      </c>
      <c r="G985">
        <f>IF(A985="","",'Employees'!D9)</f>
        <v/>
      </c>
    </row>
    <row r="986">
      <c r="A986">
        <f>IF(AND('Ratings'!A67&lt;&gt;"",'Ratings'!M5&lt;&gt;""),'Ratings'!A67,"")</f>
        <v/>
      </c>
      <c r="B986">
        <f>IF(A986="","",'Employees'!C9)</f>
        <v/>
      </c>
      <c r="C986">
        <f>IF(A986="","",'Ratings'!C67)</f>
        <v/>
      </c>
      <c r="D986">
        <f>IF(A986="","",'Ratings'!D67)</f>
        <v/>
      </c>
      <c r="E986">
        <f>IF(AND('Ratings'!A67&lt;&gt;"",'Ratings'!M5&lt;&gt;""),'Ratings'!M5,"")</f>
        <v/>
      </c>
      <c r="F986">
        <f>IF(OR(A986="",'Ratings'!M67=""),"",'Ratings'!M67)</f>
        <v/>
      </c>
      <c r="G986">
        <f>IF(A986="","",'Employees'!D9)</f>
        <v/>
      </c>
    </row>
    <row r="987">
      <c r="A987">
        <f>IF(AND('Ratings'!A67&lt;&gt;"",'Ratings'!N5&lt;&gt;""),'Ratings'!A67,"")</f>
        <v/>
      </c>
      <c r="B987">
        <f>IF(A987="","",'Employees'!C9)</f>
        <v/>
      </c>
      <c r="C987">
        <f>IF(A987="","",'Ratings'!C67)</f>
        <v/>
      </c>
      <c r="D987">
        <f>IF(A987="","",'Ratings'!D67)</f>
        <v/>
      </c>
      <c r="E987">
        <f>IF(AND('Ratings'!A67&lt;&gt;"",'Ratings'!N5&lt;&gt;""),'Ratings'!N5,"")</f>
        <v/>
      </c>
      <c r="F987">
        <f>IF(OR(A987="",'Ratings'!N67=""),"",'Ratings'!N67)</f>
        <v/>
      </c>
      <c r="G987">
        <f>IF(A987="","",'Employees'!D9)</f>
        <v/>
      </c>
    </row>
    <row r="988">
      <c r="A988">
        <f>IF(AND('Ratings'!A67&lt;&gt;"",'Ratings'!O5&lt;&gt;""),'Ratings'!A67,"")</f>
        <v/>
      </c>
      <c r="B988">
        <f>IF(A988="","",'Employees'!C9)</f>
        <v/>
      </c>
      <c r="C988">
        <f>IF(A988="","",'Ratings'!C67)</f>
        <v/>
      </c>
      <c r="D988">
        <f>IF(A988="","",'Ratings'!D67)</f>
        <v/>
      </c>
      <c r="E988">
        <f>IF(AND('Ratings'!A67&lt;&gt;"",'Ratings'!O5&lt;&gt;""),'Ratings'!O5,"")</f>
        <v/>
      </c>
      <c r="F988">
        <f>IF(OR(A988="",'Ratings'!O67=""),"",'Ratings'!O67)</f>
        <v/>
      </c>
      <c r="G988">
        <f>IF(A988="","",'Employees'!D9)</f>
        <v/>
      </c>
    </row>
    <row r="989">
      <c r="A989">
        <f>IF(AND('Ratings'!A67&lt;&gt;"",'Ratings'!P5&lt;&gt;""),'Ratings'!A67,"")</f>
        <v/>
      </c>
      <c r="B989">
        <f>IF(A989="","",'Employees'!C9)</f>
        <v/>
      </c>
      <c r="C989">
        <f>IF(A989="","",'Ratings'!C67)</f>
        <v/>
      </c>
      <c r="D989">
        <f>IF(A989="","",'Ratings'!D67)</f>
        <v/>
      </c>
      <c r="E989">
        <f>IF(AND('Ratings'!A67&lt;&gt;"",'Ratings'!P5&lt;&gt;""),'Ratings'!P5,"")</f>
        <v/>
      </c>
      <c r="F989">
        <f>IF(OR(A989="",'Ratings'!P67=""),"",'Ratings'!P67)</f>
        <v/>
      </c>
      <c r="G989">
        <f>IF(A989="","",'Employees'!D9)</f>
        <v/>
      </c>
    </row>
    <row r="990">
      <c r="A990">
        <f>IF(AND('Ratings'!A67&lt;&gt;"",'Ratings'!Q5&lt;&gt;""),'Ratings'!A67,"")</f>
        <v/>
      </c>
      <c r="B990">
        <f>IF(A990="","",'Employees'!C9)</f>
        <v/>
      </c>
      <c r="C990">
        <f>IF(A990="","",'Ratings'!C67)</f>
        <v/>
      </c>
      <c r="D990">
        <f>IF(A990="","",'Ratings'!D67)</f>
        <v/>
      </c>
      <c r="E990">
        <f>IF(AND('Ratings'!A67&lt;&gt;"",'Ratings'!Q5&lt;&gt;""),'Ratings'!Q5,"")</f>
        <v/>
      </c>
      <c r="F990">
        <f>IF(OR(A990="",'Ratings'!Q67=""),"",'Ratings'!Q67)</f>
        <v/>
      </c>
      <c r="G990">
        <f>IF(A990="","",'Employees'!D9)</f>
        <v/>
      </c>
    </row>
    <row r="991">
      <c r="A991">
        <f>IF(AND('Ratings'!A67&lt;&gt;"",'Ratings'!R5&lt;&gt;""),'Ratings'!A67,"")</f>
        <v/>
      </c>
      <c r="B991">
        <f>IF(A991="","",'Employees'!C9)</f>
        <v/>
      </c>
      <c r="C991">
        <f>IF(A991="","",'Ratings'!C67)</f>
        <v/>
      </c>
      <c r="D991">
        <f>IF(A991="","",'Ratings'!D67)</f>
        <v/>
      </c>
      <c r="E991">
        <f>IF(AND('Ratings'!A67&lt;&gt;"",'Ratings'!R5&lt;&gt;""),'Ratings'!R5,"")</f>
        <v/>
      </c>
      <c r="F991">
        <f>IF(OR(A991="",'Ratings'!R67=""),"",'Ratings'!R67)</f>
        <v/>
      </c>
      <c r="G991">
        <f>IF(A991="","",'Employees'!D9)</f>
        <v/>
      </c>
    </row>
    <row r="992">
      <c r="A992">
        <f>IF(AND('Ratings'!A67&lt;&gt;"",'Ratings'!S5&lt;&gt;""),'Ratings'!A67,"")</f>
        <v/>
      </c>
      <c r="B992">
        <f>IF(A992="","",'Employees'!C9)</f>
        <v/>
      </c>
      <c r="C992">
        <f>IF(A992="","",'Ratings'!C67)</f>
        <v/>
      </c>
      <c r="D992">
        <f>IF(A992="","",'Ratings'!D67)</f>
        <v/>
      </c>
      <c r="E992">
        <f>IF(AND('Ratings'!A67&lt;&gt;"",'Ratings'!S5&lt;&gt;""),'Ratings'!S5,"")</f>
        <v/>
      </c>
      <c r="F992">
        <f>IF(OR(A992="",'Ratings'!S67=""),"",'Ratings'!S67)</f>
        <v/>
      </c>
      <c r="G992">
        <f>IF(A992="","",'Employees'!D9)</f>
        <v/>
      </c>
    </row>
    <row r="993">
      <c r="A993">
        <f>IF(AND('Ratings'!A67&lt;&gt;"",'Ratings'!T5&lt;&gt;""),'Ratings'!A67,"")</f>
        <v/>
      </c>
      <c r="B993">
        <f>IF(A993="","",'Employees'!C9)</f>
        <v/>
      </c>
      <c r="C993">
        <f>IF(A993="","",'Ratings'!C67)</f>
        <v/>
      </c>
      <c r="D993">
        <f>IF(A993="","",'Ratings'!D67)</f>
        <v/>
      </c>
      <c r="E993">
        <f>IF(AND('Ratings'!A67&lt;&gt;"",'Ratings'!T5&lt;&gt;""),'Ratings'!T5,"")</f>
        <v/>
      </c>
      <c r="F993">
        <f>IF(OR(A993="",'Ratings'!T67=""),"",'Ratings'!T67)</f>
        <v/>
      </c>
      <c r="G993">
        <f>IF(A993="","",'Employees'!D9)</f>
        <v/>
      </c>
    </row>
    <row r="994">
      <c r="A994">
        <f>IF(AND('Ratings'!A68&lt;&gt;"",'Ratings'!E5&lt;&gt;""),'Ratings'!A68,"")</f>
        <v/>
      </c>
      <c r="B994">
        <f>IF(A994="","",'Employees'!C9)</f>
        <v/>
      </c>
      <c r="C994">
        <f>IF(A994="","",'Ratings'!C68)</f>
        <v/>
      </c>
      <c r="D994">
        <f>IF(A994="","",'Ratings'!D68)</f>
        <v/>
      </c>
      <c r="E994">
        <f>IF(AND('Ratings'!A68&lt;&gt;"",'Ratings'!E5&lt;&gt;""),'Ratings'!E5,"")</f>
        <v/>
      </c>
      <c r="F994">
        <f>IF(OR(A994="",'Ratings'!E68=""),"",'Ratings'!E68)</f>
        <v/>
      </c>
      <c r="G994">
        <f>IF(A994="","",'Employees'!D9)</f>
        <v/>
      </c>
    </row>
    <row r="995">
      <c r="A995">
        <f>IF(AND('Ratings'!A68&lt;&gt;"",'Ratings'!F5&lt;&gt;""),'Ratings'!A68,"")</f>
        <v/>
      </c>
      <c r="B995">
        <f>IF(A995="","",'Employees'!C9)</f>
        <v/>
      </c>
      <c r="C995">
        <f>IF(A995="","",'Ratings'!C68)</f>
        <v/>
      </c>
      <c r="D995">
        <f>IF(A995="","",'Ratings'!D68)</f>
        <v/>
      </c>
      <c r="E995">
        <f>IF(AND('Ratings'!A68&lt;&gt;"",'Ratings'!F5&lt;&gt;""),'Ratings'!F5,"")</f>
        <v/>
      </c>
      <c r="F995">
        <f>IF(OR(A995="",'Ratings'!F68=""),"",'Ratings'!F68)</f>
        <v/>
      </c>
      <c r="G995">
        <f>IF(A995="","",'Employees'!D9)</f>
        <v/>
      </c>
    </row>
    <row r="996">
      <c r="A996">
        <f>IF(AND('Ratings'!A68&lt;&gt;"",'Ratings'!G5&lt;&gt;""),'Ratings'!A68,"")</f>
        <v/>
      </c>
      <c r="B996">
        <f>IF(A996="","",'Employees'!C9)</f>
        <v/>
      </c>
      <c r="C996">
        <f>IF(A996="","",'Ratings'!C68)</f>
        <v/>
      </c>
      <c r="D996">
        <f>IF(A996="","",'Ratings'!D68)</f>
        <v/>
      </c>
      <c r="E996">
        <f>IF(AND('Ratings'!A68&lt;&gt;"",'Ratings'!G5&lt;&gt;""),'Ratings'!G5,"")</f>
        <v/>
      </c>
      <c r="F996">
        <f>IF(OR(A996="",'Ratings'!G68=""),"",'Ratings'!G68)</f>
        <v/>
      </c>
      <c r="G996">
        <f>IF(A996="","",'Employees'!D9)</f>
        <v/>
      </c>
    </row>
    <row r="997">
      <c r="A997">
        <f>IF(AND('Ratings'!A68&lt;&gt;"",'Ratings'!H5&lt;&gt;""),'Ratings'!A68,"")</f>
        <v/>
      </c>
      <c r="B997">
        <f>IF(A997="","",'Employees'!C9)</f>
        <v/>
      </c>
      <c r="C997">
        <f>IF(A997="","",'Ratings'!C68)</f>
        <v/>
      </c>
      <c r="D997">
        <f>IF(A997="","",'Ratings'!D68)</f>
        <v/>
      </c>
      <c r="E997">
        <f>IF(AND('Ratings'!A68&lt;&gt;"",'Ratings'!H5&lt;&gt;""),'Ratings'!H5,"")</f>
        <v/>
      </c>
      <c r="F997">
        <f>IF(OR(A997="",'Ratings'!H68=""),"",'Ratings'!H68)</f>
        <v/>
      </c>
      <c r="G997">
        <f>IF(A997="","",'Employees'!D9)</f>
        <v/>
      </c>
    </row>
    <row r="998">
      <c r="A998">
        <f>IF(AND('Ratings'!A68&lt;&gt;"",'Ratings'!I5&lt;&gt;""),'Ratings'!A68,"")</f>
        <v/>
      </c>
      <c r="B998">
        <f>IF(A998="","",'Employees'!C9)</f>
        <v/>
      </c>
      <c r="C998">
        <f>IF(A998="","",'Ratings'!C68)</f>
        <v/>
      </c>
      <c r="D998">
        <f>IF(A998="","",'Ratings'!D68)</f>
        <v/>
      </c>
      <c r="E998">
        <f>IF(AND('Ratings'!A68&lt;&gt;"",'Ratings'!I5&lt;&gt;""),'Ratings'!I5,"")</f>
        <v/>
      </c>
      <c r="F998">
        <f>IF(OR(A998="",'Ratings'!I68=""),"",'Ratings'!I68)</f>
        <v/>
      </c>
      <c r="G998">
        <f>IF(A998="","",'Employees'!D9)</f>
        <v/>
      </c>
    </row>
    <row r="999">
      <c r="A999">
        <f>IF(AND('Ratings'!A68&lt;&gt;"",'Ratings'!J5&lt;&gt;""),'Ratings'!A68,"")</f>
        <v/>
      </c>
      <c r="B999">
        <f>IF(A999="","",'Employees'!C9)</f>
        <v/>
      </c>
      <c r="C999">
        <f>IF(A999="","",'Ratings'!C68)</f>
        <v/>
      </c>
      <c r="D999">
        <f>IF(A999="","",'Ratings'!D68)</f>
        <v/>
      </c>
      <c r="E999">
        <f>IF(AND('Ratings'!A68&lt;&gt;"",'Ratings'!J5&lt;&gt;""),'Ratings'!J5,"")</f>
        <v/>
      </c>
      <c r="F999">
        <f>IF(OR(A999="",'Ratings'!J68=""),"",'Ratings'!J68)</f>
        <v/>
      </c>
      <c r="G999">
        <f>IF(A999="","",'Employees'!D9)</f>
        <v/>
      </c>
    </row>
    <row r="1000">
      <c r="A1000">
        <f>IF(AND('Ratings'!A68&lt;&gt;"",'Ratings'!K5&lt;&gt;""),'Ratings'!A68,"")</f>
        <v/>
      </c>
      <c r="B1000">
        <f>IF(A1000="","",'Employees'!C9)</f>
        <v/>
      </c>
      <c r="C1000">
        <f>IF(A1000="","",'Ratings'!C68)</f>
        <v/>
      </c>
      <c r="D1000">
        <f>IF(A1000="","",'Ratings'!D68)</f>
        <v/>
      </c>
      <c r="E1000">
        <f>IF(AND('Ratings'!A68&lt;&gt;"",'Ratings'!K5&lt;&gt;""),'Ratings'!K5,"")</f>
        <v/>
      </c>
      <c r="F1000">
        <f>IF(OR(A1000="",'Ratings'!K68=""),"",'Ratings'!K68)</f>
        <v/>
      </c>
      <c r="G1000">
        <f>IF(A1000="","",'Employees'!D9)</f>
        <v/>
      </c>
    </row>
    <row r="1001">
      <c r="A1001">
        <f>IF(AND('Ratings'!A68&lt;&gt;"",'Ratings'!L5&lt;&gt;""),'Ratings'!A68,"")</f>
        <v/>
      </c>
      <c r="B1001">
        <f>IF(A1001="","",'Employees'!C9)</f>
        <v/>
      </c>
      <c r="C1001">
        <f>IF(A1001="","",'Ratings'!C68)</f>
        <v/>
      </c>
      <c r="D1001">
        <f>IF(A1001="","",'Ratings'!D68)</f>
        <v/>
      </c>
      <c r="E1001">
        <f>IF(AND('Ratings'!A68&lt;&gt;"",'Ratings'!L5&lt;&gt;""),'Ratings'!L5,"")</f>
        <v/>
      </c>
      <c r="F1001">
        <f>IF(OR(A1001="",'Ratings'!L68=""),"",'Ratings'!L68)</f>
        <v/>
      </c>
      <c r="G1001">
        <f>IF(A1001="","",'Employees'!D9)</f>
        <v/>
      </c>
    </row>
    <row r="1002">
      <c r="A1002">
        <f>IF(AND('Ratings'!A68&lt;&gt;"",'Ratings'!M5&lt;&gt;""),'Ratings'!A68,"")</f>
        <v/>
      </c>
      <c r="B1002">
        <f>IF(A1002="","",'Employees'!C9)</f>
        <v/>
      </c>
      <c r="C1002">
        <f>IF(A1002="","",'Ratings'!C68)</f>
        <v/>
      </c>
      <c r="D1002">
        <f>IF(A1002="","",'Ratings'!D68)</f>
        <v/>
      </c>
      <c r="E1002">
        <f>IF(AND('Ratings'!A68&lt;&gt;"",'Ratings'!M5&lt;&gt;""),'Ratings'!M5,"")</f>
        <v/>
      </c>
      <c r="F1002">
        <f>IF(OR(A1002="",'Ratings'!M68=""),"",'Ratings'!M68)</f>
        <v/>
      </c>
      <c r="G1002">
        <f>IF(A1002="","",'Employees'!D9)</f>
        <v/>
      </c>
    </row>
    <row r="1003">
      <c r="A1003">
        <f>IF(AND('Ratings'!A68&lt;&gt;"",'Ratings'!N5&lt;&gt;""),'Ratings'!A68,"")</f>
        <v/>
      </c>
      <c r="B1003">
        <f>IF(A1003="","",'Employees'!C9)</f>
        <v/>
      </c>
      <c r="C1003">
        <f>IF(A1003="","",'Ratings'!C68)</f>
        <v/>
      </c>
      <c r="D1003">
        <f>IF(A1003="","",'Ratings'!D68)</f>
        <v/>
      </c>
      <c r="E1003">
        <f>IF(AND('Ratings'!A68&lt;&gt;"",'Ratings'!N5&lt;&gt;""),'Ratings'!N5,"")</f>
        <v/>
      </c>
      <c r="F1003">
        <f>IF(OR(A1003="",'Ratings'!N68=""),"",'Ratings'!N68)</f>
        <v/>
      </c>
      <c r="G1003">
        <f>IF(A1003="","",'Employees'!D9)</f>
        <v/>
      </c>
    </row>
    <row r="1004">
      <c r="A1004">
        <f>IF(AND('Ratings'!A68&lt;&gt;"",'Ratings'!O5&lt;&gt;""),'Ratings'!A68,"")</f>
        <v/>
      </c>
      <c r="B1004">
        <f>IF(A1004="","",'Employees'!C9)</f>
        <v/>
      </c>
      <c r="C1004">
        <f>IF(A1004="","",'Ratings'!C68)</f>
        <v/>
      </c>
      <c r="D1004">
        <f>IF(A1004="","",'Ratings'!D68)</f>
        <v/>
      </c>
      <c r="E1004">
        <f>IF(AND('Ratings'!A68&lt;&gt;"",'Ratings'!O5&lt;&gt;""),'Ratings'!O5,"")</f>
        <v/>
      </c>
      <c r="F1004">
        <f>IF(OR(A1004="",'Ratings'!O68=""),"",'Ratings'!O68)</f>
        <v/>
      </c>
      <c r="G1004">
        <f>IF(A1004="","",'Employees'!D9)</f>
        <v/>
      </c>
    </row>
    <row r="1005">
      <c r="A1005">
        <f>IF(AND('Ratings'!A68&lt;&gt;"",'Ratings'!P5&lt;&gt;""),'Ratings'!A68,"")</f>
        <v/>
      </c>
      <c r="B1005">
        <f>IF(A1005="","",'Employees'!C9)</f>
        <v/>
      </c>
      <c r="C1005">
        <f>IF(A1005="","",'Ratings'!C68)</f>
        <v/>
      </c>
      <c r="D1005">
        <f>IF(A1005="","",'Ratings'!D68)</f>
        <v/>
      </c>
      <c r="E1005">
        <f>IF(AND('Ratings'!A68&lt;&gt;"",'Ratings'!P5&lt;&gt;""),'Ratings'!P5,"")</f>
        <v/>
      </c>
      <c r="F1005">
        <f>IF(OR(A1005="",'Ratings'!P68=""),"",'Ratings'!P68)</f>
        <v/>
      </c>
      <c r="G1005">
        <f>IF(A1005="","",'Employees'!D9)</f>
        <v/>
      </c>
    </row>
    <row r="1006">
      <c r="A1006">
        <f>IF(AND('Ratings'!A68&lt;&gt;"",'Ratings'!Q5&lt;&gt;""),'Ratings'!A68,"")</f>
        <v/>
      </c>
      <c r="B1006">
        <f>IF(A1006="","",'Employees'!C9)</f>
        <v/>
      </c>
      <c r="C1006">
        <f>IF(A1006="","",'Ratings'!C68)</f>
        <v/>
      </c>
      <c r="D1006">
        <f>IF(A1006="","",'Ratings'!D68)</f>
        <v/>
      </c>
      <c r="E1006">
        <f>IF(AND('Ratings'!A68&lt;&gt;"",'Ratings'!Q5&lt;&gt;""),'Ratings'!Q5,"")</f>
        <v/>
      </c>
      <c r="F1006">
        <f>IF(OR(A1006="",'Ratings'!Q68=""),"",'Ratings'!Q68)</f>
        <v/>
      </c>
      <c r="G1006">
        <f>IF(A1006="","",'Employees'!D9)</f>
        <v/>
      </c>
    </row>
    <row r="1007">
      <c r="A1007">
        <f>IF(AND('Ratings'!A68&lt;&gt;"",'Ratings'!R5&lt;&gt;""),'Ratings'!A68,"")</f>
        <v/>
      </c>
      <c r="B1007">
        <f>IF(A1007="","",'Employees'!C9)</f>
        <v/>
      </c>
      <c r="C1007">
        <f>IF(A1007="","",'Ratings'!C68)</f>
        <v/>
      </c>
      <c r="D1007">
        <f>IF(A1007="","",'Ratings'!D68)</f>
        <v/>
      </c>
      <c r="E1007">
        <f>IF(AND('Ratings'!A68&lt;&gt;"",'Ratings'!R5&lt;&gt;""),'Ratings'!R5,"")</f>
        <v/>
      </c>
      <c r="F1007">
        <f>IF(OR(A1007="",'Ratings'!R68=""),"",'Ratings'!R68)</f>
        <v/>
      </c>
      <c r="G1007">
        <f>IF(A1007="","",'Employees'!D9)</f>
        <v/>
      </c>
    </row>
    <row r="1008">
      <c r="A1008">
        <f>IF(AND('Ratings'!A68&lt;&gt;"",'Ratings'!S5&lt;&gt;""),'Ratings'!A68,"")</f>
        <v/>
      </c>
      <c r="B1008">
        <f>IF(A1008="","",'Employees'!C9)</f>
        <v/>
      </c>
      <c r="C1008">
        <f>IF(A1008="","",'Ratings'!C68)</f>
        <v/>
      </c>
      <c r="D1008">
        <f>IF(A1008="","",'Ratings'!D68)</f>
        <v/>
      </c>
      <c r="E1008">
        <f>IF(AND('Ratings'!A68&lt;&gt;"",'Ratings'!S5&lt;&gt;""),'Ratings'!S5,"")</f>
        <v/>
      </c>
      <c r="F1008">
        <f>IF(OR(A1008="",'Ratings'!S68=""),"",'Ratings'!S68)</f>
        <v/>
      </c>
      <c r="G1008">
        <f>IF(A1008="","",'Employees'!D9)</f>
        <v/>
      </c>
    </row>
    <row r="1009">
      <c r="A1009">
        <f>IF(AND('Ratings'!A68&lt;&gt;"",'Ratings'!T5&lt;&gt;""),'Ratings'!A68,"")</f>
        <v/>
      </c>
      <c r="B1009">
        <f>IF(A1009="","",'Employees'!C9)</f>
        <v/>
      </c>
      <c r="C1009">
        <f>IF(A1009="","",'Ratings'!C68)</f>
        <v/>
      </c>
      <c r="D1009">
        <f>IF(A1009="","",'Ratings'!D68)</f>
        <v/>
      </c>
      <c r="E1009">
        <f>IF(AND('Ratings'!A68&lt;&gt;"",'Ratings'!T5&lt;&gt;""),'Ratings'!T5,"")</f>
        <v/>
      </c>
      <c r="F1009">
        <f>IF(OR(A1009="",'Ratings'!T68=""),"",'Ratings'!T68)</f>
        <v/>
      </c>
      <c r="G1009">
        <f>IF(A1009="","",'Employees'!D9)</f>
        <v/>
      </c>
    </row>
    <row r="1010">
      <c r="A1010">
        <f>IF(AND('Ratings'!A69&lt;&gt;"",'Ratings'!E5&lt;&gt;""),'Ratings'!A69,"")</f>
        <v/>
      </c>
      <c r="B1010">
        <f>IF(A1010="","",'Employees'!C9)</f>
        <v/>
      </c>
      <c r="C1010">
        <f>IF(A1010="","",'Ratings'!C69)</f>
        <v/>
      </c>
      <c r="D1010">
        <f>IF(A1010="","",'Ratings'!D69)</f>
        <v/>
      </c>
      <c r="E1010">
        <f>IF(AND('Ratings'!A69&lt;&gt;"",'Ratings'!E5&lt;&gt;""),'Ratings'!E5,"")</f>
        <v/>
      </c>
      <c r="F1010">
        <f>IF(OR(A1010="",'Ratings'!E69=""),"",'Ratings'!E69)</f>
        <v/>
      </c>
      <c r="G1010">
        <f>IF(A1010="","",'Employees'!D9)</f>
        <v/>
      </c>
    </row>
    <row r="1011">
      <c r="A1011">
        <f>IF(AND('Ratings'!A69&lt;&gt;"",'Ratings'!F5&lt;&gt;""),'Ratings'!A69,"")</f>
        <v/>
      </c>
      <c r="B1011">
        <f>IF(A1011="","",'Employees'!C9)</f>
        <v/>
      </c>
      <c r="C1011">
        <f>IF(A1011="","",'Ratings'!C69)</f>
        <v/>
      </c>
      <c r="D1011">
        <f>IF(A1011="","",'Ratings'!D69)</f>
        <v/>
      </c>
      <c r="E1011">
        <f>IF(AND('Ratings'!A69&lt;&gt;"",'Ratings'!F5&lt;&gt;""),'Ratings'!F5,"")</f>
        <v/>
      </c>
      <c r="F1011">
        <f>IF(OR(A1011="",'Ratings'!F69=""),"",'Ratings'!F69)</f>
        <v/>
      </c>
      <c r="G1011">
        <f>IF(A1011="","",'Employees'!D9)</f>
        <v/>
      </c>
    </row>
    <row r="1012">
      <c r="A1012">
        <f>IF(AND('Ratings'!A69&lt;&gt;"",'Ratings'!G5&lt;&gt;""),'Ratings'!A69,"")</f>
        <v/>
      </c>
      <c r="B1012">
        <f>IF(A1012="","",'Employees'!C9)</f>
        <v/>
      </c>
      <c r="C1012">
        <f>IF(A1012="","",'Ratings'!C69)</f>
        <v/>
      </c>
      <c r="D1012">
        <f>IF(A1012="","",'Ratings'!D69)</f>
        <v/>
      </c>
      <c r="E1012">
        <f>IF(AND('Ratings'!A69&lt;&gt;"",'Ratings'!G5&lt;&gt;""),'Ratings'!G5,"")</f>
        <v/>
      </c>
      <c r="F1012">
        <f>IF(OR(A1012="",'Ratings'!G69=""),"",'Ratings'!G69)</f>
        <v/>
      </c>
      <c r="G1012">
        <f>IF(A1012="","",'Employees'!D9)</f>
        <v/>
      </c>
    </row>
    <row r="1013">
      <c r="A1013">
        <f>IF(AND('Ratings'!A69&lt;&gt;"",'Ratings'!H5&lt;&gt;""),'Ratings'!A69,"")</f>
        <v/>
      </c>
      <c r="B1013">
        <f>IF(A1013="","",'Employees'!C9)</f>
        <v/>
      </c>
      <c r="C1013">
        <f>IF(A1013="","",'Ratings'!C69)</f>
        <v/>
      </c>
      <c r="D1013">
        <f>IF(A1013="","",'Ratings'!D69)</f>
        <v/>
      </c>
      <c r="E1013">
        <f>IF(AND('Ratings'!A69&lt;&gt;"",'Ratings'!H5&lt;&gt;""),'Ratings'!H5,"")</f>
        <v/>
      </c>
      <c r="F1013">
        <f>IF(OR(A1013="",'Ratings'!H69=""),"",'Ratings'!H69)</f>
        <v/>
      </c>
      <c r="G1013">
        <f>IF(A1013="","",'Employees'!D9)</f>
        <v/>
      </c>
    </row>
    <row r="1014">
      <c r="A1014">
        <f>IF(AND('Ratings'!A69&lt;&gt;"",'Ratings'!I5&lt;&gt;""),'Ratings'!A69,"")</f>
        <v/>
      </c>
      <c r="B1014">
        <f>IF(A1014="","",'Employees'!C9)</f>
        <v/>
      </c>
      <c r="C1014">
        <f>IF(A1014="","",'Ratings'!C69)</f>
        <v/>
      </c>
      <c r="D1014">
        <f>IF(A1014="","",'Ratings'!D69)</f>
        <v/>
      </c>
      <c r="E1014">
        <f>IF(AND('Ratings'!A69&lt;&gt;"",'Ratings'!I5&lt;&gt;""),'Ratings'!I5,"")</f>
        <v/>
      </c>
      <c r="F1014">
        <f>IF(OR(A1014="",'Ratings'!I69=""),"",'Ratings'!I69)</f>
        <v/>
      </c>
      <c r="G1014">
        <f>IF(A1014="","",'Employees'!D9)</f>
        <v/>
      </c>
    </row>
    <row r="1015">
      <c r="A1015">
        <f>IF(AND('Ratings'!A69&lt;&gt;"",'Ratings'!J5&lt;&gt;""),'Ratings'!A69,"")</f>
        <v/>
      </c>
      <c r="B1015">
        <f>IF(A1015="","",'Employees'!C9)</f>
        <v/>
      </c>
      <c r="C1015">
        <f>IF(A1015="","",'Ratings'!C69)</f>
        <v/>
      </c>
      <c r="D1015">
        <f>IF(A1015="","",'Ratings'!D69)</f>
        <v/>
      </c>
      <c r="E1015">
        <f>IF(AND('Ratings'!A69&lt;&gt;"",'Ratings'!J5&lt;&gt;""),'Ratings'!J5,"")</f>
        <v/>
      </c>
      <c r="F1015">
        <f>IF(OR(A1015="",'Ratings'!J69=""),"",'Ratings'!J69)</f>
        <v/>
      </c>
      <c r="G1015">
        <f>IF(A1015="","",'Employees'!D9)</f>
        <v/>
      </c>
    </row>
    <row r="1016">
      <c r="A1016">
        <f>IF(AND('Ratings'!A69&lt;&gt;"",'Ratings'!K5&lt;&gt;""),'Ratings'!A69,"")</f>
        <v/>
      </c>
      <c r="B1016">
        <f>IF(A1016="","",'Employees'!C9)</f>
        <v/>
      </c>
      <c r="C1016">
        <f>IF(A1016="","",'Ratings'!C69)</f>
        <v/>
      </c>
      <c r="D1016">
        <f>IF(A1016="","",'Ratings'!D69)</f>
        <v/>
      </c>
      <c r="E1016">
        <f>IF(AND('Ratings'!A69&lt;&gt;"",'Ratings'!K5&lt;&gt;""),'Ratings'!K5,"")</f>
        <v/>
      </c>
      <c r="F1016">
        <f>IF(OR(A1016="",'Ratings'!K69=""),"",'Ratings'!K69)</f>
        <v/>
      </c>
      <c r="G1016">
        <f>IF(A1016="","",'Employees'!D9)</f>
        <v/>
      </c>
    </row>
    <row r="1017">
      <c r="A1017">
        <f>IF(AND('Ratings'!A69&lt;&gt;"",'Ratings'!L5&lt;&gt;""),'Ratings'!A69,"")</f>
        <v/>
      </c>
      <c r="B1017">
        <f>IF(A1017="","",'Employees'!C9)</f>
        <v/>
      </c>
      <c r="C1017">
        <f>IF(A1017="","",'Ratings'!C69)</f>
        <v/>
      </c>
      <c r="D1017">
        <f>IF(A1017="","",'Ratings'!D69)</f>
        <v/>
      </c>
      <c r="E1017">
        <f>IF(AND('Ratings'!A69&lt;&gt;"",'Ratings'!L5&lt;&gt;""),'Ratings'!L5,"")</f>
        <v/>
      </c>
      <c r="F1017">
        <f>IF(OR(A1017="",'Ratings'!L69=""),"",'Ratings'!L69)</f>
        <v/>
      </c>
      <c r="G1017">
        <f>IF(A1017="","",'Employees'!D9)</f>
        <v/>
      </c>
    </row>
    <row r="1018">
      <c r="A1018">
        <f>IF(AND('Ratings'!A69&lt;&gt;"",'Ratings'!M5&lt;&gt;""),'Ratings'!A69,"")</f>
        <v/>
      </c>
      <c r="B1018">
        <f>IF(A1018="","",'Employees'!C9)</f>
        <v/>
      </c>
      <c r="C1018">
        <f>IF(A1018="","",'Ratings'!C69)</f>
        <v/>
      </c>
      <c r="D1018">
        <f>IF(A1018="","",'Ratings'!D69)</f>
        <v/>
      </c>
      <c r="E1018">
        <f>IF(AND('Ratings'!A69&lt;&gt;"",'Ratings'!M5&lt;&gt;""),'Ratings'!M5,"")</f>
        <v/>
      </c>
      <c r="F1018">
        <f>IF(OR(A1018="",'Ratings'!M69=""),"",'Ratings'!M69)</f>
        <v/>
      </c>
      <c r="G1018">
        <f>IF(A1018="","",'Employees'!D9)</f>
        <v/>
      </c>
    </row>
    <row r="1019">
      <c r="A1019">
        <f>IF(AND('Ratings'!A69&lt;&gt;"",'Ratings'!N5&lt;&gt;""),'Ratings'!A69,"")</f>
        <v/>
      </c>
      <c r="B1019">
        <f>IF(A1019="","",'Employees'!C9)</f>
        <v/>
      </c>
      <c r="C1019">
        <f>IF(A1019="","",'Ratings'!C69)</f>
        <v/>
      </c>
      <c r="D1019">
        <f>IF(A1019="","",'Ratings'!D69)</f>
        <v/>
      </c>
      <c r="E1019">
        <f>IF(AND('Ratings'!A69&lt;&gt;"",'Ratings'!N5&lt;&gt;""),'Ratings'!N5,"")</f>
        <v/>
      </c>
      <c r="F1019">
        <f>IF(OR(A1019="",'Ratings'!N69=""),"",'Ratings'!N69)</f>
        <v/>
      </c>
      <c r="G1019">
        <f>IF(A1019="","",'Employees'!D9)</f>
        <v/>
      </c>
    </row>
    <row r="1020">
      <c r="A1020">
        <f>IF(AND('Ratings'!A69&lt;&gt;"",'Ratings'!O5&lt;&gt;""),'Ratings'!A69,"")</f>
        <v/>
      </c>
      <c r="B1020">
        <f>IF(A1020="","",'Employees'!C9)</f>
        <v/>
      </c>
      <c r="C1020">
        <f>IF(A1020="","",'Ratings'!C69)</f>
        <v/>
      </c>
      <c r="D1020">
        <f>IF(A1020="","",'Ratings'!D69)</f>
        <v/>
      </c>
      <c r="E1020">
        <f>IF(AND('Ratings'!A69&lt;&gt;"",'Ratings'!O5&lt;&gt;""),'Ratings'!O5,"")</f>
        <v/>
      </c>
      <c r="F1020">
        <f>IF(OR(A1020="",'Ratings'!O69=""),"",'Ratings'!O69)</f>
        <v/>
      </c>
      <c r="G1020">
        <f>IF(A1020="","",'Employees'!D9)</f>
        <v/>
      </c>
    </row>
    <row r="1021">
      <c r="A1021">
        <f>IF(AND('Ratings'!A69&lt;&gt;"",'Ratings'!P5&lt;&gt;""),'Ratings'!A69,"")</f>
        <v/>
      </c>
      <c r="B1021">
        <f>IF(A1021="","",'Employees'!C9)</f>
        <v/>
      </c>
      <c r="C1021">
        <f>IF(A1021="","",'Ratings'!C69)</f>
        <v/>
      </c>
      <c r="D1021">
        <f>IF(A1021="","",'Ratings'!D69)</f>
        <v/>
      </c>
      <c r="E1021">
        <f>IF(AND('Ratings'!A69&lt;&gt;"",'Ratings'!P5&lt;&gt;""),'Ratings'!P5,"")</f>
        <v/>
      </c>
      <c r="F1021">
        <f>IF(OR(A1021="",'Ratings'!P69=""),"",'Ratings'!P69)</f>
        <v/>
      </c>
      <c r="G1021">
        <f>IF(A1021="","",'Employees'!D9)</f>
        <v/>
      </c>
    </row>
    <row r="1022">
      <c r="A1022">
        <f>IF(AND('Ratings'!A69&lt;&gt;"",'Ratings'!Q5&lt;&gt;""),'Ratings'!A69,"")</f>
        <v/>
      </c>
      <c r="B1022">
        <f>IF(A1022="","",'Employees'!C9)</f>
        <v/>
      </c>
      <c r="C1022">
        <f>IF(A1022="","",'Ratings'!C69)</f>
        <v/>
      </c>
      <c r="D1022">
        <f>IF(A1022="","",'Ratings'!D69)</f>
        <v/>
      </c>
      <c r="E1022">
        <f>IF(AND('Ratings'!A69&lt;&gt;"",'Ratings'!Q5&lt;&gt;""),'Ratings'!Q5,"")</f>
        <v/>
      </c>
      <c r="F1022">
        <f>IF(OR(A1022="",'Ratings'!Q69=""),"",'Ratings'!Q69)</f>
        <v/>
      </c>
      <c r="G1022">
        <f>IF(A1022="","",'Employees'!D9)</f>
        <v/>
      </c>
    </row>
    <row r="1023">
      <c r="A1023">
        <f>IF(AND('Ratings'!A69&lt;&gt;"",'Ratings'!R5&lt;&gt;""),'Ratings'!A69,"")</f>
        <v/>
      </c>
      <c r="B1023">
        <f>IF(A1023="","",'Employees'!C9)</f>
        <v/>
      </c>
      <c r="C1023">
        <f>IF(A1023="","",'Ratings'!C69)</f>
        <v/>
      </c>
      <c r="D1023">
        <f>IF(A1023="","",'Ratings'!D69)</f>
        <v/>
      </c>
      <c r="E1023">
        <f>IF(AND('Ratings'!A69&lt;&gt;"",'Ratings'!R5&lt;&gt;""),'Ratings'!R5,"")</f>
        <v/>
      </c>
      <c r="F1023">
        <f>IF(OR(A1023="",'Ratings'!R69=""),"",'Ratings'!R69)</f>
        <v/>
      </c>
      <c r="G1023">
        <f>IF(A1023="","",'Employees'!D9)</f>
        <v/>
      </c>
    </row>
    <row r="1024">
      <c r="A1024">
        <f>IF(AND('Ratings'!A69&lt;&gt;"",'Ratings'!S5&lt;&gt;""),'Ratings'!A69,"")</f>
        <v/>
      </c>
      <c r="B1024">
        <f>IF(A1024="","",'Employees'!C9)</f>
        <v/>
      </c>
      <c r="C1024">
        <f>IF(A1024="","",'Ratings'!C69)</f>
        <v/>
      </c>
      <c r="D1024">
        <f>IF(A1024="","",'Ratings'!D69)</f>
        <v/>
      </c>
      <c r="E1024">
        <f>IF(AND('Ratings'!A69&lt;&gt;"",'Ratings'!S5&lt;&gt;""),'Ratings'!S5,"")</f>
        <v/>
      </c>
      <c r="F1024">
        <f>IF(OR(A1024="",'Ratings'!S69=""),"",'Ratings'!S69)</f>
        <v/>
      </c>
      <c r="G1024">
        <f>IF(A1024="","",'Employees'!D9)</f>
        <v/>
      </c>
    </row>
    <row r="1025">
      <c r="A1025">
        <f>IF(AND('Ratings'!A69&lt;&gt;"",'Ratings'!T5&lt;&gt;""),'Ratings'!A69,"")</f>
        <v/>
      </c>
      <c r="B1025">
        <f>IF(A1025="","",'Employees'!C9)</f>
        <v/>
      </c>
      <c r="C1025">
        <f>IF(A1025="","",'Ratings'!C69)</f>
        <v/>
      </c>
      <c r="D1025">
        <f>IF(A1025="","",'Ratings'!D69)</f>
        <v/>
      </c>
      <c r="E1025">
        <f>IF(AND('Ratings'!A69&lt;&gt;"",'Ratings'!T5&lt;&gt;""),'Ratings'!T5,"")</f>
        <v/>
      </c>
      <c r="F1025">
        <f>IF(OR(A1025="",'Ratings'!T69=""),"",'Ratings'!T69)</f>
        <v/>
      </c>
      <c r="G1025">
        <f>IF(A1025="","",'Employees'!D9)</f>
        <v/>
      </c>
    </row>
    <row r="1026">
      <c r="A1026">
        <f>IF(AND('Ratings'!A70&lt;&gt;"",'Ratings'!E5&lt;&gt;""),'Ratings'!A70,"")</f>
        <v/>
      </c>
      <c r="B1026">
        <f>IF(A1026="","",'Employees'!C10)</f>
        <v/>
      </c>
      <c r="C1026">
        <f>IF(A1026="","",'Ratings'!C70)</f>
        <v/>
      </c>
      <c r="D1026">
        <f>IF(A1026="","",'Ratings'!D70)</f>
        <v/>
      </c>
      <c r="E1026">
        <f>IF(AND('Ratings'!A70&lt;&gt;"",'Ratings'!E5&lt;&gt;""),'Ratings'!E5,"")</f>
        <v/>
      </c>
      <c r="F1026">
        <f>IF(OR(A1026="",'Ratings'!E70=""),"",'Ratings'!E70)</f>
        <v/>
      </c>
      <c r="G1026">
        <f>IF(A1026="","",'Employees'!D10)</f>
        <v/>
      </c>
    </row>
    <row r="1027">
      <c r="A1027">
        <f>IF(AND('Ratings'!A70&lt;&gt;"",'Ratings'!F5&lt;&gt;""),'Ratings'!A70,"")</f>
        <v/>
      </c>
      <c r="B1027">
        <f>IF(A1027="","",'Employees'!C10)</f>
        <v/>
      </c>
      <c r="C1027">
        <f>IF(A1027="","",'Ratings'!C70)</f>
        <v/>
      </c>
      <c r="D1027">
        <f>IF(A1027="","",'Ratings'!D70)</f>
        <v/>
      </c>
      <c r="E1027">
        <f>IF(AND('Ratings'!A70&lt;&gt;"",'Ratings'!F5&lt;&gt;""),'Ratings'!F5,"")</f>
        <v/>
      </c>
      <c r="F1027">
        <f>IF(OR(A1027="",'Ratings'!F70=""),"",'Ratings'!F70)</f>
        <v/>
      </c>
      <c r="G1027">
        <f>IF(A1027="","",'Employees'!D10)</f>
        <v/>
      </c>
    </row>
    <row r="1028">
      <c r="A1028">
        <f>IF(AND('Ratings'!A70&lt;&gt;"",'Ratings'!G5&lt;&gt;""),'Ratings'!A70,"")</f>
        <v/>
      </c>
      <c r="B1028">
        <f>IF(A1028="","",'Employees'!C10)</f>
        <v/>
      </c>
      <c r="C1028">
        <f>IF(A1028="","",'Ratings'!C70)</f>
        <v/>
      </c>
      <c r="D1028">
        <f>IF(A1028="","",'Ratings'!D70)</f>
        <v/>
      </c>
      <c r="E1028">
        <f>IF(AND('Ratings'!A70&lt;&gt;"",'Ratings'!G5&lt;&gt;""),'Ratings'!G5,"")</f>
        <v/>
      </c>
      <c r="F1028">
        <f>IF(OR(A1028="",'Ratings'!G70=""),"",'Ratings'!G70)</f>
        <v/>
      </c>
      <c r="G1028">
        <f>IF(A1028="","",'Employees'!D10)</f>
        <v/>
      </c>
    </row>
    <row r="1029">
      <c r="A1029">
        <f>IF(AND('Ratings'!A70&lt;&gt;"",'Ratings'!H5&lt;&gt;""),'Ratings'!A70,"")</f>
        <v/>
      </c>
      <c r="B1029">
        <f>IF(A1029="","",'Employees'!C10)</f>
        <v/>
      </c>
      <c r="C1029">
        <f>IF(A1029="","",'Ratings'!C70)</f>
        <v/>
      </c>
      <c r="D1029">
        <f>IF(A1029="","",'Ratings'!D70)</f>
        <v/>
      </c>
      <c r="E1029">
        <f>IF(AND('Ratings'!A70&lt;&gt;"",'Ratings'!H5&lt;&gt;""),'Ratings'!H5,"")</f>
        <v/>
      </c>
      <c r="F1029">
        <f>IF(OR(A1029="",'Ratings'!H70=""),"",'Ratings'!H70)</f>
        <v/>
      </c>
      <c r="G1029">
        <f>IF(A1029="","",'Employees'!D10)</f>
        <v/>
      </c>
    </row>
    <row r="1030">
      <c r="A1030">
        <f>IF(AND('Ratings'!A70&lt;&gt;"",'Ratings'!I5&lt;&gt;""),'Ratings'!A70,"")</f>
        <v/>
      </c>
      <c r="B1030">
        <f>IF(A1030="","",'Employees'!C10)</f>
        <v/>
      </c>
      <c r="C1030">
        <f>IF(A1030="","",'Ratings'!C70)</f>
        <v/>
      </c>
      <c r="D1030">
        <f>IF(A1030="","",'Ratings'!D70)</f>
        <v/>
      </c>
      <c r="E1030">
        <f>IF(AND('Ratings'!A70&lt;&gt;"",'Ratings'!I5&lt;&gt;""),'Ratings'!I5,"")</f>
        <v/>
      </c>
      <c r="F1030">
        <f>IF(OR(A1030="",'Ratings'!I70=""),"",'Ratings'!I70)</f>
        <v/>
      </c>
      <c r="G1030">
        <f>IF(A1030="","",'Employees'!D10)</f>
        <v/>
      </c>
    </row>
    <row r="1031">
      <c r="A1031">
        <f>IF(AND('Ratings'!A70&lt;&gt;"",'Ratings'!J5&lt;&gt;""),'Ratings'!A70,"")</f>
        <v/>
      </c>
      <c r="B1031">
        <f>IF(A1031="","",'Employees'!C10)</f>
        <v/>
      </c>
      <c r="C1031">
        <f>IF(A1031="","",'Ratings'!C70)</f>
        <v/>
      </c>
      <c r="D1031">
        <f>IF(A1031="","",'Ratings'!D70)</f>
        <v/>
      </c>
      <c r="E1031">
        <f>IF(AND('Ratings'!A70&lt;&gt;"",'Ratings'!J5&lt;&gt;""),'Ratings'!J5,"")</f>
        <v/>
      </c>
      <c r="F1031">
        <f>IF(OR(A1031="",'Ratings'!J70=""),"",'Ratings'!J70)</f>
        <v/>
      </c>
      <c r="G1031">
        <f>IF(A1031="","",'Employees'!D10)</f>
        <v/>
      </c>
    </row>
    <row r="1032">
      <c r="A1032">
        <f>IF(AND('Ratings'!A70&lt;&gt;"",'Ratings'!K5&lt;&gt;""),'Ratings'!A70,"")</f>
        <v/>
      </c>
      <c r="B1032">
        <f>IF(A1032="","",'Employees'!C10)</f>
        <v/>
      </c>
      <c r="C1032">
        <f>IF(A1032="","",'Ratings'!C70)</f>
        <v/>
      </c>
      <c r="D1032">
        <f>IF(A1032="","",'Ratings'!D70)</f>
        <v/>
      </c>
      <c r="E1032">
        <f>IF(AND('Ratings'!A70&lt;&gt;"",'Ratings'!K5&lt;&gt;""),'Ratings'!K5,"")</f>
        <v/>
      </c>
      <c r="F1032">
        <f>IF(OR(A1032="",'Ratings'!K70=""),"",'Ratings'!K70)</f>
        <v/>
      </c>
      <c r="G1032">
        <f>IF(A1032="","",'Employees'!D10)</f>
        <v/>
      </c>
    </row>
    <row r="1033">
      <c r="A1033">
        <f>IF(AND('Ratings'!A70&lt;&gt;"",'Ratings'!L5&lt;&gt;""),'Ratings'!A70,"")</f>
        <v/>
      </c>
      <c r="B1033">
        <f>IF(A1033="","",'Employees'!C10)</f>
        <v/>
      </c>
      <c r="C1033">
        <f>IF(A1033="","",'Ratings'!C70)</f>
        <v/>
      </c>
      <c r="D1033">
        <f>IF(A1033="","",'Ratings'!D70)</f>
        <v/>
      </c>
      <c r="E1033">
        <f>IF(AND('Ratings'!A70&lt;&gt;"",'Ratings'!L5&lt;&gt;""),'Ratings'!L5,"")</f>
        <v/>
      </c>
      <c r="F1033">
        <f>IF(OR(A1033="",'Ratings'!L70=""),"",'Ratings'!L70)</f>
        <v/>
      </c>
      <c r="G1033">
        <f>IF(A1033="","",'Employees'!D10)</f>
        <v/>
      </c>
    </row>
    <row r="1034">
      <c r="A1034">
        <f>IF(AND('Ratings'!A70&lt;&gt;"",'Ratings'!M5&lt;&gt;""),'Ratings'!A70,"")</f>
        <v/>
      </c>
      <c r="B1034">
        <f>IF(A1034="","",'Employees'!C10)</f>
        <v/>
      </c>
      <c r="C1034">
        <f>IF(A1034="","",'Ratings'!C70)</f>
        <v/>
      </c>
      <c r="D1034">
        <f>IF(A1034="","",'Ratings'!D70)</f>
        <v/>
      </c>
      <c r="E1034">
        <f>IF(AND('Ratings'!A70&lt;&gt;"",'Ratings'!M5&lt;&gt;""),'Ratings'!M5,"")</f>
        <v/>
      </c>
      <c r="F1034">
        <f>IF(OR(A1034="",'Ratings'!M70=""),"",'Ratings'!M70)</f>
        <v/>
      </c>
      <c r="G1034">
        <f>IF(A1034="","",'Employees'!D10)</f>
        <v/>
      </c>
    </row>
    <row r="1035">
      <c r="A1035">
        <f>IF(AND('Ratings'!A70&lt;&gt;"",'Ratings'!N5&lt;&gt;""),'Ratings'!A70,"")</f>
        <v/>
      </c>
      <c r="B1035">
        <f>IF(A1035="","",'Employees'!C10)</f>
        <v/>
      </c>
      <c r="C1035">
        <f>IF(A1035="","",'Ratings'!C70)</f>
        <v/>
      </c>
      <c r="D1035">
        <f>IF(A1035="","",'Ratings'!D70)</f>
        <v/>
      </c>
      <c r="E1035">
        <f>IF(AND('Ratings'!A70&lt;&gt;"",'Ratings'!N5&lt;&gt;""),'Ratings'!N5,"")</f>
        <v/>
      </c>
      <c r="F1035">
        <f>IF(OR(A1035="",'Ratings'!N70=""),"",'Ratings'!N70)</f>
        <v/>
      </c>
      <c r="G1035">
        <f>IF(A1035="","",'Employees'!D10)</f>
        <v/>
      </c>
    </row>
    <row r="1036">
      <c r="A1036">
        <f>IF(AND('Ratings'!A70&lt;&gt;"",'Ratings'!O5&lt;&gt;""),'Ratings'!A70,"")</f>
        <v/>
      </c>
      <c r="B1036">
        <f>IF(A1036="","",'Employees'!C10)</f>
        <v/>
      </c>
      <c r="C1036">
        <f>IF(A1036="","",'Ratings'!C70)</f>
        <v/>
      </c>
      <c r="D1036">
        <f>IF(A1036="","",'Ratings'!D70)</f>
        <v/>
      </c>
      <c r="E1036">
        <f>IF(AND('Ratings'!A70&lt;&gt;"",'Ratings'!O5&lt;&gt;""),'Ratings'!O5,"")</f>
        <v/>
      </c>
      <c r="F1036">
        <f>IF(OR(A1036="",'Ratings'!O70=""),"",'Ratings'!O70)</f>
        <v/>
      </c>
      <c r="G1036">
        <f>IF(A1036="","",'Employees'!D10)</f>
        <v/>
      </c>
    </row>
    <row r="1037">
      <c r="A1037">
        <f>IF(AND('Ratings'!A70&lt;&gt;"",'Ratings'!P5&lt;&gt;""),'Ratings'!A70,"")</f>
        <v/>
      </c>
      <c r="B1037">
        <f>IF(A1037="","",'Employees'!C10)</f>
        <v/>
      </c>
      <c r="C1037">
        <f>IF(A1037="","",'Ratings'!C70)</f>
        <v/>
      </c>
      <c r="D1037">
        <f>IF(A1037="","",'Ratings'!D70)</f>
        <v/>
      </c>
      <c r="E1037">
        <f>IF(AND('Ratings'!A70&lt;&gt;"",'Ratings'!P5&lt;&gt;""),'Ratings'!P5,"")</f>
        <v/>
      </c>
      <c r="F1037">
        <f>IF(OR(A1037="",'Ratings'!P70=""),"",'Ratings'!P70)</f>
        <v/>
      </c>
      <c r="G1037">
        <f>IF(A1037="","",'Employees'!D10)</f>
        <v/>
      </c>
    </row>
    <row r="1038">
      <c r="A1038">
        <f>IF(AND('Ratings'!A70&lt;&gt;"",'Ratings'!Q5&lt;&gt;""),'Ratings'!A70,"")</f>
        <v/>
      </c>
      <c r="B1038">
        <f>IF(A1038="","",'Employees'!C10)</f>
        <v/>
      </c>
      <c r="C1038">
        <f>IF(A1038="","",'Ratings'!C70)</f>
        <v/>
      </c>
      <c r="D1038">
        <f>IF(A1038="","",'Ratings'!D70)</f>
        <v/>
      </c>
      <c r="E1038">
        <f>IF(AND('Ratings'!A70&lt;&gt;"",'Ratings'!Q5&lt;&gt;""),'Ratings'!Q5,"")</f>
        <v/>
      </c>
      <c r="F1038">
        <f>IF(OR(A1038="",'Ratings'!Q70=""),"",'Ratings'!Q70)</f>
        <v/>
      </c>
      <c r="G1038">
        <f>IF(A1038="","",'Employees'!D10)</f>
        <v/>
      </c>
    </row>
    <row r="1039">
      <c r="A1039">
        <f>IF(AND('Ratings'!A70&lt;&gt;"",'Ratings'!R5&lt;&gt;""),'Ratings'!A70,"")</f>
        <v/>
      </c>
      <c r="B1039">
        <f>IF(A1039="","",'Employees'!C10)</f>
        <v/>
      </c>
      <c r="C1039">
        <f>IF(A1039="","",'Ratings'!C70)</f>
        <v/>
      </c>
      <c r="D1039">
        <f>IF(A1039="","",'Ratings'!D70)</f>
        <v/>
      </c>
      <c r="E1039">
        <f>IF(AND('Ratings'!A70&lt;&gt;"",'Ratings'!R5&lt;&gt;""),'Ratings'!R5,"")</f>
        <v/>
      </c>
      <c r="F1039">
        <f>IF(OR(A1039="",'Ratings'!R70=""),"",'Ratings'!R70)</f>
        <v/>
      </c>
      <c r="G1039">
        <f>IF(A1039="","",'Employees'!D10)</f>
        <v/>
      </c>
    </row>
    <row r="1040">
      <c r="A1040">
        <f>IF(AND('Ratings'!A70&lt;&gt;"",'Ratings'!S5&lt;&gt;""),'Ratings'!A70,"")</f>
        <v/>
      </c>
      <c r="B1040">
        <f>IF(A1040="","",'Employees'!C10)</f>
        <v/>
      </c>
      <c r="C1040">
        <f>IF(A1040="","",'Ratings'!C70)</f>
        <v/>
      </c>
      <c r="D1040">
        <f>IF(A1040="","",'Ratings'!D70)</f>
        <v/>
      </c>
      <c r="E1040">
        <f>IF(AND('Ratings'!A70&lt;&gt;"",'Ratings'!S5&lt;&gt;""),'Ratings'!S5,"")</f>
        <v/>
      </c>
      <c r="F1040">
        <f>IF(OR(A1040="",'Ratings'!S70=""),"",'Ratings'!S70)</f>
        <v/>
      </c>
      <c r="G1040">
        <f>IF(A1040="","",'Employees'!D10)</f>
        <v/>
      </c>
    </row>
    <row r="1041">
      <c r="A1041">
        <f>IF(AND('Ratings'!A70&lt;&gt;"",'Ratings'!T5&lt;&gt;""),'Ratings'!A70,"")</f>
        <v/>
      </c>
      <c r="B1041">
        <f>IF(A1041="","",'Employees'!C10)</f>
        <v/>
      </c>
      <c r="C1041">
        <f>IF(A1041="","",'Ratings'!C70)</f>
        <v/>
      </c>
      <c r="D1041">
        <f>IF(A1041="","",'Ratings'!D70)</f>
        <v/>
      </c>
      <c r="E1041">
        <f>IF(AND('Ratings'!A70&lt;&gt;"",'Ratings'!T5&lt;&gt;""),'Ratings'!T5,"")</f>
        <v/>
      </c>
      <c r="F1041">
        <f>IF(OR(A1041="",'Ratings'!T70=""),"",'Ratings'!T70)</f>
        <v/>
      </c>
      <c r="G1041">
        <f>IF(A1041="","",'Employees'!D10)</f>
        <v/>
      </c>
    </row>
    <row r="1042">
      <c r="A1042">
        <f>IF(AND('Ratings'!A71&lt;&gt;"",'Ratings'!E5&lt;&gt;""),'Ratings'!A71,"")</f>
        <v/>
      </c>
      <c r="B1042">
        <f>IF(A1042="","",'Employees'!C10)</f>
        <v/>
      </c>
      <c r="C1042">
        <f>IF(A1042="","",'Ratings'!C71)</f>
        <v/>
      </c>
      <c r="D1042">
        <f>IF(A1042="","",'Ratings'!D71)</f>
        <v/>
      </c>
      <c r="E1042">
        <f>IF(AND('Ratings'!A71&lt;&gt;"",'Ratings'!E5&lt;&gt;""),'Ratings'!E5,"")</f>
        <v/>
      </c>
      <c r="F1042">
        <f>IF(OR(A1042="",'Ratings'!E71=""),"",'Ratings'!E71)</f>
        <v/>
      </c>
      <c r="G1042">
        <f>IF(A1042="","",'Employees'!D10)</f>
        <v/>
      </c>
    </row>
    <row r="1043">
      <c r="A1043">
        <f>IF(AND('Ratings'!A71&lt;&gt;"",'Ratings'!F5&lt;&gt;""),'Ratings'!A71,"")</f>
        <v/>
      </c>
      <c r="B1043">
        <f>IF(A1043="","",'Employees'!C10)</f>
        <v/>
      </c>
      <c r="C1043">
        <f>IF(A1043="","",'Ratings'!C71)</f>
        <v/>
      </c>
      <c r="D1043">
        <f>IF(A1043="","",'Ratings'!D71)</f>
        <v/>
      </c>
      <c r="E1043">
        <f>IF(AND('Ratings'!A71&lt;&gt;"",'Ratings'!F5&lt;&gt;""),'Ratings'!F5,"")</f>
        <v/>
      </c>
      <c r="F1043">
        <f>IF(OR(A1043="",'Ratings'!F71=""),"",'Ratings'!F71)</f>
        <v/>
      </c>
      <c r="G1043">
        <f>IF(A1043="","",'Employees'!D10)</f>
        <v/>
      </c>
    </row>
    <row r="1044">
      <c r="A1044">
        <f>IF(AND('Ratings'!A71&lt;&gt;"",'Ratings'!G5&lt;&gt;""),'Ratings'!A71,"")</f>
        <v/>
      </c>
      <c r="B1044">
        <f>IF(A1044="","",'Employees'!C10)</f>
        <v/>
      </c>
      <c r="C1044">
        <f>IF(A1044="","",'Ratings'!C71)</f>
        <v/>
      </c>
      <c r="D1044">
        <f>IF(A1044="","",'Ratings'!D71)</f>
        <v/>
      </c>
      <c r="E1044">
        <f>IF(AND('Ratings'!A71&lt;&gt;"",'Ratings'!G5&lt;&gt;""),'Ratings'!G5,"")</f>
        <v/>
      </c>
      <c r="F1044">
        <f>IF(OR(A1044="",'Ratings'!G71=""),"",'Ratings'!G71)</f>
        <v/>
      </c>
      <c r="G1044">
        <f>IF(A1044="","",'Employees'!D10)</f>
        <v/>
      </c>
    </row>
    <row r="1045">
      <c r="A1045">
        <f>IF(AND('Ratings'!A71&lt;&gt;"",'Ratings'!H5&lt;&gt;""),'Ratings'!A71,"")</f>
        <v/>
      </c>
      <c r="B1045">
        <f>IF(A1045="","",'Employees'!C10)</f>
        <v/>
      </c>
      <c r="C1045">
        <f>IF(A1045="","",'Ratings'!C71)</f>
        <v/>
      </c>
      <c r="D1045">
        <f>IF(A1045="","",'Ratings'!D71)</f>
        <v/>
      </c>
      <c r="E1045">
        <f>IF(AND('Ratings'!A71&lt;&gt;"",'Ratings'!H5&lt;&gt;""),'Ratings'!H5,"")</f>
        <v/>
      </c>
      <c r="F1045">
        <f>IF(OR(A1045="",'Ratings'!H71=""),"",'Ratings'!H71)</f>
        <v/>
      </c>
      <c r="G1045">
        <f>IF(A1045="","",'Employees'!D10)</f>
        <v/>
      </c>
    </row>
    <row r="1046">
      <c r="A1046">
        <f>IF(AND('Ratings'!A71&lt;&gt;"",'Ratings'!I5&lt;&gt;""),'Ratings'!A71,"")</f>
        <v/>
      </c>
      <c r="B1046">
        <f>IF(A1046="","",'Employees'!C10)</f>
        <v/>
      </c>
      <c r="C1046">
        <f>IF(A1046="","",'Ratings'!C71)</f>
        <v/>
      </c>
      <c r="D1046">
        <f>IF(A1046="","",'Ratings'!D71)</f>
        <v/>
      </c>
      <c r="E1046">
        <f>IF(AND('Ratings'!A71&lt;&gt;"",'Ratings'!I5&lt;&gt;""),'Ratings'!I5,"")</f>
        <v/>
      </c>
      <c r="F1046">
        <f>IF(OR(A1046="",'Ratings'!I71=""),"",'Ratings'!I71)</f>
        <v/>
      </c>
      <c r="G1046">
        <f>IF(A1046="","",'Employees'!D10)</f>
        <v/>
      </c>
    </row>
    <row r="1047">
      <c r="A1047">
        <f>IF(AND('Ratings'!A71&lt;&gt;"",'Ratings'!J5&lt;&gt;""),'Ratings'!A71,"")</f>
        <v/>
      </c>
      <c r="B1047">
        <f>IF(A1047="","",'Employees'!C10)</f>
        <v/>
      </c>
      <c r="C1047">
        <f>IF(A1047="","",'Ratings'!C71)</f>
        <v/>
      </c>
      <c r="D1047">
        <f>IF(A1047="","",'Ratings'!D71)</f>
        <v/>
      </c>
      <c r="E1047">
        <f>IF(AND('Ratings'!A71&lt;&gt;"",'Ratings'!J5&lt;&gt;""),'Ratings'!J5,"")</f>
        <v/>
      </c>
      <c r="F1047">
        <f>IF(OR(A1047="",'Ratings'!J71=""),"",'Ratings'!J71)</f>
        <v/>
      </c>
      <c r="G1047">
        <f>IF(A1047="","",'Employees'!D10)</f>
        <v/>
      </c>
    </row>
    <row r="1048">
      <c r="A1048">
        <f>IF(AND('Ratings'!A71&lt;&gt;"",'Ratings'!K5&lt;&gt;""),'Ratings'!A71,"")</f>
        <v/>
      </c>
      <c r="B1048">
        <f>IF(A1048="","",'Employees'!C10)</f>
        <v/>
      </c>
      <c r="C1048">
        <f>IF(A1048="","",'Ratings'!C71)</f>
        <v/>
      </c>
      <c r="D1048">
        <f>IF(A1048="","",'Ratings'!D71)</f>
        <v/>
      </c>
      <c r="E1048">
        <f>IF(AND('Ratings'!A71&lt;&gt;"",'Ratings'!K5&lt;&gt;""),'Ratings'!K5,"")</f>
        <v/>
      </c>
      <c r="F1048">
        <f>IF(OR(A1048="",'Ratings'!K71=""),"",'Ratings'!K71)</f>
        <v/>
      </c>
      <c r="G1048">
        <f>IF(A1048="","",'Employees'!D10)</f>
        <v/>
      </c>
    </row>
    <row r="1049">
      <c r="A1049">
        <f>IF(AND('Ratings'!A71&lt;&gt;"",'Ratings'!L5&lt;&gt;""),'Ratings'!A71,"")</f>
        <v/>
      </c>
      <c r="B1049">
        <f>IF(A1049="","",'Employees'!C10)</f>
        <v/>
      </c>
      <c r="C1049">
        <f>IF(A1049="","",'Ratings'!C71)</f>
        <v/>
      </c>
      <c r="D1049">
        <f>IF(A1049="","",'Ratings'!D71)</f>
        <v/>
      </c>
      <c r="E1049">
        <f>IF(AND('Ratings'!A71&lt;&gt;"",'Ratings'!L5&lt;&gt;""),'Ratings'!L5,"")</f>
        <v/>
      </c>
      <c r="F1049">
        <f>IF(OR(A1049="",'Ratings'!L71=""),"",'Ratings'!L71)</f>
        <v/>
      </c>
      <c r="G1049">
        <f>IF(A1049="","",'Employees'!D10)</f>
        <v/>
      </c>
    </row>
    <row r="1050">
      <c r="A1050">
        <f>IF(AND('Ratings'!A71&lt;&gt;"",'Ratings'!M5&lt;&gt;""),'Ratings'!A71,"")</f>
        <v/>
      </c>
      <c r="B1050">
        <f>IF(A1050="","",'Employees'!C10)</f>
        <v/>
      </c>
      <c r="C1050">
        <f>IF(A1050="","",'Ratings'!C71)</f>
        <v/>
      </c>
      <c r="D1050">
        <f>IF(A1050="","",'Ratings'!D71)</f>
        <v/>
      </c>
      <c r="E1050">
        <f>IF(AND('Ratings'!A71&lt;&gt;"",'Ratings'!M5&lt;&gt;""),'Ratings'!M5,"")</f>
        <v/>
      </c>
      <c r="F1050">
        <f>IF(OR(A1050="",'Ratings'!M71=""),"",'Ratings'!M71)</f>
        <v/>
      </c>
      <c r="G1050">
        <f>IF(A1050="","",'Employees'!D10)</f>
        <v/>
      </c>
    </row>
    <row r="1051">
      <c r="A1051">
        <f>IF(AND('Ratings'!A71&lt;&gt;"",'Ratings'!N5&lt;&gt;""),'Ratings'!A71,"")</f>
        <v/>
      </c>
      <c r="B1051">
        <f>IF(A1051="","",'Employees'!C10)</f>
        <v/>
      </c>
      <c r="C1051">
        <f>IF(A1051="","",'Ratings'!C71)</f>
        <v/>
      </c>
      <c r="D1051">
        <f>IF(A1051="","",'Ratings'!D71)</f>
        <v/>
      </c>
      <c r="E1051">
        <f>IF(AND('Ratings'!A71&lt;&gt;"",'Ratings'!N5&lt;&gt;""),'Ratings'!N5,"")</f>
        <v/>
      </c>
      <c r="F1051">
        <f>IF(OR(A1051="",'Ratings'!N71=""),"",'Ratings'!N71)</f>
        <v/>
      </c>
      <c r="G1051">
        <f>IF(A1051="","",'Employees'!D10)</f>
        <v/>
      </c>
    </row>
    <row r="1052">
      <c r="A1052">
        <f>IF(AND('Ratings'!A71&lt;&gt;"",'Ratings'!O5&lt;&gt;""),'Ratings'!A71,"")</f>
        <v/>
      </c>
      <c r="B1052">
        <f>IF(A1052="","",'Employees'!C10)</f>
        <v/>
      </c>
      <c r="C1052">
        <f>IF(A1052="","",'Ratings'!C71)</f>
        <v/>
      </c>
      <c r="D1052">
        <f>IF(A1052="","",'Ratings'!D71)</f>
        <v/>
      </c>
      <c r="E1052">
        <f>IF(AND('Ratings'!A71&lt;&gt;"",'Ratings'!O5&lt;&gt;""),'Ratings'!O5,"")</f>
        <v/>
      </c>
      <c r="F1052">
        <f>IF(OR(A1052="",'Ratings'!O71=""),"",'Ratings'!O71)</f>
        <v/>
      </c>
      <c r="G1052">
        <f>IF(A1052="","",'Employees'!D10)</f>
        <v/>
      </c>
    </row>
    <row r="1053">
      <c r="A1053">
        <f>IF(AND('Ratings'!A71&lt;&gt;"",'Ratings'!P5&lt;&gt;""),'Ratings'!A71,"")</f>
        <v/>
      </c>
      <c r="B1053">
        <f>IF(A1053="","",'Employees'!C10)</f>
        <v/>
      </c>
      <c r="C1053">
        <f>IF(A1053="","",'Ratings'!C71)</f>
        <v/>
      </c>
      <c r="D1053">
        <f>IF(A1053="","",'Ratings'!D71)</f>
        <v/>
      </c>
      <c r="E1053">
        <f>IF(AND('Ratings'!A71&lt;&gt;"",'Ratings'!P5&lt;&gt;""),'Ratings'!P5,"")</f>
        <v/>
      </c>
      <c r="F1053">
        <f>IF(OR(A1053="",'Ratings'!P71=""),"",'Ratings'!P71)</f>
        <v/>
      </c>
      <c r="G1053">
        <f>IF(A1053="","",'Employees'!D10)</f>
        <v/>
      </c>
    </row>
    <row r="1054">
      <c r="A1054">
        <f>IF(AND('Ratings'!A71&lt;&gt;"",'Ratings'!Q5&lt;&gt;""),'Ratings'!A71,"")</f>
        <v/>
      </c>
      <c r="B1054">
        <f>IF(A1054="","",'Employees'!C10)</f>
        <v/>
      </c>
      <c r="C1054">
        <f>IF(A1054="","",'Ratings'!C71)</f>
        <v/>
      </c>
      <c r="D1054">
        <f>IF(A1054="","",'Ratings'!D71)</f>
        <v/>
      </c>
      <c r="E1054">
        <f>IF(AND('Ratings'!A71&lt;&gt;"",'Ratings'!Q5&lt;&gt;""),'Ratings'!Q5,"")</f>
        <v/>
      </c>
      <c r="F1054">
        <f>IF(OR(A1054="",'Ratings'!Q71=""),"",'Ratings'!Q71)</f>
        <v/>
      </c>
      <c r="G1054">
        <f>IF(A1054="","",'Employees'!D10)</f>
        <v/>
      </c>
    </row>
    <row r="1055">
      <c r="A1055">
        <f>IF(AND('Ratings'!A71&lt;&gt;"",'Ratings'!R5&lt;&gt;""),'Ratings'!A71,"")</f>
        <v/>
      </c>
      <c r="B1055">
        <f>IF(A1055="","",'Employees'!C10)</f>
        <v/>
      </c>
      <c r="C1055">
        <f>IF(A1055="","",'Ratings'!C71)</f>
        <v/>
      </c>
      <c r="D1055">
        <f>IF(A1055="","",'Ratings'!D71)</f>
        <v/>
      </c>
      <c r="E1055">
        <f>IF(AND('Ratings'!A71&lt;&gt;"",'Ratings'!R5&lt;&gt;""),'Ratings'!R5,"")</f>
        <v/>
      </c>
      <c r="F1055">
        <f>IF(OR(A1055="",'Ratings'!R71=""),"",'Ratings'!R71)</f>
        <v/>
      </c>
      <c r="G1055">
        <f>IF(A1055="","",'Employees'!D10)</f>
        <v/>
      </c>
    </row>
    <row r="1056">
      <c r="A1056">
        <f>IF(AND('Ratings'!A71&lt;&gt;"",'Ratings'!S5&lt;&gt;""),'Ratings'!A71,"")</f>
        <v/>
      </c>
      <c r="B1056">
        <f>IF(A1056="","",'Employees'!C10)</f>
        <v/>
      </c>
      <c r="C1056">
        <f>IF(A1056="","",'Ratings'!C71)</f>
        <v/>
      </c>
      <c r="D1056">
        <f>IF(A1056="","",'Ratings'!D71)</f>
        <v/>
      </c>
      <c r="E1056">
        <f>IF(AND('Ratings'!A71&lt;&gt;"",'Ratings'!S5&lt;&gt;""),'Ratings'!S5,"")</f>
        <v/>
      </c>
      <c r="F1056">
        <f>IF(OR(A1056="",'Ratings'!S71=""),"",'Ratings'!S71)</f>
        <v/>
      </c>
      <c r="G1056">
        <f>IF(A1056="","",'Employees'!D10)</f>
        <v/>
      </c>
    </row>
    <row r="1057">
      <c r="A1057">
        <f>IF(AND('Ratings'!A71&lt;&gt;"",'Ratings'!T5&lt;&gt;""),'Ratings'!A71,"")</f>
        <v/>
      </c>
      <c r="B1057">
        <f>IF(A1057="","",'Employees'!C10)</f>
        <v/>
      </c>
      <c r="C1057">
        <f>IF(A1057="","",'Ratings'!C71)</f>
        <v/>
      </c>
      <c r="D1057">
        <f>IF(A1057="","",'Ratings'!D71)</f>
        <v/>
      </c>
      <c r="E1057">
        <f>IF(AND('Ratings'!A71&lt;&gt;"",'Ratings'!T5&lt;&gt;""),'Ratings'!T5,"")</f>
        <v/>
      </c>
      <c r="F1057">
        <f>IF(OR(A1057="",'Ratings'!T71=""),"",'Ratings'!T71)</f>
        <v/>
      </c>
      <c r="G1057">
        <f>IF(A1057="","",'Employees'!D10)</f>
        <v/>
      </c>
    </row>
    <row r="1058">
      <c r="A1058">
        <f>IF(AND('Ratings'!A72&lt;&gt;"",'Ratings'!E5&lt;&gt;""),'Ratings'!A72,"")</f>
        <v/>
      </c>
      <c r="B1058">
        <f>IF(A1058="","",'Employees'!C10)</f>
        <v/>
      </c>
      <c r="C1058">
        <f>IF(A1058="","",'Ratings'!C72)</f>
        <v/>
      </c>
      <c r="D1058">
        <f>IF(A1058="","",'Ratings'!D72)</f>
        <v/>
      </c>
      <c r="E1058">
        <f>IF(AND('Ratings'!A72&lt;&gt;"",'Ratings'!E5&lt;&gt;""),'Ratings'!E5,"")</f>
        <v/>
      </c>
      <c r="F1058">
        <f>IF(OR(A1058="",'Ratings'!E72=""),"",'Ratings'!E72)</f>
        <v/>
      </c>
      <c r="G1058">
        <f>IF(A1058="","",'Employees'!D10)</f>
        <v/>
      </c>
    </row>
    <row r="1059">
      <c r="A1059">
        <f>IF(AND('Ratings'!A72&lt;&gt;"",'Ratings'!F5&lt;&gt;""),'Ratings'!A72,"")</f>
        <v/>
      </c>
      <c r="B1059">
        <f>IF(A1059="","",'Employees'!C10)</f>
        <v/>
      </c>
      <c r="C1059">
        <f>IF(A1059="","",'Ratings'!C72)</f>
        <v/>
      </c>
      <c r="D1059">
        <f>IF(A1059="","",'Ratings'!D72)</f>
        <v/>
      </c>
      <c r="E1059">
        <f>IF(AND('Ratings'!A72&lt;&gt;"",'Ratings'!F5&lt;&gt;""),'Ratings'!F5,"")</f>
        <v/>
      </c>
      <c r="F1059">
        <f>IF(OR(A1059="",'Ratings'!F72=""),"",'Ratings'!F72)</f>
        <v/>
      </c>
      <c r="G1059">
        <f>IF(A1059="","",'Employees'!D10)</f>
        <v/>
      </c>
    </row>
    <row r="1060">
      <c r="A1060">
        <f>IF(AND('Ratings'!A72&lt;&gt;"",'Ratings'!G5&lt;&gt;""),'Ratings'!A72,"")</f>
        <v/>
      </c>
      <c r="B1060">
        <f>IF(A1060="","",'Employees'!C10)</f>
        <v/>
      </c>
      <c r="C1060">
        <f>IF(A1060="","",'Ratings'!C72)</f>
        <v/>
      </c>
      <c r="D1060">
        <f>IF(A1060="","",'Ratings'!D72)</f>
        <v/>
      </c>
      <c r="E1060">
        <f>IF(AND('Ratings'!A72&lt;&gt;"",'Ratings'!G5&lt;&gt;""),'Ratings'!G5,"")</f>
        <v/>
      </c>
      <c r="F1060">
        <f>IF(OR(A1060="",'Ratings'!G72=""),"",'Ratings'!G72)</f>
        <v/>
      </c>
      <c r="G1060">
        <f>IF(A1060="","",'Employees'!D10)</f>
        <v/>
      </c>
    </row>
    <row r="1061">
      <c r="A1061">
        <f>IF(AND('Ratings'!A72&lt;&gt;"",'Ratings'!H5&lt;&gt;""),'Ratings'!A72,"")</f>
        <v/>
      </c>
      <c r="B1061">
        <f>IF(A1061="","",'Employees'!C10)</f>
        <v/>
      </c>
      <c r="C1061">
        <f>IF(A1061="","",'Ratings'!C72)</f>
        <v/>
      </c>
      <c r="D1061">
        <f>IF(A1061="","",'Ratings'!D72)</f>
        <v/>
      </c>
      <c r="E1061">
        <f>IF(AND('Ratings'!A72&lt;&gt;"",'Ratings'!H5&lt;&gt;""),'Ratings'!H5,"")</f>
        <v/>
      </c>
      <c r="F1061">
        <f>IF(OR(A1061="",'Ratings'!H72=""),"",'Ratings'!H72)</f>
        <v/>
      </c>
      <c r="G1061">
        <f>IF(A1061="","",'Employees'!D10)</f>
        <v/>
      </c>
    </row>
    <row r="1062">
      <c r="A1062">
        <f>IF(AND('Ratings'!A72&lt;&gt;"",'Ratings'!I5&lt;&gt;""),'Ratings'!A72,"")</f>
        <v/>
      </c>
      <c r="B1062">
        <f>IF(A1062="","",'Employees'!C10)</f>
        <v/>
      </c>
      <c r="C1062">
        <f>IF(A1062="","",'Ratings'!C72)</f>
        <v/>
      </c>
      <c r="D1062">
        <f>IF(A1062="","",'Ratings'!D72)</f>
        <v/>
      </c>
      <c r="E1062">
        <f>IF(AND('Ratings'!A72&lt;&gt;"",'Ratings'!I5&lt;&gt;""),'Ratings'!I5,"")</f>
        <v/>
      </c>
      <c r="F1062">
        <f>IF(OR(A1062="",'Ratings'!I72=""),"",'Ratings'!I72)</f>
        <v/>
      </c>
      <c r="G1062">
        <f>IF(A1062="","",'Employees'!D10)</f>
        <v/>
      </c>
    </row>
    <row r="1063">
      <c r="A1063">
        <f>IF(AND('Ratings'!A72&lt;&gt;"",'Ratings'!J5&lt;&gt;""),'Ratings'!A72,"")</f>
        <v/>
      </c>
      <c r="B1063">
        <f>IF(A1063="","",'Employees'!C10)</f>
        <v/>
      </c>
      <c r="C1063">
        <f>IF(A1063="","",'Ratings'!C72)</f>
        <v/>
      </c>
      <c r="D1063">
        <f>IF(A1063="","",'Ratings'!D72)</f>
        <v/>
      </c>
      <c r="E1063">
        <f>IF(AND('Ratings'!A72&lt;&gt;"",'Ratings'!J5&lt;&gt;""),'Ratings'!J5,"")</f>
        <v/>
      </c>
      <c r="F1063">
        <f>IF(OR(A1063="",'Ratings'!J72=""),"",'Ratings'!J72)</f>
        <v/>
      </c>
      <c r="G1063">
        <f>IF(A1063="","",'Employees'!D10)</f>
        <v/>
      </c>
    </row>
    <row r="1064">
      <c r="A1064">
        <f>IF(AND('Ratings'!A72&lt;&gt;"",'Ratings'!K5&lt;&gt;""),'Ratings'!A72,"")</f>
        <v/>
      </c>
      <c r="B1064">
        <f>IF(A1064="","",'Employees'!C10)</f>
        <v/>
      </c>
      <c r="C1064">
        <f>IF(A1064="","",'Ratings'!C72)</f>
        <v/>
      </c>
      <c r="D1064">
        <f>IF(A1064="","",'Ratings'!D72)</f>
        <v/>
      </c>
      <c r="E1064">
        <f>IF(AND('Ratings'!A72&lt;&gt;"",'Ratings'!K5&lt;&gt;""),'Ratings'!K5,"")</f>
        <v/>
      </c>
      <c r="F1064">
        <f>IF(OR(A1064="",'Ratings'!K72=""),"",'Ratings'!K72)</f>
        <v/>
      </c>
      <c r="G1064">
        <f>IF(A1064="","",'Employees'!D10)</f>
        <v/>
      </c>
    </row>
    <row r="1065">
      <c r="A1065">
        <f>IF(AND('Ratings'!A72&lt;&gt;"",'Ratings'!L5&lt;&gt;""),'Ratings'!A72,"")</f>
        <v/>
      </c>
      <c r="B1065">
        <f>IF(A1065="","",'Employees'!C10)</f>
        <v/>
      </c>
      <c r="C1065">
        <f>IF(A1065="","",'Ratings'!C72)</f>
        <v/>
      </c>
      <c r="D1065">
        <f>IF(A1065="","",'Ratings'!D72)</f>
        <v/>
      </c>
      <c r="E1065">
        <f>IF(AND('Ratings'!A72&lt;&gt;"",'Ratings'!L5&lt;&gt;""),'Ratings'!L5,"")</f>
        <v/>
      </c>
      <c r="F1065">
        <f>IF(OR(A1065="",'Ratings'!L72=""),"",'Ratings'!L72)</f>
        <v/>
      </c>
      <c r="G1065">
        <f>IF(A1065="","",'Employees'!D10)</f>
        <v/>
      </c>
    </row>
    <row r="1066">
      <c r="A1066">
        <f>IF(AND('Ratings'!A72&lt;&gt;"",'Ratings'!M5&lt;&gt;""),'Ratings'!A72,"")</f>
        <v/>
      </c>
      <c r="B1066">
        <f>IF(A1066="","",'Employees'!C10)</f>
        <v/>
      </c>
      <c r="C1066">
        <f>IF(A1066="","",'Ratings'!C72)</f>
        <v/>
      </c>
      <c r="D1066">
        <f>IF(A1066="","",'Ratings'!D72)</f>
        <v/>
      </c>
      <c r="E1066">
        <f>IF(AND('Ratings'!A72&lt;&gt;"",'Ratings'!M5&lt;&gt;""),'Ratings'!M5,"")</f>
        <v/>
      </c>
      <c r="F1066">
        <f>IF(OR(A1066="",'Ratings'!M72=""),"",'Ratings'!M72)</f>
        <v/>
      </c>
      <c r="G1066">
        <f>IF(A1066="","",'Employees'!D10)</f>
        <v/>
      </c>
    </row>
    <row r="1067">
      <c r="A1067">
        <f>IF(AND('Ratings'!A72&lt;&gt;"",'Ratings'!N5&lt;&gt;""),'Ratings'!A72,"")</f>
        <v/>
      </c>
      <c r="B1067">
        <f>IF(A1067="","",'Employees'!C10)</f>
        <v/>
      </c>
      <c r="C1067">
        <f>IF(A1067="","",'Ratings'!C72)</f>
        <v/>
      </c>
      <c r="D1067">
        <f>IF(A1067="","",'Ratings'!D72)</f>
        <v/>
      </c>
      <c r="E1067">
        <f>IF(AND('Ratings'!A72&lt;&gt;"",'Ratings'!N5&lt;&gt;""),'Ratings'!N5,"")</f>
        <v/>
      </c>
      <c r="F1067">
        <f>IF(OR(A1067="",'Ratings'!N72=""),"",'Ratings'!N72)</f>
        <v/>
      </c>
      <c r="G1067">
        <f>IF(A1067="","",'Employees'!D10)</f>
        <v/>
      </c>
    </row>
    <row r="1068">
      <c r="A1068">
        <f>IF(AND('Ratings'!A72&lt;&gt;"",'Ratings'!O5&lt;&gt;""),'Ratings'!A72,"")</f>
        <v/>
      </c>
      <c r="B1068">
        <f>IF(A1068="","",'Employees'!C10)</f>
        <v/>
      </c>
      <c r="C1068">
        <f>IF(A1068="","",'Ratings'!C72)</f>
        <v/>
      </c>
      <c r="D1068">
        <f>IF(A1068="","",'Ratings'!D72)</f>
        <v/>
      </c>
      <c r="E1068">
        <f>IF(AND('Ratings'!A72&lt;&gt;"",'Ratings'!O5&lt;&gt;""),'Ratings'!O5,"")</f>
        <v/>
      </c>
      <c r="F1068">
        <f>IF(OR(A1068="",'Ratings'!O72=""),"",'Ratings'!O72)</f>
        <v/>
      </c>
      <c r="G1068">
        <f>IF(A1068="","",'Employees'!D10)</f>
        <v/>
      </c>
    </row>
    <row r="1069">
      <c r="A1069">
        <f>IF(AND('Ratings'!A72&lt;&gt;"",'Ratings'!P5&lt;&gt;""),'Ratings'!A72,"")</f>
        <v/>
      </c>
      <c r="B1069">
        <f>IF(A1069="","",'Employees'!C10)</f>
        <v/>
      </c>
      <c r="C1069">
        <f>IF(A1069="","",'Ratings'!C72)</f>
        <v/>
      </c>
      <c r="D1069">
        <f>IF(A1069="","",'Ratings'!D72)</f>
        <v/>
      </c>
      <c r="E1069">
        <f>IF(AND('Ratings'!A72&lt;&gt;"",'Ratings'!P5&lt;&gt;""),'Ratings'!P5,"")</f>
        <v/>
      </c>
      <c r="F1069">
        <f>IF(OR(A1069="",'Ratings'!P72=""),"",'Ratings'!P72)</f>
        <v/>
      </c>
      <c r="G1069">
        <f>IF(A1069="","",'Employees'!D10)</f>
        <v/>
      </c>
    </row>
    <row r="1070">
      <c r="A1070">
        <f>IF(AND('Ratings'!A72&lt;&gt;"",'Ratings'!Q5&lt;&gt;""),'Ratings'!A72,"")</f>
        <v/>
      </c>
      <c r="B1070">
        <f>IF(A1070="","",'Employees'!C10)</f>
        <v/>
      </c>
      <c r="C1070">
        <f>IF(A1070="","",'Ratings'!C72)</f>
        <v/>
      </c>
      <c r="D1070">
        <f>IF(A1070="","",'Ratings'!D72)</f>
        <v/>
      </c>
      <c r="E1070">
        <f>IF(AND('Ratings'!A72&lt;&gt;"",'Ratings'!Q5&lt;&gt;""),'Ratings'!Q5,"")</f>
        <v/>
      </c>
      <c r="F1070">
        <f>IF(OR(A1070="",'Ratings'!Q72=""),"",'Ratings'!Q72)</f>
        <v/>
      </c>
      <c r="G1070">
        <f>IF(A1070="","",'Employees'!D10)</f>
        <v/>
      </c>
    </row>
    <row r="1071">
      <c r="A1071">
        <f>IF(AND('Ratings'!A72&lt;&gt;"",'Ratings'!R5&lt;&gt;""),'Ratings'!A72,"")</f>
        <v/>
      </c>
      <c r="B1071">
        <f>IF(A1071="","",'Employees'!C10)</f>
        <v/>
      </c>
      <c r="C1071">
        <f>IF(A1071="","",'Ratings'!C72)</f>
        <v/>
      </c>
      <c r="D1071">
        <f>IF(A1071="","",'Ratings'!D72)</f>
        <v/>
      </c>
      <c r="E1071">
        <f>IF(AND('Ratings'!A72&lt;&gt;"",'Ratings'!R5&lt;&gt;""),'Ratings'!R5,"")</f>
        <v/>
      </c>
      <c r="F1071">
        <f>IF(OR(A1071="",'Ratings'!R72=""),"",'Ratings'!R72)</f>
        <v/>
      </c>
      <c r="G1071">
        <f>IF(A1071="","",'Employees'!D10)</f>
        <v/>
      </c>
    </row>
    <row r="1072">
      <c r="A1072">
        <f>IF(AND('Ratings'!A72&lt;&gt;"",'Ratings'!S5&lt;&gt;""),'Ratings'!A72,"")</f>
        <v/>
      </c>
      <c r="B1072">
        <f>IF(A1072="","",'Employees'!C10)</f>
        <v/>
      </c>
      <c r="C1072">
        <f>IF(A1072="","",'Ratings'!C72)</f>
        <v/>
      </c>
      <c r="D1072">
        <f>IF(A1072="","",'Ratings'!D72)</f>
        <v/>
      </c>
      <c r="E1072">
        <f>IF(AND('Ratings'!A72&lt;&gt;"",'Ratings'!S5&lt;&gt;""),'Ratings'!S5,"")</f>
        <v/>
      </c>
      <c r="F1072">
        <f>IF(OR(A1072="",'Ratings'!S72=""),"",'Ratings'!S72)</f>
        <v/>
      </c>
      <c r="G1072">
        <f>IF(A1072="","",'Employees'!D10)</f>
        <v/>
      </c>
    </row>
    <row r="1073">
      <c r="A1073">
        <f>IF(AND('Ratings'!A72&lt;&gt;"",'Ratings'!T5&lt;&gt;""),'Ratings'!A72,"")</f>
        <v/>
      </c>
      <c r="B1073">
        <f>IF(A1073="","",'Employees'!C10)</f>
        <v/>
      </c>
      <c r="C1073">
        <f>IF(A1073="","",'Ratings'!C72)</f>
        <v/>
      </c>
      <c r="D1073">
        <f>IF(A1073="","",'Ratings'!D72)</f>
        <v/>
      </c>
      <c r="E1073">
        <f>IF(AND('Ratings'!A72&lt;&gt;"",'Ratings'!T5&lt;&gt;""),'Ratings'!T5,"")</f>
        <v/>
      </c>
      <c r="F1073">
        <f>IF(OR(A1073="",'Ratings'!T72=""),"",'Ratings'!T72)</f>
        <v/>
      </c>
      <c r="G1073">
        <f>IF(A1073="","",'Employees'!D10)</f>
        <v/>
      </c>
    </row>
    <row r="1074">
      <c r="A1074">
        <f>IF(AND('Ratings'!A73&lt;&gt;"",'Ratings'!E5&lt;&gt;""),'Ratings'!A73,"")</f>
        <v/>
      </c>
      <c r="B1074">
        <f>IF(A1074="","",'Employees'!C10)</f>
        <v/>
      </c>
      <c r="C1074">
        <f>IF(A1074="","",'Ratings'!C73)</f>
        <v/>
      </c>
      <c r="D1074">
        <f>IF(A1074="","",'Ratings'!D73)</f>
        <v/>
      </c>
      <c r="E1074">
        <f>IF(AND('Ratings'!A73&lt;&gt;"",'Ratings'!E5&lt;&gt;""),'Ratings'!E5,"")</f>
        <v/>
      </c>
      <c r="F1074">
        <f>IF(OR(A1074="",'Ratings'!E73=""),"",'Ratings'!E73)</f>
        <v/>
      </c>
      <c r="G1074">
        <f>IF(A1074="","",'Employees'!D10)</f>
        <v/>
      </c>
    </row>
    <row r="1075">
      <c r="A1075">
        <f>IF(AND('Ratings'!A73&lt;&gt;"",'Ratings'!F5&lt;&gt;""),'Ratings'!A73,"")</f>
        <v/>
      </c>
      <c r="B1075">
        <f>IF(A1075="","",'Employees'!C10)</f>
        <v/>
      </c>
      <c r="C1075">
        <f>IF(A1075="","",'Ratings'!C73)</f>
        <v/>
      </c>
      <c r="D1075">
        <f>IF(A1075="","",'Ratings'!D73)</f>
        <v/>
      </c>
      <c r="E1075">
        <f>IF(AND('Ratings'!A73&lt;&gt;"",'Ratings'!F5&lt;&gt;""),'Ratings'!F5,"")</f>
        <v/>
      </c>
      <c r="F1075">
        <f>IF(OR(A1075="",'Ratings'!F73=""),"",'Ratings'!F73)</f>
        <v/>
      </c>
      <c r="G1075">
        <f>IF(A1075="","",'Employees'!D10)</f>
        <v/>
      </c>
    </row>
    <row r="1076">
      <c r="A1076">
        <f>IF(AND('Ratings'!A73&lt;&gt;"",'Ratings'!G5&lt;&gt;""),'Ratings'!A73,"")</f>
        <v/>
      </c>
      <c r="B1076">
        <f>IF(A1076="","",'Employees'!C10)</f>
        <v/>
      </c>
      <c r="C1076">
        <f>IF(A1076="","",'Ratings'!C73)</f>
        <v/>
      </c>
      <c r="D1076">
        <f>IF(A1076="","",'Ratings'!D73)</f>
        <v/>
      </c>
      <c r="E1076">
        <f>IF(AND('Ratings'!A73&lt;&gt;"",'Ratings'!G5&lt;&gt;""),'Ratings'!G5,"")</f>
        <v/>
      </c>
      <c r="F1076">
        <f>IF(OR(A1076="",'Ratings'!G73=""),"",'Ratings'!G73)</f>
        <v/>
      </c>
      <c r="G1076">
        <f>IF(A1076="","",'Employees'!D10)</f>
        <v/>
      </c>
    </row>
    <row r="1077">
      <c r="A1077">
        <f>IF(AND('Ratings'!A73&lt;&gt;"",'Ratings'!H5&lt;&gt;""),'Ratings'!A73,"")</f>
        <v/>
      </c>
      <c r="B1077">
        <f>IF(A1077="","",'Employees'!C10)</f>
        <v/>
      </c>
      <c r="C1077">
        <f>IF(A1077="","",'Ratings'!C73)</f>
        <v/>
      </c>
      <c r="D1077">
        <f>IF(A1077="","",'Ratings'!D73)</f>
        <v/>
      </c>
      <c r="E1077">
        <f>IF(AND('Ratings'!A73&lt;&gt;"",'Ratings'!H5&lt;&gt;""),'Ratings'!H5,"")</f>
        <v/>
      </c>
      <c r="F1077">
        <f>IF(OR(A1077="",'Ratings'!H73=""),"",'Ratings'!H73)</f>
        <v/>
      </c>
      <c r="G1077">
        <f>IF(A1077="","",'Employees'!D10)</f>
        <v/>
      </c>
    </row>
    <row r="1078">
      <c r="A1078">
        <f>IF(AND('Ratings'!A73&lt;&gt;"",'Ratings'!I5&lt;&gt;""),'Ratings'!A73,"")</f>
        <v/>
      </c>
      <c r="B1078">
        <f>IF(A1078="","",'Employees'!C10)</f>
        <v/>
      </c>
      <c r="C1078">
        <f>IF(A1078="","",'Ratings'!C73)</f>
        <v/>
      </c>
      <c r="D1078">
        <f>IF(A1078="","",'Ratings'!D73)</f>
        <v/>
      </c>
      <c r="E1078">
        <f>IF(AND('Ratings'!A73&lt;&gt;"",'Ratings'!I5&lt;&gt;""),'Ratings'!I5,"")</f>
        <v/>
      </c>
      <c r="F1078">
        <f>IF(OR(A1078="",'Ratings'!I73=""),"",'Ratings'!I73)</f>
        <v/>
      </c>
      <c r="G1078">
        <f>IF(A1078="","",'Employees'!D10)</f>
        <v/>
      </c>
    </row>
    <row r="1079">
      <c r="A1079">
        <f>IF(AND('Ratings'!A73&lt;&gt;"",'Ratings'!J5&lt;&gt;""),'Ratings'!A73,"")</f>
        <v/>
      </c>
      <c r="B1079">
        <f>IF(A1079="","",'Employees'!C10)</f>
        <v/>
      </c>
      <c r="C1079">
        <f>IF(A1079="","",'Ratings'!C73)</f>
        <v/>
      </c>
      <c r="D1079">
        <f>IF(A1079="","",'Ratings'!D73)</f>
        <v/>
      </c>
      <c r="E1079">
        <f>IF(AND('Ratings'!A73&lt;&gt;"",'Ratings'!J5&lt;&gt;""),'Ratings'!J5,"")</f>
        <v/>
      </c>
      <c r="F1079">
        <f>IF(OR(A1079="",'Ratings'!J73=""),"",'Ratings'!J73)</f>
        <v/>
      </c>
      <c r="G1079">
        <f>IF(A1079="","",'Employees'!D10)</f>
        <v/>
      </c>
    </row>
    <row r="1080">
      <c r="A1080">
        <f>IF(AND('Ratings'!A73&lt;&gt;"",'Ratings'!K5&lt;&gt;""),'Ratings'!A73,"")</f>
        <v/>
      </c>
      <c r="B1080">
        <f>IF(A1080="","",'Employees'!C10)</f>
        <v/>
      </c>
      <c r="C1080">
        <f>IF(A1080="","",'Ratings'!C73)</f>
        <v/>
      </c>
      <c r="D1080">
        <f>IF(A1080="","",'Ratings'!D73)</f>
        <v/>
      </c>
      <c r="E1080">
        <f>IF(AND('Ratings'!A73&lt;&gt;"",'Ratings'!K5&lt;&gt;""),'Ratings'!K5,"")</f>
        <v/>
      </c>
      <c r="F1080">
        <f>IF(OR(A1080="",'Ratings'!K73=""),"",'Ratings'!K73)</f>
        <v/>
      </c>
      <c r="G1080">
        <f>IF(A1080="","",'Employees'!D10)</f>
        <v/>
      </c>
    </row>
    <row r="1081">
      <c r="A1081">
        <f>IF(AND('Ratings'!A73&lt;&gt;"",'Ratings'!L5&lt;&gt;""),'Ratings'!A73,"")</f>
        <v/>
      </c>
      <c r="B1081">
        <f>IF(A1081="","",'Employees'!C10)</f>
        <v/>
      </c>
      <c r="C1081">
        <f>IF(A1081="","",'Ratings'!C73)</f>
        <v/>
      </c>
      <c r="D1081">
        <f>IF(A1081="","",'Ratings'!D73)</f>
        <v/>
      </c>
      <c r="E1081">
        <f>IF(AND('Ratings'!A73&lt;&gt;"",'Ratings'!L5&lt;&gt;""),'Ratings'!L5,"")</f>
        <v/>
      </c>
      <c r="F1081">
        <f>IF(OR(A1081="",'Ratings'!L73=""),"",'Ratings'!L73)</f>
        <v/>
      </c>
      <c r="G1081">
        <f>IF(A1081="","",'Employees'!D10)</f>
        <v/>
      </c>
    </row>
    <row r="1082">
      <c r="A1082">
        <f>IF(AND('Ratings'!A73&lt;&gt;"",'Ratings'!M5&lt;&gt;""),'Ratings'!A73,"")</f>
        <v/>
      </c>
      <c r="B1082">
        <f>IF(A1082="","",'Employees'!C10)</f>
        <v/>
      </c>
      <c r="C1082">
        <f>IF(A1082="","",'Ratings'!C73)</f>
        <v/>
      </c>
      <c r="D1082">
        <f>IF(A1082="","",'Ratings'!D73)</f>
        <v/>
      </c>
      <c r="E1082">
        <f>IF(AND('Ratings'!A73&lt;&gt;"",'Ratings'!M5&lt;&gt;""),'Ratings'!M5,"")</f>
        <v/>
      </c>
      <c r="F1082">
        <f>IF(OR(A1082="",'Ratings'!M73=""),"",'Ratings'!M73)</f>
        <v/>
      </c>
      <c r="G1082">
        <f>IF(A1082="","",'Employees'!D10)</f>
        <v/>
      </c>
    </row>
    <row r="1083">
      <c r="A1083">
        <f>IF(AND('Ratings'!A73&lt;&gt;"",'Ratings'!N5&lt;&gt;""),'Ratings'!A73,"")</f>
        <v/>
      </c>
      <c r="B1083">
        <f>IF(A1083="","",'Employees'!C10)</f>
        <v/>
      </c>
      <c r="C1083">
        <f>IF(A1083="","",'Ratings'!C73)</f>
        <v/>
      </c>
      <c r="D1083">
        <f>IF(A1083="","",'Ratings'!D73)</f>
        <v/>
      </c>
      <c r="E1083">
        <f>IF(AND('Ratings'!A73&lt;&gt;"",'Ratings'!N5&lt;&gt;""),'Ratings'!N5,"")</f>
        <v/>
      </c>
      <c r="F1083">
        <f>IF(OR(A1083="",'Ratings'!N73=""),"",'Ratings'!N73)</f>
        <v/>
      </c>
      <c r="G1083">
        <f>IF(A1083="","",'Employees'!D10)</f>
        <v/>
      </c>
    </row>
    <row r="1084">
      <c r="A1084">
        <f>IF(AND('Ratings'!A73&lt;&gt;"",'Ratings'!O5&lt;&gt;""),'Ratings'!A73,"")</f>
        <v/>
      </c>
      <c r="B1084">
        <f>IF(A1084="","",'Employees'!C10)</f>
        <v/>
      </c>
      <c r="C1084">
        <f>IF(A1084="","",'Ratings'!C73)</f>
        <v/>
      </c>
      <c r="D1084">
        <f>IF(A1084="","",'Ratings'!D73)</f>
        <v/>
      </c>
      <c r="E1084">
        <f>IF(AND('Ratings'!A73&lt;&gt;"",'Ratings'!O5&lt;&gt;""),'Ratings'!O5,"")</f>
        <v/>
      </c>
      <c r="F1084">
        <f>IF(OR(A1084="",'Ratings'!O73=""),"",'Ratings'!O73)</f>
        <v/>
      </c>
      <c r="G1084">
        <f>IF(A1084="","",'Employees'!D10)</f>
        <v/>
      </c>
    </row>
    <row r="1085">
      <c r="A1085">
        <f>IF(AND('Ratings'!A73&lt;&gt;"",'Ratings'!P5&lt;&gt;""),'Ratings'!A73,"")</f>
        <v/>
      </c>
      <c r="B1085">
        <f>IF(A1085="","",'Employees'!C10)</f>
        <v/>
      </c>
      <c r="C1085">
        <f>IF(A1085="","",'Ratings'!C73)</f>
        <v/>
      </c>
      <c r="D1085">
        <f>IF(A1085="","",'Ratings'!D73)</f>
        <v/>
      </c>
      <c r="E1085">
        <f>IF(AND('Ratings'!A73&lt;&gt;"",'Ratings'!P5&lt;&gt;""),'Ratings'!P5,"")</f>
        <v/>
      </c>
      <c r="F1085">
        <f>IF(OR(A1085="",'Ratings'!P73=""),"",'Ratings'!P73)</f>
        <v/>
      </c>
      <c r="G1085">
        <f>IF(A1085="","",'Employees'!D10)</f>
        <v/>
      </c>
    </row>
    <row r="1086">
      <c r="A1086">
        <f>IF(AND('Ratings'!A73&lt;&gt;"",'Ratings'!Q5&lt;&gt;""),'Ratings'!A73,"")</f>
        <v/>
      </c>
      <c r="B1086">
        <f>IF(A1086="","",'Employees'!C10)</f>
        <v/>
      </c>
      <c r="C1086">
        <f>IF(A1086="","",'Ratings'!C73)</f>
        <v/>
      </c>
      <c r="D1086">
        <f>IF(A1086="","",'Ratings'!D73)</f>
        <v/>
      </c>
      <c r="E1086">
        <f>IF(AND('Ratings'!A73&lt;&gt;"",'Ratings'!Q5&lt;&gt;""),'Ratings'!Q5,"")</f>
        <v/>
      </c>
      <c r="F1086">
        <f>IF(OR(A1086="",'Ratings'!Q73=""),"",'Ratings'!Q73)</f>
        <v/>
      </c>
      <c r="G1086">
        <f>IF(A1086="","",'Employees'!D10)</f>
        <v/>
      </c>
    </row>
    <row r="1087">
      <c r="A1087">
        <f>IF(AND('Ratings'!A73&lt;&gt;"",'Ratings'!R5&lt;&gt;""),'Ratings'!A73,"")</f>
        <v/>
      </c>
      <c r="B1087">
        <f>IF(A1087="","",'Employees'!C10)</f>
        <v/>
      </c>
      <c r="C1087">
        <f>IF(A1087="","",'Ratings'!C73)</f>
        <v/>
      </c>
      <c r="D1087">
        <f>IF(A1087="","",'Ratings'!D73)</f>
        <v/>
      </c>
      <c r="E1087">
        <f>IF(AND('Ratings'!A73&lt;&gt;"",'Ratings'!R5&lt;&gt;""),'Ratings'!R5,"")</f>
        <v/>
      </c>
      <c r="F1087">
        <f>IF(OR(A1087="",'Ratings'!R73=""),"",'Ratings'!R73)</f>
        <v/>
      </c>
      <c r="G1087">
        <f>IF(A1087="","",'Employees'!D10)</f>
        <v/>
      </c>
    </row>
    <row r="1088">
      <c r="A1088">
        <f>IF(AND('Ratings'!A73&lt;&gt;"",'Ratings'!S5&lt;&gt;""),'Ratings'!A73,"")</f>
        <v/>
      </c>
      <c r="B1088">
        <f>IF(A1088="","",'Employees'!C10)</f>
        <v/>
      </c>
      <c r="C1088">
        <f>IF(A1088="","",'Ratings'!C73)</f>
        <v/>
      </c>
      <c r="D1088">
        <f>IF(A1088="","",'Ratings'!D73)</f>
        <v/>
      </c>
      <c r="E1088">
        <f>IF(AND('Ratings'!A73&lt;&gt;"",'Ratings'!S5&lt;&gt;""),'Ratings'!S5,"")</f>
        <v/>
      </c>
      <c r="F1088">
        <f>IF(OR(A1088="",'Ratings'!S73=""),"",'Ratings'!S73)</f>
        <v/>
      </c>
      <c r="G1088">
        <f>IF(A1088="","",'Employees'!D10)</f>
        <v/>
      </c>
    </row>
    <row r="1089">
      <c r="A1089">
        <f>IF(AND('Ratings'!A73&lt;&gt;"",'Ratings'!T5&lt;&gt;""),'Ratings'!A73,"")</f>
        <v/>
      </c>
      <c r="B1089">
        <f>IF(A1089="","",'Employees'!C10)</f>
        <v/>
      </c>
      <c r="C1089">
        <f>IF(A1089="","",'Ratings'!C73)</f>
        <v/>
      </c>
      <c r="D1089">
        <f>IF(A1089="","",'Ratings'!D73)</f>
        <v/>
      </c>
      <c r="E1089">
        <f>IF(AND('Ratings'!A73&lt;&gt;"",'Ratings'!T5&lt;&gt;""),'Ratings'!T5,"")</f>
        <v/>
      </c>
      <c r="F1089">
        <f>IF(OR(A1089="",'Ratings'!T73=""),"",'Ratings'!T73)</f>
        <v/>
      </c>
      <c r="G1089">
        <f>IF(A1089="","",'Employees'!D10)</f>
        <v/>
      </c>
    </row>
    <row r="1090">
      <c r="A1090">
        <f>IF(AND('Ratings'!A74&lt;&gt;"",'Ratings'!E5&lt;&gt;""),'Ratings'!A74,"")</f>
        <v/>
      </c>
      <c r="B1090">
        <f>IF(A1090="","",'Employees'!C10)</f>
        <v/>
      </c>
      <c r="C1090">
        <f>IF(A1090="","",'Ratings'!C74)</f>
        <v/>
      </c>
      <c r="D1090">
        <f>IF(A1090="","",'Ratings'!D74)</f>
        <v/>
      </c>
      <c r="E1090">
        <f>IF(AND('Ratings'!A74&lt;&gt;"",'Ratings'!E5&lt;&gt;""),'Ratings'!E5,"")</f>
        <v/>
      </c>
      <c r="F1090">
        <f>IF(OR(A1090="",'Ratings'!E74=""),"",'Ratings'!E74)</f>
        <v/>
      </c>
      <c r="G1090">
        <f>IF(A1090="","",'Employees'!D10)</f>
        <v/>
      </c>
    </row>
    <row r="1091">
      <c r="A1091">
        <f>IF(AND('Ratings'!A74&lt;&gt;"",'Ratings'!F5&lt;&gt;""),'Ratings'!A74,"")</f>
        <v/>
      </c>
      <c r="B1091">
        <f>IF(A1091="","",'Employees'!C10)</f>
        <v/>
      </c>
      <c r="C1091">
        <f>IF(A1091="","",'Ratings'!C74)</f>
        <v/>
      </c>
      <c r="D1091">
        <f>IF(A1091="","",'Ratings'!D74)</f>
        <v/>
      </c>
      <c r="E1091">
        <f>IF(AND('Ratings'!A74&lt;&gt;"",'Ratings'!F5&lt;&gt;""),'Ratings'!F5,"")</f>
        <v/>
      </c>
      <c r="F1091">
        <f>IF(OR(A1091="",'Ratings'!F74=""),"",'Ratings'!F74)</f>
        <v/>
      </c>
      <c r="G1091">
        <f>IF(A1091="","",'Employees'!D10)</f>
        <v/>
      </c>
    </row>
    <row r="1092">
      <c r="A1092">
        <f>IF(AND('Ratings'!A74&lt;&gt;"",'Ratings'!G5&lt;&gt;""),'Ratings'!A74,"")</f>
        <v/>
      </c>
      <c r="B1092">
        <f>IF(A1092="","",'Employees'!C10)</f>
        <v/>
      </c>
      <c r="C1092">
        <f>IF(A1092="","",'Ratings'!C74)</f>
        <v/>
      </c>
      <c r="D1092">
        <f>IF(A1092="","",'Ratings'!D74)</f>
        <v/>
      </c>
      <c r="E1092">
        <f>IF(AND('Ratings'!A74&lt;&gt;"",'Ratings'!G5&lt;&gt;""),'Ratings'!G5,"")</f>
        <v/>
      </c>
      <c r="F1092">
        <f>IF(OR(A1092="",'Ratings'!G74=""),"",'Ratings'!G74)</f>
        <v/>
      </c>
      <c r="G1092">
        <f>IF(A1092="","",'Employees'!D10)</f>
        <v/>
      </c>
    </row>
    <row r="1093">
      <c r="A1093">
        <f>IF(AND('Ratings'!A74&lt;&gt;"",'Ratings'!H5&lt;&gt;""),'Ratings'!A74,"")</f>
        <v/>
      </c>
      <c r="B1093">
        <f>IF(A1093="","",'Employees'!C10)</f>
        <v/>
      </c>
      <c r="C1093">
        <f>IF(A1093="","",'Ratings'!C74)</f>
        <v/>
      </c>
      <c r="D1093">
        <f>IF(A1093="","",'Ratings'!D74)</f>
        <v/>
      </c>
      <c r="E1093">
        <f>IF(AND('Ratings'!A74&lt;&gt;"",'Ratings'!H5&lt;&gt;""),'Ratings'!H5,"")</f>
        <v/>
      </c>
      <c r="F1093">
        <f>IF(OR(A1093="",'Ratings'!H74=""),"",'Ratings'!H74)</f>
        <v/>
      </c>
      <c r="G1093">
        <f>IF(A1093="","",'Employees'!D10)</f>
        <v/>
      </c>
    </row>
    <row r="1094">
      <c r="A1094">
        <f>IF(AND('Ratings'!A74&lt;&gt;"",'Ratings'!I5&lt;&gt;""),'Ratings'!A74,"")</f>
        <v/>
      </c>
      <c r="B1094">
        <f>IF(A1094="","",'Employees'!C10)</f>
        <v/>
      </c>
      <c r="C1094">
        <f>IF(A1094="","",'Ratings'!C74)</f>
        <v/>
      </c>
      <c r="D1094">
        <f>IF(A1094="","",'Ratings'!D74)</f>
        <v/>
      </c>
      <c r="E1094">
        <f>IF(AND('Ratings'!A74&lt;&gt;"",'Ratings'!I5&lt;&gt;""),'Ratings'!I5,"")</f>
        <v/>
      </c>
      <c r="F1094">
        <f>IF(OR(A1094="",'Ratings'!I74=""),"",'Ratings'!I74)</f>
        <v/>
      </c>
      <c r="G1094">
        <f>IF(A1094="","",'Employees'!D10)</f>
        <v/>
      </c>
    </row>
    <row r="1095">
      <c r="A1095">
        <f>IF(AND('Ratings'!A74&lt;&gt;"",'Ratings'!J5&lt;&gt;""),'Ratings'!A74,"")</f>
        <v/>
      </c>
      <c r="B1095">
        <f>IF(A1095="","",'Employees'!C10)</f>
        <v/>
      </c>
      <c r="C1095">
        <f>IF(A1095="","",'Ratings'!C74)</f>
        <v/>
      </c>
      <c r="D1095">
        <f>IF(A1095="","",'Ratings'!D74)</f>
        <v/>
      </c>
      <c r="E1095">
        <f>IF(AND('Ratings'!A74&lt;&gt;"",'Ratings'!J5&lt;&gt;""),'Ratings'!J5,"")</f>
        <v/>
      </c>
      <c r="F1095">
        <f>IF(OR(A1095="",'Ratings'!J74=""),"",'Ratings'!J74)</f>
        <v/>
      </c>
      <c r="G1095">
        <f>IF(A1095="","",'Employees'!D10)</f>
        <v/>
      </c>
    </row>
    <row r="1096">
      <c r="A1096">
        <f>IF(AND('Ratings'!A74&lt;&gt;"",'Ratings'!K5&lt;&gt;""),'Ratings'!A74,"")</f>
        <v/>
      </c>
      <c r="B1096">
        <f>IF(A1096="","",'Employees'!C10)</f>
        <v/>
      </c>
      <c r="C1096">
        <f>IF(A1096="","",'Ratings'!C74)</f>
        <v/>
      </c>
      <c r="D1096">
        <f>IF(A1096="","",'Ratings'!D74)</f>
        <v/>
      </c>
      <c r="E1096">
        <f>IF(AND('Ratings'!A74&lt;&gt;"",'Ratings'!K5&lt;&gt;""),'Ratings'!K5,"")</f>
        <v/>
      </c>
      <c r="F1096">
        <f>IF(OR(A1096="",'Ratings'!K74=""),"",'Ratings'!K74)</f>
        <v/>
      </c>
      <c r="G1096">
        <f>IF(A1096="","",'Employees'!D10)</f>
        <v/>
      </c>
    </row>
    <row r="1097">
      <c r="A1097">
        <f>IF(AND('Ratings'!A74&lt;&gt;"",'Ratings'!L5&lt;&gt;""),'Ratings'!A74,"")</f>
        <v/>
      </c>
      <c r="B1097">
        <f>IF(A1097="","",'Employees'!C10)</f>
        <v/>
      </c>
      <c r="C1097">
        <f>IF(A1097="","",'Ratings'!C74)</f>
        <v/>
      </c>
      <c r="D1097">
        <f>IF(A1097="","",'Ratings'!D74)</f>
        <v/>
      </c>
      <c r="E1097">
        <f>IF(AND('Ratings'!A74&lt;&gt;"",'Ratings'!L5&lt;&gt;""),'Ratings'!L5,"")</f>
        <v/>
      </c>
      <c r="F1097">
        <f>IF(OR(A1097="",'Ratings'!L74=""),"",'Ratings'!L74)</f>
        <v/>
      </c>
      <c r="G1097">
        <f>IF(A1097="","",'Employees'!D10)</f>
        <v/>
      </c>
    </row>
    <row r="1098">
      <c r="A1098">
        <f>IF(AND('Ratings'!A74&lt;&gt;"",'Ratings'!M5&lt;&gt;""),'Ratings'!A74,"")</f>
        <v/>
      </c>
      <c r="B1098">
        <f>IF(A1098="","",'Employees'!C10)</f>
        <v/>
      </c>
      <c r="C1098">
        <f>IF(A1098="","",'Ratings'!C74)</f>
        <v/>
      </c>
      <c r="D1098">
        <f>IF(A1098="","",'Ratings'!D74)</f>
        <v/>
      </c>
      <c r="E1098">
        <f>IF(AND('Ratings'!A74&lt;&gt;"",'Ratings'!M5&lt;&gt;""),'Ratings'!M5,"")</f>
        <v/>
      </c>
      <c r="F1098">
        <f>IF(OR(A1098="",'Ratings'!M74=""),"",'Ratings'!M74)</f>
        <v/>
      </c>
      <c r="G1098">
        <f>IF(A1098="","",'Employees'!D10)</f>
        <v/>
      </c>
    </row>
    <row r="1099">
      <c r="A1099">
        <f>IF(AND('Ratings'!A74&lt;&gt;"",'Ratings'!N5&lt;&gt;""),'Ratings'!A74,"")</f>
        <v/>
      </c>
      <c r="B1099">
        <f>IF(A1099="","",'Employees'!C10)</f>
        <v/>
      </c>
      <c r="C1099">
        <f>IF(A1099="","",'Ratings'!C74)</f>
        <v/>
      </c>
      <c r="D1099">
        <f>IF(A1099="","",'Ratings'!D74)</f>
        <v/>
      </c>
      <c r="E1099">
        <f>IF(AND('Ratings'!A74&lt;&gt;"",'Ratings'!N5&lt;&gt;""),'Ratings'!N5,"")</f>
        <v/>
      </c>
      <c r="F1099">
        <f>IF(OR(A1099="",'Ratings'!N74=""),"",'Ratings'!N74)</f>
        <v/>
      </c>
      <c r="G1099">
        <f>IF(A1099="","",'Employees'!D10)</f>
        <v/>
      </c>
    </row>
    <row r="1100">
      <c r="A1100">
        <f>IF(AND('Ratings'!A74&lt;&gt;"",'Ratings'!O5&lt;&gt;""),'Ratings'!A74,"")</f>
        <v/>
      </c>
      <c r="B1100">
        <f>IF(A1100="","",'Employees'!C10)</f>
        <v/>
      </c>
      <c r="C1100">
        <f>IF(A1100="","",'Ratings'!C74)</f>
        <v/>
      </c>
      <c r="D1100">
        <f>IF(A1100="","",'Ratings'!D74)</f>
        <v/>
      </c>
      <c r="E1100">
        <f>IF(AND('Ratings'!A74&lt;&gt;"",'Ratings'!O5&lt;&gt;""),'Ratings'!O5,"")</f>
        <v/>
      </c>
      <c r="F1100">
        <f>IF(OR(A1100="",'Ratings'!O74=""),"",'Ratings'!O74)</f>
        <v/>
      </c>
      <c r="G1100">
        <f>IF(A1100="","",'Employees'!D10)</f>
        <v/>
      </c>
    </row>
    <row r="1101">
      <c r="A1101">
        <f>IF(AND('Ratings'!A74&lt;&gt;"",'Ratings'!P5&lt;&gt;""),'Ratings'!A74,"")</f>
        <v/>
      </c>
      <c r="B1101">
        <f>IF(A1101="","",'Employees'!C10)</f>
        <v/>
      </c>
      <c r="C1101">
        <f>IF(A1101="","",'Ratings'!C74)</f>
        <v/>
      </c>
      <c r="D1101">
        <f>IF(A1101="","",'Ratings'!D74)</f>
        <v/>
      </c>
      <c r="E1101">
        <f>IF(AND('Ratings'!A74&lt;&gt;"",'Ratings'!P5&lt;&gt;""),'Ratings'!P5,"")</f>
        <v/>
      </c>
      <c r="F1101">
        <f>IF(OR(A1101="",'Ratings'!P74=""),"",'Ratings'!P74)</f>
        <v/>
      </c>
      <c r="G1101">
        <f>IF(A1101="","",'Employees'!D10)</f>
        <v/>
      </c>
    </row>
    <row r="1102">
      <c r="A1102">
        <f>IF(AND('Ratings'!A74&lt;&gt;"",'Ratings'!Q5&lt;&gt;""),'Ratings'!A74,"")</f>
        <v/>
      </c>
      <c r="B1102">
        <f>IF(A1102="","",'Employees'!C10)</f>
        <v/>
      </c>
      <c r="C1102">
        <f>IF(A1102="","",'Ratings'!C74)</f>
        <v/>
      </c>
      <c r="D1102">
        <f>IF(A1102="","",'Ratings'!D74)</f>
        <v/>
      </c>
      <c r="E1102">
        <f>IF(AND('Ratings'!A74&lt;&gt;"",'Ratings'!Q5&lt;&gt;""),'Ratings'!Q5,"")</f>
        <v/>
      </c>
      <c r="F1102">
        <f>IF(OR(A1102="",'Ratings'!Q74=""),"",'Ratings'!Q74)</f>
        <v/>
      </c>
      <c r="G1102">
        <f>IF(A1102="","",'Employees'!D10)</f>
        <v/>
      </c>
    </row>
    <row r="1103">
      <c r="A1103">
        <f>IF(AND('Ratings'!A74&lt;&gt;"",'Ratings'!R5&lt;&gt;""),'Ratings'!A74,"")</f>
        <v/>
      </c>
      <c r="B1103">
        <f>IF(A1103="","",'Employees'!C10)</f>
        <v/>
      </c>
      <c r="C1103">
        <f>IF(A1103="","",'Ratings'!C74)</f>
        <v/>
      </c>
      <c r="D1103">
        <f>IF(A1103="","",'Ratings'!D74)</f>
        <v/>
      </c>
      <c r="E1103">
        <f>IF(AND('Ratings'!A74&lt;&gt;"",'Ratings'!R5&lt;&gt;""),'Ratings'!R5,"")</f>
        <v/>
      </c>
      <c r="F1103">
        <f>IF(OR(A1103="",'Ratings'!R74=""),"",'Ratings'!R74)</f>
        <v/>
      </c>
      <c r="G1103">
        <f>IF(A1103="","",'Employees'!D10)</f>
        <v/>
      </c>
    </row>
    <row r="1104">
      <c r="A1104">
        <f>IF(AND('Ratings'!A74&lt;&gt;"",'Ratings'!S5&lt;&gt;""),'Ratings'!A74,"")</f>
        <v/>
      </c>
      <c r="B1104">
        <f>IF(A1104="","",'Employees'!C10)</f>
        <v/>
      </c>
      <c r="C1104">
        <f>IF(A1104="","",'Ratings'!C74)</f>
        <v/>
      </c>
      <c r="D1104">
        <f>IF(A1104="","",'Ratings'!D74)</f>
        <v/>
      </c>
      <c r="E1104">
        <f>IF(AND('Ratings'!A74&lt;&gt;"",'Ratings'!S5&lt;&gt;""),'Ratings'!S5,"")</f>
        <v/>
      </c>
      <c r="F1104">
        <f>IF(OR(A1104="",'Ratings'!S74=""),"",'Ratings'!S74)</f>
        <v/>
      </c>
      <c r="G1104">
        <f>IF(A1104="","",'Employees'!D10)</f>
        <v/>
      </c>
    </row>
    <row r="1105">
      <c r="A1105">
        <f>IF(AND('Ratings'!A74&lt;&gt;"",'Ratings'!T5&lt;&gt;""),'Ratings'!A74,"")</f>
        <v/>
      </c>
      <c r="B1105">
        <f>IF(A1105="","",'Employees'!C10)</f>
        <v/>
      </c>
      <c r="C1105">
        <f>IF(A1105="","",'Ratings'!C74)</f>
        <v/>
      </c>
      <c r="D1105">
        <f>IF(A1105="","",'Ratings'!D74)</f>
        <v/>
      </c>
      <c r="E1105">
        <f>IF(AND('Ratings'!A74&lt;&gt;"",'Ratings'!T5&lt;&gt;""),'Ratings'!T5,"")</f>
        <v/>
      </c>
      <c r="F1105">
        <f>IF(OR(A1105="",'Ratings'!T74=""),"",'Ratings'!T74)</f>
        <v/>
      </c>
      <c r="G1105">
        <f>IF(A1105="","",'Employees'!D10)</f>
        <v/>
      </c>
    </row>
    <row r="1106">
      <c r="A1106">
        <f>IF(AND('Ratings'!A75&lt;&gt;"",'Ratings'!E5&lt;&gt;""),'Ratings'!A75,"")</f>
        <v/>
      </c>
      <c r="B1106">
        <f>IF(A1106="","",'Employees'!C10)</f>
        <v/>
      </c>
      <c r="C1106">
        <f>IF(A1106="","",'Ratings'!C75)</f>
        <v/>
      </c>
      <c r="D1106">
        <f>IF(A1106="","",'Ratings'!D75)</f>
        <v/>
      </c>
      <c r="E1106">
        <f>IF(AND('Ratings'!A75&lt;&gt;"",'Ratings'!E5&lt;&gt;""),'Ratings'!E5,"")</f>
        <v/>
      </c>
      <c r="F1106">
        <f>IF(OR(A1106="",'Ratings'!E75=""),"",'Ratings'!E75)</f>
        <v/>
      </c>
      <c r="G1106">
        <f>IF(A1106="","",'Employees'!D10)</f>
        <v/>
      </c>
    </row>
    <row r="1107">
      <c r="A1107">
        <f>IF(AND('Ratings'!A75&lt;&gt;"",'Ratings'!F5&lt;&gt;""),'Ratings'!A75,"")</f>
        <v/>
      </c>
      <c r="B1107">
        <f>IF(A1107="","",'Employees'!C10)</f>
        <v/>
      </c>
      <c r="C1107">
        <f>IF(A1107="","",'Ratings'!C75)</f>
        <v/>
      </c>
      <c r="D1107">
        <f>IF(A1107="","",'Ratings'!D75)</f>
        <v/>
      </c>
      <c r="E1107">
        <f>IF(AND('Ratings'!A75&lt;&gt;"",'Ratings'!F5&lt;&gt;""),'Ratings'!F5,"")</f>
        <v/>
      </c>
      <c r="F1107">
        <f>IF(OR(A1107="",'Ratings'!F75=""),"",'Ratings'!F75)</f>
        <v/>
      </c>
      <c r="G1107">
        <f>IF(A1107="","",'Employees'!D10)</f>
        <v/>
      </c>
    </row>
    <row r="1108">
      <c r="A1108">
        <f>IF(AND('Ratings'!A75&lt;&gt;"",'Ratings'!G5&lt;&gt;""),'Ratings'!A75,"")</f>
        <v/>
      </c>
      <c r="B1108">
        <f>IF(A1108="","",'Employees'!C10)</f>
        <v/>
      </c>
      <c r="C1108">
        <f>IF(A1108="","",'Ratings'!C75)</f>
        <v/>
      </c>
      <c r="D1108">
        <f>IF(A1108="","",'Ratings'!D75)</f>
        <v/>
      </c>
      <c r="E1108">
        <f>IF(AND('Ratings'!A75&lt;&gt;"",'Ratings'!G5&lt;&gt;""),'Ratings'!G5,"")</f>
        <v/>
      </c>
      <c r="F1108">
        <f>IF(OR(A1108="",'Ratings'!G75=""),"",'Ratings'!G75)</f>
        <v/>
      </c>
      <c r="G1108">
        <f>IF(A1108="","",'Employees'!D10)</f>
        <v/>
      </c>
    </row>
    <row r="1109">
      <c r="A1109">
        <f>IF(AND('Ratings'!A75&lt;&gt;"",'Ratings'!H5&lt;&gt;""),'Ratings'!A75,"")</f>
        <v/>
      </c>
      <c r="B1109">
        <f>IF(A1109="","",'Employees'!C10)</f>
        <v/>
      </c>
      <c r="C1109">
        <f>IF(A1109="","",'Ratings'!C75)</f>
        <v/>
      </c>
      <c r="D1109">
        <f>IF(A1109="","",'Ratings'!D75)</f>
        <v/>
      </c>
      <c r="E1109">
        <f>IF(AND('Ratings'!A75&lt;&gt;"",'Ratings'!H5&lt;&gt;""),'Ratings'!H5,"")</f>
        <v/>
      </c>
      <c r="F1109">
        <f>IF(OR(A1109="",'Ratings'!H75=""),"",'Ratings'!H75)</f>
        <v/>
      </c>
      <c r="G1109">
        <f>IF(A1109="","",'Employees'!D10)</f>
        <v/>
      </c>
    </row>
    <row r="1110">
      <c r="A1110">
        <f>IF(AND('Ratings'!A75&lt;&gt;"",'Ratings'!I5&lt;&gt;""),'Ratings'!A75,"")</f>
        <v/>
      </c>
      <c r="B1110">
        <f>IF(A1110="","",'Employees'!C10)</f>
        <v/>
      </c>
      <c r="C1110">
        <f>IF(A1110="","",'Ratings'!C75)</f>
        <v/>
      </c>
      <c r="D1110">
        <f>IF(A1110="","",'Ratings'!D75)</f>
        <v/>
      </c>
      <c r="E1110">
        <f>IF(AND('Ratings'!A75&lt;&gt;"",'Ratings'!I5&lt;&gt;""),'Ratings'!I5,"")</f>
        <v/>
      </c>
      <c r="F1110">
        <f>IF(OR(A1110="",'Ratings'!I75=""),"",'Ratings'!I75)</f>
        <v/>
      </c>
      <c r="G1110">
        <f>IF(A1110="","",'Employees'!D10)</f>
        <v/>
      </c>
    </row>
    <row r="1111">
      <c r="A1111">
        <f>IF(AND('Ratings'!A75&lt;&gt;"",'Ratings'!J5&lt;&gt;""),'Ratings'!A75,"")</f>
        <v/>
      </c>
      <c r="B1111">
        <f>IF(A1111="","",'Employees'!C10)</f>
        <v/>
      </c>
      <c r="C1111">
        <f>IF(A1111="","",'Ratings'!C75)</f>
        <v/>
      </c>
      <c r="D1111">
        <f>IF(A1111="","",'Ratings'!D75)</f>
        <v/>
      </c>
      <c r="E1111">
        <f>IF(AND('Ratings'!A75&lt;&gt;"",'Ratings'!J5&lt;&gt;""),'Ratings'!J5,"")</f>
        <v/>
      </c>
      <c r="F1111">
        <f>IF(OR(A1111="",'Ratings'!J75=""),"",'Ratings'!J75)</f>
        <v/>
      </c>
      <c r="G1111">
        <f>IF(A1111="","",'Employees'!D10)</f>
        <v/>
      </c>
    </row>
    <row r="1112">
      <c r="A1112">
        <f>IF(AND('Ratings'!A75&lt;&gt;"",'Ratings'!K5&lt;&gt;""),'Ratings'!A75,"")</f>
        <v/>
      </c>
      <c r="B1112">
        <f>IF(A1112="","",'Employees'!C10)</f>
        <v/>
      </c>
      <c r="C1112">
        <f>IF(A1112="","",'Ratings'!C75)</f>
        <v/>
      </c>
      <c r="D1112">
        <f>IF(A1112="","",'Ratings'!D75)</f>
        <v/>
      </c>
      <c r="E1112">
        <f>IF(AND('Ratings'!A75&lt;&gt;"",'Ratings'!K5&lt;&gt;""),'Ratings'!K5,"")</f>
        <v/>
      </c>
      <c r="F1112">
        <f>IF(OR(A1112="",'Ratings'!K75=""),"",'Ratings'!K75)</f>
        <v/>
      </c>
      <c r="G1112">
        <f>IF(A1112="","",'Employees'!D10)</f>
        <v/>
      </c>
    </row>
    <row r="1113">
      <c r="A1113">
        <f>IF(AND('Ratings'!A75&lt;&gt;"",'Ratings'!L5&lt;&gt;""),'Ratings'!A75,"")</f>
        <v/>
      </c>
      <c r="B1113">
        <f>IF(A1113="","",'Employees'!C10)</f>
        <v/>
      </c>
      <c r="C1113">
        <f>IF(A1113="","",'Ratings'!C75)</f>
        <v/>
      </c>
      <c r="D1113">
        <f>IF(A1113="","",'Ratings'!D75)</f>
        <v/>
      </c>
      <c r="E1113">
        <f>IF(AND('Ratings'!A75&lt;&gt;"",'Ratings'!L5&lt;&gt;""),'Ratings'!L5,"")</f>
        <v/>
      </c>
      <c r="F1113">
        <f>IF(OR(A1113="",'Ratings'!L75=""),"",'Ratings'!L75)</f>
        <v/>
      </c>
      <c r="G1113">
        <f>IF(A1113="","",'Employees'!D10)</f>
        <v/>
      </c>
    </row>
    <row r="1114">
      <c r="A1114">
        <f>IF(AND('Ratings'!A75&lt;&gt;"",'Ratings'!M5&lt;&gt;""),'Ratings'!A75,"")</f>
        <v/>
      </c>
      <c r="B1114">
        <f>IF(A1114="","",'Employees'!C10)</f>
        <v/>
      </c>
      <c r="C1114">
        <f>IF(A1114="","",'Ratings'!C75)</f>
        <v/>
      </c>
      <c r="D1114">
        <f>IF(A1114="","",'Ratings'!D75)</f>
        <v/>
      </c>
      <c r="E1114">
        <f>IF(AND('Ratings'!A75&lt;&gt;"",'Ratings'!M5&lt;&gt;""),'Ratings'!M5,"")</f>
        <v/>
      </c>
      <c r="F1114">
        <f>IF(OR(A1114="",'Ratings'!M75=""),"",'Ratings'!M75)</f>
        <v/>
      </c>
      <c r="G1114">
        <f>IF(A1114="","",'Employees'!D10)</f>
        <v/>
      </c>
    </row>
    <row r="1115">
      <c r="A1115">
        <f>IF(AND('Ratings'!A75&lt;&gt;"",'Ratings'!N5&lt;&gt;""),'Ratings'!A75,"")</f>
        <v/>
      </c>
      <c r="B1115">
        <f>IF(A1115="","",'Employees'!C10)</f>
        <v/>
      </c>
      <c r="C1115">
        <f>IF(A1115="","",'Ratings'!C75)</f>
        <v/>
      </c>
      <c r="D1115">
        <f>IF(A1115="","",'Ratings'!D75)</f>
        <v/>
      </c>
      <c r="E1115">
        <f>IF(AND('Ratings'!A75&lt;&gt;"",'Ratings'!N5&lt;&gt;""),'Ratings'!N5,"")</f>
        <v/>
      </c>
      <c r="F1115">
        <f>IF(OR(A1115="",'Ratings'!N75=""),"",'Ratings'!N75)</f>
        <v/>
      </c>
      <c r="G1115">
        <f>IF(A1115="","",'Employees'!D10)</f>
        <v/>
      </c>
    </row>
    <row r="1116">
      <c r="A1116">
        <f>IF(AND('Ratings'!A75&lt;&gt;"",'Ratings'!O5&lt;&gt;""),'Ratings'!A75,"")</f>
        <v/>
      </c>
      <c r="B1116">
        <f>IF(A1116="","",'Employees'!C10)</f>
        <v/>
      </c>
      <c r="C1116">
        <f>IF(A1116="","",'Ratings'!C75)</f>
        <v/>
      </c>
      <c r="D1116">
        <f>IF(A1116="","",'Ratings'!D75)</f>
        <v/>
      </c>
      <c r="E1116">
        <f>IF(AND('Ratings'!A75&lt;&gt;"",'Ratings'!O5&lt;&gt;""),'Ratings'!O5,"")</f>
        <v/>
      </c>
      <c r="F1116">
        <f>IF(OR(A1116="",'Ratings'!O75=""),"",'Ratings'!O75)</f>
        <v/>
      </c>
      <c r="G1116">
        <f>IF(A1116="","",'Employees'!D10)</f>
        <v/>
      </c>
    </row>
    <row r="1117">
      <c r="A1117">
        <f>IF(AND('Ratings'!A75&lt;&gt;"",'Ratings'!P5&lt;&gt;""),'Ratings'!A75,"")</f>
        <v/>
      </c>
      <c r="B1117">
        <f>IF(A1117="","",'Employees'!C10)</f>
        <v/>
      </c>
      <c r="C1117">
        <f>IF(A1117="","",'Ratings'!C75)</f>
        <v/>
      </c>
      <c r="D1117">
        <f>IF(A1117="","",'Ratings'!D75)</f>
        <v/>
      </c>
      <c r="E1117">
        <f>IF(AND('Ratings'!A75&lt;&gt;"",'Ratings'!P5&lt;&gt;""),'Ratings'!P5,"")</f>
        <v/>
      </c>
      <c r="F1117">
        <f>IF(OR(A1117="",'Ratings'!P75=""),"",'Ratings'!P75)</f>
        <v/>
      </c>
      <c r="G1117">
        <f>IF(A1117="","",'Employees'!D10)</f>
        <v/>
      </c>
    </row>
    <row r="1118">
      <c r="A1118">
        <f>IF(AND('Ratings'!A75&lt;&gt;"",'Ratings'!Q5&lt;&gt;""),'Ratings'!A75,"")</f>
        <v/>
      </c>
      <c r="B1118">
        <f>IF(A1118="","",'Employees'!C10)</f>
        <v/>
      </c>
      <c r="C1118">
        <f>IF(A1118="","",'Ratings'!C75)</f>
        <v/>
      </c>
      <c r="D1118">
        <f>IF(A1118="","",'Ratings'!D75)</f>
        <v/>
      </c>
      <c r="E1118">
        <f>IF(AND('Ratings'!A75&lt;&gt;"",'Ratings'!Q5&lt;&gt;""),'Ratings'!Q5,"")</f>
        <v/>
      </c>
      <c r="F1118">
        <f>IF(OR(A1118="",'Ratings'!Q75=""),"",'Ratings'!Q75)</f>
        <v/>
      </c>
      <c r="G1118">
        <f>IF(A1118="","",'Employees'!D10)</f>
        <v/>
      </c>
    </row>
    <row r="1119">
      <c r="A1119">
        <f>IF(AND('Ratings'!A75&lt;&gt;"",'Ratings'!R5&lt;&gt;""),'Ratings'!A75,"")</f>
        <v/>
      </c>
      <c r="B1119">
        <f>IF(A1119="","",'Employees'!C10)</f>
        <v/>
      </c>
      <c r="C1119">
        <f>IF(A1119="","",'Ratings'!C75)</f>
        <v/>
      </c>
      <c r="D1119">
        <f>IF(A1119="","",'Ratings'!D75)</f>
        <v/>
      </c>
      <c r="E1119">
        <f>IF(AND('Ratings'!A75&lt;&gt;"",'Ratings'!R5&lt;&gt;""),'Ratings'!R5,"")</f>
        <v/>
      </c>
      <c r="F1119">
        <f>IF(OR(A1119="",'Ratings'!R75=""),"",'Ratings'!R75)</f>
        <v/>
      </c>
      <c r="G1119">
        <f>IF(A1119="","",'Employees'!D10)</f>
        <v/>
      </c>
    </row>
    <row r="1120">
      <c r="A1120">
        <f>IF(AND('Ratings'!A75&lt;&gt;"",'Ratings'!S5&lt;&gt;""),'Ratings'!A75,"")</f>
        <v/>
      </c>
      <c r="B1120">
        <f>IF(A1120="","",'Employees'!C10)</f>
        <v/>
      </c>
      <c r="C1120">
        <f>IF(A1120="","",'Ratings'!C75)</f>
        <v/>
      </c>
      <c r="D1120">
        <f>IF(A1120="","",'Ratings'!D75)</f>
        <v/>
      </c>
      <c r="E1120">
        <f>IF(AND('Ratings'!A75&lt;&gt;"",'Ratings'!S5&lt;&gt;""),'Ratings'!S5,"")</f>
        <v/>
      </c>
      <c r="F1120">
        <f>IF(OR(A1120="",'Ratings'!S75=""),"",'Ratings'!S75)</f>
        <v/>
      </c>
      <c r="G1120">
        <f>IF(A1120="","",'Employees'!D10)</f>
        <v/>
      </c>
    </row>
    <row r="1121">
      <c r="A1121">
        <f>IF(AND('Ratings'!A75&lt;&gt;"",'Ratings'!T5&lt;&gt;""),'Ratings'!A75,"")</f>
        <v/>
      </c>
      <c r="B1121">
        <f>IF(A1121="","",'Employees'!C10)</f>
        <v/>
      </c>
      <c r="C1121">
        <f>IF(A1121="","",'Ratings'!C75)</f>
        <v/>
      </c>
      <c r="D1121">
        <f>IF(A1121="","",'Ratings'!D75)</f>
        <v/>
      </c>
      <c r="E1121">
        <f>IF(AND('Ratings'!A75&lt;&gt;"",'Ratings'!T5&lt;&gt;""),'Ratings'!T5,"")</f>
        <v/>
      </c>
      <c r="F1121">
        <f>IF(OR(A1121="",'Ratings'!T75=""),"",'Ratings'!T75)</f>
        <v/>
      </c>
      <c r="G1121">
        <f>IF(A1121="","",'Employees'!D10)</f>
        <v/>
      </c>
    </row>
    <row r="1122">
      <c r="A1122">
        <f>IF(AND('Ratings'!A76&lt;&gt;"",'Ratings'!E5&lt;&gt;""),'Ratings'!A76,"")</f>
        <v/>
      </c>
      <c r="B1122">
        <f>IF(A1122="","",'Employees'!C10)</f>
        <v/>
      </c>
      <c r="C1122">
        <f>IF(A1122="","",'Ratings'!C76)</f>
        <v/>
      </c>
      <c r="D1122">
        <f>IF(A1122="","",'Ratings'!D76)</f>
        <v/>
      </c>
      <c r="E1122">
        <f>IF(AND('Ratings'!A76&lt;&gt;"",'Ratings'!E5&lt;&gt;""),'Ratings'!E5,"")</f>
        <v/>
      </c>
      <c r="F1122">
        <f>IF(OR(A1122="",'Ratings'!E76=""),"",'Ratings'!E76)</f>
        <v/>
      </c>
      <c r="G1122">
        <f>IF(A1122="","",'Employees'!D10)</f>
        <v/>
      </c>
    </row>
    <row r="1123">
      <c r="A1123">
        <f>IF(AND('Ratings'!A76&lt;&gt;"",'Ratings'!F5&lt;&gt;""),'Ratings'!A76,"")</f>
        <v/>
      </c>
      <c r="B1123">
        <f>IF(A1123="","",'Employees'!C10)</f>
        <v/>
      </c>
      <c r="C1123">
        <f>IF(A1123="","",'Ratings'!C76)</f>
        <v/>
      </c>
      <c r="D1123">
        <f>IF(A1123="","",'Ratings'!D76)</f>
        <v/>
      </c>
      <c r="E1123">
        <f>IF(AND('Ratings'!A76&lt;&gt;"",'Ratings'!F5&lt;&gt;""),'Ratings'!F5,"")</f>
        <v/>
      </c>
      <c r="F1123">
        <f>IF(OR(A1123="",'Ratings'!F76=""),"",'Ratings'!F76)</f>
        <v/>
      </c>
      <c r="G1123">
        <f>IF(A1123="","",'Employees'!D10)</f>
        <v/>
      </c>
    </row>
    <row r="1124">
      <c r="A1124">
        <f>IF(AND('Ratings'!A76&lt;&gt;"",'Ratings'!G5&lt;&gt;""),'Ratings'!A76,"")</f>
        <v/>
      </c>
      <c r="B1124">
        <f>IF(A1124="","",'Employees'!C10)</f>
        <v/>
      </c>
      <c r="C1124">
        <f>IF(A1124="","",'Ratings'!C76)</f>
        <v/>
      </c>
      <c r="D1124">
        <f>IF(A1124="","",'Ratings'!D76)</f>
        <v/>
      </c>
      <c r="E1124">
        <f>IF(AND('Ratings'!A76&lt;&gt;"",'Ratings'!G5&lt;&gt;""),'Ratings'!G5,"")</f>
        <v/>
      </c>
      <c r="F1124">
        <f>IF(OR(A1124="",'Ratings'!G76=""),"",'Ratings'!G76)</f>
        <v/>
      </c>
      <c r="G1124">
        <f>IF(A1124="","",'Employees'!D10)</f>
        <v/>
      </c>
    </row>
    <row r="1125">
      <c r="A1125">
        <f>IF(AND('Ratings'!A76&lt;&gt;"",'Ratings'!H5&lt;&gt;""),'Ratings'!A76,"")</f>
        <v/>
      </c>
      <c r="B1125">
        <f>IF(A1125="","",'Employees'!C10)</f>
        <v/>
      </c>
      <c r="C1125">
        <f>IF(A1125="","",'Ratings'!C76)</f>
        <v/>
      </c>
      <c r="D1125">
        <f>IF(A1125="","",'Ratings'!D76)</f>
        <v/>
      </c>
      <c r="E1125">
        <f>IF(AND('Ratings'!A76&lt;&gt;"",'Ratings'!H5&lt;&gt;""),'Ratings'!H5,"")</f>
        <v/>
      </c>
      <c r="F1125">
        <f>IF(OR(A1125="",'Ratings'!H76=""),"",'Ratings'!H76)</f>
        <v/>
      </c>
      <c r="G1125">
        <f>IF(A1125="","",'Employees'!D10)</f>
        <v/>
      </c>
    </row>
    <row r="1126">
      <c r="A1126">
        <f>IF(AND('Ratings'!A76&lt;&gt;"",'Ratings'!I5&lt;&gt;""),'Ratings'!A76,"")</f>
        <v/>
      </c>
      <c r="B1126">
        <f>IF(A1126="","",'Employees'!C10)</f>
        <v/>
      </c>
      <c r="C1126">
        <f>IF(A1126="","",'Ratings'!C76)</f>
        <v/>
      </c>
      <c r="D1126">
        <f>IF(A1126="","",'Ratings'!D76)</f>
        <v/>
      </c>
      <c r="E1126">
        <f>IF(AND('Ratings'!A76&lt;&gt;"",'Ratings'!I5&lt;&gt;""),'Ratings'!I5,"")</f>
        <v/>
      </c>
      <c r="F1126">
        <f>IF(OR(A1126="",'Ratings'!I76=""),"",'Ratings'!I76)</f>
        <v/>
      </c>
      <c r="G1126">
        <f>IF(A1126="","",'Employees'!D10)</f>
        <v/>
      </c>
    </row>
    <row r="1127">
      <c r="A1127">
        <f>IF(AND('Ratings'!A76&lt;&gt;"",'Ratings'!J5&lt;&gt;""),'Ratings'!A76,"")</f>
        <v/>
      </c>
      <c r="B1127">
        <f>IF(A1127="","",'Employees'!C10)</f>
        <v/>
      </c>
      <c r="C1127">
        <f>IF(A1127="","",'Ratings'!C76)</f>
        <v/>
      </c>
      <c r="D1127">
        <f>IF(A1127="","",'Ratings'!D76)</f>
        <v/>
      </c>
      <c r="E1127">
        <f>IF(AND('Ratings'!A76&lt;&gt;"",'Ratings'!J5&lt;&gt;""),'Ratings'!J5,"")</f>
        <v/>
      </c>
      <c r="F1127">
        <f>IF(OR(A1127="",'Ratings'!J76=""),"",'Ratings'!J76)</f>
        <v/>
      </c>
      <c r="G1127">
        <f>IF(A1127="","",'Employees'!D10)</f>
        <v/>
      </c>
    </row>
    <row r="1128">
      <c r="A1128">
        <f>IF(AND('Ratings'!A76&lt;&gt;"",'Ratings'!K5&lt;&gt;""),'Ratings'!A76,"")</f>
        <v/>
      </c>
      <c r="B1128">
        <f>IF(A1128="","",'Employees'!C10)</f>
        <v/>
      </c>
      <c r="C1128">
        <f>IF(A1128="","",'Ratings'!C76)</f>
        <v/>
      </c>
      <c r="D1128">
        <f>IF(A1128="","",'Ratings'!D76)</f>
        <v/>
      </c>
      <c r="E1128">
        <f>IF(AND('Ratings'!A76&lt;&gt;"",'Ratings'!K5&lt;&gt;""),'Ratings'!K5,"")</f>
        <v/>
      </c>
      <c r="F1128">
        <f>IF(OR(A1128="",'Ratings'!K76=""),"",'Ratings'!K76)</f>
        <v/>
      </c>
      <c r="G1128">
        <f>IF(A1128="","",'Employees'!D10)</f>
        <v/>
      </c>
    </row>
    <row r="1129">
      <c r="A1129">
        <f>IF(AND('Ratings'!A76&lt;&gt;"",'Ratings'!L5&lt;&gt;""),'Ratings'!A76,"")</f>
        <v/>
      </c>
      <c r="B1129">
        <f>IF(A1129="","",'Employees'!C10)</f>
        <v/>
      </c>
      <c r="C1129">
        <f>IF(A1129="","",'Ratings'!C76)</f>
        <v/>
      </c>
      <c r="D1129">
        <f>IF(A1129="","",'Ratings'!D76)</f>
        <v/>
      </c>
      <c r="E1129">
        <f>IF(AND('Ratings'!A76&lt;&gt;"",'Ratings'!L5&lt;&gt;""),'Ratings'!L5,"")</f>
        <v/>
      </c>
      <c r="F1129">
        <f>IF(OR(A1129="",'Ratings'!L76=""),"",'Ratings'!L76)</f>
        <v/>
      </c>
      <c r="G1129">
        <f>IF(A1129="","",'Employees'!D10)</f>
        <v/>
      </c>
    </row>
    <row r="1130">
      <c r="A1130">
        <f>IF(AND('Ratings'!A76&lt;&gt;"",'Ratings'!M5&lt;&gt;""),'Ratings'!A76,"")</f>
        <v/>
      </c>
      <c r="B1130">
        <f>IF(A1130="","",'Employees'!C10)</f>
        <v/>
      </c>
      <c r="C1130">
        <f>IF(A1130="","",'Ratings'!C76)</f>
        <v/>
      </c>
      <c r="D1130">
        <f>IF(A1130="","",'Ratings'!D76)</f>
        <v/>
      </c>
      <c r="E1130">
        <f>IF(AND('Ratings'!A76&lt;&gt;"",'Ratings'!M5&lt;&gt;""),'Ratings'!M5,"")</f>
        <v/>
      </c>
      <c r="F1130">
        <f>IF(OR(A1130="",'Ratings'!M76=""),"",'Ratings'!M76)</f>
        <v/>
      </c>
      <c r="G1130">
        <f>IF(A1130="","",'Employees'!D10)</f>
        <v/>
      </c>
    </row>
    <row r="1131">
      <c r="A1131">
        <f>IF(AND('Ratings'!A76&lt;&gt;"",'Ratings'!N5&lt;&gt;""),'Ratings'!A76,"")</f>
        <v/>
      </c>
      <c r="B1131">
        <f>IF(A1131="","",'Employees'!C10)</f>
        <v/>
      </c>
      <c r="C1131">
        <f>IF(A1131="","",'Ratings'!C76)</f>
        <v/>
      </c>
      <c r="D1131">
        <f>IF(A1131="","",'Ratings'!D76)</f>
        <v/>
      </c>
      <c r="E1131">
        <f>IF(AND('Ratings'!A76&lt;&gt;"",'Ratings'!N5&lt;&gt;""),'Ratings'!N5,"")</f>
        <v/>
      </c>
      <c r="F1131">
        <f>IF(OR(A1131="",'Ratings'!N76=""),"",'Ratings'!N76)</f>
        <v/>
      </c>
      <c r="G1131">
        <f>IF(A1131="","",'Employees'!D10)</f>
        <v/>
      </c>
    </row>
    <row r="1132">
      <c r="A1132">
        <f>IF(AND('Ratings'!A76&lt;&gt;"",'Ratings'!O5&lt;&gt;""),'Ratings'!A76,"")</f>
        <v/>
      </c>
      <c r="B1132">
        <f>IF(A1132="","",'Employees'!C10)</f>
        <v/>
      </c>
      <c r="C1132">
        <f>IF(A1132="","",'Ratings'!C76)</f>
        <v/>
      </c>
      <c r="D1132">
        <f>IF(A1132="","",'Ratings'!D76)</f>
        <v/>
      </c>
      <c r="E1132">
        <f>IF(AND('Ratings'!A76&lt;&gt;"",'Ratings'!O5&lt;&gt;""),'Ratings'!O5,"")</f>
        <v/>
      </c>
      <c r="F1132">
        <f>IF(OR(A1132="",'Ratings'!O76=""),"",'Ratings'!O76)</f>
        <v/>
      </c>
      <c r="G1132">
        <f>IF(A1132="","",'Employees'!D10)</f>
        <v/>
      </c>
    </row>
    <row r="1133">
      <c r="A1133">
        <f>IF(AND('Ratings'!A76&lt;&gt;"",'Ratings'!P5&lt;&gt;""),'Ratings'!A76,"")</f>
        <v/>
      </c>
      <c r="B1133">
        <f>IF(A1133="","",'Employees'!C10)</f>
        <v/>
      </c>
      <c r="C1133">
        <f>IF(A1133="","",'Ratings'!C76)</f>
        <v/>
      </c>
      <c r="D1133">
        <f>IF(A1133="","",'Ratings'!D76)</f>
        <v/>
      </c>
      <c r="E1133">
        <f>IF(AND('Ratings'!A76&lt;&gt;"",'Ratings'!P5&lt;&gt;""),'Ratings'!P5,"")</f>
        <v/>
      </c>
      <c r="F1133">
        <f>IF(OR(A1133="",'Ratings'!P76=""),"",'Ratings'!P76)</f>
        <v/>
      </c>
      <c r="G1133">
        <f>IF(A1133="","",'Employees'!D10)</f>
        <v/>
      </c>
    </row>
    <row r="1134">
      <c r="A1134">
        <f>IF(AND('Ratings'!A76&lt;&gt;"",'Ratings'!Q5&lt;&gt;""),'Ratings'!A76,"")</f>
        <v/>
      </c>
      <c r="B1134">
        <f>IF(A1134="","",'Employees'!C10)</f>
        <v/>
      </c>
      <c r="C1134">
        <f>IF(A1134="","",'Ratings'!C76)</f>
        <v/>
      </c>
      <c r="D1134">
        <f>IF(A1134="","",'Ratings'!D76)</f>
        <v/>
      </c>
      <c r="E1134">
        <f>IF(AND('Ratings'!A76&lt;&gt;"",'Ratings'!Q5&lt;&gt;""),'Ratings'!Q5,"")</f>
        <v/>
      </c>
      <c r="F1134">
        <f>IF(OR(A1134="",'Ratings'!Q76=""),"",'Ratings'!Q76)</f>
        <v/>
      </c>
      <c r="G1134">
        <f>IF(A1134="","",'Employees'!D10)</f>
        <v/>
      </c>
    </row>
    <row r="1135">
      <c r="A1135">
        <f>IF(AND('Ratings'!A76&lt;&gt;"",'Ratings'!R5&lt;&gt;""),'Ratings'!A76,"")</f>
        <v/>
      </c>
      <c r="B1135">
        <f>IF(A1135="","",'Employees'!C10)</f>
        <v/>
      </c>
      <c r="C1135">
        <f>IF(A1135="","",'Ratings'!C76)</f>
        <v/>
      </c>
      <c r="D1135">
        <f>IF(A1135="","",'Ratings'!D76)</f>
        <v/>
      </c>
      <c r="E1135">
        <f>IF(AND('Ratings'!A76&lt;&gt;"",'Ratings'!R5&lt;&gt;""),'Ratings'!R5,"")</f>
        <v/>
      </c>
      <c r="F1135">
        <f>IF(OR(A1135="",'Ratings'!R76=""),"",'Ratings'!R76)</f>
        <v/>
      </c>
      <c r="G1135">
        <f>IF(A1135="","",'Employees'!D10)</f>
        <v/>
      </c>
    </row>
    <row r="1136">
      <c r="A1136">
        <f>IF(AND('Ratings'!A76&lt;&gt;"",'Ratings'!S5&lt;&gt;""),'Ratings'!A76,"")</f>
        <v/>
      </c>
      <c r="B1136">
        <f>IF(A1136="","",'Employees'!C10)</f>
        <v/>
      </c>
      <c r="C1136">
        <f>IF(A1136="","",'Ratings'!C76)</f>
        <v/>
      </c>
      <c r="D1136">
        <f>IF(A1136="","",'Ratings'!D76)</f>
        <v/>
      </c>
      <c r="E1136">
        <f>IF(AND('Ratings'!A76&lt;&gt;"",'Ratings'!S5&lt;&gt;""),'Ratings'!S5,"")</f>
        <v/>
      </c>
      <c r="F1136">
        <f>IF(OR(A1136="",'Ratings'!S76=""),"",'Ratings'!S76)</f>
        <v/>
      </c>
      <c r="G1136">
        <f>IF(A1136="","",'Employees'!D10)</f>
        <v/>
      </c>
    </row>
    <row r="1137">
      <c r="A1137">
        <f>IF(AND('Ratings'!A76&lt;&gt;"",'Ratings'!T5&lt;&gt;""),'Ratings'!A76,"")</f>
        <v/>
      </c>
      <c r="B1137">
        <f>IF(A1137="","",'Employees'!C10)</f>
        <v/>
      </c>
      <c r="C1137">
        <f>IF(A1137="","",'Ratings'!C76)</f>
        <v/>
      </c>
      <c r="D1137">
        <f>IF(A1137="","",'Ratings'!D76)</f>
        <v/>
      </c>
      <c r="E1137">
        <f>IF(AND('Ratings'!A76&lt;&gt;"",'Ratings'!T5&lt;&gt;""),'Ratings'!T5,"")</f>
        <v/>
      </c>
      <c r="F1137">
        <f>IF(OR(A1137="",'Ratings'!T76=""),"",'Ratings'!T76)</f>
        <v/>
      </c>
      <c r="G1137">
        <f>IF(A1137="","",'Employees'!D10)</f>
        <v/>
      </c>
    </row>
    <row r="1138">
      <c r="A1138">
        <f>IF(AND('Ratings'!A77&lt;&gt;"",'Ratings'!E5&lt;&gt;""),'Ratings'!A77,"")</f>
        <v/>
      </c>
      <c r="B1138">
        <f>IF(A1138="","",'Employees'!C10)</f>
        <v/>
      </c>
      <c r="C1138">
        <f>IF(A1138="","",'Ratings'!C77)</f>
        <v/>
      </c>
      <c r="D1138">
        <f>IF(A1138="","",'Ratings'!D77)</f>
        <v/>
      </c>
      <c r="E1138">
        <f>IF(AND('Ratings'!A77&lt;&gt;"",'Ratings'!E5&lt;&gt;""),'Ratings'!E5,"")</f>
        <v/>
      </c>
      <c r="F1138">
        <f>IF(OR(A1138="",'Ratings'!E77=""),"",'Ratings'!E77)</f>
        <v/>
      </c>
      <c r="G1138">
        <f>IF(A1138="","",'Employees'!D10)</f>
        <v/>
      </c>
    </row>
    <row r="1139">
      <c r="A1139">
        <f>IF(AND('Ratings'!A77&lt;&gt;"",'Ratings'!F5&lt;&gt;""),'Ratings'!A77,"")</f>
        <v/>
      </c>
      <c r="B1139">
        <f>IF(A1139="","",'Employees'!C10)</f>
        <v/>
      </c>
      <c r="C1139">
        <f>IF(A1139="","",'Ratings'!C77)</f>
        <v/>
      </c>
      <c r="D1139">
        <f>IF(A1139="","",'Ratings'!D77)</f>
        <v/>
      </c>
      <c r="E1139">
        <f>IF(AND('Ratings'!A77&lt;&gt;"",'Ratings'!F5&lt;&gt;""),'Ratings'!F5,"")</f>
        <v/>
      </c>
      <c r="F1139">
        <f>IF(OR(A1139="",'Ratings'!F77=""),"",'Ratings'!F77)</f>
        <v/>
      </c>
      <c r="G1139">
        <f>IF(A1139="","",'Employees'!D10)</f>
        <v/>
      </c>
    </row>
    <row r="1140">
      <c r="A1140">
        <f>IF(AND('Ratings'!A77&lt;&gt;"",'Ratings'!G5&lt;&gt;""),'Ratings'!A77,"")</f>
        <v/>
      </c>
      <c r="B1140">
        <f>IF(A1140="","",'Employees'!C10)</f>
        <v/>
      </c>
      <c r="C1140">
        <f>IF(A1140="","",'Ratings'!C77)</f>
        <v/>
      </c>
      <c r="D1140">
        <f>IF(A1140="","",'Ratings'!D77)</f>
        <v/>
      </c>
      <c r="E1140">
        <f>IF(AND('Ratings'!A77&lt;&gt;"",'Ratings'!G5&lt;&gt;""),'Ratings'!G5,"")</f>
        <v/>
      </c>
      <c r="F1140">
        <f>IF(OR(A1140="",'Ratings'!G77=""),"",'Ratings'!G77)</f>
        <v/>
      </c>
      <c r="G1140">
        <f>IF(A1140="","",'Employees'!D10)</f>
        <v/>
      </c>
    </row>
    <row r="1141">
      <c r="A1141">
        <f>IF(AND('Ratings'!A77&lt;&gt;"",'Ratings'!H5&lt;&gt;""),'Ratings'!A77,"")</f>
        <v/>
      </c>
      <c r="B1141">
        <f>IF(A1141="","",'Employees'!C10)</f>
        <v/>
      </c>
      <c r="C1141">
        <f>IF(A1141="","",'Ratings'!C77)</f>
        <v/>
      </c>
      <c r="D1141">
        <f>IF(A1141="","",'Ratings'!D77)</f>
        <v/>
      </c>
      <c r="E1141">
        <f>IF(AND('Ratings'!A77&lt;&gt;"",'Ratings'!H5&lt;&gt;""),'Ratings'!H5,"")</f>
        <v/>
      </c>
      <c r="F1141">
        <f>IF(OR(A1141="",'Ratings'!H77=""),"",'Ratings'!H77)</f>
        <v/>
      </c>
      <c r="G1141">
        <f>IF(A1141="","",'Employees'!D10)</f>
        <v/>
      </c>
    </row>
    <row r="1142">
      <c r="A1142">
        <f>IF(AND('Ratings'!A77&lt;&gt;"",'Ratings'!I5&lt;&gt;""),'Ratings'!A77,"")</f>
        <v/>
      </c>
      <c r="B1142">
        <f>IF(A1142="","",'Employees'!C10)</f>
        <v/>
      </c>
      <c r="C1142">
        <f>IF(A1142="","",'Ratings'!C77)</f>
        <v/>
      </c>
      <c r="D1142">
        <f>IF(A1142="","",'Ratings'!D77)</f>
        <v/>
      </c>
      <c r="E1142">
        <f>IF(AND('Ratings'!A77&lt;&gt;"",'Ratings'!I5&lt;&gt;""),'Ratings'!I5,"")</f>
        <v/>
      </c>
      <c r="F1142">
        <f>IF(OR(A1142="",'Ratings'!I77=""),"",'Ratings'!I77)</f>
        <v/>
      </c>
      <c r="G1142">
        <f>IF(A1142="","",'Employees'!D10)</f>
        <v/>
      </c>
    </row>
    <row r="1143">
      <c r="A1143">
        <f>IF(AND('Ratings'!A77&lt;&gt;"",'Ratings'!J5&lt;&gt;""),'Ratings'!A77,"")</f>
        <v/>
      </c>
      <c r="B1143">
        <f>IF(A1143="","",'Employees'!C10)</f>
        <v/>
      </c>
      <c r="C1143">
        <f>IF(A1143="","",'Ratings'!C77)</f>
        <v/>
      </c>
      <c r="D1143">
        <f>IF(A1143="","",'Ratings'!D77)</f>
        <v/>
      </c>
      <c r="E1143">
        <f>IF(AND('Ratings'!A77&lt;&gt;"",'Ratings'!J5&lt;&gt;""),'Ratings'!J5,"")</f>
        <v/>
      </c>
      <c r="F1143">
        <f>IF(OR(A1143="",'Ratings'!J77=""),"",'Ratings'!J77)</f>
        <v/>
      </c>
      <c r="G1143">
        <f>IF(A1143="","",'Employees'!D10)</f>
        <v/>
      </c>
    </row>
    <row r="1144">
      <c r="A1144">
        <f>IF(AND('Ratings'!A77&lt;&gt;"",'Ratings'!K5&lt;&gt;""),'Ratings'!A77,"")</f>
        <v/>
      </c>
      <c r="B1144">
        <f>IF(A1144="","",'Employees'!C10)</f>
        <v/>
      </c>
      <c r="C1144">
        <f>IF(A1144="","",'Ratings'!C77)</f>
        <v/>
      </c>
      <c r="D1144">
        <f>IF(A1144="","",'Ratings'!D77)</f>
        <v/>
      </c>
      <c r="E1144">
        <f>IF(AND('Ratings'!A77&lt;&gt;"",'Ratings'!K5&lt;&gt;""),'Ratings'!K5,"")</f>
        <v/>
      </c>
      <c r="F1144">
        <f>IF(OR(A1144="",'Ratings'!K77=""),"",'Ratings'!K77)</f>
        <v/>
      </c>
      <c r="G1144">
        <f>IF(A1144="","",'Employees'!D10)</f>
        <v/>
      </c>
    </row>
    <row r="1145">
      <c r="A1145">
        <f>IF(AND('Ratings'!A77&lt;&gt;"",'Ratings'!L5&lt;&gt;""),'Ratings'!A77,"")</f>
        <v/>
      </c>
      <c r="B1145">
        <f>IF(A1145="","",'Employees'!C10)</f>
        <v/>
      </c>
      <c r="C1145">
        <f>IF(A1145="","",'Ratings'!C77)</f>
        <v/>
      </c>
      <c r="D1145">
        <f>IF(A1145="","",'Ratings'!D77)</f>
        <v/>
      </c>
      <c r="E1145">
        <f>IF(AND('Ratings'!A77&lt;&gt;"",'Ratings'!L5&lt;&gt;""),'Ratings'!L5,"")</f>
        <v/>
      </c>
      <c r="F1145">
        <f>IF(OR(A1145="",'Ratings'!L77=""),"",'Ratings'!L77)</f>
        <v/>
      </c>
      <c r="G1145">
        <f>IF(A1145="","",'Employees'!D10)</f>
        <v/>
      </c>
    </row>
    <row r="1146">
      <c r="A1146">
        <f>IF(AND('Ratings'!A77&lt;&gt;"",'Ratings'!M5&lt;&gt;""),'Ratings'!A77,"")</f>
        <v/>
      </c>
      <c r="B1146">
        <f>IF(A1146="","",'Employees'!C10)</f>
        <v/>
      </c>
      <c r="C1146">
        <f>IF(A1146="","",'Ratings'!C77)</f>
        <v/>
      </c>
      <c r="D1146">
        <f>IF(A1146="","",'Ratings'!D77)</f>
        <v/>
      </c>
      <c r="E1146">
        <f>IF(AND('Ratings'!A77&lt;&gt;"",'Ratings'!M5&lt;&gt;""),'Ratings'!M5,"")</f>
        <v/>
      </c>
      <c r="F1146">
        <f>IF(OR(A1146="",'Ratings'!M77=""),"",'Ratings'!M77)</f>
        <v/>
      </c>
      <c r="G1146">
        <f>IF(A1146="","",'Employees'!D10)</f>
        <v/>
      </c>
    </row>
    <row r="1147">
      <c r="A1147">
        <f>IF(AND('Ratings'!A77&lt;&gt;"",'Ratings'!N5&lt;&gt;""),'Ratings'!A77,"")</f>
        <v/>
      </c>
      <c r="B1147">
        <f>IF(A1147="","",'Employees'!C10)</f>
        <v/>
      </c>
      <c r="C1147">
        <f>IF(A1147="","",'Ratings'!C77)</f>
        <v/>
      </c>
      <c r="D1147">
        <f>IF(A1147="","",'Ratings'!D77)</f>
        <v/>
      </c>
      <c r="E1147">
        <f>IF(AND('Ratings'!A77&lt;&gt;"",'Ratings'!N5&lt;&gt;""),'Ratings'!N5,"")</f>
        <v/>
      </c>
      <c r="F1147">
        <f>IF(OR(A1147="",'Ratings'!N77=""),"",'Ratings'!N77)</f>
        <v/>
      </c>
      <c r="G1147">
        <f>IF(A1147="","",'Employees'!D10)</f>
        <v/>
      </c>
    </row>
    <row r="1148">
      <c r="A1148">
        <f>IF(AND('Ratings'!A77&lt;&gt;"",'Ratings'!O5&lt;&gt;""),'Ratings'!A77,"")</f>
        <v/>
      </c>
      <c r="B1148">
        <f>IF(A1148="","",'Employees'!C10)</f>
        <v/>
      </c>
      <c r="C1148">
        <f>IF(A1148="","",'Ratings'!C77)</f>
        <v/>
      </c>
      <c r="D1148">
        <f>IF(A1148="","",'Ratings'!D77)</f>
        <v/>
      </c>
      <c r="E1148">
        <f>IF(AND('Ratings'!A77&lt;&gt;"",'Ratings'!O5&lt;&gt;""),'Ratings'!O5,"")</f>
        <v/>
      </c>
      <c r="F1148">
        <f>IF(OR(A1148="",'Ratings'!O77=""),"",'Ratings'!O77)</f>
        <v/>
      </c>
      <c r="G1148">
        <f>IF(A1148="","",'Employees'!D10)</f>
        <v/>
      </c>
    </row>
    <row r="1149">
      <c r="A1149">
        <f>IF(AND('Ratings'!A77&lt;&gt;"",'Ratings'!P5&lt;&gt;""),'Ratings'!A77,"")</f>
        <v/>
      </c>
      <c r="B1149">
        <f>IF(A1149="","",'Employees'!C10)</f>
        <v/>
      </c>
      <c r="C1149">
        <f>IF(A1149="","",'Ratings'!C77)</f>
        <v/>
      </c>
      <c r="D1149">
        <f>IF(A1149="","",'Ratings'!D77)</f>
        <v/>
      </c>
      <c r="E1149">
        <f>IF(AND('Ratings'!A77&lt;&gt;"",'Ratings'!P5&lt;&gt;""),'Ratings'!P5,"")</f>
        <v/>
      </c>
      <c r="F1149">
        <f>IF(OR(A1149="",'Ratings'!P77=""),"",'Ratings'!P77)</f>
        <v/>
      </c>
      <c r="G1149">
        <f>IF(A1149="","",'Employees'!D10)</f>
        <v/>
      </c>
    </row>
    <row r="1150">
      <c r="A1150">
        <f>IF(AND('Ratings'!A77&lt;&gt;"",'Ratings'!Q5&lt;&gt;""),'Ratings'!A77,"")</f>
        <v/>
      </c>
      <c r="B1150">
        <f>IF(A1150="","",'Employees'!C10)</f>
        <v/>
      </c>
      <c r="C1150">
        <f>IF(A1150="","",'Ratings'!C77)</f>
        <v/>
      </c>
      <c r="D1150">
        <f>IF(A1150="","",'Ratings'!D77)</f>
        <v/>
      </c>
      <c r="E1150">
        <f>IF(AND('Ratings'!A77&lt;&gt;"",'Ratings'!Q5&lt;&gt;""),'Ratings'!Q5,"")</f>
        <v/>
      </c>
      <c r="F1150">
        <f>IF(OR(A1150="",'Ratings'!Q77=""),"",'Ratings'!Q77)</f>
        <v/>
      </c>
      <c r="G1150">
        <f>IF(A1150="","",'Employees'!D10)</f>
        <v/>
      </c>
    </row>
    <row r="1151">
      <c r="A1151">
        <f>IF(AND('Ratings'!A77&lt;&gt;"",'Ratings'!R5&lt;&gt;""),'Ratings'!A77,"")</f>
        <v/>
      </c>
      <c r="B1151">
        <f>IF(A1151="","",'Employees'!C10)</f>
        <v/>
      </c>
      <c r="C1151">
        <f>IF(A1151="","",'Ratings'!C77)</f>
        <v/>
      </c>
      <c r="D1151">
        <f>IF(A1151="","",'Ratings'!D77)</f>
        <v/>
      </c>
      <c r="E1151">
        <f>IF(AND('Ratings'!A77&lt;&gt;"",'Ratings'!R5&lt;&gt;""),'Ratings'!R5,"")</f>
        <v/>
      </c>
      <c r="F1151">
        <f>IF(OR(A1151="",'Ratings'!R77=""),"",'Ratings'!R77)</f>
        <v/>
      </c>
      <c r="G1151">
        <f>IF(A1151="","",'Employees'!D10)</f>
        <v/>
      </c>
    </row>
    <row r="1152">
      <c r="A1152">
        <f>IF(AND('Ratings'!A77&lt;&gt;"",'Ratings'!S5&lt;&gt;""),'Ratings'!A77,"")</f>
        <v/>
      </c>
      <c r="B1152">
        <f>IF(A1152="","",'Employees'!C10)</f>
        <v/>
      </c>
      <c r="C1152">
        <f>IF(A1152="","",'Ratings'!C77)</f>
        <v/>
      </c>
      <c r="D1152">
        <f>IF(A1152="","",'Ratings'!D77)</f>
        <v/>
      </c>
      <c r="E1152">
        <f>IF(AND('Ratings'!A77&lt;&gt;"",'Ratings'!S5&lt;&gt;""),'Ratings'!S5,"")</f>
        <v/>
      </c>
      <c r="F1152">
        <f>IF(OR(A1152="",'Ratings'!S77=""),"",'Ratings'!S77)</f>
        <v/>
      </c>
      <c r="G1152">
        <f>IF(A1152="","",'Employees'!D10)</f>
        <v/>
      </c>
    </row>
    <row r="1153">
      <c r="A1153">
        <f>IF(AND('Ratings'!A77&lt;&gt;"",'Ratings'!T5&lt;&gt;""),'Ratings'!A77,"")</f>
        <v/>
      </c>
      <c r="B1153">
        <f>IF(A1153="","",'Employees'!C10)</f>
        <v/>
      </c>
      <c r="C1153">
        <f>IF(A1153="","",'Ratings'!C77)</f>
        <v/>
      </c>
      <c r="D1153">
        <f>IF(A1153="","",'Ratings'!D77)</f>
        <v/>
      </c>
      <c r="E1153">
        <f>IF(AND('Ratings'!A77&lt;&gt;"",'Ratings'!T5&lt;&gt;""),'Ratings'!T5,"")</f>
        <v/>
      </c>
      <c r="F1153">
        <f>IF(OR(A1153="",'Ratings'!T77=""),"",'Ratings'!T77)</f>
        <v/>
      </c>
      <c r="G1153">
        <f>IF(A1153="","",'Employees'!D10)</f>
        <v/>
      </c>
    </row>
    <row r="1154">
      <c r="A1154">
        <f>IF(AND('Ratings'!A78&lt;&gt;"",'Ratings'!E5&lt;&gt;""),'Ratings'!A78,"")</f>
        <v/>
      </c>
      <c r="B1154">
        <f>IF(A1154="","",'Employees'!C10)</f>
        <v/>
      </c>
      <c r="C1154">
        <f>IF(A1154="","",'Ratings'!C78)</f>
        <v/>
      </c>
      <c r="D1154">
        <f>IF(A1154="","",'Ratings'!D78)</f>
        <v/>
      </c>
      <c r="E1154">
        <f>IF(AND('Ratings'!A78&lt;&gt;"",'Ratings'!E5&lt;&gt;""),'Ratings'!E5,"")</f>
        <v/>
      </c>
      <c r="F1154">
        <f>IF(OR(A1154="",'Ratings'!E78=""),"",'Ratings'!E78)</f>
        <v/>
      </c>
      <c r="G1154">
        <f>IF(A1154="","",'Employees'!D10)</f>
        <v/>
      </c>
    </row>
    <row r="1155">
      <c r="A1155">
        <f>IF(AND('Ratings'!A78&lt;&gt;"",'Ratings'!F5&lt;&gt;""),'Ratings'!A78,"")</f>
        <v/>
      </c>
      <c r="B1155">
        <f>IF(A1155="","",'Employees'!C10)</f>
        <v/>
      </c>
      <c r="C1155">
        <f>IF(A1155="","",'Ratings'!C78)</f>
        <v/>
      </c>
      <c r="D1155">
        <f>IF(A1155="","",'Ratings'!D78)</f>
        <v/>
      </c>
      <c r="E1155">
        <f>IF(AND('Ratings'!A78&lt;&gt;"",'Ratings'!F5&lt;&gt;""),'Ratings'!F5,"")</f>
        <v/>
      </c>
      <c r="F1155">
        <f>IF(OR(A1155="",'Ratings'!F78=""),"",'Ratings'!F78)</f>
        <v/>
      </c>
      <c r="G1155">
        <f>IF(A1155="","",'Employees'!D10)</f>
        <v/>
      </c>
    </row>
    <row r="1156">
      <c r="A1156">
        <f>IF(AND('Ratings'!A78&lt;&gt;"",'Ratings'!G5&lt;&gt;""),'Ratings'!A78,"")</f>
        <v/>
      </c>
      <c r="B1156">
        <f>IF(A1156="","",'Employees'!C10)</f>
        <v/>
      </c>
      <c r="C1156">
        <f>IF(A1156="","",'Ratings'!C78)</f>
        <v/>
      </c>
      <c r="D1156">
        <f>IF(A1156="","",'Ratings'!D78)</f>
        <v/>
      </c>
      <c r="E1156">
        <f>IF(AND('Ratings'!A78&lt;&gt;"",'Ratings'!G5&lt;&gt;""),'Ratings'!G5,"")</f>
        <v/>
      </c>
      <c r="F1156">
        <f>IF(OR(A1156="",'Ratings'!G78=""),"",'Ratings'!G78)</f>
        <v/>
      </c>
      <c r="G1156">
        <f>IF(A1156="","",'Employees'!D10)</f>
        <v/>
      </c>
    </row>
    <row r="1157">
      <c r="A1157">
        <f>IF(AND('Ratings'!A78&lt;&gt;"",'Ratings'!H5&lt;&gt;""),'Ratings'!A78,"")</f>
        <v/>
      </c>
      <c r="B1157">
        <f>IF(A1157="","",'Employees'!C10)</f>
        <v/>
      </c>
      <c r="C1157">
        <f>IF(A1157="","",'Ratings'!C78)</f>
        <v/>
      </c>
      <c r="D1157">
        <f>IF(A1157="","",'Ratings'!D78)</f>
        <v/>
      </c>
      <c r="E1157">
        <f>IF(AND('Ratings'!A78&lt;&gt;"",'Ratings'!H5&lt;&gt;""),'Ratings'!H5,"")</f>
        <v/>
      </c>
      <c r="F1157">
        <f>IF(OR(A1157="",'Ratings'!H78=""),"",'Ratings'!H78)</f>
        <v/>
      </c>
      <c r="G1157">
        <f>IF(A1157="","",'Employees'!D10)</f>
        <v/>
      </c>
    </row>
    <row r="1158">
      <c r="A1158">
        <f>IF(AND('Ratings'!A78&lt;&gt;"",'Ratings'!I5&lt;&gt;""),'Ratings'!A78,"")</f>
        <v/>
      </c>
      <c r="B1158">
        <f>IF(A1158="","",'Employees'!C10)</f>
        <v/>
      </c>
      <c r="C1158">
        <f>IF(A1158="","",'Ratings'!C78)</f>
        <v/>
      </c>
      <c r="D1158">
        <f>IF(A1158="","",'Ratings'!D78)</f>
        <v/>
      </c>
      <c r="E1158">
        <f>IF(AND('Ratings'!A78&lt;&gt;"",'Ratings'!I5&lt;&gt;""),'Ratings'!I5,"")</f>
        <v/>
      </c>
      <c r="F1158">
        <f>IF(OR(A1158="",'Ratings'!I78=""),"",'Ratings'!I78)</f>
        <v/>
      </c>
      <c r="G1158">
        <f>IF(A1158="","",'Employees'!D10)</f>
        <v/>
      </c>
    </row>
    <row r="1159">
      <c r="A1159">
        <f>IF(AND('Ratings'!A78&lt;&gt;"",'Ratings'!J5&lt;&gt;""),'Ratings'!A78,"")</f>
        <v/>
      </c>
      <c r="B1159">
        <f>IF(A1159="","",'Employees'!C10)</f>
        <v/>
      </c>
      <c r="C1159">
        <f>IF(A1159="","",'Ratings'!C78)</f>
        <v/>
      </c>
      <c r="D1159">
        <f>IF(A1159="","",'Ratings'!D78)</f>
        <v/>
      </c>
      <c r="E1159">
        <f>IF(AND('Ratings'!A78&lt;&gt;"",'Ratings'!J5&lt;&gt;""),'Ratings'!J5,"")</f>
        <v/>
      </c>
      <c r="F1159">
        <f>IF(OR(A1159="",'Ratings'!J78=""),"",'Ratings'!J78)</f>
        <v/>
      </c>
      <c r="G1159">
        <f>IF(A1159="","",'Employees'!D10)</f>
        <v/>
      </c>
    </row>
    <row r="1160">
      <c r="A1160">
        <f>IF(AND('Ratings'!A78&lt;&gt;"",'Ratings'!K5&lt;&gt;""),'Ratings'!A78,"")</f>
        <v/>
      </c>
      <c r="B1160">
        <f>IF(A1160="","",'Employees'!C10)</f>
        <v/>
      </c>
      <c r="C1160">
        <f>IF(A1160="","",'Ratings'!C78)</f>
        <v/>
      </c>
      <c r="D1160">
        <f>IF(A1160="","",'Ratings'!D78)</f>
        <v/>
      </c>
      <c r="E1160">
        <f>IF(AND('Ratings'!A78&lt;&gt;"",'Ratings'!K5&lt;&gt;""),'Ratings'!K5,"")</f>
        <v/>
      </c>
      <c r="F1160">
        <f>IF(OR(A1160="",'Ratings'!K78=""),"",'Ratings'!K78)</f>
        <v/>
      </c>
      <c r="G1160">
        <f>IF(A1160="","",'Employees'!D10)</f>
        <v/>
      </c>
    </row>
    <row r="1161">
      <c r="A1161">
        <f>IF(AND('Ratings'!A78&lt;&gt;"",'Ratings'!L5&lt;&gt;""),'Ratings'!A78,"")</f>
        <v/>
      </c>
      <c r="B1161">
        <f>IF(A1161="","",'Employees'!C10)</f>
        <v/>
      </c>
      <c r="C1161">
        <f>IF(A1161="","",'Ratings'!C78)</f>
        <v/>
      </c>
      <c r="D1161">
        <f>IF(A1161="","",'Ratings'!D78)</f>
        <v/>
      </c>
      <c r="E1161">
        <f>IF(AND('Ratings'!A78&lt;&gt;"",'Ratings'!L5&lt;&gt;""),'Ratings'!L5,"")</f>
        <v/>
      </c>
      <c r="F1161">
        <f>IF(OR(A1161="",'Ratings'!L78=""),"",'Ratings'!L78)</f>
        <v/>
      </c>
      <c r="G1161">
        <f>IF(A1161="","",'Employees'!D10)</f>
        <v/>
      </c>
    </row>
    <row r="1162">
      <c r="A1162">
        <f>IF(AND('Ratings'!A78&lt;&gt;"",'Ratings'!M5&lt;&gt;""),'Ratings'!A78,"")</f>
        <v/>
      </c>
      <c r="B1162">
        <f>IF(A1162="","",'Employees'!C10)</f>
        <v/>
      </c>
      <c r="C1162">
        <f>IF(A1162="","",'Ratings'!C78)</f>
        <v/>
      </c>
      <c r="D1162">
        <f>IF(A1162="","",'Ratings'!D78)</f>
        <v/>
      </c>
      <c r="E1162">
        <f>IF(AND('Ratings'!A78&lt;&gt;"",'Ratings'!M5&lt;&gt;""),'Ratings'!M5,"")</f>
        <v/>
      </c>
      <c r="F1162">
        <f>IF(OR(A1162="",'Ratings'!M78=""),"",'Ratings'!M78)</f>
        <v/>
      </c>
      <c r="G1162">
        <f>IF(A1162="","",'Employees'!D10)</f>
        <v/>
      </c>
    </row>
    <row r="1163">
      <c r="A1163">
        <f>IF(AND('Ratings'!A78&lt;&gt;"",'Ratings'!N5&lt;&gt;""),'Ratings'!A78,"")</f>
        <v/>
      </c>
      <c r="B1163">
        <f>IF(A1163="","",'Employees'!C10)</f>
        <v/>
      </c>
      <c r="C1163">
        <f>IF(A1163="","",'Ratings'!C78)</f>
        <v/>
      </c>
      <c r="D1163">
        <f>IF(A1163="","",'Ratings'!D78)</f>
        <v/>
      </c>
      <c r="E1163">
        <f>IF(AND('Ratings'!A78&lt;&gt;"",'Ratings'!N5&lt;&gt;""),'Ratings'!N5,"")</f>
        <v/>
      </c>
      <c r="F1163">
        <f>IF(OR(A1163="",'Ratings'!N78=""),"",'Ratings'!N78)</f>
        <v/>
      </c>
      <c r="G1163">
        <f>IF(A1163="","",'Employees'!D10)</f>
        <v/>
      </c>
    </row>
    <row r="1164">
      <c r="A1164">
        <f>IF(AND('Ratings'!A78&lt;&gt;"",'Ratings'!O5&lt;&gt;""),'Ratings'!A78,"")</f>
        <v/>
      </c>
      <c r="B1164">
        <f>IF(A1164="","",'Employees'!C10)</f>
        <v/>
      </c>
      <c r="C1164">
        <f>IF(A1164="","",'Ratings'!C78)</f>
        <v/>
      </c>
      <c r="D1164">
        <f>IF(A1164="","",'Ratings'!D78)</f>
        <v/>
      </c>
      <c r="E1164">
        <f>IF(AND('Ratings'!A78&lt;&gt;"",'Ratings'!O5&lt;&gt;""),'Ratings'!O5,"")</f>
        <v/>
      </c>
      <c r="F1164">
        <f>IF(OR(A1164="",'Ratings'!O78=""),"",'Ratings'!O78)</f>
        <v/>
      </c>
      <c r="G1164">
        <f>IF(A1164="","",'Employees'!D10)</f>
        <v/>
      </c>
    </row>
    <row r="1165">
      <c r="A1165">
        <f>IF(AND('Ratings'!A78&lt;&gt;"",'Ratings'!P5&lt;&gt;""),'Ratings'!A78,"")</f>
        <v/>
      </c>
      <c r="B1165">
        <f>IF(A1165="","",'Employees'!C10)</f>
        <v/>
      </c>
      <c r="C1165">
        <f>IF(A1165="","",'Ratings'!C78)</f>
        <v/>
      </c>
      <c r="D1165">
        <f>IF(A1165="","",'Ratings'!D78)</f>
        <v/>
      </c>
      <c r="E1165">
        <f>IF(AND('Ratings'!A78&lt;&gt;"",'Ratings'!P5&lt;&gt;""),'Ratings'!P5,"")</f>
        <v/>
      </c>
      <c r="F1165">
        <f>IF(OR(A1165="",'Ratings'!P78=""),"",'Ratings'!P78)</f>
        <v/>
      </c>
      <c r="G1165">
        <f>IF(A1165="","",'Employees'!D10)</f>
        <v/>
      </c>
    </row>
    <row r="1166">
      <c r="A1166">
        <f>IF(AND('Ratings'!A78&lt;&gt;"",'Ratings'!Q5&lt;&gt;""),'Ratings'!A78,"")</f>
        <v/>
      </c>
      <c r="B1166">
        <f>IF(A1166="","",'Employees'!C10)</f>
        <v/>
      </c>
      <c r="C1166">
        <f>IF(A1166="","",'Ratings'!C78)</f>
        <v/>
      </c>
      <c r="D1166">
        <f>IF(A1166="","",'Ratings'!D78)</f>
        <v/>
      </c>
      <c r="E1166">
        <f>IF(AND('Ratings'!A78&lt;&gt;"",'Ratings'!Q5&lt;&gt;""),'Ratings'!Q5,"")</f>
        <v/>
      </c>
      <c r="F1166">
        <f>IF(OR(A1166="",'Ratings'!Q78=""),"",'Ratings'!Q78)</f>
        <v/>
      </c>
      <c r="G1166">
        <f>IF(A1166="","",'Employees'!D10)</f>
        <v/>
      </c>
    </row>
    <row r="1167">
      <c r="A1167">
        <f>IF(AND('Ratings'!A78&lt;&gt;"",'Ratings'!R5&lt;&gt;""),'Ratings'!A78,"")</f>
        <v/>
      </c>
      <c r="B1167">
        <f>IF(A1167="","",'Employees'!C10)</f>
        <v/>
      </c>
      <c r="C1167">
        <f>IF(A1167="","",'Ratings'!C78)</f>
        <v/>
      </c>
      <c r="D1167">
        <f>IF(A1167="","",'Ratings'!D78)</f>
        <v/>
      </c>
      <c r="E1167">
        <f>IF(AND('Ratings'!A78&lt;&gt;"",'Ratings'!R5&lt;&gt;""),'Ratings'!R5,"")</f>
        <v/>
      </c>
      <c r="F1167">
        <f>IF(OR(A1167="",'Ratings'!R78=""),"",'Ratings'!R78)</f>
        <v/>
      </c>
      <c r="G1167">
        <f>IF(A1167="","",'Employees'!D10)</f>
        <v/>
      </c>
    </row>
    <row r="1168">
      <c r="A1168">
        <f>IF(AND('Ratings'!A78&lt;&gt;"",'Ratings'!S5&lt;&gt;""),'Ratings'!A78,"")</f>
        <v/>
      </c>
      <c r="B1168">
        <f>IF(A1168="","",'Employees'!C10)</f>
        <v/>
      </c>
      <c r="C1168">
        <f>IF(A1168="","",'Ratings'!C78)</f>
        <v/>
      </c>
      <c r="D1168">
        <f>IF(A1168="","",'Ratings'!D78)</f>
        <v/>
      </c>
      <c r="E1168">
        <f>IF(AND('Ratings'!A78&lt;&gt;"",'Ratings'!S5&lt;&gt;""),'Ratings'!S5,"")</f>
        <v/>
      </c>
      <c r="F1168">
        <f>IF(OR(A1168="",'Ratings'!S78=""),"",'Ratings'!S78)</f>
        <v/>
      </c>
      <c r="G1168">
        <f>IF(A1168="","",'Employees'!D10)</f>
        <v/>
      </c>
    </row>
    <row r="1169">
      <c r="A1169">
        <f>IF(AND('Ratings'!A78&lt;&gt;"",'Ratings'!T5&lt;&gt;""),'Ratings'!A78,"")</f>
        <v/>
      </c>
      <c r="B1169">
        <f>IF(A1169="","",'Employees'!C10)</f>
        <v/>
      </c>
      <c r="C1169">
        <f>IF(A1169="","",'Ratings'!C78)</f>
        <v/>
      </c>
      <c r="D1169">
        <f>IF(A1169="","",'Ratings'!D78)</f>
        <v/>
      </c>
      <c r="E1169">
        <f>IF(AND('Ratings'!A78&lt;&gt;"",'Ratings'!T5&lt;&gt;""),'Ratings'!T5,"")</f>
        <v/>
      </c>
      <c r="F1169">
        <f>IF(OR(A1169="",'Ratings'!T78=""),"",'Ratings'!T78)</f>
        <v/>
      </c>
      <c r="G1169">
        <f>IF(A1169="","",'Employees'!D10)</f>
        <v/>
      </c>
    </row>
    <row r="1170">
      <c r="A1170">
        <f>IF(AND('Ratings'!A79&lt;&gt;"",'Ratings'!E5&lt;&gt;""),'Ratings'!A79,"")</f>
        <v/>
      </c>
      <c r="B1170">
        <f>IF(A1170="","",'Employees'!C10)</f>
        <v/>
      </c>
      <c r="C1170">
        <f>IF(A1170="","",'Ratings'!C79)</f>
        <v/>
      </c>
      <c r="D1170">
        <f>IF(A1170="","",'Ratings'!D79)</f>
        <v/>
      </c>
      <c r="E1170">
        <f>IF(AND('Ratings'!A79&lt;&gt;"",'Ratings'!E5&lt;&gt;""),'Ratings'!E5,"")</f>
        <v/>
      </c>
      <c r="F1170">
        <f>IF(OR(A1170="",'Ratings'!E79=""),"",'Ratings'!E79)</f>
        <v/>
      </c>
      <c r="G1170">
        <f>IF(A1170="","",'Employees'!D10)</f>
        <v/>
      </c>
    </row>
    <row r="1171">
      <c r="A1171">
        <f>IF(AND('Ratings'!A79&lt;&gt;"",'Ratings'!F5&lt;&gt;""),'Ratings'!A79,"")</f>
        <v/>
      </c>
      <c r="B1171">
        <f>IF(A1171="","",'Employees'!C10)</f>
        <v/>
      </c>
      <c r="C1171">
        <f>IF(A1171="","",'Ratings'!C79)</f>
        <v/>
      </c>
      <c r="D1171">
        <f>IF(A1171="","",'Ratings'!D79)</f>
        <v/>
      </c>
      <c r="E1171">
        <f>IF(AND('Ratings'!A79&lt;&gt;"",'Ratings'!F5&lt;&gt;""),'Ratings'!F5,"")</f>
        <v/>
      </c>
      <c r="F1171">
        <f>IF(OR(A1171="",'Ratings'!F79=""),"",'Ratings'!F79)</f>
        <v/>
      </c>
      <c r="G1171">
        <f>IF(A1171="","",'Employees'!D10)</f>
        <v/>
      </c>
    </row>
    <row r="1172">
      <c r="A1172">
        <f>IF(AND('Ratings'!A79&lt;&gt;"",'Ratings'!G5&lt;&gt;""),'Ratings'!A79,"")</f>
        <v/>
      </c>
      <c r="B1172">
        <f>IF(A1172="","",'Employees'!C10)</f>
        <v/>
      </c>
      <c r="C1172">
        <f>IF(A1172="","",'Ratings'!C79)</f>
        <v/>
      </c>
      <c r="D1172">
        <f>IF(A1172="","",'Ratings'!D79)</f>
        <v/>
      </c>
      <c r="E1172">
        <f>IF(AND('Ratings'!A79&lt;&gt;"",'Ratings'!G5&lt;&gt;""),'Ratings'!G5,"")</f>
        <v/>
      </c>
      <c r="F1172">
        <f>IF(OR(A1172="",'Ratings'!G79=""),"",'Ratings'!G79)</f>
        <v/>
      </c>
      <c r="G1172">
        <f>IF(A1172="","",'Employees'!D10)</f>
        <v/>
      </c>
    </row>
    <row r="1173">
      <c r="A1173">
        <f>IF(AND('Ratings'!A79&lt;&gt;"",'Ratings'!H5&lt;&gt;""),'Ratings'!A79,"")</f>
        <v/>
      </c>
      <c r="B1173">
        <f>IF(A1173="","",'Employees'!C10)</f>
        <v/>
      </c>
      <c r="C1173">
        <f>IF(A1173="","",'Ratings'!C79)</f>
        <v/>
      </c>
      <c r="D1173">
        <f>IF(A1173="","",'Ratings'!D79)</f>
        <v/>
      </c>
      <c r="E1173">
        <f>IF(AND('Ratings'!A79&lt;&gt;"",'Ratings'!H5&lt;&gt;""),'Ratings'!H5,"")</f>
        <v/>
      </c>
      <c r="F1173">
        <f>IF(OR(A1173="",'Ratings'!H79=""),"",'Ratings'!H79)</f>
        <v/>
      </c>
      <c r="G1173">
        <f>IF(A1173="","",'Employees'!D10)</f>
        <v/>
      </c>
    </row>
    <row r="1174">
      <c r="A1174">
        <f>IF(AND('Ratings'!A79&lt;&gt;"",'Ratings'!I5&lt;&gt;""),'Ratings'!A79,"")</f>
        <v/>
      </c>
      <c r="B1174">
        <f>IF(A1174="","",'Employees'!C10)</f>
        <v/>
      </c>
      <c r="C1174">
        <f>IF(A1174="","",'Ratings'!C79)</f>
        <v/>
      </c>
      <c r="D1174">
        <f>IF(A1174="","",'Ratings'!D79)</f>
        <v/>
      </c>
      <c r="E1174">
        <f>IF(AND('Ratings'!A79&lt;&gt;"",'Ratings'!I5&lt;&gt;""),'Ratings'!I5,"")</f>
        <v/>
      </c>
      <c r="F1174">
        <f>IF(OR(A1174="",'Ratings'!I79=""),"",'Ratings'!I79)</f>
        <v/>
      </c>
      <c r="G1174">
        <f>IF(A1174="","",'Employees'!D10)</f>
        <v/>
      </c>
    </row>
    <row r="1175">
      <c r="A1175">
        <f>IF(AND('Ratings'!A79&lt;&gt;"",'Ratings'!J5&lt;&gt;""),'Ratings'!A79,"")</f>
        <v/>
      </c>
      <c r="B1175">
        <f>IF(A1175="","",'Employees'!C10)</f>
        <v/>
      </c>
      <c r="C1175">
        <f>IF(A1175="","",'Ratings'!C79)</f>
        <v/>
      </c>
      <c r="D1175">
        <f>IF(A1175="","",'Ratings'!D79)</f>
        <v/>
      </c>
      <c r="E1175">
        <f>IF(AND('Ratings'!A79&lt;&gt;"",'Ratings'!J5&lt;&gt;""),'Ratings'!J5,"")</f>
        <v/>
      </c>
      <c r="F1175">
        <f>IF(OR(A1175="",'Ratings'!J79=""),"",'Ratings'!J79)</f>
        <v/>
      </c>
      <c r="G1175">
        <f>IF(A1175="","",'Employees'!D10)</f>
        <v/>
      </c>
    </row>
    <row r="1176">
      <c r="A1176">
        <f>IF(AND('Ratings'!A79&lt;&gt;"",'Ratings'!K5&lt;&gt;""),'Ratings'!A79,"")</f>
        <v/>
      </c>
      <c r="B1176">
        <f>IF(A1176="","",'Employees'!C10)</f>
        <v/>
      </c>
      <c r="C1176">
        <f>IF(A1176="","",'Ratings'!C79)</f>
        <v/>
      </c>
      <c r="D1176">
        <f>IF(A1176="","",'Ratings'!D79)</f>
        <v/>
      </c>
      <c r="E1176">
        <f>IF(AND('Ratings'!A79&lt;&gt;"",'Ratings'!K5&lt;&gt;""),'Ratings'!K5,"")</f>
        <v/>
      </c>
      <c r="F1176">
        <f>IF(OR(A1176="",'Ratings'!K79=""),"",'Ratings'!K79)</f>
        <v/>
      </c>
      <c r="G1176">
        <f>IF(A1176="","",'Employees'!D10)</f>
        <v/>
      </c>
    </row>
    <row r="1177">
      <c r="A1177">
        <f>IF(AND('Ratings'!A79&lt;&gt;"",'Ratings'!L5&lt;&gt;""),'Ratings'!A79,"")</f>
        <v/>
      </c>
      <c r="B1177">
        <f>IF(A1177="","",'Employees'!C10)</f>
        <v/>
      </c>
      <c r="C1177">
        <f>IF(A1177="","",'Ratings'!C79)</f>
        <v/>
      </c>
      <c r="D1177">
        <f>IF(A1177="","",'Ratings'!D79)</f>
        <v/>
      </c>
      <c r="E1177">
        <f>IF(AND('Ratings'!A79&lt;&gt;"",'Ratings'!L5&lt;&gt;""),'Ratings'!L5,"")</f>
        <v/>
      </c>
      <c r="F1177">
        <f>IF(OR(A1177="",'Ratings'!L79=""),"",'Ratings'!L79)</f>
        <v/>
      </c>
      <c r="G1177">
        <f>IF(A1177="","",'Employees'!D10)</f>
        <v/>
      </c>
    </row>
    <row r="1178">
      <c r="A1178">
        <f>IF(AND('Ratings'!A79&lt;&gt;"",'Ratings'!M5&lt;&gt;""),'Ratings'!A79,"")</f>
        <v/>
      </c>
      <c r="B1178">
        <f>IF(A1178="","",'Employees'!C10)</f>
        <v/>
      </c>
      <c r="C1178">
        <f>IF(A1178="","",'Ratings'!C79)</f>
        <v/>
      </c>
      <c r="D1178">
        <f>IF(A1178="","",'Ratings'!D79)</f>
        <v/>
      </c>
      <c r="E1178">
        <f>IF(AND('Ratings'!A79&lt;&gt;"",'Ratings'!M5&lt;&gt;""),'Ratings'!M5,"")</f>
        <v/>
      </c>
      <c r="F1178">
        <f>IF(OR(A1178="",'Ratings'!M79=""),"",'Ratings'!M79)</f>
        <v/>
      </c>
      <c r="G1178">
        <f>IF(A1178="","",'Employees'!D10)</f>
        <v/>
      </c>
    </row>
    <row r="1179">
      <c r="A1179">
        <f>IF(AND('Ratings'!A79&lt;&gt;"",'Ratings'!N5&lt;&gt;""),'Ratings'!A79,"")</f>
        <v/>
      </c>
      <c r="B1179">
        <f>IF(A1179="","",'Employees'!C10)</f>
        <v/>
      </c>
      <c r="C1179">
        <f>IF(A1179="","",'Ratings'!C79)</f>
        <v/>
      </c>
      <c r="D1179">
        <f>IF(A1179="","",'Ratings'!D79)</f>
        <v/>
      </c>
      <c r="E1179">
        <f>IF(AND('Ratings'!A79&lt;&gt;"",'Ratings'!N5&lt;&gt;""),'Ratings'!N5,"")</f>
        <v/>
      </c>
      <c r="F1179">
        <f>IF(OR(A1179="",'Ratings'!N79=""),"",'Ratings'!N79)</f>
        <v/>
      </c>
      <c r="G1179">
        <f>IF(A1179="","",'Employees'!D10)</f>
        <v/>
      </c>
    </row>
    <row r="1180">
      <c r="A1180">
        <f>IF(AND('Ratings'!A79&lt;&gt;"",'Ratings'!O5&lt;&gt;""),'Ratings'!A79,"")</f>
        <v/>
      </c>
      <c r="B1180">
        <f>IF(A1180="","",'Employees'!C10)</f>
        <v/>
      </c>
      <c r="C1180">
        <f>IF(A1180="","",'Ratings'!C79)</f>
        <v/>
      </c>
      <c r="D1180">
        <f>IF(A1180="","",'Ratings'!D79)</f>
        <v/>
      </c>
      <c r="E1180">
        <f>IF(AND('Ratings'!A79&lt;&gt;"",'Ratings'!O5&lt;&gt;""),'Ratings'!O5,"")</f>
        <v/>
      </c>
      <c r="F1180">
        <f>IF(OR(A1180="",'Ratings'!O79=""),"",'Ratings'!O79)</f>
        <v/>
      </c>
      <c r="G1180">
        <f>IF(A1180="","",'Employees'!D10)</f>
        <v/>
      </c>
    </row>
    <row r="1181">
      <c r="A1181">
        <f>IF(AND('Ratings'!A79&lt;&gt;"",'Ratings'!P5&lt;&gt;""),'Ratings'!A79,"")</f>
        <v/>
      </c>
      <c r="B1181">
        <f>IF(A1181="","",'Employees'!C10)</f>
        <v/>
      </c>
      <c r="C1181">
        <f>IF(A1181="","",'Ratings'!C79)</f>
        <v/>
      </c>
      <c r="D1181">
        <f>IF(A1181="","",'Ratings'!D79)</f>
        <v/>
      </c>
      <c r="E1181">
        <f>IF(AND('Ratings'!A79&lt;&gt;"",'Ratings'!P5&lt;&gt;""),'Ratings'!P5,"")</f>
        <v/>
      </c>
      <c r="F1181">
        <f>IF(OR(A1181="",'Ratings'!P79=""),"",'Ratings'!P79)</f>
        <v/>
      </c>
      <c r="G1181">
        <f>IF(A1181="","",'Employees'!D10)</f>
        <v/>
      </c>
    </row>
    <row r="1182">
      <c r="A1182">
        <f>IF(AND('Ratings'!A79&lt;&gt;"",'Ratings'!Q5&lt;&gt;""),'Ratings'!A79,"")</f>
        <v/>
      </c>
      <c r="B1182">
        <f>IF(A1182="","",'Employees'!C10)</f>
        <v/>
      </c>
      <c r="C1182">
        <f>IF(A1182="","",'Ratings'!C79)</f>
        <v/>
      </c>
      <c r="D1182">
        <f>IF(A1182="","",'Ratings'!D79)</f>
        <v/>
      </c>
      <c r="E1182">
        <f>IF(AND('Ratings'!A79&lt;&gt;"",'Ratings'!Q5&lt;&gt;""),'Ratings'!Q5,"")</f>
        <v/>
      </c>
      <c r="F1182">
        <f>IF(OR(A1182="",'Ratings'!Q79=""),"",'Ratings'!Q79)</f>
        <v/>
      </c>
      <c r="G1182">
        <f>IF(A1182="","",'Employees'!D10)</f>
        <v/>
      </c>
    </row>
    <row r="1183">
      <c r="A1183">
        <f>IF(AND('Ratings'!A79&lt;&gt;"",'Ratings'!R5&lt;&gt;""),'Ratings'!A79,"")</f>
        <v/>
      </c>
      <c r="B1183">
        <f>IF(A1183="","",'Employees'!C10)</f>
        <v/>
      </c>
      <c r="C1183">
        <f>IF(A1183="","",'Ratings'!C79)</f>
        <v/>
      </c>
      <c r="D1183">
        <f>IF(A1183="","",'Ratings'!D79)</f>
        <v/>
      </c>
      <c r="E1183">
        <f>IF(AND('Ratings'!A79&lt;&gt;"",'Ratings'!R5&lt;&gt;""),'Ratings'!R5,"")</f>
        <v/>
      </c>
      <c r="F1183">
        <f>IF(OR(A1183="",'Ratings'!R79=""),"",'Ratings'!R79)</f>
        <v/>
      </c>
      <c r="G1183">
        <f>IF(A1183="","",'Employees'!D10)</f>
        <v/>
      </c>
    </row>
    <row r="1184">
      <c r="A1184">
        <f>IF(AND('Ratings'!A79&lt;&gt;"",'Ratings'!S5&lt;&gt;""),'Ratings'!A79,"")</f>
        <v/>
      </c>
      <c r="B1184">
        <f>IF(A1184="","",'Employees'!C10)</f>
        <v/>
      </c>
      <c r="C1184">
        <f>IF(A1184="","",'Ratings'!C79)</f>
        <v/>
      </c>
      <c r="D1184">
        <f>IF(A1184="","",'Ratings'!D79)</f>
        <v/>
      </c>
      <c r="E1184">
        <f>IF(AND('Ratings'!A79&lt;&gt;"",'Ratings'!S5&lt;&gt;""),'Ratings'!S5,"")</f>
        <v/>
      </c>
      <c r="F1184">
        <f>IF(OR(A1184="",'Ratings'!S79=""),"",'Ratings'!S79)</f>
        <v/>
      </c>
      <c r="G1184">
        <f>IF(A1184="","",'Employees'!D10)</f>
        <v/>
      </c>
    </row>
    <row r="1185">
      <c r="A1185">
        <f>IF(AND('Ratings'!A79&lt;&gt;"",'Ratings'!T5&lt;&gt;""),'Ratings'!A79,"")</f>
        <v/>
      </c>
      <c r="B1185">
        <f>IF(A1185="","",'Employees'!C10)</f>
        <v/>
      </c>
      <c r="C1185">
        <f>IF(A1185="","",'Ratings'!C79)</f>
        <v/>
      </c>
      <c r="D1185">
        <f>IF(A1185="","",'Ratings'!D79)</f>
        <v/>
      </c>
      <c r="E1185">
        <f>IF(AND('Ratings'!A79&lt;&gt;"",'Ratings'!T5&lt;&gt;""),'Ratings'!T5,"")</f>
        <v/>
      </c>
      <c r="F1185">
        <f>IF(OR(A1185="",'Ratings'!T79=""),"",'Ratings'!T79)</f>
        <v/>
      </c>
      <c r="G1185">
        <f>IF(A1185="","",'Employees'!D10)</f>
        <v/>
      </c>
    </row>
    <row r="1186">
      <c r="A1186">
        <f>IF(AND('Ratings'!A80&lt;&gt;"",'Ratings'!E5&lt;&gt;""),'Ratings'!A80,"")</f>
        <v/>
      </c>
      <c r="B1186">
        <f>IF(A1186="","",'Employees'!C10)</f>
        <v/>
      </c>
      <c r="C1186">
        <f>IF(A1186="","",'Ratings'!C80)</f>
        <v/>
      </c>
      <c r="D1186">
        <f>IF(A1186="","",'Ratings'!D80)</f>
        <v/>
      </c>
      <c r="E1186">
        <f>IF(AND('Ratings'!A80&lt;&gt;"",'Ratings'!E5&lt;&gt;""),'Ratings'!E5,"")</f>
        <v/>
      </c>
      <c r="F1186">
        <f>IF(OR(A1186="",'Ratings'!E80=""),"",'Ratings'!E80)</f>
        <v/>
      </c>
      <c r="G1186">
        <f>IF(A1186="","",'Employees'!D10)</f>
        <v/>
      </c>
    </row>
    <row r="1187">
      <c r="A1187">
        <f>IF(AND('Ratings'!A80&lt;&gt;"",'Ratings'!F5&lt;&gt;""),'Ratings'!A80,"")</f>
        <v/>
      </c>
      <c r="B1187">
        <f>IF(A1187="","",'Employees'!C10)</f>
        <v/>
      </c>
      <c r="C1187">
        <f>IF(A1187="","",'Ratings'!C80)</f>
        <v/>
      </c>
      <c r="D1187">
        <f>IF(A1187="","",'Ratings'!D80)</f>
        <v/>
      </c>
      <c r="E1187">
        <f>IF(AND('Ratings'!A80&lt;&gt;"",'Ratings'!F5&lt;&gt;""),'Ratings'!F5,"")</f>
        <v/>
      </c>
      <c r="F1187">
        <f>IF(OR(A1187="",'Ratings'!F80=""),"",'Ratings'!F80)</f>
        <v/>
      </c>
      <c r="G1187">
        <f>IF(A1187="","",'Employees'!D10)</f>
        <v/>
      </c>
    </row>
    <row r="1188">
      <c r="A1188">
        <f>IF(AND('Ratings'!A80&lt;&gt;"",'Ratings'!G5&lt;&gt;""),'Ratings'!A80,"")</f>
        <v/>
      </c>
      <c r="B1188">
        <f>IF(A1188="","",'Employees'!C10)</f>
        <v/>
      </c>
      <c r="C1188">
        <f>IF(A1188="","",'Ratings'!C80)</f>
        <v/>
      </c>
      <c r="D1188">
        <f>IF(A1188="","",'Ratings'!D80)</f>
        <v/>
      </c>
      <c r="E1188">
        <f>IF(AND('Ratings'!A80&lt;&gt;"",'Ratings'!G5&lt;&gt;""),'Ratings'!G5,"")</f>
        <v/>
      </c>
      <c r="F1188">
        <f>IF(OR(A1188="",'Ratings'!G80=""),"",'Ratings'!G80)</f>
        <v/>
      </c>
      <c r="G1188">
        <f>IF(A1188="","",'Employees'!D10)</f>
        <v/>
      </c>
    </row>
    <row r="1189">
      <c r="A1189">
        <f>IF(AND('Ratings'!A80&lt;&gt;"",'Ratings'!H5&lt;&gt;""),'Ratings'!A80,"")</f>
        <v/>
      </c>
      <c r="B1189">
        <f>IF(A1189="","",'Employees'!C10)</f>
        <v/>
      </c>
      <c r="C1189">
        <f>IF(A1189="","",'Ratings'!C80)</f>
        <v/>
      </c>
      <c r="D1189">
        <f>IF(A1189="","",'Ratings'!D80)</f>
        <v/>
      </c>
      <c r="E1189">
        <f>IF(AND('Ratings'!A80&lt;&gt;"",'Ratings'!H5&lt;&gt;""),'Ratings'!H5,"")</f>
        <v/>
      </c>
      <c r="F1189">
        <f>IF(OR(A1189="",'Ratings'!H80=""),"",'Ratings'!H80)</f>
        <v/>
      </c>
      <c r="G1189">
        <f>IF(A1189="","",'Employees'!D10)</f>
        <v/>
      </c>
    </row>
    <row r="1190">
      <c r="A1190">
        <f>IF(AND('Ratings'!A80&lt;&gt;"",'Ratings'!I5&lt;&gt;""),'Ratings'!A80,"")</f>
        <v/>
      </c>
      <c r="B1190">
        <f>IF(A1190="","",'Employees'!C10)</f>
        <v/>
      </c>
      <c r="C1190">
        <f>IF(A1190="","",'Ratings'!C80)</f>
        <v/>
      </c>
      <c r="D1190">
        <f>IF(A1190="","",'Ratings'!D80)</f>
        <v/>
      </c>
      <c r="E1190">
        <f>IF(AND('Ratings'!A80&lt;&gt;"",'Ratings'!I5&lt;&gt;""),'Ratings'!I5,"")</f>
        <v/>
      </c>
      <c r="F1190">
        <f>IF(OR(A1190="",'Ratings'!I80=""),"",'Ratings'!I80)</f>
        <v/>
      </c>
      <c r="G1190">
        <f>IF(A1190="","",'Employees'!D10)</f>
        <v/>
      </c>
    </row>
    <row r="1191">
      <c r="A1191">
        <f>IF(AND('Ratings'!A80&lt;&gt;"",'Ratings'!J5&lt;&gt;""),'Ratings'!A80,"")</f>
        <v/>
      </c>
      <c r="B1191">
        <f>IF(A1191="","",'Employees'!C10)</f>
        <v/>
      </c>
      <c r="C1191">
        <f>IF(A1191="","",'Ratings'!C80)</f>
        <v/>
      </c>
      <c r="D1191">
        <f>IF(A1191="","",'Ratings'!D80)</f>
        <v/>
      </c>
      <c r="E1191">
        <f>IF(AND('Ratings'!A80&lt;&gt;"",'Ratings'!J5&lt;&gt;""),'Ratings'!J5,"")</f>
        <v/>
      </c>
      <c r="F1191">
        <f>IF(OR(A1191="",'Ratings'!J80=""),"",'Ratings'!J80)</f>
        <v/>
      </c>
      <c r="G1191">
        <f>IF(A1191="","",'Employees'!D10)</f>
        <v/>
      </c>
    </row>
    <row r="1192">
      <c r="A1192">
        <f>IF(AND('Ratings'!A80&lt;&gt;"",'Ratings'!K5&lt;&gt;""),'Ratings'!A80,"")</f>
        <v/>
      </c>
      <c r="B1192">
        <f>IF(A1192="","",'Employees'!C10)</f>
        <v/>
      </c>
      <c r="C1192">
        <f>IF(A1192="","",'Ratings'!C80)</f>
        <v/>
      </c>
      <c r="D1192">
        <f>IF(A1192="","",'Ratings'!D80)</f>
        <v/>
      </c>
      <c r="E1192">
        <f>IF(AND('Ratings'!A80&lt;&gt;"",'Ratings'!K5&lt;&gt;""),'Ratings'!K5,"")</f>
        <v/>
      </c>
      <c r="F1192">
        <f>IF(OR(A1192="",'Ratings'!K80=""),"",'Ratings'!K80)</f>
        <v/>
      </c>
      <c r="G1192">
        <f>IF(A1192="","",'Employees'!D10)</f>
        <v/>
      </c>
    </row>
    <row r="1193">
      <c r="A1193">
        <f>IF(AND('Ratings'!A80&lt;&gt;"",'Ratings'!L5&lt;&gt;""),'Ratings'!A80,"")</f>
        <v/>
      </c>
      <c r="B1193">
        <f>IF(A1193="","",'Employees'!C10)</f>
        <v/>
      </c>
      <c r="C1193">
        <f>IF(A1193="","",'Ratings'!C80)</f>
        <v/>
      </c>
      <c r="D1193">
        <f>IF(A1193="","",'Ratings'!D80)</f>
        <v/>
      </c>
      <c r="E1193">
        <f>IF(AND('Ratings'!A80&lt;&gt;"",'Ratings'!L5&lt;&gt;""),'Ratings'!L5,"")</f>
        <v/>
      </c>
      <c r="F1193">
        <f>IF(OR(A1193="",'Ratings'!L80=""),"",'Ratings'!L80)</f>
        <v/>
      </c>
      <c r="G1193">
        <f>IF(A1193="","",'Employees'!D10)</f>
        <v/>
      </c>
    </row>
    <row r="1194">
      <c r="A1194">
        <f>IF(AND('Ratings'!A80&lt;&gt;"",'Ratings'!M5&lt;&gt;""),'Ratings'!A80,"")</f>
        <v/>
      </c>
      <c r="B1194">
        <f>IF(A1194="","",'Employees'!C10)</f>
        <v/>
      </c>
      <c r="C1194">
        <f>IF(A1194="","",'Ratings'!C80)</f>
        <v/>
      </c>
      <c r="D1194">
        <f>IF(A1194="","",'Ratings'!D80)</f>
        <v/>
      </c>
      <c r="E1194">
        <f>IF(AND('Ratings'!A80&lt;&gt;"",'Ratings'!M5&lt;&gt;""),'Ratings'!M5,"")</f>
        <v/>
      </c>
      <c r="F1194">
        <f>IF(OR(A1194="",'Ratings'!M80=""),"",'Ratings'!M80)</f>
        <v/>
      </c>
      <c r="G1194">
        <f>IF(A1194="","",'Employees'!D10)</f>
        <v/>
      </c>
    </row>
    <row r="1195">
      <c r="A1195">
        <f>IF(AND('Ratings'!A80&lt;&gt;"",'Ratings'!N5&lt;&gt;""),'Ratings'!A80,"")</f>
        <v/>
      </c>
      <c r="B1195">
        <f>IF(A1195="","",'Employees'!C10)</f>
        <v/>
      </c>
      <c r="C1195">
        <f>IF(A1195="","",'Ratings'!C80)</f>
        <v/>
      </c>
      <c r="D1195">
        <f>IF(A1195="","",'Ratings'!D80)</f>
        <v/>
      </c>
      <c r="E1195">
        <f>IF(AND('Ratings'!A80&lt;&gt;"",'Ratings'!N5&lt;&gt;""),'Ratings'!N5,"")</f>
        <v/>
      </c>
      <c r="F1195">
        <f>IF(OR(A1195="",'Ratings'!N80=""),"",'Ratings'!N80)</f>
        <v/>
      </c>
      <c r="G1195">
        <f>IF(A1195="","",'Employees'!D10)</f>
        <v/>
      </c>
    </row>
    <row r="1196">
      <c r="A1196">
        <f>IF(AND('Ratings'!A80&lt;&gt;"",'Ratings'!O5&lt;&gt;""),'Ratings'!A80,"")</f>
        <v/>
      </c>
      <c r="B1196">
        <f>IF(A1196="","",'Employees'!C10)</f>
        <v/>
      </c>
      <c r="C1196">
        <f>IF(A1196="","",'Ratings'!C80)</f>
        <v/>
      </c>
      <c r="D1196">
        <f>IF(A1196="","",'Ratings'!D80)</f>
        <v/>
      </c>
      <c r="E1196">
        <f>IF(AND('Ratings'!A80&lt;&gt;"",'Ratings'!O5&lt;&gt;""),'Ratings'!O5,"")</f>
        <v/>
      </c>
      <c r="F1196">
        <f>IF(OR(A1196="",'Ratings'!O80=""),"",'Ratings'!O80)</f>
        <v/>
      </c>
      <c r="G1196">
        <f>IF(A1196="","",'Employees'!D10)</f>
        <v/>
      </c>
    </row>
    <row r="1197">
      <c r="A1197">
        <f>IF(AND('Ratings'!A80&lt;&gt;"",'Ratings'!P5&lt;&gt;""),'Ratings'!A80,"")</f>
        <v/>
      </c>
      <c r="B1197">
        <f>IF(A1197="","",'Employees'!C10)</f>
        <v/>
      </c>
      <c r="C1197">
        <f>IF(A1197="","",'Ratings'!C80)</f>
        <v/>
      </c>
      <c r="D1197">
        <f>IF(A1197="","",'Ratings'!D80)</f>
        <v/>
      </c>
      <c r="E1197">
        <f>IF(AND('Ratings'!A80&lt;&gt;"",'Ratings'!P5&lt;&gt;""),'Ratings'!P5,"")</f>
        <v/>
      </c>
      <c r="F1197">
        <f>IF(OR(A1197="",'Ratings'!P80=""),"",'Ratings'!P80)</f>
        <v/>
      </c>
      <c r="G1197">
        <f>IF(A1197="","",'Employees'!D10)</f>
        <v/>
      </c>
    </row>
    <row r="1198">
      <c r="A1198">
        <f>IF(AND('Ratings'!A80&lt;&gt;"",'Ratings'!Q5&lt;&gt;""),'Ratings'!A80,"")</f>
        <v/>
      </c>
      <c r="B1198">
        <f>IF(A1198="","",'Employees'!C10)</f>
        <v/>
      </c>
      <c r="C1198">
        <f>IF(A1198="","",'Ratings'!C80)</f>
        <v/>
      </c>
      <c r="D1198">
        <f>IF(A1198="","",'Ratings'!D80)</f>
        <v/>
      </c>
      <c r="E1198">
        <f>IF(AND('Ratings'!A80&lt;&gt;"",'Ratings'!Q5&lt;&gt;""),'Ratings'!Q5,"")</f>
        <v/>
      </c>
      <c r="F1198">
        <f>IF(OR(A1198="",'Ratings'!Q80=""),"",'Ratings'!Q80)</f>
        <v/>
      </c>
      <c r="G1198">
        <f>IF(A1198="","",'Employees'!D10)</f>
        <v/>
      </c>
    </row>
    <row r="1199">
      <c r="A1199">
        <f>IF(AND('Ratings'!A80&lt;&gt;"",'Ratings'!R5&lt;&gt;""),'Ratings'!A80,"")</f>
        <v/>
      </c>
      <c r="B1199">
        <f>IF(A1199="","",'Employees'!C10)</f>
        <v/>
      </c>
      <c r="C1199">
        <f>IF(A1199="","",'Ratings'!C80)</f>
        <v/>
      </c>
      <c r="D1199">
        <f>IF(A1199="","",'Ratings'!D80)</f>
        <v/>
      </c>
      <c r="E1199">
        <f>IF(AND('Ratings'!A80&lt;&gt;"",'Ratings'!R5&lt;&gt;""),'Ratings'!R5,"")</f>
        <v/>
      </c>
      <c r="F1199">
        <f>IF(OR(A1199="",'Ratings'!R80=""),"",'Ratings'!R80)</f>
        <v/>
      </c>
      <c r="G1199">
        <f>IF(A1199="","",'Employees'!D10)</f>
        <v/>
      </c>
    </row>
    <row r="1200">
      <c r="A1200">
        <f>IF(AND('Ratings'!A80&lt;&gt;"",'Ratings'!S5&lt;&gt;""),'Ratings'!A80,"")</f>
        <v/>
      </c>
      <c r="B1200">
        <f>IF(A1200="","",'Employees'!C10)</f>
        <v/>
      </c>
      <c r="C1200">
        <f>IF(A1200="","",'Ratings'!C80)</f>
        <v/>
      </c>
      <c r="D1200">
        <f>IF(A1200="","",'Ratings'!D80)</f>
        <v/>
      </c>
      <c r="E1200">
        <f>IF(AND('Ratings'!A80&lt;&gt;"",'Ratings'!S5&lt;&gt;""),'Ratings'!S5,"")</f>
        <v/>
      </c>
      <c r="F1200">
        <f>IF(OR(A1200="",'Ratings'!S80=""),"",'Ratings'!S80)</f>
        <v/>
      </c>
      <c r="G1200">
        <f>IF(A1200="","",'Employees'!D10)</f>
        <v/>
      </c>
    </row>
    <row r="1201">
      <c r="A1201">
        <f>IF(AND('Ratings'!A80&lt;&gt;"",'Ratings'!T5&lt;&gt;""),'Ratings'!A80,"")</f>
        <v/>
      </c>
      <c r="B1201">
        <f>IF(A1201="","",'Employees'!C10)</f>
        <v/>
      </c>
      <c r="C1201">
        <f>IF(A1201="","",'Ratings'!C80)</f>
        <v/>
      </c>
      <c r="D1201">
        <f>IF(A1201="","",'Ratings'!D80)</f>
        <v/>
      </c>
      <c r="E1201">
        <f>IF(AND('Ratings'!A80&lt;&gt;"",'Ratings'!T5&lt;&gt;""),'Ratings'!T5,"")</f>
        <v/>
      </c>
      <c r="F1201">
        <f>IF(OR(A1201="",'Ratings'!T80=""),"",'Ratings'!T80)</f>
        <v/>
      </c>
      <c r="G1201">
        <f>IF(A1201="","",'Employees'!D10)</f>
        <v/>
      </c>
    </row>
    <row r="1202">
      <c r="A1202">
        <f>IF(AND('Ratings'!A81&lt;&gt;"",'Ratings'!E5&lt;&gt;""),'Ratings'!A81,"")</f>
        <v/>
      </c>
      <c r="B1202">
        <f>IF(A1202="","",'Employees'!C10)</f>
        <v/>
      </c>
      <c r="C1202">
        <f>IF(A1202="","",'Ratings'!C81)</f>
        <v/>
      </c>
      <c r="D1202">
        <f>IF(A1202="","",'Ratings'!D81)</f>
        <v/>
      </c>
      <c r="E1202">
        <f>IF(AND('Ratings'!A81&lt;&gt;"",'Ratings'!E5&lt;&gt;""),'Ratings'!E5,"")</f>
        <v/>
      </c>
      <c r="F1202">
        <f>IF(OR(A1202="",'Ratings'!E81=""),"",'Ratings'!E81)</f>
        <v/>
      </c>
      <c r="G1202">
        <f>IF(A1202="","",'Employees'!D10)</f>
        <v/>
      </c>
    </row>
    <row r="1203">
      <c r="A1203">
        <f>IF(AND('Ratings'!A81&lt;&gt;"",'Ratings'!F5&lt;&gt;""),'Ratings'!A81,"")</f>
        <v/>
      </c>
      <c r="B1203">
        <f>IF(A1203="","",'Employees'!C10)</f>
        <v/>
      </c>
      <c r="C1203">
        <f>IF(A1203="","",'Ratings'!C81)</f>
        <v/>
      </c>
      <c r="D1203">
        <f>IF(A1203="","",'Ratings'!D81)</f>
        <v/>
      </c>
      <c r="E1203">
        <f>IF(AND('Ratings'!A81&lt;&gt;"",'Ratings'!F5&lt;&gt;""),'Ratings'!F5,"")</f>
        <v/>
      </c>
      <c r="F1203">
        <f>IF(OR(A1203="",'Ratings'!F81=""),"",'Ratings'!F81)</f>
        <v/>
      </c>
      <c r="G1203">
        <f>IF(A1203="","",'Employees'!D10)</f>
        <v/>
      </c>
    </row>
    <row r="1204">
      <c r="A1204">
        <f>IF(AND('Ratings'!A81&lt;&gt;"",'Ratings'!G5&lt;&gt;""),'Ratings'!A81,"")</f>
        <v/>
      </c>
      <c r="B1204">
        <f>IF(A1204="","",'Employees'!C10)</f>
        <v/>
      </c>
      <c r="C1204">
        <f>IF(A1204="","",'Ratings'!C81)</f>
        <v/>
      </c>
      <c r="D1204">
        <f>IF(A1204="","",'Ratings'!D81)</f>
        <v/>
      </c>
      <c r="E1204">
        <f>IF(AND('Ratings'!A81&lt;&gt;"",'Ratings'!G5&lt;&gt;""),'Ratings'!G5,"")</f>
        <v/>
      </c>
      <c r="F1204">
        <f>IF(OR(A1204="",'Ratings'!G81=""),"",'Ratings'!G81)</f>
        <v/>
      </c>
      <c r="G1204">
        <f>IF(A1204="","",'Employees'!D10)</f>
        <v/>
      </c>
    </row>
    <row r="1205">
      <c r="A1205">
        <f>IF(AND('Ratings'!A81&lt;&gt;"",'Ratings'!H5&lt;&gt;""),'Ratings'!A81,"")</f>
        <v/>
      </c>
      <c r="B1205">
        <f>IF(A1205="","",'Employees'!C10)</f>
        <v/>
      </c>
      <c r="C1205">
        <f>IF(A1205="","",'Ratings'!C81)</f>
        <v/>
      </c>
      <c r="D1205">
        <f>IF(A1205="","",'Ratings'!D81)</f>
        <v/>
      </c>
      <c r="E1205">
        <f>IF(AND('Ratings'!A81&lt;&gt;"",'Ratings'!H5&lt;&gt;""),'Ratings'!H5,"")</f>
        <v/>
      </c>
      <c r="F1205">
        <f>IF(OR(A1205="",'Ratings'!H81=""),"",'Ratings'!H81)</f>
        <v/>
      </c>
      <c r="G1205">
        <f>IF(A1205="","",'Employees'!D10)</f>
        <v/>
      </c>
    </row>
    <row r="1206">
      <c r="A1206">
        <f>IF(AND('Ratings'!A81&lt;&gt;"",'Ratings'!I5&lt;&gt;""),'Ratings'!A81,"")</f>
        <v/>
      </c>
      <c r="B1206">
        <f>IF(A1206="","",'Employees'!C10)</f>
        <v/>
      </c>
      <c r="C1206">
        <f>IF(A1206="","",'Ratings'!C81)</f>
        <v/>
      </c>
      <c r="D1206">
        <f>IF(A1206="","",'Ratings'!D81)</f>
        <v/>
      </c>
      <c r="E1206">
        <f>IF(AND('Ratings'!A81&lt;&gt;"",'Ratings'!I5&lt;&gt;""),'Ratings'!I5,"")</f>
        <v/>
      </c>
      <c r="F1206">
        <f>IF(OR(A1206="",'Ratings'!I81=""),"",'Ratings'!I81)</f>
        <v/>
      </c>
      <c r="G1206">
        <f>IF(A1206="","",'Employees'!D10)</f>
        <v/>
      </c>
    </row>
    <row r="1207">
      <c r="A1207">
        <f>IF(AND('Ratings'!A81&lt;&gt;"",'Ratings'!J5&lt;&gt;""),'Ratings'!A81,"")</f>
        <v/>
      </c>
      <c r="B1207">
        <f>IF(A1207="","",'Employees'!C10)</f>
        <v/>
      </c>
      <c r="C1207">
        <f>IF(A1207="","",'Ratings'!C81)</f>
        <v/>
      </c>
      <c r="D1207">
        <f>IF(A1207="","",'Ratings'!D81)</f>
        <v/>
      </c>
      <c r="E1207">
        <f>IF(AND('Ratings'!A81&lt;&gt;"",'Ratings'!J5&lt;&gt;""),'Ratings'!J5,"")</f>
        <v/>
      </c>
      <c r="F1207">
        <f>IF(OR(A1207="",'Ratings'!J81=""),"",'Ratings'!J81)</f>
        <v/>
      </c>
      <c r="G1207">
        <f>IF(A1207="","",'Employees'!D10)</f>
        <v/>
      </c>
    </row>
    <row r="1208">
      <c r="A1208">
        <f>IF(AND('Ratings'!A81&lt;&gt;"",'Ratings'!K5&lt;&gt;""),'Ratings'!A81,"")</f>
        <v/>
      </c>
      <c r="B1208">
        <f>IF(A1208="","",'Employees'!C10)</f>
        <v/>
      </c>
      <c r="C1208">
        <f>IF(A1208="","",'Ratings'!C81)</f>
        <v/>
      </c>
      <c r="D1208">
        <f>IF(A1208="","",'Ratings'!D81)</f>
        <v/>
      </c>
      <c r="E1208">
        <f>IF(AND('Ratings'!A81&lt;&gt;"",'Ratings'!K5&lt;&gt;""),'Ratings'!K5,"")</f>
        <v/>
      </c>
      <c r="F1208">
        <f>IF(OR(A1208="",'Ratings'!K81=""),"",'Ratings'!K81)</f>
        <v/>
      </c>
      <c r="G1208">
        <f>IF(A1208="","",'Employees'!D10)</f>
        <v/>
      </c>
    </row>
    <row r="1209">
      <c r="A1209">
        <f>IF(AND('Ratings'!A81&lt;&gt;"",'Ratings'!L5&lt;&gt;""),'Ratings'!A81,"")</f>
        <v/>
      </c>
      <c r="B1209">
        <f>IF(A1209="","",'Employees'!C10)</f>
        <v/>
      </c>
      <c r="C1209">
        <f>IF(A1209="","",'Ratings'!C81)</f>
        <v/>
      </c>
      <c r="D1209">
        <f>IF(A1209="","",'Ratings'!D81)</f>
        <v/>
      </c>
      <c r="E1209">
        <f>IF(AND('Ratings'!A81&lt;&gt;"",'Ratings'!L5&lt;&gt;""),'Ratings'!L5,"")</f>
        <v/>
      </c>
      <c r="F1209">
        <f>IF(OR(A1209="",'Ratings'!L81=""),"",'Ratings'!L81)</f>
        <v/>
      </c>
      <c r="G1209">
        <f>IF(A1209="","",'Employees'!D10)</f>
        <v/>
      </c>
    </row>
    <row r="1210">
      <c r="A1210">
        <f>IF(AND('Ratings'!A81&lt;&gt;"",'Ratings'!M5&lt;&gt;""),'Ratings'!A81,"")</f>
        <v/>
      </c>
      <c r="B1210">
        <f>IF(A1210="","",'Employees'!C10)</f>
        <v/>
      </c>
      <c r="C1210">
        <f>IF(A1210="","",'Ratings'!C81)</f>
        <v/>
      </c>
      <c r="D1210">
        <f>IF(A1210="","",'Ratings'!D81)</f>
        <v/>
      </c>
      <c r="E1210">
        <f>IF(AND('Ratings'!A81&lt;&gt;"",'Ratings'!M5&lt;&gt;""),'Ratings'!M5,"")</f>
        <v/>
      </c>
      <c r="F1210">
        <f>IF(OR(A1210="",'Ratings'!M81=""),"",'Ratings'!M81)</f>
        <v/>
      </c>
      <c r="G1210">
        <f>IF(A1210="","",'Employees'!D10)</f>
        <v/>
      </c>
    </row>
    <row r="1211">
      <c r="A1211">
        <f>IF(AND('Ratings'!A81&lt;&gt;"",'Ratings'!N5&lt;&gt;""),'Ratings'!A81,"")</f>
        <v/>
      </c>
      <c r="B1211">
        <f>IF(A1211="","",'Employees'!C10)</f>
        <v/>
      </c>
      <c r="C1211">
        <f>IF(A1211="","",'Ratings'!C81)</f>
        <v/>
      </c>
      <c r="D1211">
        <f>IF(A1211="","",'Ratings'!D81)</f>
        <v/>
      </c>
      <c r="E1211">
        <f>IF(AND('Ratings'!A81&lt;&gt;"",'Ratings'!N5&lt;&gt;""),'Ratings'!N5,"")</f>
        <v/>
      </c>
      <c r="F1211">
        <f>IF(OR(A1211="",'Ratings'!N81=""),"",'Ratings'!N81)</f>
        <v/>
      </c>
      <c r="G1211">
        <f>IF(A1211="","",'Employees'!D10)</f>
        <v/>
      </c>
    </row>
    <row r="1212">
      <c r="A1212">
        <f>IF(AND('Ratings'!A81&lt;&gt;"",'Ratings'!O5&lt;&gt;""),'Ratings'!A81,"")</f>
        <v/>
      </c>
      <c r="B1212">
        <f>IF(A1212="","",'Employees'!C10)</f>
        <v/>
      </c>
      <c r="C1212">
        <f>IF(A1212="","",'Ratings'!C81)</f>
        <v/>
      </c>
      <c r="D1212">
        <f>IF(A1212="","",'Ratings'!D81)</f>
        <v/>
      </c>
      <c r="E1212">
        <f>IF(AND('Ratings'!A81&lt;&gt;"",'Ratings'!O5&lt;&gt;""),'Ratings'!O5,"")</f>
        <v/>
      </c>
      <c r="F1212">
        <f>IF(OR(A1212="",'Ratings'!O81=""),"",'Ratings'!O81)</f>
        <v/>
      </c>
      <c r="G1212">
        <f>IF(A1212="","",'Employees'!D10)</f>
        <v/>
      </c>
    </row>
    <row r="1213">
      <c r="A1213">
        <f>IF(AND('Ratings'!A81&lt;&gt;"",'Ratings'!P5&lt;&gt;""),'Ratings'!A81,"")</f>
        <v/>
      </c>
      <c r="B1213">
        <f>IF(A1213="","",'Employees'!C10)</f>
        <v/>
      </c>
      <c r="C1213">
        <f>IF(A1213="","",'Ratings'!C81)</f>
        <v/>
      </c>
      <c r="D1213">
        <f>IF(A1213="","",'Ratings'!D81)</f>
        <v/>
      </c>
      <c r="E1213">
        <f>IF(AND('Ratings'!A81&lt;&gt;"",'Ratings'!P5&lt;&gt;""),'Ratings'!P5,"")</f>
        <v/>
      </c>
      <c r="F1213">
        <f>IF(OR(A1213="",'Ratings'!P81=""),"",'Ratings'!P81)</f>
        <v/>
      </c>
      <c r="G1213">
        <f>IF(A1213="","",'Employees'!D10)</f>
        <v/>
      </c>
    </row>
    <row r="1214">
      <c r="A1214">
        <f>IF(AND('Ratings'!A81&lt;&gt;"",'Ratings'!Q5&lt;&gt;""),'Ratings'!A81,"")</f>
        <v/>
      </c>
      <c r="B1214">
        <f>IF(A1214="","",'Employees'!C10)</f>
        <v/>
      </c>
      <c r="C1214">
        <f>IF(A1214="","",'Ratings'!C81)</f>
        <v/>
      </c>
      <c r="D1214">
        <f>IF(A1214="","",'Ratings'!D81)</f>
        <v/>
      </c>
      <c r="E1214">
        <f>IF(AND('Ratings'!A81&lt;&gt;"",'Ratings'!Q5&lt;&gt;""),'Ratings'!Q5,"")</f>
        <v/>
      </c>
      <c r="F1214">
        <f>IF(OR(A1214="",'Ratings'!Q81=""),"",'Ratings'!Q81)</f>
        <v/>
      </c>
      <c r="G1214">
        <f>IF(A1214="","",'Employees'!D10)</f>
        <v/>
      </c>
    </row>
    <row r="1215">
      <c r="A1215">
        <f>IF(AND('Ratings'!A81&lt;&gt;"",'Ratings'!R5&lt;&gt;""),'Ratings'!A81,"")</f>
        <v/>
      </c>
      <c r="B1215">
        <f>IF(A1215="","",'Employees'!C10)</f>
        <v/>
      </c>
      <c r="C1215">
        <f>IF(A1215="","",'Ratings'!C81)</f>
        <v/>
      </c>
      <c r="D1215">
        <f>IF(A1215="","",'Ratings'!D81)</f>
        <v/>
      </c>
      <c r="E1215">
        <f>IF(AND('Ratings'!A81&lt;&gt;"",'Ratings'!R5&lt;&gt;""),'Ratings'!R5,"")</f>
        <v/>
      </c>
      <c r="F1215">
        <f>IF(OR(A1215="",'Ratings'!R81=""),"",'Ratings'!R81)</f>
        <v/>
      </c>
      <c r="G1215">
        <f>IF(A1215="","",'Employees'!D10)</f>
        <v/>
      </c>
    </row>
    <row r="1216">
      <c r="A1216">
        <f>IF(AND('Ratings'!A81&lt;&gt;"",'Ratings'!S5&lt;&gt;""),'Ratings'!A81,"")</f>
        <v/>
      </c>
      <c r="B1216">
        <f>IF(A1216="","",'Employees'!C10)</f>
        <v/>
      </c>
      <c r="C1216">
        <f>IF(A1216="","",'Ratings'!C81)</f>
        <v/>
      </c>
      <c r="D1216">
        <f>IF(A1216="","",'Ratings'!D81)</f>
        <v/>
      </c>
      <c r="E1216">
        <f>IF(AND('Ratings'!A81&lt;&gt;"",'Ratings'!S5&lt;&gt;""),'Ratings'!S5,"")</f>
        <v/>
      </c>
      <c r="F1216">
        <f>IF(OR(A1216="",'Ratings'!S81=""),"",'Ratings'!S81)</f>
        <v/>
      </c>
      <c r="G1216">
        <f>IF(A1216="","",'Employees'!D10)</f>
        <v/>
      </c>
    </row>
    <row r="1217">
      <c r="A1217">
        <f>IF(AND('Ratings'!A81&lt;&gt;"",'Ratings'!T5&lt;&gt;""),'Ratings'!A81,"")</f>
        <v/>
      </c>
      <c r="B1217">
        <f>IF(A1217="","",'Employees'!C10)</f>
        <v/>
      </c>
      <c r="C1217">
        <f>IF(A1217="","",'Ratings'!C81)</f>
        <v/>
      </c>
      <c r="D1217">
        <f>IF(A1217="","",'Ratings'!D81)</f>
        <v/>
      </c>
      <c r="E1217">
        <f>IF(AND('Ratings'!A81&lt;&gt;"",'Ratings'!T5&lt;&gt;""),'Ratings'!T5,"")</f>
        <v/>
      </c>
      <c r="F1217">
        <f>IF(OR(A1217="",'Ratings'!T81=""),"",'Ratings'!T81)</f>
        <v/>
      </c>
      <c r="G1217">
        <f>IF(A1217="","",'Employees'!D10)</f>
        <v/>
      </c>
    </row>
    <row r="1218">
      <c r="A1218">
        <f>IF(AND('Ratings'!A82&lt;&gt;"",'Ratings'!E5&lt;&gt;""),'Ratings'!A82,"")</f>
        <v/>
      </c>
      <c r="B1218">
        <f>IF(A1218="","",'Employees'!C10)</f>
        <v/>
      </c>
      <c r="C1218">
        <f>IF(A1218="","",'Ratings'!C82)</f>
        <v/>
      </c>
      <c r="D1218">
        <f>IF(A1218="","",'Ratings'!D82)</f>
        <v/>
      </c>
      <c r="E1218">
        <f>IF(AND('Ratings'!A82&lt;&gt;"",'Ratings'!E5&lt;&gt;""),'Ratings'!E5,"")</f>
        <v/>
      </c>
      <c r="F1218">
        <f>IF(OR(A1218="",'Ratings'!E82=""),"",'Ratings'!E82)</f>
        <v/>
      </c>
      <c r="G1218">
        <f>IF(A1218="","",'Employees'!D10)</f>
        <v/>
      </c>
    </row>
    <row r="1219">
      <c r="A1219">
        <f>IF(AND('Ratings'!A82&lt;&gt;"",'Ratings'!F5&lt;&gt;""),'Ratings'!A82,"")</f>
        <v/>
      </c>
      <c r="B1219">
        <f>IF(A1219="","",'Employees'!C10)</f>
        <v/>
      </c>
      <c r="C1219">
        <f>IF(A1219="","",'Ratings'!C82)</f>
        <v/>
      </c>
      <c r="D1219">
        <f>IF(A1219="","",'Ratings'!D82)</f>
        <v/>
      </c>
      <c r="E1219">
        <f>IF(AND('Ratings'!A82&lt;&gt;"",'Ratings'!F5&lt;&gt;""),'Ratings'!F5,"")</f>
        <v/>
      </c>
      <c r="F1219">
        <f>IF(OR(A1219="",'Ratings'!F82=""),"",'Ratings'!F82)</f>
        <v/>
      </c>
      <c r="G1219">
        <f>IF(A1219="","",'Employees'!D10)</f>
        <v/>
      </c>
    </row>
    <row r="1220">
      <c r="A1220">
        <f>IF(AND('Ratings'!A82&lt;&gt;"",'Ratings'!G5&lt;&gt;""),'Ratings'!A82,"")</f>
        <v/>
      </c>
      <c r="B1220">
        <f>IF(A1220="","",'Employees'!C10)</f>
        <v/>
      </c>
      <c r="C1220">
        <f>IF(A1220="","",'Ratings'!C82)</f>
        <v/>
      </c>
      <c r="D1220">
        <f>IF(A1220="","",'Ratings'!D82)</f>
        <v/>
      </c>
      <c r="E1220">
        <f>IF(AND('Ratings'!A82&lt;&gt;"",'Ratings'!G5&lt;&gt;""),'Ratings'!G5,"")</f>
        <v/>
      </c>
      <c r="F1220">
        <f>IF(OR(A1220="",'Ratings'!G82=""),"",'Ratings'!G82)</f>
        <v/>
      </c>
      <c r="G1220">
        <f>IF(A1220="","",'Employees'!D10)</f>
        <v/>
      </c>
    </row>
    <row r="1221">
      <c r="A1221">
        <f>IF(AND('Ratings'!A82&lt;&gt;"",'Ratings'!H5&lt;&gt;""),'Ratings'!A82,"")</f>
        <v/>
      </c>
      <c r="B1221">
        <f>IF(A1221="","",'Employees'!C10)</f>
        <v/>
      </c>
      <c r="C1221">
        <f>IF(A1221="","",'Ratings'!C82)</f>
        <v/>
      </c>
      <c r="D1221">
        <f>IF(A1221="","",'Ratings'!D82)</f>
        <v/>
      </c>
      <c r="E1221">
        <f>IF(AND('Ratings'!A82&lt;&gt;"",'Ratings'!H5&lt;&gt;""),'Ratings'!H5,"")</f>
        <v/>
      </c>
      <c r="F1221">
        <f>IF(OR(A1221="",'Ratings'!H82=""),"",'Ratings'!H82)</f>
        <v/>
      </c>
      <c r="G1221">
        <f>IF(A1221="","",'Employees'!D10)</f>
        <v/>
      </c>
    </row>
    <row r="1222">
      <c r="A1222">
        <f>IF(AND('Ratings'!A82&lt;&gt;"",'Ratings'!I5&lt;&gt;""),'Ratings'!A82,"")</f>
        <v/>
      </c>
      <c r="B1222">
        <f>IF(A1222="","",'Employees'!C10)</f>
        <v/>
      </c>
      <c r="C1222">
        <f>IF(A1222="","",'Ratings'!C82)</f>
        <v/>
      </c>
      <c r="D1222">
        <f>IF(A1222="","",'Ratings'!D82)</f>
        <v/>
      </c>
      <c r="E1222">
        <f>IF(AND('Ratings'!A82&lt;&gt;"",'Ratings'!I5&lt;&gt;""),'Ratings'!I5,"")</f>
        <v/>
      </c>
      <c r="F1222">
        <f>IF(OR(A1222="",'Ratings'!I82=""),"",'Ratings'!I82)</f>
        <v/>
      </c>
      <c r="G1222">
        <f>IF(A1222="","",'Employees'!D10)</f>
        <v/>
      </c>
    </row>
    <row r="1223">
      <c r="A1223">
        <f>IF(AND('Ratings'!A82&lt;&gt;"",'Ratings'!J5&lt;&gt;""),'Ratings'!A82,"")</f>
        <v/>
      </c>
      <c r="B1223">
        <f>IF(A1223="","",'Employees'!C10)</f>
        <v/>
      </c>
      <c r="C1223">
        <f>IF(A1223="","",'Ratings'!C82)</f>
        <v/>
      </c>
      <c r="D1223">
        <f>IF(A1223="","",'Ratings'!D82)</f>
        <v/>
      </c>
      <c r="E1223">
        <f>IF(AND('Ratings'!A82&lt;&gt;"",'Ratings'!J5&lt;&gt;""),'Ratings'!J5,"")</f>
        <v/>
      </c>
      <c r="F1223">
        <f>IF(OR(A1223="",'Ratings'!J82=""),"",'Ratings'!J82)</f>
        <v/>
      </c>
      <c r="G1223">
        <f>IF(A1223="","",'Employees'!D10)</f>
        <v/>
      </c>
    </row>
    <row r="1224">
      <c r="A1224">
        <f>IF(AND('Ratings'!A82&lt;&gt;"",'Ratings'!K5&lt;&gt;""),'Ratings'!A82,"")</f>
        <v/>
      </c>
      <c r="B1224">
        <f>IF(A1224="","",'Employees'!C10)</f>
        <v/>
      </c>
      <c r="C1224">
        <f>IF(A1224="","",'Ratings'!C82)</f>
        <v/>
      </c>
      <c r="D1224">
        <f>IF(A1224="","",'Ratings'!D82)</f>
        <v/>
      </c>
      <c r="E1224">
        <f>IF(AND('Ratings'!A82&lt;&gt;"",'Ratings'!K5&lt;&gt;""),'Ratings'!K5,"")</f>
        <v/>
      </c>
      <c r="F1224">
        <f>IF(OR(A1224="",'Ratings'!K82=""),"",'Ratings'!K82)</f>
        <v/>
      </c>
      <c r="G1224">
        <f>IF(A1224="","",'Employees'!D10)</f>
        <v/>
      </c>
    </row>
    <row r="1225">
      <c r="A1225">
        <f>IF(AND('Ratings'!A82&lt;&gt;"",'Ratings'!L5&lt;&gt;""),'Ratings'!A82,"")</f>
        <v/>
      </c>
      <c r="B1225">
        <f>IF(A1225="","",'Employees'!C10)</f>
        <v/>
      </c>
      <c r="C1225">
        <f>IF(A1225="","",'Ratings'!C82)</f>
        <v/>
      </c>
      <c r="D1225">
        <f>IF(A1225="","",'Ratings'!D82)</f>
        <v/>
      </c>
      <c r="E1225">
        <f>IF(AND('Ratings'!A82&lt;&gt;"",'Ratings'!L5&lt;&gt;""),'Ratings'!L5,"")</f>
        <v/>
      </c>
      <c r="F1225">
        <f>IF(OR(A1225="",'Ratings'!L82=""),"",'Ratings'!L82)</f>
        <v/>
      </c>
      <c r="G1225">
        <f>IF(A1225="","",'Employees'!D10)</f>
        <v/>
      </c>
    </row>
    <row r="1226">
      <c r="A1226">
        <f>IF(AND('Ratings'!A82&lt;&gt;"",'Ratings'!M5&lt;&gt;""),'Ratings'!A82,"")</f>
        <v/>
      </c>
      <c r="B1226">
        <f>IF(A1226="","",'Employees'!C10)</f>
        <v/>
      </c>
      <c r="C1226">
        <f>IF(A1226="","",'Ratings'!C82)</f>
        <v/>
      </c>
      <c r="D1226">
        <f>IF(A1226="","",'Ratings'!D82)</f>
        <v/>
      </c>
      <c r="E1226">
        <f>IF(AND('Ratings'!A82&lt;&gt;"",'Ratings'!M5&lt;&gt;""),'Ratings'!M5,"")</f>
        <v/>
      </c>
      <c r="F1226">
        <f>IF(OR(A1226="",'Ratings'!M82=""),"",'Ratings'!M82)</f>
        <v/>
      </c>
      <c r="G1226">
        <f>IF(A1226="","",'Employees'!D10)</f>
        <v/>
      </c>
    </row>
    <row r="1227">
      <c r="A1227">
        <f>IF(AND('Ratings'!A82&lt;&gt;"",'Ratings'!N5&lt;&gt;""),'Ratings'!A82,"")</f>
        <v/>
      </c>
      <c r="B1227">
        <f>IF(A1227="","",'Employees'!C10)</f>
        <v/>
      </c>
      <c r="C1227">
        <f>IF(A1227="","",'Ratings'!C82)</f>
        <v/>
      </c>
      <c r="D1227">
        <f>IF(A1227="","",'Ratings'!D82)</f>
        <v/>
      </c>
      <c r="E1227">
        <f>IF(AND('Ratings'!A82&lt;&gt;"",'Ratings'!N5&lt;&gt;""),'Ratings'!N5,"")</f>
        <v/>
      </c>
      <c r="F1227">
        <f>IF(OR(A1227="",'Ratings'!N82=""),"",'Ratings'!N82)</f>
        <v/>
      </c>
      <c r="G1227">
        <f>IF(A1227="","",'Employees'!D10)</f>
        <v/>
      </c>
    </row>
    <row r="1228">
      <c r="A1228">
        <f>IF(AND('Ratings'!A82&lt;&gt;"",'Ratings'!O5&lt;&gt;""),'Ratings'!A82,"")</f>
        <v/>
      </c>
      <c r="B1228">
        <f>IF(A1228="","",'Employees'!C10)</f>
        <v/>
      </c>
      <c r="C1228">
        <f>IF(A1228="","",'Ratings'!C82)</f>
        <v/>
      </c>
      <c r="D1228">
        <f>IF(A1228="","",'Ratings'!D82)</f>
        <v/>
      </c>
      <c r="E1228">
        <f>IF(AND('Ratings'!A82&lt;&gt;"",'Ratings'!O5&lt;&gt;""),'Ratings'!O5,"")</f>
        <v/>
      </c>
      <c r="F1228">
        <f>IF(OR(A1228="",'Ratings'!O82=""),"",'Ratings'!O82)</f>
        <v/>
      </c>
      <c r="G1228">
        <f>IF(A1228="","",'Employees'!D10)</f>
        <v/>
      </c>
    </row>
    <row r="1229">
      <c r="A1229">
        <f>IF(AND('Ratings'!A82&lt;&gt;"",'Ratings'!P5&lt;&gt;""),'Ratings'!A82,"")</f>
        <v/>
      </c>
      <c r="B1229">
        <f>IF(A1229="","",'Employees'!C10)</f>
        <v/>
      </c>
      <c r="C1229">
        <f>IF(A1229="","",'Ratings'!C82)</f>
        <v/>
      </c>
      <c r="D1229">
        <f>IF(A1229="","",'Ratings'!D82)</f>
        <v/>
      </c>
      <c r="E1229">
        <f>IF(AND('Ratings'!A82&lt;&gt;"",'Ratings'!P5&lt;&gt;""),'Ratings'!P5,"")</f>
        <v/>
      </c>
      <c r="F1229">
        <f>IF(OR(A1229="",'Ratings'!P82=""),"",'Ratings'!P82)</f>
        <v/>
      </c>
      <c r="G1229">
        <f>IF(A1229="","",'Employees'!D10)</f>
        <v/>
      </c>
    </row>
    <row r="1230">
      <c r="A1230">
        <f>IF(AND('Ratings'!A82&lt;&gt;"",'Ratings'!Q5&lt;&gt;""),'Ratings'!A82,"")</f>
        <v/>
      </c>
      <c r="B1230">
        <f>IF(A1230="","",'Employees'!C10)</f>
        <v/>
      </c>
      <c r="C1230">
        <f>IF(A1230="","",'Ratings'!C82)</f>
        <v/>
      </c>
      <c r="D1230">
        <f>IF(A1230="","",'Ratings'!D82)</f>
        <v/>
      </c>
      <c r="E1230">
        <f>IF(AND('Ratings'!A82&lt;&gt;"",'Ratings'!Q5&lt;&gt;""),'Ratings'!Q5,"")</f>
        <v/>
      </c>
      <c r="F1230">
        <f>IF(OR(A1230="",'Ratings'!Q82=""),"",'Ratings'!Q82)</f>
        <v/>
      </c>
      <c r="G1230">
        <f>IF(A1230="","",'Employees'!D10)</f>
        <v/>
      </c>
    </row>
    <row r="1231">
      <c r="A1231">
        <f>IF(AND('Ratings'!A82&lt;&gt;"",'Ratings'!R5&lt;&gt;""),'Ratings'!A82,"")</f>
        <v/>
      </c>
      <c r="B1231">
        <f>IF(A1231="","",'Employees'!C10)</f>
        <v/>
      </c>
      <c r="C1231">
        <f>IF(A1231="","",'Ratings'!C82)</f>
        <v/>
      </c>
      <c r="D1231">
        <f>IF(A1231="","",'Ratings'!D82)</f>
        <v/>
      </c>
      <c r="E1231">
        <f>IF(AND('Ratings'!A82&lt;&gt;"",'Ratings'!R5&lt;&gt;""),'Ratings'!R5,"")</f>
        <v/>
      </c>
      <c r="F1231">
        <f>IF(OR(A1231="",'Ratings'!R82=""),"",'Ratings'!R82)</f>
        <v/>
      </c>
      <c r="G1231">
        <f>IF(A1231="","",'Employees'!D10)</f>
        <v/>
      </c>
    </row>
    <row r="1232">
      <c r="A1232">
        <f>IF(AND('Ratings'!A82&lt;&gt;"",'Ratings'!S5&lt;&gt;""),'Ratings'!A82,"")</f>
        <v/>
      </c>
      <c r="B1232">
        <f>IF(A1232="","",'Employees'!C10)</f>
        <v/>
      </c>
      <c r="C1232">
        <f>IF(A1232="","",'Ratings'!C82)</f>
        <v/>
      </c>
      <c r="D1232">
        <f>IF(A1232="","",'Ratings'!D82)</f>
        <v/>
      </c>
      <c r="E1232">
        <f>IF(AND('Ratings'!A82&lt;&gt;"",'Ratings'!S5&lt;&gt;""),'Ratings'!S5,"")</f>
        <v/>
      </c>
      <c r="F1232">
        <f>IF(OR(A1232="",'Ratings'!S82=""),"",'Ratings'!S82)</f>
        <v/>
      </c>
      <c r="G1232">
        <f>IF(A1232="","",'Employees'!D10)</f>
        <v/>
      </c>
    </row>
    <row r="1233">
      <c r="A1233">
        <f>IF(AND('Ratings'!A82&lt;&gt;"",'Ratings'!T5&lt;&gt;""),'Ratings'!A82,"")</f>
        <v/>
      </c>
      <c r="B1233">
        <f>IF(A1233="","",'Employees'!C10)</f>
        <v/>
      </c>
      <c r="C1233">
        <f>IF(A1233="","",'Ratings'!C82)</f>
        <v/>
      </c>
      <c r="D1233">
        <f>IF(A1233="","",'Ratings'!D82)</f>
        <v/>
      </c>
      <c r="E1233">
        <f>IF(AND('Ratings'!A82&lt;&gt;"",'Ratings'!T5&lt;&gt;""),'Ratings'!T5,"")</f>
        <v/>
      </c>
      <c r="F1233">
        <f>IF(OR(A1233="",'Ratings'!T82=""),"",'Ratings'!T82)</f>
        <v/>
      </c>
      <c r="G1233">
        <f>IF(A1233="","",'Employees'!D10)</f>
        <v/>
      </c>
    </row>
    <row r="1234">
      <c r="A1234">
        <f>IF(AND('Ratings'!A83&lt;&gt;"",'Ratings'!E5&lt;&gt;""),'Ratings'!A83,"")</f>
        <v/>
      </c>
      <c r="B1234">
        <f>IF(A1234="","",'Employees'!C10)</f>
        <v/>
      </c>
      <c r="C1234">
        <f>IF(A1234="","",'Ratings'!C83)</f>
        <v/>
      </c>
      <c r="D1234">
        <f>IF(A1234="","",'Ratings'!D83)</f>
        <v/>
      </c>
      <c r="E1234">
        <f>IF(AND('Ratings'!A83&lt;&gt;"",'Ratings'!E5&lt;&gt;""),'Ratings'!E5,"")</f>
        <v/>
      </c>
      <c r="F1234">
        <f>IF(OR(A1234="",'Ratings'!E83=""),"",'Ratings'!E83)</f>
        <v/>
      </c>
      <c r="G1234">
        <f>IF(A1234="","",'Employees'!D10)</f>
        <v/>
      </c>
    </row>
    <row r="1235">
      <c r="A1235">
        <f>IF(AND('Ratings'!A83&lt;&gt;"",'Ratings'!F5&lt;&gt;""),'Ratings'!A83,"")</f>
        <v/>
      </c>
      <c r="B1235">
        <f>IF(A1235="","",'Employees'!C10)</f>
        <v/>
      </c>
      <c r="C1235">
        <f>IF(A1235="","",'Ratings'!C83)</f>
        <v/>
      </c>
      <c r="D1235">
        <f>IF(A1235="","",'Ratings'!D83)</f>
        <v/>
      </c>
      <c r="E1235">
        <f>IF(AND('Ratings'!A83&lt;&gt;"",'Ratings'!F5&lt;&gt;""),'Ratings'!F5,"")</f>
        <v/>
      </c>
      <c r="F1235">
        <f>IF(OR(A1235="",'Ratings'!F83=""),"",'Ratings'!F83)</f>
        <v/>
      </c>
      <c r="G1235">
        <f>IF(A1235="","",'Employees'!D10)</f>
        <v/>
      </c>
    </row>
    <row r="1236">
      <c r="A1236">
        <f>IF(AND('Ratings'!A83&lt;&gt;"",'Ratings'!G5&lt;&gt;""),'Ratings'!A83,"")</f>
        <v/>
      </c>
      <c r="B1236">
        <f>IF(A1236="","",'Employees'!C10)</f>
        <v/>
      </c>
      <c r="C1236">
        <f>IF(A1236="","",'Ratings'!C83)</f>
        <v/>
      </c>
      <c r="D1236">
        <f>IF(A1236="","",'Ratings'!D83)</f>
        <v/>
      </c>
      <c r="E1236">
        <f>IF(AND('Ratings'!A83&lt;&gt;"",'Ratings'!G5&lt;&gt;""),'Ratings'!G5,"")</f>
        <v/>
      </c>
      <c r="F1236">
        <f>IF(OR(A1236="",'Ratings'!G83=""),"",'Ratings'!G83)</f>
        <v/>
      </c>
      <c r="G1236">
        <f>IF(A1236="","",'Employees'!D10)</f>
        <v/>
      </c>
    </row>
    <row r="1237">
      <c r="A1237">
        <f>IF(AND('Ratings'!A83&lt;&gt;"",'Ratings'!H5&lt;&gt;""),'Ratings'!A83,"")</f>
        <v/>
      </c>
      <c r="B1237">
        <f>IF(A1237="","",'Employees'!C10)</f>
        <v/>
      </c>
      <c r="C1237">
        <f>IF(A1237="","",'Ratings'!C83)</f>
        <v/>
      </c>
      <c r="D1237">
        <f>IF(A1237="","",'Ratings'!D83)</f>
        <v/>
      </c>
      <c r="E1237">
        <f>IF(AND('Ratings'!A83&lt;&gt;"",'Ratings'!H5&lt;&gt;""),'Ratings'!H5,"")</f>
        <v/>
      </c>
      <c r="F1237">
        <f>IF(OR(A1237="",'Ratings'!H83=""),"",'Ratings'!H83)</f>
        <v/>
      </c>
      <c r="G1237">
        <f>IF(A1237="","",'Employees'!D10)</f>
        <v/>
      </c>
    </row>
    <row r="1238">
      <c r="A1238">
        <f>IF(AND('Ratings'!A83&lt;&gt;"",'Ratings'!I5&lt;&gt;""),'Ratings'!A83,"")</f>
        <v/>
      </c>
      <c r="B1238">
        <f>IF(A1238="","",'Employees'!C10)</f>
        <v/>
      </c>
      <c r="C1238">
        <f>IF(A1238="","",'Ratings'!C83)</f>
        <v/>
      </c>
      <c r="D1238">
        <f>IF(A1238="","",'Ratings'!D83)</f>
        <v/>
      </c>
      <c r="E1238">
        <f>IF(AND('Ratings'!A83&lt;&gt;"",'Ratings'!I5&lt;&gt;""),'Ratings'!I5,"")</f>
        <v/>
      </c>
      <c r="F1238">
        <f>IF(OR(A1238="",'Ratings'!I83=""),"",'Ratings'!I83)</f>
        <v/>
      </c>
      <c r="G1238">
        <f>IF(A1238="","",'Employees'!D10)</f>
        <v/>
      </c>
    </row>
    <row r="1239">
      <c r="A1239">
        <f>IF(AND('Ratings'!A83&lt;&gt;"",'Ratings'!J5&lt;&gt;""),'Ratings'!A83,"")</f>
        <v/>
      </c>
      <c r="B1239">
        <f>IF(A1239="","",'Employees'!C10)</f>
        <v/>
      </c>
      <c r="C1239">
        <f>IF(A1239="","",'Ratings'!C83)</f>
        <v/>
      </c>
      <c r="D1239">
        <f>IF(A1239="","",'Ratings'!D83)</f>
        <v/>
      </c>
      <c r="E1239">
        <f>IF(AND('Ratings'!A83&lt;&gt;"",'Ratings'!J5&lt;&gt;""),'Ratings'!J5,"")</f>
        <v/>
      </c>
      <c r="F1239">
        <f>IF(OR(A1239="",'Ratings'!J83=""),"",'Ratings'!J83)</f>
        <v/>
      </c>
      <c r="G1239">
        <f>IF(A1239="","",'Employees'!D10)</f>
        <v/>
      </c>
    </row>
    <row r="1240">
      <c r="A1240">
        <f>IF(AND('Ratings'!A83&lt;&gt;"",'Ratings'!K5&lt;&gt;""),'Ratings'!A83,"")</f>
        <v/>
      </c>
      <c r="B1240">
        <f>IF(A1240="","",'Employees'!C10)</f>
        <v/>
      </c>
      <c r="C1240">
        <f>IF(A1240="","",'Ratings'!C83)</f>
        <v/>
      </c>
      <c r="D1240">
        <f>IF(A1240="","",'Ratings'!D83)</f>
        <v/>
      </c>
      <c r="E1240">
        <f>IF(AND('Ratings'!A83&lt;&gt;"",'Ratings'!K5&lt;&gt;""),'Ratings'!K5,"")</f>
        <v/>
      </c>
      <c r="F1240">
        <f>IF(OR(A1240="",'Ratings'!K83=""),"",'Ratings'!K83)</f>
        <v/>
      </c>
      <c r="G1240">
        <f>IF(A1240="","",'Employees'!D10)</f>
        <v/>
      </c>
    </row>
    <row r="1241">
      <c r="A1241">
        <f>IF(AND('Ratings'!A83&lt;&gt;"",'Ratings'!L5&lt;&gt;""),'Ratings'!A83,"")</f>
        <v/>
      </c>
      <c r="B1241">
        <f>IF(A1241="","",'Employees'!C10)</f>
        <v/>
      </c>
      <c r="C1241">
        <f>IF(A1241="","",'Ratings'!C83)</f>
        <v/>
      </c>
      <c r="D1241">
        <f>IF(A1241="","",'Ratings'!D83)</f>
        <v/>
      </c>
      <c r="E1241">
        <f>IF(AND('Ratings'!A83&lt;&gt;"",'Ratings'!L5&lt;&gt;""),'Ratings'!L5,"")</f>
        <v/>
      </c>
      <c r="F1241">
        <f>IF(OR(A1241="",'Ratings'!L83=""),"",'Ratings'!L83)</f>
        <v/>
      </c>
      <c r="G1241">
        <f>IF(A1241="","",'Employees'!D10)</f>
        <v/>
      </c>
    </row>
    <row r="1242">
      <c r="A1242">
        <f>IF(AND('Ratings'!A83&lt;&gt;"",'Ratings'!M5&lt;&gt;""),'Ratings'!A83,"")</f>
        <v/>
      </c>
      <c r="B1242">
        <f>IF(A1242="","",'Employees'!C10)</f>
        <v/>
      </c>
      <c r="C1242">
        <f>IF(A1242="","",'Ratings'!C83)</f>
        <v/>
      </c>
      <c r="D1242">
        <f>IF(A1242="","",'Ratings'!D83)</f>
        <v/>
      </c>
      <c r="E1242">
        <f>IF(AND('Ratings'!A83&lt;&gt;"",'Ratings'!M5&lt;&gt;""),'Ratings'!M5,"")</f>
        <v/>
      </c>
      <c r="F1242">
        <f>IF(OR(A1242="",'Ratings'!M83=""),"",'Ratings'!M83)</f>
        <v/>
      </c>
      <c r="G1242">
        <f>IF(A1242="","",'Employees'!D10)</f>
        <v/>
      </c>
    </row>
    <row r="1243">
      <c r="A1243">
        <f>IF(AND('Ratings'!A83&lt;&gt;"",'Ratings'!N5&lt;&gt;""),'Ratings'!A83,"")</f>
        <v/>
      </c>
      <c r="B1243">
        <f>IF(A1243="","",'Employees'!C10)</f>
        <v/>
      </c>
      <c r="C1243">
        <f>IF(A1243="","",'Ratings'!C83)</f>
        <v/>
      </c>
      <c r="D1243">
        <f>IF(A1243="","",'Ratings'!D83)</f>
        <v/>
      </c>
      <c r="E1243">
        <f>IF(AND('Ratings'!A83&lt;&gt;"",'Ratings'!N5&lt;&gt;""),'Ratings'!N5,"")</f>
        <v/>
      </c>
      <c r="F1243">
        <f>IF(OR(A1243="",'Ratings'!N83=""),"",'Ratings'!N83)</f>
        <v/>
      </c>
      <c r="G1243">
        <f>IF(A1243="","",'Employees'!D10)</f>
        <v/>
      </c>
    </row>
    <row r="1244">
      <c r="A1244">
        <f>IF(AND('Ratings'!A83&lt;&gt;"",'Ratings'!O5&lt;&gt;""),'Ratings'!A83,"")</f>
        <v/>
      </c>
      <c r="B1244">
        <f>IF(A1244="","",'Employees'!C10)</f>
        <v/>
      </c>
      <c r="C1244">
        <f>IF(A1244="","",'Ratings'!C83)</f>
        <v/>
      </c>
      <c r="D1244">
        <f>IF(A1244="","",'Ratings'!D83)</f>
        <v/>
      </c>
      <c r="E1244">
        <f>IF(AND('Ratings'!A83&lt;&gt;"",'Ratings'!O5&lt;&gt;""),'Ratings'!O5,"")</f>
        <v/>
      </c>
      <c r="F1244">
        <f>IF(OR(A1244="",'Ratings'!O83=""),"",'Ratings'!O83)</f>
        <v/>
      </c>
      <c r="G1244">
        <f>IF(A1244="","",'Employees'!D10)</f>
        <v/>
      </c>
    </row>
    <row r="1245">
      <c r="A1245">
        <f>IF(AND('Ratings'!A83&lt;&gt;"",'Ratings'!P5&lt;&gt;""),'Ratings'!A83,"")</f>
        <v/>
      </c>
      <c r="B1245">
        <f>IF(A1245="","",'Employees'!C10)</f>
        <v/>
      </c>
      <c r="C1245">
        <f>IF(A1245="","",'Ratings'!C83)</f>
        <v/>
      </c>
      <c r="D1245">
        <f>IF(A1245="","",'Ratings'!D83)</f>
        <v/>
      </c>
      <c r="E1245">
        <f>IF(AND('Ratings'!A83&lt;&gt;"",'Ratings'!P5&lt;&gt;""),'Ratings'!P5,"")</f>
        <v/>
      </c>
      <c r="F1245">
        <f>IF(OR(A1245="",'Ratings'!P83=""),"",'Ratings'!P83)</f>
        <v/>
      </c>
      <c r="G1245">
        <f>IF(A1245="","",'Employees'!D10)</f>
        <v/>
      </c>
    </row>
    <row r="1246">
      <c r="A1246">
        <f>IF(AND('Ratings'!A83&lt;&gt;"",'Ratings'!Q5&lt;&gt;""),'Ratings'!A83,"")</f>
        <v/>
      </c>
      <c r="B1246">
        <f>IF(A1246="","",'Employees'!C10)</f>
        <v/>
      </c>
      <c r="C1246">
        <f>IF(A1246="","",'Ratings'!C83)</f>
        <v/>
      </c>
      <c r="D1246">
        <f>IF(A1246="","",'Ratings'!D83)</f>
        <v/>
      </c>
      <c r="E1246">
        <f>IF(AND('Ratings'!A83&lt;&gt;"",'Ratings'!Q5&lt;&gt;""),'Ratings'!Q5,"")</f>
        <v/>
      </c>
      <c r="F1246">
        <f>IF(OR(A1246="",'Ratings'!Q83=""),"",'Ratings'!Q83)</f>
        <v/>
      </c>
      <c r="G1246">
        <f>IF(A1246="","",'Employees'!D10)</f>
        <v/>
      </c>
    </row>
    <row r="1247">
      <c r="A1247">
        <f>IF(AND('Ratings'!A83&lt;&gt;"",'Ratings'!R5&lt;&gt;""),'Ratings'!A83,"")</f>
        <v/>
      </c>
      <c r="B1247">
        <f>IF(A1247="","",'Employees'!C10)</f>
        <v/>
      </c>
      <c r="C1247">
        <f>IF(A1247="","",'Ratings'!C83)</f>
        <v/>
      </c>
      <c r="D1247">
        <f>IF(A1247="","",'Ratings'!D83)</f>
        <v/>
      </c>
      <c r="E1247">
        <f>IF(AND('Ratings'!A83&lt;&gt;"",'Ratings'!R5&lt;&gt;""),'Ratings'!R5,"")</f>
        <v/>
      </c>
      <c r="F1247">
        <f>IF(OR(A1247="",'Ratings'!R83=""),"",'Ratings'!R83)</f>
        <v/>
      </c>
      <c r="G1247">
        <f>IF(A1247="","",'Employees'!D10)</f>
        <v/>
      </c>
    </row>
    <row r="1248">
      <c r="A1248">
        <f>IF(AND('Ratings'!A83&lt;&gt;"",'Ratings'!S5&lt;&gt;""),'Ratings'!A83,"")</f>
        <v/>
      </c>
      <c r="B1248">
        <f>IF(A1248="","",'Employees'!C10)</f>
        <v/>
      </c>
      <c r="C1248">
        <f>IF(A1248="","",'Ratings'!C83)</f>
        <v/>
      </c>
      <c r="D1248">
        <f>IF(A1248="","",'Ratings'!D83)</f>
        <v/>
      </c>
      <c r="E1248">
        <f>IF(AND('Ratings'!A83&lt;&gt;"",'Ratings'!S5&lt;&gt;""),'Ratings'!S5,"")</f>
        <v/>
      </c>
      <c r="F1248">
        <f>IF(OR(A1248="",'Ratings'!S83=""),"",'Ratings'!S83)</f>
        <v/>
      </c>
      <c r="G1248">
        <f>IF(A1248="","",'Employees'!D10)</f>
        <v/>
      </c>
    </row>
    <row r="1249">
      <c r="A1249">
        <f>IF(AND('Ratings'!A83&lt;&gt;"",'Ratings'!T5&lt;&gt;""),'Ratings'!A83,"")</f>
        <v/>
      </c>
      <c r="B1249">
        <f>IF(A1249="","",'Employees'!C10)</f>
        <v/>
      </c>
      <c r="C1249">
        <f>IF(A1249="","",'Ratings'!C83)</f>
        <v/>
      </c>
      <c r="D1249">
        <f>IF(A1249="","",'Ratings'!D83)</f>
        <v/>
      </c>
      <c r="E1249">
        <f>IF(AND('Ratings'!A83&lt;&gt;"",'Ratings'!T5&lt;&gt;""),'Ratings'!T5,"")</f>
        <v/>
      </c>
      <c r="F1249">
        <f>IF(OR(A1249="",'Ratings'!T83=""),"",'Ratings'!T83)</f>
        <v/>
      </c>
      <c r="G1249">
        <f>IF(A1249="","",'Employees'!D10)</f>
        <v/>
      </c>
    </row>
    <row r="1250">
      <c r="A1250">
        <f>IF(AND('Ratings'!A84&lt;&gt;"",'Ratings'!E5&lt;&gt;""),'Ratings'!A84,"")</f>
        <v/>
      </c>
      <c r="B1250">
        <f>IF(A1250="","",'Employees'!C10)</f>
        <v/>
      </c>
      <c r="C1250">
        <f>IF(A1250="","",'Ratings'!C84)</f>
        <v/>
      </c>
      <c r="D1250">
        <f>IF(A1250="","",'Ratings'!D84)</f>
        <v/>
      </c>
      <c r="E1250">
        <f>IF(AND('Ratings'!A84&lt;&gt;"",'Ratings'!E5&lt;&gt;""),'Ratings'!E5,"")</f>
        <v/>
      </c>
      <c r="F1250">
        <f>IF(OR(A1250="",'Ratings'!E84=""),"",'Ratings'!E84)</f>
        <v/>
      </c>
      <c r="G1250">
        <f>IF(A1250="","",'Employees'!D10)</f>
        <v/>
      </c>
    </row>
    <row r="1251">
      <c r="A1251">
        <f>IF(AND('Ratings'!A84&lt;&gt;"",'Ratings'!F5&lt;&gt;""),'Ratings'!A84,"")</f>
        <v/>
      </c>
      <c r="B1251">
        <f>IF(A1251="","",'Employees'!C10)</f>
        <v/>
      </c>
      <c r="C1251">
        <f>IF(A1251="","",'Ratings'!C84)</f>
        <v/>
      </c>
      <c r="D1251">
        <f>IF(A1251="","",'Ratings'!D84)</f>
        <v/>
      </c>
      <c r="E1251">
        <f>IF(AND('Ratings'!A84&lt;&gt;"",'Ratings'!F5&lt;&gt;""),'Ratings'!F5,"")</f>
        <v/>
      </c>
      <c r="F1251">
        <f>IF(OR(A1251="",'Ratings'!F84=""),"",'Ratings'!F84)</f>
        <v/>
      </c>
      <c r="G1251">
        <f>IF(A1251="","",'Employees'!D10)</f>
        <v/>
      </c>
    </row>
    <row r="1252">
      <c r="A1252">
        <f>IF(AND('Ratings'!A84&lt;&gt;"",'Ratings'!G5&lt;&gt;""),'Ratings'!A84,"")</f>
        <v/>
      </c>
      <c r="B1252">
        <f>IF(A1252="","",'Employees'!C10)</f>
        <v/>
      </c>
      <c r="C1252">
        <f>IF(A1252="","",'Ratings'!C84)</f>
        <v/>
      </c>
      <c r="D1252">
        <f>IF(A1252="","",'Ratings'!D84)</f>
        <v/>
      </c>
      <c r="E1252">
        <f>IF(AND('Ratings'!A84&lt;&gt;"",'Ratings'!G5&lt;&gt;""),'Ratings'!G5,"")</f>
        <v/>
      </c>
      <c r="F1252">
        <f>IF(OR(A1252="",'Ratings'!G84=""),"",'Ratings'!G84)</f>
        <v/>
      </c>
      <c r="G1252">
        <f>IF(A1252="","",'Employees'!D10)</f>
        <v/>
      </c>
    </row>
    <row r="1253">
      <c r="A1253">
        <f>IF(AND('Ratings'!A84&lt;&gt;"",'Ratings'!H5&lt;&gt;""),'Ratings'!A84,"")</f>
        <v/>
      </c>
      <c r="B1253">
        <f>IF(A1253="","",'Employees'!C10)</f>
        <v/>
      </c>
      <c r="C1253">
        <f>IF(A1253="","",'Ratings'!C84)</f>
        <v/>
      </c>
      <c r="D1253">
        <f>IF(A1253="","",'Ratings'!D84)</f>
        <v/>
      </c>
      <c r="E1253">
        <f>IF(AND('Ratings'!A84&lt;&gt;"",'Ratings'!H5&lt;&gt;""),'Ratings'!H5,"")</f>
        <v/>
      </c>
      <c r="F1253">
        <f>IF(OR(A1253="",'Ratings'!H84=""),"",'Ratings'!H84)</f>
        <v/>
      </c>
      <c r="G1253">
        <f>IF(A1253="","",'Employees'!D10)</f>
        <v/>
      </c>
    </row>
    <row r="1254">
      <c r="A1254">
        <f>IF(AND('Ratings'!A84&lt;&gt;"",'Ratings'!I5&lt;&gt;""),'Ratings'!A84,"")</f>
        <v/>
      </c>
      <c r="B1254">
        <f>IF(A1254="","",'Employees'!C10)</f>
        <v/>
      </c>
      <c r="C1254">
        <f>IF(A1254="","",'Ratings'!C84)</f>
        <v/>
      </c>
      <c r="D1254">
        <f>IF(A1254="","",'Ratings'!D84)</f>
        <v/>
      </c>
      <c r="E1254">
        <f>IF(AND('Ratings'!A84&lt;&gt;"",'Ratings'!I5&lt;&gt;""),'Ratings'!I5,"")</f>
        <v/>
      </c>
      <c r="F1254">
        <f>IF(OR(A1254="",'Ratings'!I84=""),"",'Ratings'!I84)</f>
        <v/>
      </c>
      <c r="G1254">
        <f>IF(A1254="","",'Employees'!D10)</f>
        <v/>
      </c>
    </row>
    <row r="1255">
      <c r="A1255">
        <f>IF(AND('Ratings'!A84&lt;&gt;"",'Ratings'!J5&lt;&gt;""),'Ratings'!A84,"")</f>
        <v/>
      </c>
      <c r="B1255">
        <f>IF(A1255="","",'Employees'!C10)</f>
        <v/>
      </c>
      <c r="C1255">
        <f>IF(A1255="","",'Ratings'!C84)</f>
        <v/>
      </c>
      <c r="D1255">
        <f>IF(A1255="","",'Ratings'!D84)</f>
        <v/>
      </c>
      <c r="E1255">
        <f>IF(AND('Ratings'!A84&lt;&gt;"",'Ratings'!J5&lt;&gt;""),'Ratings'!J5,"")</f>
        <v/>
      </c>
      <c r="F1255">
        <f>IF(OR(A1255="",'Ratings'!J84=""),"",'Ratings'!J84)</f>
        <v/>
      </c>
      <c r="G1255">
        <f>IF(A1255="","",'Employees'!D10)</f>
        <v/>
      </c>
    </row>
    <row r="1256">
      <c r="A1256">
        <f>IF(AND('Ratings'!A84&lt;&gt;"",'Ratings'!K5&lt;&gt;""),'Ratings'!A84,"")</f>
        <v/>
      </c>
      <c r="B1256">
        <f>IF(A1256="","",'Employees'!C10)</f>
        <v/>
      </c>
      <c r="C1256">
        <f>IF(A1256="","",'Ratings'!C84)</f>
        <v/>
      </c>
      <c r="D1256">
        <f>IF(A1256="","",'Ratings'!D84)</f>
        <v/>
      </c>
      <c r="E1256">
        <f>IF(AND('Ratings'!A84&lt;&gt;"",'Ratings'!K5&lt;&gt;""),'Ratings'!K5,"")</f>
        <v/>
      </c>
      <c r="F1256">
        <f>IF(OR(A1256="",'Ratings'!K84=""),"",'Ratings'!K84)</f>
        <v/>
      </c>
      <c r="G1256">
        <f>IF(A1256="","",'Employees'!D10)</f>
        <v/>
      </c>
    </row>
    <row r="1257">
      <c r="A1257">
        <f>IF(AND('Ratings'!A84&lt;&gt;"",'Ratings'!L5&lt;&gt;""),'Ratings'!A84,"")</f>
        <v/>
      </c>
      <c r="B1257">
        <f>IF(A1257="","",'Employees'!C10)</f>
        <v/>
      </c>
      <c r="C1257">
        <f>IF(A1257="","",'Ratings'!C84)</f>
        <v/>
      </c>
      <c r="D1257">
        <f>IF(A1257="","",'Ratings'!D84)</f>
        <v/>
      </c>
      <c r="E1257">
        <f>IF(AND('Ratings'!A84&lt;&gt;"",'Ratings'!L5&lt;&gt;""),'Ratings'!L5,"")</f>
        <v/>
      </c>
      <c r="F1257">
        <f>IF(OR(A1257="",'Ratings'!L84=""),"",'Ratings'!L84)</f>
        <v/>
      </c>
      <c r="G1257">
        <f>IF(A1257="","",'Employees'!D10)</f>
        <v/>
      </c>
    </row>
    <row r="1258">
      <c r="A1258">
        <f>IF(AND('Ratings'!A84&lt;&gt;"",'Ratings'!M5&lt;&gt;""),'Ratings'!A84,"")</f>
        <v/>
      </c>
      <c r="B1258">
        <f>IF(A1258="","",'Employees'!C10)</f>
        <v/>
      </c>
      <c r="C1258">
        <f>IF(A1258="","",'Ratings'!C84)</f>
        <v/>
      </c>
      <c r="D1258">
        <f>IF(A1258="","",'Ratings'!D84)</f>
        <v/>
      </c>
      <c r="E1258">
        <f>IF(AND('Ratings'!A84&lt;&gt;"",'Ratings'!M5&lt;&gt;""),'Ratings'!M5,"")</f>
        <v/>
      </c>
      <c r="F1258">
        <f>IF(OR(A1258="",'Ratings'!M84=""),"",'Ratings'!M84)</f>
        <v/>
      </c>
      <c r="G1258">
        <f>IF(A1258="","",'Employees'!D10)</f>
        <v/>
      </c>
    </row>
    <row r="1259">
      <c r="A1259">
        <f>IF(AND('Ratings'!A84&lt;&gt;"",'Ratings'!N5&lt;&gt;""),'Ratings'!A84,"")</f>
        <v/>
      </c>
      <c r="B1259">
        <f>IF(A1259="","",'Employees'!C10)</f>
        <v/>
      </c>
      <c r="C1259">
        <f>IF(A1259="","",'Ratings'!C84)</f>
        <v/>
      </c>
      <c r="D1259">
        <f>IF(A1259="","",'Ratings'!D84)</f>
        <v/>
      </c>
      <c r="E1259">
        <f>IF(AND('Ratings'!A84&lt;&gt;"",'Ratings'!N5&lt;&gt;""),'Ratings'!N5,"")</f>
        <v/>
      </c>
      <c r="F1259">
        <f>IF(OR(A1259="",'Ratings'!N84=""),"",'Ratings'!N84)</f>
        <v/>
      </c>
      <c r="G1259">
        <f>IF(A1259="","",'Employees'!D10)</f>
        <v/>
      </c>
    </row>
    <row r="1260">
      <c r="A1260">
        <f>IF(AND('Ratings'!A84&lt;&gt;"",'Ratings'!O5&lt;&gt;""),'Ratings'!A84,"")</f>
        <v/>
      </c>
      <c r="B1260">
        <f>IF(A1260="","",'Employees'!C10)</f>
        <v/>
      </c>
      <c r="C1260">
        <f>IF(A1260="","",'Ratings'!C84)</f>
        <v/>
      </c>
      <c r="D1260">
        <f>IF(A1260="","",'Ratings'!D84)</f>
        <v/>
      </c>
      <c r="E1260">
        <f>IF(AND('Ratings'!A84&lt;&gt;"",'Ratings'!O5&lt;&gt;""),'Ratings'!O5,"")</f>
        <v/>
      </c>
      <c r="F1260">
        <f>IF(OR(A1260="",'Ratings'!O84=""),"",'Ratings'!O84)</f>
        <v/>
      </c>
      <c r="G1260">
        <f>IF(A1260="","",'Employees'!D10)</f>
        <v/>
      </c>
    </row>
    <row r="1261">
      <c r="A1261">
        <f>IF(AND('Ratings'!A84&lt;&gt;"",'Ratings'!P5&lt;&gt;""),'Ratings'!A84,"")</f>
        <v/>
      </c>
      <c r="B1261">
        <f>IF(A1261="","",'Employees'!C10)</f>
        <v/>
      </c>
      <c r="C1261">
        <f>IF(A1261="","",'Ratings'!C84)</f>
        <v/>
      </c>
      <c r="D1261">
        <f>IF(A1261="","",'Ratings'!D84)</f>
        <v/>
      </c>
      <c r="E1261">
        <f>IF(AND('Ratings'!A84&lt;&gt;"",'Ratings'!P5&lt;&gt;""),'Ratings'!P5,"")</f>
        <v/>
      </c>
      <c r="F1261">
        <f>IF(OR(A1261="",'Ratings'!P84=""),"",'Ratings'!P84)</f>
        <v/>
      </c>
      <c r="G1261">
        <f>IF(A1261="","",'Employees'!D10)</f>
        <v/>
      </c>
    </row>
    <row r="1262">
      <c r="A1262">
        <f>IF(AND('Ratings'!A84&lt;&gt;"",'Ratings'!Q5&lt;&gt;""),'Ratings'!A84,"")</f>
        <v/>
      </c>
      <c r="B1262">
        <f>IF(A1262="","",'Employees'!C10)</f>
        <v/>
      </c>
      <c r="C1262">
        <f>IF(A1262="","",'Ratings'!C84)</f>
        <v/>
      </c>
      <c r="D1262">
        <f>IF(A1262="","",'Ratings'!D84)</f>
        <v/>
      </c>
      <c r="E1262">
        <f>IF(AND('Ratings'!A84&lt;&gt;"",'Ratings'!Q5&lt;&gt;""),'Ratings'!Q5,"")</f>
        <v/>
      </c>
      <c r="F1262">
        <f>IF(OR(A1262="",'Ratings'!Q84=""),"",'Ratings'!Q84)</f>
        <v/>
      </c>
      <c r="G1262">
        <f>IF(A1262="","",'Employees'!D10)</f>
        <v/>
      </c>
    </row>
    <row r="1263">
      <c r="A1263">
        <f>IF(AND('Ratings'!A84&lt;&gt;"",'Ratings'!R5&lt;&gt;""),'Ratings'!A84,"")</f>
        <v/>
      </c>
      <c r="B1263">
        <f>IF(A1263="","",'Employees'!C10)</f>
        <v/>
      </c>
      <c r="C1263">
        <f>IF(A1263="","",'Ratings'!C84)</f>
        <v/>
      </c>
      <c r="D1263">
        <f>IF(A1263="","",'Ratings'!D84)</f>
        <v/>
      </c>
      <c r="E1263">
        <f>IF(AND('Ratings'!A84&lt;&gt;"",'Ratings'!R5&lt;&gt;""),'Ratings'!R5,"")</f>
        <v/>
      </c>
      <c r="F1263">
        <f>IF(OR(A1263="",'Ratings'!R84=""),"",'Ratings'!R84)</f>
        <v/>
      </c>
      <c r="G1263">
        <f>IF(A1263="","",'Employees'!D10)</f>
        <v/>
      </c>
    </row>
    <row r="1264">
      <c r="A1264">
        <f>IF(AND('Ratings'!A84&lt;&gt;"",'Ratings'!S5&lt;&gt;""),'Ratings'!A84,"")</f>
        <v/>
      </c>
      <c r="B1264">
        <f>IF(A1264="","",'Employees'!C10)</f>
        <v/>
      </c>
      <c r="C1264">
        <f>IF(A1264="","",'Ratings'!C84)</f>
        <v/>
      </c>
      <c r="D1264">
        <f>IF(A1264="","",'Ratings'!D84)</f>
        <v/>
      </c>
      <c r="E1264">
        <f>IF(AND('Ratings'!A84&lt;&gt;"",'Ratings'!S5&lt;&gt;""),'Ratings'!S5,"")</f>
        <v/>
      </c>
      <c r="F1264">
        <f>IF(OR(A1264="",'Ratings'!S84=""),"",'Ratings'!S84)</f>
        <v/>
      </c>
      <c r="G1264">
        <f>IF(A1264="","",'Employees'!D10)</f>
        <v/>
      </c>
    </row>
    <row r="1265">
      <c r="A1265">
        <f>IF(AND('Ratings'!A84&lt;&gt;"",'Ratings'!T5&lt;&gt;""),'Ratings'!A84,"")</f>
        <v/>
      </c>
      <c r="B1265">
        <f>IF(A1265="","",'Employees'!C10)</f>
        <v/>
      </c>
      <c r="C1265">
        <f>IF(A1265="","",'Ratings'!C84)</f>
        <v/>
      </c>
      <c r="D1265">
        <f>IF(A1265="","",'Ratings'!D84)</f>
        <v/>
      </c>
      <c r="E1265">
        <f>IF(AND('Ratings'!A84&lt;&gt;"",'Ratings'!T5&lt;&gt;""),'Ratings'!T5,"")</f>
        <v/>
      </c>
      <c r="F1265">
        <f>IF(OR(A1265="",'Ratings'!T84=""),"",'Ratings'!T84)</f>
        <v/>
      </c>
      <c r="G1265">
        <f>IF(A1265="","",'Employees'!D10)</f>
        <v/>
      </c>
    </row>
    <row r="1266">
      <c r="A1266">
        <f>IF(AND('Ratings'!A85&lt;&gt;"",'Ratings'!E5&lt;&gt;""),'Ratings'!A85,"")</f>
        <v/>
      </c>
      <c r="B1266">
        <f>IF(A1266="","",'Employees'!C10)</f>
        <v/>
      </c>
      <c r="C1266">
        <f>IF(A1266="","",'Ratings'!C85)</f>
        <v/>
      </c>
      <c r="D1266">
        <f>IF(A1266="","",'Ratings'!D85)</f>
        <v/>
      </c>
      <c r="E1266">
        <f>IF(AND('Ratings'!A85&lt;&gt;"",'Ratings'!E5&lt;&gt;""),'Ratings'!E5,"")</f>
        <v/>
      </c>
      <c r="F1266">
        <f>IF(OR(A1266="",'Ratings'!E85=""),"",'Ratings'!E85)</f>
        <v/>
      </c>
      <c r="G1266">
        <f>IF(A1266="","",'Employees'!D10)</f>
        <v/>
      </c>
    </row>
    <row r="1267">
      <c r="A1267">
        <f>IF(AND('Ratings'!A85&lt;&gt;"",'Ratings'!F5&lt;&gt;""),'Ratings'!A85,"")</f>
        <v/>
      </c>
      <c r="B1267">
        <f>IF(A1267="","",'Employees'!C10)</f>
        <v/>
      </c>
      <c r="C1267">
        <f>IF(A1267="","",'Ratings'!C85)</f>
        <v/>
      </c>
      <c r="D1267">
        <f>IF(A1267="","",'Ratings'!D85)</f>
        <v/>
      </c>
      <c r="E1267">
        <f>IF(AND('Ratings'!A85&lt;&gt;"",'Ratings'!F5&lt;&gt;""),'Ratings'!F5,"")</f>
        <v/>
      </c>
      <c r="F1267">
        <f>IF(OR(A1267="",'Ratings'!F85=""),"",'Ratings'!F85)</f>
        <v/>
      </c>
      <c r="G1267">
        <f>IF(A1267="","",'Employees'!D10)</f>
        <v/>
      </c>
    </row>
    <row r="1268">
      <c r="A1268">
        <f>IF(AND('Ratings'!A85&lt;&gt;"",'Ratings'!G5&lt;&gt;""),'Ratings'!A85,"")</f>
        <v/>
      </c>
      <c r="B1268">
        <f>IF(A1268="","",'Employees'!C10)</f>
        <v/>
      </c>
      <c r="C1268">
        <f>IF(A1268="","",'Ratings'!C85)</f>
        <v/>
      </c>
      <c r="D1268">
        <f>IF(A1268="","",'Ratings'!D85)</f>
        <v/>
      </c>
      <c r="E1268">
        <f>IF(AND('Ratings'!A85&lt;&gt;"",'Ratings'!G5&lt;&gt;""),'Ratings'!G5,"")</f>
        <v/>
      </c>
      <c r="F1268">
        <f>IF(OR(A1268="",'Ratings'!G85=""),"",'Ratings'!G85)</f>
        <v/>
      </c>
      <c r="G1268">
        <f>IF(A1268="","",'Employees'!D10)</f>
        <v/>
      </c>
    </row>
    <row r="1269">
      <c r="A1269">
        <f>IF(AND('Ratings'!A85&lt;&gt;"",'Ratings'!H5&lt;&gt;""),'Ratings'!A85,"")</f>
        <v/>
      </c>
      <c r="B1269">
        <f>IF(A1269="","",'Employees'!C10)</f>
        <v/>
      </c>
      <c r="C1269">
        <f>IF(A1269="","",'Ratings'!C85)</f>
        <v/>
      </c>
      <c r="D1269">
        <f>IF(A1269="","",'Ratings'!D85)</f>
        <v/>
      </c>
      <c r="E1269">
        <f>IF(AND('Ratings'!A85&lt;&gt;"",'Ratings'!H5&lt;&gt;""),'Ratings'!H5,"")</f>
        <v/>
      </c>
      <c r="F1269">
        <f>IF(OR(A1269="",'Ratings'!H85=""),"",'Ratings'!H85)</f>
        <v/>
      </c>
      <c r="G1269">
        <f>IF(A1269="","",'Employees'!D10)</f>
        <v/>
      </c>
    </row>
    <row r="1270">
      <c r="A1270">
        <f>IF(AND('Ratings'!A85&lt;&gt;"",'Ratings'!I5&lt;&gt;""),'Ratings'!A85,"")</f>
        <v/>
      </c>
      <c r="B1270">
        <f>IF(A1270="","",'Employees'!C10)</f>
        <v/>
      </c>
      <c r="C1270">
        <f>IF(A1270="","",'Ratings'!C85)</f>
        <v/>
      </c>
      <c r="D1270">
        <f>IF(A1270="","",'Ratings'!D85)</f>
        <v/>
      </c>
      <c r="E1270">
        <f>IF(AND('Ratings'!A85&lt;&gt;"",'Ratings'!I5&lt;&gt;""),'Ratings'!I5,"")</f>
        <v/>
      </c>
      <c r="F1270">
        <f>IF(OR(A1270="",'Ratings'!I85=""),"",'Ratings'!I85)</f>
        <v/>
      </c>
      <c r="G1270">
        <f>IF(A1270="","",'Employees'!D10)</f>
        <v/>
      </c>
    </row>
    <row r="1271">
      <c r="A1271">
        <f>IF(AND('Ratings'!A85&lt;&gt;"",'Ratings'!J5&lt;&gt;""),'Ratings'!A85,"")</f>
        <v/>
      </c>
      <c r="B1271">
        <f>IF(A1271="","",'Employees'!C10)</f>
        <v/>
      </c>
      <c r="C1271">
        <f>IF(A1271="","",'Ratings'!C85)</f>
        <v/>
      </c>
      <c r="D1271">
        <f>IF(A1271="","",'Ratings'!D85)</f>
        <v/>
      </c>
      <c r="E1271">
        <f>IF(AND('Ratings'!A85&lt;&gt;"",'Ratings'!J5&lt;&gt;""),'Ratings'!J5,"")</f>
        <v/>
      </c>
      <c r="F1271">
        <f>IF(OR(A1271="",'Ratings'!J85=""),"",'Ratings'!J85)</f>
        <v/>
      </c>
      <c r="G1271">
        <f>IF(A1271="","",'Employees'!D10)</f>
        <v/>
      </c>
    </row>
    <row r="1272">
      <c r="A1272">
        <f>IF(AND('Ratings'!A85&lt;&gt;"",'Ratings'!K5&lt;&gt;""),'Ratings'!A85,"")</f>
        <v/>
      </c>
      <c r="B1272">
        <f>IF(A1272="","",'Employees'!C10)</f>
        <v/>
      </c>
      <c r="C1272">
        <f>IF(A1272="","",'Ratings'!C85)</f>
        <v/>
      </c>
      <c r="D1272">
        <f>IF(A1272="","",'Ratings'!D85)</f>
        <v/>
      </c>
      <c r="E1272">
        <f>IF(AND('Ratings'!A85&lt;&gt;"",'Ratings'!K5&lt;&gt;""),'Ratings'!K5,"")</f>
        <v/>
      </c>
      <c r="F1272">
        <f>IF(OR(A1272="",'Ratings'!K85=""),"",'Ratings'!K85)</f>
        <v/>
      </c>
      <c r="G1272">
        <f>IF(A1272="","",'Employees'!D10)</f>
        <v/>
      </c>
    </row>
    <row r="1273">
      <c r="A1273">
        <f>IF(AND('Ratings'!A85&lt;&gt;"",'Ratings'!L5&lt;&gt;""),'Ratings'!A85,"")</f>
        <v/>
      </c>
      <c r="B1273">
        <f>IF(A1273="","",'Employees'!C10)</f>
        <v/>
      </c>
      <c r="C1273">
        <f>IF(A1273="","",'Ratings'!C85)</f>
        <v/>
      </c>
      <c r="D1273">
        <f>IF(A1273="","",'Ratings'!D85)</f>
        <v/>
      </c>
      <c r="E1273">
        <f>IF(AND('Ratings'!A85&lt;&gt;"",'Ratings'!L5&lt;&gt;""),'Ratings'!L5,"")</f>
        <v/>
      </c>
      <c r="F1273">
        <f>IF(OR(A1273="",'Ratings'!L85=""),"",'Ratings'!L85)</f>
        <v/>
      </c>
      <c r="G1273">
        <f>IF(A1273="","",'Employees'!D10)</f>
        <v/>
      </c>
    </row>
    <row r="1274">
      <c r="A1274">
        <f>IF(AND('Ratings'!A85&lt;&gt;"",'Ratings'!M5&lt;&gt;""),'Ratings'!A85,"")</f>
        <v/>
      </c>
      <c r="B1274">
        <f>IF(A1274="","",'Employees'!C10)</f>
        <v/>
      </c>
      <c r="C1274">
        <f>IF(A1274="","",'Ratings'!C85)</f>
        <v/>
      </c>
      <c r="D1274">
        <f>IF(A1274="","",'Ratings'!D85)</f>
        <v/>
      </c>
      <c r="E1274">
        <f>IF(AND('Ratings'!A85&lt;&gt;"",'Ratings'!M5&lt;&gt;""),'Ratings'!M5,"")</f>
        <v/>
      </c>
      <c r="F1274">
        <f>IF(OR(A1274="",'Ratings'!M85=""),"",'Ratings'!M85)</f>
        <v/>
      </c>
      <c r="G1274">
        <f>IF(A1274="","",'Employees'!D10)</f>
        <v/>
      </c>
    </row>
    <row r="1275">
      <c r="A1275">
        <f>IF(AND('Ratings'!A85&lt;&gt;"",'Ratings'!N5&lt;&gt;""),'Ratings'!A85,"")</f>
        <v/>
      </c>
      <c r="B1275">
        <f>IF(A1275="","",'Employees'!C10)</f>
        <v/>
      </c>
      <c r="C1275">
        <f>IF(A1275="","",'Ratings'!C85)</f>
        <v/>
      </c>
      <c r="D1275">
        <f>IF(A1275="","",'Ratings'!D85)</f>
        <v/>
      </c>
      <c r="E1275">
        <f>IF(AND('Ratings'!A85&lt;&gt;"",'Ratings'!N5&lt;&gt;""),'Ratings'!N5,"")</f>
        <v/>
      </c>
      <c r="F1275">
        <f>IF(OR(A1275="",'Ratings'!N85=""),"",'Ratings'!N85)</f>
        <v/>
      </c>
      <c r="G1275">
        <f>IF(A1275="","",'Employees'!D10)</f>
        <v/>
      </c>
    </row>
    <row r="1276">
      <c r="A1276">
        <f>IF(AND('Ratings'!A85&lt;&gt;"",'Ratings'!O5&lt;&gt;""),'Ratings'!A85,"")</f>
        <v/>
      </c>
      <c r="B1276">
        <f>IF(A1276="","",'Employees'!C10)</f>
        <v/>
      </c>
      <c r="C1276">
        <f>IF(A1276="","",'Ratings'!C85)</f>
        <v/>
      </c>
      <c r="D1276">
        <f>IF(A1276="","",'Ratings'!D85)</f>
        <v/>
      </c>
      <c r="E1276">
        <f>IF(AND('Ratings'!A85&lt;&gt;"",'Ratings'!O5&lt;&gt;""),'Ratings'!O5,"")</f>
        <v/>
      </c>
      <c r="F1276">
        <f>IF(OR(A1276="",'Ratings'!O85=""),"",'Ratings'!O85)</f>
        <v/>
      </c>
      <c r="G1276">
        <f>IF(A1276="","",'Employees'!D10)</f>
        <v/>
      </c>
    </row>
    <row r="1277">
      <c r="A1277">
        <f>IF(AND('Ratings'!A85&lt;&gt;"",'Ratings'!P5&lt;&gt;""),'Ratings'!A85,"")</f>
        <v/>
      </c>
      <c r="B1277">
        <f>IF(A1277="","",'Employees'!C10)</f>
        <v/>
      </c>
      <c r="C1277">
        <f>IF(A1277="","",'Ratings'!C85)</f>
        <v/>
      </c>
      <c r="D1277">
        <f>IF(A1277="","",'Ratings'!D85)</f>
        <v/>
      </c>
      <c r="E1277">
        <f>IF(AND('Ratings'!A85&lt;&gt;"",'Ratings'!P5&lt;&gt;""),'Ratings'!P5,"")</f>
        <v/>
      </c>
      <c r="F1277">
        <f>IF(OR(A1277="",'Ratings'!P85=""),"",'Ratings'!P85)</f>
        <v/>
      </c>
      <c r="G1277">
        <f>IF(A1277="","",'Employees'!D10)</f>
        <v/>
      </c>
    </row>
    <row r="1278">
      <c r="A1278">
        <f>IF(AND('Ratings'!A85&lt;&gt;"",'Ratings'!Q5&lt;&gt;""),'Ratings'!A85,"")</f>
        <v/>
      </c>
      <c r="B1278">
        <f>IF(A1278="","",'Employees'!C10)</f>
        <v/>
      </c>
      <c r="C1278">
        <f>IF(A1278="","",'Ratings'!C85)</f>
        <v/>
      </c>
      <c r="D1278">
        <f>IF(A1278="","",'Ratings'!D85)</f>
        <v/>
      </c>
      <c r="E1278">
        <f>IF(AND('Ratings'!A85&lt;&gt;"",'Ratings'!Q5&lt;&gt;""),'Ratings'!Q5,"")</f>
        <v/>
      </c>
      <c r="F1278">
        <f>IF(OR(A1278="",'Ratings'!Q85=""),"",'Ratings'!Q85)</f>
        <v/>
      </c>
      <c r="G1278">
        <f>IF(A1278="","",'Employees'!D10)</f>
        <v/>
      </c>
    </row>
    <row r="1279">
      <c r="A1279">
        <f>IF(AND('Ratings'!A85&lt;&gt;"",'Ratings'!R5&lt;&gt;""),'Ratings'!A85,"")</f>
        <v/>
      </c>
      <c r="B1279">
        <f>IF(A1279="","",'Employees'!C10)</f>
        <v/>
      </c>
      <c r="C1279">
        <f>IF(A1279="","",'Ratings'!C85)</f>
        <v/>
      </c>
      <c r="D1279">
        <f>IF(A1279="","",'Ratings'!D85)</f>
        <v/>
      </c>
      <c r="E1279">
        <f>IF(AND('Ratings'!A85&lt;&gt;"",'Ratings'!R5&lt;&gt;""),'Ratings'!R5,"")</f>
        <v/>
      </c>
      <c r="F1279">
        <f>IF(OR(A1279="",'Ratings'!R85=""),"",'Ratings'!R85)</f>
        <v/>
      </c>
      <c r="G1279">
        <f>IF(A1279="","",'Employees'!D10)</f>
        <v/>
      </c>
    </row>
    <row r="1280">
      <c r="A1280">
        <f>IF(AND('Ratings'!A85&lt;&gt;"",'Ratings'!S5&lt;&gt;""),'Ratings'!A85,"")</f>
        <v/>
      </c>
      <c r="B1280">
        <f>IF(A1280="","",'Employees'!C10)</f>
        <v/>
      </c>
      <c r="C1280">
        <f>IF(A1280="","",'Ratings'!C85)</f>
        <v/>
      </c>
      <c r="D1280">
        <f>IF(A1280="","",'Ratings'!D85)</f>
        <v/>
      </c>
      <c r="E1280">
        <f>IF(AND('Ratings'!A85&lt;&gt;"",'Ratings'!S5&lt;&gt;""),'Ratings'!S5,"")</f>
        <v/>
      </c>
      <c r="F1280">
        <f>IF(OR(A1280="",'Ratings'!S85=""),"",'Ratings'!S85)</f>
        <v/>
      </c>
      <c r="G1280">
        <f>IF(A1280="","",'Employees'!D10)</f>
        <v/>
      </c>
    </row>
    <row r="1281">
      <c r="A1281">
        <f>IF(AND('Ratings'!A85&lt;&gt;"",'Ratings'!T5&lt;&gt;""),'Ratings'!A85,"")</f>
        <v/>
      </c>
      <c r="B1281">
        <f>IF(A1281="","",'Employees'!C10)</f>
        <v/>
      </c>
      <c r="C1281">
        <f>IF(A1281="","",'Ratings'!C85)</f>
        <v/>
      </c>
      <c r="D1281">
        <f>IF(A1281="","",'Ratings'!D85)</f>
        <v/>
      </c>
      <c r="E1281">
        <f>IF(AND('Ratings'!A85&lt;&gt;"",'Ratings'!T5&lt;&gt;""),'Ratings'!T5,"")</f>
        <v/>
      </c>
      <c r="F1281">
        <f>IF(OR(A1281="",'Ratings'!T85=""),"",'Ratings'!T85)</f>
        <v/>
      </c>
      <c r="G1281">
        <f>IF(A1281="","",'Employees'!D10)</f>
        <v/>
      </c>
    </row>
    <row r="1282">
      <c r="A1282">
        <f>IF(AND('Ratings'!A86&lt;&gt;"",'Ratings'!E5&lt;&gt;""),'Ratings'!A86,"")</f>
        <v/>
      </c>
      <c r="B1282">
        <f>IF(A1282="","",'Employees'!C11)</f>
        <v/>
      </c>
      <c r="C1282">
        <f>IF(A1282="","",'Ratings'!C86)</f>
        <v/>
      </c>
      <c r="D1282">
        <f>IF(A1282="","",'Ratings'!D86)</f>
        <v/>
      </c>
      <c r="E1282">
        <f>IF(AND('Ratings'!A86&lt;&gt;"",'Ratings'!E5&lt;&gt;""),'Ratings'!E5,"")</f>
        <v/>
      </c>
      <c r="F1282">
        <f>IF(OR(A1282="",'Ratings'!E86=""),"",'Ratings'!E86)</f>
        <v/>
      </c>
      <c r="G1282">
        <f>IF(A1282="","",'Employees'!D11)</f>
        <v/>
      </c>
    </row>
    <row r="1283">
      <c r="A1283">
        <f>IF(AND('Ratings'!A86&lt;&gt;"",'Ratings'!F5&lt;&gt;""),'Ratings'!A86,"")</f>
        <v/>
      </c>
      <c r="B1283">
        <f>IF(A1283="","",'Employees'!C11)</f>
        <v/>
      </c>
      <c r="C1283">
        <f>IF(A1283="","",'Ratings'!C86)</f>
        <v/>
      </c>
      <c r="D1283">
        <f>IF(A1283="","",'Ratings'!D86)</f>
        <v/>
      </c>
      <c r="E1283">
        <f>IF(AND('Ratings'!A86&lt;&gt;"",'Ratings'!F5&lt;&gt;""),'Ratings'!F5,"")</f>
        <v/>
      </c>
      <c r="F1283">
        <f>IF(OR(A1283="",'Ratings'!F86=""),"",'Ratings'!F86)</f>
        <v/>
      </c>
      <c r="G1283">
        <f>IF(A1283="","",'Employees'!D11)</f>
        <v/>
      </c>
    </row>
    <row r="1284">
      <c r="A1284">
        <f>IF(AND('Ratings'!A86&lt;&gt;"",'Ratings'!G5&lt;&gt;""),'Ratings'!A86,"")</f>
        <v/>
      </c>
      <c r="B1284">
        <f>IF(A1284="","",'Employees'!C11)</f>
        <v/>
      </c>
      <c r="C1284">
        <f>IF(A1284="","",'Ratings'!C86)</f>
        <v/>
      </c>
      <c r="D1284">
        <f>IF(A1284="","",'Ratings'!D86)</f>
        <v/>
      </c>
      <c r="E1284">
        <f>IF(AND('Ratings'!A86&lt;&gt;"",'Ratings'!G5&lt;&gt;""),'Ratings'!G5,"")</f>
        <v/>
      </c>
      <c r="F1284">
        <f>IF(OR(A1284="",'Ratings'!G86=""),"",'Ratings'!G86)</f>
        <v/>
      </c>
      <c r="G1284">
        <f>IF(A1284="","",'Employees'!D11)</f>
        <v/>
      </c>
    </row>
    <row r="1285">
      <c r="A1285">
        <f>IF(AND('Ratings'!A86&lt;&gt;"",'Ratings'!H5&lt;&gt;""),'Ratings'!A86,"")</f>
        <v/>
      </c>
      <c r="B1285">
        <f>IF(A1285="","",'Employees'!C11)</f>
        <v/>
      </c>
      <c r="C1285">
        <f>IF(A1285="","",'Ratings'!C86)</f>
        <v/>
      </c>
      <c r="D1285">
        <f>IF(A1285="","",'Ratings'!D86)</f>
        <v/>
      </c>
      <c r="E1285">
        <f>IF(AND('Ratings'!A86&lt;&gt;"",'Ratings'!H5&lt;&gt;""),'Ratings'!H5,"")</f>
        <v/>
      </c>
      <c r="F1285">
        <f>IF(OR(A1285="",'Ratings'!H86=""),"",'Ratings'!H86)</f>
        <v/>
      </c>
      <c r="G1285">
        <f>IF(A1285="","",'Employees'!D11)</f>
        <v/>
      </c>
    </row>
    <row r="1286">
      <c r="A1286">
        <f>IF(AND('Ratings'!A86&lt;&gt;"",'Ratings'!I5&lt;&gt;""),'Ratings'!A86,"")</f>
        <v/>
      </c>
      <c r="B1286">
        <f>IF(A1286="","",'Employees'!C11)</f>
        <v/>
      </c>
      <c r="C1286">
        <f>IF(A1286="","",'Ratings'!C86)</f>
        <v/>
      </c>
      <c r="D1286">
        <f>IF(A1286="","",'Ratings'!D86)</f>
        <v/>
      </c>
      <c r="E1286">
        <f>IF(AND('Ratings'!A86&lt;&gt;"",'Ratings'!I5&lt;&gt;""),'Ratings'!I5,"")</f>
        <v/>
      </c>
      <c r="F1286">
        <f>IF(OR(A1286="",'Ratings'!I86=""),"",'Ratings'!I86)</f>
        <v/>
      </c>
      <c r="G1286">
        <f>IF(A1286="","",'Employees'!D11)</f>
        <v/>
      </c>
    </row>
    <row r="1287">
      <c r="A1287">
        <f>IF(AND('Ratings'!A86&lt;&gt;"",'Ratings'!J5&lt;&gt;""),'Ratings'!A86,"")</f>
        <v/>
      </c>
      <c r="B1287">
        <f>IF(A1287="","",'Employees'!C11)</f>
        <v/>
      </c>
      <c r="C1287">
        <f>IF(A1287="","",'Ratings'!C86)</f>
        <v/>
      </c>
      <c r="D1287">
        <f>IF(A1287="","",'Ratings'!D86)</f>
        <v/>
      </c>
      <c r="E1287">
        <f>IF(AND('Ratings'!A86&lt;&gt;"",'Ratings'!J5&lt;&gt;""),'Ratings'!J5,"")</f>
        <v/>
      </c>
      <c r="F1287">
        <f>IF(OR(A1287="",'Ratings'!J86=""),"",'Ratings'!J86)</f>
        <v/>
      </c>
      <c r="G1287">
        <f>IF(A1287="","",'Employees'!D11)</f>
        <v/>
      </c>
    </row>
    <row r="1288">
      <c r="A1288">
        <f>IF(AND('Ratings'!A86&lt;&gt;"",'Ratings'!K5&lt;&gt;""),'Ratings'!A86,"")</f>
        <v/>
      </c>
      <c r="B1288">
        <f>IF(A1288="","",'Employees'!C11)</f>
        <v/>
      </c>
      <c r="C1288">
        <f>IF(A1288="","",'Ratings'!C86)</f>
        <v/>
      </c>
      <c r="D1288">
        <f>IF(A1288="","",'Ratings'!D86)</f>
        <v/>
      </c>
      <c r="E1288">
        <f>IF(AND('Ratings'!A86&lt;&gt;"",'Ratings'!K5&lt;&gt;""),'Ratings'!K5,"")</f>
        <v/>
      </c>
      <c r="F1288">
        <f>IF(OR(A1288="",'Ratings'!K86=""),"",'Ratings'!K86)</f>
        <v/>
      </c>
      <c r="G1288">
        <f>IF(A1288="","",'Employees'!D11)</f>
        <v/>
      </c>
    </row>
    <row r="1289">
      <c r="A1289">
        <f>IF(AND('Ratings'!A86&lt;&gt;"",'Ratings'!L5&lt;&gt;""),'Ratings'!A86,"")</f>
        <v/>
      </c>
      <c r="B1289">
        <f>IF(A1289="","",'Employees'!C11)</f>
        <v/>
      </c>
      <c r="C1289">
        <f>IF(A1289="","",'Ratings'!C86)</f>
        <v/>
      </c>
      <c r="D1289">
        <f>IF(A1289="","",'Ratings'!D86)</f>
        <v/>
      </c>
      <c r="E1289">
        <f>IF(AND('Ratings'!A86&lt;&gt;"",'Ratings'!L5&lt;&gt;""),'Ratings'!L5,"")</f>
        <v/>
      </c>
      <c r="F1289">
        <f>IF(OR(A1289="",'Ratings'!L86=""),"",'Ratings'!L86)</f>
        <v/>
      </c>
      <c r="G1289">
        <f>IF(A1289="","",'Employees'!D11)</f>
        <v/>
      </c>
    </row>
    <row r="1290">
      <c r="A1290">
        <f>IF(AND('Ratings'!A86&lt;&gt;"",'Ratings'!M5&lt;&gt;""),'Ratings'!A86,"")</f>
        <v/>
      </c>
      <c r="B1290">
        <f>IF(A1290="","",'Employees'!C11)</f>
        <v/>
      </c>
      <c r="C1290">
        <f>IF(A1290="","",'Ratings'!C86)</f>
        <v/>
      </c>
      <c r="D1290">
        <f>IF(A1290="","",'Ratings'!D86)</f>
        <v/>
      </c>
      <c r="E1290">
        <f>IF(AND('Ratings'!A86&lt;&gt;"",'Ratings'!M5&lt;&gt;""),'Ratings'!M5,"")</f>
        <v/>
      </c>
      <c r="F1290">
        <f>IF(OR(A1290="",'Ratings'!M86=""),"",'Ratings'!M86)</f>
        <v/>
      </c>
      <c r="G1290">
        <f>IF(A1290="","",'Employees'!D11)</f>
        <v/>
      </c>
    </row>
    <row r="1291">
      <c r="A1291">
        <f>IF(AND('Ratings'!A86&lt;&gt;"",'Ratings'!N5&lt;&gt;""),'Ratings'!A86,"")</f>
        <v/>
      </c>
      <c r="B1291">
        <f>IF(A1291="","",'Employees'!C11)</f>
        <v/>
      </c>
      <c r="C1291">
        <f>IF(A1291="","",'Ratings'!C86)</f>
        <v/>
      </c>
      <c r="D1291">
        <f>IF(A1291="","",'Ratings'!D86)</f>
        <v/>
      </c>
      <c r="E1291">
        <f>IF(AND('Ratings'!A86&lt;&gt;"",'Ratings'!N5&lt;&gt;""),'Ratings'!N5,"")</f>
        <v/>
      </c>
      <c r="F1291">
        <f>IF(OR(A1291="",'Ratings'!N86=""),"",'Ratings'!N86)</f>
        <v/>
      </c>
      <c r="G1291">
        <f>IF(A1291="","",'Employees'!D11)</f>
        <v/>
      </c>
    </row>
    <row r="1292">
      <c r="A1292">
        <f>IF(AND('Ratings'!A86&lt;&gt;"",'Ratings'!O5&lt;&gt;""),'Ratings'!A86,"")</f>
        <v/>
      </c>
      <c r="B1292">
        <f>IF(A1292="","",'Employees'!C11)</f>
        <v/>
      </c>
      <c r="C1292">
        <f>IF(A1292="","",'Ratings'!C86)</f>
        <v/>
      </c>
      <c r="D1292">
        <f>IF(A1292="","",'Ratings'!D86)</f>
        <v/>
      </c>
      <c r="E1292">
        <f>IF(AND('Ratings'!A86&lt;&gt;"",'Ratings'!O5&lt;&gt;""),'Ratings'!O5,"")</f>
        <v/>
      </c>
      <c r="F1292">
        <f>IF(OR(A1292="",'Ratings'!O86=""),"",'Ratings'!O86)</f>
        <v/>
      </c>
      <c r="G1292">
        <f>IF(A1292="","",'Employees'!D11)</f>
        <v/>
      </c>
    </row>
    <row r="1293">
      <c r="A1293">
        <f>IF(AND('Ratings'!A86&lt;&gt;"",'Ratings'!P5&lt;&gt;""),'Ratings'!A86,"")</f>
        <v/>
      </c>
      <c r="B1293">
        <f>IF(A1293="","",'Employees'!C11)</f>
        <v/>
      </c>
      <c r="C1293">
        <f>IF(A1293="","",'Ratings'!C86)</f>
        <v/>
      </c>
      <c r="D1293">
        <f>IF(A1293="","",'Ratings'!D86)</f>
        <v/>
      </c>
      <c r="E1293">
        <f>IF(AND('Ratings'!A86&lt;&gt;"",'Ratings'!P5&lt;&gt;""),'Ratings'!P5,"")</f>
        <v/>
      </c>
      <c r="F1293">
        <f>IF(OR(A1293="",'Ratings'!P86=""),"",'Ratings'!P86)</f>
        <v/>
      </c>
      <c r="G1293">
        <f>IF(A1293="","",'Employees'!D11)</f>
        <v/>
      </c>
    </row>
    <row r="1294">
      <c r="A1294">
        <f>IF(AND('Ratings'!A86&lt;&gt;"",'Ratings'!Q5&lt;&gt;""),'Ratings'!A86,"")</f>
        <v/>
      </c>
      <c r="B1294">
        <f>IF(A1294="","",'Employees'!C11)</f>
        <v/>
      </c>
      <c r="C1294">
        <f>IF(A1294="","",'Ratings'!C86)</f>
        <v/>
      </c>
      <c r="D1294">
        <f>IF(A1294="","",'Ratings'!D86)</f>
        <v/>
      </c>
      <c r="E1294">
        <f>IF(AND('Ratings'!A86&lt;&gt;"",'Ratings'!Q5&lt;&gt;""),'Ratings'!Q5,"")</f>
        <v/>
      </c>
      <c r="F1294">
        <f>IF(OR(A1294="",'Ratings'!Q86=""),"",'Ratings'!Q86)</f>
        <v/>
      </c>
      <c r="G1294">
        <f>IF(A1294="","",'Employees'!D11)</f>
        <v/>
      </c>
    </row>
    <row r="1295">
      <c r="A1295">
        <f>IF(AND('Ratings'!A86&lt;&gt;"",'Ratings'!R5&lt;&gt;""),'Ratings'!A86,"")</f>
        <v/>
      </c>
      <c r="B1295">
        <f>IF(A1295="","",'Employees'!C11)</f>
        <v/>
      </c>
      <c r="C1295">
        <f>IF(A1295="","",'Ratings'!C86)</f>
        <v/>
      </c>
      <c r="D1295">
        <f>IF(A1295="","",'Ratings'!D86)</f>
        <v/>
      </c>
      <c r="E1295">
        <f>IF(AND('Ratings'!A86&lt;&gt;"",'Ratings'!R5&lt;&gt;""),'Ratings'!R5,"")</f>
        <v/>
      </c>
      <c r="F1295">
        <f>IF(OR(A1295="",'Ratings'!R86=""),"",'Ratings'!R86)</f>
        <v/>
      </c>
      <c r="G1295">
        <f>IF(A1295="","",'Employees'!D11)</f>
        <v/>
      </c>
    </row>
    <row r="1296">
      <c r="A1296">
        <f>IF(AND('Ratings'!A86&lt;&gt;"",'Ratings'!S5&lt;&gt;""),'Ratings'!A86,"")</f>
        <v/>
      </c>
      <c r="B1296">
        <f>IF(A1296="","",'Employees'!C11)</f>
        <v/>
      </c>
      <c r="C1296">
        <f>IF(A1296="","",'Ratings'!C86)</f>
        <v/>
      </c>
      <c r="D1296">
        <f>IF(A1296="","",'Ratings'!D86)</f>
        <v/>
      </c>
      <c r="E1296">
        <f>IF(AND('Ratings'!A86&lt;&gt;"",'Ratings'!S5&lt;&gt;""),'Ratings'!S5,"")</f>
        <v/>
      </c>
      <c r="F1296">
        <f>IF(OR(A1296="",'Ratings'!S86=""),"",'Ratings'!S86)</f>
        <v/>
      </c>
      <c r="G1296">
        <f>IF(A1296="","",'Employees'!D11)</f>
        <v/>
      </c>
    </row>
    <row r="1297">
      <c r="A1297">
        <f>IF(AND('Ratings'!A86&lt;&gt;"",'Ratings'!T5&lt;&gt;""),'Ratings'!A86,"")</f>
        <v/>
      </c>
      <c r="B1297">
        <f>IF(A1297="","",'Employees'!C11)</f>
        <v/>
      </c>
      <c r="C1297">
        <f>IF(A1297="","",'Ratings'!C86)</f>
        <v/>
      </c>
      <c r="D1297">
        <f>IF(A1297="","",'Ratings'!D86)</f>
        <v/>
      </c>
      <c r="E1297">
        <f>IF(AND('Ratings'!A86&lt;&gt;"",'Ratings'!T5&lt;&gt;""),'Ratings'!T5,"")</f>
        <v/>
      </c>
      <c r="F1297">
        <f>IF(OR(A1297="",'Ratings'!T86=""),"",'Ratings'!T86)</f>
        <v/>
      </c>
      <c r="G1297">
        <f>IF(A1297="","",'Employees'!D11)</f>
        <v/>
      </c>
    </row>
    <row r="1298">
      <c r="A1298">
        <f>IF(AND('Ratings'!A87&lt;&gt;"",'Ratings'!E5&lt;&gt;""),'Ratings'!A87,"")</f>
        <v/>
      </c>
      <c r="B1298">
        <f>IF(A1298="","",'Employees'!C11)</f>
        <v/>
      </c>
      <c r="C1298">
        <f>IF(A1298="","",'Ratings'!C87)</f>
        <v/>
      </c>
      <c r="D1298">
        <f>IF(A1298="","",'Ratings'!D87)</f>
        <v/>
      </c>
      <c r="E1298">
        <f>IF(AND('Ratings'!A87&lt;&gt;"",'Ratings'!E5&lt;&gt;""),'Ratings'!E5,"")</f>
        <v/>
      </c>
      <c r="F1298">
        <f>IF(OR(A1298="",'Ratings'!E87=""),"",'Ratings'!E87)</f>
        <v/>
      </c>
      <c r="G1298">
        <f>IF(A1298="","",'Employees'!D11)</f>
        <v/>
      </c>
    </row>
    <row r="1299">
      <c r="A1299">
        <f>IF(AND('Ratings'!A87&lt;&gt;"",'Ratings'!F5&lt;&gt;""),'Ratings'!A87,"")</f>
        <v/>
      </c>
      <c r="B1299">
        <f>IF(A1299="","",'Employees'!C11)</f>
        <v/>
      </c>
      <c r="C1299">
        <f>IF(A1299="","",'Ratings'!C87)</f>
        <v/>
      </c>
      <c r="D1299">
        <f>IF(A1299="","",'Ratings'!D87)</f>
        <v/>
      </c>
      <c r="E1299">
        <f>IF(AND('Ratings'!A87&lt;&gt;"",'Ratings'!F5&lt;&gt;""),'Ratings'!F5,"")</f>
        <v/>
      </c>
      <c r="F1299">
        <f>IF(OR(A1299="",'Ratings'!F87=""),"",'Ratings'!F87)</f>
        <v/>
      </c>
      <c r="G1299">
        <f>IF(A1299="","",'Employees'!D11)</f>
        <v/>
      </c>
    </row>
    <row r="1300">
      <c r="A1300">
        <f>IF(AND('Ratings'!A87&lt;&gt;"",'Ratings'!G5&lt;&gt;""),'Ratings'!A87,"")</f>
        <v/>
      </c>
      <c r="B1300">
        <f>IF(A1300="","",'Employees'!C11)</f>
        <v/>
      </c>
      <c r="C1300">
        <f>IF(A1300="","",'Ratings'!C87)</f>
        <v/>
      </c>
      <c r="D1300">
        <f>IF(A1300="","",'Ratings'!D87)</f>
        <v/>
      </c>
      <c r="E1300">
        <f>IF(AND('Ratings'!A87&lt;&gt;"",'Ratings'!G5&lt;&gt;""),'Ratings'!G5,"")</f>
        <v/>
      </c>
      <c r="F1300">
        <f>IF(OR(A1300="",'Ratings'!G87=""),"",'Ratings'!G87)</f>
        <v/>
      </c>
      <c r="G1300">
        <f>IF(A1300="","",'Employees'!D11)</f>
        <v/>
      </c>
    </row>
    <row r="1301">
      <c r="A1301">
        <f>IF(AND('Ratings'!A87&lt;&gt;"",'Ratings'!H5&lt;&gt;""),'Ratings'!A87,"")</f>
        <v/>
      </c>
      <c r="B1301">
        <f>IF(A1301="","",'Employees'!C11)</f>
        <v/>
      </c>
      <c r="C1301">
        <f>IF(A1301="","",'Ratings'!C87)</f>
        <v/>
      </c>
      <c r="D1301">
        <f>IF(A1301="","",'Ratings'!D87)</f>
        <v/>
      </c>
      <c r="E1301">
        <f>IF(AND('Ratings'!A87&lt;&gt;"",'Ratings'!H5&lt;&gt;""),'Ratings'!H5,"")</f>
        <v/>
      </c>
      <c r="F1301">
        <f>IF(OR(A1301="",'Ratings'!H87=""),"",'Ratings'!H87)</f>
        <v/>
      </c>
      <c r="G1301">
        <f>IF(A1301="","",'Employees'!D11)</f>
        <v/>
      </c>
    </row>
    <row r="1302">
      <c r="A1302">
        <f>IF(AND('Ratings'!A87&lt;&gt;"",'Ratings'!I5&lt;&gt;""),'Ratings'!A87,"")</f>
        <v/>
      </c>
      <c r="B1302">
        <f>IF(A1302="","",'Employees'!C11)</f>
        <v/>
      </c>
      <c r="C1302">
        <f>IF(A1302="","",'Ratings'!C87)</f>
        <v/>
      </c>
      <c r="D1302">
        <f>IF(A1302="","",'Ratings'!D87)</f>
        <v/>
      </c>
      <c r="E1302">
        <f>IF(AND('Ratings'!A87&lt;&gt;"",'Ratings'!I5&lt;&gt;""),'Ratings'!I5,"")</f>
        <v/>
      </c>
      <c r="F1302">
        <f>IF(OR(A1302="",'Ratings'!I87=""),"",'Ratings'!I87)</f>
        <v/>
      </c>
      <c r="G1302">
        <f>IF(A1302="","",'Employees'!D11)</f>
        <v/>
      </c>
    </row>
    <row r="1303">
      <c r="A1303">
        <f>IF(AND('Ratings'!A87&lt;&gt;"",'Ratings'!J5&lt;&gt;""),'Ratings'!A87,"")</f>
        <v/>
      </c>
      <c r="B1303">
        <f>IF(A1303="","",'Employees'!C11)</f>
        <v/>
      </c>
      <c r="C1303">
        <f>IF(A1303="","",'Ratings'!C87)</f>
        <v/>
      </c>
      <c r="D1303">
        <f>IF(A1303="","",'Ratings'!D87)</f>
        <v/>
      </c>
      <c r="E1303">
        <f>IF(AND('Ratings'!A87&lt;&gt;"",'Ratings'!J5&lt;&gt;""),'Ratings'!J5,"")</f>
        <v/>
      </c>
      <c r="F1303">
        <f>IF(OR(A1303="",'Ratings'!J87=""),"",'Ratings'!J87)</f>
        <v/>
      </c>
      <c r="G1303">
        <f>IF(A1303="","",'Employees'!D11)</f>
        <v/>
      </c>
    </row>
    <row r="1304">
      <c r="A1304">
        <f>IF(AND('Ratings'!A87&lt;&gt;"",'Ratings'!K5&lt;&gt;""),'Ratings'!A87,"")</f>
        <v/>
      </c>
      <c r="B1304">
        <f>IF(A1304="","",'Employees'!C11)</f>
        <v/>
      </c>
      <c r="C1304">
        <f>IF(A1304="","",'Ratings'!C87)</f>
        <v/>
      </c>
      <c r="D1304">
        <f>IF(A1304="","",'Ratings'!D87)</f>
        <v/>
      </c>
      <c r="E1304">
        <f>IF(AND('Ratings'!A87&lt;&gt;"",'Ratings'!K5&lt;&gt;""),'Ratings'!K5,"")</f>
        <v/>
      </c>
      <c r="F1304">
        <f>IF(OR(A1304="",'Ratings'!K87=""),"",'Ratings'!K87)</f>
        <v/>
      </c>
      <c r="G1304">
        <f>IF(A1304="","",'Employees'!D11)</f>
        <v/>
      </c>
    </row>
    <row r="1305">
      <c r="A1305">
        <f>IF(AND('Ratings'!A87&lt;&gt;"",'Ratings'!L5&lt;&gt;""),'Ratings'!A87,"")</f>
        <v/>
      </c>
      <c r="B1305">
        <f>IF(A1305="","",'Employees'!C11)</f>
        <v/>
      </c>
      <c r="C1305">
        <f>IF(A1305="","",'Ratings'!C87)</f>
        <v/>
      </c>
      <c r="D1305">
        <f>IF(A1305="","",'Ratings'!D87)</f>
        <v/>
      </c>
      <c r="E1305">
        <f>IF(AND('Ratings'!A87&lt;&gt;"",'Ratings'!L5&lt;&gt;""),'Ratings'!L5,"")</f>
        <v/>
      </c>
      <c r="F1305">
        <f>IF(OR(A1305="",'Ratings'!L87=""),"",'Ratings'!L87)</f>
        <v/>
      </c>
      <c r="G1305">
        <f>IF(A1305="","",'Employees'!D11)</f>
        <v/>
      </c>
    </row>
    <row r="1306">
      <c r="A1306">
        <f>IF(AND('Ratings'!A87&lt;&gt;"",'Ratings'!M5&lt;&gt;""),'Ratings'!A87,"")</f>
        <v/>
      </c>
      <c r="B1306">
        <f>IF(A1306="","",'Employees'!C11)</f>
        <v/>
      </c>
      <c r="C1306">
        <f>IF(A1306="","",'Ratings'!C87)</f>
        <v/>
      </c>
      <c r="D1306">
        <f>IF(A1306="","",'Ratings'!D87)</f>
        <v/>
      </c>
      <c r="E1306">
        <f>IF(AND('Ratings'!A87&lt;&gt;"",'Ratings'!M5&lt;&gt;""),'Ratings'!M5,"")</f>
        <v/>
      </c>
      <c r="F1306">
        <f>IF(OR(A1306="",'Ratings'!M87=""),"",'Ratings'!M87)</f>
        <v/>
      </c>
      <c r="G1306">
        <f>IF(A1306="","",'Employees'!D11)</f>
        <v/>
      </c>
    </row>
    <row r="1307">
      <c r="A1307">
        <f>IF(AND('Ratings'!A87&lt;&gt;"",'Ratings'!N5&lt;&gt;""),'Ratings'!A87,"")</f>
        <v/>
      </c>
      <c r="B1307">
        <f>IF(A1307="","",'Employees'!C11)</f>
        <v/>
      </c>
      <c r="C1307">
        <f>IF(A1307="","",'Ratings'!C87)</f>
        <v/>
      </c>
      <c r="D1307">
        <f>IF(A1307="","",'Ratings'!D87)</f>
        <v/>
      </c>
      <c r="E1307">
        <f>IF(AND('Ratings'!A87&lt;&gt;"",'Ratings'!N5&lt;&gt;""),'Ratings'!N5,"")</f>
        <v/>
      </c>
      <c r="F1307">
        <f>IF(OR(A1307="",'Ratings'!N87=""),"",'Ratings'!N87)</f>
        <v/>
      </c>
      <c r="G1307">
        <f>IF(A1307="","",'Employees'!D11)</f>
        <v/>
      </c>
    </row>
    <row r="1308">
      <c r="A1308">
        <f>IF(AND('Ratings'!A87&lt;&gt;"",'Ratings'!O5&lt;&gt;""),'Ratings'!A87,"")</f>
        <v/>
      </c>
      <c r="B1308">
        <f>IF(A1308="","",'Employees'!C11)</f>
        <v/>
      </c>
      <c r="C1308">
        <f>IF(A1308="","",'Ratings'!C87)</f>
        <v/>
      </c>
      <c r="D1308">
        <f>IF(A1308="","",'Ratings'!D87)</f>
        <v/>
      </c>
      <c r="E1308">
        <f>IF(AND('Ratings'!A87&lt;&gt;"",'Ratings'!O5&lt;&gt;""),'Ratings'!O5,"")</f>
        <v/>
      </c>
      <c r="F1308">
        <f>IF(OR(A1308="",'Ratings'!O87=""),"",'Ratings'!O87)</f>
        <v/>
      </c>
      <c r="G1308">
        <f>IF(A1308="","",'Employees'!D11)</f>
        <v/>
      </c>
    </row>
    <row r="1309">
      <c r="A1309">
        <f>IF(AND('Ratings'!A87&lt;&gt;"",'Ratings'!P5&lt;&gt;""),'Ratings'!A87,"")</f>
        <v/>
      </c>
      <c r="B1309">
        <f>IF(A1309="","",'Employees'!C11)</f>
        <v/>
      </c>
      <c r="C1309">
        <f>IF(A1309="","",'Ratings'!C87)</f>
        <v/>
      </c>
      <c r="D1309">
        <f>IF(A1309="","",'Ratings'!D87)</f>
        <v/>
      </c>
      <c r="E1309">
        <f>IF(AND('Ratings'!A87&lt;&gt;"",'Ratings'!P5&lt;&gt;""),'Ratings'!P5,"")</f>
        <v/>
      </c>
      <c r="F1309">
        <f>IF(OR(A1309="",'Ratings'!P87=""),"",'Ratings'!P87)</f>
        <v/>
      </c>
      <c r="G1309">
        <f>IF(A1309="","",'Employees'!D11)</f>
        <v/>
      </c>
    </row>
    <row r="1310">
      <c r="A1310">
        <f>IF(AND('Ratings'!A87&lt;&gt;"",'Ratings'!Q5&lt;&gt;""),'Ratings'!A87,"")</f>
        <v/>
      </c>
      <c r="B1310">
        <f>IF(A1310="","",'Employees'!C11)</f>
        <v/>
      </c>
      <c r="C1310">
        <f>IF(A1310="","",'Ratings'!C87)</f>
        <v/>
      </c>
      <c r="D1310">
        <f>IF(A1310="","",'Ratings'!D87)</f>
        <v/>
      </c>
      <c r="E1310">
        <f>IF(AND('Ratings'!A87&lt;&gt;"",'Ratings'!Q5&lt;&gt;""),'Ratings'!Q5,"")</f>
        <v/>
      </c>
      <c r="F1310">
        <f>IF(OR(A1310="",'Ratings'!Q87=""),"",'Ratings'!Q87)</f>
        <v/>
      </c>
      <c r="G1310">
        <f>IF(A1310="","",'Employees'!D11)</f>
        <v/>
      </c>
    </row>
    <row r="1311">
      <c r="A1311">
        <f>IF(AND('Ratings'!A87&lt;&gt;"",'Ratings'!R5&lt;&gt;""),'Ratings'!A87,"")</f>
        <v/>
      </c>
      <c r="B1311">
        <f>IF(A1311="","",'Employees'!C11)</f>
        <v/>
      </c>
      <c r="C1311">
        <f>IF(A1311="","",'Ratings'!C87)</f>
        <v/>
      </c>
      <c r="D1311">
        <f>IF(A1311="","",'Ratings'!D87)</f>
        <v/>
      </c>
      <c r="E1311">
        <f>IF(AND('Ratings'!A87&lt;&gt;"",'Ratings'!R5&lt;&gt;""),'Ratings'!R5,"")</f>
        <v/>
      </c>
      <c r="F1311">
        <f>IF(OR(A1311="",'Ratings'!R87=""),"",'Ratings'!R87)</f>
        <v/>
      </c>
      <c r="G1311">
        <f>IF(A1311="","",'Employees'!D11)</f>
        <v/>
      </c>
    </row>
    <row r="1312">
      <c r="A1312">
        <f>IF(AND('Ratings'!A87&lt;&gt;"",'Ratings'!S5&lt;&gt;""),'Ratings'!A87,"")</f>
        <v/>
      </c>
      <c r="B1312">
        <f>IF(A1312="","",'Employees'!C11)</f>
        <v/>
      </c>
      <c r="C1312">
        <f>IF(A1312="","",'Ratings'!C87)</f>
        <v/>
      </c>
      <c r="D1312">
        <f>IF(A1312="","",'Ratings'!D87)</f>
        <v/>
      </c>
      <c r="E1312">
        <f>IF(AND('Ratings'!A87&lt;&gt;"",'Ratings'!S5&lt;&gt;""),'Ratings'!S5,"")</f>
        <v/>
      </c>
      <c r="F1312">
        <f>IF(OR(A1312="",'Ratings'!S87=""),"",'Ratings'!S87)</f>
        <v/>
      </c>
      <c r="G1312">
        <f>IF(A1312="","",'Employees'!D11)</f>
        <v/>
      </c>
    </row>
    <row r="1313">
      <c r="A1313">
        <f>IF(AND('Ratings'!A87&lt;&gt;"",'Ratings'!T5&lt;&gt;""),'Ratings'!A87,"")</f>
        <v/>
      </c>
      <c r="B1313">
        <f>IF(A1313="","",'Employees'!C11)</f>
        <v/>
      </c>
      <c r="C1313">
        <f>IF(A1313="","",'Ratings'!C87)</f>
        <v/>
      </c>
      <c r="D1313">
        <f>IF(A1313="","",'Ratings'!D87)</f>
        <v/>
      </c>
      <c r="E1313">
        <f>IF(AND('Ratings'!A87&lt;&gt;"",'Ratings'!T5&lt;&gt;""),'Ratings'!T5,"")</f>
        <v/>
      </c>
      <c r="F1313">
        <f>IF(OR(A1313="",'Ratings'!T87=""),"",'Ratings'!T87)</f>
        <v/>
      </c>
      <c r="G1313">
        <f>IF(A1313="","",'Employees'!D11)</f>
        <v/>
      </c>
    </row>
    <row r="1314">
      <c r="A1314">
        <f>IF(AND('Ratings'!A88&lt;&gt;"",'Ratings'!E5&lt;&gt;""),'Ratings'!A88,"")</f>
        <v/>
      </c>
      <c r="B1314">
        <f>IF(A1314="","",'Employees'!C11)</f>
        <v/>
      </c>
      <c r="C1314">
        <f>IF(A1314="","",'Ratings'!C88)</f>
        <v/>
      </c>
      <c r="D1314">
        <f>IF(A1314="","",'Ratings'!D88)</f>
        <v/>
      </c>
      <c r="E1314">
        <f>IF(AND('Ratings'!A88&lt;&gt;"",'Ratings'!E5&lt;&gt;""),'Ratings'!E5,"")</f>
        <v/>
      </c>
      <c r="F1314">
        <f>IF(OR(A1314="",'Ratings'!E88=""),"",'Ratings'!E88)</f>
        <v/>
      </c>
      <c r="G1314">
        <f>IF(A1314="","",'Employees'!D11)</f>
        <v/>
      </c>
    </row>
    <row r="1315">
      <c r="A1315">
        <f>IF(AND('Ratings'!A88&lt;&gt;"",'Ratings'!F5&lt;&gt;""),'Ratings'!A88,"")</f>
        <v/>
      </c>
      <c r="B1315">
        <f>IF(A1315="","",'Employees'!C11)</f>
        <v/>
      </c>
      <c r="C1315">
        <f>IF(A1315="","",'Ratings'!C88)</f>
        <v/>
      </c>
      <c r="D1315">
        <f>IF(A1315="","",'Ratings'!D88)</f>
        <v/>
      </c>
      <c r="E1315">
        <f>IF(AND('Ratings'!A88&lt;&gt;"",'Ratings'!F5&lt;&gt;""),'Ratings'!F5,"")</f>
        <v/>
      </c>
      <c r="F1315">
        <f>IF(OR(A1315="",'Ratings'!F88=""),"",'Ratings'!F88)</f>
        <v/>
      </c>
      <c r="G1315">
        <f>IF(A1315="","",'Employees'!D11)</f>
        <v/>
      </c>
    </row>
    <row r="1316">
      <c r="A1316">
        <f>IF(AND('Ratings'!A88&lt;&gt;"",'Ratings'!G5&lt;&gt;""),'Ratings'!A88,"")</f>
        <v/>
      </c>
      <c r="B1316">
        <f>IF(A1316="","",'Employees'!C11)</f>
        <v/>
      </c>
      <c r="C1316">
        <f>IF(A1316="","",'Ratings'!C88)</f>
        <v/>
      </c>
      <c r="D1316">
        <f>IF(A1316="","",'Ratings'!D88)</f>
        <v/>
      </c>
      <c r="E1316">
        <f>IF(AND('Ratings'!A88&lt;&gt;"",'Ratings'!G5&lt;&gt;""),'Ratings'!G5,"")</f>
        <v/>
      </c>
      <c r="F1316">
        <f>IF(OR(A1316="",'Ratings'!G88=""),"",'Ratings'!G88)</f>
        <v/>
      </c>
      <c r="G1316">
        <f>IF(A1316="","",'Employees'!D11)</f>
        <v/>
      </c>
    </row>
    <row r="1317">
      <c r="A1317">
        <f>IF(AND('Ratings'!A88&lt;&gt;"",'Ratings'!H5&lt;&gt;""),'Ratings'!A88,"")</f>
        <v/>
      </c>
      <c r="B1317">
        <f>IF(A1317="","",'Employees'!C11)</f>
        <v/>
      </c>
      <c r="C1317">
        <f>IF(A1317="","",'Ratings'!C88)</f>
        <v/>
      </c>
      <c r="D1317">
        <f>IF(A1317="","",'Ratings'!D88)</f>
        <v/>
      </c>
      <c r="E1317">
        <f>IF(AND('Ratings'!A88&lt;&gt;"",'Ratings'!H5&lt;&gt;""),'Ratings'!H5,"")</f>
        <v/>
      </c>
      <c r="F1317">
        <f>IF(OR(A1317="",'Ratings'!H88=""),"",'Ratings'!H88)</f>
        <v/>
      </c>
      <c r="G1317">
        <f>IF(A1317="","",'Employees'!D11)</f>
        <v/>
      </c>
    </row>
    <row r="1318">
      <c r="A1318">
        <f>IF(AND('Ratings'!A88&lt;&gt;"",'Ratings'!I5&lt;&gt;""),'Ratings'!A88,"")</f>
        <v/>
      </c>
      <c r="B1318">
        <f>IF(A1318="","",'Employees'!C11)</f>
        <v/>
      </c>
      <c r="C1318">
        <f>IF(A1318="","",'Ratings'!C88)</f>
        <v/>
      </c>
      <c r="D1318">
        <f>IF(A1318="","",'Ratings'!D88)</f>
        <v/>
      </c>
      <c r="E1318">
        <f>IF(AND('Ratings'!A88&lt;&gt;"",'Ratings'!I5&lt;&gt;""),'Ratings'!I5,"")</f>
        <v/>
      </c>
      <c r="F1318">
        <f>IF(OR(A1318="",'Ratings'!I88=""),"",'Ratings'!I88)</f>
        <v/>
      </c>
      <c r="G1318">
        <f>IF(A1318="","",'Employees'!D11)</f>
        <v/>
      </c>
    </row>
    <row r="1319">
      <c r="A1319">
        <f>IF(AND('Ratings'!A88&lt;&gt;"",'Ratings'!J5&lt;&gt;""),'Ratings'!A88,"")</f>
        <v/>
      </c>
      <c r="B1319">
        <f>IF(A1319="","",'Employees'!C11)</f>
        <v/>
      </c>
      <c r="C1319">
        <f>IF(A1319="","",'Ratings'!C88)</f>
        <v/>
      </c>
      <c r="D1319">
        <f>IF(A1319="","",'Ratings'!D88)</f>
        <v/>
      </c>
      <c r="E1319">
        <f>IF(AND('Ratings'!A88&lt;&gt;"",'Ratings'!J5&lt;&gt;""),'Ratings'!J5,"")</f>
        <v/>
      </c>
      <c r="F1319">
        <f>IF(OR(A1319="",'Ratings'!J88=""),"",'Ratings'!J88)</f>
        <v/>
      </c>
      <c r="G1319">
        <f>IF(A1319="","",'Employees'!D11)</f>
        <v/>
      </c>
    </row>
    <row r="1320">
      <c r="A1320">
        <f>IF(AND('Ratings'!A88&lt;&gt;"",'Ratings'!K5&lt;&gt;""),'Ratings'!A88,"")</f>
        <v/>
      </c>
      <c r="B1320">
        <f>IF(A1320="","",'Employees'!C11)</f>
        <v/>
      </c>
      <c r="C1320">
        <f>IF(A1320="","",'Ratings'!C88)</f>
        <v/>
      </c>
      <c r="D1320">
        <f>IF(A1320="","",'Ratings'!D88)</f>
        <v/>
      </c>
      <c r="E1320">
        <f>IF(AND('Ratings'!A88&lt;&gt;"",'Ratings'!K5&lt;&gt;""),'Ratings'!K5,"")</f>
        <v/>
      </c>
      <c r="F1320">
        <f>IF(OR(A1320="",'Ratings'!K88=""),"",'Ratings'!K88)</f>
        <v/>
      </c>
      <c r="G1320">
        <f>IF(A1320="","",'Employees'!D11)</f>
        <v/>
      </c>
    </row>
    <row r="1321">
      <c r="A1321">
        <f>IF(AND('Ratings'!A88&lt;&gt;"",'Ratings'!L5&lt;&gt;""),'Ratings'!A88,"")</f>
        <v/>
      </c>
      <c r="B1321">
        <f>IF(A1321="","",'Employees'!C11)</f>
        <v/>
      </c>
      <c r="C1321">
        <f>IF(A1321="","",'Ratings'!C88)</f>
        <v/>
      </c>
      <c r="D1321">
        <f>IF(A1321="","",'Ratings'!D88)</f>
        <v/>
      </c>
      <c r="E1321">
        <f>IF(AND('Ratings'!A88&lt;&gt;"",'Ratings'!L5&lt;&gt;""),'Ratings'!L5,"")</f>
        <v/>
      </c>
      <c r="F1321">
        <f>IF(OR(A1321="",'Ratings'!L88=""),"",'Ratings'!L88)</f>
        <v/>
      </c>
      <c r="G1321">
        <f>IF(A1321="","",'Employees'!D11)</f>
        <v/>
      </c>
    </row>
    <row r="1322">
      <c r="A1322">
        <f>IF(AND('Ratings'!A88&lt;&gt;"",'Ratings'!M5&lt;&gt;""),'Ratings'!A88,"")</f>
        <v/>
      </c>
      <c r="B1322">
        <f>IF(A1322="","",'Employees'!C11)</f>
        <v/>
      </c>
      <c r="C1322">
        <f>IF(A1322="","",'Ratings'!C88)</f>
        <v/>
      </c>
      <c r="D1322">
        <f>IF(A1322="","",'Ratings'!D88)</f>
        <v/>
      </c>
      <c r="E1322">
        <f>IF(AND('Ratings'!A88&lt;&gt;"",'Ratings'!M5&lt;&gt;""),'Ratings'!M5,"")</f>
        <v/>
      </c>
      <c r="F1322">
        <f>IF(OR(A1322="",'Ratings'!M88=""),"",'Ratings'!M88)</f>
        <v/>
      </c>
      <c r="G1322">
        <f>IF(A1322="","",'Employees'!D11)</f>
        <v/>
      </c>
    </row>
    <row r="1323">
      <c r="A1323">
        <f>IF(AND('Ratings'!A88&lt;&gt;"",'Ratings'!N5&lt;&gt;""),'Ratings'!A88,"")</f>
        <v/>
      </c>
      <c r="B1323">
        <f>IF(A1323="","",'Employees'!C11)</f>
        <v/>
      </c>
      <c r="C1323">
        <f>IF(A1323="","",'Ratings'!C88)</f>
        <v/>
      </c>
      <c r="D1323">
        <f>IF(A1323="","",'Ratings'!D88)</f>
        <v/>
      </c>
      <c r="E1323">
        <f>IF(AND('Ratings'!A88&lt;&gt;"",'Ratings'!N5&lt;&gt;""),'Ratings'!N5,"")</f>
        <v/>
      </c>
      <c r="F1323">
        <f>IF(OR(A1323="",'Ratings'!N88=""),"",'Ratings'!N88)</f>
        <v/>
      </c>
      <c r="G1323">
        <f>IF(A1323="","",'Employees'!D11)</f>
        <v/>
      </c>
    </row>
    <row r="1324">
      <c r="A1324">
        <f>IF(AND('Ratings'!A88&lt;&gt;"",'Ratings'!O5&lt;&gt;""),'Ratings'!A88,"")</f>
        <v/>
      </c>
      <c r="B1324">
        <f>IF(A1324="","",'Employees'!C11)</f>
        <v/>
      </c>
      <c r="C1324">
        <f>IF(A1324="","",'Ratings'!C88)</f>
        <v/>
      </c>
      <c r="D1324">
        <f>IF(A1324="","",'Ratings'!D88)</f>
        <v/>
      </c>
      <c r="E1324">
        <f>IF(AND('Ratings'!A88&lt;&gt;"",'Ratings'!O5&lt;&gt;""),'Ratings'!O5,"")</f>
        <v/>
      </c>
      <c r="F1324">
        <f>IF(OR(A1324="",'Ratings'!O88=""),"",'Ratings'!O88)</f>
        <v/>
      </c>
      <c r="G1324">
        <f>IF(A1324="","",'Employees'!D11)</f>
        <v/>
      </c>
    </row>
    <row r="1325">
      <c r="A1325">
        <f>IF(AND('Ratings'!A88&lt;&gt;"",'Ratings'!P5&lt;&gt;""),'Ratings'!A88,"")</f>
        <v/>
      </c>
      <c r="B1325">
        <f>IF(A1325="","",'Employees'!C11)</f>
        <v/>
      </c>
      <c r="C1325">
        <f>IF(A1325="","",'Ratings'!C88)</f>
        <v/>
      </c>
      <c r="D1325">
        <f>IF(A1325="","",'Ratings'!D88)</f>
        <v/>
      </c>
      <c r="E1325">
        <f>IF(AND('Ratings'!A88&lt;&gt;"",'Ratings'!P5&lt;&gt;""),'Ratings'!P5,"")</f>
        <v/>
      </c>
      <c r="F1325">
        <f>IF(OR(A1325="",'Ratings'!P88=""),"",'Ratings'!P88)</f>
        <v/>
      </c>
      <c r="G1325">
        <f>IF(A1325="","",'Employees'!D11)</f>
        <v/>
      </c>
    </row>
    <row r="1326">
      <c r="A1326">
        <f>IF(AND('Ratings'!A88&lt;&gt;"",'Ratings'!Q5&lt;&gt;""),'Ratings'!A88,"")</f>
        <v/>
      </c>
      <c r="B1326">
        <f>IF(A1326="","",'Employees'!C11)</f>
        <v/>
      </c>
      <c r="C1326">
        <f>IF(A1326="","",'Ratings'!C88)</f>
        <v/>
      </c>
      <c r="D1326">
        <f>IF(A1326="","",'Ratings'!D88)</f>
        <v/>
      </c>
      <c r="E1326">
        <f>IF(AND('Ratings'!A88&lt;&gt;"",'Ratings'!Q5&lt;&gt;""),'Ratings'!Q5,"")</f>
        <v/>
      </c>
      <c r="F1326">
        <f>IF(OR(A1326="",'Ratings'!Q88=""),"",'Ratings'!Q88)</f>
        <v/>
      </c>
      <c r="G1326">
        <f>IF(A1326="","",'Employees'!D11)</f>
        <v/>
      </c>
    </row>
    <row r="1327">
      <c r="A1327">
        <f>IF(AND('Ratings'!A88&lt;&gt;"",'Ratings'!R5&lt;&gt;""),'Ratings'!A88,"")</f>
        <v/>
      </c>
      <c r="B1327">
        <f>IF(A1327="","",'Employees'!C11)</f>
        <v/>
      </c>
      <c r="C1327">
        <f>IF(A1327="","",'Ratings'!C88)</f>
        <v/>
      </c>
      <c r="D1327">
        <f>IF(A1327="","",'Ratings'!D88)</f>
        <v/>
      </c>
      <c r="E1327">
        <f>IF(AND('Ratings'!A88&lt;&gt;"",'Ratings'!R5&lt;&gt;""),'Ratings'!R5,"")</f>
        <v/>
      </c>
      <c r="F1327">
        <f>IF(OR(A1327="",'Ratings'!R88=""),"",'Ratings'!R88)</f>
        <v/>
      </c>
      <c r="G1327">
        <f>IF(A1327="","",'Employees'!D11)</f>
        <v/>
      </c>
    </row>
    <row r="1328">
      <c r="A1328">
        <f>IF(AND('Ratings'!A88&lt;&gt;"",'Ratings'!S5&lt;&gt;""),'Ratings'!A88,"")</f>
        <v/>
      </c>
      <c r="B1328">
        <f>IF(A1328="","",'Employees'!C11)</f>
        <v/>
      </c>
      <c r="C1328">
        <f>IF(A1328="","",'Ratings'!C88)</f>
        <v/>
      </c>
      <c r="D1328">
        <f>IF(A1328="","",'Ratings'!D88)</f>
        <v/>
      </c>
      <c r="E1328">
        <f>IF(AND('Ratings'!A88&lt;&gt;"",'Ratings'!S5&lt;&gt;""),'Ratings'!S5,"")</f>
        <v/>
      </c>
      <c r="F1328">
        <f>IF(OR(A1328="",'Ratings'!S88=""),"",'Ratings'!S88)</f>
        <v/>
      </c>
      <c r="G1328">
        <f>IF(A1328="","",'Employees'!D11)</f>
        <v/>
      </c>
    </row>
    <row r="1329">
      <c r="A1329">
        <f>IF(AND('Ratings'!A88&lt;&gt;"",'Ratings'!T5&lt;&gt;""),'Ratings'!A88,"")</f>
        <v/>
      </c>
      <c r="B1329">
        <f>IF(A1329="","",'Employees'!C11)</f>
        <v/>
      </c>
      <c r="C1329">
        <f>IF(A1329="","",'Ratings'!C88)</f>
        <v/>
      </c>
      <c r="D1329">
        <f>IF(A1329="","",'Ratings'!D88)</f>
        <v/>
      </c>
      <c r="E1329">
        <f>IF(AND('Ratings'!A88&lt;&gt;"",'Ratings'!T5&lt;&gt;""),'Ratings'!T5,"")</f>
        <v/>
      </c>
      <c r="F1329">
        <f>IF(OR(A1329="",'Ratings'!T88=""),"",'Ratings'!T88)</f>
        <v/>
      </c>
      <c r="G1329">
        <f>IF(A1329="","",'Employees'!D11)</f>
        <v/>
      </c>
    </row>
    <row r="1330">
      <c r="A1330">
        <f>IF(AND('Ratings'!A89&lt;&gt;"",'Ratings'!E5&lt;&gt;""),'Ratings'!A89,"")</f>
        <v/>
      </c>
      <c r="B1330">
        <f>IF(A1330="","",'Employees'!C11)</f>
        <v/>
      </c>
      <c r="C1330">
        <f>IF(A1330="","",'Ratings'!C89)</f>
        <v/>
      </c>
      <c r="D1330">
        <f>IF(A1330="","",'Ratings'!D89)</f>
        <v/>
      </c>
      <c r="E1330">
        <f>IF(AND('Ratings'!A89&lt;&gt;"",'Ratings'!E5&lt;&gt;""),'Ratings'!E5,"")</f>
        <v/>
      </c>
      <c r="F1330">
        <f>IF(OR(A1330="",'Ratings'!E89=""),"",'Ratings'!E89)</f>
        <v/>
      </c>
      <c r="G1330">
        <f>IF(A1330="","",'Employees'!D11)</f>
        <v/>
      </c>
    </row>
    <row r="1331">
      <c r="A1331">
        <f>IF(AND('Ratings'!A89&lt;&gt;"",'Ratings'!F5&lt;&gt;""),'Ratings'!A89,"")</f>
        <v/>
      </c>
      <c r="B1331">
        <f>IF(A1331="","",'Employees'!C11)</f>
        <v/>
      </c>
      <c r="C1331">
        <f>IF(A1331="","",'Ratings'!C89)</f>
        <v/>
      </c>
      <c r="D1331">
        <f>IF(A1331="","",'Ratings'!D89)</f>
        <v/>
      </c>
      <c r="E1331">
        <f>IF(AND('Ratings'!A89&lt;&gt;"",'Ratings'!F5&lt;&gt;""),'Ratings'!F5,"")</f>
        <v/>
      </c>
      <c r="F1331">
        <f>IF(OR(A1331="",'Ratings'!F89=""),"",'Ratings'!F89)</f>
        <v/>
      </c>
      <c r="G1331">
        <f>IF(A1331="","",'Employees'!D11)</f>
        <v/>
      </c>
    </row>
    <row r="1332">
      <c r="A1332">
        <f>IF(AND('Ratings'!A89&lt;&gt;"",'Ratings'!G5&lt;&gt;""),'Ratings'!A89,"")</f>
        <v/>
      </c>
      <c r="B1332">
        <f>IF(A1332="","",'Employees'!C11)</f>
        <v/>
      </c>
      <c r="C1332">
        <f>IF(A1332="","",'Ratings'!C89)</f>
        <v/>
      </c>
      <c r="D1332">
        <f>IF(A1332="","",'Ratings'!D89)</f>
        <v/>
      </c>
      <c r="E1332">
        <f>IF(AND('Ratings'!A89&lt;&gt;"",'Ratings'!G5&lt;&gt;""),'Ratings'!G5,"")</f>
        <v/>
      </c>
      <c r="F1332">
        <f>IF(OR(A1332="",'Ratings'!G89=""),"",'Ratings'!G89)</f>
        <v/>
      </c>
      <c r="G1332">
        <f>IF(A1332="","",'Employees'!D11)</f>
        <v/>
      </c>
    </row>
    <row r="1333">
      <c r="A1333">
        <f>IF(AND('Ratings'!A89&lt;&gt;"",'Ratings'!H5&lt;&gt;""),'Ratings'!A89,"")</f>
        <v/>
      </c>
      <c r="B1333">
        <f>IF(A1333="","",'Employees'!C11)</f>
        <v/>
      </c>
      <c r="C1333">
        <f>IF(A1333="","",'Ratings'!C89)</f>
        <v/>
      </c>
      <c r="D1333">
        <f>IF(A1333="","",'Ratings'!D89)</f>
        <v/>
      </c>
      <c r="E1333">
        <f>IF(AND('Ratings'!A89&lt;&gt;"",'Ratings'!H5&lt;&gt;""),'Ratings'!H5,"")</f>
        <v/>
      </c>
      <c r="F1333">
        <f>IF(OR(A1333="",'Ratings'!H89=""),"",'Ratings'!H89)</f>
        <v/>
      </c>
      <c r="G1333">
        <f>IF(A1333="","",'Employees'!D11)</f>
        <v/>
      </c>
    </row>
    <row r="1334">
      <c r="A1334">
        <f>IF(AND('Ratings'!A89&lt;&gt;"",'Ratings'!I5&lt;&gt;""),'Ratings'!A89,"")</f>
        <v/>
      </c>
      <c r="B1334">
        <f>IF(A1334="","",'Employees'!C11)</f>
        <v/>
      </c>
      <c r="C1334">
        <f>IF(A1334="","",'Ratings'!C89)</f>
        <v/>
      </c>
      <c r="D1334">
        <f>IF(A1334="","",'Ratings'!D89)</f>
        <v/>
      </c>
      <c r="E1334">
        <f>IF(AND('Ratings'!A89&lt;&gt;"",'Ratings'!I5&lt;&gt;""),'Ratings'!I5,"")</f>
        <v/>
      </c>
      <c r="F1334">
        <f>IF(OR(A1334="",'Ratings'!I89=""),"",'Ratings'!I89)</f>
        <v/>
      </c>
      <c r="G1334">
        <f>IF(A1334="","",'Employees'!D11)</f>
        <v/>
      </c>
    </row>
    <row r="1335">
      <c r="A1335">
        <f>IF(AND('Ratings'!A89&lt;&gt;"",'Ratings'!J5&lt;&gt;""),'Ratings'!A89,"")</f>
        <v/>
      </c>
      <c r="B1335">
        <f>IF(A1335="","",'Employees'!C11)</f>
        <v/>
      </c>
      <c r="C1335">
        <f>IF(A1335="","",'Ratings'!C89)</f>
        <v/>
      </c>
      <c r="D1335">
        <f>IF(A1335="","",'Ratings'!D89)</f>
        <v/>
      </c>
      <c r="E1335">
        <f>IF(AND('Ratings'!A89&lt;&gt;"",'Ratings'!J5&lt;&gt;""),'Ratings'!J5,"")</f>
        <v/>
      </c>
      <c r="F1335">
        <f>IF(OR(A1335="",'Ratings'!J89=""),"",'Ratings'!J89)</f>
        <v/>
      </c>
      <c r="G1335">
        <f>IF(A1335="","",'Employees'!D11)</f>
        <v/>
      </c>
    </row>
    <row r="1336">
      <c r="A1336">
        <f>IF(AND('Ratings'!A89&lt;&gt;"",'Ratings'!K5&lt;&gt;""),'Ratings'!A89,"")</f>
        <v/>
      </c>
      <c r="B1336">
        <f>IF(A1336="","",'Employees'!C11)</f>
        <v/>
      </c>
      <c r="C1336">
        <f>IF(A1336="","",'Ratings'!C89)</f>
        <v/>
      </c>
      <c r="D1336">
        <f>IF(A1336="","",'Ratings'!D89)</f>
        <v/>
      </c>
      <c r="E1336">
        <f>IF(AND('Ratings'!A89&lt;&gt;"",'Ratings'!K5&lt;&gt;""),'Ratings'!K5,"")</f>
        <v/>
      </c>
      <c r="F1336">
        <f>IF(OR(A1336="",'Ratings'!K89=""),"",'Ratings'!K89)</f>
        <v/>
      </c>
      <c r="G1336">
        <f>IF(A1336="","",'Employees'!D11)</f>
        <v/>
      </c>
    </row>
    <row r="1337">
      <c r="A1337">
        <f>IF(AND('Ratings'!A89&lt;&gt;"",'Ratings'!L5&lt;&gt;""),'Ratings'!A89,"")</f>
        <v/>
      </c>
      <c r="B1337">
        <f>IF(A1337="","",'Employees'!C11)</f>
        <v/>
      </c>
      <c r="C1337">
        <f>IF(A1337="","",'Ratings'!C89)</f>
        <v/>
      </c>
      <c r="D1337">
        <f>IF(A1337="","",'Ratings'!D89)</f>
        <v/>
      </c>
      <c r="E1337">
        <f>IF(AND('Ratings'!A89&lt;&gt;"",'Ratings'!L5&lt;&gt;""),'Ratings'!L5,"")</f>
        <v/>
      </c>
      <c r="F1337">
        <f>IF(OR(A1337="",'Ratings'!L89=""),"",'Ratings'!L89)</f>
        <v/>
      </c>
      <c r="G1337">
        <f>IF(A1337="","",'Employees'!D11)</f>
        <v/>
      </c>
    </row>
    <row r="1338">
      <c r="A1338">
        <f>IF(AND('Ratings'!A89&lt;&gt;"",'Ratings'!M5&lt;&gt;""),'Ratings'!A89,"")</f>
        <v/>
      </c>
      <c r="B1338">
        <f>IF(A1338="","",'Employees'!C11)</f>
        <v/>
      </c>
      <c r="C1338">
        <f>IF(A1338="","",'Ratings'!C89)</f>
        <v/>
      </c>
      <c r="D1338">
        <f>IF(A1338="","",'Ratings'!D89)</f>
        <v/>
      </c>
      <c r="E1338">
        <f>IF(AND('Ratings'!A89&lt;&gt;"",'Ratings'!M5&lt;&gt;""),'Ratings'!M5,"")</f>
        <v/>
      </c>
      <c r="F1338">
        <f>IF(OR(A1338="",'Ratings'!M89=""),"",'Ratings'!M89)</f>
        <v/>
      </c>
      <c r="G1338">
        <f>IF(A1338="","",'Employees'!D11)</f>
        <v/>
      </c>
    </row>
    <row r="1339">
      <c r="A1339">
        <f>IF(AND('Ratings'!A89&lt;&gt;"",'Ratings'!N5&lt;&gt;""),'Ratings'!A89,"")</f>
        <v/>
      </c>
      <c r="B1339">
        <f>IF(A1339="","",'Employees'!C11)</f>
        <v/>
      </c>
      <c r="C1339">
        <f>IF(A1339="","",'Ratings'!C89)</f>
        <v/>
      </c>
      <c r="D1339">
        <f>IF(A1339="","",'Ratings'!D89)</f>
        <v/>
      </c>
      <c r="E1339">
        <f>IF(AND('Ratings'!A89&lt;&gt;"",'Ratings'!N5&lt;&gt;""),'Ratings'!N5,"")</f>
        <v/>
      </c>
      <c r="F1339">
        <f>IF(OR(A1339="",'Ratings'!N89=""),"",'Ratings'!N89)</f>
        <v/>
      </c>
      <c r="G1339">
        <f>IF(A1339="","",'Employees'!D11)</f>
        <v/>
      </c>
    </row>
    <row r="1340">
      <c r="A1340">
        <f>IF(AND('Ratings'!A89&lt;&gt;"",'Ratings'!O5&lt;&gt;""),'Ratings'!A89,"")</f>
        <v/>
      </c>
      <c r="B1340">
        <f>IF(A1340="","",'Employees'!C11)</f>
        <v/>
      </c>
      <c r="C1340">
        <f>IF(A1340="","",'Ratings'!C89)</f>
        <v/>
      </c>
      <c r="D1340">
        <f>IF(A1340="","",'Ratings'!D89)</f>
        <v/>
      </c>
      <c r="E1340">
        <f>IF(AND('Ratings'!A89&lt;&gt;"",'Ratings'!O5&lt;&gt;""),'Ratings'!O5,"")</f>
        <v/>
      </c>
      <c r="F1340">
        <f>IF(OR(A1340="",'Ratings'!O89=""),"",'Ratings'!O89)</f>
        <v/>
      </c>
      <c r="G1340">
        <f>IF(A1340="","",'Employees'!D11)</f>
        <v/>
      </c>
    </row>
    <row r="1341">
      <c r="A1341">
        <f>IF(AND('Ratings'!A89&lt;&gt;"",'Ratings'!P5&lt;&gt;""),'Ratings'!A89,"")</f>
        <v/>
      </c>
      <c r="B1341">
        <f>IF(A1341="","",'Employees'!C11)</f>
        <v/>
      </c>
      <c r="C1341">
        <f>IF(A1341="","",'Ratings'!C89)</f>
        <v/>
      </c>
      <c r="D1341">
        <f>IF(A1341="","",'Ratings'!D89)</f>
        <v/>
      </c>
      <c r="E1341">
        <f>IF(AND('Ratings'!A89&lt;&gt;"",'Ratings'!P5&lt;&gt;""),'Ratings'!P5,"")</f>
        <v/>
      </c>
      <c r="F1341">
        <f>IF(OR(A1341="",'Ratings'!P89=""),"",'Ratings'!P89)</f>
        <v/>
      </c>
      <c r="G1341">
        <f>IF(A1341="","",'Employees'!D11)</f>
        <v/>
      </c>
    </row>
    <row r="1342">
      <c r="A1342">
        <f>IF(AND('Ratings'!A89&lt;&gt;"",'Ratings'!Q5&lt;&gt;""),'Ratings'!A89,"")</f>
        <v/>
      </c>
      <c r="B1342">
        <f>IF(A1342="","",'Employees'!C11)</f>
        <v/>
      </c>
      <c r="C1342">
        <f>IF(A1342="","",'Ratings'!C89)</f>
        <v/>
      </c>
      <c r="D1342">
        <f>IF(A1342="","",'Ratings'!D89)</f>
        <v/>
      </c>
      <c r="E1342">
        <f>IF(AND('Ratings'!A89&lt;&gt;"",'Ratings'!Q5&lt;&gt;""),'Ratings'!Q5,"")</f>
        <v/>
      </c>
      <c r="F1342">
        <f>IF(OR(A1342="",'Ratings'!Q89=""),"",'Ratings'!Q89)</f>
        <v/>
      </c>
      <c r="G1342">
        <f>IF(A1342="","",'Employees'!D11)</f>
        <v/>
      </c>
    </row>
    <row r="1343">
      <c r="A1343">
        <f>IF(AND('Ratings'!A89&lt;&gt;"",'Ratings'!R5&lt;&gt;""),'Ratings'!A89,"")</f>
        <v/>
      </c>
      <c r="B1343">
        <f>IF(A1343="","",'Employees'!C11)</f>
        <v/>
      </c>
      <c r="C1343">
        <f>IF(A1343="","",'Ratings'!C89)</f>
        <v/>
      </c>
      <c r="D1343">
        <f>IF(A1343="","",'Ratings'!D89)</f>
        <v/>
      </c>
      <c r="E1343">
        <f>IF(AND('Ratings'!A89&lt;&gt;"",'Ratings'!R5&lt;&gt;""),'Ratings'!R5,"")</f>
        <v/>
      </c>
      <c r="F1343">
        <f>IF(OR(A1343="",'Ratings'!R89=""),"",'Ratings'!R89)</f>
        <v/>
      </c>
      <c r="G1343">
        <f>IF(A1343="","",'Employees'!D11)</f>
        <v/>
      </c>
    </row>
    <row r="1344">
      <c r="A1344">
        <f>IF(AND('Ratings'!A89&lt;&gt;"",'Ratings'!S5&lt;&gt;""),'Ratings'!A89,"")</f>
        <v/>
      </c>
      <c r="B1344">
        <f>IF(A1344="","",'Employees'!C11)</f>
        <v/>
      </c>
      <c r="C1344">
        <f>IF(A1344="","",'Ratings'!C89)</f>
        <v/>
      </c>
      <c r="D1344">
        <f>IF(A1344="","",'Ratings'!D89)</f>
        <v/>
      </c>
      <c r="E1344">
        <f>IF(AND('Ratings'!A89&lt;&gt;"",'Ratings'!S5&lt;&gt;""),'Ratings'!S5,"")</f>
        <v/>
      </c>
      <c r="F1344">
        <f>IF(OR(A1344="",'Ratings'!S89=""),"",'Ratings'!S89)</f>
        <v/>
      </c>
      <c r="G1344">
        <f>IF(A1344="","",'Employees'!D11)</f>
        <v/>
      </c>
    </row>
    <row r="1345">
      <c r="A1345">
        <f>IF(AND('Ratings'!A89&lt;&gt;"",'Ratings'!T5&lt;&gt;""),'Ratings'!A89,"")</f>
        <v/>
      </c>
      <c r="B1345">
        <f>IF(A1345="","",'Employees'!C11)</f>
        <v/>
      </c>
      <c r="C1345">
        <f>IF(A1345="","",'Ratings'!C89)</f>
        <v/>
      </c>
      <c r="D1345">
        <f>IF(A1345="","",'Ratings'!D89)</f>
        <v/>
      </c>
      <c r="E1345">
        <f>IF(AND('Ratings'!A89&lt;&gt;"",'Ratings'!T5&lt;&gt;""),'Ratings'!T5,"")</f>
        <v/>
      </c>
      <c r="F1345">
        <f>IF(OR(A1345="",'Ratings'!T89=""),"",'Ratings'!T89)</f>
        <v/>
      </c>
      <c r="G1345">
        <f>IF(A1345="","",'Employees'!D11)</f>
        <v/>
      </c>
    </row>
    <row r="1346">
      <c r="A1346">
        <f>IF(AND('Ratings'!A90&lt;&gt;"",'Ratings'!E5&lt;&gt;""),'Ratings'!A90,"")</f>
        <v/>
      </c>
      <c r="B1346">
        <f>IF(A1346="","",'Employees'!C11)</f>
        <v/>
      </c>
      <c r="C1346">
        <f>IF(A1346="","",'Ratings'!C90)</f>
        <v/>
      </c>
      <c r="D1346">
        <f>IF(A1346="","",'Ratings'!D90)</f>
        <v/>
      </c>
      <c r="E1346">
        <f>IF(AND('Ratings'!A90&lt;&gt;"",'Ratings'!E5&lt;&gt;""),'Ratings'!E5,"")</f>
        <v/>
      </c>
      <c r="F1346">
        <f>IF(OR(A1346="",'Ratings'!E90=""),"",'Ratings'!E90)</f>
        <v/>
      </c>
      <c r="G1346">
        <f>IF(A1346="","",'Employees'!D11)</f>
        <v/>
      </c>
    </row>
    <row r="1347">
      <c r="A1347">
        <f>IF(AND('Ratings'!A90&lt;&gt;"",'Ratings'!F5&lt;&gt;""),'Ratings'!A90,"")</f>
        <v/>
      </c>
      <c r="B1347">
        <f>IF(A1347="","",'Employees'!C11)</f>
        <v/>
      </c>
      <c r="C1347">
        <f>IF(A1347="","",'Ratings'!C90)</f>
        <v/>
      </c>
      <c r="D1347">
        <f>IF(A1347="","",'Ratings'!D90)</f>
        <v/>
      </c>
      <c r="E1347">
        <f>IF(AND('Ratings'!A90&lt;&gt;"",'Ratings'!F5&lt;&gt;""),'Ratings'!F5,"")</f>
        <v/>
      </c>
      <c r="F1347">
        <f>IF(OR(A1347="",'Ratings'!F90=""),"",'Ratings'!F90)</f>
        <v/>
      </c>
      <c r="G1347">
        <f>IF(A1347="","",'Employees'!D11)</f>
        <v/>
      </c>
    </row>
    <row r="1348">
      <c r="A1348">
        <f>IF(AND('Ratings'!A90&lt;&gt;"",'Ratings'!G5&lt;&gt;""),'Ratings'!A90,"")</f>
        <v/>
      </c>
      <c r="B1348">
        <f>IF(A1348="","",'Employees'!C11)</f>
        <v/>
      </c>
      <c r="C1348">
        <f>IF(A1348="","",'Ratings'!C90)</f>
        <v/>
      </c>
      <c r="D1348">
        <f>IF(A1348="","",'Ratings'!D90)</f>
        <v/>
      </c>
      <c r="E1348">
        <f>IF(AND('Ratings'!A90&lt;&gt;"",'Ratings'!G5&lt;&gt;""),'Ratings'!G5,"")</f>
        <v/>
      </c>
      <c r="F1348">
        <f>IF(OR(A1348="",'Ratings'!G90=""),"",'Ratings'!G90)</f>
        <v/>
      </c>
      <c r="G1348">
        <f>IF(A1348="","",'Employees'!D11)</f>
        <v/>
      </c>
    </row>
    <row r="1349">
      <c r="A1349">
        <f>IF(AND('Ratings'!A90&lt;&gt;"",'Ratings'!H5&lt;&gt;""),'Ratings'!A90,"")</f>
        <v/>
      </c>
      <c r="B1349">
        <f>IF(A1349="","",'Employees'!C11)</f>
        <v/>
      </c>
      <c r="C1349">
        <f>IF(A1349="","",'Ratings'!C90)</f>
        <v/>
      </c>
      <c r="D1349">
        <f>IF(A1349="","",'Ratings'!D90)</f>
        <v/>
      </c>
      <c r="E1349">
        <f>IF(AND('Ratings'!A90&lt;&gt;"",'Ratings'!H5&lt;&gt;""),'Ratings'!H5,"")</f>
        <v/>
      </c>
      <c r="F1349">
        <f>IF(OR(A1349="",'Ratings'!H90=""),"",'Ratings'!H90)</f>
        <v/>
      </c>
      <c r="G1349">
        <f>IF(A1349="","",'Employees'!D11)</f>
        <v/>
      </c>
    </row>
    <row r="1350">
      <c r="A1350">
        <f>IF(AND('Ratings'!A90&lt;&gt;"",'Ratings'!I5&lt;&gt;""),'Ratings'!A90,"")</f>
        <v/>
      </c>
      <c r="B1350">
        <f>IF(A1350="","",'Employees'!C11)</f>
        <v/>
      </c>
      <c r="C1350">
        <f>IF(A1350="","",'Ratings'!C90)</f>
        <v/>
      </c>
      <c r="D1350">
        <f>IF(A1350="","",'Ratings'!D90)</f>
        <v/>
      </c>
      <c r="E1350">
        <f>IF(AND('Ratings'!A90&lt;&gt;"",'Ratings'!I5&lt;&gt;""),'Ratings'!I5,"")</f>
        <v/>
      </c>
      <c r="F1350">
        <f>IF(OR(A1350="",'Ratings'!I90=""),"",'Ratings'!I90)</f>
        <v/>
      </c>
      <c r="G1350">
        <f>IF(A1350="","",'Employees'!D11)</f>
        <v/>
      </c>
    </row>
    <row r="1351">
      <c r="A1351">
        <f>IF(AND('Ratings'!A90&lt;&gt;"",'Ratings'!J5&lt;&gt;""),'Ratings'!A90,"")</f>
        <v/>
      </c>
      <c r="B1351">
        <f>IF(A1351="","",'Employees'!C11)</f>
        <v/>
      </c>
      <c r="C1351">
        <f>IF(A1351="","",'Ratings'!C90)</f>
        <v/>
      </c>
      <c r="D1351">
        <f>IF(A1351="","",'Ratings'!D90)</f>
        <v/>
      </c>
      <c r="E1351">
        <f>IF(AND('Ratings'!A90&lt;&gt;"",'Ratings'!J5&lt;&gt;""),'Ratings'!J5,"")</f>
        <v/>
      </c>
      <c r="F1351">
        <f>IF(OR(A1351="",'Ratings'!J90=""),"",'Ratings'!J90)</f>
        <v/>
      </c>
      <c r="G1351">
        <f>IF(A1351="","",'Employees'!D11)</f>
        <v/>
      </c>
    </row>
    <row r="1352">
      <c r="A1352">
        <f>IF(AND('Ratings'!A90&lt;&gt;"",'Ratings'!K5&lt;&gt;""),'Ratings'!A90,"")</f>
        <v/>
      </c>
      <c r="B1352">
        <f>IF(A1352="","",'Employees'!C11)</f>
        <v/>
      </c>
      <c r="C1352">
        <f>IF(A1352="","",'Ratings'!C90)</f>
        <v/>
      </c>
      <c r="D1352">
        <f>IF(A1352="","",'Ratings'!D90)</f>
        <v/>
      </c>
      <c r="E1352">
        <f>IF(AND('Ratings'!A90&lt;&gt;"",'Ratings'!K5&lt;&gt;""),'Ratings'!K5,"")</f>
        <v/>
      </c>
      <c r="F1352">
        <f>IF(OR(A1352="",'Ratings'!K90=""),"",'Ratings'!K90)</f>
        <v/>
      </c>
      <c r="G1352">
        <f>IF(A1352="","",'Employees'!D11)</f>
        <v/>
      </c>
    </row>
    <row r="1353">
      <c r="A1353">
        <f>IF(AND('Ratings'!A90&lt;&gt;"",'Ratings'!L5&lt;&gt;""),'Ratings'!A90,"")</f>
        <v/>
      </c>
      <c r="B1353">
        <f>IF(A1353="","",'Employees'!C11)</f>
        <v/>
      </c>
      <c r="C1353">
        <f>IF(A1353="","",'Ratings'!C90)</f>
        <v/>
      </c>
      <c r="D1353">
        <f>IF(A1353="","",'Ratings'!D90)</f>
        <v/>
      </c>
      <c r="E1353">
        <f>IF(AND('Ratings'!A90&lt;&gt;"",'Ratings'!L5&lt;&gt;""),'Ratings'!L5,"")</f>
        <v/>
      </c>
      <c r="F1353">
        <f>IF(OR(A1353="",'Ratings'!L90=""),"",'Ratings'!L90)</f>
        <v/>
      </c>
      <c r="G1353">
        <f>IF(A1353="","",'Employees'!D11)</f>
        <v/>
      </c>
    </row>
    <row r="1354">
      <c r="A1354">
        <f>IF(AND('Ratings'!A90&lt;&gt;"",'Ratings'!M5&lt;&gt;""),'Ratings'!A90,"")</f>
        <v/>
      </c>
      <c r="B1354">
        <f>IF(A1354="","",'Employees'!C11)</f>
        <v/>
      </c>
      <c r="C1354">
        <f>IF(A1354="","",'Ratings'!C90)</f>
        <v/>
      </c>
      <c r="D1354">
        <f>IF(A1354="","",'Ratings'!D90)</f>
        <v/>
      </c>
      <c r="E1354">
        <f>IF(AND('Ratings'!A90&lt;&gt;"",'Ratings'!M5&lt;&gt;""),'Ratings'!M5,"")</f>
        <v/>
      </c>
      <c r="F1354">
        <f>IF(OR(A1354="",'Ratings'!M90=""),"",'Ratings'!M90)</f>
        <v/>
      </c>
      <c r="G1354">
        <f>IF(A1354="","",'Employees'!D11)</f>
        <v/>
      </c>
    </row>
    <row r="1355">
      <c r="A1355">
        <f>IF(AND('Ratings'!A90&lt;&gt;"",'Ratings'!N5&lt;&gt;""),'Ratings'!A90,"")</f>
        <v/>
      </c>
      <c r="B1355">
        <f>IF(A1355="","",'Employees'!C11)</f>
        <v/>
      </c>
      <c r="C1355">
        <f>IF(A1355="","",'Ratings'!C90)</f>
        <v/>
      </c>
      <c r="D1355">
        <f>IF(A1355="","",'Ratings'!D90)</f>
        <v/>
      </c>
      <c r="E1355">
        <f>IF(AND('Ratings'!A90&lt;&gt;"",'Ratings'!N5&lt;&gt;""),'Ratings'!N5,"")</f>
        <v/>
      </c>
      <c r="F1355">
        <f>IF(OR(A1355="",'Ratings'!N90=""),"",'Ratings'!N90)</f>
        <v/>
      </c>
      <c r="G1355">
        <f>IF(A1355="","",'Employees'!D11)</f>
        <v/>
      </c>
    </row>
    <row r="1356">
      <c r="A1356">
        <f>IF(AND('Ratings'!A90&lt;&gt;"",'Ratings'!O5&lt;&gt;""),'Ratings'!A90,"")</f>
        <v/>
      </c>
      <c r="B1356">
        <f>IF(A1356="","",'Employees'!C11)</f>
        <v/>
      </c>
      <c r="C1356">
        <f>IF(A1356="","",'Ratings'!C90)</f>
        <v/>
      </c>
      <c r="D1356">
        <f>IF(A1356="","",'Ratings'!D90)</f>
        <v/>
      </c>
      <c r="E1356">
        <f>IF(AND('Ratings'!A90&lt;&gt;"",'Ratings'!O5&lt;&gt;""),'Ratings'!O5,"")</f>
        <v/>
      </c>
      <c r="F1356">
        <f>IF(OR(A1356="",'Ratings'!O90=""),"",'Ratings'!O90)</f>
        <v/>
      </c>
      <c r="G1356">
        <f>IF(A1356="","",'Employees'!D11)</f>
        <v/>
      </c>
    </row>
    <row r="1357">
      <c r="A1357">
        <f>IF(AND('Ratings'!A90&lt;&gt;"",'Ratings'!P5&lt;&gt;""),'Ratings'!A90,"")</f>
        <v/>
      </c>
      <c r="B1357">
        <f>IF(A1357="","",'Employees'!C11)</f>
        <v/>
      </c>
      <c r="C1357">
        <f>IF(A1357="","",'Ratings'!C90)</f>
        <v/>
      </c>
      <c r="D1357">
        <f>IF(A1357="","",'Ratings'!D90)</f>
        <v/>
      </c>
      <c r="E1357">
        <f>IF(AND('Ratings'!A90&lt;&gt;"",'Ratings'!P5&lt;&gt;""),'Ratings'!P5,"")</f>
        <v/>
      </c>
      <c r="F1357">
        <f>IF(OR(A1357="",'Ratings'!P90=""),"",'Ratings'!P90)</f>
        <v/>
      </c>
      <c r="G1357">
        <f>IF(A1357="","",'Employees'!D11)</f>
        <v/>
      </c>
    </row>
    <row r="1358">
      <c r="A1358">
        <f>IF(AND('Ratings'!A90&lt;&gt;"",'Ratings'!Q5&lt;&gt;""),'Ratings'!A90,"")</f>
        <v/>
      </c>
      <c r="B1358">
        <f>IF(A1358="","",'Employees'!C11)</f>
        <v/>
      </c>
      <c r="C1358">
        <f>IF(A1358="","",'Ratings'!C90)</f>
        <v/>
      </c>
      <c r="D1358">
        <f>IF(A1358="","",'Ratings'!D90)</f>
        <v/>
      </c>
      <c r="E1358">
        <f>IF(AND('Ratings'!A90&lt;&gt;"",'Ratings'!Q5&lt;&gt;""),'Ratings'!Q5,"")</f>
        <v/>
      </c>
      <c r="F1358">
        <f>IF(OR(A1358="",'Ratings'!Q90=""),"",'Ratings'!Q90)</f>
        <v/>
      </c>
      <c r="G1358">
        <f>IF(A1358="","",'Employees'!D11)</f>
        <v/>
      </c>
    </row>
    <row r="1359">
      <c r="A1359">
        <f>IF(AND('Ratings'!A90&lt;&gt;"",'Ratings'!R5&lt;&gt;""),'Ratings'!A90,"")</f>
        <v/>
      </c>
      <c r="B1359">
        <f>IF(A1359="","",'Employees'!C11)</f>
        <v/>
      </c>
      <c r="C1359">
        <f>IF(A1359="","",'Ratings'!C90)</f>
        <v/>
      </c>
      <c r="D1359">
        <f>IF(A1359="","",'Ratings'!D90)</f>
        <v/>
      </c>
      <c r="E1359">
        <f>IF(AND('Ratings'!A90&lt;&gt;"",'Ratings'!R5&lt;&gt;""),'Ratings'!R5,"")</f>
        <v/>
      </c>
      <c r="F1359">
        <f>IF(OR(A1359="",'Ratings'!R90=""),"",'Ratings'!R90)</f>
        <v/>
      </c>
      <c r="G1359">
        <f>IF(A1359="","",'Employees'!D11)</f>
        <v/>
      </c>
    </row>
    <row r="1360">
      <c r="A1360">
        <f>IF(AND('Ratings'!A90&lt;&gt;"",'Ratings'!S5&lt;&gt;""),'Ratings'!A90,"")</f>
        <v/>
      </c>
      <c r="B1360">
        <f>IF(A1360="","",'Employees'!C11)</f>
        <v/>
      </c>
      <c r="C1360">
        <f>IF(A1360="","",'Ratings'!C90)</f>
        <v/>
      </c>
      <c r="D1360">
        <f>IF(A1360="","",'Ratings'!D90)</f>
        <v/>
      </c>
      <c r="E1360">
        <f>IF(AND('Ratings'!A90&lt;&gt;"",'Ratings'!S5&lt;&gt;""),'Ratings'!S5,"")</f>
        <v/>
      </c>
      <c r="F1360">
        <f>IF(OR(A1360="",'Ratings'!S90=""),"",'Ratings'!S90)</f>
        <v/>
      </c>
      <c r="G1360">
        <f>IF(A1360="","",'Employees'!D11)</f>
        <v/>
      </c>
    </row>
    <row r="1361">
      <c r="A1361">
        <f>IF(AND('Ratings'!A90&lt;&gt;"",'Ratings'!T5&lt;&gt;""),'Ratings'!A90,"")</f>
        <v/>
      </c>
      <c r="B1361">
        <f>IF(A1361="","",'Employees'!C11)</f>
        <v/>
      </c>
      <c r="C1361">
        <f>IF(A1361="","",'Ratings'!C90)</f>
        <v/>
      </c>
      <c r="D1361">
        <f>IF(A1361="","",'Ratings'!D90)</f>
        <v/>
      </c>
      <c r="E1361">
        <f>IF(AND('Ratings'!A90&lt;&gt;"",'Ratings'!T5&lt;&gt;""),'Ratings'!T5,"")</f>
        <v/>
      </c>
      <c r="F1361">
        <f>IF(OR(A1361="",'Ratings'!T90=""),"",'Ratings'!T90)</f>
        <v/>
      </c>
      <c r="G1361">
        <f>IF(A1361="","",'Employees'!D11)</f>
        <v/>
      </c>
    </row>
    <row r="1362">
      <c r="A1362">
        <f>IF(AND('Ratings'!A91&lt;&gt;"",'Ratings'!E5&lt;&gt;""),'Ratings'!A91,"")</f>
        <v/>
      </c>
      <c r="B1362">
        <f>IF(A1362="","",'Employees'!C11)</f>
        <v/>
      </c>
      <c r="C1362">
        <f>IF(A1362="","",'Ratings'!C91)</f>
        <v/>
      </c>
      <c r="D1362">
        <f>IF(A1362="","",'Ratings'!D91)</f>
        <v/>
      </c>
      <c r="E1362">
        <f>IF(AND('Ratings'!A91&lt;&gt;"",'Ratings'!E5&lt;&gt;""),'Ratings'!E5,"")</f>
        <v/>
      </c>
      <c r="F1362">
        <f>IF(OR(A1362="",'Ratings'!E91=""),"",'Ratings'!E91)</f>
        <v/>
      </c>
      <c r="G1362">
        <f>IF(A1362="","",'Employees'!D11)</f>
        <v/>
      </c>
    </row>
    <row r="1363">
      <c r="A1363">
        <f>IF(AND('Ratings'!A91&lt;&gt;"",'Ratings'!F5&lt;&gt;""),'Ratings'!A91,"")</f>
        <v/>
      </c>
      <c r="B1363">
        <f>IF(A1363="","",'Employees'!C11)</f>
        <v/>
      </c>
      <c r="C1363">
        <f>IF(A1363="","",'Ratings'!C91)</f>
        <v/>
      </c>
      <c r="D1363">
        <f>IF(A1363="","",'Ratings'!D91)</f>
        <v/>
      </c>
      <c r="E1363">
        <f>IF(AND('Ratings'!A91&lt;&gt;"",'Ratings'!F5&lt;&gt;""),'Ratings'!F5,"")</f>
        <v/>
      </c>
      <c r="F1363">
        <f>IF(OR(A1363="",'Ratings'!F91=""),"",'Ratings'!F91)</f>
        <v/>
      </c>
      <c r="G1363">
        <f>IF(A1363="","",'Employees'!D11)</f>
        <v/>
      </c>
    </row>
    <row r="1364">
      <c r="A1364">
        <f>IF(AND('Ratings'!A91&lt;&gt;"",'Ratings'!G5&lt;&gt;""),'Ratings'!A91,"")</f>
        <v/>
      </c>
      <c r="B1364">
        <f>IF(A1364="","",'Employees'!C11)</f>
        <v/>
      </c>
      <c r="C1364">
        <f>IF(A1364="","",'Ratings'!C91)</f>
        <v/>
      </c>
      <c r="D1364">
        <f>IF(A1364="","",'Ratings'!D91)</f>
        <v/>
      </c>
      <c r="E1364">
        <f>IF(AND('Ratings'!A91&lt;&gt;"",'Ratings'!G5&lt;&gt;""),'Ratings'!G5,"")</f>
        <v/>
      </c>
      <c r="F1364">
        <f>IF(OR(A1364="",'Ratings'!G91=""),"",'Ratings'!G91)</f>
        <v/>
      </c>
      <c r="G1364">
        <f>IF(A1364="","",'Employees'!D11)</f>
        <v/>
      </c>
    </row>
    <row r="1365">
      <c r="A1365">
        <f>IF(AND('Ratings'!A91&lt;&gt;"",'Ratings'!H5&lt;&gt;""),'Ratings'!A91,"")</f>
        <v/>
      </c>
      <c r="B1365">
        <f>IF(A1365="","",'Employees'!C11)</f>
        <v/>
      </c>
      <c r="C1365">
        <f>IF(A1365="","",'Ratings'!C91)</f>
        <v/>
      </c>
      <c r="D1365">
        <f>IF(A1365="","",'Ratings'!D91)</f>
        <v/>
      </c>
      <c r="E1365">
        <f>IF(AND('Ratings'!A91&lt;&gt;"",'Ratings'!H5&lt;&gt;""),'Ratings'!H5,"")</f>
        <v/>
      </c>
      <c r="F1365">
        <f>IF(OR(A1365="",'Ratings'!H91=""),"",'Ratings'!H91)</f>
        <v/>
      </c>
      <c r="G1365">
        <f>IF(A1365="","",'Employees'!D11)</f>
        <v/>
      </c>
    </row>
    <row r="1366">
      <c r="A1366">
        <f>IF(AND('Ratings'!A91&lt;&gt;"",'Ratings'!I5&lt;&gt;""),'Ratings'!A91,"")</f>
        <v/>
      </c>
      <c r="B1366">
        <f>IF(A1366="","",'Employees'!C11)</f>
        <v/>
      </c>
      <c r="C1366">
        <f>IF(A1366="","",'Ratings'!C91)</f>
        <v/>
      </c>
      <c r="D1366">
        <f>IF(A1366="","",'Ratings'!D91)</f>
        <v/>
      </c>
      <c r="E1366">
        <f>IF(AND('Ratings'!A91&lt;&gt;"",'Ratings'!I5&lt;&gt;""),'Ratings'!I5,"")</f>
        <v/>
      </c>
      <c r="F1366">
        <f>IF(OR(A1366="",'Ratings'!I91=""),"",'Ratings'!I91)</f>
        <v/>
      </c>
      <c r="G1366">
        <f>IF(A1366="","",'Employees'!D11)</f>
        <v/>
      </c>
    </row>
    <row r="1367">
      <c r="A1367">
        <f>IF(AND('Ratings'!A91&lt;&gt;"",'Ratings'!J5&lt;&gt;""),'Ratings'!A91,"")</f>
        <v/>
      </c>
      <c r="B1367">
        <f>IF(A1367="","",'Employees'!C11)</f>
        <v/>
      </c>
      <c r="C1367">
        <f>IF(A1367="","",'Ratings'!C91)</f>
        <v/>
      </c>
      <c r="D1367">
        <f>IF(A1367="","",'Ratings'!D91)</f>
        <v/>
      </c>
      <c r="E1367">
        <f>IF(AND('Ratings'!A91&lt;&gt;"",'Ratings'!J5&lt;&gt;""),'Ratings'!J5,"")</f>
        <v/>
      </c>
      <c r="F1367">
        <f>IF(OR(A1367="",'Ratings'!J91=""),"",'Ratings'!J91)</f>
        <v/>
      </c>
      <c r="G1367">
        <f>IF(A1367="","",'Employees'!D11)</f>
        <v/>
      </c>
    </row>
    <row r="1368">
      <c r="A1368">
        <f>IF(AND('Ratings'!A91&lt;&gt;"",'Ratings'!K5&lt;&gt;""),'Ratings'!A91,"")</f>
        <v/>
      </c>
      <c r="B1368">
        <f>IF(A1368="","",'Employees'!C11)</f>
        <v/>
      </c>
      <c r="C1368">
        <f>IF(A1368="","",'Ratings'!C91)</f>
        <v/>
      </c>
      <c r="D1368">
        <f>IF(A1368="","",'Ratings'!D91)</f>
        <v/>
      </c>
      <c r="E1368">
        <f>IF(AND('Ratings'!A91&lt;&gt;"",'Ratings'!K5&lt;&gt;""),'Ratings'!K5,"")</f>
        <v/>
      </c>
      <c r="F1368">
        <f>IF(OR(A1368="",'Ratings'!K91=""),"",'Ratings'!K91)</f>
        <v/>
      </c>
      <c r="G1368">
        <f>IF(A1368="","",'Employees'!D11)</f>
        <v/>
      </c>
    </row>
    <row r="1369">
      <c r="A1369">
        <f>IF(AND('Ratings'!A91&lt;&gt;"",'Ratings'!L5&lt;&gt;""),'Ratings'!A91,"")</f>
        <v/>
      </c>
      <c r="B1369">
        <f>IF(A1369="","",'Employees'!C11)</f>
        <v/>
      </c>
      <c r="C1369">
        <f>IF(A1369="","",'Ratings'!C91)</f>
        <v/>
      </c>
      <c r="D1369">
        <f>IF(A1369="","",'Ratings'!D91)</f>
        <v/>
      </c>
      <c r="E1369">
        <f>IF(AND('Ratings'!A91&lt;&gt;"",'Ratings'!L5&lt;&gt;""),'Ratings'!L5,"")</f>
        <v/>
      </c>
      <c r="F1369">
        <f>IF(OR(A1369="",'Ratings'!L91=""),"",'Ratings'!L91)</f>
        <v/>
      </c>
      <c r="G1369">
        <f>IF(A1369="","",'Employees'!D11)</f>
        <v/>
      </c>
    </row>
    <row r="1370">
      <c r="A1370">
        <f>IF(AND('Ratings'!A91&lt;&gt;"",'Ratings'!M5&lt;&gt;""),'Ratings'!A91,"")</f>
        <v/>
      </c>
      <c r="B1370">
        <f>IF(A1370="","",'Employees'!C11)</f>
        <v/>
      </c>
      <c r="C1370">
        <f>IF(A1370="","",'Ratings'!C91)</f>
        <v/>
      </c>
      <c r="D1370">
        <f>IF(A1370="","",'Ratings'!D91)</f>
        <v/>
      </c>
      <c r="E1370">
        <f>IF(AND('Ratings'!A91&lt;&gt;"",'Ratings'!M5&lt;&gt;""),'Ratings'!M5,"")</f>
        <v/>
      </c>
      <c r="F1370">
        <f>IF(OR(A1370="",'Ratings'!M91=""),"",'Ratings'!M91)</f>
        <v/>
      </c>
      <c r="G1370">
        <f>IF(A1370="","",'Employees'!D11)</f>
        <v/>
      </c>
    </row>
    <row r="1371">
      <c r="A1371">
        <f>IF(AND('Ratings'!A91&lt;&gt;"",'Ratings'!N5&lt;&gt;""),'Ratings'!A91,"")</f>
        <v/>
      </c>
      <c r="B1371">
        <f>IF(A1371="","",'Employees'!C11)</f>
        <v/>
      </c>
      <c r="C1371">
        <f>IF(A1371="","",'Ratings'!C91)</f>
        <v/>
      </c>
      <c r="D1371">
        <f>IF(A1371="","",'Ratings'!D91)</f>
        <v/>
      </c>
      <c r="E1371">
        <f>IF(AND('Ratings'!A91&lt;&gt;"",'Ratings'!N5&lt;&gt;""),'Ratings'!N5,"")</f>
        <v/>
      </c>
      <c r="F1371">
        <f>IF(OR(A1371="",'Ratings'!N91=""),"",'Ratings'!N91)</f>
        <v/>
      </c>
      <c r="G1371">
        <f>IF(A1371="","",'Employees'!D11)</f>
        <v/>
      </c>
    </row>
    <row r="1372">
      <c r="A1372">
        <f>IF(AND('Ratings'!A91&lt;&gt;"",'Ratings'!O5&lt;&gt;""),'Ratings'!A91,"")</f>
        <v/>
      </c>
      <c r="B1372">
        <f>IF(A1372="","",'Employees'!C11)</f>
        <v/>
      </c>
      <c r="C1372">
        <f>IF(A1372="","",'Ratings'!C91)</f>
        <v/>
      </c>
      <c r="D1372">
        <f>IF(A1372="","",'Ratings'!D91)</f>
        <v/>
      </c>
      <c r="E1372">
        <f>IF(AND('Ratings'!A91&lt;&gt;"",'Ratings'!O5&lt;&gt;""),'Ratings'!O5,"")</f>
        <v/>
      </c>
      <c r="F1372">
        <f>IF(OR(A1372="",'Ratings'!O91=""),"",'Ratings'!O91)</f>
        <v/>
      </c>
      <c r="G1372">
        <f>IF(A1372="","",'Employees'!D11)</f>
        <v/>
      </c>
    </row>
    <row r="1373">
      <c r="A1373">
        <f>IF(AND('Ratings'!A91&lt;&gt;"",'Ratings'!P5&lt;&gt;""),'Ratings'!A91,"")</f>
        <v/>
      </c>
      <c r="B1373">
        <f>IF(A1373="","",'Employees'!C11)</f>
        <v/>
      </c>
      <c r="C1373">
        <f>IF(A1373="","",'Ratings'!C91)</f>
        <v/>
      </c>
      <c r="D1373">
        <f>IF(A1373="","",'Ratings'!D91)</f>
        <v/>
      </c>
      <c r="E1373">
        <f>IF(AND('Ratings'!A91&lt;&gt;"",'Ratings'!P5&lt;&gt;""),'Ratings'!P5,"")</f>
        <v/>
      </c>
      <c r="F1373">
        <f>IF(OR(A1373="",'Ratings'!P91=""),"",'Ratings'!P91)</f>
        <v/>
      </c>
      <c r="G1373">
        <f>IF(A1373="","",'Employees'!D11)</f>
        <v/>
      </c>
    </row>
    <row r="1374">
      <c r="A1374">
        <f>IF(AND('Ratings'!A91&lt;&gt;"",'Ratings'!Q5&lt;&gt;""),'Ratings'!A91,"")</f>
        <v/>
      </c>
      <c r="B1374">
        <f>IF(A1374="","",'Employees'!C11)</f>
        <v/>
      </c>
      <c r="C1374">
        <f>IF(A1374="","",'Ratings'!C91)</f>
        <v/>
      </c>
      <c r="D1374">
        <f>IF(A1374="","",'Ratings'!D91)</f>
        <v/>
      </c>
      <c r="E1374">
        <f>IF(AND('Ratings'!A91&lt;&gt;"",'Ratings'!Q5&lt;&gt;""),'Ratings'!Q5,"")</f>
        <v/>
      </c>
      <c r="F1374">
        <f>IF(OR(A1374="",'Ratings'!Q91=""),"",'Ratings'!Q91)</f>
        <v/>
      </c>
      <c r="G1374">
        <f>IF(A1374="","",'Employees'!D11)</f>
        <v/>
      </c>
    </row>
    <row r="1375">
      <c r="A1375">
        <f>IF(AND('Ratings'!A91&lt;&gt;"",'Ratings'!R5&lt;&gt;""),'Ratings'!A91,"")</f>
        <v/>
      </c>
      <c r="B1375">
        <f>IF(A1375="","",'Employees'!C11)</f>
        <v/>
      </c>
      <c r="C1375">
        <f>IF(A1375="","",'Ratings'!C91)</f>
        <v/>
      </c>
      <c r="D1375">
        <f>IF(A1375="","",'Ratings'!D91)</f>
        <v/>
      </c>
      <c r="E1375">
        <f>IF(AND('Ratings'!A91&lt;&gt;"",'Ratings'!R5&lt;&gt;""),'Ratings'!R5,"")</f>
        <v/>
      </c>
      <c r="F1375">
        <f>IF(OR(A1375="",'Ratings'!R91=""),"",'Ratings'!R91)</f>
        <v/>
      </c>
      <c r="G1375">
        <f>IF(A1375="","",'Employees'!D11)</f>
        <v/>
      </c>
    </row>
    <row r="1376">
      <c r="A1376">
        <f>IF(AND('Ratings'!A91&lt;&gt;"",'Ratings'!S5&lt;&gt;""),'Ratings'!A91,"")</f>
        <v/>
      </c>
      <c r="B1376">
        <f>IF(A1376="","",'Employees'!C11)</f>
        <v/>
      </c>
      <c r="C1376">
        <f>IF(A1376="","",'Ratings'!C91)</f>
        <v/>
      </c>
      <c r="D1376">
        <f>IF(A1376="","",'Ratings'!D91)</f>
        <v/>
      </c>
      <c r="E1376">
        <f>IF(AND('Ratings'!A91&lt;&gt;"",'Ratings'!S5&lt;&gt;""),'Ratings'!S5,"")</f>
        <v/>
      </c>
      <c r="F1376">
        <f>IF(OR(A1376="",'Ratings'!S91=""),"",'Ratings'!S91)</f>
        <v/>
      </c>
      <c r="G1376">
        <f>IF(A1376="","",'Employees'!D11)</f>
        <v/>
      </c>
    </row>
    <row r="1377">
      <c r="A1377">
        <f>IF(AND('Ratings'!A91&lt;&gt;"",'Ratings'!T5&lt;&gt;""),'Ratings'!A91,"")</f>
        <v/>
      </c>
      <c r="B1377">
        <f>IF(A1377="","",'Employees'!C11)</f>
        <v/>
      </c>
      <c r="C1377">
        <f>IF(A1377="","",'Ratings'!C91)</f>
        <v/>
      </c>
      <c r="D1377">
        <f>IF(A1377="","",'Ratings'!D91)</f>
        <v/>
      </c>
      <c r="E1377">
        <f>IF(AND('Ratings'!A91&lt;&gt;"",'Ratings'!T5&lt;&gt;""),'Ratings'!T5,"")</f>
        <v/>
      </c>
      <c r="F1377">
        <f>IF(OR(A1377="",'Ratings'!T91=""),"",'Ratings'!T91)</f>
        <v/>
      </c>
      <c r="G1377">
        <f>IF(A1377="","",'Employees'!D11)</f>
        <v/>
      </c>
    </row>
    <row r="1378">
      <c r="A1378">
        <f>IF(AND('Ratings'!A92&lt;&gt;"",'Ratings'!E5&lt;&gt;""),'Ratings'!A92,"")</f>
        <v/>
      </c>
      <c r="B1378">
        <f>IF(A1378="","",'Employees'!C11)</f>
        <v/>
      </c>
      <c r="C1378">
        <f>IF(A1378="","",'Ratings'!C92)</f>
        <v/>
      </c>
      <c r="D1378">
        <f>IF(A1378="","",'Ratings'!D92)</f>
        <v/>
      </c>
      <c r="E1378">
        <f>IF(AND('Ratings'!A92&lt;&gt;"",'Ratings'!E5&lt;&gt;""),'Ratings'!E5,"")</f>
        <v/>
      </c>
      <c r="F1378">
        <f>IF(OR(A1378="",'Ratings'!E92=""),"",'Ratings'!E92)</f>
        <v/>
      </c>
      <c r="G1378">
        <f>IF(A1378="","",'Employees'!D11)</f>
        <v/>
      </c>
    </row>
    <row r="1379">
      <c r="A1379">
        <f>IF(AND('Ratings'!A92&lt;&gt;"",'Ratings'!F5&lt;&gt;""),'Ratings'!A92,"")</f>
        <v/>
      </c>
      <c r="B1379">
        <f>IF(A1379="","",'Employees'!C11)</f>
        <v/>
      </c>
      <c r="C1379">
        <f>IF(A1379="","",'Ratings'!C92)</f>
        <v/>
      </c>
      <c r="D1379">
        <f>IF(A1379="","",'Ratings'!D92)</f>
        <v/>
      </c>
      <c r="E1379">
        <f>IF(AND('Ratings'!A92&lt;&gt;"",'Ratings'!F5&lt;&gt;""),'Ratings'!F5,"")</f>
        <v/>
      </c>
      <c r="F1379">
        <f>IF(OR(A1379="",'Ratings'!F92=""),"",'Ratings'!F92)</f>
        <v/>
      </c>
      <c r="G1379">
        <f>IF(A1379="","",'Employees'!D11)</f>
        <v/>
      </c>
    </row>
    <row r="1380">
      <c r="A1380">
        <f>IF(AND('Ratings'!A92&lt;&gt;"",'Ratings'!G5&lt;&gt;""),'Ratings'!A92,"")</f>
        <v/>
      </c>
      <c r="B1380">
        <f>IF(A1380="","",'Employees'!C11)</f>
        <v/>
      </c>
      <c r="C1380">
        <f>IF(A1380="","",'Ratings'!C92)</f>
        <v/>
      </c>
      <c r="D1380">
        <f>IF(A1380="","",'Ratings'!D92)</f>
        <v/>
      </c>
      <c r="E1380">
        <f>IF(AND('Ratings'!A92&lt;&gt;"",'Ratings'!G5&lt;&gt;""),'Ratings'!G5,"")</f>
        <v/>
      </c>
      <c r="F1380">
        <f>IF(OR(A1380="",'Ratings'!G92=""),"",'Ratings'!G92)</f>
        <v/>
      </c>
      <c r="G1380">
        <f>IF(A1380="","",'Employees'!D11)</f>
        <v/>
      </c>
    </row>
    <row r="1381">
      <c r="A1381">
        <f>IF(AND('Ratings'!A92&lt;&gt;"",'Ratings'!H5&lt;&gt;""),'Ratings'!A92,"")</f>
        <v/>
      </c>
      <c r="B1381">
        <f>IF(A1381="","",'Employees'!C11)</f>
        <v/>
      </c>
      <c r="C1381">
        <f>IF(A1381="","",'Ratings'!C92)</f>
        <v/>
      </c>
      <c r="D1381">
        <f>IF(A1381="","",'Ratings'!D92)</f>
        <v/>
      </c>
      <c r="E1381">
        <f>IF(AND('Ratings'!A92&lt;&gt;"",'Ratings'!H5&lt;&gt;""),'Ratings'!H5,"")</f>
        <v/>
      </c>
      <c r="F1381">
        <f>IF(OR(A1381="",'Ratings'!H92=""),"",'Ratings'!H92)</f>
        <v/>
      </c>
      <c r="G1381">
        <f>IF(A1381="","",'Employees'!D11)</f>
        <v/>
      </c>
    </row>
    <row r="1382">
      <c r="A1382">
        <f>IF(AND('Ratings'!A92&lt;&gt;"",'Ratings'!I5&lt;&gt;""),'Ratings'!A92,"")</f>
        <v/>
      </c>
      <c r="B1382">
        <f>IF(A1382="","",'Employees'!C11)</f>
        <v/>
      </c>
      <c r="C1382">
        <f>IF(A1382="","",'Ratings'!C92)</f>
        <v/>
      </c>
      <c r="D1382">
        <f>IF(A1382="","",'Ratings'!D92)</f>
        <v/>
      </c>
      <c r="E1382">
        <f>IF(AND('Ratings'!A92&lt;&gt;"",'Ratings'!I5&lt;&gt;""),'Ratings'!I5,"")</f>
        <v/>
      </c>
      <c r="F1382">
        <f>IF(OR(A1382="",'Ratings'!I92=""),"",'Ratings'!I92)</f>
        <v/>
      </c>
      <c r="G1382">
        <f>IF(A1382="","",'Employees'!D11)</f>
        <v/>
      </c>
    </row>
    <row r="1383">
      <c r="A1383">
        <f>IF(AND('Ratings'!A92&lt;&gt;"",'Ratings'!J5&lt;&gt;""),'Ratings'!A92,"")</f>
        <v/>
      </c>
      <c r="B1383">
        <f>IF(A1383="","",'Employees'!C11)</f>
        <v/>
      </c>
      <c r="C1383">
        <f>IF(A1383="","",'Ratings'!C92)</f>
        <v/>
      </c>
      <c r="D1383">
        <f>IF(A1383="","",'Ratings'!D92)</f>
        <v/>
      </c>
      <c r="E1383">
        <f>IF(AND('Ratings'!A92&lt;&gt;"",'Ratings'!J5&lt;&gt;""),'Ratings'!J5,"")</f>
        <v/>
      </c>
      <c r="F1383">
        <f>IF(OR(A1383="",'Ratings'!J92=""),"",'Ratings'!J92)</f>
        <v/>
      </c>
      <c r="G1383">
        <f>IF(A1383="","",'Employees'!D11)</f>
        <v/>
      </c>
    </row>
    <row r="1384">
      <c r="A1384">
        <f>IF(AND('Ratings'!A92&lt;&gt;"",'Ratings'!K5&lt;&gt;""),'Ratings'!A92,"")</f>
        <v/>
      </c>
      <c r="B1384">
        <f>IF(A1384="","",'Employees'!C11)</f>
        <v/>
      </c>
      <c r="C1384">
        <f>IF(A1384="","",'Ratings'!C92)</f>
        <v/>
      </c>
      <c r="D1384">
        <f>IF(A1384="","",'Ratings'!D92)</f>
        <v/>
      </c>
      <c r="E1384">
        <f>IF(AND('Ratings'!A92&lt;&gt;"",'Ratings'!K5&lt;&gt;""),'Ratings'!K5,"")</f>
        <v/>
      </c>
      <c r="F1384">
        <f>IF(OR(A1384="",'Ratings'!K92=""),"",'Ratings'!K92)</f>
        <v/>
      </c>
      <c r="G1384">
        <f>IF(A1384="","",'Employees'!D11)</f>
        <v/>
      </c>
    </row>
    <row r="1385">
      <c r="A1385">
        <f>IF(AND('Ratings'!A92&lt;&gt;"",'Ratings'!L5&lt;&gt;""),'Ratings'!A92,"")</f>
        <v/>
      </c>
      <c r="B1385">
        <f>IF(A1385="","",'Employees'!C11)</f>
        <v/>
      </c>
      <c r="C1385">
        <f>IF(A1385="","",'Ratings'!C92)</f>
        <v/>
      </c>
      <c r="D1385">
        <f>IF(A1385="","",'Ratings'!D92)</f>
        <v/>
      </c>
      <c r="E1385">
        <f>IF(AND('Ratings'!A92&lt;&gt;"",'Ratings'!L5&lt;&gt;""),'Ratings'!L5,"")</f>
        <v/>
      </c>
      <c r="F1385">
        <f>IF(OR(A1385="",'Ratings'!L92=""),"",'Ratings'!L92)</f>
        <v/>
      </c>
      <c r="G1385">
        <f>IF(A1385="","",'Employees'!D11)</f>
        <v/>
      </c>
    </row>
    <row r="1386">
      <c r="A1386">
        <f>IF(AND('Ratings'!A92&lt;&gt;"",'Ratings'!M5&lt;&gt;""),'Ratings'!A92,"")</f>
        <v/>
      </c>
      <c r="B1386">
        <f>IF(A1386="","",'Employees'!C11)</f>
        <v/>
      </c>
      <c r="C1386">
        <f>IF(A1386="","",'Ratings'!C92)</f>
        <v/>
      </c>
      <c r="D1386">
        <f>IF(A1386="","",'Ratings'!D92)</f>
        <v/>
      </c>
      <c r="E1386">
        <f>IF(AND('Ratings'!A92&lt;&gt;"",'Ratings'!M5&lt;&gt;""),'Ratings'!M5,"")</f>
        <v/>
      </c>
      <c r="F1386">
        <f>IF(OR(A1386="",'Ratings'!M92=""),"",'Ratings'!M92)</f>
        <v/>
      </c>
      <c r="G1386">
        <f>IF(A1386="","",'Employees'!D11)</f>
        <v/>
      </c>
    </row>
    <row r="1387">
      <c r="A1387">
        <f>IF(AND('Ratings'!A92&lt;&gt;"",'Ratings'!N5&lt;&gt;""),'Ratings'!A92,"")</f>
        <v/>
      </c>
      <c r="B1387">
        <f>IF(A1387="","",'Employees'!C11)</f>
        <v/>
      </c>
      <c r="C1387">
        <f>IF(A1387="","",'Ratings'!C92)</f>
        <v/>
      </c>
      <c r="D1387">
        <f>IF(A1387="","",'Ratings'!D92)</f>
        <v/>
      </c>
      <c r="E1387">
        <f>IF(AND('Ratings'!A92&lt;&gt;"",'Ratings'!N5&lt;&gt;""),'Ratings'!N5,"")</f>
        <v/>
      </c>
      <c r="F1387">
        <f>IF(OR(A1387="",'Ratings'!N92=""),"",'Ratings'!N92)</f>
        <v/>
      </c>
      <c r="G1387">
        <f>IF(A1387="","",'Employees'!D11)</f>
        <v/>
      </c>
    </row>
    <row r="1388">
      <c r="A1388">
        <f>IF(AND('Ratings'!A92&lt;&gt;"",'Ratings'!O5&lt;&gt;""),'Ratings'!A92,"")</f>
        <v/>
      </c>
      <c r="B1388">
        <f>IF(A1388="","",'Employees'!C11)</f>
        <v/>
      </c>
      <c r="C1388">
        <f>IF(A1388="","",'Ratings'!C92)</f>
        <v/>
      </c>
      <c r="D1388">
        <f>IF(A1388="","",'Ratings'!D92)</f>
        <v/>
      </c>
      <c r="E1388">
        <f>IF(AND('Ratings'!A92&lt;&gt;"",'Ratings'!O5&lt;&gt;""),'Ratings'!O5,"")</f>
        <v/>
      </c>
      <c r="F1388">
        <f>IF(OR(A1388="",'Ratings'!O92=""),"",'Ratings'!O92)</f>
        <v/>
      </c>
      <c r="G1388">
        <f>IF(A1388="","",'Employees'!D11)</f>
        <v/>
      </c>
    </row>
    <row r="1389">
      <c r="A1389">
        <f>IF(AND('Ratings'!A92&lt;&gt;"",'Ratings'!P5&lt;&gt;""),'Ratings'!A92,"")</f>
        <v/>
      </c>
      <c r="B1389">
        <f>IF(A1389="","",'Employees'!C11)</f>
        <v/>
      </c>
      <c r="C1389">
        <f>IF(A1389="","",'Ratings'!C92)</f>
        <v/>
      </c>
      <c r="D1389">
        <f>IF(A1389="","",'Ratings'!D92)</f>
        <v/>
      </c>
      <c r="E1389">
        <f>IF(AND('Ratings'!A92&lt;&gt;"",'Ratings'!P5&lt;&gt;""),'Ratings'!P5,"")</f>
        <v/>
      </c>
      <c r="F1389">
        <f>IF(OR(A1389="",'Ratings'!P92=""),"",'Ratings'!P92)</f>
        <v/>
      </c>
      <c r="G1389">
        <f>IF(A1389="","",'Employees'!D11)</f>
        <v/>
      </c>
    </row>
    <row r="1390">
      <c r="A1390">
        <f>IF(AND('Ratings'!A92&lt;&gt;"",'Ratings'!Q5&lt;&gt;""),'Ratings'!A92,"")</f>
        <v/>
      </c>
      <c r="B1390">
        <f>IF(A1390="","",'Employees'!C11)</f>
        <v/>
      </c>
      <c r="C1390">
        <f>IF(A1390="","",'Ratings'!C92)</f>
        <v/>
      </c>
      <c r="D1390">
        <f>IF(A1390="","",'Ratings'!D92)</f>
        <v/>
      </c>
      <c r="E1390">
        <f>IF(AND('Ratings'!A92&lt;&gt;"",'Ratings'!Q5&lt;&gt;""),'Ratings'!Q5,"")</f>
        <v/>
      </c>
      <c r="F1390">
        <f>IF(OR(A1390="",'Ratings'!Q92=""),"",'Ratings'!Q92)</f>
        <v/>
      </c>
      <c r="G1390">
        <f>IF(A1390="","",'Employees'!D11)</f>
        <v/>
      </c>
    </row>
    <row r="1391">
      <c r="A1391">
        <f>IF(AND('Ratings'!A92&lt;&gt;"",'Ratings'!R5&lt;&gt;""),'Ratings'!A92,"")</f>
        <v/>
      </c>
      <c r="B1391">
        <f>IF(A1391="","",'Employees'!C11)</f>
        <v/>
      </c>
      <c r="C1391">
        <f>IF(A1391="","",'Ratings'!C92)</f>
        <v/>
      </c>
      <c r="D1391">
        <f>IF(A1391="","",'Ratings'!D92)</f>
        <v/>
      </c>
      <c r="E1391">
        <f>IF(AND('Ratings'!A92&lt;&gt;"",'Ratings'!R5&lt;&gt;""),'Ratings'!R5,"")</f>
        <v/>
      </c>
      <c r="F1391">
        <f>IF(OR(A1391="",'Ratings'!R92=""),"",'Ratings'!R92)</f>
        <v/>
      </c>
      <c r="G1391">
        <f>IF(A1391="","",'Employees'!D11)</f>
        <v/>
      </c>
    </row>
    <row r="1392">
      <c r="A1392">
        <f>IF(AND('Ratings'!A92&lt;&gt;"",'Ratings'!S5&lt;&gt;""),'Ratings'!A92,"")</f>
        <v/>
      </c>
      <c r="B1392">
        <f>IF(A1392="","",'Employees'!C11)</f>
        <v/>
      </c>
      <c r="C1392">
        <f>IF(A1392="","",'Ratings'!C92)</f>
        <v/>
      </c>
      <c r="D1392">
        <f>IF(A1392="","",'Ratings'!D92)</f>
        <v/>
      </c>
      <c r="E1392">
        <f>IF(AND('Ratings'!A92&lt;&gt;"",'Ratings'!S5&lt;&gt;""),'Ratings'!S5,"")</f>
        <v/>
      </c>
      <c r="F1392">
        <f>IF(OR(A1392="",'Ratings'!S92=""),"",'Ratings'!S92)</f>
        <v/>
      </c>
      <c r="G1392">
        <f>IF(A1392="","",'Employees'!D11)</f>
        <v/>
      </c>
    </row>
    <row r="1393">
      <c r="A1393">
        <f>IF(AND('Ratings'!A92&lt;&gt;"",'Ratings'!T5&lt;&gt;""),'Ratings'!A92,"")</f>
        <v/>
      </c>
      <c r="B1393">
        <f>IF(A1393="","",'Employees'!C11)</f>
        <v/>
      </c>
      <c r="C1393">
        <f>IF(A1393="","",'Ratings'!C92)</f>
        <v/>
      </c>
      <c r="D1393">
        <f>IF(A1393="","",'Ratings'!D92)</f>
        <v/>
      </c>
      <c r="E1393">
        <f>IF(AND('Ratings'!A92&lt;&gt;"",'Ratings'!T5&lt;&gt;""),'Ratings'!T5,"")</f>
        <v/>
      </c>
      <c r="F1393">
        <f>IF(OR(A1393="",'Ratings'!T92=""),"",'Ratings'!T92)</f>
        <v/>
      </c>
      <c r="G1393">
        <f>IF(A1393="","",'Employees'!D11)</f>
        <v/>
      </c>
    </row>
    <row r="1394">
      <c r="A1394">
        <f>IF(AND('Ratings'!A93&lt;&gt;"",'Ratings'!E5&lt;&gt;""),'Ratings'!A93,"")</f>
        <v/>
      </c>
      <c r="B1394">
        <f>IF(A1394="","",'Employees'!C11)</f>
        <v/>
      </c>
      <c r="C1394">
        <f>IF(A1394="","",'Ratings'!C93)</f>
        <v/>
      </c>
      <c r="D1394">
        <f>IF(A1394="","",'Ratings'!D93)</f>
        <v/>
      </c>
      <c r="E1394">
        <f>IF(AND('Ratings'!A93&lt;&gt;"",'Ratings'!E5&lt;&gt;""),'Ratings'!E5,"")</f>
        <v/>
      </c>
      <c r="F1394">
        <f>IF(OR(A1394="",'Ratings'!E93=""),"",'Ratings'!E93)</f>
        <v/>
      </c>
      <c r="G1394">
        <f>IF(A1394="","",'Employees'!D11)</f>
        <v/>
      </c>
    </row>
    <row r="1395">
      <c r="A1395">
        <f>IF(AND('Ratings'!A93&lt;&gt;"",'Ratings'!F5&lt;&gt;""),'Ratings'!A93,"")</f>
        <v/>
      </c>
      <c r="B1395">
        <f>IF(A1395="","",'Employees'!C11)</f>
        <v/>
      </c>
      <c r="C1395">
        <f>IF(A1395="","",'Ratings'!C93)</f>
        <v/>
      </c>
      <c r="D1395">
        <f>IF(A1395="","",'Ratings'!D93)</f>
        <v/>
      </c>
      <c r="E1395">
        <f>IF(AND('Ratings'!A93&lt;&gt;"",'Ratings'!F5&lt;&gt;""),'Ratings'!F5,"")</f>
        <v/>
      </c>
      <c r="F1395">
        <f>IF(OR(A1395="",'Ratings'!F93=""),"",'Ratings'!F93)</f>
        <v/>
      </c>
      <c r="G1395">
        <f>IF(A1395="","",'Employees'!D11)</f>
        <v/>
      </c>
    </row>
    <row r="1396">
      <c r="A1396">
        <f>IF(AND('Ratings'!A93&lt;&gt;"",'Ratings'!G5&lt;&gt;""),'Ratings'!A93,"")</f>
        <v/>
      </c>
      <c r="B1396">
        <f>IF(A1396="","",'Employees'!C11)</f>
        <v/>
      </c>
      <c r="C1396">
        <f>IF(A1396="","",'Ratings'!C93)</f>
        <v/>
      </c>
      <c r="D1396">
        <f>IF(A1396="","",'Ratings'!D93)</f>
        <v/>
      </c>
      <c r="E1396">
        <f>IF(AND('Ratings'!A93&lt;&gt;"",'Ratings'!G5&lt;&gt;""),'Ratings'!G5,"")</f>
        <v/>
      </c>
      <c r="F1396">
        <f>IF(OR(A1396="",'Ratings'!G93=""),"",'Ratings'!G93)</f>
        <v/>
      </c>
      <c r="G1396">
        <f>IF(A1396="","",'Employees'!D11)</f>
        <v/>
      </c>
    </row>
    <row r="1397">
      <c r="A1397">
        <f>IF(AND('Ratings'!A93&lt;&gt;"",'Ratings'!H5&lt;&gt;""),'Ratings'!A93,"")</f>
        <v/>
      </c>
      <c r="B1397">
        <f>IF(A1397="","",'Employees'!C11)</f>
        <v/>
      </c>
      <c r="C1397">
        <f>IF(A1397="","",'Ratings'!C93)</f>
        <v/>
      </c>
      <c r="D1397">
        <f>IF(A1397="","",'Ratings'!D93)</f>
        <v/>
      </c>
      <c r="E1397">
        <f>IF(AND('Ratings'!A93&lt;&gt;"",'Ratings'!H5&lt;&gt;""),'Ratings'!H5,"")</f>
        <v/>
      </c>
      <c r="F1397">
        <f>IF(OR(A1397="",'Ratings'!H93=""),"",'Ratings'!H93)</f>
        <v/>
      </c>
      <c r="G1397">
        <f>IF(A1397="","",'Employees'!D11)</f>
        <v/>
      </c>
    </row>
    <row r="1398">
      <c r="A1398">
        <f>IF(AND('Ratings'!A93&lt;&gt;"",'Ratings'!I5&lt;&gt;""),'Ratings'!A93,"")</f>
        <v/>
      </c>
      <c r="B1398">
        <f>IF(A1398="","",'Employees'!C11)</f>
        <v/>
      </c>
      <c r="C1398">
        <f>IF(A1398="","",'Ratings'!C93)</f>
        <v/>
      </c>
      <c r="D1398">
        <f>IF(A1398="","",'Ratings'!D93)</f>
        <v/>
      </c>
      <c r="E1398">
        <f>IF(AND('Ratings'!A93&lt;&gt;"",'Ratings'!I5&lt;&gt;""),'Ratings'!I5,"")</f>
        <v/>
      </c>
      <c r="F1398">
        <f>IF(OR(A1398="",'Ratings'!I93=""),"",'Ratings'!I93)</f>
        <v/>
      </c>
      <c r="G1398">
        <f>IF(A1398="","",'Employees'!D11)</f>
        <v/>
      </c>
    </row>
    <row r="1399">
      <c r="A1399">
        <f>IF(AND('Ratings'!A93&lt;&gt;"",'Ratings'!J5&lt;&gt;""),'Ratings'!A93,"")</f>
        <v/>
      </c>
      <c r="B1399">
        <f>IF(A1399="","",'Employees'!C11)</f>
        <v/>
      </c>
      <c r="C1399">
        <f>IF(A1399="","",'Ratings'!C93)</f>
        <v/>
      </c>
      <c r="D1399">
        <f>IF(A1399="","",'Ratings'!D93)</f>
        <v/>
      </c>
      <c r="E1399">
        <f>IF(AND('Ratings'!A93&lt;&gt;"",'Ratings'!J5&lt;&gt;""),'Ratings'!J5,"")</f>
        <v/>
      </c>
      <c r="F1399">
        <f>IF(OR(A1399="",'Ratings'!J93=""),"",'Ratings'!J93)</f>
        <v/>
      </c>
      <c r="G1399">
        <f>IF(A1399="","",'Employees'!D11)</f>
        <v/>
      </c>
    </row>
    <row r="1400">
      <c r="A1400">
        <f>IF(AND('Ratings'!A93&lt;&gt;"",'Ratings'!K5&lt;&gt;""),'Ratings'!A93,"")</f>
        <v/>
      </c>
      <c r="B1400">
        <f>IF(A1400="","",'Employees'!C11)</f>
        <v/>
      </c>
      <c r="C1400">
        <f>IF(A1400="","",'Ratings'!C93)</f>
        <v/>
      </c>
      <c r="D1400">
        <f>IF(A1400="","",'Ratings'!D93)</f>
        <v/>
      </c>
      <c r="E1400">
        <f>IF(AND('Ratings'!A93&lt;&gt;"",'Ratings'!K5&lt;&gt;""),'Ratings'!K5,"")</f>
        <v/>
      </c>
      <c r="F1400">
        <f>IF(OR(A1400="",'Ratings'!K93=""),"",'Ratings'!K93)</f>
        <v/>
      </c>
      <c r="G1400">
        <f>IF(A1400="","",'Employees'!D11)</f>
        <v/>
      </c>
    </row>
    <row r="1401">
      <c r="A1401">
        <f>IF(AND('Ratings'!A93&lt;&gt;"",'Ratings'!L5&lt;&gt;""),'Ratings'!A93,"")</f>
        <v/>
      </c>
      <c r="B1401">
        <f>IF(A1401="","",'Employees'!C11)</f>
        <v/>
      </c>
      <c r="C1401">
        <f>IF(A1401="","",'Ratings'!C93)</f>
        <v/>
      </c>
      <c r="D1401">
        <f>IF(A1401="","",'Ratings'!D93)</f>
        <v/>
      </c>
      <c r="E1401">
        <f>IF(AND('Ratings'!A93&lt;&gt;"",'Ratings'!L5&lt;&gt;""),'Ratings'!L5,"")</f>
        <v/>
      </c>
      <c r="F1401">
        <f>IF(OR(A1401="",'Ratings'!L93=""),"",'Ratings'!L93)</f>
        <v/>
      </c>
      <c r="G1401">
        <f>IF(A1401="","",'Employees'!D11)</f>
        <v/>
      </c>
    </row>
    <row r="1402">
      <c r="A1402">
        <f>IF(AND('Ratings'!A93&lt;&gt;"",'Ratings'!M5&lt;&gt;""),'Ratings'!A93,"")</f>
        <v/>
      </c>
      <c r="B1402">
        <f>IF(A1402="","",'Employees'!C11)</f>
        <v/>
      </c>
      <c r="C1402">
        <f>IF(A1402="","",'Ratings'!C93)</f>
        <v/>
      </c>
      <c r="D1402">
        <f>IF(A1402="","",'Ratings'!D93)</f>
        <v/>
      </c>
      <c r="E1402">
        <f>IF(AND('Ratings'!A93&lt;&gt;"",'Ratings'!M5&lt;&gt;""),'Ratings'!M5,"")</f>
        <v/>
      </c>
      <c r="F1402">
        <f>IF(OR(A1402="",'Ratings'!M93=""),"",'Ratings'!M93)</f>
        <v/>
      </c>
      <c r="G1402">
        <f>IF(A1402="","",'Employees'!D11)</f>
        <v/>
      </c>
    </row>
    <row r="1403">
      <c r="A1403">
        <f>IF(AND('Ratings'!A93&lt;&gt;"",'Ratings'!N5&lt;&gt;""),'Ratings'!A93,"")</f>
        <v/>
      </c>
      <c r="B1403">
        <f>IF(A1403="","",'Employees'!C11)</f>
        <v/>
      </c>
      <c r="C1403">
        <f>IF(A1403="","",'Ratings'!C93)</f>
        <v/>
      </c>
      <c r="D1403">
        <f>IF(A1403="","",'Ratings'!D93)</f>
        <v/>
      </c>
      <c r="E1403">
        <f>IF(AND('Ratings'!A93&lt;&gt;"",'Ratings'!N5&lt;&gt;""),'Ratings'!N5,"")</f>
        <v/>
      </c>
      <c r="F1403">
        <f>IF(OR(A1403="",'Ratings'!N93=""),"",'Ratings'!N93)</f>
        <v/>
      </c>
      <c r="G1403">
        <f>IF(A1403="","",'Employees'!D11)</f>
        <v/>
      </c>
    </row>
    <row r="1404">
      <c r="A1404">
        <f>IF(AND('Ratings'!A93&lt;&gt;"",'Ratings'!O5&lt;&gt;""),'Ratings'!A93,"")</f>
        <v/>
      </c>
      <c r="B1404">
        <f>IF(A1404="","",'Employees'!C11)</f>
        <v/>
      </c>
      <c r="C1404">
        <f>IF(A1404="","",'Ratings'!C93)</f>
        <v/>
      </c>
      <c r="D1404">
        <f>IF(A1404="","",'Ratings'!D93)</f>
        <v/>
      </c>
      <c r="E1404">
        <f>IF(AND('Ratings'!A93&lt;&gt;"",'Ratings'!O5&lt;&gt;""),'Ratings'!O5,"")</f>
        <v/>
      </c>
      <c r="F1404">
        <f>IF(OR(A1404="",'Ratings'!O93=""),"",'Ratings'!O93)</f>
        <v/>
      </c>
      <c r="G1404">
        <f>IF(A1404="","",'Employees'!D11)</f>
        <v/>
      </c>
    </row>
    <row r="1405">
      <c r="A1405">
        <f>IF(AND('Ratings'!A93&lt;&gt;"",'Ratings'!P5&lt;&gt;""),'Ratings'!A93,"")</f>
        <v/>
      </c>
      <c r="B1405">
        <f>IF(A1405="","",'Employees'!C11)</f>
        <v/>
      </c>
      <c r="C1405">
        <f>IF(A1405="","",'Ratings'!C93)</f>
        <v/>
      </c>
      <c r="D1405">
        <f>IF(A1405="","",'Ratings'!D93)</f>
        <v/>
      </c>
      <c r="E1405">
        <f>IF(AND('Ratings'!A93&lt;&gt;"",'Ratings'!P5&lt;&gt;""),'Ratings'!P5,"")</f>
        <v/>
      </c>
      <c r="F1405">
        <f>IF(OR(A1405="",'Ratings'!P93=""),"",'Ratings'!P93)</f>
        <v/>
      </c>
      <c r="G1405">
        <f>IF(A1405="","",'Employees'!D11)</f>
        <v/>
      </c>
    </row>
    <row r="1406">
      <c r="A1406">
        <f>IF(AND('Ratings'!A93&lt;&gt;"",'Ratings'!Q5&lt;&gt;""),'Ratings'!A93,"")</f>
        <v/>
      </c>
      <c r="B1406">
        <f>IF(A1406="","",'Employees'!C11)</f>
        <v/>
      </c>
      <c r="C1406">
        <f>IF(A1406="","",'Ratings'!C93)</f>
        <v/>
      </c>
      <c r="D1406">
        <f>IF(A1406="","",'Ratings'!D93)</f>
        <v/>
      </c>
      <c r="E1406">
        <f>IF(AND('Ratings'!A93&lt;&gt;"",'Ratings'!Q5&lt;&gt;""),'Ratings'!Q5,"")</f>
        <v/>
      </c>
      <c r="F1406">
        <f>IF(OR(A1406="",'Ratings'!Q93=""),"",'Ratings'!Q93)</f>
        <v/>
      </c>
      <c r="G1406">
        <f>IF(A1406="","",'Employees'!D11)</f>
        <v/>
      </c>
    </row>
    <row r="1407">
      <c r="A1407">
        <f>IF(AND('Ratings'!A93&lt;&gt;"",'Ratings'!R5&lt;&gt;""),'Ratings'!A93,"")</f>
        <v/>
      </c>
      <c r="B1407">
        <f>IF(A1407="","",'Employees'!C11)</f>
        <v/>
      </c>
      <c r="C1407">
        <f>IF(A1407="","",'Ratings'!C93)</f>
        <v/>
      </c>
      <c r="D1407">
        <f>IF(A1407="","",'Ratings'!D93)</f>
        <v/>
      </c>
      <c r="E1407">
        <f>IF(AND('Ratings'!A93&lt;&gt;"",'Ratings'!R5&lt;&gt;""),'Ratings'!R5,"")</f>
        <v/>
      </c>
      <c r="F1407">
        <f>IF(OR(A1407="",'Ratings'!R93=""),"",'Ratings'!R93)</f>
        <v/>
      </c>
      <c r="G1407">
        <f>IF(A1407="","",'Employees'!D11)</f>
        <v/>
      </c>
    </row>
    <row r="1408">
      <c r="A1408">
        <f>IF(AND('Ratings'!A93&lt;&gt;"",'Ratings'!S5&lt;&gt;""),'Ratings'!A93,"")</f>
        <v/>
      </c>
      <c r="B1408">
        <f>IF(A1408="","",'Employees'!C11)</f>
        <v/>
      </c>
      <c r="C1408">
        <f>IF(A1408="","",'Ratings'!C93)</f>
        <v/>
      </c>
      <c r="D1408">
        <f>IF(A1408="","",'Ratings'!D93)</f>
        <v/>
      </c>
      <c r="E1408">
        <f>IF(AND('Ratings'!A93&lt;&gt;"",'Ratings'!S5&lt;&gt;""),'Ratings'!S5,"")</f>
        <v/>
      </c>
      <c r="F1408">
        <f>IF(OR(A1408="",'Ratings'!S93=""),"",'Ratings'!S93)</f>
        <v/>
      </c>
      <c r="G1408">
        <f>IF(A1408="","",'Employees'!D11)</f>
        <v/>
      </c>
    </row>
    <row r="1409">
      <c r="A1409">
        <f>IF(AND('Ratings'!A93&lt;&gt;"",'Ratings'!T5&lt;&gt;""),'Ratings'!A93,"")</f>
        <v/>
      </c>
      <c r="B1409">
        <f>IF(A1409="","",'Employees'!C11)</f>
        <v/>
      </c>
      <c r="C1409">
        <f>IF(A1409="","",'Ratings'!C93)</f>
        <v/>
      </c>
      <c r="D1409">
        <f>IF(A1409="","",'Ratings'!D93)</f>
        <v/>
      </c>
      <c r="E1409">
        <f>IF(AND('Ratings'!A93&lt;&gt;"",'Ratings'!T5&lt;&gt;""),'Ratings'!T5,"")</f>
        <v/>
      </c>
      <c r="F1409">
        <f>IF(OR(A1409="",'Ratings'!T93=""),"",'Ratings'!T93)</f>
        <v/>
      </c>
      <c r="G1409">
        <f>IF(A1409="","",'Employees'!D11)</f>
        <v/>
      </c>
    </row>
    <row r="1410">
      <c r="A1410">
        <f>IF(AND('Ratings'!A94&lt;&gt;"",'Ratings'!E5&lt;&gt;""),'Ratings'!A94,"")</f>
        <v/>
      </c>
      <c r="B1410">
        <f>IF(A1410="","",'Employees'!C11)</f>
        <v/>
      </c>
      <c r="C1410">
        <f>IF(A1410="","",'Ratings'!C94)</f>
        <v/>
      </c>
      <c r="D1410">
        <f>IF(A1410="","",'Ratings'!D94)</f>
        <v/>
      </c>
      <c r="E1410">
        <f>IF(AND('Ratings'!A94&lt;&gt;"",'Ratings'!E5&lt;&gt;""),'Ratings'!E5,"")</f>
        <v/>
      </c>
      <c r="F1410">
        <f>IF(OR(A1410="",'Ratings'!E94=""),"",'Ratings'!E94)</f>
        <v/>
      </c>
      <c r="G1410">
        <f>IF(A1410="","",'Employees'!D11)</f>
        <v/>
      </c>
    </row>
    <row r="1411">
      <c r="A1411">
        <f>IF(AND('Ratings'!A94&lt;&gt;"",'Ratings'!F5&lt;&gt;""),'Ratings'!A94,"")</f>
        <v/>
      </c>
      <c r="B1411">
        <f>IF(A1411="","",'Employees'!C11)</f>
        <v/>
      </c>
      <c r="C1411">
        <f>IF(A1411="","",'Ratings'!C94)</f>
        <v/>
      </c>
      <c r="D1411">
        <f>IF(A1411="","",'Ratings'!D94)</f>
        <v/>
      </c>
      <c r="E1411">
        <f>IF(AND('Ratings'!A94&lt;&gt;"",'Ratings'!F5&lt;&gt;""),'Ratings'!F5,"")</f>
        <v/>
      </c>
      <c r="F1411">
        <f>IF(OR(A1411="",'Ratings'!F94=""),"",'Ratings'!F94)</f>
        <v/>
      </c>
      <c r="G1411">
        <f>IF(A1411="","",'Employees'!D11)</f>
        <v/>
      </c>
    </row>
    <row r="1412">
      <c r="A1412">
        <f>IF(AND('Ratings'!A94&lt;&gt;"",'Ratings'!G5&lt;&gt;""),'Ratings'!A94,"")</f>
        <v/>
      </c>
      <c r="B1412">
        <f>IF(A1412="","",'Employees'!C11)</f>
        <v/>
      </c>
      <c r="C1412">
        <f>IF(A1412="","",'Ratings'!C94)</f>
        <v/>
      </c>
      <c r="D1412">
        <f>IF(A1412="","",'Ratings'!D94)</f>
        <v/>
      </c>
      <c r="E1412">
        <f>IF(AND('Ratings'!A94&lt;&gt;"",'Ratings'!G5&lt;&gt;""),'Ratings'!G5,"")</f>
        <v/>
      </c>
      <c r="F1412">
        <f>IF(OR(A1412="",'Ratings'!G94=""),"",'Ratings'!G94)</f>
        <v/>
      </c>
      <c r="G1412">
        <f>IF(A1412="","",'Employees'!D11)</f>
        <v/>
      </c>
    </row>
    <row r="1413">
      <c r="A1413">
        <f>IF(AND('Ratings'!A94&lt;&gt;"",'Ratings'!H5&lt;&gt;""),'Ratings'!A94,"")</f>
        <v/>
      </c>
      <c r="B1413">
        <f>IF(A1413="","",'Employees'!C11)</f>
        <v/>
      </c>
      <c r="C1413">
        <f>IF(A1413="","",'Ratings'!C94)</f>
        <v/>
      </c>
      <c r="D1413">
        <f>IF(A1413="","",'Ratings'!D94)</f>
        <v/>
      </c>
      <c r="E1413">
        <f>IF(AND('Ratings'!A94&lt;&gt;"",'Ratings'!H5&lt;&gt;""),'Ratings'!H5,"")</f>
        <v/>
      </c>
      <c r="F1413">
        <f>IF(OR(A1413="",'Ratings'!H94=""),"",'Ratings'!H94)</f>
        <v/>
      </c>
      <c r="G1413">
        <f>IF(A1413="","",'Employees'!D11)</f>
        <v/>
      </c>
    </row>
    <row r="1414">
      <c r="A1414">
        <f>IF(AND('Ratings'!A94&lt;&gt;"",'Ratings'!I5&lt;&gt;""),'Ratings'!A94,"")</f>
        <v/>
      </c>
      <c r="B1414">
        <f>IF(A1414="","",'Employees'!C11)</f>
        <v/>
      </c>
      <c r="C1414">
        <f>IF(A1414="","",'Ratings'!C94)</f>
        <v/>
      </c>
      <c r="D1414">
        <f>IF(A1414="","",'Ratings'!D94)</f>
        <v/>
      </c>
      <c r="E1414">
        <f>IF(AND('Ratings'!A94&lt;&gt;"",'Ratings'!I5&lt;&gt;""),'Ratings'!I5,"")</f>
        <v/>
      </c>
      <c r="F1414">
        <f>IF(OR(A1414="",'Ratings'!I94=""),"",'Ratings'!I94)</f>
        <v/>
      </c>
      <c r="G1414">
        <f>IF(A1414="","",'Employees'!D11)</f>
        <v/>
      </c>
    </row>
    <row r="1415">
      <c r="A1415">
        <f>IF(AND('Ratings'!A94&lt;&gt;"",'Ratings'!J5&lt;&gt;""),'Ratings'!A94,"")</f>
        <v/>
      </c>
      <c r="B1415">
        <f>IF(A1415="","",'Employees'!C11)</f>
        <v/>
      </c>
      <c r="C1415">
        <f>IF(A1415="","",'Ratings'!C94)</f>
        <v/>
      </c>
      <c r="D1415">
        <f>IF(A1415="","",'Ratings'!D94)</f>
        <v/>
      </c>
      <c r="E1415">
        <f>IF(AND('Ratings'!A94&lt;&gt;"",'Ratings'!J5&lt;&gt;""),'Ratings'!J5,"")</f>
        <v/>
      </c>
      <c r="F1415">
        <f>IF(OR(A1415="",'Ratings'!J94=""),"",'Ratings'!J94)</f>
        <v/>
      </c>
      <c r="G1415">
        <f>IF(A1415="","",'Employees'!D11)</f>
        <v/>
      </c>
    </row>
    <row r="1416">
      <c r="A1416">
        <f>IF(AND('Ratings'!A94&lt;&gt;"",'Ratings'!K5&lt;&gt;""),'Ratings'!A94,"")</f>
        <v/>
      </c>
      <c r="B1416">
        <f>IF(A1416="","",'Employees'!C11)</f>
        <v/>
      </c>
      <c r="C1416">
        <f>IF(A1416="","",'Ratings'!C94)</f>
        <v/>
      </c>
      <c r="D1416">
        <f>IF(A1416="","",'Ratings'!D94)</f>
        <v/>
      </c>
      <c r="E1416">
        <f>IF(AND('Ratings'!A94&lt;&gt;"",'Ratings'!K5&lt;&gt;""),'Ratings'!K5,"")</f>
        <v/>
      </c>
      <c r="F1416">
        <f>IF(OR(A1416="",'Ratings'!K94=""),"",'Ratings'!K94)</f>
        <v/>
      </c>
      <c r="G1416">
        <f>IF(A1416="","",'Employees'!D11)</f>
        <v/>
      </c>
    </row>
    <row r="1417">
      <c r="A1417">
        <f>IF(AND('Ratings'!A94&lt;&gt;"",'Ratings'!L5&lt;&gt;""),'Ratings'!A94,"")</f>
        <v/>
      </c>
      <c r="B1417">
        <f>IF(A1417="","",'Employees'!C11)</f>
        <v/>
      </c>
      <c r="C1417">
        <f>IF(A1417="","",'Ratings'!C94)</f>
        <v/>
      </c>
      <c r="D1417">
        <f>IF(A1417="","",'Ratings'!D94)</f>
        <v/>
      </c>
      <c r="E1417">
        <f>IF(AND('Ratings'!A94&lt;&gt;"",'Ratings'!L5&lt;&gt;""),'Ratings'!L5,"")</f>
        <v/>
      </c>
      <c r="F1417">
        <f>IF(OR(A1417="",'Ratings'!L94=""),"",'Ratings'!L94)</f>
        <v/>
      </c>
      <c r="G1417">
        <f>IF(A1417="","",'Employees'!D11)</f>
        <v/>
      </c>
    </row>
    <row r="1418">
      <c r="A1418">
        <f>IF(AND('Ratings'!A94&lt;&gt;"",'Ratings'!M5&lt;&gt;""),'Ratings'!A94,"")</f>
        <v/>
      </c>
      <c r="B1418">
        <f>IF(A1418="","",'Employees'!C11)</f>
        <v/>
      </c>
      <c r="C1418">
        <f>IF(A1418="","",'Ratings'!C94)</f>
        <v/>
      </c>
      <c r="D1418">
        <f>IF(A1418="","",'Ratings'!D94)</f>
        <v/>
      </c>
      <c r="E1418">
        <f>IF(AND('Ratings'!A94&lt;&gt;"",'Ratings'!M5&lt;&gt;""),'Ratings'!M5,"")</f>
        <v/>
      </c>
      <c r="F1418">
        <f>IF(OR(A1418="",'Ratings'!M94=""),"",'Ratings'!M94)</f>
        <v/>
      </c>
      <c r="G1418">
        <f>IF(A1418="","",'Employees'!D11)</f>
        <v/>
      </c>
    </row>
    <row r="1419">
      <c r="A1419">
        <f>IF(AND('Ratings'!A94&lt;&gt;"",'Ratings'!N5&lt;&gt;""),'Ratings'!A94,"")</f>
        <v/>
      </c>
      <c r="B1419">
        <f>IF(A1419="","",'Employees'!C11)</f>
        <v/>
      </c>
      <c r="C1419">
        <f>IF(A1419="","",'Ratings'!C94)</f>
        <v/>
      </c>
      <c r="D1419">
        <f>IF(A1419="","",'Ratings'!D94)</f>
        <v/>
      </c>
      <c r="E1419">
        <f>IF(AND('Ratings'!A94&lt;&gt;"",'Ratings'!N5&lt;&gt;""),'Ratings'!N5,"")</f>
        <v/>
      </c>
      <c r="F1419">
        <f>IF(OR(A1419="",'Ratings'!N94=""),"",'Ratings'!N94)</f>
        <v/>
      </c>
      <c r="G1419">
        <f>IF(A1419="","",'Employees'!D11)</f>
        <v/>
      </c>
    </row>
    <row r="1420">
      <c r="A1420">
        <f>IF(AND('Ratings'!A94&lt;&gt;"",'Ratings'!O5&lt;&gt;""),'Ratings'!A94,"")</f>
        <v/>
      </c>
      <c r="B1420">
        <f>IF(A1420="","",'Employees'!C11)</f>
        <v/>
      </c>
      <c r="C1420">
        <f>IF(A1420="","",'Ratings'!C94)</f>
        <v/>
      </c>
      <c r="D1420">
        <f>IF(A1420="","",'Ratings'!D94)</f>
        <v/>
      </c>
      <c r="E1420">
        <f>IF(AND('Ratings'!A94&lt;&gt;"",'Ratings'!O5&lt;&gt;""),'Ratings'!O5,"")</f>
        <v/>
      </c>
      <c r="F1420">
        <f>IF(OR(A1420="",'Ratings'!O94=""),"",'Ratings'!O94)</f>
        <v/>
      </c>
      <c r="G1420">
        <f>IF(A1420="","",'Employees'!D11)</f>
        <v/>
      </c>
    </row>
    <row r="1421">
      <c r="A1421">
        <f>IF(AND('Ratings'!A94&lt;&gt;"",'Ratings'!P5&lt;&gt;""),'Ratings'!A94,"")</f>
        <v/>
      </c>
      <c r="B1421">
        <f>IF(A1421="","",'Employees'!C11)</f>
        <v/>
      </c>
      <c r="C1421">
        <f>IF(A1421="","",'Ratings'!C94)</f>
        <v/>
      </c>
      <c r="D1421">
        <f>IF(A1421="","",'Ratings'!D94)</f>
        <v/>
      </c>
      <c r="E1421">
        <f>IF(AND('Ratings'!A94&lt;&gt;"",'Ratings'!P5&lt;&gt;""),'Ratings'!P5,"")</f>
        <v/>
      </c>
      <c r="F1421">
        <f>IF(OR(A1421="",'Ratings'!P94=""),"",'Ratings'!P94)</f>
        <v/>
      </c>
      <c r="G1421">
        <f>IF(A1421="","",'Employees'!D11)</f>
        <v/>
      </c>
    </row>
    <row r="1422">
      <c r="A1422">
        <f>IF(AND('Ratings'!A94&lt;&gt;"",'Ratings'!Q5&lt;&gt;""),'Ratings'!A94,"")</f>
        <v/>
      </c>
      <c r="B1422">
        <f>IF(A1422="","",'Employees'!C11)</f>
        <v/>
      </c>
      <c r="C1422">
        <f>IF(A1422="","",'Ratings'!C94)</f>
        <v/>
      </c>
      <c r="D1422">
        <f>IF(A1422="","",'Ratings'!D94)</f>
        <v/>
      </c>
      <c r="E1422">
        <f>IF(AND('Ratings'!A94&lt;&gt;"",'Ratings'!Q5&lt;&gt;""),'Ratings'!Q5,"")</f>
        <v/>
      </c>
      <c r="F1422">
        <f>IF(OR(A1422="",'Ratings'!Q94=""),"",'Ratings'!Q94)</f>
        <v/>
      </c>
      <c r="G1422">
        <f>IF(A1422="","",'Employees'!D11)</f>
        <v/>
      </c>
    </row>
    <row r="1423">
      <c r="A1423">
        <f>IF(AND('Ratings'!A94&lt;&gt;"",'Ratings'!R5&lt;&gt;""),'Ratings'!A94,"")</f>
        <v/>
      </c>
      <c r="B1423">
        <f>IF(A1423="","",'Employees'!C11)</f>
        <v/>
      </c>
      <c r="C1423">
        <f>IF(A1423="","",'Ratings'!C94)</f>
        <v/>
      </c>
      <c r="D1423">
        <f>IF(A1423="","",'Ratings'!D94)</f>
        <v/>
      </c>
      <c r="E1423">
        <f>IF(AND('Ratings'!A94&lt;&gt;"",'Ratings'!R5&lt;&gt;""),'Ratings'!R5,"")</f>
        <v/>
      </c>
      <c r="F1423">
        <f>IF(OR(A1423="",'Ratings'!R94=""),"",'Ratings'!R94)</f>
        <v/>
      </c>
      <c r="G1423">
        <f>IF(A1423="","",'Employees'!D11)</f>
        <v/>
      </c>
    </row>
    <row r="1424">
      <c r="A1424">
        <f>IF(AND('Ratings'!A94&lt;&gt;"",'Ratings'!S5&lt;&gt;""),'Ratings'!A94,"")</f>
        <v/>
      </c>
      <c r="B1424">
        <f>IF(A1424="","",'Employees'!C11)</f>
        <v/>
      </c>
      <c r="C1424">
        <f>IF(A1424="","",'Ratings'!C94)</f>
        <v/>
      </c>
      <c r="D1424">
        <f>IF(A1424="","",'Ratings'!D94)</f>
        <v/>
      </c>
      <c r="E1424">
        <f>IF(AND('Ratings'!A94&lt;&gt;"",'Ratings'!S5&lt;&gt;""),'Ratings'!S5,"")</f>
        <v/>
      </c>
      <c r="F1424">
        <f>IF(OR(A1424="",'Ratings'!S94=""),"",'Ratings'!S94)</f>
        <v/>
      </c>
      <c r="G1424">
        <f>IF(A1424="","",'Employees'!D11)</f>
        <v/>
      </c>
    </row>
    <row r="1425">
      <c r="A1425">
        <f>IF(AND('Ratings'!A94&lt;&gt;"",'Ratings'!T5&lt;&gt;""),'Ratings'!A94,"")</f>
        <v/>
      </c>
      <c r="B1425">
        <f>IF(A1425="","",'Employees'!C11)</f>
        <v/>
      </c>
      <c r="C1425">
        <f>IF(A1425="","",'Ratings'!C94)</f>
        <v/>
      </c>
      <c r="D1425">
        <f>IF(A1425="","",'Ratings'!D94)</f>
        <v/>
      </c>
      <c r="E1425">
        <f>IF(AND('Ratings'!A94&lt;&gt;"",'Ratings'!T5&lt;&gt;""),'Ratings'!T5,"")</f>
        <v/>
      </c>
      <c r="F1425">
        <f>IF(OR(A1425="",'Ratings'!T94=""),"",'Ratings'!T94)</f>
        <v/>
      </c>
      <c r="G1425">
        <f>IF(A1425="","",'Employees'!D11)</f>
        <v/>
      </c>
    </row>
    <row r="1426">
      <c r="A1426">
        <f>IF(AND('Ratings'!A95&lt;&gt;"",'Ratings'!E5&lt;&gt;""),'Ratings'!A95,"")</f>
        <v/>
      </c>
      <c r="B1426">
        <f>IF(A1426="","",'Employees'!C11)</f>
        <v/>
      </c>
      <c r="C1426">
        <f>IF(A1426="","",'Ratings'!C95)</f>
        <v/>
      </c>
      <c r="D1426">
        <f>IF(A1426="","",'Ratings'!D95)</f>
        <v/>
      </c>
      <c r="E1426">
        <f>IF(AND('Ratings'!A95&lt;&gt;"",'Ratings'!E5&lt;&gt;""),'Ratings'!E5,"")</f>
        <v/>
      </c>
      <c r="F1426">
        <f>IF(OR(A1426="",'Ratings'!E95=""),"",'Ratings'!E95)</f>
        <v/>
      </c>
      <c r="G1426">
        <f>IF(A1426="","",'Employees'!D11)</f>
        <v/>
      </c>
    </row>
    <row r="1427">
      <c r="A1427">
        <f>IF(AND('Ratings'!A95&lt;&gt;"",'Ratings'!F5&lt;&gt;""),'Ratings'!A95,"")</f>
        <v/>
      </c>
      <c r="B1427">
        <f>IF(A1427="","",'Employees'!C11)</f>
        <v/>
      </c>
      <c r="C1427">
        <f>IF(A1427="","",'Ratings'!C95)</f>
        <v/>
      </c>
      <c r="D1427">
        <f>IF(A1427="","",'Ratings'!D95)</f>
        <v/>
      </c>
      <c r="E1427">
        <f>IF(AND('Ratings'!A95&lt;&gt;"",'Ratings'!F5&lt;&gt;""),'Ratings'!F5,"")</f>
        <v/>
      </c>
      <c r="F1427">
        <f>IF(OR(A1427="",'Ratings'!F95=""),"",'Ratings'!F95)</f>
        <v/>
      </c>
      <c r="G1427">
        <f>IF(A1427="","",'Employees'!D11)</f>
        <v/>
      </c>
    </row>
    <row r="1428">
      <c r="A1428">
        <f>IF(AND('Ratings'!A95&lt;&gt;"",'Ratings'!G5&lt;&gt;""),'Ratings'!A95,"")</f>
        <v/>
      </c>
      <c r="B1428">
        <f>IF(A1428="","",'Employees'!C11)</f>
        <v/>
      </c>
      <c r="C1428">
        <f>IF(A1428="","",'Ratings'!C95)</f>
        <v/>
      </c>
      <c r="D1428">
        <f>IF(A1428="","",'Ratings'!D95)</f>
        <v/>
      </c>
      <c r="E1428">
        <f>IF(AND('Ratings'!A95&lt;&gt;"",'Ratings'!G5&lt;&gt;""),'Ratings'!G5,"")</f>
        <v/>
      </c>
      <c r="F1428">
        <f>IF(OR(A1428="",'Ratings'!G95=""),"",'Ratings'!G95)</f>
        <v/>
      </c>
      <c r="G1428">
        <f>IF(A1428="","",'Employees'!D11)</f>
        <v/>
      </c>
    </row>
    <row r="1429">
      <c r="A1429">
        <f>IF(AND('Ratings'!A95&lt;&gt;"",'Ratings'!H5&lt;&gt;""),'Ratings'!A95,"")</f>
        <v/>
      </c>
      <c r="B1429">
        <f>IF(A1429="","",'Employees'!C11)</f>
        <v/>
      </c>
      <c r="C1429">
        <f>IF(A1429="","",'Ratings'!C95)</f>
        <v/>
      </c>
      <c r="D1429">
        <f>IF(A1429="","",'Ratings'!D95)</f>
        <v/>
      </c>
      <c r="E1429">
        <f>IF(AND('Ratings'!A95&lt;&gt;"",'Ratings'!H5&lt;&gt;""),'Ratings'!H5,"")</f>
        <v/>
      </c>
      <c r="F1429">
        <f>IF(OR(A1429="",'Ratings'!H95=""),"",'Ratings'!H95)</f>
        <v/>
      </c>
      <c r="G1429">
        <f>IF(A1429="","",'Employees'!D11)</f>
        <v/>
      </c>
    </row>
    <row r="1430">
      <c r="A1430">
        <f>IF(AND('Ratings'!A95&lt;&gt;"",'Ratings'!I5&lt;&gt;""),'Ratings'!A95,"")</f>
        <v/>
      </c>
      <c r="B1430">
        <f>IF(A1430="","",'Employees'!C11)</f>
        <v/>
      </c>
      <c r="C1430">
        <f>IF(A1430="","",'Ratings'!C95)</f>
        <v/>
      </c>
      <c r="D1430">
        <f>IF(A1430="","",'Ratings'!D95)</f>
        <v/>
      </c>
      <c r="E1430">
        <f>IF(AND('Ratings'!A95&lt;&gt;"",'Ratings'!I5&lt;&gt;""),'Ratings'!I5,"")</f>
        <v/>
      </c>
      <c r="F1430">
        <f>IF(OR(A1430="",'Ratings'!I95=""),"",'Ratings'!I95)</f>
        <v/>
      </c>
      <c r="G1430">
        <f>IF(A1430="","",'Employees'!D11)</f>
        <v/>
      </c>
    </row>
    <row r="1431">
      <c r="A1431">
        <f>IF(AND('Ratings'!A95&lt;&gt;"",'Ratings'!J5&lt;&gt;""),'Ratings'!A95,"")</f>
        <v/>
      </c>
      <c r="B1431">
        <f>IF(A1431="","",'Employees'!C11)</f>
        <v/>
      </c>
      <c r="C1431">
        <f>IF(A1431="","",'Ratings'!C95)</f>
        <v/>
      </c>
      <c r="D1431">
        <f>IF(A1431="","",'Ratings'!D95)</f>
        <v/>
      </c>
      <c r="E1431">
        <f>IF(AND('Ratings'!A95&lt;&gt;"",'Ratings'!J5&lt;&gt;""),'Ratings'!J5,"")</f>
        <v/>
      </c>
      <c r="F1431">
        <f>IF(OR(A1431="",'Ratings'!J95=""),"",'Ratings'!J95)</f>
        <v/>
      </c>
      <c r="G1431">
        <f>IF(A1431="","",'Employees'!D11)</f>
        <v/>
      </c>
    </row>
    <row r="1432">
      <c r="A1432">
        <f>IF(AND('Ratings'!A95&lt;&gt;"",'Ratings'!K5&lt;&gt;""),'Ratings'!A95,"")</f>
        <v/>
      </c>
      <c r="B1432">
        <f>IF(A1432="","",'Employees'!C11)</f>
        <v/>
      </c>
      <c r="C1432">
        <f>IF(A1432="","",'Ratings'!C95)</f>
        <v/>
      </c>
      <c r="D1432">
        <f>IF(A1432="","",'Ratings'!D95)</f>
        <v/>
      </c>
      <c r="E1432">
        <f>IF(AND('Ratings'!A95&lt;&gt;"",'Ratings'!K5&lt;&gt;""),'Ratings'!K5,"")</f>
        <v/>
      </c>
      <c r="F1432">
        <f>IF(OR(A1432="",'Ratings'!K95=""),"",'Ratings'!K95)</f>
        <v/>
      </c>
      <c r="G1432">
        <f>IF(A1432="","",'Employees'!D11)</f>
        <v/>
      </c>
    </row>
    <row r="1433">
      <c r="A1433">
        <f>IF(AND('Ratings'!A95&lt;&gt;"",'Ratings'!L5&lt;&gt;""),'Ratings'!A95,"")</f>
        <v/>
      </c>
      <c r="B1433">
        <f>IF(A1433="","",'Employees'!C11)</f>
        <v/>
      </c>
      <c r="C1433">
        <f>IF(A1433="","",'Ratings'!C95)</f>
        <v/>
      </c>
      <c r="D1433">
        <f>IF(A1433="","",'Ratings'!D95)</f>
        <v/>
      </c>
      <c r="E1433">
        <f>IF(AND('Ratings'!A95&lt;&gt;"",'Ratings'!L5&lt;&gt;""),'Ratings'!L5,"")</f>
        <v/>
      </c>
      <c r="F1433">
        <f>IF(OR(A1433="",'Ratings'!L95=""),"",'Ratings'!L95)</f>
        <v/>
      </c>
      <c r="G1433">
        <f>IF(A1433="","",'Employees'!D11)</f>
        <v/>
      </c>
    </row>
    <row r="1434">
      <c r="A1434">
        <f>IF(AND('Ratings'!A95&lt;&gt;"",'Ratings'!M5&lt;&gt;""),'Ratings'!A95,"")</f>
        <v/>
      </c>
      <c r="B1434">
        <f>IF(A1434="","",'Employees'!C11)</f>
        <v/>
      </c>
      <c r="C1434">
        <f>IF(A1434="","",'Ratings'!C95)</f>
        <v/>
      </c>
      <c r="D1434">
        <f>IF(A1434="","",'Ratings'!D95)</f>
        <v/>
      </c>
      <c r="E1434">
        <f>IF(AND('Ratings'!A95&lt;&gt;"",'Ratings'!M5&lt;&gt;""),'Ratings'!M5,"")</f>
        <v/>
      </c>
      <c r="F1434">
        <f>IF(OR(A1434="",'Ratings'!M95=""),"",'Ratings'!M95)</f>
        <v/>
      </c>
      <c r="G1434">
        <f>IF(A1434="","",'Employees'!D11)</f>
        <v/>
      </c>
    </row>
    <row r="1435">
      <c r="A1435">
        <f>IF(AND('Ratings'!A95&lt;&gt;"",'Ratings'!N5&lt;&gt;""),'Ratings'!A95,"")</f>
        <v/>
      </c>
      <c r="B1435">
        <f>IF(A1435="","",'Employees'!C11)</f>
        <v/>
      </c>
      <c r="C1435">
        <f>IF(A1435="","",'Ratings'!C95)</f>
        <v/>
      </c>
      <c r="D1435">
        <f>IF(A1435="","",'Ratings'!D95)</f>
        <v/>
      </c>
      <c r="E1435">
        <f>IF(AND('Ratings'!A95&lt;&gt;"",'Ratings'!N5&lt;&gt;""),'Ratings'!N5,"")</f>
        <v/>
      </c>
      <c r="F1435">
        <f>IF(OR(A1435="",'Ratings'!N95=""),"",'Ratings'!N95)</f>
        <v/>
      </c>
      <c r="G1435">
        <f>IF(A1435="","",'Employees'!D11)</f>
        <v/>
      </c>
    </row>
    <row r="1436">
      <c r="A1436">
        <f>IF(AND('Ratings'!A95&lt;&gt;"",'Ratings'!O5&lt;&gt;""),'Ratings'!A95,"")</f>
        <v/>
      </c>
      <c r="B1436">
        <f>IF(A1436="","",'Employees'!C11)</f>
        <v/>
      </c>
      <c r="C1436">
        <f>IF(A1436="","",'Ratings'!C95)</f>
        <v/>
      </c>
      <c r="D1436">
        <f>IF(A1436="","",'Ratings'!D95)</f>
        <v/>
      </c>
      <c r="E1436">
        <f>IF(AND('Ratings'!A95&lt;&gt;"",'Ratings'!O5&lt;&gt;""),'Ratings'!O5,"")</f>
        <v/>
      </c>
      <c r="F1436">
        <f>IF(OR(A1436="",'Ratings'!O95=""),"",'Ratings'!O95)</f>
        <v/>
      </c>
      <c r="G1436">
        <f>IF(A1436="","",'Employees'!D11)</f>
        <v/>
      </c>
    </row>
    <row r="1437">
      <c r="A1437">
        <f>IF(AND('Ratings'!A95&lt;&gt;"",'Ratings'!P5&lt;&gt;""),'Ratings'!A95,"")</f>
        <v/>
      </c>
      <c r="B1437">
        <f>IF(A1437="","",'Employees'!C11)</f>
        <v/>
      </c>
      <c r="C1437">
        <f>IF(A1437="","",'Ratings'!C95)</f>
        <v/>
      </c>
      <c r="D1437">
        <f>IF(A1437="","",'Ratings'!D95)</f>
        <v/>
      </c>
      <c r="E1437">
        <f>IF(AND('Ratings'!A95&lt;&gt;"",'Ratings'!P5&lt;&gt;""),'Ratings'!P5,"")</f>
        <v/>
      </c>
      <c r="F1437">
        <f>IF(OR(A1437="",'Ratings'!P95=""),"",'Ratings'!P95)</f>
        <v/>
      </c>
      <c r="G1437">
        <f>IF(A1437="","",'Employees'!D11)</f>
        <v/>
      </c>
    </row>
    <row r="1438">
      <c r="A1438">
        <f>IF(AND('Ratings'!A95&lt;&gt;"",'Ratings'!Q5&lt;&gt;""),'Ratings'!A95,"")</f>
        <v/>
      </c>
      <c r="B1438">
        <f>IF(A1438="","",'Employees'!C11)</f>
        <v/>
      </c>
      <c r="C1438">
        <f>IF(A1438="","",'Ratings'!C95)</f>
        <v/>
      </c>
      <c r="D1438">
        <f>IF(A1438="","",'Ratings'!D95)</f>
        <v/>
      </c>
      <c r="E1438">
        <f>IF(AND('Ratings'!A95&lt;&gt;"",'Ratings'!Q5&lt;&gt;""),'Ratings'!Q5,"")</f>
        <v/>
      </c>
      <c r="F1438">
        <f>IF(OR(A1438="",'Ratings'!Q95=""),"",'Ratings'!Q95)</f>
        <v/>
      </c>
      <c r="G1438">
        <f>IF(A1438="","",'Employees'!D11)</f>
        <v/>
      </c>
    </row>
    <row r="1439">
      <c r="A1439">
        <f>IF(AND('Ratings'!A95&lt;&gt;"",'Ratings'!R5&lt;&gt;""),'Ratings'!A95,"")</f>
        <v/>
      </c>
      <c r="B1439">
        <f>IF(A1439="","",'Employees'!C11)</f>
        <v/>
      </c>
      <c r="C1439">
        <f>IF(A1439="","",'Ratings'!C95)</f>
        <v/>
      </c>
      <c r="D1439">
        <f>IF(A1439="","",'Ratings'!D95)</f>
        <v/>
      </c>
      <c r="E1439">
        <f>IF(AND('Ratings'!A95&lt;&gt;"",'Ratings'!R5&lt;&gt;""),'Ratings'!R5,"")</f>
        <v/>
      </c>
      <c r="F1439">
        <f>IF(OR(A1439="",'Ratings'!R95=""),"",'Ratings'!R95)</f>
        <v/>
      </c>
      <c r="G1439">
        <f>IF(A1439="","",'Employees'!D11)</f>
        <v/>
      </c>
    </row>
    <row r="1440">
      <c r="A1440">
        <f>IF(AND('Ratings'!A95&lt;&gt;"",'Ratings'!S5&lt;&gt;""),'Ratings'!A95,"")</f>
        <v/>
      </c>
      <c r="B1440">
        <f>IF(A1440="","",'Employees'!C11)</f>
        <v/>
      </c>
      <c r="C1440">
        <f>IF(A1440="","",'Ratings'!C95)</f>
        <v/>
      </c>
      <c r="D1440">
        <f>IF(A1440="","",'Ratings'!D95)</f>
        <v/>
      </c>
      <c r="E1440">
        <f>IF(AND('Ratings'!A95&lt;&gt;"",'Ratings'!S5&lt;&gt;""),'Ratings'!S5,"")</f>
        <v/>
      </c>
      <c r="F1440">
        <f>IF(OR(A1440="",'Ratings'!S95=""),"",'Ratings'!S95)</f>
        <v/>
      </c>
      <c r="G1440">
        <f>IF(A1440="","",'Employees'!D11)</f>
        <v/>
      </c>
    </row>
    <row r="1441">
      <c r="A1441">
        <f>IF(AND('Ratings'!A95&lt;&gt;"",'Ratings'!T5&lt;&gt;""),'Ratings'!A95,"")</f>
        <v/>
      </c>
      <c r="B1441">
        <f>IF(A1441="","",'Employees'!C11)</f>
        <v/>
      </c>
      <c r="C1441">
        <f>IF(A1441="","",'Ratings'!C95)</f>
        <v/>
      </c>
      <c r="D1441">
        <f>IF(A1441="","",'Ratings'!D95)</f>
        <v/>
      </c>
      <c r="E1441">
        <f>IF(AND('Ratings'!A95&lt;&gt;"",'Ratings'!T5&lt;&gt;""),'Ratings'!T5,"")</f>
        <v/>
      </c>
      <c r="F1441">
        <f>IF(OR(A1441="",'Ratings'!T95=""),"",'Ratings'!T95)</f>
        <v/>
      </c>
      <c r="G1441">
        <f>IF(A1441="","",'Employees'!D11)</f>
        <v/>
      </c>
    </row>
    <row r="1442">
      <c r="A1442">
        <f>IF(AND('Ratings'!A96&lt;&gt;"",'Ratings'!E5&lt;&gt;""),'Ratings'!A96,"")</f>
        <v/>
      </c>
      <c r="B1442">
        <f>IF(A1442="","",'Employees'!C11)</f>
        <v/>
      </c>
      <c r="C1442">
        <f>IF(A1442="","",'Ratings'!C96)</f>
        <v/>
      </c>
      <c r="D1442">
        <f>IF(A1442="","",'Ratings'!D96)</f>
        <v/>
      </c>
      <c r="E1442">
        <f>IF(AND('Ratings'!A96&lt;&gt;"",'Ratings'!E5&lt;&gt;""),'Ratings'!E5,"")</f>
        <v/>
      </c>
      <c r="F1442">
        <f>IF(OR(A1442="",'Ratings'!E96=""),"",'Ratings'!E96)</f>
        <v/>
      </c>
      <c r="G1442">
        <f>IF(A1442="","",'Employees'!D11)</f>
        <v/>
      </c>
    </row>
    <row r="1443">
      <c r="A1443">
        <f>IF(AND('Ratings'!A96&lt;&gt;"",'Ratings'!F5&lt;&gt;""),'Ratings'!A96,"")</f>
        <v/>
      </c>
      <c r="B1443">
        <f>IF(A1443="","",'Employees'!C11)</f>
        <v/>
      </c>
      <c r="C1443">
        <f>IF(A1443="","",'Ratings'!C96)</f>
        <v/>
      </c>
      <c r="D1443">
        <f>IF(A1443="","",'Ratings'!D96)</f>
        <v/>
      </c>
      <c r="E1443">
        <f>IF(AND('Ratings'!A96&lt;&gt;"",'Ratings'!F5&lt;&gt;""),'Ratings'!F5,"")</f>
        <v/>
      </c>
      <c r="F1443">
        <f>IF(OR(A1443="",'Ratings'!F96=""),"",'Ratings'!F96)</f>
        <v/>
      </c>
      <c r="G1443">
        <f>IF(A1443="","",'Employees'!D11)</f>
        <v/>
      </c>
    </row>
    <row r="1444">
      <c r="A1444">
        <f>IF(AND('Ratings'!A96&lt;&gt;"",'Ratings'!G5&lt;&gt;""),'Ratings'!A96,"")</f>
        <v/>
      </c>
      <c r="B1444">
        <f>IF(A1444="","",'Employees'!C11)</f>
        <v/>
      </c>
      <c r="C1444">
        <f>IF(A1444="","",'Ratings'!C96)</f>
        <v/>
      </c>
      <c r="D1444">
        <f>IF(A1444="","",'Ratings'!D96)</f>
        <v/>
      </c>
      <c r="E1444">
        <f>IF(AND('Ratings'!A96&lt;&gt;"",'Ratings'!G5&lt;&gt;""),'Ratings'!G5,"")</f>
        <v/>
      </c>
      <c r="F1444">
        <f>IF(OR(A1444="",'Ratings'!G96=""),"",'Ratings'!G96)</f>
        <v/>
      </c>
      <c r="G1444">
        <f>IF(A1444="","",'Employees'!D11)</f>
        <v/>
      </c>
    </row>
    <row r="1445">
      <c r="A1445">
        <f>IF(AND('Ratings'!A96&lt;&gt;"",'Ratings'!H5&lt;&gt;""),'Ratings'!A96,"")</f>
        <v/>
      </c>
      <c r="B1445">
        <f>IF(A1445="","",'Employees'!C11)</f>
        <v/>
      </c>
      <c r="C1445">
        <f>IF(A1445="","",'Ratings'!C96)</f>
        <v/>
      </c>
      <c r="D1445">
        <f>IF(A1445="","",'Ratings'!D96)</f>
        <v/>
      </c>
      <c r="E1445">
        <f>IF(AND('Ratings'!A96&lt;&gt;"",'Ratings'!H5&lt;&gt;""),'Ratings'!H5,"")</f>
        <v/>
      </c>
      <c r="F1445">
        <f>IF(OR(A1445="",'Ratings'!H96=""),"",'Ratings'!H96)</f>
        <v/>
      </c>
      <c r="G1445">
        <f>IF(A1445="","",'Employees'!D11)</f>
        <v/>
      </c>
    </row>
    <row r="1446">
      <c r="A1446">
        <f>IF(AND('Ratings'!A96&lt;&gt;"",'Ratings'!I5&lt;&gt;""),'Ratings'!A96,"")</f>
        <v/>
      </c>
      <c r="B1446">
        <f>IF(A1446="","",'Employees'!C11)</f>
        <v/>
      </c>
      <c r="C1446">
        <f>IF(A1446="","",'Ratings'!C96)</f>
        <v/>
      </c>
      <c r="D1446">
        <f>IF(A1446="","",'Ratings'!D96)</f>
        <v/>
      </c>
      <c r="E1446">
        <f>IF(AND('Ratings'!A96&lt;&gt;"",'Ratings'!I5&lt;&gt;""),'Ratings'!I5,"")</f>
        <v/>
      </c>
      <c r="F1446">
        <f>IF(OR(A1446="",'Ratings'!I96=""),"",'Ratings'!I96)</f>
        <v/>
      </c>
      <c r="G1446">
        <f>IF(A1446="","",'Employees'!D11)</f>
        <v/>
      </c>
    </row>
    <row r="1447">
      <c r="A1447">
        <f>IF(AND('Ratings'!A96&lt;&gt;"",'Ratings'!J5&lt;&gt;""),'Ratings'!A96,"")</f>
        <v/>
      </c>
      <c r="B1447">
        <f>IF(A1447="","",'Employees'!C11)</f>
        <v/>
      </c>
      <c r="C1447">
        <f>IF(A1447="","",'Ratings'!C96)</f>
        <v/>
      </c>
      <c r="D1447">
        <f>IF(A1447="","",'Ratings'!D96)</f>
        <v/>
      </c>
      <c r="E1447">
        <f>IF(AND('Ratings'!A96&lt;&gt;"",'Ratings'!J5&lt;&gt;""),'Ratings'!J5,"")</f>
        <v/>
      </c>
      <c r="F1447">
        <f>IF(OR(A1447="",'Ratings'!J96=""),"",'Ratings'!J96)</f>
        <v/>
      </c>
      <c r="G1447">
        <f>IF(A1447="","",'Employees'!D11)</f>
        <v/>
      </c>
    </row>
    <row r="1448">
      <c r="A1448">
        <f>IF(AND('Ratings'!A96&lt;&gt;"",'Ratings'!K5&lt;&gt;""),'Ratings'!A96,"")</f>
        <v/>
      </c>
      <c r="B1448">
        <f>IF(A1448="","",'Employees'!C11)</f>
        <v/>
      </c>
      <c r="C1448">
        <f>IF(A1448="","",'Ratings'!C96)</f>
        <v/>
      </c>
      <c r="D1448">
        <f>IF(A1448="","",'Ratings'!D96)</f>
        <v/>
      </c>
      <c r="E1448">
        <f>IF(AND('Ratings'!A96&lt;&gt;"",'Ratings'!K5&lt;&gt;""),'Ratings'!K5,"")</f>
        <v/>
      </c>
      <c r="F1448">
        <f>IF(OR(A1448="",'Ratings'!K96=""),"",'Ratings'!K96)</f>
        <v/>
      </c>
      <c r="G1448">
        <f>IF(A1448="","",'Employees'!D11)</f>
        <v/>
      </c>
    </row>
    <row r="1449">
      <c r="A1449">
        <f>IF(AND('Ratings'!A96&lt;&gt;"",'Ratings'!L5&lt;&gt;""),'Ratings'!A96,"")</f>
        <v/>
      </c>
      <c r="B1449">
        <f>IF(A1449="","",'Employees'!C11)</f>
        <v/>
      </c>
      <c r="C1449">
        <f>IF(A1449="","",'Ratings'!C96)</f>
        <v/>
      </c>
      <c r="D1449">
        <f>IF(A1449="","",'Ratings'!D96)</f>
        <v/>
      </c>
      <c r="E1449">
        <f>IF(AND('Ratings'!A96&lt;&gt;"",'Ratings'!L5&lt;&gt;""),'Ratings'!L5,"")</f>
        <v/>
      </c>
      <c r="F1449">
        <f>IF(OR(A1449="",'Ratings'!L96=""),"",'Ratings'!L96)</f>
        <v/>
      </c>
      <c r="G1449">
        <f>IF(A1449="","",'Employees'!D11)</f>
        <v/>
      </c>
    </row>
    <row r="1450">
      <c r="A1450">
        <f>IF(AND('Ratings'!A96&lt;&gt;"",'Ratings'!M5&lt;&gt;""),'Ratings'!A96,"")</f>
        <v/>
      </c>
      <c r="B1450">
        <f>IF(A1450="","",'Employees'!C11)</f>
        <v/>
      </c>
      <c r="C1450">
        <f>IF(A1450="","",'Ratings'!C96)</f>
        <v/>
      </c>
      <c r="D1450">
        <f>IF(A1450="","",'Ratings'!D96)</f>
        <v/>
      </c>
      <c r="E1450">
        <f>IF(AND('Ratings'!A96&lt;&gt;"",'Ratings'!M5&lt;&gt;""),'Ratings'!M5,"")</f>
        <v/>
      </c>
      <c r="F1450">
        <f>IF(OR(A1450="",'Ratings'!M96=""),"",'Ratings'!M96)</f>
        <v/>
      </c>
      <c r="G1450">
        <f>IF(A1450="","",'Employees'!D11)</f>
        <v/>
      </c>
    </row>
    <row r="1451">
      <c r="A1451">
        <f>IF(AND('Ratings'!A96&lt;&gt;"",'Ratings'!N5&lt;&gt;""),'Ratings'!A96,"")</f>
        <v/>
      </c>
      <c r="B1451">
        <f>IF(A1451="","",'Employees'!C11)</f>
        <v/>
      </c>
      <c r="C1451">
        <f>IF(A1451="","",'Ratings'!C96)</f>
        <v/>
      </c>
      <c r="D1451">
        <f>IF(A1451="","",'Ratings'!D96)</f>
        <v/>
      </c>
      <c r="E1451">
        <f>IF(AND('Ratings'!A96&lt;&gt;"",'Ratings'!N5&lt;&gt;""),'Ratings'!N5,"")</f>
        <v/>
      </c>
      <c r="F1451">
        <f>IF(OR(A1451="",'Ratings'!N96=""),"",'Ratings'!N96)</f>
        <v/>
      </c>
      <c r="G1451">
        <f>IF(A1451="","",'Employees'!D11)</f>
        <v/>
      </c>
    </row>
    <row r="1452">
      <c r="A1452">
        <f>IF(AND('Ratings'!A96&lt;&gt;"",'Ratings'!O5&lt;&gt;""),'Ratings'!A96,"")</f>
        <v/>
      </c>
      <c r="B1452">
        <f>IF(A1452="","",'Employees'!C11)</f>
        <v/>
      </c>
      <c r="C1452">
        <f>IF(A1452="","",'Ratings'!C96)</f>
        <v/>
      </c>
      <c r="D1452">
        <f>IF(A1452="","",'Ratings'!D96)</f>
        <v/>
      </c>
      <c r="E1452">
        <f>IF(AND('Ratings'!A96&lt;&gt;"",'Ratings'!O5&lt;&gt;""),'Ratings'!O5,"")</f>
        <v/>
      </c>
      <c r="F1452">
        <f>IF(OR(A1452="",'Ratings'!O96=""),"",'Ratings'!O96)</f>
        <v/>
      </c>
      <c r="G1452">
        <f>IF(A1452="","",'Employees'!D11)</f>
        <v/>
      </c>
    </row>
    <row r="1453">
      <c r="A1453">
        <f>IF(AND('Ratings'!A96&lt;&gt;"",'Ratings'!P5&lt;&gt;""),'Ratings'!A96,"")</f>
        <v/>
      </c>
      <c r="B1453">
        <f>IF(A1453="","",'Employees'!C11)</f>
        <v/>
      </c>
      <c r="C1453">
        <f>IF(A1453="","",'Ratings'!C96)</f>
        <v/>
      </c>
      <c r="D1453">
        <f>IF(A1453="","",'Ratings'!D96)</f>
        <v/>
      </c>
      <c r="E1453">
        <f>IF(AND('Ratings'!A96&lt;&gt;"",'Ratings'!P5&lt;&gt;""),'Ratings'!P5,"")</f>
        <v/>
      </c>
      <c r="F1453">
        <f>IF(OR(A1453="",'Ratings'!P96=""),"",'Ratings'!P96)</f>
        <v/>
      </c>
      <c r="G1453">
        <f>IF(A1453="","",'Employees'!D11)</f>
        <v/>
      </c>
    </row>
    <row r="1454">
      <c r="A1454">
        <f>IF(AND('Ratings'!A96&lt;&gt;"",'Ratings'!Q5&lt;&gt;""),'Ratings'!A96,"")</f>
        <v/>
      </c>
      <c r="B1454">
        <f>IF(A1454="","",'Employees'!C11)</f>
        <v/>
      </c>
      <c r="C1454">
        <f>IF(A1454="","",'Ratings'!C96)</f>
        <v/>
      </c>
      <c r="D1454">
        <f>IF(A1454="","",'Ratings'!D96)</f>
        <v/>
      </c>
      <c r="E1454">
        <f>IF(AND('Ratings'!A96&lt;&gt;"",'Ratings'!Q5&lt;&gt;""),'Ratings'!Q5,"")</f>
        <v/>
      </c>
      <c r="F1454">
        <f>IF(OR(A1454="",'Ratings'!Q96=""),"",'Ratings'!Q96)</f>
        <v/>
      </c>
      <c r="G1454">
        <f>IF(A1454="","",'Employees'!D11)</f>
        <v/>
      </c>
    </row>
    <row r="1455">
      <c r="A1455">
        <f>IF(AND('Ratings'!A96&lt;&gt;"",'Ratings'!R5&lt;&gt;""),'Ratings'!A96,"")</f>
        <v/>
      </c>
      <c r="B1455">
        <f>IF(A1455="","",'Employees'!C11)</f>
        <v/>
      </c>
      <c r="C1455">
        <f>IF(A1455="","",'Ratings'!C96)</f>
        <v/>
      </c>
      <c r="D1455">
        <f>IF(A1455="","",'Ratings'!D96)</f>
        <v/>
      </c>
      <c r="E1455">
        <f>IF(AND('Ratings'!A96&lt;&gt;"",'Ratings'!R5&lt;&gt;""),'Ratings'!R5,"")</f>
        <v/>
      </c>
      <c r="F1455">
        <f>IF(OR(A1455="",'Ratings'!R96=""),"",'Ratings'!R96)</f>
        <v/>
      </c>
      <c r="G1455">
        <f>IF(A1455="","",'Employees'!D11)</f>
        <v/>
      </c>
    </row>
    <row r="1456">
      <c r="A1456">
        <f>IF(AND('Ratings'!A96&lt;&gt;"",'Ratings'!S5&lt;&gt;""),'Ratings'!A96,"")</f>
        <v/>
      </c>
      <c r="B1456">
        <f>IF(A1456="","",'Employees'!C11)</f>
        <v/>
      </c>
      <c r="C1456">
        <f>IF(A1456="","",'Ratings'!C96)</f>
        <v/>
      </c>
      <c r="D1456">
        <f>IF(A1456="","",'Ratings'!D96)</f>
        <v/>
      </c>
      <c r="E1456">
        <f>IF(AND('Ratings'!A96&lt;&gt;"",'Ratings'!S5&lt;&gt;""),'Ratings'!S5,"")</f>
        <v/>
      </c>
      <c r="F1456">
        <f>IF(OR(A1456="",'Ratings'!S96=""),"",'Ratings'!S96)</f>
        <v/>
      </c>
      <c r="G1456">
        <f>IF(A1456="","",'Employees'!D11)</f>
        <v/>
      </c>
    </row>
    <row r="1457">
      <c r="A1457">
        <f>IF(AND('Ratings'!A96&lt;&gt;"",'Ratings'!T5&lt;&gt;""),'Ratings'!A96,"")</f>
        <v/>
      </c>
      <c r="B1457">
        <f>IF(A1457="","",'Employees'!C11)</f>
        <v/>
      </c>
      <c r="C1457">
        <f>IF(A1457="","",'Ratings'!C96)</f>
        <v/>
      </c>
      <c r="D1457">
        <f>IF(A1457="","",'Ratings'!D96)</f>
        <v/>
      </c>
      <c r="E1457">
        <f>IF(AND('Ratings'!A96&lt;&gt;"",'Ratings'!T5&lt;&gt;""),'Ratings'!T5,"")</f>
        <v/>
      </c>
      <c r="F1457">
        <f>IF(OR(A1457="",'Ratings'!T96=""),"",'Ratings'!T96)</f>
        <v/>
      </c>
      <c r="G1457">
        <f>IF(A1457="","",'Employees'!D11)</f>
        <v/>
      </c>
    </row>
    <row r="1458">
      <c r="A1458">
        <f>IF(AND('Ratings'!A97&lt;&gt;"",'Ratings'!E5&lt;&gt;""),'Ratings'!A97,"")</f>
        <v/>
      </c>
      <c r="B1458">
        <f>IF(A1458="","",'Employees'!C11)</f>
        <v/>
      </c>
      <c r="C1458">
        <f>IF(A1458="","",'Ratings'!C97)</f>
        <v/>
      </c>
      <c r="D1458">
        <f>IF(A1458="","",'Ratings'!D97)</f>
        <v/>
      </c>
      <c r="E1458">
        <f>IF(AND('Ratings'!A97&lt;&gt;"",'Ratings'!E5&lt;&gt;""),'Ratings'!E5,"")</f>
        <v/>
      </c>
      <c r="F1458">
        <f>IF(OR(A1458="",'Ratings'!E97=""),"",'Ratings'!E97)</f>
        <v/>
      </c>
      <c r="G1458">
        <f>IF(A1458="","",'Employees'!D11)</f>
        <v/>
      </c>
    </row>
    <row r="1459">
      <c r="A1459">
        <f>IF(AND('Ratings'!A97&lt;&gt;"",'Ratings'!F5&lt;&gt;""),'Ratings'!A97,"")</f>
        <v/>
      </c>
      <c r="B1459">
        <f>IF(A1459="","",'Employees'!C11)</f>
        <v/>
      </c>
      <c r="C1459">
        <f>IF(A1459="","",'Ratings'!C97)</f>
        <v/>
      </c>
      <c r="D1459">
        <f>IF(A1459="","",'Ratings'!D97)</f>
        <v/>
      </c>
      <c r="E1459">
        <f>IF(AND('Ratings'!A97&lt;&gt;"",'Ratings'!F5&lt;&gt;""),'Ratings'!F5,"")</f>
        <v/>
      </c>
      <c r="F1459">
        <f>IF(OR(A1459="",'Ratings'!F97=""),"",'Ratings'!F97)</f>
        <v/>
      </c>
      <c r="G1459">
        <f>IF(A1459="","",'Employees'!D11)</f>
        <v/>
      </c>
    </row>
    <row r="1460">
      <c r="A1460">
        <f>IF(AND('Ratings'!A97&lt;&gt;"",'Ratings'!G5&lt;&gt;""),'Ratings'!A97,"")</f>
        <v/>
      </c>
      <c r="B1460">
        <f>IF(A1460="","",'Employees'!C11)</f>
        <v/>
      </c>
      <c r="C1460">
        <f>IF(A1460="","",'Ratings'!C97)</f>
        <v/>
      </c>
      <c r="D1460">
        <f>IF(A1460="","",'Ratings'!D97)</f>
        <v/>
      </c>
      <c r="E1460">
        <f>IF(AND('Ratings'!A97&lt;&gt;"",'Ratings'!G5&lt;&gt;""),'Ratings'!G5,"")</f>
        <v/>
      </c>
      <c r="F1460">
        <f>IF(OR(A1460="",'Ratings'!G97=""),"",'Ratings'!G97)</f>
        <v/>
      </c>
      <c r="G1460">
        <f>IF(A1460="","",'Employees'!D11)</f>
        <v/>
      </c>
    </row>
    <row r="1461">
      <c r="A1461">
        <f>IF(AND('Ratings'!A97&lt;&gt;"",'Ratings'!H5&lt;&gt;""),'Ratings'!A97,"")</f>
        <v/>
      </c>
      <c r="B1461">
        <f>IF(A1461="","",'Employees'!C11)</f>
        <v/>
      </c>
      <c r="C1461">
        <f>IF(A1461="","",'Ratings'!C97)</f>
        <v/>
      </c>
      <c r="D1461">
        <f>IF(A1461="","",'Ratings'!D97)</f>
        <v/>
      </c>
      <c r="E1461">
        <f>IF(AND('Ratings'!A97&lt;&gt;"",'Ratings'!H5&lt;&gt;""),'Ratings'!H5,"")</f>
        <v/>
      </c>
      <c r="F1461">
        <f>IF(OR(A1461="",'Ratings'!H97=""),"",'Ratings'!H97)</f>
        <v/>
      </c>
      <c r="G1461">
        <f>IF(A1461="","",'Employees'!D11)</f>
        <v/>
      </c>
    </row>
    <row r="1462">
      <c r="A1462">
        <f>IF(AND('Ratings'!A97&lt;&gt;"",'Ratings'!I5&lt;&gt;""),'Ratings'!A97,"")</f>
        <v/>
      </c>
      <c r="B1462">
        <f>IF(A1462="","",'Employees'!C11)</f>
        <v/>
      </c>
      <c r="C1462">
        <f>IF(A1462="","",'Ratings'!C97)</f>
        <v/>
      </c>
      <c r="D1462">
        <f>IF(A1462="","",'Ratings'!D97)</f>
        <v/>
      </c>
      <c r="E1462">
        <f>IF(AND('Ratings'!A97&lt;&gt;"",'Ratings'!I5&lt;&gt;""),'Ratings'!I5,"")</f>
        <v/>
      </c>
      <c r="F1462">
        <f>IF(OR(A1462="",'Ratings'!I97=""),"",'Ratings'!I97)</f>
        <v/>
      </c>
      <c r="G1462">
        <f>IF(A1462="","",'Employees'!D11)</f>
        <v/>
      </c>
    </row>
    <row r="1463">
      <c r="A1463">
        <f>IF(AND('Ratings'!A97&lt;&gt;"",'Ratings'!J5&lt;&gt;""),'Ratings'!A97,"")</f>
        <v/>
      </c>
      <c r="B1463">
        <f>IF(A1463="","",'Employees'!C11)</f>
        <v/>
      </c>
      <c r="C1463">
        <f>IF(A1463="","",'Ratings'!C97)</f>
        <v/>
      </c>
      <c r="D1463">
        <f>IF(A1463="","",'Ratings'!D97)</f>
        <v/>
      </c>
      <c r="E1463">
        <f>IF(AND('Ratings'!A97&lt;&gt;"",'Ratings'!J5&lt;&gt;""),'Ratings'!J5,"")</f>
        <v/>
      </c>
      <c r="F1463">
        <f>IF(OR(A1463="",'Ratings'!J97=""),"",'Ratings'!J97)</f>
        <v/>
      </c>
      <c r="G1463">
        <f>IF(A1463="","",'Employees'!D11)</f>
        <v/>
      </c>
    </row>
    <row r="1464">
      <c r="A1464">
        <f>IF(AND('Ratings'!A97&lt;&gt;"",'Ratings'!K5&lt;&gt;""),'Ratings'!A97,"")</f>
        <v/>
      </c>
      <c r="B1464">
        <f>IF(A1464="","",'Employees'!C11)</f>
        <v/>
      </c>
      <c r="C1464">
        <f>IF(A1464="","",'Ratings'!C97)</f>
        <v/>
      </c>
      <c r="D1464">
        <f>IF(A1464="","",'Ratings'!D97)</f>
        <v/>
      </c>
      <c r="E1464">
        <f>IF(AND('Ratings'!A97&lt;&gt;"",'Ratings'!K5&lt;&gt;""),'Ratings'!K5,"")</f>
        <v/>
      </c>
      <c r="F1464">
        <f>IF(OR(A1464="",'Ratings'!K97=""),"",'Ratings'!K97)</f>
        <v/>
      </c>
      <c r="G1464">
        <f>IF(A1464="","",'Employees'!D11)</f>
        <v/>
      </c>
    </row>
    <row r="1465">
      <c r="A1465">
        <f>IF(AND('Ratings'!A97&lt;&gt;"",'Ratings'!L5&lt;&gt;""),'Ratings'!A97,"")</f>
        <v/>
      </c>
      <c r="B1465">
        <f>IF(A1465="","",'Employees'!C11)</f>
        <v/>
      </c>
      <c r="C1465">
        <f>IF(A1465="","",'Ratings'!C97)</f>
        <v/>
      </c>
      <c r="D1465">
        <f>IF(A1465="","",'Ratings'!D97)</f>
        <v/>
      </c>
      <c r="E1465">
        <f>IF(AND('Ratings'!A97&lt;&gt;"",'Ratings'!L5&lt;&gt;""),'Ratings'!L5,"")</f>
        <v/>
      </c>
      <c r="F1465">
        <f>IF(OR(A1465="",'Ratings'!L97=""),"",'Ratings'!L97)</f>
        <v/>
      </c>
      <c r="G1465">
        <f>IF(A1465="","",'Employees'!D11)</f>
        <v/>
      </c>
    </row>
    <row r="1466">
      <c r="A1466">
        <f>IF(AND('Ratings'!A97&lt;&gt;"",'Ratings'!M5&lt;&gt;""),'Ratings'!A97,"")</f>
        <v/>
      </c>
      <c r="B1466">
        <f>IF(A1466="","",'Employees'!C11)</f>
        <v/>
      </c>
      <c r="C1466">
        <f>IF(A1466="","",'Ratings'!C97)</f>
        <v/>
      </c>
      <c r="D1466">
        <f>IF(A1466="","",'Ratings'!D97)</f>
        <v/>
      </c>
      <c r="E1466">
        <f>IF(AND('Ratings'!A97&lt;&gt;"",'Ratings'!M5&lt;&gt;""),'Ratings'!M5,"")</f>
        <v/>
      </c>
      <c r="F1466">
        <f>IF(OR(A1466="",'Ratings'!M97=""),"",'Ratings'!M97)</f>
        <v/>
      </c>
      <c r="G1466">
        <f>IF(A1466="","",'Employees'!D11)</f>
        <v/>
      </c>
    </row>
    <row r="1467">
      <c r="A1467">
        <f>IF(AND('Ratings'!A97&lt;&gt;"",'Ratings'!N5&lt;&gt;""),'Ratings'!A97,"")</f>
        <v/>
      </c>
      <c r="B1467">
        <f>IF(A1467="","",'Employees'!C11)</f>
        <v/>
      </c>
      <c r="C1467">
        <f>IF(A1467="","",'Ratings'!C97)</f>
        <v/>
      </c>
      <c r="D1467">
        <f>IF(A1467="","",'Ratings'!D97)</f>
        <v/>
      </c>
      <c r="E1467">
        <f>IF(AND('Ratings'!A97&lt;&gt;"",'Ratings'!N5&lt;&gt;""),'Ratings'!N5,"")</f>
        <v/>
      </c>
      <c r="F1467">
        <f>IF(OR(A1467="",'Ratings'!N97=""),"",'Ratings'!N97)</f>
        <v/>
      </c>
      <c r="G1467">
        <f>IF(A1467="","",'Employees'!D11)</f>
        <v/>
      </c>
    </row>
    <row r="1468">
      <c r="A1468">
        <f>IF(AND('Ratings'!A97&lt;&gt;"",'Ratings'!O5&lt;&gt;""),'Ratings'!A97,"")</f>
        <v/>
      </c>
      <c r="B1468">
        <f>IF(A1468="","",'Employees'!C11)</f>
        <v/>
      </c>
      <c r="C1468">
        <f>IF(A1468="","",'Ratings'!C97)</f>
        <v/>
      </c>
      <c r="D1468">
        <f>IF(A1468="","",'Ratings'!D97)</f>
        <v/>
      </c>
      <c r="E1468">
        <f>IF(AND('Ratings'!A97&lt;&gt;"",'Ratings'!O5&lt;&gt;""),'Ratings'!O5,"")</f>
        <v/>
      </c>
      <c r="F1468">
        <f>IF(OR(A1468="",'Ratings'!O97=""),"",'Ratings'!O97)</f>
        <v/>
      </c>
      <c r="G1468">
        <f>IF(A1468="","",'Employees'!D11)</f>
        <v/>
      </c>
    </row>
    <row r="1469">
      <c r="A1469">
        <f>IF(AND('Ratings'!A97&lt;&gt;"",'Ratings'!P5&lt;&gt;""),'Ratings'!A97,"")</f>
        <v/>
      </c>
      <c r="B1469">
        <f>IF(A1469="","",'Employees'!C11)</f>
        <v/>
      </c>
      <c r="C1469">
        <f>IF(A1469="","",'Ratings'!C97)</f>
        <v/>
      </c>
      <c r="D1469">
        <f>IF(A1469="","",'Ratings'!D97)</f>
        <v/>
      </c>
      <c r="E1469">
        <f>IF(AND('Ratings'!A97&lt;&gt;"",'Ratings'!P5&lt;&gt;""),'Ratings'!P5,"")</f>
        <v/>
      </c>
      <c r="F1469">
        <f>IF(OR(A1469="",'Ratings'!P97=""),"",'Ratings'!P97)</f>
        <v/>
      </c>
      <c r="G1469">
        <f>IF(A1469="","",'Employees'!D11)</f>
        <v/>
      </c>
    </row>
    <row r="1470">
      <c r="A1470">
        <f>IF(AND('Ratings'!A97&lt;&gt;"",'Ratings'!Q5&lt;&gt;""),'Ratings'!A97,"")</f>
        <v/>
      </c>
      <c r="B1470">
        <f>IF(A1470="","",'Employees'!C11)</f>
        <v/>
      </c>
      <c r="C1470">
        <f>IF(A1470="","",'Ratings'!C97)</f>
        <v/>
      </c>
      <c r="D1470">
        <f>IF(A1470="","",'Ratings'!D97)</f>
        <v/>
      </c>
      <c r="E1470">
        <f>IF(AND('Ratings'!A97&lt;&gt;"",'Ratings'!Q5&lt;&gt;""),'Ratings'!Q5,"")</f>
        <v/>
      </c>
      <c r="F1470">
        <f>IF(OR(A1470="",'Ratings'!Q97=""),"",'Ratings'!Q97)</f>
        <v/>
      </c>
      <c r="G1470">
        <f>IF(A1470="","",'Employees'!D11)</f>
        <v/>
      </c>
    </row>
    <row r="1471">
      <c r="A1471">
        <f>IF(AND('Ratings'!A97&lt;&gt;"",'Ratings'!R5&lt;&gt;""),'Ratings'!A97,"")</f>
        <v/>
      </c>
      <c r="B1471">
        <f>IF(A1471="","",'Employees'!C11)</f>
        <v/>
      </c>
      <c r="C1471">
        <f>IF(A1471="","",'Ratings'!C97)</f>
        <v/>
      </c>
      <c r="D1471">
        <f>IF(A1471="","",'Ratings'!D97)</f>
        <v/>
      </c>
      <c r="E1471">
        <f>IF(AND('Ratings'!A97&lt;&gt;"",'Ratings'!R5&lt;&gt;""),'Ratings'!R5,"")</f>
        <v/>
      </c>
      <c r="F1471">
        <f>IF(OR(A1471="",'Ratings'!R97=""),"",'Ratings'!R97)</f>
        <v/>
      </c>
      <c r="G1471">
        <f>IF(A1471="","",'Employees'!D11)</f>
        <v/>
      </c>
    </row>
    <row r="1472">
      <c r="A1472">
        <f>IF(AND('Ratings'!A97&lt;&gt;"",'Ratings'!S5&lt;&gt;""),'Ratings'!A97,"")</f>
        <v/>
      </c>
      <c r="B1472">
        <f>IF(A1472="","",'Employees'!C11)</f>
        <v/>
      </c>
      <c r="C1472">
        <f>IF(A1472="","",'Ratings'!C97)</f>
        <v/>
      </c>
      <c r="D1472">
        <f>IF(A1472="","",'Ratings'!D97)</f>
        <v/>
      </c>
      <c r="E1472">
        <f>IF(AND('Ratings'!A97&lt;&gt;"",'Ratings'!S5&lt;&gt;""),'Ratings'!S5,"")</f>
        <v/>
      </c>
      <c r="F1472">
        <f>IF(OR(A1472="",'Ratings'!S97=""),"",'Ratings'!S97)</f>
        <v/>
      </c>
      <c r="G1472">
        <f>IF(A1472="","",'Employees'!D11)</f>
        <v/>
      </c>
    </row>
    <row r="1473">
      <c r="A1473">
        <f>IF(AND('Ratings'!A97&lt;&gt;"",'Ratings'!T5&lt;&gt;""),'Ratings'!A97,"")</f>
        <v/>
      </c>
      <c r="B1473">
        <f>IF(A1473="","",'Employees'!C11)</f>
        <v/>
      </c>
      <c r="C1473">
        <f>IF(A1473="","",'Ratings'!C97)</f>
        <v/>
      </c>
      <c r="D1473">
        <f>IF(A1473="","",'Ratings'!D97)</f>
        <v/>
      </c>
      <c r="E1473">
        <f>IF(AND('Ratings'!A97&lt;&gt;"",'Ratings'!T5&lt;&gt;""),'Ratings'!T5,"")</f>
        <v/>
      </c>
      <c r="F1473">
        <f>IF(OR(A1473="",'Ratings'!T97=""),"",'Ratings'!T97)</f>
        <v/>
      </c>
      <c r="G1473">
        <f>IF(A1473="","",'Employees'!D11)</f>
        <v/>
      </c>
    </row>
    <row r="1474">
      <c r="A1474">
        <f>IF(AND('Ratings'!A98&lt;&gt;"",'Ratings'!E5&lt;&gt;""),'Ratings'!A98,"")</f>
        <v/>
      </c>
      <c r="B1474">
        <f>IF(A1474="","",'Employees'!C11)</f>
        <v/>
      </c>
      <c r="C1474">
        <f>IF(A1474="","",'Ratings'!C98)</f>
        <v/>
      </c>
      <c r="D1474">
        <f>IF(A1474="","",'Ratings'!D98)</f>
        <v/>
      </c>
      <c r="E1474">
        <f>IF(AND('Ratings'!A98&lt;&gt;"",'Ratings'!E5&lt;&gt;""),'Ratings'!E5,"")</f>
        <v/>
      </c>
      <c r="F1474">
        <f>IF(OR(A1474="",'Ratings'!E98=""),"",'Ratings'!E98)</f>
        <v/>
      </c>
      <c r="G1474">
        <f>IF(A1474="","",'Employees'!D11)</f>
        <v/>
      </c>
    </row>
    <row r="1475">
      <c r="A1475">
        <f>IF(AND('Ratings'!A98&lt;&gt;"",'Ratings'!F5&lt;&gt;""),'Ratings'!A98,"")</f>
        <v/>
      </c>
      <c r="B1475">
        <f>IF(A1475="","",'Employees'!C11)</f>
        <v/>
      </c>
      <c r="C1475">
        <f>IF(A1475="","",'Ratings'!C98)</f>
        <v/>
      </c>
      <c r="D1475">
        <f>IF(A1475="","",'Ratings'!D98)</f>
        <v/>
      </c>
      <c r="E1475">
        <f>IF(AND('Ratings'!A98&lt;&gt;"",'Ratings'!F5&lt;&gt;""),'Ratings'!F5,"")</f>
        <v/>
      </c>
      <c r="F1475">
        <f>IF(OR(A1475="",'Ratings'!F98=""),"",'Ratings'!F98)</f>
        <v/>
      </c>
      <c r="G1475">
        <f>IF(A1475="","",'Employees'!D11)</f>
        <v/>
      </c>
    </row>
    <row r="1476">
      <c r="A1476">
        <f>IF(AND('Ratings'!A98&lt;&gt;"",'Ratings'!G5&lt;&gt;""),'Ratings'!A98,"")</f>
        <v/>
      </c>
      <c r="B1476">
        <f>IF(A1476="","",'Employees'!C11)</f>
        <v/>
      </c>
      <c r="C1476">
        <f>IF(A1476="","",'Ratings'!C98)</f>
        <v/>
      </c>
      <c r="D1476">
        <f>IF(A1476="","",'Ratings'!D98)</f>
        <v/>
      </c>
      <c r="E1476">
        <f>IF(AND('Ratings'!A98&lt;&gt;"",'Ratings'!G5&lt;&gt;""),'Ratings'!G5,"")</f>
        <v/>
      </c>
      <c r="F1476">
        <f>IF(OR(A1476="",'Ratings'!G98=""),"",'Ratings'!G98)</f>
        <v/>
      </c>
      <c r="G1476">
        <f>IF(A1476="","",'Employees'!D11)</f>
        <v/>
      </c>
    </row>
    <row r="1477">
      <c r="A1477">
        <f>IF(AND('Ratings'!A98&lt;&gt;"",'Ratings'!H5&lt;&gt;""),'Ratings'!A98,"")</f>
        <v/>
      </c>
      <c r="B1477">
        <f>IF(A1477="","",'Employees'!C11)</f>
        <v/>
      </c>
      <c r="C1477">
        <f>IF(A1477="","",'Ratings'!C98)</f>
        <v/>
      </c>
      <c r="D1477">
        <f>IF(A1477="","",'Ratings'!D98)</f>
        <v/>
      </c>
      <c r="E1477">
        <f>IF(AND('Ratings'!A98&lt;&gt;"",'Ratings'!H5&lt;&gt;""),'Ratings'!H5,"")</f>
        <v/>
      </c>
      <c r="F1477">
        <f>IF(OR(A1477="",'Ratings'!H98=""),"",'Ratings'!H98)</f>
        <v/>
      </c>
      <c r="G1477">
        <f>IF(A1477="","",'Employees'!D11)</f>
        <v/>
      </c>
    </row>
    <row r="1478">
      <c r="A1478">
        <f>IF(AND('Ratings'!A98&lt;&gt;"",'Ratings'!I5&lt;&gt;""),'Ratings'!A98,"")</f>
        <v/>
      </c>
      <c r="B1478">
        <f>IF(A1478="","",'Employees'!C11)</f>
        <v/>
      </c>
      <c r="C1478">
        <f>IF(A1478="","",'Ratings'!C98)</f>
        <v/>
      </c>
      <c r="D1478">
        <f>IF(A1478="","",'Ratings'!D98)</f>
        <v/>
      </c>
      <c r="E1478">
        <f>IF(AND('Ratings'!A98&lt;&gt;"",'Ratings'!I5&lt;&gt;""),'Ratings'!I5,"")</f>
        <v/>
      </c>
      <c r="F1478">
        <f>IF(OR(A1478="",'Ratings'!I98=""),"",'Ratings'!I98)</f>
        <v/>
      </c>
      <c r="G1478">
        <f>IF(A1478="","",'Employees'!D11)</f>
        <v/>
      </c>
    </row>
    <row r="1479">
      <c r="A1479">
        <f>IF(AND('Ratings'!A98&lt;&gt;"",'Ratings'!J5&lt;&gt;""),'Ratings'!A98,"")</f>
        <v/>
      </c>
      <c r="B1479">
        <f>IF(A1479="","",'Employees'!C11)</f>
        <v/>
      </c>
      <c r="C1479">
        <f>IF(A1479="","",'Ratings'!C98)</f>
        <v/>
      </c>
      <c r="D1479">
        <f>IF(A1479="","",'Ratings'!D98)</f>
        <v/>
      </c>
      <c r="E1479">
        <f>IF(AND('Ratings'!A98&lt;&gt;"",'Ratings'!J5&lt;&gt;""),'Ratings'!J5,"")</f>
        <v/>
      </c>
      <c r="F1479">
        <f>IF(OR(A1479="",'Ratings'!J98=""),"",'Ratings'!J98)</f>
        <v/>
      </c>
      <c r="G1479">
        <f>IF(A1479="","",'Employees'!D11)</f>
        <v/>
      </c>
    </row>
    <row r="1480">
      <c r="A1480">
        <f>IF(AND('Ratings'!A98&lt;&gt;"",'Ratings'!K5&lt;&gt;""),'Ratings'!A98,"")</f>
        <v/>
      </c>
      <c r="B1480">
        <f>IF(A1480="","",'Employees'!C11)</f>
        <v/>
      </c>
      <c r="C1480">
        <f>IF(A1480="","",'Ratings'!C98)</f>
        <v/>
      </c>
      <c r="D1480">
        <f>IF(A1480="","",'Ratings'!D98)</f>
        <v/>
      </c>
      <c r="E1480">
        <f>IF(AND('Ratings'!A98&lt;&gt;"",'Ratings'!K5&lt;&gt;""),'Ratings'!K5,"")</f>
        <v/>
      </c>
      <c r="F1480">
        <f>IF(OR(A1480="",'Ratings'!K98=""),"",'Ratings'!K98)</f>
        <v/>
      </c>
      <c r="G1480">
        <f>IF(A1480="","",'Employees'!D11)</f>
        <v/>
      </c>
    </row>
    <row r="1481">
      <c r="A1481">
        <f>IF(AND('Ratings'!A98&lt;&gt;"",'Ratings'!L5&lt;&gt;""),'Ratings'!A98,"")</f>
        <v/>
      </c>
      <c r="B1481">
        <f>IF(A1481="","",'Employees'!C11)</f>
        <v/>
      </c>
      <c r="C1481">
        <f>IF(A1481="","",'Ratings'!C98)</f>
        <v/>
      </c>
      <c r="D1481">
        <f>IF(A1481="","",'Ratings'!D98)</f>
        <v/>
      </c>
      <c r="E1481">
        <f>IF(AND('Ratings'!A98&lt;&gt;"",'Ratings'!L5&lt;&gt;""),'Ratings'!L5,"")</f>
        <v/>
      </c>
      <c r="F1481">
        <f>IF(OR(A1481="",'Ratings'!L98=""),"",'Ratings'!L98)</f>
        <v/>
      </c>
      <c r="G1481">
        <f>IF(A1481="","",'Employees'!D11)</f>
        <v/>
      </c>
    </row>
    <row r="1482">
      <c r="A1482">
        <f>IF(AND('Ratings'!A98&lt;&gt;"",'Ratings'!M5&lt;&gt;""),'Ratings'!A98,"")</f>
        <v/>
      </c>
      <c r="B1482">
        <f>IF(A1482="","",'Employees'!C11)</f>
        <v/>
      </c>
      <c r="C1482">
        <f>IF(A1482="","",'Ratings'!C98)</f>
        <v/>
      </c>
      <c r="D1482">
        <f>IF(A1482="","",'Ratings'!D98)</f>
        <v/>
      </c>
      <c r="E1482">
        <f>IF(AND('Ratings'!A98&lt;&gt;"",'Ratings'!M5&lt;&gt;""),'Ratings'!M5,"")</f>
        <v/>
      </c>
      <c r="F1482">
        <f>IF(OR(A1482="",'Ratings'!M98=""),"",'Ratings'!M98)</f>
        <v/>
      </c>
      <c r="G1482">
        <f>IF(A1482="","",'Employees'!D11)</f>
        <v/>
      </c>
    </row>
    <row r="1483">
      <c r="A1483">
        <f>IF(AND('Ratings'!A98&lt;&gt;"",'Ratings'!N5&lt;&gt;""),'Ratings'!A98,"")</f>
        <v/>
      </c>
      <c r="B1483">
        <f>IF(A1483="","",'Employees'!C11)</f>
        <v/>
      </c>
      <c r="C1483">
        <f>IF(A1483="","",'Ratings'!C98)</f>
        <v/>
      </c>
      <c r="D1483">
        <f>IF(A1483="","",'Ratings'!D98)</f>
        <v/>
      </c>
      <c r="E1483">
        <f>IF(AND('Ratings'!A98&lt;&gt;"",'Ratings'!N5&lt;&gt;""),'Ratings'!N5,"")</f>
        <v/>
      </c>
      <c r="F1483">
        <f>IF(OR(A1483="",'Ratings'!N98=""),"",'Ratings'!N98)</f>
        <v/>
      </c>
      <c r="G1483">
        <f>IF(A1483="","",'Employees'!D11)</f>
        <v/>
      </c>
    </row>
    <row r="1484">
      <c r="A1484">
        <f>IF(AND('Ratings'!A98&lt;&gt;"",'Ratings'!O5&lt;&gt;""),'Ratings'!A98,"")</f>
        <v/>
      </c>
      <c r="B1484">
        <f>IF(A1484="","",'Employees'!C11)</f>
        <v/>
      </c>
      <c r="C1484">
        <f>IF(A1484="","",'Ratings'!C98)</f>
        <v/>
      </c>
      <c r="D1484">
        <f>IF(A1484="","",'Ratings'!D98)</f>
        <v/>
      </c>
      <c r="E1484">
        <f>IF(AND('Ratings'!A98&lt;&gt;"",'Ratings'!O5&lt;&gt;""),'Ratings'!O5,"")</f>
        <v/>
      </c>
      <c r="F1484">
        <f>IF(OR(A1484="",'Ratings'!O98=""),"",'Ratings'!O98)</f>
        <v/>
      </c>
      <c r="G1484">
        <f>IF(A1484="","",'Employees'!D11)</f>
        <v/>
      </c>
    </row>
    <row r="1485">
      <c r="A1485">
        <f>IF(AND('Ratings'!A98&lt;&gt;"",'Ratings'!P5&lt;&gt;""),'Ratings'!A98,"")</f>
        <v/>
      </c>
      <c r="B1485">
        <f>IF(A1485="","",'Employees'!C11)</f>
        <v/>
      </c>
      <c r="C1485">
        <f>IF(A1485="","",'Ratings'!C98)</f>
        <v/>
      </c>
      <c r="D1485">
        <f>IF(A1485="","",'Ratings'!D98)</f>
        <v/>
      </c>
      <c r="E1485">
        <f>IF(AND('Ratings'!A98&lt;&gt;"",'Ratings'!P5&lt;&gt;""),'Ratings'!P5,"")</f>
        <v/>
      </c>
      <c r="F1485">
        <f>IF(OR(A1485="",'Ratings'!P98=""),"",'Ratings'!P98)</f>
        <v/>
      </c>
      <c r="G1485">
        <f>IF(A1485="","",'Employees'!D11)</f>
        <v/>
      </c>
    </row>
    <row r="1486">
      <c r="A1486">
        <f>IF(AND('Ratings'!A98&lt;&gt;"",'Ratings'!Q5&lt;&gt;""),'Ratings'!A98,"")</f>
        <v/>
      </c>
      <c r="B1486">
        <f>IF(A1486="","",'Employees'!C11)</f>
        <v/>
      </c>
      <c r="C1486">
        <f>IF(A1486="","",'Ratings'!C98)</f>
        <v/>
      </c>
      <c r="D1486">
        <f>IF(A1486="","",'Ratings'!D98)</f>
        <v/>
      </c>
      <c r="E1486">
        <f>IF(AND('Ratings'!A98&lt;&gt;"",'Ratings'!Q5&lt;&gt;""),'Ratings'!Q5,"")</f>
        <v/>
      </c>
      <c r="F1486">
        <f>IF(OR(A1486="",'Ratings'!Q98=""),"",'Ratings'!Q98)</f>
        <v/>
      </c>
      <c r="G1486">
        <f>IF(A1486="","",'Employees'!D11)</f>
        <v/>
      </c>
    </row>
    <row r="1487">
      <c r="A1487">
        <f>IF(AND('Ratings'!A98&lt;&gt;"",'Ratings'!R5&lt;&gt;""),'Ratings'!A98,"")</f>
        <v/>
      </c>
      <c r="B1487">
        <f>IF(A1487="","",'Employees'!C11)</f>
        <v/>
      </c>
      <c r="C1487">
        <f>IF(A1487="","",'Ratings'!C98)</f>
        <v/>
      </c>
      <c r="D1487">
        <f>IF(A1487="","",'Ratings'!D98)</f>
        <v/>
      </c>
      <c r="E1487">
        <f>IF(AND('Ratings'!A98&lt;&gt;"",'Ratings'!R5&lt;&gt;""),'Ratings'!R5,"")</f>
        <v/>
      </c>
      <c r="F1487">
        <f>IF(OR(A1487="",'Ratings'!R98=""),"",'Ratings'!R98)</f>
        <v/>
      </c>
      <c r="G1487">
        <f>IF(A1487="","",'Employees'!D11)</f>
        <v/>
      </c>
    </row>
    <row r="1488">
      <c r="A1488">
        <f>IF(AND('Ratings'!A98&lt;&gt;"",'Ratings'!S5&lt;&gt;""),'Ratings'!A98,"")</f>
        <v/>
      </c>
      <c r="B1488">
        <f>IF(A1488="","",'Employees'!C11)</f>
        <v/>
      </c>
      <c r="C1488">
        <f>IF(A1488="","",'Ratings'!C98)</f>
        <v/>
      </c>
      <c r="D1488">
        <f>IF(A1488="","",'Ratings'!D98)</f>
        <v/>
      </c>
      <c r="E1488">
        <f>IF(AND('Ratings'!A98&lt;&gt;"",'Ratings'!S5&lt;&gt;""),'Ratings'!S5,"")</f>
        <v/>
      </c>
      <c r="F1488">
        <f>IF(OR(A1488="",'Ratings'!S98=""),"",'Ratings'!S98)</f>
        <v/>
      </c>
      <c r="G1488">
        <f>IF(A1488="","",'Employees'!D11)</f>
        <v/>
      </c>
    </row>
    <row r="1489">
      <c r="A1489">
        <f>IF(AND('Ratings'!A98&lt;&gt;"",'Ratings'!T5&lt;&gt;""),'Ratings'!A98,"")</f>
        <v/>
      </c>
      <c r="B1489">
        <f>IF(A1489="","",'Employees'!C11)</f>
        <v/>
      </c>
      <c r="C1489">
        <f>IF(A1489="","",'Ratings'!C98)</f>
        <v/>
      </c>
      <c r="D1489">
        <f>IF(A1489="","",'Ratings'!D98)</f>
        <v/>
      </c>
      <c r="E1489">
        <f>IF(AND('Ratings'!A98&lt;&gt;"",'Ratings'!T5&lt;&gt;""),'Ratings'!T5,"")</f>
        <v/>
      </c>
      <c r="F1489">
        <f>IF(OR(A1489="",'Ratings'!T98=""),"",'Ratings'!T98)</f>
        <v/>
      </c>
      <c r="G1489">
        <f>IF(A1489="","",'Employees'!D11)</f>
        <v/>
      </c>
    </row>
    <row r="1490">
      <c r="A1490">
        <f>IF(AND('Ratings'!A99&lt;&gt;"",'Ratings'!E5&lt;&gt;""),'Ratings'!A99,"")</f>
        <v/>
      </c>
      <c r="B1490">
        <f>IF(A1490="","",'Employees'!C11)</f>
        <v/>
      </c>
      <c r="C1490">
        <f>IF(A1490="","",'Ratings'!C99)</f>
        <v/>
      </c>
      <c r="D1490">
        <f>IF(A1490="","",'Ratings'!D99)</f>
        <v/>
      </c>
      <c r="E1490">
        <f>IF(AND('Ratings'!A99&lt;&gt;"",'Ratings'!E5&lt;&gt;""),'Ratings'!E5,"")</f>
        <v/>
      </c>
      <c r="F1490">
        <f>IF(OR(A1490="",'Ratings'!E99=""),"",'Ratings'!E99)</f>
        <v/>
      </c>
      <c r="G1490">
        <f>IF(A1490="","",'Employees'!D11)</f>
        <v/>
      </c>
    </row>
    <row r="1491">
      <c r="A1491">
        <f>IF(AND('Ratings'!A99&lt;&gt;"",'Ratings'!F5&lt;&gt;""),'Ratings'!A99,"")</f>
        <v/>
      </c>
      <c r="B1491">
        <f>IF(A1491="","",'Employees'!C11)</f>
        <v/>
      </c>
      <c r="C1491">
        <f>IF(A1491="","",'Ratings'!C99)</f>
        <v/>
      </c>
      <c r="D1491">
        <f>IF(A1491="","",'Ratings'!D99)</f>
        <v/>
      </c>
      <c r="E1491">
        <f>IF(AND('Ratings'!A99&lt;&gt;"",'Ratings'!F5&lt;&gt;""),'Ratings'!F5,"")</f>
        <v/>
      </c>
      <c r="F1491">
        <f>IF(OR(A1491="",'Ratings'!F99=""),"",'Ratings'!F99)</f>
        <v/>
      </c>
      <c r="G1491">
        <f>IF(A1491="","",'Employees'!D11)</f>
        <v/>
      </c>
    </row>
    <row r="1492">
      <c r="A1492">
        <f>IF(AND('Ratings'!A99&lt;&gt;"",'Ratings'!G5&lt;&gt;""),'Ratings'!A99,"")</f>
        <v/>
      </c>
      <c r="B1492">
        <f>IF(A1492="","",'Employees'!C11)</f>
        <v/>
      </c>
      <c r="C1492">
        <f>IF(A1492="","",'Ratings'!C99)</f>
        <v/>
      </c>
      <c r="D1492">
        <f>IF(A1492="","",'Ratings'!D99)</f>
        <v/>
      </c>
      <c r="E1492">
        <f>IF(AND('Ratings'!A99&lt;&gt;"",'Ratings'!G5&lt;&gt;""),'Ratings'!G5,"")</f>
        <v/>
      </c>
      <c r="F1492">
        <f>IF(OR(A1492="",'Ratings'!G99=""),"",'Ratings'!G99)</f>
        <v/>
      </c>
      <c r="G1492">
        <f>IF(A1492="","",'Employees'!D11)</f>
        <v/>
      </c>
    </row>
    <row r="1493">
      <c r="A1493">
        <f>IF(AND('Ratings'!A99&lt;&gt;"",'Ratings'!H5&lt;&gt;""),'Ratings'!A99,"")</f>
        <v/>
      </c>
      <c r="B1493">
        <f>IF(A1493="","",'Employees'!C11)</f>
        <v/>
      </c>
      <c r="C1493">
        <f>IF(A1493="","",'Ratings'!C99)</f>
        <v/>
      </c>
      <c r="D1493">
        <f>IF(A1493="","",'Ratings'!D99)</f>
        <v/>
      </c>
      <c r="E1493">
        <f>IF(AND('Ratings'!A99&lt;&gt;"",'Ratings'!H5&lt;&gt;""),'Ratings'!H5,"")</f>
        <v/>
      </c>
      <c r="F1493">
        <f>IF(OR(A1493="",'Ratings'!H99=""),"",'Ratings'!H99)</f>
        <v/>
      </c>
      <c r="G1493">
        <f>IF(A1493="","",'Employees'!D11)</f>
        <v/>
      </c>
    </row>
    <row r="1494">
      <c r="A1494">
        <f>IF(AND('Ratings'!A99&lt;&gt;"",'Ratings'!I5&lt;&gt;""),'Ratings'!A99,"")</f>
        <v/>
      </c>
      <c r="B1494">
        <f>IF(A1494="","",'Employees'!C11)</f>
        <v/>
      </c>
      <c r="C1494">
        <f>IF(A1494="","",'Ratings'!C99)</f>
        <v/>
      </c>
      <c r="D1494">
        <f>IF(A1494="","",'Ratings'!D99)</f>
        <v/>
      </c>
      <c r="E1494">
        <f>IF(AND('Ratings'!A99&lt;&gt;"",'Ratings'!I5&lt;&gt;""),'Ratings'!I5,"")</f>
        <v/>
      </c>
      <c r="F1494">
        <f>IF(OR(A1494="",'Ratings'!I99=""),"",'Ratings'!I99)</f>
        <v/>
      </c>
      <c r="G1494">
        <f>IF(A1494="","",'Employees'!D11)</f>
        <v/>
      </c>
    </row>
    <row r="1495">
      <c r="A1495">
        <f>IF(AND('Ratings'!A99&lt;&gt;"",'Ratings'!J5&lt;&gt;""),'Ratings'!A99,"")</f>
        <v/>
      </c>
      <c r="B1495">
        <f>IF(A1495="","",'Employees'!C11)</f>
        <v/>
      </c>
      <c r="C1495">
        <f>IF(A1495="","",'Ratings'!C99)</f>
        <v/>
      </c>
      <c r="D1495">
        <f>IF(A1495="","",'Ratings'!D99)</f>
        <v/>
      </c>
      <c r="E1495">
        <f>IF(AND('Ratings'!A99&lt;&gt;"",'Ratings'!J5&lt;&gt;""),'Ratings'!J5,"")</f>
        <v/>
      </c>
      <c r="F1495">
        <f>IF(OR(A1495="",'Ratings'!J99=""),"",'Ratings'!J99)</f>
        <v/>
      </c>
      <c r="G1495">
        <f>IF(A1495="","",'Employees'!D11)</f>
        <v/>
      </c>
    </row>
    <row r="1496">
      <c r="A1496">
        <f>IF(AND('Ratings'!A99&lt;&gt;"",'Ratings'!K5&lt;&gt;""),'Ratings'!A99,"")</f>
        <v/>
      </c>
      <c r="B1496">
        <f>IF(A1496="","",'Employees'!C11)</f>
        <v/>
      </c>
      <c r="C1496">
        <f>IF(A1496="","",'Ratings'!C99)</f>
        <v/>
      </c>
      <c r="D1496">
        <f>IF(A1496="","",'Ratings'!D99)</f>
        <v/>
      </c>
      <c r="E1496">
        <f>IF(AND('Ratings'!A99&lt;&gt;"",'Ratings'!K5&lt;&gt;""),'Ratings'!K5,"")</f>
        <v/>
      </c>
      <c r="F1496">
        <f>IF(OR(A1496="",'Ratings'!K99=""),"",'Ratings'!K99)</f>
        <v/>
      </c>
      <c r="G1496">
        <f>IF(A1496="","",'Employees'!D11)</f>
        <v/>
      </c>
    </row>
    <row r="1497">
      <c r="A1497">
        <f>IF(AND('Ratings'!A99&lt;&gt;"",'Ratings'!L5&lt;&gt;""),'Ratings'!A99,"")</f>
        <v/>
      </c>
      <c r="B1497">
        <f>IF(A1497="","",'Employees'!C11)</f>
        <v/>
      </c>
      <c r="C1497">
        <f>IF(A1497="","",'Ratings'!C99)</f>
        <v/>
      </c>
      <c r="D1497">
        <f>IF(A1497="","",'Ratings'!D99)</f>
        <v/>
      </c>
      <c r="E1497">
        <f>IF(AND('Ratings'!A99&lt;&gt;"",'Ratings'!L5&lt;&gt;""),'Ratings'!L5,"")</f>
        <v/>
      </c>
      <c r="F1497">
        <f>IF(OR(A1497="",'Ratings'!L99=""),"",'Ratings'!L99)</f>
        <v/>
      </c>
      <c r="G1497">
        <f>IF(A1497="","",'Employees'!D11)</f>
        <v/>
      </c>
    </row>
    <row r="1498">
      <c r="A1498">
        <f>IF(AND('Ratings'!A99&lt;&gt;"",'Ratings'!M5&lt;&gt;""),'Ratings'!A99,"")</f>
        <v/>
      </c>
      <c r="B1498">
        <f>IF(A1498="","",'Employees'!C11)</f>
        <v/>
      </c>
      <c r="C1498">
        <f>IF(A1498="","",'Ratings'!C99)</f>
        <v/>
      </c>
      <c r="D1498">
        <f>IF(A1498="","",'Ratings'!D99)</f>
        <v/>
      </c>
      <c r="E1498">
        <f>IF(AND('Ratings'!A99&lt;&gt;"",'Ratings'!M5&lt;&gt;""),'Ratings'!M5,"")</f>
        <v/>
      </c>
      <c r="F1498">
        <f>IF(OR(A1498="",'Ratings'!M99=""),"",'Ratings'!M99)</f>
        <v/>
      </c>
      <c r="G1498">
        <f>IF(A1498="","",'Employees'!D11)</f>
        <v/>
      </c>
    </row>
    <row r="1499">
      <c r="A1499">
        <f>IF(AND('Ratings'!A99&lt;&gt;"",'Ratings'!N5&lt;&gt;""),'Ratings'!A99,"")</f>
        <v/>
      </c>
      <c r="B1499">
        <f>IF(A1499="","",'Employees'!C11)</f>
        <v/>
      </c>
      <c r="C1499">
        <f>IF(A1499="","",'Ratings'!C99)</f>
        <v/>
      </c>
      <c r="D1499">
        <f>IF(A1499="","",'Ratings'!D99)</f>
        <v/>
      </c>
      <c r="E1499">
        <f>IF(AND('Ratings'!A99&lt;&gt;"",'Ratings'!N5&lt;&gt;""),'Ratings'!N5,"")</f>
        <v/>
      </c>
      <c r="F1499">
        <f>IF(OR(A1499="",'Ratings'!N99=""),"",'Ratings'!N99)</f>
        <v/>
      </c>
      <c r="G1499">
        <f>IF(A1499="","",'Employees'!D11)</f>
        <v/>
      </c>
    </row>
    <row r="1500">
      <c r="A1500">
        <f>IF(AND('Ratings'!A99&lt;&gt;"",'Ratings'!O5&lt;&gt;""),'Ratings'!A99,"")</f>
        <v/>
      </c>
      <c r="B1500">
        <f>IF(A1500="","",'Employees'!C11)</f>
        <v/>
      </c>
      <c r="C1500">
        <f>IF(A1500="","",'Ratings'!C99)</f>
        <v/>
      </c>
      <c r="D1500">
        <f>IF(A1500="","",'Ratings'!D99)</f>
        <v/>
      </c>
      <c r="E1500">
        <f>IF(AND('Ratings'!A99&lt;&gt;"",'Ratings'!O5&lt;&gt;""),'Ratings'!O5,"")</f>
        <v/>
      </c>
      <c r="F1500">
        <f>IF(OR(A1500="",'Ratings'!O99=""),"",'Ratings'!O99)</f>
        <v/>
      </c>
      <c r="G1500">
        <f>IF(A1500="","",'Employees'!D11)</f>
        <v/>
      </c>
    </row>
    <row r="1501">
      <c r="A1501">
        <f>IF(AND('Ratings'!A99&lt;&gt;"",'Ratings'!P5&lt;&gt;""),'Ratings'!A99,"")</f>
        <v/>
      </c>
      <c r="B1501">
        <f>IF(A1501="","",'Employees'!C11)</f>
        <v/>
      </c>
      <c r="C1501">
        <f>IF(A1501="","",'Ratings'!C99)</f>
        <v/>
      </c>
      <c r="D1501">
        <f>IF(A1501="","",'Ratings'!D99)</f>
        <v/>
      </c>
      <c r="E1501">
        <f>IF(AND('Ratings'!A99&lt;&gt;"",'Ratings'!P5&lt;&gt;""),'Ratings'!P5,"")</f>
        <v/>
      </c>
      <c r="F1501">
        <f>IF(OR(A1501="",'Ratings'!P99=""),"",'Ratings'!P99)</f>
        <v/>
      </c>
      <c r="G1501">
        <f>IF(A1501="","",'Employees'!D11)</f>
        <v/>
      </c>
    </row>
    <row r="1502">
      <c r="A1502">
        <f>IF(AND('Ratings'!A99&lt;&gt;"",'Ratings'!Q5&lt;&gt;""),'Ratings'!A99,"")</f>
        <v/>
      </c>
      <c r="B1502">
        <f>IF(A1502="","",'Employees'!C11)</f>
        <v/>
      </c>
      <c r="C1502">
        <f>IF(A1502="","",'Ratings'!C99)</f>
        <v/>
      </c>
      <c r="D1502">
        <f>IF(A1502="","",'Ratings'!D99)</f>
        <v/>
      </c>
      <c r="E1502">
        <f>IF(AND('Ratings'!A99&lt;&gt;"",'Ratings'!Q5&lt;&gt;""),'Ratings'!Q5,"")</f>
        <v/>
      </c>
      <c r="F1502">
        <f>IF(OR(A1502="",'Ratings'!Q99=""),"",'Ratings'!Q99)</f>
        <v/>
      </c>
      <c r="G1502">
        <f>IF(A1502="","",'Employees'!D11)</f>
        <v/>
      </c>
    </row>
    <row r="1503">
      <c r="A1503">
        <f>IF(AND('Ratings'!A99&lt;&gt;"",'Ratings'!R5&lt;&gt;""),'Ratings'!A99,"")</f>
        <v/>
      </c>
      <c r="B1503">
        <f>IF(A1503="","",'Employees'!C11)</f>
        <v/>
      </c>
      <c r="C1503">
        <f>IF(A1503="","",'Ratings'!C99)</f>
        <v/>
      </c>
      <c r="D1503">
        <f>IF(A1503="","",'Ratings'!D99)</f>
        <v/>
      </c>
      <c r="E1503">
        <f>IF(AND('Ratings'!A99&lt;&gt;"",'Ratings'!R5&lt;&gt;""),'Ratings'!R5,"")</f>
        <v/>
      </c>
      <c r="F1503">
        <f>IF(OR(A1503="",'Ratings'!R99=""),"",'Ratings'!R99)</f>
        <v/>
      </c>
      <c r="G1503">
        <f>IF(A1503="","",'Employees'!D11)</f>
        <v/>
      </c>
    </row>
    <row r="1504">
      <c r="A1504">
        <f>IF(AND('Ratings'!A99&lt;&gt;"",'Ratings'!S5&lt;&gt;""),'Ratings'!A99,"")</f>
        <v/>
      </c>
      <c r="B1504">
        <f>IF(A1504="","",'Employees'!C11)</f>
        <v/>
      </c>
      <c r="C1504">
        <f>IF(A1504="","",'Ratings'!C99)</f>
        <v/>
      </c>
      <c r="D1504">
        <f>IF(A1504="","",'Ratings'!D99)</f>
        <v/>
      </c>
      <c r="E1504">
        <f>IF(AND('Ratings'!A99&lt;&gt;"",'Ratings'!S5&lt;&gt;""),'Ratings'!S5,"")</f>
        <v/>
      </c>
      <c r="F1504">
        <f>IF(OR(A1504="",'Ratings'!S99=""),"",'Ratings'!S99)</f>
        <v/>
      </c>
      <c r="G1504">
        <f>IF(A1504="","",'Employees'!D11)</f>
        <v/>
      </c>
    </row>
    <row r="1505">
      <c r="A1505">
        <f>IF(AND('Ratings'!A99&lt;&gt;"",'Ratings'!T5&lt;&gt;""),'Ratings'!A99,"")</f>
        <v/>
      </c>
      <c r="B1505">
        <f>IF(A1505="","",'Employees'!C11)</f>
        <v/>
      </c>
      <c r="C1505">
        <f>IF(A1505="","",'Ratings'!C99)</f>
        <v/>
      </c>
      <c r="D1505">
        <f>IF(A1505="","",'Ratings'!D99)</f>
        <v/>
      </c>
      <c r="E1505">
        <f>IF(AND('Ratings'!A99&lt;&gt;"",'Ratings'!T5&lt;&gt;""),'Ratings'!T5,"")</f>
        <v/>
      </c>
      <c r="F1505">
        <f>IF(OR(A1505="",'Ratings'!T99=""),"",'Ratings'!T99)</f>
        <v/>
      </c>
      <c r="G1505">
        <f>IF(A1505="","",'Employees'!D11)</f>
        <v/>
      </c>
    </row>
    <row r="1506">
      <c r="A1506">
        <f>IF(AND('Ratings'!A100&lt;&gt;"",'Ratings'!E5&lt;&gt;""),'Ratings'!A100,"")</f>
        <v/>
      </c>
      <c r="B1506">
        <f>IF(A1506="","",'Employees'!C11)</f>
        <v/>
      </c>
      <c r="C1506">
        <f>IF(A1506="","",'Ratings'!C100)</f>
        <v/>
      </c>
      <c r="D1506">
        <f>IF(A1506="","",'Ratings'!D100)</f>
        <v/>
      </c>
      <c r="E1506">
        <f>IF(AND('Ratings'!A100&lt;&gt;"",'Ratings'!E5&lt;&gt;""),'Ratings'!E5,"")</f>
        <v/>
      </c>
      <c r="F1506">
        <f>IF(OR(A1506="",'Ratings'!E100=""),"",'Ratings'!E100)</f>
        <v/>
      </c>
      <c r="G1506">
        <f>IF(A1506="","",'Employees'!D11)</f>
        <v/>
      </c>
    </row>
    <row r="1507">
      <c r="A1507">
        <f>IF(AND('Ratings'!A100&lt;&gt;"",'Ratings'!F5&lt;&gt;""),'Ratings'!A100,"")</f>
        <v/>
      </c>
      <c r="B1507">
        <f>IF(A1507="","",'Employees'!C11)</f>
        <v/>
      </c>
      <c r="C1507">
        <f>IF(A1507="","",'Ratings'!C100)</f>
        <v/>
      </c>
      <c r="D1507">
        <f>IF(A1507="","",'Ratings'!D100)</f>
        <v/>
      </c>
      <c r="E1507">
        <f>IF(AND('Ratings'!A100&lt;&gt;"",'Ratings'!F5&lt;&gt;""),'Ratings'!F5,"")</f>
        <v/>
      </c>
      <c r="F1507">
        <f>IF(OR(A1507="",'Ratings'!F100=""),"",'Ratings'!F100)</f>
        <v/>
      </c>
      <c r="G1507">
        <f>IF(A1507="","",'Employees'!D11)</f>
        <v/>
      </c>
    </row>
    <row r="1508">
      <c r="A1508">
        <f>IF(AND('Ratings'!A100&lt;&gt;"",'Ratings'!G5&lt;&gt;""),'Ratings'!A100,"")</f>
        <v/>
      </c>
      <c r="B1508">
        <f>IF(A1508="","",'Employees'!C11)</f>
        <v/>
      </c>
      <c r="C1508">
        <f>IF(A1508="","",'Ratings'!C100)</f>
        <v/>
      </c>
      <c r="D1508">
        <f>IF(A1508="","",'Ratings'!D100)</f>
        <v/>
      </c>
      <c r="E1508">
        <f>IF(AND('Ratings'!A100&lt;&gt;"",'Ratings'!G5&lt;&gt;""),'Ratings'!G5,"")</f>
        <v/>
      </c>
      <c r="F1508">
        <f>IF(OR(A1508="",'Ratings'!G100=""),"",'Ratings'!G100)</f>
        <v/>
      </c>
      <c r="G1508">
        <f>IF(A1508="","",'Employees'!D11)</f>
        <v/>
      </c>
    </row>
    <row r="1509">
      <c r="A1509">
        <f>IF(AND('Ratings'!A100&lt;&gt;"",'Ratings'!H5&lt;&gt;""),'Ratings'!A100,"")</f>
        <v/>
      </c>
      <c r="B1509">
        <f>IF(A1509="","",'Employees'!C11)</f>
        <v/>
      </c>
      <c r="C1509">
        <f>IF(A1509="","",'Ratings'!C100)</f>
        <v/>
      </c>
      <c r="D1509">
        <f>IF(A1509="","",'Ratings'!D100)</f>
        <v/>
      </c>
      <c r="E1509">
        <f>IF(AND('Ratings'!A100&lt;&gt;"",'Ratings'!H5&lt;&gt;""),'Ratings'!H5,"")</f>
        <v/>
      </c>
      <c r="F1509">
        <f>IF(OR(A1509="",'Ratings'!H100=""),"",'Ratings'!H100)</f>
        <v/>
      </c>
      <c r="G1509">
        <f>IF(A1509="","",'Employees'!D11)</f>
        <v/>
      </c>
    </row>
    <row r="1510">
      <c r="A1510">
        <f>IF(AND('Ratings'!A100&lt;&gt;"",'Ratings'!I5&lt;&gt;""),'Ratings'!A100,"")</f>
        <v/>
      </c>
      <c r="B1510">
        <f>IF(A1510="","",'Employees'!C11)</f>
        <v/>
      </c>
      <c r="C1510">
        <f>IF(A1510="","",'Ratings'!C100)</f>
        <v/>
      </c>
      <c r="D1510">
        <f>IF(A1510="","",'Ratings'!D100)</f>
        <v/>
      </c>
      <c r="E1510">
        <f>IF(AND('Ratings'!A100&lt;&gt;"",'Ratings'!I5&lt;&gt;""),'Ratings'!I5,"")</f>
        <v/>
      </c>
      <c r="F1510">
        <f>IF(OR(A1510="",'Ratings'!I100=""),"",'Ratings'!I100)</f>
        <v/>
      </c>
      <c r="G1510">
        <f>IF(A1510="","",'Employees'!D11)</f>
        <v/>
      </c>
    </row>
    <row r="1511">
      <c r="A1511">
        <f>IF(AND('Ratings'!A100&lt;&gt;"",'Ratings'!J5&lt;&gt;""),'Ratings'!A100,"")</f>
        <v/>
      </c>
      <c r="B1511">
        <f>IF(A1511="","",'Employees'!C11)</f>
        <v/>
      </c>
      <c r="C1511">
        <f>IF(A1511="","",'Ratings'!C100)</f>
        <v/>
      </c>
      <c r="D1511">
        <f>IF(A1511="","",'Ratings'!D100)</f>
        <v/>
      </c>
      <c r="E1511">
        <f>IF(AND('Ratings'!A100&lt;&gt;"",'Ratings'!J5&lt;&gt;""),'Ratings'!J5,"")</f>
        <v/>
      </c>
      <c r="F1511">
        <f>IF(OR(A1511="",'Ratings'!J100=""),"",'Ratings'!J100)</f>
        <v/>
      </c>
      <c r="G1511">
        <f>IF(A1511="","",'Employees'!D11)</f>
        <v/>
      </c>
    </row>
    <row r="1512">
      <c r="A1512">
        <f>IF(AND('Ratings'!A100&lt;&gt;"",'Ratings'!K5&lt;&gt;""),'Ratings'!A100,"")</f>
        <v/>
      </c>
      <c r="B1512">
        <f>IF(A1512="","",'Employees'!C11)</f>
        <v/>
      </c>
      <c r="C1512">
        <f>IF(A1512="","",'Ratings'!C100)</f>
        <v/>
      </c>
      <c r="D1512">
        <f>IF(A1512="","",'Ratings'!D100)</f>
        <v/>
      </c>
      <c r="E1512">
        <f>IF(AND('Ratings'!A100&lt;&gt;"",'Ratings'!K5&lt;&gt;""),'Ratings'!K5,"")</f>
        <v/>
      </c>
      <c r="F1512">
        <f>IF(OR(A1512="",'Ratings'!K100=""),"",'Ratings'!K100)</f>
        <v/>
      </c>
      <c r="G1512">
        <f>IF(A1512="","",'Employees'!D11)</f>
        <v/>
      </c>
    </row>
    <row r="1513">
      <c r="A1513">
        <f>IF(AND('Ratings'!A100&lt;&gt;"",'Ratings'!L5&lt;&gt;""),'Ratings'!A100,"")</f>
        <v/>
      </c>
      <c r="B1513">
        <f>IF(A1513="","",'Employees'!C11)</f>
        <v/>
      </c>
      <c r="C1513">
        <f>IF(A1513="","",'Ratings'!C100)</f>
        <v/>
      </c>
      <c r="D1513">
        <f>IF(A1513="","",'Ratings'!D100)</f>
        <v/>
      </c>
      <c r="E1513">
        <f>IF(AND('Ratings'!A100&lt;&gt;"",'Ratings'!L5&lt;&gt;""),'Ratings'!L5,"")</f>
        <v/>
      </c>
      <c r="F1513">
        <f>IF(OR(A1513="",'Ratings'!L100=""),"",'Ratings'!L100)</f>
        <v/>
      </c>
      <c r="G1513">
        <f>IF(A1513="","",'Employees'!D11)</f>
        <v/>
      </c>
    </row>
    <row r="1514">
      <c r="A1514">
        <f>IF(AND('Ratings'!A100&lt;&gt;"",'Ratings'!M5&lt;&gt;""),'Ratings'!A100,"")</f>
        <v/>
      </c>
      <c r="B1514">
        <f>IF(A1514="","",'Employees'!C11)</f>
        <v/>
      </c>
      <c r="C1514">
        <f>IF(A1514="","",'Ratings'!C100)</f>
        <v/>
      </c>
      <c r="D1514">
        <f>IF(A1514="","",'Ratings'!D100)</f>
        <v/>
      </c>
      <c r="E1514">
        <f>IF(AND('Ratings'!A100&lt;&gt;"",'Ratings'!M5&lt;&gt;""),'Ratings'!M5,"")</f>
        <v/>
      </c>
      <c r="F1514">
        <f>IF(OR(A1514="",'Ratings'!M100=""),"",'Ratings'!M100)</f>
        <v/>
      </c>
      <c r="G1514">
        <f>IF(A1514="","",'Employees'!D11)</f>
        <v/>
      </c>
    </row>
    <row r="1515">
      <c r="A1515">
        <f>IF(AND('Ratings'!A100&lt;&gt;"",'Ratings'!N5&lt;&gt;""),'Ratings'!A100,"")</f>
        <v/>
      </c>
      <c r="B1515">
        <f>IF(A1515="","",'Employees'!C11)</f>
        <v/>
      </c>
      <c r="C1515">
        <f>IF(A1515="","",'Ratings'!C100)</f>
        <v/>
      </c>
      <c r="D1515">
        <f>IF(A1515="","",'Ratings'!D100)</f>
        <v/>
      </c>
      <c r="E1515">
        <f>IF(AND('Ratings'!A100&lt;&gt;"",'Ratings'!N5&lt;&gt;""),'Ratings'!N5,"")</f>
        <v/>
      </c>
      <c r="F1515">
        <f>IF(OR(A1515="",'Ratings'!N100=""),"",'Ratings'!N100)</f>
        <v/>
      </c>
      <c r="G1515">
        <f>IF(A1515="","",'Employees'!D11)</f>
        <v/>
      </c>
    </row>
    <row r="1516">
      <c r="A1516">
        <f>IF(AND('Ratings'!A100&lt;&gt;"",'Ratings'!O5&lt;&gt;""),'Ratings'!A100,"")</f>
        <v/>
      </c>
      <c r="B1516">
        <f>IF(A1516="","",'Employees'!C11)</f>
        <v/>
      </c>
      <c r="C1516">
        <f>IF(A1516="","",'Ratings'!C100)</f>
        <v/>
      </c>
      <c r="D1516">
        <f>IF(A1516="","",'Ratings'!D100)</f>
        <v/>
      </c>
      <c r="E1516">
        <f>IF(AND('Ratings'!A100&lt;&gt;"",'Ratings'!O5&lt;&gt;""),'Ratings'!O5,"")</f>
        <v/>
      </c>
      <c r="F1516">
        <f>IF(OR(A1516="",'Ratings'!O100=""),"",'Ratings'!O100)</f>
        <v/>
      </c>
      <c r="G1516">
        <f>IF(A1516="","",'Employees'!D11)</f>
        <v/>
      </c>
    </row>
    <row r="1517">
      <c r="A1517">
        <f>IF(AND('Ratings'!A100&lt;&gt;"",'Ratings'!P5&lt;&gt;""),'Ratings'!A100,"")</f>
        <v/>
      </c>
      <c r="B1517">
        <f>IF(A1517="","",'Employees'!C11)</f>
        <v/>
      </c>
      <c r="C1517">
        <f>IF(A1517="","",'Ratings'!C100)</f>
        <v/>
      </c>
      <c r="D1517">
        <f>IF(A1517="","",'Ratings'!D100)</f>
        <v/>
      </c>
      <c r="E1517">
        <f>IF(AND('Ratings'!A100&lt;&gt;"",'Ratings'!P5&lt;&gt;""),'Ratings'!P5,"")</f>
        <v/>
      </c>
      <c r="F1517">
        <f>IF(OR(A1517="",'Ratings'!P100=""),"",'Ratings'!P100)</f>
        <v/>
      </c>
      <c r="G1517">
        <f>IF(A1517="","",'Employees'!D11)</f>
        <v/>
      </c>
    </row>
    <row r="1518">
      <c r="A1518">
        <f>IF(AND('Ratings'!A100&lt;&gt;"",'Ratings'!Q5&lt;&gt;""),'Ratings'!A100,"")</f>
        <v/>
      </c>
      <c r="B1518">
        <f>IF(A1518="","",'Employees'!C11)</f>
        <v/>
      </c>
      <c r="C1518">
        <f>IF(A1518="","",'Ratings'!C100)</f>
        <v/>
      </c>
      <c r="D1518">
        <f>IF(A1518="","",'Ratings'!D100)</f>
        <v/>
      </c>
      <c r="E1518">
        <f>IF(AND('Ratings'!A100&lt;&gt;"",'Ratings'!Q5&lt;&gt;""),'Ratings'!Q5,"")</f>
        <v/>
      </c>
      <c r="F1518">
        <f>IF(OR(A1518="",'Ratings'!Q100=""),"",'Ratings'!Q100)</f>
        <v/>
      </c>
      <c r="G1518">
        <f>IF(A1518="","",'Employees'!D11)</f>
        <v/>
      </c>
    </row>
    <row r="1519">
      <c r="A1519">
        <f>IF(AND('Ratings'!A100&lt;&gt;"",'Ratings'!R5&lt;&gt;""),'Ratings'!A100,"")</f>
        <v/>
      </c>
      <c r="B1519">
        <f>IF(A1519="","",'Employees'!C11)</f>
        <v/>
      </c>
      <c r="C1519">
        <f>IF(A1519="","",'Ratings'!C100)</f>
        <v/>
      </c>
      <c r="D1519">
        <f>IF(A1519="","",'Ratings'!D100)</f>
        <v/>
      </c>
      <c r="E1519">
        <f>IF(AND('Ratings'!A100&lt;&gt;"",'Ratings'!R5&lt;&gt;""),'Ratings'!R5,"")</f>
        <v/>
      </c>
      <c r="F1519">
        <f>IF(OR(A1519="",'Ratings'!R100=""),"",'Ratings'!R100)</f>
        <v/>
      </c>
      <c r="G1519">
        <f>IF(A1519="","",'Employees'!D11)</f>
        <v/>
      </c>
    </row>
    <row r="1520">
      <c r="A1520">
        <f>IF(AND('Ratings'!A100&lt;&gt;"",'Ratings'!S5&lt;&gt;""),'Ratings'!A100,"")</f>
        <v/>
      </c>
      <c r="B1520">
        <f>IF(A1520="","",'Employees'!C11)</f>
        <v/>
      </c>
      <c r="C1520">
        <f>IF(A1520="","",'Ratings'!C100)</f>
        <v/>
      </c>
      <c r="D1520">
        <f>IF(A1520="","",'Ratings'!D100)</f>
        <v/>
      </c>
      <c r="E1520">
        <f>IF(AND('Ratings'!A100&lt;&gt;"",'Ratings'!S5&lt;&gt;""),'Ratings'!S5,"")</f>
        <v/>
      </c>
      <c r="F1520">
        <f>IF(OR(A1520="",'Ratings'!S100=""),"",'Ratings'!S100)</f>
        <v/>
      </c>
      <c r="G1520">
        <f>IF(A1520="","",'Employees'!D11)</f>
        <v/>
      </c>
    </row>
    <row r="1521">
      <c r="A1521">
        <f>IF(AND('Ratings'!A100&lt;&gt;"",'Ratings'!T5&lt;&gt;""),'Ratings'!A100,"")</f>
        <v/>
      </c>
      <c r="B1521">
        <f>IF(A1521="","",'Employees'!C11)</f>
        <v/>
      </c>
      <c r="C1521">
        <f>IF(A1521="","",'Ratings'!C100)</f>
        <v/>
      </c>
      <c r="D1521">
        <f>IF(A1521="","",'Ratings'!D100)</f>
        <v/>
      </c>
      <c r="E1521">
        <f>IF(AND('Ratings'!A100&lt;&gt;"",'Ratings'!T5&lt;&gt;""),'Ratings'!T5,"")</f>
        <v/>
      </c>
      <c r="F1521">
        <f>IF(OR(A1521="",'Ratings'!T100=""),"",'Ratings'!T100)</f>
        <v/>
      </c>
      <c r="G1521">
        <f>IF(A1521="","",'Employees'!D11)</f>
        <v/>
      </c>
    </row>
    <row r="1522">
      <c r="A1522">
        <f>IF(AND('Ratings'!A101&lt;&gt;"",'Ratings'!E5&lt;&gt;""),'Ratings'!A101,"")</f>
        <v/>
      </c>
      <c r="B1522">
        <f>IF(A1522="","",'Employees'!C11)</f>
        <v/>
      </c>
      <c r="C1522">
        <f>IF(A1522="","",'Ratings'!C101)</f>
        <v/>
      </c>
      <c r="D1522">
        <f>IF(A1522="","",'Ratings'!D101)</f>
        <v/>
      </c>
      <c r="E1522">
        <f>IF(AND('Ratings'!A101&lt;&gt;"",'Ratings'!E5&lt;&gt;""),'Ratings'!E5,"")</f>
        <v/>
      </c>
      <c r="F1522">
        <f>IF(OR(A1522="",'Ratings'!E101=""),"",'Ratings'!E101)</f>
        <v/>
      </c>
      <c r="G1522">
        <f>IF(A1522="","",'Employees'!D11)</f>
        <v/>
      </c>
    </row>
    <row r="1523">
      <c r="A1523">
        <f>IF(AND('Ratings'!A101&lt;&gt;"",'Ratings'!F5&lt;&gt;""),'Ratings'!A101,"")</f>
        <v/>
      </c>
      <c r="B1523">
        <f>IF(A1523="","",'Employees'!C11)</f>
        <v/>
      </c>
      <c r="C1523">
        <f>IF(A1523="","",'Ratings'!C101)</f>
        <v/>
      </c>
      <c r="D1523">
        <f>IF(A1523="","",'Ratings'!D101)</f>
        <v/>
      </c>
      <c r="E1523">
        <f>IF(AND('Ratings'!A101&lt;&gt;"",'Ratings'!F5&lt;&gt;""),'Ratings'!F5,"")</f>
        <v/>
      </c>
      <c r="F1523">
        <f>IF(OR(A1523="",'Ratings'!F101=""),"",'Ratings'!F101)</f>
        <v/>
      </c>
      <c r="G1523">
        <f>IF(A1523="","",'Employees'!D11)</f>
        <v/>
      </c>
    </row>
    <row r="1524">
      <c r="A1524">
        <f>IF(AND('Ratings'!A101&lt;&gt;"",'Ratings'!G5&lt;&gt;""),'Ratings'!A101,"")</f>
        <v/>
      </c>
      <c r="B1524">
        <f>IF(A1524="","",'Employees'!C11)</f>
        <v/>
      </c>
      <c r="C1524">
        <f>IF(A1524="","",'Ratings'!C101)</f>
        <v/>
      </c>
      <c r="D1524">
        <f>IF(A1524="","",'Ratings'!D101)</f>
        <v/>
      </c>
      <c r="E1524">
        <f>IF(AND('Ratings'!A101&lt;&gt;"",'Ratings'!G5&lt;&gt;""),'Ratings'!G5,"")</f>
        <v/>
      </c>
      <c r="F1524">
        <f>IF(OR(A1524="",'Ratings'!G101=""),"",'Ratings'!G101)</f>
        <v/>
      </c>
      <c r="G1524">
        <f>IF(A1524="","",'Employees'!D11)</f>
        <v/>
      </c>
    </row>
    <row r="1525">
      <c r="A1525">
        <f>IF(AND('Ratings'!A101&lt;&gt;"",'Ratings'!H5&lt;&gt;""),'Ratings'!A101,"")</f>
        <v/>
      </c>
      <c r="B1525">
        <f>IF(A1525="","",'Employees'!C11)</f>
        <v/>
      </c>
      <c r="C1525">
        <f>IF(A1525="","",'Ratings'!C101)</f>
        <v/>
      </c>
      <c r="D1525">
        <f>IF(A1525="","",'Ratings'!D101)</f>
        <v/>
      </c>
      <c r="E1525">
        <f>IF(AND('Ratings'!A101&lt;&gt;"",'Ratings'!H5&lt;&gt;""),'Ratings'!H5,"")</f>
        <v/>
      </c>
      <c r="F1525">
        <f>IF(OR(A1525="",'Ratings'!H101=""),"",'Ratings'!H101)</f>
        <v/>
      </c>
      <c r="G1525">
        <f>IF(A1525="","",'Employees'!D11)</f>
        <v/>
      </c>
    </row>
    <row r="1526">
      <c r="A1526">
        <f>IF(AND('Ratings'!A101&lt;&gt;"",'Ratings'!I5&lt;&gt;""),'Ratings'!A101,"")</f>
        <v/>
      </c>
      <c r="B1526">
        <f>IF(A1526="","",'Employees'!C11)</f>
        <v/>
      </c>
      <c r="C1526">
        <f>IF(A1526="","",'Ratings'!C101)</f>
        <v/>
      </c>
      <c r="D1526">
        <f>IF(A1526="","",'Ratings'!D101)</f>
        <v/>
      </c>
      <c r="E1526">
        <f>IF(AND('Ratings'!A101&lt;&gt;"",'Ratings'!I5&lt;&gt;""),'Ratings'!I5,"")</f>
        <v/>
      </c>
      <c r="F1526">
        <f>IF(OR(A1526="",'Ratings'!I101=""),"",'Ratings'!I101)</f>
        <v/>
      </c>
      <c r="G1526">
        <f>IF(A1526="","",'Employees'!D11)</f>
        <v/>
      </c>
    </row>
    <row r="1527">
      <c r="A1527">
        <f>IF(AND('Ratings'!A101&lt;&gt;"",'Ratings'!J5&lt;&gt;""),'Ratings'!A101,"")</f>
        <v/>
      </c>
      <c r="B1527">
        <f>IF(A1527="","",'Employees'!C11)</f>
        <v/>
      </c>
      <c r="C1527">
        <f>IF(A1527="","",'Ratings'!C101)</f>
        <v/>
      </c>
      <c r="D1527">
        <f>IF(A1527="","",'Ratings'!D101)</f>
        <v/>
      </c>
      <c r="E1527">
        <f>IF(AND('Ratings'!A101&lt;&gt;"",'Ratings'!J5&lt;&gt;""),'Ratings'!J5,"")</f>
        <v/>
      </c>
      <c r="F1527">
        <f>IF(OR(A1527="",'Ratings'!J101=""),"",'Ratings'!J101)</f>
        <v/>
      </c>
      <c r="G1527">
        <f>IF(A1527="","",'Employees'!D11)</f>
        <v/>
      </c>
    </row>
    <row r="1528">
      <c r="A1528">
        <f>IF(AND('Ratings'!A101&lt;&gt;"",'Ratings'!K5&lt;&gt;""),'Ratings'!A101,"")</f>
        <v/>
      </c>
      <c r="B1528">
        <f>IF(A1528="","",'Employees'!C11)</f>
        <v/>
      </c>
      <c r="C1528">
        <f>IF(A1528="","",'Ratings'!C101)</f>
        <v/>
      </c>
      <c r="D1528">
        <f>IF(A1528="","",'Ratings'!D101)</f>
        <v/>
      </c>
      <c r="E1528">
        <f>IF(AND('Ratings'!A101&lt;&gt;"",'Ratings'!K5&lt;&gt;""),'Ratings'!K5,"")</f>
        <v/>
      </c>
      <c r="F1528">
        <f>IF(OR(A1528="",'Ratings'!K101=""),"",'Ratings'!K101)</f>
        <v/>
      </c>
      <c r="G1528">
        <f>IF(A1528="","",'Employees'!D11)</f>
        <v/>
      </c>
    </row>
    <row r="1529">
      <c r="A1529">
        <f>IF(AND('Ratings'!A101&lt;&gt;"",'Ratings'!L5&lt;&gt;""),'Ratings'!A101,"")</f>
        <v/>
      </c>
      <c r="B1529">
        <f>IF(A1529="","",'Employees'!C11)</f>
        <v/>
      </c>
      <c r="C1529">
        <f>IF(A1529="","",'Ratings'!C101)</f>
        <v/>
      </c>
      <c r="D1529">
        <f>IF(A1529="","",'Ratings'!D101)</f>
        <v/>
      </c>
      <c r="E1529">
        <f>IF(AND('Ratings'!A101&lt;&gt;"",'Ratings'!L5&lt;&gt;""),'Ratings'!L5,"")</f>
        <v/>
      </c>
      <c r="F1529">
        <f>IF(OR(A1529="",'Ratings'!L101=""),"",'Ratings'!L101)</f>
        <v/>
      </c>
      <c r="G1529">
        <f>IF(A1529="","",'Employees'!D11)</f>
        <v/>
      </c>
    </row>
    <row r="1530">
      <c r="A1530">
        <f>IF(AND('Ratings'!A101&lt;&gt;"",'Ratings'!M5&lt;&gt;""),'Ratings'!A101,"")</f>
        <v/>
      </c>
      <c r="B1530">
        <f>IF(A1530="","",'Employees'!C11)</f>
        <v/>
      </c>
      <c r="C1530">
        <f>IF(A1530="","",'Ratings'!C101)</f>
        <v/>
      </c>
      <c r="D1530">
        <f>IF(A1530="","",'Ratings'!D101)</f>
        <v/>
      </c>
      <c r="E1530">
        <f>IF(AND('Ratings'!A101&lt;&gt;"",'Ratings'!M5&lt;&gt;""),'Ratings'!M5,"")</f>
        <v/>
      </c>
      <c r="F1530">
        <f>IF(OR(A1530="",'Ratings'!M101=""),"",'Ratings'!M101)</f>
        <v/>
      </c>
      <c r="G1530">
        <f>IF(A1530="","",'Employees'!D11)</f>
        <v/>
      </c>
    </row>
    <row r="1531">
      <c r="A1531">
        <f>IF(AND('Ratings'!A101&lt;&gt;"",'Ratings'!N5&lt;&gt;""),'Ratings'!A101,"")</f>
        <v/>
      </c>
      <c r="B1531">
        <f>IF(A1531="","",'Employees'!C11)</f>
        <v/>
      </c>
      <c r="C1531">
        <f>IF(A1531="","",'Ratings'!C101)</f>
        <v/>
      </c>
      <c r="D1531">
        <f>IF(A1531="","",'Ratings'!D101)</f>
        <v/>
      </c>
      <c r="E1531">
        <f>IF(AND('Ratings'!A101&lt;&gt;"",'Ratings'!N5&lt;&gt;""),'Ratings'!N5,"")</f>
        <v/>
      </c>
      <c r="F1531">
        <f>IF(OR(A1531="",'Ratings'!N101=""),"",'Ratings'!N101)</f>
        <v/>
      </c>
      <c r="G1531">
        <f>IF(A1531="","",'Employees'!D11)</f>
        <v/>
      </c>
    </row>
    <row r="1532">
      <c r="A1532">
        <f>IF(AND('Ratings'!A101&lt;&gt;"",'Ratings'!O5&lt;&gt;""),'Ratings'!A101,"")</f>
        <v/>
      </c>
      <c r="B1532">
        <f>IF(A1532="","",'Employees'!C11)</f>
        <v/>
      </c>
      <c r="C1532">
        <f>IF(A1532="","",'Ratings'!C101)</f>
        <v/>
      </c>
      <c r="D1532">
        <f>IF(A1532="","",'Ratings'!D101)</f>
        <v/>
      </c>
      <c r="E1532">
        <f>IF(AND('Ratings'!A101&lt;&gt;"",'Ratings'!O5&lt;&gt;""),'Ratings'!O5,"")</f>
        <v/>
      </c>
      <c r="F1532">
        <f>IF(OR(A1532="",'Ratings'!O101=""),"",'Ratings'!O101)</f>
        <v/>
      </c>
      <c r="G1532">
        <f>IF(A1532="","",'Employees'!D11)</f>
        <v/>
      </c>
    </row>
    <row r="1533">
      <c r="A1533">
        <f>IF(AND('Ratings'!A101&lt;&gt;"",'Ratings'!P5&lt;&gt;""),'Ratings'!A101,"")</f>
        <v/>
      </c>
      <c r="B1533">
        <f>IF(A1533="","",'Employees'!C11)</f>
        <v/>
      </c>
      <c r="C1533">
        <f>IF(A1533="","",'Ratings'!C101)</f>
        <v/>
      </c>
      <c r="D1533">
        <f>IF(A1533="","",'Ratings'!D101)</f>
        <v/>
      </c>
      <c r="E1533">
        <f>IF(AND('Ratings'!A101&lt;&gt;"",'Ratings'!P5&lt;&gt;""),'Ratings'!P5,"")</f>
        <v/>
      </c>
      <c r="F1533">
        <f>IF(OR(A1533="",'Ratings'!P101=""),"",'Ratings'!P101)</f>
        <v/>
      </c>
      <c r="G1533">
        <f>IF(A1533="","",'Employees'!D11)</f>
        <v/>
      </c>
    </row>
    <row r="1534">
      <c r="A1534">
        <f>IF(AND('Ratings'!A101&lt;&gt;"",'Ratings'!Q5&lt;&gt;""),'Ratings'!A101,"")</f>
        <v/>
      </c>
      <c r="B1534">
        <f>IF(A1534="","",'Employees'!C11)</f>
        <v/>
      </c>
      <c r="C1534">
        <f>IF(A1534="","",'Ratings'!C101)</f>
        <v/>
      </c>
      <c r="D1534">
        <f>IF(A1534="","",'Ratings'!D101)</f>
        <v/>
      </c>
      <c r="E1534">
        <f>IF(AND('Ratings'!A101&lt;&gt;"",'Ratings'!Q5&lt;&gt;""),'Ratings'!Q5,"")</f>
        <v/>
      </c>
      <c r="F1534">
        <f>IF(OR(A1534="",'Ratings'!Q101=""),"",'Ratings'!Q101)</f>
        <v/>
      </c>
      <c r="G1534">
        <f>IF(A1534="","",'Employees'!D11)</f>
        <v/>
      </c>
    </row>
    <row r="1535">
      <c r="A1535">
        <f>IF(AND('Ratings'!A101&lt;&gt;"",'Ratings'!R5&lt;&gt;""),'Ratings'!A101,"")</f>
        <v/>
      </c>
      <c r="B1535">
        <f>IF(A1535="","",'Employees'!C11)</f>
        <v/>
      </c>
      <c r="C1535">
        <f>IF(A1535="","",'Ratings'!C101)</f>
        <v/>
      </c>
      <c r="D1535">
        <f>IF(A1535="","",'Ratings'!D101)</f>
        <v/>
      </c>
      <c r="E1535">
        <f>IF(AND('Ratings'!A101&lt;&gt;"",'Ratings'!R5&lt;&gt;""),'Ratings'!R5,"")</f>
        <v/>
      </c>
      <c r="F1535">
        <f>IF(OR(A1535="",'Ratings'!R101=""),"",'Ratings'!R101)</f>
        <v/>
      </c>
      <c r="G1535">
        <f>IF(A1535="","",'Employees'!D11)</f>
        <v/>
      </c>
    </row>
    <row r="1536">
      <c r="A1536">
        <f>IF(AND('Ratings'!A101&lt;&gt;"",'Ratings'!S5&lt;&gt;""),'Ratings'!A101,"")</f>
        <v/>
      </c>
      <c r="B1536">
        <f>IF(A1536="","",'Employees'!C11)</f>
        <v/>
      </c>
      <c r="C1536">
        <f>IF(A1536="","",'Ratings'!C101)</f>
        <v/>
      </c>
      <c r="D1536">
        <f>IF(A1536="","",'Ratings'!D101)</f>
        <v/>
      </c>
      <c r="E1536">
        <f>IF(AND('Ratings'!A101&lt;&gt;"",'Ratings'!S5&lt;&gt;""),'Ratings'!S5,"")</f>
        <v/>
      </c>
      <c r="F1536">
        <f>IF(OR(A1536="",'Ratings'!S101=""),"",'Ratings'!S101)</f>
        <v/>
      </c>
      <c r="G1536">
        <f>IF(A1536="","",'Employees'!D11)</f>
        <v/>
      </c>
    </row>
    <row r="1537">
      <c r="A1537">
        <f>IF(AND('Ratings'!A101&lt;&gt;"",'Ratings'!T5&lt;&gt;""),'Ratings'!A101,"")</f>
        <v/>
      </c>
      <c r="B1537">
        <f>IF(A1537="","",'Employees'!C11)</f>
        <v/>
      </c>
      <c r="C1537">
        <f>IF(A1537="","",'Ratings'!C101)</f>
        <v/>
      </c>
      <c r="D1537">
        <f>IF(A1537="","",'Ratings'!D101)</f>
        <v/>
      </c>
      <c r="E1537">
        <f>IF(AND('Ratings'!A101&lt;&gt;"",'Ratings'!T5&lt;&gt;""),'Ratings'!T5,"")</f>
        <v/>
      </c>
      <c r="F1537">
        <f>IF(OR(A1537="",'Ratings'!T101=""),"",'Ratings'!T101)</f>
        <v/>
      </c>
      <c r="G1537">
        <f>IF(A1537="","",'Employees'!D11)</f>
        <v/>
      </c>
    </row>
    <row r="1538">
      <c r="A1538">
        <f>IF(AND('Ratings'!A102&lt;&gt;"",'Ratings'!E5&lt;&gt;""),'Ratings'!A102,"")</f>
        <v/>
      </c>
      <c r="B1538">
        <f>IF(A1538="","",'Employees'!C12)</f>
        <v/>
      </c>
      <c r="C1538">
        <f>IF(A1538="","",'Ratings'!C102)</f>
        <v/>
      </c>
      <c r="D1538">
        <f>IF(A1538="","",'Ratings'!D102)</f>
        <v/>
      </c>
      <c r="E1538">
        <f>IF(AND('Ratings'!A102&lt;&gt;"",'Ratings'!E5&lt;&gt;""),'Ratings'!E5,"")</f>
        <v/>
      </c>
      <c r="F1538">
        <f>IF(OR(A1538="",'Ratings'!E102=""),"",'Ratings'!E102)</f>
        <v/>
      </c>
      <c r="G1538">
        <f>IF(A1538="","",'Employees'!D12)</f>
        <v/>
      </c>
    </row>
    <row r="1539">
      <c r="A1539">
        <f>IF(AND('Ratings'!A102&lt;&gt;"",'Ratings'!F5&lt;&gt;""),'Ratings'!A102,"")</f>
        <v/>
      </c>
      <c r="B1539">
        <f>IF(A1539="","",'Employees'!C12)</f>
        <v/>
      </c>
      <c r="C1539">
        <f>IF(A1539="","",'Ratings'!C102)</f>
        <v/>
      </c>
      <c r="D1539">
        <f>IF(A1539="","",'Ratings'!D102)</f>
        <v/>
      </c>
      <c r="E1539">
        <f>IF(AND('Ratings'!A102&lt;&gt;"",'Ratings'!F5&lt;&gt;""),'Ratings'!F5,"")</f>
        <v/>
      </c>
      <c r="F1539">
        <f>IF(OR(A1539="",'Ratings'!F102=""),"",'Ratings'!F102)</f>
        <v/>
      </c>
      <c r="G1539">
        <f>IF(A1539="","",'Employees'!D12)</f>
        <v/>
      </c>
    </row>
    <row r="1540">
      <c r="A1540">
        <f>IF(AND('Ratings'!A102&lt;&gt;"",'Ratings'!G5&lt;&gt;""),'Ratings'!A102,"")</f>
        <v/>
      </c>
      <c r="B1540">
        <f>IF(A1540="","",'Employees'!C12)</f>
        <v/>
      </c>
      <c r="C1540">
        <f>IF(A1540="","",'Ratings'!C102)</f>
        <v/>
      </c>
      <c r="D1540">
        <f>IF(A1540="","",'Ratings'!D102)</f>
        <v/>
      </c>
      <c r="E1540">
        <f>IF(AND('Ratings'!A102&lt;&gt;"",'Ratings'!G5&lt;&gt;""),'Ratings'!G5,"")</f>
        <v/>
      </c>
      <c r="F1540">
        <f>IF(OR(A1540="",'Ratings'!G102=""),"",'Ratings'!G102)</f>
        <v/>
      </c>
      <c r="G1540">
        <f>IF(A1540="","",'Employees'!D12)</f>
        <v/>
      </c>
    </row>
    <row r="1541">
      <c r="A1541">
        <f>IF(AND('Ratings'!A102&lt;&gt;"",'Ratings'!H5&lt;&gt;""),'Ratings'!A102,"")</f>
        <v/>
      </c>
      <c r="B1541">
        <f>IF(A1541="","",'Employees'!C12)</f>
        <v/>
      </c>
      <c r="C1541">
        <f>IF(A1541="","",'Ratings'!C102)</f>
        <v/>
      </c>
      <c r="D1541">
        <f>IF(A1541="","",'Ratings'!D102)</f>
        <v/>
      </c>
      <c r="E1541">
        <f>IF(AND('Ratings'!A102&lt;&gt;"",'Ratings'!H5&lt;&gt;""),'Ratings'!H5,"")</f>
        <v/>
      </c>
      <c r="F1541">
        <f>IF(OR(A1541="",'Ratings'!H102=""),"",'Ratings'!H102)</f>
        <v/>
      </c>
      <c r="G1541">
        <f>IF(A1541="","",'Employees'!D12)</f>
        <v/>
      </c>
    </row>
    <row r="1542">
      <c r="A1542">
        <f>IF(AND('Ratings'!A102&lt;&gt;"",'Ratings'!I5&lt;&gt;""),'Ratings'!A102,"")</f>
        <v/>
      </c>
      <c r="B1542">
        <f>IF(A1542="","",'Employees'!C12)</f>
        <v/>
      </c>
      <c r="C1542">
        <f>IF(A1542="","",'Ratings'!C102)</f>
        <v/>
      </c>
      <c r="D1542">
        <f>IF(A1542="","",'Ratings'!D102)</f>
        <v/>
      </c>
      <c r="E1542">
        <f>IF(AND('Ratings'!A102&lt;&gt;"",'Ratings'!I5&lt;&gt;""),'Ratings'!I5,"")</f>
        <v/>
      </c>
      <c r="F1542">
        <f>IF(OR(A1542="",'Ratings'!I102=""),"",'Ratings'!I102)</f>
        <v/>
      </c>
      <c r="G1542">
        <f>IF(A1542="","",'Employees'!D12)</f>
        <v/>
      </c>
    </row>
    <row r="1543">
      <c r="A1543">
        <f>IF(AND('Ratings'!A102&lt;&gt;"",'Ratings'!J5&lt;&gt;""),'Ratings'!A102,"")</f>
        <v/>
      </c>
      <c r="B1543">
        <f>IF(A1543="","",'Employees'!C12)</f>
        <v/>
      </c>
      <c r="C1543">
        <f>IF(A1543="","",'Ratings'!C102)</f>
        <v/>
      </c>
      <c r="D1543">
        <f>IF(A1543="","",'Ratings'!D102)</f>
        <v/>
      </c>
      <c r="E1543">
        <f>IF(AND('Ratings'!A102&lt;&gt;"",'Ratings'!J5&lt;&gt;""),'Ratings'!J5,"")</f>
        <v/>
      </c>
      <c r="F1543">
        <f>IF(OR(A1543="",'Ratings'!J102=""),"",'Ratings'!J102)</f>
        <v/>
      </c>
      <c r="G1543">
        <f>IF(A1543="","",'Employees'!D12)</f>
        <v/>
      </c>
    </row>
    <row r="1544">
      <c r="A1544">
        <f>IF(AND('Ratings'!A102&lt;&gt;"",'Ratings'!K5&lt;&gt;""),'Ratings'!A102,"")</f>
        <v/>
      </c>
      <c r="B1544">
        <f>IF(A1544="","",'Employees'!C12)</f>
        <v/>
      </c>
      <c r="C1544">
        <f>IF(A1544="","",'Ratings'!C102)</f>
        <v/>
      </c>
      <c r="D1544">
        <f>IF(A1544="","",'Ratings'!D102)</f>
        <v/>
      </c>
      <c r="E1544">
        <f>IF(AND('Ratings'!A102&lt;&gt;"",'Ratings'!K5&lt;&gt;""),'Ratings'!K5,"")</f>
        <v/>
      </c>
      <c r="F1544">
        <f>IF(OR(A1544="",'Ratings'!K102=""),"",'Ratings'!K102)</f>
        <v/>
      </c>
      <c r="G1544">
        <f>IF(A1544="","",'Employees'!D12)</f>
        <v/>
      </c>
    </row>
    <row r="1545">
      <c r="A1545">
        <f>IF(AND('Ratings'!A102&lt;&gt;"",'Ratings'!L5&lt;&gt;""),'Ratings'!A102,"")</f>
        <v/>
      </c>
      <c r="B1545">
        <f>IF(A1545="","",'Employees'!C12)</f>
        <v/>
      </c>
      <c r="C1545">
        <f>IF(A1545="","",'Ratings'!C102)</f>
        <v/>
      </c>
      <c r="D1545">
        <f>IF(A1545="","",'Ratings'!D102)</f>
        <v/>
      </c>
      <c r="E1545">
        <f>IF(AND('Ratings'!A102&lt;&gt;"",'Ratings'!L5&lt;&gt;""),'Ratings'!L5,"")</f>
        <v/>
      </c>
      <c r="F1545">
        <f>IF(OR(A1545="",'Ratings'!L102=""),"",'Ratings'!L102)</f>
        <v/>
      </c>
      <c r="G1545">
        <f>IF(A1545="","",'Employees'!D12)</f>
        <v/>
      </c>
    </row>
    <row r="1546">
      <c r="A1546">
        <f>IF(AND('Ratings'!A102&lt;&gt;"",'Ratings'!M5&lt;&gt;""),'Ratings'!A102,"")</f>
        <v/>
      </c>
      <c r="B1546">
        <f>IF(A1546="","",'Employees'!C12)</f>
        <v/>
      </c>
      <c r="C1546">
        <f>IF(A1546="","",'Ratings'!C102)</f>
        <v/>
      </c>
      <c r="D1546">
        <f>IF(A1546="","",'Ratings'!D102)</f>
        <v/>
      </c>
      <c r="E1546">
        <f>IF(AND('Ratings'!A102&lt;&gt;"",'Ratings'!M5&lt;&gt;""),'Ratings'!M5,"")</f>
        <v/>
      </c>
      <c r="F1546">
        <f>IF(OR(A1546="",'Ratings'!M102=""),"",'Ratings'!M102)</f>
        <v/>
      </c>
      <c r="G1546">
        <f>IF(A1546="","",'Employees'!D12)</f>
        <v/>
      </c>
    </row>
    <row r="1547">
      <c r="A1547">
        <f>IF(AND('Ratings'!A102&lt;&gt;"",'Ratings'!N5&lt;&gt;""),'Ratings'!A102,"")</f>
        <v/>
      </c>
      <c r="B1547">
        <f>IF(A1547="","",'Employees'!C12)</f>
        <v/>
      </c>
      <c r="C1547">
        <f>IF(A1547="","",'Ratings'!C102)</f>
        <v/>
      </c>
      <c r="D1547">
        <f>IF(A1547="","",'Ratings'!D102)</f>
        <v/>
      </c>
      <c r="E1547">
        <f>IF(AND('Ratings'!A102&lt;&gt;"",'Ratings'!N5&lt;&gt;""),'Ratings'!N5,"")</f>
        <v/>
      </c>
      <c r="F1547">
        <f>IF(OR(A1547="",'Ratings'!N102=""),"",'Ratings'!N102)</f>
        <v/>
      </c>
      <c r="G1547">
        <f>IF(A1547="","",'Employees'!D12)</f>
        <v/>
      </c>
    </row>
    <row r="1548">
      <c r="A1548">
        <f>IF(AND('Ratings'!A102&lt;&gt;"",'Ratings'!O5&lt;&gt;""),'Ratings'!A102,"")</f>
        <v/>
      </c>
      <c r="B1548">
        <f>IF(A1548="","",'Employees'!C12)</f>
        <v/>
      </c>
      <c r="C1548">
        <f>IF(A1548="","",'Ratings'!C102)</f>
        <v/>
      </c>
      <c r="D1548">
        <f>IF(A1548="","",'Ratings'!D102)</f>
        <v/>
      </c>
      <c r="E1548">
        <f>IF(AND('Ratings'!A102&lt;&gt;"",'Ratings'!O5&lt;&gt;""),'Ratings'!O5,"")</f>
        <v/>
      </c>
      <c r="F1548">
        <f>IF(OR(A1548="",'Ratings'!O102=""),"",'Ratings'!O102)</f>
        <v/>
      </c>
      <c r="G1548">
        <f>IF(A1548="","",'Employees'!D12)</f>
        <v/>
      </c>
    </row>
    <row r="1549">
      <c r="A1549">
        <f>IF(AND('Ratings'!A102&lt;&gt;"",'Ratings'!P5&lt;&gt;""),'Ratings'!A102,"")</f>
        <v/>
      </c>
      <c r="B1549">
        <f>IF(A1549="","",'Employees'!C12)</f>
        <v/>
      </c>
      <c r="C1549">
        <f>IF(A1549="","",'Ratings'!C102)</f>
        <v/>
      </c>
      <c r="D1549">
        <f>IF(A1549="","",'Ratings'!D102)</f>
        <v/>
      </c>
      <c r="E1549">
        <f>IF(AND('Ratings'!A102&lt;&gt;"",'Ratings'!P5&lt;&gt;""),'Ratings'!P5,"")</f>
        <v/>
      </c>
      <c r="F1549">
        <f>IF(OR(A1549="",'Ratings'!P102=""),"",'Ratings'!P102)</f>
        <v/>
      </c>
      <c r="G1549">
        <f>IF(A1549="","",'Employees'!D12)</f>
        <v/>
      </c>
    </row>
    <row r="1550">
      <c r="A1550">
        <f>IF(AND('Ratings'!A102&lt;&gt;"",'Ratings'!Q5&lt;&gt;""),'Ratings'!A102,"")</f>
        <v/>
      </c>
      <c r="B1550">
        <f>IF(A1550="","",'Employees'!C12)</f>
        <v/>
      </c>
      <c r="C1550">
        <f>IF(A1550="","",'Ratings'!C102)</f>
        <v/>
      </c>
      <c r="D1550">
        <f>IF(A1550="","",'Ratings'!D102)</f>
        <v/>
      </c>
      <c r="E1550">
        <f>IF(AND('Ratings'!A102&lt;&gt;"",'Ratings'!Q5&lt;&gt;""),'Ratings'!Q5,"")</f>
        <v/>
      </c>
      <c r="F1550">
        <f>IF(OR(A1550="",'Ratings'!Q102=""),"",'Ratings'!Q102)</f>
        <v/>
      </c>
      <c r="G1550">
        <f>IF(A1550="","",'Employees'!D12)</f>
        <v/>
      </c>
    </row>
    <row r="1551">
      <c r="A1551">
        <f>IF(AND('Ratings'!A102&lt;&gt;"",'Ratings'!R5&lt;&gt;""),'Ratings'!A102,"")</f>
        <v/>
      </c>
      <c r="B1551">
        <f>IF(A1551="","",'Employees'!C12)</f>
        <v/>
      </c>
      <c r="C1551">
        <f>IF(A1551="","",'Ratings'!C102)</f>
        <v/>
      </c>
      <c r="D1551">
        <f>IF(A1551="","",'Ratings'!D102)</f>
        <v/>
      </c>
      <c r="E1551">
        <f>IF(AND('Ratings'!A102&lt;&gt;"",'Ratings'!R5&lt;&gt;""),'Ratings'!R5,"")</f>
        <v/>
      </c>
      <c r="F1551">
        <f>IF(OR(A1551="",'Ratings'!R102=""),"",'Ratings'!R102)</f>
        <v/>
      </c>
      <c r="G1551">
        <f>IF(A1551="","",'Employees'!D12)</f>
        <v/>
      </c>
    </row>
    <row r="1552">
      <c r="A1552">
        <f>IF(AND('Ratings'!A102&lt;&gt;"",'Ratings'!S5&lt;&gt;""),'Ratings'!A102,"")</f>
        <v/>
      </c>
      <c r="B1552">
        <f>IF(A1552="","",'Employees'!C12)</f>
        <v/>
      </c>
      <c r="C1552">
        <f>IF(A1552="","",'Ratings'!C102)</f>
        <v/>
      </c>
      <c r="D1552">
        <f>IF(A1552="","",'Ratings'!D102)</f>
        <v/>
      </c>
      <c r="E1552">
        <f>IF(AND('Ratings'!A102&lt;&gt;"",'Ratings'!S5&lt;&gt;""),'Ratings'!S5,"")</f>
        <v/>
      </c>
      <c r="F1552">
        <f>IF(OR(A1552="",'Ratings'!S102=""),"",'Ratings'!S102)</f>
        <v/>
      </c>
      <c r="G1552">
        <f>IF(A1552="","",'Employees'!D12)</f>
        <v/>
      </c>
    </row>
    <row r="1553">
      <c r="A1553">
        <f>IF(AND('Ratings'!A102&lt;&gt;"",'Ratings'!T5&lt;&gt;""),'Ratings'!A102,"")</f>
        <v/>
      </c>
      <c r="B1553">
        <f>IF(A1553="","",'Employees'!C12)</f>
        <v/>
      </c>
      <c r="C1553">
        <f>IF(A1553="","",'Ratings'!C102)</f>
        <v/>
      </c>
      <c r="D1553">
        <f>IF(A1553="","",'Ratings'!D102)</f>
        <v/>
      </c>
      <c r="E1553">
        <f>IF(AND('Ratings'!A102&lt;&gt;"",'Ratings'!T5&lt;&gt;""),'Ratings'!T5,"")</f>
        <v/>
      </c>
      <c r="F1553">
        <f>IF(OR(A1553="",'Ratings'!T102=""),"",'Ratings'!T102)</f>
        <v/>
      </c>
      <c r="G1553">
        <f>IF(A1553="","",'Employees'!D12)</f>
        <v/>
      </c>
    </row>
    <row r="1554">
      <c r="A1554">
        <f>IF(AND('Ratings'!A103&lt;&gt;"",'Ratings'!E5&lt;&gt;""),'Ratings'!A103,"")</f>
        <v/>
      </c>
      <c r="B1554">
        <f>IF(A1554="","",'Employees'!C12)</f>
        <v/>
      </c>
      <c r="C1554">
        <f>IF(A1554="","",'Ratings'!C103)</f>
        <v/>
      </c>
      <c r="D1554">
        <f>IF(A1554="","",'Ratings'!D103)</f>
        <v/>
      </c>
      <c r="E1554">
        <f>IF(AND('Ratings'!A103&lt;&gt;"",'Ratings'!E5&lt;&gt;""),'Ratings'!E5,"")</f>
        <v/>
      </c>
      <c r="F1554">
        <f>IF(OR(A1554="",'Ratings'!E103=""),"",'Ratings'!E103)</f>
        <v/>
      </c>
      <c r="G1554">
        <f>IF(A1554="","",'Employees'!D12)</f>
        <v/>
      </c>
    </row>
    <row r="1555">
      <c r="A1555">
        <f>IF(AND('Ratings'!A103&lt;&gt;"",'Ratings'!F5&lt;&gt;""),'Ratings'!A103,"")</f>
        <v/>
      </c>
      <c r="B1555">
        <f>IF(A1555="","",'Employees'!C12)</f>
        <v/>
      </c>
      <c r="C1555">
        <f>IF(A1555="","",'Ratings'!C103)</f>
        <v/>
      </c>
      <c r="D1555">
        <f>IF(A1555="","",'Ratings'!D103)</f>
        <v/>
      </c>
      <c r="E1555">
        <f>IF(AND('Ratings'!A103&lt;&gt;"",'Ratings'!F5&lt;&gt;""),'Ratings'!F5,"")</f>
        <v/>
      </c>
      <c r="F1555">
        <f>IF(OR(A1555="",'Ratings'!F103=""),"",'Ratings'!F103)</f>
        <v/>
      </c>
      <c r="G1555">
        <f>IF(A1555="","",'Employees'!D12)</f>
        <v/>
      </c>
    </row>
    <row r="1556">
      <c r="A1556">
        <f>IF(AND('Ratings'!A103&lt;&gt;"",'Ratings'!G5&lt;&gt;""),'Ratings'!A103,"")</f>
        <v/>
      </c>
      <c r="B1556">
        <f>IF(A1556="","",'Employees'!C12)</f>
        <v/>
      </c>
      <c r="C1556">
        <f>IF(A1556="","",'Ratings'!C103)</f>
        <v/>
      </c>
      <c r="D1556">
        <f>IF(A1556="","",'Ratings'!D103)</f>
        <v/>
      </c>
      <c r="E1556">
        <f>IF(AND('Ratings'!A103&lt;&gt;"",'Ratings'!G5&lt;&gt;""),'Ratings'!G5,"")</f>
        <v/>
      </c>
      <c r="F1556">
        <f>IF(OR(A1556="",'Ratings'!G103=""),"",'Ratings'!G103)</f>
        <v/>
      </c>
      <c r="G1556">
        <f>IF(A1556="","",'Employees'!D12)</f>
        <v/>
      </c>
    </row>
    <row r="1557">
      <c r="A1557">
        <f>IF(AND('Ratings'!A103&lt;&gt;"",'Ratings'!H5&lt;&gt;""),'Ratings'!A103,"")</f>
        <v/>
      </c>
      <c r="B1557">
        <f>IF(A1557="","",'Employees'!C12)</f>
        <v/>
      </c>
      <c r="C1557">
        <f>IF(A1557="","",'Ratings'!C103)</f>
        <v/>
      </c>
      <c r="D1557">
        <f>IF(A1557="","",'Ratings'!D103)</f>
        <v/>
      </c>
      <c r="E1557">
        <f>IF(AND('Ratings'!A103&lt;&gt;"",'Ratings'!H5&lt;&gt;""),'Ratings'!H5,"")</f>
        <v/>
      </c>
      <c r="F1557">
        <f>IF(OR(A1557="",'Ratings'!H103=""),"",'Ratings'!H103)</f>
        <v/>
      </c>
      <c r="G1557">
        <f>IF(A1557="","",'Employees'!D12)</f>
        <v/>
      </c>
    </row>
    <row r="1558">
      <c r="A1558">
        <f>IF(AND('Ratings'!A103&lt;&gt;"",'Ratings'!I5&lt;&gt;""),'Ratings'!A103,"")</f>
        <v/>
      </c>
      <c r="B1558">
        <f>IF(A1558="","",'Employees'!C12)</f>
        <v/>
      </c>
      <c r="C1558">
        <f>IF(A1558="","",'Ratings'!C103)</f>
        <v/>
      </c>
      <c r="D1558">
        <f>IF(A1558="","",'Ratings'!D103)</f>
        <v/>
      </c>
      <c r="E1558">
        <f>IF(AND('Ratings'!A103&lt;&gt;"",'Ratings'!I5&lt;&gt;""),'Ratings'!I5,"")</f>
        <v/>
      </c>
      <c r="F1558">
        <f>IF(OR(A1558="",'Ratings'!I103=""),"",'Ratings'!I103)</f>
        <v/>
      </c>
      <c r="G1558">
        <f>IF(A1558="","",'Employees'!D12)</f>
        <v/>
      </c>
    </row>
    <row r="1559">
      <c r="A1559">
        <f>IF(AND('Ratings'!A103&lt;&gt;"",'Ratings'!J5&lt;&gt;""),'Ratings'!A103,"")</f>
        <v/>
      </c>
      <c r="B1559">
        <f>IF(A1559="","",'Employees'!C12)</f>
        <v/>
      </c>
      <c r="C1559">
        <f>IF(A1559="","",'Ratings'!C103)</f>
        <v/>
      </c>
      <c r="D1559">
        <f>IF(A1559="","",'Ratings'!D103)</f>
        <v/>
      </c>
      <c r="E1559">
        <f>IF(AND('Ratings'!A103&lt;&gt;"",'Ratings'!J5&lt;&gt;""),'Ratings'!J5,"")</f>
        <v/>
      </c>
      <c r="F1559">
        <f>IF(OR(A1559="",'Ratings'!J103=""),"",'Ratings'!J103)</f>
        <v/>
      </c>
      <c r="G1559">
        <f>IF(A1559="","",'Employees'!D12)</f>
        <v/>
      </c>
    </row>
    <row r="1560">
      <c r="A1560">
        <f>IF(AND('Ratings'!A103&lt;&gt;"",'Ratings'!K5&lt;&gt;""),'Ratings'!A103,"")</f>
        <v/>
      </c>
      <c r="B1560">
        <f>IF(A1560="","",'Employees'!C12)</f>
        <v/>
      </c>
      <c r="C1560">
        <f>IF(A1560="","",'Ratings'!C103)</f>
        <v/>
      </c>
      <c r="D1560">
        <f>IF(A1560="","",'Ratings'!D103)</f>
        <v/>
      </c>
      <c r="E1560">
        <f>IF(AND('Ratings'!A103&lt;&gt;"",'Ratings'!K5&lt;&gt;""),'Ratings'!K5,"")</f>
        <v/>
      </c>
      <c r="F1560">
        <f>IF(OR(A1560="",'Ratings'!K103=""),"",'Ratings'!K103)</f>
        <v/>
      </c>
      <c r="G1560">
        <f>IF(A1560="","",'Employees'!D12)</f>
        <v/>
      </c>
    </row>
    <row r="1561">
      <c r="A1561">
        <f>IF(AND('Ratings'!A103&lt;&gt;"",'Ratings'!L5&lt;&gt;""),'Ratings'!A103,"")</f>
        <v/>
      </c>
      <c r="B1561">
        <f>IF(A1561="","",'Employees'!C12)</f>
        <v/>
      </c>
      <c r="C1561">
        <f>IF(A1561="","",'Ratings'!C103)</f>
        <v/>
      </c>
      <c r="D1561">
        <f>IF(A1561="","",'Ratings'!D103)</f>
        <v/>
      </c>
      <c r="E1561">
        <f>IF(AND('Ratings'!A103&lt;&gt;"",'Ratings'!L5&lt;&gt;""),'Ratings'!L5,"")</f>
        <v/>
      </c>
      <c r="F1561">
        <f>IF(OR(A1561="",'Ratings'!L103=""),"",'Ratings'!L103)</f>
        <v/>
      </c>
      <c r="G1561">
        <f>IF(A1561="","",'Employees'!D12)</f>
        <v/>
      </c>
    </row>
    <row r="1562">
      <c r="A1562">
        <f>IF(AND('Ratings'!A103&lt;&gt;"",'Ratings'!M5&lt;&gt;""),'Ratings'!A103,"")</f>
        <v/>
      </c>
      <c r="B1562">
        <f>IF(A1562="","",'Employees'!C12)</f>
        <v/>
      </c>
      <c r="C1562">
        <f>IF(A1562="","",'Ratings'!C103)</f>
        <v/>
      </c>
      <c r="D1562">
        <f>IF(A1562="","",'Ratings'!D103)</f>
        <v/>
      </c>
      <c r="E1562">
        <f>IF(AND('Ratings'!A103&lt;&gt;"",'Ratings'!M5&lt;&gt;""),'Ratings'!M5,"")</f>
        <v/>
      </c>
      <c r="F1562">
        <f>IF(OR(A1562="",'Ratings'!M103=""),"",'Ratings'!M103)</f>
        <v/>
      </c>
      <c r="G1562">
        <f>IF(A1562="","",'Employees'!D12)</f>
        <v/>
      </c>
    </row>
    <row r="1563">
      <c r="A1563">
        <f>IF(AND('Ratings'!A103&lt;&gt;"",'Ratings'!N5&lt;&gt;""),'Ratings'!A103,"")</f>
        <v/>
      </c>
      <c r="B1563">
        <f>IF(A1563="","",'Employees'!C12)</f>
        <v/>
      </c>
      <c r="C1563">
        <f>IF(A1563="","",'Ratings'!C103)</f>
        <v/>
      </c>
      <c r="D1563">
        <f>IF(A1563="","",'Ratings'!D103)</f>
        <v/>
      </c>
      <c r="E1563">
        <f>IF(AND('Ratings'!A103&lt;&gt;"",'Ratings'!N5&lt;&gt;""),'Ratings'!N5,"")</f>
        <v/>
      </c>
      <c r="F1563">
        <f>IF(OR(A1563="",'Ratings'!N103=""),"",'Ratings'!N103)</f>
        <v/>
      </c>
      <c r="G1563">
        <f>IF(A1563="","",'Employees'!D12)</f>
        <v/>
      </c>
    </row>
    <row r="1564">
      <c r="A1564">
        <f>IF(AND('Ratings'!A103&lt;&gt;"",'Ratings'!O5&lt;&gt;""),'Ratings'!A103,"")</f>
        <v/>
      </c>
      <c r="B1564">
        <f>IF(A1564="","",'Employees'!C12)</f>
        <v/>
      </c>
      <c r="C1564">
        <f>IF(A1564="","",'Ratings'!C103)</f>
        <v/>
      </c>
      <c r="D1564">
        <f>IF(A1564="","",'Ratings'!D103)</f>
        <v/>
      </c>
      <c r="E1564">
        <f>IF(AND('Ratings'!A103&lt;&gt;"",'Ratings'!O5&lt;&gt;""),'Ratings'!O5,"")</f>
        <v/>
      </c>
      <c r="F1564">
        <f>IF(OR(A1564="",'Ratings'!O103=""),"",'Ratings'!O103)</f>
        <v/>
      </c>
      <c r="G1564">
        <f>IF(A1564="","",'Employees'!D12)</f>
        <v/>
      </c>
    </row>
    <row r="1565">
      <c r="A1565">
        <f>IF(AND('Ratings'!A103&lt;&gt;"",'Ratings'!P5&lt;&gt;""),'Ratings'!A103,"")</f>
        <v/>
      </c>
      <c r="B1565">
        <f>IF(A1565="","",'Employees'!C12)</f>
        <v/>
      </c>
      <c r="C1565">
        <f>IF(A1565="","",'Ratings'!C103)</f>
        <v/>
      </c>
      <c r="D1565">
        <f>IF(A1565="","",'Ratings'!D103)</f>
        <v/>
      </c>
      <c r="E1565">
        <f>IF(AND('Ratings'!A103&lt;&gt;"",'Ratings'!P5&lt;&gt;""),'Ratings'!P5,"")</f>
        <v/>
      </c>
      <c r="F1565">
        <f>IF(OR(A1565="",'Ratings'!P103=""),"",'Ratings'!P103)</f>
        <v/>
      </c>
      <c r="G1565">
        <f>IF(A1565="","",'Employees'!D12)</f>
        <v/>
      </c>
    </row>
    <row r="1566">
      <c r="A1566">
        <f>IF(AND('Ratings'!A103&lt;&gt;"",'Ratings'!Q5&lt;&gt;""),'Ratings'!A103,"")</f>
        <v/>
      </c>
      <c r="B1566">
        <f>IF(A1566="","",'Employees'!C12)</f>
        <v/>
      </c>
      <c r="C1566">
        <f>IF(A1566="","",'Ratings'!C103)</f>
        <v/>
      </c>
      <c r="D1566">
        <f>IF(A1566="","",'Ratings'!D103)</f>
        <v/>
      </c>
      <c r="E1566">
        <f>IF(AND('Ratings'!A103&lt;&gt;"",'Ratings'!Q5&lt;&gt;""),'Ratings'!Q5,"")</f>
        <v/>
      </c>
      <c r="F1566">
        <f>IF(OR(A1566="",'Ratings'!Q103=""),"",'Ratings'!Q103)</f>
        <v/>
      </c>
      <c r="G1566">
        <f>IF(A1566="","",'Employees'!D12)</f>
        <v/>
      </c>
    </row>
    <row r="1567">
      <c r="A1567">
        <f>IF(AND('Ratings'!A103&lt;&gt;"",'Ratings'!R5&lt;&gt;""),'Ratings'!A103,"")</f>
        <v/>
      </c>
      <c r="B1567">
        <f>IF(A1567="","",'Employees'!C12)</f>
        <v/>
      </c>
      <c r="C1567">
        <f>IF(A1567="","",'Ratings'!C103)</f>
        <v/>
      </c>
      <c r="D1567">
        <f>IF(A1567="","",'Ratings'!D103)</f>
        <v/>
      </c>
      <c r="E1567">
        <f>IF(AND('Ratings'!A103&lt;&gt;"",'Ratings'!R5&lt;&gt;""),'Ratings'!R5,"")</f>
        <v/>
      </c>
      <c r="F1567">
        <f>IF(OR(A1567="",'Ratings'!R103=""),"",'Ratings'!R103)</f>
        <v/>
      </c>
      <c r="G1567">
        <f>IF(A1567="","",'Employees'!D12)</f>
        <v/>
      </c>
    </row>
    <row r="1568">
      <c r="A1568">
        <f>IF(AND('Ratings'!A103&lt;&gt;"",'Ratings'!S5&lt;&gt;""),'Ratings'!A103,"")</f>
        <v/>
      </c>
      <c r="B1568">
        <f>IF(A1568="","",'Employees'!C12)</f>
        <v/>
      </c>
      <c r="C1568">
        <f>IF(A1568="","",'Ratings'!C103)</f>
        <v/>
      </c>
      <c r="D1568">
        <f>IF(A1568="","",'Ratings'!D103)</f>
        <v/>
      </c>
      <c r="E1568">
        <f>IF(AND('Ratings'!A103&lt;&gt;"",'Ratings'!S5&lt;&gt;""),'Ratings'!S5,"")</f>
        <v/>
      </c>
      <c r="F1568">
        <f>IF(OR(A1568="",'Ratings'!S103=""),"",'Ratings'!S103)</f>
        <v/>
      </c>
      <c r="G1568">
        <f>IF(A1568="","",'Employees'!D12)</f>
        <v/>
      </c>
    </row>
    <row r="1569">
      <c r="A1569">
        <f>IF(AND('Ratings'!A103&lt;&gt;"",'Ratings'!T5&lt;&gt;""),'Ratings'!A103,"")</f>
        <v/>
      </c>
      <c r="B1569">
        <f>IF(A1569="","",'Employees'!C12)</f>
        <v/>
      </c>
      <c r="C1569">
        <f>IF(A1569="","",'Ratings'!C103)</f>
        <v/>
      </c>
      <c r="D1569">
        <f>IF(A1569="","",'Ratings'!D103)</f>
        <v/>
      </c>
      <c r="E1569">
        <f>IF(AND('Ratings'!A103&lt;&gt;"",'Ratings'!T5&lt;&gt;""),'Ratings'!T5,"")</f>
        <v/>
      </c>
      <c r="F1569">
        <f>IF(OR(A1569="",'Ratings'!T103=""),"",'Ratings'!T103)</f>
        <v/>
      </c>
      <c r="G1569">
        <f>IF(A1569="","",'Employees'!D12)</f>
        <v/>
      </c>
    </row>
    <row r="1570">
      <c r="A1570">
        <f>IF(AND('Ratings'!A104&lt;&gt;"",'Ratings'!E5&lt;&gt;""),'Ratings'!A104,"")</f>
        <v/>
      </c>
      <c r="B1570">
        <f>IF(A1570="","",'Employees'!C12)</f>
        <v/>
      </c>
      <c r="C1570">
        <f>IF(A1570="","",'Ratings'!C104)</f>
        <v/>
      </c>
      <c r="D1570">
        <f>IF(A1570="","",'Ratings'!D104)</f>
        <v/>
      </c>
      <c r="E1570">
        <f>IF(AND('Ratings'!A104&lt;&gt;"",'Ratings'!E5&lt;&gt;""),'Ratings'!E5,"")</f>
        <v/>
      </c>
      <c r="F1570">
        <f>IF(OR(A1570="",'Ratings'!E104=""),"",'Ratings'!E104)</f>
        <v/>
      </c>
      <c r="G1570">
        <f>IF(A1570="","",'Employees'!D12)</f>
        <v/>
      </c>
    </row>
    <row r="1571">
      <c r="A1571">
        <f>IF(AND('Ratings'!A104&lt;&gt;"",'Ratings'!F5&lt;&gt;""),'Ratings'!A104,"")</f>
        <v/>
      </c>
      <c r="B1571">
        <f>IF(A1571="","",'Employees'!C12)</f>
        <v/>
      </c>
      <c r="C1571">
        <f>IF(A1571="","",'Ratings'!C104)</f>
        <v/>
      </c>
      <c r="D1571">
        <f>IF(A1571="","",'Ratings'!D104)</f>
        <v/>
      </c>
      <c r="E1571">
        <f>IF(AND('Ratings'!A104&lt;&gt;"",'Ratings'!F5&lt;&gt;""),'Ratings'!F5,"")</f>
        <v/>
      </c>
      <c r="F1571">
        <f>IF(OR(A1571="",'Ratings'!F104=""),"",'Ratings'!F104)</f>
        <v/>
      </c>
      <c r="G1571">
        <f>IF(A1571="","",'Employees'!D12)</f>
        <v/>
      </c>
    </row>
    <row r="1572">
      <c r="A1572">
        <f>IF(AND('Ratings'!A104&lt;&gt;"",'Ratings'!G5&lt;&gt;""),'Ratings'!A104,"")</f>
        <v/>
      </c>
      <c r="B1572">
        <f>IF(A1572="","",'Employees'!C12)</f>
        <v/>
      </c>
      <c r="C1572">
        <f>IF(A1572="","",'Ratings'!C104)</f>
        <v/>
      </c>
      <c r="D1572">
        <f>IF(A1572="","",'Ratings'!D104)</f>
        <v/>
      </c>
      <c r="E1572">
        <f>IF(AND('Ratings'!A104&lt;&gt;"",'Ratings'!G5&lt;&gt;""),'Ratings'!G5,"")</f>
        <v/>
      </c>
      <c r="F1572">
        <f>IF(OR(A1572="",'Ratings'!G104=""),"",'Ratings'!G104)</f>
        <v/>
      </c>
      <c r="G1572">
        <f>IF(A1572="","",'Employees'!D12)</f>
        <v/>
      </c>
    </row>
    <row r="1573">
      <c r="A1573">
        <f>IF(AND('Ratings'!A104&lt;&gt;"",'Ratings'!H5&lt;&gt;""),'Ratings'!A104,"")</f>
        <v/>
      </c>
      <c r="B1573">
        <f>IF(A1573="","",'Employees'!C12)</f>
        <v/>
      </c>
      <c r="C1573">
        <f>IF(A1573="","",'Ratings'!C104)</f>
        <v/>
      </c>
      <c r="D1573">
        <f>IF(A1573="","",'Ratings'!D104)</f>
        <v/>
      </c>
      <c r="E1573">
        <f>IF(AND('Ratings'!A104&lt;&gt;"",'Ratings'!H5&lt;&gt;""),'Ratings'!H5,"")</f>
        <v/>
      </c>
      <c r="F1573">
        <f>IF(OR(A1573="",'Ratings'!H104=""),"",'Ratings'!H104)</f>
        <v/>
      </c>
      <c r="G1573">
        <f>IF(A1573="","",'Employees'!D12)</f>
        <v/>
      </c>
    </row>
    <row r="1574">
      <c r="A1574">
        <f>IF(AND('Ratings'!A104&lt;&gt;"",'Ratings'!I5&lt;&gt;""),'Ratings'!A104,"")</f>
        <v/>
      </c>
      <c r="B1574">
        <f>IF(A1574="","",'Employees'!C12)</f>
        <v/>
      </c>
      <c r="C1574">
        <f>IF(A1574="","",'Ratings'!C104)</f>
        <v/>
      </c>
      <c r="D1574">
        <f>IF(A1574="","",'Ratings'!D104)</f>
        <v/>
      </c>
      <c r="E1574">
        <f>IF(AND('Ratings'!A104&lt;&gt;"",'Ratings'!I5&lt;&gt;""),'Ratings'!I5,"")</f>
        <v/>
      </c>
      <c r="F1574">
        <f>IF(OR(A1574="",'Ratings'!I104=""),"",'Ratings'!I104)</f>
        <v/>
      </c>
      <c r="G1574">
        <f>IF(A1574="","",'Employees'!D12)</f>
        <v/>
      </c>
    </row>
    <row r="1575">
      <c r="A1575">
        <f>IF(AND('Ratings'!A104&lt;&gt;"",'Ratings'!J5&lt;&gt;""),'Ratings'!A104,"")</f>
        <v/>
      </c>
      <c r="B1575">
        <f>IF(A1575="","",'Employees'!C12)</f>
        <v/>
      </c>
      <c r="C1575">
        <f>IF(A1575="","",'Ratings'!C104)</f>
        <v/>
      </c>
      <c r="D1575">
        <f>IF(A1575="","",'Ratings'!D104)</f>
        <v/>
      </c>
      <c r="E1575">
        <f>IF(AND('Ratings'!A104&lt;&gt;"",'Ratings'!J5&lt;&gt;""),'Ratings'!J5,"")</f>
        <v/>
      </c>
      <c r="F1575">
        <f>IF(OR(A1575="",'Ratings'!J104=""),"",'Ratings'!J104)</f>
        <v/>
      </c>
      <c r="G1575">
        <f>IF(A1575="","",'Employees'!D12)</f>
        <v/>
      </c>
    </row>
    <row r="1576">
      <c r="A1576">
        <f>IF(AND('Ratings'!A104&lt;&gt;"",'Ratings'!K5&lt;&gt;""),'Ratings'!A104,"")</f>
        <v/>
      </c>
      <c r="B1576">
        <f>IF(A1576="","",'Employees'!C12)</f>
        <v/>
      </c>
      <c r="C1576">
        <f>IF(A1576="","",'Ratings'!C104)</f>
        <v/>
      </c>
      <c r="D1576">
        <f>IF(A1576="","",'Ratings'!D104)</f>
        <v/>
      </c>
      <c r="E1576">
        <f>IF(AND('Ratings'!A104&lt;&gt;"",'Ratings'!K5&lt;&gt;""),'Ratings'!K5,"")</f>
        <v/>
      </c>
      <c r="F1576">
        <f>IF(OR(A1576="",'Ratings'!K104=""),"",'Ratings'!K104)</f>
        <v/>
      </c>
      <c r="G1576">
        <f>IF(A1576="","",'Employees'!D12)</f>
        <v/>
      </c>
    </row>
    <row r="1577">
      <c r="A1577">
        <f>IF(AND('Ratings'!A104&lt;&gt;"",'Ratings'!L5&lt;&gt;""),'Ratings'!A104,"")</f>
        <v/>
      </c>
      <c r="B1577">
        <f>IF(A1577="","",'Employees'!C12)</f>
        <v/>
      </c>
      <c r="C1577">
        <f>IF(A1577="","",'Ratings'!C104)</f>
        <v/>
      </c>
      <c r="D1577">
        <f>IF(A1577="","",'Ratings'!D104)</f>
        <v/>
      </c>
      <c r="E1577">
        <f>IF(AND('Ratings'!A104&lt;&gt;"",'Ratings'!L5&lt;&gt;""),'Ratings'!L5,"")</f>
        <v/>
      </c>
      <c r="F1577">
        <f>IF(OR(A1577="",'Ratings'!L104=""),"",'Ratings'!L104)</f>
        <v/>
      </c>
      <c r="G1577">
        <f>IF(A1577="","",'Employees'!D12)</f>
        <v/>
      </c>
    </row>
    <row r="1578">
      <c r="A1578">
        <f>IF(AND('Ratings'!A104&lt;&gt;"",'Ratings'!M5&lt;&gt;""),'Ratings'!A104,"")</f>
        <v/>
      </c>
      <c r="B1578">
        <f>IF(A1578="","",'Employees'!C12)</f>
        <v/>
      </c>
      <c r="C1578">
        <f>IF(A1578="","",'Ratings'!C104)</f>
        <v/>
      </c>
      <c r="D1578">
        <f>IF(A1578="","",'Ratings'!D104)</f>
        <v/>
      </c>
      <c r="E1578">
        <f>IF(AND('Ratings'!A104&lt;&gt;"",'Ratings'!M5&lt;&gt;""),'Ratings'!M5,"")</f>
        <v/>
      </c>
      <c r="F1578">
        <f>IF(OR(A1578="",'Ratings'!M104=""),"",'Ratings'!M104)</f>
        <v/>
      </c>
      <c r="G1578">
        <f>IF(A1578="","",'Employees'!D12)</f>
        <v/>
      </c>
    </row>
    <row r="1579">
      <c r="A1579">
        <f>IF(AND('Ratings'!A104&lt;&gt;"",'Ratings'!N5&lt;&gt;""),'Ratings'!A104,"")</f>
        <v/>
      </c>
      <c r="B1579">
        <f>IF(A1579="","",'Employees'!C12)</f>
        <v/>
      </c>
      <c r="C1579">
        <f>IF(A1579="","",'Ratings'!C104)</f>
        <v/>
      </c>
      <c r="D1579">
        <f>IF(A1579="","",'Ratings'!D104)</f>
        <v/>
      </c>
      <c r="E1579">
        <f>IF(AND('Ratings'!A104&lt;&gt;"",'Ratings'!N5&lt;&gt;""),'Ratings'!N5,"")</f>
        <v/>
      </c>
      <c r="F1579">
        <f>IF(OR(A1579="",'Ratings'!N104=""),"",'Ratings'!N104)</f>
        <v/>
      </c>
      <c r="G1579">
        <f>IF(A1579="","",'Employees'!D12)</f>
        <v/>
      </c>
    </row>
    <row r="1580">
      <c r="A1580">
        <f>IF(AND('Ratings'!A104&lt;&gt;"",'Ratings'!O5&lt;&gt;""),'Ratings'!A104,"")</f>
        <v/>
      </c>
      <c r="B1580">
        <f>IF(A1580="","",'Employees'!C12)</f>
        <v/>
      </c>
      <c r="C1580">
        <f>IF(A1580="","",'Ratings'!C104)</f>
        <v/>
      </c>
      <c r="D1580">
        <f>IF(A1580="","",'Ratings'!D104)</f>
        <v/>
      </c>
      <c r="E1580">
        <f>IF(AND('Ratings'!A104&lt;&gt;"",'Ratings'!O5&lt;&gt;""),'Ratings'!O5,"")</f>
        <v/>
      </c>
      <c r="F1580">
        <f>IF(OR(A1580="",'Ratings'!O104=""),"",'Ratings'!O104)</f>
        <v/>
      </c>
      <c r="G1580">
        <f>IF(A1580="","",'Employees'!D12)</f>
        <v/>
      </c>
    </row>
    <row r="1581">
      <c r="A1581">
        <f>IF(AND('Ratings'!A104&lt;&gt;"",'Ratings'!P5&lt;&gt;""),'Ratings'!A104,"")</f>
        <v/>
      </c>
      <c r="B1581">
        <f>IF(A1581="","",'Employees'!C12)</f>
        <v/>
      </c>
      <c r="C1581">
        <f>IF(A1581="","",'Ratings'!C104)</f>
        <v/>
      </c>
      <c r="D1581">
        <f>IF(A1581="","",'Ratings'!D104)</f>
        <v/>
      </c>
      <c r="E1581">
        <f>IF(AND('Ratings'!A104&lt;&gt;"",'Ratings'!P5&lt;&gt;""),'Ratings'!P5,"")</f>
        <v/>
      </c>
      <c r="F1581">
        <f>IF(OR(A1581="",'Ratings'!P104=""),"",'Ratings'!P104)</f>
        <v/>
      </c>
      <c r="G1581">
        <f>IF(A1581="","",'Employees'!D12)</f>
        <v/>
      </c>
    </row>
    <row r="1582">
      <c r="A1582">
        <f>IF(AND('Ratings'!A104&lt;&gt;"",'Ratings'!Q5&lt;&gt;""),'Ratings'!A104,"")</f>
        <v/>
      </c>
      <c r="B1582">
        <f>IF(A1582="","",'Employees'!C12)</f>
        <v/>
      </c>
      <c r="C1582">
        <f>IF(A1582="","",'Ratings'!C104)</f>
        <v/>
      </c>
      <c r="D1582">
        <f>IF(A1582="","",'Ratings'!D104)</f>
        <v/>
      </c>
      <c r="E1582">
        <f>IF(AND('Ratings'!A104&lt;&gt;"",'Ratings'!Q5&lt;&gt;""),'Ratings'!Q5,"")</f>
        <v/>
      </c>
      <c r="F1582">
        <f>IF(OR(A1582="",'Ratings'!Q104=""),"",'Ratings'!Q104)</f>
        <v/>
      </c>
      <c r="G1582">
        <f>IF(A1582="","",'Employees'!D12)</f>
        <v/>
      </c>
    </row>
    <row r="1583">
      <c r="A1583">
        <f>IF(AND('Ratings'!A104&lt;&gt;"",'Ratings'!R5&lt;&gt;""),'Ratings'!A104,"")</f>
        <v/>
      </c>
      <c r="B1583">
        <f>IF(A1583="","",'Employees'!C12)</f>
        <v/>
      </c>
      <c r="C1583">
        <f>IF(A1583="","",'Ratings'!C104)</f>
        <v/>
      </c>
      <c r="D1583">
        <f>IF(A1583="","",'Ratings'!D104)</f>
        <v/>
      </c>
      <c r="E1583">
        <f>IF(AND('Ratings'!A104&lt;&gt;"",'Ratings'!R5&lt;&gt;""),'Ratings'!R5,"")</f>
        <v/>
      </c>
      <c r="F1583">
        <f>IF(OR(A1583="",'Ratings'!R104=""),"",'Ratings'!R104)</f>
        <v/>
      </c>
      <c r="G1583">
        <f>IF(A1583="","",'Employees'!D12)</f>
        <v/>
      </c>
    </row>
    <row r="1584">
      <c r="A1584">
        <f>IF(AND('Ratings'!A104&lt;&gt;"",'Ratings'!S5&lt;&gt;""),'Ratings'!A104,"")</f>
        <v/>
      </c>
      <c r="B1584">
        <f>IF(A1584="","",'Employees'!C12)</f>
        <v/>
      </c>
      <c r="C1584">
        <f>IF(A1584="","",'Ratings'!C104)</f>
        <v/>
      </c>
      <c r="D1584">
        <f>IF(A1584="","",'Ratings'!D104)</f>
        <v/>
      </c>
      <c r="E1584">
        <f>IF(AND('Ratings'!A104&lt;&gt;"",'Ratings'!S5&lt;&gt;""),'Ratings'!S5,"")</f>
        <v/>
      </c>
      <c r="F1584">
        <f>IF(OR(A1584="",'Ratings'!S104=""),"",'Ratings'!S104)</f>
        <v/>
      </c>
      <c r="G1584">
        <f>IF(A1584="","",'Employees'!D12)</f>
        <v/>
      </c>
    </row>
    <row r="1585">
      <c r="A1585">
        <f>IF(AND('Ratings'!A104&lt;&gt;"",'Ratings'!T5&lt;&gt;""),'Ratings'!A104,"")</f>
        <v/>
      </c>
      <c r="B1585">
        <f>IF(A1585="","",'Employees'!C12)</f>
        <v/>
      </c>
      <c r="C1585">
        <f>IF(A1585="","",'Ratings'!C104)</f>
        <v/>
      </c>
      <c r="D1585">
        <f>IF(A1585="","",'Ratings'!D104)</f>
        <v/>
      </c>
      <c r="E1585">
        <f>IF(AND('Ratings'!A104&lt;&gt;"",'Ratings'!T5&lt;&gt;""),'Ratings'!T5,"")</f>
        <v/>
      </c>
      <c r="F1585">
        <f>IF(OR(A1585="",'Ratings'!T104=""),"",'Ratings'!T104)</f>
        <v/>
      </c>
      <c r="G1585">
        <f>IF(A1585="","",'Employees'!D12)</f>
        <v/>
      </c>
    </row>
    <row r="1586">
      <c r="A1586">
        <f>IF(AND('Ratings'!A105&lt;&gt;"",'Ratings'!E5&lt;&gt;""),'Ratings'!A105,"")</f>
        <v/>
      </c>
      <c r="B1586">
        <f>IF(A1586="","",'Employees'!C12)</f>
        <v/>
      </c>
      <c r="C1586">
        <f>IF(A1586="","",'Ratings'!C105)</f>
        <v/>
      </c>
      <c r="D1586">
        <f>IF(A1586="","",'Ratings'!D105)</f>
        <v/>
      </c>
      <c r="E1586">
        <f>IF(AND('Ratings'!A105&lt;&gt;"",'Ratings'!E5&lt;&gt;""),'Ratings'!E5,"")</f>
        <v/>
      </c>
      <c r="F1586">
        <f>IF(OR(A1586="",'Ratings'!E105=""),"",'Ratings'!E105)</f>
        <v/>
      </c>
      <c r="G1586">
        <f>IF(A1586="","",'Employees'!D12)</f>
        <v/>
      </c>
    </row>
    <row r="1587">
      <c r="A1587">
        <f>IF(AND('Ratings'!A105&lt;&gt;"",'Ratings'!F5&lt;&gt;""),'Ratings'!A105,"")</f>
        <v/>
      </c>
      <c r="B1587">
        <f>IF(A1587="","",'Employees'!C12)</f>
        <v/>
      </c>
      <c r="C1587">
        <f>IF(A1587="","",'Ratings'!C105)</f>
        <v/>
      </c>
      <c r="D1587">
        <f>IF(A1587="","",'Ratings'!D105)</f>
        <v/>
      </c>
      <c r="E1587">
        <f>IF(AND('Ratings'!A105&lt;&gt;"",'Ratings'!F5&lt;&gt;""),'Ratings'!F5,"")</f>
        <v/>
      </c>
      <c r="F1587">
        <f>IF(OR(A1587="",'Ratings'!F105=""),"",'Ratings'!F105)</f>
        <v/>
      </c>
      <c r="G1587">
        <f>IF(A1587="","",'Employees'!D12)</f>
        <v/>
      </c>
    </row>
    <row r="1588">
      <c r="A1588">
        <f>IF(AND('Ratings'!A105&lt;&gt;"",'Ratings'!G5&lt;&gt;""),'Ratings'!A105,"")</f>
        <v/>
      </c>
      <c r="B1588">
        <f>IF(A1588="","",'Employees'!C12)</f>
        <v/>
      </c>
      <c r="C1588">
        <f>IF(A1588="","",'Ratings'!C105)</f>
        <v/>
      </c>
      <c r="D1588">
        <f>IF(A1588="","",'Ratings'!D105)</f>
        <v/>
      </c>
      <c r="E1588">
        <f>IF(AND('Ratings'!A105&lt;&gt;"",'Ratings'!G5&lt;&gt;""),'Ratings'!G5,"")</f>
        <v/>
      </c>
      <c r="F1588">
        <f>IF(OR(A1588="",'Ratings'!G105=""),"",'Ratings'!G105)</f>
        <v/>
      </c>
      <c r="G1588">
        <f>IF(A1588="","",'Employees'!D12)</f>
        <v/>
      </c>
    </row>
    <row r="1589">
      <c r="A1589">
        <f>IF(AND('Ratings'!A105&lt;&gt;"",'Ratings'!H5&lt;&gt;""),'Ratings'!A105,"")</f>
        <v/>
      </c>
      <c r="B1589">
        <f>IF(A1589="","",'Employees'!C12)</f>
        <v/>
      </c>
      <c r="C1589">
        <f>IF(A1589="","",'Ratings'!C105)</f>
        <v/>
      </c>
      <c r="D1589">
        <f>IF(A1589="","",'Ratings'!D105)</f>
        <v/>
      </c>
      <c r="E1589">
        <f>IF(AND('Ratings'!A105&lt;&gt;"",'Ratings'!H5&lt;&gt;""),'Ratings'!H5,"")</f>
        <v/>
      </c>
      <c r="F1589">
        <f>IF(OR(A1589="",'Ratings'!H105=""),"",'Ratings'!H105)</f>
        <v/>
      </c>
      <c r="G1589">
        <f>IF(A1589="","",'Employees'!D12)</f>
        <v/>
      </c>
    </row>
    <row r="1590">
      <c r="A1590">
        <f>IF(AND('Ratings'!A105&lt;&gt;"",'Ratings'!I5&lt;&gt;""),'Ratings'!A105,"")</f>
        <v/>
      </c>
      <c r="B1590">
        <f>IF(A1590="","",'Employees'!C12)</f>
        <v/>
      </c>
      <c r="C1590">
        <f>IF(A1590="","",'Ratings'!C105)</f>
        <v/>
      </c>
      <c r="D1590">
        <f>IF(A1590="","",'Ratings'!D105)</f>
        <v/>
      </c>
      <c r="E1590">
        <f>IF(AND('Ratings'!A105&lt;&gt;"",'Ratings'!I5&lt;&gt;""),'Ratings'!I5,"")</f>
        <v/>
      </c>
      <c r="F1590">
        <f>IF(OR(A1590="",'Ratings'!I105=""),"",'Ratings'!I105)</f>
        <v/>
      </c>
      <c r="G1590">
        <f>IF(A1590="","",'Employees'!D12)</f>
        <v/>
      </c>
    </row>
    <row r="1591">
      <c r="A1591">
        <f>IF(AND('Ratings'!A105&lt;&gt;"",'Ratings'!J5&lt;&gt;""),'Ratings'!A105,"")</f>
        <v/>
      </c>
      <c r="B1591">
        <f>IF(A1591="","",'Employees'!C12)</f>
        <v/>
      </c>
      <c r="C1591">
        <f>IF(A1591="","",'Ratings'!C105)</f>
        <v/>
      </c>
      <c r="D1591">
        <f>IF(A1591="","",'Ratings'!D105)</f>
        <v/>
      </c>
      <c r="E1591">
        <f>IF(AND('Ratings'!A105&lt;&gt;"",'Ratings'!J5&lt;&gt;""),'Ratings'!J5,"")</f>
        <v/>
      </c>
      <c r="F1591">
        <f>IF(OR(A1591="",'Ratings'!J105=""),"",'Ratings'!J105)</f>
        <v/>
      </c>
      <c r="G1591">
        <f>IF(A1591="","",'Employees'!D12)</f>
        <v/>
      </c>
    </row>
    <row r="1592">
      <c r="A1592">
        <f>IF(AND('Ratings'!A105&lt;&gt;"",'Ratings'!K5&lt;&gt;""),'Ratings'!A105,"")</f>
        <v/>
      </c>
      <c r="B1592">
        <f>IF(A1592="","",'Employees'!C12)</f>
        <v/>
      </c>
      <c r="C1592">
        <f>IF(A1592="","",'Ratings'!C105)</f>
        <v/>
      </c>
      <c r="D1592">
        <f>IF(A1592="","",'Ratings'!D105)</f>
        <v/>
      </c>
      <c r="E1592">
        <f>IF(AND('Ratings'!A105&lt;&gt;"",'Ratings'!K5&lt;&gt;""),'Ratings'!K5,"")</f>
        <v/>
      </c>
      <c r="F1592">
        <f>IF(OR(A1592="",'Ratings'!K105=""),"",'Ratings'!K105)</f>
        <v/>
      </c>
      <c r="G1592">
        <f>IF(A1592="","",'Employees'!D12)</f>
        <v/>
      </c>
    </row>
    <row r="1593">
      <c r="A1593">
        <f>IF(AND('Ratings'!A105&lt;&gt;"",'Ratings'!L5&lt;&gt;""),'Ratings'!A105,"")</f>
        <v/>
      </c>
      <c r="B1593">
        <f>IF(A1593="","",'Employees'!C12)</f>
        <v/>
      </c>
      <c r="C1593">
        <f>IF(A1593="","",'Ratings'!C105)</f>
        <v/>
      </c>
      <c r="D1593">
        <f>IF(A1593="","",'Ratings'!D105)</f>
        <v/>
      </c>
      <c r="E1593">
        <f>IF(AND('Ratings'!A105&lt;&gt;"",'Ratings'!L5&lt;&gt;""),'Ratings'!L5,"")</f>
        <v/>
      </c>
      <c r="F1593">
        <f>IF(OR(A1593="",'Ratings'!L105=""),"",'Ratings'!L105)</f>
        <v/>
      </c>
      <c r="G1593">
        <f>IF(A1593="","",'Employees'!D12)</f>
        <v/>
      </c>
    </row>
    <row r="1594">
      <c r="A1594">
        <f>IF(AND('Ratings'!A105&lt;&gt;"",'Ratings'!M5&lt;&gt;""),'Ratings'!A105,"")</f>
        <v/>
      </c>
      <c r="B1594">
        <f>IF(A1594="","",'Employees'!C12)</f>
        <v/>
      </c>
      <c r="C1594">
        <f>IF(A1594="","",'Ratings'!C105)</f>
        <v/>
      </c>
      <c r="D1594">
        <f>IF(A1594="","",'Ratings'!D105)</f>
        <v/>
      </c>
      <c r="E1594">
        <f>IF(AND('Ratings'!A105&lt;&gt;"",'Ratings'!M5&lt;&gt;""),'Ratings'!M5,"")</f>
        <v/>
      </c>
      <c r="F1594">
        <f>IF(OR(A1594="",'Ratings'!M105=""),"",'Ratings'!M105)</f>
        <v/>
      </c>
      <c r="G1594">
        <f>IF(A1594="","",'Employees'!D12)</f>
        <v/>
      </c>
    </row>
    <row r="1595">
      <c r="A1595">
        <f>IF(AND('Ratings'!A105&lt;&gt;"",'Ratings'!N5&lt;&gt;""),'Ratings'!A105,"")</f>
        <v/>
      </c>
      <c r="B1595">
        <f>IF(A1595="","",'Employees'!C12)</f>
        <v/>
      </c>
      <c r="C1595">
        <f>IF(A1595="","",'Ratings'!C105)</f>
        <v/>
      </c>
      <c r="D1595">
        <f>IF(A1595="","",'Ratings'!D105)</f>
        <v/>
      </c>
      <c r="E1595">
        <f>IF(AND('Ratings'!A105&lt;&gt;"",'Ratings'!N5&lt;&gt;""),'Ratings'!N5,"")</f>
        <v/>
      </c>
      <c r="F1595">
        <f>IF(OR(A1595="",'Ratings'!N105=""),"",'Ratings'!N105)</f>
        <v/>
      </c>
      <c r="G1595">
        <f>IF(A1595="","",'Employees'!D12)</f>
        <v/>
      </c>
    </row>
    <row r="1596">
      <c r="A1596">
        <f>IF(AND('Ratings'!A105&lt;&gt;"",'Ratings'!O5&lt;&gt;""),'Ratings'!A105,"")</f>
        <v/>
      </c>
      <c r="B1596">
        <f>IF(A1596="","",'Employees'!C12)</f>
        <v/>
      </c>
      <c r="C1596">
        <f>IF(A1596="","",'Ratings'!C105)</f>
        <v/>
      </c>
      <c r="D1596">
        <f>IF(A1596="","",'Ratings'!D105)</f>
        <v/>
      </c>
      <c r="E1596">
        <f>IF(AND('Ratings'!A105&lt;&gt;"",'Ratings'!O5&lt;&gt;""),'Ratings'!O5,"")</f>
        <v/>
      </c>
      <c r="F1596">
        <f>IF(OR(A1596="",'Ratings'!O105=""),"",'Ratings'!O105)</f>
        <v/>
      </c>
      <c r="G1596">
        <f>IF(A1596="","",'Employees'!D12)</f>
        <v/>
      </c>
    </row>
    <row r="1597">
      <c r="A1597">
        <f>IF(AND('Ratings'!A105&lt;&gt;"",'Ratings'!P5&lt;&gt;""),'Ratings'!A105,"")</f>
        <v/>
      </c>
      <c r="B1597">
        <f>IF(A1597="","",'Employees'!C12)</f>
        <v/>
      </c>
      <c r="C1597">
        <f>IF(A1597="","",'Ratings'!C105)</f>
        <v/>
      </c>
      <c r="D1597">
        <f>IF(A1597="","",'Ratings'!D105)</f>
        <v/>
      </c>
      <c r="E1597">
        <f>IF(AND('Ratings'!A105&lt;&gt;"",'Ratings'!P5&lt;&gt;""),'Ratings'!P5,"")</f>
        <v/>
      </c>
      <c r="F1597">
        <f>IF(OR(A1597="",'Ratings'!P105=""),"",'Ratings'!P105)</f>
        <v/>
      </c>
      <c r="G1597">
        <f>IF(A1597="","",'Employees'!D12)</f>
        <v/>
      </c>
    </row>
    <row r="1598">
      <c r="A1598">
        <f>IF(AND('Ratings'!A105&lt;&gt;"",'Ratings'!Q5&lt;&gt;""),'Ratings'!A105,"")</f>
        <v/>
      </c>
      <c r="B1598">
        <f>IF(A1598="","",'Employees'!C12)</f>
        <v/>
      </c>
      <c r="C1598">
        <f>IF(A1598="","",'Ratings'!C105)</f>
        <v/>
      </c>
      <c r="D1598">
        <f>IF(A1598="","",'Ratings'!D105)</f>
        <v/>
      </c>
      <c r="E1598">
        <f>IF(AND('Ratings'!A105&lt;&gt;"",'Ratings'!Q5&lt;&gt;""),'Ratings'!Q5,"")</f>
        <v/>
      </c>
      <c r="F1598">
        <f>IF(OR(A1598="",'Ratings'!Q105=""),"",'Ratings'!Q105)</f>
        <v/>
      </c>
      <c r="G1598">
        <f>IF(A1598="","",'Employees'!D12)</f>
        <v/>
      </c>
    </row>
    <row r="1599">
      <c r="A1599">
        <f>IF(AND('Ratings'!A105&lt;&gt;"",'Ratings'!R5&lt;&gt;""),'Ratings'!A105,"")</f>
        <v/>
      </c>
      <c r="B1599">
        <f>IF(A1599="","",'Employees'!C12)</f>
        <v/>
      </c>
      <c r="C1599">
        <f>IF(A1599="","",'Ratings'!C105)</f>
        <v/>
      </c>
      <c r="D1599">
        <f>IF(A1599="","",'Ratings'!D105)</f>
        <v/>
      </c>
      <c r="E1599">
        <f>IF(AND('Ratings'!A105&lt;&gt;"",'Ratings'!R5&lt;&gt;""),'Ratings'!R5,"")</f>
        <v/>
      </c>
      <c r="F1599">
        <f>IF(OR(A1599="",'Ratings'!R105=""),"",'Ratings'!R105)</f>
        <v/>
      </c>
      <c r="G1599">
        <f>IF(A1599="","",'Employees'!D12)</f>
        <v/>
      </c>
    </row>
    <row r="1600">
      <c r="A1600">
        <f>IF(AND('Ratings'!A105&lt;&gt;"",'Ratings'!S5&lt;&gt;""),'Ratings'!A105,"")</f>
        <v/>
      </c>
      <c r="B1600">
        <f>IF(A1600="","",'Employees'!C12)</f>
        <v/>
      </c>
      <c r="C1600">
        <f>IF(A1600="","",'Ratings'!C105)</f>
        <v/>
      </c>
      <c r="D1600">
        <f>IF(A1600="","",'Ratings'!D105)</f>
        <v/>
      </c>
      <c r="E1600">
        <f>IF(AND('Ratings'!A105&lt;&gt;"",'Ratings'!S5&lt;&gt;""),'Ratings'!S5,"")</f>
        <v/>
      </c>
      <c r="F1600">
        <f>IF(OR(A1600="",'Ratings'!S105=""),"",'Ratings'!S105)</f>
        <v/>
      </c>
      <c r="G1600">
        <f>IF(A1600="","",'Employees'!D12)</f>
        <v/>
      </c>
    </row>
    <row r="1601">
      <c r="A1601">
        <f>IF(AND('Ratings'!A105&lt;&gt;"",'Ratings'!T5&lt;&gt;""),'Ratings'!A105,"")</f>
        <v/>
      </c>
      <c r="B1601">
        <f>IF(A1601="","",'Employees'!C12)</f>
        <v/>
      </c>
      <c r="C1601">
        <f>IF(A1601="","",'Ratings'!C105)</f>
        <v/>
      </c>
      <c r="D1601">
        <f>IF(A1601="","",'Ratings'!D105)</f>
        <v/>
      </c>
      <c r="E1601">
        <f>IF(AND('Ratings'!A105&lt;&gt;"",'Ratings'!T5&lt;&gt;""),'Ratings'!T5,"")</f>
        <v/>
      </c>
      <c r="F1601">
        <f>IF(OR(A1601="",'Ratings'!T105=""),"",'Ratings'!T105)</f>
        <v/>
      </c>
      <c r="G1601">
        <f>IF(A1601="","",'Employees'!D12)</f>
        <v/>
      </c>
    </row>
    <row r="1602">
      <c r="A1602">
        <f>IF(AND('Ratings'!A106&lt;&gt;"",'Ratings'!E5&lt;&gt;""),'Ratings'!A106,"")</f>
        <v/>
      </c>
      <c r="B1602">
        <f>IF(A1602="","",'Employees'!C12)</f>
        <v/>
      </c>
      <c r="C1602">
        <f>IF(A1602="","",'Ratings'!C106)</f>
        <v/>
      </c>
      <c r="D1602">
        <f>IF(A1602="","",'Ratings'!D106)</f>
        <v/>
      </c>
      <c r="E1602">
        <f>IF(AND('Ratings'!A106&lt;&gt;"",'Ratings'!E5&lt;&gt;""),'Ratings'!E5,"")</f>
        <v/>
      </c>
      <c r="F1602">
        <f>IF(OR(A1602="",'Ratings'!E106=""),"",'Ratings'!E106)</f>
        <v/>
      </c>
      <c r="G1602">
        <f>IF(A1602="","",'Employees'!D12)</f>
        <v/>
      </c>
    </row>
    <row r="1603">
      <c r="A1603">
        <f>IF(AND('Ratings'!A106&lt;&gt;"",'Ratings'!F5&lt;&gt;""),'Ratings'!A106,"")</f>
        <v/>
      </c>
      <c r="B1603">
        <f>IF(A1603="","",'Employees'!C12)</f>
        <v/>
      </c>
      <c r="C1603">
        <f>IF(A1603="","",'Ratings'!C106)</f>
        <v/>
      </c>
      <c r="D1603">
        <f>IF(A1603="","",'Ratings'!D106)</f>
        <v/>
      </c>
      <c r="E1603">
        <f>IF(AND('Ratings'!A106&lt;&gt;"",'Ratings'!F5&lt;&gt;""),'Ratings'!F5,"")</f>
        <v/>
      </c>
      <c r="F1603">
        <f>IF(OR(A1603="",'Ratings'!F106=""),"",'Ratings'!F106)</f>
        <v/>
      </c>
      <c r="G1603">
        <f>IF(A1603="","",'Employees'!D12)</f>
        <v/>
      </c>
    </row>
    <row r="1604">
      <c r="A1604">
        <f>IF(AND('Ratings'!A106&lt;&gt;"",'Ratings'!G5&lt;&gt;""),'Ratings'!A106,"")</f>
        <v/>
      </c>
      <c r="B1604">
        <f>IF(A1604="","",'Employees'!C12)</f>
        <v/>
      </c>
      <c r="C1604">
        <f>IF(A1604="","",'Ratings'!C106)</f>
        <v/>
      </c>
      <c r="D1604">
        <f>IF(A1604="","",'Ratings'!D106)</f>
        <v/>
      </c>
      <c r="E1604">
        <f>IF(AND('Ratings'!A106&lt;&gt;"",'Ratings'!G5&lt;&gt;""),'Ratings'!G5,"")</f>
        <v/>
      </c>
      <c r="F1604">
        <f>IF(OR(A1604="",'Ratings'!G106=""),"",'Ratings'!G106)</f>
        <v/>
      </c>
      <c r="G1604">
        <f>IF(A1604="","",'Employees'!D12)</f>
        <v/>
      </c>
    </row>
    <row r="1605">
      <c r="A1605">
        <f>IF(AND('Ratings'!A106&lt;&gt;"",'Ratings'!H5&lt;&gt;""),'Ratings'!A106,"")</f>
        <v/>
      </c>
      <c r="B1605">
        <f>IF(A1605="","",'Employees'!C12)</f>
        <v/>
      </c>
      <c r="C1605">
        <f>IF(A1605="","",'Ratings'!C106)</f>
        <v/>
      </c>
      <c r="D1605">
        <f>IF(A1605="","",'Ratings'!D106)</f>
        <v/>
      </c>
      <c r="E1605">
        <f>IF(AND('Ratings'!A106&lt;&gt;"",'Ratings'!H5&lt;&gt;""),'Ratings'!H5,"")</f>
        <v/>
      </c>
      <c r="F1605">
        <f>IF(OR(A1605="",'Ratings'!H106=""),"",'Ratings'!H106)</f>
        <v/>
      </c>
      <c r="G1605">
        <f>IF(A1605="","",'Employees'!D12)</f>
        <v/>
      </c>
    </row>
    <row r="1606">
      <c r="A1606">
        <f>IF(AND('Ratings'!A106&lt;&gt;"",'Ratings'!I5&lt;&gt;""),'Ratings'!A106,"")</f>
        <v/>
      </c>
      <c r="B1606">
        <f>IF(A1606="","",'Employees'!C12)</f>
        <v/>
      </c>
      <c r="C1606">
        <f>IF(A1606="","",'Ratings'!C106)</f>
        <v/>
      </c>
      <c r="D1606">
        <f>IF(A1606="","",'Ratings'!D106)</f>
        <v/>
      </c>
      <c r="E1606">
        <f>IF(AND('Ratings'!A106&lt;&gt;"",'Ratings'!I5&lt;&gt;""),'Ratings'!I5,"")</f>
        <v/>
      </c>
      <c r="F1606">
        <f>IF(OR(A1606="",'Ratings'!I106=""),"",'Ratings'!I106)</f>
        <v/>
      </c>
      <c r="G1606">
        <f>IF(A1606="","",'Employees'!D12)</f>
        <v/>
      </c>
    </row>
    <row r="1607">
      <c r="A1607">
        <f>IF(AND('Ratings'!A106&lt;&gt;"",'Ratings'!J5&lt;&gt;""),'Ratings'!A106,"")</f>
        <v/>
      </c>
      <c r="B1607">
        <f>IF(A1607="","",'Employees'!C12)</f>
        <v/>
      </c>
      <c r="C1607">
        <f>IF(A1607="","",'Ratings'!C106)</f>
        <v/>
      </c>
      <c r="D1607">
        <f>IF(A1607="","",'Ratings'!D106)</f>
        <v/>
      </c>
      <c r="E1607">
        <f>IF(AND('Ratings'!A106&lt;&gt;"",'Ratings'!J5&lt;&gt;""),'Ratings'!J5,"")</f>
        <v/>
      </c>
      <c r="F1607">
        <f>IF(OR(A1607="",'Ratings'!J106=""),"",'Ratings'!J106)</f>
        <v/>
      </c>
      <c r="G1607">
        <f>IF(A1607="","",'Employees'!D12)</f>
        <v/>
      </c>
    </row>
    <row r="1608">
      <c r="A1608">
        <f>IF(AND('Ratings'!A106&lt;&gt;"",'Ratings'!K5&lt;&gt;""),'Ratings'!A106,"")</f>
        <v/>
      </c>
      <c r="B1608">
        <f>IF(A1608="","",'Employees'!C12)</f>
        <v/>
      </c>
      <c r="C1608">
        <f>IF(A1608="","",'Ratings'!C106)</f>
        <v/>
      </c>
      <c r="D1608">
        <f>IF(A1608="","",'Ratings'!D106)</f>
        <v/>
      </c>
      <c r="E1608">
        <f>IF(AND('Ratings'!A106&lt;&gt;"",'Ratings'!K5&lt;&gt;""),'Ratings'!K5,"")</f>
        <v/>
      </c>
      <c r="F1608">
        <f>IF(OR(A1608="",'Ratings'!K106=""),"",'Ratings'!K106)</f>
        <v/>
      </c>
      <c r="G1608">
        <f>IF(A1608="","",'Employees'!D12)</f>
        <v/>
      </c>
    </row>
    <row r="1609">
      <c r="A1609">
        <f>IF(AND('Ratings'!A106&lt;&gt;"",'Ratings'!L5&lt;&gt;""),'Ratings'!A106,"")</f>
        <v/>
      </c>
      <c r="B1609">
        <f>IF(A1609="","",'Employees'!C12)</f>
        <v/>
      </c>
      <c r="C1609">
        <f>IF(A1609="","",'Ratings'!C106)</f>
        <v/>
      </c>
      <c r="D1609">
        <f>IF(A1609="","",'Ratings'!D106)</f>
        <v/>
      </c>
      <c r="E1609">
        <f>IF(AND('Ratings'!A106&lt;&gt;"",'Ratings'!L5&lt;&gt;""),'Ratings'!L5,"")</f>
        <v/>
      </c>
      <c r="F1609">
        <f>IF(OR(A1609="",'Ratings'!L106=""),"",'Ratings'!L106)</f>
        <v/>
      </c>
      <c r="G1609">
        <f>IF(A1609="","",'Employees'!D12)</f>
        <v/>
      </c>
    </row>
    <row r="1610">
      <c r="A1610">
        <f>IF(AND('Ratings'!A106&lt;&gt;"",'Ratings'!M5&lt;&gt;""),'Ratings'!A106,"")</f>
        <v/>
      </c>
      <c r="B1610">
        <f>IF(A1610="","",'Employees'!C12)</f>
        <v/>
      </c>
      <c r="C1610">
        <f>IF(A1610="","",'Ratings'!C106)</f>
        <v/>
      </c>
      <c r="D1610">
        <f>IF(A1610="","",'Ratings'!D106)</f>
        <v/>
      </c>
      <c r="E1610">
        <f>IF(AND('Ratings'!A106&lt;&gt;"",'Ratings'!M5&lt;&gt;""),'Ratings'!M5,"")</f>
        <v/>
      </c>
      <c r="F1610">
        <f>IF(OR(A1610="",'Ratings'!M106=""),"",'Ratings'!M106)</f>
        <v/>
      </c>
      <c r="G1610">
        <f>IF(A1610="","",'Employees'!D12)</f>
        <v/>
      </c>
    </row>
    <row r="1611">
      <c r="A1611">
        <f>IF(AND('Ratings'!A106&lt;&gt;"",'Ratings'!N5&lt;&gt;""),'Ratings'!A106,"")</f>
        <v/>
      </c>
      <c r="B1611">
        <f>IF(A1611="","",'Employees'!C12)</f>
        <v/>
      </c>
      <c r="C1611">
        <f>IF(A1611="","",'Ratings'!C106)</f>
        <v/>
      </c>
      <c r="D1611">
        <f>IF(A1611="","",'Ratings'!D106)</f>
        <v/>
      </c>
      <c r="E1611">
        <f>IF(AND('Ratings'!A106&lt;&gt;"",'Ratings'!N5&lt;&gt;""),'Ratings'!N5,"")</f>
        <v/>
      </c>
      <c r="F1611">
        <f>IF(OR(A1611="",'Ratings'!N106=""),"",'Ratings'!N106)</f>
        <v/>
      </c>
      <c r="G1611">
        <f>IF(A1611="","",'Employees'!D12)</f>
        <v/>
      </c>
    </row>
    <row r="1612">
      <c r="A1612">
        <f>IF(AND('Ratings'!A106&lt;&gt;"",'Ratings'!O5&lt;&gt;""),'Ratings'!A106,"")</f>
        <v/>
      </c>
      <c r="B1612">
        <f>IF(A1612="","",'Employees'!C12)</f>
        <v/>
      </c>
      <c r="C1612">
        <f>IF(A1612="","",'Ratings'!C106)</f>
        <v/>
      </c>
      <c r="D1612">
        <f>IF(A1612="","",'Ratings'!D106)</f>
        <v/>
      </c>
      <c r="E1612">
        <f>IF(AND('Ratings'!A106&lt;&gt;"",'Ratings'!O5&lt;&gt;""),'Ratings'!O5,"")</f>
        <v/>
      </c>
      <c r="F1612">
        <f>IF(OR(A1612="",'Ratings'!O106=""),"",'Ratings'!O106)</f>
        <v/>
      </c>
      <c r="G1612">
        <f>IF(A1612="","",'Employees'!D12)</f>
        <v/>
      </c>
    </row>
    <row r="1613">
      <c r="A1613">
        <f>IF(AND('Ratings'!A106&lt;&gt;"",'Ratings'!P5&lt;&gt;""),'Ratings'!A106,"")</f>
        <v/>
      </c>
      <c r="B1613">
        <f>IF(A1613="","",'Employees'!C12)</f>
        <v/>
      </c>
      <c r="C1613">
        <f>IF(A1613="","",'Ratings'!C106)</f>
        <v/>
      </c>
      <c r="D1613">
        <f>IF(A1613="","",'Ratings'!D106)</f>
        <v/>
      </c>
      <c r="E1613">
        <f>IF(AND('Ratings'!A106&lt;&gt;"",'Ratings'!P5&lt;&gt;""),'Ratings'!P5,"")</f>
        <v/>
      </c>
      <c r="F1613">
        <f>IF(OR(A1613="",'Ratings'!P106=""),"",'Ratings'!P106)</f>
        <v/>
      </c>
      <c r="G1613">
        <f>IF(A1613="","",'Employees'!D12)</f>
        <v/>
      </c>
    </row>
    <row r="1614">
      <c r="A1614">
        <f>IF(AND('Ratings'!A106&lt;&gt;"",'Ratings'!Q5&lt;&gt;""),'Ratings'!A106,"")</f>
        <v/>
      </c>
      <c r="B1614">
        <f>IF(A1614="","",'Employees'!C12)</f>
        <v/>
      </c>
      <c r="C1614">
        <f>IF(A1614="","",'Ratings'!C106)</f>
        <v/>
      </c>
      <c r="D1614">
        <f>IF(A1614="","",'Ratings'!D106)</f>
        <v/>
      </c>
      <c r="E1614">
        <f>IF(AND('Ratings'!A106&lt;&gt;"",'Ratings'!Q5&lt;&gt;""),'Ratings'!Q5,"")</f>
        <v/>
      </c>
      <c r="F1614">
        <f>IF(OR(A1614="",'Ratings'!Q106=""),"",'Ratings'!Q106)</f>
        <v/>
      </c>
      <c r="G1614">
        <f>IF(A1614="","",'Employees'!D12)</f>
        <v/>
      </c>
    </row>
    <row r="1615">
      <c r="A1615">
        <f>IF(AND('Ratings'!A106&lt;&gt;"",'Ratings'!R5&lt;&gt;""),'Ratings'!A106,"")</f>
        <v/>
      </c>
      <c r="B1615">
        <f>IF(A1615="","",'Employees'!C12)</f>
        <v/>
      </c>
      <c r="C1615">
        <f>IF(A1615="","",'Ratings'!C106)</f>
        <v/>
      </c>
      <c r="D1615">
        <f>IF(A1615="","",'Ratings'!D106)</f>
        <v/>
      </c>
      <c r="E1615">
        <f>IF(AND('Ratings'!A106&lt;&gt;"",'Ratings'!R5&lt;&gt;""),'Ratings'!R5,"")</f>
        <v/>
      </c>
      <c r="F1615">
        <f>IF(OR(A1615="",'Ratings'!R106=""),"",'Ratings'!R106)</f>
        <v/>
      </c>
      <c r="G1615">
        <f>IF(A1615="","",'Employees'!D12)</f>
        <v/>
      </c>
    </row>
    <row r="1616">
      <c r="A1616">
        <f>IF(AND('Ratings'!A106&lt;&gt;"",'Ratings'!S5&lt;&gt;""),'Ratings'!A106,"")</f>
        <v/>
      </c>
      <c r="B1616">
        <f>IF(A1616="","",'Employees'!C12)</f>
        <v/>
      </c>
      <c r="C1616">
        <f>IF(A1616="","",'Ratings'!C106)</f>
        <v/>
      </c>
      <c r="D1616">
        <f>IF(A1616="","",'Ratings'!D106)</f>
        <v/>
      </c>
      <c r="E1616">
        <f>IF(AND('Ratings'!A106&lt;&gt;"",'Ratings'!S5&lt;&gt;""),'Ratings'!S5,"")</f>
        <v/>
      </c>
      <c r="F1616">
        <f>IF(OR(A1616="",'Ratings'!S106=""),"",'Ratings'!S106)</f>
        <v/>
      </c>
      <c r="G1616">
        <f>IF(A1616="","",'Employees'!D12)</f>
        <v/>
      </c>
    </row>
    <row r="1617">
      <c r="A1617">
        <f>IF(AND('Ratings'!A106&lt;&gt;"",'Ratings'!T5&lt;&gt;""),'Ratings'!A106,"")</f>
        <v/>
      </c>
      <c r="B1617">
        <f>IF(A1617="","",'Employees'!C12)</f>
        <v/>
      </c>
      <c r="C1617">
        <f>IF(A1617="","",'Ratings'!C106)</f>
        <v/>
      </c>
      <c r="D1617">
        <f>IF(A1617="","",'Ratings'!D106)</f>
        <v/>
      </c>
      <c r="E1617">
        <f>IF(AND('Ratings'!A106&lt;&gt;"",'Ratings'!T5&lt;&gt;""),'Ratings'!T5,"")</f>
        <v/>
      </c>
      <c r="F1617">
        <f>IF(OR(A1617="",'Ratings'!T106=""),"",'Ratings'!T106)</f>
        <v/>
      </c>
      <c r="G1617">
        <f>IF(A1617="","",'Employees'!D12)</f>
        <v/>
      </c>
    </row>
    <row r="1618">
      <c r="A1618">
        <f>IF(AND('Ratings'!A107&lt;&gt;"",'Ratings'!E5&lt;&gt;""),'Ratings'!A107,"")</f>
        <v/>
      </c>
      <c r="B1618">
        <f>IF(A1618="","",'Employees'!C12)</f>
        <v/>
      </c>
      <c r="C1618">
        <f>IF(A1618="","",'Ratings'!C107)</f>
        <v/>
      </c>
      <c r="D1618">
        <f>IF(A1618="","",'Ratings'!D107)</f>
        <v/>
      </c>
      <c r="E1618">
        <f>IF(AND('Ratings'!A107&lt;&gt;"",'Ratings'!E5&lt;&gt;""),'Ratings'!E5,"")</f>
        <v/>
      </c>
      <c r="F1618">
        <f>IF(OR(A1618="",'Ratings'!E107=""),"",'Ratings'!E107)</f>
        <v/>
      </c>
      <c r="G1618">
        <f>IF(A1618="","",'Employees'!D12)</f>
        <v/>
      </c>
    </row>
    <row r="1619">
      <c r="A1619">
        <f>IF(AND('Ratings'!A107&lt;&gt;"",'Ratings'!F5&lt;&gt;""),'Ratings'!A107,"")</f>
        <v/>
      </c>
      <c r="B1619">
        <f>IF(A1619="","",'Employees'!C12)</f>
        <v/>
      </c>
      <c r="C1619">
        <f>IF(A1619="","",'Ratings'!C107)</f>
        <v/>
      </c>
      <c r="D1619">
        <f>IF(A1619="","",'Ratings'!D107)</f>
        <v/>
      </c>
      <c r="E1619">
        <f>IF(AND('Ratings'!A107&lt;&gt;"",'Ratings'!F5&lt;&gt;""),'Ratings'!F5,"")</f>
        <v/>
      </c>
      <c r="F1619">
        <f>IF(OR(A1619="",'Ratings'!F107=""),"",'Ratings'!F107)</f>
        <v/>
      </c>
      <c r="G1619">
        <f>IF(A1619="","",'Employees'!D12)</f>
        <v/>
      </c>
    </row>
    <row r="1620">
      <c r="A1620">
        <f>IF(AND('Ratings'!A107&lt;&gt;"",'Ratings'!G5&lt;&gt;""),'Ratings'!A107,"")</f>
        <v/>
      </c>
      <c r="B1620">
        <f>IF(A1620="","",'Employees'!C12)</f>
        <v/>
      </c>
      <c r="C1620">
        <f>IF(A1620="","",'Ratings'!C107)</f>
        <v/>
      </c>
      <c r="D1620">
        <f>IF(A1620="","",'Ratings'!D107)</f>
        <v/>
      </c>
      <c r="E1620">
        <f>IF(AND('Ratings'!A107&lt;&gt;"",'Ratings'!G5&lt;&gt;""),'Ratings'!G5,"")</f>
        <v/>
      </c>
      <c r="F1620">
        <f>IF(OR(A1620="",'Ratings'!G107=""),"",'Ratings'!G107)</f>
        <v/>
      </c>
      <c r="G1620">
        <f>IF(A1620="","",'Employees'!D12)</f>
        <v/>
      </c>
    </row>
    <row r="1621">
      <c r="A1621">
        <f>IF(AND('Ratings'!A107&lt;&gt;"",'Ratings'!H5&lt;&gt;""),'Ratings'!A107,"")</f>
        <v/>
      </c>
      <c r="B1621">
        <f>IF(A1621="","",'Employees'!C12)</f>
        <v/>
      </c>
      <c r="C1621">
        <f>IF(A1621="","",'Ratings'!C107)</f>
        <v/>
      </c>
      <c r="D1621">
        <f>IF(A1621="","",'Ratings'!D107)</f>
        <v/>
      </c>
      <c r="E1621">
        <f>IF(AND('Ratings'!A107&lt;&gt;"",'Ratings'!H5&lt;&gt;""),'Ratings'!H5,"")</f>
        <v/>
      </c>
      <c r="F1621">
        <f>IF(OR(A1621="",'Ratings'!H107=""),"",'Ratings'!H107)</f>
        <v/>
      </c>
      <c r="G1621">
        <f>IF(A1621="","",'Employees'!D12)</f>
        <v/>
      </c>
    </row>
    <row r="1622">
      <c r="A1622">
        <f>IF(AND('Ratings'!A107&lt;&gt;"",'Ratings'!I5&lt;&gt;""),'Ratings'!A107,"")</f>
        <v/>
      </c>
      <c r="B1622">
        <f>IF(A1622="","",'Employees'!C12)</f>
        <v/>
      </c>
      <c r="C1622">
        <f>IF(A1622="","",'Ratings'!C107)</f>
        <v/>
      </c>
      <c r="D1622">
        <f>IF(A1622="","",'Ratings'!D107)</f>
        <v/>
      </c>
      <c r="E1622">
        <f>IF(AND('Ratings'!A107&lt;&gt;"",'Ratings'!I5&lt;&gt;""),'Ratings'!I5,"")</f>
        <v/>
      </c>
      <c r="F1622">
        <f>IF(OR(A1622="",'Ratings'!I107=""),"",'Ratings'!I107)</f>
        <v/>
      </c>
      <c r="G1622">
        <f>IF(A1622="","",'Employees'!D12)</f>
        <v/>
      </c>
    </row>
    <row r="1623">
      <c r="A1623">
        <f>IF(AND('Ratings'!A107&lt;&gt;"",'Ratings'!J5&lt;&gt;""),'Ratings'!A107,"")</f>
        <v/>
      </c>
      <c r="B1623">
        <f>IF(A1623="","",'Employees'!C12)</f>
        <v/>
      </c>
      <c r="C1623">
        <f>IF(A1623="","",'Ratings'!C107)</f>
        <v/>
      </c>
      <c r="D1623">
        <f>IF(A1623="","",'Ratings'!D107)</f>
        <v/>
      </c>
      <c r="E1623">
        <f>IF(AND('Ratings'!A107&lt;&gt;"",'Ratings'!J5&lt;&gt;""),'Ratings'!J5,"")</f>
        <v/>
      </c>
      <c r="F1623">
        <f>IF(OR(A1623="",'Ratings'!J107=""),"",'Ratings'!J107)</f>
        <v/>
      </c>
      <c r="G1623">
        <f>IF(A1623="","",'Employees'!D12)</f>
        <v/>
      </c>
    </row>
    <row r="1624">
      <c r="A1624">
        <f>IF(AND('Ratings'!A107&lt;&gt;"",'Ratings'!K5&lt;&gt;""),'Ratings'!A107,"")</f>
        <v/>
      </c>
      <c r="B1624">
        <f>IF(A1624="","",'Employees'!C12)</f>
        <v/>
      </c>
      <c r="C1624">
        <f>IF(A1624="","",'Ratings'!C107)</f>
        <v/>
      </c>
      <c r="D1624">
        <f>IF(A1624="","",'Ratings'!D107)</f>
        <v/>
      </c>
      <c r="E1624">
        <f>IF(AND('Ratings'!A107&lt;&gt;"",'Ratings'!K5&lt;&gt;""),'Ratings'!K5,"")</f>
        <v/>
      </c>
      <c r="F1624">
        <f>IF(OR(A1624="",'Ratings'!K107=""),"",'Ratings'!K107)</f>
        <v/>
      </c>
      <c r="G1624">
        <f>IF(A1624="","",'Employees'!D12)</f>
        <v/>
      </c>
    </row>
    <row r="1625">
      <c r="A1625">
        <f>IF(AND('Ratings'!A107&lt;&gt;"",'Ratings'!L5&lt;&gt;""),'Ratings'!A107,"")</f>
        <v/>
      </c>
      <c r="B1625">
        <f>IF(A1625="","",'Employees'!C12)</f>
        <v/>
      </c>
      <c r="C1625">
        <f>IF(A1625="","",'Ratings'!C107)</f>
        <v/>
      </c>
      <c r="D1625">
        <f>IF(A1625="","",'Ratings'!D107)</f>
        <v/>
      </c>
      <c r="E1625">
        <f>IF(AND('Ratings'!A107&lt;&gt;"",'Ratings'!L5&lt;&gt;""),'Ratings'!L5,"")</f>
        <v/>
      </c>
      <c r="F1625">
        <f>IF(OR(A1625="",'Ratings'!L107=""),"",'Ratings'!L107)</f>
        <v/>
      </c>
      <c r="G1625">
        <f>IF(A1625="","",'Employees'!D12)</f>
        <v/>
      </c>
    </row>
    <row r="1626">
      <c r="A1626">
        <f>IF(AND('Ratings'!A107&lt;&gt;"",'Ratings'!M5&lt;&gt;""),'Ratings'!A107,"")</f>
        <v/>
      </c>
      <c r="B1626">
        <f>IF(A1626="","",'Employees'!C12)</f>
        <v/>
      </c>
      <c r="C1626">
        <f>IF(A1626="","",'Ratings'!C107)</f>
        <v/>
      </c>
      <c r="D1626">
        <f>IF(A1626="","",'Ratings'!D107)</f>
        <v/>
      </c>
      <c r="E1626">
        <f>IF(AND('Ratings'!A107&lt;&gt;"",'Ratings'!M5&lt;&gt;""),'Ratings'!M5,"")</f>
        <v/>
      </c>
      <c r="F1626">
        <f>IF(OR(A1626="",'Ratings'!M107=""),"",'Ratings'!M107)</f>
        <v/>
      </c>
      <c r="G1626">
        <f>IF(A1626="","",'Employees'!D12)</f>
        <v/>
      </c>
    </row>
    <row r="1627">
      <c r="A1627">
        <f>IF(AND('Ratings'!A107&lt;&gt;"",'Ratings'!N5&lt;&gt;""),'Ratings'!A107,"")</f>
        <v/>
      </c>
      <c r="B1627">
        <f>IF(A1627="","",'Employees'!C12)</f>
        <v/>
      </c>
      <c r="C1627">
        <f>IF(A1627="","",'Ratings'!C107)</f>
        <v/>
      </c>
      <c r="D1627">
        <f>IF(A1627="","",'Ratings'!D107)</f>
        <v/>
      </c>
      <c r="E1627">
        <f>IF(AND('Ratings'!A107&lt;&gt;"",'Ratings'!N5&lt;&gt;""),'Ratings'!N5,"")</f>
        <v/>
      </c>
      <c r="F1627">
        <f>IF(OR(A1627="",'Ratings'!N107=""),"",'Ratings'!N107)</f>
        <v/>
      </c>
      <c r="G1627">
        <f>IF(A1627="","",'Employees'!D12)</f>
        <v/>
      </c>
    </row>
    <row r="1628">
      <c r="A1628">
        <f>IF(AND('Ratings'!A107&lt;&gt;"",'Ratings'!O5&lt;&gt;""),'Ratings'!A107,"")</f>
        <v/>
      </c>
      <c r="B1628">
        <f>IF(A1628="","",'Employees'!C12)</f>
        <v/>
      </c>
      <c r="C1628">
        <f>IF(A1628="","",'Ratings'!C107)</f>
        <v/>
      </c>
      <c r="D1628">
        <f>IF(A1628="","",'Ratings'!D107)</f>
        <v/>
      </c>
      <c r="E1628">
        <f>IF(AND('Ratings'!A107&lt;&gt;"",'Ratings'!O5&lt;&gt;""),'Ratings'!O5,"")</f>
        <v/>
      </c>
      <c r="F1628">
        <f>IF(OR(A1628="",'Ratings'!O107=""),"",'Ratings'!O107)</f>
        <v/>
      </c>
      <c r="G1628">
        <f>IF(A1628="","",'Employees'!D12)</f>
        <v/>
      </c>
    </row>
    <row r="1629">
      <c r="A1629">
        <f>IF(AND('Ratings'!A107&lt;&gt;"",'Ratings'!P5&lt;&gt;""),'Ratings'!A107,"")</f>
        <v/>
      </c>
      <c r="B1629">
        <f>IF(A1629="","",'Employees'!C12)</f>
        <v/>
      </c>
      <c r="C1629">
        <f>IF(A1629="","",'Ratings'!C107)</f>
        <v/>
      </c>
      <c r="D1629">
        <f>IF(A1629="","",'Ratings'!D107)</f>
        <v/>
      </c>
      <c r="E1629">
        <f>IF(AND('Ratings'!A107&lt;&gt;"",'Ratings'!P5&lt;&gt;""),'Ratings'!P5,"")</f>
        <v/>
      </c>
      <c r="F1629">
        <f>IF(OR(A1629="",'Ratings'!P107=""),"",'Ratings'!P107)</f>
        <v/>
      </c>
      <c r="G1629">
        <f>IF(A1629="","",'Employees'!D12)</f>
        <v/>
      </c>
    </row>
    <row r="1630">
      <c r="A1630">
        <f>IF(AND('Ratings'!A107&lt;&gt;"",'Ratings'!Q5&lt;&gt;""),'Ratings'!A107,"")</f>
        <v/>
      </c>
      <c r="B1630">
        <f>IF(A1630="","",'Employees'!C12)</f>
        <v/>
      </c>
      <c r="C1630">
        <f>IF(A1630="","",'Ratings'!C107)</f>
        <v/>
      </c>
      <c r="D1630">
        <f>IF(A1630="","",'Ratings'!D107)</f>
        <v/>
      </c>
      <c r="E1630">
        <f>IF(AND('Ratings'!A107&lt;&gt;"",'Ratings'!Q5&lt;&gt;""),'Ratings'!Q5,"")</f>
        <v/>
      </c>
      <c r="F1630">
        <f>IF(OR(A1630="",'Ratings'!Q107=""),"",'Ratings'!Q107)</f>
        <v/>
      </c>
      <c r="G1630">
        <f>IF(A1630="","",'Employees'!D12)</f>
        <v/>
      </c>
    </row>
    <row r="1631">
      <c r="A1631">
        <f>IF(AND('Ratings'!A107&lt;&gt;"",'Ratings'!R5&lt;&gt;""),'Ratings'!A107,"")</f>
        <v/>
      </c>
      <c r="B1631">
        <f>IF(A1631="","",'Employees'!C12)</f>
        <v/>
      </c>
      <c r="C1631">
        <f>IF(A1631="","",'Ratings'!C107)</f>
        <v/>
      </c>
      <c r="D1631">
        <f>IF(A1631="","",'Ratings'!D107)</f>
        <v/>
      </c>
      <c r="E1631">
        <f>IF(AND('Ratings'!A107&lt;&gt;"",'Ratings'!R5&lt;&gt;""),'Ratings'!R5,"")</f>
        <v/>
      </c>
      <c r="F1631">
        <f>IF(OR(A1631="",'Ratings'!R107=""),"",'Ratings'!R107)</f>
        <v/>
      </c>
      <c r="G1631">
        <f>IF(A1631="","",'Employees'!D12)</f>
        <v/>
      </c>
    </row>
    <row r="1632">
      <c r="A1632">
        <f>IF(AND('Ratings'!A107&lt;&gt;"",'Ratings'!S5&lt;&gt;""),'Ratings'!A107,"")</f>
        <v/>
      </c>
      <c r="B1632">
        <f>IF(A1632="","",'Employees'!C12)</f>
        <v/>
      </c>
      <c r="C1632">
        <f>IF(A1632="","",'Ratings'!C107)</f>
        <v/>
      </c>
      <c r="D1632">
        <f>IF(A1632="","",'Ratings'!D107)</f>
        <v/>
      </c>
      <c r="E1632">
        <f>IF(AND('Ratings'!A107&lt;&gt;"",'Ratings'!S5&lt;&gt;""),'Ratings'!S5,"")</f>
        <v/>
      </c>
      <c r="F1632">
        <f>IF(OR(A1632="",'Ratings'!S107=""),"",'Ratings'!S107)</f>
        <v/>
      </c>
      <c r="G1632">
        <f>IF(A1632="","",'Employees'!D12)</f>
        <v/>
      </c>
    </row>
    <row r="1633">
      <c r="A1633">
        <f>IF(AND('Ratings'!A107&lt;&gt;"",'Ratings'!T5&lt;&gt;""),'Ratings'!A107,"")</f>
        <v/>
      </c>
      <c r="B1633">
        <f>IF(A1633="","",'Employees'!C12)</f>
        <v/>
      </c>
      <c r="C1633">
        <f>IF(A1633="","",'Ratings'!C107)</f>
        <v/>
      </c>
      <c r="D1633">
        <f>IF(A1633="","",'Ratings'!D107)</f>
        <v/>
      </c>
      <c r="E1633">
        <f>IF(AND('Ratings'!A107&lt;&gt;"",'Ratings'!T5&lt;&gt;""),'Ratings'!T5,"")</f>
        <v/>
      </c>
      <c r="F1633">
        <f>IF(OR(A1633="",'Ratings'!T107=""),"",'Ratings'!T107)</f>
        <v/>
      </c>
      <c r="G1633">
        <f>IF(A1633="","",'Employees'!D12)</f>
        <v/>
      </c>
    </row>
    <row r="1634">
      <c r="A1634">
        <f>IF(AND('Ratings'!A108&lt;&gt;"",'Ratings'!E5&lt;&gt;""),'Ratings'!A108,"")</f>
        <v/>
      </c>
      <c r="B1634">
        <f>IF(A1634="","",'Employees'!C12)</f>
        <v/>
      </c>
      <c r="C1634">
        <f>IF(A1634="","",'Ratings'!C108)</f>
        <v/>
      </c>
      <c r="D1634">
        <f>IF(A1634="","",'Ratings'!D108)</f>
        <v/>
      </c>
      <c r="E1634">
        <f>IF(AND('Ratings'!A108&lt;&gt;"",'Ratings'!E5&lt;&gt;""),'Ratings'!E5,"")</f>
        <v/>
      </c>
      <c r="F1634">
        <f>IF(OR(A1634="",'Ratings'!E108=""),"",'Ratings'!E108)</f>
        <v/>
      </c>
      <c r="G1634">
        <f>IF(A1634="","",'Employees'!D12)</f>
        <v/>
      </c>
    </row>
    <row r="1635">
      <c r="A1635">
        <f>IF(AND('Ratings'!A108&lt;&gt;"",'Ratings'!F5&lt;&gt;""),'Ratings'!A108,"")</f>
        <v/>
      </c>
      <c r="B1635">
        <f>IF(A1635="","",'Employees'!C12)</f>
        <v/>
      </c>
      <c r="C1635">
        <f>IF(A1635="","",'Ratings'!C108)</f>
        <v/>
      </c>
      <c r="D1635">
        <f>IF(A1635="","",'Ratings'!D108)</f>
        <v/>
      </c>
      <c r="E1635">
        <f>IF(AND('Ratings'!A108&lt;&gt;"",'Ratings'!F5&lt;&gt;""),'Ratings'!F5,"")</f>
        <v/>
      </c>
      <c r="F1635">
        <f>IF(OR(A1635="",'Ratings'!F108=""),"",'Ratings'!F108)</f>
        <v/>
      </c>
      <c r="G1635">
        <f>IF(A1635="","",'Employees'!D12)</f>
        <v/>
      </c>
    </row>
    <row r="1636">
      <c r="A1636">
        <f>IF(AND('Ratings'!A108&lt;&gt;"",'Ratings'!G5&lt;&gt;""),'Ratings'!A108,"")</f>
        <v/>
      </c>
      <c r="B1636">
        <f>IF(A1636="","",'Employees'!C12)</f>
        <v/>
      </c>
      <c r="C1636">
        <f>IF(A1636="","",'Ratings'!C108)</f>
        <v/>
      </c>
      <c r="D1636">
        <f>IF(A1636="","",'Ratings'!D108)</f>
        <v/>
      </c>
      <c r="E1636">
        <f>IF(AND('Ratings'!A108&lt;&gt;"",'Ratings'!G5&lt;&gt;""),'Ratings'!G5,"")</f>
        <v/>
      </c>
      <c r="F1636">
        <f>IF(OR(A1636="",'Ratings'!G108=""),"",'Ratings'!G108)</f>
        <v/>
      </c>
      <c r="G1636">
        <f>IF(A1636="","",'Employees'!D12)</f>
        <v/>
      </c>
    </row>
    <row r="1637">
      <c r="A1637">
        <f>IF(AND('Ratings'!A108&lt;&gt;"",'Ratings'!H5&lt;&gt;""),'Ratings'!A108,"")</f>
        <v/>
      </c>
      <c r="B1637">
        <f>IF(A1637="","",'Employees'!C12)</f>
        <v/>
      </c>
      <c r="C1637">
        <f>IF(A1637="","",'Ratings'!C108)</f>
        <v/>
      </c>
      <c r="D1637">
        <f>IF(A1637="","",'Ratings'!D108)</f>
        <v/>
      </c>
      <c r="E1637">
        <f>IF(AND('Ratings'!A108&lt;&gt;"",'Ratings'!H5&lt;&gt;""),'Ratings'!H5,"")</f>
        <v/>
      </c>
      <c r="F1637">
        <f>IF(OR(A1637="",'Ratings'!H108=""),"",'Ratings'!H108)</f>
        <v/>
      </c>
      <c r="G1637">
        <f>IF(A1637="","",'Employees'!D12)</f>
        <v/>
      </c>
    </row>
    <row r="1638">
      <c r="A1638">
        <f>IF(AND('Ratings'!A108&lt;&gt;"",'Ratings'!I5&lt;&gt;""),'Ratings'!A108,"")</f>
        <v/>
      </c>
      <c r="B1638">
        <f>IF(A1638="","",'Employees'!C12)</f>
        <v/>
      </c>
      <c r="C1638">
        <f>IF(A1638="","",'Ratings'!C108)</f>
        <v/>
      </c>
      <c r="D1638">
        <f>IF(A1638="","",'Ratings'!D108)</f>
        <v/>
      </c>
      <c r="E1638">
        <f>IF(AND('Ratings'!A108&lt;&gt;"",'Ratings'!I5&lt;&gt;""),'Ratings'!I5,"")</f>
        <v/>
      </c>
      <c r="F1638">
        <f>IF(OR(A1638="",'Ratings'!I108=""),"",'Ratings'!I108)</f>
        <v/>
      </c>
      <c r="G1638">
        <f>IF(A1638="","",'Employees'!D12)</f>
        <v/>
      </c>
    </row>
    <row r="1639">
      <c r="A1639">
        <f>IF(AND('Ratings'!A108&lt;&gt;"",'Ratings'!J5&lt;&gt;""),'Ratings'!A108,"")</f>
        <v/>
      </c>
      <c r="B1639">
        <f>IF(A1639="","",'Employees'!C12)</f>
        <v/>
      </c>
      <c r="C1639">
        <f>IF(A1639="","",'Ratings'!C108)</f>
        <v/>
      </c>
      <c r="D1639">
        <f>IF(A1639="","",'Ratings'!D108)</f>
        <v/>
      </c>
      <c r="E1639">
        <f>IF(AND('Ratings'!A108&lt;&gt;"",'Ratings'!J5&lt;&gt;""),'Ratings'!J5,"")</f>
        <v/>
      </c>
      <c r="F1639">
        <f>IF(OR(A1639="",'Ratings'!J108=""),"",'Ratings'!J108)</f>
        <v/>
      </c>
      <c r="G1639">
        <f>IF(A1639="","",'Employees'!D12)</f>
        <v/>
      </c>
    </row>
    <row r="1640">
      <c r="A1640">
        <f>IF(AND('Ratings'!A108&lt;&gt;"",'Ratings'!K5&lt;&gt;""),'Ratings'!A108,"")</f>
        <v/>
      </c>
      <c r="B1640">
        <f>IF(A1640="","",'Employees'!C12)</f>
        <v/>
      </c>
      <c r="C1640">
        <f>IF(A1640="","",'Ratings'!C108)</f>
        <v/>
      </c>
      <c r="D1640">
        <f>IF(A1640="","",'Ratings'!D108)</f>
        <v/>
      </c>
      <c r="E1640">
        <f>IF(AND('Ratings'!A108&lt;&gt;"",'Ratings'!K5&lt;&gt;""),'Ratings'!K5,"")</f>
        <v/>
      </c>
      <c r="F1640">
        <f>IF(OR(A1640="",'Ratings'!K108=""),"",'Ratings'!K108)</f>
        <v/>
      </c>
      <c r="G1640">
        <f>IF(A1640="","",'Employees'!D12)</f>
        <v/>
      </c>
    </row>
    <row r="1641">
      <c r="A1641">
        <f>IF(AND('Ratings'!A108&lt;&gt;"",'Ratings'!L5&lt;&gt;""),'Ratings'!A108,"")</f>
        <v/>
      </c>
      <c r="B1641">
        <f>IF(A1641="","",'Employees'!C12)</f>
        <v/>
      </c>
      <c r="C1641">
        <f>IF(A1641="","",'Ratings'!C108)</f>
        <v/>
      </c>
      <c r="D1641">
        <f>IF(A1641="","",'Ratings'!D108)</f>
        <v/>
      </c>
      <c r="E1641">
        <f>IF(AND('Ratings'!A108&lt;&gt;"",'Ratings'!L5&lt;&gt;""),'Ratings'!L5,"")</f>
        <v/>
      </c>
      <c r="F1641">
        <f>IF(OR(A1641="",'Ratings'!L108=""),"",'Ratings'!L108)</f>
        <v/>
      </c>
      <c r="G1641">
        <f>IF(A1641="","",'Employees'!D12)</f>
        <v/>
      </c>
    </row>
    <row r="1642">
      <c r="A1642">
        <f>IF(AND('Ratings'!A108&lt;&gt;"",'Ratings'!M5&lt;&gt;""),'Ratings'!A108,"")</f>
        <v/>
      </c>
      <c r="B1642">
        <f>IF(A1642="","",'Employees'!C12)</f>
        <v/>
      </c>
      <c r="C1642">
        <f>IF(A1642="","",'Ratings'!C108)</f>
        <v/>
      </c>
      <c r="D1642">
        <f>IF(A1642="","",'Ratings'!D108)</f>
        <v/>
      </c>
      <c r="E1642">
        <f>IF(AND('Ratings'!A108&lt;&gt;"",'Ratings'!M5&lt;&gt;""),'Ratings'!M5,"")</f>
        <v/>
      </c>
      <c r="F1642">
        <f>IF(OR(A1642="",'Ratings'!M108=""),"",'Ratings'!M108)</f>
        <v/>
      </c>
      <c r="G1642">
        <f>IF(A1642="","",'Employees'!D12)</f>
        <v/>
      </c>
    </row>
    <row r="1643">
      <c r="A1643">
        <f>IF(AND('Ratings'!A108&lt;&gt;"",'Ratings'!N5&lt;&gt;""),'Ratings'!A108,"")</f>
        <v/>
      </c>
      <c r="B1643">
        <f>IF(A1643="","",'Employees'!C12)</f>
        <v/>
      </c>
      <c r="C1643">
        <f>IF(A1643="","",'Ratings'!C108)</f>
        <v/>
      </c>
      <c r="D1643">
        <f>IF(A1643="","",'Ratings'!D108)</f>
        <v/>
      </c>
      <c r="E1643">
        <f>IF(AND('Ratings'!A108&lt;&gt;"",'Ratings'!N5&lt;&gt;""),'Ratings'!N5,"")</f>
        <v/>
      </c>
      <c r="F1643">
        <f>IF(OR(A1643="",'Ratings'!N108=""),"",'Ratings'!N108)</f>
        <v/>
      </c>
      <c r="G1643">
        <f>IF(A1643="","",'Employees'!D12)</f>
        <v/>
      </c>
    </row>
    <row r="1644">
      <c r="A1644">
        <f>IF(AND('Ratings'!A108&lt;&gt;"",'Ratings'!O5&lt;&gt;""),'Ratings'!A108,"")</f>
        <v/>
      </c>
      <c r="B1644">
        <f>IF(A1644="","",'Employees'!C12)</f>
        <v/>
      </c>
      <c r="C1644">
        <f>IF(A1644="","",'Ratings'!C108)</f>
        <v/>
      </c>
      <c r="D1644">
        <f>IF(A1644="","",'Ratings'!D108)</f>
        <v/>
      </c>
      <c r="E1644">
        <f>IF(AND('Ratings'!A108&lt;&gt;"",'Ratings'!O5&lt;&gt;""),'Ratings'!O5,"")</f>
        <v/>
      </c>
      <c r="F1644">
        <f>IF(OR(A1644="",'Ratings'!O108=""),"",'Ratings'!O108)</f>
        <v/>
      </c>
      <c r="G1644">
        <f>IF(A1644="","",'Employees'!D12)</f>
        <v/>
      </c>
    </row>
    <row r="1645">
      <c r="A1645">
        <f>IF(AND('Ratings'!A108&lt;&gt;"",'Ratings'!P5&lt;&gt;""),'Ratings'!A108,"")</f>
        <v/>
      </c>
      <c r="B1645">
        <f>IF(A1645="","",'Employees'!C12)</f>
        <v/>
      </c>
      <c r="C1645">
        <f>IF(A1645="","",'Ratings'!C108)</f>
        <v/>
      </c>
      <c r="D1645">
        <f>IF(A1645="","",'Ratings'!D108)</f>
        <v/>
      </c>
      <c r="E1645">
        <f>IF(AND('Ratings'!A108&lt;&gt;"",'Ratings'!P5&lt;&gt;""),'Ratings'!P5,"")</f>
        <v/>
      </c>
      <c r="F1645">
        <f>IF(OR(A1645="",'Ratings'!P108=""),"",'Ratings'!P108)</f>
        <v/>
      </c>
      <c r="G1645">
        <f>IF(A1645="","",'Employees'!D12)</f>
        <v/>
      </c>
    </row>
    <row r="1646">
      <c r="A1646">
        <f>IF(AND('Ratings'!A108&lt;&gt;"",'Ratings'!Q5&lt;&gt;""),'Ratings'!A108,"")</f>
        <v/>
      </c>
      <c r="B1646">
        <f>IF(A1646="","",'Employees'!C12)</f>
        <v/>
      </c>
      <c r="C1646">
        <f>IF(A1646="","",'Ratings'!C108)</f>
        <v/>
      </c>
      <c r="D1646">
        <f>IF(A1646="","",'Ratings'!D108)</f>
        <v/>
      </c>
      <c r="E1646">
        <f>IF(AND('Ratings'!A108&lt;&gt;"",'Ratings'!Q5&lt;&gt;""),'Ratings'!Q5,"")</f>
        <v/>
      </c>
      <c r="F1646">
        <f>IF(OR(A1646="",'Ratings'!Q108=""),"",'Ratings'!Q108)</f>
        <v/>
      </c>
      <c r="G1646">
        <f>IF(A1646="","",'Employees'!D12)</f>
        <v/>
      </c>
    </row>
    <row r="1647">
      <c r="A1647">
        <f>IF(AND('Ratings'!A108&lt;&gt;"",'Ratings'!R5&lt;&gt;""),'Ratings'!A108,"")</f>
        <v/>
      </c>
      <c r="B1647">
        <f>IF(A1647="","",'Employees'!C12)</f>
        <v/>
      </c>
      <c r="C1647">
        <f>IF(A1647="","",'Ratings'!C108)</f>
        <v/>
      </c>
      <c r="D1647">
        <f>IF(A1647="","",'Ratings'!D108)</f>
        <v/>
      </c>
      <c r="E1647">
        <f>IF(AND('Ratings'!A108&lt;&gt;"",'Ratings'!R5&lt;&gt;""),'Ratings'!R5,"")</f>
        <v/>
      </c>
      <c r="F1647">
        <f>IF(OR(A1647="",'Ratings'!R108=""),"",'Ratings'!R108)</f>
        <v/>
      </c>
      <c r="G1647">
        <f>IF(A1647="","",'Employees'!D12)</f>
        <v/>
      </c>
    </row>
    <row r="1648">
      <c r="A1648">
        <f>IF(AND('Ratings'!A108&lt;&gt;"",'Ratings'!S5&lt;&gt;""),'Ratings'!A108,"")</f>
        <v/>
      </c>
      <c r="B1648">
        <f>IF(A1648="","",'Employees'!C12)</f>
        <v/>
      </c>
      <c r="C1648">
        <f>IF(A1648="","",'Ratings'!C108)</f>
        <v/>
      </c>
      <c r="D1648">
        <f>IF(A1648="","",'Ratings'!D108)</f>
        <v/>
      </c>
      <c r="E1648">
        <f>IF(AND('Ratings'!A108&lt;&gt;"",'Ratings'!S5&lt;&gt;""),'Ratings'!S5,"")</f>
        <v/>
      </c>
      <c r="F1648">
        <f>IF(OR(A1648="",'Ratings'!S108=""),"",'Ratings'!S108)</f>
        <v/>
      </c>
      <c r="G1648">
        <f>IF(A1648="","",'Employees'!D12)</f>
        <v/>
      </c>
    </row>
    <row r="1649">
      <c r="A1649">
        <f>IF(AND('Ratings'!A108&lt;&gt;"",'Ratings'!T5&lt;&gt;""),'Ratings'!A108,"")</f>
        <v/>
      </c>
      <c r="B1649">
        <f>IF(A1649="","",'Employees'!C12)</f>
        <v/>
      </c>
      <c r="C1649">
        <f>IF(A1649="","",'Ratings'!C108)</f>
        <v/>
      </c>
      <c r="D1649">
        <f>IF(A1649="","",'Ratings'!D108)</f>
        <v/>
      </c>
      <c r="E1649">
        <f>IF(AND('Ratings'!A108&lt;&gt;"",'Ratings'!T5&lt;&gt;""),'Ratings'!T5,"")</f>
        <v/>
      </c>
      <c r="F1649">
        <f>IF(OR(A1649="",'Ratings'!T108=""),"",'Ratings'!T108)</f>
        <v/>
      </c>
      <c r="G1649">
        <f>IF(A1649="","",'Employees'!D12)</f>
        <v/>
      </c>
    </row>
    <row r="1650">
      <c r="A1650">
        <f>IF(AND('Ratings'!A109&lt;&gt;"",'Ratings'!E5&lt;&gt;""),'Ratings'!A109,"")</f>
        <v/>
      </c>
      <c r="B1650">
        <f>IF(A1650="","",'Employees'!C12)</f>
        <v/>
      </c>
      <c r="C1650">
        <f>IF(A1650="","",'Ratings'!C109)</f>
        <v/>
      </c>
      <c r="D1650">
        <f>IF(A1650="","",'Ratings'!D109)</f>
        <v/>
      </c>
      <c r="E1650">
        <f>IF(AND('Ratings'!A109&lt;&gt;"",'Ratings'!E5&lt;&gt;""),'Ratings'!E5,"")</f>
        <v/>
      </c>
      <c r="F1650">
        <f>IF(OR(A1650="",'Ratings'!E109=""),"",'Ratings'!E109)</f>
        <v/>
      </c>
      <c r="G1650">
        <f>IF(A1650="","",'Employees'!D12)</f>
        <v/>
      </c>
    </row>
    <row r="1651">
      <c r="A1651">
        <f>IF(AND('Ratings'!A109&lt;&gt;"",'Ratings'!F5&lt;&gt;""),'Ratings'!A109,"")</f>
        <v/>
      </c>
      <c r="B1651">
        <f>IF(A1651="","",'Employees'!C12)</f>
        <v/>
      </c>
      <c r="C1651">
        <f>IF(A1651="","",'Ratings'!C109)</f>
        <v/>
      </c>
      <c r="D1651">
        <f>IF(A1651="","",'Ratings'!D109)</f>
        <v/>
      </c>
      <c r="E1651">
        <f>IF(AND('Ratings'!A109&lt;&gt;"",'Ratings'!F5&lt;&gt;""),'Ratings'!F5,"")</f>
        <v/>
      </c>
      <c r="F1651">
        <f>IF(OR(A1651="",'Ratings'!F109=""),"",'Ratings'!F109)</f>
        <v/>
      </c>
      <c r="G1651">
        <f>IF(A1651="","",'Employees'!D12)</f>
        <v/>
      </c>
    </row>
    <row r="1652">
      <c r="A1652">
        <f>IF(AND('Ratings'!A109&lt;&gt;"",'Ratings'!G5&lt;&gt;""),'Ratings'!A109,"")</f>
        <v/>
      </c>
      <c r="B1652">
        <f>IF(A1652="","",'Employees'!C12)</f>
        <v/>
      </c>
      <c r="C1652">
        <f>IF(A1652="","",'Ratings'!C109)</f>
        <v/>
      </c>
      <c r="D1652">
        <f>IF(A1652="","",'Ratings'!D109)</f>
        <v/>
      </c>
      <c r="E1652">
        <f>IF(AND('Ratings'!A109&lt;&gt;"",'Ratings'!G5&lt;&gt;""),'Ratings'!G5,"")</f>
        <v/>
      </c>
      <c r="F1652">
        <f>IF(OR(A1652="",'Ratings'!G109=""),"",'Ratings'!G109)</f>
        <v/>
      </c>
      <c r="G1652">
        <f>IF(A1652="","",'Employees'!D12)</f>
        <v/>
      </c>
    </row>
    <row r="1653">
      <c r="A1653">
        <f>IF(AND('Ratings'!A109&lt;&gt;"",'Ratings'!H5&lt;&gt;""),'Ratings'!A109,"")</f>
        <v/>
      </c>
      <c r="B1653">
        <f>IF(A1653="","",'Employees'!C12)</f>
        <v/>
      </c>
      <c r="C1653">
        <f>IF(A1653="","",'Ratings'!C109)</f>
        <v/>
      </c>
      <c r="D1653">
        <f>IF(A1653="","",'Ratings'!D109)</f>
        <v/>
      </c>
      <c r="E1653">
        <f>IF(AND('Ratings'!A109&lt;&gt;"",'Ratings'!H5&lt;&gt;""),'Ratings'!H5,"")</f>
        <v/>
      </c>
      <c r="F1653">
        <f>IF(OR(A1653="",'Ratings'!H109=""),"",'Ratings'!H109)</f>
        <v/>
      </c>
      <c r="G1653">
        <f>IF(A1653="","",'Employees'!D12)</f>
        <v/>
      </c>
    </row>
    <row r="1654">
      <c r="A1654">
        <f>IF(AND('Ratings'!A109&lt;&gt;"",'Ratings'!I5&lt;&gt;""),'Ratings'!A109,"")</f>
        <v/>
      </c>
      <c r="B1654">
        <f>IF(A1654="","",'Employees'!C12)</f>
        <v/>
      </c>
      <c r="C1654">
        <f>IF(A1654="","",'Ratings'!C109)</f>
        <v/>
      </c>
      <c r="D1654">
        <f>IF(A1654="","",'Ratings'!D109)</f>
        <v/>
      </c>
      <c r="E1654">
        <f>IF(AND('Ratings'!A109&lt;&gt;"",'Ratings'!I5&lt;&gt;""),'Ratings'!I5,"")</f>
        <v/>
      </c>
      <c r="F1654">
        <f>IF(OR(A1654="",'Ratings'!I109=""),"",'Ratings'!I109)</f>
        <v/>
      </c>
      <c r="G1654">
        <f>IF(A1654="","",'Employees'!D12)</f>
        <v/>
      </c>
    </row>
    <row r="1655">
      <c r="A1655">
        <f>IF(AND('Ratings'!A109&lt;&gt;"",'Ratings'!J5&lt;&gt;""),'Ratings'!A109,"")</f>
        <v/>
      </c>
      <c r="B1655">
        <f>IF(A1655="","",'Employees'!C12)</f>
        <v/>
      </c>
      <c r="C1655">
        <f>IF(A1655="","",'Ratings'!C109)</f>
        <v/>
      </c>
      <c r="D1655">
        <f>IF(A1655="","",'Ratings'!D109)</f>
        <v/>
      </c>
      <c r="E1655">
        <f>IF(AND('Ratings'!A109&lt;&gt;"",'Ratings'!J5&lt;&gt;""),'Ratings'!J5,"")</f>
        <v/>
      </c>
      <c r="F1655">
        <f>IF(OR(A1655="",'Ratings'!J109=""),"",'Ratings'!J109)</f>
        <v/>
      </c>
      <c r="G1655">
        <f>IF(A1655="","",'Employees'!D12)</f>
        <v/>
      </c>
    </row>
    <row r="1656">
      <c r="A1656">
        <f>IF(AND('Ratings'!A109&lt;&gt;"",'Ratings'!K5&lt;&gt;""),'Ratings'!A109,"")</f>
        <v/>
      </c>
      <c r="B1656">
        <f>IF(A1656="","",'Employees'!C12)</f>
        <v/>
      </c>
      <c r="C1656">
        <f>IF(A1656="","",'Ratings'!C109)</f>
        <v/>
      </c>
      <c r="D1656">
        <f>IF(A1656="","",'Ratings'!D109)</f>
        <v/>
      </c>
      <c r="E1656">
        <f>IF(AND('Ratings'!A109&lt;&gt;"",'Ratings'!K5&lt;&gt;""),'Ratings'!K5,"")</f>
        <v/>
      </c>
      <c r="F1656">
        <f>IF(OR(A1656="",'Ratings'!K109=""),"",'Ratings'!K109)</f>
        <v/>
      </c>
      <c r="G1656">
        <f>IF(A1656="","",'Employees'!D12)</f>
        <v/>
      </c>
    </row>
    <row r="1657">
      <c r="A1657">
        <f>IF(AND('Ratings'!A109&lt;&gt;"",'Ratings'!L5&lt;&gt;""),'Ratings'!A109,"")</f>
        <v/>
      </c>
      <c r="B1657">
        <f>IF(A1657="","",'Employees'!C12)</f>
        <v/>
      </c>
      <c r="C1657">
        <f>IF(A1657="","",'Ratings'!C109)</f>
        <v/>
      </c>
      <c r="D1657">
        <f>IF(A1657="","",'Ratings'!D109)</f>
        <v/>
      </c>
      <c r="E1657">
        <f>IF(AND('Ratings'!A109&lt;&gt;"",'Ratings'!L5&lt;&gt;""),'Ratings'!L5,"")</f>
        <v/>
      </c>
      <c r="F1657">
        <f>IF(OR(A1657="",'Ratings'!L109=""),"",'Ratings'!L109)</f>
        <v/>
      </c>
      <c r="G1657">
        <f>IF(A1657="","",'Employees'!D12)</f>
        <v/>
      </c>
    </row>
    <row r="1658">
      <c r="A1658">
        <f>IF(AND('Ratings'!A109&lt;&gt;"",'Ratings'!M5&lt;&gt;""),'Ratings'!A109,"")</f>
        <v/>
      </c>
      <c r="B1658">
        <f>IF(A1658="","",'Employees'!C12)</f>
        <v/>
      </c>
      <c r="C1658">
        <f>IF(A1658="","",'Ratings'!C109)</f>
        <v/>
      </c>
      <c r="D1658">
        <f>IF(A1658="","",'Ratings'!D109)</f>
        <v/>
      </c>
      <c r="E1658">
        <f>IF(AND('Ratings'!A109&lt;&gt;"",'Ratings'!M5&lt;&gt;""),'Ratings'!M5,"")</f>
        <v/>
      </c>
      <c r="F1658">
        <f>IF(OR(A1658="",'Ratings'!M109=""),"",'Ratings'!M109)</f>
        <v/>
      </c>
      <c r="G1658">
        <f>IF(A1658="","",'Employees'!D12)</f>
        <v/>
      </c>
    </row>
    <row r="1659">
      <c r="A1659">
        <f>IF(AND('Ratings'!A109&lt;&gt;"",'Ratings'!N5&lt;&gt;""),'Ratings'!A109,"")</f>
        <v/>
      </c>
      <c r="B1659">
        <f>IF(A1659="","",'Employees'!C12)</f>
        <v/>
      </c>
      <c r="C1659">
        <f>IF(A1659="","",'Ratings'!C109)</f>
        <v/>
      </c>
      <c r="D1659">
        <f>IF(A1659="","",'Ratings'!D109)</f>
        <v/>
      </c>
      <c r="E1659">
        <f>IF(AND('Ratings'!A109&lt;&gt;"",'Ratings'!N5&lt;&gt;""),'Ratings'!N5,"")</f>
        <v/>
      </c>
      <c r="F1659">
        <f>IF(OR(A1659="",'Ratings'!N109=""),"",'Ratings'!N109)</f>
        <v/>
      </c>
      <c r="G1659">
        <f>IF(A1659="","",'Employees'!D12)</f>
        <v/>
      </c>
    </row>
    <row r="1660">
      <c r="A1660">
        <f>IF(AND('Ratings'!A109&lt;&gt;"",'Ratings'!O5&lt;&gt;""),'Ratings'!A109,"")</f>
        <v/>
      </c>
      <c r="B1660">
        <f>IF(A1660="","",'Employees'!C12)</f>
        <v/>
      </c>
      <c r="C1660">
        <f>IF(A1660="","",'Ratings'!C109)</f>
        <v/>
      </c>
      <c r="D1660">
        <f>IF(A1660="","",'Ratings'!D109)</f>
        <v/>
      </c>
      <c r="E1660">
        <f>IF(AND('Ratings'!A109&lt;&gt;"",'Ratings'!O5&lt;&gt;""),'Ratings'!O5,"")</f>
        <v/>
      </c>
      <c r="F1660">
        <f>IF(OR(A1660="",'Ratings'!O109=""),"",'Ratings'!O109)</f>
        <v/>
      </c>
      <c r="G1660">
        <f>IF(A1660="","",'Employees'!D12)</f>
        <v/>
      </c>
    </row>
    <row r="1661">
      <c r="A1661">
        <f>IF(AND('Ratings'!A109&lt;&gt;"",'Ratings'!P5&lt;&gt;""),'Ratings'!A109,"")</f>
        <v/>
      </c>
      <c r="B1661">
        <f>IF(A1661="","",'Employees'!C12)</f>
        <v/>
      </c>
      <c r="C1661">
        <f>IF(A1661="","",'Ratings'!C109)</f>
        <v/>
      </c>
      <c r="D1661">
        <f>IF(A1661="","",'Ratings'!D109)</f>
        <v/>
      </c>
      <c r="E1661">
        <f>IF(AND('Ratings'!A109&lt;&gt;"",'Ratings'!P5&lt;&gt;""),'Ratings'!P5,"")</f>
        <v/>
      </c>
      <c r="F1661">
        <f>IF(OR(A1661="",'Ratings'!P109=""),"",'Ratings'!P109)</f>
        <v/>
      </c>
      <c r="G1661">
        <f>IF(A1661="","",'Employees'!D12)</f>
        <v/>
      </c>
    </row>
    <row r="1662">
      <c r="A1662">
        <f>IF(AND('Ratings'!A109&lt;&gt;"",'Ratings'!Q5&lt;&gt;""),'Ratings'!A109,"")</f>
        <v/>
      </c>
      <c r="B1662">
        <f>IF(A1662="","",'Employees'!C12)</f>
        <v/>
      </c>
      <c r="C1662">
        <f>IF(A1662="","",'Ratings'!C109)</f>
        <v/>
      </c>
      <c r="D1662">
        <f>IF(A1662="","",'Ratings'!D109)</f>
        <v/>
      </c>
      <c r="E1662">
        <f>IF(AND('Ratings'!A109&lt;&gt;"",'Ratings'!Q5&lt;&gt;""),'Ratings'!Q5,"")</f>
        <v/>
      </c>
      <c r="F1662">
        <f>IF(OR(A1662="",'Ratings'!Q109=""),"",'Ratings'!Q109)</f>
        <v/>
      </c>
      <c r="G1662">
        <f>IF(A1662="","",'Employees'!D12)</f>
        <v/>
      </c>
    </row>
    <row r="1663">
      <c r="A1663">
        <f>IF(AND('Ratings'!A109&lt;&gt;"",'Ratings'!R5&lt;&gt;""),'Ratings'!A109,"")</f>
        <v/>
      </c>
      <c r="B1663">
        <f>IF(A1663="","",'Employees'!C12)</f>
        <v/>
      </c>
      <c r="C1663">
        <f>IF(A1663="","",'Ratings'!C109)</f>
        <v/>
      </c>
      <c r="D1663">
        <f>IF(A1663="","",'Ratings'!D109)</f>
        <v/>
      </c>
      <c r="E1663">
        <f>IF(AND('Ratings'!A109&lt;&gt;"",'Ratings'!R5&lt;&gt;""),'Ratings'!R5,"")</f>
        <v/>
      </c>
      <c r="F1663">
        <f>IF(OR(A1663="",'Ratings'!R109=""),"",'Ratings'!R109)</f>
        <v/>
      </c>
      <c r="G1663">
        <f>IF(A1663="","",'Employees'!D12)</f>
        <v/>
      </c>
    </row>
    <row r="1664">
      <c r="A1664">
        <f>IF(AND('Ratings'!A109&lt;&gt;"",'Ratings'!S5&lt;&gt;""),'Ratings'!A109,"")</f>
        <v/>
      </c>
      <c r="B1664">
        <f>IF(A1664="","",'Employees'!C12)</f>
        <v/>
      </c>
      <c r="C1664">
        <f>IF(A1664="","",'Ratings'!C109)</f>
        <v/>
      </c>
      <c r="D1664">
        <f>IF(A1664="","",'Ratings'!D109)</f>
        <v/>
      </c>
      <c r="E1664">
        <f>IF(AND('Ratings'!A109&lt;&gt;"",'Ratings'!S5&lt;&gt;""),'Ratings'!S5,"")</f>
        <v/>
      </c>
      <c r="F1664">
        <f>IF(OR(A1664="",'Ratings'!S109=""),"",'Ratings'!S109)</f>
        <v/>
      </c>
      <c r="G1664">
        <f>IF(A1664="","",'Employees'!D12)</f>
        <v/>
      </c>
    </row>
    <row r="1665">
      <c r="A1665">
        <f>IF(AND('Ratings'!A109&lt;&gt;"",'Ratings'!T5&lt;&gt;""),'Ratings'!A109,"")</f>
        <v/>
      </c>
      <c r="B1665">
        <f>IF(A1665="","",'Employees'!C12)</f>
        <v/>
      </c>
      <c r="C1665">
        <f>IF(A1665="","",'Ratings'!C109)</f>
        <v/>
      </c>
      <c r="D1665">
        <f>IF(A1665="","",'Ratings'!D109)</f>
        <v/>
      </c>
      <c r="E1665">
        <f>IF(AND('Ratings'!A109&lt;&gt;"",'Ratings'!T5&lt;&gt;""),'Ratings'!T5,"")</f>
        <v/>
      </c>
      <c r="F1665">
        <f>IF(OR(A1665="",'Ratings'!T109=""),"",'Ratings'!T109)</f>
        <v/>
      </c>
      <c r="G1665">
        <f>IF(A1665="","",'Employees'!D12)</f>
        <v/>
      </c>
    </row>
    <row r="1666">
      <c r="A1666">
        <f>IF(AND('Ratings'!A110&lt;&gt;"",'Ratings'!E5&lt;&gt;""),'Ratings'!A110,"")</f>
        <v/>
      </c>
      <c r="B1666">
        <f>IF(A1666="","",'Employees'!C12)</f>
        <v/>
      </c>
      <c r="C1666">
        <f>IF(A1666="","",'Ratings'!C110)</f>
        <v/>
      </c>
      <c r="D1666">
        <f>IF(A1666="","",'Ratings'!D110)</f>
        <v/>
      </c>
      <c r="E1666">
        <f>IF(AND('Ratings'!A110&lt;&gt;"",'Ratings'!E5&lt;&gt;""),'Ratings'!E5,"")</f>
        <v/>
      </c>
      <c r="F1666">
        <f>IF(OR(A1666="",'Ratings'!E110=""),"",'Ratings'!E110)</f>
        <v/>
      </c>
      <c r="G1666">
        <f>IF(A1666="","",'Employees'!D12)</f>
        <v/>
      </c>
    </row>
    <row r="1667">
      <c r="A1667">
        <f>IF(AND('Ratings'!A110&lt;&gt;"",'Ratings'!F5&lt;&gt;""),'Ratings'!A110,"")</f>
        <v/>
      </c>
      <c r="B1667">
        <f>IF(A1667="","",'Employees'!C12)</f>
        <v/>
      </c>
      <c r="C1667">
        <f>IF(A1667="","",'Ratings'!C110)</f>
        <v/>
      </c>
      <c r="D1667">
        <f>IF(A1667="","",'Ratings'!D110)</f>
        <v/>
      </c>
      <c r="E1667">
        <f>IF(AND('Ratings'!A110&lt;&gt;"",'Ratings'!F5&lt;&gt;""),'Ratings'!F5,"")</f>
        <v/>
      </c>
      <c r="F1667">
        <f>IF(OR(A1667="",'Ratings'!F110=""),"",'Ratings'!F110)</f>
        <v/>
      </c>
      <c r="G1667">
        <f>IF(A1667="","",'Employees'!D12)</f>
        <v/>
      </c>
    </row>
    <row r="1668">
      <c r="A1668">
        <f>IF(AND('Ratings'!A110&lt;&gt;"",'Ratings'!G5&lt;&gt;""),'Ratings'!A110,"")</f>
        <v/>
      </c>
      <c r="B1668">
        <f>IF(A1668="","",'Employees'!C12)</f>
        <v/>
      </c>
      <c r="C1668">
        <f>IF(A1668="","",'Ratings'!C110)</f>
        <v/>
      </c>
      <c r="D1668">
        <f>IF(A1668="","",'Ratings'!D110)</f>
        <v/>
      </c>
      <c r="E1668">
        <f>IF(AND('Ratings'!A110&lt;&gt;"",'Ratings'!G5&lt;&gt;""),'Ratings'!G5,"")</f>
        <v/>
      </c>
      <c r="F1668">
        <f>IF(OR(A1668="",'Ratings'!G110=""),"",'Ratings'!G110)</f>
        <v/>
      </c>
      <c r="G1668">
        <f>IF(A1668="","",'Employees'!D12)</f>
        <v/>
      </c>
    </row>
    <row r="1669">
      <c r="A1669">
        <f>IF(AND('Ratings'!A110&lt;&gt;"",'Ratings'!H5&lt;&gt;""),'Ratings'!A110,"")</f>
        <v/>
      </c>
      <c r="B1669">
        <f>IF(A1669="","",'Employees'!C12)</f>
        <v/>
      </c>
      <c r="C1669">
        <f>IF(A1669="","",'Ratings'!C110)</f>
        <v/>
      </c>
      <c r="D1669">
        <f>IF(A1669="","",'Ratings'!D110)</f>
        <v/>
      </c>
      <c r="E1669">
        <f>IF(AND('Ratings'!A110&lt;&gt;"",'Ratings'!H5&lt;&gt;""),'Ratings'!H5,"")</f>
        <v/>
      </c>
      <c r="F1669">
        <f>IF(OR(A1669="",'Ratings'!H110=""),"",'Ratings'!H110)</f>
        <v/>
      </c>
      <c r="G1669">
        <f>IF(A1669="","",'Employees'!D12)</f>
        <v/>
      </c>
    </row>
    <row r="1670">
      <c r="A1670">
        <f>IF(AND('Ratings'!A110&lt;&gt;"",'Ratings'!I5&lt;&gt;""),'Ratings'!A110,"")</f>
        <v/>
      </c>
      <c r="B1670">
        <f>IF(A1670="","",'Employees'!C12)</f>
        <v/>
      </c>
      <c r="C1670">
        <f>IF(A1670="","",'Ratings'!C110)</f>
        <v/>
      </c>
      <c r="D1670">
        <f>IF(A1670="","",'Ratings'!D110)</f>
        <v/>
      </c>
      <c r="E1670">
        <f>IF(AND('Ratings'!A110&lt;&gt;"",'Ratings'!I5&lt;&gt;""),'Ratings'!I5,"")</f>
        <v/>
      </c>
      <c r="F1670">
        <f>IF(OR(A1670="",'Ratings'!I110=""),"",'Ratings'!I110)</f>
        <v/>
      </c>
      <c r="G1670">
        <f>IF(A1670="","",'Employees'!D12)</f>
        <v/>
      </c>
    </row>
    <row r="1671">
      <c r="A1671">
        <f>IF(AND('Ratings'!A110&lt;&gt;"",'Ratings'!J5&lt;&gt;""),'Ratings'!A110,"")</f>
        <v/>
      </c>
      <c r="B1671">
        <f>IF(A1671="","",'Employees'!C12)</f>
        <v/>
      </c>
      <c r="C1671">
        <f>IF(A1671="","",'Ratings'!C110)</f>
        <v/>
      </c>
      <c r="D1671">
        <f>IF(A1671="","",'Ratings'!D110)</f>
        <v/>
      </c>
      <c r="E1671">
        <f>IF(AND('Ratings'!A110&lt;&gt;"",'Ratings'!J5&lt;&gt;""),'Ratings'!J5,"")</f>
        <v/>
      </c>
      <c r="F1671">
        <f>IF(OR(A1671="",'Ratings'!J110=""),"",'Ratings'!J110)</f>
        <v/>
      </c>
      <c r="G1671">
        <f>IF(A1671="","",'Employees'!D12)</f>
        <v/>
      </c>
    </row>
    <row r="1672">
      <c r="A1672">
        <f>IF(AND('Ratings'!A110&lt;&gt;"",'Ratings'!K5&lt;&gt;""),'Ratings'!A110,"")</f>
        <v/>
      </c>
      <c r="B1672">
        <f>IF(A1672="","",'Employees'!C12)</f>
        <v/>
      </c>
      <c r="C1672">
        <f>IF(A1672="","",'Ratings'!C110)</f>
        <v/>
      </c>
      <c r="D1672">
        <f>IF(A1672="","",'Ratings'!D110)</f>
        <v/>
      </c>
      <c r="E1672">
        <f>IF(AND('Ratings'!A110&lt;&gt;"",'Ratings'!K5&lt;&gt;""),'Ratings'!K5,"")</f>
        <v/>
      </c>
      <c r="F1672">
        <f>IF(OR(A1672="",'Ratings'!K110=""),"",'Ratings'!K110)</f>
        <v/>
      </c>
      <c r="G1672">
        <f>IF(A1672="","",'Employees'!D12)</f>
        <v/>
      </c>
    </row>
    <row r="1673">
      <c r="A1673">
        <f>IF(AND('Ratings'!A110&lt;&gt;"",'Ratings'!L5&lt;&gt;""),'Ratings'!A110,"")</f>
        <v/>
      </c>
      <c r="B1673">
        <f>IF(A1673="","",'Employees'!C12)</f>
        <v/>
      </c>
      <c r="C1673">
        <f>IF(A1673="","",'Ratings'!C110)</f>
        <v/>
      </c>
      <c r="D1673">
        <f>IF(A1673="","",'Ratings'!D110)</f>
        <v/>
      </c>
      <c r="E1673">
        <f>IF(AND('Ratings'!A110&lt;&gt;"",'Ratings'!L5&lt;&gt;""),'Ratings'!L5,"")</f>
        <v/>
      </c>
      <c r="F1673">
        <f>IF(OR(A1673="",'Ratings'!L110=""),"",'Ratings'!L110)</f>
        <v/>
      </c>
      <c r="G1673">
        <f>IF(A1673="","",'Employees'!D12)</f>
        <v/>
      </c>
    </row>
    <row r="1674">
      <c r="A1674">
        <f>IF(AND('Ratings'!A110&lt;&gt;"",'Ratings'!M5&lt;&gt;""),'Ratings'!A110,"")</f>
        <v/>
      </c>
      <c r="B1674">
        <f>IF(A1674="","",'Employees'!C12)</f>
        <v/>
      </c>
      <c r="C1674">
        <f>IF(A1674="","",'Ratings'!C110)</f>
        <v/>
      </c>
      <c r="D1674">
        <f>IF(A1674="","",'Ratings'!D110)</f>
        <v/>
      </c>
      <c r="E1674">
        <f>IF(AND('Ratings'!A110&lt;&gt;"",'Ratings'!M5&lt;&gt;""),'Ratings'!M5,"")</f>
        <v/>
      </c>
      <c r="F1674">
        <f>IF(OR(A1674="",'Ratings'!M110=""),"",'Ratings'!M110)</f>
        <v/>
      </c>
      <c r="G1674">
        <f>IF(A1674="","",'Employees'!D12)</f>
        <v/>
      </c>
    </row>
    <row r="1675">
      <c r="A1675">
        <f>IF(AND('Ratings'!A110&lt;&gt;"",'Ratings'!N5&lt;&gt;""),'Ratings'!A110,"")</f>
        <v/>
      </c>
      <c r="B1675">
        <f>IF(A1675="","",'Employees'!C12)</f>
        <v/>
      </c>
      <c r="C1675">
        <f>IF(A1675="","",'Ratings'!C110)</f>
        <v/>
      </c>
      <c r="D1675">
        <f>IF(A1675="","",'Ratings'!D110)</f>
        <v/>
      </c>
      <c r="E1675">
        <f>IF(AND('Ratings'!A110&lt;&gt;"",'Ratings'!N5&lt;&gt;""),'Ratings'!N5,"")</f>
        <v/>
      </c>
      <c r="F1675">
        <f>IF(OR(A1675="",'Ratings'!N110=""),"",'Ratings'!N110)</f>
        <v/>
      </c>
      <c r="G1675">
        <f>IF(A1675="","",'Employees'!D12)</f>
        <v/>
      </c>
    </row>
    <row r="1676">
      <c r="A1676">
        <f>IF(AND('Ratings'!A110&lt;&gt;"",'Ratings'!O5&lt;&gt;""),'Ratings'!A110,"")</f>
        <v/>
      </c>
      <c r="B1676">
        <f>IF(A1676="","",'Employees'!C12)</f>
        <v/>
      </c>
      <c r="C1676">
        <f>IF(A1676="","",'Ratings'!C110)</f>
        <v/>
      </c>
      <c r="D1676">
        <f>IF(A1676="","",'Ratings'!D110)</f>
        <v/>
      </c>
      <c r="E1676">
        <f>IF(AND('Ratings'!A110&lt;&gt;"",'Ratings'!O5&lt;&gt;""),'Ratings'!O5,"")</f>
        <v/>
      </c>
      <c r="F1676">
        <f>IF(OR(A1676="",'Ratings'!O110=""),"",'Ratings'!O110)</f>
        <v/>
      </c>
      <c r="G1676">
        <f>IF(A1676="","",'Employees'!D12)</f>
        <v/>
      </c>
    </row>
    <row r="1677">
      <c r="A1677">
        <f>IF(AND('Ratings'!A110&lt;&gt;"",'Ratings'!P5&lt;&gt;""),'Ratings'!A110,"")</f>
        <v/>
      </c>
      <c r="B1677">
        <f>IF(A1677="","",'Employees'!C12)</f>
        <v/>
      </c>
      <c r="C1677">
        <f>IF(A1677="","",'Ratings'!C110)</f>
        <v/>
      </c>
      <c r="D1677">
        <f>IF(A1677="","",'Ratings'!D110)</f>
        <v/>
      </c>
      <c r="E1677">
        <f>IF(AND('Ratings'!A110&lt;&gt;"",'Ratings'!P5&lt;&gt;""),'Ratings'!P5,"")</f>
        <v/>
      </c>
      <c r="F1677">
        <f>IF(OR(A1677="",'Ratings'!P110=""),"",'Ratings'!P110)</f>
        <v/>
      </c>
      <c r="G1677">
        <f>IF(A1677="","",'Employees'!D12)</f>
        <v/>
      </c>
    </row>
    <row r="1678">
      <c r="A1678">
        <f>IF(AND('Ratings'!A110&lt;&gt;"",'Ratings'!Q5&lt;&gt;""),'Ratings'!A110,"")</f>
        <v/>
      </c>
      <c r="B1678">
        <f>IF(A1678="","",'Employees'!C12)</f>
        <v/>
      </c>
      <c r="C1678">
        <f>IF(A1678="","",'Ratings'!C110)</f>
        <v/>
      </c>
      <c r="D1678">
        <f>IF(A1678="","",'Ratings'!D110)</f>
        <v/>
      </c>
      <c r="E1678">
        <f>IF(AND('Ratings'!A110&lt;&gt;"",'Ratings'!Q5&lt;&gt;""),'Ratings'!Q5,"")</f>
        <v/>
      </c>
      <c r="F1678">
        <f>IF(OR(A1678="",'Ratings'!Q110=""),"",'Ratings'!Q110)</f>
        <v/>
      </c>
      <c r="G1678">
        <f>IF(A1678="","",'Employees'!D12)</f>
        <v/>
      </c>
    </row>
    <row r="1679">
      <c r="A1679">
        <f>IF(AND('Ratings'!A110&lt;&gt;"",'Ratings'!R5&lt;&gt;""),'Ratings'!A110,"")</f>
        <v/>
      </c>
      <c r="B1679">
        <f>IF(A1679="","",'Employees'!C12)</f>
        <v/>
      </c>
      <c r="C1679">
        <f>IF(A1679="","",'Ratings'!C110)</f>
        <v/>
      </c>
      <c r="D1679">
        <f>IF(A1679="","",'Ratings'!D110)</f>
        <v/>
      </c>
      <c r="E1679">
        <f>IF(AND('Ratings'!A110&lt;&gt;"",'Ratings'!R5&lt;&gt;""),'Ratings'!R5,"")</f>
        <v/>
      </c>
      <c r="F1679">
        <f>IF(OR(A1679="",'Ratings'!R110=""),"",'Ratings'!R110)</f>
        <v/>
      </c>
      <c r="G1679">
        <f>IF(A1679="","",'Employees'!D12)</f>
        <v/>
      </c>
    </row>
    <row r="1680">
      <c r="A1680">
        <f>IF(AND('Ratings'!A110&lt;&gt;"",'Ratings'!S5&lt;&gt;""),'Ratings'!A110,"")</f>
        <v/>
      </c>
      <c r="B1680">
        <f>IF(A1680="","",'Employees'!C12)</f>
        <v/>
      </c>
      <c r="C1680">
        <f>IF(A1680="","",'Ratings'!C110)</f>
        <v/>
      </c>
      <c r="D1680">
        <f>IF(A1680="","",'Ratings'!D110)</f>
        <v/>
      </c>
      <c r="E1680">
        <f>IF(AND('Ratings'!A110&lt;&gt;"",'Ratings'!S5&lt;&gt;""),'Ratings'!S5,"")</f>
        <v/>
      </c>
      <c r="F1680">
        <f>IF(OR(A1680="",'Ratings'!S110=""),"",'Ratings'!S110)</f>
        <v/>
      </c>
      <c r="G1680">
        <f>IF(A1680="","",'Employees'!D12)</f>
        <v/>
      </c>
    </row>
    <row r="1681">
      <c r="A1681">
        <f>IF(AND('Ratings'!A110&lt;&gt;"",'Ratings'!T5&lt;&gt;""),'Ratings'!A110,"")</f>
        <v/>
      </c>
      <c r="B1681">
        <f>IF(A1681="","",'Employees'!C12)</f>
        <v/>
      </c>
      <c r="C1681">
        <f>IF(A1681="","",'Ratings'!C110)</f>
        <v/>
      </c>
      <c r="D1681">
        <f>IF(A1681="","",'Ratings'!D110)</f>
        <v/>
      </c>
      <c r="E1681">
        <f>IF(AND('Ratings'!A110&lt;&gt;"",'Ratings'!T5&lt;&gt;""),'Ratings'!T5,"")</f>
        <v/>
      </c>
      <c r="F1681">
        <f>IF(OR(A1681="",'Ratings'!T110=""),"",'Ratings'!T110)</f>
        <v/>
      </c>
      <c r="G1681">
        <f>IF(A1681="","",'Employees'!D12)</f>
        <v/>
      </c>
    </row>
    <row r="1682">
      <c r="A1682">
        <f>IF(AND('Ratings'!A111&lt;&gt;"",'Ratings'!E5&lt;&gt;""),'Ratings'!A111,"")</f>
        <v/>
      </c>
      <c r="B1682">
        <f>IF(A1682="","",'Employees'!C12)</f>
        <v/>
      </c>
      <c r="C1682">
        <f>IF(A1682="","",'Ratings'!C111)</f>
        <v/>
      </c>
      <c r="D1682">
        <f>IF(A1682="","",'Ratings'!D111)</f>
        <v/>
      </c>
      <c r="E1682">
        <f>IF(AND('Ratings'!A111&lt;&gt;"",'Ratings'!E5&lt;&gt;""),'Ratings'!E5,"")</f>
        <v/>
      </c>
      <c r="F1682">
        <f>IF(OR(A1682="",'Ratings'!E111=""),"",'Ratings'!E111)</f>
        <v/>
      </c>
      <c r="G1682">
        <f>IF(A1682="","",'Employees'!D12)</f>
        <v/>
      </c>
    </row>
    <row r="1683">
      <c r="A1683">
        <f>IF(AND('Ratings'!A111&lt;&gt;"",'Ratings'!F5&lt;&gt;""),'Ratings'!A111,"")</f>
        <v/>
      </c>
      <c r="B1683">
        <f>IF(A1683="","",'Employees'!C12)</f>
        <v/>
      </c>
      <c r="C1683">
        <f>IF(A1683="","",'Ratings'!C111)</f>
        <v/>
      </c>
      <c r="D1683">
        <f>IF(A1683="","",'Ratings'!D111)</f>
        <v/>
      </c>
      <c r="E1683">
        <f>IF(AND('Ratings'!A111&lt;&gt;"",'Ratings'!F5&lt;&gt;""),'Ratings'!F5,"")</f>
        <v/>
      </c>
      <c r="F1683">
        <f>IF(OR(A1683="",'Ratings'!F111=""),"",'Ratings'!F111)</f>
        <v/>
      </c>
      <c r="G1683">
        <f>IF(A1683="","",'Employees'!D12)</f>
        <v/>
      </c>
    </row>
    <row r="1684">
      <c r="A1684">
        <f>IF(AND('Ratings'!A111&lt;&gt;"",'Ratings'!G5&lt;&gt;""),'Ratings'!A111,"")</f>
        <v/>
      </c>
      <c r="B1684">
        <f>IF(A1684="","",'Employees'!C12)</f>
        <v/>
      </c>
      <c r="C1684">
        <f>IF(A1684="","",'Ratings'!C111)</f>
        <v/>
      </c>
      <c r="D1684">
        <f>IF(A1684="","",'Ratings'!D111)</f>
        <v/>
      </c>
      <c r="E1684">
        <f>IF(AND('Ratings'!A111&lt;&gt;"",'Ratings'!G5&lt;&gt;""),'Ratings'!G5,"")</f>
        <v/>
      </c>
      <c r="F1684">
        <f>IF(OR(A1684="",'Ratings'!G111=""),"",'Ratings'!G111)</f>
        <v/>
      </c>
      <c r="G1684">
        <f>IF(A1684="","",'Employees'!D12)</f>
        <v/>
      </c>
    </row>
    <row r="1685">
      <c r="A1685">
        <f>IF(AND('Ratings'!A111&lt;&gt;"",'Ratings'!H5&lt;&gt;""),'Ratings'!A111,"")</f>
        <v/>
      </c>
      <c r="B1685">
        <f>IF(A1685="","",'Employees'!C12)</f>
        <v/>
      </c>
      <c r="C1685">
        <f>IF(A1685="","",'Ratings'!C111)</f>
        <v/>
      </c>
      <c r="D1685">
        <f>IF(A1685="","",'Ratings'!D111)</f>
        <v/>
      </c>
      <c r="E1685">
        <f>IF(AND('Ratings'!A111&lt;&gt;"",'Ratings'!H5&lt;&gt;""),'Ratings'!H5,"")</f>
        <v/>
      </c>
      <c r="F1685">
        <f>IF(OR(A1685="",'Ratings'!H111=""),"",'Ratings'!H111)</f>
        <v/>
      </c>
      <c r="G1685">
        <f>IF(A1685="","",'Employees'!D12)</f>
        <v/>
      </c>
    </row>
    <row r="1686">
      <c r="A1686">
        <f>IF(AND('Ratings'!A111&lt;&gt;"",'Ratings'!I5&lt;&gt;""),'Ratings'!A111,"")</f>
        <v/>
      </c>
      <c r="B1686">
        <f>IF(A1686="","",'Employees'!C12)</f>
        <v/>
      </c>
      <c r="C1686">
        <f>IF(A1686="","",'Ratings'!C111)</f>
        <v/>
      </c>
      <c r="D1686">
        <f>IF(A1686="","",'Ratings'!D111)</f>
        <v/>
      </c>
      <c r="E1686">
        <f>IF(AND('Ratings'!A111&lt;&gt;"",'Ratings'!I5&lt;&gt;""),'Ratings'!I5,"")</f>
        <v/>
      </c>
      <c r="F1686">
        <f>IF(OR(A1686="",'Ratings'!I111=""),"",'Ratings'!I111)</f>
        <v/>
      </c>
      <c r="G1686">
        <f>IF(A1686="","",'Employees'!D12)</f>
        <v/>
      </c>
    </row>
    <row r="1687">
      <c r="A1687">
        <f>IF(AND('Ratings'!A111&lt;&gt;"",'Ratings'!J5&lt;&gt;""),'Ratings'!A111,"")</f>
        <v/>
      </c>
      <c r="B1687">
        <f>IF(A1687="","",'Employees'!C12)</f>
        <v/>
      </c>
      <c r="C1687">
        <f>IF(A1687="","",'Ratings'!C111)</f>
        <v/>
      </c>
      <c r="D1687">
        <f>IF(A1687="","",'Ratings'!D111)</f>
        <v/>
      </c>
      <c r="E1687">
        <f>IF(AND('Ratings'!A111&lt;&gt;"",'Ratings'!J5&lt;&gt;""),'Ratings'!J5,"")</f>
        <v/>
      </c>
      <c r="F1687">
        <f>IF(OR(A1687="",'Ratings'!J111=""),"",'Ratings'!J111)</f>
        <v/>
      </c>
      <c r="G1687">
        <f>IF(A1687="","",'Employees'!D12)</f>
        <v/>
      </c>
    </row>
    <row r="1688">
      <c r="A1688">
        <f>IF(AND('Ratings'!A111&lt;&gt;"",'Ratings'!K5&lt;&gt;""),'Ratings'!A111,"")</f>
        <v/>
      </c>
      <c r="B1688">
        <f>IF(A1688="","",'Employees'!C12)</f>
        <v/>
      </c>
      <c r="C1688">
        <f>IF(A1688="","",'Ratings'!C111)</f>
        <v/>
      </c>
      <c r="D1688">
        <f>IF(A1688="","",'Ratings'!D111)</f>
        <v/>
      </c>
      <c r="E1688">
        <f>IF(AND('Ratings'!A111&lt;&gt;"",'Ratings'!K5&lt;&gt;""),'Ratings'!K5,"")</f>
        <v/>
      </c>
      <c r="F1688">
        <f>IF(OR(A1688="",'Ratings'!K111=""),"",'Ratings'!K111)</f>
        <v/>
      </c>
      <c r="G1688">
        <f>IF(A1688="","",'Employees'!D12)</f>
        <v/>
      </c>
    </row>
    <row r="1689">
      <c r="A1689">
        <f>IF(AND('Ratings'!A111&lt;&gt;"",'Ratings'!L5&lt;&gt;""),'Ratings'!A111,"")</f>
        <v/>
      </c>
      <c r="B1689">
        <f>IF(A1689="","",'Employees'!C12)</f>
        <v/>
      </c>
      <c r="C1689">
        <f>IF(A1689="","",'Ratings'!C111)</f>
        <v/>
      </c>
      <c r="D1689">
        <f>IF(A1689="","",'Ratings'!D111)</f>
        <v/>
      </c>
      <c r="E1689">
        <f>IF(AND('Ratings'!A111&lt;&gt;"",'Ratings'!L5&lt;&gt;""),'Ratings'!L5,"")</f>
        <v/>
      </c>
      <c r="F1689">
        <f>IF(OR(A1689="",'Ratings'!L111=""),"",'Ratings'!L111)</f>
        <v/>
      </c>
      <c r="G1689">
        <f>IF(A1689="","",'Employees'!D12)</f>
        <v/>
      </c>
    </row>
    <row r="1690">
      <c r="A1690">
        <f>IF(AND('Ratings'!A111&lt;&gt;"",'Ratings'!M5&lt;&gt;""),'Ratings'!A111,"")</f>
        <v/>
      </c>
      <c r="B1690">
        <f>IF(A1690="","",'Employees'!C12)</f>
        <v/>
      </c>
      <c r="C1690">
        <f>IF(A1690="","",'Ratings'!C111)</f>
        <v/>
      </c>
      <c r="D1690">
        <f>IF(A1690="","",'Ratings'!D111)</f>
        <v/>
      </c>
      <c r="E1690">
        <f>IF(AND('Ratings'!A111&lt;&gt;"",'Ratings'!M5&lt;&gt;""),'Ratings'!M5,"")</f>
        <v/>
      </c>
      <c r="F1690">
        <f>IF(OR(A1690="",'Ratings'!M111=""),"",'Ratings'!M111)</f>
        <v/>
      </c>
      <c r="G1690">
        <f>IF(A1690="","",'Employees'!D12)</f>
        <v/>
      </c>
    </row>
    <row r="1691">
      <c r="A1691">
        <f>IF(AND('Ratings'!A111&lt;&gt;"",'Ratings'!N5&lt;&gt;""),'Ratings'!A111,"")</f>
        <v/>
      </c>
      <c r="B1691">
        <f>IF(A1691="","",'Employees'!C12)</f>
        <v/>
      </c>
      <c r="C1691">
        <f>IF(A1691="","",'Ratings'!C111)</f>
        <v/>
      </c>
      <c r="D1691">
        <f>IF(A1691="","",'Ratings'!D111)</f>
        <v/>
      </c>
      <c r="E1691">
        <f>IF(AND('Ratings'!A111&lt;&gt;"",'Ratings'!N5&lt;&gt;""),'Ratings'!N5,"")</f>
        <v/>
      </c>
      <c r="F1691">
        <f>IF(OR(A1691="",'Ratings'!N111=""),"",'Ratings'!N111)</f>
        <v/>
      </c>
      <c r="G1691">
        <f>IF(A1691="","",'Employees'!D12)</f>
        <v/>
      </c>
    </row>
    <row r="1692">
      <c r="A1692">
        <f>IF(AND('Ratings'!A111&lt;&gt;"",'Ratings'!O5&lt;&gt;""),'Ratings'!A111,"")</f>
        <v/>
      </c>
      <c r="B1692">
        <f>IF(A1692="","",'Employees'!C12)</f>
        <v/>
      </c>
      <c r="C1692">
        <f>IF(A1692="","",'Ratings'!C111)</f>
        <v/>
      </c>
      <c r="D1692">
        <f>IF(A1692="","",'Ratings'!D111)</f>
        <v/>
      </c>
      <c r="E1692">
        <f>IF(AND('Ratings'!A111&lt;&gt;"",'Ratings'!O5&lt;&gt;""),'Ratings'!O5,"")</f>
        <v/>
      </c>
      <c r="F1692">
        <f>IF(OR(A1692="",'Ratings'!O111=""),"",'Ratings'!O111)</f>
        <v/>
      </c>
      <c r="G1692">
        <f>IF(A1692="","",'Employees'!D12)</f>
        <v/>
      </c>
    </row>
    <row r="1693">
      <c r="A1693">
        <f>IF(AND('Ratings'!A111&lt;&gt;"",'Ratings'!P5&lt;&gt;""),'Ratings'!A111,"")</f>
        <v/>
      </c>
      <c r="B1693">
        <f>IF(A1693="","",'Employees'!C12)</f>
        <v/>
      </c>
      <c r="C1693">
        <f>IF(A1693="","",'Ratings'!C111)</f>
        <v/>
      </c>
      <c r="D1693">
        <f>IF(A1693="","",'Ratings'!D111)</f>
        <v/>
      </c>
      <c r="E1693">
        <f>IF(AND('Ratings'!A111&lt;&gt;"",'Ratings'!P5&lt;&gt;""),'Ratings'!P5,"")</f>
        <v/>
      </c>
      <c r="F1693">
        <f>IF(OR(A1693="",'Ratings'!P111=""),"",'Ratings'!P111)</f>
        <v/>
      </c>
      <c r="G1693">
        <f>IF(A1693="","",'Employees'!D12)</f>
        <v/>
      </c>
    </row>
    <row r="1694">
      <c r="A1694">
        <f>IF(AND('Ratings'!A111&lt;&gt;"",'Ratings'!Q5&lt;&gt;""),'Ratings'!A111,"")</f>
        <v/>
      </c>
      <c r="B1694">
        <f>IF(A1694="","",'Employees'!C12)</f>
        <v/>
      </c>
      <c r="C1694">
        <f>IF(A1694="","",'Ratings'!C111)</f>
        <v/>
      </c>
      <c r="D1694">
        <f>IF(A1694="","",'Ratings'!D111)</f>
        <v/>
      </c>
      <c r="E1694">
        <f>IF(AND('Ratings'!A111&lt;&gt;"",'Ratings'!Q5&lt;&gt;""),'Ratings'!Q5,"")</f>
        <v/>
      </c>
      <c r="F1694">
        <f>IF(OR(A1694="",'Ratings'!Q111=""),"",'Ratings'!Q111)</f>
        <v/>
      </c>
      <c r="G1694">
        <f>IF(A1694="","",'Employees'!D12)</f>
        <v/>
      </c>
    </row>
    <row r="1695">
      <c r="A1695">
        <f>IF(AND('Ratings'!A111&lt;&gt;"",'Ratings'!R5&lt;&gt;""),'Ratings'!A111,"")</f>
        <v/>
      </c>
      <c r="B1695">
        <f>IF(A1695="","",'Employees'!C12)</f>
        <v/>
      </c>
      <c r="C1695">
        <f>IF(A1695="","",'Ratings'!C111)</f>
        <v/>
      </c>
      <c r="D1695">
        <f>IF(A1695="","",'Ratings'!D111)</f>
        <v/>
      </c>
      <c r="E1695">
        <f>IF(AND('Ratings'!A111&lt;&gt;"",'Ratings'!R5&lt;&gt;""),'Ratings'!R5,"")</f>
        <v/>
      </c>
      <c r="F1695">
        <f>IF(OR(A1695="",'Ratings'!R111=""),"",'Ratings'!R111)</f>
        <v/>
      </c>
      <c r="G1695">
        <f>IF(A1695="","",'Employees'!D12)</f>
        <v/>
      </c>
    </row>
    <row r="1696">
      <c r="A1696">
        <f>IF(AND('Ratings'!A111&lt;&gt;"",'Ratings'!S5&lt;&gt;""),'Ratings'!A111,"")</f>
        <v/>
      </c>
      <c r="B1696">
        <f>IF(A1696="","",'Employees'!C12)</f>
        <v/>
      </c>
      <c r="C1696">
        <f>IF(A1696="","",'Ratings'!C111)</f>
        <v/>
      </c>
      <c r="D1696">
        <f>IF(A1696="","",'Ratings'!D111)</f>
        <v/>
      </c>
      <c r="E1696">
        <f>IF(AND('Ratings'!A111&lt;&gt;"",'Ratings'!S5&lt;&gt;""),'Ratings'!S5,"")</f>
        <v/>
      </c>
      <c r="F1696">
        <f>IF(OR(A1696="",'Ratings'!S111=""),"",'Ratings'!S111)</f>
        <v/>
      </c>
      <c r="G1696">
        <f>IF(A1696="","",'Employees'!D12)</f>
        <v/>
      </c>
    </row>
    <row r="1697">
      <c r="A1697">
        <f>IF(AND('Ratings'!A111&lt;&gt;"",'Ratings'!T5&lt;&gt;""),'Ratings'!A111,"")</f>
        <v/>
      </c>
      <c r="B1697">
        <f>IF(A1697="","",'Employees'!C12)</f>
        <v/>
      </c>
      <c r="C1697">
        <f>IF(A1697="","",'Ratings'!C111)</f>
        <v/>
      </c>
      <c r="D1697">
        <f>IF(A1697="","",'Ratings'!D111)</f>
        <v/>
      </c>
      <c r="E1697">
        <f>IF(AND('Ratings'!A111&lt;&gt;"",'Ratings'!T5&lt;&gt;""),'Ratings'!T5,"")</f>
        <v/>
      </c>
      <c r="F1697">
        <f>IF(OR(A1697="",'Ratings'!T111=""),"",'Ratings'!T111)</f>
        <v/>
      </c>
      <c r="G1697">
        <f>IF(A1697="","",'Employees'!D12)</f>
        <v/>
      </c>
    </row>
    <row r="1698">
      <c r="A1698">
        <f>IF(AND('Ratings'!A112&lt;&gt;"",'Ratings'!E5&lt;&gt;""),'Ratings'!A112,"")</f>
        <v/>
      </c>
      <c r="B1698">
        <f>IF(A1698="","",'Employees'!C12)</f>
        <v/>
      </c>
      <c r="C1698">
        <f>IF(A1698="","",'Ratings'!C112)</f>
        <v/>
      </c>
      <c r="D1698">
        <f>IF(A1698="","",'Ratings'!D112)</f>
        <v/>
      </c>
      <c r="E1698">
        <f>IF(AND('Ratings'!A112&lt;&gt;"",'Ratings'!E5&lt;&gt;""),'Ratings'!E5,"")</f>
        <v/>
      </c>
      <c r="F1698">
        <f>IF(OR(A1698="",'Ratings'!E112=""),"",'Ratings'!E112)</f>
        <v/>
      </c>
      <c r="G1698">
        <f>IF(A1698="","",'Employees'!D12)</f>
        <v/>
      </c>
    </row>
    <row r="1699">
      <c r="A1699">
        <f>IF(AND('Ratings'!A112&lt;&gt;"",'Ratings'!F5&lt;&gt;""),'Ratings'!A112,"")</f>
        <v/>
      </c>
      <c r="B1699">
        <f>IF(A1699="","",'Employees'!C12)</f>
        <v/>
      </c>
      <c r="C1699">
        <f>IF(A1699="","",'Ratings'!C112)</f>
        <v/>
      </c>
      <c r="D1699">
        <f>IF(A1699="","",'Ratings'!D112)</f>
        <v/>
      </c>
      <c r="E1699">
        <f>IF(AND('Ratings'!A112&lt;&gt;"",'Ratings'!F5&lt;&gt;""),'Ratings'!F5,"")</f>
        <v/>
      </c>
      <c r="F1699">
        <f>IF(OR(A1699="",'Ratings'!F112=""),"",'Ratings'!F112)</f>
        <v/>
      </c>
      <c r="G1699">
        <f>IF(A1699="","",'Employees'!D12)</f>
        <v/>
      </c>
    </row>
    <row r="1700">
      <c r="A1700">
        <f>IF(AND('Ratings'!A112&lt;&gt;"",'Ratings'!G5&lt;&gt;""),'Ratings'!A112,"")</f>
        <v/>
      </c>
      <c r="B1700">
        <f>IF(A1700="","",'Employees'!C12)</f>
        <v/>
      </c>
      <c r="C1700">
        <f>IF(A1700="","",'Ratings'!C112)</f>
        <v/>
      </c>
      <c r="D1700">
        <f>IF(A1700="","",'Ratings'!D112)</f>
        <v/>
      </c>
      <c r="E1700">
        <f>IF(AND('Ratings'!A112&lt;&gt;"",'Ratings'!G5&lt;&gt;""),'Ratings'!G5,"")</f>
        <v/>
      </c>
      <c r="F1700">
        <f>IF(OR(A1700="",'Ratings'!G112=""),"",'Ratings'!G112)</f>
        <v/>
      </c>
      <c r="G1700">
        <f>IF(A1700="","",'Employees'!D12)</f>
        <v/>
      </c>
    </row>
    <row r="1701">
      <c r="A1701">
        <f>IF(AND('Ratings'!A112&lt;&gt;"",'Ratings'!H5&lt;&gt;""),'Ratings'!A112,"")</f>
        <v/>
      </c>
      <c r="B1701">
        <f>IF(A1701="","",'Employees'!C12)</f>
        <v/>
      </c>
      <c r="C1701">
        <f>IF(A1701="","",'Ratings'!C112)</f>
        <v/>
      </c>
      <c r="D1701">
        <f>IF(A1701="","",'Ratings'!D112)</f>
        <v/>
      </c>
      <c r="E1701">
        <f>IF(AND('Ratings'!A112&lt;&gt;"",'Ratings'!H5&lt;&gt;""),'Ratings'!H5,"")</f>
        <v/>
      </c>
      <c r="F1701">
        <f>IF(OR(A1701="",'Ratings'!H112=""),"",'Ratings'!H112)</f>
        <v/>
      </c>
      <c r="G1701">
        <f>IF(A1701="","",'Employees'!D12)</f>
        <v/>
      </c>
    </row>
    <row r="1702">
      <c r="A1702">
        <f>IF(AND('Ratings'!A112&lt;&gt;"",'Ratings'!I5&lt;&gt;""),'Ratings'!A112,"")</f>
        <v/>
      </c>
      <c r="B1702">
        <f>IF(A1702="","",'Employees'!C12)</f>
        <v/>
      </c>
      <c r="C1702">
        <f>IF(A1702="","",'Ratings'!C112)</f>
        <v/>
      </c>
      <c r="D1702">
        <f>IF(A1702="","",'Ratings'!D112)</f>
        <v/>
      </c>
      <c r="E1702">
        <f>IF(AND('Ratings'!A112&lt;&gt;"",'Ratings'!I5&lt;&gt;""),'Ratings'!I5,"")</f>
        <v/>
      </c>
      <c r="F1702">
        <f>IF(OR(A1702="",'Ratings'!I112=""),"",'Ratings'!I112)</f>
        <v/>
      </c>
      <c r="G1702">
        <f>IF(A1702="","",'Employees'!D12)</f>
        <v/>
      </c>
    </row>
    <row r="1703">
      <c r="A1703">
        <f>IF(AND('Ratings'!A112&lt;&gt;"",'Ratings'!J5&lt;&gt;""),'Ratings'!A112,"")</f>
        <v/>
      </c>
      <c r="B1703">
        <f>IF(A1703="","",'Employees'!C12)</f>
        <v/>
      </c>
      <c r="C1703">
        <f>IF(A1703="","",'Ratings'!C112)</f>
        <v/>
      </c>
      <c r="D1703">
        <f>IF(A1703="","",'Ratings'!D112)</f>
        <v/>
      </c>
      <c r="E1703">
        <f>IF(AND('Ratings'!A112&lt;&gt;"",'Ratings'!J5&lt;&gt;""),'Ratings'!J5,"")</f>
        <v/>
      </c>
      <c r="F1703">
        <f>IF(OR(A1703="",'Ratings'!J112=""),"",'Ratings'!J112)</f>
        <v/>
      </c>
      <c r="G1703">
        <f>IF(A1703="","",'Employees'!D12)</f>
        <v/>
      </c>
    </row>
    <row r="1704">
      <c r="A1704">
        <f>IF(AND('Ratings'!A112&lt;&gt;"",'Ratings'!K5&lt;&gt;""),'Ratings'!A112,"")</f>
        <v/>
      </c>
      <c r="B1704">
        <f>IF(A1704="","",'Employees'!C12)</f>
        <v/>
      </c>
      <c r="C1704">
        <f>IF(A1704="","",'Ratings'!C112)</f>
        <v/>
      </c>
      <c r="D1704">
        <f>IF(A1704="","",'Ratings'!D112)</f>
        <v/>
      </c>
      <c r="E1704">
        <f>IF(AND('Ratings'!A112&lt;&gt;"",'Ratings'!K5&lt;&gt;""),'Ratings'!K5,"")</f>
        <v/>
      </c>
      <c r="F1704">
        <f>IF(OR(A1704="",'Ratings'!K112=""),"",'Ratings'!K112)</f>
        <v/>
      </c>
      <c r="G1704">
        <f>IF(A1704="","",'Employees'!D12)</f>
        <v/>
      </c>
    </row>
    <row r="1705">
      <c r="A1705">
        <f>IF(AND('Ratings'!A112&lt;&gt;"",'Ratings'!L5&lt;&gt;""),'Ratings'!A112,"")</f>
        <v/>
      </c>
      <c r="B1705">
        <f>IF(A1705="","",'Employees'!C12)</f>
        <v/>
      </c>
      <c r="C1705">
        <f>IF(A1705="","",'Ratings'!C112)</f>
        <v/>
      </c>
      <c r="D1705">
        <f>IF(A1705="","",'Ratings'!D112)</f>
        <v/>
      </c>
      <c r="E1705">
        <f>IF(AND('Ratings'!A112&lt;&gt;"",'Ratings'!L5&lt;&gt;""),'Ratings'!L5,"")</f>
        <v/>
      </c>
      <c r="F1705">
        <f>IF(OR(A1705="",'Ratings'!L112=""),"",'Ratings'!L112)</f>
        <v/>
      </c>
      <c r="G1705">
        <f>IF(A1705="","",'Employees'!D12)</f>
        <v/>
      </c>
    </row>
    <row r="1706">
      <c r="A1706">
        <f>IF(AND('Ratings'!A112&lt;&gt;"",'Ratings'!M5&lt;&gt;""),'Ratings'!A112,"")</f>
        <v/>
      </c>
      <c r="B1706">
        <f>IF(A1706="","",'Employees'!C12)</f>
        <v/>
      </c>
      <c r="C1706">
        <f>IF(A1706="","",'Ratings'!C112)</f>
        <v/>
      </c>
      <c r="D1706">
        <f>IF(A1706="","",'Ratings'!D112)</f>
        <v/>
      </c>
      <c r="E1706">
        <f>IF(AND('Ratings'!A112&lt;&gt;"",'Ratings'!M5&lt;&gt;""),'Ratings'!M5,"")</f>
        <v/>
      </c>
      <c r="F1706">
        <f>IF(OR(A1706="",'Ratings'!M112=""),"",'Ratings'!M112)</f>
        <v/>
      </c>
      <c r="G1706">
        <f>IF(A1706="","",'Employees'!D12)</f>
        <v/>
      </c>
    </row>
    <row r="1707">
      <c r="A1707">
        <f>IF(AND('Ratings'!A112&lt;&gt;"",'Ratings'!N5&lt;&gt;""),'Ratings'!A112,"")</f>
        <v/>
      </c>
      <c r="B1707">
        <f>IF(A1707="","",'Employees'!C12)</f>
        <v/>
      </c>
      <c r="C1707">
        <f>IF(A1707="","",'Ratings'!C112)</f>
        <v/>
      </c>
      <c r="D1707">
        <f>IF(A1707="","",'Ratings'!D112)</f>
        <v/>
      </c>
      <c r="E1707">
        <f>IF(AND('Ratings'!A112&lt;&gt;"",'Ratings'!N5&lt;&gt;""),'Ratings'!N5,"")</f>
        <v/>
      </c>
      <c r="F1707">
        <f>IF(OR(A1707="",'Ratings'!N112=""),"",'Ratings'!N112)</f>
        <v/>
      </c>
      <c r="G1707">
        <f>IF(A1707="","",'Employees'!D12)</f>
        <v/>
      </c>
    </row>
    <row r="1708">
      <c r="A1708">
        <f>IF(AND('Ratings'!A112&lt;&gt;"",'Ratings'!O5&lt;&gt;""),'Ratings'!A112,"")</f>
        <v/>
      </c>
      <c r="B1708">
        <f>IF(A1708="","",'Employees'!C12)</f>
        <v/>
      </c>
      <c r="C1708">
        <f>IF(A1708="","",'Ratings'!C112)</f>
        <v/>
      </c>
      <c r="D1708">
        <f>IF(A1708="","",'Ratings'!D112)</f>
        <v/>
      </c>
      <c r="E1708">
        <f>IF(AND('Ratings'!A112&lt;&gt;"",'Ratings'!O5&lt;&gt;""),'Ratings'!O5,"")</f>
        <v/>
      </c>
      <c r="F1708">
        <f>IF(OR(A1708="",'Ratings'!O112=""),"",'Ratings'!O112)</f>
        <v/>
      </c>
      <c r="G1708">
        <f>IF(A1708="","",'Employees'!D12)</f>
        <v/>
      </c>
    </row>
    <row r="1709">
      <c r="A1709">
        <f>IF(AND('Ratings'!A112&lt;&gt;"",'Ratings'!P5&lt;&gt;""),'Ratings'!A112,"")</f>
        <v/>
      </c>
      <c r="B1709">
        <f>IF(A1709="","",'Employees'!C12)</f>
        <v/>
      </c>
      <c r="C1709">
        <f>IF(A1709="","",'Ratings'!C112)</f>
        <v/>
      </c>
      <c r="D1709">
        <f>IF(A1709="","",'Ratings'!D112)</f>
        <v/>
      </c>
      <c r="E1709">
        <f>IF(AND('Ratings'!A112&lt;&gt;"",'Ratings'!P5&lt;&gt;""),'Ratings'!P5,"")</f>
        <v/>
      </c>
      <c r="F1709">
        <f>IF(OR(A1709="",'Ratings'!P112=""),"",'Ratings'!P112)</f>
        <v/>
      </c>
      <c r="G1709">
        <f>IF(A1709="","",'Employees'!D12)</f>
        <v/>
      </c>
    </row>
    <row r="1710">
      <c r="A1710">
        <f>IF(AND('Ratings'!A112&lt;&gt;"",'Ratings'!Q5&lt;&gt;""),'Ratings'!A112,"")</f>
        <v/>
      </c>
      <c r="B1710">
        <f>IF(A1710="","",'Employees'!C12)</f>
        <v/>
      </c>
      <c r="C1710">
        <f>IF(A1710="","",'Ratings'!C112)</f>
        <v/>
      </c>
      <c r="D1710">
        <f>IF(A1710="","",'Ratings'!D112)</f>
        <v/>
      </c>
      <c r="E1710">
        <f>IF(AND('Ratings'!A112&lt;&gt;"",'Ratings'!Q5&lt;&gt;""),'Ratings'!Q5,"")</f>
        <v/>
      </c>
      <c r="F1710">
        <f>IF(OR(A1710="",'Ratings'!Q112=""),"",'Ratings'!Q112)</f>
        <v/>
      </c>
      <c r="G1710">
        <f>IF(A1710="","",'Employees'!D12)</f>
        <v/>
      </c>
    </row>
    <row r="1711">
      <c r="A1711">
        <f>IF(AND('Ratings'!A112&lt;&gt;"",'Ratings'!R5&lt;&gt;""),'Ratings'!A112,"")</f>
        <v/>
      </c>
      <c r="B1711">
        <f>IF(A1711="","",'Employees'!C12)</f>
        <v/>
      </c>
      <c r="C1711">
        <f>IF(A1711="","",'Ratings'!C112)</f>
        <v/>
      </c>
      <c r="D1711">
        <f>IF(A1711="","",'Ratings'!D112)</f>
        <v/>
      </c>
      <c r="E1711">
        <f>IF(AND('Ratings'!A112&lt;&gt;"",'Ratings'!R5&lt;&gt;""),'Ratings'!R5,"")</f>
        <v/>
      </c>
      <c r="F1711">
        <f>IF(OR(A1711="",'Ratings'!R112=""),"",'Ratings'!R112)</f>
        <v/>
      </c>
      <c r="G1711">
        <f>IF(A1711="","",'Employees'!D12)</f>
        <v/>
      </c>
    </row>
    <row r="1712">
      <c r="A1712">
        <f>IF(AND('Ratings'!A112&lt;&gt;"",'Ratings'!S5&lt;&gt;""),'Ratings'!A112,"")</f>
        <v/>
      </c>
      <c r="B1712">
        <f>IF(A1712="","",'Employees'!C12)</f>
        <v/>
      </c>
      <c r="C1712">
        <f>IF(A1712="","",'Ratings'!C112)</f>
        <v/>
      </c>
      <c r="D1712">
        <f>IF(A1712="","",'Ratings'!D112)</f>
        <v/>
      </c>
      <c r="E1712">
        <f>IF(AND('Ratings'!A112&lt;&gt;"",'Ratings'!S5&lt;&gt;""),'Ratings'!S5,"")</f>
        <v/>
      </c>
      <c r="F1712">
        <f>IF(OR(A1712="",'Ratings'!S112=""),"",'Ratings'!S112)</f>
        <v/>
      </c>
      <c r="G1712">
        <f>IF(A1712="","",'Employees'!D12)</f>
        <v/>
      </c>
    </row>
    <row r="1713">
      <c r="A1713">
        <f>IF(AND('Ratings'!A112&lt;&gt;"",'Ratings'!T5&lt;&gt;""),'Ratings'!A112,"")</f>
        <v/>
      </c>
      <c r="B1713">
        <f>IF(A1713="","",'Employees'!C12)</f>
        <v/>
      </c>
      <c r="C1713">
        <f>IF(A1713="","",'Ratings'!C112)</f>
        <v/>
      </c>
      <c r="D1713">
        <f>IF(A1713="","",'Ratings'!D112)</f>
        <v/>
      </c>
      <c r="E1713">
        <f>IF(AND('Ratings'!A112&lt;&gt;"",'Ratings'!T5&lt;&gt;""),'Ratings'!T5,"")</f>
        <v/>
      </c>
      <c r="F1713">
        <f>IF(OR(A1713="",'Ratings'!T112=""),"",'Ratings'!T112)</f>
        <v/>
      </c>
      <c r="G1713">
        <f>IF(A1713="","",'Employees'!D12)</f>
        <v/>
      </c>
    </row>
    <row r="1714">
      <c r="A1714">
        <f>IF(AND('Ratings'!A113&lt;&gt;"",'Ratings'!E5&lt;&gt;""),'Ratings'!A113,"")</f>
        <v/>
      </c>
      <c r="B1714">
        <f>IF(A1714="","",'Employees'!C12)</f>
        <v/>
      </c>
      <c r="C1714">
        <f>IF(A1714="","",'Ratings'!C113)</f>
        <v/>
      </c>
      <c r="D1714">
        <f>IF(A1714="","",'Ratings'!D113)</f>
        <v/>
      </c>
      <c r="E1714">
        <f>IF(AND('Ratings'!A113&lt;&gt;"",'Ratings'!E5&lt;&gt;""),'Ratings'!E5,"")</f>
        <v/>
      </c>
      <c r="F1714">
        <f>IF(OR(A1714="",'Ratings'!E113=""),"",'Ratings'!E113)</f>
        <v/>
      </c>
      <c r="G1714">
        <f>IF(A1714="","",'Employees'!D12)</f>
        <v/>
      </c>
    </row>
    <row r="1715">
      <c r="A1715">
        <f>IF(AND('Ratings'!A113&lt;&gt;"",'Ratings'!F5&lt;&gt;""),'Ratings'!A113,"")</f>
        <v/>
      </c>
      <c r="B1715">
        <f>IF(A1715="","",'Employees'!C12)</f>
        <v/>
      </c>
      <c r="C1715">
        <f>IF(A1715="","",'Ratings'!C113)</f>
        <v/>
      </c>
      <c r="D1715">
        <f>IF(A1715="","",'Ratings'!D113)</f>
        <v/>
      </c>
      <c r="E1715">
        <f>IF(AND('Ratings'!A113&lt;&gt;"",'Ratings'!F5&lt;&gt;""),'Ratings'!F5,"")</f>
        <v/>
      </c>
      <c r="F1715">
        <f>IF(OR(A1715="",'Ratings'!F113=""),"",'Ratings'!F113)</f>
        <v/>
      </c>
      <c r="G1715">
        <f>IF(A1715="","",'Employees'!D12)</f>
        <v/>
      </c>
    </row>
    <row r="1716">
      <c r="A1716">
        <f>IF(AND('Ratings'!A113&lt;&gt;"",'Ratings'!G5&lt;&gt;""),'Ratings'!A113,"")</f>
        <v/>
      </c>
      <c r="B1716">
        <f>IF(A1716="","",'Employees'!C12)</f>
        <v/>
      </c>
      <c r="C1716">
        <f>IF(A1716="","",'Ratings'!C113)</f>
        <v/>
      </c>
      <c r="D1716">
        <f>IF(A1716="","",'Ratings'!D113)</f>
        <v/>
      </c>
      <c r="E1716">
        <f>IF(AND('Ratings'!A113&lt;&gt;"",'Ratings'!G5&lt;&gt;""),'Ratings'!G5,"")</f>
        <v/>
      </c>
      <c r="F1716">
        <f>IF(OR(A1716="",'Ratings'!G113=""),"",'Ratings'!G113)</f>
        <v/>
      </c>
      <c r="G1716">
        <f>IF(A1716="","",'Employees'!D12)</f>
        <v/>
      </c>
    </row>
    <row r="1717">
      <c r="A1717">
        <f>IF(AND('Ratings'!A113&lt;&gt;"",'Ratings'!H5&lt;&gt;""),'Ratings'!A113,"")</f>
        <v/>
      </c>
      <c r="B1717">
        <f>IF(A1717="","",'Employees'!C12)</f>
        <v/>
      </c>
      <c r="C1717">
        <f>IF(A1717="","",'Ratings'!C113)</f>
        <v/>
      </c>
      <c r="D1717">
        <f>IF(A1717="","",'Ratings'!D113)</f>
        <v/>
      </c>
      <c r="E1717">
        <f>IF(AND('Ratings'!A113&lt;&gt;"",'Ratings'!H5&lt;&gt;""),'Ratings'!H5,"")</f>
        <v/>
      </c>
      <c r="F1717">
        <f>IF(OR(A1717="",'Ratings'!H113=""),"",'Ratings'!H113)</f>
        <v/>
      </c>
      <c r="G1717">
        <f>IF(A1717="","",'Employees'!D12)</f>
        <v/>
      </c>
    </row>
    <row r="1718">
      <c r="A1718">
        <f>IF(AND('Ratings'!A113&lt;&gt;"",'Ratings'!I5&lt;&gt;""),'Ratings'!A113,"")</f>
        <v/>
      </c>
      <c r="B1718">
        <f>IF(A1718="","",'Employees'!C12)</f>
        <v/>
      </c>
      <c r="C1718">
        <f>IF(A1718="","",'Ratings'!C113)</f>
        <v/>
      </c>
      <c r="D1718">
        <f>IF(A1718="","",'Ratings'!D113)</f>
        <v/>
      </c>
      <c r="E1718">
        <f>IF(AND('Ratings'!A113&lt;&gt;"",'Ratings'!I5&lt;&gt;""),'Ratings'!I5,"")</f>
        <v/>
      </c>
      <c r="F1718">
        <f>IF(OR(A1718="",'Ratings'!I113=""),"",'Ratings'!I113)</f>
        <v/>
      </c>
      <c r="G1718">
        <f>IF(A1718="","",'Employees'!D12)</f>
        <v/>
      </c>
    </row>
    <row r="1719">
      <c r="A1719">
        <f>IF(AND('Ratings'!A113&lt;&gt;"",'Ratings'!J5&lt;&gt;""),'Ratings'!A113,"")</f>
        <v/>
      </c>
      <c r="B1719">
        <f>IF(A1719="","",'Employees'!C12)</f>
        <v/>
      </c>
      <c r="C1719">
        <f>IF(A1719="","",'Ratings'!C113)</f>
        <v/>
      </c>
      <c r="D1719">
        <f>IF(A1719="","",'Ratings'!D113)</f>
        <v/>
      </c>
      <c r="E1719">
        <f>IF(AND('Ratings'!A113&lt;&gt;"",'Ratings'!J5&lt;&gt;""),'Ratings'!J5,"")</f>
        <v/>
      </c>
      <c r="F1719">
        <f>IF(OR(A1719="",'Ratings'!J113=""),"",'Ratings'!J113)</f>
        <v/>
      </c>
      <c r="G1719">
        <f>IF(A1719="","",'Employees'!D12)</f>
        <v/>
      </c>
    </row>
    <row r="1720">
      <c r="A1720">
        <f>IF(AND('Ratings'!A113&lt;&gt;"",'Ratings'!K5&lt;&gt;""),'Ratings'!A113,"")</f>
        <v/>
      </c>
      <c r="B1720">
        <f>IF(A1720="","",'Employees'!C12)</f>
        <v/>
      </c>
      <c r="C1720">
        <f>IF(A1720="","",'Ratings'!C113)</f>
        <v/>
      </c>
      <c r="D1720">
        <f>IF(A1720="","",'Ratings'!D113)</f>
        <v/>
      </c>
      <c r="E1720">
        <f>IF(AND('Ratings'!A113&lt;&gt;"",'Ratings'!K5&lt;&gt;""),'Ratings'!K5,"")</f>
        <v/>
      </c>
      <c r="F1720">
        <f>IF(OR(A1720="",'Ratings'!K113=""),"",'Ratings'!K113)</f>
        <v/>
      </c>
      <c r="G1720">
        <f>IF(A1720="","",'Employees'!D12)</f>
        <v/>
      </c>
    </row>
    <row r="1721">
      <c r="A1721">
        <f>IF(AND('Ratings'!A113&lt;&gt;"",'Ratings'!L5&lt;&gt;""),'Ratings'!A113,"")</f>
        <v/>
      </c>
      <c r="B1721">
        <f>IF(A1721="","",'Employees'!C12)</f>
        <v/>
      </c>
      <c r="C1721">
        <f>IF(A1721="","",'Ratings'!C113)</f>
        <v/>
      </c>
      <c r="D1721">
        <f>IF(A1721="","",'Ratings'!D113)</f>
        <v/>
      </c>
      <c r="E1721">
        <f>IF(AND('Ratings'!A113&lt;&gt;"",'Ratings'!L5&lt;&gt;""),'Ratings'!L5,"")</f>
        <v/>
      </c>
      <c r="F1721">
        <f>IF(OR(A1721="",'Ratings'!L113=""),"",'Ratings'!L113)</f>
        <v/>
      </c>
      <c r="G1721">
        <f>IF(A1721="","",'Employees'!D12)</f>
        <v/>
      </c>
    </row>
    <row r="1722">
      <c r="A1722">
        <f>IF(AND('Ratings'!A113&lt;&gt;"",'Ratings'!M5&lt;&gt;""),'Ratings'!A113,"")</f>
        <v/>
      </c>
      <c r="B1722">
        <f>IF(A1722="","",'Employees'!C12)</f>
        <v/>
      </c>
      <c r="C1722">
        <f>IF(A1722="","",'Ratings'!C113)</f>
        <v/>
      </c>
      <c r="D1722">
        <f>IF(A1722="","",'Ratings'!D113)</f>
        <v/>
      </c>
      <c r="E1722">
        <f>IF(AND('Ratings'!A113&lt;&gt;"",'Ratings'!M5&lt;&gt;""),'Ratings'!M5,"")</f>
        <v/>
      </c>
      <c r="F1722">
        <f>IF(OR(A1722="",'Ratings'!M113=""),"",'Ratings'!M113)</f>
        <v/>
      </c>
      <c r="G1722">
        <f>IF(A1722="","",'Employees'!D12)</f>
        <v/>
      </c>
    </row>
    <row r="1723">
      <c r="A1723">
        <f>IF(AND('Ratings'!A113&lt;&gt;"",'Ratings'!N5&lt;&gt;""),'Ratings'!A113,"")</f>
        <v/>
      </c>
      <c r="B1723">
        <f>IF(A1723="","",'Employees'!C12)</f>
        <v/>
      </c>
      <c r="C1723">
        <f>IF(A1723="","",'Ratings'!C113)</f>
        <v/>
      </c>
      <c r="D1723">
        <f>IF(A1723="","",'Ratings'!D113)</f>
        <v/>
      </c>
      <c r="E1723">
        <f>IF(AND('Ratings'!A113&lt;&gt;"",'Ratings'!N5&lt;&gt;""),'Ratings'!N5,"")</f>
        <v/>
      </c>
      <c r="F1723">
        <f>IF(OR(A1723="",'Ratings'!N113=""),"",'Ratings'!N113)</f>
        <v/>
      </c>
      <c r="G1723">
        <f>IF(A1723="","",'Employees'!D12)</f>
        <v/>
      </c>
    </row>
    <row r="1724">
      <c r="A1724">
        <f>IF(AND('Ratings'!A113&lt;&gt;"",'Ratings'!O5&lt;&gt;""),'Ratings'!A113,"")</f>
        <v/>
      </c>
      <c r="B1724">
        <f>IF(A1724="","",'Employees'!C12)</f>
        <v/>
      </c>
      <c r="C1724">
        <f>IF(A1724="","",'Ratings'!C113)</f>
        <v/>
      </c>
      <c r="D1724">
        <f>IF(A1724="","",'Ratings'!D113)</f>
        <v/>
      </c>
      <c r="E1724">
        <f>IF(AND('Ratings'!A113&lt;&gt;"",'Ratings'!O5&lt;&gt;""),'Ratings'!O5,"")</f>
        <v/>
      </c>
      <c r="F1724">
        <f>IF(OR(A1724="",'Ratings'!O113=""),"",'Ratings'!O113)</f>
        <v/>
      </c>
      <c r="G1724">
        <f>IF(A1724="","",'Employees'!D12)</f>
        <v/>
      </c>
    </row>
    <row r="1725">
      <c r="A1725">
        <f>IF(AND('Ratings'!A113&lt;&gt;"",'Ratings'!P5&lt;&gt;""),'Ratings'!A113,"")</f>
        <v/>
      </c>
      <c r="B1725">
        <f>IF(A1725="","",'Employees'!C12)</f>
        <v/>
      </c>
      <c r="C1725">
        <f>IF(A1725="","",'Ratings'!C113)</f>
        <v/>
      </c>
      <c r="D1725">
        <f>IF(A1725="","",'Ratings'!D113)</f>
        <v/>
      </c>
      <c r="E1725">
        <f>IF(AND('Ratings'!A113&lt;&gt;"",'Ratings'!P5&lt;&gt;""),'Ratings'!P5,"")</f>
        <v/>
      </c>
      <c r="F1725">
        <f>IF(OR(A1725="",'Ratings'!P113=""),"",'Ratings'!P113)</f>
        <v/>
      </c>
      <c r="G1725">
        <f>IF(A1725="","",'Employees'!D12)</f>
        <v/>
      </c>
    </row>
    <row r="1726">
      <c r="A1726">
        <f>IF(AND('Ratings'!A113&lt;&gt;"",'Ratings'!Q5&lt;&gt;""),'Ratings'!A113,"")</f>
        <v/>
      </c>
      <c r="B1726">
        <f>IF(A1726="","",'Employees'!C12)</f>
        <v/>
      </c>
      <c r="C1726">
        <f>IF(A1726="","",'Ratings'!C113)</f>
        <v/>
      </c>
      <c r="D1726">
        <f>IF(A1726="","",'Ratings'!D113)</f>
        <v/>
      </c>
      <c r="E1726">
        <f>IF(AND('Ratings'!A113&lt;&gt;"",'Ratings'!Q5&lt;&gt;""),'Ratings'!Q5,"")</f>
        <v/>
      </c>
      <c r="F1726">
        <f>IF(OR(A1726="",'Ratings'!Q113=""),"",'Ratings'!Q113)</f>
        <v/>
      </c>
      <c r="G1726">
        <f>IF(A1726="","",'Employees'!D12)</f>
        <v/>
      </c>
    </row>
    <row r="1727">
      <c r="A1727">
        <f>IF(AND('Ratings'!A113&lt;&gt;"",'Ratings'!R5&lt;&gt;""),'Ratings'!A113,"")</f>
        <v/>
      </c>
      <c r="B1727">
        <f>IF(A1727="","",'Employees'!C12)</f>
        <v/>
      </c>
      <c r="C1727">
        <f>IF(A1727="","",'Ratings'!C113)</f>
        <v/>
      </c>
      <c r="D1727">
        <f>IF(A1727="","",'Ratings'!D113)</f>
        <v/>
      </c>
      <c r="E1727">
        <f>IF(AND('Ratings'!A113&lt;&gt;"",'Ratings'!R5&lt;&gt;""),'Ratings'!R5,"")</f>
        <v/>
      </c>
      <c r="F1727">
        <f>IF(OR(A1727="",'Ratings'!R113=""),"",'Ratings'!R113)</f>
        <v/>
      </c>
      <c r="G1727">
        <f>IF(A1727="","",'Employees'!D12)</f>
        <v/>
      </c>
    </row>
    <row r="1728">
      <c r="A1728">
        <f>IF(AND('Ratings'!A113&lt;&gt;"",'Ratings'!S5&lt;&gt;""),'Ratings'!A113,"")</f>
        <v/>
      </c>
      <c r="B1728">
        <f>IF(A1728="","",'Employees'!C12)</f>
        <v/>
      </c>
      <c r="C1728">
        <f>IF(A1728="","",'Ratings'!C113)</f>
        <v/>
      </c>
      <c r="D1728">
        <f>IF(A1728="","",'Ratings'!D113)</f>
        <v/>
      </c>
      <c r="E1728">
        <f>IF(AND('Ratings'!A113&lt;&gt;"",'Ratings'!S5&lt;&gt;""),'Ratings'!S5,"")</f>
        <v/>
      </c>
      <c r="F1728">
        <f>IF(OR(A1728="",'Ratings'!S113=""),"",'Ratings'!S113)</f>
        <v/>
      </c>
      <c r="G1728">
        <f>IF(A1728="","",'Employees'!D12)</f>
        <v/>
      </c>
    </row>
    <row r="1729">
      <c r="A1729">
        <f>IF(AND('Ratings'!A113&lt;&gt;"",'Ratings'!T5&lt;&gt;""),'Ratings'!A113,"")</f>
        <v/>
      </c>
      <c r="B1729">
        <f>IF(A1729="","",'Employees'!C12)</f>
        <v/>
      </c>
      <c r="C1729">
        <f>IF(A1729="","",'Ratings'!C113)</f>
        <v/>
      </c>
      <c r="D1729">
        <f>IF(A1729="","",'Ratings'!D113)</f>
        <v/>
      </c>
      <c r="E1729">
        <f>IF(AND('Ratings'!A113&lt;&gt;"",'Ratings'!T5&lt;&gt;""),'Ratings'!T5,"")</f>
        <v/>
      </c>
      <c r="F1729">
        <f>IF(OR(A1729="",'Ratings'!T113=""),"",'Ratings'!T113)</f>
        <v/>
      </c>
      <c r="G1729">
        <f>IF(A1729="","",'Employees'!D12)</f>
        <v/>
      </c>
    </row>
    <row r="1730">
      <c r="A1730">
        <f>IF(AND('Ratings'!A114&lt;&gt;"",'Ratings'!E5&lt;&gt;""),'Ratings'!A114,"")</f>
        <v/>
      </c>
      <c r="B1730">
        <f>IF(A1730="","",'Employees'!C12)</f>
        <v/>
      </c>
      <c r="C1730">
        <f>IF(A1730="","",'Ratings'!C114)</f>
        <v/>
      </c>
      <c r="D1730">
        <f>IF(A1730="","",'Ratings'!D114)</f>
        <v/>
      </c>
      <c r="E1730">
        <f>IF(AND('Ratings'!A114&lt;&gt;"",'Ratings'!E5&lt;&gt;""),'Ratings'!E5,"")</f>
        <v/>
      </c>
      <c r="F1730">
        <f>IF(OR(A1730="",'Ratings'!E114=""),"",'Ratings'!E114)</f>
        <v/>
      </c>
      <c r="G1730">
        <f>IF(A1730="","",'Employees'!D12)</f>
        <v/>
      </c>
    </row>
    <row r="1731">
      <c r="A1731">
        <f>IF(AND('Ratings'!A114&lt;&gt;"",'Ratings'!F5&lt;&gt;""),'Ratings'!A114,"")</f>
        <v/>
      </c>
      <c r="B1731">
        <f>IF(A1731="","",'Employees'!C12)</f>
        <v/>
      </c>
      <c r="C1731">
        <f>IF(A1731="","",'Ratings'!C114)</f>
        <v/>
      </c>
      <c r="D1731">
        <f>IF(A1731="","",'Ratings'!D114)</f>
        <v/>
      </c>
      <c r="E1731">
        <f>IF(AND('Ratings'!A114&lt;&gt;"",'Ratings'!F5&lt;&gt;""),'Ratings'!F5,"")</f>
        <v/>
      </c>
      <c r="F1731">
        <f>IF(OR(A1731="",'Ratings'!F114=""),"",'Ratings'!F114)</f>
        <v/>
      </c>
      <c r="G1731">
        <f>IF(A1731="","",'Employees'!D12)</f>
        <v/>
      </c>
    </row>
    <row r="1732">
      <c r="A1732">
        <f>IF(AND('Ratings'!A114&lt;&gt;"",'Ratings'!G5&lt;&gt;""),'Ratings'!A114,"")</f>
        <v/>
      </c>
      <c r="B1732">
        <f>IF(A1732="","",'Employees'!C12)</f>
        <v/>
      </c>
      <c r="C1732">
        <f>IF(A1732="","",'Ratings'!C114)</f>
        <v/>
      </c>
      <c r="D1732">
        <f>IF(A1732="","",'Ratings'!D114)</f>
        <v/>
      </c>
      <c r="E1732">
        <f>IF(AND('Ratings'!A114&lt;&gt;"",'Ratings'!G5&lt;&gt;""),'Ratings'!G5,"")</f>
        <v/>
      </c>
      <c r="F1732">
        <f>IF(OR(A1732="",'Ratings'!G114=""),"",'Ratings'!G114)</f>
        <v/>
      </c>
      <c r="G1732">
        <f>IF(A1732="","",'Employees'!D12)</f>
        <v/>
      </c>
    </row>
    <row r="1733">
      <c r="A1733">
        <f>IF(AND('Ratings'!A114&lt;&gt;"",'Ratings'!H5&lt;&gt;""),'Ratings'!A114,"")</f>
        <v/>
      </c>
      <c r="B1733">
        <f>IF(A1733="","",'Employees'!C12)</f>
        <v/>
      </c>
      <c r="C1733">
        <f>IF(A1733="","",'Ratings'!C114)</f>
        <v/>
      </c>
      <c r="D1733">
        <f>IF(A1733="","",'Ratings'!D114)</f>
        <v/>
      </c>
      <c r="E1733">
        <f>IF(AND('Ratings'!A114&lt;&gt;"",'Ratings'!H5&lt;&gt;""),'Ratings'!H5,"")</f>
        <v/>
      </c>
      <c r="F1733">
        <f>IF(OR(A1733="",'Ratings'!H114=""),"",'Ratings'!H114)</f>
        <v/>
      </c>
      <c r="G1733">
        <f>IF(A1733="","",'Employees'!D12)</f>
        <v/>
      </c>
    </row>
    <row r="1734">
      <c r="A1734">
        <f>IF(AND('Ratings'!A114&lt;&gt;"",'Ratings'!I5&lt;&gt;""),'Ratings'!A114,"")</f>
        <v/>
      </c>
      <c r="B1734">
        <f>IF(A1734="","",'Employees'!C12)</f>
        <v/>
      </c>
      <c r="C1734">
        <f>IF(A1734="","",'Ratings'!C114)</f>
        <v/>
      </c>
      <c r="D1734">
        <f>IF(A1734="","",'Ratings'!D114)</f>
        <v/>
      </c>
      <c r="E1734">
        <f>IF(AND('Ratings'!A114&lt;&gt;"",'Ratings'!I5&lt;&gt;""),'Ratings'!I5,"")</f>
        <v/>
      </c>
      <c r="F1734">
        <f>IF(OR(A1734="",'Ratings'!I114=""),"",'Ratings'!I114)</f>
        <v/>
      </c>
      <c r="G1734">
        <f>IF(A1734="","",'Employees'!D12)</f>
        <v/>
      </c>
    </row>
    <row r="1735">
      <c r="A1735">
        <f>IF(AND('Ratings'!A114&lt;&gt;"",'Ratings'!J5&lt;&gt;""),'Ratings'!A114,"")</f>
        <v/>
      </c>
      <c r="B1735">
        <f>IF(A1735="","",'Employees'!C12)</f>
        <v/>
      </c>
      <c r="C1735">
        <f>IF(A1735="","",'Ratings'!C114)</f>
        <v/>
      </c>
      <c r="D1735">
        <f>IF(A1735="","",'Ratings'!D114)</f>
        <v/>
      </c>
      <c r="E1735">
        <f>IF(AND('Ratings'!A114&lt;&gt;"",'Ratings'!J5&lt;&gt;""),'Ratings'!J5,"")</f>
        <v/>
      </c>
      <c r="F1735">
        <f>IF(OR(A1735="",'Ratings'!J114=""),"",'Ratings'!J114)</f>
        <v/>
      </c>
      <c r="G1735">
        <f>IF(A1735="","",'Employees'!D12)</f>
        <v/>
      </c>
    </row>
    <row r="1736">
      <c r="A1736">
        <f>IF(AND('Ratings'!A114&lt;&gt;"",'Ratings'!K5&lt;&gt;""),'Ratings'!A114,"")</f>
        <v/>
      </c>
      <c r="B1736">
        <f>IF(A1736="","",'Employees'!C12)</f>
        <v/>
      </c>
      <c r="C1736">
        <f>IF(A1736="","",'Ratings'!C114)</f>
        <v/>
      </c>
      <c r="D1736">
        <f>IF(A1736="","",'Ratings'!D114)</f>
        <v/>
      </c>
      <c r="E1736">
        <f>IF(AND('Ratings'!A114&lt;&gt;"",'Ratings'!K5&lt;&gt;""),'Ratings'!K5,"")</f>
        <v/>
      </c>
      <c r="F1736">
        <f>IF(OR(A1736="",'Ratings'!K114=""),"",'Ratings'!K114)</f>
        <v/>
      </c>
      <c r="G1736">
        <f>IF(A1736="","",'Employees'!D12)</f>
        <v/>
      </c>
    </row>
    <row r="1737">
      <c r="A1737">
        <f>IF(AND('Ratings'!A114&lt;&gt;"",'Ratings'!L5&lt;&gt;""),'Ratings'!A114,"")</f>
        <v/>
      </c>
      <c r="B1737">
        <f>IF(A1737="","",'Employees'!C12)</f>
        <v/>
      </c>
      <c r="C1737">
        <f>IF(A1737="","",'Ratings'!C114)</f>
        <v/>
      </c>
      <c r="D1737">
        <f>IF(A1737="","",'Ratings'!D114)</f>
        <v/>
      </c>
      <c r="E1737">
        <f>IF(AND('Ratings'!A114&lt;&gt;"",'Ratings'!L5&lt;&gt;""),'Ratings'!L5,"")</f>
        <v/>
      </c>
      <c r="F1737">
        <f>IF(OR(A1737="",'Ratings'!L114=""),"",'Ratings'!L114)</f>
        <v/>
      </c>
      <c r="G1737">
        <f>IF(A1737="","",'Employees'!D12)</f>
        <v/>
      </c>
    </row>
    <row r="1738">
      <c r="A1738">
        <f>IF(AND('Ratings'!A114&lt;&gt;"",'Ratings'!M5&lt;&gt;""),'Ratings'!A114,"")</f>
        <v/>
      </c>
      <c r="B1738">
        <f>IF(A1738="","",'Employees'!C12)</f>
        <v/>
      </c>
      <c r="C1738">
        <f>IF(A1738="","",'Ratings'!C114)</f>
        <v/>
      </c>
      <c r="D1738">
        <f>IF(A1738="","",'Ratings'!D114)</f>
        <v/>
      </c>
      <c r="E1738">
        <f>IF(AND('Ratings'!A114&lt;&gt;"",'Ratings'!M5&lt;&gt;""),'Ratings'!M5,"")</f>
        <v/>
      </c>
      <c r="F1738">
        <f>IF(OR(A1738="",'Ratings'!M114=""),"",'Ratings'!M114)</f>
        <v/>
      </c>
      <c r="G1738">
        <f>IF(A1738="","",'Employees'!D12)</f>
        <v/>
      </c>
    </row>
    <row r="1739">
      <c r="A1739">
        <f>IF(AND('Ratings'!A114&lt;&gt;"",'Ratings'!N5&lt;&gt;""),'Ratings'!A114,"")</f>
        <v/>
      </c>
      <c r="B1739">
        <f>IF(A1739="","",'Employees'!C12)</f>
        <v/>
      </c>
      <c r="C1739">
        <f>IF(A1739="","",'Ratings'!C114)</f>
        <v/>
      </c>
      <c r="D1739">
        <f>IF(A1739="","",'Ratings'!D114)</f>
        <v/>
      </c>
      <c r="E1739">
        <f>IF(AND('Ratings'!A114&lt;&gt;"",'Ratings'!N5&lt;&gt;""),'Ratings'!N5,"")</f>
        <v/>
      </c>
      <c r="F1739">
        <f>IF(OR(A1739="",'Ratings'!N114=""),"",'Ratings'!N114)</f>
        <v/>
      </c>
      <c r="G1739">
        <f>IF(A1739="","",'Employees'!D12)</f>
        <v/>
      </c>
    </row>
    <row r="1740">
      <c r="A1740">
        <f>IF(AND('Ratings'!A114&lt;&gt;"",'Ratings'!O5&lt;&gt;""),'Ratings'!A114,"")</f>
        <v/>
      </c>
      <c r="B1740">
        <f>IF(A1740="","",'Employees'!C12)</f>
        <v/>
      </c>
      <c r="C1740">
        <f>IF(A1740="","",'Ratings'!C114)</f>
        <v/>
      </c>
      <c r="D1740">
        <f>IF(A1740="","",'Ratings'!D114)</f>
        <v/>
      </c>
      <c r="E1740">
        <f>IF(AND('Ratings'!A114&lt;&gt;"",'Ratings'!O5&lt;&gt;""),'Ratings'!O5,"")</f>
        <v/>
      </c>
      <c r="F1740">
        <f>IF(OR(A1740="",'Ratings'!O114=""),"",'Ratings'!O114)</f>
        <v/>
      </c>
      <c r="G1740">
        <f>IF(A1740="","",'Employees'!D12)</f>
        <v/>
      </c>
    </row>
    <row r="1741">
      <c r="A1741">
        <f>IF(AND('Ratings'!A114&lt;&gt;"",'Ratings'!P5&lt;&gt;""),'Ratings'!A114,"")</f>
        <v/>
      </c>
      <c r="B1741">
        <f>IF(A1741="","",'Employees'!C12)</f>
        <v/>
      </c>
      <c r="C1741">
        <f>IF(A1741="","",'Ratings'!C114)</f>
        <v/>
      </c>
      <c r="D1741">
        <f>IF(A1741="","",'Ratings'!D114)</f>
        <v/>
      </c>
      <c r="E1741">
        <f>IF(AND('Ratings'!A114&lt;&gt;"",'Ratings'!P5&lt;&gt;""),'Ratings'!P5,"")</f>
        <v/>
      </c>
      <c r="F1741">
        <f>IF(OR(A1741="",'Ratings'!P114=""),"",'Ratings'!P114)</f>
        <v/>
      </c>
      <c r="G1741">
        <f>IF(A1741="","",'Employees'!D12)</f>
        <v/>
      </c>
    </row>
    <row r="1742">
      <c r="A1742">
        <f>IF(AND('Ratings'!A114&lt;&gt;"",'Ratings'!Q5&lt;&gt;""),'Ratings'!A114,"")</f>
        <v/>
      </c>
      <c r="B1742">
        <f>IF(A1742="","",'Employees'!C12)</f>
        <v/>
      </c>
      <c r="C1742">
        <f>IF(A1742="","",'Ratings'!C114)</f>
        <v/>
      </c>
      <c r="D1742">
        <f>IF(A1742="","",'Ratings'!D114)</f>
        <v/>
      </c>
      <c r="E1742">
        <f>IF(AND('Ratings'!A114&lt;&gt;"",'Ratings'!Q5&lt;&gt;""),'Ratings'!Q5,"")</f>
        <v/>
      </c>
      <c r="F1742">
        <f>IF(OR(A1742="",'Ratings'!Q114=""),"",'Ratings'!Q114)</f>
        <v/>
      </c>
      <c r="G1742">
        <f>IF(A1742="","",'Employees'!D12)</f>
        <v/>
      </c>
    </row>
    <row r="1743">
      <c r="A1743">
        <f>IF(AND('Ratings'!A114&lt;&gt;"",'Ratings'!R5&lt;&gt;""),'Ratings'!A114,"")</f>
        <v/>
      </c>
      <c r="B1743">
        <f>IF(A1743="","",'Employees'!C12)</f>
        <v/>
      </c>
      <c r="C1743">
        <f>IF(A1743="","",'Ratings'!C114)</f>
        <v/>
      </c>
      <c r="D1743">
        <f>IF(A1743="","",'Ratings'!D114)</f>
        <v/>
      </c>
      <c r="E1743">
        <f>IF(AND('Ratings'!A114&lt;&gt;"",'Ratings'!R5&lt;&gt;""),'Ratings'!R5,"")</f>
        <v/>
      </c>
      <c r="F1743">
        <f>IF(OR(A1743="",'Ratings'!R114=""),"",'Ratings'!R114)</f>
        <v/>
      </c>
      <c r="G1743">
        <f>IF(A1743="","",'Employees'!D12)</f>
        <v/>
      </c>
    </row>
    <row r="1744">
      <c r="A1744">
        <f>IF(AND('Ratings'!A114&lt;&gt;"",'Ratings'!S5&lt;&gt;""),'Ratings'!A114,"")</f>
        <v/>
      </c>
      <c r="B1744">
        <f>IF(A1744="","",'Employees'!C12)</f>
        <v/>
      </c>
      <c r="C1744">
        <f>IF(A1744="","",'Ratings'!C114)</f>
        <v/>
      </c>
      <c r="D1744">
        <f>IF(A1744="","",'Ratings'!D114)</f>
        <v/>
      </c>
      <c r="E1744">
        <f>IF(AND('Ratings'!A114&lt;&gt;"",'Ratings'!S5&lt;&gt;""),'Ratings'!S5,"")</f>
        <v/>
      </c>
      <c r="F1744">
        <f>IF(OR(A1744="",'Ratings'!S114=""),"",'Ratings'!S114)</f>
        <v/>
      </c>
      <c r="G1744">
        <f>IF(A1744="","",'Employees'!D12)</f>
        <v/>
      </c>
    </row>
    <row r="1745">
      <c r="A1745">
        <f>IF(AND('Ratings'!A114&lt;&gt;"",'Ratings'!T5&lt;&gt;""),'Ratings'!A114,"")</f>
        <v/>
      </c>
      <c r="B1745">
        <f>IF(A1745="","",'Employees'!C12)</f>
        <v/>
      </c>
      <c r="C1745">
        <f>IF(A1745="","",'Ratings'!C114)</f>
        <v/>
      </c>
      <c r="D1745">
        <f>IF(A1745="","",'Ratings'!D114)</f>
        <v/>
      </c>
      <c r="E1745">
        <f>IF(AND('Ratings'!A114&lt;&gt;"",'Ratings'!T5&lt;&gt;""),'Ratings'!T5,"")</f>
        <v/>
      </c>
      <c r="F1745">
        <f>IF(OR(A1745="",'Ratings'!T114=""),"",'Ratings'!T114)</f>
        <v/>
      </c>
      <c r="G1745">
        <f>IF(A1745="","",'Employees'!D12)</f>
        <v/>
      </c>
    </row>
    <row r="1746">
      <c r="A1746">
        <f>IF(AND('Ratings'!A115&lt;&gt;"",'Ratings'!E5&lt;&gt;""),'Ratings'!A115,"")</f>
        <v/>
      </c>
      <c r="B1746">
        <f>IF(A1746="","",'Employees'!C12)</f>
        <v/>
      </c>
      <c r="C1746">
        <f>IF(A1746="","",'Ratings'!C115)</f>
        <v/>
      </c>
      <c r="D1746">
        <f>IF(A1746="","",'Ratings'!D115)</f>
        <v/>
      </c>
      <c r="E1746">
        <f>IF(AND('Ratings'!A115&lt;&gt;"",'Ratings'!E5&lt;&gt;""),'Ratings'!E5,"")</f>
        <v/>
      </c>
      <c r="F1746">
        <f>IF(OR(A1746="",'Ratings'!E115=""),"",'Ratings'!E115)</f>
        <v/>
      </c>
      <c r="G1746">
        <f>IF(A1746="","",'Employees'!D12)</f>
        <v/>
      </c>
    </row>
    <row r="1747">
      <c r="A1747">
        <f>IF(AND('Ratings'!A115&lt;&gt;"",'Ratings'!F5&lt;&gt;""),'Ratings'!A115,"")</f>
        <v/>
      </c>
      <c r="B1747">
        <f>IF(A1747="","",'Employees'!C12)</f>
        <v/>
      </c>
      <c r="C1747">
        <f>IF(A1747="","",'Ratings'!C115)</f>
        <v/>
      </c>
      <c r="D1747">
        <f>IF(A1747="","",'Ratings'!D115)</f>
        <v/>
      </c>
      <c r="E1747">
        <f>IF(AND('Ratings'!A115&lt;&gt;"",'Ratings'!F5&lt;&gt;""),'Ratings'!F5,"")</f>
        <v/>
      </c>
      <c r="F1747">
        <f>IF(OR(A1747="",'Ratings'!F115=""),"",'Ratings'!F115)</f>
        <v/>
      </c>
      <c r="G1747">
        <f>IF(A1747="","",'Employees'!D12)</f>
        <v/>
      </c>
    </row>
    <row r="1748">
      <c r="A1748">
        <f>IF(AND('Ratings'!A115&lt;&gt;"",'Ratings'!G5&lt;&gt;""),'Ratings'!A115,"")</f>
        <v/>
      </c>
      <c r="B1748">
        <f>IF(A1748="","",'Employees'!C12)</f>
        <v/>
      </c>
      <c r="C1748">
        <f>IF(A1748="","",'Ratings'!C115)</f>
        <v/>
      </c>
      <c r="D1748">
        <f>IF(A1748="","",'Ratings'!D115)</f>
        <v/>
      </c>
      <c r="E1748">
        <f>IF(AND('Ratings'!A115&lt;&gt;"",'Ratings'!G5&lt;&gt;""),'Ratings'!G5,"")</f>
        <v/>
      </c>
      <c r="F1748">
        <f>IF(OR(A1748="",'Ratings'!G115=""),"",'Ratings'!G115)</f>
        <v/>
      </c>
      <c r="G1748">
        <f>IF(A1748="","",'Employees'!D12)</f>
        <v/>
      </c>
    </row>
    <row r="1749">
      <c r="A1749">
        <f>IF(AND('Ratings'!A115&lt;&gt;"",'Ratings'!H5&lt;&gt;""),'Ratings'!A115,"")</f>
        <v/>
      </c>
      <c r="B1749">
        <f>IF(A1749="","",'Employees'!C12)</f>
        <v/>
      </c>
      <c r="C1749">
        <f>IF(A1749="","",'Ratings'!C115)</f>
        <v/>
      </c>
      <c r="D1749">
        <f>IF(A1749="","",'Ratings'!D115)</f>
        <v/>
      </c>
      <c r="E1749">
        <f>IF(AND('Ratings'!A115&lt;&gt;"",'Ratings'!H5&lt;&gt;""),'Ratings'!H5,"")</f>
        <v/>
      </c>
      <c r="F1749">
        <f>IF(OR(A1749="",'Ratings'!H115=""),"",'Ratings'!H115)</f>
        <v/>
      </c>
      <c r="G1749">
        <f>IF(A1749="","",'Employees'!D12)</f>
        <v/>
      </c>
    </row>
    <row r="1750">
      <c r="A1750">
        <f>IF(AND('Ratings'!A115&lt;&gt;"",'Ratings'!I5&lt;&gt;""),'Ratings'!A115,"")</f>
        <v/>
      </c>
      <c r="B1750">
        <f>IF(A1750="","",'Employees'!C12)</f>
        <v/>
      </c>
      <c r="C1750">
        <f>IF(A1750="","",'Ratings'!C115)</f>
        <v/>
      </c>
      <c r="D1750">
        <f>IF(A1750="","",'Ratings'!D115)</f>
        <v/>
      </c>
      <c r="E1750">
        <f>IF(AND('Ratings'!A115&lt;&gt;"",'Ratings'!I5&lt;&gt;""),'Ratings'!I5,"")</f>
        <v/>
      </c>
      <c r="F1750">
        <f>IF(OR(A1750="",'Ratings'!I115=""),"",'Ratings'!I115)</f>
        <v/>
      </c>
      <c r="G1750">
        <f>IF(A1750="","",'Employees'!D12)</f>
        <v/>
      </c>
    </row>
    <row r="1751">
      <c r="A1751">
        <f>IF(AND('Ratings'!A115&lt;&gt;"",'Ratings'!J5&lt;&gt;""),'Ratings'!A115,"")</f>
        <v/>
      </c>
      <c r="B1751">
        <f>IF(A1751="","",'Employees'!C12)</f>
        <v/>
      </c>
      <c r="C1751">
        <f>IF(A1751="","",'Ratings'!C115)</f>
        <v/>
      </c>
      <c r="D1751">
        <f>IF(A1751="","",'Ratings'!D115)</f>
        <v/>
      </c>
      <c r="E1751">
        <f>IF(AND('Ratings'!A115&lt;&gt;"",'Ratings'!J5&lt;&gt;""),'Ratings'!J5,"")</f>
        <v/>
      </c>
      <c r="F1751">
        <f>IF(OR(A1751="",'Ratings'!J115=""),"",'Ratings'!J115)</f>
        <v/>
      </c>
      <c r="G1751">
        <f>IF(A1751="","",'Employees'!D12)</f>
        <v/>
      </c>
    </row>
    <row r="1752">
      <c r="A1752">
        <f>IF(AND('Ratings'!A115&lt;&gt;"",'Ratings'!K5&lt;&gt;""),'Ratings'!A115,"")</f>
        <v/>
      </c>
      <c r="B1752">
        <f>IF(A1752="","",'Employees'!C12)</f>
        <v/>
      </c>
      <c r="C1752">
        <f>IF(A1752="","",'Ratings'!C115)</f>
        <v/>
      </c>
      <c r="D1752">
        <f>IF(A1752="","",'Ratings'!D115)</f>
        <v/>
      </c>
      <c r="E1752">
        <f>IF(AND('Ratings'!A115&lt;&gt;"",'Ratings'!K5&lt;&gt;""),'Ratings'!K5,"")</f>
        <v/>
      </c>
      <c r="F1752">
        <f>IF(OR(A1752="",'Ratings'!K115=""),"",'Ratings'!K115)</f>
        <v/>
      </c>
      <c r="G1752">
        <f>IF(A1752="","",'Employees'!D12)</f>
        <v/>
      </c>
    </row>
    <row r="1753">
      <c r="A1753">
        <f>IF(AND('Ratings'!A115&lt;&gt;"",'Ratings'!L5&lt;&gt;""),'Ratings'!A115,"")</f>
        <v/>
      </c>
      <c r="B1753">
        <f>IF(A1753="","",'Employees'!C12)</f>
        <v/>
      </c>
      <c r="C1753">
        <f>IF(A1753="","",'Ratings'!C115)</f>
        <v/>
      </c>
      <c r="D1753">
        <f>IF(A1753="","",'Ratings'!D115)</f>
        <v/>
      </c>
      <c r="E1753">
        <f>IF(AND('Ratings'!A115&lt;&gt;"",'Ratings'!L5&lt;&gt;""),'Ratings'!L5,"")</f>
        <v/>
      </c>
      <c r="F1753">
        <f>IF(OR(A1753="",'Ratings'!L115=""),"",'Ratings'!L115)</f>
        <v/>
      </c>
      <c r="G1753">
        <f>IF(A1753="","",'Employees'!D12)</f>
        <v/>
      </c>
    </row>
    <row r="1754">
      <c r="A1754">
        <f>IF(AND('Ratings'!A115&lt;&gt;"",'Ratings'!M5&lt;&gt;""),'Ratings'!A115,"")</f>
        <v/>
      </c>
      <c r="B1754">
        <f>IF(A1754="","",'Employees'!C12)</f>
        <v/>
      </c>
      <c r="C1754">
        <f>IF(A1754="","",'Ratings'!C115)</f>
        <v/>
      </c>
      <c r="D1754">
        <f>IF(A1754="","",'Ratings'!D115)</f>
        <v/>
      </c>
      <c r="E1754">
        <f>IF(AND('Ratings'!A115&lt;&gt;"",'Ratings'!M5&lt;&gt;""),'Ratings'!M5,"")</f>
        <v/>
      </c>
      <c r="F1754">
        <f>IF(OR(A1754="",'Ratings'!M115=""),"",'Ratings'!M115)</f>
        <v/>
      </c>
      <c r="G1754">
        <f>IF(A1754="","",'Employees'!D12)</f>
        <v/>
      </c>
    </row>
    <row r="1755">
      <c r="A1755">
        <f>IF(AND('Ratings'!A115&lt;&gt;"",'Ratings'!N5&lt;&gt;""),'Ratings'!A115,"")</f>
        <v/>
      </c>
      <c r="B1755">
        <f>IF(A1755="","",'Employees'!C12)</f>
        <v/>
      </c>
      <c r="C1755">
        <f>IF(A1755="","",'Ratings'!C115)</f>
        <v/>
      </c>
      <c r="D1755">
        <f>IF(A1755="","",'Ratings'!D115)</f>
        <v/>
      </c>
      <c r="E1755">
        <f>IF(AND('Ratings'!A115&lt;&gt;"",'Ratings'!N5&lt;&gt;""),'Ratings'!N5,"")</f>
        <v/>
      </c>
      <c r="F1755">
        <f>IF(OR(A1755="",'Ratings'!N115=""),"",'Ratings'!N115)</f>
        <v/>
      </c>
      <c r="G1755">
        <f>IF(A1755="","",'Employees'!D12)</f>
        <v/>
      </c>
    </row>
    <row r="1756">
      <c r="A1756">
        <f>IF(AND('Ratings'!A115&lt;&gt;"",'Ratings'!O5&lt;&gt;""),'Ratings'!A115,"")</f>
        <v/>
      </c>
      <c r="B1756">
        <f>IF(A1756="","",'Employees'!C12)</f>
        <v/>
      </c>
      <c r="C1756">
        <f>IF(A1756="","",'Ratings'!C115)</f>
        <v/>
      </c>
      <c r="D1756">
        <f>IF(A1756="","",'Ratings'!D115)</f>
        <v/>
      </c>
      <c r="E1756">
        <f>IF(AND('Ratings'!A115&lt;&gt;"",'Ratings'!O5&lt;&gt;""),'Ratings'!O5,"")</f>
        <v/>
      </c>
      <c r="F1756">
        <f>IF(OR(A1756="",'Ratings'!O115=""),"",'Ratings'!O115)</f>
        <v/>
      </c>
      <c r="G1756">
        <f>IF(A1756="","",'Employees'!D12)</f>
        <v/>
      </c>
    </row>
    <row r="1757">
      <c r="A1757">
        <f>IF(AND('Ratings'!A115&lt;&gt;"",'Ratings'!P5&lt;&gt;""),'Ratings'!A115,"")</f>
        <v/>
      </c>
      <c r="B1757">
        <f>IF(A1757="","",'Employees'!C12)</f>
        <v/>
      </c>
      <c r="C1757">
        <f>IF(A1757="","",'Ratings'!C115)</f>
        <v/>
      </c>
      <c r="D1757">
        <f>IF(A1757="","",'Ratings'!D115)</f>
        <v/>
      </c>
      <c r="E1757">
        <f>IF(AND('Ratings'!A115&lt;&gt;"",'Ratings'!P5&lt;&gt;""),'Ratings'!P5,"")</f>
        <v/>
      </c>
      <c r="F1757">
        <f>IF(OR(A1757="",'Ratings'!P115=""),"",'Ratings'!P115)</f>
        <v/>
      </c>
      <c r="G1757">
        <f>IF(A1757="","",'Employees'!D12)</f>
        <v/>
      </c>
    </row>
    <row r="1758">
      <c r="A1758">
        <f>IF(AND('Ratings'!A115&lt;&gt;"",'Ratings'!Q5&lt;&gt;""),'Ratings'!A115,"")</f>
        <v/>
      </c>
      <c r="B1758">
        <f>IF(A1758="","",'Employees'!C12)</f>
        <v/>
      </c>
      <c r="C1758">
        <f>IF(A1758="","",'Ratings'!C115)</f>
        <v/>
      </c>
      <c r="D1758">
        <f>IF(A1758="","",'Ratings'!D115)</f>
        <v/>
      </c>
      <c r="E1758">
        <f>IF(AND('Ratings'!A115&lt;&gt;"",'Ratings'!Q5&lt;&gt;""),'Ratings'!Q5,"")</f>
        <v/>
      </c>
      <c r="F1758">
        <f>IF(OR(A1758="",'Ratings'!Q115=""),"",'Ratings'!Q115)</f>
        <v/>
      </c>
      <c r="G1758">
        <f>IF(A1758="","",'Employees'!D12)</f>
        <v/>
      </c>
    </row>
    <row r="1759">
      <c r="A1759">
        <f>IF(AND('Ratings'!A115&lt;&gt;"",'Ratings'!R5&lt;&gt;""),'Ratings'!A115,"")</f>
        <v/>
      </c>
      <c r="B1759">
        <f>IF(A1759="","",'Employees'!C12)</f>
        <v/>
      </c>
      <c r="C1759">
        <f>IF(A1759="","",'Ratings'!C115)</f>
        <v/>
      </c>
      <c r="D1759">
        <f>IF(A1759="","",'Ratings'!D115)</f>
        <v/>
      </c>
      <c r="E1759">
        <f>IF(AND('Ratings'!A115&lt;&gt;"",'Ratings'!R5&lt;&gt;""),'Ratings'!R5,"")</f>
        <v/>
      </c>
      <c r="F1759">
        <f>IF(OR(A1759="",'Ratings'!R115=""),"",'Ratings'!R115)</f>
        <v/>
      </c>
      <c r="G1759">
        <f>IF(A1759="","",'Employees'!D12)</f>
        <v/>
      </c>
    </row>
    <row r="1760">
      <c r="A1760">
        <f>IF(AND('Ratings'!A115&lt;&gt;"",'Ratings'!S5&lt;&gt;""),'Ratings'!A115,"")</f>
        <v/>
      </c>
      <c r="B1760">
        <f>IF(A1760="","",'Employees'!C12)</f>
        <v/>
      </c>
      <c r="C1760">
        <f>IF(A1760="","",'Ratings'!C115)</f>
        <v/>
      </c>
      <c r="D1760">
        <f>IF(A1760="","",'Ratings'!D115)</f>
        <v/>
      </c>
      <c r="E1760">
        <f>IF(AND('Ratings'!A115&lt;&gt;"",'Ratings'!S5&lt;&gt;""),'Ratings'!S5,"")</f>
        <v/>
      </c>
      <c r="F1760">
        <f>IF(OR(A1760="",'Ratings'!S115=""),"",'Ratings'!S115)</f>
        <v/>
      </c>
      <c r="G1760">
        <f>IF(A1760="","",'Employees'!D12)</f>
        <v/>
      </c>
    </row>
    <row r="1761">
      <c r="A1761">
        <f>IF(AND('Ratings'!A115&lt;&gt;"",'Ratings'!T5&lt;&gt;""),'Ratings'!A115,"")</f>
        <v/>
      </c>
      <c r="B1761">
        <f>IF(A1761="","",'Employees'!C12)</f>
        <v/>
      </c>
      <c r="C1761">
        <f>IF(A1761="","",'Ratings'!C115)</f>
        <v/>
      </c>
      <c r="D1761">
        <f>IF(A1761="","",'Ratings'!D115)</f>
        <v/>
      </c>
      <c r="E1761">
        <f>IF(AND('Ratings'!A115&lt;&gt;"",'Ratings'!T5&lt;&gt;""),'Ratings'!T5,"")</f>
        <v/>
      </c>
      <c r="F1761">
        <f>IF(OR(A1761="",'Ratings'!T115=""),"",'Ratings'!T115)</f>
        <v/>
      </c>
      <c r="G1761">
        <f>IF(A1761="","",'Employees'!D12)</f>
        <v/>
      </c>
    </row>
    <row r="1762">
      <c r="A1762">
        <f>IF(AND('Ratings'!A116&lt;&gt;"",'Ratings'!E5&lt;&gt;""),'Ratings'!A116,"")</f>
        <v/>
      </c>
      <c r="B1762">
        <f>IF(A1762="","",'Employees'!C12)</f>
        <v/>
      </c>
      <c r="C1762">
        <f>IF(A1762="","",'Ratings'!C116)</f>
        <v/>
      </c>
      <c r="D1762">
        <f>IF(A1762="","",'Ratings'!D116)</f>
        <v/>
      </c>
      <c r="E1762">
        <f>IF(AND('Ratings'!A116&lt;&gt;"",'Ratings'!E5&lt;&gt;""),'Ratings'!E5,"")</f>
        <v/>
      </c>
      <c r="F1762">
        <f>IF(OR(A1762="",'Ratings'!E116=""),"",'Ratings'!E116)</f>
        <v/>
      </c>
      <c r="G1762">
        <f>IF(A1762="","",'Employees'!D12)</f>
        <v/>
      </c>
    </row>
    <row r="1763">
      <c r="A1763">
        <f>IF(AND('Ratings'!A116&lt;&gt;"",'Ratings'!F5&lt;&gt;""),'Ratings'!A116,"")</f>
        <v/>
      </c>
      <c r="B1763">
        <f>IF(A1763="","",'Employees'!C12)</f>
        <v/>
      </c>
      <c r="C1763">
        <f>IF(A1763="","",'Ratings'!C116)</f>
        <v/>
      </c>
      <c r="D1763">
        <f>IF(A1763="","",'Ratings'!D116)</f>
        <v/>
      </c>
      <c r="E1763">
        <f>IF(AND('Ratings'!A116&lt;&gt;"",'Ratings'!F5&lt;&gt;""),'Ratings'!F5,"")</f>
        <v/>
      </c>
      <c r="F1763">
        <f>IF(OR(A1763="",'Ratings'!F116=""),"",'Ratings'!F116)</f>
        <v/>
      </c>
      <c r="G1763">
        <f>IF(A1763="","",'Employees'!D12)</f>
        <v/>
      </c>
    </row>
    <row r="1764">
      <c r="A1764">
        <f>IF(AND('Ratings'!A116&lt;&gt;"",'Ratings'!G5&lt;&gt;""),'Ratings'!A116,"")</f>
        <v/>
      </c>
      <c r="B1764">
        <f>IF(A1764="","",'Employees'!C12)</f>
        <v/>
      </c>
      <c r="C1764">
        <f>IF(A1764="","",'Ratings'!C116)</f>
        <v/>
      </c>
      <c r="D1764">
        <f>IF(A1764="","",'Ratings'!D116)</f>
        <v/>
      </c>
      <c r="E1764">
        <f>IF(AND('Ratings'!A116&lt;&gt;"",'Ratings'!G5&lt;&gt;""),'Ratings'!G5,"")</f>
        <v/>
      </c>
      <c r="F1764">
        <f>IF(OR(A1764="",'Ratings'!G116=""),"",'Ratings'!G116)</f>
        <v/>
      </c>
      <c r="G1764">
        <f>IF(A1764="","",'Employees'!D12)</f>
        <v/>
      </c>
    </row>
    <row r="1765">
      <c r="A1765">
        <f>IF(AND('Ratings'!A116&lt;&gt;"",'Ratings'!H5&lt;&gt;""),'Ratings'!A116,"")</f>
        <v/>
      </c>
      <c r="B1765">
        <f>IF(A1765="","",'Employees'!C12)</f>
        <v/>
      </c>
      <c r="C1765">
        <f>IF(A1765="","",'Ratings'!C116)</f>
        <v/>
      </c>
      <c r="D1765">
        <f>IF(A1765="","",'Ratings'!D116)</f>
        <v/>
      </c>
      <c r="E1765">
        <f>IF(AND('Ratings'!A116&lt;&gt;"",'Ratings'!H5&lt;&gt;""),'Ratings'!H5,"")</f>
        <v/>
      </c>
      <c r="F1765">
        <f>IF(OR(A1765="",'Ratings'!H116=""),"",'Ratings'!H116)</f>
        <v/>
      </c>
      <c r="G1765">
        <f>IF(A1765="","",'Employees'!D12)</f>
        <v/>
      </c>
    </row>
    <row r="1766">
      <c r="A1766">
        <f>IF(AND('Ratings'!A116&lt;&gt;"",'Ratings'!I5&lt;&gt;""),'Ratings'!A116,"")</f>
        <v/>
      </c>
      <c r="B1766">
        <f>IF(A1766="","",'Employees'!C12)</f>
        <v/>
      </c>
      <c r="C1766">
        <f>IF(A1766="","",'Ratings'!C116)</f>
        <v/>
      </c>
      <c r="D1766">
        <f>IF(A1766="","",'Ratings'!D116)</f>
        <v/>
      </c>
      <c r="E1766">
        <f>IF(AND('Ratings'!A116&lt;&gt;"",'Ratings'!I5&lt;&gt;""),'Ratings'!I5,"")</f>
        <v/>
      </c>
      <c r="F1766">
        <f>IF(OR(A1766="",'Ratings'!I116=""),"",'Ratings'!I116)</f>
        <v/>
      </c>
      <c r="G1766">
        <f>IF(A1766="","",'Employees'!D12)</f>
        <v/>
      </c>
    </row>
    <row r="1767">
      <c r="A1767">
        <f>IF(AND('Ratings'!A116&lt;&gt;"",'Ratings'!J5&lt;&gt;""),'Ratings'!A116,"")</f>
        <v/>
      </c>
      <c r="B1767">
        <f>IF(A1767="","",'Employees'!C12)</f>
        <v/>
      </c>
      <c r="C1767">
        <f>IF(A1767="","",'Ratings'!C116)</f>
        <v/>
      </c>
      <c r="D1767">
        <f>IF(A1767="","",'Ratings'!D116)</f>
        <v/>
      </c>
      <c r="E1767">
        <f>IF(AND('Ratings'!A116&lt;&gt;"",'Ratings'!J5&lt;&gt;""),'Ratings'!J5,"")</f>
        <v/>
      </c>
      <c r="F1767">
        <f>IF(OR(A1767="",'Ratings'!J116=""),"",'Ratings'!J116)</f>
        <v/>
      </c>
      <c r="G1767">
        <f>IF(A1767="","",'Employees'!D12)</f>
        <v/>
      </c>
    </row>
    <row r="1768">
      <c r="A1768">
        <f>IF(AND('Ratings'!A116&lt;&gt;"",'Ratings'!K5&lt;&gt;""),'Ratings'!A116,"")</f>
        <v/>
      </c>
      <c r="B1768">
        <f>IF(A1768="","",'Employees'!C12)</f>
        <v/>
      </c>
      <c r="C1768">
        <f>IF(A1768="","",'Ratings'!C116)</f>
        <v/>
      </c>
      <c r="D1768">
        <f>IF(A1768="","",'Ratings'!D116)</f>
        <v/>
      </c>
      <c r="E1768">
        <f>IF(AND('Ratings'!A116&lt;&gt;"",'Ratings'!K5&lt;&gt;""),'Ratings'!K5,"")</f>
        <v/>
      </c>
      <c r="F1768">
        <f>IF(OR(A1768="",'Ratings'!K116=""),"",'Ratings'!K116)</f>
        <v/>
      </c>
      <c r="G1768">
        <f>IF(A1768="","",'Employees'!D12)</f>
        <v/>
      </c>
    </row>
    <row r="1769">
      <c r="A1769">
        <f>IF(AND('Ratings'!A116&lt;&gt;"",'Ratings'!L5&lt;&gt;""),'Ratings'!A116,"")</f>
        <v/>
      </c>
      <c r="B1769">
        <f>IF(A1769="","",'Employees'!C12)</f>
        <v/>
      </c>
      <c r="C1769">
        <f>IF(A1769="","",'Ratings'!C116)</f>
        <v/>
      </c>
      <c r="D1769">
        <f>IF(A1769="","",'Ratings'!D116)</f>
        <v/>
      </c>
      <c r="E1769">
        <f>IF(AND('Ratings'!A116&lt;&gt;"",'Ratings'!L5&lt;&gt;""),'Ratings'!L5,"")</f>
        <v/>
      </c>
      <c r="F1769">
        <f>IF(OR(A1769="",'Ratings'!L116=""),"",'Ratings'!L116)</f>
        <v/>
      </c>
      <c r="G1769">
        <f>IF(A1769="","",'Employees'!D12)</f>
        <v/>
      </c>
    </row>
    <row r="1770">
      <c r="A1770">
        <f>IF(AND('Ratings'!A116&lt;&gt;"",'Ratings'!M5&lt;&gt;""),'Ratings'!A116,"")</f>
        <v/>
      </c>
      <c r="B1770">
        <f>IF(A1770="","",'Employees'!C12)</f>
        <v/>
      </c>
      <c r="C1770">
        <f>IF(A1770="","",'Ratings'!C116)</f>
        <v/>
      </c>
      <c r="D1770">
        <f>IF(A1770="","",'Ratings'!D116)</f>
        <v/>
      </c>
      <c r="E1770">
        <f>IF(AND('Ratings'!A116&lt;&gt;"",'Ratings'!M5&lt;&gt;""),'Ratings'!M5,"")</f>
        <v/>
      </c>
      <c r="F1770">
        <f>IF(OR(A1770="",'Ratings'!M116=""),"",'Ratings'!M116)</f>
        <v/>
      </c>
      <c r="G1770">
        <f>IF(A1770="","",'Employees'!D12)</f>
        <v/>
      </c>
    </row>
    <row r="1771">
      <c r="A1771">
        <f>IF(AND('Ratings'!A116&lt;&gt;"",'Ratings'!N5&lt;&gt;""),'Ratings'!A116,"")</f>
        <v/>
      </c>
      <c r="B1771">
        <f>IF(A1771="","",'Employees'!C12)</f>
        <v/>
      </c>
      <c r="C1771">
        <f>IF(A1771="","",'Ratings'!C116)</f>
        <v/>
      </c>
      <c r="D1771">
        <f>IF(A1771="","",'Ratings'!D116)</f>
        <v/>
      </c>
      <c r="E1771">
        <f>IF(AND('Ratings'!A116&lt;&gt;"",'Ratings'!N5&lt;&gt;""),'Ratings'!N5,"")</f>
        <v/>
      </c>
      <c r="F1771">
        <f>IF(OR(A1771="",'Ratings'!N116=""),"",'Ratings'!N116)</f>
        <v/>
      </c>
      <c r="G1771">
        <f>IF(A1771="","",'Employees'!D12)</f>
        <v/>
      </c>
    </row>
    <row r="1772">
      <c r="A1772">
        <f>IF(AND('Ratings'!A116&lt;&gt;"",'Ratings'!O5&lt;&gt;""),'Ratings'!A116,"")</f>
        <v/>
      </c>
      <c r="B1772">
        <f>IF(A1772="","",'Employees'!C12)</f>
        <v/>
      </c>
      <c r="C1772">
        <f>IF(A1772="","",'Ratings'!C116)</f>
        <v/>
      </c>
      <c r="D1772">
        <f>IF(A1772="","",'Ratings'!D116)</f>
        <v/>
      </c>
      <c r="E1772">
        <f>IF(AND('Ratings'!A116&lt;&gt;"",'Ratings'!O5&lt;&gt;""),'Ratings'!O5,"")</f>
        <v/>
      </c>
      <c r="F1772">
        <f>IF(OR(A1772="",'Ratings'!O116=""),"",'Ratings'!O116)</f>
        <v/>
      </c>
      <c r="G1772">
        <f>IF(A1772="","",'Employees'!D12)</f>
        <v/>
      </c>
    </row>
    <row r="1773">
      <c r="A1773">
        <f>IF(AND('Ratings'!A116&lt;&gt;"",'Ratings'!P5&lt;&gt;""),'Ratings'!A116,"")</f>
        <v/>
      </c>
      <c r="B1773">
        <f>IF(A1773="","",'Employees'!C12)</f>
        <v/>
      </c>
      <c r="C1773">
        <f>IF(A1773="","",'Ratings'!C116)</f>
        <v/>
      </c>
      <c r="D1773">
        <f>IF(A1773="","",'Ratings'!D116)</f>
        <v/>
      </c>
      <c r="E1773">
        <f>IF(AND('Ratings'!A116&lt;&gt;"",'Ratings'!P5&lt;&gt;""),'Ratings'!P5,"")</f>
        <v/>
      </c>
      <c r="F1773">
        <f>IF(OR(A1773="",'Ratings'!P116=""),"",'Ratings'!P116)</f>
        <v/>
      </c>
      <c r="G1773">
        <f>IF(A1773="","",'Employees'!D12)</f>
        <v/>
      </c>
    </row>
    <row r="1774">
      <c r="A1774">
        <f>IF(AND('Ratings'!A116&lt;&gt;"",'Ratings'!Q5&lt;&gt;""),'Ratings'!A116,"")</f>
        <v/>
      </c>
      <c r="B1774">
        <f>IF(A1774="","",'Employees'!C12)</f>
        <v/>
      </c>
      <c r="C1774">
        <f>IF(A1774="","",'Ratings'!C116)</f>
        <v/>
      </c>
      <c r="D1774">
        <f>IF(A1774="","",'Ratings'!D116)</f>
        <v/>
      </c>
      <c r="E1774">
        <f>IF(AND('Ratings'!A116&lt;&gt;"",'Ratings'!Q5&lt;&gt;""),'Ratings'!Q5,"")</f>
        <v/>
      </c>
      <c r="F1774">
        <f>IF(OR(A1774="",'Ratings'!Q116=""),"",'Ratings'!Q116)</f>
        <v/>
      </c>
      <c r="G1774">
        <f>IF(A1774="","",'Employees'!D12)</f>
        <v/>
      </c>
    </row>
    <row r="1775">
      <c r="A1775">
        <f>IF(AND('Ratings'!A116&lt;&gt;"",'Ratings'!R5&lt;&gt;""),'Ratings'!A116,"")</f>
        <v/>
      </c>
      <c r="B1775">
        <f>IF(A1775="","",'Employees'!C12)</f>
        <v/>
      </c>
      <c r="C1775">
        <f>IF(A1775="","",'Ratings'!C116)</f>
        <v/>
      </c>
      <c r="D1775">
        <f>IF(A1775="","",'Ratings'!D116)</f>
        <v/>
      </c>
      <c r="E1775">
        <f>IF(AND('Ratings'!A116&lt;&gt;"",'Ratings'!R5&lt;&gt;""),'Ratings'!R5,"")</f>
        <v/>
      </c>
      <c r="F1775">
        <f>IF(OR(A1775="",'Ratings'!R116=""),"",'Ratings'!R116)</f>
        <v/>
      </c>
      <c r="G1775">
        <f>IF(A1775="","",'Employees'!D12)</f>
        <v/>
      </c>
    </row>
    <row r="1776">
      <c r="A1776">
        <f>IF(AND('Ratings'!A116&lt;&gt;"",'Ratings'!S5&lt;&gt;""),'Ratings'!A116,"")</f>
        <v/>
      </c>
      <c r="B1776">
        <f>IF(A1776="","",'Employees'!C12)</f>
        <v/>
      </c>
      <c r="C1776">
        <f>IF(A1776="","",'Ratings'!C116)</f>
        <v/>
      </c>
      <c r="D1776">
        <f>IF(A1776="","",'Ratings'!D116)</f>
        <v/>
      </c>
      <c r="E1776">
        <f>IF(AND('Ratings'!A116&lt;&gt;"",'Ratings'!S5&lt;&gt;""),'Ratings'!S5,"")</f>
        <v/>
      </c>
      <c r="F1776">
        <f>IF(OR(A1776="",'Ratings'!S116=""),"",'Ratings'!S116)</f>
        <v/>
      </c>
      <c r="G1776">
        <f>IF(A1776="","",'Employees'!D12)</f>
        <v/>
      </c>
    </row>
    <row r="1777">
      <c r="A1777">
        <f>IF(AND('Ratings'!A116&lt;&gt;"",'Ratings'!T5&lt;&gt;""),'Ratings'!A116,"")</f>
        <v/>
      </c>
      <c r="B1777">
        <f>IF(A1777="","",'Employees'!C12)</f>
        <v/>
      </c>
      <c r="C1777">
        <f>IF(A1777="","",'Ratings'!C116)</f>
        <v/>
      </c>
      <c r="D1777">
        <f>IF(A1777="","",'Ratings'!D116)</f>
        <v/>
      </c>
      <c r="E1777">
        <f>IF(AND('Ratings'!A116&lt;&gt;"",'Ratings'!T5&lt;&gt;""),'Ratings'!T5,"")</f>
        <v/>
      </c>
      <c r="F1777">
        <f>IF(OR(A1777="",'Ratings'!T116=""),"",'Ratings'!T116)</f>
        <v/>
      </c>
      <c r="G1777">
        <f>IF(A1777="","",'Employees'!D12)</f>
        <v/>
      </c>
    </row>
    <row r="1778">
      <c r="A1778">
        <f>IF(AND('Ratings'!A117&lt;&gt;"",'Ratings'!E5&lt;&gt;""),'Ratings'!A117,"")</f>
        <v/>
      </c>
      <c r="B1778">
        <f>IF(A1778="","",'Employees'!C12)</f>
        <v/>
      </c>
      <c r="C1778">
        <f>IF(A1778="","",'Ratings'!C117)</f>
        <v/>
      </c>
      <c r="D1778">
        <f>IF(A1778="","",'Ratings'!D117)</f>
        <v/>
      </c>
      <c r="E1778">
        <f>IF(AND('Ratings'!A117&lt;&gt;"",'Ratings'!E5&lt;&gt;""),'Ratings'!E5,"")</f>
        <v/>
      </c>
      <c r="F1778">
        <f>IF(OR(A1778="",'Ratings'!E117=""),"",'Ratings'!E117)</f>
        <v/>
      </c>
      <c r="G1778">
        <f>IF(A1778="","",'Employees'!D12)</f>
        <v/>
      </c>
    </row>
    <row r="1779">
      <c r="A1779">
        <f>IF(AND('Ratings'!A117&lt;&gt;"",'Ratings'!F5&lt;&gt;""),'Ratings'!A117,"")</f>
        <v/>
      </c>
      <c r="B1779">
        <f>IF(A1779="","",'Employees'!C12)</f>
        <v/>
      </c>
      <c r="C1779">
        <f>IF(A1779="","",'Ratings'!C117)</f>
        <v/>
      </c>
      <c r="D1779">
        <f>IF(A1779="","",'Ratings'!D117)</f>
        <v/>
      </c>
      <c r="E1779">
        <f>IF(AND('Ratings'!A117&lt;&gt;"",'Ratings'!F5&lt;&gt;""),'Ratings'!F5,"")</f>
        <v/>
      </c>
      <c r="F1779">
        <f>IF(OR(A1779="",'Ratings'!F117=""),"",'Ratings'!F117)</f>
        <v/>
      </c>
      <c r="G1779">
        <f>IF(A1779="","",'Employees'!D12)</f>
        <v/>
      </c>
    </row>
    <row r="1780">
      <c r="A1780">
        <f>IF(AND('Ratings'!A117&lt;&gt;"",'Ratings'!G5&lt;&gt;""),'Ratings'!A117,"")</f>
        <v/>
      </c>
      <c r="B1780">
        <f>IF(A1780="","",'Employees'!C12)</f>
        <v/>
      </c>
      <c r="C1780">
        <f>IF(A1780="","",'Ratings'!C117)</f>
        <v/>
      </c>
      <c r="D1780">
        <f>IF(A1780="","",'Ratings'!D117)</f>
        <v/>
      </c>
      <c r="E1780">
        <f>IF(AND('Ratings'!A117&lt;&gt;"",'Ratings'!G5&lt;&gt;""),'Ratings'!G5,"")</f>
        <v/>
      </c>
      <c r="F1780">
        <f>IF(OR(A1780="",'Ratings'!G117=""),"",'Ratings'!G117)</f>
        <v/>
      </c>
      <c r="G1780">
        <f>IF(A1780="","",'Employees'!D12)</f>
        <v/>
      </c>
    </row>
    <row r="1781">
      <c r="A1781">
        <f>IF(AND('Ratings'!A117&lt;&gt;"",'Ratings'!H5&lt;&gt;""),'Ratings'!A117,"")</f>
        <v/>
      </c>
      <c r="B1781">
        <f>IF(A1781="","",'Employees'!C12)</f>
        <v/>
      </c>
      <c r="C1781">
        <f>IF(A1781="","",'Ratings'!C117)</f>
        <v/>
      </c>
      <c r="D1781">
        <f>IF(A1781="","",'Ratings'!D117)</f>
        <v/>
      </c>
      <c r="E1781">
        <f>IF(AND('Ratings'!A117&lt;&gt;"",'Ratings'!H5&lt;&gt;""),'Ratings'!H5,"")</f>
        <v/>
      </c>
      <c r="F1781">
        <f>IF(OR(A1781="",'Ratings'!H117=""),"",'Ratings'!H117)</f>
        <v/>
      </c>
      <c r="G1781">
        <f>IF(A1781="","",'Employees'!D12)</f>
        <v/>
      </c>
    </row>
    <row r="1782">
      <c r="A1782">
        <f>IF(AND('Ratings'!A117&lt;&gt;"",'Ratings'!I5&lt;&gt;""),'Ratings'!A117,"")</f>
        <v/>
      </c>
      <c r="B1782">
        <f>IF(A1782="","",'Employees'!C12)</f>
        <v/>
      </c>
      <c r="C1782">
        <f>IF(A1782="","",'Ratings'!C117)</f>
        <v/>
      </c>
      <c r="D1782">
        <f>IF(A1782="","",'Ratings'!D117)</f>
        <v/>
      </c>
      <c r="E1782">
        <f>IF(AND('Ratings'!A117&lt;&gt;"",'Ratings'!I5&lt;&gt;""),'Ratings'!I5,"")</f>
        <v/>
      </c>
      <c r="F1782">
        <f>IF(OR(A1782="",'Ratings'!I117=""),"",'Ratings'!I117)</f>
        <v/>
      </c>
      <c r="G1782">
        <f>IF(A1782="","",'Employees'!D12)</f>
        <v/>
      </c>
    </row>
    <row r="1783">
      <c r="A1783">
        <f>IF(AND('Ratings'!A117&lt;&gt;"",'Ratings'!J5&lt;&gt;""),'Ratings'!A117,"")</f>
        <v/>
      </c>
      <c r="B1783">
        <f>IF(A1783="","",'Employees'!C12)</f>
        <v/>
      </c>
      <c r="C1783">
        <f>IF(A1783="","",'Ratings'!C117)</f>
        <v/>
      </c>
      <c r="D1783">
        <f>IF(A1783="","",'Ratings'!D117)</f>
        <v/>
      </c>
      <c r="E1783">
        <f>IF(AND('Ratings'!A117&lt;&gt;"",'Ratings'!J5&lt;&gt;""),'Ratings'!J5,"")</f>
        <v/>
      </c>
      <c r="F1783">
        <f>IF(OR(A1783="",'Ratings'!J117=""),"",'Ratings'!J117)</f>
        <v/>
      </c>
      <c r="G1783">
        <f>IF(A1783="","",'Employees'!D12)</f>
        <v/>
      </c>
    </row>
    <row r="1784">
      <c r="A1784">
        <f>IF(AND('Ratings'!A117&lt;&gt;"",'Ratings'!K5&lt;&gt;""),'Ratings'!A117,"")</f>
        <v/>
      </c>
      <c r="B1784">
        <f>IF(A1784="","",'Employees'!C12)</f>
        <v/>
      </c>
      <c r="C1784">
        <f>IF(A1784="","",'Ratings'!C117)</f>
        <v/>
      </c>
      <c r="D1784">
        <f>IF(A1784="","",'Ratings'!D117)</f>
        <v/>
      </c>
      <c r="E1784">
        <f>IF(AND('Ratings'!A117&lt;&gt;"",'Ratings'!K5&lt;&gt;""),'Ratings'!K5,"")</f>
        <v/>
      </c>
      <c r="F1784">
        <f>IF(OR(A1784="",'Ratings'!K117=""),"",'Ratings'!K117)</f>
        <v/>
      </c>
      <c r="G1784">
        <f>IF(A1784="","",'Employees'!D12)</f>
        <v/>
      </c>
    </row>
    <row r="1785">
      <c r="A1785">
        <f>IF(AND('Ratings'!A117&lt;&gt;"",'Ratings'!L5&lt;&gt;""),'Ratings'!A117,"")</f>
        <v/>
      </c>
      <c r="B1785">
        <f>IF(A1785="","",'Employees'!C12)</f>
        <v/>
      </c>
      <c r="C1785">
        <f>IF(A1785="","",'Ratings'!C117)</f>
        <v/>
      </c>
      <c r="D1785">
        <f>IF(A1785="","",'Ratings'!D117)</f>
        <v/>
      </c>
      <c r="E1785">
        <f>IF(AND('Ratings'!A117&lt;&gt;"",'Ratings'!L5&lt;&gt;""),'Ratings'!L5,"")</f>
        <v/>
      </c>
      <c r="F1785">
        <f>IF(OR(A1785="",'Ratings'!L117=""),"",'Ratings'!L117)</f>
        <v/>
      </c>
      <c r="G1785">
        <f>IF(A1785="","",'Employees'!D12)</f>
        <v/>
      </c>
    </row>
    <row r="1786">
      <c r="A1786">
        <f>IF(AND('Ratings'!A117&lt;&gt;"",'Ratings'!M5&lt;&gt;""),'Ratings'!A117,"")</f>
        <v/>
      </c>
      <c r="B1786">
        <f>IF(A1786="","",'Employees'!C12)</f>
        <v/>
      </c>
      <c r="C1786">
        <f>IF(A1786="","",'Ratings'!C117)</f>
        <v/>
      </c>
      <c r="D1786">
        <f>IF(A1786="","",'Ratings'!D117)</f>
        <v/>
      </c>
      <c r="E1786">
        <f>IF(AND('Ratings'!A117&lt;&gt;"",'Ratings'!M5&lt;&gt;""),'Ratings'!M5,"")</f>
        <v/>
      </c>
      <c r="F1786">
        <f>IF(OR(A1786="",'Ratings'!M117=""),"",'Ratings'!M117)</f>
        <v/>
      </c>
      <c r="G1786">
        <f>IF(A1786="","",'Employees'!D12)</f>
        <v/>
      </c>
    </row>
    <row r="1787">
      <c r="A1787">
        <f>IF(AND('Ratings'!A117&lt;&gt;"",'Ratings'!N5&lt;&gt;""),'Ratings'!A117,"")</f>
        <v/>
      </c>
      <c r="B1787">
        <f>IF(A1787="","",'Employees'!C12)</f>
        <v/>
      </c>
      <c r="C1787">
        <f>IF(A1787="","",'Ratings'!C117)</f>
        <v/>
      </c>
      <c r="D1787">
        <f>IF(A1787="","",'Ratings'!D117)</f>
        <v/>
      </c>
      <c r="E1787">
        <f>IF(AND('Ratings'!A117&lt;&gt;"",'Ratings'!N5&lt;&gt;""),'Ratings'!N5,"")</f>
        <v/>
      </c>
      <c r="F1787">
        <f>IF(OR(A1787="",'Ratings'!N117=""),"",'Ratings'!N117)</f>
        <v/>
      </c>
      <c r="G1787">
        <f>IF(A1787="","",'Employees'!D12)</f>
        <v/>
      </c>
    </row>
    <row r="1788">
      <c r="A1788">
        <f>IF(AND('Ratings'!A117&lt;&gt;"",'Ratings'!O5&lt;&gt;""),'Ratings'!A117,"")</f>
        <v/>
      </c>
      <c r="B1788">
        <f>IF(A1788="","",'Employees'!C12)</f>
        <v/>
      </c>
      <c r="C1788">
        <f>IF(A1788="","",'Ratings'!C117)</f>
        <v/>
      </c>
      <c r="D1788">
        <f>IF(A1788="","",'Ratings'!D117)</f>
        <v/>
      </c>
      <c r="E1788">
        <f>IF(AND('Ratings'!A117&lt;&gt;"",'Ratings'!O5&lt;&gt;""),'Ratings'!O5,"")</f>
        <v/>
      </c>
      <c r="F1788">
        <f>IF(OR(A1788="",'Ratings'!O117=""),"",'Ratings'!O117)</f>
        <v/>
      </c>
      <c r="G1788">
        <f>IF(A1788="","",'Employees'!D12)</f>
        <v/>
      </c>
    </row>
    <row r="1789">
      <c r="A1789">
        <f>IF(AND('Ratings'!A117&lt;&gt;"",'Ratings'!P5&lt;&gt;""),'Ratings'!A117,"")</f>
        <v/>
      </c>
      <c r="B1789">
        <f>IF(A1789="","",'Employees'!C12)</f>
        <v/>
      </c>
      <c r="C1789">
        <f>IF(A1789="","",'Ratings'!C117)</f>
        <v/>
      </c>
      <c r="D1789">
        <f>IF(A1789="","",'Ratings'!D117)</f>
        <v/>
      </c>
      <c r="E1789">
        <f>IF(AND('Ratings'!A117&lt;&gt;"",'Ratings'!P5&lt;&gt;""),'Ratings'!P5,"")</f>
        <v/>
      </c>
      <c r="F1789">
        <f>IF(OR(A1789="",'Ratings'!P117=""),"",'Ratings'!P117)</f>
        <v/>
      </c>
      <c r="G1789">
        <f>IF(A1789="","",'Employees'!D12)</f>
        <v/>
      </c>
    </row>
    <row r="1790">
      <c r="A1790">
        <f>IF(AND('Ratings'!A117&lt;&gt;"",'Ratings'!Q5&lt;&gt;""),'Ratings'!A117,"")</f>
        <v/>
      </c>
      <c r="B1790">
        <f>IF(A1790="","",'Employees'!C12)</f>
        <v/>
      </c>
      <c r="C1790">
        <f>IF(A1790="","",'Ratings'!C117)</f>
        <v/>
      </c>
      <c r="D1790">
        <f>IF(A1790="","",'Ratings'!D117)</f>
        <v/>
      </c>
      <c r="E1790">
        <f>IF(AND('Ratings'!A117&lt;&gt;"",'Ratings'!Q5&lt;&gt;""),'Ratings'!Q5,"")</f>
        <v/>
      </c>
      <c r="F1790">
        <f>IF(OR(A1790="",'Ratings'!Q117=""),"",'Ratings'!Q117)</f>
        <v/>
      </c>
      <c r="G1790">
        <f>IF(A1790="","",'Employees'!D12)</f>
        <v/>
      </c>
    </row>
    <row r="1791">
      <c r="A1791">
        <f>IF(AND('Ratings'!A117&lt;&gt;"",'Ratings'!R5&lt;&gt;""),'Ratings'!A117,"")</f>
        <v/>
      </c>
      <c r="B1791">
        <f>IF(A1791="","",'Employees'!C12)</f>
        <v/>
      </c>
      <c r="C1791">
        <f>IF(A1791="","",'Ratings'!C117)</f>
        <v/>
      </c>
      <c r="D1791">
        <f>IF(A1791="","",'Ratings'!D117)</f>
        <v/>
      </c>
      <c r="E1791">
        <f>IF(AND('Ratings'!A117&lt;&gt;"",'Ratings'!R5&lt;&gt;""),'Ratings'!R5,"")</f>
        <v/>
      </c>
      <c r="F1791">
        <f>IF(OR(A1791="",'Ratings'!R117=""),"",'Ratings'!R117)</f>
        <v/>
      </c>
      <c r="G1791">
        <f>IF(A1791="","",'Employees'!D12)</f>
        <v/>
      </c>
    </row>
    <row r="1792">
      <c r="A1792">
        <f>IF(AND('Ratings'!A117&lt;&gt;"",'Ratings'!S5&lt;&gt;""),'Ratings'!A117,"")</f>
        <v/>
      </c>
      <c r="B1792">
        <f>IF(A1792="","",'Employees'!C12)</f>
        <v/>
      </c>
      <c r="C1792">
        <f>IF(A1792="","",'Ratings'!C117)</f>
        <v/>
      </c>
      <c r="D1792">
        <f>IF(A1792="","",'Ratings'!D117)</f>
        <v/>
      </c>
      <c r="E1792">
        <f>IF(AND('Ratings'!A117&lt;&gt;"",'Ratings'!S5&lt;&gt;""),'Ratings'!S5,"")</f>
        <v/>
      </c>
      <c r="F1792">
        <f>IF(OR(A1792="",'Ratings'!S117=""),"",'Ratings'!S117)</f>
        <v/>
      </c>
      <c r="G1792">
        <f>IF(A1792="","",'Employees'!D12)</f>
        <v/>
      </c>
    </row>
    <row r="1793">
      <c r="A1793">
        <f>IF(AND('Ratings'!A117&lt;&gt;"",'Ratings'!T5&lt;&gt;""),'Ratings'!A117,"")</f>
        <v/>
      </c>
      <c r="B1793">
        <f>IF(A1793="","",'Employees'!C12)</f>
        <v/>
      </c>
      <c r="C1793">
        <f>IF(A1793="","",'Ratings'!C117)</f>
        <v/>
      </c>
      <c r="D1793">
        <f>IF(A1793="","",'Ratings'!D117)</f>
        <v/>
      </c>
      <c r="E1793">
        <f>IF(AND('Ratings'!A117&lt;&gt;"",'Ratings'!T5&lt;&gt;""),'Ratings'!T5,"")</f>
        <v/>
      </c>
      <c r="F1793">
        <f>IF(OR(A1793="",'Ratings'!T117=""),"",'Ratings'!T117)</f>
        <v/>
      </c>
      <c r="G1793">
        <f>IF(A1793="","",'Employees'!D12)</f>
        <v/>
      </c>
    </row>
    <row r="1794">
      <c r="A1794">
        <f>IF(AND('Ratings'!A118&lt;&gt;"",'Ratings'!E5&lt;&gt;""),'Ratings'!A118,"")</f>
        <v/>
      </c>
      <c r="B1794">
        <f>IF(A1794="","",'Employees'!C13)</f>
        <v/>
      </c>
      <c r="C1794">
        <f>IF(A1794="","",'Ratings'!C118)</f>
        <v/>
      </c>
      <c r="D1794">
        <f>IF(A1794="","",'Ratings'!D118)</f>
        <v/>
      </c>
      <c r="E1794">
        <f>IF(AND('Ratings'!A118&lt;&gt;"",'Ratings'!E5&lt;&gt;""),'Ratings'!E5,"")</f>
        <v/>
      </c>
      <c r="F1794">
        <f>IF(OR(A1794="",'Ratings'!E118=""),"",'Ratings'!E118)</f>
        <v/>
      </c>
      <c r="G1794">
        <f>IF(A1794="","",'Employees'!D13)</f>
        <v/>
      </c>
    </row>
    <row r="1795">
      <c r="A1795">
        <f>IF(AND('Ratings'!A118&lt;&gt;"",'Ratings'!F5&lt;&gt;""),'Ratings'!A118,"")</f>
        <v/>
      </c>
      <c r="B1795">
        <f>IF(A1795="","",'Employees'!C13)</f>
        <v/>
      </c>
      <c r="C1795">
        <f>IF(A1795="","",'Ratings'!C118)</f>
        <v/>
      </c>
      <c r="D1795">
        <f>IF(A1795="","",'Ratings'!D118)</f>
        <v/>
      </c>
      <c r="E1795">
        <f>IF(AND('Ratings'!A118&lt;&gt;"",'Ratings'!F5&lt;&gt;""),'Ratings'!F5,"")</f>
        <v/>
      </c>
      <c r="F1795">
        <f>IF(OR(A1795="",'Ratings'!F118=""),"",'Ratings'!F118)</f>
        <v/>
      </c>
      <c r="G1795">
        <f>IF(A1795="","",'Employees'!D13)</f>
        <v/>
      </c>
    </row>
    <row r="1796">
      <c r="A1796">
        <f>IF(AND('Ratings'!A118&lt;&gt;"",'Ratings'!G5&lt;&gt;""),'Ratings'!A118,"")</f>
        <v/>
      </c>
      <c r="B1796">
        <f>IF(A1796="","",'Employees'!C13)</f>
        <v/>
      </c>
      <c r="C1796">
        <f>IF(A1796="","",'Ratings'!C118)</f>
        <v/>
      </c>
      <c r="D1796">
        <f>IF(A1796="","",'Ratings'!D118)</f>
        <v/>
      </c>
      <c r="E1796">
        <f>IF(AND('Ratings'!A118&lt;&gt;"",'Ratings'!G5&lt;&gt;""),'Ratings'!G5,"")</f>
        <v/>
      </c>
      <c r="F1796">
        <f>IF(OR(A1796="",'Ratings'!G118=""),"",'Ratings'!G118)</f>
        <v/>
      </c>
      <c r="G1796">
        <f>IF(A1796="","",'Employees'!D13)</f>
        <v/>
      </c>
    </row>
    <row r="1797">
      <c r="A1797">
        <f>IF(AND('Ratings'!A118&lt;&gt;"",'Ratings'!H5&lt;&gt;""),'Ratings'!A118,"")</f>
        <v/>
      </c>
      <c r="B1797">
        <f>IF(A1797="","",'Employees'!C13)</f>
        <v/>
      </c>
      <c r="C1797">
        <f>IF(A1797="","",'Ratings'!C118)</f>
        <v/>
      </c>
      <c r="D1797">
        <f>IF(A1797="","",'Ratings'!D118)</f>
        <v/>
      </c>
      <c r="E1797">
        <f>IF(AND('Ratings'!A118&lt;&gt;"",'Ratings'!H5&lt;&gt;""),'Ratings'!H5,"")</f>
        <v/>
      </c>
      <c r="F1797">
        <f>IF(OR(A1797="",'Ratings'!H118=""),"",'Ratings'!H118)</f>
        <v/>
      </c>
      <c r="G1797">
        <f>IF(A1797="","",'Employees'!D13)</f>
        <v/>
      </c>
    </row>
    <row r="1798">
      <c r="A1798">
        <f>IF(AND('Ratings'!A118&lt;&gt;"",'Ratings'!I5&lt;&gt;""),'Ratings'!A118,"")</f>
        <v/>
      </c>
      <c r="B1798">
        <f>IF(A1798="","",'Employees'!C13)</f>
        <v/>
      </c>
      <c r="C1798">
        <f>IF(A1798="","",'Ratings'!C118)</f>
        <v/>
      </c>
      <c r="D1798">
        <f>IF(A1798="","",'Ratings'!D118)</f>
        <v/>
      </c>
      <c r="E1798">
        <f>IF(AND('Ratings'!A118&lt;&gt;"",'Ratings'!I5&lt;&gt;""),'Ratings'!I5,"")</f>
        <v/>
      </c>
      <c r="F1798">
        <f>IF(OR(A1798="",'Ratings'!I118=""),"",'Ratings'!I118)</f>
        <v/>
      </c>
      <c r="G1798">
        <f>IF(A1798="","",'Employees'!D13)</f>
        <v/>
      </c>
    </row>
    <row r="1799">
      <c r="A1799">
        <f>IF(AND('Ratings'!A118&lt;&gt;"",'Ratings'!J5&lt;&gt;""),'Ratings'!A118,"")</f>
        <v/>
      </c>
      <c r="B1799">
        <f>IF(A1799="","",'Employees'!C13)</f>
        <v/>
      </c>
      <c r="C1799">
        <f>IF(A1799="","",'Ratings'!C118)</f>
        <v/>
      </c>
      <c r="D1799">
        <f>IF(A1799="","",'Ratings'!D118)</f>
        <v/>
      </c>
      <c r="E1799">
        <f>IF(AND('Ratings'!A118&lt;&gt;"",'Ratings'!J5&lt;&gt;""),'Ratings'!J5,"")</f>
        <v/>
      </c>
      <c r="F1799">
        <f>IF(OR(A1799="",'Ratings'!J118=""),"",'Ratings'!J118)</f>
        <v/>
      </c>
      <c r="G1799">
        <f>IF(A1799="","",'Employees'!D13)</f>
        <v/>
      </c>
    </row>
    <row r="1800">
      <c r="A1800">
        <f>IF(AND('Ratings'!A118&lt;&gt;"",'Ratings'!K5&lt;&gt;""),'Ratings'!A118,"")</f>
        <v/>
      </c>
      <c r="B1800">
        <f>IF(A1800="","",'Employees'!C13)</f>
        <v/>
      </c>
      <c r="C1800">
        <f>IF(A1800="","",'Ratings'!C118)</f>
        <v/>
      </c>
      <c r="D1800">
        <f>IF(A1800="","",'Ratings'!D118)</f>
        <v/>
      </c>
      <c r="E1800">
        <f>IF(AND('Ratings'!A118&lt;&gt;"",'Ratings'!K5&lt;&gt;""),'Ratings'!K5,"")</f>
        <v/>
      </c>
      <c r="F1800">
        <f>IF(OR(A1800="",'Ratings'!K118=""),"",'Ratings'!K118)</f>
        <v/>
      </c>
      <c r="G1800">
        <f>IF(A1800="","",'Employees'!D13)</f>
        <v/>
      </c>
    </row>
    <row r="1801">
      <c r="A1801">
        <f>IF(AND('Ratings'!A118&lt;&gt;"",'Ratings'!L5&lt;&gt;""),'Ratings'!A118,"")</f>
        <v/>
      </c>
      <c r="B1801">
        <f>IF(A1801="","",'Employees'!C13)</f>
        <v/>
      </c>
      <c r="C1801">
        <f>IF(A1801="","",'Ratings'!C118)</f>
        <v/>
      </c>
      <c r="D1801">
        <f>IF(A1801="","",'Ratings'!D118)</f>
        <v/>
      </c>
      <c r="E1801">
        <f>IF(AND('Ratings'!A118&lt;&gt;"",'Ratings'!L5&lt;&gt;""),'Ratings'!L5,"")</f>
        <v/>
      </c>
      <c r="F1801">
        <f>IF(OR(A1801="",'Ratings'!L118=""),"",'Ratings'!L118)</f>
        <v/>
      </c>
      <c r="G1801">
        <f>IF(A1801="","",'Employees'!D13)</f>
        <v/>
      </c>
    </row>
    <row r="1802">
      <c r="A1802">
        <f>IF(AND('Ratings'!A118&lt;&gt;"",'Ratings'!M5&lt;&gt;""),'Ratings'!A118,"")</f>
        <v/>
      </c>
      <c r="B1802">
        <f>IF(A1802="","",'Employees'!C13)</f>
        <v/>
      </c>
      <c r="C1802">
        <f>IF(A1802="","",'Ratings'!C118)</f>
        <v/>
      </c>
      <c r="D1802">
        <f>IF(A1802="","",'Ratings'!D118)</f>
        <v/>
      </c>
      <c r="E1802">
        <f>IF(AND('Ratings'!A118&lt;&gt;"",'Ratings'!M5&lt;&gt;""),'Ratings'!M5,"")</f>
        <v/>
      </c>
      <c r="F1802">
        <f>IF(OR(A1802="",'Ratings'!M118=""),"",'Ratings'!M118)</f>
        <v/>
      </c>
      <c r="G1802">
        <f>IF(A1802="","",'Employees'!D13)</f>
        <v/>
      </c>
    </row>
    <row r="1803">
      <c r="A1803">
        <f>IF(AND('Ratings'!A118&lt;&gt;"",'Ratings'!N5&lt;&gt;""),'Ratings'!A118,"")</f>
        <v/>
      </c>
      <c r="B1803">
        <f>IF(A1803="","",'Employees'!C13)</f>
        <v/>
      </c>
      <c r="C1803">
        <f>IF(A1803="","",'Ratings'!C118)</f>
        <v/>
      </c>
      <c r="D1803">
        <f>IF(A1803="","",'Ratings'!D118)</f>
        <v/>
      </c>
      <c r="E1803">
        <f>IF(AND('Ratings'!A118&lt;&gt;"",'Ratings'!N5&lt;&gt;""),'Ratings'!N5,"")</f>
        <v/>
      </c>
      <c r="F1803">
        <f>IF(OR(A1803="",'Ratings'!N118=""),"",'Ratings'!N118)</f>
        <v/>
      </c>
      <c r="G1803">
        <f>IF(A1803="","",'Employees'!D13)</f>
        <v/>
      </c>
    </row>
    <row r="1804">
      <c r="A1804">
        <f>IF(AND('Ratings'!A118&lt;&gt;"",'Ratings'!O5&lt;&gt;""),'Ratings'!A118,"")</f>
        <v/>
      </c>
      <c r="B1804">
        <f>IF(A1804="","",'Employees'!C13)</f>
        <v/>
      </c>
      <c r="C1804">
        <f>IF(A1804="","",'Ratings'!C118)</f>
        <v/>
      </c>
      <c r="D1804">
        <f>IF(A1804="","",'Ratings'!D118)</f>
        <v/>
      </c>
      <c r="E1804">
        <f>IF(AND('Ratings'!A118&lt;&gt;"",'Ratings'!O5&lt;&gt;""),'Ratings'!O5,"")</f>
        <v/>
      </c>
      <c r="F1804">
        <f>IF(OR(A1804="",'Ratings'!O118=""),"",'Ratings'!O118)</f>
        <v/>
      </c>
      <c r="G1804">
        <f>IF(A1804="","",'Employees'!D13)</f>
        <v/>
      </c>
    </row>
    <row r="1805">
      <c r="A1805">
        <f>IF(AND('Ratings'!A118&lt;&gt;"",'Ratings'!P5&lt;&gt;""),'Ratings'!A118,"")</f>
        <v/>
      </c>
      <c r="B1805">
        <f>IF(A1805="","",'Employees'!C13)</f>
        <v/>
      </c>
      <c r="C1805">
        <f>IF(A1805="","",'Ratings'!C118)</f>
        <v/>
      </c>
      <c r="D1805">
        <f>IF(A1805="","",'Ratings'!D118)</f>
        <v/>
      </c>
      <c r="E1805">
        <f>IF(AND('Ratings'!A118&lt;&gt;"",'Ratings'!P5&lt;&gt;""),'Ratings'!P5,"")</f>
        <v/>
      </c>
      <c r="F1805">
        <f>IF(OR(A1805="",'Ratings'!P118=""),"",'Ratings'!P118)</f>
        <v/>
      </c>
      <c r="G1805">
        <f>IF(A1805="","",'Employees'!D13)</f>
        <v/>
      </c>
    </row>
    <row r="1806">
      <c r="A1806">
        <f>IF(AND('Ratings'!A118&lt;&gt;"",'Ratings'!Q5&lt;&gt;""),'Ratings'!A118,"")</f>
        <v/>
      </c>
      <c r="B1806">
        <f>IF(A1806="","",'Employees'!C13)</f>
        <v/>
      </c>
      <c r="C1806">
        <f>IF(A1806="","",'Ratings'!C118)</f>
        <v/>
      </c>
      <c r="D1806">
        <f>IF(A1806="","",'Ratings'!D118)</f>
        <v/>
      </c>
      <c r="E1806">
        <f>IF(AND('Ratings'!A118&lt;&gt;"",'Ratings'!Q5&lt;&gt;""),'Ratings'!Q5,"")</f>
        <v/>
      </c>
      <c r="F1806">
        <f>IF(OR(A1806="",'Ratings'!Q118=""),"",'Ratings'!Q118)</f>
        <v/>
      </c>
      <c r="G1806">
        <f>IF(A1806="","",'Employees'!D13)</f>
        <v/>
      </c>
    </row>
    <row r="1807">
      <c r="A1807">
        <f>IF(AND('Ratings'!A118&lt;&gt;"",'Ratings'!R5&lt;&gt;""),'Ratings'!A118,"")</f>
        <v/>
      </c>
      <c r="B1807">
        <f>IF(A1807="","",'Employees'!C13)</f>
        <v/>
      </c>
      <c r="C1807">
        <f>IF(A1807="","",'Ratings'!C118)</f>
        <v/>
      </c>
      <c r="D1807">
        <f>IF(A1807="","",'Ratings'!D118)</f>
        <v/>
      </c>
      <c r="E1807">
        <f>IF(AND('Ratings'!A118&lt;&gt;"",'Ratings'!R5&lt;&gt;""),'Ratings'!R5,"")</f>
        <v/>
      </c>
      <c r="F1807">
        <f>IF(OR(A1807="",'Ratings'!R118=""),"",'Ratings'!R118)</f>
        <v/>
      </c>
      <c r="G1807">
        <f>IF(A1807="","",'Employees'!D13)</f>
        <v/>
      </c>
    </row>
    <row r="1808">
      <c r="A1808">
        <f>IF(AND('Ratings'!A118&lt;&gt;"",'Ratings'!S5&lt;&gt;""),'Ratings'!A118,"")</f>
        <v/>
      </c>
      <c r="B1808">
        <f>IF(A1808="","",'Employees'!C13)</f>
        <v/>
      </c>
      <c r="C1808">
        <f>IF(A1808="","",'Ratings'!C118)</f>
        <v/>
      </c>
      <c r="D1808">
        <f>IF(A1808="","",'Ratings'!D118)</f>
        <v/>
      </c>
      <c r="E1808">
        <f>IF(AND('Ratings'!A118&lt;&gt;"",'Ratings'!S5&lt;&gt;""),'Ratings'!S5,"")</f>
        <v/>
      </c>
      <c r="F1808">
        <f>IF(OR(A1808="",'Ratings'!S118=""),"",'Ratings'!S118)</f>
        <v/>
      </c>
      <c r="G1808">
        <f>IF(A1808="","",'Employees'!D13)</f>
        <v/>
      </c>
    </row>
    <row r="1809">
      <c r="A1809">
        <f>IF(AND('Ratings'!A118&lt;&gt;"",'Ratings'!T5&lt;&gt;""),'Ratings'!A118,"")</f>
        <v/>
      </c>
      <c r="B1809">
        <f>IF(A1809="","",'Employees'!C13)</f>
        <v/>
      </c>
      <c r="C1809">
        <f>IF(A1809="","",'Ratings'!C118)</f>
        <v/>
      </c>
      <c r="D1809">
        <f>IF(A1809="","",'Ratings'!D118)</f>
        <v/>
      </c>
      <c r="E1809">
        <f>IF(AND('Ratings'!A118&lt;&gt;"",'Ratings'!T5&lt;&gt;""),'Ratings'!T5,"")</f>
        <v/>
      </c>
      <c r="F1809">
        <f>IF(OR(A1809="",'Ratings'!T118=""),"",'Ratings'!T118)</f>
        <v/>
      </c>
      <c r="G1809">
        <f>IF(A1809="","",'Employees'!D13)</f>
        <v/>
      </c>
    </row>
    <row r="1810">
      <c r="A1810">
        <f>IF(AND('Ratings'!A119&lt;&gt;"",'Ratings'!E5&lt;&gt;""),'Ratings'!A119,"")</f>
        <v/>
      </c>
      <c r="B1810">
        <f>IF(A1810="","",'Employees'!C13)</f>
        <v/>
      </c>
      <c r="C1810">
        <f>IF(A1810="","",'Ratings'!C119)</f>
        <v/>
      </c>
      <c r="D1810">
        <f>IF(A1810="","",'Ratings'!D119)</f>
        <v/>
      </c>
      <c r="E1810">
        <f>IF(AND('Ratings'!A119&lt;&gt;"",'Ratings'!E5&lt;&gt;""),'Ratings'!E5,"")</f>
        <v/>
      </c>
      <c r="F1810">
        <f>IF(OR(A1810="",'Ratings'!E119=""),"",'Ratings'!E119)</f>
        <v/>
      </c>
      <c r="G1810">
        <f>IF(A1810="","",'Employees'!D13)</f>
        <v/>
      </c>
    </row>
    <row r="1811">
      <c r="A1811">
        <f>IF(AND('Ratings'!A119&lt;&gt;"",'Ratings'!F5&lt;&gt;""),'Ratings'!A119,"")</f>
        <v/>
      </c>
      <c r="B1811">
        <f>IF(A1811="","",'Employees'!C13)</f>
        <v/>
      </c>
      <c r="C1811">
        <f>IF(A1811="","",'Ratings'!C119)</f>
        <v/>
      </c>
      <c r="D1811">
        <f>IF(A1811="","",'Ratings'!D119)</f>
        <v/>
      </c>
      <c r="E1811">
        <f>IF(AND('Ratings'!A119&lt;&gt;"",'Ratings'!F5&lt;&gt;""),'Ratings'!F5,"")</f>
        <v/>
      </c>
      <c r="F1811">
        <f>IF(OR(A1811="",'Ratings'!F119=""),"",'Ratings'!F119)</f>
        <v/>
      </c>
      <c r="G1811">
        <f>IF(A1811="","",'Employees'!D13)</f>
        <v/>
      </c>
    </row>
    <row r="1812">
      <c r="A1812">
        <f>IF(AND('Ratings'!A119&lt;&gt;"",'Ratings'!G5&lt;&gt;""),'Ratings'!A119,"")</f>
        <v/>
      </c>
      <c r="B1812">
        <f>IF(A1812="","",'Employees'!C13)</f>
        <v/>
      </c>
      <c r="C1812">
        <f>IF(A1812="","",'Ratings'!C119)</f>
        <v/>
      </c>
      <c r="D1812">
        <f>IF(A1812="","",'Ratings'!D119)</f>
        <v/>
      </c>
      <c r="E1812">
        <f>IF(AND('Ratings'!A119&lt;&gt;"",'Ratings'!G5&lt;&gt;""),'Ratings'!G5,"")</f>
        <v/>
      </c>
      <c r="F1812">
        <f>IF(OR(A1812="",'Ratings'!G119=""),"",'Ratings'!G119)</f>
        <v/>
      </c>
      <c r="G1812">
        <f>IF(A1812="","",'Employees'!D13)</f>
        <v/>
      </c>
    </row>
    <row r="1813">
      <c r="A1813">
        <f>IF(AND('Ratings'!A119&lt;&gt;"",'Ratings'!H5&lt;&gt;""),'Ratings'!A119,"")</f>
        <v/>
      </c>
      <c r="B1813">
        <f>IF(A1813="","",'Employees'!C13)</f>
        <v/>
      </c>
      <c r="C1813">
        <f>IF(A1813="","",'Ratings'!C119)</f>
        <v/>
      </c>
      <c r="D1813">
        <f>IF(A1813="","",'Ratings'!D119)</f>
        <v/>
      </c>
      <c r="E1813">
        <f>IF(AND('Ratings'!A119&lt;&gt;"",'Ratings'!H5&lt;&gt;""),'Ratings'!H5,"")</f>
        <v/>
      </c>
      <c r="F1813">
        <f>IF(OR(A1813="",'Ratings'!H119=""),"",'Ratings'!H119)</f>
        <v/>
      </c>
      <c r="G1813">
        <f>IF(A1813="","",'Employees'!D13)</f>
        <v/>
      </c>
    </row>
    <row r="1814">
      <c r="A1814">
        <f>IF(AND('Ratings'!A119&lt;&gt;"",'Ratings'!I5&lt;&gt;""),'Ratings'!A119,"")</f>
        <v/>
      </c>
      <c r="B1814">
        <f>IF(A1814="","",'Employees'!C13)</f>
        <v/>
      </c>
      <c r="C1814">
        <f>IF(A1814="","",'Ratings'!C119)</f>
        <v/>
      </c>
      <c r="D1814">
        <f>IF(A1814="","",'Ratings'!D119)</f>
        <v/>
      </c>
      <c r="E1814">
        <f>IF(AND('Ratings'!A119&lt;&gt;"",'Ratings'!I5&lt;&gt;""),'Ratings'!I5,"")</f>
        <v/>
      </c>
      <c r="F1814">
        <f>IF(OR(A1814="",'Ratings'!I119=""),"",'Ratings'!I119)</f>
        <v/>
      </c>
      <c r="G1814">
        <f>IF(A1814="","",'Employees'!D13)</f>
        <v/>
      </c>
    </row>
    <row r="1815">
      <c r="A1815">
        <f>IF(AND('Ratings'!A119&lt;&gt;"",'Ratings'!J5&lt;&gt;""),'Ratings'!A119,"")</f>
        <v/>
      </c>
      <c r="B1815">
        <f>IF(A1815="","",'Employees'!C13)</f>
        <v/>
      </c>
      <c r="C1815">
        <f>IF(A1815="","",'Ratings'!C119)</f>
        <v/>
      </c>
      <c r="D1815">
        <f>IF(A1815="","",'Ratings'!D119)</f>
        <v/>
      </c>
      <c r="E1815">
        <f>IF(AND('Ratings'!A119&lt;&gt;"",'Ratings'!J5&lt;&gt;""),'Ratings'!J5,"")</f>
        <v/>
      </c>
      <c r="F1815">
        <f>IF(OR(A1815="",'Ratings'!J119=""),"",'Ratings'!J119)</f>
        <v/>
      </c>
      <c r="G1815">
        <f>IF(A1815="","",'Employees'!D13)</f>
        <v/>
      </c>
    </row>
    <row r="1816">
      <c r="A1816">
        <f>IF(AND('Ratings'!A119&lt;&gt;"",'Ratings'!K5&lt;&gt;""),'Ratings'!A119,"")</f>
        <v/>
      </c>
      <c r="B1816">
        <f>IF(A1816="","",'Employees'!C13)</f>
        <v/>
      </c>
      <c r="C1816">
        <f>IF(A1816="","",'Ratings'!C119)</f>
        <v/>
      </c>
      <c r="D1816">
        <f>IF(A1816="","",'Ratings'!D119)</f>
        <v/>
      </c>
      <c r="E1816">
        <f>IF(AND('Ratings'!A119&lt;&gt;"",'Ratings'!K5&lt;&gt;""),'Ratings'!K5,"")</f>
        <v/>
      </c>
      <c r="F1816">
        <f>IF(OR(A1816="",'Ratings'!K119=""),"",'Ratings'!K119)</f>
        <v/>
      </c>
      <c r="G1816">
        <f>IF(A1816="","",'Employees'!D13)</f>
        <v/>
      </c>
    </row>
    <row r="1817">
      <c r="A1817">
        <f>IF(AND('Ratings'!A119&lt;&gt;"",'Ratings'!L5&lt;&gt;""),'Ratings'!A119,"")</f>
        <v/>
      </c>
      <c r="B1817">
        <f>IF(A1817="","",'Employees'!C13)</f>
        <v/>
      </c>
      <c r="C1817">
        <f>IF(A1817="","",'Ratings'!C119)</f>
        <v/>
      </c>
      <c r="D1817">
        <f>IF(A1817="","",'Ratings'!D119)</f>
        <v/>
      </c>
      <c r="E1817">
        <f>IF(AND('Ratings'!A119&lt;&gt;"",'Ratings'!L5&lt;&gt;""),'Ratings'!L5,"")</f>
        <v/>
      </c>
      <c r="F1817">
        <f>IF(OR(A1817="",'Ratings'!L119=""),"",'Ratings'!L119)</f>
        <v/>
      </c>
      <c r="G1817">
        <f>IF(A1817="","",'Employees'!D13)</f>
        <v/>
      </c>
    </row>
    <row r="1818">
      <c r="A1818">
        <f>IF(AND('Ratings'!A119&lt;&gt;"",'Ratings'!M5&lt;&gt;""),'Ratings'!A119,"")</f>
        <v/>
      </c>
      <c r="B1818">
        <f>IF(A1818="","",'Employees'!C13)</f>
        <v/>
      </c>
      <c r="C1818">
        <f>IF(A1818="","",'Ratings'!C119)</f>
        <v/>
      </c>
      <c r="D1818">
        <f>IF(A1818="","",'Ratings'!D119)</f>
        <v/>
      </c>
      <c r="E1818">
        <f>IF(AND('Ratings'!A119&lt;&gt;"",'Ratings'!M5&lt;&gt;""),'Ratings'!M5,"")</f>
        <v/>
      </c>
      <c r="F1818">
        <f>IF(OR(A1818="",'Ratings'!M119=""),"",'Ratings'!M119)</f>
        <v/>
      </c>
      <c r="G1818">
        <f>IF(A1818="","",'Employees'!D13)</f>
        <v/>
      </c>
    </row>
    <row r="1819">
      <c r="A1819">
        <f>IF(AND('Ratings'!A119&lt;&gt;"",'Ratings'!N5&lt;&gt;""),'Ratings'!A119,"")</f>
        <v/>
      </c>
      <c r="B1819">
        <f>IF(A1819="","",'Employees'!C13)</f>
        <v/>
      </c>
      <c r="C1819">
        <f>IF(A1819="","",'Ratings'!C119)</f>
        <v/>
      </c>
      <c r="D1819">
        <f>IF(A1819="","",'Ratings'!D119)</f>
        <v/>
      </c>
      <c r="E1819">
        <f>IF(AND('Ratings'!A119&lt;&gt;"",'Ratings'!N5&lt;&gt;""),'Ratings'!N5,"")</f>
        <v/>
      </c>
      <c r="F1819">
        <f>IF(OR(A1819="",'Ratings'!N119=""),"",'Ratings'!N119)</f>
        <v/>
      </c>
      <c r="G1819">
        <f>IF(A1819="","",'Employees'!D13)</f>
        <v/>
      </c>
    </row>
    <row r="1820">
      <c r="A1820">
        <f>IF(AND('Ratings'!A119&lt;&gt;"",'Ratings'!O5&lt;&gt;""),'Ratings'!A119,"")</f>
        <v/>
      </c>
      <c r="B1820">
        <f>IF(A1820="","",'Employees'!C13)</f>
        <v/>
      </c>
      <c r="C1820">
        <f>IF(A1820="","",'Ratings'!C119)</f>
        <v/>
      </c>
      <c r="D1820">
        <f>IF(A1820="","",'Ratings'!D119)</f>
        <v/>
      </c>
      <c r="E1820">
        <f>IF(AND('Ratings'!A119&lt;&gt;"",'Ratings'!O5&lt;&gt;""),'Ratings'!O5,"")</f>
        <v/>
      </c>
      <c r="F1820">
        <f>IF(OR(A1820="",'Ratings'!O119=""),"",'Ratings'!O119)</f>
        <v/>
      </c>
      <c r="G1820">
        <f>IF(A1820="","",'Employees'!D13)</f>
        <v/>
      </c>
    </row>
    <row r="1821">
      <c r="A1821">
        <f>IF(AND('Ratings'!A119&lt;&gt;"",'Ratings'!P5&lt;&gt;""),'Ratings'!A119,"")</f>
        <v/>
      </c>
      <c r="B1821">
        <f>IF(A1821="","",'Employees'!C13)</f>
        <v/>
      </c>
      <c r="C1821">
        <f>IF(A1821="","",'Ratings'!C119)</f>
        <v/>
      </c>
      <c r="D1821">
        <f>IF(A1821="","",'Ratings'!D119)</f>
        <v/>
      </c>
      <c r="E1821">
        <f>IF(AND('Ratings'!A119&lt;&gt;"",'Ratings'!P5&lt;&gt;""),'Ratings'!P5,"")</f>
        <v/>
      </c>
      <c r="F1821">
        <f>IF(OR(A1821="",'Ratings'!P119=""),"",'Ratings'!P119)</f>
        <v/>
      </c>
      <c r="G1821">
        <f>IF(A1821="","",'Employees'!D13)</f>
        <v/>
      </c>
    </row>
    <row r="1822">
      <c r="A1822">
        <f>IF(AND('Ratings'!A119&lt;&gt;"",'Ratings'!Q5&lt;&gt;""),'Ratings'!A119,"")</f>
        <v/>
      </c>
      <c r="B1822">
        <f>IF(A1822="","",'Employees'!C13)</f>
        <v/>
      </c>
      <c r="C1822">
        <f>IF(A1822="","",'Ratings'!C119)</f>
        <v/>
      </c>
      <c r="D1822">
        <f>IF(A1822="","",'Ratings'!D119)</f>
        <v/>
      </c>
      <c r="E1822">
        <f>IF(AND('Ratings'!A119&lt;&gt;"",'Ratings'!Q5&lt;&gt;""),'Ratings'!Q5,"")</f>
        <v/>
      </c>
      <c r="F1822">
        <f>IF(OR(A1822="",'Ratings'!Q119=""),"",'Ratings'!Q119)</f>
        <v/>
      </c>
      <c r="G1822">
        <f>IF(A1822="","",'Employees'!D13)</f>
        <v/>
      </c>
    </row>
    <row r="1823">
      <c r="A1823">
        <f>IF(AND('Ratings'!A119&lt;&gt;"",'Ratings'!R5&lt;&gt;""),'Ratings'!A119,"")</f>
        <v/>
      </c>
      <c r="B1823">
        <f>IF(A1823="","",'Employees'!C13)</f>
        <v/>
      </c>
      <c r="C1823">
        <f>IF(A1823="","",'Ratings'!C119)</f>
        <v/>
      </c>
      <c r="D1823">
        <f>IF(A1823="","",'Ratings'!D119)</f>
        <v/>
      </c>
      <c r="E1823">
        <f>IF(AND('Ratings'!A119&lt;&gt;"",'Ratings'!R5&lt;&gt;""),'Ratings'!R5,"")</f>
        <v/>
      </c>
      <c r="F1823">
        <f>IF(OR(A1823="",'Ratings'!R119=""),"",'Ratings'!R119)</f>
        <v/>
      </c>
      <c r="G1823">
        <f>IF(A1823="","",'Employees'!D13)</f>
        <v/>
      </c>
    </row>
    <row r="1824">
      <c r="A1824">
        <f>IF(AND('Ratings'!A119&lt;&gt;"",'Ratings'!S5&lt;&gt;""),'Ratings'!A119,"")</f>
        <v/>
      </c>
      <c r="B1824">
        <f>IF(A1824="","",'Employees'!C13)</f>
        <v/>
      </c>
      <c r="C1824">
        <f>IF(A1824="","",'Ratings'!C119)</f>
        <v/>
      </c>
      <c r="D1824">
        <f>IF(A1824="","",'Ratings'!D119)</f>
        <v/>
      </c>
      <c r="E1824">
        <f>IF(AND('Ratings'!A119&lt;&gt;"",'Ratings'!S5&lt;&gt;""),'Ratings'!S5,"")</f>
        <v/>
      </c>
      <c r="F1824">
        <f>IF(OR(A1824="",'Ratings'!S119=""),"",'Ratings'!S119)</f>
        <v/>
      </c>
      <c r="G1824">
        <f>IF(A1824="","",'Employees'!D13)</f>
        <v/>
      </c>
    </row>
    <row r="1825">
      <c r="A1825">
        <f>IF(AND('Ratings'!A119&lt;&gt;"",'Ratings'!T5&lt;&gt;""),'Ratings'!A119,"")</f>
        <v/>
      </c>
      <c r="B1825">
        <f>IF(A1825="","",'Employees'!C13)</f>
        <v/>
      </c>
      <c r="C1825">
        <f>IF(A1825="","",'Ratings'!C119)</f>
        <v/>
      </c>
      <c r="D1825">
        <f>IF(A1825="","",'Ratings'!D119)</f>
        <v/>
      </c>
      <c r="E1825">
        <f>IF(AND('Ratings'!A119&lt;&gt;"",'Ratings'!T5&lt;&gt;""),'Ratings'!T5,"")</f>
        <v/>
      </c>
      <c r="F1825">
        <f>IF(OR(A1825="",'Ratings'!T119=""),"",'Ratings'!T119)</f>
        <v/>
      </c>
      <c r="G1825">
        <f>IF(A1825="","",'Employees'!D13)</f>
        <v/>
      </c>
    </row>
    <row r="1826">
      <c r="A1826">
        <f>IF(AND('Ratings'!A120&lt;&gt;"",'Ratings'!E5&lt;&gt;""),'Ratings'!A120,"")</f>
        <v/>
      </c>
      <c r="B1826">
        <f>IF(A1826="","",'Employees'!C13)</f>
        <v/>
      </c>
      <c r="C1826">
        <f>IF(A1826="","",'Ratings'!C120)</f>
        <v/>
      </c>
      <c r="D1826">
        <f>IF(A1826="","",'Ratings'!D120)</f>
        <v/>
      </c>
      <c r="E1826">
        <f>IF(AND('Ratings'!A120&lt;&gt;"",'Ratings'!E5&lt;&gt;""),'Ratings'!E5,"")</f>
        <v/>
      </c>
      <c r="F1826">
        <f>IF(OR(A1826="",'Ratings'!E120=""),"",'Ratings'!E120)</f>
        <v/>
      </c>
      <c r="G1826">
        <f>IF(A1826="","",'Employees'!D13)</f>
        <v/>
      </c>
    </row>
    <row r="1827">
      <c r="A1827">
        <f>IF(AND('Ratings'!A120&lt;&gt;"",'Ratings'!F5&lt;&gt;""),'Ratings'!A120,"")</f>
        <v/>
      </c>
      <c r="B1827">
        <f>IF(A1827="","",'Employees'!C13)</f>
        <v/>
      </c>
      <c r="C1827">
        <f>IF(A1827="","",'Ratings'!C120)</f>
        <v/>
      </c>
      <c r="D1827">
        <f>IF(A1827="","",'Ratings'!D120)</f>
        <v/>
      </c>
      <c r="E1827">
        <f>IF(AND('Ratings'!A120&lt;&gt;"",'Ratings'!F5&lt;&gt;""),'Ratings'!F5,"")</f>
        <v/>
      </c>
      <c r="F1827">
        <f>IF(OR(A1827="",'Ratings'!F120=""),"",'Ratings'!F120)</f>
        <v/>
      </c>
      <c r="G1827">
        <f>IF(A1827="","",'Employees'!D13)</f>
        <v/>
      </c>
    </row>
    <row r="1828">
      <c r="A1828">
        <f>IF(AND('Ratings'!A120&lt;&gt;"",'Ratings'!G5&lt;&gt;""),'Ratings'!A120,"")</f>
        <v/>
      </c>
      <c r="B1828">
        <f>IF(A1828="","",'Employees'!C13)</f>
        <v/>
      </c>
      <c r="C1828">
        <f>IF(A1828="","",'Ratings'!C120)</f>
        <v/>
      </c>
      <c r="D1828">
        <f>IF(A1828="","",'Ratings'!D120)</f>
        <v/>
      </c>
      <c r="E1828">
        <f>IF(AND('Ratings'!A120&lt;&gt;"",'Ratings'!G5&lt;&gt;""),'Ratings'!G5,"")</f>
        <v/>
      </c>
      <c r="F1828">
        <f>IF(OR(A1828="",'Ratings'!G120=""),"",'Ratings'!G120)</f>
        <v/>
      </c>
      <c r="G1828">
        <f>IF(A1828="","",'Employees'!D13)</f>
        <v/>
      </c>
    </row>
    <row r="1829">
      <c r="A1829">
        <f>IF(AND('Ratings'!A120&lt;&gt;"",'Ratings'!H5&lt;&gt;""),'Ratings'!A120,"")</f>
        <v/>
      </c>
      <c r="B1829">
        <f>IF(A1829="","",'Employees'!C13)</f>
        <v/>
      </c>
      <c r="C1829">
        <f>IF(A1829="","",'Ratings'!C120)</f>
        <v/>
      </c>
      <c r="D1829">
        <f>IF(A1829="","",'Ratings'!D120)</f>
        <v/>
      </c>
      <c r="E1829">
        <f>IF(AND('Ratings'!A120&lt;&gt;"",'Ratings'!H5&lt;&gt;""),'Ratings'!H5,"")</f>
        <v/>
      </c>
      <c r="F1829">
        <f>IF(OR(A1829="",'Ratings'!H120=""),"",'Ratings'!H120)</f>
        <v/>
      </c>
      <c r="G1829">
        <f>IF(A1829="","",'Employees'!D13)</f>
        <v/>
      </c>
    </row>
    <row r="1830">
      <c r="A1830">
        <f>IF(AND('Ratings'!A120&lt;&gt;"",'Ratings'!I5&lt;&gt;""),'Ratings'!A120,"")</f>
        <v/>
      </c>
      <c r="B1830">
        <f>IF(A1830="","",'Employees'!C13)</f>
        <v/>
      </c>
      <c r="C1830">
        <f>IF(A1830="","",'Ratings'!C120)</f>
        <v/>
      </c>
      <c r="D1830">
        <f>IF(A1830="","",'Ratings'!D120)</f>
        <v/>
      </c>
      <c r="E1830">
        <f>IF(AND('Ratings'!A120&lt;&gt;"",'Ratings'!I5&lt;&gt;""),'Ratings'!I5,"")</f>
        <v/>
      </c>
      <c r="F1830">
        <f>IF(OR(A1830="",'Ratings'!I120=""),"",'Ratings'!I120)</f>
        <v/>
      </c>
      <c r="G1830">
        <f>IF(A1830="","",'Employees'!D13)</f>
        <v/>
      </c>
    </row>
    <row r="1831">
      <c r="A1831">
        <f>IF(AND('Ratings'!A120&lt;&gt;"",'Ratings'!J5&lt;&gt;""),'Ratings'!A120,"")</f>
        <v/>
      </c>
      <c r="B1831">
        <f>IF(A1831="","",'Employees'!C13)</f>
        <v/>
      </c>
      <c r="C1831">
        <f>IF(A1831="","",'Ratings'!C120)</f>
        <v/>
      </c>
      <c r="D1831">
        <f>IF(A1831="","",'Ratings'!D120)</f>
        <v/>
      </c>
      <c r="E1831">
        <f>IF(AND('Ratings'!A120&lt;&gt;"",'Ratings'!J5&lt;&gt;""),'Ratings'!J5,"")</f>
        <v/>
      </c>
      <c r="F1831">
        <f>IF(OR(A1831="",'Ratings'!J120=""),"",'Ratings'!J120)</f>
        <v/>
      </c>
      <c r="G1831">
        <f>IF(A1831="","",'Employees'!D13)</f>
        <v/>
      </c>
    </row>
    <row r="1832">
      <c r="A1832">
        <f>IF(AND('Ratings'!A120&lt;&gt;"",'Ratings'!K5&lt;&gt;""),'Ratings'!A120,"")</f>
        <v/>
      </c>
      <c r="B1832">
        <f>IF(A1832="","",'Employees'!C13)</f>
        <v/>
      </c>
      <c r="C1832">
        <f>IF(A1832="","",'Ratings'!C120)</f>
        <v/>
      </c>
      <c r="D1832">
        <f>IF(A1832="","",'Ratings'!D120)</f>
        <v/>
      </c>
      <c r="E1832">
        <f>IF(AND('Ratings'!A120&lt;&gt;"",'Ratings'!K5&lt;&gt;""),'Ratings'!K5,"")</f>
        <v/>
      </c>
      <c r="F1832">
        <f>IF(OR(A1832="",'Ratings'!K120=""),"",'Ratings'!K120)</f>
        <v/>
      </c>
      <c r="G1832">
        <f>IF(A1832="","",'Employees'!D13)</f>
        <v/>
      </c>
    </row>
    <row r="1833">
      <c r="A1833">
        <f>IF(AND('Ratings'!A120&lt;&gt;"",'Ratings'!L5&lt;&gt;""),'Ratings'!A120,"")</f>
        <v/>
      </c>
      <c r="B1833">
        <f>IF(A1833="","",'Employees'!C13)</f>
        <v/>
      </c>
      <c r="C1833">
        <f>IF(A1833="","",'Ratings'!C120)</f>
        <v/>
      </c>
      <c r="D1833">
        <f>IF(A1833="","",'Ratings'!D120)</f>
        <v/>
      </c>
      <c r="E1833">
        <f>IF(AND('Ratings'!A120&lt;&gt;"",'Ratings'!L5&lt;&gt;""),'Ratings'!L5,"")</f>
        <v/>
      </c>
      <c r="F1833">
        <f>IF(OR(A1833="",'Ratings'!L120=""),"",'Ratings'!L120)</f>
        <v/>
      </c>
      <c r="G1833">
        <f>IF(A1833="","",'Employees'!D13)</f>
        <v/>
      </c>
    </row>
    <row r="1834">
      <c r="A1834">
        <f>IF(AND('Ratings'!A120&lt;&gt;"",'Ratings'!M5&lt;&gt;""),'Ratings'!A120,"")</f>
        <v/>
      </c>
      <c r="B1834">
        <f>IF(A1834="","",'Employees'!C13)</f>
        <v/>
      </c>
      <c r="C1834">
        <f>IF(A1834="","",'Ratings'!C120)</f>
        <v/>
      </c>
      <c r="D1834">
        <f>IF(A1834="","",'Ratings'!D120)</f>
        <v/>
      </c>
      <c r="E1834">
        <f>IF(AND('Ratings'!A120&lt;&gt;"",'Ratings'!M5&lt;&gt;""),'Ratings'!M5,"")</f>
        <v/>
      </c>
      <c r="F1834">
        <f>IF(OR(A1834="",'Ratings'!M120=""),"",'Ratings'!M120)</f>
        <v/>
      </c>
      <c r="G1834">
        <f>IF(A1834="","",'Employees'!D13)</f>
        <v/>
      </c>
    </row>
    <row r="1835">
      <c r="A1835">
        <f>IF(AND('Ratings'!A120&lt;&gt;"",'Ratings'!N5&lt;&gt;""),'Ratings'!A120,"")</f>
        <v/>
      </c>
      <c r="B1835">
        <f>IF(A1835="","",'Employees'!C13)</f>
        <v/>
      </c>
      <c r="C1835">
        <f>IF(A1835="","",'Ratings'!C120)</f>
        <v/>
      </c>
      <c r="D1835">
        <f>IF(A1835="","",'Ratings'!D120)</f>
        <v/>
      </c>
      <c r="E1835">
        <f>IF(AND('Ratings'!A120&lt;&gt;"",'Ratings'!N5&lt;&gt;""),'Ratings'!N5,"")</f>
        <v/>
      </c>
      <c r="F1835">
        <f>IF(OR(A1835="",'Ratings'!N120=""),"",'Ratings'!N120)</f>
        <v/>
      </c>
      <c r="G1835">
        <f>IF(A1835="","",'Employees'!D13)</f>
        <v/>
      </c>
    </row>
    <row r="1836">
      <c r="A1836">
        <f>IF(AND('Ratings'!A120&lt;&gt;"",'Ratings'!O5&lt;&gt;""),'Ratings'!A120,"")</f>
        <v/>
      </c>
      <c r="B1836">
        <f>IF(A1836="","",'Employees'!C13)</f>
        <v/>
      </c>
      <c r="C1836">
        <f>IF(A1836="","",'Ratings'!C120)</f>
        <v/>
      </c>
      <c r="D1836">
        <f>IF(A1836="","",'Ratings'!D120)</f>
        <v/>
      </c>
      <c r="E1836">
        <f>IF(AND('Ratings'!A120&lt;&gt;"",'Ratings'!O5&lt;&gt;""),'Ratings'!O5,"")</f>
        <v/>
      </c>
      <c r="F1836">
        <f>IF(OR(A1836="",'Ratings'!O120=""),"",'Ratings'!O120)</f>
        <v/>
      </c>
      <c r="G1836">
        <f>IF(A1836="","",'Employees'!D13)</f>
        <v/>
      </c>
    </row>
    <row r="1837">
      <c r="A1837">
        <f>IF(AND('Ratings'!A120&lt;&gt;"",'Ratings'!P5&lt;&gt;""),'Ratings'!A120,"")</f>
        <v/>
      </c>
      <c r="B1837">
        <f>IF(A1837="","",'Employees'!C13)</f>
        <v/>
      </c>
      <c r="C1837">
        <f>IF(A1837="","",'Ratings'!C120)</f>
        <v/>
      </c>
      <c r="D1837">
        <f>IF(A1837="","",'Ratings'!D120)</f>
        <v/>
      </c>
      <c r="E1837">
        <f>IF(AND('Ratings'!A120&lt;&gt;"",'Ratings'!P5&lt;&gt;""),'Ratings'!P5,"")</f>
        <v/>
      </c>
      <c r="F1837">
        <f>IF(OR(A1837="",'Ratings'!P120=""),"",'Ratings'!P120)</f>
        <v/>
      </c>
      <c r="G1837">
        <f>IF(A1837="","",'Employees'!D13)</f>
        <v/>
      </c>
    </row>
    <row r="1838">
      <c r="A1838">
        <f>IF(AND('Ratings'!A120&lt;&gt;"",'Ratings'!Q5&lt;&gt;""),'Ratings'!A120,"")</f>
        <v/>
      </c>
      <c r="B1838">
        <f>IF(A1838="","",'Employees'!C13)</f>
        <v/>
      </c>
      <c r="C1838">
        <f>IF(A1838="","",'Ratings'!C120)</f>
        <v/>
      </c>
      <c r="D1838">
        <f>IF(A1838="","",'Ratings'!D120)</f>
        <v/>
      </c>
      <c r="E1838">
        <f>IF(AND('Ratings'!A120&lt;&gt;"",'Ratings'!Q5&lt;&gt;""),'Ratings'!Q5,"")</f>
        <v/>
      </c>
      <c r="F1838">
        <f>IF(OR(A1838="",'Ratings'!Q120=""),"",'Ratings'!Q120)</f>
        <v/>
      </c>
      <c r="G1838">
        <f>IF(A1838="","",'Employees'!D13)</f>
        <v/>
      </c>
    </row>
    <row r="1839">
      <c r="A1839">
        <f>IF(AND('Ratings'!A120&lt;&gt;"",'Ratings'!R5&lt;&gt;""),'Ratings'!A120,"")</f>
        <v/>
      </c>
      <c r="B1839">
        <f>IF(A1839="","",'Employees'!C13)</f>
        <v/>
      </c>
      <c r="C1839">
        <f>IF(A1839="","",'Ratings'!C120)</f>
        <v/>
      </c>
      <c r="D1839">
        <f>IF(A1839="","",'Ratings'!D120)</f>
        <v/>
      </c>
      <c r="E1839">
        <f>IF(AND('Ratings'!A120&lt;&gt;"",'Ratings'!R5&lt;&gt;""),'Ratings'!R5,"")</f>
        <v/>
      </c>
      <c r="F1839">
        <f>IF(OR(A1839="",'Ratings'!R120=""),"",'Ratings'!R120)</f>
        <v/>
      </c>
      <c r="G1839">
        <f>IF(A1839="","",'Employees'!D13)</f>
        <v/>
      </c>
    </row>
    <row r="1840">
      <c r="A1840">
        <f>IF(AND('Ratings'!A120&lt;&gt;"",'Ratings'!S5&lt;&gt;""),'Ratings'!A120,"")</f>
        <v/>
      </c>
      <c r="B1840">
        <f>IF(A1840="","",'Employees'!C13)</f>
        <v/>
      </c>
      <c r="C1840">
        <f>IF(A1840="","",'Ratings'!C120)</f>
        <v/>
      </c>
      <c r="D1840">
        <f>IF(A1840="","",'Ratings'!D120)</f>
        <v/>
      </c>
      <c r="E1840">
        <f>IF(AND('Ratings'!A120&lt;&gt;"",'Ratings'!S5&lt;&gt;""),'Ratings'!S5,"")</f>
        <v/>
      </c>
      <c r="F1840">
        <f>IF(OR(A1840="",'Ratings'!S120=""),"",'Ratings'!S120)</f>
        <v/>
      </c>
      <c r="G1840">
        <f>IF(A1840="","",'Employees'!D13)</f>
        <v/>
      </c>
    </row>
    <row r="1841">
      <c r="A1841">
        <f>IF(AND('Ratings'!A120&lt;&gt;"",'Ratings'!T5&lt;&gt;""),'Ratings'!A120,"")</f>
        <v/>
      </c>
      <c r="B1841">
        <f>IF(A1841="","",'Employees'!C13)</f>
        <v/>
      </c>
      <c r="C1841">
        <f>IF(A1841="","",'Ratings'!C120)</f>
        <v/>
      </c>
      <c r="D1841">
        <f>IF(A1841="","",'Ratings'!D120)</f>
        <v/>
      </c>
      <c r="E1841">
        <f>IF(AND('Ratings'!A120&lt;&gt;"",'Ratings'!T5&lt;&gt;""),'Ratings'!T5,"")</f>
        <v/>
      </c>
      <c r="F1841">
        <f>IF(OR(A1841="",'Ratings'!T120=""),"",'Ratings'!T120)</f>
        <v/>
      </c>
      <c r="G1841">
        <f>IF(A1841="","",'Employees'!D13)</f>
        <v/>
      </c>
    </row>
    <row r="1842">
      <c r="A1842">
        <f>IF(AND('Ratings'!A121&lt;&gt;"",'Ratings'!E5&lt;&gt;""),'Ratings'!A121,"")</f>
        <v/>
      </c>
      <c r="B1842">
        <f>IF(A1842="","",'Employees'!C13)</f>
        <v/>
      </c>
      <c r="C1842">
        <f>IF(A1842="","",'Ratings'!C121)</f>
        <v/>
      </c>
      <c r="D1842">
        <f>IF(A1842="","",'Ratings'!D121)</f>
        <v/>
      </c>
      <c r="E1842">
        <f>IF(AND('Ratings'!A121&lt;&gt;"",'Ratings'!E5&lt;&gt;""),'Ratings'!E5,"")</f>
        <v/>
      </c>
      <c r="F1842">
        <f>IF(OR(A1842="",'Ratings'!E121=""),"",'Ratings'!E121)</f>
        <v/>
      </c>
      <c r="G1842">
        <f>IF(A1842="","",'Employees'!D13)</f>
        <v/>
      </c>
    </row>
    <row r="1843">
      <c r="A1843">
        <f>IF(AND('Ratings'!A121&lt;&gt;"",'Ratings'!F5&lt;&gt;""),'Ratings'!A121,"")</f>
        <v/>
      </c>
      <c r="B1843">
        <f>IF(A1843="","",'Employees'!C13)</f>
        <v/>
      </c>
      <c r="C1843">
        <f>IF(A1843="","",'Ratings'!C121)</f>
        <v/>
      </c>
      <c r="D1843">
        <f>IF(A1843="","",'Ratings'!D121)</f>
        <v/>
      </c>
      <c r="E1843">
        <f>IF(AND('Ratings'!A121&lt;&gt;"",'Ratings'!F5&lt;&gt;""),'Ratings'!F5,"")</f>
        <v/>
      </c>
      <c r="F1843">
        <f>IF(OR(A1843="",'Ratings'!F121=""),"",'Ratings'!F121)</f>
        <v/>
      </c>
      <c r="G1843">
        <f>IF(A1843="","",'Employees'!D13)</f>
        <v/>
      </c>
    </row>
    <row r="1844">
      <c r="A1844">
        <f>IF(AND('Ratings'!A121&lt;&gt;"",'Ratings'!G5&lt;&gt;""),'Ratings'!A121,"")</f>
        <v/>
      </c>
      <c r="B1844">
        <f>IF(A1844="","",'Employees'!C13)</f>
        <v/>
      </c>
      <c r="C1844">
        <f>IF(A1844="","",'Ratings'!C121)</f>
        <v/>
      </c>
      <c r="D1844">
        <f>IF(A1844="","",'Ratings'!D121)</f>
        <v/>
      </c>
      <c r="E1844">
        <f>IF(AND('Ratings'!A121&lt;&gt;"",'Ratings'!G5&lt;&gt;""),'Ratings'!G5,"")</f>
        <v/>
      </c>
      <c r="F1844">
        <f>IF(OR(A1844="",'Ratings'!G121=""),"",'Ratings'!G121)</f>
        <v/>
      </c>
      <c r="G1844">
        <f>IF(A1844="","",'Employees'!D13)</f>
        <v/>
      </c>
    </row>
    <row r="1845">
      <c r="A1845">
        <f>IF(AND('Ratings'!A121&lt;&gt;"",'Ratings'!H5&lt;&gt;""),'Ratings'!A121,"")</f>
        <v/>
      </c>
      <c r="B1845">
        <f>IF(A1845="","",'Employees'!C13)</f>
        <v/>
      </c>
      <c r="C1845">
        <f>IF(A1845="","",'Ratings'!C121)</f>
        <v/>
      </c>
      <c r="D1845">
        <f>IF(A1845="","",'Ratings'!D121)</f>
        <v/>
      </c>
      <c r="E1845">
        <f>IF(AND('Ratings'!A121&lt;&gt;"",'Ratings'!H5&lt;&gt;""),'Ratings'!H5,"")</f>
        <v/>
      </c>
      <c r="F1845">
        <f>IF(OR(A1845="",'Ratings'!H121=""),"",'Ratings'!H121)</f>
        <v/>
      </c>
      <c r="G1845">
        <f>IF(A1845="","",'Employees'!D13)</f>
        <v/>
      </c>
    </row>
    <row r="1846">
      <c r="A1846">
        <f>IF(AND('Ratings'!A121&lt;&gt;"",'Ratings'!I5&lt;&gt;""),'Ratings'!A121,"")</f>
        <v/>
      </c>
      <c r="B1846">
        <f>IF(A1846="","",'Employees'!C13)</f>
        <v/>
      </c>
      <c r="C1846">
        <f>IF(A1846="","",'Ratings'!C121)</f>
        <v/>
      </c>
      <c r="D1846">
        <f>IF(A1846="","",'Ratings'!D121)</f>
        <v/>
      </c>
      <c r="E1846">
        <f>IF(AND('Ratings'!A121&lt;&gt;"",'Ratings'!I5&lt;&gt;""),'Ratings'!I5,"")</f>
        <v/>
      </c>
      <c r="F1846">
        <f>IF(OR(A1846="",'Ratings'!I121=""),"",'Ratings'!I121)</f>
        <v/>
      </c>
      <c r="G1846">
        <f>IF(A1846="","",'Employees'!D13)</f>
        <v/>
      </c>
    </row>
    <row r="1847">
      <c r="A1847">
        <f>IF(AND('Ratings'!A121&lt;&gt;"",'Ratings'!J5&lt;&gt;""),'Ratings'!A121,"")</f>
        <v/>
      </c>
      <c r="B1847">
        <f>IF(A1847="","",'Employees'!C13)</f>
        <v/>
      </c>
      <c r="C1847">
        <f>IF(A1847="","",'Ratings'!C121)</f>
        <v/>
      </c>
      <c r="D1847">
        <f>IF(A1847="","",'Ratings'!D121)</f>
        <v/>
      </c>
      <c r="E1847">
        <f>IF(AND('Ratings'!A121&lt;&gt;"",'Ratings'!J5&lt;&gt;""),'Ratings'!J5,"")</f>
        <v/>
      </c>
      <c r="F1847">
        <f>IF(OR(A1847="",'Ratings'!J121=""),"",'Ratings'!J121)</f>
        <v/>
      </c>
      <c r="G1847">
        <f>IF(A1847="","",'Employees'!D13)</f>
        <v/>
      </c>
    </row>
    <row r="1848">
      <c r="A1848">
        <f>IF(AND('Ratings'!A121&lt;&gt;"",'Ratings'!K5&lt;&gt;""),'Ratings'!A121,"")</f>
        <v/>
      </c>
      <c r="B1848">
        <f>IF(A1848="","",'Employees'!C13)</f>
        <v/>
      </c>
      <c r="C1848">
        <f>IF(A1848="","",'Ratings'!C121)</f>
        <v/>
      </c>
      <c r="D1848">
        <f>IF(A1848="","",'Ratings'!D121)</f>
        <v/>
      </c>
      <c r="E1848">
        <f>IF(AND('Ratings'!A121&lt;&gt;"",'Ratings'!K5&lt;&gt;""),'Ratings'!K5,"")</f>
        <v/>
      </c>
      <c r="F1848">
        <f>IF(OR(A1848="",'Ratings'!K121=""),"",'Ratings'!K121)</f>
        <v/>
      </c>
      <c r="G1848">
        <f>IF(A1848="","",'Employees'!D13)</f>
        <v/>
      </c>
    </row>
    <row r="1849">
      <c r="A1849">
        <f>IF(AND('Ratings'!A121&lt;&gt;"",'Ratings'!L5&lt;&gt;""),'Ratings'!A121,"")</f>
        <v/>
      </c>
      <c r="B1849">
        <f>IF(A1849="","",'Employees'!C13)</f>
        <v/>
      </c>
      <c r="C1849">
        <f>IF(A1849="","",'Ratings'!C121)</f>
        <v/>
      </c>
      <c r="D1849">
        <f>IF(A1849="","",'Ratings'!D121)</f>
        <v/>
      </c>
      <c r="E1849">
        <f>IF(AND('Ratings'!A121&lt;&gt;"",'Ratings'!L5&lt;&gt;""),'Ratings'!L5,"")</f>
        <v/>
      </c>
      <c r="F1849">
        <f>IF(OR(A1849="",'Ratings'!L121=""),"",'Ratings'!L121)</f>
        <v/>
      </c>
      <c r="G1849">
        <f>IF(A1849="","",'Employees'!D13)</f>
        <v/>
      </c>
    </row>
    <row r="1850">
      <c r="A1850">
        <f>IF(AND('Ratings'!A121&lt;&gt;"",'Ratings'!M5&lt;&gt;""),'Ratings'!A121,"")</f>
        <v/>
      </c>
      <c r="B1850">
        <f>IF(A1850="","",'Employees'!C13)</f>
        <v/>
      </c>
      <c r="C1850">
        <f>IF(A1850="","",'Ratings'!C121)</f>
        <v/>
      </c>
      <c r="D1850">
        <f>IF(A1850="","",'Ratings'!D121)</f>
        <v/>
      </c>
      <c r="E1850">
        <f>IF(AND('Ratings'!A121&lt;&gt;"",'Ratings'!M5&lt;&gt;""),'Ratings'!M5,"")</f>
        <v/>
      </c>
      <c r="F1850">
        <f>IF(OR(A1850="",'Ratings'!M121=""),"",'Ratings'!M121)</f>
        <v/>
      </c>
      <c r="G1850">
        <f>IF(A1850="","",'Employees'!D13)</f>
        <v/>
      </c>
    </row>
    <row r="1851">
      <c r="A1851">
        <f>IF(AND('Ratings'!A121&lt;&gt;"",'Ratings'!N5&lt;&gt;""),'Ratings'!A121,"")</f>
        <v/>
      </c>
      <c r="B1851">
        <f>IF(A1851="","",'Employees'!C13)</f>
        <v/>
      </c>
      <c r="C1851">
        <f>IF(A1851="","",'Ratings'!C121)</f>
        <v/>
      </c>
      <c r="D1851">
        <f>IF(A1851="","",'Ratings'!D121)</f>
        <v/>
      </c>
      <c r="E1851">
        <f>IF(AND('Ratings'!A121&lt;&gt;"",'Ratings'!N5&lt;&gt;""),'Ratings'!N5,"")</f>
        <v/>
      </c>
      <c r="F1851">
        <f>IF(OR(A1851="",'Ratings'!N121=""),"",'Ratings'!N121)</f>
        <v/>
      </c>
      <c r="G1851">
        <f>IF(A1851="","",'Employees'!D13)</f>
        <v/>
      </c>
    </row>
    <row r="1852">
      <c r="A1852">
        <f>IF(AND('Ratings'!A121&lt;&gt;"",'Ratings'!O5&lt;&gt;""),'Ratings'!A121,"")</f>
        <v/>
      </c>
      <c r="B1852">
        <f>IF(A1852="","",'Employees'!C13)</f>
        <v/>
      </c>
      <c r="C1852">
        <f>IF(A1852="","",'Ratings'!C121)</f>
        <v/>
      </c>
      <c r="D1852">
        <f>IF(A1852="","",'Ratings'!D121)</f>
        <v/>
      </c>
      <c r="E1852">
        <f>IF(AND('Ratings'!A121&lt;&gt;"",'Ratings'!O5&lt;&gt;""),'Ratings'!O5,"")</f>
        <v/>
      </c>
      <c r="F1852">
        <f>IF(OR(A1852="",'Ratings'!O121=""),"",'Ratings'!O121)</f>
        <v/>
      </c>
      <c r="G1852">
        <f>IF(A1852="","",'Employees'!D13)</f>
        <v/>
      </c>
    </row>
    <row r="1853">
      <c r="A1853">
        <f>IF(AND('Ratings'!A121&lt;&gt;"",'Ratings'!P5&lt;&gt;""),'Ratings'!A121,"")</f>
        <v/>
      </c>
      <c r="B1853">
        <f>IF(A1853="","",'Employees'!C13)</f>
        <v/>
      </c>
      <c r="C1853">
        <f>IF(A1853="","",'Ratings'!C121)</f>
        <v/>
      </c>
      <c r="D1853">
        <f>IF(A1853="","",'Ratings'!D121)</f>
        <v/>
      </c>
      <c r="E1853">
        <f>IF(AND('Ratings'!A121&lt;&gt;"",'Ratings'!P5&lt;&gt;""),'Ratings'!P5,"")</f>
        <v/>
      </c>
      <c r="F1853">
        <f>IF(OR(A1853="",'Ratings'!P121=""),"",'Ratings'!P121)</f>
        <v/>
      </c>
      <c r="G1853">
        <f>IF(A1853="","",'Employees'!D13)</f>
        <v/>
      </c>
    </row>
    <row r="1854">
      <c r="A1854">
        <f>IF(AND('Ratings'!A121&lt;&gt;"",'Ratings'!Q5&lt;&gt;""),'Ratings'!A121,"")</f>
        <v/>
      </c>
      <c r="B1854">
        <f>IF(A1854="","",'Employees'!C13)</f>
        <v/>
      </c>
      <c r="C1854">
        <f>IF(A1854="","",'Ratings'!C121)</f>
        <v/>
      </c>
      <c r="D1854">
        <f>IF(A1854="","",'Ratings'!D121)</f>
        <v/>
      </c>
      <c r="E1854">
        <f>IF(AND('Ratings'!A121&lt;&gt;"",'Ratings'!Q5&lt;&gt;""),'Ratings'!Q5,"")</f>
        <v/>
      </c>
      <c r="F1854">
        <f>IF(OR(A1854="",'Ratings'!Q121=""),"",'Ratings'!Q121)</f>
        <v/>
      </c>
      <c r="G1854">
        <f>IF(A1854="","",'Employees'!D13)</f>
        <v/>
      </c>
    </row>
    <row r="1855">
      <c r="A1855">
        <f>IF(AND('Ratings'!A121&lt;&gt;"",'Ratings'!R5&lt;&gt;""),'Ratings'!A121,"")</f>
        <v/>
      </c>
      <c r="B1855">
        <f>IF(A1855="","",'Employees'!C13)</f>
        <v/>
      </c>
      <c r="C1855">
        <f>IF(A1855="","",'Ratings'!C121)</f>
        <v/>
      </c>
      <c r="D1855">
        <f>IF(A1855="","",'Ratings'!D121)</f>
        <v/>
      </c>
      <c r="E1855">
        <f>IF(AND('Ratings'!A121&lt;&gt;"",'Ratings'!R5&lt;&gt;""),'Ratings'!R5,"")</f>
        <v/>
      </c>
      <c r="F1855">
        <f>IF(OR(A1855="",'Ratings'!R121=""),"",'Ratings'!R121)</f>
        <v/>
      </c>
      <c r="G1855">
        <f>IF(A1855="","",'Employees'!D13)</f>
        <v/>
      </c>
    </row>
    <row r="1856">
      <c r="A1856">
        <f>IF(AND('Ratings'!A121&lt;&gt;"",'Ratings'!S5&lt;&gt;""),'Ratings'!A121,"")</f>
        <v/>
      </c>
      <c r="B1856">
        <f>IF(A1856="","",'Employees'!C13)</f>
        <v/>
      </c>
      <c r="C1856">
        <f>IF(A1856="","",'Ratings'!C121)</f>
        <v/>
      </c>
      <c r="D1856">
        <f>IF(A1856="","",'Ratings'!D121)</f>
        <v/>
      </c>
      <c r="E1856">
        <f>IF(AND('Ratings'!A121&lt;&gt;"",'Ratings'!S5&lt;&gt;""),'Ratings'!S5,"")</f>
        <v/>
      </c>
      <c r="F1856">
        <f>IF(OR(A1856="",'Ratings'!S121=""),"",'Ratings'!S121)</f>
        <v/>
      </c>
      <c r="G1856">
        <f>IF(A1856="","",'Employees'!D13)</f>
        <v/>
      </c>
    </row>
    <row r="1857">
      <c r="A1857">
        <f>IF(AND('Ratings'!A121&lt;&gt;"",'Ratings'!T5&lt;&gt;""),'Ratings'!A121,"")</f>
        <v/>
      </c>
      <c r="B1857">
        <f>IF(A1857="","",'Employees'!C13)</f>
        <v/>
      </c>
      <c r="C1857">
        <f>IF(A1857="","",'Ratings'!C121)</f>
        <v/>
      </c>
      <c r="D1857">
        <f>IF(A1857="","",'Ratings'!D121)</f>
        <v/>
      </c>
      <c r="E1857">
        <f>IF(AND('Ratings'!A121&lt;&gt;"",'Ratings'!T5&lt;&gt;""),'Ratings'!T5,"")</f>
        <v/>
      </c>
      <c r="F1857">
        <f>IF(OR(A1857="",'Ratings'!T121=""),"",'Ratings'!T121)</f>
        <v/>
      </c>
      <c r="G1857">
        <f>IF(A1857="","",'Employees'!D13)</f>
        <v/>
      </c>
    </row>
    <row r="1858">
      <c r="A1858">
        <f>IF(AND('Ratings'!A122&lt;&gt;"",'Ratings'!E5&lt;&gt;""),'Ratings'!A122,"")</f>
        <v/>
      </c>
      <c r="B1858">
        <f>IF(A1858="","",'Employees'!C13)</f>
        <v/>
      </c>
      <c r="C1858">
        <f>IF(A1858="","",'Ratings'!C122)</f>
        <v/>
      </c>
      <c r="D1858">
        <f>IF(A1858="","",'Ratings'!D122)</f>
        <v/>
      </c>
      <c r="E1858">
        <f>IF(AND('Ratings'!A122&lt;&gt;"",'Ratings'!E5&lt;&gt;""),'Ratings'!E5,"")</f>
        <v/>
      </c>
      <c r="F1858">
        <f>IF(OR(A1858="",'Ratings'!E122=""),"",'Ratings'!E122)</f>
        <v/>
      </c>
      <c r="G1858">
        <f>IF(A1858="","",'Employees'!D13)</f>
        <v/>
      </c>
    </row>
    <row r="1859">
      <c r="A1859">
        <f>IF(AND('Ratings'!A122&lt;&gt;"",'Ratings'!F5&lt;&gt;""),'Ratings'!A122,"")</f>
        <v/>
      </c>
      <c r="B1859">
        <f>IF(A1859="","",'Employees'!C13)</f>
        <v/>
      </c>
      <c r="C1859">
        <f>IF(A1859="","",'Ratings'!C122)</f>
        <v/>
      </c>
      <c r="D1859">
        <f>IF(A1859="","",'Ratings'!D122)</f>
        <v/>
      </c>
      <c r="E1859">
        <f>IF(AND('Ratings'!A122&lt;&gt;"",'Ratings'!F5&lt;&gt;""),'Ratings'!F5,"")</f>
        <v/>
      </c>
      <c r="F1859">
        <f>IF(OR(A1859="",'Ratings'!F122=""),"",'Ratings'!F122)</f>
        <v/>
      </c>
      <c r="G1859">
        <f>IF(A1859="","",'Employees'!D13)</f>
        <v/>
      </c>
    </row>
    <row r="1860">
      <c r="A1860">
        <f>IF(AND('Ratings'!A122&lt;&gt;"",'Ratings'!G5&lt;&gt;""),'Ratings'!A122,"")</f>
        <v/>
      </c>
      <c r="B1860">
        <f>IF(A1860="","",'Employees'!C13)</f>
        <v/>
      </c>
      <c r="C1860">
        <f>IF(A1860="","",'Ratings'!C122)</f>
        <v/>
      </c>
      <c r="D1860">
        <f>IF(A1860="","",'Ratings'!D122)</f>
        <v/>
      </c>
      <c r="E1860">
        <f>IF(AND('Ratings'!A122&lt;&gt;"",'Ratings'!G5&lt;&gt;""),'Ratings'!G5,"")</f>
        <v/>
      </c>
      <c r="F1860">
        <f>IF(OR(A1860="",'Ratings'!G122=""),"",'Ratings'!G122)</f>
        <v/>
      </c>
      <c r="G1860">
        <f>IF(A1860="","",'Employees'!D13)</f>
        <v/>
      </c>
    </row>
    <row r="1861">
      <c r="A1861">
        <f>IF(AND('Ratings'!A122&lt;&gt;"",'Ratings'!H5&lt;&gt;""),'Ratings'!A122,"")</f>
        <v/>
      </c>
      <c r="B1861">
        <f>IF(A1861="","",'Employees'!C13)</f>
        <v/>
      </c>
      <c r="C1861">
        <f>IF(A1861="","",'Ratings'!C122)</f>
        <v/>
      </c>
      <c r="D1861">
        <f>IF(A1861="","",'Ratings'!D122)</f>
        <v/>
      </c>
      <c r="E1861">
        <f>IF(AND('Ratings'!A122&lt;&gt;"",'Ratings'!H5&lt;&gt;""),'Ratings'!H5,"")</f>
        <v/>
      </c>
      <c r="F1861">
        <f>IF(OR(A1861="",'Ratings'!H122=""),"",'Ratings'!H122)</f>
        <v/>
      </c>
      <c r="G1861">
        <f>IF(A1861="","",'Employees'!D13)</f>
        <v/>
      </c>
    </row>
    <row r="1862">
      <c r="A1862">
        <f>IF(AND('Ratings'!A122&lt;&gt;"",'Ratings'!I5&lt;&gt;""),'Ratings'!A122,"")</f>
        <v/>
      </c>
      <c r="B1862">
        <f>IF(A1862="","",'Employees'!C13)</f>
        <v/>
      </c>
      <c r="C1862">
        <f>IF(A1862="","",'Ratings'!C122)</f>
        <v/>
      </c>
      <c r="D1862">
        <f>IF(A1862="","",'Ratings'!D122)</f>
        <v/>
      </c>
      <c r="E1862">
        <f>IF(AND('Ratings'!A122&lt;&gt;"",'Ratings'!I5&lt;&gt;""),'Ratings'!I5,"")</f>
        <v/>
      </c>
      <c r="F1862">
        <f>IF(OR(A1862="",'Ratings'!I122=""),"",'Ratings'!I122)</f>
        <v/>
      </c>
      <c r="G1862">
        <f>IF(A1862="","",'Employees'!D13)</f>
        <v/>
      </c>
    </row>
    <row r="1863">
      <c r="A1863">
        <f>IF(AND('Ratings'!A122&lt;&gt;"",'Ratings'!J5&lt;&gt;""),'Ratings'!A122,"")</f>
        <v/>
      </c>
      <c r="B1863">
        <f>IF(A1863="","",'Employees'!C13)</f>
        <v/>
      </c>
      <c r="C1863">
        <f>IF(A1863="","",'Ratings'!C122)</f>
        <v/>
      </c>
      <c r="D1863">
        <f>IF(A1863="","",'Ratings'!D122)</f>
        <v/>
      </c>
      <c r="E1863">
        <f>IF(AND('Ratings'!A122&lt;&gt;"",'Ratings'!J5&lt;&gt;""),'Ratings'!J5,"")</f>
        <v/>
      </c>
      <c r="F1863">
        <f>IF(OR(A1863="",'Ratings'!J122=""),"",'Ratings'!J122)</f>
        <v/>
      </c>
      <c r="G1863">
        <f>IF(A1863="","",'Employees'!D13)</f>
        <v/>
      </c>
    </row>
    <row r="1864">
      <c r="A1864">
        <f>IF(AND('Ratings'!A122&lt;&gt;"",'Ratings'!K5&lt;&gt;""),'Ratings'!A122,"")</f>
        <v/>
      </c>
      <c r="B1864">
        <f>IF(A1864="","",'Employees'!C13)</f>
        <v/>
      </c>
      <c r="C1864">
        <f>IF(A1864="","",'Ratings'!C122)</f>
        <v/>
      </c>
      <c r="D1864">
        <f>IF(A1864="","",'Ratings'!D122)</f>
        <v/>
      </c>
      <c r="E1864">
        <f>IF(AND('Ratings'!A122&lt;&gt;"",'Ratings'!K5&lt;&gt;""),'Ratings'!K5,"")</f>
        <v/>
      </c>
      <c r="F1864">
        <f>IF(OR(A1864="",'Ratings'!K122=""),"",'Ratings'!K122)</f>
        <v/>
      </c>
      <c r="G1864">
        <f>IF(A1864="","",'Employees'!D13)</f>
        <v/>
      </c>
    </row>
    <row r="1865">
      <c r="A1865">
        <f>IF(AND('Ratings'!A122&lt;&gt;"",'Ratings'!L5&lt;&gt;""),'Ratings'!A122,"")</f>
        <v/>
      </c>
      <c r="B1865">
        <f>IF(A1865="","",'Employees'!C13)</f>
        <v/>
      </c>
      <c r="C1865">
        <f>IF(A1865="","",'Ratings'!C122)</f>
        <v/>
      </c>
      <c r="D1865">
        <f>IF(A1865="","",'Ratings'!D122)</f>
        <v/>
      </c>
      <c r="E1865">
        <f>IF(AND('Ratings'!A122&lt;&gt;"",'Ratings'!L5&lt;&gt;""),'Ratings'!L5,"")</f>
        <v/>
      </c>
      <c r="F1865">
        <f>IF(OR(A1865="",'Ratings'!L122=""),"",'Ratings'!L122)</f>
        <v/>
      </c>
      <c r="G1865">
        <f>IF(A1865="","",'Employees'!D13)</f>
        <v/>
      </c>
    </row>
    <row r="1866">
      <c r="A1866">
        <f>IF(AND('Ratings'!A122&lt;&gt;"",'Ratings'!M5&lt;&gt;""),'Ratings'!A122,"")</f>
        <v/>
      </c>
      <c r="B1866">
        <f>IF(A1866="","",'Employees'!C13)</f>
        <v/>
      </c>
      <c r="C1866">
        <f>IF(A1866="","",'Ratings'!C122)</f>
        <v/>
      </c>
      <c r="D1866">
        <f>IF(A1866="","",'Ratings'!D122)</f>
        <v/>
      </c>
      <c r="E1866">
        <f>IF(AND('Ratings'!A122&lt;&gt;"",'Ratings'!M5&lt;&gt;""),'Ratings'!M5,"")</f>
        <v/>
      </c>
      <c r="F1866">
        <f>IF(OR(A1866="",'Ratings'!M122=""),"",'Ratings'!M122)</f>
        <v/>
      </c>
      <c r="G1866">
        <f>IF(A1866="","",'Employees'!D13)</f>
        <v/>
      </c>
    </row>
    <row r="1867">
      <c r="A1867">
        <f>IF(AND('Ratings'!A122&lt;&gt;"",'Ratings'!N5&lt;&gt;""),'Ratings'!A122,"")</f>
        <v/>
      </c>
      <c r="B1867">
        <f>IF(A1867="","",'Employees'!C13)</f>
        <v/>
      </c>
      <c r="C1867">
        <f>IF(A1867="","",'Ratings'!C122)</f>
        <v/>
      </c>
      <c r="D1867">
        <f>IF(A1867="","",'Ratings'!D122)</f>
        <v/>
      </c>
      <c r="E1867">
        <f>IF(AND('Ratings'!A122&lt;&gt;"",'Ratings'!N5&lt;&gt;""),'Ratings'!N5,"")</f>
        <v/>
      </c>
      <c r="F1867">
        <f>IF(OR(A1867="",'Ratings'!N122=""),"",'Ratings'!N122)</f>
        <v/>
      </c>
      <c r="G1867">
        <f>IF(A1867="","",'Employees'!D13)</f>
        <v/>
      </c>
    </row>
    <row r="1868">
      <c r="A1868">
        <f>IF(AND('Ratings'!A122&lt;&gt;"",'Ratings'!O5&lt;&gt;""),'Ratings'!A122,"")</f>
        <v/>
      </c>
      <c r="B1868">
        <f>IF(A1868="","",'Employees'!C13)</f>
        <v/>
      </c>
      <c r="C1868">
        <f>IF(A1868="","",'Ratings'!C122)</f>
        <v/>
      </c>
      <c r="D1868">
        <f>IF(A1868="","",'Ratings'!D122)</f>
        <v/>
      </c>
      <c r="E1868">
        <f>IF(AND('Ratings'!A122&lt;&gt;"",'Ratings'!O5&lt;&gt;""),'Ratings'!O5,"")</f>
        <v/>
      </c>
      <c r="F1868">
        <f>IF(OR(A1868="",'Ratings'!O122=""),"",'Ratings'!O122)</f>
        <v/>
      </c>
      <c r="G1868">
        <f>IF(A1868="","",'Employees'!D13)</f>
        <v/>
      </c>
    </row>
    <row r="1869">
      <c r="A1869">
        <f>IF(AND('Ratings'!A122&lt;&gt;"",'Ratings'!P5&lt;&gt;""),'Ratings'!A122,"")</f>
        <v/>
      </c>
      <c r="B1869">
        <f>IF(A1869="","",'Employees'!C13)</f>
        <v/>
      </c>
      <c r="C1869">
        <f>IF(A1869="","",'Ratings'!C122)</f>
        <v/>
      </c>
      <c r="D1869">
        <f>IF(A1869="","",'Ratings'!D122)</f>
        <v/>
      </c>
      <c r="E1869">
        <f>IF(AND('Ratings'!A122&lt;&gt;"",'Ratings'!P5&lt;&gt;""),'Ratings'!P5,"")</f>
        <v/>
      </c>
      <c r="F1869">
        <f>IF(OR(A1869="",'Ratings'!P122=""),"",'Ratings'!P122)</f>
        <v/>
      </c>
      <c r="G1869">
        <f>IF(A1869="","",'Employees'!D13)</f>
        <v/>
      </c>
    </row>
    <row r="1870">
      <c r="A1870">
        <f>IF(AND('Ratings'!A122&lt;&gt;"",'Ratings'!Q5&lt;&gt;""),'Ratings'!A122,"")</f>
        <v/>
      </c>
      <c r="B1870">
        <f>IF(A1870="","",'Employees'!C13)</f>
        <v/>
      </c>
      <c r="C1870">
        <f>IF(A1870="","",'Ratings'!C122)</f>
        <v/>
      </c>
      <c r="D1870">
        <f>IF(A1870="","",'Ratings'!D122)</f>
        <v/>
      </c>
      <c r="E1870">
        <f>IF(AND('Ratings'!A122&lt;&gt;"",'Ratings'!Q5&lt;&gt;""),'Ratings'!Q5,"")</f>
        <v/>
      </c>
      <c r="F1870">
        <f>IF(OR(A1870="",'Ratings'!Q122=""),"",'Ratings'!Q122)</f>
        <v/>
      </c>
      <c r="G1870">
        <f>IF(A1870="","",'Employees'!D13)</f>
        <v/>
      </c>
    </row>
    <row r="1871">
      <c r="A1871">
        <f>IF(AND('Ratings'!A122&lt;&gt;"",'Ratings'!R5&lt;&gt;""),'Ratings'!A122,"")</f>
        <v/>
      </c>
      <c r="B1871">
        <f>IF(A1871="","",'Employees'!C13)</f>
        <v/>
      </c>
      <c r="C1871">
        <f>IF(A1871="","",'Ratings'!C122)</f>
        <v/>
      </c>
      <c r="D1871">
        <f>IF(A1871="","",'Ratings'!D122)</f>
        <v/>
      </c>
      <c r="E1871">
        <f>IF(AND('Ratings'!A122&lt;&gt;"",'Ratings'!R5&lt;&gt;""),'Ratings'!R5,"")</f>
        <v/>
      </c>
      <c r="F1871">
        <f>IF(OR(A1871="",'Ratings'!R122=""),"",'Ratings'!R122)</f>
        <v/>
      </c>
      <c r="G1871">
        <f>IF(A1871="","",'Employees'!D13)</f>
        <v/>
      </c>
    </row>
    <row r="1872">
      <c r="A1872">
        <f>IF(AND('Ratings'!A122&lt;&gt;"",'Ratings'!S5&lt;&gt;""),'Ratings'!A122,"")</f>
        <v/>
      </c>
      <c r="B1872">
        <f>IF(A1872="","",'Employees'!C13)</f>
        <v/>
      </c>
      <c r="C1872">
        <f>IF(A1872="","",'Ratings'!C122)</f>
        <v/>
      </c>
      <c r="D1872">
        <f>IF(A1872="","",'Ratings'!D122)</f>
        <v/>
      </c>
      <c r="E1872">
        <f>IF(AND('Ratings'!A122&lt;&gt;"",'Ratings'!S5&lt;&gt;""),'Ratings'!S5,"")</f>
        <v/>
      </c>
      <c r="F1872">
        <f>IF(OR(A1872="",'Ratings'!S122=""),"",'Ratings'!S122)</f>
        <v/>
      </c>
      <c r="G1872">
        <f>IF(A1872="","",'Employees'!D13)</f>
        <v/>
      </c>
    </row>
    <row r="1873">
      <c r="A1873">
        <f>IF(AND('Ratings'!A122&lt;&gt;"",'Ratings'!T5&lt;&gt;""),'Ratings'!A122,"")</f>
        <v/>
      </c>
      <c r="B1873">
        <f>IF(A1873="","",'Employees'!C13)</f>
        <v/>
      </c>
      <c r="C1873">
        <f>IF(A1873="","",'Ratings'!C122)</f>
        <v/>
      </c>
      <c r="D1873">
        <f>IF(A1873="","",'Ratings'!D122)</f>
        <v/>
      </c>
      <c r="E1873">
        <f>IF(AND('Ratings'!A122&lt;&gt;"",'Ratings'!T5&lt;&gt;""),'Ratings'!T5,"")</f>
        <v/>
      </c>
      <c r="F1873">
        <f>IF(OR(A1873="",'Ratings'!T122=""),"",'Ratings'!T122)</f>
        <v/>
      </c>
      <c r="G1873">
        <f>IF(A1873="","",'Employees'!D13)</f>
        <v/>
      </c>
    </row>
    <row r="1874">
      <c r="A1874">
        <f>IF(AND('Ratings'!A123&lt;&gt;"",'Ratings'!E5&lt;&gt;""),'Ratings'!A123,"")</f>
        <v/>
      </c>
      <c r="B1874">
        <f>IF(A1874="","",'Employees'!C13)</f>
        <v/>
      </c>
      <c r="C1874">
        <f>IF(A1874="","",'Ratings'!C123)</f>
        <v/>
      </c>
      <c r="D1874">
        <f>IF(A1874="","",'Ratings'!D123)</f>
        <v/>
      </c>
      <c r="E1874">
        <f>IF(AND('Ratings'!A123&lt;&gt;"",'Ratings'!E5&lt;&gt;""),'Ratings'!E5,"")</f>
        <v/>
      </c>
      <c r="F1874">
        <f>IF(OR(A1874="",'Ratings'!E123=""),"",'Ratings'!E123)</f>
        <v/>
      </c>
      <c r="G1874">
        <f>IF(A1874="","",'Employees'!D13)</f>
        <v/>
      </c>
    </row>
    <row r="1875">
      <c r="A1875">
        <f>IF(AND('Ratings'!A123&lt;&gt;"",'Ratings'!F5&lt;&gt;""),'Ratings'!A123,"")</f>
        <v/>
      </c>
      <c r="B1875">
        <f>IF(A1875="","",'Employees'!C13)</f>
        <v/>
      </c>
      <c r="C1875">
        <f>IF(A1875="","",'Ratings'!C123)</f>
        <v/>
      </c>
      <c r="D1875">
        <f>IF(A1875="","",'Ratings'!D123)</f>
        <v/>
      </c>
      <c r="E1875">
        <f>IF(AND('Ratings'!A123&lt;&gt;"",'Ratings'!F5&lt;&gt;""),'Ratings'!F5,"")</f>
        <v/>
      </c>
      <c r="F1875">
        <f>IF(OR(A1875="",'Ratings'!F123=""),"",'Ratings'!F123)</f>
        <v/>
      </c>
      <c r="G1875">
        <f>IF(A1875="","",'Employees'!D13)</f>
        <v/>
      </c>
    </row>
    <row r="1876">
      <c r="A1876">
        <f>IF(AND('Ratings'!A123&lt;&gt;"",'Ratings'!G5&lt;&gt;""),'Ratings'!A123,"")</f>
        <v/>
      </c>
      <c r="B1876">
        <f>IF(A1876="","",'Employees'!C13)</f>
        <v/>
      </c>
      <c r="C1876">
        <f>IF(A1876="","",'Ratings'!C123)</f>
        <v/>
      </c>
      <c r="D1876">
        <f>IF(A1876="","",'Ratings'!D123)</f>
        <v/>
      </c>
      <c r="E1876">
        <f>IF(AND('Ratings'!A123&lt;&gt;"",'Ratings'!G5&lt;&gt;""),'Ratings'!G5,"")</f>
        <v/>
      </c>
      <c r="F1876">
        <f>IF(OR(A1876="",'Ratings'!G123=""),"",'Ratings'!G123)</f>
        <v/>
      </c>
      <c r="G1876">
        <f>IF(A1876="","",'Employees'!D13)</f>
        <v/>
      </c>
    </row>
    <row r="1877">
      <c r="A1877">
        <f>IF(AND('Ratings'!A123&lt;&gt;"",'Ratings'!H5&lt;&gt;""),'Ratings'!A123,"")</f>
        <v/>
      </c>
      <c r="B1877">
        <f>IF(A1877="","",'Employees'!C13)</f>
        <v/>
      </c>
      <c r="C1877">
        <f>IF(A1877="","",'Ratings'!C123)</f>
        <v/>
      </c>
      <c r="D1877">
        <f>IF(A1877="","",'Ratings'!D123)</f>
        <v/>
      </c>
      <c r="E1877">
        <f>IF(AND('Ratings'!A123&lt;&gt;"",'Ratings'!H5&lt;&gt;""),'Ratings'!H5,"")</f>
        <v/>
      </c>
      <c r="F1877">
        <f>IF(OR(A1877="",'Ratings'!H123=""),"",'Ratings'!H123)</f>
        <v/>
      </c>
      <c r="G1877">
        <f>IF(A1877="","",'Employees'!D13)</f>
        <v/>
      </c>
    </row>
    <row r="1878">
      <c r="A1878">
        <f>IF(AND('Ratings'!A123&lt;&gt;"",'Ratings'!I5&lt;&gt;""),'Ratings'!A123,"")</f>
        <v/>
      </c>
      <c r="B1878">
        <f>IF(A1878="","",'Employees'!C13)</f>
        <v/>
      </c>
      <c r="C1878">
        <f>IF(A1878="","",'Ratings'!C123)</f>
        <v/>
      </c>
      <c r="D1878">
        <f>IF(A1878="","",'Ratings'!D123)</f>
        <v/>
      </c>
      <c r="E1878">
        <f>IF(AND('Ratings'!A123&lt;&gt;"",'Ratings'!I5&lt;&gt;""),'Ratings'!I5,"")</f>
        <v/>
      </c>
      <c r="F1878">
        <f>IF(OR(A1878="",'Ratings'!I123=""),"",'Ratings'!I123)</f>
        <v/>
      </c>
      <c r="G1878">
        <f>IF(A1878="","",'Employees'!D13)</f>
        <v/>
      </c>
    </row>
    <row r="1879">
      <c r="A1879">
        <f>IF(AND('Ratings'!A123&lt;&gt;"",'Ratings'!J5&lt;&gt;""),'Ratings'!A123,"")</f>
        <v/>
      </c>
      <c r="B1879">
        <f>IF(A1879="","",'Employees'!C13)</f>
        <v/>
      </c>
      <c r="C1879">
        <f>IF(A1879="","",'Ratings'!C123)</f>
        <v/>
      </c>
      <c r="D1879">
        <f>IF(A1879="","",'Ratings'!D123)</f>
        <v/>
      </c>
      <c r="E1879">
        <f>IF(AND('Ratings'!A123&lt;&gt;"",'Ratings'!J5&lt;&gt;""),'Ratings'!J5,"")</f>
        <v/>
      </c>
      <c r="F1879">
        <f>IF(OR(A1879="",'Ratings'!J123=""),"",'Ratings'!J123)</f>
        <v/>
      </c>
      <c r="G1879">
        <f>IF(A1879="","",'Employees'!D13)</f>
        <v/>
      </c>
    </row>
    <row r="1880">
      <c r="A1880">
        <f>IF(AND('Ratings'!A123&lt;&gt;"",'Ratings'!K5&lt;&gt;""),'Ratings'!A123,"")</f>
        <v/>
      </c>
      <c r="B1880">
        <f>IF(A1880="","",'Employees'!C13)</f>
        <v/>
      </c>
      <c r="C1880">
        <f>IF(A1880="","",'Ratings'!C123)</f>
        <v/>
      </c>
      <c r="D1880">
        <f>IF(A1880="","",'Ratings'!D123)</f>
        <v/>
      </c>
      <c r="E1880">
        <f>IF(AND('Ratings'!A123&lt;&gt;"",'Ratings'!K5&lt;&gt;""),'Ratings'!K5,"")</f>
        <v/>
      </c>
      <c r="F1880">
        <f>IF(OR(A1880="",'Ratings'!K123=""),"",'Ratings'!K123)</f>
        <v/>
      </c>
      <c r="G1880">
        <f>IF(A1880="","",'Employees'!D13)</f>
        <v/>
      </c>
    </row>
    <row r="1881">
      <c r="A1881">
        <f>IF(AND('Ratings'!A123&lt;&gt;"",'Ratings'!L5&lt;&gt;""),'Ratings'!A123,"")</f>
        <v/>
      </c>
      <c r="B1881">
        <f>IF(A1881="","",'Employees'!C13)</f>
        <v/>
      </c>
      <c r="C1881">
        <f>IF(A1881="","",'Ratings'!C123)</f>
        <v/>
      </c>
      <c r="D1881">
        <f>IF(A1881="","",'Ratings'!D123)</f>
        <v/>
      </c>
      <c r="E1881">
        <f>IF(AND('Ratings'!A123&lt;&gt;"",'Ratings'!L5&lt;&gt;""),'Ratings'!L5,"")</f>
        <v/>
      </c>
      <c r="F1881">
        <f>IF(OR(A1881="",'Ratings'!L123=""),"",'Ratings'!L123)</f>
        <v/>
      </c>
      <c r="G1881">
        <f>IF(A1881="","",'Employees'!D13)</f>
        <v/>
      </c>
    </row>
    <row r="1882">
      <c r="A1882">
        <f>IF(AND('Ratings'!A123&lt;&gt;"",'Ratings'!M5&lt;&gt;""),'Ratings'!A123,"")</f>
        <v/>
      </c>
      <c r="B1882">
        <f>IF(A1882="","",'Employees'!C13)</f>
        <v/>
      </c>
      <c r="C1882">
        <f>IF(A1882="","",'Ratings'!C123)</f>
        <v/>
      </c>
      <c r="D1882">
        <f>IF(A1882="","",'Ratings'!D123)</f>
        <v/>
      </c>
      <c r="E1882">
        <f>IF(AND('Ratings'!A123&lt;&gt;"",'Ratings'!M5&lt;&gt;""),'Ratings'!M5,"")</f>
        <v/>
      </c>
      <c r="F1882">
        <f>IF(OR(A1882="",'Ratings'!M123=""),"",'Ratings'!M123)</f>
        <v/>
      </c>
      <c r="G1882">
        <f>IF(A1882="","",'Employees'!D13)</f>
        <v/>
      </c>
    </row>
    <row r="1883">
      <c r="A1883">
        <f>IF(AND('Ratings'!A123&lt;&gt;"",'Ratings'!N5&lt;&gt;""),'Ratings'!A123,"")</f>
        <v/>
      </c>
      <c r="B1883">
        <f>IF(A1883="","",'Employees'!C13)</f>
        <v/>
      </c>
      <c r="C1883">
        <f>IF(A1883="","",'Ratings'!C123)</f>
        <v/>
      </c>
      <c r="D1883">
        <f>IF(A1883="","",'Ratings'!D123)</f>
        <v/>
      </c>
      <c r="E1883">
        <f>IF(AND('Ratings'!A123&lt;&gt;"",'Ratings'!N5&lt;&gt;""),'Ratings'!N5,"")</f>
        <v/>
      </c>
      <c r="F1883">
        <f>IF(OR(A1883="",'Ratings'!N123=""),"",'Ratings'!N123)</f>
        <v/>
      </c>
      <c r="G1883">
        <f>IF(A1883="","",'Employees'!D13)</f>
        <v/>
      </c>
    </row>
    <row r="1884">
      <c r="A1884">
        <f>IF(AND('Ratings'!A123&lt;&gt;"",'Ratings'!O5&lt;&gt;""),'Ratings'!A123,"")</f>
        <v/>
      </c>
      <c r="B1884">
        <f>IF(A1884="","",'Employees'!C13)</f>
        <v/>
      </c>
      <c r="C1884">
        <f>IF(A1884="","",'Ratings'!C123)</f>
        <v/>
      </c>
      <c r="D1884">
        <f>IF(A1884="","",'Ratings'!D123)</f>
        <v/>
      </c>
      <c r="E1884">
        <f>IF(AND('Ratings'!A123&lt;&gt;"",'Ratings'!O5&lt;&gt;""),'Ratings'!O5,"")</f>
        <v/>
      </c>
      <c r="F1884">
        <f>IF(OR(A1884="",'Ratings'!O123=""),"",'Ratings'!O123)</f>
        <v/>
      </c>
      <c r="G1884">
        <f>IF(A1884="","",'Employees'!D13)</f>
        <v/>
      </c>
    </row>
    <row r="1885">
      <c r="A1885">
        <f>IF(AND('Ratings'!A123&lt;&gt;"",'Ratings'!P5&lt;&gt;""),'Ratings'!A123,"")</f>
        <v/>
      </c>
      <c r="B1885">
        <f>IF(A1885="","",'Employees'!C13)</f>
        <v/>
      </c>
      <c r="C1885">
        <f>IF(A1885="","",'Ratings'!C123)</f>
        <v/>
      </c>
      <c r="D1885">
        <f>IF(A1885="","",'Ratings'!D123)</f>
        <v/>
      </c>
      <c r="E1885">
        <f>IF(AND('Ratings'!A123&lt;&gt;"",'Ratings'!P5&lt;&gt;""),'Ratings'!P5,"")</f>
        <v/>
      </c>
      <c r="F1885">
        <f>IF(OR(A1885="",'Ratings'!P123=""),"",'Ratings'!P123)</f>
        <v/>
      </c>
      <c r="G1885">
        <f>IF(A1885="","",'Employees'!D13)</f>
        <v/>
      </c>
    </row>
    <row r="1886">
      <c r="A1886">
        <f>IF(AND('Ratings'!A123&lt;&gt;"",'Ratings'!Q5&lt;&gt;""),'Ratings'!A123,"")</f>
        <v/>
      </c>
      <c r="B1886">
        <f>IF(A1886="","",'Employees'!C13)</f>
        <v/>
      </c>
      <c r="C1886">
        <f>IF(A1886="","",'Ratings'!C123)</f>
        <v/>
      </c>
      <c r="D1886">
        <f>IF(A1886="","",'Ratings'!D123)</f>
        <v/>
      </c>
      <c r="E1886">
        <f>IF(AND('Ratings'!A123&lt;&gt;"",'Ratings'!Q5&lt;&gt;""),'Ratings'!Q5,"")</f>
        <v/>
      </c>
      <c r="F1886">
        <f>IF(OR(A1886="",'Ratings'!Q123=""),"",'Ratings'!Q123)</f>
        <v/>
      </c>
      <c r="G1886">
        <f>IF(A1886="","",'Employees'!D13)</f>
        <v/>
      </c>
    </row>
    <row r="1887">
      <c r="A1887">
        <f>IF(AND('Ratings'!A123&lt;&gt;"",'Ratings'!R5&lt;&gt;""),'Ratings'!A123,"")</f>
        <v/>
      </c>
      <c r="B1887">
        <f>IF(A1887="","",'Employees'!C13)</f>
        <v/>
      </c>
      <c r="C1887">
        <f>IF(A1887="","",'Ratings'!C123)</f>
        <v/>
      </c>
      <c r="D1887">
        <f>IF(A1887="","",'Ratings'!D123)</f>
        <v/>
      </c>
      <c r="E1887">
        <f>IF(AND('Ratings'!A123&lt;&gt;"",'Ratings'!R5&lt;&gt;""),'Ratings'!R5,"")</f>
        <v/>
      </c>
      <c r="F1887">
        <f>IF(OR(A1887="",'Ratings'!R123=""),"",'Ratings'!R123)</f>
        <v/>
      </c>
      <c r="G1887">
        <f>IF(A1887="","",'Employees'!D13)</f>
        <v/>
      </c>
    </row>
    <row r="1888">
      <c r="A1888">
        <f>IF(AND('Ratings'!A123&lt;&gt;"",'Ratings'!S5&lt;&gt;""),'Ratings'!A123,"")</f>
        <v/>
      </c>
      <c r="B1888">
        <f>IF(A1888="","",'Employees'!C13)</f>
        <v/>
      </c>
      <c r="C1888">
        <f>IF(A1888="","",'Ratings'!C123)</f>
        <v/>
      </c>
      <c r="D1888">
        <f>IF(A1888="","",'Ratings'!D123)</f>
        <v/>
      </c>
      <c r="E1888">
        <f>IF(AND('Ratings'!A123&lt;&gt;"",'Ratings'!S5&lt;&gt;""),'Ratings'!S5,"")</f>
        <v/>
      </c>
      <c r="F1888">
        <f>IF(OR(A1888="",'Ratings'!S123=""),"",'Ratings'!S123)</f>
        <v/>
      </c>
      <c r="G1888">
        <f>IF(A1888="","",'Employees'!D13)</f>
        <v/>
      </c>
    </row>
    <row r="1889">
      <c r="A1889">
        <f>IF(AND('Ratings'!A123&lt;&gt;"",'Ratings'!T5&lt;&gt;""),'Ratings'!A123,"")</f>
        <v/>
      </c>
      <c r="B1889">
        <f>IF(A1889="","",'Employees'!C13)</f>
        <v/>
      </c>
      <c r="C1889">
        <f>IF(A1889="","",'Ratings'!C123)</f>
        <v/>
      </c>
      <c r="D1889">
        <f>IF(A1889="","",'Ratings'!D123)</f>
        <v/>
      </c>
      <c r="E1889">
        <f>IF(AND('Ratings'!A123&lt;&gt;"",'Ratings'!T5&lt;&gt;""),'Ratings'!T5,"")</f>
        <v/>
      </c>
      <c r="F1889">
        <f>IF(OR(A1889="",'Ratings'!T123=""),"",'Ratings'!T123)</f>
        <v/>
      </c>
      <c r="G1889">
        <f>IF(A1889="","",'Employees'!D13)</f>
        <v/>
      </c>
    </row>
    <row r="1890">
      <c r="A1890">
        <f>IF(AND('Ratings'!A124&lt;&gt;"",'Ratings'!E5&lt;&gt;""),'Ratings'!A124,"")</f>
        <v/>
      </c>
      <c r="B1890">
        <f>IF(A1890="","",'Employees'!C13)</f>
        <v/>
      </c>
      <c r="C1890">
        <f>IF(A1890="","",'Ratings'!C124)</f>
        <v/>
      </c>
      <c r="D1890">
        <f>IF(A1890="","",'Ratings'!D124)</f>
        <v/>
      </c>
      <c r="E1890">
        <f>IF(AND('Ratings'!A124&lt;&gt;"",'Ratings'!E5&lt;&gt;""),'Ratings'!E5,"")</f>
        <v/>
      </c>
      <c r="F1890">
        <f>IF(OR(A1890="",'Ratings'!E124=""),"",'Ratings'!E124)</f>
        <v/>
      </c>
      <c r="G1890">
        <f>IF(A1890="","",'Employees'!D13)</f>
        <v/>
      </c>
    </row>
    <row r="1891">
      <c r="A1891">
        <f>IF(AND('Ratings'!A124&lt;&gt;"",'Ratings'!F5&lt;&gt;""),'Ratings'!A124,"")</f>
        <v/>
      </c>
      <c r="B1891">
        <f>IF(A1891="","",'Employees'!C13)</f>
        <v/>
      </c>
      <c r="C1891">
        <f>IF(A1891="","",'Ratings'!C124)</f>
        <v/>
      </c>
      <c r="D1891">
        <f>IF(A1891="","",'Ratings'!D124)</f>
        <v/>
      </c>
      <c r="E1891">
        <f>IF(AND('Ratings'!A124&lt;&gt;"",'Ratings'!F5&lt;&gt;""),'Ratings'!F5,"")</f>
        <v/>
      </c>
      <c r="F1891">
        <f>IF(OR(A1891="",'Ratings'!F124=""),"",'Ratings'!F124)</f>
        <v/>
      </c>
      <c r="G1891">
        <f>IF(A1891="","",'Employees'!D13)</f>
        <v/>
      </c>
    </row>
    <row r="1892">
      <c r="A1892">
        <f>IF(AND('Ratings'!A124&lt;&gt;"",'Ratings'!G5&lt;&gt;""),'Ratings'!A124,"")</f>
        <v/>
      </c>
      <c r="B1892">
        <f>IF(A1892="","",'Employees'!C13)</f>
        <v/>
      </c>
      <c r="C1892">
        <f>IF(A1892="","",'Ratings'!C124)</f>
        <v/>
      </c>
      <c r="D1892">
        <f>IF(A1892="","",'Ratings'!D124)</f>
        <v/>
      </c>
      <c r="E1892">
        <f>IF(AND('Ratings'!A124&lt;&gt;"",'Ratings'!G5&lt;&gt;""),'Ratings'!G5,"")</f>
        <v/>
      </c>
      <c r="F1892">
        <f>IF(OR(A1892="",'Ratings'!G124=""),"",'Ratings'!G124)</f>
        <v/>
      </c>
      <c r="G1892">
        <f>IF(A1892="","",'Employees'!D13)</f>
        <v/>
      </c>
    </row>
    <row r="1893">
      <c r="A1893">
        <f>IF(AND('Ratings'!A124&lt;&gt;"",'Ratings'!H5&lt;&gt;""),'Ratings'!A124,"")</f>
        <v/>
      </c>
      <c r="B1893">
        <f>IF(A1893="","",'Employees'!C13)</f>
        <v/>
      </c>
      <c r="C1893">
        <f>IF(A1893="","",'Ratings'!C124)</f>
        <v/>
      </c>
      <c r="D1893">
        <f>IF(A1893="","",'Ratings'!D124)</f>
        <v/>
      </c>
      <c r="E1893">
        <f>IF(AND('Ratings'!A124&lt;&gt;"",'Ratings'!H5&lt;&gt;""),'Ratings'!H5,"")</f>
        <v/>
      </c>
      <c r="F1893">
        <f>IF(OR(A1893="",'Ratings'!H124=""),"",'Ratings'!H124)</f>
        <v/>
      </c>
      <c r="G1893">
        <f>IF(A1893="","",'Employees'!D13)</f>
        <v/>
      </c>
    </row>
    <row r="1894">
      <c r="A1894">
        <f>IF(AND('Ratings'!A124&lt;&gt;"",'Ratings'!I5&lt;&gt;""),'Ratings'!A124,"")</f>
        <v/>
      </c>
      <c r="B1894">
        <f>IF(A1894="","",'Employees'!C13)</f>
        <v/>
      </c>
      <c r="C1894">
        <f>IF(A1894="","",'Ratings'!C124)</f>
        <v/>
      </c>
      <c r="D1894">
        <f>IF(A1894="","",'Ratings'!D124)</f>
        <v/>
      </c>
      <c r="E1894">
        <f>IF(AND('Ratings'!A124&lt;&gt;"",'Ratings'!I5&lt;&gt;""),'Ratings'!I5,"")</f>
        <v/>
      </c>
      <c r="F1894">
        <f>IF(OR(A1894="",'Ratings'!I124=""),"",'Ratings'!I124)</f>
        <v/>
      </c>
      <c r="G1894">
        <f>IF(A1894="","",'Employees'!D13)</f>
        <v/>
      </c>
    </row>
    <row r="1895">
      <c r="A1895">
        <f>IF(AND('Ratings'!A124&lt;&gt;"",'Ratings'!J5&lt;&gt;""),'Ratings'!A124,"")</f>
        <v/>
      </c>
      <c r="B1895">
        <f>IF(A1895="","",'Employees'!C13)</f>
        <v/>
      </c>
      <c r="C1895">
        <f>IF(A1895="","",'Ratings'!C124)</f>
        <v/>
      </c>
      <c r="D1895">
        <f>IF(A1895="","",'Ratings'!D124)</f>
        <v/>
      </c>
      <c r="E1895">
        <f>IF(AND('Ratings'!A124&lt;&gt;"",'Ratings'!J5&lt;&gt;""),'Ratings'!J5,"")</f>
        <v/>
      </c>
      <c r="F1895">
        <f>IF(OR(A1895="",'Ratings'!J124=""),"",'Ratings'!J124)</f>
        <v/>
      </c>
      <c r="G1895">
        <f>IF(A1895="","",'Employees'!D13)</f>
        <v/>
      </c>
    </row>
    <row r="1896">
      <c r="A1896">
        <f>IF(AND('Ratings'!A124&lt;&gt;"",'Ratings'!K5&lt;&gt;""),'Ratings'!A124,"")</f>
        <v/>
      </c>
      <c r="B1896">
        <f>IF(A1896="","",'Employees'!C13)</f>
        <v/>
      </c>
      <c r="C1896">
        <f>IF(A1896="","",'Ratings'!C124)</f>
        <v/>
      </c>
      <c r="D1896">
        <f>IF(A1896="","",'Ratings'!D124)</f>
        <v/>
      </c>
      <c r="E1896">
        <f>IF(AND('Ratings'!A124&lt;&gt;"",'Ratings'!K5&lt;&gt;""),'Ratings'!K5,"")</f>
        <v/>
      </c>
      <c r="F1896">
        <f>IF(OR(A1896="",'Ratings'!K124=""),"",'Ratings'!K124)</f>
        <v/>
      </c>
      <c r="G1896">
        <f>IF(A1896="","",'Employees'!D13)</f>
        <v/>
      </c>
    </row>
    <row r="1897">
      <c r="A1897">
        <f>IF(AND('Ratings'!A124&lt;&gt;"",'Ratings'!L5&lt;&gt;""),'Ratings'!A124,"")</f>
        <v/>
      </c>
      <c r="B1897">
        <f>IF(A1897="","",'Employees'!C13)</f>
        <v/>
      </c>
      <c r="C1897">
        <f>IF(A1897="","",'Ratings'!C124)</f>
        <v/>
      </c>
      <c r="D1897">
        <f>IF(A1897="","",'Ratings'!D124)</f>
        <v/>
      </c>
      <c r="E1897">
        <f>IF(AND('Ratings'!A124&lt;&gt;"",'Ratings'!L5&lt;&gt;""),'Ratings'!L5,"")</f>
        <v/>
      </c>
      <c r="F1897">
        <f>IF(OR(A1897="",'Ratings'!L124=""),"",'Ratings'!L124)</f>
        <v/>
      </c>
      <c r="G1897">
        <f>IF(A1897="","",'Employees'!D13)</f>
        <v/>
      </c>
    </row>
    <row r="1898">
      <c r="A1898">
        <f>IF(AND('Ratings'!A124&lt;&gt;"",'Ratings'!M5&lt;&gt;""),'Ratings'!A124,"")</f>
        <v/>
      </c>
      <c r="B1898">
        <f>IF(A1898="","",'Employees'!C13)</f>
        <v/>
      </c>
      <c r="C1898">
        <f>IF(A1898="","",'Ratings'!C124)</f>
        <v/>
      </c>
      <c r="D1898">
        <f>IF(A1898="","",'Ratings'!D124)</f>
        <v/>
      </c>
      <c r="E1898">
        <f>IF(AND('Ratings'!A124&lt;&gt;"",'Ratings'!M5&lt;&gt;""),'Ratings'!M5,"")</f>
        <v/>
      </c>
      <c r="F1898">
        <f>IF(OR(A1898="",'Ratings'!M124=""),"",'Ratings'!M124)</f>
        <v/>
      </c>
      <c r="G1898">
        <f>IF(A1898="","",'Employees'!D13)</f>
        <v/>
      </c>
    </row>
    <row r="1899">
      <c r="A1899">
        <f>IF(AND('Ratings'!A124&lt;&gt;"",'Ratings'!N5&lt;&gt;""),'Ratings'!A124,"")</f>
        <v/>
      </c>
      <c r="B1899">
        <f>IF(A1899="","",'Employees'!C13)</f>
        <v/>
      </c>
      <c r="C1899">
        <f>IF(A1899="","",'Ratings'!C124)</f>
        <v/>
      </c>
      <c r="D1899">
        <f>IF(A1899="","",'Ratings'!D124)</f>
        <v/>
      </c>
      <c r="E1899">
        <f>IF(AND('Ratings'!A124&lt;&gt;"",'Ratings'!N5&lt;&gt;""),'Ratings'!N5,"")</f>
        <v/>
      </c>
      <c r="F1899">
        <f>IF(OR(A1899="",'Ratings'!N124=""),"",'Ratings'!N124)</f>
        <v/>
      </c>
      <c r="G1899">
        <f>IF(A1899="","",'Employees'!D13)</f>
        <v/>
      </c>
    </row>
    <row r="1900">
      <c r="A1900">
        <f>IF(AND('Ratings'!A124&lt;&gt;"",'Ratings'!O5&lt;&gt;""),'Ratings'!A124,"")</f>
        <v/>
      </c>
      <c r="B1900">
        <f>IF(A1900="","",'Employees'!C13)</f>
        <v/>
      </c>
      <c r="C1900">
        <f>IF(A1900="","",'Ratings'!C124)</f>
        <v/>
      </c>
      <c r="D1900">
        <f>IF(A1900="","",'Ratings'!D124)</f>
        <v/>
      </c>
      <c r="E1900">
        <f>IF(AND('Ratings'!A124&lt;&gt;"",'Ratings'!O5&lt;&gt;""),'Ratings'!O5,"")</f>
        <v/>
      </c>
      <c r="F1900">
        <f>IF(OR(A1900="",'Ratings'!O124=""),"",'Ratings'!O124)</f>
        <v/>
      </c>
      <c r="G1900">
        <f>IF(A1900="","",'Employees'!D13)</f>
        <v/>
      </c>
    </row>
    <row r="1901">
      <c r="A1901">
        <f>IF(AND('Ratings'!A124&lt;&gt;"",'Ratings'!P5&lt;&gt;""),'Ratings'!A124,"")</f>
        <v/>
      </c>
      <c r="B1901">
        <f>IF(A1901="","",'Employees'!C13)</f>
        <v/>
      </c>
      <c r="C1901">
        <f>IF(A1901="","",'Ratings'!C124)</f>
        <v/>
      </c>
      <c r="D1901">
        <f>IF(A1901="","",'Ratings'!D124)</f>
        <v/>
      </c>
      <c r="E1901">
        <f>IF(AND('Ratings'!A124&lt;&gt;"",'Ratings'!P5&lt;&gt;""),'Ratings'!P5,"")</f>
        <v/>
      </c>
      <c r="F1901">
        <f>IF(OR(A1901="",'Ratings'!P124=""),"",'Ratings'!P124)</f>
        <v/>
      </c>
      <c r="G1901">
        <f>IF(A1901="","",'Employees'!D13)</f>
        <v/>
      </c>
    </row>
    <row r="1902">
      <c r="A1902">
        <f>IF(AND('Ratings'!A124&lt;&gt;"",'Ratings'!Q5&lt;&gt;""),'Ratings'!A124,"")</f>
        <v/>
      </c>
      <c r="B1902">
        <f>IF(A1902="","",'Employees'!C13)</f>
        <v/>
      </c>
      <c r="C1902">
        <f>IF(A1902="","",'Ratings'!C124)</f>
        <v/>
      </c>
      <c r="D1902">
        <f>IF(A1902="","",'Ratings'!D124)</f>
        <v/>
      </c>
      <c r="E1902">
        <f>IF(AND('Ratings'!A124&lt;&gt;"",'Ratings'!Q5&lt;&gt;""),'Ratings'!Q5,"")</f>
        <v/>
      </c>
      <c r="F1902">
        <f>IF(OR(A1902="",'Ratings'!Q124=""),"",'Ratings'!Q124)</f>
        <v/>
      </c>
      <c r="G1902">
        <f>IF(A1902="","",'Employees'!D13)</f>
        <v/>
      </c>
    </row>
    <row r="1903">
      <c r="A1903">
        <f>IF(AND('Ratings'!A124&lt;&gt;"",'Ratings'!R5&lt;&gt;""),'Ratings'!A124,"")</f>
        <v/>
      </c>
      <c r="B1903">
        <f>IF(A1903="","",'Employees'!C13)</f>
        <v/>
      </c>
      <c r="C1903">
        <f>IF(A1903="","",'Ratings'!C124)</f>
        <v/>
      </c>
      <c r="D1903">
        <f>IF(A1903="","",'Ratings'!D124)</f>
        <v/>
      </c>
      <c r="E1903">
        <f>IF(AND('Ratings'!A124&lt;&gt;"",'Ratings'!R5&lt;&gt;""),'Ratings'!R5,"")</f>
        <v/>
      </c>
      <c r="F1903">
        <f>IF(OR(A1903="",'Ratings'!R124=""),"",'Ratings'!R124)</f>
        <v/>
      </c>
      <c r="G1903">
        <f>IF(A1903="","",'Employees'!D13)</f>
        <v/>
      </c>
    </row>
    <row r="1904">
      <c r="A1904">
        <f>IF(AND('Ratings'!A124&lt;&gt;"",'Ratings'!S5&lt;&gt;""),'Ratings'!A124,"")</f>
        <v/>
      </c>
      <c r="B1904">
        <f>IF(A1904="","",'Employees'!C13)</f>
        <v/>
      </c>
      <c r="C1904">
        <f>IF(A1904="","",'Ratings'!C124)</f>
        <v/>
      </c>
      <c r="D1904">
        <f>IF(A1904="","",'Ratings'!D124)</f>
        <v/>
      </c>
      <c r="E1904">
        <f>IF(AND('Ratings'!A124&lt;&gt;"",'Ratings'!S5&lt;&gt;""),'Ratings'!S5,"")</f>
        <v/>
      </c>
      <c r="F1904">
        <f>IF(OR(A1904="",'Ratings'!S124=""),"",'Ratings'!S124)</f>
        <v/>
      </c>
      <c r="G1904">
        <f>IF(A1904="","",'Employees'!D13)</f>
        <v/>
      </c>
    </row>
    <row r="1905">
      <c r="A1905">
        <f>IF(AND('Ratings'!A124&lt;&gt;"",'Ratings'!T5&lt;&gt;""),'Ratings'!A124,"")</f>
        <v/>
      </c>
      <c r="B1905">
        <f>IF(A1905="","",'Employees'!C13)</f>
        <v/>
      </c>
      <c r="C1905">
        <f>IF(A1905="","",'Ratings'!C124)</f>
        <v/>
      </c>
      <c r="D1905">
        <f>IF(A1905="","",'Ratings'!D124)</f>
        <v/>
      </c>
      <c r="E1905">
        <f>IF(AND('Ratings'!A124&lt;&gt;"",'Ratings'!T5&lt;&gt;""),'Ratings'!T5,"")</f>
        <v/>
      </c>
      <c r="F1905">
        <f>IF(OR(A1905="",'Ratings'!T124=""),"",'Ratings'!T124)</f>
        <v/>
      </c>
      <c r="G1905">
        <f>IF(A1905="","",'Employees'!D13)</f>
        <v/>
      </c>
    </row>
    <row r="1906">
      <c r="A1906">
        <f>IF(AND('Ratings'!A125&lt;&gt;"",'Ratings'!E5&lt;&gt;""),'Ratings'!A125,"")</f>
        <v/>
      </c>
      <c r="B1906">
        <f>IF(A1906="","",'Employees'!C13)</f>
        <v/>
      </c>
      <c r="C1906">
        <f>IF(A1906="","",'Ratings'!C125)</f>
        <v/>
      </c>
      <c r="D1906">
        <f>IF(A1906="","",'Ratings'!D125)</f>
        <v/>
      </c>
      <c r="E1906">
        <f>IF(AND('Ratings'!A125&lt;&gt;"",'Ratings'!E5&lt;&gt;""),'Ratings'!E5,"")</f>
        <v/>
      </c>
      <c r="F1906">
        <f>IF(OR(A1906="",'Ratings'!E125=""),"",'Ratings'!E125)</f>
        <v/>
      </c>
      <c r="G1906">
        <f>IF(A1906="","",'Employees'!D13)</f>
        <v/>
      </c>
    </row>
    <row r="1907">
      <c r="A1907">
        <f>IF(AND('Ratings'!A125&lt;&gt;"",'Ratings'!F5&lt;&gt;""),'Ratings'!A125,"")</f>
        <v/>
      </c>
      <c r="B1907">
        <f>IF(A1907="","",'Employees'!C13)</f>
        <v/>
      </c>
      <c r="C1907">
        <f>IF(A1907="","",'Ratings'!C125)</f>
        <v/>
      </c>
      <c r="D1907">
        <f>IF(A1907="","",'Ratings'!D125)</f>
        <v/>
      </c>
      <c r="E1907">
        <f>IF(AND('Ratings'!A125&lt;&gt;"",'Ratings'!F5&lt;&gt;""),'Ratings'!F5,"")</f>
        <v/>
      </c>
      <c r="F1907">
        <f>IF(OR(A1907="",'Ratings'!F125=""),"",'Ratings'!F125)</f>
        <v/>
      </c>
      <c r="G1907">
        <f>IF(A1907="","",'Employees'!D13)</f>
        <v/>
      </c>
    </row>
    <row r="1908">
      <c r="A1908">
        <f>IF(AND('Ratings'!A125&lt;&gt;"",'Ratings'!G5&lt;&gt;""),'Ratings'!A125,"")</f>
        <v/>
      </c>
      <c r="B1908">
        <f>IF(A1908="","",'Employees'!C13)</f>
        <v/>
      </c>
      <c r="C1908">
        <f>IF(A1908="","",'Ratings'!C125)</f>
        <v/>
      </c>
      <c r="D1908">
        <f>IF(A1908="","",'Ratings'!D125)</f>
        <v/>
      </c>
      <c r="E1908">
        <f>IF(AND('Ratings'!A125&lt;&gt;"",'Ratings'!G5&lt;&gt;""),'Ratings'!G5,"")</f>
        <v/>
      </c>
      <c r="F1908">
        <f>IF(OR(A1908="",'Ratings'!G125=""),"",'Ratings'!G125)</f>
        <v/>
      </c>
      <c r="G1908">
        <f>IF(A1908="","",'Employees'!D13)</f>
        <v/>
      </c>
    </row>
    <row r="1909">
      <c r="A1909">
        <f>IF(AND('Ratings'!A125&lt;&gt;"",'Ratings'!H5&lt;&gt;""),'Ratings'!A125,"")</f>
        <v/>
      </c>
      <c r="B1909">
        <f>IF(A1909="","",'Employees'!C13)</f>
        <v/>
      </c>
      <c r="C1909">
        <f>IF(A1909="","",'Ratings'!C125)</f>
        <v/>
      </c>
      <c r="D1909">
        <f>IF(A1909="","",'Ratings'!D125)</f>
        <v/>
      </c>
      <c r="E1909">
        <f>IF(AND('Ratings'!A125&lt;&gt;"",'Ratings'!H5&lt;&gt;""),'Ratings'!H5,"")</f>
        <v/>
      </c>
      <c r="F1909">
        <f>IF(OR(A1909="",'Ratings'!H125=""),"",'Ratings'!H125)</f>
        <v/>
      </c>
      <c r="G1909">
        <f>IF(A1909="","",'Employees'!D13)</f>
        <v/>
      </c>
    </row>
    <row r="1910">
      <c r="A1910">
        <f>IF(AND('Ratings'!A125&lt;&gt;"",'Ratings'!I5&lt;&gt;""),'Ratings'!A125,"")</f>
        <v/>
      </c>
      <c r="B1910">
        <f>IF(A1910="","",'Employees'!C13)</f>
        <v/>
      </c>
      <c r="C1910">
        <f>IF(A1910="","",'Ratings'!C125)</f>
        <v/>
      </c>
      <c r="D1910">
        <f>IF(A1910="","",'Ratings'!D125)</f>
        <v/>
      </c>
      <c r="E1910">
        <f>IF(AND('Ratings'!A125&lt;&gt;"",'Ratings'!I5&lt;&gt;""),'Ratings'!I5,"")</f>
        <v/>
      </c>
      <c r="F1910">
        <f>IF(OR(A1910="",'Ratings'!I125=""),"",'Ratings'!I125)</f>
        <v/>
      </c>
      <c r="G1910">
        <f>IF(A1910="","",'Employees'!D13)</f>
        <v/>
      </c>
    </row>
    <row r="1911">
      <c r="A1911">
        <f>IF(AND('Ratings'!A125&lt;&gt;"",'Ratings'!J5&lt;&gt;""),'Ratings'!A125,"")</f>
        <v/>
      </c>
      <c r="B1911">
        <f>IF(A1911="","",'Employees'!C13)</f>
        <v/>
      </c>
      <c r="C1911">
        <f>IF(A1911="","",'Ratings'!C125)</f>
        <v/>
      </c>
      <c r="D1911">
        <f>IF(A1911="","",'Ratings'!D125)</f>
        <v/>
      </c>
      <c r="E1911">
        <f>IF(AND('Ratings'!A125&lt;&gt;"",'Ratings'!J5&lt;&gt;""),'Ratings'!J5,"")</f>
        <v/>
      </c>
      <c r="F1911">
        <f>IF(OR(A1911="",'Ratings'!J125=""),"",'Ratings'!J125)</f>
        <v/>
      </c>
      <c r="G1911">
        <f>IF(A1911="","",'Employees'!D13)</f>
        <v/>
      </c>
    </row>
    <row r="1912">
      <c r="A1912">
        <f>IF(AND('Ratings'!A125&lt;&gt;"",'Ratings'!K5&lt;&gt;""),'Ratings'!A125,"")</f>
        <v/>
      </c>
      <c r="B1912">
        <f>IF(A1912="","",'Employees'!C13)</f>
        <v/>
      </c>
      <c r="C1912">
        <f>IF(A1912="","",'Ratings'!C125)</f>
        <v/>
      </c>
      <c r="D1912">
        <f>IF(A1912="","",'Ratings'!D125)</f>
        <v/>
      </c>
      <c r="E1912">
        <f>IF(AND('Ratings'!A125&lt;&gt;"",'Ratings'!K5&lt;&gt;""),'Ratings'!K5,"")</f>
        <v/>
      </c>
      <c r="F1912">
        <f>IF(OR(A1912="",'Ratings'!K125=""),"",'Ratings'!K125)</f>
        <v/>
      </c>
      <c r="G1912">
        <f>IF(A1912="","",'Employees'!D13)</f>
        <v/>
      </c>
    </row>
    <row r="1913">
      <c r="A1913">
        <f>IF(AND('Ratings'!A125&lt;&gt;"",'Ratings'!L5&lt;&gt;""),'Ratings'!A125,"")</f>
        <v/>
      </c>
      <c r="B1913">
        <f>IF(A1913="","",'Employees'!C13)</f>
        <v/>
      </c>
      <c r="C1913">
        <f>IF(A1913="","",'Ratings'!C125)</f>
        <v/>
      </c>
      <c r="D1913">
        <f>IF(A1913="","",'Ratings'!D125)</f>
        <v/>
      </c>
      <c r="E1913">
        <f>IF(AND('Ratings'!A125&lt;&gt;"",'Ratings'!L5&lt;&gt;""),'Ratings'!L5,"")</f>
        <v/>
      </c>
      <c r="F1913">
        <f>IF(OR(A1913="",'Ratings'!L125=""),"",'Ratings'!L125)</f>
        <v/>
      </c>
      <c r="G1913">
        <f>IF(A1913="","",'Employees'!D13)</f>
        <v/>
      </c>
    </row>
    <row r="1914">
      <c r="A1914">
        <f>IF(AND('Ratings'!A125&lt;&gt;"",'Ratings'!M5&lt;&gt;""),'Ratings'!A125,"")</f>
        <v/>
      </c>
      <c r="B1914">
        <f>IF(A1914="","",'Employees'!C13)</f>
        <v/>
      </c>
      <c r="C1914">
        <f>IF(A1914="","",'Ratings'!C125)</f>
        <v/>
      </c>
      <c r="D1914">
        <f>IF(A1914="","",'Ratings'!D125)</f>
        <v/>
      </c>
      <c r="E1914">
        <f>IF(AND('Ratings'!A125&lt;&gt;"",'Ratings'!M5&lt;&gt;""),'Ratings'!M5,"")</f>
        <v/>
      </c>
      <c r="F1914">
        <f>IF(OR(A1914="",'Ratings'!M125=""),"",'Ratings'!M125)</f>
        <v/>
      </c>
      <c r="G1914">
        <f>IF(A1914="","",'Employees'!D13)</f>
        <v/>
      </c>
    </row>
    <row r="1915">
      <c r="A1915">
        <f>IF(AND('Ratings'!A125&lt;&gt;"",'Ratings'!N5&lt;&gt;""),'Ratings'!A125,"")</f>
        <v/>
      </c>
      <c r="B1915">
        <f>IF(A1915="","",'Employees'!C13)</f>
        <v/>
      </c>
      <c r="C1915">
        <f>IF(A1915="","",'Ratings'!C125)</f>
        <v/>
      </c>
      <c r="D1915">
        <f>IF(A1915="","",'Ratings'!D125)</f>
        <v/>
      </c>
      <c r="E1915">
        <f>IF(AND('Ratings'!A125&lt;&gt;"",'Ratings'!N5&lt;&gt;""),'Ratings'!N5,"")</f>
        <v/>
      </c>
      <c r="F1915">
        <f>IF(OR(A1915="",'Ratings'!N125=""),"",'Ratings'!N125)</f>
        <v/>
      </c>
      <c r="G1915">
        <f>IF(A1915="","",'Employees'!D13)</f>
        <v/>
      </c>
    </row>
    <row r="1916">
      <c r="A1916">
        <f>IF(AND('Ratings'!A125&lt;&gt;"",'Ratings'!O5&lt;&gt;""),'Ratings'!A125,"")</f>
        <v/>
      </c>
      <c r="B1916">
        <f>IF(A1916="","",'Employees'!C13)</f>
        <v/>
      </c>
      <c r="C1916">
        <f>IF(A1916="","",'Ratings'!C125)</f>
        <v/>
      </c>
      <c r="D1916">
        <f>IF(A1916="","",'Ratings'!D125)</f>
        <v/>
      </c>
      <c r="E1916">
        <f>IF(AND('Ratings'!A125&lt;&gt;"",'Ratings'!O5&lt;&gt;""),'Ratings'!O5,"")</f>
        <v/>
      </c>
      <c r="F1916">
        <f>IF(OR(A1916="",'Ratings'!O125=""),"",'Ratings'!O125)</f>
        <v/>
      </c>
      <c r="G1916">
        <f>IF(A1916="","",'Employees'!D13)</f>
        <v/>
      </c>
    </row>
    <row r="1917">
      <c r="A1917">
        <f>IF(AND('Ratings'!A125&lt;&gt;"",'Ratings'!P5&lt;&gt;""),'Ratings'!A125,"")</f>
        <v/>
      </c>
      <c r="B1917">
        <f>IF(A1917="","",'Employees'!C13)</f>
        <v/>
      </c>
      <c r="C1917">
        <f>IF(A1917="","",'Ratings'!C125)</f>
        <v/>
      </c>
      <c r="D1917">
        <f>IF(A1917="","",'Ratings'!D125)</f>
        <v/>
      </c>
      <c r="E1917">
        <f>IF(AND('Ratings'!A125&lt;&gt;"",'Ratings'!P5&lt;&gt;""),'Ratings'!P5,"")</f>
        <v/>
      </c>
      <c r="F1917">
        <f>IF(OR(A1917="",'Ratings'!P125=""),"",'Ratings'!P125)</f>
        <v/>
      </c>
      <c r="G1917">
        <f>IF(A1917="","",'Employees'!D13)</f>
        <v/>
      </c>
    </row>
    <row r="1918">
      <c r="A1918">
        <f>IF(AND('Ratings'!A125&lt;&gt;"",'Ratings'!Q5&lt;&gt;""),'Ratings'!A125,"")</f>
        <v/>
      </c>
      <c r="B1918">
        <f>IF(A1918="","",'Employees'!C13)</f>
        <v/>
      </c>
      <c r="C1918">
        <f>IF(A1918="","",'Ratings'!C125)</f>
        <v/>
      </c>
      <c r="D1918">
        <f>IF(A1918="","",'Ratings'!D125)</f>
        <v/>
      </c>
      <c r="E1918">
        <f>IF(AND('Ratings'!A125&lt;&gt;"",'Ratings'!Q5&lt;&gt;""),'Ratings'!Q5,"")</f>
        <v/>
      </c>
      <c r="F1918">
        <f>IF(OR(A1918="",'Ratings'!Q125=""),"",'Ratings'!Q125)</f>
        <v/>
      </c>
      <c r="G1918">
        <f>IF(A1918="","",'Employees'!D13)</f>
        <v/>
      </c>
    </row>
    <row r="1919">
      <c r="A1919">
        <f>IF(AND('Ratings'!A125&lt;&gt;"",'Ratings'!R5&lt;&gt;""),'Ratings'!A125,"")</f>
        <v/>
      </c>
      <c r="B1919">
        <f>IF(A1919="","",'Employees'!C13)</f>
        <v/>
      </c>
      <c r="C1919">
        <f>IF(A1919="","",'Ratings'!C125)</f>
        <v/>
      </c>
      <c r="D1919">
        <f>IF(A1919="","",'Ratings'!D125)</f>
        <v/>
      </c>
      <c r="E1919">
        <f>IF(AND('Ratings'!A125&lt;&gt;"",'Ratings'!R5&lt;&gt;""),'Ratings'!R5,"")</f>
        <v/>
      </c>
      <c r="F1919">
        <f>IF(OR(A1919="",'Ratings'!R125=""),"",'Ratings'!R125)</f>
        <v/>
      </c>
      <c r="G1919">
        <f>IF(A1919="","",'Employees'!D13)</f>
        <v/>
      </c>
    </row>
    <row r="1920">
      <c r="A1920">
        <f>IF(AND('Ratings'!A125&lt;&gt;"",'Ratings'!S5&lt;&gt;""),'Ratings'!A125,"")</f>
        <v/>
      </c>
      <c r="B1920">
        <f>IF(A1920="","",'Employees'!C13)</f>
        <v/>
      </c>
      <c r="C1920">
        <f>IF(A1920="","",'Ratings'!C125)</f>
        <v/>
      </c>
      <c r="D1920">
        <f>IF(A1920="","",'Ratings'!D125)</f>
        <v/>
      </c>
      <c r="E1920">
        <f>IF(AND('Ratings'!A125&lt;&gt;"",'Ratings'!S5&lt;&gt;""),'Ratings'!S5,"")</f>
        <v/>
      </c>
      <c r="F1920">
        <f>IF(OR(A1920="",'Ratings'!S125=""),"",'Ratings'!S125)</f>
        <v/>
      </c>
      <c r="G1920">
        <f>IF(A1920="","",'Employees'!D13)</f>
        <v/>
      </c>
    </row>
    <row r="1921">
      <c r="A1921">
        <f>IF(AND('Ratings'!A125&lt;&gt;"",'Ratings'!T5&lt;&gt;""),'Ratings'!A125,"")</f>
        <v/>
      </c>
      <c r="B1921">
        <f>IF(A1921="","",'Employees'!C13)</f>
        <v/>
      </c>
      <c r="C1921">
        <f>IF(A1921="","",'Ratings'!C125)</f>
        <v/>
      </c>
      <c r="D1921">
        <f>IF(A1921="","",'Ratings'!D125)</f>
        <v/>
      </c>
      <c r="E1921">
        <f>IF(AND('Ratings'!A125&lt;&gt;"",'Ratings'!T5&lt;&gt;""),'Ratings'!T5,"")</f>
        <v/>
      </c>
      <c r="F1921">
        <f>IF(OR(A1921="",'Ratings'!T125=""),"",'Ratings'!T125)</f>
        <v/>
      </c>
      <c r="G1921">
        <f>IF(A1921="","",'Employees'!D13)</f>
        <v/>
      </c>
    </row>
    <row r="1922">
      <c r="A1922">
        <f>IF(AND('Ratings'!A126&lt;&gt;"",'Ratings'!E5&lt;&gt;""),'Ratings'!A126,"")</f>
        <v/>
      </c>
      <c r="B1922">
        <f>IF(A1922="","",'Employees'!C13)</f>
        <v/>
      </c>
      <c r="C1922">
        <f>IF(A1922="","",'Ratings'!C126)</f>
        <v/>
      </c>
      <c r="D1922">
        <f>IF(A1922="","",'Ratings'!D126)</f>
        <v/>
      </c>
      <c r="E1922">
        <f>IF(AND('Ratings'!A126&lt;&gt;"",'Ratings'!E5&lt;&gt;""),'Ratings'!E5,"")</f>
        <v/>
      </c>
      <c r="F1922">
        <f>IF(OR(A1922="",'Ratings'!E126=""),"",'Ratings'!E126)</f>
        <v/>
      </c>
      <c r="G1922">
        <f>IF(A1922="","",'Employees'!D13)</f>
        <v/>
      </c>
    </row>
    <row r="1923">
      <c r="A1923">
        <f>IF(AND('Ratings'!A126&lt;&gt;"",'Ratings'!F5&lt;&gt;""),'Ratings'!A126,"")</f>
        <v/>
      </c>
      <c r="B1923">
        <f>IF(A1923="","",'Employees'!C13)</f>
        <v/>
      </c>
      <c r="C1923">
        <f>IF(A1923="","",'Ratings'!C126)</f>
        <v/>
      </c>
      <c r="D1923">
        <f>IF(A1923="","",'Ratings'!D126)</f>
        <v/>
      </c>
      <c r="E1923">
        <f>IF(AND('Ratings'!A126&lt;&gt;"",'Ratings'!F5&lt;&gt;""),'Ratings'!F5,"")</f>
        <v/>
      </c>
      <c r="F1923">
        <f>IF(OR(A1923="",'Ratings'!F126=""),"",'Ratings'!F126)</f>
        <v/>
      </c>
      <c r="G1923">
        <f>IF(A1923="","",'Employees'!D13)</f>
        <v/>
      </c>
    </row>
    <row r="1924">
      <c r="A1924">
        <f>IF(AND('Ratings'!A126&lt;&gt;"",'Ratings'!G5&lt;&gt;""),'Ratings'!A126,"")</f>
        <v/>
      </c>
      <c r="B1924">
        <f>IF(A1924="","",'Employees'!C13)</f>
        <v/>
      </c>
      <c r="C1924">
        <f>IF(A1924="","",'Ratings'!C126)</f>
        <v/>
      </c>
      <c r="D1924">
        <f>IF(A1924="","",'Ratings'!D126)</f>
        <v/>
      </c>
      <c r="E1924">
        <f>IF(AND('Ratings'!A126&lt;&gt;"",'Ratings'!G5&lt;&gt;""),'Ratings'!G5,"")</f>
        <v/>
      </c>
      <c r="F1924">
        <f>IF(OR(A1924="",'Ratings'!G126=""),"",'Ratings'!G126)</f>
        <v/>
      </c>
      <c r="G1924">
        <f>IF(A1924="","",'Employees'!D13)</f>
        <v/>
      </c>
    </row>
    <row r="1925">
      <c r="A1925">
        <f>IF(AND('Ratings'!A126&lt;&gt;"",'Ratings'!H5&lt;&gt;""),'Ratings'!A126,"")</f>
        <v/>
      </c>
      <c r="B1925">
        <f>IF(A1925="","",'Employees'!C13)</f>
        <v/>
      </c>
      <c r="C1925">
        <f>IF(A1925="","",'Ratings'!C126)</f>
        <v/>
      </c>
      <c r="D1925">
        <f>IF(A1925="","",'Ratings'!D126)</f>
        <v/>
      </c>
      <c r="E1925">
        <f>IF(AND('Ratings'!A126&lt;&gt;"",'Ratings'!H5&lt;&gt;""),'Ratings'!H5,"")</f>
        <v/>
      </c>
      <c r="F1925">
        <f>IF(OR(A1925="",'Ratings'!H126=""),"",'Ratings'!H126)</f>
        <v/>
      </c>
      <c r="G1925">
        <f>IF(A1925="","",'Employees'!D13)</f>
        <v/>
      </c>
    </row>
    <row r="1926">
      <c r="A1926">
        <f>IF(AND('Ratings'!A126&lt;&gt;"",'Ratings'!I5&lt;&gt;""),'Ratings'!A126,"")</f>
        <v/>
      </c>
      <c r="B1926">
        <f>IF(A1926="","",'Employees'!C13)</f>
        <v/>
      </c>
      <c r="C1926">
        <f>IF(A1926="","",'Ratings'!C126)</f>
        <v/>
      </c>
      <c r="D1926">
        <f>IF(A1926="","",'Ratings'!D126)</f>
        <v/>
      </c>
      <c r="E1926">
        <f>IF(AND('Ratings'!A126&lt;&gt;"",'Ratings'!I5&lt;&gt;""),'Ratings'!I5,"")</f>
        <v/>
      </c>
      <c r="F1926">
        <f>IF(OR(A1926="",'Ratings'!I126=""),"",'Ratings'!I126)</f>
        <v/>
      </c>
      <c r="G1926">
        <f>IF(A1926="","",'Employees'!D13)</f>
        <v/>
      </c>
    </row>
    <row r="1927">
      <c r="A1927">
        <f>IF(AND('Ratings'!A126&lt;&gt;"",'Ratings'!J5&lt;&gt;""),'Ratings'!A126,"")</f>
        <v/>
      </c>
      <c r="B1927">
        <f>IF(A1927="","",'Employees'!C13)</f>
        <v/>
      </c>
      <c r="C1927">
        <f>IF(A1927="","",'Ratings'!C126)</f>
        <v/>
      </c>
      <c r="D1927">
        <f>IF(A1927="","",'Ratings'!D126)</f>
        <v/>
      </c>
      <c r="E1927">
        <f>IF(AND('Ratings'!A126&lt;&gt;"",'Ratings'!J5&lt;&gt;""),'Ratings'!J5,"")</f>
        <v/>
      </c>
      <c r="F1927">
        <f>IF(OR(A1927="",'Ratings'!J126=""),"",'Ratings'!J126)</f>
        <v/>
      </c>
      <c r="G1927">
        <f>IF(A1927="","",'Employees'!D13)</f>
        <v/>
      </c>
    </row>
    <row r="1928">
      <c r="A1928">
        <f>IF(AND('Ratings'!A126&lt;&gt;"",'Ratings'!K5&lt;&gt;""),'Ratings'!A126,"")</f>
        <v/>
      </c>
      <c r="B1928">
        <f>IF(A1928="","",'Employees'!C13)</f>
        <v/>
      </c>
      <c r="C1928">
        <f>IF(A1928="","",'Ratings'!C126)</f>
        <v/>
      </c>
      <c r="D1928">
        <f>IF(A1928="","",'Ratings'!D126)</f>
        <v/>
      </c>
      <c r="E1928">
        <f>IF(AND('Ratings'!A126&lt;&gt;"",'Ratings'!K5&lt;&gt;""),'Ratings'!K5,"")</f>
        <v/>
      </c>
      <c r="F1928">
        <f>IF(OR(A1928="",'Ratings'!K126=""),"",'Ratings'!K126)</f>
        <v/>
      </c>
      <c r="G1928">
        <f>IF(A1928="","",'Employees'!D13)</f>
        <v/>
      </c>
    </row>
    <row r="1929">
      <c r="A1929">
        <f>IF(AND('Ratings'!A126&lt;&gt;"",'Ratings'!L5&lt;&gt;""),'Ratings'!A126,"")</f>
        <v/>
      </c>
      <c r="B1929">
        <f>IF(A1929="","",'Employees'!C13)</f>
        <v/>
      </c>
      <c r="C1929">
        <f>IF(A1929="","",'Ratings'!C126)</f>
        <v/>
      </c>
      <c r="D1929">
        <f>IF(A1929="","",'Ratings'!D126)</f>
        <v/>
      </c>
      <c r="E1929">
        <f>IF(AND('Ratings'!A126&lt;&gt;"",'Ratings'!L5&lt;&gt;""),'Ratings'!L5,"")</f>
        <v/>
      </c>
      <c r="F1929">
        <f>IF(OR(A1929="",'Ratings'!L126=""),"",'Ratings'!L126)</f>
        <v/>
      </c>
      <c r="G1929">
        <f>IF(A1929="","",'Employees'!D13)</f>
        <v/>
      </c>
    </row>
    <row r="1930">
      <c r="A1930">
        <f>IF(AND('Ratings'!A126&lt;&gt;"",'Ratings'!M5&lt;&gt;""),'Ratings'!A126,"")</f>
        <v/>
      </c>
      <c r="B1930">
        <f>IF(A1930="","",'Employees'!C13)</f>
        <v/>
      </c>
      <c r="C1930">
        <f>IF(A1930="","",'Ratings'!C126)</f>
        <v/>
      </c>
      <c r="D1930">
        <f>IF(A1930="","",'Ratings'!D126)</f>
        <v/>
      </c>
      <c r="E1930">
        <f>IF(AND('Ratings'!A126&lt;&gt;"",'Ratings'!M5&lt;&gt;""),'Ratings'!M5,"")</f>
        <v/>
      </c>
      <c r="F1930">
        <f>IF(OR(A1930="",'Ratings'!M126=""),"",'Ratings'!M126)</f>
        <v/>
      </c>
      <c r="G1930">
        <f>IF(A1930="","",'Employees'!D13)</f>
        <v/>
      </c>
    </row>
    <row r="1931">
      <c r="A1931">
        <f>IF(AND('Ratings'!A126&lt;&gt;"",'Ratings'!N5&lt;&gt;""),'Ratings'!A126,"")</f>
        <v/>
      </c>
      <c r="B1931">
        <f>IF(A1931="","",'Employees'!C13)</f>
        <v/>
      </c>
      <c r="C1931">
        <f>IF(A1931="","",'Ratings'!C126)</f>
        <v/>
      </c>
      <c r="D1931">
        <f>IF(A1931="","",'Ratings'!D126)</f>
        <v/>
      </c>
      <c r="E1931">
        <f>IF(AND('Ratings'!A126&lt;&gt;"",'Ratings'!N5&lt;&gt;""),'Ratings'!N5,"")</f>
        <v/>
      </c>
      <c r="F1931">
        <f>IF(OR(A1931="",'Ratings'!N126=""),"",'Ratings'!N126)</f>
        <v/>
      </c>
      <c r="G1931">
        <f>IF(A1931="","",'Employees'!D13)</f>
        <v/>
      </c>
    </row>
    <row r="1932">
      <c r="A1932">
        <f>IF(AND('Ratings'!A126&lt;&gt;"",'Ratings'!O5&lt;&gt;""),'Ratings'!A126,"")</f>
        <v/>
      </c>
      <c r="B1932">
        <f>IF(A1932="","",'Employees'!C13)</f>
        <v/>
      </c>
      <c r="C1932">
        <f>IF(A1932="","",'Ratings'!C126)</f>
        <v/>
      </c>
      <c r="D1932">
        <f>IF(A1932="","",'Ratings'!D126)</f>
        <v/>
      </c>
      <c r="E1932">
        <f>IF(AND('Ratings'!A126&lt;&gt;"",'Ratings'!O5&lt;&gt;""),'Ratings'!O5,"")</f>
        <v/>
      </c>
      <c r="F1932">
        <f>IF(OR(A1932="",'Ratings'!O126=""),"",'Ratings'!O126)</f>
        <v/>
      </c>
      <c r="G1932">
        <f>IF(A1932="","",'Employees'!D13)</f>
        <v/>
      </c>
    </row>
    <row r="1933">
      <c r="A1933">
        <f>IF(AND('Ratings'!A126&lt;&gt;"",'Ratings'!P5&lt;&gt;""),'Ratings'!A126,"")</f>
        <v/>
      </c>
      <c r="B1933">
        <f>IF(A1933="","",'Employees'!C13)</f>
        <v/>
      </c>
      <c r="C1933">
        <f>IF(A1933="","",'Ratings'!C126)</f>
        <v/>
      </c>
      <c r="D1933">
        <f>IF(A1933="","",'Ratings'!D126)</f>
        <v/>
      </c>
      <c r="E1933">
        <f>IF(AND('Ratings'!A126&lt;&gt;"",'Ratings'!P5&lt;&gt;""),'Ratings'!P5,"")</f>
        <v/>
      </c>
      <c r="F1933">
        <f>IF(OR(A1933="",'Ratings'!P126=""),"",'Ratings'!P126)</f>
        <v/>
      </c>
      <c r="G1933">
        <f>IF(A1933="","",'Employees'!D13)</f>
        <v/>
      </c>
    </row>
    <row r="1934">
      <c r="A1934">
        <f>IF(AND('Ratings'!A126&lt;&gt;"",'Ratings'!Q5&lt;&gt;""),'Ratings'!A126,"")</f>
        <v/>
      </c>
      <c r="B1934">
        <f>IF(A1934="","",'Employees'!C13)</f>
        <v/>
      </c>
      <c r="C1934">
        <f>IF(A1934="","",'Ratings'!C126)</f>
        <v/>
      </c>
      <c r="D1934">
        <f>IF(A1934="","",'Ratings'!D126)</f>
        <v/>
      </c>
      <c r="E1934">
        <f>IF(AND('Ratings'!A126&lt;&gt;"",'Ratings'!Q5&lt;&gt;""),'Ratings'!Q5,"")</f>
        <v/>
      </c>
      <c r="F1934">
        <f>IF(OR(A1934="",'Ratings'!Q126=""),"",'Ratings'!Q126)</f>
        <v/>
      </c>
      <c r="G1934">
        <f>IF(A1934="","",'Employees'!D13)</f>
        <v/>
      </c>
    </row>
    <row r="1935">
      <c r="A1935">
        <f>IF(AND('Ratings'!A126&lt;&gt;"",'Ratings'!R5&lt;&gt;""),'Ratings'!A126,"")</f>
        <v/>
      </c>
      <c r="B1935">
        <f>IF(A1935="","",'Employees'!C13)</f>
        <v/>
      </c>
      <c r="C1935">
        <f>IF(A1935="","",'Ratings'!C126)</f>
        <v/>
      </c>
      <c r="D1935">
        <f>IF(A1935="","",'Ratings'!D126)</f>
        <v/>
      </c>
      <c r="E1935">
        <f>IF(AND('Ratings'!A126&lt;&gt;"",'Ratings'!R5&lt;&gt;""),'Ratings'!R5,"")</f>
        <v/>
      </c>
      <c r="F1935">
        <f>IF(OR(A1935="",'Ratings'!R126=""),"",'Ratings'!R126)</f>
        <v/>
      </c>
      <c r="G1935">
        <f>IF(A1935="","",'Employees'!D13)</f>
        <v/>
      </c>
    </row>
    <row r="1936">
      <c r="A1936">
        <f>IF(AND('Ratings'!A126&lt;&gt;"",'Ratings'!S5&lt;&gt;""),'Ratings'!A126,"")</f>
        <v/>
      </c>
      <c r="B1936">
        <f>IF(A1936="","",'Employees'!C13)</f>
        <v/>
      </c>
      <c r="C1936">
        <f>IF(A1936="","",'Ratings'!C126)</f>
        <v/>
      </c>
      <c r="D1936">
        <f>IF(A1936="","",'Ratings'!D126)</f>
        <v/>
      </c>
      <c r="E1936">
        <f>IF(AND('Ratings'!A126&lt;&gt;"",'Ratings'!S5&lt;&gt;""),'Ratings'!S5,"")</f>
        <v/>
      </c>
      <c r="F1936">
        <f>IF(OR(A1936="",'Ratings'!S126=""),"",'Ratings'!S126)</f>
        <v/>
      </c>
      <c r="G1936">
        <f>IF(A1936="","",'Employees'!D13)</f>
        <v/>
      </c>
    </row>
    <row r="1937">
      <c r="A1937">
        <f>IF(AND('Ratings'!A126&lt;&gt;"",'Ratings'!T5&lt;&gt;""),'Ratings'!A126,"")</f>
        <v/>
      </c>
      <c r="B1937">
        <f>IF(A1937="","",'Employees'!C13)</f>
        <v/>
      </c>
      <c r="C1937">
        <f>IF(A1937="","",'Ratings'!C126)</f>
        <v/>
      </c>
      <c r="D1937">
        <f>IF(A1937="","",'Ratings'!D126)</f>
        <v/>
      </c>
      <c r="E1937">
        <f>IF(AND('Ratings'!A126&lt;&gt;"",'Ratings'!T5&lt;&gt;""),'Ratings'!T5,"")</f>
        <v/>
      </c>
      <c r="F1937">
        <f>IF(OR(A1937="",'Ratings'!T126=""),"",'Ratings'!T126)</f>
        <v/>
      </c>
      <c r="G1937">
        <f>IF(A1937="","",'Employees'!D13)</f>
        <v/>
      </c>
    </row>
    <row r="1938">
      <c r="A1938">
        <f>IF(AND('Ratings'!A127&lt;&gt;"",'Ratings'!E5&lt;&gt;""),'Ratings'!A127,"")</f>
        <v/>
      </c>
      <c r="B1938">
        <f>IF(A1938="","",'Employees'!C13)</f>
        <v/>
      </c>
      <c r="C1938">
        <f>IF(A1938="","",'Ratings'!C127)</f>
        <v/>
      </c>
      <c r="D1938">
        <f>IF(A1938="","",'Ratings'!D127)</f>
        <v/>
      </c>
      <c r="E1938">
        <f>IF(AND('Ratings'!A127&lt;&gt;"",'Ratings'!E5&lt;&gt;""),'Ratings'!E5,"")</f>
        <v/>
      </c>
      <c r="F1938">
        <f>IF(OR(A1938="",'Ratings'!E127=""),"",'Ratings'!E127)</f>
        <v/>
      </c>
      <c r="G1938">
        <f>IF(A1938="","",'Employees'!D13)</f>
        <v/>
      </c>
    </row>
    <row r="1939">
      <c r="A1939">
        <f>IF(AND('Ratings'!A127&lt;&gt;"",'Ratings'!F5&lt;&gt;""),'Ratings'!A127,"")</f>
        <v/>
      </c>
      <c r="B1939">
        <f>IF(A1939="","",'Employees'!C13)</f>
        <v/>
      </c>
      <c r="C1939">
        <f>IF(A1939="","",'Ratings'!C127)</f>
        <v/>
      </c>
      <c r="D1939">
        <f>IF(A1939="","",'Ratings'!D127)</f>
        <v/>
      </c>
      <c r="E1939">
        <f>IF(AND('Ratings'!A127&lt;&gt;"",'Ratings'!F5&lt;&gt;""),'Ratings'!F5,"")</f>
        <v/>
      </c>
      <c r="F1939">
        <f>IF(OR(A1939="",'Ratings'!F127=""),"",'Ratings'!F127)</f>
        <v/>
      </c>
      <c r="G1939">
        <f>IF(A1939="","",'Employees'!D13)</f>
        <v/>
      </c>
    </row>
    <row r="1940">
      <c r="A1940">
        <f>IF(AND('Ratings'!A127&lt;&gt;"",'Ratings'!G5&lt;&gt;""),'Ratings'!A127,"")</f>
        <v/>
      </c>
      <c r="B1940">
        <f>IF(A1940="","",'Employees'!C13)</f>
        <v/>
      </c>
      <c r="C1940">
        <f>IF(A1940="","",'Ratings'!C127)</f>
        <v/>
      </c>
      <c r="D1940">
        <f>IF(A1940="","",'Ratings'!D127)</f>
        <v/>
      </c>
      <c r="E1940">
        <f>IF(AND('Ratings'!A127&lt;&gt;"",'Ratings'!G5&lt;&gt;""),'Ratings'!G5,"")</f>
        <v/>
      </c>
      <c r="F1940">
        <f>IF(OR(A1940="",'Ratings'!G127=""),"",'Ratings'!G127)</f>
        <v/>
      </c>
      <c r="G1940">
        <f>IF(A1940="","",'Employees'!D13)</f>
        <v/>
      </c>
    </row>
    <row r="1941">
      <c r="A1941">
        <f>IF(AND('Ratings'!A127&lt;&gt;"",'Ratings'!H5&lt;&gt;""),'Ratings'!A127,"")</f>
        <v/>
      </c>
      <c r="B1941">
        <f>IF(A1941="","",'Employees'!C13)</f>
        <v/>
      </c>
      <c r="C1941">
        <f>IF(A1941="","",'Ratings'!C127)</f>
        <v/>
      </c>
      <c r="D1941">
        <f>IF(A1941="","",'Ratings'!D127)</f>
        <v/>
      </c>
      <c r="E1941">
        <f>IF(AND('Ratings'!A127&lt;&gt;"",'Ratings'!H5&lt;&gt;""),'Ratings'!H5,"")</f>
        <v/>
      </c>
      <c r="F1941">
        <f>IF(OR(A1941="",'Ratings'!H127=""),"",'Ratings'!H127)</f>
        <v/>
      </c>
      <c r="G1941">
        <f>IF(A1941="","",'Employees'!D13)</f>
        <v/>
      </c>
    </row>
    <row r="1942">
      <c r="A1942">
        <f>IF(AND('Ratings'!A127&lt;&gt;"",'Ratings'!I5&lt;&gt;""),'Ratings'!A127,"")</f>
        <v/>
      </c>
      <c r="B1942">
        <f>IF(A1942="","",'Employees'!C13)</f>
        <v/>
      </c>
      <c r="C1942">
        <f>IF(A1942="","",'Ratings'!C127)</f>
        <v/>
      </c>
      <c r="D1942">
        <f>IF(A1942="","",'Ratings'!D127)</f>
        <v/>
      </c>
      <c r="E1942">
        <f>IF(AND('Ratings'!A127&lt;&gt;"",'Ratings'!I5&lt;&gt;""),'Ratings'!I5,"")</f>
        <v/>
      </c>
      <c r="F1942">
        <f>IF(OR(A1942="",'Ratings'!I127=""),"",'Ratings'!I127)</f>
        <v/>
      </c>
      <c r="G1942">
        <f>IF(A1942="","",'Employees'!D13)</f>
        <v/>
      </c>
    </row>
    <row r="1943">
      <c r="A1943">
        <f>IF(AND('Ratings'!A127&lt;&gt;"",'Ratings'!J5&lt;&gt;""),'Ratings'!A127,"")</f>
        <v/>
      </c>
      <c r="B1943">
        <f>IF(A1943="","",'Employees'!C13)</f>
        <v/>
      </c>
      <c r="C1943">
        <f>IF(A1943="","",'Ratings'!C127)</f>
        <v/>
      </c>
      <c r="D1943">
        <f>IF(A1943="","",'Ratings'!D127)</f>
        <v/>
      </c>
      <c r="E1943">
        <f>IF(AND('Ratings'!A127&lt;&gt;"",'Ratings'!J5&lt;&gt;""),'Ratings'!J5,"")</f>
        <v/>
      </c>
      <c r="F1943">
        <f>IF(OR(A1943="",'Ratings'!J127=""),"",'Ratings'!J127)</f>
        <v/>
      </c>
      <c r="G1943">
        <f>IF(A1943="","",'Employees'!D13)</f>
        <v/>
      </c>
    </row>
    <row r="1944">
      <c r="A1944">
        <f>IF(AND('Ratings'!A127&lt;&gt;"",'Ratings'!K5&lt;&gt;""),'Ratings'!A127,"")</f>
        <v/>
      </c>
      <c r="B1944">
        <f>IF(A1944="","",'Employees'!C13)</f>
        <v/>
      </c>
      <c r="C1944">
        <f>IF(A1944="","",'Ratings'!C127)</f>
        <v/>
      </c>
      <c r="D1944">
        <f>IF(A1944="","",'Ratings'!D127)</f>
        <v/>
      </c>
      <c r="E1944">
        <f>IF(AND('Ratings'!A127&lt;&gt;"",'Ratings'!K5&lt;&gt;""),'Ratings'!K5,"")</f>
        <v/>
      </c>
      <c r="F1944">
        <f>IF(OR(A1944="",'Ratings'!K127=""),"",'Ratings'!K127)</f>
        <v/>
      </c>
      <c r="G1944">
        <f>IF(A1944="","",'Employees'!D13)</f>
        <v/>
      </c>
    </row>
    <row r="1945">
      <c r="A1945">
        <f>IF(AND('Ratings'!A127&lt;&gt;"",'Ratings'!L5&lt;&gt;""),'Ratings'!A127,"")</f>
        <v/>
      </c>
      <c r="B1945">
        <f>IF(A1945="","",'Employees'!C13)</f>
        <v/>
      </c>
      <c r="C1945">
        <f>IF(A1945="","",'Ratings'!C127)</f>
        <v/>
      </c>
      <c r="D1945">
        <f>IF(A1945="","",'Ratings'!D127)</f>
        <v/>
      </c>
      <c r="E1945">
        <f>IF(AND('Ratings'!A127&lt;&gt;"",'Ratings'!L5&lt;&gt;""),'Ratings'!L5,"")</f>
        <v/>
      </c>
      <c r="F1945">
        <f>IF(OR(A1945="",'Ratings'!L127=""),"",'Ratings'!L127)</f>
        <v/>
      </c>
      <c r="G1945">
        <f>IF(A1945="","",'Employees'!D13)</f>
        <v/>
      </c>
    </row>
    <row r="1946">
      <c r="A1946">
        <f>IF(AND('Ratings'!A127&lt;&gt;"",'Ratings'!M5&lt;&gt;""),'Ratings'!A127,"")</f>
        <v/>
      </c>
      <c r="B1946">
        <f>IF(A1946="","",'Employees'!C13)</f>
        <v/>
      </c>
      <c r="C1946">
        <f>IF(A1946="","",'Ratings'!C127)</f>
        <v/>
      </c>
      <c r="D1946">
        <f>IF(A1946="","",'Ratings'!D127)</f>
        <v/>
      </c>
      <c r="E1946">
        <f>IF(AND('Ratings'!A127&lt;&gt;"",'Ratings'!M5&lt;&gt;""),'Ratings'!M5,"")</f>
        <v/>
      </c>
      <c r="F1946">
        <f>IF(OR(A1946="",'Ratings'!M127=""),"",'Ratings'!M127)</f>
        <v/>
      </c>
      <c r="G1946">
        <f>IF(A1946="","",'Employees'!D13)</f>
        <v/>
      </c>
    </row>
    <row r="1947">
      <c r="A1947">
        <f>IF(AND('Ratings'!A127&lt;&gt;"",'Ratings'!N5&lt;&gt;""),'Ratings'!A127,"")</f>
        <v/>
      </c>
      <c r="B1947">
        <f>IF(A1947="","",'Employees'!C13)</f>
        <v/>
      </c>
      <c r="C1947">
        <f>IF(A1947="","",'Ratings'!C127)</f>
        <v/>
      </c>
      <c r="D1947">
        <f>IF(A1947="","",'Ratings'!D127)</f>
        <v/>
      </c>
      <c r="E1947">
        <f>IF(AND('Ratings'!A127&lt;&gt;"",'Ratings'!N5&lt;&gt;""),'Ratings'!N5,"")</f>
        <v/>
      </c>
      <c r="F1947">
        <f>IF(OR(A1947="",'Ratings'!N127=""),"",'Ratings'!N127)</f>
        <v/>
      </c>
      <c r="G1947">
        <f>IF(A1947="","",'Employees'!D13)</f>
        <v/>
      </c>
    </row>
    <row r="1948">
      <c r="A1948">
        <f>IF(AND('Ratings'!A127&lt;&gt;"",'Ratings'!O5&lt;&gt;""),'Ratings'!A127,"")</f>
        <v/>
      </c>
      <c r="B1948">
        <f>IF(A1948="","",'Employees'!C13)</f>
        <v/>
      </c>
      <c r="C1948">
        <f>IF(A1948="","",'Ratings'!C127)</f>
        <v/>
      </c>
      <c r="D1948">
        <f>IF(A1948="","",'Ratings'!D127)</f>
        <v/>
      </c>
      <c r="E1948">
        <f>IF(AND('Ratings'!A127&lt;&gt;"",'Ratings'!O5&lt;&gt;""),'Ratings'!O5,"")</f>
        <v/>
      </c>
      <c r="F1948">
        <f>IF(OR(A1948="",'Ratings'!O127=""),"",'Ratings'!O127)</f>
        <v/>
      </c>
      <c r="G1948">
        <f>IF(A1948="","",'Employees'!D13)</f>
        <v/>
      </c>
    </row>
    <row r="1949">
      <c r="A1949">
        <f>IF(AND('Ratings'!A127&lt;&gt;"",'Ratings'!P5&lt;&gt;""),'Ratings'!A127,"")</f>
        <v/>
      </c>
      <c r="B1949">
        <f>IF(A1949="","",'Employees'!C13)</f>
        <v/>
      </c>
      <c r="C1949">
        <f>IF(A1949="","",'Ratings'!C127)</f>
        <v/>
      </c>
      <c r="D1949">
        <f>IF(A1949="","",'Ratings'!D127)</f>
        <v/>
      </c>
      <c r="E1949">
        <f>IF(AND('Ratings'!A127&lt;&gt;"",'Ratings'!P5&lt;&gt;""),'Ratings'!P5,"")</f>
        <v/>
      </c>
      <c r="F1949">
        <f>IF(OR(A1949="",'Ratings'!P127=""),"",'Ratings'!P127)</f>
        <v/>
      </c>
      <c r="G1949">
        <f>IF(A1949="","",'Employees'!D13)</f>
        <v/>
      </c>
    </row>
    <row r="1950">
      <c r="A1950">
        <f>IF(AND('Ratings'!A127&lt;&gt;"",'Ratings'!Q5&lt;&gt;""),'Ratings'!A127,"")</f>
        <v/>
      </c>
      <c r="B1950">
        <f>IF(A1950="","",'Employees'!C13)</f>
        <v/>
      </c>
      <c r="C1950">
        <f>IF(A1950="","",'Ratings'!C127)</f>
        <v/>
      </c>
      <c r="D1950">
        <f>IF(A1950="","",'Ratings'!D127)</f>
        <v/>
      </c>
      <c r="E1950">
        <f>IF(AND('Ratings'!A127&lt;&gt;"",'Ratings'!Q5&lt;&gt;""),'Ratings'!Q5,"")</f>
        <v/>
      </c>
      <c r="F1950">
        <f>IF(OR(A1950="",'Ratings'!Q127=""),"",'Ratings'!Q127)</f>
        <v/>
      </c>
      <c r="G1950">
        <f>IF(A1950="","",'Employees'!D13)</f>
        <v/>
      </c>
    </row>
    <row r="1951">
      <c r="A1951">
        <f>IF(AND('Ratings'!A127&lt;&gt;"",'Ratings'!R5&lt;&gt;""),'Ratings'!A127,"")</f>
        <v/>
      </c>
      <c r="B1951">
        <f>IF(A1951="","",'Employees'!C13)</f>
        <v/>
      </c>
      <c r="C1951">
        <f>IF(A1951="","",'Ratings'!C127)</f>
        <v/>
      </c>
      <c r="D1951">
        <f>IF(A1951="","",'Ratings'!D127)</f>
        <v/>
      </c>
      <c r="E1951">
        <f>IF(AND('Ratings'!A127&lt;&gt;"",'Ratings'!R5&lt;&gt;""),'Ratings'!R5,"")</f>
        <v/>
      </c>
      <c r="F1951">
        <f>IF(OR(A1951="",'Ratings'!R127=""),"",'Ratings'!R127)</f>
        <v/>
      </c>
      <c r="G1951">
        <f>IF(A1951="","",'Employees'!D13)</f>
        <v/>
      </c>
    </row>
    <row r="1952">
      <c r="A1952">
        <f>IF(AND('Ratings'!A127&lt;&gt;"",'Ratings'!S5&lt;&gt;""),'Ratings'!A127,"")</f>
        <v/>
      </c>
      <c r="B1952">
        <f>IF(A1952="","",'Employees'!C13)</f>
        <v/>
      </c>
      <c r="C1952">
        <f>IF(A1952="","",'Ratings'!C127)</f>
        <v/>
      </c>
      <c r="D1952">
        <f>IF(A1952="","",'Ratings'!D127)</f>
        <v/>
      </c>
      <c r="E1952">
        <f>IF(AND('Ratings'!A127&lt;&gt;"",'Ratings'!S5&lt;&gt;""),'Ratings'!S5,"")</f>
        <v/>
      </c>
      <c r="F1952">
        <f>IF(OR(A1952="",'Ratings'!S127=""),"",'Ratings'!S127)</f>
        <v/>
      </c>
      <c r="G1952">
        <f>IF(A1952="","",'Employees'!D13)</f>
        <v/>
      </c>
    </row>
    <row r="1953">
      <c r="A1953">
        <f>IF(AND('Ratings'!A127&lt;&gt;"",'Ratings'!T5&lt;&gt;""),'Ratings'!A127,"")</f>
        <v/>
      </c>
      <c r="B1953">
        <f>IF(A1953="","",'Employees'!C13)</f>
        <v/>
      </c>
      <c r="C1953">
        <f>IF(A1953="","",'Ratings'!C127)</f>
        <v/>
      </c>
      <c r="D1953">
        <f>IF(A1953="","",'Ratings'!D127)</f>
        <v/>
      </c>
      <c r="E1953">
        <f>IF(AND('Ratings'!A127&lt;&gt;"",'Ratings'!T5&lt;&gt;""),'Ratings'!T5,"")</f>
        <v/>
      </c>
      <c r="F1953">
        <f>IF(OR(A1953="",'Ratings'!T127=""),"",'Ratings'!T127)</f>
        <v/>
      </c>
      <c r="G1953">
        <f>IF(A1953="","",'Employees'!D13)</f>
        <v/>
      </c>
    </row>
    <row r="1954">
      <c r="A1954">
        <f>IF(AND('Ratings'!A128&lt;&gt;"",'Ratings'!E5&lt;&gt;""),'Ratings'!A128,"")</f>
        <v/>
      </c>
      <c r="B1954">
        <f>IF(A1954="","",'Employees'!C13)</f>
        <v/>
      </c>
      <c r="C1954">
        <f>IF(A1954="","",'Ratings'!C128)</f>
        <v/>
      </c>
      <c r="D1954">
        <f>IF(A1954="","",'Ratings'!D128)</f>
        <v/>
      </c>
      <c r="E1954">
        <f>IF(AND('Ratings'!A128&lt;&gt;"",'Ratings'!E5&lt;&gt;""),'Ratings'!E5,"")</f>
        <v/>
      </c>
      <c r="F1954">
        <f>IF(OR(A1954="",'Ratings'!E128=""),"",'Ratings'!E128)</f>
        <v/>
      </c>
      <c r="G1954">
        <f>IF(A1954="","",'Employees'!D13)</f>
        <v/>
      </c>
    </row>
    <row r="1955">
      <c r="A1955">
        <f>IF(AND('Ratings'!A128&lt;&gt;"",'Ratings'!F5&lt;&gt;""),'Ratings'!A128,"")</f>
        <v/>
      </c>
      <c r="B1955">
        <f>IF(A1955="","",'Employees'!C13)</f>
        <v/>
      </c>
      <c r="C1955">
        <f>IF(A1955="","",'Ratings'!C128)</f>
        <v/>
      </c>
      <c r="D1955">
        <f>IF(A1955="","",'Ratings'!D128)</f>
        <v/>
      </c>
      <c r="E1955">
        <f>IF(AND('Ratings'!A128&lt;&gt;"",'Ratings'!F5&lt;&gt;""),'Ratings'!F5,"")</f>
        <v/>
      </c>
      <c r="F1955">
        <f>IF(OR(A1955="",'Ratings'!F128=""),"",'Ratings'!F128)</f>
        <v/>
      </c>
      <c r="G1955">
        <f>IF(A1955="","",'Employees'!D13)</f>
        <v/>
      </c>
    </row>
    <row r="1956">
      <c r="A1956">
        <f>IF(AND('Ratings'!A128&lt;&gt;"",'Ratings'!G5&lt;&gt;""),'Ratings'!A128,"")</f>
        <v/>
      </c>
      <c r="B1956">
        <f>IF(A1956="","",'Employees'!C13)</f>
        <v/>
      </c>
      <c r="C1956">
        <f>IF(A1956="","",'Ratings'!C128)</f>
        <v/>
      </c>
      <c r="D1956">
        <f>IF(A1956="","",'Ratings'!D128)</f>
        <v/>
      </c>
      <c r="E1956">
        <f>IF(AND('Ratings'!A128&lt;&gt;"",'Ratings'!G5&lt;&gt;""),'Ratings'!G5,"")</f>
        <v/>
      </c>
      <c r="F1956">
        <f>IF(OR(A1956="",'Ratings'!G128=""),"",'Ratings'!G128)</f>
        <v/>
      </c>
      <c r="G1956">
        <f>IF(A1956="","",'Employees'!D13)</f>
        <v/>
      </c>
    </row>
    <row r="1957">
      <c r="A1957">
        <f>IF(AND('Ratings'!A128&lt;&gt;"",'Ratings'!H5&lt;&gt;""),'Ratings'!A128,"")</f>
        <v/>
      </c>
      <c r="B1957">
        <f>IF(A1957="","",'Employees'!C13)</f>
        <v/>
      </c>
      <c r="C1957">
        <f>IF(A1957="","",'Ratings'!C128)</f>
        <v/>
      </c>
      <c r="D1957">
        <f>IF(A1957="","",'Ratings'!D128)</f>
        <v/>
      </c>
      <c r="E1957">
        <f>IF(AND('Ratings'!A128&lt;&gt;"",'Ratings'!H5&lt;&gt;""),'Ratings'!H5,"")</f>
        <v/>
      </c>
      <c r="F1957">
        <f>IF(OR(A1957="",'Ratings'!H128=""),"",'Ratings'!H128)</f>
        <v/>
      </c>
      <c r="G1957">
        <f>IF(A1957="","",'Employees'!D13)</f>
        <v/>
      </c>
    </row>
    <row r="1958">
      <c r="A1958">
        <f>IF(AND('Ratings'!A128&lt;&gt;"",'Ratings'!I5&lt;&gt;""),'Ratings'!A128,"")</f>
        <v/>
      </c>
      <c r="B1958">
        <f>IF(A1958="","",'Employees'!C13)</f>
        <v/>
      </c>
      <c r="C1958">
        <f>IF(A1958="","",'Ratings'!C128)</f>
        <v/>
      </c>
      <c r="D1958">
        <f>IF(A1958="","",'Ratings'!D128)</f>
        <v/>
      </c>
      <c r="E1958">
        <f>IF(AND('Ratings'!A128&lt;&gt;"",'Ratings'!I5&lt;&gt;""),'Ratings'!I5,"")</f>
        <v/>
      </c>
      <c r="F1958">
        <f>IF(OR(A1958="",'Ratings'!I128=""),"",'Ratings'!I128)</f>
        <v/>
      </c>
      <c r="G1958">
        <f>IF(A1958="","",'Employees'!D13)</f>
        <v/>
      </c>
    </row>
    <row r="1959">
      <c r="A1959">
        <f>IF(AND('Ratings'!A128&lt;&gt;"",'Ratings'!J5&lt;&gt;""),'Ratings'!A128,"")</f>
        <v/>
      </c>
      <c r="B1959">
        <f>IF(A1959="","",'Employees'!C13)</f>
        <v/>
      </c>
      <c r="C1959">
        <f>IF(A1959="","",'Ratings'!C128)</f>
        <v/>
      </c>
      <c r="D1959">
        <f>IF(A1959="","",'Ratings'!D128)</f>
        <v/>
      </c>
      <c r="E1959">
        <f>IF(AND('Ratings'!A128&lt;&gt;"",'Ratings'!J5&lt;&gt;""),'Ratings'!J5,"")</f>
        <v/>
      </c>
      <c r="F1959">
        <f>IF(OR(A1959="",'Ratings'!J128=""),"",'Ratings'!J128)</f>
        <v/>
      </c>
      <c r="G1959">
        <f>IF(A1959="","",'Employees'!D13)</f>
        <v/>
      </c>
    </row>
    <row r="1960">
      <c r="A1960">
        <f>IF(AND('Ratings'!A128&lt;&gt;"",'Ratings'!K5&lt;&gt;""),'Ratings'!A128,"")</f>
        <v/>
      </c>
      <c r="B1960">
        <f>IF(A1960="","",'Employees'!C13)</f>
        <v/>
      </c>
      <c r="C1960">
        <f>IF(A1960="","",'Ratings'!C128)</f>
        <v/>
      </c>
      <c r="D1960">
        <f>IF(A1960="","",'Ratings'!D128)</f>
        <v/>
      </c>
      <c r="E1960">
        <f>IF(AND('Ratings'!A128&lt;&gt;"",'Ratings'!K5&lt;&gt;""),'Ratings'!K5,"")</f>
        <v/>
      </c>
      <c r="F1960">
        <f>IF(OR(A1960="",'Ratings'!K128=""),"",'Ratings'!K128)</f>
        <v/>
      </c>
      <c r="G1960">
        <f>IF(A1960="","",'Employees'!D13)</f>
        <v/>
      </c>
    </row>
    <row r="1961">
      <c r="A1961">
        <f>IF(AND('Ratings'!A128&lt;&gt;"",'Ratings'!L5&lt;&gt;""),'Ratings'!A128,"")</f>
        <v/>
      </c>
      <c r="B1961">
        <f>IF(A1961="","",'Employees'!C13)</f>
        <v/>
      </c>
      <c r="C1961">
        <f>IF(A1961="","",'Ratings'!C128)</f>
        <v/>
      </c>
      <c r="D1961">
        <f>IF(A1961="","",'Ratings'!D128)</f>
        <v/>
      </c>
      <c r="E1961">
        <f>IF(AND('Ratings'!A128&lt;&gt;"",'Ratings'!L5&lt;&gt;""),'Ratings'!L5,"")</f>
        <v/>
      </c>
      <c r="F1961">
        <f>IF(OR(A1961="",'Ratings'!L128=""),"",'Ratings'!L128)</f>
        <v/>
      </c>
      <c r="G1961">
        <f>IF(A1961="","",'Employees'!D13)</f>
        <v/>
      </c>
    </row>
    <row r="1962">
      <c r="A1962">
        <f>IF(AND('Ratings'!A128&lt;&gt;"",'Ratings'!M5&lt;&gt;""),'Ratings'!A128,"")</f>
        <v/>
      </c>
      <c r="B1962">
        <f>IF(A1962="","",'Employees'!C13)</f>
        <v/>
      </c>
      <c r="C1962">
        <f>IF(A1962="","",'Ratings'!C128)</f>
        <v/>
      </c>
      <c r="D1962">
        <f>IF(A1962="","",'Ratings'!D128)</f>
        <v/>
      </c>
      <c r="E1962">
        <f>IF(AND('Ratings'!A128&lt;&gt;"",'Ratings'!M5&lt;&gt;""),'Ratings'!M5,"")</f>
        <v/>
      </c>
      <c r="F1962">
        <f>IF(OR(A1962="",'Ratings'!M128=""),"",'Ratings'!M128)</f>
        <v/>
      </c>
      <c r="G1962">
        <f>IF(A1962="","",'Employees'!D13)</f>
        <v/>
      </c>
    </row>
    <row r="1963">
      <c r="A1963">
        <f>IF(AND('Ratings'!A128&lt;&gt;"",'Ratings'!N5&lt;&gt;""),'Ratings'!A128,"")</f>
        <v/>
      </c>
      <c r="B1963">
        <f>IF(A1963="","",'Employees'!C13)</f>
        <v/>
      </c>
      <c r="C1963">
        <f>IF(A1963="","",'Ratings'!C128)</f>
        <v/>
      </c>
      <c r="D1963">
        <f>IF(A1963="","",'Ratings'!D128)</f>
        <v/>
      </c>
      <c r="E1963">
        <f>IF(AND('Ratings'!A128&lt;&gt;"",'Ratings'!N5&lt;&gt;""),'Ratings'!N5,"")</f>
        <v/>
      </c>
      <c r="F1963">
        <f>IF(OR(A1963="",'Ratings'!N128=""),"",'Ratings'!N128)</f>
        <v/>
      </c>
      <c r="G1963">
        <f>IF(A1963="","",'Employees'!D13)</f>
        <v/>
      </c>
    </row>
    <row r="1964">
      <c r="A1964">
        <f>IF(AND('Ratings'!A128&lt;&gt;"",'Ratings'!O5&lt;&gt;""),'Ratings'!A128,"")</f>
        <v/>
      </c>
      <c r="B1964">
        <f>IF(A1964="","",'Employees'!C13)</f>
        <v/>
      </c>
      <c r="C1964">
        <f>IF(A1964="","",'Ratings'!C128)</f>
        <v/>
      </c>
      <c r="D1964">
        <f>IF(A1964="","",'Ratings'!D128)</f>
        <v/>
      </c>
      <c r="E1964">
        <f>IF(AND('Ratings'!A128&lt;&gt;"",'Ratings'!O5&lt;&gt;""),'Ratings'!O5,"")</f>
        <v/>
      </c>
      <c r="F1964">
        <f>IF(OR(A1964="",'Ratings'!O128=""),"",'Ratings'!O128)</f>
        <v/>
      </c>
      <c r="G1964">
        <f>IF(A1964="","",'Employees'!D13)</f>
        <v/>
      </c>
    </row>
    <row r="1965">
      <c r="A1965">
        <f>IF(AND('Ratings'!A128&lt;&gt;"",'Ratings'!P5&lt;&gt;""),'Ratings'!A128,"")</f>
        <v/>
      </c>
      <c r="B1965">
        <f>IF(A1965="","",'Employees'!C13)</f>
        <v/>
      </c>
      <c r="C1965">
        <f>IF(A1965="","",'Ratings'!C128)</f>
        <v/>
      </c>
      <c r="D1965">
        <f>IF(A1965="","",'Ratings'!D128)</f>
        <v/>
      </c>
      <c r="E1965">
        <f>IF(AND('Ratings'!A128&lt;&gt;"",'Ratings'!P5&lt;&gt;""),'Ratings'!P5,"")</f>
        <v/>
      </c>
      <c r="F1965">
        <f>IF(OR(A1965="",'Ratings'!P128=""),"",'Ratings'!P128)</f>
        <v/>
      </c>
      <c r="G1965">
        <f>IF(A1965="","",'Employees'!D13)</f>
        <v/>
      </c>
    </row>
    <row r="1966">
      <c r="A1966">
        <f>IF(AND('Ratings'!A128&lt;&gt;"",'Ratings'!Q5&lt;&gt;""),'Ratings'!A128,"")</f>
        <v/>
      </c>
      <c r="B1966">
        <f>IF(A1966="","",'Employees'!C13)</f>
        <v/>
      </c>
      <c r="C1966">
        <f>IF(A1966="","",'Ratings'!C128)</f>
        <v/>
      </c>
      <c r="D1966">
        <f>IF(A1966="","",'Ratings'!D128)</f>
        <v/>
      </c>
      <c r="E1966">
        <f>IF(AND('Ratings'!A128&lt;&gt;"",'Ratings'!Q5&lt;&gt;""),'Ratings'!Q5,"")</f>
        <v/>
      </c>
      <c r="F1966">
        <f>IF(OR(A1966="",'Ratings'!Q128=""),"",'Ratings'!Q128)</f>
        <v/>
      </c>
      <c r="G1966">
        <f>IF(A1966="","",'Employees'!D13)</f>
        <v/>
      </c>
    </row>
    <row r="1967">
      <c r="A1967">
        <f>IF(AND('Ratings'!A128&lt;&gt;"",'Ratings'!R5&lt;&gt;""),'Ratings'!A128,"")</f>
        <v/>
      </c>
      <c r="B1967">
        <f>IF(A1967="","",'Employees'!C13)</f>
        <v/>
      </c>
      <c r="C1967">
        <f>IF(A1967="","",'Ratings'!C128)</f>
        <v/>
      </c>
      <c r="D1967">
        <f>IF(A1967="","",'Ratings'!D128)</f>
        <v/>
      </c>
      <c r="E1967">
        <f>IF(AND('Ratings'!A128&lt;&gt;"",'Ratings'!R5&lt;&gt;""),'Ratings'!R5,"")</f>
        <v/>
      </c>
      <c r="F1967">
        <f>IF(OR(A1967="",'Ratings'!R128=""),"",'Ratings'!R128)</f>
        <v/>
      </c>
      <c r="G1967">
        <f>IF(A1967="","",'Employees'!D13)</f>
        <v/>
      </c>
    </row>
    <row r="1968">
      <c r="A1968">
        <f>IF(AND('Ratings'!A128&lt;&gt;"",'Ratings'!S5&lt;&gt;""),'Ratings'!A128,"")</f>
        <v/>
      </c>
      <c r="B1968">
        <f>IF(A1968="","",'Employees'!C13)</f>
        <v/>
      </c>
      <c r="C1968">
        <f>IF(A1968="","",'Ratings'!C128)</f>
        <v/>
      </c>
      <c r="D1968">
        <f>IF(A1968="","",'Ratings'!D128)</f>
        <v/>
      </c>
      <c r="E1968">
        <f>IF(AND('Ratings'!A128&lt;&gt;"",'Ratings'!S5&lt;&gt;""),'Ratings'!S5,"")</f>
        <v/>
      </c>
      <c r="F1968">
        <f>IF(OR(A1968="",'Ratings'!S128=""),"",'Ratings'!S128)</f>
        <v/>
      </c>
      <c r="G1968">
        <f>IF(A1968="","",'Employees'!D13)</f>
        <v/>
      </c>
    </row>
    <row r="1969">
      <c r="A1969">
        <f>IF(AND('Ratings'!A128&lt;&gt;"",'Ratings'!T5&lt;&gt;""),'Ratings'!A128,"")</f>
        <v/>
      </c>
      <c r="B1969">
        <f>IF(A1969="","",'Employees'!C13)</f>
        <v/>
      </c>
      <c r="C1969">
        <f>IF(A1969="","",'Ratings'!C128)</f>
        <v/>
      </c>
      <c r="D1969">
        <f>IF(A1969="","",'Ratings'!D128)</f>
        <v/>
      </c>
      <c r="E1969">
        <f>IF(AND('Ratings'!A128&lt;&gt;"",'Ratings'!T5&lt;&gt;""),'Ratings'!T5,"")</f>
        <v/>
      </c>
      <c r="F1969">
        <f>IF(OR(A1969="",'Ratings'!T128=""),"",'Ratings'!T128)</f>
        <v/>
      </c>
      <c r="G1969">
        <f>IF(A1969="","",'Employees'!D13)</f>
        <v/>
      </c>
    </row>
    <row r="1970">
      <c r="A1970">
        <f>IF(AND('Ratings'!A129&lt;&gt;"",'Ratings'!E5&lt;&gt;""),'Ratings'!A129,"")</f>
        <v/>
      </c>
      <c r="B1970">
        <f>IF(A1970="","",'Employees'!C13)</f>
        <v/>
      </c>
      <c r="C1970">
        <f>IF(A1970="","",'Ratings'!C129)</f>
        <v/>
      </c>
      <c r="D1970">
        <f>IF(A1970="","",'Ratings'!D129)</f>
        <v/>
      </c>
      <c r="E1970">
        <f>IF(AND('Ratings'!A129&lt;&gt;"",'Ratings'!E5&lt;&gt;""),'Ratings'!E5,"")</f>
        <v/>
      </c>
      <c r="F1970">
        <f>IF(OR(A1970="",'Ratings'!E129=""),"",'Ratings'!E129)</f>
        <v/>
      </c>
      <c r="G1970">
        <f>IF(A1970="","",'Employees'!D13)</f>
        <v/>
      </c>
    </row>
    <row r="1971">
      <c r="A1971">
        <f>IF(AND('Ratings'!A129&lt;&gt;"",'Ratings'!F5&lt;&gt;""),'Ratings'!A129,"")</f>
        <v/>
      </c>
      <c r="B1971">
        <f>IF(A1971="","",'Employees'!C13)</f>
        <v/>
      </c>
      <c r="C1971">
        <f>IF(A1971="","",'Ratings'!C129)</f>
        <v/>
      </c>
      <c r="D1971">
        <f>IF(A1971="","",'Ratings'!D129)</f>
        <v/>
      </c>
      <c r="E1971">
        <f>IF(AND('Ratings'!A129&lt;&gt;"",'Ratings'!F5&lt;&gt;""),'Ratings'!F5,"")</f>
        <v/>
      </c>
      <c r="F1971">
        <f>IF(OR(A1971="",'Ratings'!F129=""),"",'Ratings'!F129)</f>
        <v/>
      </c>
      <c r="G1971">
        <f>IF(A1971="","",'Employees'!D13)</f>
        <v/>
      </c>
    </row>
    <row r="1972">
      <c r="A1972">
        <f>IF(AND('Ratings'!A129&lt;&gt;"",'Ratings'!G5&lt;&gt;""),'Ratings'!A129,"")</f>
        <v/>
      </c>
      <c r="B1972">
        <f>IF(A1972="","",'Employees'!C13)</f>
        <v/>
      </c>
      <c r="C1972">
        <f>IF(A1972="","",'Ratings'!C129)</f>
        <v/>
      </c>
      <c r="D1972">
        <f>IF(A1972="","",'Ratings'!D129)</f>
        <v/>
      </c>
      <c r="E1972">
        <f>IF(AND('Ratings'!A129&lt;&gt;"",'Ratings'!G5&lt;&gt;""),'Ratings'!G5,"")</f>
        <v/>
      </c>
      <c r="F1972">
        <f>IF(OR(A1972="",'Ratings'!G129=""),"",'Ratings'!G129)</f>
        <v/>
      </c>
      <c r="G1972">
        <f>IF(A1972="","",'Employees'!D13)</f>
        <v/>
      </c>
    </row>
    <row r="1973">
      <c r="A1973">
        <f>IF(AND('Ratings'!A129&lt;&gt;"",'Ratings'!H5&lt;&gt;""),'Ratings'!A129,"")</f>
        <v/>
      </c>
      <c r="B1973">
        <f>IF(A1973="","",'Employees'!C13)</f>
        <v/>
      </c>
      <c r="C1973">
        <f>IF(A1973="","",'Ratings'!C129)</f>
        <v/>
      </c>
      <c r="D1973">
        <f>IF(A1973="","",'Ratings'!D129)</f>
        <v/>
      </c>
      <c r="E1973">
        <f>IF(AND('Ratings'!A129&lt;&gt;"",'Ratings'!H5&lt;&gt;""),'Ratings'!H5,"")</f>
        <v/>
      </c>
      <c r="F1973">
        <f>IF(OR(A1973="",'Ratings'!H129=""),"",'Ratings'!H129)</f>
        <v/>
      </c>
      <c r="G1973">
        <f>IF(A1973="","",'Employees'!D13)</f>
        <v/>
      </c>
    </row>
    <row r="1974">
      <c r="A1974">
        <f>IF(AND('Ratings'!A129&lt;&gt;"",'Ratings'!I5&lt;&gt;""),'Ratings'!A129,"")</f>
        <v/>
      </c>
      <c r="B1974">
        <f>IF(A1974="","",'Employees'!C13)</f>
        <v/>
      </c>
      <c r="C1974">
        <f>IF(A1974="","",'Ratings'!C129)</f>
        <v/>
      </c>
      <c r="D1974">
        <f>IF(A1974="","",'Ratings'!D129)</f>
        <v/>
      </c>
      <c r="E1974">
        <f>IF(AND('Ratings'!A129&lt;&gt;"",'Ratings'!I5&lt;&gt;""),'Ratings'!I5,"")</f>
        <v/>
      </c>
      <c r="F1974">
        <f>IF(OR(A1974="",'Ratings'!I129=""),"",'Ratings'!I129)</f>
        <v/>
      </c>
      <c r="G1974">
        <f>IF(A1974="","",'Employees'!D13)</f>
        <v/>
      </c>
    </row>
    <row r="1975">
      <c r="A1975">
        <f>IF(AND('Ratings'!A129&lt;&gt;"",'Ratings'!J5&lt;&gt;""),'Ratings'!A129,"")</f>
        <v/>
      </c>
      <c r="B1975">
        <f>IF(A1975="","",'Employees'!C13)</f>
        <v/>
      </c>
      <c r="C1975">
        <f>IF(A1975="","",'Ratings'!C129)</f>
        <v/>
      </c>
      <c r="D1975">
        <f>IF(A1975="","",'Ratings'!D129)</f>
        <v/>
      </c>
      <c r="E1975">
        <f>IF(AND('Ratings'!A129&lt;&gt;"",'Ratings'!J5&lt;&gt;""),'Ratings'!J5,"")</f>
        <v/>
      </c>
      <c r="F1975">
        <f>IF(OR(A1975="",'Ratings'!J129=""),"",'Ratings'!J129)</f>
        <v/>
      </c>
      <c r="G1975">
        <f>IF(A1975="","",'Employees'!D13)</f>
        <v/>
      </c>
    </row>
    <row r="1976">
      <c r="A1976">
        <f>IF(AND('Ratings'!A129&lt;&gt;"",'Ratings'!K5&lt;&gt;""),'Ratings'!A129,"")</f>
        <v/>
      </c>
      <c r="B1976">
        <f>IF(A1976="","",'Employees'!C13)</f>
        <v/>
      </c>
      <c r="C1976">
        <f>IF(A1976="","",'Ratings'!C129)</f>
        <v/>
      </c>
      <c r="D1976">
        <f>IF(A1976="","",'Ratings'!D129)</f>
        <v/>
      </c>
      <c r="E1976">
        <f>IF(AND('Ratings'!A129&lt;&gt;"",'Ratings'!K5&lt;&gt;""),'Ratings'!K5,"")</f>
        <v/>
      </c>
      <c r="F1976">
        <f>IF(OR(A1976="",'Ratings'!K129=""),"",'Ratings'!K129)</f>
        <v/>
      </c>
      <c r="G1976">
        <f>IF(A1976="","",'Employees'!D13)</f>
        <v/>
      </c>
    </row>
    <row r="1977">
      <c r="A1977">
        <f>IF(AND('Ratings'!A129&lt;&gt;"",'Ratings'!L5&lt;&gt;""),'Ratings'!A129,"")</f>
        <v/>
      </c>
      <c r="B1977">
        <f>IF(A1977="","",'Employees'!C13)</f>
        <v/>
      </c>
      <c r="C1977">
        <f>IF(A1977="","",'Ratings'!C129)</f>
        <v/>
      </c>
      <c r="D1977">
        <f>IF(A1977="","",'Ratings'!D129)</f>
        <v/>
      </c>
      <c r="E1977">
        <f>IF(AND('Ratings'!A129&lt;&gt;"",'Ratings'!L5&lt;&gt;""),'Ratings'!L5,"")</f>
        <v/>
      </c>
      <c r="F1977">
        <f>IF(OR(A1977="",'Ratings'!L129=""),"",'Ratings'!L129)</f>
        <v/>
      </c>
      <c r="G1977">
        <f>IF(A1977="","",'Employees'!D13)</f>
        <v/>
      </c>
    </row>
    <row r="1978">
      <c r="A1978">
        <f>IF(AND('Ratings'!A129&lt;&gt;"",'Ratings'!M5&lt;&gt;""),'Ratings'!A129,"")</f>
        <v/>
      </c>
      <c r="B1978">
        <f>IF(A1978="","",'Employees'!C13)</f>
        <v/>
      </c>
      <c r="C1978">
        <f>IF(A1978="","",'Ratings'!C129)</f>
        <v/>
      </c>
      <c r="D1978">
        <f>IF(A1978="","",'Ratings'!D129)</f>
        <v/>
      </c>
      <c r="E1978">
        <f>IF(AND('Ratings'!A129&lt;&gt;"",'Ratings'!M5&lt;&gt;""),'Ratings'!M5,"")</f>
        <v/>
      </c>
      <c r="F1978">
        <f>IF(OR(A1978="",'Ratings'!M129=""),"",'Ratings'!M129)</f>
        <v/>
      </c>
      <c r="G1978">
        <f>IF(A1978="","",'Employees'!D13)</f>
        <v/>
      </c>
    </row>
    <row r="1979">
      <c r="A1979">
        <f>IF(AND('Ratings'!A129&lt;&gt;"",'Ratings'!N5&lt;&gt;""),'Ratings'!A129,"")</f>
        <v/>
      </c>
      <c r="B1979">
        <f>IF(A1979="","",'Employees'!C13)</f>
        <v/>
      </c>
      <c r="C1979">
        <f>IF(A1979="","",'Ratings'!C129)</f>
        <v/>
      </c>
      <c r="D1979">
        <f>IF(A1979="","",'Ratings'!D129)</f>
        <v/>
      </c>
      <c r="E1979">
        <f>IF(AND('Ratings'!A129&lt;&gt;"",'Ratings'!N5&lt;&gt;""),'Ratings'!N5,"")</f>
        <v/>
      </c>
      <c r="F1979">
        <f>IF(OR(A1979="",'Ratings'!N129=""),"",'Ratings'!N129)</f>
        <v/>
      </c>
      <c r="G1979">
        <f>IF(A1979="","",'Employees'!D13)</f>
        <v/>
      </c>
    </row>
    <row r="1980">
      <c r="A1980">
        <f>IF(AND('Ratings'!A129&lt;&gt;"",'Ratings'!O5&lt;&gt;""),'Ratings'!A129,"")</f>
        <v/>
      </c>
      <c r="B1980">
        <f>IF(A1980="","",'Employees'!C13)</f>
        <v/>
      </c>
      <c r="C1980">
        <f>IF(A1980="","",'Ratings'!C129)</f>
        <v/>
      </c>
      <c r="D1980">
        <f>IF(A1980="","",'Ratings'!D129)</f>
        <v/>
      </c>
      <c r="E1980">
        <f>IF(AND('Ratings'!A129&lt;&gt;"",'Ratings'!O5&lt;&gt;""),'Ratings'!O5,"")</f>
        <v/>
      </c>
      <c r="F1980">
        <f>IF(OR(A1980="",'Ratings'!O129=""),"",'Ratings'!O129)</f>
        <v/>
      </c>
      <c r="G1980">
        <f>IF(A1980="","",'Employees'!D13)</f>
        <v/>
      </c>
    </row>
    <row r="1981">
      <c r="A1981">
        <f>IF(AND('Ratings'!A129&lt;&gt;"",'Ratings'!P5&lt;&gt;""),'Ratings'!A129,"")</f>
        <v/>
      </c>
      <c r="B1981">
        <f>IF(A1981="","",'Employees'!C13)</f>
        <v/>
      </c>
      <c r="C1981">
        <f>IF(A1981="","",'Ratings'!C129)</f>
        <v/>
      </c>
      <c r="D1981">
        <f>IF(A1981="","",'Ratings'!D129)</f>
        <v/>
      </c>
      <c r="E1981">
        <f>IF(AND('Ratings'!A129&lt;&gt;"",'Ratings'!P5&lt;&gt;""),'Ratings'!P5,"")</f>
        <v/>
      </c>
      <c r="F1981">
        <f>IF(OR(A1981="",'Ratings'!P129=""),"",'Ratings'!P129)</f>
        <v/>
      </c>
      <c r="G1981">
        <f>IF(A1981="","",'Employees'!D13)</f>
        <v/>
      </c>
    </row>
    <row r="1982">
      <c r="A1982">
        <f>IF(AND('Ratings'!A129&lt;&gt;"",'Ratings'!Q5&lt;&gt;""),'Ratings'!A129,"")</f>
        <v/>
      </c>
      <c r="B1982">
        <f>IF(A1982="","",'Employees'!C13)</f>
        <v/>
      </c>
      <c r="C1982">
        <f>IF(A1982="","",'Ratings'!C129)</f>
        <v/>
      </c>
      <c r="D1982">
        <f>IF(A1982="","",'Ratings'!D129)</f>
        <v/>
      </c>
      <c r="E1982">
        <f>IF(AND('Ratings'!A129&lt;&gt;"",'Ratings'!Q5&lt;&gt;""),'Ratings'!Q5,"")</f>
        <v/>
      </c>
      <c r="F1982">
        <f>IF(OR(A1982="",'Ratings'!Q129=""),"",'Ratings'!Q129)</f>
        <v/>
      </c>
      <c r="G1982">
        <f>IF(A1982="","",'Employees'!D13)</f>
        <v/>
      </c>
    </row>
    <row r="1983">
      <c r="A1983">
        <f>IF(AND('Ratings'!A129&lt;&gt;"",'Ratings'!R5&lt;&gt;""),'Ratings'!A129,"")</f>
        <v/>
      </c>
      <c r="B1983">
        <f>IF(A1983="","",'Employees'!C13)</f>
        <v/>
      </c>
      <c r="C1983">
        <f>IF(A1983="","",'Ratings'!C129)</f>
        <v/>
      </c>
      <c r="D1983">
        <f>IF(A1983="","",'Ratings'!D129)</f>
        <v/>
      </c>
      <c r="E1983">
        <f>IF(AND('Ratings'!A129&lt;&gt;"",'Ratings'!R5&lt;&gt;""),'Ratings'!R5,"")</f>
        <v/>
      </c>
      <c r="F1983">
        <f>IF(OR(A1983="",'Ratings'!R129=""),"",'Ratings'!R129)</f>
        <v/>
      </c>
      <c r="G1983">
        <f>IF(A1983="","",'Employees'!D13)</f>
        <v/>
      </c>
    </row>
    <row r="1984">
      <c r="A1984">
        <f>IF(AND('Ratings'!A129&lt;&gt;"",'Ratings'!S5&lt;&gt;""),'Ratings'!A129,"")</f>
        <v/>
      </c>
      <c r="B1984">
        <f>IF(A1984="","",'Employees'!C13)</f>
        <v/>
      </c>
      <c r="C1984">
        <f>IF(A1984="","",'Ratings'!C129)</f>
        <v/>
      </c>
      <c r="D1984">
        <f>IF(A1984="","",'Ratings'!D129)</f>
        <v/>
      </c>
      <c r="E1984">
        <f>IF(AND('Ratings'!A129&lt;&gt;"",'Ratings'!S5&lt;&gt;""),'Ratings'!S5,"")</f>
        <v/>
      </c>
      <c r="F1984">
        <f>IF(OR(A1984="",'Ratings'!S129=""),"",'Ratings'!S129)</f>
        <v/>
      </c>
      <c r="G1984">
        <f>IF(A1984="","",'Employees'!D13)</f>
        <v/>
      </c>
    </row>
    <row r="1985">
      <c r="A1985">
        <f>IF(AND('Ratings'!A129&lt;&gt;"",'Ratings'!T5&lt;&gt;""),'Ratings'!A129,"")</f>
        <v/>
      </c>
      <c r="B1985">
        <f>IF(A1985="","",'Employees'!C13)</f>
        <v/>
      </c>
      <c r="C1985">
        <f>IF(A1985="","",'Ratings'!C129)</f>
        <v/>
      </c>
      <c r="D1985">
        <f>IF(A1985="","",'Ratings'!D129)</f>
        <v/>
      </c>
      <c r="E1985">
        <f>IF(AND('Ratings'!A129&lt;&gt;"",'Ratings'!T5&lt;&gt;""),'Ratings'!T5,"")</f>
        <v/>
      </c>
      <c r="F1985">
        <f>IF(OR(A1985="",'Ratings'!T129=""),"",'Ratings'!T129)</f>
        <v/>
      </c>
      <c r="G1985">
        <f>IF(A1985="","",'Employees'!D13)</f>
        <v/>
      </c>
    </row>
    <row r="1986">
      <c r="A1986">
        <f>IF(AND('Ratings'!A130&lt;&gt;"",'Ratings'!E5&lt;&gt;""),'Ratings'!A130,"")</f>
        <v/>
      </c>
      <c r="B1986">
        <f>IF(A1986="","",'Employees'!C13)</f>
        <v/>
      </c>
      <c r="C1986">
        <f>IF(A1986="","",'Ratings'!C130)</f>
        <v/>
      </c>
      <c r="D1986">
        <f>IF(A1986="","",'Ratings'!D130)</f>
        <v/>
      </c>
      <c r="E1986">
        <f>IF(AND('Ratings'!A130&lt;&gt;"",'Ratings'!E5&lt;&gt;""),'Ratings'!E5,"")</f>
        <v/>
      </c>
      <c r="F1986">
        <f>IF(OR(A1986="",'Ratings'!E130=""),"",'Ratings'!E130)</f>
        <v/>
      </c>
      <c r="G1986">
        <f>IF(A1986="","",'Employees'!D13)</f>
        <v/>
      </c>
    </row>
    <row r="1987">
      <c r="A1987">
        <f>IF(AND('Ratings'!A130&lt;&gt;"",'Ratings'!F5&lt;&gt;""),'Ratings'!A130,"")</f>
        <v/>
      </c>
      <c r="B1987">
        <f>IF(A1987="","",'Employees'!C13)</f>
        <v/>
      </c>
      <c r="C1987">
        <f>IF(A1987="","",'Ratings'!C130)</f>
        <v/>
      </c>
      <c r="D1987">
        <f>IF(A1987="","",'Ratings'!D130)</f>
        <v/>
      </c>
      <c r="E1987">
        <f>IF(AND('Ratings'!A130&lt;&gt;"",'Ratings'!F5&lt;&gt;""),'Ratings'!F5,"")</f>
        <v/>
      </c>
      <c r="F1987">
        <f>IF(OR(A1987="",'Ratings'!F130=""),"",'Ratings'!F130)</f>
        <v/>
      </c>
      <c r="G1987">
        <f>IF(A1987="","",'Employees'!D13)</f>
        <v/>
      </c>
    </row>
    <row r="1988">
      <c r="A1988">
        <f>IF(AND('Ratings'!A130&lt;&gt;"",'Ratings'!G5&lt;&gt;""),'Ratings'!A130,"")</f>
        <v/>
      </c>
      <c r="B1988">
        <f>IF(A1988="","",'Employees'!C13)</f>
        <v/>
      </c>
      <c r="C1988">
        <f>IF(A1988="","",'Ratings'!C130)</f>
        <v/>
      </c>
      <c r="D1988">
        <f>IF(A1988="","",'Ratings'!D130)</f>
        <v/>
      </c>
      <c r="E1988">
        <f>IF(AND('Ratings'!A130&lt;&gt;"",'Ratings'!G5&lt;&gt;""),'Ratings'!G5,"")</f>
        <v/>
      </c>
      <c r="F1988">
        <f>IF(OR(A1988="",'Ratings'!G130=""),"",'Ratings'!G130)</f>
        <v/>
      </c>
      <c r="G1988">
        <f>IF(A1988="","",'Employees'!D13)</f>
        <v/>
      </c>
    </row>
    <row r="1989">
      <c r="A1989">
        <f>IF(AND('Ratings'!A130&lt;&gt;"",'Ratings'!H5&lt;&gt;""),'Ratings'!A130,"")</f>
        <v/>
      </c>
      <c r="B1989">
        <f>IF(A1989="","",'Employees'!C13)</f>
        <v/>
      </c>
      <c r="C1989">
        <f>IF(A1989="","",'Ratings'!C130)</f>
        <v/>
      </c>
      <c r="D1989">
        <f>IF(A1989="","",'Ratings'!D130)</f>
        <v/>
      </c>
      <c r="E1989">
        <f>IF(AND('Ratings'!A130&lt;&gt;"",'Ratings'!H5&lt;&gt;""),'Ratings'!H5,"")</f>
        <v/>
      </c>
      <c r="F1989">
        <f>IF(OR(A1989="",'Ratings'!H130=""),"",'Ratings'!H130)</f>
        <v/>
      </c>
      <c r="G1989">
        <f>IF(A1989="","",'Employees'!D13)</f>
        <v/>
      </c>
    </row>
    <row r="1990">
      <c r="A1990">
        <f>IF(AND('Ratings'!A130&lt;&gt;"",'Ratings'!I5&lt;&gt;""),'Ratings'!A130,"")</f>
        <v/>
      </c>
      <c r="B1990">
        <f>IF(A1990="","",'Employees'!C13)</f>
        <v/>
      </c>
      <c r="C1990">
        <f>IF(A1990="","",'Ratings'!C130)</f>
        <v/>
      </c>
      <c r="D1990">
        <f>IF(A1990="","",'Ratings'!D130)</f>
        <v/>
      </c>
      <c r="E1990">
        <f>IF(AND('Ratings'!A130&lt;&gt;"",'Ratings'!I5&lt;&gt;""),'Ratings'!I5,"")</f>
        <v/>
      </c>
      <c r="F1990">
        <f>IF(OR(A1990="",'Ratings'!I130=""),"",'Ratings'!I130)</f>
        <v/>
      </c>
      <c r="G1990">
        <f>IF(A1990="","",'Employees'!D13)</f>
        <v/>
      </c>
    </row>
    <row r="1991">
      <c r="A1991">
        <f>IF(AND('Ratings'!A130&lt;&gt;"",'Ratings'!J5&lt;&gt;""),'Ratings'!A130,"")</f>
        <v/>
      </c>
      <c r="B1991">
        <f>IF(A1991="","",'Employees'!C13)</f>
        <v/>
      </c>
      <c r="C1991">
        <f>IF(A1991="","",'Ratings'!C130)</f>
        <v/>
      </c>
      <c r="D1991">
        <f>IF(A1991="","",'Ratings'!D130)</f>
        <v/>
      </c>
      <c r="E1991">
        <f>IF(AND('Ratings'!A130&lt;&gt;"",'Ratings'!J5&lt;&gt;""),'Ratings'!J5,"")</f>
        <v/>
      </c>
      <c r="F1991">
        <f>IF(OR(A1991="",'Ratings'!J130=""),"",'Ratings'!J130)</f>
        <v/>
      </c>
      <c r="G1991">
        <f>IF(A1991="","",'Employees'!D13)</f>
        <v/>
      </c>
    </row>
    <row r="1992">
      <c r="A1992">
        <f>IF(AND('Ratings'!A130&lt;&gt;"",'Ratings'!K5&lt;&gt;""),'Ratings'!A130,"")</f>
        <v/>
      </c>
      <c r="B1992">
        <f>IF(A1992="","",'Employees'!C13)</f>
        <v/>
      </c>
      <c r="C1992">
        <f>IF(A1992="","",'Ratings'!C130)</f>
        <v/>
      </c>
      <c r="D1992">
        <f>IF(A1992="","",'Ratings'!D130)</f>
        <v/>
      </c>
      <c r="E1992">
        <f>IF(AND('Ratings'!A130&lt;&gt;"",'Ratings'!K5&lt;&gt;""),'Ratings'!K5,"")</f>
        <v/>
      </c>
      <c r="F1992">
        <f>IF(OR(A1992="",'Ratings'!K130=""),"",'Ratings'!K130)</f>
        <v/>
      </c>
      <c r="G1992">
        <f>IF(A1992="","",'Employees'!D13)</f>
        <v/>
      </c>
    </row>
    <row r="1993">
      <c r="A1993">
        <f>IF(AND('Ratings'!A130&lt;&gt;"",'Ratings'!L5&lt;&gt;""),'Ratings'!A130,"")</f>
        <v/>
      </c>
      <c r="B1993">
        <f>IF(A1993="","",'Employees'!C13)</f>
        <v/>
      </c>
      <c r="C1993">
        <f>IF(A1993="","",'Ratings'!C130)</f>
        <v/>
      </c>
      <c r="D1993">
        <f>IF(A1993="","",'Ratings'!D130)</f>
        <v/>
      </c>
      <c r="E1993">
        <f>IF(AND('Ratings'!A130&lt;&gt;"",'Ratings'!L5&lt;&gt;""),'Ratings'!L5,"")</f>
        <v/>
      </c>
      <c r="F1993">
        <f>IF(OR(A1993="",'Ratings'!L130=""),"",'Ratings'!L130)</f>
        <v/>
      </c>
      <c r="G1993">
        <f>IF(A1993="","",'Employees'!D13)</f>
        <v/>
      </c>
    </row>
    <row r="1994">
      <c r="A1994">
        <f>IF(AND('Ratings'!A130&lt;&gt;"",'Ratings'!M5&lt;&gt;""),'Ratings'!A130,"")</f>
        <v/>
      </c>
      <c r="B1994">
        <f>IF(A1994="","",'Employees'!C13)</f>
        <v/>
      </c>
      <c r="C1994">
        <f>IF(A1994="","",'Ratings'!C130)</f>
        <v/>
      </c>
      <c r="D1994">
        <f>IF(A1994="","",'Ratings'!D130)</f>
        <v/>
      </c>
      <c r="E1994">
        <f>IF(AND('Ratings'!A130&lt;&gt;"",'Ratings'!M5&lt;&gt;""),'Ratings'!M5,"")</f>
        <v/>
      </c>
      <c r="F1994">
        <f>IF(OR(A1994="",'Ratings'!M130=""),"",'Ratings'!M130)</f>
        <v/>
      </c>
      <c r="G1994">
        <f>IF(A1994="","",'Employees'!D13)</f>
        <v/>
      </c>
    </row>
    <row r="1995">
      <c r="A1995">
        <f>IF(AND('Ratings'!A130&lt;&gt;"",'Ratings'!N5&lt;&gt;""),'Ratings'!A130,"")</f>
        <v/>
      </c>
      <c r="B1995">
        <f>IF(A1995="","",'Employees'!C13)</f>
        <v/>
      </c>
      <c r="C1995">
        <f>IF(A1995="","",'Ratings'!C130)</f>
        <v/>
      </c>
      <c r="D1995">
        <f>IF(A1995="","",'Ratings'!D130)</f>
        <v/>
      </c>
      <c r="E1995">
        <f>IF(AND('Ratings'!A130&lt;&gt;"",'Ratings'!N5&lt;&gt;""),'Ratings'!N5,"")</f>
        <v/>
      </c>
      <c r="F1995">
        <f>IF(OR(A1995="",'Ratings'!N130=""),"",'Ratings'!N130)</f>
        <v/>
      </c>
      <c r="G1995">
        <f>IF(A1995="","",'Employees'!D13)</f>
        <v/>
      </c>
    </row>
    <row r="1996">
      <c r="A1996">
        <f>IF(AND('Ratings'!A130&lt;&gt;"",'Ratings'!O5&lt;&gt;""),'Ratings'!A130,"")</f>
        <v/>
      </c>
      <c r="B1996">
        <f>IF(A1996="","",'Employees'!C13)</f>
        <v/>
      </c>
      <c r="C1996">
        <f>IF(A1996="","",'Ratings'!C130)</f>
        <v/>
      </c>
      <c r="D1996">
        <f>IF(A1996="","",'Ratings'!D130)</f>
        <v/>
      </c>
      <c r="E1996">
        <f>IF(AND('Ratings'!A130&lt;&gt;"",'Ratings'!O5&lt;&gt;""),'Ratings'!O5,"")</f>
        <v/>
      </c>
      <c r="F1996">
        <f>IF(OR(A1996="",'Ratings'!O130=""),"",'Ratings'!O130)</f>
        <v/>
      </c>
      <c r="G1996">
        <f>IF(A1996="","",'Employees'!D13)</f>
        <v/>
      </c>
    </row>
    <row r="1997">
      <c r="A1997">
        <f>IF(AND('Ratings'!A130&lt;&gt;"",'Ratings'!P5&lt;&gt;""),'Ratings'!A130,"")</f>
        <v/>
      </c>
      <c r="B1997">
        <f>IF(A1997="","",'Employees'!C13)</f>
        <v/>
      </c>
      <c r="C1997">
        <f>IF(A1997="","",'Ratings'!C130)</f>
        <v/>
      </c>
      <c r="D1997">
        <f>IF(A1997="","",'Ratings'!D130)</f>
        <v/>
      </c>
      <c r="E1997">
        <f>IF(AND('Ratings'!A130&lt;&gt;"",'Ratings'!P5&lt;&gt;""),'Ratings'!P5,"")</f>
        <v/>
      </c>
      <c r="F1997">
        <f>IF(OR(A1997="",'Ratings'!P130=""),"",'Ratings'!P130)</f>
        <v/>
      </c>
      <c r="G1997">
        <f>IF(A1997="","",'Employees'!D13)</f>
        <v/>
      </c>
    </row>
    <row r="1998">
      <c r="A1998">
        <f>IF(AND('Ratings'!A130&lt;&gt;"",'Ratings'!Q5&lt;&gt;""),'Ratings'!A130,"")</f>
        <v/>
      </c>
      <c r="B1998">
        <f>IF(A1998="","",'Employees'!C13)</f>
        <v/>
      </c>
      <c r="C1998">
        <f>IF(A1998="","",'Ratings'!C130)</f>
        <v/>
      </c>
      <c r="D1998">
        <f>IF(A1998="","",'Ratings'!D130)</f>
        <v/>
      </c>
      <c r="E1998">
        <f>IF(AND('Ratings'!A130&lt;&gt;"",'Ratings'!Q5&lt;&gt;""),'Ratings'!Q5,"")</f>
        <v/>
      </c>
      <c r="F1998">
        <f>IF(OR(A1998="",'Ratings'!Q130=""),"",'Ratings'!Q130)</f>
        <v/>
      </c>
      <c r="G1998">
        <f>IF(A1998="","",'Employees'!D13)</f>
        <v/>
      </c>
    </row>
    <row r="1999">
      <c r="A1999">
        <f>IF(AND('Ratings'!A130&lt;&gt;"",'Ratings'!R5&lt;&gt;""),'Ratings'!A130,"")</f>
        <v/>
      </c>
      <c r="B1999">
        <f>IF(A1999="","",'Employees'!C13)</f>
        <v/>
      </c>
      <c r="C1999">
        <f>IF(A1999="","",'Ratings'!C130)</f>
        <v/>
      </c>
      <c r="D1999">
        <f>IF(A1999="","",'Ratings'!D130)</f>
        <v/>
      </c>
      <c r="E1999">
        <f>IF(AND('Ratings'!A130&lt;&gt;"",'Ratings'!R5&lt;&gt;""),'Ratings'!R5,"")</f>
        <v/>
      </c>
      <c r="F1999">
        <f>IF(OR(A1999="",'Ratings'!R130=""),"",'Ratings'!R130)</f>
        <v/>
      </c>
      <c r="G1999">
        <f>IF(A1999="","",'Employees'!D13)</f>
        <v/>
      </c>
    </row>
    <row r="2000">
      <c r="A2000">
        <f>IF(AND('Ratings'!A130&lt;&gt;"",'Ratings'!S5&lt;&gt;""),'Ratings'!A130,"")</f>
        <v/>
      </c>
      <c r="B2000">
        <f>IF(A2000="","",'Employees'!C13)</f>
        <v/>
      </c>
      <c r="C2000">
        <f>IF(A2000="","",'Ratings'!C130)</f>
        <v/>
      </c>
      <c r="D2000">
        <f>IF(A2000="","",'Ratings'!D130)</f>
        <v/>
      </c>
      <c r="E2000">
        <f>IF(AND('Ratings'!A130&lt;&gt;"",'Ratings'!S5&lt;&gt;""),'Ratings'!S5,"")</f>
        <v/>
      </c>
      <c r="F2000">
        <f>IF(OR(A2000="",'Ratings'!S130=""),"",'Ratings'!S130)</f>
        <v/>
      </c>
      <c r="G2000">
        <f>IF(A2000="","",'Employees'!D13)</f>
        <v/>
      </c>
    </row>
    <row r="2001">
      <c r="A2001">
        <f>IF(AND('Ratings'!A130&lt;&gt;"",'Ratings'!T5&lt;&gt;""),'Ratings'!A130,"")</f>
        <v/>
      </c>
      <c r="B2001">
        <f>IF(A2001="","",'Employees'!C13)</f>
        <v/>
      </c>
      <c r="C2001">
        <f>IF(A2001="","",'Ratings'!C130)</f>
        <v/>
      </c>
      <c r="D2001">
        <f>IF(A2001="","",'Ratings'!D130)</f>
        <v/>
      </c>
      <c r="E2001">
        <f>IF(AND('Ratings'!A130&lt;&gt;"",'Ratings'!T5&lt;&gt;""),'Ratings'!T5,"")</f>
        <v/>
      </c>
      <c r="F2001">
        <f>IF(OR(A2001="",'Ratings'!T130=""),"",'Ratings'!T130)</f>
        <v/>
      </c>
      <c r="G2001">
        <f>IF(A2001="","",'Employees'!D13)</f>
        <v/>
      </c>
    </row>
    <row r="2002">
      <c r="A2002">
        <f>IF(AND('Ratings'!A131&lt;&gt;"",'Ratings'!E5&lt;&gt;""),'Ratings'!A131,"")</f>
        <v/>
      </c>
      <c r="B2002">
        <f>IF(A2002="","",'Employees'!C13)</f>
        <v/>
      </c>
      <c r="C2002">
        <f>IF(A2002="","",'Ratings'!C131)</f>
        <v/>
      </c>
      <c r="D2002">
        <f>IF(A2002="","",'Ratings'!D131)</f>
        <v/>
      </c>
      <c r="E2002">
        <f>IF(AND('Ratings'!A131&lt;&gt;"",'Ratings'!E5&lt;&gt;""),'Ratings'!E5,"")</f>
        <v/>
      </c>
      <c r="F2002">
        <f>IF(OR(A2002="",'Ratings'!E131=""),"",'Ratings'!E131)</f>
        <v/>
      </c>
      <c r="G2002">
        <f>IF(A2002="","",'Employees'!D13)</f>
        <v/>
      </c>
    </row>
    <row r="2003">
      <c r="A2003">
        <f>IF(AND('Ratings'!A131&lt;&gt;"",'Ratings'!F5&lt;&gt;""),'Ratings'!A131,"")</f>
        <v/>
      </c>
      <c r="B2003">
        <f>IF(A2003="","",'Employees'!C13)</f>
        <v/>
      </c>
      <c r="C2003">
        <f>IF(A2003="","",'Ratings'!C131)</f>
        <v/>
      </c>
      <c r="D2003">
        <f>IF(A2003="","",'Ratings'!D131)</f>
        <v/>
      </c>
      <c r="E2003">
        <f>IF(AND('Ratings'!A131&lt;&gt;"",'Ratings'!F5&lt;&gt;""),'Ratings'!F5,"")</f>
        <v/>
      </c>
      <c r="F2003">
        <f>IF(OR(A2003="",'Ratings'!F131=""),"",'Ratings'!F131)</f>
        <v/>
      </c>
      <c r="G2003">
        <f>IF(A2003="","",'Employees'!D13)</f>
        <v/>
      </c>
    </row>
    <row r="2004">
      <c r="A2004">
        <f>IF(AND('Ratings'!A131&lt;&gt;"",'Ratings'!G5&lt;&gt;""),'Ratings'!A131,"")</f>
        <v/>
      </c>
      <c r="B2004">
        <f>IF(A2004="","",'Employees'!C13)</f>
        <v/>
      </c>
      <c r="C2004">
        <f>IF(A2004="","",'Ratings'!C131)</f>
        <v/>
      </c>
      <c r="D2004">
        <f>IF(A2004="","",'Ratings'!D131)</f>
        <v/>
      </c>
      <c r="E2004">
        <f>IF(AND('Ratings'!A131&lt;&gt;"",'Ratings'!G5&lt;&gt;""),'Ratings'!G5,"")</f>
        <v/>
      </c>
      <c r="F2004">
        <f>IF(OR(A2004="",'Ratings'!G131=""),"",'Ratings'!G131)</f>
        <v/>
      </c>
      <c r="G2004">
        <f>IF(A2004="","",'Employees'!D13)</f>
        <v/>
      </c>
    </row>
    <row r="2005">
      <c r="A2005">
        <f>IF(AND('Ratings'!A131&lt;&gt;"",'Ratings'!H5&lt;&gt;""),'Ratings'!A131,"")</f>
        <v/>
      </c>
      <c r="B2005">
        <f>IF(A2005="","",'Employees'!C13)</f>
        <v/>
      </c>
      <c r="C2005">
        <f>IF(A2005="","",'Ratings'!C131)</f>
        <v/>
      </c>
      <c r="D2005">
        <f>IF(A2005="","",'Ratings'!D131)</f>
        <v/>
      </c>
      <c r="E2005">
        <f>IF(AND('Ratings'!A131&lt;&gt;"",'Ratings'!H5&lt;&gt;""),'Ratings'!H5,"")</f>
        <v/>
      </c>
      <c r="F2005">
        <f>IF(OR(A2005="",'Ratings'!H131=""),"",'Ratings'!H131)</f>
        <v/>
      </c>
      <c r="G2005">
        <f>IF(A2005="","",'Employees'!D13)</f>
        <v/>
      </c>
    </row>
    <row r="2006">
      <c r="A2006">
        <f>IF(AND('Ratings'!A131&lt;&gt;"",'Ratings'!I5&lt;&gt;""),'Ratings'!A131,"")</f>
        <v/>
      </c>
      <c r="B2006">
        <f>IF(A2006="","",'Employees'!C13)</f>
        <v/>
      </c>
      <c r="C2006">
        <f>IF(A2006="","",'Ratings'!C131)</f>
        <v/>
      </c>
      <c r="D2006">
        <f>IF(A2006="","",'Ratings'!D131)</f>
        <v/>
      </c>
      <c r="E2006">
        <f>IF(AND('Ratings'!A131&lt;&gt;"",'Ratings'!I5&lt;&gt;""),'Ratings'!I5,"")</f>
        <v/>
      </c>
      <c r="F2006">
        <f>IF(OR(A2006="",'Ratings'!I131=""),"",'Ratings'!I131)</f>
        <v/>
      </c>
      <c r="G2006">
        <f>IF(A2006="","",'Employees'!D13)</f>
        <v/>
      </c>
    </row>
    <row r="2007">
      <c r="A2007">
        <f>IF(AND('Ratings'!A131&lt;&gt;"",'Ratings'!J5&lt;&gt;""),'Ratings'!A131,"")</f>
        <v/>
      </c>
      <c r="B2007">
        <f>IF(A2007="","",'Employees'!C13)</f>
        <v/>
      </c>
      <c r="C2007">
        <f>IF(A2007="","",'Ratings'!C131)</f>
        <v/>
      </c>
      <c r="D2007">
        <f>IF(A2007="","",'Ratings'!D131)</f>
        <v/>
      </c>
      <c r="E2007">
        <f>IF(AND('Ratings'!A131&lt;&gt;"",'Ratings'!J5&lt;&gt;""),'Ratings'!J5,"")</f>
        <v/>
      </c>
      <c r="F2007">
        <f>IF(OR(A2007="",'Ratings'!J131=""),"",'Ratings'!J131)</f>
        <v/>
      </c>
      <c r="G2007">
        <f>IF(A2007="","",'Employees'!D13)</f>
        <v/>
      </c>
    </row>
    <row r="2008">
      <c r="A2008">
        <f>IF(AND('Ratings'!A131&lt;&gt;"",'Ratings'!K5&lt;&gt;""),'Ratings'!A131,"")</f>
        <v/>
      </c>
      <c r="B2008">
        <f>IF(A2008="","",'Employees'!C13)</f>
        <v/>
      </c>
      <c r="C2008">
        <f>IF(A2008="","",'Ratings'!C131)</f>
        <v/>
      </c>
      <c r="D2008">
        <f>IF(A2008="","",'Ratings'!D131)</f>
        <v/>
      </c>
      <c r="E2008">
        <f>IF(AND('Ratings'!A131&lt;&gt;"",'Ratings'!K5&lt;&gt;""),'Ratings'!K5,"")</f>
        <v/>
      </c>
      <c r="F2008">
        <f>IF(OR(A2008="",'Ratings'!K131=""),"",'Ratings'!K131)</f>
        <v/>
      </c>
      <c r="G2008">
        <f>IF(A2008="","",'Employees'!D13)</f>
        <v/>
      </c>
    </row>
    <row r="2009">
      <c r="A2009">
        <f>IF(AND('Ratings'!A131&lt;&gt;"",'Ratings'!L5&lt;&gt;""),'Ratings'!A131,"")</f>
        <v/>
      </c>
      <c r="B2009">
        <f>IF(A2009="","",'Employees'!C13)</f>
        <v/>
      </c>
      <c r="C2009">
        <f>IF(A2009="","",'Ratings'!C131)</f>
        <v/>
      </c>
      <c r="D2009">
        <f>IF(A2009="","",'Ratings'!D131)</f>
        <v/>
      </c>
      <c r="E2009">
        <f>IF(AND('Ratings'!A131&lt;&gt;"",'Ratings'!L5&lt;&gt;""),'Ratings'!L5,"")</f>
        <v/>
      </c>
      <c r="F2009">
        <f>IF(OR(A2009="",'Ratings'!L131=""),"",'Ratings'!L131)</f>
        <v/>
      </c>
      <c r="G2009">
        <f>IF(A2009="","",'Employees'!D13)</f>
        <v/>
      </c>
    </row>
    <row r="2010">
      <c r="A2010">
        <f>IF(AND('Ratings'!A131&lt;&gt;"",'Ratings'!M5&lt;&gt;""),'Ratings'!A131,"")</f>
        <v/>
      </c>
      <c r="B2010">
        <f>IF(A2010="","",'Employees'!C13)</f>
        <v/>
      </c>
      <c r="C2010">
        <f>IF(A2010="","",'Ratings'!C131)</f>
        <v/>
      </c>
      <c r="D2010">
        <f>IF(A2010="","",'Ratings'!D131)</f>
        <v/>
      </c>
      <c r="E2010">
        <f>IF(AND('Ratings'!A131&lt;&gt;"",'Ratings'!M5&lt;&gt;""),'Ratings'!M5,"")</f>
        <v/>
      </c>
      <c r="F2010">
        <f>IF(OR(A2010="",'Ratings'!M131=""),"",'Ratings'!M131)</f>
        <v/>
      </c>
      <c r="G2010">
        <f>IF(A2010="","",'Employees'!D13)</f>
        <v/>
      </c>
    </row>
    <row r="2011">
      <c r="A2011">
        <f>IF(AND('Ratings'!A131&lt;&gt;"",'Ratings'!N5&lt;&gt;""),'Ratings'!A131,"")</f>
        <v/>
      </c>
      <c r="B2011">
        <f>IF(A2011="","",'Employees'!C13)</f>
        <v/>
      </c>
      <c r="C2011">
        <f>IF(A2011="","",'Ratings'!C131)</f>
        <v/>
      </c>
      <c r="D2011">
        <f>IF(A2011="","",'Ratings'!D131)</f>
        <v/>
      </c>
      <c r="E2011">
        <f>IF(AND('Ratings'!A131&lt;&gt;"",'Ratings'!N5&lt;&gt;""),'Ratings'!N5,"")</f>
        <v/>
      </c>
      <c r="F2011">
        <f>IF(OR(A2011="",'Ratings'!N131=""),"",'Ratings'!N131)</f>
        <v/>
      </c>
      <c r="G2011">
        <f>IF(A2011="","",'Employees'!D13)</f>
        <v/>
      </c>
    </row>
    <row r="2012">
      <c r="A2012">
        <f>IF(AND('Ratings'!A131&lt;&gt;"",'Ratings'!O5&lt;&gt;""),'Ratings'!A131,"")</f>
        <v/>
      </c>
      <c r="B2012">
        <f>IF(A2012="","",'Employees'!C13)</f>
        <v/>
      </c>
      <c r="C2012">
        <f>IF(A2012="","",'Ratings'!C131)</f>
        <v/>
      </c>
      <c r="D2012">
        <f>IF(A2012="","",'Ratings'!D131)</f>
        <v/>
      </c>
      <c r="E2012">
        <f>IF(AND('Ratings'!A131&lt;&gt;"",'Ratings'!O5&lt;&gt;""),'Ratings'!O5,"")</f>
        <v/>
      </c>
      <c r="F2012">
        <f>IF(OR(A2012="",'Ratings'!O131=""),"",'Ratings'!O131)</f>
        <v/>
      </c>
      <c r="G2012">
        <f>IF(A2012="","",'Employees'!D13)</f>
        <v/>
      </c>
    </row>
    <row r="2013">
      <c r="A2013">
        <f>IF(AND('Ratings'!A131&lt;&gt;"",'Ratings'!P5&lt;&gt;""),'Ratings'!A131,"")</f>
        <v/>
      </c>
      <c r="B2013">
        <f>IF(A2013="","",'Employees'!C13)</f>
        <v/>
      </c>
      <c r="C2013">
        <f>IF(A2013="","",'Ratings'!C131)</f>
        <v/>
      </c>
      <c r="D2013">
        <f>IF(A2013="","",'Ratings'!D131)</f>
        <v/>
      </c>
      <c r="E2013">
        <f>IF(AND('Ratings'!A131&lt;&gt;"",'Ratings'!P5&lt;&gt;""),'Ratings'!P5,"")</f>
        <v/>
      </c>
      <c r="F2013">
        <f>IF(OR(A2013="",'Ratings'!P131=""),"",'Ratings'!P131)</f>
        <v/>
      </c>
      <c r="G2013">
        <f>IF(A2013="","",'Employees'!D13)</f>
        <v/>
      </c>
    </row>
    <row r="2014">
      <c r="A2014">
        <f>IF(AND('Ratings'!A131&lt;&gt;"",'Ratings'!Q5&lt;&gt;""),'Ratings'!A131,"")</f>
        <v/>
      </c>
      <c r="B2014">
        <f>IF(A2014="","",'Employees'!C13)</f>
        <v/>
      </c>
      <c r="C2014">
        <f>IF(A2014="","",'Ratings'!C131)</f>
        <v/>
      </c>
      <c r="D2014">
        <f>IF(A2014="","",'Ratings'!D131)</f>
        <v/>
      </c>
      <c r="E2014">
        <f>IF(AND('Ratings'!A131&lt;&gt;"",'Ratings'!Q5&lt;&gt;""),'Ratings'!Q5,"")</f>
        <v/>
      </c>
      <c r="F2014">
        <f>IF(OR(A2014="",'Ratings'!Q131=""),"",'Ratings'!Q131)</f>
        <v/>
      </c>
      <c r="G2014">
        <f>IF(A2014="","",'Employees'!D13)</f>
        <v/>
      </c>
    </row>
    <row r="2015">
      <c r="A2015">
        <f>IF(AND('Ratings'!A131&lt;&gt;"",'Ratings'!R5&lt;&gt;""),'Ratings'!A131,"")</f>
        <v/>
      </c>
      <c r="B2015">
        <f>IF(A2015="","",'Employees'!C13)</f>
        <v/>
      </c>
      <c r="C2015">
        <f>IF(A2015="","",'Ratings'!C131)</f>
        <v/>
      </c>
      <c r="D2015">
        <f>IF(A2015="","",'Ratings'!D131)</f>
        <v/>
      </c>
      <c r="E2015">
        <f>IF(AND('Ratings'!A131&lt;&gt;"",'Ratings'!R5&lt;&gt;""),'Ratings'!R5,"")</f>
        <v/>
      </c>
      <c r="F2015">
        <f>IF(OR(A2015="",'Ratings'!R131=""),"",'Ratings'!R131)</f>
        <v/>
      </c>
      <c r="G2015">
        <f>IF(A2015="","",'Employees'!D13)</f>
        <v/>
      </c>
    </row>
    <row r="2016">
      <c r="A2016">
        <f>IF(AND('Ratings'!A131&lt;&gt;"",'Ratings'!S5&lt;&gt;""),'Ratings'!A131,"")</f>
        <v/>
      </c>
      <c r="B2016">
        <f>IF(A2016="","",'Employees'!C13)</f>
        <v/>
      </c>
      <c r="C2016">
        <f>IF(A2016="","",'Ratings'!C131)</f>
        <v/>
      </c>
      <c r="D2016">
        <f>IF(A2016="","",'Ratings'!D131)</f>
        <v/>
      </c>
      <c r="E2016">
        <f>IF(AND('Ratings'!A131&lt;&gt;"",'Ratings'!S5&lt;&gt;""),'Ratings'!S5,"")</f>
        <v/>
      </c>
      <c r="F2016">
        <f>IF(OR(A2016="",'Ratings'!S131=""),"",'Ratings'!S131)</f>
        <v/>
      </c>
      <c r="G2016">
        <f>IF(A2016="","",'Employees'!D13)</f>
        <v/>
      </c>
    </row>
    <row r="2017">
      <c r="A2017">
        <f>IF(AND('Ratings'!A131&lt;&gt;"",'Ratings'!T5&lt;&gt;""),'Ratings'!A131,"")</f>
        <v/>
      </c>
      <c r="B2017">
        <f>IF(A2017="","",'Employees'!C13)</f>
        <v/>
      </c>
      <c r="C2017">
        <f>IF(A2017="","",'Ratings'!C131)</f>
        <v/>
      </c>
      <c r="D2017">
        <f>IF(A2017="","",'Ratings'!D131)</f>
        <v/>
      </c>
      <c r="E2017">
        <f>IF(AND('Ratings'!A131&lt;&gt;"",'Ratings'!T5&lt;&gt;""),'Ratings'!T5,"")</f>
        <v/>
      </c>
      <c r="F2017">
        <f>IF(OR(A2017="",'Ratings'!T131=""),"",'Ratings'!T131)</f>
        <v/>
      </c>
      <c r="G2017">
        <f>IF(A2017="","",'Employees'!D13)</f>
        <v/>
      </c>
    </row>
    <row r="2018">
      <c r="A2018">
        <f>IF(AND('Ratings'!A132&lt;&gt;"",'Ratings'!E5&lt;&gt;""),'Ratings'!A132,"")</f>
        <v/>
      </c>
      <c r="B2018">
        <f>IF(A2018="","",'Employees'!C13)</f>
        <v/>
      </c>
      <c r="C2018">
        <f>IF(A2018="","",'Ratings'!C132)</f>
        <v/>
      </c>
      <c r="D2018">
        <f>IF(A2018="","",'Ratings'!D132)</f>
        <v/>
      </c>
      <c r="E2018">
        <f>IF(AND('Ratings'!A132&lt;&gt;"",'Ratings'!E5&lt;&gt;""),'Ratings'!E5,"")</f>
        <v/>
      </c>
      <c r="F2018">
        <f>IF(OR(A2018="",'Ratings'!E132=""),"",'Ratings'!E132)</f>
        <v/>
      </c>
      <c r="G2018">
        <f>IF(A2018="","",'Employees'!D13)</f>
        <v/>
      </c>
    </row>
    <row r="2019">
      <c r="A2019">
        <f>IF(AND('Ratings'!A132&lt;&gt;"",'Ratings'!F5&lt;&gt;""),'Ratings'!A132,"")</f>
        <v/>
      </c>
      <c r="B2019">
        <f>IF(A2019="","",'Employees'!C13)</f>
        <v/>
      </c>
      <c r="C2019">
        <f>IF(A2019="","",'Ratings'!C132)</f>
        <v/>
      </c>
      <c r="D2019">
        <f>IF(A2019="","",'Ratings'!D132)</f>
        <v/>
      </c>
      <c r="E2019">
        <f>IF(AND('Ratings'!A132&lt;&gt;"",'Ratings'!F5&lt;&gt;""),'Ratings'!F5,"")</f>
        <v/>
      </c>
      <c r="F2019">
        <f>IF(OR(A2019="",'Ratings'!F132=""),"",'Ratings'!F132)</f>
        <v/>
      </c>
      <c r="G2019">
        <f>IF(A2019="","",'Employees'!D13)</f>
        <v/>
      </c>
    </row>
    <row r="2020">
      <c r="A2020">
        <f>IF(AND('Ratings'!A132&lt;&gt;"",'Ratings'!G5&lt;&gt;""),'Ratings'!A132,"")</f>
        <v/>
      </c>
      <c r="B2020">
        <f>IF(A2020="","",'Employees'!C13)</f>
        <v/>
      </c>
      <c r="C2020">
        <f>IF(A2020="","",'Ratings'!C132)</f>
        <v/>
      </c>
      <c r="D2020">
        <f>IF(A2020="","",'Ratings'!D132)</f>
        <v/>
      </c>
      <c r="E2020">
        <f>IF(AND('Ratings'!A132&lt;&gt;"",'Ratings'!G5&lt;&gt;""),'Ratings'!G5,"")</f>
        <v/>
      </c>
      <c r="F2020">
        <f>IF(OR(A2020="",'Ratings'!G132=""),"",'Ratings'!G132)</f>
        <v/>
      </c>
      <c r="G2020">
        <f>IF(A2020="","",'Employees'!D13)</f>
        <v/>
      </c>
    </row>
    <row r="2021">
      <c r="A2021">
        <f>IF(AND('Ratings'!A132&lt;&gt;"",'Ratings'!H5&lt;&gt;""),'Ratings'!A132,"")</f>
        <v/>
      </c>
      <c r="B2021">
        <f>IF(A2021="","",'Employees'!C13)</f>
        <v/>
      </c>
      <c r="C2021">
        <f>IF(A2021="","",'Ratings'!C132)</f>
        <v/>
      </c>
      <c r="D2021">
        <f>IF(A2021="","",'Ratings'!D132)</f>
        <v/>
      </c>
      <c r="E2021">
        <f>IF(AND('Ratings'!A132&lt;&gt;"",'Ratings'!H5&lt;&gt;""),'Ratings'!H5,"")</f>
        <v/>
      </c>
      <c r="F2021">
        <f>IF(OR(A2021="",'Ratings'!H132=""),"",'Ratings'!H132)</f>
        <v/>
      </c>
      <c r="G2021">
        <f>IF(A2021="","",'Employees'!D13)</f>
        <v/>
      </c>
    </row>
    <row r="2022">
      <c r="A2022">
        <f>IF(AND('Ratings'!A132&lt;&gt;"",'Ratings'!I5&lt;&gt;""),'Ratings'!A132,"")</f>
        <v/>
      </c>
      <c r="B2022">
        <f>IF(A2022="","",'Employees'!C13)</f>
        <v/>
      </c>
      <c r="C2022">
        <f>IF(A2022="","",'Ratings'!C132)</f>
        <v/>
      </c>
      <c r="D2022">
        <f>IF(A2022="","",'Ratings'!D132)</f>
        <v/>
      </c>
      <c r="E2022">
        <f>IF(AND('Ratings'!A132&lt;&gt;"",'Ratings'!I5&lt;&gt;""),'Ratings'!I5,"")</f>
        <v/>
      </c>
      <c r="F2022">
        <f>IF(OR(A2022="",'Ratings'!I132=""),"",'Ratings'!I132)</f>
        <v/>
      </c>
      <c r="G2022">
        <f>IF(A2022="","",'Employees'!D13)</f>
        <v/>
      </c>
    </row>
    <row r="2023">
      <c r="A2023">
        <f>IF(AND('Ratings'!A132&lt;&gt;"",'Ratings'!J5&lt;&gt;""),'Ratings'!A132,"")</f>
        <v/>
      </c>
      <c r="B2023">
        <f>IF(A2023="","",'Employees'!C13)</f>
        <v/>
      </c>
      <c r="C2023">
        <f>IF(A2023="","",'Ratings'!C132)</f>
        <v/>
      </c>
      <c r="D2023">
        <f>IF(A2023="","",'Ratings'!D132)</f>
        <v/>
      </c>
      <c r="E2023">
        <f>IF(AND('Ratings'!A132&lt;&gt;"",'Ratings'!J5&lt;&gt;""),'Ratings'!J5,"")</f>
        <v/>
      </c>
      <c r="F2023">
        <f>IF(OR(A2023="",'Ratings'!J132=""),"",'Ratings'!J132)</f>
        <v/>
      </c>
      <c r="G2023">
        <f>IF(A2023="","",'Employees'!D13)</f>
        <v/>
      </c>
    </row>
    <row r="2024">
      <c r="A2024">
        <f>IF(AND('Ratings'!A132&lt;&gt;"",'Ratings'!K5&lt;&gt;""),'Ratings'!A132,"")</f>
        <v/>
      </c>
      <c r="B2024">
        <f>IF(A2024="","",'Employees'!C13)</f>
        <v/>
      </c>
      <c r="C2024">
        <f>IF(A2024="","",'Ratings'!C132)</f>
        <v/>
      </c>
      <c r="D2024">
        <f>IF(A2024="","",'Ratings'!D132)</f>
        <v/>
      </c>
      <c r="E2024">
        <f>IF(AND('Ratings'!A132&lt;&gt;"",'Ratings'!K5&lt;&gt;""),'Ratings'!K5,"")</f>
        <v/>
      </c>
      <c r="F2024">
        <f>IF(OR(A2024="",'Ratings'!K132=""),"",'Ratings'!K132)</f>
        <v/>
      </c>
      <c r="G2024">
        <f>IF(A2024="","",'Employees'!D13)</f>
        <v/>
      </c>
    </row>
    <row r="2025">
      <c r="A2025">
        <f>IF(AND('Ratings'!A132&lt;&gt;"",'Ratings'!L5&lt;&gt;""),'Ratings'!A132,"")</f>
        <v/>
      </c>
      <c r="B2025">
        <f>IF(A2025="","",'Employees'!C13)</f>
        <v/>
      </c>
      <c r="C2025">
        <f>IF(A2025="","",'Ratings'!C132)</f>
        <v/>
      </c>
      <c r="D2025">
        <f>IF(A2025="","",'Ratings'!D132)</f>
        <v/>
      </c>
      <c r="E2025">
        <f>IF(AND('Ratings'!A132&lt;&gt;"",'Ratings'!L5&lt;&gt;""),'Ratings'!L5,"")</f>
        <v/>
      </c>
      <c r="F2025">
        <f>IF(OR(A2025="",'Ratings'!L132=""),"",'Ratings'!L132)</f>
        <v/>
      </c>
      <c r="G2025">
        <f>IF(A2025="","",'Employees'!D13)</f>
        <v/>
      </c>
    </row>
    <row r="2026">
      <c r="A2026">
        <f>IF(AND('Ratings'!A132&lt;&gt;"",'Ratings'!M5&lt;&gt;""),'Ratings'!A132,"")</f>
        <v/>
      </c>
      <c r="B2026">
        <f>IF(A2026="","",'Employees'!C13)</f>
        <v/>
      </c>
      <c r="C2026">
        <f>IF(A2026="","",'Ratings'!C132)</f>
        <v/>
      </c>
      <c r="D2026">
        <f>IF(A2026="","",'Ratings'!D132)</f>
        <v/>
      </c>
      <c r="E2026">
        <f>IF(AND('Ratings'!A132&lt;&gt;"",'Ratings'!M5&lt;&gt;""),'Ratings'!M5,"")</f>
        <v/>
      </c>
      <c r="F2026">
        <f>IF(OR(A2026="",'Ratings'!M132=""),"",'Ratings'!M132)</f>
        <v/>
      </c>
      <c r="G2026">
        <f>IF(A2026="","",'Employees'!D13)</f>
        <v/>
      </c>
    </row>
    <row r="2027">
      <c r="A2027">
        <f>IF(AND('Ratings'!A132&lt;&gt;"",'Ratings'!N5&lt;&gt;""),'Ratings'!A132,"")</f>
        <v/>
      </c>
      <c r="B2027">
        <f>IF(A2027="","",'Employees'!C13)</f>
        <v/>
      </c>
      <c r="C2027">
        <f>IF(A2027="","",'Ratings'!C132)</f>
        <v/>
      </c>
      <c r="D2027">
        <f>IF(A2027="","",'Ratings'!D132)</f>
        <v/>
      </c>
      <c r="E2027">
        <f>IF(AND('Ratings'!A132&lt;&gt;"",'Ratings'!N5&lt;&gt;""),'Ratings'!N5,"")</f>
        <v/>
      </c>
      <c r="F2027">
        <f>IF(OR(A2027="",'Ratings'!N132=""),"",'Ratings'!N132)</f>
        <v/>
      </c>
      <c r="G2027">
        <f>IF(A2027="","",'Employees'!D13)</f>
        <v/>
      </c>
    </row>
    <row r="2028">
      <c r="A2028">
        <f>IF(AND('Ratings'!A132&lt;&gt;"",'Ratings'!O5&lt;&gt;""),'Ratings'!A132,"")</f>
        <v/>
      </c>
      <c r="B2028">
        <f>IF(A2028="","",'Employees'!C13)</f>
        <v/>
      </c>
      <c r="C2028">
        <f>IF(A2028="","",'Ratings'!C132)</f>
        <v/>
      </c>
      <c r="D2028">
        <f>IF(A2028="","",'Ratings'!D132)</f>
        <v/>
      </c>
      <c r="E2028">
        <f>IF(AND('Ratings'!A132&lt;&gt;"",'Ratings'!O5&lt;&gt;""),'Ratings'!O5,"")</f>
        <v/>
      </c>
      <c r="F2028">
        <f>IF(OR(A2028="",'Ratings'!O132=""),"",'Ratings'!O132)</f>
        <v/>
      </c>
      <c r="G2028">
        <f>IF(A2028="","",'Employees'!D13)</f>
        <v/>
      </c>
    </row>
    <row r="2029">
      <c r="A2029">
        <f>IF(AND('Ratings'!A132&lt;&gt;"",'Ratings'!P5&lt;&gt;""),'Ratings'!A132,"")</f>
        <v/>
      </c>
      <c r="B2029">
        <f>IF(A2029="","",'Employees'!C13)</f>
        <v/>
      </c>
      <c r="C2029">
        <f>IF(A2029="","",'Ratings'!C132)</f>
        <v/>
      </c>
      <c r="D2029">
        <f>IF(A2029="","",'Ratings'!D132)</f>
        <v/>
      </c>
      <c r="E2029">
        <f>IF(AND('Ratings'!A132&lt;&gt;"",'Ratings'!P5&lt;&gt;""),'Ratings'!P5,"")</f>
        <v/>
      </c>
      <c r="F2029">
        <f>IF(OR(A2029="",'Ratings'!P132=""),"",'Ratings'!P132)</f>
        <v/>
      </c>
      <c r="G2029">
        <f>IF(A2029="","",'Employees'!D13)</f>
        <v/>
      </c>
    </row>
    <row r="2030">
      <c r="A2030">
        <f>IF(AND('Ratings'!A132&lt;&gt;"",'Ratings'!Q5&lt;&gt;""),'Ratings'!A132,"")</f>
        <v/>
      </c>
      <c r="B2030">
        <f>IF(A2030="","",'Employees'!C13)</f>
        <v/>
      </c>
      <c r="C2030">
        <f>IF(A2030="","",'Ratings'!C132)</f>
        <v/>
      </c>
      <c r="D2030">
        <f>IF(A2030="","",'Ratings'!D132)</f>
        <v/>
      </c>
      <c r="E2030">
        <f>IF(AND('Ratings'!A132&lt;&gt;"",'Ratings'!Q5&lt;&gt;""),'Ratings'!Q5,"")</f>
        <v/>
      </c>
      <c r="F2030">
        <f>IF(OR(A2030="",'Ratings'!Q132=""),"",'Ratings'!Q132)</f>
        <v/>
      </c>
      <c r="G2030">
        <f>IF(A2030="","",'Employees'!D13)</f>
        <v/>
      </c>
    </row>
    <row r="2031">
      <c r="A2031">
        <f>IF(AND('Ratings'!A132&lt;&gt;"",'Ratings'!R5&lt;&gt;""),'Ratings'!A132,"")</f>
        <v/>
      </c>
      <c r="B2031">
        <f>IF(A2031="","",'Employees'!C13)</f>
        <v/>
      </c>
      <c r="C2031">
        <f>IF(A2031="","",'Ratings'!C132)</f>
        <v/>
      </c>
      <c r="D2031">
        <f>IF(A2031="","",'Ratings'!D132)</f>
        <v/>
      </c>
      <c r="E2031">
        <f>IF(AND('Ratings'!A132&lt;&gt;"",'Ratings'!R5&lt;&gt;""),'Ratings'!R5,"")</f>
        <v/>
      </c>
      <c r="F2031">
        <f>IF(OR(A2031="",'Ratings'!R132=""),"",'Ratings'!R132)</f>
        <v/>
      </c>
      <c r="G2031">
        <f>IF(A2031="","",'Employees'!D13)</f>
        <v/>
      </c>
    </row>
    <row r="2032">
      <c r="A2032">
        <f>IF(AND('Ratings'!A132&lt;&gt;"",'Ratings'!S5&lt;&gt;""),'Ratings'!A132,"")</f>
        <v/>
      </c>
      <c r="B2032">
        <f>IF(A2032="","",'Employees'!C13)</f>
        <v/>
      </c>
      <c r="C2032">
        <f>IF(A2032="","",'Ratings'!C132)</f>
        <v/>
      </c>
      <c r="D2032">
        <f>IF(A2032="","",'Ratings'!D132)</f>
        <v/>
      </c>
      <c r="E2032">
        <f>IF(AND('Ratings'!A132&lt;&gt;"",'Ratings'!S5&lt;&gt;""),'Ratings'!S5,"")</f>
        <v/>
      </c>
      <c r="F2032">
        <f>IF(OR(A2032="",'Ratings'!S132=""),"",'Ratings'!S132)</f>
        <v/>
      </c>
      <c r="G2032">
        <f>IF(A2032="","",'Employees'!D13)</f>
        <v/>
      </c>
    </row>
    <row r="2033">
      <c r="A2033">
        <f>IF(AND('Ratings'!A132&lt;&gt;"",'Ratings'!T5&lt;&gt;""),'Ratings'!A132,"")</f>
        <v/>
      </c>
      <c r="B2033">
        <f>IF(A2033="","",'Employees'!C13)</f>
        <v/>
      </c>
      <c r="C2033">
        <f>IF(A2033="","",'Ratings'!C132)</f>
        <v/>
      </c>
      <c r="D2033">
        <f>IF(A2033="","",'Ratings'!D132)</f>
        <v/>
      </c>
      <c r="E2033">
        <f>IF(AND('Ratings'!A132&lt;&gt;"",'Ratings'!T5&lt;&gt;""),'Ratings'!T5,"")</f>
        <v/>
      </c>
      <c r="F2033">
        <f>IF(OR(A2033="",'Ratings'!T132=""),"",'Ratings'!T132)</f>
        <v/>
      </c>
      <c r="G2033">
        <f>IF(A2033="","",'Employees'!D13)</f>
        <v/>
      </c>
    </row>
    <row r="2034">
      <c r="A2034">
        <f>IF(AND('Ratings'!A133&lt;&gt;"",'Ratings'!E5&lt;&gt;""),'Ratings'!A133,"")</f>
        <v/>
      </c>
      <c r="B2034">
        <f>IF(A2034="","",'Employees'!C13)</f>
        <v/>
      </c>
      <c r="C2034">
        <f>IF(A2034="","",'Ratings'!C133)</f>
        <v/>
      </c>
      <c r="D2034">
        <f>IF(A2034="","",'Ratings'!D133)</f>
        <v/>
      </c>
      <c r="E2034">
        <f>IF(AND('Ratings'!A133&lt;&gt;"",'Ratings'!E5&lt;&gt;""),'Ratings'!E5,"")</f>
        <v/>
      </c>
      <c r="F2034">
        <f>IF(OR(A2034="",'Ratings'!E133=""),"",'Ratings'!E133)</f>
        <v/>
      </c>
      <c r="G2034">
        <f>IF(A2034="","",'Employees'!D13)</f>
        <v/>
      </c>
    </row>
    <row r="2035">
      <c r="A2035">
        <f>IF(AND('Ratings'!A133&lt;&gt;"",'Ratings'!F5&lt;&gt;""),'Ratings'!A133,"")</f>
        <v/>
      </c>
      <c r="B2035">
        <f>IF(A2035="","",'Employees'!C13)</f>
        <v/>
      </c>
      <c r="C2035">
        <f>IF(A2035="","",'Ratings'!C133)</f>
        <v/>
      </c>
      <c r="D2035">
        <f>IF(A2035="","",'Ratings'!D133)</f>
        <v/>
      </c>
      <c r="E2035">
        <f>IF(AND('Ratings'!A133&lt;&gt;"",'Ratings'!F5&lt;&gt;""),'Ratings'!F5,"")</f>
        <v/>
      </c>
      <c r="F2035">
        <f>IF(OR(A2035="",'Ratings'!F133=""),"",'Ratings'!F133)</f>
        <v/>
      </c>
      <c r="G2035">
        <f>IF(A2035="","",'Employees'!D13)</f>
        <v/>
      </c>
    </row>
    <row r="2036">
      <c r="A2036">
        <f>IF(AND('Ratings'!A133&lt;&gt;"",'Ratings'!G5&lt;&gt;""),'Ratings'!A133,"")</f>
        <v/>
      </c>
      <c r="B2036">
        <f>IF(A2036="","",'Employees'!C13)</f>
        <v/>
      </c>
      <c r="C2036">
        <f>IF(A2036="","",'Ratings'!C133)</f>
        <v/>
      </c>
      <c r="D2036">
        <f>IF(A2036="","",'Ratings'!D133)</f>
        <v/>
      </c>
      <c r="E2036">
        <f>IF(AND('Ratings'!A133&lt;&gt;"",'Ratings'!G5&lt;&gt;""),'Ratings'!G5,"")</f>
        <v/>
      </c>
      <c r="F2036">
        <f>IF(OR(A2036="",'Ratings'!G133=""),"",'Ratings'!G133)</f>
        <v/>
      </c>
      <c r="G2036">
        <f>IF(A2036="","",'Employees'!D13)</f>
        <v/>
      </c>
    </row>
    <row r="2037">
      <c r="A2037">
        <f>IF(AND('Ratings'!A133&lt;&gt;"",'Ratings'!H5&lt;&gt;""),'Ratings'!A133,"")</f>
        <v/>
      </c>
      <c r="B2037">
        <f>IF(A2037="","",'Employees'!C13)</f>
        <v/>
      </c>
      <c r="C2037">
        <f>IF(A2037="","",'Ratings'!C133)</f>
        <v/>
      </c>
      <c r="D2037">
        <f>IF(A2037="","",'Ratings'!D133)</f>
        <v/>
      </c>
      <c r="E2037">
        <f>IF(AND('Ratings'!A133&lt;&gt;"",'Ratings'!H5&lt;&gt;""),'Ratings'!H5,"")</f>
        <v/>
      </c>
      <c r="F2037">
        <f>IF(OR(A2037="",'Ratings'!H133=""),"",'Ratings'!H133)</f>
        <v/>
      </c>
      <c r="G2037">
        <f>IF(A2037="","",'Employees'!D13)</f>
        <v/>
      </c>
    </row>
    <row r="2038">
      <c r="A2038">
        <f>IF(AND('Ratings'!A133&lt;&gt;"",'Ratings'!I5&lt;&gt;""),'Ratings'!A133,"")</f>
        <v/>
      </c>
      <c r="B2038">
        <f>IF(A2038="","",'Employees'!C13)</f>
        <v/>
      </c>
      <c r="C2038">
        <f>IF(A2038="","",'Ratings'!C133)</f>
        <v/>
      </c>
      <c r="D2038">
        <f>IF(A2038="","",'Ratings'!D133)</f>
        <v/>
      </c>
      <c r="E2038">
        <f>IF(AND('Ratings'!A133&lt;&gt;"",'Ratings'!I5&lt;&gt;""),'Ratings'!I5,"")</f>
        <v/>
      </c>
      <c r="F2038">
        <f>IF(OR(A2038="",'Ratings'!I133=""),"",'Ratings'!I133)</f>
        <v/>
      </c>
      <c r="G2038">
        <f>IF(A2038="","",'Employees'!D13)</f>
        <v/>
      </c>
    </row>
    <row r="2039">
      <c r="A2039">
        <f>IF(AND('Ratings'!A133&lt;&gt;"",'Ratings'!J5&lt;&gt;""),'Ratings'!A133,"")</f>
        <v/>
      </c>
      <c r="B2039">
        <f>IF(A2039="","",'Employees'!C13)</f>
        <v/>
      </c>
      <c r="C2039">
        <f>IF(A2039="","",'Ratings'!C133)</f>
        <v/>
      </c>
      <c r="D2039">
        <f>IF(A2039="","",'Ratings'!D133)</f>
        <v/>
      </c>
      <c r="E2039">
        <f>IF(AND('Ratings'!A133&lt;&gt;"",'Ratings'!J5&lt;&gt;""),'Ratings'!J5,"")</f>
        <v/>
      </c>
      <c r="F2039">
        <f>IF(OR(A2039="",'Ratings'!J133=""),"",'Ratings'!J133)</f>
        <v/>
      </c>
      <c r="G2039">
        <f>IF(A2039="","",'Employees'!D13)</f>
        <v/>
      </c>
    </row>
    <row r="2040">
      <c r="A2040">
        <f>IF(AND('Ratings'!A133&lt;&gt;"",'Ratings'!K5&lt;&gt;""),'Ratings'!A133,"")</f>
        <v/>
      </c>
      <c r="B2040">
        <f>IF(A2040="","",'Employees'!C13)</f>
        <v/>
      </c>
      <c r="C2040">
        <f>IF(A2040="","",'Ratings'!C133)</f>
        <v/>
      </c>
      <c r="D2040">
        <f>IF(A2040="","",'Ratings'!D133)</f>
        <v/>
      </c>
      <c r="E2040">
        <f>IF(AND('Ratings'!A133&lt;&gt;"",'Ratings'!K5&lt;&gt;""),'Ratings'!K5,"")</f>
        <v/>
      </c>
      <c r="F2040">
        <f>IF(OR(A2040="",'Ratings'!K133=""),"",'Ratings'!K133)</f>
        <v/>
      </c>
      <c r="G2040">
        <f>IF(A2040="","",'Employees'!D13)</f>
        <v/>
      </c>
    </row>
    <row r="2041">
      <c r="A2041">
        <f>IF(AND('Ratings'!A133&lt;&gt;"",'Ratings'!L5&lt;&gt;""),'Ratings'!A133,"")</f>
        <v/>
      </c>
      <c r="B2041">
        <f>IF(A2041="","",'Employees'!C13)</f>
        <v/>
      </c>
      <c r="C2041">
        <f>IF(A2041="","",'Ratings'!C133)</f>
        <v/>
      </c>
      <c r="D2041">
        <f>IF(A2041="","",'Ratings'!D133)</f>
        <v/>
      </c>
      <c r="E2041">
        <f>IF(AND('Ratings'!A133&lt;&gt;"",'Ratings'!L5&lt;&gt;""),'Ratings'!L5,"")</f>
        <v/>
      </c>
      <c r="F2041">
        <f>IF(OR(A2041="",'Ratings'!L133=""),"",'Ratings'!L133)</f>
        <v/>
      </c>
      <c r="G2041">
        <f>IF(A2041="","",'Employees'!D13)</f>
        <v/>
      </c>
    </row>
    <row r="2042">
      <c r="A2042">
        <f>IF(AND('Ratings'!A133&lt;&gt;"",'Ratings'!M5&lt;&gt;""),'Ratings'!A133,"")</f>
        <v/>
      </c>
      <c r="B2042">
        <f>IF(A2042="","",'Employees'!C13)</f>
        <v/>
      </c>
      <c r="C2042">
        <f>IF(A2042="","",'Ratings'!C133)</f>
        <v/>
      </c>
      <c r="D2042">
        <f>IF(A2042="","",'Ratings'!D133)</f>
        <v/>
      </c>
      <c r="E2042">
        <f>IF(AND('Ratings'!A133&lt;&gt;"",'Ratings'!M5&lt;&gt;""),'Ratings'!M5,"")</f>
        <v/>
      </c>
      <c r="F2042">
        <f>IF(OR(A2042="",'Ratings'!M133=""),"",'Ratings'!M133)</f>
        <v/>
      </c>
      <c r="G2042">
        <f>IF(A2042="","",'Employees'!D13)</f>
        <v/>
      </c>
    </row>
    <row r="2043">
      <c r="A2043">
        <f>IF(AND('Ratings'!A133&lt;&gt;"",'Ratings'!N5&lt;&gt;""),'Ratings'!A133,"")</f>
        <v/>
      </c>
      <c r="B2043">
        <f>IF(A2043="","",'Employees'!C13)</f>
        <v/>
      </c>
      <c r="C2043">
        <f>IF(A2043="","",'Ratings'!C133)</f>
        <v/>
      </c>
      <c r="D2043">
        <f>IF(A2043="","",'Ratings'!D133)</f>
        <v/>
      </c>
      <c r="E2043">
        <f>IF(AND('Ratings'!A133&lt;&gt;"",'Ratings'!N5&lt;&gt;""),'Ratings'!N5,"")</f>
        <v/>
      </c>
      <c r="F2043">
        <f>IF(OR(A2043="",'Ratings'!N133=""),"",'Ratings'!N133)</f>
        <v/>
      </c>
      <c r="G2043">
        <f>IF(A2043="","",'Employees'!D13)</f>
        <v/>
      </c>
    </row>
    <row r="2044">
      <c r="A2044">
        <f>IF(AND('Ratings'!A133&lt;&gt;"",'Ratings'!O5&lt;&gt;""),'Ratings'!A133,"")</f>
        <v/>
      </c>
      <c r="B2044">
        <f>IF(A2044="","",'Employees'!C13)</f>
        <v/>
      </c>
      <c r="C2044">
        <f>IF(A2044="","",'Ratings'!C133)</f>
        <v/>
      </c>
      <c r="D2044">
        <f>IF(A2044="","",'Ratings'!D133)</f>
        <v/>
      </c>
      <c r="E2044">
        <f>IF(AND('Ratings'!A133&lt;&gt;"",'Ratings'!O5&lt;&gt;""),'Ratings'!O5,"")</f>
        <v/>
      </c>
      <c r="F2044">
        <f>IF(OR(A2044="",'Ratings'!O133=""),"",'Ratings'!O133)</f>
        <v/>
      </c>
      <c r="G2044">
        <f>IF(A2044="","",'Employees'!D13)</f>
        <v/>
      </c>
    </row>
    <row r="2045">
      <c r="A2045">
        <f>IF(AND('Ratings'!A133&lt;&gt;"",'Ratings'!P5&lt;&gt;""),'Ratings'!A133,"")</f>
        <v/>
      </c>
      <c r="B2045">
        <f>IF(A2045="","",'Employees'!C13)</f>
        <v/>
      </c>
      <c r="C2045">
        <f>IF(A2045="","",'Ratings'!C133)</f>
        <v/>
      </c>
      <c r="D2045">
        <f>IF(A2045="","",'Ratings'!D133)</f>
        <v/>
      </c>
      <c r="E2045">
        <f>IF(AND('Ratings'!A133&lt;&gt;"",'Ratings'!P5&lt;&gt;""),'Ratings'!P5,"")</f>
        <v/>
      </c>
      <c r="F2045">
        <f>IF(OR(A2045="",'Ratings'!P133=""),"",'Ratings'!P133)</f>
        <v/>
      </c>
      <c r="G2045">
        <f>IF(A2045="","",'Employees'!D13)</f>
        <v/>
      </c>
    </row>
    <row r="2046">
      <c r="A2046">
        <f>IF(AND('Ratings'!A133&lt;&gt;"",'Ratings'!Q5&lt;&gt;""),'Ratings'!A133,"")</f>
        <v/>
      </c>
      <c r="B2046">
        <f>IF(A2046="","",'Employees'!C13)</f>
        <v/>
      </c>
      <c r="C2046">
        <f>IF(A2046="","",'Ratings'!C133)</f>
        <v/>
      </c>
      <c r="D2046">
        <f>IF(A2046="","",'Ratings'!D133)</f>
        <v/>
      </c>
      <c r="E2046">
        <f>IF(AND('Ratings'!A133&lt;&gt;"",'Ratings'!Q5&lt;&gt;""),'Ratings'!Q5,"")</f>
        <v/>
      </c>
      <c r="F2046">
        <f>IF(OR(A2046="",'Ratings'!Q133=""),"",'Ratings'!Q133)</f>
        <v/>
      </c>
      <c r="G2046">
        <f>IF(A2046="","",'Employees'!D13)</f>
        <v/>
      </c>
    </row>
    <row r="2047">
      <c r="A2047">
        <f>IF(AND('Ratings'!A133&lt;&gt;"",'Ratings'!R5&lt;&gt;""),'Ratings'!A133,"")</f>
        <v/>
      </c>
      <c r="B2047">
        <f>IF(A2047="","",'Employees'!C13)</f>
        <v/>
      </c>
      <c r="C2047">
        <f>IF(A2047="","",'Ratings'!C133)</f>
        <v/>
      </c>
      <c r="D2047">
        <f>IF(A2047="","",'Ratings'!D133)</f>
        <v/>
      </c>
      <c r="E2047">
        <f>IF(AND('Ratings'!A133&lt;&gt;"",'Ratings'!R5&lt;&gt;""),'Ratings'!R5,"")</f>
        <v/>
      </c>
      <c r="F2047">
        <f>IF(OR(A2047="",'Ratings'!R133=""),"",'Ratings'!R133)</f>
        <v/>
      </c>
      <c r="G2047">
        <f>IF(A2047="","",'Employees'!D13)</f>
        <v/>
      </c>
    </row>
    <row r="2048">
      <c r="A2048">
        <f>IF(AND('Ratings'!A133&lt;&gt;"",'Ratings'!S5&lt;&gt;""),'Ratings'!A133,"")</f>
        <v/>
      </c>
      <c r="B2048">
        <f>IF(A2048="","",'Employees'!C13)</f>
        <v/>
      </c>
      <c r="C2048">
        <f>IF(A2048="","",'Ratings'!C133)</f>
        <v/>
      </c>
      <c r="D2048">
        <f>IF(A2048="","",'Ratings'!D133)</f>
        <v/>
      </c>
      <c r="E2048">
        <f>IF(AND('Ratings'!A133&lt;&gt;"",'Ratings'!S5&lt;&gt;""),'Ratings'!S5,"")</f>
        <v/>
      </c>
      <c r="F2048">
        <f>IF(OR(A2048="",'Ratings'!S133=""),"",'Ratings'!S133)</f>
        <v/>
      </c>
      <c r="G2048">
        <f>IF(A2048="","",'Employees'!D13)</f>
        <v/>
      </c>
    </row>
    <row r="2049">
      <c r="A2049">
        <f>IF(AND('Ratings'!A133&lt;&gt;"",'Ratings'!T5&lt;&gt;""),'Ratings'!A133,"")</f>
        <v/>
      </c>
      <c r="B2049">
        <f>IF(A2049="","",'Employees'!C13)</f>
        <v/>
      </c>
      <c r="C2049">
        <f>IF(A2049="","",'Ratings'!C133)</f>
        <v/>
      </c>
      <c r="D2049">
        <f>IF(A2049="","",'Ratings'!D133)</f>
        <v/>
      </c>
      <c r="E2049">
        <f>IF(AND('Ratings'!A133&lt;&gt;"",'Ratings'!T5&lt;&gt;""),'Ratings'!T5,"")</f>
        <v/>
      </c>
      <c r="F2049">
        <f>IF(OR(A2049="",'Ratings'!T133=""),"",'Ratings'!T133)</f>
        <v/>
      </c>
      <c r="G2049">
        <f>IF(A2049="","",'Employees'!D13)</f>
        <v/>
      </c>
    </row>
    <row r="2050">
      <c r="A2050">
        <f>IF(AND('Ratings'!A134&lt;&gt;"",'Ratings'!E5&lt;&gt;""),'Ratings'!A134,"")</f>
        <v/>
      </c>
      <c r="B2050">
        <f>IF(A2050="","",'Employees'!C14)</f>
        <v/>
      </c>
      <c r="C2050">
        <f>IF(A2050="","",'Ratings'!C134)</f>
        <v/>
      </c>
      <c r="D2050">
        <f>IF(A2050="","",'Ratings'!D134)</f>
        <v/>
      </c>
      <c r="E2050">
        <f>IF(AND('Ratings'!A134&lt;&gt;"",'Ratings'!E5&lt;&gt;""),'Ratings'!E5,"")</f>
        <v/>
      </c>
      <c r="F2050">
        <f>IF(OR(A2050="",'Ratings'!E134=""),"",'Ratings'!E134)</f>
        <v/>
      </c>
      <c r="G2050">
        <f>IF(A2050="","",'Employees'!D14)</f>
        <v/>
      </c>
    </row>
    <row r="2051">
      <c r="A2051">
        <f>IF(AND('Ratings'!A134&lt;&gt;"",'Ratings'!F5&lt;&gt;""),'Ratings'!A134,"")</f>
        <v/>
      </c>
      <c r="B2051">
        <f>IF(A2051="","",'Employees'!C14)</f>
        <v/>
      </c>
      <c r="C2051">
        <f>IF(A2051="","",'Ratings'!C134)</f>
        <v/>
      </c>
      <c r="D2051">
        <f>IF(A2051="","",'Ratings'!D134)</f>
        <v/>
      </c>
      <c r="E2051">
        <f>IF(AND('Ratings'!A134&lt;&gt;"",'Ratings'!F5&lt;&gt;""),'Ratings'!F5,"")</f>
        <v/>
      </c>
      <c r="F2051">
        <f>IF(OR(A2051="",'Ratings'!F134=""),"",'Ratings'!F134)</f>
        <v/>
      </c>
      <c r="G2051">
        <f>IF(A2051="","",'Employees'!D14)</f>
        <v/>
      </c>
    </row>
    <row r="2052">
      <c r="A2052">
        <f>IF(AND('Ratings'!A134&lt;&gt;"",'Ratings'!G5&lt;&gt;""),'Ratings'!A134,"")</f>
        <v/>
      </c>
      <c r="B2052">
        <f>IF(A2052="","",'Employees'!C14)</f>
        <v/>
      </c>
      <c r="C2052">
        <f>IF(A2052="","",'Ratings'!C134)</f>
        <v/>
      </c>
      <c r="D2052">
        <f>IF(A2052="","",'Ratings'!D134)</f>
        <v/>
      </c>
      <c r="E2052">
        <f>IF(AND('Ratings'!A134&lt;&gt;"",'Ratings'!G5&lt;&gt;""),'Ratings'!G5,"")</f>
        <v/>
      </c>
      <c r="F2052">
        <f>IF(OR(A2052="",'Ratings'!G134=""),"",'Ratings'!G134)</f>
        <v/>
      </c>
      <c r="G2052">
        <f>IF(A2052="","",'Employees'!D14)</f>
        <v/>
      </c>
    </row>
    <row r="2053">
      <c r="A2053">
        <f>IF(AND('Ratings'!A134&lt;&gt;"",'Ratings'!H5&lt;&gt;""),'Ratings'!A134,"")</f>
        <v/>
      </c>
      <c r="B2053">
        <f>IF(A2053="","",'Employees'!C14)</f>
        <v/>
      </c>
      <c r="C2053">
        <f>IF(A2053="","",'Ratings'!C134)</f>
        <v/>
      </c>
      <c r="D2053">
        <f>IF(A2053="","",'Ratings'!D134)</f>
        <v/>
      </c>
      <c r="E2053">
        <f>IF(AND('Ratings'!A134&lt;&gt;"",'Ratings'!H5&lt;&gt;""),'Ratings'!H5,"")</f>
        <v/>
      </c>
      <c r="F2053">
        <f>IF(OR(A2053="",'Ratings'!H134=""),"",'Ratings'!H134)</f>
        <v/>
      </c>
      <c r="G2053">
        <f>IF(A2053="","",'Employees'!D14)</f>
        <v/>
      </c>
    </row>
    <row r="2054">
      <c r="A2054">
        <f>IF(AND('Ratings'!A134&lt;&gt;"",'Ratings'!I5&lt;&gt;""),'Ratings'!A134,"")</f>
        <v/>
      </c>
      <c r="B2054">
        <f>IF(A2054="","",'Employees'!C14)</f>
        <v/>
      </c>
      <c r="C2054">
        <f>IF(A2054="","",'Ratings'!C134)</f>
        <v/>
      </c>
      <c r="D2054">
        <f>IF(A2054="","",'Ratings'!D134)</f>
        <v/>
      </c>
      <c r="E2054">
        <f>IF(AND('Ratings'!A134&lt;&gt;"",'Ratings'!I5&lt;&gt;""),'Ratings'!I5,"")</f>
        <v/>
      </c>
      <c r="F2054">
        <f>IF(OR(A2054="",'Ratings'!I134=""),"",'Ratings'!I134)</f>
        <v/>
      </c>
      <c r="G2054">
        <f>IF(A2054="","",'Employees'!D14)</f>
        <v/>
      </c>
    </row>
    <row r="2055">
      <c r="A2055">
        <f>IF(AND('Ratings'!A134&lt;&gt;"",'Ratings'!J5&lt;&gt;""),'Ratings'!A134,"")</f>
        <v/>
      </c>
      <c r="B2055">
        <f>IF(A2055="","",'Employees'!C14)</f>
        <v/>
      </c>
      <c r="C2055">
        <f>IF(A2055="","",'Ratings'!C134)</f>
        <v/>
      </c>
      <c r="D2055">
        <f>IF(A2055="","",'Ratings'!D134)</f>
        <v/>
      </c>
      <c r="E2055">
        <f>IF(AND('Ratings'!A134&lt;&gt;"",'Ratings'!J5&lt;&gt;""),'Ratings'!J5,"")</f>
        <v/>
      </c>
      <c r="F2055">
        <f>IF(OR(A2055="",'Ratings'!J134=""),"",'Ratings'!J134)</f>
        <v/>
      </c>
      <c r="G2055">
        <f>IF(A2055="","",'Employees'!D14)</f>
        <v/>
      </c>
    </row>
    <row r="2056">
      <c r="A2056">
        <f>IF(AND('Ratings'!A134&lt;&gt;"",'Ratings'!K5&lt;&gt;""),'Ratings'!A134,"")</f>
        <v/>
      </c>
      <c r="B2056">
        <f>IF(A2056="","",'Employees'!C14)</f>
        <v/>
      </c>
      <c r="C2056">
        <f>IF(A2056="","",'Ratings'!C134)</f>
        <v/>
      </c>
      <c r="D2056">
        <f>IF(A2056="","",'Ratings'!D134)</f>
        <v/>
      </c>
      <c r="E2056">
        <f>IF(AND('Ratings'!A134&lt;&gt;"",'Ratings'!K5&lt;&gt;""),'Ratings'!K5,"")</f>
        <v/>
      </c>
      <c r="F2056">
        <f>IF(OR(A2056="",'Ratings'!K134=""),"",'Ratings'!K134)</f>
        <v/>
      </c>
      <c r="G2056">
        <f>IF(A2056="","",'Employees'!D14)</f>
        <v/>
      </c>
    </row>
    <row r="2057">
      <c r="A2057">
        <f>IF(AND('Ratings'!A134&lt;&gt;"",'Ratings'!L5&lt;&gt;""),'Ratings'!A134,"")</f>
        <v/>
      </c>
      <c r="B2057">
        <f>IF(A2057="","",'Employees'!C14)</f>
        <v/>
      </c>
      <c r="C2057">
        <f>IF(A2057="","",'Ratings'!C134)</f>
        <v/>
      </c>
      <c r="D2057">
        <f>IF(A2057="","",'Ratings'!D134)</f>
        <v/>
      </c>
      <c r="E2057">
        <f>IF(AND('Ratings'!A134&lt;&gt;"",'Ratings'!L5&lt;&gt;""),'Ratings'!L5,"")</f>
        <v/>
      </c>
      <c r="F2057">
        <f>IF(OR(A2057="",'Ratings'!L134=""),"",'Ratings'!L134)</f>
        <v/>
      </c>
      <c r="G2057">
        <f>IF(A2057="","",'Employees'!D14)</f>
        <v/>
      </c>
    </row>
    <row r="2058">
      <c r="A2058">
        <f>IF(AND('Ratings'!A134&lt;&gt;"",'Ratings'!M5&lt;&gt;""),'Ratings'!A134,"")</f>
        <v/>
      </c>
      <c r="B2058">
        <f>IF(A2058="","",'Employees'!C14)</f>
        <v/>
      </c>
      <c r="C2058">
        <f>IF(A2058="","",'Ratings'!C134)</f>
        <v/>
      </c>
      <c r="D2058">
        <f>IF(A2058="","",'Ratings'!D134)</f>
        <v/>
      </c>
      <c r="E2058">
        <f>IF(AND('Ratings'!A134&lt;&gt;"",'Ratings'!M5&lt;&gt;""),'Ratings'!M5,"")</f>
        <v/>
      </c>
      <c r="F2058">
        <f>IF(OR(A2058="",'Ratings'!M134=""),"",'Ratings'!M134)</f>
        <v/>
      </c>
      <c r="G2058">
        <f>IF(A2058="","",'Employees'!D14)</f>
        <v/>
      </c>
    </row>
    <row r="2059">
      <c r="A2059">
        <f>IF(AND('Ratings'!A134&lt;&gt;"",'Ratings'!N5&lt;&gt;""),'Ratings'!A134,"")</f>
        <v/>
      </c>
      <c r="B2059">
        <f>IF(A2059="","",'Employees'!C14)</f>
        <v/>
      </c>
      <c r="C2059">
        <f>IF(A2059="","",'Ratings'!C134)</f>
        <v/>
      </c>
      <c r="D2059">
        <f>IF(A2059="","",'Ratings'!D134)</f>
        <v/>
      </c>
      <c r="E2059">
        <f>IF(AND('Ratings'!A134&lt;&gt;"",'Ratings'!N5&lt;&gt;""),'Ratings'!N5,"")</f>
        <v/>
      </c>
      <c r="F2059">
        <f>IF(OR(A2059="",'Ratings'!N134=""),"",'Ratings'!N134)</f>
        <v/>
      </c>
      <c r="G2059">
        <f>IF(A2059="","",'Employees'!D14)</f>
        <v/>
      </c>
    </row>
    <row r="2060">
      <c r="A2060">
        <f>IF(AND('Ratings'!A134&lt;&gt;"",'Ratings'!O5&lt;&gt;""),'Ratings'!A134,"")</f>
        <v/>
      </c>
      <c r="B2060">
        <f>IF(A2060="","",'Employees'!C14)</f>
        <v/>
      </c>
      <c r="C2060">
        <f>IF(A2060="","",'Ratings'!C134)</f>
        <v/>
      </c>
      <c r="D2060">
        <f>IF(A2060="","",'Ratings'!D134)</f>
        <v/>
      </c>
      <c r="E2060">
        <f>IF(AND('Ratings'!A134&lt;&gt;"",'Ratings'!O5&lt;&gt;""),'Ratings'!O5,"")</f>
        <v/>
      </c>
      <c r="F2060">
        <f>IF(OR(A2060="",'Ratings'!O134=""),"",'Ratings'!O134)</f>
        <v/>
      </c>
      <c r="G2060">
        <f>IF(A2060="","",'Employees'!D14)</f>
        <v/>
      </c>
    </row>
    <row r="2061">
      <c r="A2061">
        <f>IF(AND('Ratings'!A134&lt;&gt;"",'Ratings'!P5&lt;&gt;""),'Ratings'!A134,"")</f>
        <v/>
      </c>
      <c r="B2061">
        <f>IF(A2061="","",'Employees'!C14)</f>
        <v/>
      </c>
      <c r="C2061">
        <f>IF(A2061="","",'Ratings'!C134)</f>
        <v/>
      </c>
      <c r="D2061">
        <f>IF(A2061="","",'Ratings'!D134)</f>
        <v/>
      </c>
      <c r="E2061">
        <f>IF(AND('Ratings'!A134&lt;&gt;"",'Ratings'!P5&lt;&gt;""),'Ratings'!P5,"")</f>
        <v/>
      </c>
      <c r="F2061">
        <f>IF(OR(A2061="",'Ratings'!P134=""),"",'Ratings'!P134)</f>
        <v/>
      </c>
      <c r="G2061">
        <f>IF(A2061="","",'Employees'!D14)</f>
        <v/>
      </c>
    </row>
    <row r="2062">
      <c r="A2062">
        <f>IF(AND('Ratings'!A134&lt;&gt;"",'Ratings'!Q5&lt;&gt;""),'Ratings'!A134,"")</f>
        <v/>
      </c>
      <c r="B2062">
        <f>IF(A2062="","",'Employees'!C14)</f>
        <v/>
      </c>
      <c r="C2062">
        <f>IF(A2062="","",'Ratings'!C134)</f>
        <v/>
      </c>
      <c r="D2062">
        <f>IF(A2062="","",'Ratings'!D134)</f>
        <v/>
      </c>
      <c r="E2062">
        <f>IF(AND('Ratings'!A134&lt;&gt;"",'Ratings'!Q5&lt;&gt;""),'Ratings'!Q5,"")</f>
        <v/>
      </c>
      <c r="F2062">
        <f>IF(OR(A2062="",'Ratings'!Q134=""),"",'Ratings'!Q134)</f>
        <v/>
      </c>
      <c r="G2062">
        <f>IF(A2062="","",'Employees'!D14)</f>
        <v/>
      </c>
    </row>
    <row r="2063">
      <c r="A2063">
        <f>IF(AND('Ratings'!A134&lt;&gt;"",'Ratings'!R5&lt;&gt;""),'Ratings'!A134,"")</f>
        <v/>
      </c>
      <c r="B2063">
        <f>IF(A2063="","",'Employees'!C14)</f>
        <v/>
      </c>
      <c r="C2063">
        <f>IF(A2063="","",'Ratings'!C134)</f>
        <v/>
      </c>
      <c r="D2063">
        <f>IF(A2063="","",'Ratings'!D134)</f>
        <v/>
      </c>
      <c r="E2063">
        <f>IF(AND('Ratings'!A134&lt;&gt;"",'Ratings'!R5&lt;&gt;""),'Ratings'!R5,"")</f>
        <v/>
      </c>
      <c r="F2063">
        <f>IF(OR(A2063="",'Ratings'!R134=""),"",'Ratings'!R134)</f>
        <v/>
      </c>
      <c r="G2063">
        <f>IF(A2063="","",'Employees'!D14)</f>
        <v/>
      </c>
    </row>
    <row r="2064">
      <c r="A2064">
        <f>IF(AND('Ratings'!A134&lt;&gt;"",'Ratings'!S5&lt;&gt;""),'Ratings'!A134,"")</f>
        <v/>
      </c>
      <c r="B2064">
        <f>IF(A2064="","",'Employees'!C14)</f>
        <v/>
      </c>
      <c r="C2064">
        <f>IF(A2064="","",'Ratings'!C134)</f>
        <v/>
      </c>
      <c r="D2064">
        <f>IF(A2064="","",'Ratings'!D134)</f>
        <v/>
      </c>
      <c r="E2064">
        <f>IF(AND('Ratings'!A134&lt;&gt;"",'Ratings'!S5&lt;&gt;""),'Ratings'!S5,"")</f>
        <v/>
      </c>
      <c r="F2064">
        <f>IF(OR(A2064="",'Ratings'!S134=""),"",'Ratings'!S134)</f>
        <v/>
      </c>
      <c r="G2064">
        <f>IF(A2064="","",'Employees'!D14)</f>
        <v/>
      </c>
    </row>
    <row r="2065">
      <c r="A2065">
        <f>IF(AND('Ratings'!A134&lt;&gt;"",'Ratings'!T5&lt;&gt;""),'Ratings'!A134,"")</f>
        <v/>
      </c>
      <c r="B2065">
        <f>IF(A2065="","",'Employees'!C14)</f>
        <v/>
      </c>
      <c r="C2065">
        <f>IF(A2065="","",'Ratings'!C134)</f>
        <v/>
      </c>
      <c r="D2065">
        <f>IF(A2065="","",'Ratings'!D134)</f>
        <v/>
      </c>
      <c r="E2065">
        <f>IF(AND('Ratings'!A134&lt;&gt;"",'Ratings'!T5&lt;&gt;""),'Ratings'!T5,"")</f>
        <v/>
      </c>
      <c r="F2065">
        <f>IF(OR(A2065="",'Ratings'!T134=""),"",'Ratings'!T134)</f>
        <v/>
      </c>
      <c r="G2065">
        <f>IF(A2065="","",'Employees'!D14)</f>
        <v/>
      </c>
    </row>
    <row r="2066">
      <c r="A2066">
        <f>IF(AND('Ratings'!A135&lt;&gt;"",'Ratings'!E5&lt;&gt;""),'Ratings'!A135,"")</f>
        <v/>
      </c>
      <c r="B2066">
        <f>IF(A2066="","",'Employees'!C14)</f>
        <v/>
      </c>
      <c r="C2066">
        <f>IF(A2066="","",'Ratings'!C135)</f>
        <v/>
      </c>
      <c r="D2066">
        <f>IF(A2066="","",'Ratings'!D135)</f>
        <v/>
      </c>
      <c r="E2066">
        <f>IF(AND('Ratings'!A135&lt;&gt;"",'Ratings'!E5&lt;&gt;""),'Ratings'!E5,"")</f>
        <v/>
      </c>
      <c r="F2066">
        <f>IF(OR(A2066="",'Ratings'!E135=""),"",'Ratings'!E135)</f>
        <v/>
      </c>
      <c r="G2066">
        <f>IF(A2066="","",'Employees'!D14)</f>
        <v/>
      </c>
    </row>
    <row r="2067">
      <c r="A2067">
        <f>IF(AND('Ratings'!A135&lt;&gt;"",'Ratings'!F5&lt;&gt;""),'Ratings'!A135,"")</f>
        <v/>
      </c>
      <c r="B2067">
        <f>IF(A2067="","",'Employees'!C14)</f>
        <v/>
      </c>
      <c r="C2067">
        <f>IF(A2067="","",'Ratings'!C135)</f>
        <v/>
      </c>
      <c r="D2067">
        <f>IF(A2067="","",'Ratings'!D135)</f>
        <v/>
      </c>
      <c r="E2067">
        <f>IF(AND('Ratings'!A135&lt;&gt;"",'Ratings'!F5&lt;&gt;""),'Ratings'!F5,"")</f>
        <v/>
      </c>
      <c r="F2067">
        <f>IF(OR(A2067="",'Ratings'!F135=""),"",'Ratings'!F135)</f>
        <v/>
      </c>
      <c r="G2067">
        <f>IF(A2067="","",'Employees'!D14)</f>
        <v/>
      </c>
    </row>
    <row r="2068">
      <c r="A2068">
        <f>IF(AND('Ratings'!A135&lt;&gt;"",'Ratings'!G5&lt;&gt;""),'Ratings'!A135,"")</f>
        <v/>
      </c>
      <c r="B2068">
        <f>IF(A2068="","",'Employees'!C14)</f>
        <v/>
      </c>
      <c r="C2068">
        <f>IF(A2068="","",'Ratings'!C135)</f>
        <v/>
      </c>
      <c r="D2068">
        <f>IF(A2068="","",'Ratings'!D135)</f>
        <v/>
      </c>
      <c r="E2068">
        <f>IF(AND('Ratings'!A135&lt;&gt;"",'Ratings'!G5&lt;&gt;""),'Ratings'!G5,"")</f>
        <v/>
      </c>
      <c r="F2068">
        <f>IF(OR(A2068="",'Ratings'!G135=""),"",'Ratings'!G135)</f>
        <v/>
      </c>
      <c r="G2068">
        <f>IF(A2068="","",'Employees'!D14)</f>
        <v/>
      </c>
    </row>
    <row r="2069">
      <c r="A2069">
        <f>IF(AND('Ratings'!A135&lt;&gt;"",'Ratings'!H5&lt;&gt;""),'Ratings'!A135,"")</f>
        <v/>
      </c>
      <c r="B2069">
        <f>IF(A2069="","",'Employees'!C14)</f>
        <v/>
      </c>
      <c r="C2069">
        <f>IF(A2069="","",'Ratings'!C135)</f>
        <v/>
      </c>
      <c r="D2069">
        <f>IF(A2069="","",'Ratings'!D135)</f>
        <v/>
      </c>
      <c r="E2069">
        <f>IF(AND('Ratings'!A135&lt;&gt;"",'Ratings'!H5&lt;&gt;""),'Ratings'!H5,"")</f>
        <v/>
      </c>
      <c r="F2069">
        <f>IF(OR(A2069="",'Ratings'!H135=""),"",'Ratings'!H135)</f>
        <v/>
      </c>
      <c r="G2069">
        <f>IF(A2069="","",'Employees'!D14)</f>
        <v/>
      </c>
    </row>
    <row r="2070">
      <c r="A2070">
        <f>IF(AND('Ratings'!A135&lt;&gt;"",'Ratings'!I5&lt;&gt;""),'Ratings'!A135,"")</f>
        <v/>
      </c>
      <c r="B2070">
        <f>IF(A2070="","",'Employees'!C14)</f>
        <v/>
      </c>
      <c r="C2070">
        <f>IF(A2070="","",'Ratings'!C135)</f>
        <v/>
      </c>
      <c r="D2070">
        <f>IF(A2070="","",'Ratings'!D135)</f>
        <v/>
      </c>
      <c r="E2070">
        <f>IF(AND('Ratings'!A135&lt;&gt;"",'Ratings'!I5&lt;&gt;""),'Ratings'!I5,"")</f>
        <v/>
      </c>
      <c r="F2070">
        <f>IF(OR(A2070="",'Ratings'!I135=""),"",'Ratings'!I135)</f>
        <v/>
      </c>
      <c r="G2070">
        <f>IF(A2070="","",'Employees'!D14)</f>
        <v/>
      </c>
    </row>
    <row r="2071">
      <c r="A2071">
        <f>IF(AND('Ratings'!A135&lt;&gt;"",'Ratings'!J5&lt;&gt;""),'Ratings'!A135,"")</f>
        <v/>
      </c>
      <c r="B2071">
        <f>IF(A2071="","",'Employees'!C14)</f>
        <v/>
      </c>
      <c r="C2071">
        <f>IF(A2071="","",'Ratings'!C135)</f>
        <v/>
      </c>
      <c r="D2071">
        <f>IF(A2071="","",'Ratings'!D135)</f>
        <v/>
      </c>
      <c r="E2071">
        <f>IF(AND('Ratings'!A135&lt;&gt;"",'Ratings'!J5&lt;&gt;""),'Ratings'!J5,"")</f>
        <v/>
      </c>
      <c r="F2071">
        <f>IF(OR(A2071="",'Ratings'!J135=""),"",'Ratings'!J135)</f>
        <v/>
      </c>
      <c r="G2071">
        <f>IF(A2071="","",'Employees'!D14)</f>
        <v/>
      </c>
    </row>
    <row r="2072">
      <c r="A2072">
        <f>IF(AND('Ratings'!A135&lt;&gt;"",'Ratings'!K5&lt;&gt;""),'Ratings'!A135,"")</f>
        <v/>
      </c>
      <c r="B2072">
        <f>IF(A2072="","",'Employees'!C14)</f>
        <v/>
      </c>
      <c r="C2072">
        <f>IF(A2072="","",'Ratings'!C135)</f>
        <v/>
      </c>
      <c r="D2072">
        <f>IF(A2072="","",'Ratings'!D135)</f>
        <v/>
      </c>
      <c r="E2072">
        <f>IF(AND('Ratings'!A135&lt;&gt;"",'Ratings'!K5&lt;&gt;""),'Ratings'!K5,"")</f>
        <v/>
      </c>
      <c r="F2072">
        <f>IF(OR(A2072="",'Ratings'!K135=""),"",'Ratings'!K135)</f>
        <v/>
      </c>
      <c r="G2072">
        <f>IF(A2072="","",'Employees'!D14)</f>
        <v/>
      </c>
    </row>
    <row r="2073">
      <c r="A2073">
        <f>IF(AND('Ratings'!A135&lt;&gt;"",'Ratings'!L5&lt;&gt;""),'Ratings'!A135,"")</f>
        <v/>
      </c>
      <c r="B2073">
        <f>IF(A2073="","",'Employees'!C14)</f>
        <v/>
      </c>
      <c r="C2073">
        <f>IF(A2073="","",'Ratings'!C135)</f>
        <v/>
      </c>
      <c r="D2073">
        <f>IF(A2073="","",'Ratings'!D135)</f>
        <v/>
      </c>
      <c r="E2073">
        <f>IF(AND('Ratings'!A135&lt;&gt;"",'Ratings'!L5&lt;&gt;""),'Ratings'!L5,"")</f>
        <v/>
      </c>
      <c r="F2073">
        <f>IF(OR(A2073="",'Ratings'!L135=""),"",'Ratings'!L135)</f>
        <v/>
      </c>
      <c r="G2073">
        <f>IF(A2073="","",'Employees'!D14)</f>
        <v/>
      </c>
    </row>
    <row r="2074">
      <c r="A2074">
        <f>IF(AND('Ratings'!A135&lt;&gt;"",'Ratings'!M5&lt;&gt;""),'Ratings'!A135,"")</f>
        <v/>
      </c>
      <c r="B2074">
        <f>IF(A2074="","",'Employees'!C14)</f>
        <v/>
      </c>
      <c r="C2074">
        <f>IF(A2074="","",'Ratings'!C135)</f>
        <v/>
      </c>
      <c r="D2074">
        <f>IF(A2074="","",'Ratings'!D135)</f>
        <v/>
      </c>
      <c r="E2074">
        <f>IF(AND('Ratings'!A135&lt;&gt;"",'Ratings'!M5&lt;&gt;""),'Ratings'!M5,"")</f>
        <v/>
      </c>
      <c r="F2074">
        <f>IF(OR(A2074="",'Ratings'!M135=""),"",'Ratings'!M135)</f>
        <v/>
      </c>
      <c r="G2074">
        <f>IF(A2074="","",'Employees'!D14)</f>
        <v/>
      </c>
    </row>
    <row r="2075">
      <c r="A2075">
        <f>IF(AND('Ratings'!A135&lt;&gt;"",'Ratings'!N5&lt;&gt;""),'Ratings'!A135,"")</f>
        <v/>
      </c>
      <c r="B2075">
        <f>IF(A2075="","",'Employees'!C14)</f>
        <v/>
      </c>
      <c r="C2075">
        <f>IF(A2075="","",'Ratings'!C135)</f>
        <v/>
      </c>
      <c r="D2075">
        <f>IF(A2075="","",'Ratings'!D135)</f>
        <v/>
      </c>
      <c r="E2075">
        <f>IF(AND('Ratings'!A135&lt;&gt;"",'Ratings'!N5&lt;&gt;""),'Ratings'!N5,"")</f>
        <v/>
      </c>
      <c r="F2075">
        <f>IF(OR(A2075="",'Ratings'!N135=""),"",'Ratings'!N135)</f>
        <v/>
      </c>
      <c r="G2075">
        <f>IF(A2075="","",'Employees'!D14)</f>
        <v/>
      </c>
    </row>
    <row r="2076">
      <c r="A2076">
        <f>IF(AND('Ratings'!A135&lt;&gt;"",'Ratings'!O5&lt;&gt;""),'Ratings'!A135,"")</f>
        <v/>
      </c>
      <c r="B2076">
        <f>IF(A2076="","",'Employees'!C14)</f>
        <v/>
      </c>
      <c r="C2076">
        <f>IF(A2076="","",'Ratings'!C135)</f>
        <v/>
      </c>
      <c r="D2076">
        <f>IF(A2076="","",'Ratings'!D135)</f>
        <v/>
      </c>
      <c r="E2076">
        <f>IF(AND('Ratings'!A135&lt;&gt;"",'Ratings'!O5&lt;&gt;""),'Ratings'!O5,"")</f>
        <v/>
      </c>
      <c r="F2076">
        <f>IF(OR(A2076="",'Ratings'!O135=""),"",'Ratings'!O135)</f>
        <v/>
      </c>
      <c r="G2076">
        <f>IF(A2076="","",'Employees'!D14)</f>
        <v/>
      </c>
    </row>
    <row r="2077">
      <c r="A2077">
        <f>IF(AND('Ratings'!A135&lt;&gt;"",'Ratings'!P5&lt;&gt;""),'Ratings'!A135,"")</f>
        <v/>
      </c>
      <c r="B2077">
        <f>IF(A2077="","",'Employees'!C14)</f>
        <v/>
      </c>
      <c r="C2077">
        <f>IF(A2077="","",'Ratings'!C135)</f>
        <v/>
      </c>
      <c r="D2077">
        <f>IF(A2077="","",'Ratings'!D135)</f>
        <v/>
      </c>
      <c r="E2077">
        <f>IF(AND('Ratings'!A135&lt;&gt;"",'Ratings'!P5&lt;&gt;""),'Ratings'!P5,"")</f>
        <v/>
      </c>
      <c r="F2077">
        <f>IF(OR(A2077="",'Ratings'!P135=""),"",'Ratings'!P135)</f>
        <v/>
      </c>
      <c r="G2077">
        <f>IF(A2077="","",'Employees'!D14)</f>
        <v/>
      </c>
    </row>
    <row r="2078">
      <c r="A2078">
        <f>IF(AND('Ratings'!A135&lt;&gt;"",'Ratings'!Q5&lt;&gt;""),'Ratings'!A135,"")</f>
        <v/>
      </c>
      <c r="B2078">
        <f>IF(A2078="","",'Employees'!C14)</f>
        <v/>
      </c>
      <c r="C2078">
        <f>IF(A2078="","",'Ratings'!C135)</f>
        <v/>
      </c>
      <c r="D2078">
        <f>IF(A2078="","",'Ratings'!D135)</f>
        <v/>
      </c>
      <c r="E2078">
        <f>IF(AND('Ratings'!A135&lt;&gt;"",'Ratings'!Q5&lt;&gt;""),'Ratings'!Q5,"")</f>
        <v/>
      </c>
      <c r="F2078">
        <f>IF(OR(A2078="",'Ratings'!Q135=""),"",'Ratings'!Q135)</f>
        <v/>
      </c>
      <c r="G2078">
        <f>IF(A2078="","",'Employees'!D14)</f>
        <v/>
      </c>
    </row>
    <row r="2079">
      <c r="A2079">
        <f>IF(AND('Ratings'!A135&lt;&gt;"",'Ratings'!R5&lt;&gt;""),'Ratings'!A135,"")</f>
        <v/>
      </c>
      <c r="B2079">
        <f>IF(A2079="","",'Employees'!C14)</f>
        <v/>
      </c>
      <c r="C2079">
        <f>IF(A2079="","",'Ratings'!C135)</f>
        <v/>
      </c>
      <c r="D2079">
        <f>IF(A2079="","",'Ratings'!D135)</f>
        <v/>
      </c>
      <c r="E2079">
        <f>IF(AND('Ratings'!A135&lt;&gt;"",'Ratings'!R5&lt;&gt;""),'Ratings'!R5,"")</f>
        <v/>
      </c>
      <c r="F2079">
        <f>IF(OR(A2079="",'Ratings'!R135=""),"",'Ratings'!R135)</f>
        <v/>
      </c>
      <c r="G2079">
        <f>IF(A2079="","",'Employees'!D14)</f>
        <v/>
      </c>
    </row>
    <row r="2080">
      <c r="A2080">
        <f>IF(AND('Ratings'!A135&lt;&gt;"",'Ratings'!S5&lt;&gt;""),'Ratings'!A135,"")</f>
        <v/>
      </c>
      <c r="B2080">
        <f>IF(A2080="","",'Employees'!C14)</f>
        <v/>
      </c>
      <c r="C2080">
        <f>IF(A2080="","",'Ratings'!C135)</f>
        <v/>
      </c>
      <c r="D2080">
        <f>IF(A2080="","",'Ratings'!D135)</f>
        <v/>
      </c>
      <c r="E2080">
        <f>IF(AND('Ratings'!A135&lt;&gt;"",'Ratings'!S5&lt;&gt;""),'Ratings'!S5,"")</f>
        <v/>
      </c>
      <c r="F2080">
        <f>IF(OR(A2080="",'Ratings'!S135=""),"",'Ratings'!S135)</f>
        <v/>
      </c>
      <c r="G2080">
        <f>IF(A2080="","",'Employees'!D14)</f>
        <v/>
      </c>
    </row>
    <row r="2081">
      <c r="A2081">
        <f>IF(AND('Ratings'!A135&lt;&gt;"",'Ratings'!T5&lt;&gt;""),'Ratings'!A135,"")</f>
        <v/>
      </c>
      <c r="B2081">
        <f>IF(A2081="","",'Employees'!C14)</f>
        <v/>
      </c>
      <c r="C2081">
        <f>IF(A2081="","",'Ratings'!C135)</f>
        <v/>
      </c>
      <c r="D2081">
        <f>IF(A2081="","",'Ratings'!D135)</f>
        <v/>
      </c>
      <c r="E2081">
        <f>IF(AND('Ratings'!A135&lt;&gt;"",'Ratings'!T5&lt;&gt;""),'Ratings'!T5,"")</f>
        <v/>
      </c>
      <c r="F2081">
        <f>IF(OR(A2081="",'Ratings'!T135=""),"",'Ratings'!T135)</f>
        <v/>
      </c>
      <c r="G2081">
        <f>IF(A2081="","",'Employees'!D14)</f>
        <v/>
      </c>
    </row>
    <row r="2082">
      <c r="A2082">
        <f>IF(AND('Ratings'!A136&lt;&gt;"",'Ratings'!E5&lt;&gt;""),'Ratings'!A136,"")</f>
        <v/>
      </c>
      <c r="B2082">
        <f>IF(A2082="","",'Employees'!C14)</f>
        <v/>
      </c>
      <c r="C2082">
        <f>IF(A2082="","",'Ratings'!C136)</f>
        <v/>
      </c>
      <c r="D2082">
        <f>IF(A2082="","",'Ratings'!D136)</f>
        <v/>
      </c>
      <c r="E2082">
        <f>IF(AND('Ratings'!A136&lt;&gt;"",'Ratings'!E5&lt;&gt;""),'Ratings'!E5,"")</f>
        <v/>
      </c>
      <c r="F2082">
        <f>IF(OR(A2082="",'Ratings'!E136=""),"",'Ratings'!E136)</f>
        <v/>
      </c>
      <c r="G2082">
        <f>IF(A2082="","",'Employees'!D14)</f>
        <v/>
      </c>
    </row>
    <row r="2083">
      <c r="A2083">
        <f>IF(AND('Ratings'!A136&lt;&gt;"",'Ratings'!F5&lt;&gt;""),'Ratings'!A136,"")</f>
        <v/>
      </c>
      <c r="B2083">
        <f>IF(A2083="","",'Employees'!C14)</f>
        <v/>
      </c>
      <c r="C2083">
        <f>IF(A2083="","",'Ratings'!C136)</f>
        <v/>
      </c>
      <c r="D2083">
        <f>IF(A2083="","",'Ratings'!D136)</f>
        <v/>
      </c>
      <c r="E2083">
        <f>IF(AND('Ratings'!A136&lt;&gt;"",'Ratings'!F5&lt;&gt;""),'Ratings'!F5,"")</f>
        <v/>
      </c>
      <c r="F2083">
        <f>IF(OR(A2083="",'Ratings'!F136=""),"",'Ratings'!F136)</f>
        <v/>
      </c>
      <c r="G2083">
        <f>IF(A2083="","",'Employees'!D14)</f>
        <v/>
      </c>
    </row>
    <row r="2084">
      <c r="A2084">
        <f>IF(AND('Ratings'!A136&lt;&gt;"",'Ratings'!G5&lt;&gt;""),'Ratings'!A136,"")</f>
        <v/>
      </c>
      <c r="B2084">
        <f>IF(A2084="","",'Employees'!C14)</f>
        <v/>
      </c>
      <c r="C2084">
        <f>IF(A2084="","",'Ratings'!C136)</f>
        <v/>
      </c>
      <c r="D2084">
        <f>IF(A2084="","",'Ratings'!D136)</f>
        <v/>
      </c>
      <c r="E2084">
        <f>IF(AND('Ratings'!A136&lt;&gt;"",'Ratings'!G5&lt;&gt;""),'Ratings'!G5,"")</f>
        <v/>
      </c>
      <c r="F2084">
        <f>IF(OR(A2084="",'Ratings'!G136=""),"",'Ratings'!G136)</f>
        <v/>
      </c>
      <c r="G2084">
        <f>IF(A2084="","",'Employees'!D14)</f>
        <v/>
      </c>
    </row>
    <row r="2085">
      <c r="A2085">
        <f>IF(AND('Ratings'!A136&lt;&gt;"",'Ratings'!H5&lt;&gt;""),'Ratings'!A136,"")</f>
        <v/>
      </c>
      <c r="B2085">
        <f>IF(A2085="","",'Employees'!C14)</f>
        <v/>
      </c>
      <c r="C2085">
        <f>IF(A2085="","",'Ratings'!C136)</f>
        <v/>
      </c>
      <c r="D2085">
        <f>IF(A2085="","",'Ratings'!D136)</f>
        <v/>
      </c>
      <c r="E2085">
        <f>IF(AND('Ratings'!A136&lt;&gt;"",'Ratings'!H5&lt;&gt;""),'Ratings'!H5,"")</f>
        <v/>
      </c>
      <c r="F2085">
        <f>IF(OR(A2085="",'Ratings'!H136=""),"",'Ratings'!H136)</f>
        <v/>
      </c>
      <c r="G2085">
        <f>IF(A2085="","",'Employees'!D14)</f>
        <v/>
      </c>
    </row>
    <row r="2086">
      <c r="A2086">
        <f>IF(AND('Ratings'!A136&lt;&gt;"",'Ratings'!I5&lt;&gt;""),'Ratings'!A136,"")</f>
        <v/>
      </c>
      <c r="B2086">
        <f>IF(A2086="","",'Employees'!C14)</f>
        <v/>
      </c>
      <c r="C2086">
        <f>IF(A2086="","",'Ratings'!C136)</f>
        <v/>
      </c>
      <c r="D2086">
        <f>IF(A2086="","",'Ratings'!D136)</f>
        <v/>
      </c>
      <c r="E2086">
        <f>IF(AND('Ratings'!A136&lt;&gt;"",'Ratings'!I5&lt;&gt;""),'Ratings'!I5,"")</f>
        <v/>
      </c>
      <c r="F2086">
        <f>IF(OR(A2086="",'Ratings'!I136=""),"",'Ratings'!I136)</f>
        <v/>
      </c>
      <c r="G2086">
        <f>IF(A2086="","",'Employees'!D14)</f>
        <v/>
      </c>
    </row>
    <row r="2087">
      <c r="A2087">
        <f>IF(AND('Ratings'!A136&lt;&gt;"",'Ratings'!J5&lt;&gt;""),'Ratings'!A136,"")</f>
        <v/>
      </c>
      <c r="B2087">
        <f>IF(A2087="","",'Employees'!C14)</f>
        <v/>
      </c>
      <c r="C2087">
        <f>IF(A2087="","",'Ratings'!C136)</f>
        <v/>
      </c>
      <c r="D2087">
        <f>IF(A2087="","",'Ratings'!D136)</f>
        <v/>
      </c>
      <c r="E2087">
        <f>IF(AND('Ratings'!A136&lt;&gt;"",'Ratings'!J5&lt;&gt;""),'Ratings'!J5,"")</f>
        <v/>
      </c>
      <c r="F2087">
        <f>IF(OR(A2087="",'Ratings'!J136=""),"",'Ratings'!J136)</f>
        <v/>
      </c>
      <c r="G2087">
        <f>IF(A2087="","",'Employees'!D14)</f>
        <v/>
      </c>
    </row>
    <row r="2088">
      <c r="A2088">
        <f>IF(AND('Ratings'!A136&lt;&gt;"",'Ratings'!K5&lt;&gt;""),'Ratings'!A136,"")</f>
        <v/>
      </c>
      <c r="B2088">
        <f>IF(A2088="","",'Employees'!C14)</f>
        <v/>
      </c>
      <c r="C2088">
        <f>IF(A2088="","",'Ratings'!C136)</f>
        <v/>
      </c>
      <c r="D2088">
        <f>IF(A2088="","",'Ratings'!D136)</f>
        <v/>
      </c>
      <c r="E2088">
        <f>IF(AND('Ratings'!A136&lt;&gt;"",'Ratings'!K5&lt;&gt;""),'Ratings'!K5,"")</f>
        <v/>
      </c>
      <c r="F2088">
        <f>IF(OR(A2088="",'Ratings'!K136=""),"",'Ratings'!K136)</f>
        <v/>
      </c>
      <c r="G2088">
        <f>IF(A2088="","",'Employees'!D14)</f>
        <v/>
      </c>
    </row>
    <row r="2089">
      <c r="A2089">
        <f>IF(AND('Ratings'!A136&lt;&gt;"",'Ratings'!L5&lt;&gt;""),'Ratings'!A136,"")</f>
        <v/>
      </c>
      <c r="B2089">
        <f>IF(A2089="","",'Employees'!C14)</f>
        <v/>
      </c>
      <c r="C2089">
        <f>IF(A2089="","",'Ratings'!C136)</f>
        <v/>
      </c>
      <c r="D2089">
        <f>IF(A2089="","",'Ratings'!D136)</f>
        <v/>
      </c>
      <c r="E2089">
        <f>IF(AND('Ratings'!A136&lt;&gt;"",'Ratings'!L5&lt;&gt;""),'Ratings'!L5,"")</f>
        <v/>
      </c>
      <c r="F2089">
        <f>IF(OR(A2089="",'Ratings'!L136=""),"",'Ratings'!L136)</f>
        <v/>
      </c>
      <c r="G2089">
        <f>IF(A2089="","",'Employees'!D14)</f>
        <v/>
      </c>
    </row>
    <row r="2090">
      <c r="A2090">
        <f>IF(AND('Ratings'!A136&lt;&gt;"",'Ratings'!M5&lt;&gt;""),'Ratings'!A136,"")</f>
        <v/>
      </c>
      <c r="B2090">
        <f>IF(A2090="","",'Employees'!C14)</f>
        <v/>
      </c>
      <c r="C2090">
        <f>IF(A2090="","",'Ratings'!C136)</f>
        <v/>
      </c>
      <c r="D2090">
        <f>IF(A2090="","",'Ratings'!D136)</f>
        <v/>
      </c>
      <c r="E2090">
        <f>IF(AND('Ratings'!A136&lt;&gt;"",'Ratings'!M5&lt;&gt;""),'Ratings'!M5,"")</f>
        <v/>
      </c>
      <c r="F2090">
        <f>IF(OR(A2090="",'Ratings'!M136=""),"",'Ratings'!M136)</f>
        <v/>
      </c>
      <c r="G2090">
        <f>IF(A2090="","",'Employees'!D14)</f>
        <v/>
      </c>
    </row>
    <row r="2091">
      <c r="A2091">
        <f>IF(AND('Ratings'!A136&lt;&gt;"",'Ratings'!N5&lt;&gt;""),'Ratings'!A136,"")</f>
        <v/>
      </c>
      <c r="B2091">
        <f>IF(A2091="","",'Employees'!C14)</f>
        <v/>
      </c>
      <c r="C2091">
        <f>IF(A2091="","",'Ratings'!C136)</f>
        <v/>
      </c>
      <c r="D2091">
        <f>IF(A2091="","",'Ratings'!D136)</f>
        <v/>
      </c>
      <c r="E2091">
        <f>IF(AND('Ratings'!A136&lt;&gt;"",'Ratings'!N5&lt;&gt;""),'Ratings'!N5,"")</f>
        <v/>
      </c>
      <c r="F2091">
        <f>IF(OR(A2091="",'Ratings'!N136=""),"",'Ratings'!N136)</f>
        <v/>
      </c>
      <c r="G2091">
        <f>IF(A2091="","",'Employees'!D14)</f>
        <v/>
      </c>
    </row>
    <row r="2092">
      <c r="A2092">
        <f>IF(AND('Ratings'!A136&lt;&gt;"",'Ratings'!O5&lt;&gt;""),'Ratings'!A136,"")</f>
        <v/>
      </c>
      <c r="B2092">
        <f>IF(A2092="","",'Employees'!C14)</f>
        <v/>
      </c>
      <c r="C2092">
        <f>IF(A2092="","",'Ratings'!C136)</f>
        <v/>
      </c>
      <c r="D2092">
        <f>IF(A2092="","",'Ratings'!D136)</f>
        <v/>
      </c>
      <c r="E2092">
        <f>IF(AND('Ratings'!A136&lt;&gt;"",'Ratings'!O5&lt;&gt;""),'Ratings'!O5,"")</f>
        <v/>
      </c>
      <c r="F2092">
        <f>IF(OR(A2092="",'Ratings'!O136=""),"",'Ratings'!O136)</f>
        <v/>
      </c>
      <c r="G2092">
        <f>IF(A2092="","",'Employees'!D14)</f>
        <v/>
      </c>
    </row>
    <row r="2093">
      <c r="A2093">
        <f>IF(AND('Ratings'!A136&lt;&gt;"",'Ratings'!P5&lt;&gt;""),'Ratings'!A136,"")</f>
        <v/>
      </c>
      <c r="B2093">
        <f>IF(A2093="","",'Employees'!C14)</f>
        <v/>
      </c>
      <c r="C2093">
        <f>IF(A2093="","",'Ratings'!C136)</f>
        <v/>
      </c>
      <c r="D2093">
        <f>IF(A2093="","",'Ratings'!D136)</f>
        <v/>
      </c>
      <c r="E2093">
        <f>IF(AND('Ratings'!A136&lt;&gt;"",'Ratings'!P5&lt;&gt;""),'Ratings'!P5,"")</f>
        <v/>
      </c>
      <c r="F2093">
        <f>IF(OR(A2093="",'Ratings'!P136=""),"",'Ratings'!P136)</f>
        <v/>
      </c>
      <c r="G2093">
        <f>IF(A2093="","",'Employees'!D14)</f>
        <v/>
      </c>
    </row>
    <row r="2094">
      <c r="A2094">
        <f>IF(AND('Ratings'!A136&lt;&gt;"",'Ratings'!Q5&lt;&gt;""),'Ratings'!A136,"")</f>
        <v/>
      </c>
      <c r="B2094">
        <f>IF(A2094="","",'Employees'!C14)</f>
        <v/>
      </c>
      <c r="C2094">
        <f>IF(A2094="","",'Ratings'!C136)</f>
        <v/>
      </c>
      <c r="D2094">
        <f>IF(A2094="","",'Ratings'!D136)</f>
        <v/>
      </c>
      <c r="E2094">
        <f>IF(AND('Ratings'!A136&lt;&gt;"",'Ratings'!Q5&lt;&gt;""),'Ratings'!Q5,"")</f>
        <v/>
      </c>
      <c r="F2094">
        <f>IF(OR(A2094="",'Ratings'!Q136=""),"",'Ratings'!Q136)</f>
        <v/>
      </c>
      <c r="G2094">
        <f>IF(A2094="","",'Employees'!D14)</f>
        <v/>
      </c>
    </row>
    <row r="2095">
      <c r="A2095">
        <f>IF(AND('Ratings'!A136&lt;&gt;"",'Ratings'!R5&lt;&gt;""),'Ratings'!A136,"")</f>
        <v/>
      </c>
      <c r="B2095">
        <f>IF(A2095="","",'Employees'!C14)</f>
        <v/>
      </c>
      <c r="C2095">
        <f>IF(A2095="","",'Ratings'!C136)</f>
        <v/>
      </c>
      <c r="D2095">
        <f>IF(A2095="","",'Ratings'!D136)</f>
        <v/>
      </c>
      <c r="E2095">
        <f>IF(AND('Ratings'!A136&lt;&gt;"",'Ratings'!R5&lt;&gt;""),'Ratings'!R5,"")</f>
        <v/>
      </c>
      <c r="F2095">
        <f>IF(OR(A2095="",'Ratings'!R136=""),"",'Ratings'!R136)</f>
        <v/>
      </c>
      <c r="G2095">
        <f>IF(A2095="","",'Employees'!D14)</f>
        <v/>
      </c>
    </row>
    <row r="2096">
      <c r="A2096">
        <f>IF(AND('Ratings'!A136&lt;&gt;"",'Ratings'!S5&lt;&gt;""),'Ratings'!A136,"")</f>
        <v/>
      </c>
      <c r="B2096">
        <f>IF(A2096="","",'Employees'!C14)</f>
        <v/>
      </c>
      <c r="C2096">
        <f>IF(A2096="","",'Ratings'!C136)</f>
        <v/>
      </c>
      <c r="D2096">
        <f>IF(A2096="","",'Ratings'!D136)</f>
        <v/>
      </c>
      <c r="E2096">
        <f>IF(AND('Ratings'!A136&lt;&gt;"",'Ratings'!S5&lt;&gt;""),'Ratings'!S5,"")</f>
        <v/>
      </c>
      <c r="F2096">
        <f>IF(OR(A2096="",'Ratings'!S136=""),"",'Ratings'!S136)</f>
        <v/>
      </c>
      <c r="G2096">
        <f>IF(A2096="","",'Employees'!D14)</f>
        <v/>
      </c>
    </row>
    <row r="2097">
      <c r="A2097">
        <f>IF(AND('Ratings'!A136&lt;&gt;"",'Ratings'!T5&lt;&gt;""),'Ratings'!A136,"")</f>
        <v/>
      </c>
      <c r="B2097">
        <f>IF(A2097="","",'Employees'!C14)</f>
        <v/>
      </c>
      <c r="C2097">
        <f>IF(A2097="","",'Ratings'!C136)</f>
        <v/>
      </c>
      <c r="D2097">
        <f>IF(A2097="","",'Ratings'!D136)</f>
        <v/>
      </c>
      <c r="E2097">
        <f>IF(AND('Ratings'!A136&lt;&gt;"",'Ratings'!T5&lt;&gt;""),'Ratings'!T5,"")</f>
        <v/>
      </c>
      <c r="F2097">
        <f>IF(OR(A2097="",'Ratings'!T136=""),"",'Ratings'!T136)</f>
        <v/>
      </c>
      <c r="G2097">
        <f>IF(A2097="","",'Employees'!D14)</f>
        <v/>
      </c>
    </row>
    <row r="2098">
      <c r="A2098">
        <f>IF(AND('Ratings'!A137&lt;&gt;"",'Ratings'!E5&lt;&gt;""),'Ratings'!A137,"")</f>
        <v/>
      </c>
      <c r="B2098">
        <f>IF(A2098="","",'Employees'!C14)</f>
        <v/>
      </c>
      <c r="C2098">
        <f>IF(A2098="","",'Ratings'!C137)</f>
        <v/>
      </c>
      <c r="D2098">
        <f>IF(A2098="","",'Ratings'!D137)</f>
        <v/>
      </c>
      <c r="E2098">
        <f>IF(AND('Ratings'!A137&lt;&gt;"",'Ratings'!E5&lt;&gt;""),'Ratings'!E5,"")</f>
        <v/>
      </c>
      <c r="F2098">
        <f>IF(OR(A2098="",'Ratings'!E137=""),"",'Ratings'!E137)</f>
        <v/>
      </c>
      <c r="G2098">
        <f>IF(A2098="","",'Employees'!D14)</f>
        <v/>
      </c>
    </row>
    <row r="2099">
      <c r="A2099">
        <f>IF(AND('Ratings'!A137&lt;&gt;"",'Ratings'!F5&lt;&gt;""),'Ratings'!A137,"")</f>
        <v/>
      </c>
      <c r="B2099">
        <f>IF(A2099="","",'Employees'!C14)</f>
        <v/>
      </c>
      <c r="C2099">
        <f>IF(A2099="","",'Ratings'!C137)</f>
        <v/>
      </c>
      <c r="D2099">
        <f>IF(A2099="","",'Ratings'!D137)</f>
        <v/>
      </c>
      <c r="E2099">
        <f>IF(AND('Ratings'!A137&lt;&gt;"",'Ratings'!F5&lt;&gt;""),'Ratings'!F5,"")</f>
        <v/>
      </c>
      <c r="F2099">
        <f>IF(OR(A2099="",'Ratings'!F137=""),"",'Ratings'!F137)</f>
        <v/>
      </c>
      <c r="G2099">
        <f>IF(A2099="","",'Employees'!D14)</f>
        <v/>
      </c>
    </row>
    <row r="2100">
      <c r="A2100">
        <f>IF(AND('Ratings'!A137&lt;&gt;"",'Ratings'!G5&lt;&gt;""),'Ratings'!A137,"")</f>
        <v/>
      </c>
      <c r="B2100">
        <f>IF(A2100="","",'Employees'!C14)</f>
        <v/>
      </c>
      <c r="C2100">
        <f>IF(A2100="","",'Ratings'!C137)</f>
        <v/>
      </c>
      <c r="D2100">
        <f>IF(A2100="","",'Ratings'!D137)</f>
        <v/>
      </c>
      <c r="E2100">
        <f>IF(AND('Ratings'!A137&lt;&gt;"",'Ratings'!G5&lt;&gt;""),'Ratings'!G5,"")</f>
        <v/>
      </c>
      <c r="F2100">
        <f>IF(OR(A2100="",'Ratings'!G137=""),"",'Ratings'!G137)</f>
        <v/>
      </c>
      <c r="G2100">
        <f>IF(A2100="","",'Employees'!D14)</f>
        <v/>
      </c>
    </row>
    <row r="2101">
      <c r="A2101">
        <f>IF(AND('Ratings'!A137&lt;&gt;"",'Ratings'!H5&lt;&gt;""),'Ratings'!A137,"")</f>
        <v/>
      </c>
      <c r="B2101">
        <f>IF(A2101="","",'Employees'!C14)</f>
        <v/>
      </c>
      <c r="C2101">
        <f>IF(A2101="","",'Ratings'!C137)</f>
        <v/>
      </c>
      <c r="D2101">
        <f>IF(A2101="","",'Ratings'!D137)</f>
        <v/>
      </c>
      <c r="E2101">
        <f>IF(AND('Ratings'!A137&lt;&gt;"",'Ratings'!H5&lt;&gt;""),'Ratings'!H5,"")</f>
        <v/>
      </c>
      <c r="F2101">
        <f>IF(OR(A2101="",'Ratings'!H137=""),"",'Ratings'!H137)</f>
        <v/>
      </c>
      <c r="G2101">
        <f>IF(A2101="","",'Employees'!D14)</f>
        <v/>
      </c>
    </row>
    <row r="2102">
      <c r="A2102">
        <f>IF(AND('Ratings'!A137&lt;&gt;"",'Ratings'!I5&lt;&gt;""),'Ratings'!A137,"")</f>
        <v/>
      </c>
      <c r="B2102">
        <f>IF(A2102="","",'Employees'!C14)</f>
        <v/>
      </c>
      <c r="C2102">
        <f>IF(A2102="","",'Ratings'!C137)</f>
        <v/>
      </c>
      <c r="D2102">
        <f>IF(A2102="","",'Ratings'!D137)</f>
        <v/>
      </c>
      <c r="E2102">
        <f>IF(AND('Ratings'!A137&lt;&gt;"",'Ratings'!I5&lt;&gt;""),'Ratings'!I5,"")</f>
        <v/>
      </c>
      <c r="F2102">
        <f>IF(OR(A2102="",'Ratings'!I137=""),"",'Ratings'!I137)</f>
        <v/>
      </c>
      <c r="G2102">
        <f>IF(A2102="","",'Employees'!D14)</f>
        <v/>
      </c>
    </row>
    <row r="2103">
      <c r="A2103">
        <f>IF(AND('Ratings'!A137&lt;&gt;"",'Ratings'!J5&lt;&gt;""),'Ratings'!A137,"")</f>
        <v/>
      </c>
      <c r="B2103">
        <f>IF(A2103="","",'Employees'!C14)</f>
        <v/>
      </c>
      <c r="C2103">
        <f>IF(A2103="","",'Ratings'!C137)</f>
        <v/>
      </c>
      <c r="D2103">
        <f>IF(A2103="","",'Ratings'!D137)</f>
        <v/>
      </c>
      <c r="E2103">
        <f>IF(AND('Ratings'!A137&lt;&gt;"",'Ratings'!J5&lt;&gt;""),'Ratings'!J5,"")</f>
        <v/>
      </c>
      <c r="F2103">
        <f>IF(OR(A2103="",'Ratings'!J137=""),"",'Ratings'!J137)</f>
        <v/>
      </c>
      <c r="G2103">
        <f>IF(A2103="","",'Employees'!D14)</f>
        <v/>
      </c>
    </row>
    <row r="2104">
      <c r="A2104">
        <f>IF(AND('Ratings'!A137&lt;&gt;"",'Ratings'!K5&lt;&gt;""),'Ratings'!A137,"")</f>
        <v/>
      </c>
      <c r="B2104">
        <f>IF(A2104="","",'Employees'!C14)</f>
        <v/>
      </c>
      <c r="C2104">
        <f>IF(A2104="","",'Ratings'!C137)</f>
        <v/>
      </c>
      <c r="D2104">
        <f>IF(A2104="","",'Ratings'!D137)</f>
        <v/>
      </c>
      <c r="E2104">
        <f>IF(AND('Ratings'!A137&lt;&gt;"",'Ratings'!K5&lt;&gt;""),'Ratings'!K5,"")</f>
        <v/>
      </c>
      <c r="F2104">
        <f>IF(OR(A2104="",'Ratings'!K137=""),"",'Ratings'!K137)</f>
        <v/>
      </c>
      <c r="G2104">
        <f>IF(A2104="","",'Employees'!D14)</f>
        <v/>
      </c>
    </row>
    <row r="2105">
      <c r="A2105">
        <f>IF(AND('Ratings'!A137&lt;&gt;"",'Ratings'!L5&lt;&gt;""),'Ratings'!A137,"")</f>
        <v/>
      </c>
      <c r="B2105">
        <f>IF(A2105="","",'Employees'!C14)</f>
        <v/>
      </c>
      <c r="C2105">
        <f>IF(A2105="","",'Ratings'!C137)</f>
        <v/>
      </c>
      <c r="D2105">
        <f>IF(A2105="","",'Ratings'!D137)</f>
        <v/>
      </c>
      <c r="E2105">
        <f>IF(AND('Ratings'!A137&lt;&gt;"",'Ratings'!L5&lt;&gt;""),'Ratings'!L5,"")</f>
        <v/>
      </c>
      <c r="F2105">
        <f>IF(OR(A2105="",'Ratings'!L137=""),"",'Ratings'!L137)</f>
        <v/>
      </c>
      <c r="G2105">
        <f>IF(A2105="","",'Employees'!D14)</f>
        <v/>
      </c>
    </row>
    <row r="2106">
      <c r="A2106">
        <f>IF(AND('Ratings'!A137&lt;&gt;"",'Ratings'!M5&lt;&gt;""),'Ratings'!A137,"")</f>
        <v/>
      </c>
      <c r="B2106">
        <f>IF(A2106="","",'Employees'!C14)</f>
        <v/>
      </c>
      <c r="C2106">
        <f>IF(A2106="","",'Ratings'!C137)</f>
        <v/>
      </c>
      <c r="D2106">
        <f>IF(A2106="","",'Ratings'!D137)</f>
        <v/>
      </c>
      <c r="E2106">
        <f>IF(AND('Ratings'!A137&lt;&gt;"",'Ratings'!M5&lt;&gt;""),'Ratings'!M5,"")</f>
        <v/>
      </c>
      <c r="F2106">
        <f>IF(OR(A2106="",'Ratings'!M137=""),"",'Ratings'!M137)</f>
        <v/>
      </c>
      <c r="G2106">
        <f>IF(A2106="","",'Employees'!D14)</f>
        <v/>
      </c>
    </row>
    <row r="2107">
      <c r="A2107">
        <f>IF(AND('Ratings'!A137&lt;&gt;"",'Ratings'!N5&lt;&gt;""),'Ratings'!A137,"")</f>
        <v/>
      </c>
      <c r="B2107">
        <f>IF(A2107="","",'Employees'!C14)</f>
        <v/>
      </c>
      <c r="C2107">
        <f>IF(A2107="","",'Ratings'!C137)</f>
        <v/>
      </c>
      <c r="D2107">
        <f>IF(A2107="","",'Ratings'!D137)</f>
        <v/>
      </c>
      <c r="E2107">
        <f>IF(AND('Ratings'!A137&lt;&gt;"",'Ratings'!N5&lt;&gt;""),'Ratings'!N5,"")</f>
        <v/>
      </c>
      <c r="F2107">
        <f>IF(OR(A2107="",'Ratings'!N137=""),"",'Ratings'!N137)</f>
        <v/>
      </c>
      <c r="G2107">
        <f>IF(A2107="","",'Employees'!D14)</f>
        <v/>
      </c>
    </row>
    <row r="2108">
      <c r="A2108">
        <f>IF(AND('Ratings'!A137&lt;&gt;"",'Ratings'!O5&lt;&gt;""),'Ratings'!A137,"")</f>
        <v/>
      </c>
      <c r="B2108">
        <f>IF(A2108="","",'Employees'!C14)</f>
        <v/>
      </c>
      <c r="C2108">
        <f>IF(A2108="","",'Ratings'!C137)</f>
        <v/>
      </c>
      <c r="D2108">
        <f>IF(A2108="","",'Ratings'!D137)</f>
        <v/>
      </c>
      <c r="E2108">
        <f>IF(AND('Ratings'!A137&lt;&gt;"",'Ratings'!O5&lt;&gt;""),'Ratings'!O5,"")</f>
        <v/>
      </c>
      <c r="F2108">
        <f>IF(OR(A2108="",'Ratings'!O137=""),"",'Ratings'!O137)</f>
        <v/>
      </c>
      <c r="G2108">
        <f>IF(A2108="","",'Employees'!D14)</f>
        <v/>
      </c>
    </row>
    <row r="2109">
      <c r="A2109">
        <f>IF(AND('Ratings'!A137&lt;&gt;"",'Ratings'!P5&lt;&gt;""),'Ratings'!A137,"")</f>
        <v/>
      </c>
      <c r="B2109">
        <f>IF(A2109="","",'Employees'!C14)</f>
        <v/>
      </c>
      <c r="C2109">
        <f>IF(A2109="","",'Ratings'!C137)</f>
        <v/>
      </c>
      <c r="D2109">
        <f>IF(A2109="","",'Ratings'!D137)</f>
        <v/>
      </c>
      <c r="E2109">
        <f>IF(AND('Ratings'!A137&lt;&gt;"",'Ratings'!P5&lt;&gt;""),'Ratings'!P5,"")</f>
        <v/>
      </c>
      <c r="F2109">
        <f>IF(OR(A2109="",'Ratings'!P137=""),"",'Ratings'!P137)</f>
        <v/>
      </c>
      <c r="G2109">
        <f>IF(A2109="","",'Employees'!D14)</f>
        <v/>
      </c>
    </row>
    <row r="2110">
      <c r="A2110">
        <f>IF(AND('Ratings'!A137&lt;&gt;"",'Ratings'!Q5&lt;&gt;""),'Ratings'!A137,"")</f>
        <v/>
      </c>
      <c r="B2110">
        <f>IF(A2110="","",'Employees'!C14)</f>
        <v/>
      </c>
      <c r="C2110">
        <f>IF(A2110="","",'Ratings'!C137)</f>
        <v/>
      </c>
      <c r="D2110">
        <f>IF(A2110="","",'Ratings'!D137)</f>
        <v/>
      </c>
      <c r="E2110">
        <f>IF(AND('Ratings'!A137&lt;&gt;"",'Ratings'!Q5&lt;&gt;""),'Ratings'!Q5,"")</f>
        <v/>
      </c>
      <c r="F2110">
        <f>IF(OR(A2110="",'Ratings'!Q137=""),"",'Ratings'!Q137)</f>
        <v/>
      </c>
      <c r="G2110">
        <f>IF(A2110="","",'Employees'!D14)</f>
        <v/>
      </c>
    </row>
    <row r="2111">
      <c r="A2111">
        <f>IF(AND('Ratings'!A137&lt;&gt;"",'Ratings'!R5&lt;&gt;""),'Ratings'!A137,"")</f>
        <v/>
      </c>
      <c r="B2111">
        <f>IF(A2111="","",'Employees'!C14)</f>
        <v/>
      </c>
      <c r="C2111">
        <f>IF(A2111="","",'Ratings'!C137)</f>
        <v/>
      </c>
      <c r="D2111">
        <f>IF(A2111="","",'Ratings'!D137)</f>
        <v/>
      </c>
      <c r="E2111">
        <f>IF(AND('Ratings'!A137&lt;&gt;"",'Ratings'!R5&lt;&gt;""),'Ratings'!R5,"")</f>
        <v/>
      </c>
      <c r="F2111">
        <f>IF(OR(A2111="",'Ratings'!R137=""),"",'Ratings'!R137)</f>
        <v/>
      </c>
      <c r="G2111">
        <f>IF(A2111="","",'Employees'!D14)</f>
        <v/>
      </c>
    </row>
    <row r="2112">
      <c r="A2112">
        <f>IF(AND('Ratings'!A137&lt;&gt;"",'Ratings'!S5&lt;&gt;""),'Ratings'!A137,"")</f>
        <v/>
      </c>
      <c r="B2112">
        <f>IF(A2112="","",'Employees'!C14)</f>
        <v/>
      </c>
      <c r="C2112">
        <f>IF(A2112="","",'Ratings'!C137)</f>
        <v/>
      </c>
      <c r="D2112">
        <f>IF(A2112="","",'Ratings'!D137)</f>
        <v/>
      </c>
      <c r="E2112">
        <f>IF(AND('Ratings'!A137&lt;&gt;"",'Ratings'!S5&lt;&gt;""),'Ratings'!S5,"")</f>
        <v/>
      </c>
      <c r="F2112">
        <f>IF(OR(A2112="",'Ratings'!S137=""),"",'Ratings'!S137)</f>
        <v/>
      </c>
      <c r="G2112">
        <f>IF(A2112="","",'Employees'!D14)</f>
        <v/>
      </c>
    </row>
    <row r="2113">
      <c r="A2113">
        <f>IF(AND('Ratings'!A137&lt;&gt;"",'Ratings'!T5&lt;&gt;""),'Ratings'!A137,"")</f>
        <v/>
      </c>
      <c r="B2113">
        <f>IF(A2113="","",'Employees'!C14)</f>
        <v/>
      </c>
      <c r="C2113">
        <f>IF(A2113="","",'Ratings'!C137)</f>
        <v/>
      </c>
      <c r="D2113">
        <f>IF(A2113="","",'Ratings'!D137)</f>
        <v/>
      </c>
      <c r="E2113">
        <f>IF(AND('Ratings'!A137&lt;&gt;"",'Ratings'!T5&lt;&gt;""),'Ratings'!T5,"")</f>
        <v/>
      </c>
      <c r="F2113">
        <f>IF(OR(A2113="",'Ratings'!T137=""),"",'Ratings'!T137)</f>
        <v/>
      </c>
      <c r="G2113">
        <f>IF(A2113="","",'Employees'!D14)</f>
        <v/>
      </c>
    </row>
    <row r="2114">
      <c r="A2114">
        <f>IF(AND('Ratings'!A138&lt;&gt;"",'Ratings'!E5&lt;&gt;""),'Ratings'!A138,"")</f>
        <v/>
      </c>
      <c r="B2114">
        <f>IF(A2114="","",'Employees'!C14)</f>
        <v/>
      </c>
      <c r="C2114">
        <f>IF(A2114="","",'Ratings'!C138)</f>
        <v/>
      </c>
      <c r="D2114">
        <f>IF(A2114="","",'Ratings'!D138)</f>
        <v/>
      </c>
      <c r="E2114">
        <f>IF(AND('Ratings'!A138&lt;&gt;"",'Ratings'!E5&lt;&gt;""),'Ratings'!E5,"")</f>
        <v/>
      </c>
      <c r="F2114">
        <f>IF(OR(A2114="",'Ratings'!E138=""),"",'Ratings'!E138)</f>
        <v/>
      </c>
      <c r="G2114">
        <f>IF(A2114="","",'Employees'!D14)</f>
        <v/>
      </c>
    </row>
    <row r="2115">
      <c r="A2115">
        <f>IF(AND('Ratings'!A138&lt;&gt;"",'Ratings'!F5&lt;&gt;""),'Ratings'!A138,"")</f>
        <v/>
      </c>
      <c r="B2115">
        <f>IF(A2115="","",'Employees'!C14)</f>
        <v/>
      </c>
      <c r="C2115">
        <f>IF(A2115="","",'Ratings'!C138)</f>
        <v/>
      </c>
      <c r="D2115">
        <f>IF(A2115="","",'Ratings'!D138)</f>
        <v/>
      </c>
      <c r="E2115">
        <f>IF(AND('Ratings'!A138&lt;&gt;"",'Ratings'!F5&lt;&gt;""),'Ratings'!F5,"")</f>
        <v/>
      </c>
      <c r="F2115">
        <f>IF(OR(A2115="",'Ratings'!F138=""),"",'Ratings'!F138)</f>
        <v/>
      </c>
      <c r="G2115">
        <f>IF(A2115="","",'Employees'!D14)</f>
        <v/>
      </c>
    </row>
    <row r="2116">
      <c r="A2116">
        <f>IF(AND('Ratings'!A138&lt;&gt;"",'Ratings'!G5&lt;&gt;""),'Ratings'!A138,"")</f>
        <v/>
      </c>
      <c r="B2116">
        <f>IF(A2116="","",'Employees'!C14)</f>
        <v/>
      </c>
      <c r="C2116">
        <f>IF(A2116="","",'Ratings'!C138)</f>
        <v/>
      </c>
      <c r="D2116">
        <f>IF(A2116="","",'Ratings'!D138)</f>
        <v/>
      </c>
      <c r="E2116">
        <f>IF(AND('Ratings'!A138&lt;&gt;"",'Ratings'!G5&lt;&gt;""),'Ratings'!G5,"")</f>
        <v/>
      </c>
      <c r="F2116">
        <f>IF(OR(A2116="",'Ratings'!G138=""),"",'Ratings'!G138)</f>
        <v/>
      </c>
      <c r="G2116">
        <f>IF(A2116="","",'Employees'!D14)</f>
        <v/>
      </c>
    </row>
    <row r="2117">
      <c r="A2117">
        <f>IF(AND('Ratings'!A138&lt;&gt;"",'Ratings'!H5&lt;&gt;""),'Ratings'!A138,"")</f>
        <v/>
      </c>
      <c r="B2117">
        <f>IF(A2117="","",'Employees'!C14)</f>
        <v/>
      </c>
      <c r="C2117">
        <f>IF(A2117="","",'Ratings'!C138)</f>
        <v/>
      </c>
      <c r="D2117">
        <f>IF(A2117="","",'Ratings'!D138)</f>
        <v/>
      </c>
      <c r="E2117">
        <f>IF(AND('Ratings'!A138&lt;&gt;"",'Ratings'!H5&lt;&gt;""),'Ratings'!H5,"")</f>
        <v/>
      </c>
      <c r="F2117">
        <f>IF(OR(A2117="",'Ratings'!H138=""),"",'Ratings'!H138)</f>
        <v/>
      </c>
      <c r="G2117">
        <f>IF(A2117="","",'Employees'!D14)</f>
        <v/>
      </c>
    </row>
    <row r="2118">
      <c r="A2118">
        <f>IF(AND('Ratings'!A138&lt;&gt;"",'Ratings'!I5&lt;&gt;""),'Ratings'!A138,"")</f>
        <v/>
      </c>
      <c r="B2118">
        <f>IF(A2118="","",'Employees'!C14)</f>
        <v/>
      </c>
      <c r="C2118">
        <f>IF(A2118="","",'Ratings'!C138)</f>
        <v/>
      </c>
      <c r="D2118">
        <f>IF(A2118="","",'Ratings'!D138)</f>
        <v/>
      </c>
      <c r="E2118">
        <f>IF(AND('Ratings'!A138&lt;&gt;"",'Ratings'!I5&lt;&gt;""),'Ratings'!I5,"")</f>
        <v/>
      </c>
      <c r="F2118">
        <f>IF(OR(A2118="",'Ratings'!I138=""),"",'Ratings'!I138)</f>
        <v/>
      </c>
      <c r="G2118">
        <f>IF(A2118="","",'Employees'!D14)</f>
        <v/>
      </c>
    </row>
    <row r="2119">
      <c r="A2119">
        <f>IF(AND('Ratings'!A138&lt;&gt;"",'Ratings'!J5&lt;&gt;""),'Ratings'!A138,"")</f>
        <v/>
      </c>
      <c r="B2119">
        <f>IF(A2119="","",'Employees'!C14)</f>
        <v/>
      </c>
      <c r="C2119">
        <f>IF(A2119="","",'Ratings'!C138)</f>
        <v/>
      </c>
      <c r="D2119">
        <f>IF(A2119="","",'Ratings'!D138)</f>
        <v/>
      </c>
      <c r="E2119">
        <f>IF(AND('Ratings'!A138&lt;&gt;"",'Ratings'!J5&lt;&gt;""),'Ratings'!J5,"")</f>
        <v/>
      </c>
      <c r="F2119">
        <f>IF(OR(A2119="",'Ratings'!J138=""),"",'Ratings'!J138)</f>
        <v/>
      </c>
      <c r="G2119">
        <f>IF(A2119="","",'Employees'!D14)</f>
        <v/>
      </c>
    </row>
    <row r="2120">
      <c r="A2120">
        <f>IF(AND('Ratings'!A138&lt;&gt;"",'Ratings'!K5&lt;&gt;""),'Ratings'!A138,"")</f>
        <v/>
      </c>
      <c r="B2120">
        <f>IF(A2120="","",'Employees'!C14)</f>
        <v/>
      </c>
      <c r="C2120">
        <f>IF(A2120="","",'Ratings'!C138)</f>
        <v/>
      </c>
      <c r="D2120">
        <f>IF(A2120="","",'Ratings'!D138)</f>
        <v/>
      </c>
      <c r="E2120">
        <f>IF(AND('Ratings'!A138&lt;&gt;"",'Ratings'!K5&lt;&gt;""),'Ratings'!K5,"")</f>
        <v/>
      </c>
      <c r="F2120">
        <f>IF(OR(A2120="",'Ratings'!K138=""),"",'Ratings'!K138)</f>
        <v/>
      </c>
      <c r="G2120">
        <f>IF(A2120="","",'Employees'!D14)</f>
        <v/>
      </c>
    </row>
    <row r="2121">
      <c r="A2121">
        <f>IF(AND('Ratings'!A138&lt;&gt;"",'Ratings'!L5&lt;&gt;""),'Ratings'!A138,"")</f>
        <v/>
      </c>
      <c r="B2121">
        <f>IF(A2121="","",'Employees'!C14)</f>
        <v/>
      </c>
      <c r="C2121">
        <f>IF(A2121="","",'Ratings'!C138)</f>
        <v/>
      </c>
      <c r="D2121">
        <f>IF(A2121="","",'Ratings'!D138)</f>
        <v/>
      </c>
      <c r="E2121">
        <f>IF(AND('Ratings'!A138&lt;&gt;"",'Ratings'!L5&lt;&gt;""),'Ratings'!L5,"")</f>
        <v/>
      </c>
      <c r="F2121">
        <f>IF(OR(A2121="",'Ratings'!L138=""),"",'Ratings'!L138)</f>
        <v/>
      </c>
      <c r="G2121">
        <f>IF(A2121="","",'Employees'!D14)</f>
        <v/>
      </c>
    </row>
    <row r="2122">
      <c r="A2122">
        <f>IF(AND('Ratings'!A138&lt;&gt;"",'Ratings'!M5&lt;&gt;""),'Ratings'!A138,"")</f>
        <v/>
      </c>
      <c r="B2122">
        <f>IF(A2122="","",'Employees'!C14)</f>
        <v/>
      </c>
      <c r="C2122">
        <f>IF(A2122="","",'Ratings'!C138)</f>
        <v/>
      </c>
      <c r="D2122">
        <f>IF(A2122="","",'Ratings'!D138)</f>
        <v/>
      </c>
      <c r="E2122">
        <f>IF(AND('Ratings'!A138&lt;&gt;"",'Ratings'!M5&lt;&gt;""),'Ratings'!M5,"")</f>
        <v/>
      </c>
      <c r="F2122">
        <f>IF(OR(A2122="",'Ratings'!M138=""),"",'Ratings'!M138)</f>
        <v/>
      </c>
      <c r="G2122">
        <f>IF(A2122="","",'Employees'!D14)</f>
        <v/>
      </c>
    </row>
    <row r="2123">
      <c r="A2123">
        <f>IF(AND('Ratings'!A138&lt;&gt;"",'Ratings'!N5&lt;&gt;""),'Ratings'!A138,"")</f>
        <v/>
      </c>
      <c r="B2123">
        <f>IF(A2123="","",'Employees'!C14)</f>
        <v/>
      </c>
      <c r="C2123">
        <f>IF(A2123="","",'Ratings'!C138)</f>
        <v/>
      </c>
      <c r="D2123">
        <f>IF(A2123="","",'Ratings'!D138)</f>
        <v/>
      </c>
      <c r="E2123">
        <f>IF(AND('Ratings'!A138&lt;&gt;"",'Ratings'!N5&lt;&gt;""),'Ratings'!N5,"")</f>
        <v/>
      </c>
      <c r="F2123">
        <f>IF(OR(A2123="",'Ratings'!N138=""),"",'Ratings'!N138)</f>
        <v/>
      </c>
      <c r="G2123">
        <f>IF(A2123="","",'Employees'!D14)</f>
        <v/>
      </c>
    </row>
    <row r="2124">
      <c r="A2124">
        <f>IF(AND('Ratings'!A138&lt;&gt;"",'Ratings'!O5&lt;&gt;""),'Ratings'!A138,"")</f>
        <v/>
      </c>
      <c r="B2124">
        <f>IF(A2124="","",'Employees'!C14)</f>
        <v/>
      </c>
      <c r="C2124">
        <f>IF(A2124="","",'Ratings'!C138)</f>
        <v/>
      </c>
      <c r="D2124">
        <f>IF(A2124="","",'Ratings'!D138)</f>
        <v/>
      </c>
      <c r="E2124">
        <f>IF(AND('Ratings'!A138&lt;&gt;"",'Ratings'!O5&lt;&gt;""),'Ratings'!O5,"")</f>
        <v/>
      </c>
      <c r="F2124">
        <f>IF(OR(A2124="",'Ratings'!O138=""),"",'Ratings'!O138)</f>
        <v/>
      </c>
      <c r="G2124">
        <f>IF(A2124="","",'Employees'!D14)</f>
        <v/>
      </c>
    </row>
    <row r="2125">
      <c r="A2125">
        <f>IF(AND('Ratings'!A138&lt;&gt;"",'Ratings'!P5&lt;&gt;""),'Ratings'!A138,"")</f>
        <v/>
      </c>
      <c r="B2125">
        <f>IF(A2125="","",'Employees'!C14)</f>
        <v/>
      </c>
      <c r="C2125">
        <f>IF(A2125="","",'Ratings'!C138)</f>
        <v/>
      </c>
      <c r="D2125">
        <f>IF(A2125="","",'Ratings'!D138)</f>
        <v/>
      </c>
      <c r="E2125">
        <f>IF(AND('Ratings'!A138&lt;&gt;"",'Ratings'!P5&lt;&gt;""),'Ratings'!P5,"")</f>
        <v/>
      </c>
      <c r="F2125">
        <f>IF(OR(A2125="",'Ratings'!P138=""),"",'Ratings'!P138)</f>
        <v/>
      </c>
      <c r="G2125">
        <f>IF(A2125="","",'Employees'!D14)</f>
        <v/>
      </c>
    </row>
    <row r="2126">
      <c r="A2126">
        <f>IF(AND('Ratings'!A138&lt;&gt;"",'Ratings'!Q5&lt;&gt;""),'Ratings'!A138,"")</f>
        <v/>
      </c>
      <c r="B2126">
        <f>IF(A2126="","",'Employees'!C14)</f>
        <v/>
      </c>
      <c r="C2126">
        <f>IF(A2126="","",'Ratings'!C138)</f>
        <v/>
      </c>
      <c r="D2126">
        <f>IF(A2126="","",'Ratings'!D138)</f>
        <v/>
      </c>
      <c r="E2126">
        <f>IF(AND('Ratings'!A138&lt;&gt;"",'Ratings'!Q5&lt;&gt;""),'Ratings'!Q5,"")</f>
        <v/>
      </c>
      <c r="F2126">
        <f>IF(OR(A2126="",'Ratings'!Q138=""),"",'Ratings'!Q138)</f>
        <v/>
      </c>
      <c r="G2126">
        <f>IF(A2126="","",'Employees'!D14)</f>
        <v/>
      </c>
    </row>
    <row r="2127">
      <c r="A2127">
        <f>IF(AND('Ratings'!A138&lt;&gt;"",'Ratings'!R5&lt;&gt;""),'Ratings'!A138,"")</f>
        <v/>
      </c>
      <c r="B2127">
        <f>IF(A2127="","",'Employees'!C14)</f>
        <v/>
      </c>
      <c r="C2127">
        <f>IF(A2127="","",'Ratings'!C138)</f>
        <v/>
      </c>
      <c r="D2127">
        <f>IF(A2127="","",'Ratings'!D138)</f>
        <v/>
      </c>
      <c r="E2127">
        <f>IF(AND('Ratings'!A138&lt;&gt;"",'Ratings'!R5&lt;&gt;""),'Ratings'!R5,"")</f>
        <v/>
      </c>
      <c r="F2127">
        <f>IF(OR(A2127="",'Ratings'!R138=""),"",'Ratings'!R138)</f>
        <v/>
      </c>
      <c r="G2127">
        <f>IF(A2127="","",'Employees'!D14)</f>
        <v/>
      </c>
    </row>
    <row r="2128">
      <c r="A2128">
        <f>IF(AND('Ratings'!A138&lt;&gt;"",'Ratings'!S5&lt;&gt;""),'Ratings'!A138,"")</f>
        <v/>
      </c>
      <c r="B2128">
        <f>IF(A2128="","",'Employees'!C14)</f>
        <v/>
      </c>
      <c r="C2128">
        <f>IF(A2128="","",'Ratings'!C138)</f>
        <v/>
      </c>
      <c r="D2128">
        <f>IF(A2128="","",'Ratings'!D138)</f>
        <v/>
      </c>
      <c r="E2128">
        <f>IF(AND('Ratings'!A138&lt;&gt;"",'Ratings'!S5&lt;&gt;""),'Ratings'!S5,"")</f>
        <v/>
      </c>
      <c r="F2128">
        <f>IF(OR(A2128="",'Ratings'!S138=""),"",'Ratings'!S138)</f>
        <v/>
      </c>
      <c r="G2128">
        <f>IF(A2128="","",'Employees'!D14)</f>
        <v/>
      </c>
    </row>
    <row r="2129">
      <c r="A2129">
        <f>IF(AND('Ratings'!A138&lt;&gt;"",'Ratings'!T5&lt;&gt;""),'Ratings'!A138,"")</f>
        <v/>
      </c>
      <c r="B2129">
        <f>IF(A2129="","",'Employees'!C14)</f>
        <v/>
      </c>
      <c r="C2129">
        <f>IF(A2129="","",'Ratings'!C138)</f>
        <v/>
      </c>
      <c r="D2129">
        <f>IF(A2129="","",'Ratings'!D138)</f>
        <v/>
      </c>
      <c r="E2129">
        <f>IF(AND('Ratings'!A138&lt;&gt;"",'Ratings'!T5&lt;&gt;""),'Ratings'!T5,"")</f>
        <v/>
      </c>
      <c r="F2129">
        <f>IF(OR(A2129="",'Ratings'!T138=""),"",'Ratings'!T138)</f>
        <v/>
      </c>
      <c r="G2129">
        <f>IF(A2129="","",'Employees'!D14)</f>
        <v/>
      </c>
    </row>
    <row r="2130">
      <c r="A2130">
        <f>IF(AND('Ratings'!A139&lt;&gt;"",'Ratings'!E5&lt;&gt;""),'Ratings'!A139,"")</f>
        <v/>
      </c>
      <c r="B2130">
        <f>IF(A2130="","",'Employees'!C14)</f>
        <v/>
      </c>
      <c r="C2130">
        <f>IF(A2130="","",'Ratings'!C139)</f>
        <v/>
      </c>
      <c r="D2130">
        <f>IF(A2130="","",'Ratings'!D139)</f>
        <v/>
      </c>
      <c r="E2130">
        <f>IF(AND('Ratings'!A139&lt;&gt;"",'Ratings'!E5&lt;&gt;""),'Ratings'!E5,"")</f>
        <v/>
      </c>
      <c r="F2130">
        <f>IF(OR(A2130="",'Ratings'!E139=""),"",'Ratings'!E139)</f>
        <v/>
      </c>
      <c r="G2130">
        <f>IF(A2130="","",'Employees'!D14)</f>
        <v/>
      </c>
    </row>
    <row r="2131">
      <c r="A2131">
        <f>IF(AND('Ratings'!A139&lt;&gt;"",'Ratings'!F5&lt;&gt;""),'Ratings'!A139,"")</f>
        <v/>
      </c>
      <c r="B2131">
        <f>IF(A2131="","",'Employees'!C14)</f>
        <v/>
      </c>
      <c r="C2131">
        <f>IF(A2131="","",'Ratings'!C139)</f>
        <v/>
      </c>
      <c r="D2131">
        <f>IF(A2131="","",'Ratings'!D139)</f>
        <v/>
      </c>
      <c r="E2131">
        <f>IF(AND('Ratings'!A139&lt;&gt;"",'Ratings'!F5&lt;&gt;""),'Ratings'!F5,"")</f>
        <v/>
      </c>
      <c r="F2131">
        <f>IF(OR(A2131="",'Ratings'!F139=""),"",'Ratings'!F139)</f>
        <v/>
      </c>
      <c r="G2131">
        <f>IF(A2131="","",'Employees'!D14)</f>
        <v/>
      </c>
    </row>
    <row r="2132">
      <c r="A2132">
        <f>IF(AND('Ratings'!A139&lt;&gt;"",'Ratings'!G5&lt;&gt;""),'Ratings'!A139,"")</f>
        <v/>
      </c>
      <c r="B2132">
        <f>IF(A2132="","",'Employees'!C14)</f>
        <v/>
      </c>
      <c r="C2132">
        <f>IF(A2132="","",'Ratings'!C139)</f>
        <v/>
      </c>
      <c r="D2132">
        <f>IF(A2132="","",'Ratings'!D139)</f>
        <v/>
      </c>
      <c r="E2132">
        <f>IF(AND('Ratings'!A139&lt;&gt;"",'Ratings'!G5&lt;&gt;""),'Ratings'!G5,"")</f>
        <v/>
      </c>
      <c r="F2132">
        <f>IF(OR(A2132="",'Ratings'!G139=""),"",'Ratings'!G139)</f>
        <v/>
      </c>
      <c r="G2132">
        <f>IF(A2132="","",'Employees'!D14)</f>
        <v/>
      </c>
    </row>
    <row r="2133">
      <c r="A2133">
        <f>IF(AND('Ratings'!A139&lt;&gt;"",'Ratings'!H5&lt;&gt;""),'Ratings'!A139,"")</f>
        <v/>
      </c>
      <c r="B2133">
        <f>IF(A2133="","",'Employees'!C14)</f>
        <v/>
      </c>
      <c r="C2133">
        <f>IF(A2133="","",'Ratings'!C139)</f>
        <v/>
      </c>
      <c r="D2133">
        <f>IF(A2133="","",'Ratings'!D139)</f>
        <v/>
      </c>
      <c r="E2133">
        <f>IF(AND('Ratings'!A139&lt;&gt;"",'Ratings'!H5&lt;&gt;""),'Ratings'!H5,"")</f>
        <v/>
      </c>
      <c r="F2133">
        <f>IF(OR(A2133="",'Ratings'!H139=""),"",'Ratings'!H139)</f>
        <v/>
      </c>
      <c r="G2133">
        <f>IF(A2133="","",'Employees'!D14)</f>
        <v/>
      </c>
    </row>
    <row r="2134">
      <c r="A2134">
        <f>IF(AND('Ratings'!A139&lt;&gt;"",'Ratings'!I5&lt;&gt;""),'Ratings'!A139,"")</f>
        <v/>
      </c>
      <c r="B2134">
        <f>IF(A2134="","",'Employees'!C14)</f>
        <v/>
      </c>
      <c r="C2134">
        <f>IF(A2134="","",'Ratings'!C139)</f>
        <v/>
      </c>
      <c r="D2134">
        <f>IF(A2134="","",'Ratings'!D139)</f>
        <v/>
      </c>
      <c r="E2134">
        <f>IF(AND('Ratings'!A139&lt;&gt;"",'Ratings'!I5&lt;&gt;""),'Ratings'!I5,"")</f>
        <v/>
      </c>
      <c r="F2134">
        <f>IF(OR(A2134="",'Ratings'!I139=""),"",'Ratings'!I139)</f>
        <v/>
      </c>
      <c r="G2134">
        <f>IF(A2134="","",'Employees'!D14)</f>
        <v/>
      </c>
    </row>
    <row r="2135">
      <c r="A2135">
        <f>IF(AND('Ratings'!A139&lt;&gt;"",'Ratings'!J5&lt;&gt;""),'Ratings'!A139,"")</f>
        <v/>
      </c>
      <c r="B2135">
        <f>IF(A2135="","",'Employees'!C14)</f>
        <v/>
      </c>
      <c r="C2135">
        <f>IF(A2135="","",'Ratings'!C139)</f>
        <v/>
      </c>
      <c r="D2135">
        <f>IF(A2135="","",'Ratings'!D139)</f>
        <v/>
      </c>
      <c r="E2135">
        <f>IF(AND('Ratings'!A139&lt;&gt;"",'Ratings'!J5&lt;&gt;""),'Ratings'!J5,"")</f>
        <v/>
      </c>
      <c r="F2135">
        <f>IF(OR(A2135="",'Ratings'!J139=""),"",'Ratings'!J139)</f>
        <v/>
      </c>
      <c r="G2135">
        <f>IF(A2135="","",'Employees'!D14)</f>
        <v/>
      </c>
    </row>
    <row r="2136">
      <c r="A2136">
        <f>IF(AND('Ratings'!A139&lt;&gt;"",'Ratings'!K5&lt;&gt;""),'Ratings'!A139,"")</f>
        <v/>
      </c>
      <c r="B2136">
        <f>IF(A2136="","",'Employees'!C14)</f>
        <v/>
      </c>
      <c r="C2136">
        <f>IF(A2136="","",'Ratings'!C139)</f>
        <v/>
      </c>
      <c r="D2136">
        <f>IF(A2136="","",'Ratings'!D139)</f>
        <v/>
      </c>
      <c r="E2136">
        <f>IF(AND('Ratings'!A139&lt;&gt;"",'Ratings'!K5&lt;&gt;""),'Ratings'!K5,"")</f>
        <v/>
      </c>
      <c r="F2136">
        <f>IF(OR(A2136="",'Ratings'!K139=""),"",'Ratings'!K139)</f>
        <v/>
      </c>
      <c r="G2136">
        <f>IF(A2136="","",'Employees'!D14)</f>
        <v/>
      </c>
    </row>
    <row r="2137">
      <c r="A2137">
        <f>IF(AND('Ratings'!A139&lt;&gt;"",'Ratings'!L5&lt;&gt;""),'Ratings'!A139,"")</f>
        <v/>
      </c>
      <c r="B2137">
        <f>IF(A2137="","",'Employees'!C14)</f>
        <v/>
      </c>
      <c r="C2137">
        <f>IF(A2137="","",'Ratings'!C139)</f>
        <v/>
      </c>
      <c r="D2137">
        <f>IF(A2137="","",'Ratings'!D139)</f>
        <v/>
      </c>
      <c r="E2137">
        <f>IF(AND('Ratings'!A139&lt;&gt;"",'Ratings'!L5&lt;&gt;""),'Ratings'!L5,"")</f>
        <v/>
      </c>
      <c r="F2137">
        <f>IF(OR(A2137="",'Ratings'!L139=""),"",'Ratings'!L139)</f>
        <v/>
      </c>
      <c r="G2137">
        <f>IF(A2137="","",'Employees'!D14)</f>
        <v/>
      </c>
    </row>
    <row r="2138">
      <c r="A2138">
        <f>IF(AND('Ratings'!A139&lt;&gt;"",'Ratings'!M5&lt;&gt;""),'Ratings'!A139,"")</f>
        <v/>
      </c>
      <c r="B2138">
        <f>IF(A2138="","",'Employees'!C14)</f>
        <v/>
      </c>
      <c r="C2138">
        <f>IF(A2138="","",'Ratings'!C139)</f>
        <v/>
      </c>
      <c r="D2138">
        <f>IF(A2138="","",'Ratings'!D139)</f>
        <v/>
      </c>
      <c r="E2138">
        <f>IF(AND('Ratings'!A139&lt;&gt;"",'Ratings'!M5&lt;&gt;""),'Ratings'!M5,"")</f>
        <v/>
      </c>
      <c r="F2138">
        <f>IF(OR(A2138="",'Ratings'!M139=""),"",'Ratings'!M139)</f>
        <v/>
      </c>
      <c r="G2138">
        <f>IF(A2138="","",'Employees'!D14)</f>
        <v/>
      </c>
    </row>
    <row r="2139">
      <c r="A2139">
        <f>IF(AND('Ratings'!A139&lt;&gt;"",'Ratings'!N5&lt;&gt;""),'Ratings'!A139,"")</f>
        <v/>
      </c>
      <c r="B2139">
        <f>IF(A2139="","",'Employees'!C14)</f>
        <v/>
      </c>
      <c r="C2139">
        <f>IF(A2139="","",'Ratings'!C139)</f>
        <v/>
      </c>
      <c r="D2139">
        <f>IF(A2139="","",'Ratings'!D139)</f>
        <v/>
      </c>
      <c r="E2139">
        <f>IF(AND('Ratings'!A139&lt;&gt;"",'Ratings'!N5&lt;&gt;""),'Ratings'!N5,"")</f>
        <v/>
      </c>
      <c r="F2139">
        <f>IF(OR(A2139="",'Ratings'!N139=""),"",'Ratings'!N139)</f>
        <v/>
      </c>
      <c r="G2139">
        <f>IF(A2139="","",'Employees'!D14)</f>
        <v/>
      </c>
    </row>
    <row r="2140">
      <c r="A2140">
        <f>IF(AND('Ratings'!A139&lt;&gt;"",'Ratings'!O5&lt;&gt;""),'Ratings'!A139,"")</f>
        <v/>
      </c>
      <c r="B2140">
        <f>IF(A2140="","",'Employees'!C14)</f>
        <v/>
      </c>
      <c r="C2140">
        <f>IF(A2140="","",'Ratings'!C139)</f>
        <v/>
      </c>
      <c r="D2140">
        <f>IF(A2140="","",'Ratings'!D139)</f>
        <v/>
      </c>
      <c r="E2140">
        <f>IF(AND('Ratings'!A139&lt;&gt;"",'Ratings'!O5&lt;&gt;""),'Ratings'!O5,"")</f>
        <v/>
      </c>
      <c r="F2140">
        <f>IF(OR(A2140="",'Ratings'!O139=""),"",'Ratings'!O139)</f>
        <v/>
      </c>
      <c r="G2140">
        <f>IF(A2140="","",'Employees'!D14)</f>
        <v/>
      </c>
    </row>
    <row r="2141">
      <c r="A2141">
        <f>IF(AND('Ratings'!A139&lt;&gt;"",'Ratings'!P5&lt;&gt;""),'Ratings'!A139,"")</f>
        <v/>
      </c>
      <c r="B2141">
        <f>IF(A2141="","",'Employees'!C14)</f>
        <v/>
      </c>
      <c r="C2141">
        <f>IF(A2141="","",'Ratings'!C139)</f>
        <v/>
      </c>
      <c r="D2141">
        <f>IF(A2141="","",'Ratings'!D139)</f>
        <v/>
      </c>
      <c r="E2141">
        <f>IF(AND('Ratings'!A139&lt;&gt;"",'Ratings'!P5&lt;&gt;""),'Ratings'!P5,"")</f>
        <v/>
      </c>
      <c r="F2141">
        <f>IF(OR(A2141="",'Ratings'!P139=""),"",'Ratings'!P139)</f>
        <v/>
      </c>
      <c r="G2141">
        <f>IF(A2141="","",'Employees'!D14)</f>
        <v/>
      </c>
    </row>
    <row r="2142">
      <c r="A2142">
        <f>IF(AND('Ratings'!A139&lt;&gt;"",'Ratings'!Q5&lt;&gt;""),'Ratings'!A139,"")</f>
        <v/>
      </c>
      <c r="B2142">
        <f>IF(A2142="","",'Employees'!C14)</f>
        <v/>
      </c>
      <c r="C2142">
        <f>IF(A2142="","",'Ratings'!C139)</f>
        <v/>
      </c>
      <c r="D2142">
        <f>IF(A2142="","",'Ratings'!D139)</f>
        <v/>
      </c>
      <c r="E2142">
        <f>IF(AND('Ratings'!A139&lt;&gt;"",'Ratings'!Q5&lt;&gt;""),'Ratings'!Q5,"")</f>
        <v/>
      </c>
      <c r="F2142">
        <f>IF(OR(A2142="",'Ratings'!Q139=""),"",'Ratings'!Q139)</f>
        <v/>
      </c>
      <c r="G2142">
        <f>IF(A2142="","",'Employees'!D14)</f>
        <v/>
      </c>
    </row>
    <row r="2143">
      <c r="A2143">
        <f>IF(AND('Ratings'!A139&lt;&gt;"",'Ratings'!R5&lt;&gt;""),'Ratings'!A139,"")</f>
        <v/>
      </c>
      <c r="B2143">
        <f>IF(A2143="","",'Employees'!C14)</f>
        <v/>
      </c>
      <c r="C2143">
        <f>IF(A2143="","",'Ratings'!C139)</f>
        <v/>
      </c>
      <c r="D2143">
        <f>IF(A2143="","",'Ratings'!D139)</f>
        <v/>
      </c>
      <c r="E2143">
        <f>IF(AND('Ratings'!A139&lt;&gt;"",'Ratings'!R5&lt;&gt;""),'Ratings'!R5,"")</f>
        <v/>
      </c>
      <c r="F2143">
        <f>IF(OR(A2143="",'Ratings'!R139=""),"",'Ratings'!R139)</f>
        <v/>
      </c>
      <c r="G2143">
        <f>IF(A2143="","",'Employees'!D14)</f>
        <v/>
      </c>
    </row>
    <row r="2144">
      <c r="A2144">
        <f>IF(AND('Ratings'!A139&lt;&gt;"",'Ratings'!S5&lt;&gt;""),'Ratings'!A139,"")</f>
        <v/>
      </c>
      <c r="B2144">
        <f>IF(A2144="","",'Employees'!C14)</f>
        <v/>
      </c>
      <c r="C2144">
        <f>IF(A2144="","",'Ratings'!C139)</f>
        <v/>
      </c>
      <c r="D2144">
        <f>IF(A2144="","",'Ratings'!D139)</f>
        <v/>
      </c>
      <c r="E2144">
        <f>IF(AND('Ratings'!A139&lt;&gt;"",'Ratings'!S5&lt;&gt;""),'Ratings'!S5,"")</f>
        <v/>
      </c>
      <c r="F2144">
        <f>IF(OR(A2144="",'Ratings'!S139=""),"",'Ratings'!S139)</f>
        <v/>
      </c>
      <c r="G2144">
        <f>IF(A2144="","",'Employees'!D14)</f>
        <v/>
      </c>
    </row>
    <row r="2145">
      <c r="A2145">
        <f>IF(AND('Ratings'!A139&lt;&gt;"",'Ratings'!T5&lt;&gt;""),'Ratings'!A139,"")</f>
        <v/>
      </c>
      <c r="B2145">
        <f>IF(A2145="","",'Employees'!C14)</f>
        <v/>
      </c>
      <c r="C2145">
        <f>IF(A2145="","",'Ratings'!C139)</f>
        <v/>
      </c>
      <c r="D2145">
        <f>IF(A2145="","",'Ratings'!D139)</f>
        <v/>
      </c>
      <c r="E2145">
        <f>IF(AND('Ratings'!A139&lt;&gt;"",'Ratings'!T5&lt;&gt;""),'Ratings'!T5,"")</f>
        <v/>
      </c>
      <c r="F2145">
        <f>IF(OR(A2145="",'Ratings'!T139=""),"",'Ratings'!T139)</f>
        <v/>
      </c>
      <c r="G2145">
        <f>IF(A2145="","",'Employees'!D14)</f>
        <v/>
      </c>
    </row>
    <row r="2146">
      <c r="A2146">
        <f>IF(AND('Ratings'!A140&lt;&gt;"",'Ratings'!E5&lt;&gt;""),'Ratings'!A140,"")</f>
        <v/>
      </c>
      <c r="B2146">
        <f>IF(A2146="","",'Employees'!C14)</f>
        <v/>
      </c>
      <c r="C2146">
        <f>IF(A2146="","",'Ratings'!C140)</f>
        <v/>
      </c>
      <c r="D2146">
        <f>IF(A2146="","",'Ratings'!D140)</f>
        <v/>
      </c>
      <c r="E2146">
        <f>IF(AND('Ratings'!A140&lt;&gt;"",'Ratings'!E5&lt;&gt;""),'Ratings'!E5,"")</f>
        <v/>
      </c>
      <c r="F2146">
        <f>IF(OR(A2146="",'Ratings'!E140=""),"",'Ratings'!E140)</f>
        <v/>
      </c>
      <c r="G2146">
        <f>IF(A2146="","",'Employees'!D14)</f>
        <v/>
      </c>
    </row>
    <row r="2147">
      <c r="A2147">
        <f>IF(AND('Ratings'!A140&lt;&gt;"",'Ratings'!F5&lt;&gt;""),'Ratings'!A140,"")</f>
        <v/>
      </c>
      <c r="B2147">
        <f>IF(A2147="","",'Employees'!C14)</f>
        <v/>
      </c>
      <c r="C2147">
        <f>IF(A2147="","",'Ratings'!C140)</f>
        <v/>
      </c>
      <c r="D2147">
        <f>IF(A2147="","",'Ratings'!D140)</f>
        <v/>
      </c>
      <c r="E2147">
        <f>IF(AND('Ratings'!A140&lt;&gt;"",'Ratings'!F5&lt;&gt;""),'Ratings'!F5,"")</f>
        <v/>
      </c>
      <c r="F2147">
        <f>IF(OR(A2147="",'Ratings'!F140=""),"",'Ratings'!F140)</f>
        <v/>
      </c>
      <c r="G2147">
        <f>IF(A2147="","",'Employees'!D14)</f>
        <v/>
      </c>
    </row>
    <row r="2148">
      <c r="A2148">
        <f>IF(AND('Ratings'!A140&lt;&gt;"",'Ratings'!G5&lt;&gt;""),'Ratings'!A140,"")</f>
        <v/>
      </c>
      <c r="B2148">
        <f>IF(A2148="","",'Employees'!C14)</f>
        <v/>
      </c>
      <c r="C2148">
        <f>IF(A2148="","",'Ratings'!C140)</f>
        <v/>
      </c>
      <c r="D2148">
        <f>IF(A2148="","",'Ratings'!D140)</f>
        <v/>
      </c>
      <c r="E2148">
        <f>IF(AND('Ratings'!A140&lt;&gt;"",'Ratings'!G5&lt;&gt;""),'Ratings'!G5,"")</f>
        <v/>
      </c>
      <c r="F2148">
        <f>IF(OR(A2148="",'Ratings'!G140=""),"",'Ratings'!G140)</f>
        <v/>
      </c>
      <c r="G2148">
        <f>IF(A2148="","",'Employees'!D14)</f>
        <v/>
      </c>
    </row>
    <row r="2149">
      <c r="A2149">
        <f>IF(AND('Ratings'!A140&lt;&gt;"",'Ratings'!H5&lt;&gt;""),'Ratings'!A140,"")</f>
        <v/>
      </c>
      <c r="B2149">
        <f>IF(A2149="","",'Employees'!C14)</f>
        <v/>
      </c>
      <c r="C2149">
        <f>IF(A2149="","",'Ratings'!C140)</f>
        <v/>
      </c>
      <c r="D2149">
        <f>IF(A2149="","",'Ratings'!D140)</f>
        <v/>
      </c>
      <c r="E2149">
        <f>IF(AND('Ratings'!A140&lt;&gt;"",'Ratings'!H5&lt;&gt;""),'Ratings'!H5,"")</f>
        <v/>
      </c>
      <c r="F2149">
        <f>IF(OR(A2149="",'Ratings'!H140=""),"",'Ratings'!H140)</f>
        <v/>
      </c>
      <c r="G2149">
        <f>IF(A2149="","",'Employees'!D14)</f>
        <v/>
      </c>
    </row>
    <row r="2150">
      <c r="A2150">
        <f>IF(AND('Ratings'!A140&lt;&gt;"",'Ratings'!I5&lt;&gt;""),'Ratings'!A140,"")</f>
        <v/>
      </c>
      <c r="B2150">
        <f>IF(A2150="","",'Employees'!C14)</f>
        <v/>
      </c>
      <c r="C2150">
        <f>IF(A2150="","",'Ratings'!C140)</f>
        <v/>
      </c>
      <c r="D2150">
        <f>IF(A2150="","",'Ratings'!D140)</f>
        <v/>
      </c>
      <c r="E2150">
        <f>IF(AND('Ratings'!A140&lt;&gt;"",'Ratings'!I5&lt;&gt;""),'Ratings'!I5,"")</f>
        <v/>
      </c>
      <c r="F2150">
        <f>IF(OR(A2150="",'Ratings'!I140=""),"",'Ratings'!I140)</f>
        <v/>
      </c>
      <c r="G2150">
        <f>IF(A2150="","",'Employees'!D14)</f>
        <v/>
      </c>
    </row>
    <row r="2151">
      <c r="A2151">
        <f>IF(AND('Ratings'!A140&lt;&gt;"",'Ratings'!J5&lt;&gt;""),'Ratings'!A140,"")</f>
        <v/>
      </c>
      <c r="B2151">
        <f>IF(A2151="","",'Employees'!C14)</f>
        <v/>
      </c>
      <c r="C2151">
        <f>IF(A2151="","",'Ratings'!C140)</f>
        <v/>
      </c>
      <c r="D2151">
        <f>IF(A2151="","",'Ratings'!D140)</f>
        <v/>
      </c>
      <c r="E2151">
        <f>IF(AND('Ratings'!A140&lt;&gt;"",'Ratings'!J5&lt;&gt;""),'Ratings'!J5,"")</f>
        <v/>
      </c>
      <c r="F2151">
        <f>IF(OR(A2151="",'Ratings'!J140=""),"",'Ratings'!J140)</f>
        <v/>
      </c>
      <c r="G2151">
        <f>IF(A2151="","",'Employees'!D14)</f>
        <v/>
      </c>
    </row>
    <row r="2152">
      <c r="A2152">
        <f>IF(AND('Ratings'!A140&lt;&gt;"",'Ratings'!K5&lt;&gt;""),'Ratings'!A140,"")</f>
        <v/>
      </c>
      <c r="B2152">
        <f>IF(A2152="","",'Employees'!C14)</f>
        <v/>
      </c>
      <c r="C2152">
        <f>IF(A2152="","",'Ratings'!C140)</f>
        <v/>
      </c>
      <c r="D2152">
        <f>IF(A2152="","",'Ratings'!D140)</f>
        <v/>
      </c>
      <c r="E2152">
        <f>IF(AND('Ratings'!A140&lt;&gt;"",'Ratings'!K5&lt;&gt;""),'Ratings'!K5,"")</f>
        <v/>
      </c>
      <c r="F2152">
        <f>IF(OR(A2152="",'Ratings'!K140=""),"",'Ratings'!K140)</f>
        <v/>
      </c>
      <c r="G2152">
        <f>IF(A2152="","",'Employees'!D14)</f>
        <v/>
      </c>
    </row>
    <row r="2153">
      <c r="A2153">
        <f>IF(AND('Ratings'!A140&lt;&gt;"",'Ratings'!L5&lt;&gt;""),'Ratings'!A140,"")</f>
        <v/>
      </c>
      <c r="B2153">
        <f>IF(A2153="","",'Employees'!C14)</f>
        <v/>
      </c>
      <c r="C2153">
        <f>IF(A2153="","",'Ratings'!C140)</f>
        <v/>
      </c>
      <c r="D2153">
        <f>IF(A2153="","",'Ratings'!D140)</f>
        <v/>
      </c>
      <c r="E2153">
        <f>IF(AND('Ratings'!A140&lt;&gt;"",'Ratings'!L5&lt;&gt;""),'Ratings'!L5,"")</f>
        <v/>
      </c>
      <c r="F2153">
        <f>IF(OR(A2153="",'Ratings'!L140=""),"",'Ratings'!L140)</f>
        <v/>
      </c>
      <c r="G2153">
        <f>IF(A2153="","",'Employees'!D14)</f>
        <v/>
      </c>
    </row>
    <row r="2154">
      <c r="A2154">
        <f>IF(AND('Ratings'!A140&lt;&gt;"",'Ratings'!M5&lt;&gt;""),'Ratings'!A140,"")</f>
        <v/>
      </c>
      <c r="B2154">
        <f>IF(A2154="","",'Employees'!C14)</f>
        <v/>
      </c>
      <c r="C2154">
        <f>IF(A2154="","",'Ratings'!C140)</f>
        <v/>
      </c>
      <c r="D2154">
        <f>IF(A2154="","",'Ratings'!D140)</f>
        <v/>
      </c>
      <c r="E2154">
        <f>IF(AND('Ratings'!A140&lt;&gt;"",'Ratings'!M5&lt;&gt;""),'Ratings'!M5,"")</f>
        <v/>
      </c>
      <c r="F2154">
        <f>IF(OR(A2154="",'Ratings'!M140=""),"",'Ratings'!M140)</f>
        <v/>
      </c>
      <c r="G2154">
        <f>IF(A2154="","",'Employees'!D14)</f>
        <v/>
      </c>
    </row>
    <row r="2155">
      <c r="A2155">
        <f>IF(AND('Ratings'!A140&lt;&gt;"",'Ratings'!N5&lt;&gt;""),'Ratings'!A140,"")</f>
        <v/>
      </c>
      <c r="B2155">
        <f>IF(A2155="","",'Employees'!C14)</f>
        <v/>
      </c>
      <c r="C2155">
        <f>IF(A2155="","",'Ratings'!C140)</f>
        <v/>
      </c>
      <c r="D2155">
        <f>IF(A2155="","",'Ratings'!D140)</f>
        <v/>
      </c>
      <c r="E2155">
        <f>IF(AND('Ratings'!A140&lt;&gt;"",'Ratings'!N5&lt;&gt;""),'Ratings'!N5,"")</f>
        <v/>
      </c>
      <c r="F2155">
        <f>IF(OR(A2155="",'Ratings'!N140=""),"",'Ratings'!N140)</f>
        <v/>
      </c>
      <c r="G2155">
        <f>IF(A2155="","",'Employees'!D14)</f>
        <v/>
      </c>
    </row>
    <row r="2156">
      <c r="A2156">
        <f>IF(AND('Ratings'!A140&lt;&gt;"",'Ratings'!O5&lt;&gt;""),'Ratings'!A140,"")</f>
        <v/>
      </c>
      <c r="B2156">
        <f>IF(A2156="","",'Employees'!C14)</f>
        <v/>
      </c>
      <c r="C2156">
        <f>IF(A2156="","",'Ratings'!C140)</f>
        <v/>
      </c>
      <c r="D2156">
        <f>IF(A2156="","",'Ratings'!D140)</f>
        <v/>
      </c>
      <c r="E2156">
        <f>IF(AND('Ratings'!A140&lt;&gt;"",'Ratings'!O5&lt;&gt;""),'Ratings'!O5,"")</f>
        <v/>
      </c>
      <c r="F2156">
        <f>IF(OR(A2156="",'Ratings'!O140=""),"",'Ratings'!O140)</f>
        <v/>
      </c>
      <c r="G2156">
        <f>IF(A2156="","",'Employees'!D14)</f>
        <v/>
      </c>
    </row>
    <row r="2157">
      <c r="A2157">
        <f>IF(AND('Ratings'!A140&lt;&gt;"",'Ratings'!P5&lt;&gt;""),'Ratings'!A140,"")</f>
        <v/>
      </c>
      <c r="B2157">
        <f>IF(A2157="","",'Employees'!C14)</f>
        <v/>
      </c>
      <c r="C2157">
        <f>IF(A2157="","",'Ratings'!C140)</f>
        <v/>
      </c>
      <c r="D2157">
        <f>IF(A2157="","",'Ratings'!D140)</f>
        <v/>
      </c>
      <c r="E2157">
        <f>IF(AND('Ratings'!A140&lt;&gt;"",'Ratings'!P5&lt;&gt;""),'Ratings'!P5,"")</f>
        <v/>
      </c>
      <c r="F2157">
        <f>IF(OR(A2157="",'Ratings'!P140=""),"",'Ratings'!P140)</f>
        <v/>
      </c>
      <c r="G2157">
        <f>IF(A2157="","",'Employees'!D14)</f>
        <v/>
      </c>
    </row>
    <row r="2158">
      <c r="A2158">
        <f>IF(AND('Ratings'!A140&lt;&gt;"",'Ratings'!Q5&lt;&gt;""),'Ratings'!A140,"")</f>
        <v/>
      </c>
      <c r="B2158">
        <f>IF(A2158="","",'Employees'!C14)</f>
        <v/>
      </c>
      <c r="C2158">
        <f>IF(A2158="","",'Ratings'!C140)</f>
        <v/>
      </c>
      <c r="D2158">
        <f>IF(A2158="","",'Ratings'!D140)</f>
        <v/>
      </c>
      <c r="E2158">
        <f>IF(AND('Ratings'!A140&lt;&gt;"",'Ratings'!Q5&lt;&gt;""),'Ratings'!Q5,"")</f>
        <v/>
      </c>
      <c r="F2158">
        <f>IF(OR(A2158="",'Ratings'!Q140=""),"",'Ratings'!Q140)</f>
        <v/>
      </c>
      <c r="G2158">
        <f>IF(A2158="","",'Employees'!D14)</f>
        <v/>
      </c>
    </row>
    <row r="2159">
      <c r="A2159">
        <f>IF(AND('Ratings'!A140&lt;&gt;"",'Ratings'!R5&lt;&gt;""),'Ratings'!A140,"")</f>
        <v/>
      </c>
      <c r="B2159">
        <f>IF(A2159="","",'Employees'!C14)</f>
        <v/>
      </c>
      <c r="C2159">
        <f>IF(A2159="","",'Ratings'!C140)</f>
        <v/>
      </c>
      <c r="D2159">
        <f>IF(A2159="","",'Ratings'!D140)</f>
        <v/>
      </c>
      <c r="E2159">
        <f>IF(AND('Ratings'!A140&lt;&gt;"",'Ratings'!R5&lt;&gt;""),'Ratings'!R5,"")</f>
        <v/>
      </c>
      <c r="F2159">
        <f>IF(OR(A2159="",'Ratings'!R140=""),"",'Ratings'!R140)</f>
        <v/>
      </c>
      <c r="G2159">
        <f>IF(A2159="","",'Employees'!D14)</f>
        <v/>
      </c>
    </row>
    <row r="2160">
      <c r="A2160">
        <f>IF(AND('Ratings'!A140&lt;&gt;"",'Ratings'!S5&lt;&gt;""),'Ratings'!A140,"")</f>
        <v/>
      </c>
      <c r="B2160">
        <f>IF(A2160="","",'Employees'!C14)</f>
        <v/>
      </c>
      <c r="C2160">
        <f>IF(A2160="","",'Ratings'!C140)</f>
        <v/>
      </c>
      <c r="D2160">
        <f>IF(A2160="","",'Ratings'!D140)</f>
        <v/>
      </c>
      <c r="E2160">
        <f>IF(AND('Ratings'!A140&lt;&gt;"",'Ratings'!S5&lt;&gt;""),'Ratings'!S5,"")</f>
        <v/>
      </c>
      <c r="F2160">
        <f>IF(OR(A2160="",'Ratings'!S140=""),"",'Ratings'!S140)</f>
        <v/>
      </c>
      <c r="G2160">
        <f>IF(A2160="","",'Employees'!D14)</f>
        <v/>
      </c>
    </row>
    <row r="2161">
      <c r="A2161">
        <f>IF(AND('Ratings'!A140&lt;&gt;"",'Ratings'!T5&lt;&gt;""),'Ratings'!A140,"")</f>
        <v/>
      </c>
      <c r="B2161">
        <f>IF(A2161="","",'Employees'!C14)</f>
        <v/>
      </c>
      <c r="C2161">
        <f>IF(A2161="","",'Ratings'!C140)</f>
        <v/>
      </c>
      <c r="D2161">
        <f>IF(A2161="","",'Ratings'!D140)</f>
        <v/>
      </c>
      <c r="E2161">
        <f>IF(AND('Ratings'!A140&lt;&gt;"",'Ratings'!T5&lt;&gt;""),'Ratings'!T5,"")</f>
        <v/>
      </c>
      <c r="F2161">
        <f>IF(OR(A2161="",'Ratings'!T140=""),"",'Ratings'!T140)</f>
        <v/>
      </c>
      <c r="G2161">
        <f>IF(A2161="","",'Employees'!D14)</f>
        <v/>
      </c>
    </row>
    <row r="2162">
      <c r="A2162">
        <f>IF(AND('Ratings'!A141&lt;&gt;"",'Ratings'!E5&lt;&gt;""),'Ratings'!A141,"")</f>
        <v/>
      </c>
      <c r="B2162">
        <f>IF(A2162="","",'Employees'!C14)</f>
        <v/>
      </c>
      <c r="C2162">
        <f>IF(A2162="","",'Ratings'!C141)</f>
        <v/>
      </c>
      <c r="D2162">
        <f>IF(A2162="","",'Ratings'!D141)</f>
        <v/>
      </c>
      <c r="E2162">
        <f>IF(AND('Ratings'!A141&lt;&gt;"",'Ratings'!E5&lt;&gt;""),'Ratings'!E5,"")</f>
        <v/>
      </c>
      <c r="F2162">
        <f>IF(OR(A2162="",'Ratings'!E141=""),"",'Ratings'!E141)</f>
        <v/>
      </c>
      <c r="G2162">
        <f>IF(A2162="","",'Employees'!D14)</f>
        <v/>
      </c>
    </row>
    <row r="2163">
      <c r="A2163">
        <f>IF(AND('Ratings'!A141&lt;&gt;"",'Ratings'!F5&lt;&gt;""),'Ratings'!A141,"")</f>
        <v/>
      </c>
      <c r="B2163">
        <f>IF(A2163="","",'Employees'!C14)</f>
        <v/>
      </c>
      <c r="C2163">
        <f>IF(A2163="","",'Ratings'!C141)</f>
        <v/>
      </c>
      <c r="D2163">
        <f>IF(A2163="","",'Ratings'!D141)</f>
        <v/>
      </c>
      <c r="E2163">
        <f>IF(AND('Ratings'!A141&lt;&gt;"",'Ratings'!F5&lt;&gt;""),'Ratings'!F5,"")</f>
        <v/>
      </c>
      <c r="F2163">
        <f>IF(OR(A2163="",'Ratings'!F141=""),"",'Ratings'!F141)</f>
        <v/>
      </c>
      <c r="G2163">
        <f>IF(A2163="","",'Employees'!D14)</f>
        <v/>
      </c>
    </row>
    <row r="2164">
      <c r="A2164">
        <f>IF(AND('Ratings'!A141&lt;&gt;"",'Ratings'!G5&lt;&gt;""),'Ratings'!A141,"")</f>
        <v/>
      </c>
      <c r="B2164">
        <f>IF(A2164="","",'Employees'!C14)</f>
        <v/>
      </c>
      <c r="C2164">
        <f>IF(A2164="","",'Ratings'!C141)</f>
        <v/>
      </c>
      <c r="D2164">
        <f>IF(A2164="","",'Ratings'!D141)</f>
        <v/>
      </c>
      <c r="E2164">
        <f>IF(AND('Ratings'!A141&lt;&gt;"",'Ratings'!G5&lt;&gt;""),'Ratings'!G5,"")</f>
        <v/>
      </c>
      <c r="F2164">
        <f>IF(OR(A2164="",'Ratings'!G141=""),"",'Ratings'!G141)</f>
        <v/>
      </c>
      <c r="G2164">
        <f>IF(A2164="","",'Employees'!D14)</f>
        <v/>
      </c>
    </row>
    <row r="2165">
      <c r="A2165">
        <f>IF(AND('Ratings'!A141&lt;&gt;"",'Ratings'!H5&lt;&gt;""),'Ratings'!A141,"")</f>
        <v/>
      </c>
      <c r="B2165">
        <f>IF(A2165="","",'Employees'!C14)</f>
        <v/>
      </c>
      <c r="C2165">
        <f>IF(A2165="","",'Ratings'!C141)</f>
        <v/>
      </c>
      <c r="D2165">
        <f>IF(A2165="","",'Ratings'!D141)</f>
        <v/>
      </c>
      <c r="E2165">
        <f>IF(AND('Ratings'!A141&lt;&gt;"",'Ratings'!H5&lt;&gt;""),'Ratings'!H5,"")</f>
        <v/>
      </c>
      <c r="F2165">
        <f>IF(OR(A2165="",'Ratings'!H141=""),"",'Ratings'!H141)</f>
        <v/>
      </c>
      <c r="G2165">
        <f>IF(A2165="","",'Employees'!D14)</f>
        <v/>
      </c>
    </row>
    <row r="2166">
      <c r="A2166">
        <f>IF(AND('Ratings'!A141&lt;&gt;"",'Ratings'!I5&lt;&gt;""),'Ratings'!A141,"")</f>
        <v/>
      </c>
      <c r="B2166">
        <f>IF(A2166="","",'Employees'!C14)</f>
        <v/>
      </c>
      <c r="C2166">
        <f>IF(A2166="","",'Ratings'!C141)</f>
        <v/>
      </c>
      <c r="D2166">
        <f>IF(A2166="","",'Ratings'!D141)</f>
        <v/>
      </c>
      <c r="E2166">
        <f>IF(AND('Ratings'!A141&lt;&gt;"",'Ratings'!I5&lt;&gt;""),'Ratings'!I5,"")</f>
        <v/>
      </c>
      <c r="F2166">
        <f>IF(OR(A2166="",'Ratings'!I141=""),"",'Ratings'!I141)</f>
        <v/>
      </c>
      <c r="G2166">
        <f>IF(A2166="","",'Employees'!D14)</f>
        <v/>
      </c>
    </row>
    <row r="2167">
      <c r="A2167">
        <f>IF(AND('Ratings'!A141&lt;&gt;"",'Ratings'!J5&lt;&gt;""),'Ratings'!A141,"")</f>
        <v/>
      </c>
      <c r="B2167">
        <f>IF(A2167="","",'Employees'!C14)</f>
        <v/>
      </c>
      <c r="C2167">
        <f>IF(A2167="","",'Ratings'!C141)</f>
        <v/>
      </c>
      <c r="D2167">
        <f>IF(A2167="","",'Ratings'!D141)</f>
        <v/>
      </c>
      <c r="E2167">
        <f>IF(AND('Ratings'!A141&lt;&gt;"",'Ratings'!J5&lt;&gt;""),'Ratings'!J5,"")</f>
        <v/>
      </c>
      <c r="F2167">
        <f>IF(OR(A2167="",'Ratings'!J141=""),"",'Ratings'!J141)</f>
        <v/>
      </c>
      <c r="G2167">
        <f>IF(A2167="","",'Employees'!D14)</f>
        <v/>
      </c>
    </row>
    <row r="2168">
      <c r="A2168">
        <f>IF(AND('Ratings'!A141&lt;&gt;"",'Ratings'!K5&lt;&gt;""),'Ratings'!A141,"")</f>
        <v/>
      </c>
      <c r="B2168">
        <f>IF(A2168="","",'Employees'!C14)</f>
        <v/>
      </c>
      <c r="C2168">
        <f>IF(A2168="","",'Ratings'!C141)</f>
        <v/>
      </c>
      <c r="D2168">
        <f>IF(A2168="","",'Ratings'!D141)</f>
        <v/>
      </c>
      <c r="E2168">
        <f>IF(AND('Ratings'!A141&lt;&gt;"",'Ratings'!K5&lt;&gt;""),'Ratings'!K5,"")</f>
        <v/>
      </c>
      <c r="F2168">
        <f>IF(OR(A2168="",'Ratings'!K141=""),"",'Ratings'!K141)</f>
        <v/>
      </c>
      <c r="G2168">
        <f>IF(A2168="","",'Employees'!D14)</f>
        <v/>
      </c>
    </row>
    <row r="2169">
      <c r="A2169">
        <f>IF(AND('Ratings'!A141&lt;&gt;"",'Ratings'!L5&lt;&gt;""),'Ratings'!A141,"")</f>
        <v/>
      </c>
      <c r="B2169">
        <f>IF(A2169="","",'Employees'!C14)</f>
        <v/>
      </c>
      <c r="C2169">
        <f>IF(A2169="","",'Ratings'!C141)</f>
        <v/>
      </c>
      <c r="D2169">
        <f>IF(A2169="","",'Ratings'!D141)</f>
        <v/>
      </c>
      <c r="E2169">
        <f>IF(AND('Ratings'!A141&lt;&gt;"",'Ratings'!L5&lt;&gt;""),'Ratings'!L5,"")</f>
        <v/>
      </c>
      <c r="F2169">
        <f>IF(OR(A2169="",'Ratings'!L141=""),"",'Ratings'!L141)</f>
        <v/>
      </c>
      <c r="G2169">
        <f>IF(A2169="","",'Employees'!D14)</f>
        <v/>
      </c>
    </row>
    <row r="2170">
      <c r="A2170">
        <f>IF(AND('Ratings'!A141&lt;&gt;"",'Ratings'!M5&lt;&gt;""),'Ratings'!A141,"")</f>
        <v/>
      </c>
      <c r="B2170">
        <f>IF(A2170="","",'Employees'!C14)</f>
        <v/>
      </c>
      <c r="C2170">
        <f>IF(A2170="","",'Ratings'!C141)</f>
        <v/>
      </c>
      <c r="D2170">
        <f>IF(A2170="","",'Ratings'!D141)</f>
        <v/>
      </c>
      <c r="E2170">
        <f>IF(AND('Ratings'!A141&lt;&gt;"",'Ratings'!M5&lt;&gt;""),'Ratings'!M5,"")</f>
        <v/>
      </c>
      <c r="F2170">
        <f>IF(OR(A2170="",'Ratings'!M141=""),"",'Ratings'!M141)</f>
        <v/>
      </c>
      <c r="G2170">
        <f>IF(A2170="","",'Employees'!D14)</f>
        <v/>
      </c>
    </row>
    <row r="2171">
      <c r="A2171">
        <f>IF(AND('Ratings'!A141&lt;&gt;"",'Ratings'!N5&lt;&gt;""),'Ratings'!A141,"")</f>
        <v/>
      </c>
      <c r="B2171">
        <f>IF(A2171="","",'Employees'!C14)</f>
        <v/>
      </c>
      <c r="C2171">
        <f>IF(A2171="","",'Ratings'!C141)</f>
        <v/>
      </c>
      <c r="D2171">
        <f>IF(A2171="","",'Ratings'!D141)</f>
        <v/>
      </c>
      <c r="E2171">
        <f>IF(AND('Ratings'!A141&lt;&gt;"",'Ratings'!N5&lt;&gt;""),'Ratings'!N5,"")</f>
        <v/>
      </c>
      <c r="F2171">
        <f>IF(OR(A2171="",'Ratings'!N141=""),"",'Ratings'!N141)</f>
        <v/>
      </c>
      <c r="G2171">
        <f>IF(A2171="","",'Employees'!D14)</f>
        <v/>
      </c>
    </row>
    <row r="2172">
      <c r="A2172">
        <f>IF(AND('Ratings'!A141&lt;&gt;"",'Ratings'!O5&lt;&gt;""),'Ratings'!A141,"")</f>
        <v/>
      </c>
      <c r="B2172">
        <f>IF(A2172="","",'Employees'!C14)</f>
        <v/>
      </c>
      <c r="C2172">
        <f>IF(A2172="","",'Ratings'!C141)</f>
        <v/>
      </c>
      <c r="D2172">
        <f>IF(A2172="","",'Ratings'!D141)</f>
        <v/>
      </c>
      <c r="E2172">
        <f>IF(AND('Ratings'!A141&lt;&gt;"",'Ratings'!O5&lt;&gt;""),'Ratings'!O5,"")</f>
        <v/>
      </c>
      <c r="F2172">
        <f>IF(OR(A2172="",'Ratings'!O141=""),"",'Ratings'!O141)</f>
        <v/>
      </c>
      <c r="G2172">
        <f>IF(A2172="","",'Employees'!D14)</f>
        <v/>
      </c>
    </row>
    <row r="2173">
      <c r="A2173">
        <f>IF(AND('Ratings'!A141&lt;&gt;"",'Ratings'!P5&lt;&gt;""),'Ratings'!A141,"")</f>
        <v/>
      </c>
      <c r="B2173">
        <f>IF(A2173="","",'Employees'!C14)</f>
        <v/>
      </c>
      <c r="C2173">
        <f>IF(A2173="","",'Ratings'!C141)</f>
        <v/>
      </c>
      <c r="D2173">
        <f>IF(A2173="","",'Ratings'!D141)</f>
        <v/>
      </c>
      <c r="E2173">
        <f>IF(AND('Ratings'!A141&lt;&gt;"",'Ratings'!P5&lt;&gt;""),'Ratings'!P5,"")</f>
        <v/>
      </c>
      <c r="F2173">
        <f>IF(OR(A2173="",'Ratings'!P141=""),"",'Ratings'!P141)</f>
        <v/>
      </c>
      <c r="G2173">
        <f>IF(A2173="","",'Employees'!D14)</f>
        <v/>
      </c>
    </row>
    <row r="2174">
      <c r="A2174">
        <f>IF(AND('Ratings'!A141&lt;&gt;"",'Ratings'!Q5&lt;&gt;""),'Ratings'!A141,"")</f>
        <v/>
      </c>
      <c r="B2174">
        <f>IF(A2174="","",'Employees'!C14)</f>
        <v/>
      </c>
      <c r="C2174">
        <f>IF(A2174="","",'Ratings'!C141)</f>
        <v/>
      </c>
      <c r="D2174">
        <f>IF(A2174="","",'Ratings'!D141)</f>
        <v/>
      </c>
      <c r="E2174">
        <f>IF(AND('Ratings'!A141&lt;&gt;"",'Ratings'!Q5&lt;&gt;""),'Ratings'!Q5,"")</f>
        <v/>
      </c>
      <c r="F2174">
        <f>IF(OR(A2174="",'Ratings'!Q141=""),"",'Ratings'!Q141)</f>
        <v/>
      </c>
      <c r="G2174">
        <f>IF(A2174="","",'Employees'!D14)</f>
        <v/>
      </c>
    </row>
    <row r="2175">
      <c r="A2175">
        <f>IF(AND('Ratings'!A141&lt;&gt;"",'Ratings'!R5&lt;&gt;""),'Ratings'!A141,"")</f>
        <v/>
      </c>
      <c r="B2175">
        <f>IF(A2175="","",'Employees'!C14)</f>
        <v/>
      </c>
      <c r="C2175">
        <f>IF(A2175="","",'Ratings'!C141)</f>
        <v/>
      </c>
      <c r="D2175">
        <f>IF(A2175="","",'Ratings'!D141)</f>
        <v/>
      </c>
      <c r="E2175">
        <f>IF(AND('Ratings'!A141&lt;&gt;"",'Ratings'!R5&lt;&gt;""),'Ratings'!R5,"")</f>
        <v/>
      </c>
      <c r="F2175">
        <f>IF(OR(A2175="",'Ratings'!R141=""),"",'Ratings'!R141)</f>
        <v/>
      </c>
      <c r="G2175">
        <f>IF(A2175="","",'Employees'!D14)</f>
        <v/>
      </c>
    </row>
    <row r="2176">
      <c r="A2176">
        <f>IF(AND('Ratings'!A141&lt;&gt;"",'Ratings'!S5&lt;&gt;""),'Ratings'!A141,"")</f>
        <v/>
      </c>
      <c r="B2176">
        <f>IF(A2176="","",'Employees'!C14)</f>
        <v/>
      </c>
      <c r="C2176">
        <f>IF(A2176="","",'Ratings'!C141)</f>
        <v/>
      </c>
      <c r="D2176">
        <f>IF(A2176="","",'Ratings'!D141)</f>
        <v/>
      </c>
      <c r="E2176">
        <f>IF(AND('Ratings'!A141&lt;&gt;"",'Ratings'!S5&lt;&gt;""),'Ratings'!S5,"")</f>
        <v/>
      </c>
      <c r="F2176">
        <f>IF(OR(A2176="",'Ratings'!S141=""),"",'Ratings'!S141)</f>
        <v/>
      </c>
      <c r="G2176">
        <f>IF(A2176="","",'Employees'!D14)</f>
        <v/>
      </c>
    </row>
    <row r="2177">
      <c r="A2177">
        <f>IF(AND('Ratings'!A141&lt;&gt;"",'Ratings'!T5&lt;&gt;""),'Ratings'!A141,"")</f>
        <v/>
      </c>
      <c r="B2177">
        <f>IF(A2177="","",'Employees'!C14)</f>
        <v/>
      </c>
      <c r="C2177">
        <f>IF(A2177="","",'Ratings'!C141)</f>
        <v/>
      </c>
      <c r="D2177">
        <f>IF(A2177="","",'Ratings'!D141)</f>
        <v/>
      </c>
      <c r="E2177">
        <f>IF(AND('Ratings'!A141&lt;&gt;"",'Ratings'!T5&lt;&gt;""),'Ratings'!T5,"")</f>
        <v/>
      </c>
      <c r="F2177">
        <f>IF(OR(A2177="",'Ratings'!T141=""),"",'Ratings'!T141)</f>
        <v/>
      </c>
      <c r="G2177">
        <f>IF(A2177="","",'Employees'!D14)</f>
        <v/>
      </c>
    </row>
    <row r="2178">
      <c r="A2178">
        <f>IF(AND('Ratings'!A142&lt;&gt;"",'Ratings'!E5&lt;&gt;""),'Ratings'!A142,"")</f>
        <v/>
      </c>
      <c r="B2178">
        <f>IF(A2178="","",'Employees'!C14)</f>
        <v/>
      </c>
      <c r="C2178">
        <f>IF(A2178="","",'Ratings'!C142)</f>
        <v/>
      </c>
      <c r="D2178">
        <f>IF(A2178="","",'Ratings'!D142)</f>
        <v/>
      </c>
      <c r="E2178">
        <f>IF(AND('Ratings'!A142&lt;&gt;"",'Ratings'!E5&lt;&gt;""),'Ratings'!E5,"")</f>
        <v/>
      </c>
      <c r="F2178">
        <f>IF(OR(A2178="",'Ratings'!E142=""),"",'Ratings'!E142)</f>
        <v/>
      </c>
      <c r="G2178">
        <f>IF(A2178="","",'Employees'!D14)</f>
        <v/>
      </c>
    </row>
    <row r="2179">
      <c r="A2179">
        <f>IF(AND('Ratings'!A142&lt;&gt;"",'Ratings'!F5&lt;&gt;""),'Ratings'!A142,"")</f>
        <v/>
      </c>
      <c r="B2179">
        <f>IF(A2179="","",'Employees'!C14)</f>
        <v/>
      </c>
      <c r="C2179">
        <f>IF(A2179="","",'Ratings'!C142)</f>
        <v/>
      </c>
      <c r="D2179">
        <f>IF(A2179="","",'Ratings'!D142)</f>
        <v/>
      </c>
      <c r="E2179">
        <f>IF(AND('Ratings'!A142&lt;&gt;"",'Ratings'!F5&lt;&gt;""),'Ratings'!F5,"")</f>
        <v/>
      </c>
      <c r="F2179">
        <f>IF(OR(A2179="",'Ratings'!F142=""),"",'Ratings'!F142)</f>
        <v/>
      </c>
      <c r="G2179">
        <f>IF(A2179="","",'Employees'!D14)</f>
        <v/>
      </c>
    </row>
    <row r="2180">
      <c r="A2180">
        <f>IF(AND('Ratings'!A142&lt;&gt;"",'Ratings'!G5&lt;&gt;""),'Ratings'!A142,"")</f>
        <v/>
      </c>
      <c r="B2180">
        <f>IF(A2180="","",'Employees'!C14)</f>
        <v/>
      </c>
      <c r="C2180">
        <f>IF(A2180="","",'Ratings'!C142)</f>
        <v/>
      </c>
      <c r="D2180">
        <f>IF(A2180="","",'Ratings'!D142)</f>
        <v/>
      </c>
      <c r="E2180">
        <f>IF(AND('Ratings'!A142&lt;&gt;"",'Ratings'!G5&lt;&gt;""),'Ratings'!G5,"")</f>
        <v/>
      </c>
      <c r="F2180">
        <f>IF(OR(A2180="",'Ratings'!G142=""),"",'Ratings'!G142)</f>
        <v/>
      </c>
      <c r="G2180">
        <f>IF(A2180="","",'Employees'!D14)</f>
        <v/>
      </c>
    </row>
    <row r="2181">
      <c r="A2181">
        <f>IF(AND('Ratings'!A142&lt;&gt;"",'Ratings'!H5&lt;&gt;""),'Ratings'!A142,"")</f>
        <v/>
      </c>
      <c r="B2181">
        <f>IF(A2181="","",'Employees'!C14)</f>
        <v/>
      </c>
      <c r="C2181">
        <f>IF(A2181="","",'Ratings'!C142)</f>
        <v/>
      </c>
      <c r="D2181">
        <f>IF(A2181="","",'Ratings'!D142)</f>
        <v/>
      </c>
      <c r="E2181">
        <f>IF(AND('Ratings'!A142&lt;&gt;"",'Ratings'!H5&lt;&gt;""),'Ratings'!H5,"")</f>
        <v/>
      </c>
      <c r="F2181">
        <f>IF(OR(A2181="",'Ratings'!H142=""),"",'Ratings'!H142)</f>
        <v/>
      </c>
      <c r="G2181">
        <f>IF(A2181="","",'Employees'!D14)</f>
        <v/>
      </c>
    </row>
    <row r="2182">
      <c r="A2182">
        <f>IF(AND('Ratings'!A142&lt;&gt;"",'Ratings'!I5&lt;&gt;""),'Ratings'!A142,"")</f>
        <v/>
      </c>
      <c r="B2182">
        <f>IF(A2182="","",'Employees'!C14)</f>
        <v/>
      </c>
      <c r="C2182">
        <f>IF(A2182="","",'Ratings'!C142)</f>
        <v/>
      </c>
      <c r="D2182">
        <f>IF(A2182="","",'Ratings'!D142)</f>
        <v/>
      </c>
      <c r="E2182">
        <f>IF(AND('Ratings'!A142&lt;&gt;"",'Ratings'!I5&lt;&gt;""),'Ratings'!I5,"")</f>
        <v/>
      </c>
      <c r="F2182">
        <f>IF(OR(A2182="",'Ratings'!I142=""),"",'Ratings'!I142)</f>
        <v/>
      </c>
      <c r="G2182">
        <f>IF(A2182="","",'Employees'!D14)</f>
        <v/>
      </c>
    </row>
    <row r="2183">
      <c r="A2183">
        <f>IF(AND('Ratings'!A142&lt;&gt;"",'Ratings'!J5&lt;&gt;""),'Ratings'!A142,"")</f>
        <v/>
      </c>
      <c r="B2183">
        <f>IF(A2183="","",'Employees'!C14)</f>
        <v/>
      </c>
      <c r="C2183">
        <f>IF(A2183="","",'Ratings'!C142)</f>
        <v/>
      </c>
      <c r="D2183">
        <f>IF(A2183="","",'Ratings'!D142)</f>
        <v/>
      </c>
      <c r="E2183">
        <f>IF(AND('Ratings'!A142&lt;&gt;"",'Ratings'!J5&lt;&gt;""),'Ratings'!J5,"")</f>
        <v/>
      </c>
      <c r="F2183">
        <f>IF(OR(A2183="",'Ratings'!J142=""),"",'Ratings'!J142)</f>
        <v/>
      </c>
      <c r="G2183">
        <f>IF(A2183="","",'Employees'!D14)</f>
        <v/>
      </c>
    </row>
    <row r="2184">
      <c r="A2184">
        <f>IF(AND('Ratings'!A142&lt;&gt;"",'Ratings'!K5&lt;&gt;""),'Ratings'!A142,"")</f>
        <v/>
      </c>
      <c r="B2184">
        <f>IF(A2184="","",'Employees'!C14)</f>
        <v/>
      </c>
      <c r="C2184">
        <f>IF(A2184="","",'Ratings'!C142)</f>
        <v/>
      </c>
      <c r="D2184">
        <f>IF(A2184="","",'Ratings'!D142)</f>
        <v/>
      </c>
      <c r="E2184">
        <f>IF(AND('Ratings'!A142&lt;&gt;"",'Ratings'!K5&lt;&gt;""),'Ratings'!K5,"")</f>
        <v/>
      </c>
      <c r="F2184">
        <f>IF(OR(A2184="",'Ratings'!K142=""),"",'Ratings'!K142)</f>
        <v/>
      </c>
      <c r="G2184">
        <f>IF(A2184="","",'Employees'!D14)</f>
        <v/>
      </c>
    </row>
    <row r="2185">
      <c r="A2185">
        <f>IF(AND('Ratings'!A142&lt;&gt;"",'Ratings'!L5&lt;&gt;""),'Ratings'!A142,"")</f>
        <v/>
      </c>
      <c r="B2185">
        <f>IF(A2185="","",'Employees'!C14)</f>
        <v/>
      </c>
      <c r="C2185">
        <f>IF(A2185="","",'Ratings'!C142)</f>
        <v/>
      </c>
      <c r="D2185">
        <f>IF(A2185="","",'Ratings'!D142)</f>
        <v/>
      </c>
      <c r="E2185">
        <f>IF(AND('Ratings'!A142&lt;&gt;"",'Ratings'!L5&lt;&gt;""),'Ratings'!L5,"")</f>
        <v/>
      </c>
      <c r="F2185">
        <f>IF(OR(A2185="",'Ratings'!L142=""),"",'Ratings'!L142)</f>
        <v/>
      </c>
      <c r="G2185">
        <f>IF(A2185="","",'Employees'!D14)</f>
        <v/>
      </c>
    </row>
    <row r="2186">
      <c r="A2186">
        <f>IF(AND('Ratings'!A142&lt;&gt;"",'Ratings'!M5&lt;&gt;""),'Ratings'!A142,"")</f>
        <v/>
      </c>
      <c r="B2186">
        <f>IF(A2186="","",'Employees'!C14)</f>
        <v/>
      </c>
      <c r="C2186">
        <f>IF(A2186="","",'Ratings'!C142)</f>
        <v/>
      </c>
      <c r="D2186">
        <f>IF(A2186="","",'Ratings'!D142)</f>
        <v/>
      </c>
      <c r="E2186">
        <f>IF(AND('Ratings'!A142&lt;&gt;"",'Ratings'!M5&lt;&gt;""),'Ratings'!M5,"")</f>
        <v/>
      </c>
      <c r="F2186">
        <f>IF(OR(A2186="",'Ratings'!M142=""),"",'Ratings'!M142)</f>
        <v/>
      </c>
      <c r="G2186">
        <f>IF(A2186="","",'Employees'!D14)</f>
        <v/>
      </c>
    </row>
    <row r="2187">
      <c r="A2187">
        <f>IF(AND('Ratings'!A142&lt;&gt;"",'Ratings'!N5&lt;&gt;""),'Ratings'!A142,"")</f>
        <v/>
      </c>
      <c r="B2187">
        <f>IF(A2187="","",'Employees'!C14)</f>
        <v/>
      </c>
      <c r="C2187">
        <f>IF(A2187="","",'Ratings'!C142)</f>
        <v/>
      </c>
      <c r="D2187">
        <f>IF(A2187="","",'Ratings'!D142)</f>
        <v/>
      </c>
      <c r="E2187">
        <f>IF(AND('Ratings'!A142&lt;&gt;"",'Ratings'!N5&lt;&gt;""),'Ratings'!N5,"")</f>
        <v/>
      </c>
      <c r="F2187">
        <f>IF(OR(A2187="",'Ratings'!N142=""),"",'Ratings'!N142)</f>
        <v/>
      </c>
      <c r="G2187">
        <f>IF(A2187="","",'Employees'!D14)</f>
        <v/>
      </c>
    </row>
    <row r="2188">
      <c r="A2188">
        <f>IF(AND('Ratings'!A142&lt;&gt;"",'Ratings'!O5&lt;&gt;""),'Ratings'!A142,"")</f>
        <v/>
      </c>
      <c r="B2188">
        <f>IF(A2188="","",'Employees'!C14)</f>
        <v/>
      </c>
      <c r="C2188">
        <f>IF(A2188="","",'Ratings'!C142)</f>
        <v/>
      </c>
      <c r="D2188">
        <f>IF(A2188="","",'Ratings'!D142)</f>
        <v/>
      </c>
      <c r="E2188">
        <f>IF(AND('Ratings'!A142&lt;&gt;"",'Ratings'!O5&lt;&gt;""),'Ratings'!O5,"")</f>
        <v/>
      </c>
      <c r="F2188">
        <f>IF(OR(A2188="",'Ratings'!O142=""),"",'Ratings'!O142)</f>
        <v/>
      </c>
      <c r="G2188">
        <f>IF(A2188="","",'Employees'!D14)</f>
        <v/>
      </c>
    </row>
    <row r="2189">
      <c r="A2189">
        <f>IF(AND('Ratings'!A142&lt;&gt;"",'Ratings'!P5&lt;&gt;""),'Ratings'!A142,"")</f>
        <v/>
      </c>
      <c r="B2189">
        <f>IF(A2189="","",'Employees'!C14)</f>
        <v/>
      </c>
      <c r="C2189">
        <f>IF(A2189="","",'Ratings'!C142)</f>
        <v/>
      </c>
      <c r="D2189">
        <f>IF(A2189="","",'Ratings'!D142)</f>
        <v/>
      </c>
      <c r="E2189">
        <f>IF(AND('Ratings'!A142&lt;&gt;"",'Ratings'!P5&lt;&gt;""),'Ratings'!P5,"")</f>
        <v/>
      </c>
      <c r="F2189">
        <f>IF(OR(A2189="",'Ratings'!P142=""),"",'Ratings'!P142)</f>
        <v/>
      </c>
      <c r="G2189">
        <f>IF(A2189="","",'Employees'!D14)</f>
        <v/>
      </c>
    </row>
    <row r="2190">
      <c r="A2190">
        <f>IF(AND('Ratings'!A142&lt;&gt;"",'Ratings'!Q5&lt;&gt;""),'Ratings'!A142,"")</f>
        <v/>
      </c>
      <c r="B2190">
        <f>IF(A2190="","",'Employees'!C14)</f>
        <v/>
      </c>
      <c r="C2190">
        <f>IF(A2190="","",'Ratings'!C142)</f>
        <v/>
      </c>
      <c r="D2190">
        <f>IF(A2190="","",'Ratings'!D142)</f>
        <v/>
      </c>
      <c r="E2190">
        <f>IF(AND('Ratings'!A142&lt;&gt;"",'Ratings'!Q5&lt;&gt;""),'Ratings'!Q5,"")</f>
        <v/>
      </c>
      <c r="F2190">
        <f>IF(OR(A2190="",'Ratings'!Q142=""),"",'Ratings'!Q142)</f>
        <v/>
      </c>
      <c r="G2190">
        <f>IF(A2190="","",'Employees'!D14)</f>
        <v/>
      </c>
    </row>
    <row r="2191">
      <c r="A2191">
        <f>IF(AND('Ratings'!A142&lt;&gt;"",'Ratings'!R5&lt;&gt;""),'Ratings'!A142,"")</f>
        <v/>
      </c>
      <c r="B2191">
        <f>IF(A2191="","",'Employees'!C14)</f>
        <v/>
      </c>
      <c r="C2191">
        <f>IF(A2191="","",'Ratings'!C142)</f>
        <v/>
      </c>
      <c r="D2191">
        <f>IF(A2191="","",'Ratings'!D142)</f>
        <v/>
      </c>
      <c r="E2191">
        <f>IF(AND('Ratings'!A142&lt;&gt;"",'Ratings'!R5&lt;&gt;""),'Ratings'!R5,"")</f>
        <v/>
      </c>
      <c r="F2191">
        <f>IF(OR(A2191="",'Ratings'!R142=""),"",'Ratings'!R142)</f>
        <v/>
      </c>
      <c r="G2191">
        <f>IF(A2191="","",'Employees'!D14)</f>
        <v/>
      </c>
    </row>
    <row r="2192">
      <c r="A2192">
        <f>IF(AND('Ratings'!A142&lt;&gt;"",'Ratings'!S5&lt;&gt;""),'Ratings'!A142,"")</f>
        <v/>
      </c>
      <c r="B2192">
        <f>IF(A2192="","",'Employees'!C14)</f>
        <v/>
      </c>
      <c r="C2192">
        <f>IF(A2192="","",'Ratings'!C142)</f>
        <v/>
      </c>
      <c r="D2192">
        <f>IF(A2192="","",'Ratings'!D142)</f>
        <v/>
      </c>
      <c r="E2192">
        <f>IF(AND('Ratings'!A142&lt;&gt;"",'Ratings'!S5&lt;&gt;""),'Ratings'!S5,"")</f>
        <v/>
      </c>
      <c r="F2192">
        <f>IF(OR(A2192="",'Ratings'!S142=""),"",'Ratings'!S142)</f>
        <v/>
      </c>
      <c r="G2192">
        <f>IF(A2192="","",'Employees'!D14)</f>
        <v/>
      </c>
    </row>
    <row r="2193">
      <c r="A2193">
        <f>IF(AND('Ratings'!A142&lt;&gt;"",'Ratings'!T5&lt;&gt;""),'Ratings'!A142,"")</f>
        <v/>
      </c>
      <c r="B2193">
        <f>IF(A2193="","",'Employees'!C14)</f>
        <v/>
      </c>
      <c r="C2193">
        <f>IF(A2193="","",'Ratings'!C142)</f>
        <v/>
      </c>
      <c r="D2193">
        <f>IF(A2193="","",'Ratings'!D142)</f>
        <v/>
      </c>
      <c r="E2193">
        <f>IF(AND('Ratings'!A142&lt;&gt;"",'Ratings'!T5&lt;&gt;""),'Ratings'!T5,"")</f>
        <v/>
      </c>
      <c r="F2193">
        <f>IF(OR(A2193="",'Ratings'!T142=""),"",'Ratings'!T142)</f>
        <v/>
      </c>
      <c r="G2193">
        <f>IF(A2193="","",'Employees'!D14)</f>
        <v/>
      </c>
    </row>
    <row r="2194">
      <c r="A2194">
        <f>IF(AND('Ratings'!A143&lt;&gt;"",'Ratings'!E5&lt;&gt;""),'Ratings'!A143,"")</f>
        <v/>
      </c>
      <c r="B2194">
        <f>IF(A2194="","",'Employees'!C14)</f>
        <v/>
      </c>
      <c r="C2194">
        <f>IF(A2194="","",'Ratings'!C143)</f>
        <v/>
      </c>
      <c r="D2194">
        <f>IF(A2194="","",'Ratings'!D143)</f>
        <v/>
      </c>
      <c r="E2194">
        <f>IF(AND('Ratings'!A143&lt;&gt;"",'Ratings'!E5&lt;&gt;""),'Ratings'!E5,"")</f>
        <v/>
      </c>
      <c r="F2194">
        <f>IF(OR(A2194="",'Ratings'!E143=""),"",'Ratings'!E143)</f>
        <v/>
      </c>
      <c r="G2194">
        <f>IF(A2194="","",'Employees'!D14)</f>
        <v/>
      </c>
    </row>
    <row r="2195">
      <c r="A2195">
        <f>IF(AND('Ratings'!A143&lt;&gt;"",'Ratings'!F5&lt;&gt;""),'Ratings'!A143,"")</f>
        <v/>
      </c>
      <c r="B2195">
        <f>IF(A2195="","",'Employees'!C14)</f>
        <v/>
      </c>
      <c r="C2195">
        <f>IF(A2195="","",'Ratings'!C143)</f>
        <v/>
      </c>
      <c r="D2195">
        <f>IF(A2195="","",'Ratings'!D143)</f>
        <v/>
      </c>
      <c r="E2195">
        <f>IF(AND('Ratings'!A143&lt;&gt;"",'Ratings'!F5&lt;&gt;""),'Ratings'!F5,"")</f>
        <v/>
      </c>
      <c r="F2195">
        <f>IF(OR(A2195="",'Ratings'!F143=""),"",'Ratings'!F143)</f>
        <v/>
      </c>
      <c r="G2195">
        <f>IF(A2195="","",'Employees'!D14)</f>
        <v/>
      </c>
    </row>
    <row r="2196">
      <c r="A2196">
        <f>IF(AND('Ratings'!A143&lt;&gt;"",'Ratings'!G5&lt;&gt;""),'Ratings'!A143,"")</f>
        <v/>
      </c>
      <c r="B2196">
        <f>IF(A2196="","",'Employees'!C14)</f>
        <v/>
      </c>
      <c r="C2196">
        <f>IF(A2196="","",'Ratings'!C143)</f>
        <v/>
      </c>
      <c r="D2196">
        <f>IF(A2196="","",'Ratings'!D143)</f>
        <v/>
      </c>
      <c r="E2196">
        <f>IF(AND('Ratings'!A143&lt;&gt;"",'Ratings'!G5&lt;&gt;""),'Ratings'!G5,"")</f>
        <v/>
      </c>
      <c r="F2196">
        <f>IF(OR(A2196="",'Ratings'!G143=""),"",'Ratings'!G143)</f>
        <v/>
      </c>
      <c r="G2196">
        <f>IF(A2196="","",'Employees'!D14)</f>
        <v/>
      </c>
    </row>
    <row r="2197">
      <c r="A2197">
        <f>IF(AND('Ratings'!A143&lt;&gt;"",'Ratings'!H5&lt;&gt;""),'Ratings'!A143,"")</f>
        <v/>
      </c>
      <c r="B2197">
        <f>IF(A2197="","",'Employees'!C14)</f>
        <v/>
      </c>
      <c r="C2197">
        <f>IF(A2197="","",'Ratings'!C143)</f>
        <v/>
      </c>
      <c r="D2197">
        <f>IF(A2197="","",'Ratings'!D143)</f>
        <v/>
      </c>
      <c r="E2197">
        <f>IF(AND('Ratings'!A143&lt;&gt;"",'Ratings'!H5&lt;&gt;""),'Ratings'!H5,"")</f>
        <v/>
      </c>
      <c r="F2197">
        <f>IF(OR(A2197="",'Ratings'!H143=""),"",'Ratings'!H143)</f>
        <v/>
      </c>
      <c r="G2197">
        <f>IF(A2197="","",'Employees'!D14)</f>
        <v/>
      </c>
    </row>
    <row r="2198">
      <c r="A2198">
        <f>IF(AND('Ratings'!A143&lt;&gt;"",'Ratings'!I5&lt;&gt;""),'Ratings'!A143,"")</f>
        <v/>
      </c>
      <c r="B2198">
        <f>IF(A2198="","",'Employees'!C14)</f>
        <v/>
      </c>
      <c r="C2198">
        <f>IF(A2198="","",'Ratings'!C143)</f>
        <v/>
      </c>
      <c r="D2198">
        <f>IF(A2198="","",'Ratings'!D143)</f>
        <v/>
      </c>
      <c r="E2198">
        <f>IF(AND('Ratings'!A143&lt;&gt;"",'Ratings'!I5&lt;&gt;""),'Ratings'!I5,"")</f>
        <v/>
      </c>
      <c r="F2198">
        <f>IF(OR(A2198="",'Ratings'!I143=""),"",'Ratings'!I143)</f>
        <v/>
      </c>
      <c r="G2198">
        <f>IF(A2198="","",'Employees'!D14)</f>
        <v/>
      </c>
    </row>
    <row r="2199">
      <c r="A2199">
        <f>IF(AND('Ratings'!A143&lt;&gt;"",'Ratings'!J5&lt;&gt;""),'Ratings'!A143,"")</f>
        <v/>
      </c>
      <c r="B2199">
        <f>IF(A2199="","",'Employees'!C14)</f>
        <v/>
      </c>
      <c r="C2199">
        <f>IF(A2199="","",'Ratings'!C143)</f>
        <v/>
      </c>
      <c r="D2199">
        <f>IF(A2199="","",'Ratings'!D143)</f>
        <v/>
      </c>
      <c r="E2199">
        <f>IF(AND('Ratings'!A143&lt;&gt;"",'Ratings'!J5&lt;&gt;""),'Ratings'!J5,"")</f>
        <v/>
      </c>
      <c r="F2199">
        <f>IF(OR(A2199="",'Ratings'!J143=""),"",'Ratings'!J143)</f>
        <v/>
      </c>
      <c r="G2199">
        <f>IF(A2199="","",'Employees'!D14)</f>
        <v/>
      </c>
    </row>
    <row r="2200">
      <c r="A2200">
        <f>IF(AND('Ratings'!A143&lt;&gt;"",'Ratings'!K5&lt;&gt;""),'Ratings'!A143,"")</f>
        <v/>
      </c>
      <c r="B2200">
        <f>IF(A2200="","",'Employees'!C14)</f>
        <v/>
      </c>
      <c r="C2200">
        <f>IF(A2200="","",'Ratings'!C143)</f>
        <v/>
      </c>
      <c r="D2200">
        <f>IF(A2200="","",'Ratings'!D143)</f>
        <v/>
      </c>
      <c r="E2200">
        <f>IF(AND('Ratings'!A143&lt;&gt;"",'Ratings'!K5&lt;&gt;""),'Ratings'!K5,"")</f>
        <v/>
      </c>
      <c r="F2200">
        <f>IF(OR(A2200="",'Ratings'!K143=""),"",'Ratings'!K143)</f>
        <v/>
      </c>
      <c r="G2200">
        <f>IF(A2200="","",'Employees'!D14)</f>
        <v/>
      </c>
    </row>
    <row r="2201">
      <c r="A2201">
        <f>IF(AND('Ratings'!A143&lt;&gt;"",'Ratings'!L5&lt;&gt;""),'Ratings'!A143,"")</f>
        <v/>
      </c>
      <c r="B2201">
        <f>IF(A2201="","",'Employees'!C14)</f>
        <v/>
      </c>
      <c r="C2201">
        <f>IF(A2201="","",'Ratings'!C143)</f>
        <v/>
      </c>
      <c r="D2201">
        <f>IF(A2201="","",'Ratings'!D143)</f>
        <v/>
      </c>
      <c r="E2201">
        <f>IF(AND('Ratings'!A143&lt;&gt;"",'Ratings'!L5&lt;&gt;""),'Ratings'!L5,"")</f>
        <v/>
      </c>
      <c r="F2201">
        <f>IF(OR(A2201="",'Ratings'!L143=""),"",'Ratings'!L143)</f>
        <v/>
      </c>
      <c r="G2201">
        <f>IF(A2201="","",'Employees'!D14)</f>
        <v/>
      </c>
    </row>
    <row r="2202">
      <c r="A2202">
        <f>IF(AND('Ratings'!A143&lt;&gt;"",'Ratings'!M5&lt;&gt;""),'Ratings'!A143,"")</f>
        <v/>
      </c>
      <c r="B2202">
        <f>IF(A2202="","",'Employees'!C14)</f>
        <v/>
      </c>
      <c r="C2202">
        <f>IF(A2202="","",'Ratings'!C143)</f>
        <v/>
      </c>
      <c r="D2202">
        <f>IF(A2202="","",'Ratings'!D143)</f>
        <v/>
      </c>
      <c r="E2202">
        <f>IF(AND('Ratings'!A143&lt;&gt;"",'Ratings'!M5&lt;&gt;""),'Ratings'!M5,"")</f>
        <v/>
      </c>
      <c r="F2202">
        <f>IF(OR(A2202="",'Ratings'!M143=""),"",'Ratings'!M143)</f>
        <v/>
      </c>
      <c r="G2202">
        <f>IF(A2202="","",'Employees'!D14)</f>
        <v/>
      </c>
    </row>
    <row r="2203">
      <c r="A2203">
        <f>IF(AND('Ratings'!A143&lt;&gt;"",'Ratings'!N5&lt;&gt;""),'Ratings'!A143,"")</f>
        <v/>
      </c>
      <c r="B2203">
        <f>IF(A2203="","",'Employees'!C14)</f>
        <v/>
      </c>
      <c r="C2203">
        <f>IF(A2203="","",'Ratings'!C143)</f>
        <v/>
      </c>
      <c r="D2203">
        <f>IF(A2203="","",'Ratings'!D143)</f>
        <v/>
      </c>
      <c r="E2203">
        <f>IF(AND('Ratings'!A143&lt;&gt;"",'Ratings'!N5&lt;&gt;""),'Ratings'!N5,"")</f>
        <v/>
      </c>
      <c r="F2203">
        <f>IF(OR(A2203="",'Ratings'!N143=""),"",'Ratings'!N143)</f>
        <v/>
      </c>
      <c r="G2203">
        <f>IF(A2203="","",'Employees'!D14)</f>
        <v/>
      </c>
    </row>
    <row r="2204">
      <c r="A2204">
        <f>IF(AND('Ratings'!A143&lt;&gt;"",'Ratings'!O5&lt;&gt;""),'Ratings'!A143,"")</f>
        <v/>
      </c>
      <c r="B2204">
        <f>IF(A2204="","",'Employees'!C14)</f>
        <v/>
      </c>
      <c r="C2204">
        <f>IF(A2204="","",'Ratings'!C143)</f>
        <v/>
      </c>
      <c r="D2204">
        <f>IF(A2204="","",'Ratings'!D143)</f>
        <v/>
      </c>
      <c r="E2204">
        <f>IF(AND('Ratings'!A143&lt;&gt;"",'Ratings'!O5&lt;&gt;""),'Ratings'!O5,"")</f>
        <v/>
      </c>
      <c r="F2204">
        <f>IF(OR(A2204="",'Ratings'!O143=""),"",'Ratings'!O143)</f>
        <v/>
      </c>
      <c r="G2204">
        <f>IF(A2204="","",'Employees'!D14)</f>
        <v/>
      </c>
    </row>
    <row r="2205">
      <c r="A2205">
        <f>IF(AND('Ratings'!A143&lt;&gt;"",'Ratings'!P5&lt;&gt;""),'Ratings'!A143,"")</f>
        <v/>
      </c>
      <c r="B2205">
        <f>IF(A2205="","",'Employees'!C14)</f>
        <v/>
      </c>
      <c r="C2205">
        <f>IF(A2205="","",'Ratings'!C143)</f>
        <v/>
      </c>
      <c r="D2205">
        <f>IF(A2205="","",'Ratings'!D143)</f>
        <v/>
      </c>
      <c r="E2205">
        <f>IF(AND('Ratings'!A143&lt;&gt;"",'Ratings'!P5&lt;&gt;""),'Ratings'!P5,"")</f>
        <v/>
      </c>
      <c r="F2205">
        <f>IF(OR(A2205="",'Ratings'!P143=""),"",'Ratings'!P143)</f>
        <v/>
      </c>
      <c r="G2205">
        <f>IF(A2205="","",'Employees'!D14)</f>
        <v/>
      </c>
    </row>
    <row r="2206">
      <c r="A2206">
        <f>IF(AND('Ratings'!A143&lt;&gt;"",'Ratings'!Q5&lt;&gt;""),'Ratings'!A143,"")</f>
        <v/>
      </c>
      <c r="B2206">
        <f>IF(A2206="","",'Employees'!C14)</f>
        <v/>
      </c>
      <c r="C2206">
        <f>IF(A2206="","",'Ratings'!C143)</f>
        <v/>
      </c>
      <c r="D2206">
        <f>IF(A2206="","",'Ratings'!D143)</f>
        <v/>
      </c>
      <c r="E2206">
        <f>IF(AND('Ratings'!A143&lt;&gt;"",'Ratings'!Q5&lt;&gt;""),'Ratings'!Q5,"")</f>
        <v/>
      </c>
      <c r="F2206">
        <f>IF(OR(A2206="",'Ratings'!Q143=""),"",'Ratings'!Q143)</f>
        <v/>
      </c>
      <c r="G2206">
        <f>IF(A2206="","",'Employees'!D14)</f>
        <v/>
      </c>
    </row>
    <row r="2207">
      <c r="A2207">
        <f>IF(AND('Ratings'!A143&lt;&gt;"",'Ratings'!R5&lt;&gt;""),'Ratings'!A143,"")</f>
        <v/>
      </c>
      <c r="B2207">
        <f>IF(A2207="","",'Employees'!C14)</f>
        <v/>
      </c>
      <c r="C2207">
        <f>IF(A2207="","",'Ratings'!C143)</f>
        <v/>
      </c>
      <c r="D2207">
        <f>IF(A2207="","",'Ratings'!D143)</f>
        <v/>
      </c>
      <c r="E2207">
        <f>IF(AND('Ratings'!A143&lt;&gt;"",'Ratings'!R5&lt;&gt;""),'Ratings'!R5,"")</f>
        <v/>
      </c>
      <c r="F2207">
        <f>IF(OR(A2207="",'Ratings'!R143=""),"",'Ratings'!R143)</f>
        <v/>
      </c>
      <c r="G2207">
        <f>IF(A2207="","",'Employees'!D14)</f>
        <v/>
      </c>
    </row>
    <row r="2208">
      <c r="A2208">
        <f>IF(AND('Ratings'!A143&lt;&gt;"",'Ratings'!S5&lt;&gt;""),'Ratings'!A143,"")</f>
        <v/>
      </c>
      <c r="B2208">
        <f>IF(A2208="","",'Employees'!C14)</f>
        <v/>
      </c>
      <c r="C2208">
        <f>IF(A2208="","",'Ratings'!C143)</f>
        <v/>
      </c>
      <c r="D2208">
        <f>IF(A2208="","",'Ratings'!D143)</f>
        <v/>
      </c>
      <c r="E2208">
        <f>IF(AND('Ratings'!A143&lt;&gt;"",'Ratings'!S5&lt;&gt;""),'Ratings'!S5,"")</f>
        <v/>
      </c>
      <c r="F2208">
        <f>IF(OR(A2208="",'Ratings'!S143=""),"",'Ratings'!S143)</f>
        <v/>
      </c>
      <c r="G2208">
        <f>IF(A2208="","",'Employees'!D14)</f>
        <v/>
      </c>
    </row>
    <row r="2209">
      <c r="A2209">
        <f>IF(AND('Ratings'!A143&lt;&gt;"",'Ratings'!T5&lt;&gt;""),'Ratings'!A143,"")</f>
        <v/>
      </c>
      <c r="B2209">
        <f>IF(A2209="","",'Employees'!C14)</f>
        <v/>
      </c>
      <c r="C2209">
        <f>IF(A2209="","",'Ratings'!C143)</f>
        <v/>
      </c>
      <c r="D2209">
        <f>IF(A2209="","",'Ratings'!D143)</f>
        <v/>
      </c>
      <c r="E2209">
        <f>IF(AND('Ratings'!A143&lt;&gt;"",'Ratings'!T5&lt;&gt;""),'Ratings'!T5,"")</f>
        <v/>
      </c>
      <c r="F2209">
        <f>IF(OR(A2209="",'Ratings'!T143=""),"",'Ratings'!T143)</f>
        <v/>
      </c>
      <c r="G2209">
        <f>IF(A2209="","",'Employees'!D14)</f>
        <v/>
      </c>
    </row>
    <row r="2210">
      <c r="A2210">
        <f>IF(AND('Ratings'!A144&lt;&gt;"",'Ratings'!E5&lt;&gt;""),'Ratings'!A144,"")</f>
        <v/>
      </c>
      <c r="B2210">
        <f>IF(A2210="","",'Employees'!C14)</f>
        <v/>
      </c>
      <c r="C2210">
        <f>IF(A2210="","",'Ratings'!C144)</f>
        <v/>
      </c>
      <c r="D2210">
        <f>IF(A2210="","",'Ratings'!D144)</f>
        <v/>
      </c>
      <c r="E2210">
        <f>IF(AND('Ratings'!A144&lt;&gt;"",'Ratings'!E5&lt;&gt;""),'Ratings'!E5,"")</f>
        <v/>
      </c>
      <c r="F2210">
        <f>IF(OR(A2210="",'Ratings'!E144=""),"",'Ratings'!E144)</f>
        <v/>
      </c>
      <c r="G2210">
        <f>IF(A2210="","",'Employees'!D14)</f>
        <v/>
      </c>
    </row>
    <row r="2211">
      <c r="A2211">
        <f>IF(AND('Ratings'!A144&lt;&gt;"",'Ratings'!F5&lt;&gt;""),'Ratings'!A144,"")</f>
        <v/>
      </c>
      <c r="B2211">
        <f>IF(A2211="","",'Employees'!C14)</f>
        <v/>
      </c>
      <c r="C2211">
        <f>IF(A2211="","",'Ratings'!C144)</f>
        <v/>
      </c>
      <c r="D2211">
        <f>IF(A2211="","",'Ratings'!D144)</f>
        <v/>
      </c>
      <c r="E2211">
        <f>IF(AND('Ratings'!A144&lt;&gt;"",'Ratings'!F5&lt;&gt;""),'Ratings'!F5,"")</f>
        <v/>
      </c>
      <c r="F2211">
        <f>IF(OR(A2211="",'Ratings'!F144=""),"",'Ratings'!F144)</f>
        <v/>
      </c>
      <c r="G2211">
        <f>IF(A2211="","",'Employees'!D14)</f>
        <v/>
      </c>
    </row>
    <row r="2212">
      <c r="A2212">
        <f>IF(AND('Ratings'!A144&lt;&gt;"",'Ratings'!G5&lt;&gt;""),'Ratings'!A144,"")</f>
        <v/>
      </c>
      <c r="B2212">
        <f>IF(A2212="","",'Employees'!C14)</f>
        <v/>
      </c>
      <c r="C2212">
        <f>IF(A2212="","",'Ratings'!C144)</f>
        <v/>
      </c>
      <c r="D2212">
        <f>IF(A2212="","",'Ratings'!D144)</f>
        <v/>
      </c>
      <c r="E2212">
        <f>IF(AND('Ratings'!A144&lt;&gt;"",'Ratings'!G5&lt;&gt;""),'Ratings'!G5,"")</f>
        <v/>
      </c>
      <c r="F2212">
        <f>IF(OR(A2212="",'Ratings'!G144=""),"",'Ratings'!G144)</f>
        <v/>
      </c>
      <c r="G2212">
        <f>IF(A2212="","",'Employees'!D14)</f>
        <v/>
      </c>
    </row>
    <row r="2213">
      <c r="A2213">
        <f>IF(AND('Ratings'!A144&lt;&gt;"",'Ratings'!H5&lt;&gt;""),'Ratings'!A144,"")</f>
        <v/>
      </c>
      <c r="B2213">
        <f>IF(A2213="","",'Employees'!C14)</f>
        <v/>
      </c>
      <c r="C2213">
        <f>IF(A2213="","",'Ratings'!C144)</f>
        <v/>
      </c>
      <c r="D2213">
        <f>IF(A2213="","",'Ratings'!D144)</f>
        <v/>
      </c>
      <c r="E2213">
        <f>IF(AND('Ratings'!A144&lt;&gt;"",'Ratings'!H5&lt;&gt;""),'Ratings'!H5,"")</f>
        <v/>
      </c>
      <c r="F2213">
        <f>IF(OR(A2213="",'Ratings'!H144=""),"",'Ratings'!H144)</f>
        <v/>
      </c>
      <c r="G2213">
        <f>IF(A2213="","",'Employees'!D14)</f>
        <v/>
      </c>
    </row>
    <row r="2214">
      <c r="A2214">
        <f>IF(AND('Ratings'!A144&lt;&gt;"",'Ratings'!I5&lt;&gt;""),'Ratings'!A144,"")</f>
        <v/>
      </c>
      <c r="B2214">
        <f>IF(A2214="","",'Employees'!C14)</f>
        <v/>
      </c>
      <c r="C2214">
        <f>IF(A2214="","",'Ratings'!C144)</f>
        <v/>
      </c>
      <c r="D2214">
        <f>IF(A2214="","",'Ratings'!D144)</f>
        <v/>
      </c>
      <c r="E2214">
        <f>IF(AND('Ratings'!A144&lt;&gt;"",'Ratings'!I5&lt;&gt;""),'Ratings'!I5,"")</f>
        <v/>
      </c>
      <c r="F2214">
        <f>IF(OR(A2214="",'Ratings'!I144=""),"",'Ratings'!I144)</f>
        <v/>
      </c>
      <c r="G2214">
        <f>IF(A2214="","",'Employees'!D14)</f>
        <v/>
      </c>
    </row>
    <row r="2215">
      <c r="A2215">
        <f>IF(AND('Ratings'!A144&lt;&gt;"",'Ratings'!J5&lt;&gt;""),'Ratings'!A144,"")</f>
        <v/>
      </c>
      <c r="B2215">
        <f>IF(A2215="","",'Employees'!C14)</f>
        <v/>
      </c>
      <c r="C2215">
        <f>IF(A2215="","",'Ratings'!C144)</f>
        <v/>
      </c>
      <c r="D2215">
        <f>IF(A2215="","",'Ratings'!D144)</f>
        <v/>
      </c>
      <c r="E2215">
        <f>IF(AND('Ratings'!A144&lt;&gt;"",'Ratings'!J5&lt;&gt;""),'Ratings'!J5,"")</f>
        <v/>
      </c>
      <c r="F2215">
        <f>IF(OR(A2215="",'Ratings'!J144=""),"",'Ratings'!J144)</f>
        <v/>
      </c>
      <c r="G2215">
        <f>IF(A2215="","",'Employees'!D14)</f>
        <v/>
      </c>
    </row>
    <row r="2216">
      <c r="A2216">
        <f>IF(AND('Ratings'!A144&lt;&gt;"",'Ratings'!K5&lt;&gt;""),'Ratings'!A144,"")</f>
        <v/>
      </c>
      <c r="B2216">
        <f>IF(A2216="","",'Employees'!C14)</f>
        <v/>
      </c>
      <c r="C2216">
        <f>IF(A2216="","",'Ratings'!C144)</f>
        <v/>
      </c>
      <c r="D2216">
        <f>IF(A2216="","",'Ratings'!D144)</f>
        <v/>
      </c>
      <c r="E2216">
        <f>IF(AND('Ratings'!A144&lt;&gt;"",'Ratings'!K5&lt;&gt;""),'Ratings'!K5,"")</f>
        <v/>
      </c>
      <c r="F2216">
        <f>IF(OR(A2216="",'Ratings'!K144=""),"",'Ratings'!K144)</f>
        <v/>
      </c>
      <c r="G2216">
        <f>IF(A2216="","",'Employees'!D14)</f>
        <v/>
      </c>
    </row>
    <row r="2217">
      <c r="A2217">
        <f>IF(AND('Ratings'!A144&lt;&gt;"",'Ratings'!L5&lt;&gt;""),'Ratings'!A144,"")</f>
        <v/>
      </c>
      <c r="B2217">
        <f>IF(A2217="","",'Employees'!C14)</f>
        <v/>
      </c>
      <c r="C2217">
        <f>IF(A2217="","",'Ratings'!C144)</f>
        <v/>
      </c>
      <c r="D2217">
        <f>IF(A2217="","",'Ratings'!D144)</f>
        <v/>
      </c>
      <c r="E2217">
        <f>IF(AND('Ratings'!A144&lt;&gt;"",'Ratings'!L5&lt;&gt;""),'Ratings'!L5,"")</f>
        <v/>
      </c>
      <c r="F2217">
        <f>IF(OR(A2217="",'Ratings'!L144=""),"",'Ratings'!L144)</f>
        <v/>
      </c>
      <c r="G2217">
        <f>IF(A2217="","",'Employees'!D14)</f>
        <v/>
      </c>
    </row>
    <row r="2218">
      <c r="A2218">
        <f>IF(AND('Ratings'!A144&lt;&gt;"",'Ratings'!M5&lt;&gt;""),'Ratings'!A144,"")</f>
        <v/>
      </c>
      <c r="B2218">
        <f>IF(A2218="","",'Employees'!C14)</f>
        <v/>
      </c>
      <c r="C2218">
        <f>IF(A2218="","",'Ratings'!C144)</f>
        <v/>
      </c>
      <c r="D2218">
        <f>IF(A2218="","",'Ratings'!D144)</f>
        <v/>
      </c>
      <c r="E2218">
        <f>IF(AND('Ratings'!A144&lt;&gt;"",'Ratings'!M5&lt;&gt;""),'Ratings'!M5,"")</f>
        <v/>
      </c>
      <c r="F2218">
        <f>IF(OR(A2218="",'Ratings'!M144=""),"",'Ratings'!M144)</f>
        <v/>
      </c>
      <c r="G2218">
        <f>IF(A2218="","",'Employees'!D14)</f>
        <v/>
      </c>
    </row>
    <row r="2219">
      <c r="A2219">
        <f>IF(AND('Ratings'!A144&lt;&gt;"",'Ratings'!N5&lt;&gt;""),'Ratings'!A144,"")</f>
        <v/>
      </c>
      <c r="B2219">
        <f>IF(A2219="","",'Employees'!C14)</f>
        <v/>
      </c>
      <c r="C2219">
        <f>IF(A2219="","",'Ratings'!C144)</f>
        <v/>
      </c>
      <c r="D2219">
        <f>IF(A2219="","",'Ratings'!D144)</f>
        <v/>
      </c>
      <c r="E2219">
        <f>IF(AND('Ratings'!A144&lt;&gt;"",'Ratings'!N5&lt;&gt;""),'Ratings'!N5,"")</f>
        <v/>
      </c>
      <c r="F2219">
        <f>IF(OR(A2219="",'Ratings'!N144=""),"",'Ratings'!N144)</f>
        <v/>
      </c>
      <c r="G2219">
        <f>IF(A2219="","",'Employees'!D14)</f>
        <v/>
      </c>
    </row>
    <row r="2220">
      <c r="A2220">
        <f>IF(AND('Ratings'!A144&lt;&gt;"",'Ratings'!O5&lt;&gt;""),'Ratings'!A144,"")</f>
        <v/>
      </c>
      <c r="B2220">
        <f>IF(A2220="","",'Employees'!C14)</f>
        <v/>
      </c>
      <c r="C2220">
        <f>IF(A2220="","",'Ratings'!C144)</f>
        <v/>
      </c>
      <c r="D2220">
        <f>IF(A2220="","",'Ratings'!D144)</f>
        <v/>
      </c>
      <c r="E2220">
        <f>IF(AND('Ratings'!A144&lt;&gt;"",'Ratings'!O5&lt;&gt;""),'Ratings'!O5,"")</f>
        <v/>
      </c>
      <c r="F2220">
        <f>IF(OR(A2220="",'Ratings'!O144=""),"",'Ratings'!O144)</f>
        <v/>
      </c>
      <c r="G2220">
        <f>IF(A2220="","",'Employees'!D14)</f>
        <v/>
      </c>
    </row>
    <row r="2221">
      <c r="A2221">
        <f>IF(AND('Ratings'!A144&lt;&gt;"",'Ratings'!P5&lt;&gt;""),'Ratings'!A144,"")</f>
        <v/>
      </c>
      <c r="B2221">
        <f>IF(A2221="","",'Employees'!C14)</f>
        <v/>
      </c>
      <c r="C2221">
        <f>IF(A2221="","",'Ratings'!C144)</f>
        <v/>
      </c>
      <c r="D2221">
        <f>IF(A2221="","",'Ratings'!D144)</f>
        <v/>
      </c>
      <c r="E2221">
        <f>IF(AND('Ratings'!A144&lt;&gt;"",'Ratings'!P5&lt;&gt;""),'Ratings'!P5,"")</f>
        <v/>
      </c>
      <c r="F2221">
        <f>IF(OR(A2221="",'Ratings'!P144=""),"",'Ratings'!P144)</f>
        <v/>
      </c>
      <c r="G2221">
        <f>IF(A2221="","",'Employees'!D14)</f>
        <v/>
      </c>
    </row>
    <row r="2222">
      <c r="A2222">
        <f>IF(AND('Ratings'!A144&lt;&gt;"",'Ratings'!Q5&lt;&gt;""),'Ratings'!A144,"")</f>
        <v/>
      </c>
      <c r="B2222">
        <f>IF(A2222="","",'Employees'!C14)</f>
        <v/>
      </c>
      <c r="C2222">
        <f>IF(A2222="","",'Ratings'!C144)</f>
        <v/>
      </c>
      <c r="D2222">
        <f>IF(A2222="","",'Ratings'!D144)</f>
        <v/>
      </c>
      <c r="E2222">
        <f>IF(AND('Ratings'!A144&lt;&gt;"",'Ratings'!Q5&lt;&gt;""),'Ratings'!Q5,"")</f>
        <v/>
      </c>
      <c r="F2222">
        <f>IF(OR(A2222="",'Ratings'!Q144=""),"",'Ratings'!Q144)</f>
        <v/>
      </c>
      <c r="G2222">
        <f>IF(A2222="","",'Employees'!D14)</f>
        <v/>
      </c>
    </row>
    <row r="2223">
      <c r="A2223">
        <f>IF(AND('Ratings'!A144&lt;&gt;"",'Ratings'!R5&lt;&gt;""),'Ratings'!A144,"")</f>
        <v/>
      </c>
      <c r="B2223">
        <f>IF(A2223="","",'Employees'!C14)</f>
        <v/>
      </c>
      <c r="C2223">
        <f>IF(A2223="","",'Ratings'!C144)</f>
        <v/>
      </c>
      <c r="D2223">
        <f>IF(A2223="","",'Ratings'!D144)</f>
        <v/>
      </c>
      <c r="E2223">
        <f>IF(AND('Ratings'!A144&lt;&gt;"",'Ratings'!R5&lt;&gt;""),'Ratings'!R5,"")</f>
        <v/>
      </c>
      <c r="F2223">
        <f>IF(OR(A2223="",'Ratings'!R144=""),"",'Ratings'!R144)</f>
        <v/>
      </c>
      <c r="G2223">
        <f>IF(A2223="","",'Employees'!D14)</f>
        <v/>
      </c>
    </row>
    <row r="2224">
      <c r="A2224">
        <f>IF(AND('Ratings'!A144&lt;&gt;"",'Ratings'!S5&lt;&gt;""),'Ratings'!A144,"")</f>
        <v/>
      </c>
      <c r="B2224">
        <f>IF(A2224="","",'Employees'!C14)</f>
        <v/>
      </c>
      <c r="C2224">
        <f>IF(A2224="","",'Ratings'!C144)</f>
        <v/>
      </c>
      <c r="D2224">
        <f>IF(A2224="","",'Ratings'!D144)</f>
        <v/>
      </c>
      <c r="E2224">
        <f>IF(AND('Ratings'!A144&lt;&gt;"",'Ratings'!S5&lt;&gt;""),'Ratings'!S5,"")</f>
        <v/>
      </c>
      <c r="F2224">
        <f>IF(OR(A2224="",'Ratings'!S144=""),"",'Ratings'!S144)</f>
        <v/>
      </c>
      <c r="G2224">
        <f>IF(A2224="","",'Employees'!D14)</f>
        <v/>
      </c>
    </row>
    <row r="2225">
      <c r="A2225">
        <f>IF(AND('Ratings'!A144&lt;&gt;"",'Ratings'!T5&lt;&gt;""),'Ratings'!A144,"")</f>
        <v/>
      </c>
      <c r="B2225">
        <f>IF(A2225="","",'Employees'!C14)</f>
        <v/>
      </c>
      <c r="C2225">
        <f>IF(A2225="","",'Ratings'!C144)</f>
        <v/>
      </c>
      <c r="D2225">
        <f>IF(A2225="","",'Ratings'!D144)</f>
        <v/>
      </c>
      <c r="E2225">
        <f>IF(AND('Ratings'!A144&lt;&gt;"",'Ratings'!T5&lt;&gt;""),'Ratings'!T5,"")</f>
        <v/>
      </c>
      <c r="F2225">
        <f>IF(OR(A2225="",'Ratings'!T144=""),"",'Ratings'!T144)</f>
        <v/>
      </c>
      <c r="G2225">
        <f>IF(A2225="","",'Employees'!D14)</f>
        <v/>
      </c>
    </row>
    <row r="2226">
      <c r="A2226">
        <f>IF(AND('Ratings'!A145&lt;&gt;"",'Ratings'!E5&lt;&gt;""),'Ratings'!A145,"")</f>
        <v/>
      </c>
      <c r="B2226">
        <f>IF(A2226="","",'Employees'!C14)</f>
        <v/>
      </c>
      <c r="C2226">
        <f>IF(A2226="","",'Ratings'!C145)</f>
        <v/>
      </c>
      <c r="D2226">
        <f>IF(A2226="","",'Ratings'!D145)</f>
        <v/>
      </c>
      <c r="E2226">
        <f>IF(AND('Ratings'!A145&lt;&gt;"",'Ratings'!E5&lt;&gt;""),'Ratings'!E5,"")</f>
        <v/>
      </c>
      <c r="F2226">
        <f>IF(OR(A2226="",'Ratings'!E145=""),"",'Ratings'!E145)</f>
        <v/>
      </c>
      <c r="G2226">
        <f>IF(A2226="","",'Employees'!D14)</f>
        <v/>
      </c>
    </row>
    <row r="2227">
      <c r="A2227">
        <f>IF(AND('Ratings'!A145&lt;&gt;"",'Ratings'!F5&lt;&gt;""),'Ratings'!A145,"")</f>
        <v/>
      </c>
      <c r="B2227">
        <f>IF(A2227="","",'Employees'!C14)</f>
        <v/>
      </c>
      <c r="C2227">
        <f>IF(A2227="","",'Ratings'!C145)</f>
        <v/>
      </c>
      <c r="D2227">
        <f>IF(A2227="","",'Ratings'!D145)</f>
        <v/>
      </c>
      <c r="E2227">
        <f>IF(AND('Ratings'!A145&lt;&gt;"",'Ratings'!F5&lt;&gt;""),'Ratings'!F5,"")</f>
        <v/>
      </c>
      <c r="F2227">
        <f>IF(OR(A2227="",'Ratings'!F145=""),"",'Ratings'!F145)</f>
        <v/>
      </c>
      <c r="G2227">
        <f>IF(A2227="","",'Employees'!D14)</f>
        <v/>
      </c>
    </row>
    <row r="2228">
      <c r="A2228">
        <f>IF(AND('Ratings'!A145&lt;&gt;"",'Ratings'!G5&lt;&gt;""),'Ratings'!A145,"")</f>
        <v/>
      </c>
      <c r="B2228">
        <f>IF(A2228="","",'Employees'!C14)</f>
        <v/>
      </c>
      <c r="C2228">
        <f>IF(A2228="","",'Ratings'!C145)</f>
        <v/>
      </c>
      <c r="D2228">
        <f>IF(A2228="","",'Ratings'!D145)</f>
        <v/>
      </c>
      <c r="E2228">
        <f>IF(AND('Ratings'!A145&lt;&gt;"",'Ratings'!G5&lt;&gt;""),'Ratings'!G5,"")</f>
        <v/>
      </c>
      <c r="F2228">
        <f>IF(OR(A2228="",'Ratings'!G145=""),"",'Ratings'!G145)</f>
        <v/>
      </c>
      <c r="G2228">
        <f>IF(A2228="","",'Employees'!D14)</f>
        <v/>
      </c>
    </row>
    <row r="2229">
      <c r="A2229">
        <f>IF(AND('Ratings'!A145&lt;&gt;"",'Ratings'!H5&lt;&gt;""),'Ratings'!A145,"")</f>
        <v/>
      </c>
      <c r="B2229">
        <f>IF(A2229="","",'Employees'!C14)</f>
        <v/>
      </c>
      <c r="C2229">
        <f>IF(A2229="","",'Ratings'!C145)</f>
        <v/>
      </c>
      <c r="D2229">
        <f>IF(A2229="","",'Ratings'!D145)</f>
        <v/>
      </c>
      <c r="E2229">
        <f>IF(AND('Ratings'!A145&lt;&gt;"",'Ratings'!H5&lt;&gt;""),'Ratings'!H5,"")</f>
        <v/>
      </c>
      <c r="F2229">
        <f>IF(OR(A2229="",'Ratings'!H145=""),"",'Ratings'!H145)</f>
        <v/>
      </c>
      <c r="G2229">
        <f>IF(A2229="","",'Employees'!D14)</f>
        <v/>
      </c>
    </row>
    <row r="2230">
      <c r="A2230">
        <f>IF(AND('Ratings'!A145&lt;&gt;"",'Ratings'!I5&lt;&gt;""),'Ratings'!A145,"")</f>
        <v/>
      </c>
      <c r="B2230">
        <f>IF(A2230="","",'Employees'!C14)</f>
        <v/>
      </c>
      <c r="C2230">
        <f>IF(A2230="","",'Ratings'!C145)</f>
        <v/>
      </c>
      <c r="D2230">
        <f>IF(A2230="","",'Ratings'!D145)</f>
        <v/>
      </c>
      <c r="E2230">
        <f>IF(AND('Ratings'!A145&lt;&gt;"",'Ratings'!I5&lt;&gt;""),'Ratings'!I5,"")</f>
        <v/>
      </c>
      <c r="F2230">
        <f>IF(OR(A2230="",'Ratings'!I145=""),"",'Ratings'!I145)</f>
        <v/>
      </c>
      <c r="G2230">
        <f>IF(A2230="","",'Employees'!D14)</f>
        <v/>
      </c>
    </row>
    <row r="2231">
      <c r="A2231">
        <f>IF(AND('Ratings'!A145&lt;&gt;"",'Ratings'!J5&lt;&gt;""),'Ratings'!A145,"")</f>
        <v/>
      </c>
      <c r="B2231">
        <f>IF(A2231="","",'Employees'!C14)</f>
        <v/>
      </c>
      <c r="C2231">
        <f>IF(A2231="","",'Ratings'!C145)</f>
        <v/>
      </c>
      <c r="D2231">
        <f>IF(A2231="","",'Ratings'!D145)</f>
        <v/>
      </c>
      <c r="E2231">
        <f>IF(AND('Ratings'!A145&lt;&gt;"",'Ratings'!J5&lt;&gt;""),'Ratings'!J5,"")</f>
        <v/>
      </c>
      <c r="F2231">
        <f>IF(OR(A2231="",'Ratings'!J145=""),"",'Ratings'!J145)</f>
        <v/>
      </c>
      <c r="G2231">
        <f>IF(A2231="","",'Employees'!D14)</f>
        <v/>
      </c>
    </row>
    <row r="2232">
      <c r="A2232">
        <f>IF(AND('Ratings'!A145&lt;&gt;"",'Ratings'!K5&lt;&gt;""),'Ratings'!A145,"")</f>
        <v/>
      </c>
      <c r="B2232">
        <f>IF(A2232="","",'Employees'!C14)</f>
        <v/>
      </c>
      <c r="C2232">
        <f>IF(A2232="","",'Ratings'!C145)</f>
        <v/>
      </c>
      <c r="D2232">
        <f>IF(A2232="","",'Ratings'!D145)</f>
        <v/>
      </c>
      <c r="E2232">
        <f>IF(AND('Ratings'!A145&lt;&gt;"",'Ratings'!K5&lt;&gt;""),'Ratings'!K5,"")</f>
        <v/>
      </c>
      <c r="F2232">
        <f>IF(OR(A2232="",'Ratings'!K145=""),"",'Ratings'!K145)</f>
        <v/>
      </c>
      <c r="G2232">
        <f>IF(A2232="","",'Employees'!D14)</f>
        <v/>
      </c>
    </row>
    <row r="2233">
      <c r="A2233">
        <f>IF(AND('Ratings'!A145&lt;&gt;"",'Ratings'!L5&lt;&gt;""),'Ratings'!A145,"")</f>
        <v/>
      </c>
      <c r="B2233">
        <f>IF(A2233="","",'Employees'!C14)</f>
        <v/>
      </c>
      <c r="C2233">
        <f>IF(A2233="","",'Ratings'!C145)</f>
        <v/>
      </c>
      <c r="D2233">
        <f>IF(A2233="","",'Ratings'!D145)</f>
        <v/>
      </c>
      <c r="E2233">
        <f>IF(AND('Ratings'!A145&lt;&gt;"",'Ratings'!L5&lt;&gt;""),'Ratings'!L5,"")</f>
        <v/>
      </c>
      <c r="F2233">
        <f>IF(OR(A2233="",'Ratings'!L145=""),"",'Ratings'!L145)</f>
        <v/>
      </c>
      <c r="G2233">
        <f>IF(A2233="","",'Employees'!D14)</f>
        <v/>
      </c>
    </row>
    <row r="2234">
      <c r="A2234">
        <f>IF(AND('Ratings'!A145&lt;&gt;"",'Ratings'!M5&lt;&gt;""),'Ratings'!A145,"")</f>
        <v/>
      </c>
      <c r="B2234">
        <f>IF(A2234="","",'Employees'!C14)</f>
        <v/>
      </c>
      <c r="C2234">
        <f>IF(A2234="","",'Ratings'!C145)</f>
        <v/>
      </c>
      <c r="D2234">
        <f>IF(A2234="","",'Ratings'!D145)</f>
        <v/>
      </c>
      <c r="E2234">
        <f>IF(AND('Ratings'!A145&lt;&gt;"",'Ratings'!M5&lt;&gt;""),'Ratings'!M5,"")</f>
        <v/>
      </c>
      <c r="F2234">
        <f>IF(OR(A2234="",'Ratings'!M145=""),"",'Ratings'!M145)</f>
        <v/>
      </c>
      <c r="G2234">
        <f>IF(A2234="","",'Employees'!D14)</f>
        <v/>
      </c>
    </row>
    <row r="2235">
      <c r="A2235">
        <f>IF(AND('Ratings'!A145&lt;&gt;"",'Ratings'!N5&lt;&gt;""),'Ratings'!A145,"")</f>
        <v/>
      </c>
      <c r="B2235">
        <f>IF(A2235="","",'Employees'!C14)</f>
        <v/>
      </c>
      <c r="C2235">
        <f>IF(A2235="","",'Ratings'!C145)</f>
        <v/>
      </c>
      <c r="D2235">
        <f>IF(A2235="","",'Ratings'!D145)</f>
        <v/>
      </c>
      <c r="E2235">
        <f>IF(AND('Ratings'!A145&lt;&gt;"",'Ratings'!N5&lt;&gt;""),'Ratings'!N5,"")</f>
        <v/>
      </c>
      <c r="F2235">
        <f>IF(OR(A2235="",'Ratings'!N145=""),"",'Ratings'!N145)</f>
        <v/>
      </c>
      <c r="G2235">
        <f>IF(A2235="","",'Employees'!D14)</f>
        <v/>
      </c>
    </row>
    <row r="2236">
      <c r="A2236">
        <f>IF(AND('Ratings'!A145&lt;&gt;"",'Ratings'!O5&lt;&gt;""),'Ratings'!A145,"")</f>
        <v/>
      </c>
      <c r="B2236">
        <f>IF(A2236="","",'Employees'!C14)</f>
        <v/>
      </c>
      <c r="C2236">
        <f>IF(A2236="","",'Ratings'!C145)</f>
        <v/>
      </c>
      <c r="D2236">
        <f>IF(A2236="","",'Ratings'!D145)</f>
        <v/>
      </c>
      <c r="E2236">
        <f>IF(AND('Ratings'!A145&lt;&gt;"",'Ratings'!O5&lt;&gt;""),'Ratings'!O5,"")</f>
        <v/>
      </c>
      <c r="F2236">
        <f>IF(OR(A2236="",'Ratings'!O145=""),"",'Ratings'!O145)</f>
        <v/>
      </c>
      <c r="G2236">
        <f>IF(A2236="","",'Employees'!D14)</f>
        <v/>
      </c>
    </row>
    <row r="2237">
      <c r="A2237">
        <f>IF(AND('Ratings'!A145&lt;&gt;"",'Ratings'!P5&lt;&gt;""),'Ratings'!A145,"")</f>
        <v/>
      </c>
      <c r="B2237">
        <f>IF(A2237="","",'Employees'!C14)</f>
        <v/>
      </c>
      <c r="C2237">
        <f>IF(A2237="","",'Ratings'!C145)</f>
        <v/>
      </c>
      <c r="D2237">
        <f>IF(A2237="","",'Ratings'!D145)</f>
        <v/>
      </c>
      <c r="E2237">
        <f>IF(AND('Ratings'!A145&lt;&gt;"",'Ratings'!P5&lt;&gt;""),'Ratings'!P5,"")</f>
        <v/>
      </c>
      <c r="F2237">
        <f>IF(OR(A2237="",'Ratings'!P145=""),"",'Ratings'!P145)</f>
        <v/>
      </c>
      <c r="G2237">
        <f>IF(A2237="","",'Employees'!D14)</f>
        <v/>
      </c>
    </row>
    <row r="2238">
      <c r="A2238">
        <f>IF(AND('Ratings'!A145&lt;&gt;"",'Ratings'!Q5&lt;&gt;""),'Ratings'!A145,"")</f>
        <v/>
      </c>
      <c r="B2238">
        <f>IF(A2238="","",'Employees'!C14)</f>
        <v/>
      </c>
      <c r="C2238">
        <f>IF(A2238="","",'Ratings'!C145)</f>
        <v/>
      </c>
      <c r="D2238">
        <f>IF(A2238="","",'Ratings'!D145)</f>
        <v/>
      </c>
      <c r="E2238">
        <f>IF(AND('Ratings'!A145&lt;&gt;"",'Ratings'!Q5&lt;&gt;""),'Ratings'!Q5,"")</f>
        <v/>
      </c>
      <c r="F2238">
        <f>IF(OR(A2238="",'Ratings'!Q145=""),"",'Ratings'!Q145)</f>
        <v/>
      </c>
      <c r="G2238">
        <f>IF(A2238="","",'Employees'!D14)</f>
        <v/>
      </c>
    </row>
    <row r="2239">
      <c r="A2239">
        <f>IF(AND('Ratings'!A145&lt;&gt;"",'Ratings'!R5&lt;&gt;""),'Ratings'!A145,"")</f>
        <v/>
      </c>
      <c r="B2239">
        <f>IF(A2239="","",'Employees'!C14)</f>
        <v/>
      </c>
      <c r="C2239">
        <f>IF(A2239="","",'Ratings'!C145)</f>
        <v/>
      </c>
      <c r="D2239">
        <f>IF(A2239="","",'Ratings'!D145)</f>
        <v/>
      </c>
      <c r="E2239">
        <f>IF(AND('Ratings'!A145&lt;&gt;"",'Ratings'!R5&lt;&gt;""),'Ratings'!R5,"")</f>
        <v/>
      </c>
      <c r="F2239">
        <f>IF(OR(A2239="",'Ratings'!R145=""),"",'Ratings'!R145)</f>
        <v/>
      </c>
      <c r="G2239">
        <f>IF(A2239="","",'Employees'!D14)</f>
        <v/>
      </c>
    </row>
    <row r="2240">
      <c r="A2240">
        <f>IF(AND('Ratings'!A145&lt;&gt;"",'Ratings'!S5&lt;&gt;""),'Ratings'!A145,"")</f>
        <v/>
      </c>
      <c r="B2240">
        <f>IF(A2240="","",'Employees'!C14)</f>
        <v/>
      </c>
      <c r="C2240">
        <f>IF(A2240="","",'Ratings'!C145)</f>
        <v/>
      </c>
      <c r="D2240">
        <f>IF(A2240="","",'Ratings'!D145)</f>
        <v/>
      </c>
      <c r="E2240">
        <f>IF(AND('Ratings'!A145&lt;&gt;"",'Ratings'!S5&lt;&gt;""),'Ratings'!S5,"")</f>
        <v/>
      </c>
      <c r="F2240">
        <f>IF(OR(A2240="",'Ratings'!S145=""),"",'Ratings'!S145)</f>
        <v/>
      </c>
      <c r="G2240">
        <f>IF(A2240="","",'Employees'!D14)</f>
        <v/>
      </c>
    </row>
    <row r="2241">
      <c r="A2241">
        <f>IF(AND('Ratings'!A145&lt;&gt;"",'Ratings'!T5&lt;&gt;""),'Ratings'!A145,"")</f>
        <v/>
      </c>
      <c r="B2241">
        <f>IF(A2241="","",'Employees'!C14)</f>
        <v/>
      </c>
      <c r="C2241">
        <f>IF(A2241="","",'Ratings'!C145)</f>
        <v/>
      </c>
      <c r="D2241">
        <f>IF(A2241="","",'Ratings'!D145)</f>
        <v/>
      </c>
      <c r="E2241">
        <f>IF(AND('Ratings'!A145&lt;&gt;"",'Ratings'!T5&lt;&gt;""),'Ratings'!T5,"")</f>
        <v/>
      </c>
      <c r="F2241">
        <f>IF(OR(A2241="",'Ratings'!T145=""),"",'Ratings'!T145)</f>
        <v/>
      </c>
      <c r="G2241">
        <f>IF(A2241="","",'Employees'!D14)</f>
        <v/>
      </c>
    </row>
    <row r="2242">
      <c r="A2242">
        <f>IF(AND('Ratings'!A146&lt;&gt;"",'Ratings'!E5&lt;&gt;""),'Ratings'!A146,"")</f>
        <v/>
      </c>
      <c r="B2242">
        <f>IF(A2242="","",'Employees'!C14)</f>
        <v/>
      </c>
      <c r="C2242">
        <f>IF(A2242="","",'Ratings'!C146)</f>
        <v/>
      </c>
      <c r="D2242">
        <f>IF(A2242="","",'Ratings'!D146)</f>
        <v/>
      </c>
      <c r="E2242">
        <f>IF(AND('Ratings'!A146&lt;&gt;"",'Ratings'!E5&lt;&gt;""),'Ratings'!E5,"")</f>
        <v/>
      </c>
      <c r="F2242">
        <f>IF(OR(A2242="",'Ratings'!E146=""),"",'Ratings'!E146)</f>
        <v/>
      </c>
      <c r="G2242">
        <f>IF(A2242="","",'Employees'!D14)</f>
        <v/>
      </c>
    </row>
    <row r="2243">
      <c r="A2243">
        <f>IF(AND('Ratings'!A146&lt;&gt;"",'Ratings'!F5&lt;&gt;""),'Ratings'!A146,"")</f>
        <v/>
      </c>
      <c r="B2243">
        <f>IF(A2243="","",'Employees'!C14)</f>
        <v/>
      </c>
      <c r="C2243">
        <f>IF(A2243="","",'Ratings'!C146)</f>
        <v/>
      </c>
      <c r="D2243">
        <f>IF(A2243="","",'Ratings'!D146)</f>
        <v/>
      </c>
      <c r="E2243">
        <f>IF(AND('Ratings'!A146&lt;&gt;"",'Ratings'!F5&lt;&gt;""),'Ratings'!F5,"")</f>
        <v/>
      </c>
      <c r="F2243">
        <f>IF(OR(A2243="",'Ratings'!F146=""),"",'Ratings'!F146)</f>
        <v/>
      </c>
      <c r="G2243">
        <f>IF(A2243="","",'Employees'!D14)</f>
        <v/>
      </c>
    </row>
    <row r="2244">
      <c r="A2244">
        <f>IF(AND('Ratings'!A146&lt;&gt;"",'Ratings'!G5&lt;&gt;""),'Ratings'!A146,"")</f>
        <v/>
      </c>
      <c r="B2244">
        <f>IF(A2244="","",'Employees'!C14)</f>
        <v/>
      </c>
      <c r="C2244">
        <f>IF(A2244="","",'Ratings'!C146)</f>
        <v/>
      </c>
      <c r="D2244">
        <f>IF(A2244="","",'Ratings'!D146)</f>
        <v/>
      </c>
      <c r="E2244">
        <f>IF(AND('Ratings'!A146&lt;&gt;"",'Ratings'!G5&lt;&gt;""),'Ratings'!G5,"")</f>
        <v/>
      </c>
      <c r="F2244">
        <f>IF(OR(A2244="",'Ratings'!G146=""),"",'Ratings'!G146)</f>
        <v/>
      </c>
      <c r="G2244">
        <f>IF(A2244="","",'Employees'!D14)</f>
        <v/>
      </c>
    </row>
    <row r="2245">
      <c r="A2245">
        <f>IF(AND('Ratings'!A146&lt;&gt;"",'Ratings'!H5&lt;&gt;""),'Ratings'!A146,"")</f>
        <v/>
      </c>
      <c r="B2245">
        <f>IF(A2245="","",'Employees'!C14)</f>
        <v/>
      </c>
      <c r="C2245">
        <f>IF(A2245="","",'Ratings'!C146)</f>
        <v/>
      </c>
      <c r="D2245">
        <f>IF(A2245="","",'Ratings'!D146)</f>
        <v/>
      </c>
      <c r="E2245">
        <f>IF(AND('Ratings'!A146&lt;&gt;"",'Ratings'!H5&lt;&gt;""),'Ratings'!H5,"")</f>
        <v/>
      </c>
      <c r="F2245">
        <f>IF(OR(A2245="",'Ratings'!H146=""),"",'Ratings'!H146)</f>
        <v/>
      </c>
      <c r="G2245">
        <f>IF(A2245="","",'Employees'!D14)</f>
        <v/>
      </c>
    </row>
    <row r="2246">
      <c r="A2246">
        <f>IF(AND('Ratings'!A146&lt;&gt;"",'Ratings'!I5&lt;&gt;""),'Ratings'!A146,"")</f>
        <v/>
      </c>
      <c r="B2246">
        <f>IF(A2246="","",'Employees'!C14)</f>
        <v/>
      </c>
      <c r="C2246">
        <f>IF(A2246="","",'Ratings'!C146)</f>
        <v/>
      </c>
      <c r="D2246">
        <f>IF(A2246="","",'Ratings'!D146)</f>
        <v/>
      </c>
      <c r="E2246">
        <f>IF(AND('Ratings'!A146&lt;&gt;"",'Ratings'!I5&lt;&gt;""),'Ratings'!I5,"")</f>
        <v/>
      </c>
      <c r="F2246">
        <f>IF(OR(A2246="",'Ratings'!I146=""),"",'Ratings'!I146)</f>
        <v/>
      </c>
      <c r="G2246">
        <f>IF(A2246="","",'Employees'!D14)</f>
        <v/>
      </c>
    </row>
    <row r="2247">
      <c r="A2247">
        <f>IF(AND('Ratings'!A146&lt;&gt;"",'Ratings'!J5&lt;&gt;""),'Ratings'!A146,"")</f>
        <v/>
      </c>
      <c r="B2247">
        <f>IF(A2247="","",'Employees'!C14)</f>
        <v/>
      </c>
      <c r="C2247">
        <f>IF(A2247="","",'Ratings'!C146)</f>
        <v/>
      </c>
      <c r="D2247">
        <f>IF(A2247="","",'Ratings'!D146)</f>
        <v/>
      </c>
      <c r="E2247">
        <f>IF(AND('Ratings'!A146&lt;&gt;"",'Ratings'!J5&lt;&gt;""),'Ratings'!J5,"")</f>
        <v/>
      </c>
      <c r="F2247">
        <f>IF(OR(A2247="",'Ratings'!J146=""),"",'Ratings'!J146)</f>
        <v/>
      </c>
      <c r="G2247">
        <f>IF(A2247="","",'Employees'!D14)</f>
        <v/>
      </c>
    </row>
    <row r="2248">
      <c r="A2248">
        <f>IF(AND('Ratings'!A146&lt;&gt;"",'Ratings'!K5&lt;&gt;""),'Ratings'!A146,"")</f>
        <v/>
      </c>
      <c r="B2248">
        <f>IF(A2248="","",'Employees'!C14)</f>
        <v/>
      </c>
      <c r="C2248">
        <f>IF(A2248="","",'Ratings'!C146)</f>
        <v/>
      </c>
      <c r="D2248">
        <f>IF(A2248="","",'Ratings'!D146)</f>
        <v/>
      </c>
      <c r="E2248">
        <f>IF(AND('Ratings'!A146&lt;&gt;"",'Ratings'!K5&lt;&gt;""),'Ratings'!K5,"")</f>
        <v/>
      </c>
      <c r="F2248">
        <f>IF(OR(A2248="",'Ratings'!K146=""),"",'Ratings'!K146)</f>
        <v/>
      </c>
      <c r="G2248">
        <f>IF(A2248="","",'Employees'!D14)</f>
        <v/>
      </c>
    </row>
    <row r="2249">
      <c r="A2249">
        <f>IF(AND('Ratings'!A146&lt;&gt;"",'Ratings'!L5&lt;&gt;""),'Ratings'!A146,"")</f>
        <v/>
      </c>
      <c r="B2249">
        <f>IF(A2249="","",'Employees'!C14)</f>
        <v/>
      </c>
      <c r="C2249">
        <f>IF(A2249="","",'Ratings'!C146)</f>
        <v/>
      </c>
      <c r="D2249">
        <f>IF(A2249="","",'Ratings'!D146)</f>
        <v/>
      </c>
      <c r="E2249">
        <f>IF(AND('Ratings'!A146&lt;&gt;"",'Ratings'!L5&lt;&gt;""),'Ratings'!L5,"")</f>
        <v/>
      </c>
      <c r="F2249">
        <f>IF(OR(A2249="",'Ratings'!L146=""),"",'Ratings'!L146)</f>
        <v/>
      </c>
      <c r="G2249">
        <f>IF(A2249="","",'Employees'!D14)</f>
        <v/>
      </c>
    </row>
    <row r="2250">
      <c r="A2250">
        <f>IF(AND('Ratings'!A146&lt;&gt;"",'Ratings'!M5&lt;&gt;""),'Ratings'!A146,"")</f>
        <v/>
      </c>
      <c r="B2250">
        <f>IF(A2250="","",'Employees'!C14)</f>
        <v/>
      </c>
      <c r="C2250">
        <f>IF(A2250="","",'Ratings'!C146)</f>
        <v/>
      </c>
      <c r="D2250">
        <f>IF(A2250="","",'Ratings'!D146)</f>
        <v/>
      </c>
      <c r="E2250">
        <f>IF(AND('Ratings'!A146&lt;&gt;"",'Ratings'!M5&lt;&gt;""),'Ratings'!M5,"")</f>
        <v/>
      </c>
      <c r="F2250">
        <f>IF(OR(A2250="",'Ratings'!M146=""),"",'Ratings'!M146)</f>
        <v/>
      </c>
      <c r="G2250">
        <f>IF(A2250="","",'Employees'!D14)</f>
        <v/>
      </c>
    </row>
    <row r="2251">
      <c r="A2251">
        <f>IF(AND('Ratings'!A146&lt;&gt;"",'Ratings'!N5&lt;&gt;""),'Ratings'!A146,"")</f>
        <v/>
      </c>
      <c r="B2251">
        <f>IF(A2251="","",'Employees'!C14)</f>
        <v/>
      </c>
      <c r="C2251">
        <f>IF(A2251="","",'Ratings'!C146)</f>
        <v/>
      </c>
      <c r="D2251">
        <f>IF(A2251="","",'Ratings'!D146)</f>
        <v/>
      </c>
      <c r="E2251">
        <f>IF(AND('Ratings'!A146&lt;&gt;"",'Ratings'!N5&lt;&gt;""),'Ratings'!N5,"")</f>
        <v/>
      </c>
      <c r="F2251">
        <f>IF(OR(A2251="",'Ratings'!N146=""),"",'Ratings'!N146)</f>
        <v/>
      </c>
      <c r="G2251">
        <f>IF(A2251="","",'Employees'!D14)</f>
        <v/>
      </c>
    </row>
    <row r="2252">
      <c r="A2252">
        <f>IF(AND('Ratings'!A146&lt;&gt;"",'Ratings'!O5&lt;&gt;""),'Ratings'!A146,"")</f>
        <v/>
      </c>
      <c r="B2252">
        <f>IF(A2252="","",'Employees'!C14)</f>
        <v/>
      </c>
      <c r="C2252">
        <f>IF(A2252="","",'Ratings'!C146)</f>
        <v/>
      </c>
      <c r="D2252">
        <f>IF(A2252="","",'Ratings'!D146)</f>
        <v/>
      </c>
      <c r="E2252">
        <f>IF(AND('Ratings'!A146&lt;&gt;"",'Ratings'!O5&lt;&gt;""),'Ratings'!O5,"")</f>
        <v/>
      </c>
      <c r="F2252">
        <f>IF(OR(A2252="",'Ratings'!O146=""),"",'Ratings'!O146)</f>
        <v/>
      </c>
      <c r="G2252">
        <f>IF(A2252="","",'Employees'!D14)</f>
        <v/>
      </c>
    </row>
    <row r="2253">
      <c r="A2253">
        <f>IF(AND('Ratings'!A146&lt;&gt;"",'Ratings'!P5&lt;&gt;""),'Ratings'!A146,"")</f>
        <v/>
      </c>
      <c r="B2253">
        <f>IF(A2253="","",'Employees'!C14)</f>
        <v/>
      </c>
      <c r="C2253">
        <f>IF(A2253="","",'Ratings'!C146)</f>
        <v/>
      </c>
      <c r="D2253">
        <f>IF(A2253="","",'Ratings'!D146)</f>
        <v/>
      </c>
      <c r="E2253">
        <f>IF(AND('Ratings'!A146&lt;&gt;"",'Ratings'!P5&lt;&gt;""),'Ratings'!P5,"")</f>
        <v/>
      </c>
      <c r="F2253">
        <f>IF(OR(A2253="",'Ratings'!P146=""),"",'Ratings'!P146)</f>
        <v/>
      </c>
      <c r="G2253">
        <f>IF(A2253="","",'Employees'!D14)</f>
        <v/>
      </c>
    </row>
    <row r="2254">
      <c r="A2254">
        <f>IF(AND('Ratings'!A146&lt;&gt;"",'Ratings'!Q5&lt;&gt;""),'Ratings'!A146,"")</f>
        <v/>
      </c>
      <c r="B2254">
        <f>IF(A2254="","",'Employees'!C14)</f>
        <v/>
      </c>
      <c r="C2254">
        <f>IF(A2254="","",'Ratings'!C146)</f>
        <v/>
      </c>
      <c r="D2254">
        <f>IF(A2254="","",'Ratings'!D146)</f>
        <v/>
      </c>
      <c r="E2254">
        <f>IF(AND('Ratings'!A146&lt;&gt;"",'Ratings'!Q5&lt;&gt;""),'Ratings'!Q5,"")</f>
        <v/>
      </c>
      <c r="F2254">
        <f>IF(OR(A2254="",'Ratings'!Q146=""),"",'Ratings'!Q146)</f>
        <v/>
      </c>
      <c r="G2254">
        <f>IF(A2254="","",'Employees'!D14)</f>
        <v/>
      </c>
    </row>
    <row r="2255">
      <c r="A2255">
        <f>IF(AND('Ratings'!A146&lt;&gt;"",'Ratings'!R5&lt;&gt;""),'Ratings'!A146,"")</f>
        <v/>
      </c>
      <c r="B2255">
        <f>IF(A2255="","",'Employees'!C14)</f>
        <v/>
      </c>
      <c r="C2255">
        <f>IF(A2255="","",'Ratings'!C146)</f>
        <v/>
      </c>
      <c r="D2255">
        <f>IF(A2255="","",'Ratings'!D146)</f>
        <v/>
      </c>
      <c r="E2255">
        <f>IF(AND('Ratings'!A146&lt;&gt;"",'Ratings'!R5&lt;&gt;""),'Ratings'!R5,"")</f>
        <v/>
      </c>
      <c r="F2255">
        <f>IF(OR(A2255="",'Ratings'!R146=""),"",'Ratings'!R146)</f>
        <v/>
      </c>
      <c r="G2255">
        <f>IF(A2255="","",'Employees'!D14)</f>
        <v/>
      </c>
    </row>
    <row r="2256">
      <c r="A2256">
        <f>IF(AND('Ratings'!A146&lt;&gt;"",'Ratings'!S5&lt;&gt;""),'Ratings'!A146,"")</f>
        <v/>
      </c>
      <c r="B2256">
        <f>IF(A2256="","",'Employees'!C14)</f>
        <v/>
      </c>
      <c r="C2256">
        <f>IF(A2256="","",'Ratings'!C146)</f>
        <v/>
      </c>
      <c r="D2256">
        <f>IF(A2256="","",'Ratings'!D146)</f>
        <v/>
      </c>
      <c r="E2256">
        <f>IF(AND('Ratings'!A146&lt;&gt;"",'Ratings'!S5&lt;&gt;""),'Ratings'!S5,"")</f>
        <v/>
      </c>
      <c r="F2256">
        <f>IF(OR(A2256="",'Ratings'!S146=""),"",'Ratings'!S146)</f>
        <v/>
      </c>
      <c r="G2256">
        <f>IF(A2256="","",'Employees'!D14)</f>
        <v/>
      </c>
    </row>
    <row r="2257">
      <c r="A2257">
        <f>IF(AND('Ratings'!A146&lt;&gt;"",'Ratings'!T5&lt;&gt;""),'Ratings'!A146,"")</f>
        <v/>
      </c>
      <c r="B2257">
        <f>IF(A2257="","",'Employees'!C14)</f>
        <v/>
      </c>
      <c r="C2257">
        <f>IF(A2257="","",'Ratings'!C146)</f>
        <v/>
      </c>
      <c r="D2257">
        <f>IF(A2257="","",'Ratings'!D146)</f>
        <v/>
      </c>
      <c r="E2257">
        <f>IF(AND('Ratings'!A146&lt;&gt;"",'Ratings'!T5&lt;&gt;""),'Ratings'!T5,"")</f>
        <v/>
      </c>
      <c r="F2257">
        <f>IF(OR(A2257="",'Ratings'!T146=""),"",'Ratings'!T146)</f>
        <v/>
      </c>
      <c r="G2257">
        <f>IF(A2257="","",'Employees'!D14)</f>
        <v/>
      </c>
    </row>
    <row r="2258">
      <c r="A2258">
        <f>IF(AND('Ratings'!A147&lt;&gt;"",'Ratings'!E5&lt;&gt;""),'Ratings'!A147,"")</f>
        <v/>
      </c>
      <c r="B2258">
        <f>IF(A2258="","",'Employees'!C14)</f>
        <v/>
      </c>
      <c r="C2258">
        <f>IF(A2258="","",'Ratings'!C147)</f>
        <v/>
      </c>
      <c r="D2258">
        <f>IF(A2258="","",'Ratings'!D147)</f>
        <v/>
      </c>
      <c r="E2258">
        <f>IF(AND('Ratings'!A147&lt;&gt;"",'Ratings'!E5&lt;&gt;""),'Ratings'!E5,"")</f>
        <v/>
      </c>
      <c r="F2258">
        <f>IF(OR(A2258="",'Ratings'!E147=""),"",'Ratings'!E147)</f>
        <v/>
      </c>
      <c r="G2258">
        <f>IF(A2258="","",'Employees'!D14)</f>
        <v/>
      </c>
    </row>
    <row r="2259">
      <c r="A2259">
        <f>IF(AND('Ratings'!A147&lt;&gt;"",'Ratings'!F5&lt;&gt;""),'Ratings'!A147,"")</f>
        <v/>
      </c>
      <c r="B2259">
        <f>IF(A2259="","",'Employees'!C14)</f>
        <v/>
      </c>
      <c r="C2259">
        <f>IF(A2259="","",'Ratings'!C147)</f>
        <v/>
      </c>
      <c r="D2259">
        <f>IF(A2259="","",'Ratings'!D147)</f>
        <v/>
      </c>
      <c r="E2259">
        <f>IF(AND('Ratings'!A147&lt;&gt;"",'Ratings'!F5&lt;&gt;""),'Ratings'!F5,"")</f>
        <v/>
      </c>
      <c r="F2259">
        <f>IF(OR(A2259="",'Ratings'!F147=""),"",'Ratings'!F147)</f>
        <v/>
      </c>
      <c r="G2259">
        <f>IF(A2259="","",'Employees'!D14)</f>
        <v/>
      </c>
    </row>
    <row r="2260">
      <c r="A2260">
        <f>IF(AND('Ratings'!A147&lt;&gt;"",'Ratings'!G5&lt;&gt;""),'Ratings'!A147,"")</f>
        <v/>
      </c>
      <c r="B2260">
        <f>IF(A2260="","",'Employees'!C14)</f>
        <v/>
      </c>
      <c r="C2260">
        <f>IF(A2260="","",'Ratings'!C147)</f>
        <v/>
      </c>
      <c r="D2260">
        <f>IF(A2260="","",'Ratings'!D147)</f>
        <v/>
      </c>
      <c r="E2260">
        <f>IF(AND('Ratings'!A147&lt;&gt;"",'Ratings'!G5&lt;&gt;""),'Ratings'!G5,"")</f>
        <v/>
      </c>
      <c r="F2260">
        <f>IF(OR(A2260="",'Ratings'!G147=""),"",'Ratings'!G147)</f>
        <v/>
      </c>
      <c r="G2260">
        <f>IF(A2260="","",'Employees'!D14)</f>
        <v/>
      </c>
    </row>
    <row r="2261">
      <c r="A2261">
        <f>IF(AND('Ratings'!A147&lt;&gt;"",'Ratings'!H5&lt;&gt;""),'Ratings'!A147,"")</f>
        <v/>
      </c>
      <c r="B2261">
        <f>IF(A2261="","",'Employees'!C14)</f>
        <v/>
      </c>
      <c r="C2261">
        <f>IF(A2261="","",'Ratings'!C147)</f>
        <v/>
      </c>
      <c r="D2261">
        <f>IF(A2261="","",'Ratings'!D147)</f>
        <v/>
      </c>
      <c r="E2261">
        <f>IF(AND('Ratings'!A147&lt;&gt;"",'Ratings'!H5&lt;&gt;""),'Ratings'!H5,"")</f>
        <v/>
      </c>
      <c r="F2261">
        <f>IF(OR(A2261="",'Ratings'!H147=""),"",'Ratings'!H147)</f>
        <v/>
      </c>
      <c r="G2261">
        <f>IF(A2261="","",'Employees'!D14)</f>
        <v/>
      </c>
    </row>
    <row r="2262">
      <c r="A2262">
        <f>IF(AND('Ratings'!A147&lt;&gt;"",'Ratings'!I5&lt;&gt;""),'Ratings'!A147,"")</f>
        <v/>
      </c>
      <c r="B2262">
        <f>IF(A2262="","",'Employees'!C14)</f>
        <v/>
      </c>
      <c r="C2262">
        <f>IF(A2262="","",'Ratings'!C147)</f>
        <v/>
      </c>
      <c r="D2262">
        <f>IF(A2262="","",'Ratings'!D147)</f>
        <v/>
      </c>
      <c r="E2262">
        <f>IF(AND('Ratings'!A147&lt;&gt;"",'Ratings'!I5&lt;&gt;""),'Ratings'!I5,"")</f>
        <v/>
      </c>
      <c r="F2262">
        <f>IF(OR(A2262="",'Ratings'!I147=""),"",'Ratings'!I147)</f>
        <v/>
      </c>
      <c r="G2262">
        <f>IF(A2262="","",'Employees'!D14)</f>
        <v/>
      </c>
    </row>
    <row r="2263">
      <c r="A2263">
        <f>IF(AND('Ratings'!A147&lt;&gt;"",'Ratings'!J5&lt;&gt;""),'Ratings'!A147,"")</f>
        <v/>
      </c>
      <c r="B2263">
        <f>IF(A2263="","",'Employees'!C14)</f>
        <v/>
      </c>
      <c r="C2263">
        <f>IF(A2263="","",'Ratings'!C147)</f>
        <v/>
      </c>
      <c r="D2263">
        <f>IF(A2263="","",'Ratings'!D147)</f>
        <v/>
      </c>
      <c r="E2263">
        <f>IF(AND('Ratings'!A147&lt;&gt;"",'Ratings'!J5&lt;&gt;""),'Ratings'!J5,"")</f>
        <v/>
      </c>
      <c r="F2263">
        <f>IF(OR(A2263="",'Ratings'!J147=""),"",'Ratings'!J147)</f>
        <v/>
      </c>
      <c r="G2263">
        <f>IF(A2263="","",'Employees'!D14)</f>
        <v/>
      </c>
    </row>
    <row r="2264">
      <c r="A2264">
        <f>IF(AND('Ratings'!A147&lt;&gt;"",'Ratings'!K5&lt;&gt;""),'Ratings'!A147,"")</f>
        <v/>
      </c>
      <c r="B2264">
        <f>IF(A2264="","",'Employees'!C14)</f>
        <v/>
      </c>
      <c r="C2264">
        <f>IF(A2264="","",'Ratings'!C147)</f>
        <v/>
      </c>
      <c r="D2264">
        <f>IF(A2264="","",'Ratings'!D147)</f>
        <v/>
      </c>
      <c r="E2264">
        <f>IF(AND('Ratings'!A147&lt;&gt;"",'Ratings'!K5&lt;&gt;""),'Ratings'!K5,"")</f>
        <v/>
      </c>
      <c r="F2264">
        <f>IF(OR(A2264="",'Ratings'!K147=""),"",'Ratings'!K147)</f>
        <v/>
      </c>
      <c r="G2264">
        <f>IF(A2264="","",'Employees'!D14)</f>
        <v/>
      </c>
    </row>
    <row r="2265">
      <c r="A2265">
        <f>IF(AND('Ratings'!A147&lt;&gt;"",'Ratings'!L5&lt;&gt;""),'Ratings'!A147,"")</f>
        <v/>
      </c>
      <c r="B2265">
        <f>IF(A2265="","",'Employees'!C14)</f>
        <v/>
      </c>
      <c r="C2265">
        <f>IF(A2265="","",'Ratings'!C147)</f>
        <v/>
      </c>
      <c r="D2265">
        <f>IF(A2265="","",'Ratings'!D147)</f>
        <v/>
      </c>
      <c r="E2265">
        <f>IF(AND('Ratings'!A147&lt;&gt;"",'Ratings'!L5&lt;&gt;""),'Ratings'!L5,"")</f>
        <v/>
      </c>
      <c r="F2265">
        <f>IF(OR(A2265="",'Ratings'!L147=""),"",'Ratings'!L147)</f>
        <v/>
      </c>
      <c r="G2265">
        <f>IF(A2265="","",'Employees'!D14)</f>
        <v/>
      </c>
    </row>
    <row r="2266">
      <c r="A2266">
        <f>IF(AND('Ratings'!A147&lt;&gt;"",'Ratings'!M5&lt;&gt;""),'Ratings'!A147,"")</f>
        <v/>
      </c>
      <c r="B2266">
        <f>IF(A2266="","",'Employees'!C14)</f>
        <v/>
      </c>
      <c r="C2266">
        <f>IF(A2266="","",'Ratings'!C147)</f>
        <v/>
      </c>
      <c r="D2266">
        <f>IF(A2266="","",'Ratings'!D147)</f>
        <v/>
      </c>
      <c r="E2266">
        <f>IF(AND('Ratings'!A147&lt;&gt;"",'Ratings'!M5&lt;&gt;""),'Ratings'!M5,"")</f>
        <v/>
      </c>
      <c r="F2266">
        <f>IF(OR(A2266="",'Ratings'!M147=""),"",'Ratings'!M147)</f>
        <v/>
      </c>
      <c r="G2266">
        <f>IF(A2266="","",'Employees'!D14)</f>
        <v/>
      </c>
    </row>
    <row r="2267">
      <c r="A2267">
        <f>IF(AND('Ratings'!A147&lt;&gt;"",'Ratings'!N5&lt;&gt;""),'Ratings'!A147,"")</f>
        <v/>
      </c>
      <c r="B2267">
        <f>IF(A2267="","",'Employees'!C14)</f>
        <v/>
      </c>
      <c r="C2267">
        <f>IF(A2267="","",'Ratings'!C147)</f>
        <v/>
      </c>
      <c r="D2267">
        <f>IF(A2267="","",'Ratings'!D147)</f>
        <v/>
      </c>
      <c r="E2267">
        <f>IF(AND('Ratings'!A147&lt;&gt;"",'Ratings'!N5&lt;&gt;""),'Ratings'!N5,"")</f>
        <v/>
      </c>
      <c r="F2267">
        <f>IF(OR(A2267="",'Ratings'!N147=""),"",'Ratings'!N147)</f>
        <v/>
      </c>
      <c r="G2267">
        <f>IF(A2267="","",'Employees'!D14)</f>
        <v/>
      </c>
    </row>
    <row r="2268">
      <c r="A2268">
        <f>IF(AND('Ratings'!A147&lt;&gt;"",'Ratings'!O5&lt;&gt;""),'Ratings'!A147,"")</f>
        <v/>
      </c>
      <c r="B2268">
        <f>IF(A2268="","",'Employees'!C14)</f>
        <v/>
      </c>
      <c r="C2268">
        <f>IF(A2268="","",'Ratings'!C147)</f>
        <v/>
      </c>
      <c r="D2268">
        <f>IF(A2268="","",'Ratings'!D147)</f>
        <v/>
      </c>
      <c r="E2268">
        <f>IF(AND('Ratings'!A147&lt;&gt;"",'Ratings'!O5&lt;&gt;""),'Ratings'!O5,"")</f>
        <v/>
      </c>
      <c r="F2268">
        <f>IF(OR(A2268="",'Ratings'!O147=""),"",'Ratings'!O147)</f>
        <v/>
      </c>
      <c r="G2268">
        <f>IF(A2268="","",'Employees'!D14)</f>
        <v/>
      </c>
    </row>
    <row r="2269">
      <c r="A2269">
        <f>IF(AND('Ratings'!A147&lt;&gt;"",'Ratings'!P5&lt;&gt;""),'Ratings'!A147,"")</f>
        <v/>
      </c>
      <c r="B2269">
        <f>IF(A2269="","",'Employees'!C14)</f>
        <v/>
      </c>
      <c r="C2269">
        <f>IF(A2269="","",'Ratings'!C147)</f>
        <v/>
      </c>
      <c r="D2269">
        <f>IF(A2269="","",'Ratings'!D147)</f>
        <v/>
      </c>
      <c r="E2269">
        <f>IF(AND('Ratings'!A147&lt;&gt;"",'Ratings'!P5&lt;&gt;""),'Ratings'!P5,"")</f>
        <v/>
      </c>
      <c r="F2269">
        <f>IF(OR(A2269="",'Ratings'!P147=""),"",'Ratings'!P147)</f>
        <v/>
      </c>
      <c r="G2269">
        <f>IF(A2269="","",'Employees'!D14)</f>
        <v/>
      </c>
    </row>
    <row r="2270">
      <c r="A2270">
        <f>IF(AND('Ratings'!A147&lt;&gt;"",'Ratings'!Q5&lt;&gt;""),'Ratings'!A147,"")</f>
        <v/>
      </c>
      <c r="B2270">
        <f>IF(A2270="","",'Employees'!C14)</f>
        <v/>
      </c>
      <c r="C2270">
        <f>IF(A2270="","",'Ratings'!C147)</f>
        <v/>
      </c>
      <c r="D2270">
        <f>IF(A2270="","",'Ratings'!D147)</f>
        <v/>
      </c>
      <c r="E2270">
        <f>IF(AND('Ratings'!A147&lt;&gt;"",'Ratings'!Q5&lt;&gt;""),'Ratings'!Q5,"")</f>
        <v/>
      </c>
      <c r="F2270">
        <f>IF(OR(A2270="",'Ratings'!Q147=""),"",'Ratings'!Q147)</f>
        <v/>
      </c>
      <c r="G2270">
        <f>IF(A2270="","",'Employees'!D14)</f>
        <v/>
      </c>
    </row>
    <row r="2271">
      <c r="A2271">
        <f>IF(AND('Ratings'!A147&lt;&gt;"",'Ratings'!R5&lt;&gt;""),'Ratings'!A147,"")</f>
        <v/>
      </c>
      <c r="B2271">
        <f>IF(A2271="","",'Employees'!C14)</f>
        <v/>
      </c>
      <c r="C2271">
        <f>IF(A2271="","",'Ratings'!C147)</f>
        <v/>
      </c>
      <c r="D2271">
        <f>IF(A2271="","",'Ratings'!D147)</f>
        <v/>
      </c>
      <c r="E2271">
        <f>IF(AND('Ratings'!A147&lt;&gt;"",'Ratings'!R5&lt;&gt;""),'Ratings'!R5,"")</f>
        <v/>
      </c>
      <c r="F2271">
        <f>IF(OR(A2271="",'Ratings'!R147=""),"",'Ratings'!R147)</f>
        <v/>
      </c>
      <c r="G2271">
        <f>IF(A2271="","",'Employees'!D14)</f>
        <v/>
      </c>
    </row>
    <row r="2272">
      <c r="A2272">
        <f>IF(AND('Ratings'!A147&lt;&gt;"",'Ratings'!S5&lt;&gt;""),'Ratings'!A147,"")</f>
        <v/>
      </c>
      <c r="B2272">
        <f>IF(A2272="","",'Employees'!C14)</f>
        <v/>
      </c>
      <c r="C2272">
        <f>IF(A2272="","",'Ratings'!C147)</f>
        <v/>
      </c>
      <c r="D2272">
        <f>IF(A2272="","",'Ratings'!D147)</f>
        <v/>
      </c>
      <c r="E2272">
        <f>IF(AND('Ratings'!A147&lt;&gt;"",'Ratings'!S5&lt;&gt;""),'Ratings'!S5,"")</f>
        <v/>
      </c>
      <c r="F2272">
        <f>IF(OR(A2272="",'Ratings'!S147=""),"",'Ratings'!S147)</f>
        <v/>
      </c>
      <c r="G2272">
        <f>IF(A2272="","",'Employees'!D14)</f>
        <v/>
      </c>
    </row>
    <row r="2273">
      <c r="A2273">
        <f>IF(AND('Ratings'!A147&lt;&gt;"",'Ratings'!T5&lt;&gt;""),'Ratings'!A147,"")</f>
        <v/>
      </c>
      <c r="B2273">
        <f>IF(A2273="","",'Employees'!C14)</f>
        <v/>
      </c>
      <c r="C2273">
        <f>IF(A2273="","",'Ratings'!C147)</f>
        <v/>
      </c>
      <c r="D2273">
        <f>IF(A2273="","",'Ratings'!D147)</f>
        <v/>
      </c>
      <c r="E2273">
        <f>IF(AND('Ratings'!A147&lt;&gt;"",'Ratings'!T5&lt;&gt;""),'Ratings'!T5,"")</f>
        <v/>
      </c>
      <c r="F2273">
        <f>IF(OR(A2273="",'Ratings'!T147=""),"",'Ratings'!T147)</f>
        <v/>
      </c>
      <c r="G2273">
        <f>IF(A2273="","",'Employees'!D14)</f>
        <v/>
      </c>
    </row>
    <row r="2274">
      <c r="A2274">
        <f>IF(AND('Ratings'!A148&lt;&gt;"",'Ratings'!E5&lt;&gt;""),'Ratings'!A148,"")</f>
        <v/>
      </c>
      <c r="B2274">
        <f>IF(A2274="","",'Employees'!C14)</f>
        <v/>
      </c>
      <c r="C2274">
        <f>IF(A2274="","",'Ratings'!C148)</f>
        <v/>
      </c>
      <c r="D2274">
        <f>IF(A2274="","",'Ratings'!D148)</f>
        <v/>
      </c>
      <c r="E2274">
        <f>IF(AND('Ratings'!A148&lt;&gt;"",'Ratings'!E5&lt;&gt;""),'Ratings'!E5,"")</f>
        <v/>
      </c>
      <c r="F2274">
        <f>IF(OR(A2274="",'Ratings'!E148=""),"",'Ratings'!E148)</f>
        <v/>
      </c>
      <c r="G2274">
        <f>IF(A2274="","",'Employees'!D14)</f>
        <v/>
      </c>
    </row>
    <row r="2275">
      <c r="A2275">
        <f>IF(AND('Ratings'!A148&lt;&gt;"",'Ratings'!F5&lt;&gt;""),'Ratings'!A148,"")</f>
        <v/>
      </c>
      <c r="B2275">
        <f>IF(A2275="","",'Employees'!C14)</f>
        <v/>
      </c>
      <c r="C2275">
        <f>IF(A2275="","",'Ratings'!C148)</f>
        <v/>
      </c>
      <c r="D2275">
        <f>IF(A2275="","",'Ratings'!D148)</f>
        <v/>
      </c>
      <c r="E2275">
        <f>IF(AND('Ratings'!A148&lt;&gt;"",'Ratings'!F5&lt;&gt;""),'Ratings'!F5,"")</f>
        <v/>
      </c>
      <c r="F2275">
        <f>IF(OR(A2275="",'Ratings'!F148=""),"",'Ratings'!F148)</f>
        <v/>
      </c>
      <c r="G2275">
        <f>IF(A2275="","",'Employees'!D14)</f>
        <v/>
      </c>
    </row>
    <row r="2276">
      <c r="A2276">
        <f>IF(AND('Ratings'!A148&lt;&gt;"",'Ratings'!G5&lt;&gt;""),'Ratings'!A148,"")</f>
        <v/>
      </c>
      <c r="B2276">
        <f>IF(A2276="","",'Employees'!C14)</f>
        <v/>
      </c>
      <c r="C2276">
        <f>IF(A2276="","",'Ratings'!C148)</f>
        <v/>
      </c>
      <c r="D2276">
        <f>IF(A2276="","",'Ratings'!D148)</f>
        <v/>
      </c>
      <c r="E2276">
        <f>IF(AND('Ratings'!A148&lt;&gt;"",'Ratings'!G5&lt;&gt;""),'Ratings'!G5,"")</f>
        <v/>
      </c>
      <c r="F2276">
        <f>IF(OR(A2276="",'Ratings'!G148=""),"",'Ratings'!G148)</f>
        <v/>
      </c>
      <c r="G2276">
        <f>IF(A2276="","",'Employees'!D14)</f>
        <v/>
      </c>
    </row>
    <row r="2277">
      <c r="A2277">
        <f>IF(AND('Ratings'!A148&lt;&gt;"",'Ratings'!H5&lt;&gt;""),'Ratings'!A148,"")</f>
        <v/>
      </c>
      <c r="B2277">
        <f>IF(A2277="","",'Employees'!C14)</f>
        <v/>
      </c>
      <c r="C2277">
        <f>IF(A2277="","",'Ratings'!C148)</f>
        <v/>
      </c>
      <c r="D2277">
        <f>IF(A2277="","",'Ratings'!D148)</f>
        <v/>
      </c>
      <c r="E2277">
        <f>IF(AND('Ratings'!A148&lt;&gt;"",'Ratings'!H5&lt;&gt;""),'Ratings'!H5,"")</f>
        <v/>
      </c>
      <c r="F2277">
        <f>IF(OR(A2277="",'Ratings'!H148=""),"",'Ratings'!H148)</f>
        <v/>
      </c>
      <c r="G2277">
        <f>IF(A2277="","",'Employees'!D14)</f>
        <v/>
      </c>
    </row>
    <row r="2278">
      <c r="A2278">
        <f>IF(AND('Ratings'!A148&lt;&gt;"",'Ratings'!I5&lt;&gt;""),'Ratings'!A148,"")</f>
        <v/>
      </c>
      <c r="B2278">
        <f>IF(A2278="","",'Employees'!C14)</f>
        <v/>
      </c>
      <c r="C2278">
        <f>IF(A2278="","",'Ratings'!C148)</f>
        <v/>
      </c>
      <c r="D2278">
        <f>IF(A2278="","",'Ratings'!D148)</f>
        <v/>
      </c>
      <c r="E2278">
        <f>IF(AND('Ratings'!A148&lt;&gt;"",'Ratings'!I5&lt;&gt;""),'Ratings'!I5,"")</f>
        <v/>
      </c>
      <c r="F2278">
        <f>IF(OR(A2278="",'Ratings'!I148=""),"",'Ratings'!I148)</f>
        <v/>
      </c>
      <c r="G2278">
        <f>IF(A2278="","",'Employees'!D14)</f>
        <v/>
      </c>
    </row>
    <row r="2279">
      <c r="A2279">
        <f>IF(AND('Ratings'!A148&lt;&gt;"",'Ratings'!J5&lt;&gt;""),'Ratings'!A148,"")</f>
        <v/>
      </c>
      <c r="B2279">
        <f>IF(A2279="","",'Employees'!C14)</f>
        <v/>
      </c>
      <c r="C2279">
        <f>IF(A2279="","",'Ratings'!C148)</f>
        <v/>
      </c>
      <c r="D2279">
        <f>IF(A2279="","",'Ratings'!D148)</f>
        <v/>
      </c>
      <c r="E2279">
        <f>IF(AND('Ratings'!A148&lt;&gt;"",'Ratings'!J5&lt;&gt;""),'Ratings'!J5,"")</f>
        <v/>
      </c>
      <c r="F2279">
        <f>IF(OR(A2279="",'Ratings'!J148=""),"",'Ratings'!J148)</f>
        <v/>
      </c>
      <c r="G2279">
        <f>IF(A2279="","",'Employees'!D14)</f>
        <v/>
      </c>
    </row>
    <row r="2280">
      <c r="A2280">
        <f>IF(AND('Ratings'!A148&lt;&gt;"",'Ratings'!K5&lt;&gt;""),'Ratings'!A148,"")</f>
        <v/>
      </c>
      <c r="B2280">
        <f>IF(A2280="","",'Employees'!C14)</f>
        <v/>
      </c>
      <c r="C2280">
        <f>IF(A2280="","",'Ratings'!C148)</f>
        <v/>
      </c>
      <c r="D2280">
        <f>IF(A2280="","",'Ratings'!D148)</f>
        <v/>
      </c>
      <c r="E2280">
        <f>IF(AND('Ratings'!A148&lt;&gt;"",'Ratings'!K5&lt;&gt;""),'Ratings'!K5,"")</f>
        <v/>
      </c>
      <c r="F2280">
        <f>IF(OR(A2280="",'Ratings'!K148=""),"",'Ratings'!K148)</f>
        <v/>
      </c>
      <c r="G2280">
        <f>IF(A2280="","",'Employees'!D14)</f>
        <v/>
      </c>
    </row>
    <row r="2281">
      <c r="A2281">
        <f>IF(AND('Ratings'!A148&lt;&gt;"",'Ratings'!L5&lt;&gt;""),'Ratings'!A148,"")</f>
        <v/>
      </c>
      <c r="B2281">
        <f>IF(A2281="","",'Employees'!C14)</f>
        <v/>
      </c>
      <c r="C2281">
        <f>IF(A2281="","",'Ratings'!C148)</f>
        <v/>
      </c>
      <c r="D2281">
        <f>IF(A2281="","",'Ratings'!D148)</f>
        <v/>
      </c>
      <c r="E2281">
        <f>IF(AND('Ratings'!A148&lt;&gt;"",'Ratings'!L5&lt;&gt;""),'Ratings'!L5,"")</f>
        <v/>
      </c>
      <c r="F2281">
        <f>IF(OR(A2281="",'Ratings'!L148=""),"",'Ratings'!L148)</f>
        <v/>
      </c>
      <c r="G2281">
        <f>IF(A2281="","",'Employees'!D14)</f>
        <v/>
      </c>
    </row>
    <row r="2282">
      <c r="A2282">
        <f>IF(AND('Ratings'!A148&lt;&gt;"",'Ratings'!M5&lt;&gt;""),'Ratings'!A148,"")</f>
        <v/>
      </c>
      <c r="B2282">
        <f>IF(A2282="","",'Employees'!C14)</f>
        <v/>
      </c>
      <c r="C2282">
        <f>IF(A2282="","",'Ratings'!C148)</f>
        <v/>
      </c>
      <c r="D2282">
        <f>IF(A2282="","",'Ratings'!D148)</f>
        <v/>
      </c>
      <c r="E2282">
        <f>IF(AND('Ratings'!A148&lt;&gt;"",'Ratings'!M5&lt;&gt;""),'Ratings'!M5,"")</f>
        <v/>
      </c>
      <c r="F2282">
        <f>IF(OR(A2282="",'Ratings'!M148=""),"",'Ratings'!M148)</f>
        <v/>
      </c>
      <c r="G2282">
        <f>IF(A2282="","",'Employees'!D14)</f>
        <v/>
      </c>
    </row>
    <row r="2283">
      <c r="A2283">
        <f>IF(AND('Ratings'!A148&lt;&gt;"",'Ratings'!N5&lt;&gt;""),'Ratings'!A148,"")</f>
        <v/>
      </c>
      <c r="B2283">
        <f>IF(A2283="","",'Employees'!C14)</f>
        <v/>
      </c>
      <c r="C2283">
        <f>IF(A2283="","",'Ratings'!C148)</f>
        <v/>
      </c>
      <c r="D2283">
        <f>IF(A2283="","",'Ratings'!D148)</f>
        <v/>
      </c>
      <c r="E2283">
        <f>IF(AND('Ratings'!A148&lt;&gt;"",'Ratings'!N5&lt;&gt;""),'Ratings'!N5,"")</f>
        <v/>
      </c>
      <c r="F2283">
        <f>IF(OR(A2283="",'Ratings'!N148=""),"",'Ratings'!N148)</f>
        <v/>
      </c>
      <c r="G2283">
        <f>IF(A2283="","",'Employees'!D14)</f>
        <v/>
      </c>
    </row>
    <row r="2284">
      <c r="A2284">
        <f>IF(AND('Ratings'!A148&lt;&gt;"",'Ratings'!O5&lt;&gt;""),'Ratings'!A148,"")</f>
        <v/>
      </c>
      <c r="B2284">
        <f>IF(A2284="","",'Employees'!C14)</f>
        <v/>
      </c>
      <c r="C2284">
        <f>IF(A2284="","",'Ratings'!C148)</f>
        <v/>
      </c>
      <c r="D2284">
        <f>IF(A2284="","",'Ratings'!D148)</f>
        <v/>
      </c>
      <c r="E2284">
        <f>IF(AND('Ratings'!A148&lt;&gt;"",'Ratings'!O5&lt;&gt;""),'Ratings'!O5,"")</f>
        <v/>
      </c>
      <c r="F2284">
        <f>IF(OR(A2284="",'Ratings'!O148=""),"",'Ratings'!O148)</f>
        <v/>
      </c>
      <c r="G2284">
        <f>IF(A2284="","",'Employees'!D14)</f>
        <v/>
      </c>
    </row>
    <row r="2285">
      <c r="A2285">
        <f>IF(AND('Ratings'!A148&lt;&gt;"",'Ratings'!P5&lt;&gt;""),'Ratings'!A148,"")</f>
        <v/>
      </c>
      <c r="B2285">
        <f>IF(A2285="","",'Employees'!C14)</f>
        <v/>
      </c>
      <c r="C2285">
        <f>IF(A2285="","",'Ratings'!C148)</f>
        <v/>
      </c>
      <c r="D2285">
        <f>IF(A2285="","",'Ratings'!D148)</f>
        <v/>
      </c>
      <c r="E2285">
        <f>IF(AND('Ratings'!A148&lt;&gt;"",'Ratings'!P5&lt;&gt;""),'Ratings'!P5,"")</f>
        <v/>
      </c>
      <c r="F2285">
        <f>IF(OR(A2285="",'Ratings'!P148=""),"",'Ratings'!P148)</f>
        <v/>
      </c>
      <c r="G2285">
        <f>IF(A2285="","",'Employees'!D14)</f>
        <v/>
      </c>
    </row>
    <row r="2286">
      <c r="A2286">
        <f>IF(AND('Ratings'!A148&lt;&gt;"",'Ratings'!Q5&lt;&gt;""),'Ratings'!A148,"")</f>
        <v/>
      </c>
      <c r="B2286">
        <f>IF(A2286="","",'Employees'!C14)</f>
        <v/>
      </c>
      <c r="C2286">
        <f>IF(A2286="","",'Ratings'!C148)</f>
        <v/>
      </c>
      <c r="D2286">
        <f>IF(A2286="","",'Ratings'!D148)</f>
        <v/>
      </c>
      <c r="E2286">
        <f>IF(AND('Ratings'!A148&lt;&gt;"",'Ratings'!Q5&lt;&gt;""),'Ratings'!Q5,"")</f>
        <v/>
      </c>
      <c r="F2286">
        <f>IF(OR(A2286="",'Ratings'!Q148=""),"",'Ratings'!Q148)</f>
        <v/>
      </c>
      <c r="G2286">
        <f>IF(A2286="","",'Employees'!D14)</f>
        <v/>
      </c>
    </row>
    <row r="2287">
      <c r="A2287">
        <f>IF(AND('Ratings'!A148&lt;&gt;"",'Ratings'!R5&lt;&gt;""),'Ratings'!A148,"")</f>
        <v/>
      </c>
      <c r="B2287">
        <f>IF(A2287="","",'Employees'!C14)</f>
        <v/>
      </c>
      <c r="C2287">
        <f>IF(A2287="","",'Ratings'!C148)</f>
        <v/>
      </c>
      <c r="D2287">
        <f>IF(A2287="","",'Ratings'!D148)</f>
        <v/>
      </c>
      <c r="E2287">
        <f>IF(AND('Ratings'!A148&lt;&gt;"",'Ratings'!R5&lt;&gt;""),'Ratings'!R5,"")</f>
        <v/>
      </c>
      <c r="F2287">
        <f>IF(OR(A2287="",'Ratings'!R148=""),"",'Ratings'!R148)</f>
        <v/>
      </c>
      <c r="G2287">
        <f>IF(A2287="","",'Employees'!D14)</f>
        <v/>
      </c>
    </row>
    <row r="2288">
      <c r="A2288">
        <f>IF(AND('Ratings'!A148&lt;&gt;"",'Ratings'!S5&lt;&gt;""),'Ratings'!A148,"")</f>
        <v/>
      </c>
      <c r="B2288">
        <f>IF(A2288="","",'Employees'!C14)</f>
        <v/>
      </c>
      <c r="C2288">
        <f>IF(A2288="","",'Ratings'!C148)</f>
        <v/>
      </c>
      <c r="D2288">
        <f>IF(A2288="","",'Ratings'!D148)</f>
        <v/>
      </c>
      <c r="E2288">
        <f>IF(AND('Ratings'!A148&lt;&gt;"",'Ratings'!S5&lt;&gt;""),'Ratings'!S5,"")</f>
        <v/>
      </c>
      <c r="F2288">
        <f>IF(OR(A2288="",'Ratings'!S148=""),"",'Ratings'!S148)</f>
        <v/>
      </c>
      <c r="G2288">
        <f>IF(A2288="","",'Employees'!D14)</f>
        <v/>
      </c>
    </row>
    <row r="2289">
      <c r="A2289">
        <f>IF(AND('Ratings'!A148&lt;&gt;"",'Ratings'!T5&lt;&gt;""),'Ratings'!A148,"")</f>
        <v/>
      </c>
      <c r="B2289">
        <f>IF(A2289="","",'Employees'!C14)</f>
        <v/>
      </c>
      <c r="C2289">
        <f>IF(A2289="","",'Ratings'!C148)</f>
        <v/>
      </c>
      <c r="D2289">
        <f>IF(A2289="","",'Ratings'!D148)</f>
        <v/>
      </c>
      <c r="E2289">
        <f>IF(AND('Ratings'!A148&lt;&gt;"",'Ratings'!T5&lt;&gt;""),'Ratings'!T5,"")</f>
        <v/>
      </c>
      <c r="F2289">
        <f>IF(OR(A2289="",'Ratings'!T148=""),"",'Ratings'!T148)</f>
        <v/>
      </c>
      <c r="G2289">
        <f>IF(A2289="","",'Employees'!D14)</f>
        <v/>
      </c>
    </row>
    <row r="2290">
      <c r="A2290">
        <f>IF(AND('Ratings'!A149&lt;&gt;"",'Ratings'!E5&lt;&gt;""),'Ratings'!A149,"")</f>
        <v/>
      </c>
      <c r="B2290">
        <f>IF(A2290="","",'Employees'!C14)</f>
        <v/>
      </c>
      <c r="C2290">
        <f>IF(A2290="","",'Ratings'!C149)</f>
        <v/>
      </c>
      <c r="D2290">
        <f>IF(A2290="","",'Ratings'!D149)</f>
        <v/>
      </c>
      <c r="E2290">
        <f>IF(AND('Ratings'!A149&lt;&gt;"",'Ratings'!E5&lt;&gt;""),'Ratings'!E5,"")</f>
        <v/>
      </c>
      <c r="F2290">
        <f>IF(OR(A2290="",'Ratings'!E149=""),"",'Ratings'!E149)</f>
        <v/>
      </c>
      <c r="G2290">
        <f>IF(A2290="","",'Employees'!D14)</f>
        <v/>
      </c>
    </row>
    <row r="2291">
      <c r="A2291">
        <f>IF(AND('Ratings'!A149&lt;&gt;"",'Ratings'!F5&lt;&gt;""),'Ratings'!A149,"")</f>
        <v/>
      </c>
      <c r="B2291">
        <f>IF(A2291="","",'Employees'!C14)</f>
        <v/>
      </c>
      <c r="C2291">
        <f>IF(A2291="","",'Ratings'!C149)</f>
        <v/>
      </c>
      <c r="D2291">
        <f>IF(A2291="","",'Ratings'!D149)</f>
        <v/>
      </c>
      <c r="E2291">
        <f>IF(AND('Ratings'!A149&lt;&gt;"",'Ratings'!F5&lt;&gt;""),'Ratings'!F5,"")</f>
        <v/>
      </c>
      <c r="F2291">
        <f>IF(OR(A2291="",'Ratings'!F149=""),"",'Ratings'!F149)</f>
        <v/>
      </c>
      <c r="G2291">
        <f>IF(A2291="","",'Employees'!D14)</f>
        <v/>
      </c>
    </row>
    <row r="2292">
      <c r="A2292">
        <f>IF(AND('Ratings'!A149&lt;&gt;"",'Ratings'!G5&lt;&gt;""),'Ratings'!A149,"")</f>
        <v/>
      </c>
      <c r="B2292">
        <f>IF(A2292="","",'Employees'!C14)</f>
        <v/>
      </c>
      <c r="C2292">
        <f>IF(A2292="","",'Ratings'!C149)</f>
        <v/>
      </c>
      <c r="D2292">
        <f>IF(A2292="","",'Ratings'!D149)</f>
        <v/>
      </c>
      <c r="E2292">
        <f>IF(AND('Ratings'!A149&lt;&gt;"",'Ratings'!G5&lt;&gt;""),'Ratings'!G5,"")</f>
        <v/>
      </c>
      <c r="F2292">
        <f>IF(OR(A2292="",'Ratings'!G149=""),"",'Ratings'!G149)</f>
        <v/>
      </c>
      <c r="G2292">
        <f>IF(A2292="","",'Employees'!D14)</f>
        <v/>
      </c>
    </row>
    <row r="2293">
      <c r="A2293">
        <f>IF(AND('Ratings'!A149&lt;&gt;"",'Ratings'!H5&lt;&gt;""),'Ratings'!A149,"")</f>
        <v/>
      </c>
      <c r="B2293">
        <f>IF(A2293="","",'Employees'!C14)</f>
        <v/>
      </c>
      <c r="C2293">
        <f>IF(A2293="","",'Ratings'!C149)</f>
        <v/>
      </c>
      <c r="D2293">
        <f>IF(A2293="","",'Ratings'!D149)</f>
        <v/>
      </c>
      <c r="E2293">
        <f>IF(AND('Ratings'!A149&lt;&gt;"",'Ratings'!H5&lt;&gt;""),'Ratings'!H5,"")</f>
        <v/>
      </c>
      <c r="F2293">
        <f>IF(OR(A2293="",'Ratings'!H149=""),"",'Ratings'!H149)</f>
        <v/>
      </c>
      <c r="G2293">
        <f>IF(A2293="","",'Employees'!D14)</f>
        <v/>
      </c>
    </row>
    <row r="2294">
      <c r="A2294">
        <f>IF(AND('Ratings'!A149&lt;&gt;"",'Ratings'!I5&lt;&gt;""),'Ratings'!A149,"")</f>
        <v/>
      </c>
      <c r="B2294">
        <f>IF(A2294="","",'Employees'!C14)</f>
        <v/>
      </c>
      <c r="C2294">
        <f>IF(A2294="","",'Ratings'!C149)</f>
        <v/>
      </c>
      <c r="D2294">
        <f>IF(A2294="","",'Ratings'!D149)</f>
        <v/>
      </c>
      <c r="E2294">
        <f>IF(AND('Ratings'!A149&lt;&gt;"",'Ratings'!I5&lt;&gt;""),'Ratings'!I5,"")</f>
        <v/>
      </c>
      <c r="F2294">
        <f>IF(OR(A2294="",'Ratings'!I149=""),"",'Ratings'!I149)</f>
        <v/>
      </c>
      <c r="G2294">
        <f>IF(A2294="","",'Employees'!D14)</f>
        <v/>
      </c>
    </row>
    <row r="2295">
      <c r="A2295">
        <f>IF(AND('Ratings'!A149&lt;&gt;"",'Ratings'!J5&lt;&gt;""),'Ratings'!A149,"")</f>
        <v/>
      </c>
      <c r="B2295">
        <f>IF(A2295="","",'Employees'!C14)</f>
        <v/>
      </c>
      <c r="C2295">
        <f>IF(A2295="","",'Ratings'!C149)</f>
        <v/>
      </c>
      <c r="D2295">
        <f>IF(A2295="","",'Ratings'!D149)</f>
        <v/>
      </c>
      <c r="E2295">
        <f>IF(AND('Ratings'!A149&lt;&gt;"",'Ratings'!J5&lt;&gt;""),'Ratings'!J5,"")</f>
        <v/>
      </c>
      <c r="F2295">
        <f>IF(OR(A2295="",'Ratings'!J149=""),"",'Ratings'!J149)</f>
        <v/>
      </c>
      <c r="G2295">
        <f>IF(A2295="","",'Employees'!D14)</f>
        <v/>
      </c>
    </row>
    <row r="2296">
      <c r="A2296">
        <f>IF(AND('Ratings'!A149&lt;&gt;"",'Ratings'!K5&lt;&gt;""),'Ratings'!A149,"")</f>
        <v/>
      </c>
      <c r="B2296">
        <f>IF(A2296="","",'Employees'!C14)</f>
        <v/>
      </c>
      <c r="C2296">
        <f>IF(A2296="","",'Ratings'!C149)</f>
        <v/>
      </c>
      <c r="D2296">
        <f>IF(A2296="","",'Ratings'!D149)</f>
        <v/>
      </c>
      <c r="E2296">
        <f>IF(AND('Ratings'!A149&lt;&gt;"",'Ratings'!K5&lt;&gt;""),'Ratings'!K5,"")</f>
        <v/>
      </c>
      <c r="F2296">
        <f>IF(OR(A2296="",'Ratings'!K149=""),"",'Ratings'!K149)</f>
        <v/>
      </c>
      <c r="G2296">
        <f>IF(A2296="","",'Employees'!D14)</f>
        <v/>
      </c>
    </row>
    <row r="2297">
      <c r="A2297">
        <f>IF(AND('Ratings'!A149&lt;&gt;"",'Ratings'!L5&lt;&gt;""),'Ratings'!A149,"")</f>
        <v/>
      </c>
      <c r="B2297">
        <f>IF(A2297="","",'Employees'!C14)</f>
        <v/>
      </c>
      <c r="C2297">
        <f>IF(A2297="","",'Ratings'!C149)</f>
        <v/>
      </c>
      <c r="D2297">
        <f>IF(A2297="","",'Ratings'!D149)</f>
        <v/>
      </c>
      <c r="E2297">
        <f>IF(AND('Ratings'!A149&lt;&gt;"",'Ratings'!L5&lt;&gt;""),'Ratings'!L5,"")</f>
        <v/>
      </c>
      <c r="F2297">
        <f>IF(OR(A2297="",'Ratings'!L149=""),"",'Ratings'!L149)</f>
        <v/>
      </c>
      <c r="G2297">
        <f>IF(A2297="","",'Employees'!D14)</f>
        <v/>
      </c>
    </row>
    <row r="2298">
      <c r="A2298">
        <f>IF(AND('Ratings'!A149&lt;&gt;"",'Ratings'!M5&lt;&gt;""),'Ratings'!A149,"")</f>
        <v/>
      </c>
      <c r="B2298">
        <f>IF(A2298="","",'Employees'!C14)</f>
        <v/>
      </c>
      <c r="C2298">
        <f>IF(A2298="","",'Ratings'!C149)</f>
        <v/>
      </c>
      <c r="D2298">
        <f>IF(A2298="","",'Ratings'!D149)</f>
        <v/>
      </c>
      <c r="E2298">
        <f>IF(AND('Ratings'!A149&lt;&gt;"",'Ratings'!M5&lt;&gt;""),'Ratings'!M5,"")</f>
        <v/>
      </c>
      <c r="F2298">
        <f>IF(OR(A2298="",'Ratings'!M149=""),"",'Ratings'!M149)</f>
        <v/>
      </c>
      <c r="G2298">
        <f>IF(A2298="","",'Employees'!D14)</f>
        <v/>
      </c>
    </row>
    <row r="2299">
      <c r="A2299">
        <f>IF(AND('Ratings'!A149&lt;&gt;"",'Ratings'!N5&lt;&gt;""),'Ratings'!A149,"")</f>
        <v/>
      </c>
      <c r="B2299">
        <f>IF(A2299="","",'Employees'!C14)</f>
        <v/>
      </c>
      <c r="C2299">
        <f>IF(A2299="","",'Ratings'!C149)</f>
        <v/>
      </c>
      <c r="D2299">
        <f>IF(A2299="","",'Ratings'!D149)</f>
        <v/>
      </c>
      <c r="E2299">
        <f>IF(AND('Ratings'!A149&lt;&gt;"",'Ratings'!N5&lt;&gt;""),'Ratings'!N5,"")</f>
        <v/>
      </c>
      <c r="F2299">
        <f>IF(OR(A2299="",'Ratings'!N149=""),"",'Ratings'!N149)</f>
        <v/>
      </c>
      <c r="G2299">
        <f>IF(A2299="","",'Employees'!D14)</f>
        <v/>
      </c>
    </row>
    <row r="2300">
      <c r="A2300">
        <f>IF(AND('Ratings'!A149&lt;&gt;"",'Ratings'!O5&lt;&gt;""),'Ratings'!A149,"")</f>
        <v/>
      </c>
      <c r="B2300">
        <f>IF(A2300="","",'Employees'!C14)</f>
        <v/>
      </c>
      <c r="C2300">
        <f>IF(A2300="","",'Ratings'!C149)</f>
        <v/>
      </c>
      <c r="D2300">
        <f>IF(A2300="","",'Ratings'!D149)</f>
        <v/>
      </c>
      <c r="E2300">
        <f>IF(AND('Ratings'!A149&lt;&gt;"",'Ratings'!O5&lt;&gt;""),'Ratings'!O5,"")</f>
        <v/>
      </c>
      <c r="F2300">
        <f>IF(OR(A2300="",'Ratings'!O149=""),"",'Ratings'!O149)</f>
        <v/>
      </c>
      <c r="G2300">
        <f>IF(A2300="","",'Employees'!D14)</f>
        <v/>
      </c>
    </row>
    <row r="2301">
      <c r="A2301">
        <f>IF(AND('Ratings'!A149&lt;&gt;"",'Ratings'!P5&lt;&gt;""),'Ratings'!A149,"")</f>
        <v/>
      </c>
      <c r="B2301">
        <f>IF(A2301="","",'Employees'!C14)</f>
        <v/>
      </c>
      <c r="C2301">
        <f>IF(A2301="","",'Ratings'!C149)</f>
        <v/>
      </c>
      <c r="D2301">
        <f>IF(A2301="","",'Ratings'!D149)</f>
        <v/>
      </c>
      <c r="E2301">
        <f>IF(AND('Ratings'!A149&lt;&gt;"",'Ratings'!P5&lt;&gt;""),'Ratings'!P5,"")</f>
        <v/>
      </c>
      <c r="F2301">
        <f>IF(OR(A2301="",'Ratings'!P149=""),"",'Ratings'!P149)</f>
        <v/>
      </c>
      <c r="G2301">
        <f>IF(A2301="","",'Employees'!D14)</f>
        <v/>
      </c>
    </row>
    <row r="2302">
      <c r="A2302">
        <f>IF(AND('Ratings'!A149&lt;&gt;"",'Ratings'!Q5&lt;&gt;""),'Ratings'!A149,"")</f>
        <v/>
      </c>
      <c r="B2302">
        <f>IF(A2302="","",'Employees'!C14)</f>
        <v/>
      </c>
      <c r="C2302">
        <f>IF(A2302="","",'Ratings'!C149)</f>
        <v/>
      </c>
      <c r="D2302">
        <f>IF(A2302="","",'Ratings'!D149)</f>
        <v/>
      </c>
      <c r="E2302">
        <f>IF(AND('Ratings'!A149&lt;&gt;"",'Ratings'!Q5&lt;&gt;""),'Ratings'!Q5,"")</f>
        <v/>
      </c>
      <c r="F2302">
        <f>IF(OR(A2302="",'Ratings'!Q149=""),"",'Ratings'!Q149)</f>
        <v/>
      </c>
      <c r="G2302">
        <f>IF(A2302="","",'Employees'!D14)</f>
        <v/>
      </c>
    </row>
    <row r="2303">
      <c r="A2303">
        <f>IF(AND('Ratings'!A149&lt;&gt;"",'Ratings'!R5&lt;&gt;""),'Ratings'!A149,"")</f>
        <v/>
      </c>
      <c r="B2303">
        <f>IF(A2303="","",'Employees'!C14)</f>
        <v/>
      </c>
      <c r="C2303">
        <f>IF(A2303="","",'Ratings'!C149)</f>
        <v/>
      </c>
      <c r="D2303">
        <f>IF(A2303="","",'Ratings'!D149)</f>
        <v/>
      </c>
      <c r="E2303">
        <f>IF(AND('Ratings'!A149&lt;&gt;"",'Ratings'!R5&lt;&gt;""),'Ratings'!R5,"")</f>
        <v/>
      </c>
      <c r="F2303">
        <f>IF(OR(A2303="",'Ratings'!R149=""),"",'Ratings'!R149)</f>
        <v/>
      </c>
      <c r="G2303">
        <f>IF(A2303="","",'Employees'!D14)</f>
        <v/>
      </c>
    </row>
    <row r="2304">
      <c r="A2304">
        <f>IF(AND('Ratings'!A149&lt;&gt;"",'Ratings'!S5&lt;&gt;""),'Ratings'!A149,"")</f>
        <v/>
      </c>
      <c r="B2304">
        <f>IF(A2304="","",'Employees'!C14)</f>
        <v/>
      </c>
      <c r="C2304">
        <f>IF(A2304="","",'Ratings'!C149)</f>
        <v/>
      </c>
      <c r="D2304">
        <f>IF(A2304="","",'Ratings'!D149)</f>
        <v/>
      </c>
      <c r="E2304">
        <f>IF(AND('Ratings'!A149&lt;&gt;"",'Ratings'!S5&lt;&gt;""),'Ratings'!S5,"")</f>
        <v/>
      </c>
      <c r="F2304">
        <f>IF(OR(A2304="",'Ratings'!S149=""),"",'Ratings'!S149)</f>
        <v/>
      </c>
      <c r="G2304">
        <f>IF(A2304="","",'Employees'!D14)</f>
        <v/>
      </c>
    </row>
    <row r="2305">
      <c r="A2305">
        <f>IF(AND('Ratings'!A149&lt;&gt;"",'Ratings'!T5&lt;&gt;""),'Ratings'!A149,"")</f>
        <v/>
      </c>
      <c r="B2305">
        <f>IF(A2305="","",'Employees'!C14)</f>
        <v/>
      </c>
      <c r="C2305">
        <f>IF(A2305="","",'Ratings'!C149)</f>
        <v/>
      </c>
      <c r="D2305">
        <f>IF(A2305="","",'Ratings'!D149)</f>
        <v/>
      </c>
      <c r="E2305">
        <f>IF(AND('Ratings'!A149&lt;&gt;"",'Ratings'!T5&lt;&gt;""),'Ratings'!T5,"")</f>
        <v/>
      </c>
      <c r="F2305">
        <f>IF(OR(A2305="",'Ratings'!T149=""),"",'Ratings'!T149)</f>
        <v/>
      </c>
      <c r="G2305">
        <f>IF(A2305="","",'Employees'!D14)</f>
        <v/>
      </c>
    </row>
    <row r="2306">
      <c r="A2306">
        <f>IF(AND('Ratings'!A150&lt;&gt;"",'Ratings'!E5&lt;&gt;""),'Ratings'!A150,"")</f>
        <v/>
      </c>
      <c r="B2306">
        <f>IF(A2306="","",'Employees'!C15)</f>
        <v/>
      </c>
      <c r="C2306">
        <f>IF(A2306="","",'Ratings'!C150)</f>
        <v/>
      </c>
      <c r="D2306">
        <f>IF(A2306="","",'Ratings'!D150)</f>
        <v/>
      </c>
      <c r="E2306">
        <f>IF(AND('Ratings'!A150&lt;&gt;"",'Ratings'!E5&lt;&gt;""),'Ratings'!E5,"")</f>
        <v/>
      </c>
      <c r="F2306">
        <f>IF(OR(A2306="",'Ratings'!E150=""),"",'Ratings'!E150)</f>
        <v/>
      </c>
      <c r="G2306">
        <f>IF(A2306="","",'Employees'!D15)</f>
        <v/>
      </c>
    </row>
    <row r="2307">
      <c r="A2307">
        <f>IF(AND('Ratings'!A150&lt;&gt;"",'Ratings'!F5&lt;&gt;""),'Ratings'!A150,"")</f>
        <v/>
      </c>
      <c r="B2307">
        <f>IF(A2307="","",'Employees'!C15)</f>
        <v/>
      </c>
      <c r="C2307">
        <f>IF(A2307="","",'Ratings'!C150)</f>
        <v/>
      </c>
      <c r="D2307">
        <f>IF(A2307="","",'Ratings'!D150)</f>
        <v/>
      </c>
      <c r="E2307">
        <f>IF(AND('Ratings'!A150&lt;&gt;"",'Ratings'!F5&lt;&gt;""),'Ratings'!F5,"")</f>
        <v/>
      </c>
      <c r="F2307">
        <f>IF(OR(A2307="",'Ratings'!F150=""),"",'Ratings'!F150)</f>
        <v/>
      </c>
      <c r="G2307">
        <f>IF(A2307="","",'Employees'!D15)</f>
        <v/>
      </c>
    </row>
    <row r="2308">
      <c r="A2308">
        <f>IF(AND('Ratings'!A150&lt;&gt;"",'Ratings'!G5&lt;&gt;""),'Ratings'!A150,"")</f>
        <v/>
      </c>
      <c r="B2308">
        <f>IF(A2308="","",'Employees'!C15)</f>
        <v/>
      </c>
      <c r="C2308">
        <f>IF(A2308="","",'Ratings'!C150)</f>
        <v/>
      </c>
      <c r="D2308">
        <f>IF(A2308="","",'Ratings'!D150)</f>
        <v/>
      </c>
      <c r="E2308">
        <f>IF(AND('Ratings'!A150&lt;&gt;"",'Ratings'!G5&lt;&gt;""),'Ratings'!G5,"")</f>
        <v/>
      </c>
      <c r="F2308">
        <f>IF(OR(A2308="",'Ratings'!G150=""),"",'Ratings'!G150)</f>
        <v/>
      </c>
      <c r="G2308">
        <f>IF(A2308="","",'Employees'!D15)</f>
        <v/>
      </c>
    </row>
    <row r="2309">
      <c r="A2309">
        <f>IF(AND('Ratings'!A150&lt;&gt;"",'Ratings'!H5&lt;&gt;""),'Ratings'!A150,"")</f>
        <v/>
      </c>
      <c r="B2309">
        <f>IF(A2309="","",'Employees'!C15)</f>
        <v/>
      </c>
      <c r="C2309">
        <f>IF(A2309="","",'Ratings'!C150)</f>
        <v/>
      </c>
      <c r="D2309">
        <f>IF(A2309="","",'Ratings'!D150)</f>
        <v/>
      </c>
      <c r="E2309">
        <f>IF(AND('Ratings'!A150&lt;&gt;"",'Ratings'!H5&lt;&gt;""),'Ratings'!H5,"")</f>
        <v/>
      </c>
      <c r="F2309">
        <f>IF(OR(A2309="",'Ratings'!H150=""),"",'Ratings'!H150)</f>
        <v/>
      </c>
      <c r="G2309">
        <f>IF(A2309="","",'Employees'!D15)</f>
        <v/>
      </c>
    </row>
    <row r="2310">
      <c r="A2310">
        <f>IF(AND('Ratings'!A150&lt;&gt;"",'Ratings'!I5&lt;&gt;""),'Ratings'!A150,"")</f>
        <v/>
      </c>
      <c r="B2310">
        <f>IF(A2310="","",'Employees'!C15)</f>
        <v/>
      </c>
      <c r="C2310">
        <f>IF(A2310="","",'Ratings'!C150)</f>
        <v/>
      </c>
      <c r="D2310">
        <f>IF(A2310="","",'Ratings'!D150)</f>
        <v/>
      </c>
      <c r="E2310">
        <f>IF(AND('Ratings'!A150&lt;&gt;"",'Ratings'!I5&lt;&gt;""),'Ratings'!I5,"")</f>
        <v/>
      </c>
      <c r="F2310">
        <f>IF(OR(A2310="",'Ratings'!I150=""),"",'Ratings'!I150)</f>
        <v/>
      </c>
      <c r="G2310">
        <f>IF(A2310="","",'Employees'!D15)</f>
        <v/>
      </c>
    </row>
    <row r="2311">
      <c r="A2311">
        <f>IF(AND('Ratings'!A150&lt;&gt;"",'Ratings'!J5&lt;&gt;""),'Ratings'!A150,"")</f>
        <v/>
      </c>
      <c r="B2311">
        <f>IF(A2311="","",'Employees'!C15)</f>
        <v/>
      </c>
      <c r="C2311">
        <f>IF(A2311="","",'Ratings'!C150)</f>
        <v/>
      </c>
      <c r="D2311">
        <f>IF(A2311="","",'Ratings'!D150)</f>
        <v/>
      </c>
      <c r="E2311">
        <f>IF(AND('Ratings'!A150&lt;&gt;"",'Ratings'!J5&lt;&gt;""),'Ratings'!J5,"")</f>
        <v/>
      </c>
      <c r="F2311">
        <f>IF(OR(A2311="",'Ratings'!J150=""),"",'Ratings'!J150)</f>
        <v/>
      </c>
      <c r="G2311">
        <f>IF(A2311="","",'Employees'!D15)</f>
        <v/>
      </c>
    </row>
    <row r="2312">
      <c r="A2312">
        <f>IF(AND('Ratings'!A150&lt;&gt;"",'Ratings'!K5&lt;&gt;""),'Ratings'!A150,"")</f>
        <v/>
      </c>
      <c r="B2312">
        <f>IF(A2312="","",'Employees'!C15)</f>
        <v/>
      </c>
      <c r="C2312">
        <f>IF(A2312="","",'Ratings'!C150)</f>
        <v/>
      </c>
      <c r="D2312">
        <f>IF(A2312="","",'Ratings'!D150)</f>
        <v/>
      </c>
      <c r="E2312">
        <f>IF(AND('Ratings'!A150&lt;&gt;"",'Ratings'!K5&lt;&gt;""),'Ratings'!K5,"")</f>
        <v/>
      </c>
      <c r="F2312">
        <f>IF(OR(A2312="",'Ratings'!K150=""),"",'Ratings'!K150)</f>
        <v/>
      </c>
      <c r="G2312">
        <f>IF(A2312="","",'Employees'!D15)</f>
        <v/>
      </c>
    </row>
    <row r="2313">
      <c r="A2313">
        <f>IF(AND('Ratings'!A150&lt;&gt;"",'Ratings'!L5&lt;&gt;""),'Ratings'!A150,"")</f>
        <v/>
      </c>
      <c r="B2313">
        <f>IF(A2313="","",'Employees'!C15)</f>
        <v/>
      </c>
      <c r="C2313">
        <f>IF(A2313="","",'Ratings'!C150)</f>
        <v/>
      </c>
      <c r="D2313">
        <f>IF(A2313="","",'Ratings'!D150)</f>
        <v/>
      </c>
      <c r="E2313">
        <f>IF(AND('Ratings'!A150&lt;&gt;"",'Ratings'!L5&lt;&gt;""),'Ratings'!L5,"")</f>
        <v/>
      </c>
      <c r="F2313">
        <f>IF(OR(A2313="",'Ratings'!L150=""),"",'Ratings'!L150)</f>
        <v/>
      </c>
      <c r="G2313">
        <f>IF(A2313="","",'Employees'!D15)</f>
        <v/>
      </c>
    </row>
    <row r="2314">
      <c r="A2314">
        <f>IF(AND('Ratings'!A150&lt;&gt;"",'Ratings'!M5&lt;&gt;""),'Ratings'!A150,"")</f>
        <v/>
      </c>
      <c r="B2314">
        <f>IF(A2314="","",'Employees'!C15)</f>
        <v/>
      </c>
      <c r="C2314">
        <f>IF(A2314="","",'Ratings'!C150)</f>
        <v/>
      </c>
      <c r="D2314">
        <f>IF(A2314="","",'Ratings'!D150)</f>
        <v/>
      </c>
      <c r="E2314">
        <f>IF(AND('Ratings'!A150&lt;&gt;"",'Ratings'!M5&lt;&gt;""),'Ratings'!M5,"")</f>
        <v/>
      </c>
      <c r="F2314">
        <f>IF(OR(A2314="",'Ratings'!M150=""),"",'Ratings'!M150)</f>
        <v/>
      </c>
      <c r="G2314">
        <f>IF(A2314="","",'Employees'!D15)</f>
        <v/>
      </c>
    </row>
    <row r="2315">
      <c r="A2315">
        <f>IF(AND('Ratings'!A150&lt;&gt;"",'Ratings'!N5&lt;&gt;""),'Ratings'!A150,"")</f>
        <v/>
      </c>
      <c r="B2315">
        <f>IF(A2315="","",'Employees'!C15)</f>
        <v/>
      </c>
      <c r="C2315">
        <f>IF(A2315="","",'Ratings'!C150)</f>
        <v/>
      </c>
      <c r="D2315">
        <f>IF(A2315="","",'Ratings'!D150)</f>
        <v/>
      </c>
      <c r="E2315">
        <f>IF(AND('Ratings'!A150&lt;&gt;"",'Ratings'!N5&lt;&gt;""),'Ratings'!N5,"")</f>
        <v/>
      </c>
      <c r="F2315">
        <f>IF(OR(A2315="",'Ratings'!N150=""),"",'Ratings'!N150)</f>
        <v/>
      </c>
      <c r="G2315">
        <f>IF(A2315="","",'Employees'!D15)</f>
        <v/>
      </c>
    </row>
    <row r="2316">
      <c r="A2316">
        <f>IF(AND('Ratings'!A150&lt;&gt;"",'Ratings'!O5&lt;&gt;""),'Ratings'!A150,"")</f>
        <v/>
      </c>
      <c r="B2316">
        <f>IF(A2316="","",'Employees'!C15)</f>
        <v/>
      </c>
      <c r="C2316">
        <f>IF(A2316="","",'Ratings'!C150)</f>
        <v/>
      </c>
      <c r="D2316">
        <f>IF(A2316="","",'Ratings'!D150)</f>
        <v/>
      </c>
      <c r="E2316">
        <f>IF(AND('Ratings'!A150&lt;&gt;"",'Ratings'!O5&lt;&gt;""),'Ratings'!O5,"")</f>
        <v/>
      </c>
      <c r="F2316">
        <f>IF(OR(A2316="",'Ratings'!O150=""),"",'Ratings'!O150)</f>
        <v/>
      </c>
      <c r="G2316">
        <f>IF(A2316="","",'Employees'!D15)</f>
        <v/>
      </c>
    </row>
    <row r="2317">
      <c r="A2317">
        <f>IF(AND('Ratings'!A150&lt;&gt;"",'Ratings'!P5&lt;&gt;""),'Ratings'!A150,"")</f>
        <v/>
      </c>
      <c r="B2317">
        <f>IF(A2317="","",'Employees'!C15)</f>
        <v/>
      </c>
      <c r="C2317">
        <f>IF(A2317="","",'Ratings'!C150)</f>
        <v/>
      </c>
      <c r="D2317">
        <f>IF(A2317="","",'Ratings'!D150)</f>
        <v/>
      </c>
      <c r="E2317">
        <f>IF(AND('Ratings'!A150&lt;&gt;"",'Ratings'!P5&lt;&gt;""),'Ratings'!P5,"")</f>
        <v/>
      </c>
      <c r="F2317">
        <f>IF(OR(A2317="",'Ratings'!P150=""),"",'Ratings'!P150)</f>
        <v/>
      </c>
      <c r="G2317">
        <f>IF(A2317="","",'Employees'!D15)</f>
        <v/>
      </c>
    </row>
    <row r="2318">
      <c r="A2318">
        <f>IF(AND('Ratings'!A150&lt;&gt;"",'Ratings'!Q5&lt;&gt;""),'Ratings'!A150,"")</f>
        <v/>
      </c>
      <c r="B2318">
        <f>IF(A2318="","",'Employees'!C15)</f>
        <v/>
      </c>
      <c r="C2318">
        <f>IF(A2318="","",'Ratings'!C150)</f>
        <v/>
      </c>
      <c r="D2318">
        <f>IF(A2318="","",'Ratings'!D150)</f>
        <v/>
      </c>
      <c r="E2318">
        <f>IF(AND('Ratings'!A150&lt;&gt;"",'Ratings'!Q5&lt;&gt;""),'Ratings'!Q5,"")</f>
        <v/>
      </c>
      <c r="F2318">
        <f>IF(OR(A2318="",'Ratings'!Q150=""),"",'Ratings'!Q150)</f>
        <v/>
      </c>
      <c r="G2318">
        <f>IF(A2318="","",'Employees'!D15)</f>
        <v/>
      </c>
    </row>
    <row r="2319">
      <c r="A2319">
        <f>IF(AND('Ratings'!A150&lt;&gt;"",'Ratings'!R5&lt;&gt;""),'Ratings'!A150,"")</f>
        <v/>
      </c>
      <c r="B2319">
        <f>IF(A2319="","",'Employees'!C15)</f>
        <v/>
      </c>
      <c r="C2319">
        <f>IF(A2319="","",'Ratings'!C150)</f>
        <v/>
      </c>
      <c r="D2319">
        <f>IF(A2319="","",'Ratings'!D150)</f>
        <v/>
      </c>
      <c r="E2319">
        <f>IF(AND('Ratings'!A150&lt;&gt;"",'Ratings'!R5&lt;&gt;""),'Ratings'!R5,"")</f>
        <v/>
      </c>
      <c r="F2319">
        <f>IF(OR(A2319="",'Ratings'!R150=""),"",'Ratings'!R150)</f>
        <v/>
      </c>
      <c r="G2319">
        <f>IF(A2319="","",'Employees'!D15)</f>
        <v/>
      </c>
    </row>
    <row r="2320">
      <c r="A2320">
        <f>IF(AND('Ratings'!A150&lt;&gt;"",'Ratings'!S5&lt;&gt;""),'Ratings'!A150,"")</f>
        <v/>
      </c>
      <c r="B2320">
        <f>IF(A2320="","",'Employees'!C15)</f>
        <v/>
      </c>
      <c r="C2320">
        <f>IF(A2320="","",'Ratings'!C150)</f>
        <v/>
      </c>
      <c r="D2320">
        <f>IF(A2320="","",'Ratings'!D150)</f>
        <v/>
      </c>
      <c r="E2320">
        <f>IF(AND('Ratings'!A150&lt;&gt;"",'Ratings'!S5&lt;&gt;""),'Ratings'!S5,"")</f>
        <v/>
      </c>
      <c r="F2320">
        <f>IF(OR(A2320="",'Ratings'!S150=""),"",'Ratings'!S150)</f>
        <v/>
      </c>
      <c r="G2320">
        <f>IF(A2320="","",'Employees'!D15)</f>
        <v/>
      </c>
    </row>
    <row r="2321">
      <c r="A2321">
        <f>IF(AND('Ratings'!A150&lt;&gt;"",'Ratings'!T5&lt;&gt;""),'Ratings'!A150,"")</f>
        <v/>
      </c>
      <c r="B2321">
        <f>IF(A2321="","",'Employees'!C15)</f>
        <v/>
      </c>
      <c r="C2321">
        <f>IF(A2321="","",'Ratings'!C150)</f>
        <v/>
      </c>
      <c r="D2321">
        <f>IF(A2321="","",'Ratings'!D150)</f>
        <v/>
      </c>
      <c r="E2321">
        <f>IF(AND('Ratings'!A150&lt;&gt;"",'Ratings'!T5&lt;&gt;""),'Ratings'!T5,"")</f>
        <v/>
      </c>
      <c r="F2321">
        <f>IF(OR(A2321="",'Ratings'!T150=""),"",'Ratings'!T150)</f>
        <v/>
      </c>
      <c r="G2321">
        <f>IF(A2321="","",'Employees'!D15)</f>
        <v/>
      </c>
    </row>
    <row r="2322">
      <c r="A2322">
        <f>IF(AND('Ratings'!A151&lt;&gt;"",'Ratings'!E5&lt;&gt;""),'Ratings'!A151,"")</f>
        <v/>
      </c>
      <c r="B2322">
        <f>IF(A2322="","",'Employees'!C15)</f>
        <v/>
      </c>
      <c r="C2322">
        <f>IF(A2322="","",'Ratings'!C151)</f>
        <v/>
      </c>
      <c r="D2322">
        <f>IF(A2322="","",'Ratings'!D151)</f>
        <v/>
      </c>
      <c r="E2322">
        <f>IF(AND('Ratings'!A151&lt;&gt;"",'Ratings'!E5&lt;&gt;""),'Ratings'!E5,"")</f>
        <v/>
      </c>
      <c r="F2322">
        <f>IF(OR(A2322="",'Ratings'!E151=""),"",'Ratings'!E151)</f>
        <v/>
      </c>
      <c r="G2322">
        <f>IF(A2322="","",'Employees'!D15)</f>
        <v/>
      </c>
    </row>
    <row r="2323">
      <c r="A2323">
        <f>IF(AND('Ratings'!A151&lt;&gt;"",'Ratings'!F5&lt;&gt;""),'Ratings'!A151,"")</f>
        <v/>
      </c>
      <c r="B2323">
        <f>IF(A2323="","",'Employees'!C15)</f>
        <v/>
      </c>
      <c r="C2323">
        <f>IF(A2323="","",'Ratings'!C151)</f>
        <v/>
      </c>
      <c r="D2323">
        <f>IF(A2323="","",'Ratings'!D151)</f>
        <v/>
      </c>
      <c r="E2323">
        <f>IF(AND('Ratings'!A151&lt;&gt;"",'Ratings'!F5&lt;&gt;""),'Ratings'!F5,"")</f>
        <v/>
      </c>
      <c r="F2323">
        <f>IF(OR(A2323="",'Ratings'!F151=""),"",'Ratings'!F151)</f>
        <v/>
      </c>
      <c r="G2323">
        <f>IF(A2323="","",'Employees'!D15)</f>
        <v/>
      </c>
    </row>
    <row r="2324">
      <c r="A2324">
        <f>IF(AND('Ratings'!A151&lt;&gt;"",'Ratings'!G5&lt;&gt;""),'Ratings'!A151,"")</f>
        <v/>
      </c>
      <c r="B2324">
        <f>IF(A2324="","",'Employees'!C15)</f>
        <v/>
      </c>
      <c r="C2324">
        <f>IF(A2324="","",'Ratings'!C151)</f>
        <v/>
      </c>
      <c r="D2324">
        <f>IF(A2324="","",'Ratings'!D151)</f>
        <v/>
      </c>
      <c r="E2324">
        <f>IF(AND('Ratings'!A151&lt;&gt;"",'Ratings'!G5&lt;&gt;""),'Ratings'!G5,"")</f>
        <v/>
      </c>
      <c r="F2324">
        <f>IF(OR(A2324="",'Ratings'!G151=""),"",'Ratings'!G151)</f>
        <v/>
      </c>
      <c r="G2324">
        <f>IF(A2324="","",'Employees'!D15)</f>
        <v/>
      </c>
    </row>
    <row r="2325">
      <c r="A2325">
        <f>IF(AND('Ratings'!A151&lt;&gt;"",'Ratings'!H5&lt;&gt;""),'Ratings'!A151,"")</f>
        <v/>
      </c>
      <c r="B2325">
        <f>IF(A2325="","",'Employees'!C15)</f>
        <v/>
      </c>
      <c r="C2325">
        <f>IF(A2325="","",'Ratings'!C151)</f>
        <v/>
      </c>
      <c r="D2325">
        <f>IF(A2325="","",'Ratings'!D151)</f>
        <v/>
      </c>
      <c r="E2325">
        <f>IF(AND('Ratings'!A151&lt;&gt;"",'Ratings'!H5&lt;&gt;""),'Ratings'!H5,"")</f>
        <v/>
      </c>
      <c r="F2325">
        <f>IF(OR(A2325="",'Ratings'!H151=""),"",'Ratings'!H151)</f>
        <v/>
      </c>
      <c r="G2325">
        <f>IF(A2325="","",'Employees'!D15)</f>
        <v/>
      </c>
    </row>
    <row r="2326">
      <c r="A2326">
        <f>IF(AND('Ratings'!A151&lt;&gt;"",'Ratings'!I5&lt;&gt;""),'Ratings'!A151,"")</f>
        <v/>
      </c>
      <c r="B2326">
        <f>IF(A2326="","",'Employees'!C15)</f>
        <v/>
      </c>
      <c r="C2326">
        <f>IF(A2326="","",'Ratings'!C151)</f>
        <v/>
      </c>
      <c r="D2326">
        <f>IF(A2326="","",'Ratings'!D151)</f>
        <v/>
      </c>
      <c r="E2326">
        <f>IF(AND('Ratings'!A151&lt;&gt;"",'Ratings'!I5&lt;&gt;""),'Ratings'!I5,"")</f>
        <v/>
      </c>
      <c r="F2326">
        <f>IF(OR(A2326="",'Ratings'!I151=""),"",'Ratings'!I151)</f>
        <v/>
      </c>
      <c r="G2326">
        <f>IF(A2326="","",'Employees'!D15)</f>
        <v/>
      </c>
    </row>
    <row r="2327">
      <c r="A2327">
        <f>IF(AND('Ratings'!A151&lt;&gt;"",'Ratings'!J5&lt;&gt;""),'Ratings'!A151,"")</f>
        <v/>
      </c>
      <c r="B2327">
        <f>IF(A2327="","",'Employees'!C15)</f>
        <v/>
      </c>
      <c r="C2327">
        <f>IF(A2327="","",'Ratings'!C151)</f>
        <v/>
      </c>
      <c r="D2327">
        <f>IF(A2327="","",'Ratings'!D151)</f>
        <v/>
      </c>
      <c r="E2327">
        <f>IF(AND('Ratings'!A151&lt;&gt;"",'Ratings'!J5&lt;&gt;""),'Ratings'!J5,"")</f>
        <v/>
      </c>
      <c r="F2327">
        <f>IF(OR(A2327="",'Ratings'!J151=""),"",'Ratings'!J151)</f>
        <v/>
      </c>
      <c r="G2327">
        <f>IF(A2327="","",'Employees'!D15)</f>
        <v/>
      </c>
    </row>
    <row r="2328">
      <c r="A2328">
        <f>IF(AND('Ratings'!A151&lt;&gt;"",'Ratings'!K5&lt;&gt;""),'Ratings'!A151,"")</f>
        <v/>
      </c>
      <c r="B2328">
        <f>IF(A2328="","",'Employees'!C15)</f>
        <v/>
      </c>
      <c r="C2328">
        <f>IF(A2328="","",'Ratings'!C151)</f>
        <v/>
      </c>
      <c r="D2328">
        <f>IF(A2328="","",'Ratings'!D151)</f>
        <v/>
      </c>
      <c r="E2328">
        <f>IF(AND('Ratings'!A151&lt;&gt;"",'Ratings'!K5&lt;&gt;""),'Ratings'!K5,"")</f>
        <v/>
      </c>
      <c r="F2328">
        <f>IF(OR(A2328="",'Ratings'!K151=""),"",'Ratings'!K151)</f>
        <v/>
      </c>
      <c r="G2328">
        <f>IF(A2328="","",'Employees'!D15)</f>
        <v/>
      </c>
    </row>
    <row r="2329">
      <c r="A2329">
        <f>IF(AND('Ratings'!A151&lt;&gt;"",'Ratings'!L5&lt;&gt;""),'Ratings'!A151,"")</f>
        <v/>
      </c>
      <c r="B2329">
        <f>IF(A2329="","",'Employees'!C15)</f>
        <v/>
      </c>
      <c r="C2329">
        <f>IF(A2329="","",'Ratings'!C151)</f>
        <v/>
      </c>
      <c r="D2329">
        <f>IF(A2329="","",'Ratings'!D151)</f>
        <v/>
      </c>
      <c r="E2329">
        <f>IF(AND('Ratings'!A151&lt;&gt;"",'Ratings'!L5&lt;&gt;""),'Ratings'!L5,"")</f>
        <v/>
      </c>
      <c r="F2329">
        <f>IF(OR(A2329="",'Ratings'!L151=""),"",'Ratings'!L151)</f>
        <v/>
      </c>
      <c r="G2329">
        <f>IF(A2329="","",'Employees'!D15)</f>
        <v/>
      </c>
    </row>
    <row r="2330">
      <c r="A2330">
        <f>IF(AND('Ratings'!A151&lt;&gt;"",'Ratings'!M5&lt;&gt;""),'Ratings'!A151,"")</f>
        <v/>
      </c>
      <c r="B2330">
        <f>IF(A2330="","",'Employees'!C15)</f>
        <v/>
      </c>
      <c r="C2330">
        <f>IF(A2330="","",'Ratings'!C151)</f>
        <v/>
      </c>
      <c r="D2330">
        <f>IF(A2330="","",'Ratings'!D151)</f>
        <v/>
      </c>
      <c r="E2330">
        <f>IF(AND('Ratings'!A151&lt;&gt;"",'Ratings'!M5&lt;&gt;""),'Ratings'!M5,"")</f>
        <v/>
      </c>
      <c r="F2330">
        <f>IF(OR(A2330="",'Ratings'!M151=""),"",'Ratings'!M151)</f>
        <v/>
      </c>
      <c r="G2330">
        <f>IF(A2330="","",'Employees'!D15)</f>
        <v/>
      </c>
    </row>
    <row r="2331">
      <c r="A2331">
        <f>IF(AND('Ratings'!A151&lt;&gt;"",'Ratings'!N5&lt;&gt;""),'Ratings'!A151,"")</f>
        <v/>
      </c>
      <c r="B2331">
        <f>IF(A2331="","",'Employees'!C15)</f>
        <v/>
      </c>
      <c r="C2331">
        <f>IF(A2331="","",'Ratings'!C151)</f>
        <v/>
      </c>
      <c r="D2331">
        <f>IF(A2331="","",'Ratings'!D151)</f>
        <v/>
      </c>
      <c r="E2331">
        <f>IF(AND('Ratings'!A151&lt;&gt;"",'Ratings'!N5&lt;&gt;""),'Ratings'!N5,"")</f>
        <v/>
      </c>
      <c r="F2331">
        <f>IF(OR(A2331="",'Ratings'!N151=""),"",'Ratings'!N151)</f>
        <v/>
      </c>
      <c r="G2331">
        <f>IF(A2331="","",'Employees'!D15)</f>
        <v/>
      </c>
    </row>
    <row r="2332">
      <c r="A2332">
        <f>IF(AND('Ratings'!A151&lt;&gt;"",'Ratings'!O5&lt;&gt;""),'Ratings'!A151,"")</f>
        <v/>
      </c>
      <c r="B2332">
        <f>IF(A2332="","",'Employees'!C15)</f>
        <v/>
      </c>
      <c r="C2332">
        <f>IF(A2332="","",'Ratings'!C151)</f>
        <v/>
      </c>
      <c r="D2332">
        <f>IF(A2332="","",'Ratings'!D151)</f>
        <v/>
      </c>
      <c r="E2332">
        <f>IF(AND('Ratings'!A151&lt;&gt;"",'Ratings'!O5&lt;&gt;""),'Ratings'!O5,"")</f>
        <v/>
      </c>
      <c r="F2332">
        <f>IF(OR(A2332="",'Ratings'!O151=""),"",'Ratings'!O151)</f>
        <v/>
      </c>
      <c r="G2332">
        <f>IF(A2332="","",'Employees'!D15)</f>
        <v/>
      </c>
    </row>
    <row r="2333">
      <c r="A2333">
        <f>IF(AND('Ratings'!A151&lt;&gt;"",'Ratings'!P5&lt;&gt;""),'Ratings'!A151,"")</f>
        <v/>
      </c>
      <c r="B2333">
        <f>IF(A2333="","",'Employees'!C15)</f>
        <v/>
      </c>
      <c r="C2333">
        <f>IF(A2333="","",'Ratings'!C151)</f>
        <v/>
      </c>
      <c r="D2333">
        <f>IF(A2333="","",'Ratings'!D151)</f>
        <v/>
      </c>
      <c r="E2333">
        <f>IF(AND('Ratings'!A151&lt;&gt;"",'Ratings'!P5&lt;&gt;""),'Ratings'!P5,"")</f>
        <v/>
      </c>
      <c r="F2333">
        <f>IF(OR(A2333="",'Ratings'!P151=""),"",'Ratings'!P151)</f>
        <v/>
      </c>
      <c r="G2333">
        <f>IF(A2333="","",'Employees'!D15)</f>
        <v/>
      </c>
    </row>
    <row r="2334">
      <c r="A2334">
        <f>IF(AND('Ratings'!A151&lt;&gt;"",'Ratings'!Q5&lt;&gt;""),'Ratings'!A151,"")</f>
        <v/>
      </c>
      <c r="B2334">
        <f>IF(A2334="","",'Employees'!C15)</f>
        <v/>
      </c>
      <c r="C2334">
        <f>IF(A2334="","",'Ratings'!C151)</f>
        <v/>
      </c>
      <c r="D2334">
        <f>IF(A2334="","",'Ratings'!D151)</f>
        <v/>
      </c>
      <c r="E2334">
        <f>IF(AND('Ratings'!A151&lt;&gt;"",'Ratings'!Q5&lt;&gt;""),'Ratings'!Q5,"")</f>
        <v/>
      </c>
      <c r="F2334">
        <f>IF(OR(A2334="",'Ratings'!Q151=""),"",'Ratings'!Q151)</f>
        <v/>
      </c>
      <c r="G2334">
        <f>IF(A2334="","",'Employees'!D15)</f>
        <v/>
      </c>
    </row>
    <row r="2335">
      <c r="A2335">
        <f>IF(AND('Ratings'!A151&lt;&gt;"",'Ratings'!R5&lt;&gt;""),'Ratings'!A151,"")</f>
        <v/>
      </c>
      <c r="B2335">
        <f>IF(A2335="","",'Employees'!C15)</f>
        <v/>
      </c>
      <c r="C2335">
        <f>IF(A2335="","",'Ratings'!C151)</f>
        <v/>
      </c>
      <c r="D2335">
        <f>IF(A2335="","",'Ratings'!D151)</f>
        <v/>
      </c>
      <c r="E2335">
        <f>IF(AND('Ratings'!A151&lt;&gt;"",'Ratings'!R5&lt;&gt;""),'Ratings'!R5,"")</f>
        <v/>
      </c>
      <c r="F2335">
        <f>IF(OR(A2335="",'Ratings'!R151=""),"",'Ratings'!R151)</f>
        <v/>
      </c>
      <c r="G2335">
        <f>IF(A2335="","",'Employees'!D15)</f>
        <v/>
      </c>
    </row>
    <row r="2336">
      <c r="A2336">
        <f>IF(AND('Ratings'!A151&lt;&gt;"",'Ratings'!S5&lt;&gt;""),'Ratings'!A151,"")</f>
        <v/>
      </c>
      <c r="B2336">
        <f>IF(A2336="","",'Employees'!C15)</f>
        <v/>
      </c>
      <c r="C2336">
        <f>IF(A2336="","",'Ratings'!C151)</f>
        <v/>
      </c>
      <c r="D2336">
        <f>IF(A2336="","",'Ratings'!D151)</f>
        <v/>
      </c>
      <c r="E2336">
        <f>IF(AND('Ratings'!A151&lt;&gt;"",'Ratings'!S5&lt;&gt;""),'Ratings'!S5,"")</f>
        <v/>
      </c>
      <c r="F2336">
        <f>IF(OR(A2336="",'Ratings'!S151=""),"",'Ratings'!S151)</f>
        <v/>
      </c>
      <c r="G2336">
        <f>IF(A2336="","",'Employees'!D15)</f>
        <v/>
      </c>
    </row>
    <row r="2337">
      <c r="A2337">
        <f>IF(AND('Ratings'!A151&lt;&gt;"",'Ratings'!T5&lt;&gt;""),'Ratings'!A151,"")</f>
        <v/>
      </c>
      <c r="B2337">
        <f>IF(A2337="","",'Employees'!C15)</f>
        <v/>
      </c>
      <c r="C2337">
        <f>IF(A2337="","",'Ratings'!C151)</f>
        <v/>
      </c>
      <c r="D2337">
        <f>IF(A2337="","",'Ratings'!D151)</f>
        <v/>
      </c>
      <c r="E2337">
        <f>IF(AND('Ratings'!A151&lt;&gt;"",'Ratings'!T5&lt;&gt;""),'Ratings'!T5,"")</f>
        <v/>
      </c>
      <c r="F2337">
        <f>IF(OR(A2337="",'Ratings'!T151=""),"",'Ratings'!T151)</f>
        <v/>
      </c>
      <c r="G2337">
        <f>IF(A2337="","",'Employees'!D15)</f>
        <v/>
      </c>
    </row>
    <row r="2338">
      <c r="A2338">
        <f>IF(AND('Ratings'!A152&lt;&gt;"",'Ratings'!E5&lt;&gt;""),'Ratings'!A152,"")</f>
        <v/>
      </c>
      <c r="B2338">
        <f>IF(A2338="","",'Employees'!C15)</f>
        <v/>
      </c>
      <c r="C2338">
        <f>IF(A2338="","",'Ratings'!C152)</f>
        <v/>
      </c>
      <c r="D2338">
        <f>IF(A2338="","",'Ratings'!D152)</f>
        <v/>
      </c>
      <c r="E2338">
        <f>IF(AND('Ratings'!A152&lt;&gt;"",'Ratings'!E5&lt;&gt;""),'Ratings'!E5,"")</f>
        <v/>
      </c>
      <c r="F2338">
        <f>IF(OR(A2338="",'Ratings'!E152=""),"",'Ratings'!E152)</f>
        <v/>
      </c>
      <c r="G2338">
        <f>IF(A2338="","",'Employees'!D15)</f>
        <v/>
      </c>
    </row>
    <row r="2339">
      <c r="A2339">
        <f>IF(AND('Ratings'!A152&lt;&gt;"",'Ratings'!F5&lt;&gt;""),'Ratings'!A152,"")</f>
        <v/>
      </c>
      <c r="B2339">
        <f>IF(A2339="","",'Employees'!C15)</f>
        <v/>
      </c>
      <c r="C2339">
        <f>IF(A2339="","",'Ratings'!C152)</f>
        <v/>
      </c>
      <c r="D2339">
        <f>IF(A2339="","",'Ratings'!D152)</f>
        <v/>
      </c>
      <c r="E2339">
        <f>IF(AND('Ratings'!A152&lt;&gt;"",'Ratings'!F5&lt;&gt;""),'Ratings'!F5,"")</f>
        <v/>
      </c>
      <c r="F2339">
        <f>IF(OR(A2339="",'Ratings'!F152=""),"",'Ratings'!F152)</f>
        <v/>
      </c>
      <c r="G2339">
        <f>IF(A2339="","",'Employees'!D15)</f>
        <v/>
      </c>
    </row>
    <row r="2340">
      <c r="A2340">
        <f>IF(AND('Ratings'!A152&lt;&gt;"",'Ratings'!G5&lt;&gt;""),'Ratings'!A152,"")</f>
        <v/>
      </c>
      <c r="B2340">
        <f>IF(A2340="","",'Employees'!C15)</f>
        <v/>
      </c>
      <c r="C2340">
        <f>IF(A2340="","",'Ratings'!C152)</f>
        <v/>
      </c>
      <c r="D2340">
        <f>IF(A2340="","",'Ratings'!D152)</f>
        <v/>
      </c>
      <c r="E2340">
        <f>IF(AND('Ratings'!A152&lt;&gt;"",'Ratings'!G5&lt;&gt;""),'Ratings'!G5,"")</f>
        <v/>
      </c>
      <c r="F2340">
        <f>IF(OR(A2340="",'Ratings'!G152=""),"",'Ratings'!G152)</f>
        <v/>
      </c>
      <c r="G2340">
        <f>IF(A2340="","",'Employees'!D15)</f>
        <v/>
      </c>
    </row>
    <row r="2341">
      <c r="A2341">
        <f>IF(AND('Ratings'!A152&lt;&gt;"",'Ratings'!H5&lt;&gt;""),'Ratings'!A152,"")</f>
        <v/>
      </c>
      <c r="B2341">
        <f>IF(A2341="","",'Employees'!C15)</f>
        <v/>
      </c>
      <c r="C2341">
        <f>IF(A2341="","",'Ratings'!C152)</f>
        <v/>
      </c>
      <c r="D2341">
        <f>IF(A2341="","",'Ratings'!D152)</f>
        <v/>
      </c>
      <c r="E2341">
        <f>IF(AND('Ratings'!A152&lt;&gt;"",'Ratings'!H5&lt;&gt;""),'Ratings'!H5,"")</f>
        <v/>
      </c>
      <c r="F2341">
        <f>IF(OR(A2341="",'Ratings'!H152=""),"",'Ratings'!H152)</f>
        <v/>
      </c>
      <c r="G2341">
        <f>IF(A2341="","",'Employees'!D15)</f>
        <v/>
      </c>
    </row>
    <row r="2342">
      <c r="A2342">
        <f>IF(AND('Ratings'!A152&lt;&gt;"",'Ratings'!I5&lt;&gt;""),'Ratings'!A152,"")</f>
        <v/>
      </c>
      <c r="B2342">
        <f>IF(A2342="","",'Employees'!C15)</f>
        <v/>
      </c>
      <c r="C2342">
        <f>IF(A2342="","",'Ratings'!C152)</f>
        <v/>
      </c>
      <c r="D2342">
        <f>IF(A2342="","",'Ratings'!D152)</f>
        <v/>
      </c>
      <c r="E2342">
        <f>IF(AND('Ratings'!A152&lt;&gt;"",'Ratings'!I5&lt;&gt;""),'Ratings'!I5,"")</f>
        <v/>
      </c>
      <c r="F2342">
        <f>IF(OR(A2342="",'Ratings'!I152=""),"",'Ratings'!I152)</f>
        <v/>
      </c>
      <c r="G2342">
        <f>IF(A2342="","",'Employees'!D15)</f>
        <v/>
      </c>
    </row>
    <row r="2343">
      <c r="A2343">
        <f>IF(AND('Ratings'!A152&lt;&gt;"",'Ratings'!J5&lt;&gt;""),'Ratings'!A152,"")</f>
        <v/>
      </c>
      <c r="B2343">
        <f>IF(A2343="","",'Employees'!C15)</f>
        <v/>
      </c>
      <c r="C2343">
        <f>IF(A2343="","",'Ratings'!C152)</f>
        <v/>
      </c>
      <c r="D2343">
        <f>IF(A2343="","",'Ratings'!D152)</f>
        <v/>
      </c>
      <c r="E2343">
        <f>IF(AND('Ratings'!A152&lt;&gt;"",'Ratings'!J5&lt;&gt;""),'Ratings'!J5,"")</f>
        <v/>
      </c>
      <c r="F2343">
        <f>IF(OR(A2343="",'Ratings'!J152=""),"",'Ratings'!J152)</f>
        <v/>
      </c>
      <c r="G2343">
        <f>IF(A2343="","",'Employees'!D15)</f>
        <v/>
      </c>
    </row>
    <row r="2344">
      <c r="A2344">
        <f>IF(AND('Ratings'!A152&lt;&gt;"",'Ratings'!K5&lt;&gt;""),'Ratings'!A152,"")</f>
        <v/>
      </c>
      <c r="B2344">
        <f>IF(A2344="","",'Employees'!C15)</f>
        <v/>
      </c>
      <c r="C2344">
        <f>IF(A2344="","",'Ratings'!C152)</f>
        <v/>
      </c>
      <c r="D2344">
        <f>IF(A2344="","",'Ratings'!D152)</f>
        <v/>
      </c>
      <c r="E2344">
        <f>IF(AND('Ratings'!A152&lt;&gt;"",'Ratings'!K5&lt;&gt;""),'Ratings'!K5,"")</f>
        <v/>
      </c>
      <c r="F2344">
        <f>IF(OR(A2344="",'Ratings'!K152=""),"",'Ratings'!K152)</f>
        <v/>
      </c>
      <c r="G2344">
        <f>IF(A2344="","",'Employees'!D15)</f>
        <v/>
      </c>
    </row>
    <row r="2345">
      <c r="A2345">
        <f>IF(AND('Ratings'!A152&lt;&gt;"",'Ratings'!L5&lt;&gt;""),'Ratings'!A152,"")</f>
        <v/>
      </c>
      <c r="B2345">
        <f>IF(A2345="","",'Employees'!C15)</f>
        <v/>
      </c>
      <c r="C2345">
        <f>IF(A2345="","",'Ratings'!C152)</f>
        <v/>
      </c>
      <c r="D2345">
        <f>IF(A2345="","",'Ratings'!D152)</f>
        <v/>
      </c>
      <c r="E2345">
        <f>IF(AND('Ratings'!A152&lt;&gt;"",'Ratings'!L5&lt;&gt;""),'Ratings'!L5,"")</f>
        <v/>
      </c>
      <c r="F2345">
        <f>IF(OR(A2345="",'Ratings'!L152=""),"",'Ratings'!L152)</f>
        <v/>
      </c>
      <c r="G2345">
        <f>IF(A2345="","",'Employees'!D15)</f>
        <v/>
      </c>
    </row>
    <row r="2346">
      <c r="A2346">
        <f>IF(AND('Ratings'!A152&lt;&gt;"",'Ratings'!M5&lt;&gt;""),'Ratings'!A152,"")</f>
        <v/>
      </c>
      <c r="B2346">
        <f>IF(A2346="","",'Employees'!C15)</f>
        <v/>
      </c>
      <c r="C2346">
        <f>IF(A2346="","",'Ratings'!C152)</f>
        <v/>
      </c>
      <c r="D2346">
        <f>IF(A2346="","",'Ratings'!D152)</f>
        <v/>
      </c>
      <c r="E2346">
        <f>IF(AND('Ratings'!A152&lt;&gt;"",'Ratings'!M5&lt;&gt;""),'Ratings'!M5,"")</f>
        <v/>
      </c>
      <c r="F2346">
        <f>IF(OR(A2346="",'Ratings'!M152=""),"",'Ratings'!M152)</f>
        <v/>
      </c>
      <c r="G2346">
        <f>IF(A2346="","",'Employees'!D15)</f>
        <v/>
      </c>
    </row>
    <row r="2347">
      <c r="A2347">
        <f>IF(AND('Ratings'!A152&lt;&gt;"",'Ratings'!N5&lt;&gt;""),'Ratings'!A152,"")</f>
        <v/>
      </c>
      <c r="B2347">
        <f>IF(A2347="","",'Employees'!C15)</f>
        <v/>
      </c>
      <c r="C2347">
        <f>IF(A2347="","",'Ratings'!C152)</f>
        <v/>
      </c>
      <c r="D2347">
        <f>IF(A2347="","",'Ratings'!D152)</f>
        <v/>
      </c>
      <c r="E2347">
        <f>IF(AND('Ratings'!A152&lt;&gt;"",'Ratings'!N5&lt;&gt;""),'Ratings'!N5,"")</f>
        <v/>
      </c>
      <c r="F2347">
        <f>IF(OR(A2347="",'Ratings'!N152=""),"",'Ratings'!N152)</f>
        <v/>
      </c>
      <c r="G2347">
        <f>IF(A2347="","",'Employees'!D15)</f>
        <v/>
      </c>
    </row>
    <row r="2348">
      <c r="A2348">
        <f>IF(AND('Ratings'!A152&lt;&gt;"",'Ratings'!O5&lt;&gt;""),'Ratings'!A152,"")</f>
        <v/>
      </c>
      <c r="B2348">
        <f>IF(A2348="","",'Employees'!C15)</f>
        <v/>
      </c>
      <c r="C2348">
        <f>IF(A2348="","",'Ratings'!C152)</f>
        <v/>
      </c>
      <c r="D2348">
        <f>IF(A2348="","",'Ratings'!D152)</f>
        <v/>
      </c>
      <c r="E2348">
        <f>IF(AND('Ratings'!A152&lt;&gt;"",'Ratings'!O5&lt;&gt;""),'Ratings'!O5,"")</f>
        <v/>
      </c>
      <c r="F2348">
        <f>IF(OR(A2348="",'Ratings'!O152=""),"",'Ratings'!O152)</f>
        <v/>
      </c>
      <c r="G2348">
        <f>IF(A2348="","",'Employees'!D15)</f>
        <v/>
      </c>
    </row>
    <row r="2349">
      <c r="A2349">
        <f>IF(AND('Ratings'!A152&lt;&gt;"",'Ratings'!P5&lt;&gt;""),'Ratings'!A152,"")</f>
        <v/>
      </c>
      <c r="B2349">
        <f>IF(A2349="","",'Employees'!C15)</f>
        <v/>
      </c>
      <c r="C2349">
        <f>IF(A2349="","",'Ratings'!C152)</f>
        <v/>
      </c>
      <c r="D2349">
        <f>IF(A2349="","",'Ratings'!D152)</f>
        <v/>
      </c>
      <c r="E2349">
        <f>IF(AND('Ratings'!A152&lt;&gt;"",'Ratings'!P5&lt;&gt;""),'Ratings'!P5,"")</f>
        <v/>
      </c>
      <c r="F2349">
        <f>IF(OR(A2349="",'Ratings'!P152=""),"",'Ratings'!P152)</f>
        <v/>
      </c>
      <c r="G2349">
        <f>IF(A2349="","",'Employees'!D15)</f>
        <v/>
      </c>
    </row>
    <row r="2350">
      <c r="A2350">
        <f>IF(AND('Ratings'!A152&lt;&gt;"",'Ratings'!Q5&lt;&gt;""),'Ratings'!A152,"")</f>
        <v/>
      </c>
      <c r="B2350">
        <f>IF(A2350="","",'Employees'!C15)</f>
        <v/>
      </c>
      <c r="C2350">
        <f>IF(A2350="","",'Ratings'!C152)</f>
        <v/>
      </c>
      <c r="D2350">
        <f>IF(A2350="","",'Ratings'!D152)</f>
        <v/>
      </c>
      <c r="E2350">
        <f>IF(AND('Ratings'!A152&lt;&gt;"",'Ratings'!Q5&lt;&gt;""),'Ratings'!Q5,"")</f>
        <v/>
      </c>
      <c r="F2350">
        <f>IF(OR(A2350="",'Ratings'!Q152=""),"",'Ratings'!Q152)</f>
        <v/>
      </c>
      <c r="G2350">
        <f>IF(A2350="","",'Employees'!D15)</f>
        <v/>
      </c>
    </row>
    <row r="2351">
      <c r="A2351">
        <f>IF(AND('Ratings'!A152&lt;&gt;"",'Ratings'!R5&lt;&gt;""),'Ratings'!A152,"")</f>
        <v/>
      </c>
      <c r="B2351">
        <f>IF(A2351="","",'Employees'!C15)</f>
        <v/>
      </c>
      <c r="C2351">
        <f>IF(A2351="","",'Ratings'!C152)</f>
        <v/>
      </c>
      <c r="D2351">
        <f>IF(A2351="","",'Ratings'!D152)</f>
        <v/>
      </c>
      <c r="E2351">
        <f>IF(AND('Ratings'!A152&lt;&gt;"",'Ratings'!R5&lt;&gt;""),'Ratings'!R5,"")</f>
        <v/>
      </c>
      <c r="F2351">
        <f>IF(OR(A2351="",'Ratings'!R152=""),"",'Ratings'!R152)</f>
        <v/>
      </c>
      <c r="G2351">
        <f>IF(A2351="","",'Employees'!D15)</f>
        <v/>
      </c>
    </row>
    <row r="2352">
      <c r="A2352">
        <f>IF(AND('Ratings'!A152&lt;&gt;"",'Ratings'!S5&lt;&gt;""),'Ratings'!A152,"")</f>
        <v/>
      </c>
      <c r="B2352">
        <f>IF(A2352="","",'Employees'!C15)</f>
        <v/>
      </c>
      <c r="C2352">
        <f>IF(A2352="","",'Ratings'!C152)</f>
        <v/>
      </c>
      <c r="D2352">
        <f>IF(A2352="","",'Ratings'!D152)</f>
        <v/>
      </c>
      <c r="E2352">
        <f>IF(AND('Ratings'!A152&lt;&gt;"",'Ratings'!S5&lt;&gt;""),'Ratings'!S5,"")</f>
        <v/>
      </c>
      <c r="F2352">
        <f>IF(OR(A2352="",'Ratings'!S152=""),"",'Ratings'!S152)</f>
        <v/>
      </c>
      <c r="G2352">
        <f>IF(A2352="","",'Employees'!D15)</f>
        <v/>
      </c>
    </row>
    <row r="2353">
      <c r="A2353">
        <f>IF(AND('Ratings'!A152&lt;&gt;"",'Ratings'!T5&lt;&gt;""),'Ratings'!A152,"")</f>
        <v/>
      </c>
      <c r="B2353">
        <f>IF(A2353="","",'Employees'!C15)</f>
        <v/>
      </c>
      <c r="C2353">
        <f>IF(A2353="","",'Ratings'!C152)</f>
        <v/>
      </c>
      <c r="D2353">
        <f>IF(A2353="","",'Ratings'!D152)</f>
        <v/>
      </c>
      <c r="E2353">
        <f>IF(AND('Ratings'!A152&lt;&gt;"",'Ratings'!T5&lt;&gt;""),'Ratings'!T5,"")</f>
        <v/>
      </c>
      <c r="F2353">
        <f>IF(OR(A2353="",'Ratings'!T152=""),"",'Ratings'!T152)</f>
        <v/>
      </c>
      <c r="G2353">
        <f>IF(A2353="","",'Employees'!D15)</f>
        <v/>
      </c>
    </row>
    <row r="2354">
      <c r="A2354">
        <f>IF(AND('Ratings'!A153&lt;&gt;"",'Ratings'!E5&lt;&gt;""),'Ratings'!A153,"")</f>
        <v/>
      </c>
      <c r="B2354">
        <f>IF(A2354="","",'Employees'!C15)</f>
        <v/>
      </c>
      <c r="C2354">
        <f>IF(A2354="","",'Ratings'!C153)</f>
        <v/>
      </c>
      <c r="D2354">
        <f>IF(A2354="","",'Ratings'!D153)</f>
        <v/>
      </c>
      <c r="E2354">
        <f>IF(AND('Ratings'!A153&lt;&gt;"",'Ratings'!E5&lt;&gt;""),'Ratings'!E5,"")</f>
        <v/>
      </c>
      <c r="F2354">
        <f>IF(OR(A2354="",'Ratings'!E153=""),"",'Ratings'!E153)</f>
        <v/>
      </c>
      <c r="G2354">
        <f>IF(A2354="","",'Employees'!D15)</f>
        <v/>
      </c>
    </row>
    <row r="2355">
      <c r="A2355">
        <f>IF(AND('Ratings'!A153&lt;&gt;"",'Ratings'!F5&lt;&gt;""),'Ratings'!A153,"")</f>
        <v/>
      </c>
      <c r="B2355">
        <f>IF(A2355="","",'Employees'!C15)</f>
        <v/>
      </c>
      <c r="C2355">
        <f>IF(A2355="","",'Ratings'!C153)</f>
        <v/>
      </c>
      <c r="D2355">
        <f>IF(A2355="","",'Ratings'!D153)</f>
        <v/>
      </c>
      <c r="E2355">
        <f>IF(AND('Ratings'!A153&lt;&gt;"",'Ratings'!F5&lt;&gt;""),'Ratings'!F5,"")</f>
        <v/>
      </c>
      <c r="F2355">
        <f>IF(OR(A2355="",'Ratings'!F153=""),"",'Ratings'!F153)</f>
        <v/>
      </c>
      <c r="G2355">
        <f>IF(A2355="","",'Employees'!D15)</f>
        <v/>
      </c>
    </row>
    <row r="2356">
      <c r="A2356">
        <f>IF(AND('Ratings'!A153&lt;&gt;"",'Ratings'!G5&lt;&gt;""),'Ratings'!A153,"")</f>
        <v/>
      </c>
      <c r="B2356">
        <f>IF(A2356="","",'Employees'!C15)</f>
        <v/>
      </c>
      <c r="C2356">
        <f>IF(A2356="","",'Ratings'!C153)</f>
        <v/>
      </c>
      <c r="D2356">
        <f>IF(A2356="","",'Ratings'!D153)</f>
        <v/>
      </c>
      <c r="E2356">
        <f>IF(AND('Ratings'!A153&lt;&gt;"",'Ratings'!G5&lt;&gt;""),'Ratings'!G5,"")</f>
        <v/>
      </c>
      <c r="F2356">
        <f>IF(OR(A2356="",'Ratings'!G153=""),"",'Ratings'!G153)</f>
        <v/>
      </c>
      <c r="G2356">
        <f>IF(A2356="","",'Employees'!D15)</f>
        <v/>
      </c>
    </row>
    <row r="2357">
      <c r="A2357">
        <f>IF(AND('Ratings'!A153&lt;&gt;"",'Ratings'!H5&lt;&gt;""),'Ratings'!A153,"")</f>
        <v/>
      </c>
      <c r="B2357">
        <f>IF(A2357="","",'Employees'!C15)</f>
        <v/>
      </c>
      <c r="C2357">
        <f>IF(A2357="","",'Ratings'!C153)</f>
        <v/>
      </c>
      <c r="D2357">
        <f>IF(A2357="","",'Ratings'!D153)</f>
        <v/>
      </c>
      <c r="E2357">
        <f>IF(AND('Ratings'!A153&lt;&gt;"",'Ratings'!H5&lt;&gt;""),'Ratings'!H5,"")</f>
        <v/>
      </c>
      <c r="F2357">
        <f>IF(OR(A2357="",'Ratings'!H153=""),"",'Ratings'!H153)</f>
        <v/>
      </c>
      <c r="G2357">
        <f>IF(A2357="","",'Employees'!D15)</f>
        <v/>
      </c>
    </row>
    <row r="2358">
      <c r="A2358">
        <f>IF(AND('Ratings'!A153&lt;&gt;"",'Ratings'!I5&lt;&gt;""),'Ratings'!A153,"")</f>
        <v/>
      </c>
      <c r="B2358">
        <f>IF(A2358="","",'Employees'!C15)</f>
        <v/>
      </c>
      <c r="C2358">
        <f>IF(A2358="","",'Ratings'!C153)</f>
        <v/>
      </c>
      <c r="D2358">
        <f>IF(A2358="","",'Ratings'!D153)</f>
        <v/>
      </c>
      <c r="E2358">
        <f>IF(AND('Ratings'!A153&lt;&gt;"",'Ratings'!I5&lt;&gt;""),'Ratings'!I5,"")</f>
        <v/>
      </c>
      <c r="F2358">
        <f>IF(OR(A2358="",'Ratings'!I153=""),"",'Ratings'!I153)</f>
        <v/>
      </c>
      <c r="G2358">
        <f>IF(A2358="","",'Employees'!D15)</f>
        <v/>
      </c>
    </row>
    <row r="2359">
      <c r="A2359">
        <f>IF(AND('Ratings'!A153&lt;&gt;"",'Ratings'!J5&lt;&gt;""),'Ratings'!A153,"")</f>
        <v/>
      </c>
      <c r="B2359">
        <f>IF(A2359="","",'Employees'!C15)</f>
        <v/>
      </c>
      <c r="C2359">
        <f>IF(A2359="","",'Ratings'!C153)</f>
        <v/>
      </c>
      <c r="D2359">
        <f>IF(A2359="","",'Ratings'!D153)</f>
        <v/>
      </c>
      <c r="E2359">
        <f>IF(AND('Ratings'!A153&lt;&gt;"",'Ratings'!J5&lt;&gt;""),'Ratings'!J5,"")</f>
        <v/>
      </c>
      <c r="F2359">
        <f>IF(OR(A2359="",'Ratings'!J153=""),"",'Ratings'!J153)</f>
        <v/>
      </c>
      <c r="G2359">
        <f>IF(A2359="","",'Employees'!D15)</f>
        <v/>
      </c>
    </row>
    <row r="2360">
      <c r="A2360">
        <f>IF(AND('Ratings'!A153&lt;&gt;"",'Ratings'!K5&lt;&gt;""),'Ratings'!A153,"")</f>
        <v/>
      </c>
      <c r="B2360">
        <f>IF(A2360="","",'Employees'!C15)</f>
        <v/>
      </c>
      <c r="C2360">
        <f>IF(A2360="","",'Ratings'!C153)</f>
        <v/>
      </c>
      <c r="D2360">
        <f>IF(A2360="","",'Ratings'!D153)</f>
        <v/>
      </c>
      <c r="E2360">
        <f>IF(AND('Ratings'!A153&lt;&gt;"",'Ratings'!K5&lt;&gt;""),'Ratings'!K5,"")</f>
        <v/>
      </c>
      <c r="F2360">
        <f>IF(OR(A2360="",'Ratings'!K153=""),"",'Ratings'!K153)</f>
        <v/>
      </c>
      <c r="G2360">
        <f>IF(A2360="","",'Employees'!D15)</f>
        <v/>
      </c>
    </row>
    <row r="2361">
      <c r="A2361">
        <f>IF(AND('Ratings'!A153&lt;&gt;"",'Ratings'!L5&lt;&gt;""),'Ratings'!A153,"")</f>
        <v/>
      </c>
      <c r="B2361">
        <f>IF(A2361="","",'Employees'!C15)</f>
        <v/>
      </c>
      <c r="C2361">
        <f>IF(A2361="","",'Ratings'!C153)</f>
        <v/>
      </c>
      <c r="D2361">
        <f>IF(A2361="","",'Ratings'!D153)</f>
        <v/>
      </c>
      <c r="E2361">
        <f>IF(AND('Ratings'!A153&lt;&gt;"",'Ratings'!L5&lt;&gt;""),'Ratings'!L5,"")</f>
        <v/>
      </c>
      <c r="F2361">
        <f>IF(OR(A2361="",'Ratings'!L153=""),"",'Ratings'!L153)</f>
        <v/>
      </c>
      <c r="G2361">
        <f>IF(A2361="","",'Employees'!D15)</f>
        <v/>
      </c>
    </row>
    <row r="2362">
      <c r="A2362">
        <f>IF(AND('Ratings'!A153&lt;&gt;"",'Ratings'!M5&lt;&gt;""),'Ratings'!A153,"")</f>
        <v/>
      </c>
      <c r="B2362">
        <f>IF(A2362="","",'Employees'!C15)</f>
        <v/>
      </c>
      <c r="C2362">
        <f>IF(A2362="","",'Ratings'!C153)</f>
        <v/>
      </c>
      <c r="D2362">
        <f>IF(A2362="","",'Ratings'!D153)</f>
        <v/>
      </c>
      <c r="E2362">
        <f>IF(AND('Ratings'!A153&lt;&gt;"",'Ratings'!M5&lt;&gt;""),'Ratings'!M5,"")</f>
        <v/>
      </c>
      <c r="F2362">
        <f>IF(OR(A2362="",'Ratings'!M153=""),"",'Ratings'!M153)</f>
        <v/>
      </c>
      <c r="G2362">
        <f>IF(A2362="","",'Employees'!D15)</f>
        <v/>
      </c>
    </row>
    <row r="2363">
      <c r="A2363">
        <f>IF(AND('Ratings'!A153&lt;&gt;"",'Ratings'!N5&lt;&gt;""),'Ratings'!A153,"")</f>
        <v/>
      </c>
      <c r="B2363">
        <f>IF(A2363="","",'Employees'!C15)</f>
        <v/>
      </c>
      <c r="C2363">
        <f>IF(A2363="","",'Ratings'!C153)</f>
        <v/>
      </c>
      <c r="D2363">
        <f>IF(A2363="","",'Ratings'!D153)</f>
        <v/>
      </c>
      <c r="E2363">
        <f>IF(AND('Ratings'!A153&lt;&gt;"",'Ratings'!N5&lt;&gt;""),'Ratings'!N5,"")</f>
        <v/>
      </c>
      <c r="F2363">
        <f>IF(OR(A2363="",'Ratings'!N153=""),"",'Ratings'!N153)</f>
        <v/>
      </c>
      <c r="G2363">
        <f>IF(A2363="","",'Employees'!D15)</f>
        <v/>
      </c>
    </row>
    <row r="2364">
      <c r="A2364">
        <f>IF(AND('Ratings'!A153&lt;&gt;"",'Ratings'!O5&lt;&gt;""),'Ratings'!A153,"")</f>
        <v/>
      </c>
      <c r="B2364">
        <f>IF(A2364="","",'Employees'!C15)</f>
        <v/>
      </c>
      <c r="C2364">
        <f>IF(A2364="","",'Ratings'!C153)</f>
        <v/>
      </c>
      <c r="D2364">
        <f>IF(A2364="","",'Ratings'!D153)</f>
        <v/>
      </c>
      <c r="E2364">
        <f>IF(AND('Ratings'!A153&lt;&gt;"",'Ratings'!O5&lt;&gt;""),'Ratings'!O5,"")</f>
        <v/>
      </c>
      <c r="F2364">
        <f>IF(OR(A2364="",'Ratings'!O153=""),"",'Ratings'!O153)</f>
        <v/>
      </c>
      <c r="G2364">
        <f>IF(A2364="","",'Employees'!D15)</f>
        <v/>
      </c>
    </row>
    <row r="2365">
      <c r="A2365">
        <f>IF(AND('Ratings'!A153&lt;&gt;"",'Ratings'!P5&lt;&gt;""),'Ratings'!A153,"")</f>
        <v/>
      </c>
      <c r="B2365">
        <f>IF(A2365="","",'Employees'!C15)</f>
        <v/>
      </c>
      <c r="C2365">
        <f>IF(A2365="","",'Ratings'!C153)</f>
        <v/>
      </c>
      <c r="D2365">
        <f>IF(A2365="","",'Ratings'!D153)</f>
        <v/>
      </c>
      <c r="E2365">
        <f>IF(AND('Ratings'!A153&lt;&gt;"",'Ratings'!P5&lt;&gt;""),'Ratings'!P5,"")</f>
        <v/>
      </c>
      <c r="F2365">
        <f>IF(OR(A2365="",'Ratings'!P153=""),"",'Ratings'!P153)</f>
        <v/>
      </c>
      <c r="G2365">
        <f>IF(A2365="","",'Employees'!D15)</f>
        <v/>
      </c>
    </row>
    <row r="2366">
      <c r="A2366">
        <f>IF(AND('Ratings'!A153&lt;&gt;"",'Ratings'!Q5&lt;&gt;""),'Ratings'!A153,"")</f>
        <v/>
      </c>
      <c r="B2366">
        <f>IF(A2366="","",'Employees'!C15)</f>
        <v/>
      </c>
      <c r="C2366">
        <f>IF(A2366="","",'Ratings'!C153)</f>
        <v/>
      </c>
      <c r="D2366">
        <f>IF(A2366="","",'Ratings'!D153)</f>
        <v/>
      </c>
      <c r="E2366">
        <f>IF(AND('Ratings'!A153&lt;&gt;"",'Ratings'!Q5&lt;&gt;""),'Ratings'!Q5,"")</f>
        <v/>
      </c>
      <c r="F2366">
        <f>IF(OR(A2366="",'Ratings'!Q153=""),"",'Ratings'!Q153)</f>
        <v/>
      </c>
      <c r="G2366">
        <f>IF(A2366="","",'Employees'!D15)</f>
        <v/>
      </c>
    </row>
    <row r="2367">
      <c r="A2367">
        <f>IF(AND('Ratings'!A153&lt;&gt;"",'Ratings'!R5&lt;&gt;""),'Ratings'!A153,"")</f>
        <v/>
      </c>
      <c r="B2367">
        <f>IF(A2367="","",'Employees'!C15)</f>
        <v/>
      </c>
      <c r="C2367">
        <f>IF(A2367="","",'Ratings'!C153)</f>
        <v/>
      </c>
      <c r="D2367">
        <f>IF(A2367="","",'Ratings'!D153)</f>
        <v/>
      </c>
      <c r="E2367">
        <f>IF(AND('Ratings'!A153&lt;&gt;"",'Ratings'!R5&lt;&gt;""),'Ratings'!R5,"")</f>
        <v/>
      </c>
      <c r="F2367">
        <f>IF(OR(A2367="",'Ratings'!R153=""),"",'Ratings'!R153)</f>
        <v/>
      </c>
      <c r="G2367">
        <f>IF(A2367="","",'Employees'!D15)</f>
        <v/>
      </c>
    </row>
    <row r="2368">
      <c r="A2368">
        <f>IF(AND('Ratings'!A153&lt;&gt;"",'Ratings'!S5&lt;&gt;""),'Ratings'!A153,"")</f>
        <v/>
      </c>
      <c r="B2368">
        <f>IF(A2368="","",'Employees'!C15)</f>
        <v/>
      </c>
      <c r="C2368">
        <f>IF(A2368="","",'Ratings'!C153)</f>
        <v/>
      </c>
      <c r="D2368">
        <f>IF(A2368="","",'Ratings'!D153)</f>
        <v/>
      </c>
      <c r="E2368">
        <f>IF(AND('Ratings'!A153&lt;&gt;"",'Ratings'!S5&lt;&gt;""),'Ratings'!S5,"")</f>
        <v/>
      </c>
      <c r="F2368">
        <f>IF(OR(A2368="",'Ratings'!S153=""),"",'Ratings'!S153)</f>
        <v/>
      </c>
      <c r="G2368">
        <f>IF(A2368="","",'Employees'!D15)</f>
        <v/>
      </c>
    </row>
    <row r="2369">
      <c r="A2369">
        <f>IF(AND('Ratings'!A153&lt;&gt;"",'Ratings'!T5&lt;&gt;""),'Ratings'!A153,"")</f>
        <v/>
      </c>
      <c r="B2369">
        <f>IF(A2369="","",'Employees'!C15)</f>
        <v/>
      </c>
      <c r="C2369">
        <f>IF(A2369="","",'Ratings'!C153)</f>
        <v/>
      </c>
      <c r="D2369">
        <f>IF(A2369="","",'Ratings'!D153)</f>
        <v/>
      </c>
      <c r="E2369">
        <f>IF(AND('Ratings'!A153&lt;&gt;"",'Ratings'!T5&lt;&gt;""),'Ratings'!T5,"")</f>
        <v/>
      </c>
      <c r="F2369">
        <f>IF(OR(A2369="",'Ratings'!T153=""),"",'Ratings'!T153)</f>
        <v/>
      </c>
      <c r="G2369">
        <f>IF(A2369="","",'Employees'!D15)</f>
        <v/>
      </c>
    </row>
    <row r="2370">
      <c r="A2370">
        <f>IF(AND('Ratings'!A154&lt;&gt;"",'Ratings'!E5&lt;&gt;""),'Ratings'!A154,"")</f>
        <v/>
      </c>
      <c r="B2370">
        <f>IF(A2370="","",'Employees'!C15)</f>
        <v/>
      </c>
      <c r="C2370">
        <f>IF(A2370="","",'Ratings'!C154)</f>
        <v/>
      </c>
      <c r="D2370">
        <f>IF(A2370="","",'Ratings'!D154)</f>
        <v/>
      </c>
      <c r="E2370">
        <f>IF(AND('Ratings'!A154&lt;&gt;"",'Ratings'!E5&lt;&gt;""),'Ratings'!E5,"")</f>
        <v/>
      </c>
      <c r="F2370">
        <f>IF(OR(A2370="",'Ratings'!E154=""),"",'Ratings'!E154)</f>
        <v/>
      </c>
      <c r="G2370">
        <f>IF(A2370="","",'Employees'!D15)</f>
        <v/>
      </c>
    </row>
    <row r="2371">
      <c r="A2371">
        <f>IF(AND('Ratings'!A154&lt;&gt;"",'Ratings'!F5&lt;&gt;""),'Ratings'!A154,"")</f>
        <v/>
      </c>
      <c r="B2371">
        <f>IF(A2371="","",'Employees'!C15)</f>
        <v/>
      </c>
      <c r="C2371">
        <f>IF(A2371="","",'Ratings'!C154)</f>
        <v/>
      </c>
      <c r="D2371">
        <f>IF(A2371="","",'Ratings'!D154)</f>
        <v/>
      </c>
      <c r="E2371">
        <f>IF(AND('Ratings'!A154&lt;&gt;"",'Ratings'!F5&lt;&gt;""),'Ratings'!F5,"")</f>
        <v/>
      </c>
      <c r="F2371">
        <f>IF(OR(A2371="",'Ratings'!F154=""),"",'Ratings'!F154)</f>
        <v/>
      </c>
      <c r="G2371">
        <f>IF(A2371="","",'Employees'!D15)</f>
        <v/>
      </c>
    </row>
    <row r="2372">
      <c r="A2372">
        <f>IF(AND('Ratings'!A154&lt;&gt;"",'Ratings'!G5&lt;&gt;""),'Ratings'!A154,"")</f>
        <v/>
      </c>
      <c r="B2372">
        <f>IF(A2372="","",'Employees'!C15)</f>
        <v/>
      </c>
      <c r="C2372">
        <f>IF(A2372="","",'Ratings'!C154)</f>
        <v/>
      </c>
      <c r="D2372">
        <f>IF(A2372="","",'Ratings'!D154)</f>
        <v/>
      </c>
      <c r="E2372">
        <f>IF(AND('Ratings'!A154&lt;&gt;"",'Ratings'!G5&lt;&gt;""),'Ratings'!G5,"")</f>
        <v/>
      </c>
      <c r="F2372">
        <f>IF(OR(A2372="",'Ratings'!G154=""),"",'Ratings'!G154)</f>
        <v/>
      </c>
      <c r="G2372">
        <f>IF(A2372="","",'Employees'!D15)</f>
        <v/>
      </c>
    </row>
    <row r="2373">
      <c r="A2373">
        <f>IF(AND('Ratings'!A154&lt;&gt;"",'Ratings'!H5&lt;&gt;""),'Ratings'!A154,"")</f>
        <v/>
      </c>
      <c r="B2373">
        <f>IF(A2373="","",'Employees'!C15)</f>
        <v/>
      </c>
      <c r="C2373">
        <f>IF(A2373="","",'Ratings'!C154)</f>
        <v/>
      </c>
      <c r="D2373">
        <f>IF(A2373="","",'Ratings'!D154)</f>
        <v/>
      </c>
      <c r="E2373">
        <f>IF(AND('Ratings'!A154&lt;&gt;"",'Ratings'!H5&lt;&gt;""),'Ratings'!H5,"")</f>
        <v/>
      </c>
      <c r="F2373">
        <f>IF(OR(A2373="",'Ratings'!H154=""),"",'Ratings'!H154)</f>
        <v/>
      </c>
      <c r="G2373">
        <f>IF(A2373="","",'Employees'!D15)</f>
        <v/>
      </c>
    </row>
    <row r="2374">
      <c r="A2374">
        <f>IF(AND('Ratings'!A154&lt;&gt;"",'Ratings'!I5&lt;&gt;""),'Ratings'!A154,"")</f>
        <v/>
      </c>
      <c r="B2374">
        <f>IF(A2374="","",'Employees'!C15)</f>
        <v/>
      </c>
      <c r="C2374">
        <f>IF(A2374="","",'Ratings'!C154)</f>
        <v/>
      </c>
      <c r="D2374">
        <f>IF(A2374="","",'Ratings'!D154)</f>
        <v/>
      </c>
      <c r="E2374">
        <f>IF(AND('Ratings'!A154&lt;&gt;"",'Ratings'!I5&lt;&gt;""),'Ratings'!I5,"")</f>
        <v/>
      </c>
      <c r="F2374">
        <f>IF(OR(A2374="",'Ratings'!I154=""),"",'Ratings'!I154)</f>
        <v/>
      </c>
      <c r="G2374">
        <f>IF(A2374="","",'Employees'!D15)</f>
        <v/>
      </c>
    </row>
    <row r="2375">
      <c r="A2375">
        <f>IF(AND('Ratings'!A154&lt;&gt;"",'Ratings'!J5&lt;&gt;""),'Ratings'!A154,"")</f>
        <v/>
      </c>
      <c r="B2375">
        <f>IF(A2375="","",'Employees'!C15)</f>
        <v/>
      </c>
      <c r="C2375">
        <f>IF(A2375="","",'Ratings'!C154)</f>
        <v/>
      </c>
      <c r="D2375">
        <f>IF(A2375="","",'Ratings'!D154)</f>
        <v/>
      </c>
      <c r="E2375">
        <f>IF(AND('Ratings'!A154&lt;&gt;"",'Ratings'!J5&lt;&gt;""),'Ratings'!J5,"")</f>
        <v/>
      </c>
      <c r="F2375">
        <f>IF(OR(A2375="",'Ratings'!J154=""),"",'Ratings'!J154)</f>
        <v/>
      </c>
      <c r="G2375">
        <f>IF(A2375="","",'Employees'!D15)</f>
        <v/>
      </c>
    </row>
    <row r="2376">
      <c r="A2376">
        <f>IF(AND('Ratings'!A154&lt;&gt;"",'Ratings'!K5&lt;&gt;""),'Ratings'!A154,"")</f>
        <v/>
      </c>
      <c r="B2376">
        <f>IF(A2376="","",'Employees'!C15)</f>
        <v/>
      </c>
      <c r="C2376">
        <f>IF(A2376="","",'Ratings'!C154)</f>
        <v/>
      </c>
      <c r="D2376">
        <f>IF(A2376="","",'Ratings'!D154)</f>
        <v/>
      </c>
      <c r="E2376">
        <f>IF(AND('Ratings'!A154&lt;&gt;"",'Ratings'!K5&lt;&gt;""),'Ratings'!K5,"")</f>
        <v/>
      </c>
      <c r="F2376">
        <f>IF(OR(A2376="",'Ratings'!K154=""),"",'Ratings'!K154)</f>
        <v/>
      </c>
      <c r="G2376">
        <f>IF(A2376="","",'Employees'!D15)</f>
        <v/>
      </c>
    </row>
    <row r="2377">
      <c r="A2377">
        <f>IF(AND('Ratings'!A154&lt;&gt;"",'Ratings'!L5&lt;&gt;""),'Ratings'!A154,"")</f>
        <v/>
      </c>
      <c r="B2377">
        <f>IF(A2377="","",'Employees'!C15)</f>
        <v/>
      </c>
      <c r="C2377">
        <f>IF(A2377="","",'Ratings'!C154)</f>
        <v/>
      </c>
      <c r="D2377">
        <f>IF(A2377="","",'Ratings'!D154)</f>
        <v/>
      </c>
      <c r="E2377">
        <f>IF(AND('Ratings'!A154&lt;&gt;"",'Ratings'!L5&lt;&gt;""),'Ratings'!L5,"")</f>
        <v/>
      </c>
      <c r="F2377">
        <f>IF(OR(A2377="",'Ratings'!L154=""),"",'Ratings'!L154)</f>
        <v/>
      </c>
      <c r="G2377">
        <f>IF(A2377="","",'Employees'!D15)</f>
        <v/>
      </c>
    </row>
    <row r="2378">
      <c r="A2378">
        <f>IF(AND('Ratings'!A154&lt;&gt;"",'Ratings'!M5&lt;&gt;""),'Ratings'!A154,"")</f>
        <v/>
      </c>
      <c r="B2378">
        <f>IF(A2378="","",'Employees'!C15)</f>
        <v/>
      </c>
      <c r="C2378">
        <f>IF(A2378="","",'Ratings'!C154)</f>
        <v/>
      </c>
      <c r="D2378">
        <f>IF(A2378="","",'Ratings'!D154)</f>
        <v/>
      </c>
      <c r="E2378">
        <f>IF(AND('Ratings'!A154&lt;&gt;"",'Ratings'!M5&lt;&gt;""),'Ratings'!M5,"")</f>
        <v/>
      </c>
      <c r="F2378">
        <f>IF(OR(A2378="",'Ratings'!M154=""),"",'Ratings'!M154)</f>
        <v/>
      </c>
      <c r="G2378">
        <f>IF(A2378="","",'Employees'!D15)</f>
        <v/>
      </c>
    </row>
    <row r="2379">
      <c r="A2379">
        <f>IF(AND('Ratings'!A154&lt;&gt;"",'Ratings'!N5&lt;&gt;""),'Ratings'!A154,"")</f>
        <v/>
      </c>
      <c r="B2379">
        <f>IF(A2379="","",'Employees'!C15)</f>
        <v/>
      </c>
      <c r="C2379">
        <f>IF(A2379="","",'Ratings'!C154)</f>
        <v/>
      </c>
      <c r="D2379">
        <f>IF(A2379="","",'Ratings'!D154)</f>
        <v/>
      </c>
      <c r="E2379">
        <f>IF(AND('Ratings'!A154&lt;&gt;"",'Ratings'!N5&lt;&gt;""),'Ratings'!N5,"")</f>
        <v/>
      </c>
      <c r="F2379">
        <f>IF(OR(A2379="",'Ratings'!N154=""),"",'Ratings'!N154)</f>
        <v/>
      </c>
      <c r="G2379">
        <f>IF(A2379="","",'Employees'!D15)</f>
        <v/>
      </c>
    </row>
    <row r="2380">
      <c r="A2380">
        <f>IF(AND('Ratings'!A154&lt;&gt;"",'Ratings'!O5&lt;&gt;""),'Ratings'!A154,"")</f>
        <v/>
      </c>
      <c r="B2380">
        <f>IF(A2380="","",'Employees'!C15)</f>
        <v/>
      </c>
      <c r="C2380">
        <f>IF(A2380="","",'Ratings'!C154)</f>
        <v/>
      </c>
      <c r="D2380">
        <f>IF(A2380="","",'Ratings'!D154)</f>
        <v/>
      </c>
      <c r="E2380">
        <f>IF(AND('Ratings'!A154&lt;&gt;"",'Ratings'!O5&lt;&gt;""),'Ratings'!O5,"")</f>
        <v/>
      </c>
      <c r="F2380">
        <f>IF(OR(A2380="",'Ratings'!O154=""),"",'Ratings'!O154)</f>
        <v/>
      </c>
      <c r="G2380">
        <f>IF(A2380="","",'Employees'!D15)</f>
        <v/>
      </c>
    </row>
    <row r="2381">
      <c r="A2381">
        <f>IF(AND('Ratings'!A154&lt;&gt;"",'Ratings'!P5&lt;&gt;""),'Ratings'!A154,"")</f>
        <v/>
      </c>
      <c r="B2381">
        <f>IF(A2381="","",'Employees'!C15)</f>
        <v/>
      </c>
      <c r="C2381">
        <f>IF(A2381="","",'Ratings'!C154)</f>
        <v/>
      </c>
      <c r="D2381">
        <f>IF(A2381="","",'Ratings'!D154)</f>
        <v/>
      </c>
      <c r="E2381">
        <f>IF(AND('Ratings'!A154&lt;&gt;"",'Ratings'!P5&lt;&gt;""),'Ratings'!P5,"")</f>
        <v/>
      </c>
      <c r="F2381">
        <f>IF(OR(A2381="",'Ratings'!P154=""),"",'Ratings'!P154)</f>
        <v/>
      </c>
      <c r="G2381">
        <f>IF(A2381="","",'Employees'!D15)</f>
        <v/>
      </c>
    </row>
    <row r="2382">
      <c r="A2382">
        <f>IF(AND('Ratings'!A154&lt;&gt;"",'Ratings'!Q5&lt;&gt;""),'Ratings'!A154,"")</f>
        <v/>
      </c>
      <c r="B2382">
        <f>IF(A2382="","",'Employees'!C15)</f>
        <v/>
      </c>
      <c r="C2382">
        <f>IF(A2382="","",'Ratings'!C154)</f>
        <v/>
      </c>
      <c r="D2382">
        <f>IF(A2382="","",'Ratings'!D154)</f>
        <v/>
      </c>
      <c r="E2382">
        <f>IF(AND('Ratings'!A154&lt;&gt;"",'Ratings'!Q5&lt;&gt;""),'Ratings'!Q5,"")</f>
        <v/>
      </c>
      <c r="F2382">
        <f>IF(OR(A2382="",'Ratings'!Q154=""),"",'Ratings'!Q154)</f>
        <v/>
      </c>
      <c r="G2382">
        <f>IF(A2382="","",'Employees'!D15)</f>
        <v/>
      </c>
    </row>
    <row r="2383">
      <c r="A2383">
        <f>IF(AND('Ratings'!A154&lt;&gt;"",'Ratings'!R5&lt;&gt;""),'Ratings'!A154,"")</f>
        <v/>
      </c>
      <c r="B2383">
        <f>IF(A2383="","",'Employees'!C15)</f>
        <v/>
      </c>
      <c r="C2383">
        <f>IF(A2383="","",'Ratings'!C154)</f>
        <v/>
      </c>
      <c r="D2383">
        <f>IF(A2383="","",'Ratings'!D154)</f>
        <v/>
      </c>
      <c r="E2383">
        <f>IF(AND('Ratings'!A154&lt;&gt;"",'Ratings'!R5&lt;&gt;""),'Ratings'!R5,"")</f>
        <v/>
      </c>
      <c r="F2383">
        <f>IF(OR(A2383="",'Ratings'!R154=""),"",'Ratings'!R154)</f>
        <v/>
      </c>
      <c r="G2383">
        <f>IF(A2383="","",'Employees'!D15)</f>
        <v/>
      </c>
    </row>
    <row r="2384">
      <c r="A2384">
        <f>IF(AND('Ratings'!A154&lt;&gt;"",'Ratings'!S5&lt;&gt;""),'Ratings'!A154,"")</f>
        <v/>
      </c>
      <c r="B2384">
        <f>IF(A2384="","",'Employees'!C15)</f>
        <v/>
      </c>
      <c r="C2384">
        <f>IF(A2384="","",'Ratings'!C154)</f>
        <v/>
      </c>
      <c r="D2384">
        <f>IF(A2384="","",'Ratings'!D154)</f>
        <v/>
      </c>
      <c r="E2384">
        <f>IF(AND('Ratings'!A154&lt;&gt;"",'Ratings'!S5&lt;&gt;""),'Ratings'!S5,"")</f>
        <v/>
      </c>
      <c r="F2384">
        <f>IF(OR(A2384="",'Ratings'!S154=""),"",'Ratings'!S154)</f>
        <v/>
      </c>
      <c r="G2384">
        <f>IF(A2384="","",'Employees'!D15)</f>
        <v/>
      </c>
    </row>
    <row r="2385">
      <c r="A2385">
        <f>IF(AND('Ratings'!A154&lt;&gt;"",'Ratings'!T5&lt;&gt;""),'Ratings'!A154,"")</f>
        <v/>
      </c>
      <c r="B2385">
        <f>IF(A2385="","",'Employees'!C15)</f>
        <v/>
      </c>
      <c r="C2385">
        <f>IF(A2385="","",'Ratings'!C154)</f>
        <v/>
      </c>
      <c r="D2385">
        <f>IF(A2385="","",'Ratings'!D154)</f>
        <v/>
      </c>
      <c r="E2385">
        <f>IF(AND('Ratings'!A154&lt;&gt;"",'Ratings'!T5&lt;&gt;""),'Ratings'!T5,"")</f>
        <v/>
      </c>
      <c r="F2385">
        <f>IF(OR(A2385="",'Ratings'!T154=""),"",'Ratings'!T154)</f>
        <v/>
      </c>
      <c r="G2385">
        <f>IF(A2385="","",'Employees'!D15)</f>
        <v/>
      </c>
    </row>
    <row r="2386">
      <c r="A2386">
        <f>IF(AND('Ratings'!A155&lt;&gt;"",'Ratings'!E5&lt;&gt;""),'Ratings'!A155,"")</f>
        <v/>
      </c>
      <c r="B2386">
        <f>IF(A2386="","",'Employees'!C15)</f>
        <v/>
      </c>
      <c r="C2386">
        <f>IF(A2386="","",'Ratings'!C155)</f>
        <v/>
      </c>
      <c r="D2386">
        <f>IF(A2386="","",'Ratings'!D155)</f>
        <v/>
      </c>
      <c r="E2386">
        <f>IF(AND('Ratings'!A155&lt;&gt;"",'Ratings'!E5&lt;&gt;""),'Ratings'!E5,"")</f>
        <v/>
      </c>
      <c r="F2386">
        <f>IF(OR(A2386="",'Ratings'!E155=""),"",'Ratings'!E155)</f>
        <v/>
      </c>
      <c r="G2386">
        <f>IF(A2386="","",'Employees'!D15)</f>
        <v/>
      </c>
    </row>
    <row r="2387">
      <c r="A2387">
        <f>IF(AND('Ratings'!A155&lt;&gt;"",'Ratings'!F5&lt;&gt;""),'Ratings'!A155,"")</f>
        <v/>
      </c>
      <c r="B2387">
        <f>IF(A2387="","",'Employees'!C15)</f>
        <v/>
      </c>
      <c r="C2387">
        <f>IF(A2387="","",'Ratings'!C155)</f>
        <v/>
      </c>
      <c r="D2387">
        <f>IF(A2387="","",'Ratings'!D155)</f>
        <v/>
      </c>
      <c r="E2387">
        <f>IF(AND('Ratings'!A155&lt;&gt;"",'Ratings'!F5&lt;&gt;""),'Ratings'!F5,"")</f>
        <v/>
      </c>
      <c r="F2387">
        <f>IF(OR(A2387="",'Ratings'!F155=""),"",'Ratings'!F155)</f>
        <v/>
      </c>
      <c r="G2387">
        <f>IF(A2387="","",'Employees'!D15)</f>
        <v/>
      </c>
    </row>
    <row r="2388">
      <c r="A2388">
        <f>IF(AND('Ratings'!A155&lt;&gt;"",'Ratings'!G5&lt;&gt;""),'Ratings'!A155,"")</f>
        <v/>
      </c>
      <c r="B2388">
        <f>IF(A2388="","",'Employees'!C15)</f>
        <v/>
      </c>
      <c r="C2388">
        <f>IF(A2388="","",'Ratings'!C155)</f>
        <v/>
      </c>
      <c r="D2388">
        <f>IF(A2388="","",'Ratings'!D155)</f>
        <v/>
      </c>
      <c r="E2388">
        <f>IF(AND('Ratings'!A155&lt;&gt;"",'Ratings'!G5&lt;&gt;""),'Ratings'!G5,"")</f>
        <v/>
      </c>
      <c r="F2388">
        <f>IF(OR(A2388="",'Ratings'!G155=""),"",'Ratings'!G155)</f>
        <v/>
      </c>
      <c r="G2388">
        <f>IF(A2388="","",'Employees'!D15)</f>
        <v/>
      </c>
    </row>
    <row r="2389">
      <c r="A2389">
        <f>IF(AND('Ratings'!A155&lt;&gt;"",'Ratings'!H5&lt;&gt;""),'Ratings'!A155,"")</f>
        <v/>
      </c>
      <c r="B2389">
        <f>IF(A2389="","",'Employees'!C15)</f>
        <v/>
      </c>
      <c r="C2389">
        <f>IF(A2389="","",'Ratings'!C155)</f>
        <v/>
      </c>
      <c r="D2389">
        <f>IF(A2389="","",'Ratings'!D155)</f>
        <v/>
      </c>
      <c r="E2389">
        <f>IF(AND('Ratings'!A155&lt;&gt;"",'Ratings'!H5&lt;&gt;""),'Ratings'!H5,"")</f>
        <v/>
      </c>
      <c r="F2389">
        <f>IF(OR(A2389="",'Ratings'!H155=""),"",'Ratings'!H155)</f>
        <v/>
      </c>
      <c r="G2389">
        <f>IF(A2389="","",'Employees'!D15)</f>
        <v/>
      </c>
    </row>
    <row r="2390">
      <c r="A2390">
        <f>IF(AND('Ratings'!A155&lt;&gt;"",'Ratings'!I5&lt;&gt;""),'Ratings'!A155,"")</f>
        <v/>
      </c>
      <c r="B2390">
        <f>IF(A2390="","",'Employees'!C15)</f>
        <v/>
      </c>
      <c r="C2390">
        <f>IF(A2390="","",'Ratings'!C155)</f>
        <v/>
      </c>
      <c r="D2390">
        <f>IF(A2390="","",'Ratings'!D155)</f>
        <v/>
      </c>
      <c r="E2390">
        <f>IF(AND('Ratings'!A155&lt;&gt;"",'Ratings'!I5&lt;&gt;""),'Ratings'!I5,"")</f>
        <v/>
      </c>
      <c r="F2390">
        <f>IF(OR(A2390="",'Ratings'!I155=""),"",'Ratings'!I155)</f>
        <v/>
      </c>
      <c r="G2390">
        <f>IF(A2390="","",'Employees'!D15)</f>
        <v/>
      </c>
    </row>
    <row r="2391">
      <c r="A2391">
        <f>IF(AND('Ratings'!A155&lt;&gt;"",'Ratings'!J5&lt;&gt;""),'Ratings'!A155,"")</f>
        <v/>
      </c>
      <c r="B2391">
        <f>IF(A2391="","",'Employees'!C15)</f>
        <v/>
      </c>
      <c r="C2391">
        <f>IF(A2391="","",'Ratings'!C155)</f>
        <v/>
      </c>
      <c r="D2391">
        <f>IF(A2391="","",'Ratings'!D155)</f>
        <v/>
      </c>
      <c r="E2391">
        <f>IF(AND('Ratings'!A155&lt;&gt;"",'Ratings'!J5&lt;&gt;""),'Ratings'!J5,"")</f>
        <v/>
      </c>
      <c r="F2391">
        <f>IF(OR(A2391="",'Ratings'!J155=""),"",'Ratings'!J155)</f>
        <v/>
      </c>
      <c r="G2391">
        <f>IF(A2391="","",'Employees'!D15)</f>
        <v/>
      </c>
    </row>
    <row r="2392">
      <c r="A2392">
        <f>IF(AND('Ratings'!A155&lt;&gt;"",'Ratings'!K5&lt;&gt;""),'Ratings'!A155,"")</f>
        <v/>
      </c>
      <c r="B2392">
        <f>IF(A2392="","",'Employees'!C15)</f>
        <v/>
      </c>
      <c r="C2392">
        <f>IF(A2392="","",'Ratings'!C155)</f>
        <v/>
      </c>
      <c r="D2392">
        <f>IF(A2392="","",'Ratings'!D155)</f>
        <v/>
      </c>
      <c r="E2392">
        <f>IF(AND('Ratings'!A155&lt;&gt;"",'Ratings'!K5&lt;&gt;""),'Ratings'!K5,"")</f>
        <v/>
      </c>
      <c r="F2392">
        <f>IF(OR(A2392="",'Ratings'!K155=""),"",'Ratings'!K155)</f>
        <v/>
      </c>
      <c r="G2392">
        <f>IF(A2392="","",'Employees'!D15)</f>
        <v/>
      </c>
    </row>
    <row r="2393">
      <c r="A2393">
        <f>IF(AND('Ratings'!A155&lt;&gt;"",'Ratings'!L5&lt;&gt;""),'Ratings'!A155,"")</f>
        <v/>
      </c>
      <c r="B2393">
        <f>IF(A2393="","",'Employees'!C15)</f>
        <v/>
      </c>
      <c r="C2393">
        <f>IF(A2393="","",'Ratings'!C155)</f>
        <v/>
      </c>
      <c r="D2393">
        <f>IF(A2393="","",'Ratings'!D155)</f>
        <v/>
      </c>
      <c r="E2393">
        <f>IF(AND('Ratings'!A155&lt;&gt;"",'Ratings'!L5&lt;&gt;""),'Ratings'!L5,"")</f>
        <v/>
      </c>
      <c r="F2393">
        <f>IF(OR(A2393="",'Ratings'!L155=""),"",'Ratings'!L155)</f>
        <v/>
      </c>
      <c r="G2393">
        <f>IF(A2393="","",'Employees'!D15)</f>
        <v/>
      </c>
    </row>
    <row r="2394">
      <c r="A2394">
        <f>IF(AND('Ratings'!A155&lt;&gt;"",'Ratings'!M5&lt;&gt;""),'Ratings'!A155,"")</f>
        <v/>
      </c>
      <c r="B2394">
        <f>IF(A2394="","",'Employees'!C15)</f>
        <v/>
      </c>
      <c r="C2394">
        <f>IF(A2394="","",'Ratings'!C155)</f>
        <v/>
      </c>
      <c r="D2394">
        <f>IF(A2394="","",'Ratings'!D155)</f>
        <v/>
      </c>
      <c r="E2394">
        <f>IF(AND('Ratings'!A155&lt;&gt;"",'Ratings'!M5&lt;&gt;""),'Ratings'!M5,"")</f>
        <v/>
      </c>
      <c r="F2394">
        <f>IF(OR(A2394="",'Ratings'!M155=""),"",'Ratings'!M155)</f>
        <v/>
      </c>
      <c r="G2394">
        <f>IF(A2394="","",'Employees'!D15)</f>
        <v/>
      </c>
    </row>
    <row r="2395">
      <c r="A2395">
        <f>IF(AND('Ratings'!A155&lt;&gt;"",'Ratings'!N5&lt;&gt;""),'Ratings'!A155,"")</f>
        <v/>
      </c>
      <c r="B2395">
        <f>IF(A2395="","",'Employees'!C15)</f>
        <v/>
      </c>
      <c r="C2395">
        <f>IF(A2395="","",'Ratings'!C155)</f>
        <v/>
      </c>
      <c r="D2395">
        <f>IF(A2395="","",'Ratings'!D155)</f>
        <v/>
      </c>
      <c r="E2395">
        <f>IF(AND('Ratings'!A155&lt;&gt;"",'Ratings'!N5&lt;&gt;""),'Ratings'!N5,"")</f>
        <v/>
      </c>
      <c r="F2395">
        <f>IF(OR(A2395="",'Ratings'!N155=""),"",'Ratings'!N155)</f>
        <v/>
      </c>
      <c r="G2395">
        <f>IF(A2395="","",'Employees'!D15)</f>
        <v/>
      </c>
    </row>
    <row r="2396">
      <c r="A2396">
        <f>IF(AND('Ratings'!A155&lt;&gt;"",'Ratings'!O5&lt;&gt;""),'Ratings'!A155,"")</f>
        <v/>
      </c>
      <c r="B2396">
        <f>IF(A2396="","",'Employees'!C15)</f>
        <v/>
      </c>
      <c r="C2396">
        <f>IF(A2396="","",'Ratings'!C155)</f>
        <v/>
      </c>
      <c r="D2396">
        <f>IF(A2396="","",'Ratings'!D155)</f>
        <v/>
      </c>
      <c r="E2396">
        <f>IF(AND('Ratings'!A155&lt;&gt;"",'Ratings'!O5&lt;&gt;""),'Ratings'!O5,"")</f>
        <v/>
      </c>
      <c r="F2396">
        <f>IF(OR(A2396="",'Ratings'!O155=""),"",'Ratings'!O155)</f>
        <v/>
      </c>
      <c r="G2396">
        <f>IF(A2396="","",'Employees'!D15)</f>
        <v/>
      </c>
    </row>
    <row r="2397">
      <c r="A2397">
        <f>IF(AND('Ratings'!A155&lt;&gt;"",'Ratings'!P5&lt;&gt;""),'Ratings'!A155,"")</f>
        <v/>
      </c>
      <c r="B2397">
        <f>IF(A2397="","",'Employees'!C15)</f>
        <v/>
      </c>
      <c r="C2397">
        <f>IF(A2397="","",'Ratings'!C155)</f>
        <v/>
      </c>
      <c r="D2397">
        <f>IF(A2397="","",'Ratings'!D155)</f>
        <v/>
      </c>
      <c r="E2397">
        <f>IF(AND('Ratings'!A155&lt;&gt;"",'Ratings'!P5&lt;&gt;""),'Ratings'!P5,"")</f>
        <v/>
      </c>
      <c r="F2397">
        <f>IF(OR(A2397="",'Ratings'!P155=""),"",'Ratings'!P155)</f>
        <v/>
      </c>
      <c r="G2397">
        <f>IF(A2397="","",'Employees'!D15)</f>
        <v/>
      </c>
    </row>
    <row r="2398">
      <c r="A2398">
        <f>IF(AND('Ratings'!A155&lt;&gt;"",'Ratings'!Q5&lt;&gt;""),'Ratings'!A155,"")</f>
        <v/>
      </c>
      <c r="B2398">
        <f>IF(A2398="","",'Employees'!C15)</f>
        <v/>
      </c>
      <c r="C2398">
        <f>IF(A2398="","",'Ratings'!C155)</f>
        <v/>
      </c>
      <c r="D2398">
        <f>IF(A2398="","",'Ratings'!D155)</f>
        <v/>
      </c>
      <c r="E2398">
        <f>IF(AND('Ratings'!A155&lt;&gt;"",'Ratings'!Q5&lt;&gt;""),'Ratings'!Q5,"")</f>
        <v/>
      </c>
      <c r="F2398">
        <f>IF(OR(A2398="",'Ratings'!Q155=""),"",'Ratings'!Q155)</f>
        <v/>
      </c>
      <c r="G2398">
        <f>IF(A2398="","",'Employees'!D15)</f>
        <v/>
      </c>
    </row>
    <row r="2399">
      <c r="A2399">
        <f>IF(AND('Ratings'!A155&lt;&gt;"",'Ratings'!R5&lt;&gt;""),'Ratings'!A155,"")</f>
        <v/>
      </c>
      <c r="B2399">
        <f>IF(A2399="","",'Employees'!C15)</f>
        <v/>
      </c>
      <c r="C2399">
        <f>IF(A2399="","",'Ratings'!C155)</f>
        <v/>
      </c>
      <c r="D2399">
        <f>IF(A2399="","",'Ratings'!D155)</f>
        <v/>
      </c>
      <c r="E2399">
        <f>IF(AND('Ratings'!A155&lt;&gt;"",'Ratings'!R5&lt;&gt;""),'Ratings'!R5,"")</f>
        <v/>
      </c>
      <c r="F2399">
        <f>IF(OR(A2399="",'Ratings'!R155=""),"",'Ratings'!R155)</f>
        <v/>
      </c>
      <c r="G2399">
        <f>IF(A2399="","",'Employees'!D15)</f>
        <v/>
      </c>
    </row>
    <row r="2400">
      <c r="A2400">
        <f>IF(AND('Ratings'!A155&lt;&gt;"",'Ratings'!S5&lt;&gt;""),'Ratings'!A155,"")</f>
        <v/>
      </c>
      <c r="B2400">
        <f>IF(A2400="","",'Employees'!C15)</f>
        <v/>
      </c>
      <c r="C2400">
        <f>IF(A2400="","",'Ratings'!C155)</f>
        <v/>
      </c>
      <c r="D2400">
        <f>IF(A2400="","",'Ratings'!D155)</f>
        <v/>
      </c>
      <c r="E2400">
        <f>IF(AND('Ratings'!A155&lt;&gt;"",'Ratings'!S5&lt;&gt;""),'Ratings'!S5,"")</f>
        <v/>
      </c>
      <c r="F2400">
        <f>IF(OR(A2400="",'Ratings'!S155=""),"",'Ratings'!S155)</f>
        <v/>
      </c>
      <c r="G2400">
        <f>IF(A2400="","",'Employees'!D15)</f>
        <v/>
      </c>
    </row>
    <row r="2401">
      <c r="A2401">
        <f>IF(AND('Ratings'!A155&lt;&gt;"",'Ratings'!T5&lt;&gt;""),'Ratings'!A155,"")</f>
        <v/>
      </c>
      <c r="B2401">
        <f>IF(A2401="","",'Employees'!C15)</f>
        <v/>
      </c>
      <c r="C2401">
        <f>IF(A2401="","",'Ratings'!C155)</f>
        <v/>
      </c>
      <c r="D2401">
        <f>IF(A2401="","",'Ratings'!D155)</f>
        <v/>
      </c>
      <c r="E2401">
        <f>IF(AND('Ratings'!A155&lt;&gt;"",'Ratings'!T5&lt;&gt;""),'Ratings'!T5,"")</f>
        <v/>
      </c>
      <c r="F2401">
        <f>IF(OR(A2401="",'Ratings'!T155=""),"",'Ratings'!T155)</f>
        <v/>
      </c>
      <c r="G2401">
        <f>IF(A2401="","",'Employees'!D15)</f>
        <v/>
      </c>
    </row>
    <row r="2402">
      <c r="A2402">
        <f>IF(AND('Ratings'!A156&lt;&gt;"",'Ratings'!E5&lt;&gt;""),'Ratings'!A156,"")</f>
        <v/>
      </c>
      <c r="B2402">
        <f>IF(A2402="","",'Employees'!C15)</f>
        <v/>
      </c>
      <c r="C2402">
        <f>IF(A2402="","",'Ratings'!C156)</f>
        <v/>
      </c>
      <c r="D2402">
        <f>IF(A2402="","",'Ratings'!D156)</f>
        <v/>
      </c>
      <c r="E2402">
        <f>IF(AND('Ratings'!A156&lt;&gt;"",'Ratings'!E5&lt;&gt;""),'Ratings'!E5,"")</f>
        <v/>
      </c>
      <c r="F2402">
        <f>IF(OR(A2402="",'Ratings'!E156=""),"",'Ratings'!E156)</f>
        <v/>
      </c>
      <c r="G2402">
        <f>IF(A2402="","",'Employees'!D15)</f>
        <v/>
      </c>
    </row>
    <row r="2403">
      <c r="A2403">
        <f>IF(AND('Ratings'!A156&lt;&gt;"",'Ratings'!F5&lt;&gt;""),'Ratings'!A156,"")</f>
        <v/>
      </c>
      <c r="B2403">
        <f>IF(A2403="","",'Employees'!C15)</f>
        <v/>
      </c>
      <c r="C2403">
        <f>IF(A2403="","",'Ratings'!C156)</f>
        <v/>
      </c>
      <c r="D2403">
        <f>IF(A2403="","",'Ratings'!D156)</f>
        <v/>
      </c>
      <c r="E2403">
        <f>IF(AND('Ratings'!A156&lt;&gt;"",'Ratings'!F5&lt;&gt;""),'Ratings'!F5,"")</f>
        <v/>
      </c>
      <c r="F2403">
        <f>IF(OR(A2403="",'Ratings'!F156=""),"",'Ratings'!F156)</f>
        <v/>
      </c>
      <c r="G2403">
        <f>IF(A2403="","",'Employees'!D15)</f>
        <v/>
      </c>
    </row>
    <row r="2404">
      <c r="A2404">
        <f>IF(AND('Ratings'!A156&lt;&gt;"",'Ratings'!G5&lt;&gt;""),'Ratings'!A156,"")</f>
        <v/>
      </c>
      <c r="B2404">
        <f>IF(A2404="","",'Employees'!C15)</f>
        <v/>
      </c>
      <c r="C2404">
        <f>IF(A2404="","",'Ratings'!C156)</f>
        <v/>
      </c>
      <c r="D2404">
        <f>IF(A2404="","",'Ratings'!D156)</f>
        <v/>
      </c>
      <c r="E2404">
        <f>IF(AND('Ratings'!A156&lt;&gt;"",'Ratings'!G5&lt;&gt;""),'Ratings'!G5,"")</f>
        <v/>
      </c>
      <c r="F2404">
        <f>IF(OR(A2404="",'Ratings'!G156=""),"",'Ratings'!G156)</f>
        <v/>
      </c>
      <c r="G2404">
        <f>IF(A2404="","",'Employees'!D15)</f>
        <v/>
      </c>
    </row>
    <row r="2405">
      <c r="A2405">
        <f>IF(AND('Ratings'!A156&lt;&gt;"",'Ratings'!H5&lt;&gt;""),'Ratings'!A156,"")</f>
        <v/>
      </c>
      <c r="B2405">
        <f>IF(A2405="","",'Employees'!C15)</f>
        <v/>
      </c>
      <c r="C2405">
        <f>IF(A2405="","",'Ratings'!C156)</f>
        <v/>
      </c>
      <c r="D2405">
        <f>IF(A2405="","",'Ratings'!D156)</f>
        <v/>
      </c>
      <c r="E2405">
        <f>IF(AND('Ratings'!A156&lt;&gt;"",'Ratings'!H5&lt;&gt;""),'Ratings'!H5,"")</f>
        <v/>
      </c>
      <c r="F2405">
        <f>IF(OR(A2405="",'Ratings'!H156=""),"",'Ratings'!H156)</f>
        <v/>
      </c>
      <c r="G2405">
        <f>IF(A2405="","",'Employees'!D15)</f>
        <v/>
      </c>
    </row>
    <row r="2406">
      <c r="A2406">
        <f>IF(AND('Ratings'!A156&lt;&gt;"",'Ratings'!I5&lt;&gt;""),'Ratings'!A156,"")</f>
        <v/>
      </c>
      <c r="B2406">
        <f>IF(A2406="","",'Employees'!C15)</f>
        <v/>
      </c>
      <c r="C2406">
        <f>IF(A2406="","",'Ratings'!C156)</f>
        <v/>
      </c>
      <c r="D2406">
        <f>IF(A2406="","",'Ratings'!D156)</f>
        <v/>
      </c>
      <c r="E2406">
        <f>IF(AND('Ratings'!A156&lt;&gt;"",'Ratings'!I5&lt;&gt;""),'Ratings'!I5,"")</f>
        <v/>
      </c>
      <c r="F2406">
        <f>IF(OR(A2406="",'Ratings'!I156=""),"",'Ratings'!I156)</f>
        <v/>
      </c>
      <c r="G2406">
        <f>IF(A2406="","",'Employees'!D15)</f>
        <v/>
      </c>
    </row>
    <row r="2407">
      <c r="A2407">
        <f>IF(AND('Ratings'!A156&lt;&gt;"",'Ratings'!J5&lt;&gt;""),'Ratings'!A156,"")</f>
        <v/>
      </c>
      <c r="B2407">
        <f>IF(A2407="","",'Employees'!C15)</f>
        <v/>
      </c>
      <c r="C2407">
        <f>IF(A2407="","",'Ratings'!C156)</f>
        <v/>
      </c>
      <c r="D2407">
        <f>IF(A2407="","",'Ratings'!D156)</f>
        <v/>
      </c>
      <c r="E2407">
        <f>IF(AND('Ratings'!A156&lt;&gt;"",'Ratings'!J5&lt;&gt;""),'Ratings'!J5,"")</f>
        <v/>
      </c>
      <c r="F2407">
        <f>IF(OR(A2407="",'Ratings'!J156=""),"",'Ratings'!J156)</f>
        <v/>
      </c>
      <c r="G2407">
        <f>IF(A2407="","",'Employees'!D15)</f>
        <v/>
      </c>
    </row>
    <row r="2408">
      <c r="A2408">
        <f>IF(AND('Ratings'!A156&lt;&gt;"",'Ratings'!K5&lt;&gt;""),'Ratings'!A156,"")</f>
        <v/>
      </c>
      <c r="B2408">
        <f>IF(A2408="","",'Employees'!C15)</f>
        <v/>
      </c>
      <c r="C2408">
        <f>IF(A2408="","",'Ratings'!C156)</f>
        <v/>
      </c>
      <c r="D2408">
        <f>IF(A2408="","",'Ratings'!D156)</f>
        <v/>
      </c>
      <c r="E2408">
        <f>IF(AND('Ratings'!A156&lt;&gt;"",'Ratings'!K5&lt;&gt;""),'Ratings'!K5,"")</f>
        <v/>
      </c>
      <c r="F2408">
        <f>IF(OR(A2408="",'Ratings'!K156=""),"",'Ratings'!K156)</f>
        <v/>
      </c>
      <c r="G2408">
        <f>IF(A2408="","",'Employees'!D15)</f>
        <v/>
      </c>
    </row>
    <row r="2409">
      <c r="A2409">
        <f>IF(AND('Ratings'!A156&lt;&gt;"",'Ratings'!L5&lt;&gt;""),'Ratings'!A156,"")</f>
        <v/>
      </c>
      <c r="B2409">
        <f>IF(A2409="","",'Employees'!C15)</f>
        <v/>
      </c>
      <c r="C2409">
        <f>IF(A2409="","",'Ratings'!C156)</f>
        <v/>
      </c>
      <c r="D2409">
        <f>IF(A2409="","",'Ratings'!D156)</f>
        <v/>
      </c>
      <c r="E2409">
        <f>IF(AND('Ratings'!A156&lt;&gt;"",'Ratings'!L5&lt;&gt;""),'Ratings'!L5,"")</f>
        <v/>
      </c>
      <c r="F2409">
        <f>IF(OR(A2409="",'Ratings'!L156=""),"",'Ratings'!L156)</f>
        <v/>
      </c>
      <c r="G2409">
        <f>IF(A2409="","",'Employees'!D15)</f>
        <v/>
      </c>
    </row>
    <row r="2410">
      <c r="A2410">
        <f>IF(AND('Ratings'!A156&lt;&gt;"",'Ratings'!M5&lt;&gt;""),'Ratings'!A156,"")</f>
        <v/>
      </c>
      <c r="B2410">
        <f>IF(A2410="","",'Employees'!C15)</f>
        <v/>
      </c>
      <c r="C2410">
        <f>IF(A2410="","",'Ratings'!C156)</f>
        <v/>
      </c>
      <c r="D2410">
        <f>IF(A2410="","",'Ratings'!D156)</f>
        <v/>
      </c>
      <c r="E2410">
        <f>IF(AND('Ratings'!A156&lt;&gt;"",'Ratings'!M5&lt;&gt;""),'Ratings'!M5,"")</f>
        <v/>
      </c>
      <c r="F2410">
        <f>IF(OR(A2410="",'Ratings'!M156=""),"",'Ratings'!M156)</f>
        <v/>
      </c>
      <c r="G2410">
        <f>IF(A2410="","",'Employees'!D15)</f>
        <v/>
      </c>
    </row>
    <row r="2411">
      <c r="A2411">
        <f>IF(AND('Ratings'!A156&lt;&gt;"",'Ratings'!N5&lt;&gt;""),'Ratings'!A156,"")</f>
        <v/>
      </c>
      <c r="B2411">
        <f>IF(A2411="","",'Employees'!C15)</f>
        <v/>
      </c>
      <c r="C2411">
        <f>IF(A2411="","",'Ratings'!C156)</f>
        <v/>
      </c>
      <c r="D2411">
        <f>IF(A2411="","",'Ratings'!D156)</f>
        <v/>
      </c>
      <c r="E2411">
        <f>IF(AND('Ratings'!A156&lt;&gt;"",'Ratings'!N5&lt;&gt;""),'Ratings'!N5,"")</f>
        <v/>
      </c>
      <c r="F2411">
        <f>IF(OR(A2411="",'Ratings'!N156=""),"",'Ratings'!N156)</f>
        <v/>
      </c>
      <c r="G2411">
        <f>IF(A2411="","",'Employees'!D15)</f>
        <v/>
      </c>
    </row>
    <row r="2412">
      <c r="A2412">
        <f>IF(AND('Ratings'!A156&lt;&gt;"",'Ratings'!O5&lt;&gt;""),'Ratings'!A156,"")</f>
        <v/>
      </c>
      <c r="B2412">
        <f>IF(A2412="","",'Employees'!C15)</f>
        <v/>
      </c>
      <c r="C2412">
        <f>IF(A2412="","",'Ratings'!C156)</f>
        <v/>
      </c>
      <c r="D2412">
        <f>IF(A2412="","",'Ratings'!D156)</f>
        <v/>
      </c>
      <c r="E2412">
        <f>IF(AND('Ratings'!A156&lt;&gt;"",'Ratings'!O5&lt;&gt;""),'Ratings'!O5,"")</f>
        <v/>
      </c>
      <c r="F2412">
        <f>IF(OR(A2412="",'Ratings'!O156=""),"",'Ratings'!O156)</f>
        <v/>
      </c>
      <c r="G2412">
        <f>IF(A2412="","",'Employees'!D15)</f>
        <v/>
      </c>
    </row>
    <row r="2413">
      <c r="A2413">
        <f>IF(AND('Ratings'!A156&lt;&gt;"",'Ratings'!P5&lt;&gt;""),'Ratings'!A156,"")</f>
        <v/>
      </c>
      <c r="B2413">
        <f>IF(A2413="","",'Employees'!C15)</f>
        <v/>
      </c>
      <c r="C2413">
        <f>IF(A2413="","",'Ratings'!C156)</f>
        <v/>
      </c>
      <c r="D2413">
        <f>IF(A2413="","",'Ratings'!D156)</f>
        <v/>
      </c>
      <c r="E2413">
        <f>IF(AND('Ratings'!A156&lt;&gt;"",'Ratings'!P5&lt;&gt;""),'Ratings'!P5,"")</f>
        <v/>
      </c>
      <c r="F2413">
        <f>IF(OR(A2413="",'Ratings'!P156=""),"",'Ratings'!P156)</f>
        <v/>
      </c>
      <c r="G2413">
        <f>IF(A2413="","",'Employees'!D15)</f>
        <v/>
      </c>
    </row>
    <row r="2414">
      <c r="A2414">
        <f>IF(AND('Ratings'!A156&lt;&gt;"",'Ratings'!Q5&lt;&gt;""),'Ratings'!A156,"")</f>
        <v/>
      </c>
      <c r="B2414">
        <f>IF(A2414="","",'Employees'!C15)</f>
        <v/>
      </c>
      <c r="C2414">
        <f>IF(A2414="","",'Ratings'!C156)</f>
        <v/>
      </c>
      <c r="D2414">
        <f>IF(A2414="","",'Ratings'!D156)</f>
        <v/>
      </c>
      <c r="E2414">
        <f>IF(AND('Ratings'!A156&lt;&gt;"",'Ratings'!Q5&lt;&gt;""),'Ratings'!Q5,"")</f>
        <v/>
      </c>
      <c r="F2414">
        <f>IF(OR(A2414="",'Ratings'!Q156=""),"",'Ratings'!Q156)</f>
        <v/>
      </c>
      <c r="G2414">
        <f>IF(A2414="","",'Employees'!D15)</f>
        <v/>
      </c>
    </row>
    <row r="2415">
      <c r="A2415">
        <f>IF(AND('Ratings'!A156&lt;&gt;"",'Ratings'!R5&lt;&gt;""),'Ratings'!A156,"")</f>
        <v/>
      </c>
      <c r="B2415">
        <f>IF(A2415="","",'Employees'!C15)</f>
        <v/>
      </c>
      <c r="C2415">
        <f>IF(A2415="","",'Ratings'!C156)</f>
        <v/>
      </c>
      <c r="D2415">
        <f>IF(A2415="","",'Ratings'!D156)</f>
        <v/>
      </c>
      <c r="E2415">
        <f>IF(AND('Ratings'!A156&lt;&gt;"",'Ratings'!R5&lt;&gt;""),'Ratings'!R5,"")</f>
        <v/>
      </c>
      <c r="F2415">
        <f>IF(OR(A2415="",'Ratings'!R156=""),"",'Ratings'!R156)</f>
        <v/>
      </c>
      <c r="G2415">
        <f>IF(A2415="","",'Employees'!D15)</f>
        <v/>
      </c>
    </row>
    <row r="2416">
      <c r="A2416">
        <f>IF(AND('Ratings'!A156&lt;&gt;"",'Ratings'!S5&lt;&gt;""),'Ratings'!A156,"")</f>
        <v/>
      </c>
      <c r="B2416">
        <f>IF(A2416="","",'Employees'!C15)</f>
        <v/>
      </c>
      <c r="C2416">
        <f>IF(A2416="","",'Ratings'!C156)</f>
        <v/>
      </c>
      <c r="D2416">
        <f>IF(A2416="","",'Ratings'!D156)</f>
        <v/>
      </c>
      <c r="E2416">
        <f>IF(AND('Ratings'!A156&lt;&gt;"",'Ratings'!S5&lt;&gt;""),'Ratings'!S5,"")</f>
        <v/>
      </c>
      <c r="F2416">
        <f>IF(OR(A2416="",'Ratings'!S156=""),"",'Ratings'!S156)</f>
        <v/>
      </c>
      <c r="G2416">
        <f>IF(A2416="","",'Employees'!D15)</f>
        <v/>
      </c>
    </row>
    <row r="2417">
      <c r="A2417">
        <f>IF(AND('Ratings'!A156&lt;&gt;"",'Ratings'!T5&lt;&gt;""),'Ratings'!A156,"")</f>
        <v/>
      </c>
      <c r="B2417">
        <f>IF(A2417="","",'Employees'!C15)</f>
        <v/>
      </c>
      <c r="C2417">
        <f>IF(A2417="","",'Ratings'!C156)</f>
        <v/>
      </c>
      <c r="D2417">
        <f>IF(A2417="","",'Ratings'!D156)</f>
        <v/>
      </c>
      <c r="E2417">
        <f>IF(AND('Ratings'!A156&lt;&gt;"",'Ratings'!T5&lt;&gt;""),'Ratings'!T5,"")</f>
        <v/>
      </c>
      <c r="F2417">
        <f>IF(OR(A2417="",'Ratings'!T156=""),"",'Ratings'!T156)</f>
        <v/>
      </c>
      <c r="G2417">
        <f>IF(A2417="","",'Employees'!D15)</f>
        <v/>
      </c>
    </row>
    <row r="2418">
      <c r="A2418">
        <f>IF(AND('Ratings'!A157&lt;&gt;"",'Ratings'!E5&lt;&gt;""),'Ratings'!A157,"")</f>
        <v/>
      </c>
      <c r="B2418">
        <f>IF(A2418="","",'Employees'!C15)</f>
        <v/>
      </c>
      <c r="C2418">
        <f>IF(A2418="","",'Ratings'!C157)</f>
        <v/>
      </c>
      <c r="D2418">
        <f>IF(A2418="","",'Ratings'!D157)</f>
        <v/>
      </c>
      <c r="E2418">
        <f>IF(AND('Ratings'!A157&lt;&gt;"",'Ratings'!E5&lt;&gt;""),'Ratings'!E5,"")</f>
        <v/>
      </c>
      <c r="F2418">
        <f>IF(OR(A2418="",'Ratings'!E157=""),"",'Ratings'!E157)</f>
        <v/>
      </c>
      <c r="G2418">
        <f>IF(A2418="","",'Employees'!D15)</f>
        <v/>
      </c>
    </row>
    <row r="2419">
      <c r="A2419">
        <f>IF(AND('Ratings'!A157&lt;&gt;"",'Ratings'!F5&lt;&gt;""),'Ratings'!A157,"")</f>
        <v/>
      </c>
      <c r="B2419">
        <f>IF(A2419="","",'Employees'!C15)</f>
        <v/>
      </c>
      <c r="C2419">
        <f>IF(A2419="","",'Ratings'!C157)</f>
        <v/>
      </c>
      <c r="D2419">
        <f>IF(A2419="","",'Ratings'!D157)</f>
        <v/>
      </c>
      <c r="E2419">
        <f>IF(AND('Ratings'!A157&lt;&gt;"",'Ratings'!F5&lt;&gt;""),'Ratings'!F5,"")</f>
        <v/>
      </c>
      <c r="F2419">
        <f>IF(OR(A2419="",'Ratings'!F157=""),"",'Ratings'!F157)</f>
        <v/>
      </c>
      <c r="G2419">
        <f>IF(A2419="","",'Employees'!D15)</f>
        <v/>
      </c>
    </row>
    <row r="2420">
      <c r="A2420">
        <f>IF(AND('Ratings'!A157&lt;&gt;"",'Ratings'!G5&lt;&gt;""),'Ratings'!A157,"")</f>
        <v/>
      </c>
      <c r="B2420">
        <f>IF(A2420="","",'Employees'!C15)</f>
        <v/>
      </c>
      <c r="C2420">
        <f>IF(A2420="","",'Ratings'!C157)</f>
        <v/>
      </c>
      <c r="D2420">
        <f>IF(A2420="","",'Ratings'!D157)</f>
        <v/>
      </c>
      <c r="E2420">
        <f>IF(AND('Ratings'!A157&lt;&gt;"",'Ratings'!G5&lt;&gt;""),'Ratings'!G5,"")</f>
        <v/>
      </c>
      <c r="F2420">
        <f>IF(OR(A2420="",'Ratings'!G157=""),"",'Ratings'!G157)</f>
        <v/>
      </c>
      <c r="G2420">
        <f>IF(A2420="","",'Employees'!D15)</f>
        <v/>
      </c>
    </row>
    <row r="2421">
      <c r="A2421">
        <f>IF(AND('Ratings'!A157&lt;&gt;"",'Ratings'!H5&lt;&gt;""),'Ratings'!A157,"")</f>
        <v/>
      </c>
      <c r="B2421">
        <f>IF(A2421="","",'Employees'!C15)</f>
        <v/>
      </c>
      <c r="C2421">
        <f>IF(A2421="","",'Ratings'!C157)</f>
        <v/>
      </c>
      <c r="D2421">
        <f>IF(A2421="","",'Ratings'!D157)</f>
        <v/>
      </c>
      <c r="E2421">
        <f>IF(AND('Ratings'!A157&lt;&gt;"",'Ratings'!H5&lt;&gt;""),'Ratings'!H5,"")</f>
        <v/>
      </c>
      <c r="F2421">
        <f>IF(OR(A2421="",'Ratings'!H157=""),"",'Ratings'!H157)</f>
        <v/>
      </c>
      <c r="G2421">
        <f>IF(A2421="","",'Employees'!D15)</f>
        <v/>
      </c>
    </row>
    <row r="2422">
      <c r="A2422">
        <f>IF(AND('Ratings'!A157&lt;&gt;"",'Ratings'!I5&lt;&gt;""),'Ratings'!A157,"")</f>
        <v/>
      </c>
      <c r="B2422">
        <f>IF(A2422="","",'Employees'!C15)</f>
        <v/>
      </c>
      <c r="C2422">
        <f>IF(A2422="","",'Ratings'!C157)</f>
        <v/>
      </c>
      <c r="D2422">
        <f>IF(A2422="","",'Ratings'!D157)</f>
        <v/>
      </c>
      <c r="E2422">
        <f>IF(AND('Ratings'!A157&lt;&gt;"",'Ratings'!I5&lt;&gt;""),'Ratings'!I5,"")</f>
        <v/>
      </c>
      <c r="F2422">
        <f>IF(OR(A2422="",'Ratings'!I157=""),"",'Ratings'!I157)</f>
        <v/>
      </c>
      <c r="G2422">
        <f>IF(A2422="","",'Employees'!D15)</f>
        <v/>
      </c>
    </row>
    <row r="2423">
      <c r="A2423">
        <f>IF(AND('Ratings'!A157&lt;&gt;"",'Ratings'!J5&lt;&gt;""),'Ratings'!A157,"")</f>
        <v/>
      </c>
      <c r="B2423">
        <f>IF(A2423="","",'Employees'!C15)</f>
        <v/>
      </c>
      <c r="C2423">
        <f>IF(A2423="","",'Ratings'!C157)</f>
        <v/>
      </c>
      <c r="D2423">
        <f>IF(A2423="","",'Ratings'!D157)</f>
        <v/>
      </c>
      <c r="E2423">
        <f>IF(AND('Ratings'!A157&lt;&gt;"",'Ratings'!J5&lt;&gt;""),'Ratings'!J5,"")</f>
        <v/>
      </c>
      <c r="F2423">
        <f>IF(OR(A2423="",'Ratings'!J157=""),"",'Ratings'!J157)</f>
        <v/>
      </c>
      <c r="G2423">
        <f>IF(A2423="","",'Employees'!D15)</f>
        <v/>
      </c>
    </row>
    <row r="2424">
      <c r="A2424">
        <f>IF(AND('Ratings'!A157&lt;&gt;"",'Ratings'!K5&lt;&gt;""),'Ratings'!A157,"")</f>
        <v/>
      </c>
      <c r="B2424">
        <f>IF(A2424="","",'Employees'!C15)</f>
        <v/>
      </c>
      <c r="C2424">
        <f>IF(A2424="","",'Ratings'!C157)</f>
        <v/>
      </c>
      <c r="D2424">
        <f>IF(A2424="","",'Ratings'!D157)</f>
        <v/>
      </c>
      <c r="E2424">
        <f>IF(AND('Ratings'!A157&lt;&gt;"",'Ratings'!K5&lt;&gt;""),'Ratings'!K5,"")</f>
        <v/>
      </c>
      <c r="F2424">
        <f>IF(OR(A2424="",'Ratings'!K157=""),"",'Ratings'!K157)</f>
        <v/>
      </c>
      <c r="G2424">
        <f>IF(A2424="","",'Employees'!D15)</f>
        <v/>
      </c>
    </row>
    <row r="2425">
      <c r="A2425">
        <f>IF(AND('Ratings'!A157&lt;&gt;"",'Ratings'!L5&lt;&gt;""),'Ratings'!A157,"")</f>
        <v/>
      </c>
      <c r="B2425">
        <f>IF(A2425="","",'Employees'!C15)</f>
        <v/>
      </c>
      <c r="C2425">
        <f>IF(A2425="","",'Ratings'!C157)</f>
        <v/>
      </c>
      <c r="D2425">
        <f>IF(A2425="","",'Ratings'!D157)</f>
        <v/>
      </c>
      <c r="E2425">
        <f>IF(AND('Ratings'!A157&lt;&gt;"",'Ratings'!L5&lt;&gt;""),'Ratings'!L5,"")</f>
        <v/>
      </c>
      <c r="F2425">
        <f>IF(OR(A2425="",'Ratings'!L157=""),"",'Ratings'!L157)</f>
        <v/>
      </c>
      <c r="G2425">
        <f>IF(A2425="","",'Employees'!D15)</f>
        <v/>
      </c>
    </row>
    <row r="2426">
      <c r="A2426">
        <f>IF(AND('Ratings'!A157&lt;&gt;"",'Ratings'!M5&lt;&gt;""),'Ratings'!A157,"")</f>
        <v/>
      </c>
      <c r="B2426">
        <f>IF(A2426="","",'Employees'!C15)</f>
        <v/>
      </c>
      <c r="C2426">
        <f>IF(A2426="","",'Ratings'!C157)</f>
        <v/>
      </c>
      <c r="D2426">
        <f>IF(A2426="","",'Ratings'!D157)</f>
        <v/>
      </c>
      <c r="E2426">
        <f>IF(AND('Ratings'!A157&lt;&gt;"",'Ratings'!M5&lt;&gt;""),'Ratings'!M5,"")</f>
        <v/>
      </c>
      <c r="F2426">
        <f>IF(OR(A2426="",'Ratings'!M157=""),"",'Ratings'!M157)</f>
        <v/>
      </c>
      <c r="G2426">
        <f>IF(A2426="","",'Employees'!D15)</f>
        <v/>
      </c>
    </row>
    <row r="2427">
      <c r="A2427">
        <f>IF(AND('Ratings'!A157&lt;&gt;"",'Ratings'!N5&lt;&gt;""),'Ratings'!A157,"")</f>
        <v/>
      </c>
      <c r="B2427">
        <f>IF(A2427="","",'Employees'!C15)</f>
        <v/>
      </c>
      <c r="C2427">
        <f>IF(A2427="","",'Ratings'!C157)</f>
        <v/>
      </c>
      <c r="D2427">
        <f>IF(A2427="","",'Ratings'!D157)</f>
        <v/>
      </c>
      <c r="E2427">
        <f>IF(AND('Ratings'!A157&lt;&gt;"",'Ratings'!N5&lt;&gt;""),'Ratings'!N5,"")</f>
        <v/>
      </c>
      <c r="F2427">
        <f>IF(OR(A2427="",'Ratings'!N157=""),"",'Ratings'!N157)</f>
        <v/>
      </c>
      <c r="G2427">
        <f>IF(A2427="","",'Employees'!D15)</f>
        <v/>
      </c>
    </row>
    <row r="2428">
      <c r="A2428">
        <f>IF(AND('Ratings'!A157&lt;&gt;"",'Ratings'!O5&lt;&gt;""),'Ratings'!A157,"")</f>
        <v/>
      </c>
      <c r="B2428">
        <f>IF(A2428="","",'Employees'!C15)</f>
        <v/>
      </c>
      <c r="C2428">
        <f>IF(A2428="","",'Ratings'!C157)</f>
        <v/>
      </c>
      <c r="D2428">
        <f>IF(A2428="","",'Ratings'!D157)</f>
        <v/>
      </c>
      <c r="E2428">
        <f>IF(AND('Ratings'!A157&lt;&gt;"",'Ratings'!O5&lt;&gt;""),'Ratings'!O5,"")</f>
        <v/>
      </c>
      <c r="F2428">
        <f>IF(OR(A2428="",'Ratings'!O157=""),"",'Ratings'!O157)</f>
        <v/>
      </c>
      <c r="G2428">
        <f>IF(A2428="","",'Employees'!D15)</f>
        <v/>
      </c>
    </row>
    <row r="2429">
      <c r="A2429">
        <f>IF(AND('Ratings'!A157&lt;&gt;"",'Ratings'!P5&lt;&gt;""),'Ratings'!A157,"")</f>
        <v/>
      </c>
      <c r="B2429">
        <f>IF(A2429="","",'Employees'!C15)</f>
        <v/>
      </c>
      <c r="C2429">
        <f>IF(A2429="","",'Ratings'!C157)</f>
        <v/>
      </c>
      <c r="D2429">
        <f>IF(A2429="","",'Ratings'!D157)</f>
        <v/>
      </c>
      <c r="E2429">
        <f>IF(AND('Ratings'!A157&lt;&gt;"",'Ratings'!P5&lt;&gt;""),'Ratings'!P5,"")</f>
        <v/>
      </c>
      <c r="F2429">
        <f>IF(OR(A2429="",'Ratings'!P157=""),"",'Ratings'!P157)</f>
        <v/>
      </c>
      <c r="G2429">
        <f>IF(A2429="","",'Employees'!D15)</f>
        <v/>
      </c>
    </row>
    <row r="2430">
      <c r="A2430">
        <f>IF(AND('Ratings'!A157&lt;&gt;"",'Ratings'!Q5&lt;&gt;""),'Ratings'!A157,"")</f>
        <v/>
      </c>
      <c r="B2430">
        <f>IF(A2430="","",'Employees'!C15)</f>
        <v/>
      </c>
      <c r="C2430">
        <f>IF(A2430="","",'Ratings'!C157)</f>
        <v/>
      </c>
      <c r="D2430">
        <f>IF(A2430="","",'Ratings'!D157)</f>
        <v/>
      </c>
      <c r="E2430">
        <f>IF(AND('Ratings'!A157&lt;&gt;"",'Ratings'!Q5&lt;&gt;""),'Ratings'!Q5,"")</f>
        <v/>
      </c>
      <c r="F2430">
        <f>IF(OR(A2430="",'Ratings'!Q157=""),"",'Ratings'!Q157)</f>
        <v/>
      </c>
      <c r="G2430">
        <f>IF(A2430="","",'Employees'!D15)</f>
        <v/>
      </c>
    </row>
    <row r="2431">
      <c r="A2431">
        <f>IF(AND('Ratings'!A157&lt;&gt;"",'Ratings'!R5&lt;&gt;""),'Ratings'!A157,"")</f>
        <v/>
      </c>
      <c r="B2431">
        <f>IF(A2431="","",'Employees'!C15)</f>
        <v/>
      </c>
      <c r="C2431">
        <f>IF(A2431="","",'Ratings'!C157)</f>
        <v/>
      </c>
      <c r="D2431">
        <f>IF(A2431="","",'Ratings'!D157)</f>
        <v/>
      </c>
      <c r="E2431">
        <f>IF(AND('Ratings'!A157&lt;&gt;"",'Ratings'!R5&lt;&gt;""),'Ratings'!R5,"")</f>
        <v/>
      </c>
      <c r="F2431">
        <f>IF(OR(A2431="",'Ratings'!R157=""),"",'Ratings'!R157)</f>
        <v/>
      </c>
      <c r="G2431">
        <f>IF(A2431="","",'Employees'!D15)</f>
        <v/>
      </c>
    </row>
    <row r="2432">
      <c r="A2432">
        <f>IF(AND('Ratings'!A157&lt;&gt;"",'Ratings'!S5&lt;&gt;""),'Ratings'!A157,"")</f>
        <v/>
      </c>
      <c r="B2432">
        <f>IF(A2432="","",'Employees'!C15)</f>
        <v/>
      </c>
      <c r="C2432">
        <f>IF(A2432="","",'Ratings'!C157)</f>
        <v/>
      </c>
      <c r="D2432">
        <f>IF(A2432="","",'Ratings'!D157)</f>
        <v/>
      </c>
      <c r="E2432">
        <f>IF(AND('Ratings'!A157&lt;&gt;"",'Ratings'!S5&lt;&gt;""),'Ratings'!S5,"")</f>
        <v/>
      </c>
      <c r="F2432">
        <f>IF(OR(A2432="",'Ratings'!S157=""),"",'Ratings'!S157)</f>
        <v/>
      </c>
      <c r="G2432">
        <f>IF(A2432="","",'Employees'!D15)</f>
        <v/>
      </c>
    </row>
    <row r="2433">
      <c r="A2433">
        <f>IF(AND('Ratings'!A157&lt;&gt;"",'Ratings'!T5&lt;&gt;""),'Ratings'!A157,"")</f>
        <v/>
      </c>
      <c r="B2433">
        <f>IF(A2433="","",'Employees'!C15)</f>
        <v/>
      </c>
      <c r="C2433">
        <f>IF(A2433="","",'Ratings'!C157)</f>
        <v/>
      </c>
      <c r="D2433">
        <f>IF(A2433="","",'Ratings'!D157)</f>
        <v/>
      </c>
      <c r="E2433">
        <f>IF(AND('Ratings'!A157&lt;&gt;"",'Ratings'!T5&lt;&gt;""),'Ratings'!T5,"")</f>
        <v/>
      </c>
      <c r="F2433">
        <f>IF(OR(A2433="",'Ratings'!T157=""),"",'Ratings'!T157)</f>
        <v/>
      </c>
      <c r="G2433">
        <f>IF(A2433="","",'Employees'!D15)</f>
        <v/>
      </c>
    </row>
    <row r="2434">
      <c r="A2434">
        <f>IF(AND('Ratings'!A158&lt;&gt;"",'Ratings'!E5&lt;&gt;""),'Ratings'!A158,"")</f>
        <v/>
      </c>
      <c r="B2434">
        <f>IF(A2434="","",'Employees'!C15)</f>
        <v/>
      </c>
      <c r="C2434">
        <f>IF(A2434="","",'Ratings'!C158)</f>
        <v/>
      </c>
      <c r="D2434">
        <f>IF(A2434="","",'Ratings'!D158)</f>
        <v/>
      </c>
      <c r="E2434">
        <f>IF(AND('Ratings'!A158&lt;&gt;"",'Ratings'!E5&lt;&gt;""),'Ratings'!E5,"")</f>
        <v/>
      </c>
      <c r="F2434">
        <f>IF(OR(A2434="",'Ratings'!E158=""),"",'Ratings'!E158)</f>
        <v/>
      </c>
      <c r="G2434">
        <f>IF(A2434="","",'Employees'!D15)</f>
        <v/>
      </c>
    </row>
    <row r="2435">
      <c r="A2435">
        <f>IF(AND('Ratings'!A158&lt;&gt;"",'Ratings'!F5&lt;&gt;""),'Ratings'!A158,"")</f>
        <v/>
      </c>
      <c r="B2435">
        <f>IF(A2435="","",'Employees'!C15)</f>
        <v/>
      </c>
      <c r="C2435">
        <f>IF(A2435="","",'Ratings'!C158)</f>
        <v/>
      </c>
      <c r="D2435">
        <f>IF(A2435="","",'Ratings'!D158)</f>
        <v/>
      </c>
      <c r="E2435">
        <f>IF(AND('Ratings'!A158&lt;&gt;"",'Ratings'!F5&lt;&gt;""),'Ratings'!F5,"")</f>
        <v/>
      </c>
      <c r="F2435">
        <f>IF(OR(A2435="",'Ratings'!F158=""),"",'Ratings'!F158)</f>
        <v/>
      </c>
      <c r="G2435">
        <f>IF(A2435="","",'Employees'!D15)</f>
        <v/>
      </c>
    </row>
    <row r="2436">
      <c r="A2436">
        <f>IF(AND('Ratings'!A158&lt;&gt;"",'Ratings'!G5&lt;&gt;""),'Ratings'!A158,"")</f>
        <v/>
      </c>
      <c r="B2436">
        <f>IF(A2436="","",'Employees'!C15)</f>
        <v/>
      </c>
      <c r="C2436">
        <f>IF(A2436="","",'Ratings'!C158)</f>
        <v/>
      </c>
      <c r="D2436">
        <f>IF(A2436="","",'Ratings'!D158)</f>
        <v/>
      </c>
      <c r="E2436">
        <f>IF(AND('Ratings'!A158&lt;&gt;"",'Ratings'!G5&lt;&gt;""),'Ratings'!G5,"")</f>
        <v/>
      </c>
      <c r="F2436">
        <f>IF(OR(A2436="",'Ratings'!G158=""),"",'Ratings'!G158)</f>
        <v/>
      </c>
      <c r="G2436">
        <f>IF(A2436="","",'Employees'!D15)</f>
        <v/>
      </c>
    </row>
    <row r="2437">
      <c r="A2437">
        <f>IF(AND('Ratings'!A158&lt;&gt;"",'Ratings'!H5&lt;&gt;""),'Ratings'!A158,"")</f>
        <v/>
      </c>
      <c r="B2437">
        <f>IF(A2437="","",'Employees'!C15)</f>
        <v/>
      </c>
      <c r="C2437">
        <f>IF(A2437="","",'Ratings'!C158)</f>
        <v/>
      </c>
      <c r="D2437">
        <f>IF(A2437="","",'Ratings'!D158)</f>
        <v/>
      </c>
      <c r="E2437">
        <f>IF(AND('Ratings'!A158&lt;&gt;"",'Ratings'!H5&lt;&gt;""),'Ratings'!H5,"")</f>
        <v/>
      </c>
      <c r="F2437">
        <f>IF(OR(A2437="",'Ratings'!H158=""),"",'Ratings'!H158)</f>
        <v/>
      </c>
      <c r="G2437">
        <f>IF(A2437="","",'Employees'!D15)</f>
        <v/>
      </c>
    </row>
    <row r="2438">
      <c r="A2438">
        <f>IF(AND('Ratings'!A158&lt;&gt;"",'Ratings'!I5&lt;&gt;""),'Ratings'!A158,"")</f>
        <v/>
      </c>
      <c r="B2438">
        <f>IF(A2438="","",'Employees'!C15)</f>
        <v/>
      </c>
      <c r="C2438">
        <f>IF(A2438="","",'Ratings'!C158)</f>
        <v/>
      </c>
      <c r="D2438">
        <f>IF(A2438="","",'Ratings'!D158)</f>
        <v/>
      </c>
      <c r="E2438">
        <f>IF(AND('Ratings'!A158&lt;&gt;"",'Ratings'!I5&lt;&gt;""),'Ratings'!I5,"")</f>
        <v/>
      </c>
      <c r="F2438">
        <f>IF(OR(A2438="",'Ratings'!I158=""),"",'Ratings'!I158)</f>
        <v/>
      </c>
      <c r="G2438">
        <f>IF(A2438="","",'Employees'!D15)</f>
        <v/>
      </c>
    </row>
    <row r="2439">
      <c r="A2439">
        <f>IF(AND('Ratings'!A158&lt;&gt;"",'Ratings'!J5&lt;&gt;""),'Ratings'!A158,"")</f>
        <v/>
      </c>
      <c r="B2439">
        <f>IF(A2439="","",'Employees'!C15)</f>
        <v/>
      </c>
      <c r="C2439">
        <f>IF(A2439="","",'Ratings'!C158)</f>
        <v/>
      </c>
      <c r="D2439">
        <f>IF(A2439="","",'Ratings'!D158)</f>
        <v/>
      </c>
      <c r="E2439">
        <f>IF(AND('Ratings'!A158&lt;&gt;"",'Ratings'!J5&lt;&gt;""),'Ratings'!J5,"")</f>
        <v/>
      </c>
      <c r="F2439">
        <f>IF(OR(A2439="",'Ratings'!J158=""),"",'Ratings'!J158)</f>
        <v/>
      </c>
      <c r="G2439">
        <f>IF(A2439="","",'Employees'!D15)</f>
        <v/>
      </c>
    </row>
    <row r="2440">
      <c r="A2440">
        <f>IF(AND('Ratings'!A158&lt;&gt;"",'Ratings'!K5&lt;&gt;""),'Ratings'!A158,"")</f>
        <v/>
      </c>
      <c r="B2440">
        <f>IF(A2440="","",'Employees'!C15)</f>
        <v/>
      </c>
      <c r="C2440">
        <f>IF(A2440="","",'Ratings'!C158)</f>
        <v/>
      </c>
      <c r="D2440">
        <f>IF(A2440="","",'Ratings'!D158)</f>
        <v/>
      </c>
      <c r="E2440">
        <f>IF(AND('Ratings'!A158&lt;&gt;"",'Ratings'!K5&lt;&gt;""),'Ratings'!K5,"")</f>
        <v/>
      </c>
      <c r="F2440">
        <f>IF(OR(A2440="",'Ratings'!K158=""),"",'Ratings'!K158)</f>
        <v/>
      </c>
      <c r="G2440">
        <f>IF(A2440="","",'Employees'!D15)</f>
        <v/>
      </c>
    </row>
    <row r="2441">
      <c r="A2441">
        <f>IF(AND('Ratings'!A158&lt;&gt;"",'Ratings'!L5&lt;&gt;""),'Ratings'!A158,"")</f>
        <v/>
      </c>
      <c r="B2441">
        <f>IF(A2441="","",'Employees'!C15)</f>
        <v/>
      </c>
      <c r="C2441">
        <f>IF(A2441="","",'Ratings'!C158)</f>
        <v/>
      </c>
      <c r="D2441">
        <f>IF(A2441="","",'Ratings'!D158)</f>
        <v/>
      </c>
      <c r="E2441">
        <f>IF(AND('Ratings'!A158&lt;&gt;"",'Ratings'!L5&lt;&gt;""),'Ratings'!L5,"")</f>
        <v/>
      </c>
      <c r="F2441">
        <f>IF(OR(A2441="",'Ratings'!L158=""),"",'Ratings'!L158)</f>
        <v/>
      </c>
      <c r="G2441">
        <f>IF(A2441="","",'Employees'!D15)</f>
        <v/>
      </c>
    </row>
    <row r="2442">
      <c r="A2442">
        <f>IF(AND('Ratings'!A158&lt;&gt;"",'Ratings'!M5&lt;&gt;""),'Ratings'!A158,"")</f>
        <v/>
      </c>
      <c r="B2442">
        <f>IF(A2442="","",'Employees'!C15)</f>
        <v/>
      </c>
      <c r="C2442">
        <f>IF(A2442="","",'Ratings'!C158)</f>
        <v/>
      </c>
      <c r="D2442">
        <f>IF(A2442="","",'Ratings'!D158)</f>
        <v/>
      </c>
      <c r="E2442">
        <f>IF(AND('Ratings'!A158&lt;&gt;"",'Ratings'!M5&lt;&gt;""),'Ratings'!M5,"")</f>
        <v/>
      </c>
      <c r="F2442">
        <f>IF(OR(A2442="",'Ratings'!M158=""),"",'Ratings'!M158)</f>
        <v/>
      </c>
      <c r="G2442">
        <f>IF(A2442="","",'Employees'!D15)</f>
        <v/>
      </c>
    </row>
    <row r="2443">
      <c r="A2443">
        <f>IF(AND('Ratings'!A158&lt;&gt;"",'Ratings'!N5&lt;&gt;""),'Ratings'!A158,"")</f>
        <v/>
      </c>
      <c r="B2443">
        <f>IF(A2443="","",'Employees'!C15)</f>
        <v/>
      </c>
      <c r="C2443">
        <f>IF(A2443="","",'Ratings'!C158)</f>
        <v/>
      </c>
      <c r="D2443">
        <f>IF(A2443="","",'Ratings'!D158)</f>
        <v/>
      </c>
      <c r="E2443">
        <f>IF(AND('Ratings'!A158&lt;&gt;"",'Ratings'!N5&lt;&gt;""),'Ratings'!N5,"")</f>
        <v/>
      </c>
      <c r="F2443">
        <f>IF(OR(A2443="",'Ratings'!N158=""),"",'Ratings'!N158)</f>
        <v/>
      </c>
      <c r="G2443">
        <f>IF(A2443="","",'Employees'!D15)</f>
        <v/>
      </c>
    </row>
    <row r="2444">
      <c r="A2444">
        <f>IF(AND('Ratings'!A158&lt;&gt;"",'Ratings'!O5&lt;&gt;""),'Ratings'!A158,"")</f>
        <v/>
      </c>
      <c r="B2444">
        <f>IF(A2444="","",'Employees'!C15)</f>
        <v/>
      </c>
      <c r="C2444">
        <f>IF(A2444="","",'Ratings'!C158)</f>
        <v/>
      </c>
      <c r="D2444">
        <f>IF(A2444="","",'Ratings'!D158)</f>
        <v/>
      </c>
      <c r="E2444">
        <f>IF(AND('Ratings'!A158&lt;&gt;"",'Ratings'!O5&lt;&gt;""),'Ratings'!O5,"")</f>
        <v/>
      </c>
      <c r="F2444">
        <f>IF(OR(A2444="",'Ratings'!O158=""),"",'Ratings'!O158)</f>
        <v/>
      </c>
      <c r="G2444">
        <f>IF(A2444="","",'Employees'!D15)</f>
        <v/>
      </c>
    </row>
    <row r="2445">
      <c r="A2445">
        <f>IF(AND('Ratings'!A158&lt;&gt;"",'Ratings'!P5&lt;&gt;""),'Ratings'!A158,"")</f>
        <v/>
      </c>
      <c r="B2445">
        <f>IF(A2445="","",'Employees'!C15)</f>
        <v/>
      </c>
      <c r="C2445">
        <f>IF(A2445="","",'Ratings'!C158)</f>
        <v/>
      </c>
      <c r="D2445">
        <f>IF(A2445="","",'Ratings'!D158)</f>
        <v/>
      </c>
      <c r="E2445">
        <f>IF(AND('Ratings'!A158&lt;&gt;"",'Ratings'!P5&lt;&gt;""),'Ratings'!P5,"")</f>
        <v/>
      </c>
      <c r="F2445">
        <f>IF(OR(A2445="",'Ratings'!P158=""),"",'Ratings'!P158)</f>
        <v/>
      </c>
      <c r="G2445">
        <f>IF(A2445="","",'Employees'!D15)</f>
        <v/>
      </c>
    </row>
    <row r="2446">
      <c r="A2446">
        <f>IF(AND('Ratings'!A158&lt;&gt;"",'Ratings'!Q5&lt;&gt;""),'Ratings'!A158,"")</f>
        <v/>
      </c>
      <c r="B2446">
        <f>IF(A2446="","",'Employees'!C15)</f>
        <v/>
      </c>
      <c r="C2446">
        <f>IF(A2446="","",'Ratings'!C158)</f>
        <v/>
      </c>
      <c r="D2446">
        <f>IF(A2446="","",'Ratings'!D158)</f>
        <v/>
      </c>
      <c r="E2446">
        <f>IF(AND('Ratings'!A158&lt;&gt;"",'Ratings'!Q5&lt;&gt;""),'Ratings'!Q5,"")</f>
        <v/>
      </c>
      <c r="F2446">
        <f>IF(OR(A2446="",'Ratings'!Q158=""),"",'Ratings'!Q158)</f>
        <v/>
      </c>
      <c r="G2446">
        <f>IF(A2446="","",'Employees'!D15)</f>
        <v/>
      </c>
    </row>
    <row r="2447">
      <c r="A2447">
        <f>IF(AND('Ratings'!A158&lt;&gt;"",'Ratings'!R5&lt;&gt;""),'Ratings'!A158,"")</f>
        <v/>
      </c>
      <c r="B2447">
        <f>IF(A2447="","",'Employees'!C15)</f>
        <v/>
      </c>
      <c r="C2447">
        <f>IF(A2447="","",'Ratings'!C158)</f>
        <v/>
      </c>
      <c r="D2447">
        <f>IF(A2447="","",'Ratings'!D158)</f>
        <v/>
      </c>
      <c r="E2447">
        <f>IF(AND('Ratings'!A158&lt;&gt;"",'Ratings'!R5&lt;&gt;""),'Ratings'!R5,"")</f>
        <v/>
      </c>
      <c r="F2447">
        <f>IF(OR(A2447="",'Ratings'!R158=""),"",'Ratings'!R158)</f>
        <v/>
      </c>
      <c r="G2447">
        <f>IF(A2447="","",'Employees'!D15)</f>
        <v/>
      </c>
    </row>
    <row r="2448">
      <c r="A2448">
        <f>IF(AND('Ratings'!A158&lt;&gt;"",'Ratings'!S5&lt;&gt;""),'Ratings'!A158,"")</f>
        <v/>
      </c>
      <c r="B2448">
        <f>IF(A2448="","",'Employees'!C15)</f>
        <v/>
      </c>
      <c r="C2448">
        <f>IF(A2448="","",'Ratings'!C158)</f>
        <v/>
      </c>
      <c r="D2448">
        <f>IF(A2448="","",'Ratings'!D158)</f>
        <v/>
      </c>
      <c r="E2448">
        <f>IF(AND('Ratings'!A158&lt;&gt;"",'Ratings'!S5&lt;&gt;""),'Ratings'!S5,"")</f>
        <v/>
      </c>
      <c r="F2448">
        <f>IF(OR(A2448="",'Ratings'!S158=""),"",'Ratings'!S158)</f>
        <v/>
      </c>
      <c r="G2448">
        <f>IF(A2448="","",'Employees'!D15)</f>
        <v/>
      </c>
    </row>
    <row r="2449">
      <c r="A2449">
        <f>IF(AND('Ratings'!A158&lt;&gt;"",'Ratings'!T5&lt;&gt;""),'Ratings'!A158,"")</f>
        <v/>
      </c>
      <c r="B2449">
        <f>IF(A2449="","",'Employees'!C15)</f>
        <v/>
      </c>
      <c r="C2449">
        <f>IF(A2449="","",'Ratings'!C158)</f>
        <v/>
      </c>
      <c r="D2449">
        <f>IF(A2449="","",'Ratings'!D158)</f>
        <v/>
      </c>
      <c r="E2449">
        <f>IF(AND('Ratings'!A158&lt;&gt;"",'Ratings'!T5&lt;&gt;""),'Ratings'!T5,"")</f>
        <v/>
      </c>
      <c r="F2449">
        <f>IF(OR(A2449="",'Ratings'!T158=""),"",'Ratings'!T158)</f>
        <v/>
      </c>
      <c r="G2449">
        <f>IF(A2449="","",'Employees'!D15)</f>
        <v/>
      </c>
    </row>
    <row r="2450">
      <c r="A2450">
        <f>IF(AND('Ratings'!A159&lt;&gt;"",'Ratings'!E5&lt;&gt;""),'Ratings'!A159,"")</f>
        <v/>
      </c>
      <c r="B2450">
        <f>IF(A2450="","",'Employees'!C15)</f>
        <v/>
      </c>
      <c r="C2450">
        <f>IF(A2450="","",'Ratings'!C159)</f>
        <v/>
      </c>
      <c r="D2450">
        <f>IF(A2450="","",'Ratings'!D159)</f>
        <v/>
      </c>
      <c r="E2450">
        <f>IF(AND('Ratings'!A159&lt;&gt;"",'Ratings'!E5&lt;&gt;""),'Ratings'!E5,"")</f>
        <v/>
      </c>
      <c r="F2450">
        <f>IF(OR(A2450="",'Ratings'!E159=""),"",'Ratings'!E159)</f>
        <v/>
      </c>
      <c r="G2450">
        <f>IF(A2450="","",'Employees'!D15)</f>
        <v/>
      </c>
    </row>
    <row r="2451">
      <c r="A2451">
        <f>IF(AND('Ratings'!A159&lt;&gt;"",'Ratings'!F5&lt;&gt;""),'Ratings'!A159,"")</f>
        <v/>
      </c>
      <c r="B2451">
        <f>IF(A2451="","",'Employees'!C15)</f>
        <v/>
      </c>
      <c r="C2451">
        <f>IF(A2451="","",'Ratings'!C159)</f>
        <v/>
      </c>
      <c r="D2451">
        <f>IF(A2451="","",'Ratings'!D159)</f>
        <v/>
      </c>
      <c r="E2451">
        <f>IF(AND('Ratings'!A159&lt;&gt;"",'Ratings'!F5&lt;&gt;""),'Ratings'!F5,"")</f>
        <v/>
      </c>
      <c r="F2451">
        <f>IF(OR(A2451="",'Ratings'!F159=""),"",'Ratings'!F159)</f>
        <v/>
      </c>
      <c r="G2451">
        <f>IF(A2451="","",'Employees'!D15)</f>
        <v/>
      </c>
    </row>
    <row r="2452">
      <c r="A2452">
        <f>IF(AND('Ratings'!A159&lt;&gt;"",'Ratings'!G5&lt;&gt;""),'Ratings'!A159,"")</f>
        <v/>
      </c>
      <c r="B2452">
        <f>IF(A2452="","",'Employees'!C15)</f>
        <v/>
      </c>
      <c r="C2452">
        <f>IF(A2452="","",'Ratings'!C159)</f>
        <v/>
      </c>
      <c r="D2452">
        <f>IF(A2452="","",'Ratings'!D159)</f>
        <v/>
      </c>
      <c r="E2452">
        <f>IF(AND('Ratings'!A159&lt;&gt;"",'Ratings'!G5&lt;&gt;""),'Ratings'!G5,"")</f>
        <v/>
      </c>
      <c r="F2452">
        <f>IF(OR(A2452="",'Ratings'!G159=""),"",'Ratings'!G159)</f>
        <v/>
      </c>
      <c r="G2452">
        <f>IF(A2452="","",'Employees'!D15)</f>
        <v/>
      </c>
    </row>
    <row r="2453">
      <c r="A2453">
        <f>IF(AND('Ratings'!A159&lt;&gt;"",'Ratings'!H5&lt;&gt;""),'Ratings'!A159,"")</f>
        <v/>
      </c>
      <c r="B2453">
        <f>IF(A2453="","",'Employees'!C15)</f>
        <v/>
      </c>
      <c r="C2453">
        <f>IF(A2453="","",'Ratings'!C159)</f>
        <v/>
      </c>
      <c r="D2453">
        <f>IF(A2453="","",'Ratings'!D159)</f>
        <v/>
      </c>
      <c r="E2453">
        <f>IF(AND('Ratings'!A159&lt;&gt;"",'Ratings'!H5&lt;&gt;""),'Ratings'!H5,"")</f>
        <v/>
      </c>
      <c r="F2453">
        <f>IF(OR(A2453="",'Ratings'!H159=""),"",'Ratings'!H159)</f>
        <v/>
      </c>
      <c r="G2453">
        <f>IF(A2453="","",'Employees'!D15)</f>
        <v/>
      </c>
    </row>
    <row r="2454">
      <c r="A2454">
        <f>IF(AND('Ratings'!A159&lt;&gt;"",'Ratings'!I5&lt;&gt;""),'Ratings'!A159,"")</f>
        <v/>
      </c>
      <c r="B2454">
        <f>IF(A2454="","",'Employees'!C15)</f>
        <v/>
      </c>
      <c r="C2454">
        <f>IF(A2454="","",'Ratings'!C159)</f>
        <v/>
      </c>
      <c r="D2454">
        <f>IF(A2454="","",'Ratings'!D159)</f>
        <v/>
      </c>
      <c r="E2454">
        <f>IF(AND('Ratings'!A159&lt;&gt;"",'Ratings'!I5&lt;&gt;""),'Ratings'!I5,"")</f>
        <v/>
      </c>
      <c r="F2454">
        <f>IF(OR(A2454="",'Ratings'!I159=""),"",'Ratings'!I159)</f>
        <v/>
      </c>
      <c r="G2454">
        <f>IF(A2454="","",'Employees'!D15)</f>
        <v/>
      </c>
    </row>
    <row r="2455">
      <c r="A2455">
        <f>IF(AND('Ratings'!A159&lt;&gt;"",'Ratings'!J5&lt;&gt;""),'Ratings'!A159,"")</f>
        <v/>
      </c>
      <c r="B2455">
        <f>IF(A2455="","",'Employees'!C15)</f>
        <v/>
      </c>
      <c r="C2455">
        <f>IF(A2455="","",'Ratings'!C159)</f>
        <v/>
      </c>
      <c r="D2455">
        <f>IF(A2455="","",'Ratings'!D159)</f>
        <v/>
      </c>
      <c r="E2455">
        <f>IF(AND('Ratings'!A159&lt;&gt;"",'Ratings'!J5&lt;&gt;""),'Ratings'!J5,"")</f>
        <v/>
      </c>
      <c r="F2455">
        <f>IF(OR(A2455="",'Ratings'!J159=""),"",'Ratings'!J159)</f>
        <v/>
      </c>
      <c r="G2455">
        <f>IF(A2455="","",'Employees'!D15)</f>
        <v/>
      </c>
    </row>
    <row r="2456">
      <c r="A2456">
        <f>IF(AND('Ratings'!A159&lt;&gt;"",'Ratings'!K5&lt;&gt;""),'Ratings'!A159,"")</f>
        <v/>
      </c>
      <c r="B2456">
        <f>IF(A2456="","",'Employees'!C15)</f>
        <v/>
      </c>
      <c r="C2456">
        <f>IF(A2456="","",'Ratings'!C159)</f>
        <v/>
      </c>
      <c r="D2456">
        <f>IF(A2456="","",'Ratings'!D159)</f>
        <v/>
      </c>
      <c r="E2456">
        <f>IF(AND('Ratings'!A159&lt;&gt;"",'Ratings'!K5&lt;&gt;""),'Ratings'!K5,"")</f>
        <v/>
      </c>
      <c r="F2456">
        <f>IF(OR(A2456="",'Ratings'!K159=""),"",'Ratings'!K159)</f>
        <v/>
      </c>
      <c r="G2456">
        <f>IF(A2456="","",'Employees'!D15)</f>
        <v/>
      </c>
    </row>
    <row r="2457">
      <c r="A2457">
        <f>IF(AND('Ratings'!A159&lt;&gt;"",'Ratings'!L5&lt;&gt;""),'Ratings'!A159,"")</f>
        <v/>
      </c>
      <c r="B2457">
        <f>IF(A2457="","",'Employees'!C15)</f>
        <v/>
      </c>
      <c r="C2457">
        <f>IF(A2457="","",'Ratings'!C159)</f>
        <v/>
      </c>
      <c r="D2457">
        <f>IF(A2457="","",'Ratings'!D159)</f>
        <v/>
      </c>
      <c r="E2457">
        <f>IF(AND('Ratings'!A159&lt;&gt;"",'Ratings'!L5&lt;&gt;""),'Ratings'!L5,"")</f>
        <v/>
      </c>
      <c r="F2457">
        <f>IF(OR(A2457="",'Ratings'!L159=""),"",'Ratings'!L159)</f>
        <v/>
      </c>
      <c r="G2457">
        <f>IF(A2457="","",'Employees'!D15)</f>
        <v/>
      </c>
    </row>
    <row r="2458">
      <c r="A2458">
        <f>IF(AND('Ratings'!A159&lt;&gt;"",'Ratings'!M5&lt;&gt;""),'Ratings'!A159,"")</f>
        <v/>
      </c>
      <c r="B2458">
        <f>IF(A2458="","",'Employees'!C15)</f>
        <v/>
      </c>
      <c r="C2458">
        <f>IF(A2458="","",'Ratings'!C159)</f>
        <v/>
      </c>
      <c r="D2458">
        <f>IF(A2458="","",'Ratings'!D159)</f>
        <v/>
      </c>
      <c r="E2458">
        <f>IF(AND('Ratings'!A159&lt;&gt;"",'Ratings'!M5&lt;&gt;""),'Ratings'!M5,"")</f>
        <v/>
      </c>
      <c r="F2458">
        <f>IF(OR(A2458="",'Ratings'!M159=""),"",'Ratings'!M159)</f>
        <v/>
      </c>
      <c r="G2458">
        <f>IF(A2458="","",'Employees'!D15)</f>
        <v/>
      </c>
    </row>
    <row r="2459">
      <c r="A2459">
        <f>IF(AND('Ratings'!A159&lt;&gt;"",'Ratings'!N5&lt;&gt;""),'Ratings'!A159,"")</f>
        <v/>
      </c>
      <c r="B2459">
        <f>IF(A2459="","",'Employees'!C15)</f>
        <v/>
      </c>
      <c r="C2459">
        <f>IF(A2459="","",'Ratings'!C159)</f>
        <v/>
      </c>
      <c r="D2459">
        <f>IF(A2459="","",'Ratings'!D159)</f>
        <v/>
      </c>
      <c r="E2459">
        <f>IF(AND('Ratings'!A159&lt;&gt;"",'Ratings'!N5&lt;&gt;""),'Ratings'!N5,"")</f>
        <v/>
      </c>
      <c r="F2459">
        <f>IF(OR(A2459="",'Ratings'!N159=""),"",'Ratings'!N159)</f>
        <v/>
      </c>
      <c r="G2459">
        <f>IF(A2459="","",'Employees'!D15)</f>
        <v/>
      </c>
    </row>
    <row r="2460">
      <c r="A2460">
        <f>IF(AND('Ratings'!A159&lt;&gt;"",'Ratings'!O5&lt;&gt;""),'Ratings'!A159,"")</f>
        <v/>
      </c>
      <c r="B2460">
        <f>IF(A2460="","",'Employees'!C15)</f>
        <v/>
      </c>
      <c r="C2460">
        <f>IF(A2460="","",'Ratings'!C159)</f>
        <v/>
      </c>
      <c r="D2460">
        <f>IF(A2460="","",'Ratings'!D159)</f>
        <v/>
      </c>
      <c r="E2460">
        <f>IF(AND('Ratings'!A159&lt;&gt;"",'Ratings'!O5&lt;&gt;""),'Ratings'!O5,"")</f>
        <v/>
      </c>
      <c r="F2460">
        <f>IF(OR(A2460="",'Ratings'!O159=""),"",'Ratings'!O159)</f>
        <v/>
      </c>
      <c r="G2460">
        <f>IF(A2460="","",'Employees'!D15)</f>
        <v/>
      </c>
    </row>
    <row r="2461">
      <c r="A2461">
        <f>IF(AND('Ratings'!A159&lt;&gt;"",'Ratings'!P5&lt;&gt;""),'Ratings'!A159,"")</f>
        <v/>
      </c>
      <c r="B2461">
        <f>IF(A2461="","",'Employees'!C15)</f>
        <v/>
      </c>
      <c r="C2461">
        <f>IF(A2461="","",'Ratings'!C159)</f>
        <v/>
      </c>
      <c r="D2461">
        <f>IF(A2461="","",'Ratings'!D159)</f>
        <v/>
      </c>
      <c r="E2461">
        <f>IF(AND('Ratings'!A159&lt;&gt;"",'Ratings'!P5&lt;&gt;""),'Ratings'!P5,"")</f>
        <v/>
      </c>
      <c r="F2461">
        <f>IF(OR(A2461="",'Ratings'!P159=""),"",'Ratings'!P159)</f>
        <v/>
      </c>
      <c r="G2461">
        <f>IF(A2461="","",'Employees'!D15)</f>
        <v/>
      </c>
    </row>
    <row r="2462">
      <c r="A2462">
        <f>IF(AND('Ratings'!A159&lt;&gt;"",'Ratings'!Q5&lt;&gt;""),'Ratings'!A159,"")</f>
        <v/>
      </c>
      <c r="B2462">
        <f>IF(A2462="","",'Employees'!C15)</f>
        <v/>
      </c>
      <c r="C2462">
        <f>IF(A2462="","",'Ratings'!C159)</f>
        <v/>
      </c>
      <c r="D2462">
        <f>IF(A2462="","",'Ratings'!D159)</f>
        <v/>
      </c>
      <c r="E2462">
        <f>IF(AND('Ratings'!A159&lt;&gt;"",'Ratings'!Q5&lt;&gt;""),'Ratings'!Q5,"")</f>
        <v/>
      </c>
      <c r="F2462">
        <f>IF(OR(A2462="",'Ratings'!Q159=""),"",'Ratings'!Q159)</f>
        <v/>
      </c>
      <c r="G2462">
        <f>IF(A2462="","",'Employees'!D15)</f>
        <v/>
      </c>
    </row>
    <row r="2463">
      <c r="A2463">
        <f>IF(AND('Ratings'!A159&lt;&gt;"",'Ratings'!R5&lt;&gt;""),'Ratings'!A159,"")</f>
        <v/>
      </c>
      <c r="B2463">
        <f>IF(A2463="","",'Employees'!C15)</f>
        <v/>
      </c>
      <c r="C2463">
        <f>IF(A2463="","",'Ratings'!C159)</f>
        <v/>
      </c>
      <c r="D2463">
        <f>IF(A2463="","",'Ratings'!D159)</f>
        <v/>
      </c>
      <c r="E2463">
        <f>IF(AND('Ratings'!A159&lt;&gt;"",'Ratings'!R5&lt;&gt;""),'Ratings'!R5,"")</f>
        <v/>
      </c>
      <c r="F2463">
        <f>IF(OR(A2463="",'Ratings'!R159=""),"",'Ratings'!R159)</f>
        <v/>
      </c>
      <c r="G2463">
        <f>IF(A2463="","",'Employees'!D15)</f>
        <v/>
      </c>
    </row>
    <row r="2464">
      <c r="A2464">
        <f>IF(AND('Ratings'!A159&lt;&gt;"",'Ratings'!S5&lt;&gt;""),'Ratings'!A159,"")</f>
        <v/>
      </c>
      <c r="B2464">
        <f>IF(A2464="","",'Employees'!C15)</f>
        <v/>
      </c>
      <c r="C2464">
        <f>IF(A2464="","",'Ratings'!C159)</f>
        <v/>
      </c>
      <c r="D2464">
        <f>IF(A2464="","",'Ratings'!D159)</f>
        <v/>
      </c>
      <c r="E2464">
        <f>IF(AND('Ratings'!A159&lt;&gt;"",'Ratings'!S5&lt;&gt;""),'Ratings'!S5,"")</f>
        <v/>
      </c>
      <c r="F2464">
        <f>IF(OR(A2464="",'Ratings'!S159=""),"",'Ratings'!S159)</f>
        <v/>
      </c>
      <c r="G2464">
        <f>IF(A2464="","",'Employees'!D15)</f>
        <v/>
      </c>
    </row>
    <row r="2465">
      <c r="A2465">
        <f>IF(AND('Ratings'!A159&lt;&gt;"",'Ratings'!T5&lt;&gt;""),'Ratings'!A159,"")</f>
        <v/>
      </c>
      <c r="B2465">
        <f>IF(A2465="","",'Employees'!C15)</f>
        <v/>
      </c>
      <c r="C2465">
        <f>IF(A2465="","",'Ratings'!C159)</f>
        <v/>
      </c>
      <c r="D2465">
        <f>IF(A2465="","",'Ratings'!D159)</f>
        <v/>
      </c>
      <c r="E2465">
        <f>IF(AND('Ratings'!A159&lt;&gt;"",'Ratings'!T5&lt;&gt;""),'Ratings'!T5,"")</f>
        <v/>
      </c>
      <c r="F2465">
        <f>IF(OR(A2465="",'Ratings'!T159=""),"",'Ratings'!T159)</f>
        <v/>
      </c>
      <c r="G2465">
        <f>IF(A2465="","",'Employees'!D15)</f>
        <v/>
      </c>
    </row>
    <row r="2466">
      <c r="A2466">
        <f>IF(AND('Ratings'!A160&lt;&gt;"",'Ratings'!E5&lt;&gt;""),'Ratings'!A160,"")</f>
        <v/>
      </c>
      <c r="B2466">
        <f>IF(A2466="","",'Employees'!C15)</f>
        <v/>
      </c>
      <c r="C2466">
        <f>IF(A2466="","",'Ratings'!C160)</f>
        <v/>
      </c>
      <c r="D2466">
        <f>IF(A2466="","",'Ratings'!D160)</f>
        <v/>
      </c>
      <c r="E2466">
        <f>IF(AND('Ratings'!A160&lt;&gt;"",'Ratings'!E5&lt;&gt;""),'Ratings'!E5,"")</f>
        <v/>
      </c>
      <c r="F2466">
        <f>IF(OR(A2466="",'Ratings'!E160=""),"",'Ratings'!E160)</f>
        <v/>
      </c>
      <c r="G2466">
        <f>IF(A2466="","",'Employees'!D15)</f>
        <v/>
      </c>
    </row>
    <row r="2467">
      <c r="A2467">
        <f>IF(AND('Ratings'!A160&lt;&gt;"",'Ratings'!F5&lt;&gt;""),'Ratings'!A160,"")</f>
        <v/>
      </c>
      <c r="B2467">
        <f>IF(A2467="","",'Employees'!C15)</f>
        <v/>
      </c>
      <c r="C2467">
        <f>IF(A2467="","",'Ratings'!C160)</f>
        <v/>
      </c>
      <c r="D2467">
        <f>IF(A2467="","",'Ratings'!D160)</f>
        <v/>
      </c>
      <c r="E2467">
        <f>IF(AND('Ratings'!A160&lt;&gt;"",'Ratings'!F5&lt;&gt;""),'Ratings'!F5,"")</f>
        <v/>
      </c>
      <c r="F2467">
        <f>IF(OR(A2467="",'Ratings'!F160=""),"",'Ratings'!F160)</f>
        <v/>
      </c>
      <c r="G2467">
        <f>IF(A2467="","",'Employees'!D15)</f>
        <v/>
      </c>
    </row>
    <row r="2468">
      <c r="A2468">
        <f>IF(AND('Ratings'!A160&lt;&gt;"",'Ratings'!G5&lt;&gt;""),'Ratings'!A160,"")</f>
        <v/>
      </c>
      <c r="B2468">
        <f>IF(A2468="","",'Employees'!C15)</f>
        <v/>
      </c>
      <c r="C2468">
        <f>IF(A2468="","",'Ratings'!C160)</f>
        <v/>
      </c>
      <c r="D2468">
        <f>IF(A2468="","",'Ratings'!D160)</f>
        <v/>
      </c>
      <c r="E2468">
        <f>IF(AND('Ratings'!A160&lt;&gt;"",'Ratings'!G5&lt;&gt;""),'Ratings'!G5,"")</f>
        <v/>
      </c>
      <c r="F2468">
        <f>IF(OR(A2468="",'Ratings'!G160=""),"",'Ratings'!G160)</f>
        <v/>
      </c>
      <c r="G2468">
        <f>IF(A2468="","",'Employees'!D15)</f>
        <v/>
      </c>
    </row>
    <row r="2469">
      <c r="A2469">
        <f>IF(AND('Ratings'!A160&lt;&gt;"",'Ratings'!H5&lt;&gt;""),'Ratings'!A160,"")</f>
        <v/>
      </c>
      <c r="B2469">
        <f>IF(A2469="","",'Employees'!C15)</f>
        <v/>
      </c>
      <c r="C2469">
        <f>IF(A2469="","",'Ratings'!C160)</f>
        <v/>
      </c>
      <c r="D2469">
        <f>IF(A2469="","",'Ratings'!D160)</f>
        <v/>
      </c>
      <c r="E2469">
        <f>IF(AND('Ratings'!A160&lt;&gt;"",'Ratings'!H5&lt;&gt;""),'Ratings'!H5,"")</f>
        <v/>
      </c>
      <c r="F2469">
        <f>IF(OR(A2469="",'Ratings'!H160=""),"",'Ratings'!H160)</f>
        <v/>
      </c>
      <c r="G2469">
        <f>IF(A2469="","",'Employees'!D15)</f>
        <v/>
      </c>
    </row>
    <row r="2470">
      <c r="A2470">
        <f>IF(AND('Ratings'!A160&lt;&gt;"",'Ratings'!I5&lt;&gt;""),'Ratings'!A160,"")</f>
        <v/>
      </c>
      <c r="B2470">
        <f>IF(A2470="","",'Employees'!C15)</f>
        <v/>
      </c>
      <c r="C2470">
        <f>IF(A2470="","",'Ratings'!C160)</f>
        <v/>
      </c>
      <c r="D2470">
        <f>IF(A2470="","",'Ratings'!D160)</f>
        <v/>
      </c>
      <c r="E2470">
        <f>IF(AND('Ratings'!A160&lt;&gt;"",'Ratings'!I5&lt;&gt;""),'Ratings'!I5,"")</f>
        <v/>
      </c>
      <c r="F2470">
        <f>IF(OR(A2470="",'Ratings'!I160=""),"",'Ratings'!I160)</f>
        <v/>
      </c>
      <c r="G2470">
        <f>IF(A2470="","",'Employees'!D15)</f>
        <v/>
      </c>
    </row>
    <row r="2471">
      <c r="A2471">
        <f>IF(AND('Ratings'!A160&lt;&gt;"",'Ratings'!J5&lt;&gt;""),'Ratings'!A160,"")</f>
        <v/>
      </c>
      <c r="B2471">
        <f>IF(A2471="","",'Employees'!C15)</f>
        <v/>
      </c>
      <c r="C2471">
        <f>IF(A2471="","",'Ratings'!C160)</f>
        <v/>
      </c>
      <c r="D2471">
        <f>IF(A2471="","",'Ratings'!D160)</f>
        <v/>
      </c>
      <c r="E2471">
        <f>IF(AND('Ratings'!A160&lt;&gt;"",'Ratings'!J5&lt;&gt;""),'Ratings'!J5,"")</f>
        <v/>
      </c>
      <c r="F2471">
        <f>IF(OR(A2471="",'Ratings'!J160=""),"",'Ratings'!J160)</f>
        <v/>
      </c>
      <c r="G2471">
        <f>IF(A2471="","",'Employees'!D15)</f>
        <v/>
      </c>
    </row>
    <row r="2472">
      <c r="A2472">
        <f>IF(AND('Ratings'!A160&lt;&gt;"",'Ratings'!K5&lt;&gt;""),'Ratings'!A160,"")</f>
        <v/>
      </c>
      <c r="B2472">
        <f>IF(A2472="","",'Employees'!C15)</f>
        <v/>
      </c>
      <c r="C2472">
        <f>IF(A2472="","",'Ratings'!C160)</f>
        <v/>
      </c>
      <c r="D2472">
        <f>IF(A2472="","",'Ratings'!D160)</f>
        <v/>
      </c>
      <c r="E2472">
        <f>IF(AND('Ratings'!A160&lt;&gt;"",'Ratings'!K5&lt;&gt;""),'Ratings'!K5,"")</f>
        <v/>
      </c>
      <c r="F2472">
        <f>IF(OR(A2472="",'Ratings'!K160=""),"",'Ratings'!K160)</f>
        <v/>
      </c>
      <c r="G2472">
        <f>IF(A2472="","",'Employees'!D15)</f>
        <v/>
      </c>
    </row>
    <row r="2473">
      <c r="A2473">
        <f>IF(AND('Ratings'!A160&lt;&gt;"",'Ratings'!L5&lt;&gt;""),'Ratings'!A160,"")</f>
        <v/>
      </c>
      <c r="B2473">
        <f>IF(A2473="","",'Employees'!C15)</f>
        <v/>
      </c>
      <c r="C2473">
        <f>IF(A2473="","",'Ratings'!C160)</f>
        <v/>
      </c>
      <c r="D2473">
        <f>IF(A2473="","",'Ratings'!D160)</f>
        <v/>
      </c>
      <c r="E2473">
        <f>IF(AND('Ratings'!A160&lt;&gt;"",'Ratings'!L5&lt;&gt;""),'Ratings'!L5,"")</f>
        <v/>
      </c>
      <c r="F2473">
        <f>IF(OR(A2473="",'Ratings'!L160=""),"",'Ratings'!L160)</f>
        <v/>
      </c>
      <c r="G2473">
        <f>IF(A2473="","",'Employees'!D15)</f>
        <v/>
      </c>
    </row>
    <row r="2474">
      <c r="A2474">
        <f>IF(AND('Ratings'!A160&lt;&gt;"",'Ratings'!M5&lt;&gt;""),'Ratings'!A160,"")</f>
        <v/>
      </c>
      <c r="B2474">
        <f>IF(A2474="","",'Employees'!C15)</f>
        <v/>
      </c>
      <c r="C2474">
        <f>IF(A2474="","",'Ratings'!C160)</f>
        <v/>
      </c>
      <c r="D2474">
        <f>IF(A2474="","",'Ratings'!D160)</f>
        <v/>
      </c>
      <c r="E2474">
        <f>IF(AND('Ratings'!A160&lt;&gt;"",'Ratings'!M5&lt;&gt;""),'Ratings'!M5,"")</f>
        <v/>
      </c>
      <c r="F2474">
        <f>IF(OR(A2474="",'Ratings'!M160=""),"",'Ratings'!M160)</f>
        <v/>
      </c>
      <c r="G2474">
        <f>IF(A2474="","",'Employees'!D15)</f>
        <v/>
      </c>
    </row>
    <row r="2475">
      <c r="A2475">
        <f>IF(AND('Ratings'!A160&lt;&gt;"",'Ratings'!N5&lt;&gt;""),'Ratings'!A160,"")</f>
        <v/>
      </c>
      <c r="B2475">
        <f>IF(A2475="","",'Employees'!C15)</f>
        <v/>
      </c>
      <c r="C2475">
        <f>IF(A2475="","",'Ratings'!C160)</f>
        <v/>
      </c>
      <c r="D2475">
        <f>IF(A2475="","",'Ratings'!D160)</f>
        <v/>
      </c>
      <c r="E2475">
        <f>IF(AND('Ratings'!A160&lt;&gt;"",'Ratings'!N5&lt;&gt;""),'Ratings'!N5,"")</f>
        <v/>
      </c>
      <c r="F2475">
        <f>IF(OR(A2475="",'Ratings'!N160=""),"",'Ratings'!N160)</f>
        <v/>
      </c>
      <c r="G2475">
        <f>IF(A2475="","",'Employees'!D15)</f>
        <v/>
      </c>
    </row>
    <row r="2476">
      <c r="A2476">
        <f>IF(AND('Ratings'!A160&lt;&gt;"",'Ratings'!O5&lt;&gt;""),'Ratings'!A160,"")</f>
        <v/>
      </c>
      <c r="B2476">
        <f>IF(A2476="","",'Employees'!C15)</f>
        <v/>
      </c>
      <c r="C2476">
        <f>IF(A2476="","",'Ratings'!C160)</f>
        <v/>
      </c>
      <c r="D2476">
        <f>IF(A2476="","",'Ratings'!D160)</f>
        <v/>
      </c>
      <c r="E2476">
        <f>IF(AND('Ratings'!A160&lt;&gt;"",'Ratings'!O5&lt;&gt;""),'Ratings'!O5,"")</f>
        <v/>
      </c>
      <c r="F2476">
        <f>IF(OR(A2476="",'Ratings'!O160=""),"",'Ratings'!O160)</f>
        <v/>
      </c>
      <c r="G2476">
        <f>IF(A2476="","",'Employees'!D15)</f>
        <v/>
      </c>
    </row>
    <row r="2477">
      <c r="A2477">
        <f>IF(AND('Ratings'!A160&lt;&gt;"",'Ratings'!P5&lt;&gt;""),'Ratings'!A160,"")</f>
        <v/>
      </c>
      <c r="B2477">
        <f>IF(A2477="","",'Employees'!C15)</f>
        <v/>
      </c>
      <c r="C2477">
        <f>IF(A2477="","",'Ratings'!C160)</f>
        <v/>
      </c>
      <c r="D2477">
        <f>IF(A2477="","",'Ratings'!D160)</f>
        <v/>
      </c>
      <c r="E2477">
        <f>IF(AND('Ratings'!A160&lt;&gt;"",'Ratings'!P5&lt;&gt;""),'Ratings'!P5,"")</f>
        <v/>
      </c>
      <c r="F2477">
        <f>IF(OR(A2477="",'Ratings'!P160=""),"",'Ratings'!P160)</f>
        <v/>
      </c>
      <c r="G2477">
        <f>IF(A2477="","",'Employees'!D15)</f>
        <v/>
      </c>
    </row>
    <row r="2478">
      <c r="A2478">
        <f>IF(AND('Ratings'!A160&lt;&gt;"",'Ratings'!Q5&lt;&gt;""),'Ratings'!A160,"")</f>
        <v/>
      </c>
      <c r="B2478">
        <f>IF(A2478="","",'Employees'!C15)</f>
        <v/>
      </c>
      <c r="C2478">
        <f>IF(A2478="","",'Ratings'!C160)</f>
        <v/>
      </c>
      <c r="D2478">
        <f>IF(A2478="","",'Ratings'!D160)</f>
        <v/>
      </c>
      <c r="E2478">
        <f>IF(AND('Ratings'!A160&lt;&gt;"",'Ratings'!Q5&lt;&gt;""),'Ratings'!Q5,"")</f>
        <v/>
      </c>
      <c r="F2478">
        <f>IF(OR(A2478="",'Ratings'!Q160=""),"",'Ratings'!Q160)</f>
        <v/>
      </c>
      <c r="G2478">
        <f>IF(A2478="","",'Employees'!D15)</f>
        <v/>
      </c>
    </row>
    <row r="2479">
      <c r="A2479">
        <f>IF(AND('Ratings'!A160&lt;&gt;"",'Ratings'!R5&lt;&gt;""),'Ratings'!A160,"")</f>
        <v/>
      </c>
      <c r="B2479">
        <f>IF(A2479="","",'Employees'!C15)</f>
        <v/>
      </c>
      <c r="C2479">
        <f>IF(A2479="","",'Ratings'!C160)</f>
        <v/>
      </c>
      <c r="D2479">
        <f>IF(A2479="","",'Ratings'!D160)</f>
        <v/>
      </c>
      <c r="E2479">
        <f>IF(AND('Ratings'!A160&lt;&gt;"",'Ratings'!R5&lt;&gt;""),'Ratings'!R5,"")</f>
        <v/>
      </c>
      <c r="F2479">
        <f>IF(OR(A2479="",'Ratings'!R160=""),"",'Ratings'!R160)</f>
        <v/>
      </c>
      <c r="G2479">
        <f>IF(A2479="","",'Employees'!D15)</f>
        <v/>
      </c>
    </row>
    <row r="2480">
      <c r="A2480">
        <f>IF(AND('Ratings'!A160&lt;&gt;"",'Ratings'!S5&lt;&gt;""),'Ratings'!A160,"")</f>
        <v/>
      </c>
      <c r="B2480">
        <f>IF(A2480="","",'Employees'!C15)</f>
        <v/>
      </c>
      <c r="C2480">
        <f>IF(A2480="","",'Ratings'!C160)</f>
        <v/>
      </c>
      <c r="D2480">
        <f>IF(A2480="","",'Ratings'!D160)</f>
        <v/>
      </c>
      <c r="E2480">
        <f>IF(AND('Ratings'!A160&lt;&gt;"",'Ratings'!S5&lt;&gt;""),'Ratings'!S5,"")</f>
        <v/>
      </c>
      <c r="F2480">
        <f>IF(OR(A2480="",'Ratings'!S160=""),"",'Ratings'!S160)</f>
        <v/>
      </c>
      <c r="G2480">
        <f>IF(A2480="","",'Employees'!D15)</f>
        <v/>
      </c>
    </row>
    <row r="2481">
      <c r="A2481">
        <f>IF(AND('Ratings'!A160&lt;&gt;"",'Ratings'!T5&lt;&gt;""),'Ratings'!A160,"")</f>
        <v/>
      </c>
      <c r="B2481">
        <f>IF(A2481="","",'Employees'!C15)</f>
        <v/>
      </c>
      <c r="C2481">
        <f>IF(A2481="","",'Ratings'!C160)</f>
        <v/>
      </c>
      <c r="D2481">
        <f>IF(A2481="","",'Ratings'!D160)</f>
        <v/>
      </c>
      <c r="E2481">
        <f>IF(AND('Ratings'!A160&lt;&gt;"",'Ratings'!T5&lt;&gt;""),'Ratings'!T5,"")</f>
        <v/>
      </c>
      <c r="F2481">
        <f>IF(OR(A2481="",'Ratings'!T160=""),"",'Ratings'!T160)</f>
        <v/>
      </c>
      <c r="G2481">
        <f>IF(A2481="","",'Employees'!D15)</f>
        <v/>
      </c>
    </row>
    <row r="2482">
      <c r="A2482">
        <f>IF(AND('Ratings'!A161&lt;&gt;"",'Ratings'!E5&lt;&gt;""),'Ratings'!A161,"")</f>
        <v/>
      </c>
      <c r="B2482">
        <f>IF(A2482="","",'Employees'!C15)</f>
        <v/>
      </c>
      <c r="C2482">
        <f>IF(A2482="","",'Ratings'!C161)</f>
        <v/>
      </c>
      <c r="D2482">
        <f>IF(A2482="","",'Ratings'!D161)</f>
        <v/>
      </c>
      <c r="E2482">
        <f>IF(AND('Ratings'!A161&lt;&gt;"",'Ratings'!E5&lt;&gt;""),'Ratings'!E5,"")</f>
        <v/>
      </c>
      <c r="F2482">
        <f>IF(OR(A2482="",'Ratings'!E161=""),"",'Ratings'!E161)</f>
        <v/>
      </c>
      <c r="G2482">
        <f>IF(A2482="","",'Employees'!D15)</f>
        <v/>
      </c>
    </row>
    <row r="2483">
      <c r="A2483">
        <f>IF(AND('Ratings'!A161&lt;&gt;"",'Ratings'!F5&lt;&gt;""),'Ratings'!A161,"")</f>
        <v/>
      </c>
      <c r="B2483">
        <f>IF(A2483="","",'Employees'!C15)</f>
        <v/>
      </c>
      <c r="C2483">
        <f>IF(A2483="","",'Ratings'!C161)</f>
        <v/>
      </c>
      <c r="D2483">
        <f>IF(A2483="","",'Ratings'!D161)</f>
        <v/>
      </c>
      <c r="E2483">
        <f>IF(AND('Ratings'!A161&lt;&gt;"",'Ratings'!F5&lt;&gt;""),'Ratings'!F5,"")</f>
        <v/>
      </c>
      <c r="F2483">
        <f>IF(OR(A2483="",'Ratings'!F161=""),"",'Ratings'!F161)</f>
        <v/>
      </c>
      <c r="G2483">
        <f>IF(A2483="","",'Employees'!D15)</f>
        <v/>
      </c>
    </row>
    <row r="2484">
      <c r="A2484">
        <f>IF(AND('Ratings'!A161&lt;&gt;"",'Ratings'!G5&lt;&gt;""),'Ratings'!A161,"")</f>
        <v/>
      </c>
      <c r="B2484">
        <f>IF(A2484="","",'Employees'!C15)</f>
        <v/>
      </c>
      <c r="C2484">
        <f>IF(A2484="","",'Ratings'!C161)</f>
        <v/>
      </c>
      <c r="D2484">
        <f>IF(A2484="","",'Ratings'!D161)</f>
        <v/>
      </c>
      <c r="E2484">
        <f>IF(AND('Ratings'!A161&lt;&gt;"",'Ratings'!G5&lt;&gt;""),'Ratings'!G5,"")</f>
        <v/>
      </c>
      <c r="F2484">
        <f>IF(OR(A2484="",'Ratings'!G161=""),"",'Ratings'!G161)</f>
        <v/>
      </c>
      <c r="G2484">
        <f>IF(A2484="","",'Employees'!D15)</f>
        <v/>
      </c>
    </row>
    <row r="2485">
      <c r="A2485">
        <f>IF(AND('Ratings'!A161&lt;&gt;"",'Ratings'!H5&lt;&gt;""),'Ratings'!A161,"")</f>
        <v/>
      </c>
      <c r="B2485">
        <f>IF(A2485="","",'Employees'!C15)</f>
        <v/>
      </c>
      <c r="C2485">
        <f>IF(A2485="","",'Ratings'!C161)</f>
        <v/>
      </c>
      <c r="D2485">
        <f>IF(A2485="","",'Ratings'!D161)</f>
        <v/>
      </c>
      <c r="E2485">
        <f>IF(AND('Ratings'!A161&lt;&gt;"",'Ratings'!H5&lt;&gt;""),'Ratings'!H5,"")</f>
        <v/>
      </c>
      <c r="F2485">
        <f>IF(OR(A2485="",'Ratings'!H161=""),"",'Ratings'!H161)</f>
        <v/>
      </c>
      <c r="G2485">
        <f>IF(A2485="","",'Employees'!D15)</f>
        <v/>
      </c>
    </row>
    <row r="2486">
      <c r="A2486">
        <f>IF(AND('Ratings'!A161&lt;&gt;"",'Ratings'!I5&lt;&gt;""),'Ratings'!A161,"")</f>
        <v/>
      </c>
      <c r="B2486">
        <f>IF(A2486="","",'Employees'!C15)</f>
        <v/>
      </c>
      <c r="C2486">
        <f>IF(A2486="","",'Ratings'!C161)</f>
        <v/>
      </c>
      <c r="D2486">
        <f>IF(A2486="","",'Ratings'!D161)</f>
        <v/>
      </c>
      <c r="E2486">
        <f>IF(AND('Ratings'!A161&lt;&gt;"",'Ratings'!I5&lt;&gt;""),'Ratings'!I5,"")</f>
        <v/>
      </c>
      <c r="F2486">
        <f>IF(OR(A2486="",'Ratings'!I161=""),"",'Ratings'!I161)</f>
        <v/>
      </c>
      <c r="G2486">
        <f>IF(A2486="","",'Employees'!D15)</f>
        <v/>
      </c>
    </row>
    <row r="2487">
      <c r="A2487">
        <f>IF(AND('Ratings'!A161&lt;&gt;"",'Ratings'!J5&lt;&gt;""),'Ratings'!A161,"")</f>
        <v/>
      </c>
      <c r="B2487">
        <f>IF(A2487="","",'Employees'!C15)</f>
        <v/>
      </c>
      <c r="C2487">
        <f>IF(A2487="","",'Ratings'!C161)</f>
        <v/>
      </c>
      <c r="D2487">
        <f>IF(A2487="","",'Ratings'!D161)</f>
        <v/>
      </c>
      <c r="E2487">
        <f>IF(AND('Ratings'!A161&lt;&gt;"",'Ratings'!J5&lt;&gt;""),'Ratings'!J5,"")</f>
        <v/>
      </c>
      <c r="F2487">
        <f>IF(OR(A2487="",'Ratings'!J161=""),"",'Ratings'!J161)</f>
        <v/>
      </c>
      <c r="G2487">
        <f>IF(A2487="","",'Employees'!D15)</f>
        <v/>
      </c>
    </row>
    <row r="2488">
      <c r="A2488">
        <f>IF(AND('Ratings'!A161&lt;&gt;"",'Ratings'!K5&lt;&gt;""),'Ratings'!A161,"")</f>
        <v/>
      </c>
      <c r="B2488">
        <f>IF(A2488="","",'Employees'!C15)</f>
        <v/>
      </c>
      <c r="C2488">
        <f>IF(A2488="","",'Ratings'!C161)</f>
        <v/>
      </c>
      <c r="D2488">
        <f>IF(A2488="","",'Ratings'!D161)</f>
        <v/>
      </c>
      <c r="E2488">
        <f>IF(AND('Ratings'!A161&lt;&gt;"",'Ratings'!K5&lt;&gt;""),'Ratings'!K5,"")</f>
        <v/>
      </c>
      <c r="F2488">
        <f>IF(OR(A2488="",'Ratings'!K161=""),"",'Ratings'!K161)</f>
        <v/>
      </c>
      <c r="G2488">
        <f>IF(A2488="","",'Employees'!D15)</f>
        <v/>
      </c>
    </row>
    <row r="2489">
      <c r="A2489">
        <f>IF(AND('Ratings'!A161&lt;&gt;"",'Ratings'!L5&lt;&gt;""),'Ratings'!A161,"")</f>
        <v/>
      </c>
      <c r="B2489">
        <f>IF(A2489="","",'Employees'!C15)</f>
        <v/>
      </c>
      <c r="C2489">
        <f>IF(A2489="","",'Ratings'!C161)</f>
        <v/>
      </c>
      <c r="D2489">
        <f>IF(A2489="","",'Ratings'!D161)</f>
        <v/>
      </c>
      <c r="E2489">
        <f>IF(AND('Ratings'!A161&lt;&gt;"",'Ratings'!L5&lt;&gt;""),'Ratings'!L5,"")</f>
        <v/>
      </c>
      <c r="F2489">
        <f>IF(OR(A2489="",'Ratings'!L161=""),"",'Ratings'!L161)</f>
        <v/>
      </c>
      <c r="G2489">
        <f>IF(A2489="","",'Employees'!D15)</f>
        <v/>
      </c>
    </row>
    <row r="2490">
      <c r="A2490">
        <f>IF(AND('Ratings'!A161&lt;&gt;"",'Ratings'!M5&lt;&gt;""),'Ratings'!A161,"")</f>
        <v/>
      </c>
      <c r="B2490">
        <f>IF(A2490="","",'Employees'!C15)</f>
        <v/>
      </c>
      <c r="C2490">
        <f>IF(A2490="","",'Ratings'!C161)</f>
        <v/>
      </c>
      <c r="D2490">
        <f>IF(A2490="","",'Ratings'!D161)</f>
        <v/>
      </c>
      <c r="E2490">
        <f>IF(AND('Ratings'!A161&lt;&gt;"",'Ratings'!M5&lt;&gt;""),'Ratings'!M5,"")</f>
        <v/>
      </c>
      <c r="F2490">
        <f>IF(OR(A2490="",'Ratings'!M161=""),"",'Ratings'!M161)</f>
        <v/>
      </c>
      <c r="G2490">
        <f>IF(A2490="","",'Employees'!D15)</f>
        <v/>
      </c>
    </row>
    <row r="2491">
      <c r="A2491">
        <f>IF(AND('Ratings'!A161&lt;&gt;"",'Ratings'!N5&lt;&gt;""),'Ratings'!A161,"")</f>
        <v/>
      </c>
      <c r="B2491">
        <f>IF(A2491="","",'Employees'!C15)</f>
        <v/>
      </c>
      <c r="C2491">
        <f>IF(A2491="","",'Ratings'!C161)</f>
        <v/>
      </c>
      <c r="D2491">
        <f>IF(A2491="","",'Ratings'!D161)</f>
        <v/>
      </c>
      <c r="E2491">
        <f>IF(AND('Ratings'!A161&lt;&gt;"",'Ratings'!N5&lt;&gt;""),'Ratings'!N5,"")</f>
        <v/>
      </c>
      <c r="F2491">
        <f>IF(OR(A2491="",'Ratings'!N161=""),"",'Ratings'!N161)</f>
        <v/>
      </c>
      <c r="G2491">
        <f>IF(A2491="","",'Employees'!D15)</f>
        <v/>
      </c>
    </row>
    <row r="2492">
      <c r="A2492">
        <f>IF(AND('Ratings'!A161&lt;&gt;"",'Ratings'!O5&lt;&gt;""),'Ratings'!A161,"")</f>
        <v/>
      </c>
      <c r="B2492">
        <f>IF(A2492="","",'Employees'!C15)</f>
        <v/>
      </c>
      <c r="C2492">
        <f>IF(A2492="","",'Ratings'!C161)</f>
        <v/>
      </c>
      <c r="D2492">
        <f>IF(A2492="","",'Ratings'!D161)</f>
        <v/>
      </c>
      <c r="E2492">
        <f>IF(AND('Ratings'!A161&lt;&gt;"",'Ratings'!O5&lt;&gt;""),'Ratings'!O5,"")</f>
        <v/>
      </c>
      <c r="F2492">
        <f>IF(OR(A2492="",'Ratings'!O161=""),"",'Ratings'!O161)</f>
        <v/>
      </c>
      <c r="G2492">
        <f>IF(A2492="","",'Employees'!D15)</f>
        <v/>
      </c>
    </row>
    <row r="2493">
      <c r="A2493">
        <f>IF(AND('Ratings'!A161&lt;&gt;"",'Ratings'!P5&lt;&gt;""),'Ratings'!A161,"")</f>
        <v/>
      </c>
      <c r="B2493">
        <f>IF(A2493="","",'Employees'!C15)</f>
        <v/>
      </c>
      <c r="C2493">
        <f>IF(A2493="","",'Ratings'!C161)</f>
        <v/>
      </c>
      <c r="D2493">
        <f>IF(A2493="","",'Ratings'!D161)</f>
        <v/>
      </c>
      <c r="E2493">
        <f>IF(AND('Ratings'!A161&lt;&gt;"",'Ratings'!P5&lt;&gt;""),'Ratings'!P5,"")</f>
        <v/>
      </c>
      <c r="F2493">
        <f>IF(OR(A2493="",'Ratings'!P161=""),"",'Ratings'!P161)</f>
        <v/>
      </c>
      <c r="G2493">
        <f>IF(A2493="","",'Employees'!D15)</f>
        <v/>
      </c>
    </row>
    <row r="2494">
      <c r="A2494">
        <f>IF(AND('Ratings'!A161&lt;&gt;"",'Ratings'!Q5&lt;&gt;""),'Ratings'!A161,"")</f>
        <v/>
      </c>
      <c r="B2494">
        <f>IF(A2494="","",'Employees'!C15)</f>
        <v/>
      </c>
      <c r="C2494">
        <f>IF(A2494="","",'Ratings'!C161)</f>
        <v/>
      </c>
      <c r="D2494">
        <f>IF(A2494="","",'Ratings'!D161)</f>
        <v/>
      </c>
      <c r="E2494">
        <f>IF(AND('Ratings'!A161&lt;&gt;"",'Ratings'!Q5&lt;&gt;""),'Ratings'!Q5,"")</f>
        <v/>
      </c>
      <c r="F2494">
        <f>IF(OR(A2494="",'Ratings'!Q161=""),"",'Ratings'!Q161)</f>
        <v/>
      </c>
      <c r="G2494">
        <f>IF(A2494="","",'Employees'!D15)</f>
        <v/>
      </c>
    </row>
    <row r="2495">
      <c r="A2495">
        <f>IF(AND('Ratings'!A161&lt;&gt;"",'Ratings'!R5&lt;&gt;""),'Ratings'!A161,"")</f>
        <v/>
      </c>
      <c r="B2495">
        <f>IF(A2495="","",'Employees'!C15)</f>
        <v/>
      </c>
      <c r="C2495">
        <f>IF(A2495="","",'Ratings'!C161)</f>
        <v/>
      </c>
      <c r="D2495">
        <f>IF(A2495="","",'Ratings'!D161)</f>
        <v/>
      </c>
      <c r="E2495">
        <f>IF(AND('Ratings'!A161&lt;&gt;"",'Ratings'!R5&lt;&gt;""),'Ratings'!R5,"")</f>
        <v/>
      </c>
      <c r="F2495">
        <f>IF(OR(A2495="",'Ratings'!R161=""),"",'Ratings'!R161)</f>
        <v/>
      </c>
      <c r="G2495">
        <f>IF(A2495="","",'Employees'!D15)</f>
        <v/>
      </c>
    </row>
    <row r="2496">
      <c r="A2496">
        <f>IF(AND('Ratings'!A161&lt;&gt;"",'Ratings'!S5&lt;&gt;""),'Ratings'!A161,"")</f>
        <v/>
      </c>
      <c r="B2496">
        <f>IF(A2496="","",'Employees'!C15)</f>
        <v/>
      </c>
      <c r="C2496">
        <f>IF(A2496="","",'Ratings'!C161)</f>
        <v/>
      </c>
      <c r="D2496">
        <f>IF(A2496="","",'Ratings'!D161)</f>
        <v/>
      </c>
      <c r="E2496">
        <f>IF(AND('Ratings'!A161&lt;&gt;"",'Ratings'!S5&lt;&gt;""),'Ratings'!S5,"")</f>
        <v/>
      </c>
      <c r="F2496">
        <f>IF(OR(A2496="",'Ratings'!S161=""),"",'Ratings'!S161)</f>
        <v/>
      </c>
      <c r="G2496">
        <f>IF(A2496="","",'Employees'!D15)</f>
        <v/>
      </c>
    </row>
    <row r="2497">
      <c r="A2497">
        <f>IF(AND('Ratings'!A161&lt;&gt;"",'Ratings'!T5&lt;&gt;""),'Ratings'!A161,"")</f>
        <v/>
      </c>
      <c r="B2497">
        <f>IF(A2497="","",'Employees'!C15)</f>
        <v/>
      </c>
      <c r="C2497">
        <f>IF(A2497="","",'Ratings'!C161)</f>
        <v/>
      </c>
      <c r="D2497">
        <f>IF(A2497="","",'Ratings'!D161)</f>
        <v/>
      </c>
      <c r="E2497">
        <f>IF(AND('Ratings'!A161&lt;&gt;"",'Ratings'!T5&lt;&gt;""),'Ratings'!T5,"")</f>
        <v/>
      </c>
      <c r="F2497">
        <f>IF(OR(A2497="",'Ratings'!T161=""),"",'Ratings'!T161)</f>
        <v/>
      </c>
      <c r="G2497">
        <f>IF(A2497="","",'Employees'!D15)</f>
        <v/>
      </c>
    </row>
    <row r="2498">
      <c r="A2498">
        <f>IF(AND('Ratings'!A162&lt;&gt;"",'Ratings'!E5&lt;&gt;""),'Ratings'!A162,"")</f>
        <v/>
      </c>
      <c r="B2498">
        <f>IF(A2498="","",'Employees'!C15)</f>
        <v/>
      </c>
      <c r="C2498">
        <f>IF(A2498="","",'Ratings'!C162)</f>
        <v/>
      </c>
      <c r="D2498">
        <f>IF(A2498="","",'Ratings'!D162)</f>
        <v/>
      </c>
      <c r="E2498">
        <f>IF(AND('Ratings'!A162&lt;&gt;"",'Ratings'!E5&lt;&gt;""),'Ratings'!E5,"")</f>
        <v/>
      </c>
      <c r="F2498">
        <f>IF(OR(A2498="",'Ratings'!E162=""),"",'Ratings'!E162)</f>
        <v/>
      </c>
      <c r="G2498">
        <f>IF(A2498="","",'Employees'!D15)</f>
        <v/>
      </c>
    </row>
    <row r="2499">
      <c r="A2499">
        <f>IF(AND('Ratings'!A162&lt;&gt;"",'Ratings'!F5&lt;&gt;""),'Ratings'!A162,"")</f>
        <v/>
      </c>
      <c r="B2499">
        <f>IF(A2499="","",'Employees'!C15)</f>
        <v/>
      </c>
      <c r="C2499">
        <f>IF(A2499="","",'Ratings'!C162)</f>
        <v/>
      </c>
      <c r="D2499">
        <f>IF(A2499="","",'Ratings'!D162)</f>
        <v/>
      </c>
      <c r="E2499">
        <f>IF(AND('Ratings'!A162&lt;&gt;"",'Ratings'!F5&lt;&gt;""),'Ratings'!F5,"")</f>
        <v/>
      </c>
      <c r="F2499">
        <f>IF(OR(A2499="",'Ratings'!F162=""),"",'Ratings'!F162)</f>
        <v/>
      </c>
      <c r="G2499">
        <f>IF(A2499="","",'Employees'!D15)</f>
        <v/>
      </c>
    </row>
    <row r="2500">
      <c r="A2500">
        <f>IF(AND('Ratings'!A162&lt;&gt;"",'Ratings'!G5&lt;&gt;""),'Ratings'!A162,"")</f>
        <v/>
      </c>
      <c r="B2500">
        <f>IF(A2500="","",'Employees'!C15)</f>
        <v/>
      </c>
      <c r="C2500">
        <f>IF(A2500="","",'Ratings'!C162)</f>
        <v/>
      </c>
      <c r="D2500">
        <f>IF(A2500="","",'Ratings'!D162)</f>
        <v/>
      </c>
      <c r="E2500">
        <f>IF(AND('Ratings'!A162&lt;&gt;"",'Ratings'!G5&lt;&gt;""),'Ratings'!G5,"")</f>
        <v/>
      </c>
      <c r="F2500">
        <f>IF(OR(A2500="",'Ratings'!G162=""),"",'Ratings'!G162)</f>
        <v/>
      </c>
      <c r="G2500">
        <f>IF(A2500="","",'Employees'!D15)</f>
        <v/>
      </c>
    </row>
    <row r="2501">
      <c r="A2501">
        <f>IF(AND('Ratings'!A162&lt;&gt;"",'Ratings'!H5&lt;&gt;""),'Ratings'!A162,"")</f>
        <v/>
      </c>
      <c r="B2501">
        <f>IF(A2501="","",'Employees'!C15)</f>
        <v/>
      </c>
      <c r="C2501">
        <f>IF(A2501="","",'Ratings'!C162)</f>
        <v/>
      </c>
      <c r="D2501">
        <f>IF(A2501="","",'Ratings'!D162)</f>
        <v/>
      </c>
      <c r="E2501">
        <f>IF(AND('Ratings'!A162&lt;&gt;"",'Ratings'!H5&lt;&gt;""),'Ratings'!H5,"")</f>
        <v/>
      </c>
      <c r="F2501">
        <f>IF(OR(A2501="",'Ratings'!H162=""),"",'Ratings'!H162)</f>
        <v/>
      </c>
      <c r="G2501">
        <f>IF(A2501="","",'Employees'!D15)</f>
        <v/>
      </c>
    </row>
    <row r="2502">
      <c r="A2502">
        <f>IF(AND('Ratings'!A162&lt;&gt;"",'Ratings'!I5&lt;&gt;""),'Ratings'!A162,"")</f>
        <v/>
      </c>
      <c r="B2502">
        <f>IF(A2502="","",'Employees'!C15)</f>
        <v/>
      </c>
      <c r="C2502">
        <f>IF(A2502="","",'Ratings'!C162)</f>
        <v/>
      </c>
      <c r="D2502">
        <f>IF(A2502="","",'Ratings'!D162)</f>
        <v/>
      </c>
      <c r="E2502">
        <f>IF(AND('Ratings'!A162&lt;&gt;"",'Ratings'!I5&lt;&gt;""),'Ratings'!I5,"")</f>
        <v/>
      </c>
      <c r="F2502">
        <f>IF(OR(A2502="",'Ratings'!I162=""),"",'Ratings'!I162)</f>
        <v/>
      </c>
      <c r="G2502">
        <f>IF(A2502="","",'Employees'!D15)</f>
        <v/>
      </c>
    </row>
    <row r="2503">
      <c r="A2503">
        <f>IF(AND('Ratings'!A162&lt;&gt;"",'Ratings'!J5&lt;&gt;""),'Ratings'!A162,"")</f>
        <v/>
      </c>
      <c r="B2503">
        <f>IF(A2503="","",'Employees'!C15)</f>
        <v/>
      </c>
      <c r="C2503">
        <f>IF(A2503="","",'Ratings'!C162)</f>
        <v/>
      </c>
      <c r="D2503">
        <f>IF(A2503="","",'Ratings'!D162)</f>
        <v/>
      </c>
      <c r="E2503">
        <f>IF(AND('Ratings'!A162&lt;&gt;"",'Ratings'!J5&lt;&gt;""),'Ratings'!J5,"")</f>
        <v/>
      </c>
      <c r="F2503">
        <f>IF(OR(A2503="",'Ratings'!J162=""),"",'Ratings'!J162)</f>
        <v/>
      </c>
      <c r="G2503">
        <f>IF(A2503="","",'Employees'!D15)</f>
        <v/>
      </c>
    </row>
    <row r="2504">
      <c r="A2504">
        <f>IF(AND('Ratings'!A162&lt;&gt;"",'Ratings'!K5&lt;&gt;""),'Ratings'!A162,"")</f>
        <v/>
      </c>
      <c r="B2504">
        <f>IF(A2504="","",'Employees'!C15)</f>
        <v/>
      </c>
      <c r="C2504">
        <f>IF(A2504="","",'Ratings'!C162)</f>
        <v/>
      </c>
      <c r="D2504">
        <f>IF(A2504="","",'Ratings'!D162)</f>
        <v/>
      </c>
      <c r="E2504">
        <f>IF(AND('Ratings'!A162&lt;&gt;"",'Ratings'!K5&lt;&gt;""),'Ratings'!K5,"")</f>
        <v/>
      </c>
      <c r="F2504">
        <f>IF(OR(A2504="",'Ratings'!K162=""),"",'Ratings'!K162)</f>
        <v/>
      </c>
      <c r="G2504">
        <f>IF(A2504="","",'Employees'!D15)</f>
        <v/>
      </c>
    </row>
    <row r="2505">
      <c r="A2505">
        <f>IF(AND('Ratings'!A162&lt;&gt;"",'Ratings'!L5&lt;&gt;""),'Ratings'!A162,"")</f>
        <v/>
      </c>
      <c r="B2505">
        <f>IF(A2505="","",'Employees'!C15)</f>
        <v/>
      </c>
      <c r="C2505">
        <f>IF(A2505="","",'Ratings'!C162)</f>
        <v/>
      </c>
      <c r="D2505">
        <f>IF(A2505="","",'Ratings'!D162)</f>
        <v/>
      </c>
      <c r="E2505">
        <f>IF(AND('Ratings'!A162&lt;&gt;"",'Ratings'!L5&lt;&gt;""),'Ratings'!L5,"")</f>
        <v/>
      </c>
      <c r="F2505">
        <f>IF(OR(A2505="",'Ratings'!L162=""),"",'Ratings'!L162)</f>
        <v/>
      </c>
      <c r="G2505">
        <f>IF(A2505="","",'Employees'!D15)</f>
        <v/>
      </c>
    </row>
    <row r="2506">
      <c r="A2506">
        <f>IF(AND('Ratings'!A162&lt;&gt;"",'Ratings'!M5&lt;&gt;""),'Ratings'!A162,"")</f>
        <v/>
      </c>
      <c r="B2506">
        <f>IF(A2506="","",'Employees'!C15)</f>
        <v/>
      </c>
      <c r="C2506">
        <f>IF(A2506="","",'Ratings'!C162)</f>
        <v/>
      </c>
      <c r="D2506">
        <f>IF(A2506="","",'Ratings'!D162)</f>
        <v/>
      </c>
      <c r="E2506">
        <f>IF(AND('Ratings'!A162&lt;&gt;"",'Ratings'!M5&lt;&gt;""),'Ratings'!M5,"")</f>
        <v/>
      </c>
      <c r="F2506">
        <f>IF(OR(A2506="",'Ratings'!M162=""),"",'Ratings'!M162)</f>
        <v/>
      </c>
      <c r="G2506">
        <f>IF(A2506="","",'Employees'!D15)</f>
        <v/>
      </c>
    </row>
    <row r="2507">
      <c r="A2507">
        <f>IF(AND('Ratings'!A162&lt;&gt;"",'Ratings'!N5&lt;&gt;""),'Ratings'!A162,"")</f>
        <v/>
      </c>
      <c r="B2507">
        <f>IF(A2507="","",'Employees'!C15)</f>
        <v/>
      </c>
      <c r="C2507">
        <f>IF(A2507="","",'Ratings'!C162)</f>
        <v/>
      </c>
      <c r="D2507">
        <f>IF(A2507="","",'Ratings'!D162)</f>
        <v/>
      </c>
      <c r="E2507">
        <f>IF(AND('Ratings'!A162&lt;&gt;"",'Ratings'!N5&lt;&gt;""),'Ratings'!N5,"")</f>
        <v/>
      </c>
      <c r="F2507">
        <f>IF(OR(A2507="",'Ratings'!N162=""),"",'Ratings'!N162)</f>
        <v/>
      </c>
      <c r="G2507">
        <f>IF(A2507="","",'Employees'!D15)</f>
        <v/>
      </c>
    </row>
    <row r="2508">
      <c r="A2508">
        <f>IF(AND('Ratings'!A162&lt;&gt;"",'Ratings'!O5&lt;&gt;""),'Ratings'!A162,"")</f>
        <v/>
      </c>
      <c r="B2508">
        <f>IF(A2508="","",'Employees'!C15)</f>
        <v/>
      </c>
      <c r="C2508">
        <f>IF(A2508="","",'Ratings'!C162)</f>
        <v/>
      </c>
      <c r="D2508">
        <f>IF(A2508="","",'Ratings'!D162)</f>
        <v/>
      </c>
      <c r="E2508">
        <f>IF(AND('Ratings'!A162&lt;&gt;"",'Ratings'!O5&lt;&gt;""),'Ratings'!O5,"")</f>
        <v/>
      </c>
      <c r="F2508">
        <f>IF(OR(A2508="",'Ratings'!O162=""),"",'Ratings'!O162)</f>
        <v/>
      </c>
      <c r="G2508">
        <f>IF(A2508="","",'Employees'!D15)</f>
        <v/>
      </c>
    </row>
    <row r="2509">
      <c r="A2509">
        <f>IF(AND('Ratings'!A162&lt;&gt;"",'Ratings'!P5&lt;&gt;""),'Ratings'!A162,"")</f>
        <v/>
      </c>
      <c r="B2509">
        <f>IF(A2509="","",'Employees'!C15)</f>
        <v/>
      </c>
      <c r="C2509">
        <f>IF(A2509="","",'Ratings'!C162)</f>
        <v/>
      </c>
      <c r="D2509">
        <f>IF(A2509="","",'Ratings'!D162)</f>
        <v/>
      </c>
      <c r="E2509">
        <f>IF(AND('Ratings'!A162&lt;&gt;"",'Ratings'!P5&lt;&gt;""),'Ratings'!P5,"")</f>
        <v/>
      </c>
      <c r="F2509">
        <f>IF(OR(A2509="",'Ratings'!P162=""),"",'Ratings'!P162)</f>
        <v/>
      </c>
      <c r="G2509">
        <f>IF(A2509="","",'Employees'!D15)</f>
        <v/>
      </c>
    </row>
    <row r="2510">
      <c r="A2510">
        <f>IF(AND('Ratings'!A162&lt;&gt;"",'Ratings'!Q5&lt;&gt;""),'Ratings'!A162,"")</f>
        <v/>
      </c>
      <c r="B2510">
        <f>IF(A2510="","",'Employees'!C15)</f>
        <v/>
      </c>
      <c r="C2510">
        <f>IF(A2510="","",'Ratings'!C162)</f>
        <v/>
      </c>
      <c r="D2510">
        <f>IF(A2510="","",'Ratings'!D162)</f>
        <v/>
      </c>
      <c r="E2510">
        <f>IF(AND('Ratings'!A162&lt;&gt;"",'Ratings'!Q5&lt;&gt;""),'Ratings'!Q5,"")</f>
        <v/>
      </c>
      <c r="F2510">
        <f>IF(OR(A2510="",'Ratings'!Q162=""),"",'Ratings'!Q162)</f>
        <v/>
      </c>
      <c r="G2510">
        <f>IF(A2510="","",'Employees'!D15)</f>
        <v/>
      </c>
    </row>
    <row r="2511">
      <c r="A2511">
        <f>IF(AND('Ratings'!A162&lt;&gt;"",'Ratings'!R5&lt;&gt;""),'Ratings'!A162,"")</f>
        <v/>
      </c>
      <c r="B2511">
        <f>IF(A2511="","",'Employees'!C15)</f>
        <v/>
      </c>
      <c r="C2511">
        <f>IF(A2511="","",'Ratings'!C162)</f>
        <v/>
      </c>
      <c r="D2511">
        <f>IF(A2511="","",'Ratings'!D162)</f>
        <v/>
      </c>
      <c r="E2511">
        <f>IF(AND('Ratings'!A162&lt;&gt;"",'Ratings'!R5&lt;&gt;""),'Ratings'!R5,"")</f>
        <v/>
      </c>
      <c r="F2511">
        <f>IF(OR(A2511="",'Ratings'!R162=""),"",'Ratings'!R162)</f>
        <v/>
      </c>
      <c r="G2511">
        <f>IF(A2511="","",'Employees'!D15)</f>
        <v/>
      </c>
    </row>
    <row r="2512">
      <c r="A2512">
        <f>IF(AND('Ratings'!A162&lt;&gt;"",'Ratings'!S5&lt;&gt;""),'Ratings'!A162,"")</f>
        <v/>
      </c>
      <c r="B2512">
        <f>IF(A2512="","",'Employees'!C15)</f>
        <v/>
      </c>
      <c r="C2512">
        <f>IF(A2512="","",'Ratings'!C162)</f>
        <v/>
      </c>
      <c r="D2512">
        <f>IF(A2512="","",'Ratings'!D162)</f>
        <v/>
      </c>
      <c r="E2512">
        <f>IF(AND('Ratings'!A162&lt;&gt;"",'Ratings'!S5&lt;&gt;""),'Ratings'!S5,"")</f>
        <v/>
      </c>
      <c r="F2512">
        <f>IF(OR(A2512="",'Ratings'!S162=""),"",'Ratings'!S162)</f>
        <v/>
      </c>
      <c r="G2512">
        <f>IF(A2512="","",'Employees'!D15)</f>
        <v/>
      </c>
    </row>
    <row r="2513">
      <c r="A2513">
        <f>IF(AND('Ratings'!A162&lt;&gt;"",'Ratings'!T5&lt;&gt;""),'Ratings'!A162,"")</f>
        <v/>
      </c>
      <c r="B2513">
        <f>IF(A2513="","",'Employees'!C15)</f>
        <v/>
      </c>
      <c r="C2513">
        <f>IF(A2513="","",'Ratings'!C162)</f>
        <v/>
      </c>
      <c r="D2513">
        <f>IF(A2513="","",'Ratings'!D162)</f>
        <v/>
      </c>
      <c r="E2513">
        <f>IF(AND('Ratings'!A162&lt;&gt;"",'Ratings'!T5&lt;&gt;""),'Ratings'!T5,"")</f>
        <v/>
      </c>
      <c r="F2513">
        <f>IF(OR(A2513="",'Ratings'!T162=""),"",'Ratings'!T162)</f>
        <v/>
      </c>
      <c r="G2513">
        <f>IF(A2513="","",'Employees'!D15)</f>
        <v/>
      </c>
    </row>
    <row r="2514">
      <c r="A2514">
        <f>IF(AND('Ratings'!A163&lt;&gt;"",'Ratings'!E5&lt;&gt;""),'Ratings'!A163,"")</f>
        <v/>
      </c>
      <c r="B2514">
        <f>IF(A2514="","",'Employees'!C15)</f>
        <v/>
      </c>
      <c r="C2514">
        <f>IF(A2514="","",'Ratings'!C163)</f>
        <v/>
      </c>
      <c r="D2514">
        <f>IF(A2514="","",'Ratings'!D163)</f>
        <v/>
      </c>
      <c r="E2514">
        <f>IF(AND('Ratings'!A163&lt;&gt;"",'Ratings'!E5&lt;&gt;""),'Ratings'!E5,"")</f>
        <v/>
      </c>
      <c r="F2514">
        <f>IF(OR(A2514="",'Ratings'!E163=""),"",'Ratings'!E163)</f>
        <v/>
      </c>
      <c r="G2514">
        <f>IF(A2514="","",'Employees'!D15)</f>
        <v/>
      </c>
    </row>
    <row r="2515">
      <c r="A2515">
        <f>IF(AND('Ratings'!A163&lt;&gt;"",'Ratings'!F5&lt;&gt;""),'Ratings'!A163,"")</f>
        <v/>
      </c>
      <c r="B2515">
        <f>IF(A2515="","",'Employees'!C15)</f>
        <v/>
      </c>
      <c r="C2515">
        <f>IF(A2515="","",'Ratings'!C163)</f>
        <v/>
      </c>
      <c r="D2515">
        <f>IF(A2515="","",'Ratings'!D163)</f>
        <v/>
      </c>
      <c r="E2515">
        <f>IF(AND('Ratings'!A163&lt;&gt;"",'Ratings'!F5&lt;&gt;""),'Ratings'!F5,"")</f>
        <v/>
      </c>
      <c r="F2515">
        <f>IF(OR(A2515="",'Ratings'!F163=""),"",'Ratings'!F163)</f>
        <v/>
      </c>
      <c r="G2515">
        <f>IF(A2515="","",'Employees'!D15)</f>
        <v/>
      </c>
    </row>
    <row r="2516">
      <c r="A2516">
        <f>IF(AND('Ratings'!A163&lt;&gt;"",'Ratings'!G5&lt;&gt;""),'Ratings'!A163,"")</f>
        <v/>
      </c>
      <c r="B2516">
        <f>IF(A2516="","",'Employees'!C15)</f>
        <v/>
      </c>
      <c r="C2516">
        <f>IF(A2516="","",'Ratings'!C163)</f>
        <v/>
      </c>
      <c r="D2516">
        <f>IF(A2516="","",'Ratings'!D163)</f>
        <v/>
      </c>
      <c r="E2516">
        <f>IF(AND('Ratings'!A163&lt;&gt;"",'Ratings'!G5&lt;&gt;""),'Ratings'!G5,"")</f>
        <v/>
      </c>
      <c r="F2516">
        <f>IF(OR(A2516="",'Ratings'!G163=""),"",'Ratings'!G163)</f>
        <v/>
      </c>
      <c r="G2516">
        <f>IF(A2516="","",'Employees'!D15)</f>
        <v/>
      </c>
    </row>
    <row r="2517">
      <c r="A2517">
        <f>IF(AND('Ratings'!A163&lt;&gt;"",'Ratings'!H5&lt;&gt;""),'Ratings'!A163,"")</f>
        <v/>
      </c>
      <c r="B2517">
        <f>IF(A2517="","",'Employees'!C15)</f>
        <v/>
      </c>
      <c r="C2517">
        <f>IF(A2517="","",'Ratings'!C163)</f>
        <v/>
      </c>
      <c r="D2517">
        <f>IF(A2517="","",'Ratings'!D163)</f>
        <v/>
      </c>
      <c r="E2517">
        <f>IF(AND('Ratings'!A163&lt;&gt;"",'Ratings'!H5&lt;&gt;""),'Ratings'!H5,"")</f>
        <v/>
      </c>
      <c r="F2517">
        <f>IF(OR(A2517="",'Ratings'!H163=""),"",'Ratings'!H163)</f>
        <v/>
      </c>
      <c r="G2517">
        <f>IF(A2517="","",'Employees'!D15)</f>
        <v/>
      </c>
    </row>
    <row r="2518">
      <c r="A2518">
        <f>IF(AND('Ratings'!A163&lt;&gt;"",'Ratings'!I5&lt;&gt;""),'Ratings'!A163,"")</f>
        <v/>
      </c>
      <c r="B2518">
        <f>IF(A2518="","",'Employees'!C15)</f>
        <v/>
      </c>
      <c r="C2518">
        <f>IF(A2518="","",'Ratings'!C163)</f>
        <v/>
      </c>
      <c r="D2518">
        <f>IF(A2518="","",'Ratings'!D163)</f>
        <v/>
      </c>
      <c r="E2518">
        <f>IF(AND('Ratings'!A163&lt;&gt;"",'Ratings'!I5&lt;&gt;""),'Ratings'!I5,"")</f>
        <v/>
      </c>
      <c r="F2518">
        <f>IF(OR(A2518="",'Ratings'!I163=""),"",'Ratings'!I163)</f>
        <v/>
      </c>
      <c r="G2518">
        <f>IF(A2518="","",'Employees'!D15)</f>
        <v/>
      </c>
    </row>
    <row r="2519">
      <c r="A2519">
        <f>IF(AND('Ratings'!A163&lt;&gt;"",'Ratings'!J5&lt;&gt;""),'Ratings'!A163,"")</f>
        <v/>
      </c>
      <c r="B2519">
        <f>IF(A2519="","",'Employees'!C15)</f>
        <v/>
      </c>
      <c r="C2519">
        <f>IF(A2519="","",'Ratings'!C163)</f>
        <v/>
      </c>
      <c r="D2519">
        <f>IF(A2519="","",'Ratings'!D163)</f>
        <v/>
      </c>
      <c r="E2519">
        <f>IF(AND('Ratings'!A163&lt;&gt;"",'Ratings'!J5&lt;&gt;""),'Ratings'!J5,"")</f>
        <v/>
      </c>
      <c r="F2519">
        <f>IF(OR(A2519="",'Ratings'!J163=""),"",'Ratings'!J163)</f>
        <v/>
      </c>
      <c r="G2519">
        <f>IF(A2519="","",'Employees'!D15)</f>
        <v/>
      </c>
    </row>
    <row r="2520">
      <c r="A2520">
        <f>IF(AND('Ratings'!A163&lt;&gt;"",'Ratings'!K5&lt;&gt;""),'Ratings'!A163,"")</f>
        <v/>
      </c>
      <c r="B2520">
        <f>IF(A2520="","",'Employees'!C15)</f>
        <v/>
      </c>
      <c r="C2520">
        <f>IF(A2520="","",'Ratings'!C163)</f>
        <v/>
      </c>
      <c r="D2520">
        <f>IF(A2520="","",'Ratings'!D163)</f>
        <v/>
      </c>
      <c r="E2520">
        <f>IF(AND('Ratings'!A163&lt;&gt;"",'Ratings'!K5&lt;&gt;""),'Ratings'!K5,"")</f>
        <v/>
      </c>
      <c r="F2520">
        <f>IF(OR(A2520="",'Ratings'!K163=""),"",'Ratings'!K163)</f>
        <v/>
      </c>
      <c r="G2520">
        <f>IF(A2520="","",'Employees'!D15)</f>
        <v/>
      </c>
    </row>
    <row r="2521">
      <c r="A2521">
        <f>IF(AND('Ratings'!A163&lt;&gt;"",'Ratings'!L5&lt;&gt;""),'Ratings'!A163,"")</f>
        <v/>
      </c>
      <c r="B2521">
        <f>IF(A2521="","",'Employees'!C15)</f>
        <v/>
      </c>
      <c r="C2521">
        <f>IF(A2521="","",'Ratings'!C163)</f>
        <v/>
      </c>
      <c r="D2521">
        <f>IF(A2521="","",'Ratings'!D163)</f>
        <v/>
      </c>
      <c r="E2521">
        <f>IF(AND('Ratings'!A163&lt;&gt;"",'Ratings'!L5&lt;&gt;""),'Ratings'!L5,"")</f>
        <v/>
      </c>
      <c r="F2521">
        <f>IF(OR(A2521="",'Ratings'!L163=""),"",'Ratings'!L163)</f>
        <v/>
      </c>
      <c r="G2521">
        <f>IF(A2521="","",'Employees'!D15)</f>
        <v/>
      </c>
    </row>
    <row r="2522">
      <c r="A2522">
        <f>IF(AND('Ratings'!A163&lt;&gt;"",'Ratings'!M5&lt;&gt;""),'Ratings'!A163,"")</f>
        <v/>
      </c>
      <c r="B2522">
        <f>IF(A2522="","",'Employees'!C15)</f>
        <v/>
      </c>
      <c r="C2522">
        <f>IF(A2522="","",'Ratings'!C163)</f>
        <v/>
      </c>
      <c r="D2522">
        <f>IF(A2522="","",'Ratings'!D163)</f>
        <v/>
      </c>
      <c r="E2522">
        <f>IF(AND('Ratings'!A163&lt;&gt;"",'Ratings'!M5&lt;&gt;""),'Ratings'!M5,"")</f>
        <v/>
      </c>
      <c r="F2522">
        <f>IF(OR(A2522="",'Ratings'!M163=""),"",'Ratings'!M163)</f>
        <v/>
      </c>
      <c r="G2522">
        <f>IF(A2522="","",'Employees'!D15)</f>
        <v/>
      </c>
    </row>
    <row r="2523">
      <c r="A2523">
        <f>IF(AND('Ratings'!A163&lt;&gt;"",'Ratings'!N5&lt;&gt;""),'Ratings'!A163,"")</f>
        <v/>
      </c>
      <c r="B2523">
        <f>IF(A2523="","",'Employees'!C15)</f>
        <v/>
      </c>
      <c r="C2523">
        <f>IF(A2523="","",'Ratings'!C163)</f>
        <v/>
      </c>
      <c r="D2523">
        <f>IF(A2523="","",'Ratings'!D163)</f>
        <v/>
      </c>
      <c r="E2523">
        <f>IF(AND('Ratings'!A163&lt;&gt;"",'Ratings'!N5&lt;&gt;""),'Ratings'!N5,"")</f>
        <v/>
      </c>
      <c r="F2523">
        <f>IF(OR(A2523="",'Ratings'!N163=""),"",'Ratings'!N163)</f>
        <v/>
      </c>
      <c r="G2523">
        <f>IF(A2523="","",'Employees'!D15)</f>
        <v/>
      </c>
    </row>
    <row r="2524">
      <c r="A2524">
        <f>IF(AND('Ratings'!A163&lt;&gt;"",'Ratings'!O5&lt;&gt;""),'Ratings'!A163,"")</f>
        <v/>
      </c>
      <c r="B2524">
        <f>IF(A2524="","",'Employees'!C15)</f>
        <v/>
      </c>
      <c r="C2524">
        <f>IF(A2524="","",'Ratings'!C163)</f>
        <v/>
      </c>
      <c r="D2524">
        <f>IF(A2524="","",'Ratings'!D163)</f>
        <v/>
      </c>
      <c r="E2524">
        <f>IF(AND('Ratings'!A163&lt;&gt;"",'Ratings'!O5&lt;&gt;""),'Ratings'!O5,"")</f>
        <v/>
      </c>
      <c r="F2524">
        <f>IF(OR(A2524="",'Ratings'!O163=""),"",'Ratings'!O163)</f>
        <v/>
      </c>
      <c r="G2524">
        <f>IF(A2524="","",'Employees'!D15)</f>
        <v/>
      </c>
    </row>
    <row r="2525">
      <c r="A2525">
        <f>IF(AND('Ratings'!A163&lt;&gt;"",'Ratings'!P5&lt;&gt;""),'Ratings'!A163,"")</f>
        <v/>
      </c>
      <c r="B2525">
        <f>IF(A2525="","",'Employees'!C15)</f>
        <v/>
      </c>
      <c r="C2525">
        <f>IF(A2525="","",'Ratings'!C163)</f>
        <v/>
      </c>
      <c r="D2525">
        <f>IF(A2525="","",'Ratings'!D163)</f>
        <v/>
      </c>
      <c r="E2525">
        <f>IF(AND('Ratings'!A163&lt;&gt;"",'Ratings'!P5&lt;&gt;""),'Ratings'!P5,"")</f>
        <v/>
      </c>
      <c r="F2525">
        <f>IF(OR(A2525="",'Ratings'!P163=""),"",'Ratings'!P163)</f>
        <v/>
      </c>
      <c r="G2525">
        <f>IF(A2525="","",'Employees'!D15)</f>
        <v/>
      </c>
    </row>
    <row r="2526">
      <c r="A2526">
        <f>IF(AND('Ratings'!A163&lt;&gt;"",'Ratings'!Q5&lt;&gt;""),'Ratings'!A163,"")</f>
        <v/>
      </c>
      <c r="B2526">
        <f>IF(A2526="","",'Employees'!C15)</f>
        <v/>
      </c>
      <c r="C2526">
        <f>IF(A2526="","",'Ratings'!C163)</f>
        <v/>
      </c>
      <c r="D2526">
        <f>IF(A2526="","",'Ratings'!D163)</f>
        <v/>
      </c>
      <c r="E2526">
        <f>IF(AND('Ratings'!A163&lt;&gt;"",'Ratings'!Q5&lt;&gt;""),'Ratings'!Q5,"")</f>
        <v/>
      </c>
      <c r="F2526">
        <f>IF(OR(A2526="",'Ratings'!Q163=""),"",'Ratings'!Q163)</f>
        <v/>
      </c>
      <c r="G2526">
        <f>IF(A2526="","",'Employees'!D15)</f>
        <v/>
      </c>
    </row>
    <row r="2527">
      <c r="A2527">
        <f>IF(AND('Ratings'!A163&lt;&gt;"",'Ratings'!R5&lt;&gt;""),'Ratings'!A163,"")</f>
        <v/>
      </c>
      <c r="B2527">
        <f>IF(A2527="","",'Employees'!C15)</f>
        <v/>
      </c>
      <c r="C2527">
        <f>IF(A2527="","",'Ratings'!C163)</f>
        <v/>
      </c>
      <c r="D2527">
        <f>IF(A2527="","",'Ratings'!D163)</f>
        <v/>
      </c>
      <c r="E2527">
        <f>IF(AND('Ratings'!A163&lt;&gt;"",'Ratings'!R5&lt;&gt;""),'Ratings'!R5,"")</f>
        <v/>
      </c>
      <c r="F2527">
        <f>IF(OR(A2527="",'Ratings'!R163=""),"",'Ratings'!R163)</f>
        <v/>
      </c>
      <c r="G2527">
        <f>IF(A2527="","",'Employees'!D15)</f>
        <v/>
      </c>
    </row>
    <row r="2528">
      <c r="A2528">
        <f>IF(AND('Ratings'!A163&lt;&gt;"",'Ratings'!S5&lt;&gt;""),'Ratings'!A163,"")</f>
        <v/>
      </c>
      <c r="B2528">
        <f>IF(A2528="","",'Employees'!C15)</f>
        <v/>
      </c>
      <c r="C2528">
        <f>IF(A2528="","",'Ratings'!C163)</f>
        <v/>
      </c>
      <c r="D2528">
        <f>IF(A2528="","",'Ratings'!D163)</f>
        <v/>
      </c>
      <c r="E2528">
        <f>IF(AND('Ratings'!A163&lt;&gt;"",'Ratings'!S5&lt;&gt;""),'Ratings'!S5,"")</f>
        <v/>
      </c>
      <c r="F2528">
        <f>IF(OR(A2528="",'Ratings'!S163=""),"",'Ratings'!S163)</f>
        <v/>
      </c>
      <c r="G2528">
        <f>IF(A2528="","",'Employees'!D15)</f>
        <v/>
      </c>
    </row>
    <row r="2529">
      <c r="A2529">
        <f>IF(AND('Ratings'!A163&lt;&gt;"",'Ratings'!T5&lt;&gt;""),'Ratings'!A163,"")</f>
        <v/>
      </c>
      <c r="B2529">
        <f>IF(A2529="","",'Employees'!C15)</f>
        <v/>
      </c>
      <c r="C2529">
        <f>IF(A2529="","",'Ratings'!C163)</f>
        <v/>
      </c>
      <c r="D2529">
        <f>IF(A2529="","",'Ratings'!D163)</f>
        <v/>
      </c>
      <c r="E2529">
        <f>IF(AND('Ratings'!A163&lt;&gt;"",'Ratings'!T5&lt;&gt;""),'Ratings'!T5,"")</f>
        <v/>
      </c>
      <c r="F2529">
        <f>IF(OR(A2529="",'Ratings'!T163=""),"",'Ratings'!T163)</f>
        <v/>
      </c>
      <c r="G2529">
        <f>IF(A2529="","",'Employees'!D15)</f>
        <v/>
      </c>
    </row>
    <row r="2530">
      <c r="A2530">
        <f>IF(AND('Ratings'!A164&lt;&gt;"",'Ratings'!E5&lt;&gt;""),'Ratings'!A164,"")</f>
        <v/>
      </c>
      <c r="B2530">
        <f>IF(A2530="","",'Employees'!C15)</f>
        <v/>
      </c>
      <c r="C2530">
        <f>IF(A2530="","",'Ratings'!C164)</f>
        <v/>
      </c>
      <c r="D2530">
        <f>IF(A2530="","",'Ratings'!D164)</f>
        <v/>
      </c>
      <c r="E2530">
        <f>IF(AND('Ratings'!A164&lt;&gt;"",'Ratings'!E5&lt;&gt;""),'Ratings'!E5,"")</f>
        <v/>
      </c>
      <c r="F2530">
        <f>IF(OR(A2530="",'Ratings'!E164=""),"",'Ratings'!E164)</f>
        <v/>
      </c>
      <c r="G2530">
        <f>IF(A2530="","",'Employees'!D15)</f>
        <v/>
      </c>
    </row>
    <row r="2531">
      <c r="A2531">
        <f>IF(AND('Ratings'!A164&lt;&gt;"",'Ratings'!F5&lt;&gt;""),'Ratings'!A164,"")</f>
        <v/>
      </c>
      <c r="B2531">
        <f>IF(A2531="","",'Employees'!C15)</f>
        <v/>
      </c>
      <c r="C2531">
        <f>IF(A2531="","",'Ratings'!C164)</f>
        <v/>
      </c>
      <c r="D2531">
        <f>IF(A2531="","",'Ratings'!D164)</f>
        <v/>
      </c>
      <c r="E2531">
        <f>IF(AND('Ratings'!A164&lt;&gt;"",'Ratings'!F5&lt;&gt;""),'Ratings'!F5,"")</f>
        <v/>
      </c>
      <c r="F2531">
        <f>IF(OR(A2531="",'Ratings'!F164=""),"",'Ratings'!F164)</f>
        <v/>
      </c>
      <c r="G2531">
        <f>IF(A2531="","",'Employees'!D15)</f>
        <v/>
      </c>
    </row>
    <row r="2532">
      <c r="A2532">
        <f>IF(AND('Ratings'!A164&lt;&gt;"",'Ratings'!G5&lt;&gt;""),'Ratings'!A164,"")</f>
        <v/>
      </c>
      <c r="B2532">
        <f>IF(A2532="","",'Employees'!C15)</f>
        <v/>
      </c>
      <c r="C2532">
        <f>IF(A2532="","",'Ratings'!C164)</f>
        <v/>
      </c>
      <c r="D2532">
        <f>IF(A2532="","",'Ratings'!D164)</f>
        <v/>
      </c>
      <c r="E2532">
        <f>IF(AND('Ratings'!A164&lt;&gt;"",'Ratings'!G5&lt;&gt;""),'Ratings'!G5,"")</f>
        <v/>
      </c>
      <c r="F2532">
        <f>IF(OR(A2532="",'Ratings'!G164=""),"",'Ratings'!G164)</f>
        <v/>
      </c>
      <c r="G2532">
        <f>IF(A2532="","",'Employees'!D15)</f>
        <v/>
      </c>
    </row>
    <row r="2533">
      <c r="A2533">
        <f>IF(AND('Ratings'!A164&lt;&gt;"",'Ratings'!H5&lt;&gt;""),'Ratings'!A164,"")</f>
        <v/>
      </c>
      <c r="B2533">
        <f>IF(A2533="","",'Employees'!C15)</f>
        <v/>
      </c>
      <c r="C2533">
        <f>IF(A2533="","",'Ratings'!C164)</f>
        <v/>
      </c>
      <c r="D2533">
        <f>IF(A2533="","",'Ratings'!D164)</f>
        <v/>
      </c>
      <c r="E2533">
        <f>IF(AND('Ratings'!A164&lt;&gt;"",'Ratings'!H5&lt;&gt;""),'Ratings'!H5,"")</f>
        <v/>
      </c>
      <c r="F2533">
        <f>IF(OR(A2533="",'Ratings'!H164=""),"",'Ratings'!H164)</f>
        <v/>
      </c>
      <c r="G2533">
        <f>IF(A2533="","",'Employees'!D15)</f>
        <v/>
      </c>
    </row>
    <row r="2534">
      <c r="A2534">
        <f>IF(AND('Ratings'!A164&lt;&gt;"",'Ratings'!I5&lt;&gt;""),'Ratings'!A164,"")</f>
        <v/>
      </c>
      <c r="B2534">
        <f>IF(A2534="","",'Employees'!C15)</f>
        <v/>
      </c>
      <c r="C2534">
        <f>IF(A2534="","",'Ratings'!C164)</f>
        <v/>
      </c>
      <c r="D2534">
        <f>IF(A2534="","",'Ratings'!D164)</f>
        <v/>
      </c>
      <c r="E2534">
        <f>IF(AND('Ratings'!A164&lt;&gt;"",'Ratings'!I5&lt;&gt;""),'Ratings'!I5,"")</f>
        <v/>
      </c>
      <c r="F2534">
        <f>IF(OR(A2534="",'Ratings'!I164=""),"",'Ratings'!I164)</f>
        <v/>
      </c>
      <c r="G2534">
        <f>IF(A2534="","",'Employees'!D15)</f>
        <v/>
      </c>
    </row>
    <row r="2535">
      <c r="A2535">
        <f>IF(AND('Ratings'!A164&lt;&gt;"",'Ratings'!J5&lt;&gt;""),'Ratings'!A164,"")</f>
        <v/>
      </c>
      <c r="B2535">
        <f>IF(A2535="","",'Employees'!C15)</f>
        <v/>
      </c>
      <c r="C2535">
        <f>IF(A2535="","",'Ratings'!C164)</f>
        <v/>
      </c>
      <c r="D2535">
        <f>IF(A2535="","",'Ratings'!D164)</f>
        <v/>
      </c>
      <c r="E2535">
        <f>IF(AND('Ratings'!A164&lt;&gt;"",'Ratings'!J5&lt;&gt;""),'Ratings'!J5,"")</f>
        <v/>
      </c>
      <c r="F2535">
        <f>IF(OR(A2535="",'Ratings'!J164=""),"",'Ratings'!J164)</f>
        <v/>
      </c>
      <c r="G2535">
        <f>IF(A2535="","",'Employees'!D15)</f>
        <v/>
      </c>
    </row>
    <row r="2536">
      <c r="A2536">
        <f>IF(AND('Ratings'!A164&lt;&gt;"",'Ratings'!K5&lt;&gt;""),'Ratings'!A164,"")</f>
        <v/>
      </c>
      <c r="B2536">
        <f>IF(A2536="","",'Employees'!C15)</f>
        <v/>
      </c>
      <c r="C2536">
        <f>IF(A2536="","",'Ratings'!C164)</f>
        <v/>
      </c>
      <c r="D2536">
        <f>IF(A2536="","",'Ratings'!D164)</f>
        <v/>
      </c>
      <c r="E2536">
        <f>IF(AND('Ratings'!A164&lt;&gt;"",'Ratings'!K5&lt;&gt;""),'Ratings'!K5,"")</f>
        <v/>
      </c>
      <c r="F2536">
        <f>IF(OR(A2536="",'Ratings'!K164=""),"",'Ratings'!K164)</f>
        <v/>
      </c>
      <c r="G2536">
        <f>IF(A2536="","",'Employees'!D15)</f>
        <v/>
      </c>
    </row>
    <row r="2537">
      <c r="A2537">
        <f>IF(AND('Ratings'!A164&lt;&gt;"",'Ratings'!L5&lt;&gt;""),'Ratings'!A164,"")</f>
        <v/>
      </c>
      <c r="B2537">
        <f>IF(A2537="","",'Employees'!C15)</f>
        <v/>
      </c>
      <c r="C2537">
        <f>IF(A2537="","",'Ratings'!C164)</f>
        <v/>
      </c>
      <c r="D2537">
        <f>IF(A2537="","",'Ratings'!D164)</f>
        <v/>
      </c>
      <c r="E2537">
        <f>IF(AND('Ratings'!A164&lt;&gt;"",'Ratings'!L5&lt;&gt;""),'Ratings'!L5,"")</f>
        <v/>
      </c>
      <c r="F2537">
        <f>IF(OR(A2537="",'Ratings'!L164=""),"",'Ratings'!L164)</f>
        <v/>
      </c>
      <c r="G2537">
        <f>IF(A2537="","",'Employees'!D15)</f>
        <v/>
      </c>
    </row>
    <row r="2538">
      <c r="A2538">
        <f>IF(AND('Ratings'!A164&lt;&gt;"",'Ratings'!M5&lt;&gt;""),'Ratings'!A164,"")</f>
        <v/>
      </c>
      <c r="B2538">
        <f>IF(A2538="","",'Employees'!C15)</f>
        <v/>
      </c>
      <c r="C2538">
        <f>IF(A2538="","",'Ratings'!C164)</f>
        <v/>
      </c>
      <c r="D2538">
        <f>IF(A2538="","",'Ratings'!D164)</f>
        <v/>
      </c>
      <c r="E2538">
        <f>IF(AND('Ratings'!A164&lt;&gt;"",'Ratings'!M5&lt;&gt;""),'Ratings'!M5,"")</f>
        <v/>
      </c>
      <c r="F2538">
        <f>IF(OR(A2538="",'Ratings'!M164=""),"",'Ratings'!M164)</f>
        <v/>
      </c>
      <c r="G2538">
        <f>IF(A2538="","",'Employees'!D15)</f>
        <v/>
      </c>
    </row>
    <row r="2539">
      <c r="A2539">
        <f>IF(AND('Ratings'!A164&lt;&gt;"",'Ratings'!N5&lt;&gt;""),'Ratings'!A164,"")</f>
        <v/>
      </c>
      <c r="B2539">
        <f>IF(A2539="","",'Employees'!C15)</f>
        <v/>
      </c>
      <c r="C2539">
        <f>IF(A2539="","",'Ratings'!C164)</f>
        <v/>
      </c>
      <c r="D2539">
        <f>IF(A2539="","",'Ratings'!D164)</f>
        <v/>
      </c>
      <c r="E2539">
        <f>IF(AND('Ratings'!A164&lt;&gt;"",'Ratings'!N5&lt;&gt;""),'Ratings'!N5,"")</f>
        <v/>
      </c>
      <c r="F2539">
        <f>IF(OR(A2539="",'Ratings'!N164=""),"",'Ratings'!N164)</f>
        <v/>
      </c>
      <c r="G2539">
        <f>IF(A2539="","",'Employees'!D15)</f>
        <v/>
      </c>
    </row>
    <row r="2540">
      <c r="A2540">
        <f>IF(AND('Ratings'!A164&lt;&gt;"",'Ratings'!O5&lt;&gt;""),'Ratings'!A164,"")</f>
        <v/>
      </c>
      <c r="B2540">
        <f>IF(A2540="","",'Employees'!C15)</f>
        <v/>
      </c>
      <c r="C2540">
        <f>IF(A2540="","",'Ratings'!C164)</f>
        <v/>
      </c>
      <c r="D2540">
        <f>IF(A2540="","",'Ratings'!D164)</f>
        <v/>
      </c>
      <c r="E2540">
        <f>IF(AND('Ratings'!A164&lt;&gt;"",'Ratings'!O5&lt;&gt;""),'Ratings'!O5,"")</f>
        <v/>
      </c>
      <c r="F2540">
        <f>IF(OR(A2540="",'Ratings'!O164=""),"",'Ratings'!O164)</f>
        <v/>
      </c>
      <c r="G2540">
        <f>IF(A2540="","",'Employees'!D15)</f>
        <v/>
      </c>
    </row>
    <row r="2541">
      <c r="A2541">
        <f>IF(AND('Ratings'!A164&lt;&gt;"",'Ratings'!P5&lt;&gt;""),'Ratings'!A164,"")</f>
        <v/>
      </c>
      <c r="B2541">
        <f>IF(A2541="","",'Employees'!C15)</f>
        <v/>
      </c>
      <c r="C2541">
        <f>IF(A2541="","",'Ratings'!C164)</f>
        <v/>
      </c>
      <c r="D2541">
        <f>IF(A2541="","",'Ratings'!D164)</f>
        <v/>
      </c>
      <c r="E2541">
        <f>IF(AND('Ratings'!A164&lt;&gt;"",'Ratings'!P5&lt;&gt;""),'Ratings'!P5,"")</f>
        <v/>
      </c>
      <c r="F2541">
        <f>IF(OR(A2541="",'Ratings'!P164=""),"",'Ratings'!P164)</f>
        <v/>
      </c>
      <c r="G2541">
        <f>IF(A2541="","",'Employees'!D15)</f>
        <v/>
      </c>
    </row>
    <row r="2542">
      <c r="A2542">
        <f>IF(AND('Ratings'!A164&lt;&gt;"",'Ratings'!Q5&lt;&gt;""),'Ratings'!A164,"")</f>
        <v/>
      </c>
      <c r="B2542">
        <f>IF(A2542="","",'Employees'!C15)</f>
        <v/>
      </c>
      <c r="C2542">
        <f>IF(A2542="","",'Ratings'!C164)</f>
        <v/>
      </c>
      <c r="D2542">
        <f>IF(A2542="","",'Ratings'!D164)</f>
        <v/>
      </c>
      <c r="E2542">
        <f>IF(AND('Ratings'!A164&lt;&gt;"",'Ratings'!Q5&lt;&gt;""),'Ratings'!Q5,"")</f>
        <v/>
      </c>
      <c r="F2542">
        <f>IF(OR(A2542="",'Ratings'!Q164=""),"",'Ratings'!Q164)</f>
        <v/>
      </c>
      <c r="G2542">
        <f>IF(A2542="","",'Employees'!D15)</f>
        <v/>
      </c>
    </row>
    <row r="2543">
      <c r="A2543">
        <f>IF(AND('Ratings'!A164&lt;&gt;"",'Ratings'!R5&lt;&gt;""),'Ratings'!A164,"")</f>
        <v/>
      </c>
      <c r="B2543">
        <f>IF(A2543="","",'Employees'!C15)</f>
        <v/>
      </c>
      <c r="C2543">
        <f>IF(A2543="","",'Ratings'!C164)</f>
        <v/>
      </c>
      <c r="D2543">
        <f>IF(A2543="","",'Ratings'!D164)</f>
        <v/>
      </c>
      <c r="E2543">
        <f>IF(AND('Ratings'!A164&lt;&gt;"",'Ratings'!R5&lt;&gt;""),'Ratings'!R5,"")</f>
        <v/>
      </c>
      <c r="F2543">
        <f>IF(OR(A2543="",'Ratings'!R164=""),"",'Ratings'!R164)</f>
        <v/>
      </c>
      <c r="G2543">
        <f>IF(A2543="","",'Employees'!D15)</f>
        <v/>
      </c>
    </row>
    <row r="2544">
      <c r="A2544">
        <f>IF(AND('Ratings'!A164&lt;&gt;"",'Ratings'!S5&lt;&gt;""),'Ratings'!A164,"")</f>
        <v/>
      </c>
      <c r="B2544">
        <f>IF(A2544="","",'Employees'!C15)</f>
        <v/>
      </c>
      <c r="C2544">
        <f>IF(A2544="","",'Ratings'!C164)</f>
        <v/>
      </c>
      <c r="D2544">
        <f>IF(A2544="","",'Ratings'!D164)</f>
        <v/>
      </c>
      <c r="E2544">
        <f>IF(AND('Ratings'!A164&lt;&gt;"",'Ratings'!S5&lt;&gt;""),'Ratings'!S5,"")</f>
        <v/>
      </c>
      <c r="F2544">
        <f>IF(OR(A2544="",'Ratings'!S164=""),"",'Ratings'!S164)</f>
        <v/>
      </c>
      <c r="G2544">
        <f>IF(A2544="","",'Employees'!D15)</f>
        <v/>
      </c>
    </row>
    <row r="2545">
      <c r="A2545">
        <f>IF(AND('Ratings'!A164&lt;&gt;"",'Ratings'!T5&lt;&gt;""),'Ratings'!A164,"")</f>
        <v/>
      </c>
      <c r="B2545">
        <f>IF(A2545="","",'Employees'!C15)</f>
        <v/>
      </c>
      <c r="C2545">
        <f>IF(A2545="","",'Ratings'!C164)</f>
        <v/>
      </c>
      <c r="D2545">
        <f>IF(A2545="","",'Ratings'!D164)</f>
        <v/>
      </c>
      <c r="E2545">
        <f>IF(AND('Ratings'!A164&lt;&gt;"",'Ratings'!T5&lt;&gt;""),'Ratings'!T5,"")</f>
        <v/>
      </c>
      <c r="F2545">
        <f>IF(OR(A2545="",'Ratings'!T164=""),"",'Ratings'!T164)</f>
        <v/>
      </c>
      <c r="G2545">
        <f>IF(A2545="","",'Employees'!D15)</f>
        <v/>
      </c>
    </row>
    <row r="2546">
      <c r="A2546">
        <f>IF(AND('Ratings'!A165&lt;&gt;"",'Ratings'!E5&lt;&gt;""),'Ratings'!A165,"")</f>
        <v/>
      </c>
      <c r="B2546">
        <f>IF(A2546="","",'Employees'!C15)</f>
        <v/>
      </c>
      <c r="C2546">
        <f>IF(A2546="","",'Ratings'!C165)</f>
        <v/>
      </c>
      <c r="D2546">
        <f>IF(A2546="","",'Ratings'!D165)</f>
        <v/>
      </c>
      <c r="E2546">
        <f>IF(AND('Ratings'!A165&lt;&gt;"",'Ratings'!E5&lt;&gt;""),'Ratings'!E5,"")</f>
        <v/>
      </c>
      <c r="F2546">
        <f>IF(OR(A2546="",'Ratings'!E165=""),"",'Ratings'!E165)</f>
        <v/>
      </c>
      <c r="G2546">
        <f>IF(A2546="","",'Employees'!D15)</f>
        <v/>
      </c>
    </row>
    <row r="2547">
      <c r="A2547">
        <f>IF(AND('Ratings'!A165&lt;&gt;"",'Ratings'!F5&lt;&gt;""),'Ratings'!A165,"")</f>
        <v/>
      </c>
      <c r="B2547">
        <f>IF(A2547="","",'Employees'!C15)</f>
        <v/>
      </c>
      <c r="C2547">
        <f>IF(A2547="","",'Ratings'!C165)</f>
        <v/>
      </c>
      <c r="D2547">
        <f>IF(A2547="","",'Ratings'!D165)</f>
        <v/>
      </c>
      <c r="E2547">
        <f>IF(AND('Ratings'!A165&lt;&gt;"",'Ratings'!F5&lt;&gt;""),'Ratings'!F5,"")</f>
        <v/>
      </c>
      <c r="F2547">
        <f>IF(OR(A2547="",'Ratings'!F165=""),"",'Ratings'!F165)</f>
        <v/>
      </c>
      <c r="G2547">
        <f>IF(A2547="","",'Employees'!D15)</f>
        <v/>
      </c>
    </row>
    <row r="2548">
      <c r="A2548">
        <f>IF(AND('Ratings'!A165&lt;&gt;"",'Ratings'!G5&lt;&gt;""),'Ratings'!A165,"")</f>
        <v/>
      </c>
      <c r="B2548">
        <f>IF(A2548="","",'Employees'!C15)</f>
        <v/>
      </c>
      <c r="C2548">
        <f>IF(A2548="","",'Ratings'!C165)</f>
        <v/>
      </c>
      <c r="D2548">
        <f>IF(A2548="","",'Ratings'!D165)</f>
        <v/>
      </c>
      <c r="E2548">
        <f>IF(AND('Ratings'!A165&lt;&gt;"",'Ratings'!G5&lt;&gt;""),'Ratings'!G5,"")</f>
        <v/>
      </c>
      <c r="F2548">
        <f>IF(OR(A2548="",'Ratings'!G165=""),"",'Ratings'!G165)</f>
        <v/>
      </c>
      <c r="G2548">
        <f>IF(A2548="","",'Employees'!D15)</f>
        <v/>
      </c>
    </row>
    <row r="2549">
      <c r="A2549">
        <f>IF(AND('Ratings'!A165&lt;&gt;"",'Ratings'!H5&lt;&gt;""),'Ratings'!A165,"")</f>
        <v/>
      </c>
      <c r="B2549">
        <f>IF(A2549="","",'Employees'!C15)</f>
        <v/>
      </c>
      <c r="C2549">
        <f>IF(A2549="","",'Ratings'!C165)</f>
        <v/>
      </c>
      <c r="D2549">
        <f>IF(A2549="","",'Ratings'!D165)</f>
        <v/>
      </c>
      <c r="E2549">
        <f>IF(AND('Ratings'!A165&lt;&gt;"",'Ratings'!H5&lt;&gt;""),'Ratings'!H5,"")</f>
        <v/>
      </c>
      <c r="F2549">
        <f>IF(OR(A2549="",'Ratings'!H165=""),"",'Ratings'!H165)</f>
        <v/>
      </c>
      <c r="G2549">
        <f>IF(A2549="","",'Employees'!D15)</f>
        <v/>
      </c>
    </row>
    <row r="2550">
      <c r="A2550">
        <f>IF(AND('Ratings'!A165&lt;&gt;"",'Ratings'!I5&lt;&gt;""),'Ratings'!A165,"")</f>
        <v/>
      </c>
      <c r="B2550">
        <f>IF(A2550="","",'Employees'!C15)</f>
        <v/>
      </c>
      <c r="C2550">
        <f>IF(A2550="","",'Ratings'!C165)</f>
        <v/>
      </c>
      <c r="D2550">
        <f>IF(A2550="","",'Ratings'!D165)</f>
        <v/>
      </c>
      <c r="E2550">
        <f>IF(AND('Ratings'!A165&lt;&gt;"",'Ratings'!I5&lt;&gt;""),'Ratings'!I5,"")</f>
        <v/>
      </c>
      <c r="F2550">
        <f>IF(OR(A2550="",'Ratings'!I165=""),"",'Ratings'!I165)</f>
        <v/>
      </c>
      <c r="G2550">
        <f>IF(A2550="","",'Employees'!D15)</f>
        <v/>
      </c>
    </row>
    <row r="2551">
      <c r="A2551">
        <f>IF(AND('Ratings'!A165&lt;&gt;"",'Ratings'!J5&lt;&gt;""),'Ratings'!A165,"")</f>
        <v/>
      </c>
      <c r="B2551">
        <f>IF(A2551="","",'Employees'!C15)</f>
        <v/>
      </c>
      <c r="C2551">
        <f>IF(A2551="","",'Ratings'!C165)</f>
        <v/>
      </c>
      <c r="D2551">
        <f>IF(A2551="","",'Ratings'!D165)</f>
        <v/>
      </c>
      <c r="E2551">
        <f>IF(AND('Ratings'!A165&lt;&gt;"",'Ratings'!J5&lt;&gt;""),'Ratings'!J5,"")</f>
        <v/>
      </c>
      <c r="F2551">
        <f>IF(OR(A2551="",'Ratings'!J165=""),"",'Ratings'!J165)</f>
        <v/>
      </c>
      <c r="G2551">
        <f>IF(A2551="","",'Employees'!D15)</f>
        <v/>
      </c>
    </row>
    <row r="2552">
      <c r="A2552">
        <f>IF(AND('Ratings'!A165&lt;&gt;"",'Ratings'!K5&lt;&gt;""),'Ratings'!A165,"")</f>
        <v/>
      </c>
      <c r="B2552">
        <f>IF(A2552="","",'Employees'!C15)</f>
        <v/>
      </c>
      <c r="C2552">
        <f>IF(A2552="","",'Ratings'!C165)</f>
        <v/>
      </c>
      <c r="D2552">
        <f>IF(A2552="","",'Ratings'!D165)</f>
        <v/>
      </c>
      <c r="E2552">
        <f>IF(AND('Ratings'!A165&lt;&gt;"",'Ratings'!K5&lt;&gt;""),'Ratings'!K5,"")</f>
        <v/>
      </c>
      <c r="F2552">
        <f>IF(OR(A2552="",'Ratings'!K165=""),"",'Ratings'!K165)</f>
        <v/>
      </c>
      <c r="G2552">
        <f>IF(A2552="","",'Employees'!D15)</f>
        <v/>
      </c>
    </row>
    <row r="2553">
      <c r="A2553">
        <f>IF(AND('Ratings'!A165&lt;&gt;"",'Ratings'!L5&lt;&gt;""),'Ratings'!A165,"")</f>
        <v/>
      </c>
      <c r="B2553">
        <f>IF(A2553="","",'Employees'!C15)</f>
        <v/>
      </c>
      <c r="C2553">
        <f>IF(A2553="","",'Ratings'!C165)</f>
        <v/>
      </c>
      <c r="D2553">
        <f>IF(A2553="","",'Ratings'!D165)</f>
        <v/>
      </c>
      <c r="E2553">
        <f>IF(AND('Ratings'!A165&lt;&gt;"",'Ratings'!L5&lt;&gt;""),'Ratings'!L5,"")</f>
        <v/>
      </c>
      <c r="F2553">
        <f>IF(OR(A2553="",'Ratings'!L165=""),"",'Ratings'!L165)</f>
        <v/>
      </c>
      <c r="G2553">
        <f>IF(A2553="","",'Employees'!D15)</f>
        <v/>
      </c>
    </row>
    <row r="2554">
      <c r="A2554">
        <f>IF(AND('Ratings'!A165&lt;&gt;"",'Ratings'!M5&lt;&gt;""),'Ratings'!A165,"")</f>
        <v/>
      </c>
      <c r="B2554">
        <f>IF(A2554="","",'Employees'!C15)</f>
        <v/>
      </c>
      <c r="C2554">
        <f>IF(A2554="","",'Ratings'!C165)</f>
        <v/>
      </c>
      <c r="D2554">
        <f>IF(A2554="","",'Ratings'!D165)</f>
        <v/>
      </c>
      <c r="E2554">
        <f>IF(AND('Ratings'!A165&lt;&gt;"",'Ratings'!M5&lt;&gt;""),'Ratings'!M5,"")</f>
        <v/>
      </c>
      <c r="F2554">
        <f>IF(OR(A2554="",'Ratings'!M165=""),"",'Ratings'!M165)</f>
        <v/>
      </c>
      <c r="G2554">
        <f>IF(A2554="","",'Employees'!D15)</f>
        <v/>
      </c>
    </row>
    <row r="2555">
      <c r="A2555">
        <f>IF(AND('Ratings'!A165&lt;&gt;"",'Ratings'!N5&lt;&gt;""),'Ratings'!A165,"")</f>
        <v/>
      </c>
      <c r="B2555">
        <f>IF(A2555="","",'Employees'!C15)</f>
        <v/>
      </c>
      <c r="C2555">
        <f>IF(A2555="","",'Ratings'!C165)</f>
        <v/>
      </c>
      <c r="D2555">
        <f>IF(A2555="","",'Ratings'!D165)</f>
        <v/>
      </c>
      <c r="E2555">
        <f>IF(AND('Ratings'!A165&lt;&gt;"",'Ratings'!N5&lt;&gt;""),'Ratings'!N5,"")</f>
        <v/>
      </c>
      <c r="F2555">
        <f>IF(OR(A2555="",'Ratings'!N165=""),"",'Ratings'!N165)</f>
        <v/>
      </c>
      <c r="G2555">
        <f>IF(A2555="","",'Employees'!D15)</f>
        <v/>
      </c>
    </row>
    <row r="2556">
      <c r="A2556">
        <f>IF(AND('Ratings'!A165&lt;&gt;"",'Ratings'!O5&lt;&gt;""),'Ratings'!A165,"")</f>
        <v/>
      </c>
      <c r="B2556">
        <f>IF(A2556="","",'Employees'!C15)</f>
        <v/>
      </c>
      <c r="C2556">
        <f>IF(A2556="","",'Ratings'!C165)</f>
        <v/>
      </c>
      <c r="D2556">
        <f>IF(A2556="","",'Ratings'!D165)</f>
        <v/>
      </c>
      <c r="E2556">
        <f>IF(AND('Ratings'!A165&lt;&gt;"",'Ratings'!O5&lt;&gt;""),'Ratings'!O5,"")</f>
        <v/>
      </c>
      <c r="F2556">
        <f>IF(OR(A2556="",'Ratings'!O165=""),"",'Ratings'!O165)</f>
        <v/>
      </c>
      <c r="G2556">
        <f>IF(A2556="","",'Employees'!D15)</f>
        <v/>
      </c>
    </row>
    <row r="2557">
      <c r="A2557">
        <f>IF(AND('Ratings'!A165&lt;&gt;"",'Ratings'!P5&lt;&gt;""),'Ratings'!A165,"")</f>
        <v/>
      </c>
      <c r="B2557">
        <f>IF(A2557="","",'Employees'!C15)</f>
        <v/>
      </c>
      <c r="C2557">
        <f>IF(A2557="","",'Ratings'!C165)</f>
        <v/>
      </c>
      <c r="D2557">
        <f>IF(A2557="","",'Ratings'!D165)</f>
        <v/>
      </c>
      <c r="E2557">
        <f>IF(AND('Ratings'!A165&lt;&gt;"",'Ratings'!P5&lt;&gt;""),'Ratings'!P5,"")</f>
        <v/>
      </c>
      <c r="F2557">
        <f>IF(OR(A2557="",'Ratings'!P165=""),"",'Ratings'!P165)</f>
        <v/>
      </c>
      <c r="G2557">
        <f>IF(A2557="","",'Employees'!D15)</f>
        <v/>
      </c>
    </row>
    <row r="2558">
      <c r="A2558">
        <f>IF(AND('Ratings'!A165&lt;&gt;"",'Ratings'!Q5&lt;&gt;""),'Ratings'!A165,"")</f>
        <v/>
      </c>
      <c r="B2558">
        <f>IF(A2558="","",'Employees'!C15)</f>
        <v/>
      </c>
      <c r="C2558">
        <f>IF(A2558="","",'Ratings'!C165)</f>
        <v/>
      </c>
      <c r="D2558">
        <f>IF(A2558="","",'Ratings'!D165)</f>
        <v/>
      </c>
      <c r="E2558">
        <f>IF(AND('Ratings'!A165&lt;&gt;"",'Ratings'!Q5&lt;&gt;""),'Ratings'!Q5,"")</f>
        <v/>
      </c>
      <c r="F2558">
        <f>IF(OR(A2558="",'Ratings'!Q165=""),"",'Ratings'!Q165)</f>
        <v/>
      </c>
      <c r="G2558">
        <f>IF(A2558="","",'Employees'!D15)</f>
        <v/>
      </c>
    </row>
    <row r="2559">
      <c r="A2559">
        <f>IF(AND('Ratings'!A165&lt;&gt;"",'Ratings'!R5&lt;&gt;""),'Ratings'!A165,"")</f>
        <v/>
      </c>
      <c r="B2559">
        <f>IF(A2559="","",'Employees'!C15)</f>
        <v/>
      </c>
      <c r="C2559">
        <f>IF(A2559="","",'Ratings'!C165)</f>
        <v/>
      </c>
      <c r="D2559">
        <f>IF(A2559="","",'Ratings'!D165)</f>
        <v/>
      </c>
      <c r="E2559">
        <f>IF(AND('Ratings'!A165&lt;&gt;"",'Ratings'!R5&lt;&gt;""),'Ratings'!R5,"")</f>
        <v/>
      </c>
      <c r="F2559">
        <f>IF(OR(A2559="",'Ratings'!R165=""),"",'Ratings'!R165)</f>
        <v/>
      </c>
      <c r="G2559">
        <f>IF(A2559="","",'Employees'!D15)</f>
        <v/>
      </c>
    </row>
    <row r="2560">
      <c r="A2560">
        <f>IF(AND('Ratings'!A165&lt;&gt;"",'Ratings'!S5&lt;&gt;""),'Ratings'!A165,"")</f>
        <v/>
      </c>
      <c r="B2560">
        <f>IF(A2560="","",'Employees'!C15)</f>
        <v/>
      </c>
      <c r="C2560">
        <f>IF(A2560="","",'Ratings'!C165)</f>
        <v/>
      </c>
      <c r="D2560">
        <f>IF(A2560="","",'Ratings'!D165)</f>
        <v/>
      </c>
      <c r="E2560">
        <f>IF(AND('Ratings'!A165&lt;&gt;"",'Ratings'!S5&lt;&gt;""),'Ratings'!S5,"")</f>
        <v/>
      </c>
      <c r="F2560">
        <f>IF(OR(A2560="",'Ratings'!S165=""),"",'Ratings'!S165)</f>
        <v/>
      </c>
      <c r="G2560">
        <f>IF(A2560="","",'Employees'!D15)</f>
        <v/>
      </c>
    </row>
    <row r="2561">
      <c r="A2561">
        <f>IF(AND('Ratings'!A165&lt;&gt;"",'Ratings'!T5&lt;&gt;""),'Ratings'!A165,"")</f>
        <v/>
      </c>
      <c r="B2561">
        <f>IF(A2561="","",'Employees'!C15)</f>
        <v/>
      </c>
      <c r="C2561">
        <f>IF(A2561="","",'Ratings'!C165)</f>
        <v/>
      </c>
      <c r="D2561">
        <f>IF(A2561="","",'Ratings'!D165)</f>
        <v/>
      </c>
      <c r="E2561">
        <f>IF(AND('Ratings'!A165&lt;&gt;"",'Ratings'!T5&lt;&gt;""),'Ratings'!T5,"")</f>
        <v/>
      </c>
      <c r="F2561">
        <f>IF(OR(A2561="",'Ratings'!T165=""),"",'Ratings'!T165)</f>
        <v/>
      </c>
      <c r="G2561">
        <f>IF(A2561="","",'Employees'!D15)</f>
        <v/>
      </c>
    </row>
    <row r="2562">
      <c r="A2562">
        <f>IF(AND('Ratings'!A166&lt;&gt;"",'Ratings'!E5&lt;&gt;""),'Ratings'!A166,"")</f>
        <v/>
      </c>
      <c r="B2562">
        <f>IF(A2562="","",'Employees'!C16)</f>
        <v/>
      </c>
      <c r="C2562">
        <f>IF(A2562="","",'Ratings'!C166)</f>
        <v/>
      </c>
      <c r="D2562">
        <f>IF(A2562="","",'Ratings'!D166)</f>
        <v/>
      </c>
      <c r="E2562">
        <f>IF(AND('Ratings'!A166&lt;&gt;"",'Ratings'!E5&lt;&gt;""),'Ratings'!E5,"")</f>
        <v/>
      </c>
      <c r="F2562">
        <f>IF(OR(A2562="",'Ratings'!E166=""),"",'Ratings'!E166)</f>
        <v/>
      </c>
      <c r="G2562">
        <f>IF(A2562="","",'Employees'!D16)</f>
        <v/>
      </c>
    </row>
    <row r="2563">
      <c r="A2563">
        <f>IF(AND('Ratings'!A166&lt;&gt;"",'Ratings'!F5&lt;&gt;""),'Ratings'!A166,"")</f>
        <v/>
      </c>
      <c r="B2563">
        <f>IF(A2563="","",'Employees'!C16)</f>
        <v/>
      </c>
      <c r="C2563">
        <f>IF(A2563="","",'Ratings'!C166)</f>
        <v/>
      </c>
      <c r="D2563">
        <f>IF(A2563="","",'Ratings'!D166)</f>
        <v/>
      </c>
      <c r="E2563">
        <f>IF(AND('Ratings'!A166&lt;&gt;"",'Ratings'!F5&lt;&gt;""),'Ratings'!F5,"")</f>
        <v/>
      </c>
      <c r="F2563">
        <f>IF(OR(A2563="",'Ratings'!F166=""),"",'Ratings'!F166)</f>
        <v/>
      </c>
      <c r="G2563">
        <f>IF(A2563="","",'Employees'!D16)</f>
        <v/>
      </c>
    </row>
    <row r="2564">
      <c r="A2564">
        <f>IF(AND('Ratings'!A166&lt;&gt;"",'Ratings'!G5&lt;&gt;""),'Ratings'!A166,"")</f>
        <v/>
      </c>
      <c r="B2564">
        <f>IF(A2564="","",'Employees'!C16)</f>
        <v/>
      </c>
      <c r="C2564">
        <f>IF(A2564="","",'Ratings'!C166)</f>
        <v/>
      </c>
      <c r="D2564">
        <f>IF(A2564="","",'Ratings'!D166)</f>
        <v/>
      </c>
      <c r="E2564">
        <f>IF(AND('Ratings'!A166&lt;&gt;"",'Ratings'!G5&lt;&gt;""),'Ratings'!G5,"")</f>
        <v/>
      </c>
      <c r="F2564">
        <f>IF(OR(A2564="",'Ratings'!G166=""),"",'Ratings'!G166)</f>
        <v/>
      </c>
      <c r="G2564">
        <f>IF(A2564="","",'Employees'!D16)</f>
        <v/>
      </c>
    </row>
    <row r="2565">
      <c r="A2565">
        <f>IF(AND('Ratings'!A166&lt;&gt;"",'Ratings'!H5&lt;&gt;""),'Ratings'!A166,"")</f>
        <v/>
      </c>
      <c r="B2565">
        <f>IF(A2565="","",'Employees'!C16)</f>
        <v/>
      </c>
      <c r="C2565">
        <f>IF(A2565="","",'Ratings'!C166)</f>
        <v/>
      </c>
      <c r="D2565">
        <f>IF(A2565="","",'Ratings'!D166)</f>
        <v/>
      </c>
      <c r="E2565">
        <f>IF(AND('Ratings'!A166&lt;&gt;"",'Ratings'!H5&lt;&gt;""),'Ratings'!H5,"")</f>
        <v/>
      </c>
      <c r="F2565">
        <f>IF(OR(A2565="",'Ratings'!H166=""),"",'Ratings'!H166)</f>
        <v/>
      </c>
      <c r="G2565">
        <f>IF(A2565="","",'Employees'!D16)</f>
        <v/>
      </c>
    </row>
    <row r="2566">
      <c r="A2566">
        <f>IF(AND('Ratings'!A166&lt;&gt;"",'Ratings'!I5&lt;&gt;""),'Ratings'!A166,"")</f>
        <v/>
      </c>
      <c r="B2566">
        <f>IF(A2566="","",'Employees'!C16)</f>
        <v/>
      </c>
      <c r="C2566">
        <f>IF(A2566="","",'Ratings'!C166)</f>
        <v/>
      </c>
      <c r="D2566">
        <f>IF(A2566="","",'Ratings'!D166)</f>
        <v/>
      </c>
      <c r="E2566">
        <f>IF(AND('Ratings'!A166&lt;&gt;"",'Ratings'!I5&lt;&gt;""),'Ratings'!I5,"")</f>
        <v/>
      </c>
      <c r="F2566">
        <f>IF(OR(A2566="",'Ratings'!I166=""),"",'Ratings'!I166)</f>
        <v/>
      </c>
      <c r="G2566">
        <f>IF(A2566="","",'Employees'!D16)</f>
        <v/>
      </c>
    </row>
    <row r="2567">
      <c r="A2567">
        <f>IF(AND('Ratings'!A166&lt;&gt;"",'Ratings'!J5&lt;&gt;""),'Ratings'!A166,"")</f>
        <v/>
      </c>
      <c r="B2567">
        <f>IF(A2567="","",'Employees'!C16)</f>
        <v/>
      </c>
      <c r="C2567">
        <f>IF(A2567="","",'Ratings'!C166)</f>
        <v/>
      </c>
      <c r="D2567">
        <f>IF(A2567="","",'Ratings'!D166)</f>
        <v/>
      </c>
      <c r="E2567">
        <f>IF(AND('Ratings'!A166&lt;&gt;"",'Ratings'!J5&lt;&gt;""),'Ratings'!J5,"")</f>
        <v/>
      </c>
      <c r="F2567">
        <f>IF(OR(A2567="",'Ratings'!J166=""),"",'Ratings'!J166)</f>
        <v/>
      </c>
      <c r="G2567">
        <f>IF(A2567="","",'Employees'!D16)</f>
        <v/>
      </c>
    </row>
    <row r="2568">
      <c r="A2568">
        <f>IF(AND('Ratings'!A166&lt;&gt;"",'Ratings'!K5&lt;&gt;""),'Ratings'!A166,"")</f>
        <v/>
      </c>
      <c r="B2568">
        <f>IF(A2568="","",'Employees'!C16)</f>
        <v/>
      </c>
      <c r="C2568">
        <f>IF(A2568="","",'Ratings'!C166)</f>
        <v/>
      </c>
      <c r="D2568">
        <f>IF(A2568="","",'Ratings'!D166)</f>
        <v/>
      </c>
      <c r="E2568">
        <f>IF(AND('Ratings'!A166&lt;&gt;"",'Ratings'!K5&lt;&gt;""),'Ratings'!K5,"")</f>
        <v/>
      </c>
      <c r="F2568">
        <f>IF(OR(A2568="",'Ratings'!K166=""),"",'Ratings'!K166)</f>
        <v/>
      </c>
      <c r="G2568">
        <f>IF(A2568="","",'Employees'!D16)</f>
        <v/>
      </c>
    </row>
    <row r="2569">
      <c r="A2569">
        <f>IF(AND('Ratings'!A166&lt;&gt;"",'Ratings'!L5&lt;&gt;""),'Ratings'!A166,"")</f>
        <v/>
      </c>
      <c r="B2569">
        <f>IF(A2569="","",'Employees'!C16)</f>
        <v/>
      </c>
      <c r="C2569">
        <f>IF(A2569="","",'Ratings'!C166)</f>
        <v/>
      </c>
      <c r="D2569">
        <f>IF(A2569="","",'Ratings'!D166)</f>
        <v/>
      </c>
      <c r="E2569">
        <f>IF(AND('Ratings'!A166&lt;&gt;"",'Ratings'!L5&lt;&gt;""),'Ratings'!L5,"")</f>
        <v/>
      </c>
      <c r="F2569">
        <f>IF(OR(A2569="",'Ratings'!L166=""),"",'Ratings'!L166)</f>
        <v/>
      </c>
      <c r="G2569">
        <f>IF(A2569="","",'Employees'!D16)</f>
        <v/>
      </c>
    </row>
    <row r="2570">
      <c r="A2570">
        <f>IF(AND('Ratings'!A166&lt;&gt;"",'Ratings'!M5&lt;&gt;""),'Ratings'!A166,"")</f>
        <v/>
      </c>
      <c r="B2570">
        <f>IF(A2570="","",'Employees'!C16)</f>
        <v/>
      </c>
      <c r="C2570">
        <f>IF(A2570="","",'Ratings'!C166)</f>
        <v/>
      </c>
      <c r="D2570">
        <f>IF(A2570="","",'Ratings'!D166)</f>
        <v/>
      </c>
      <c r="E2570">
        <f>IF(AND('Ratings'!A166&lt;&gt;"",'Ratings'!M5&lt;&gt;""),'Ratings'!M5,"")</f>
        <v/>
      </c>
      <c r="F2570">
        <f>IF(OR(A2570="",'Ratings'!M166=""),"",'Ratings'!M166)</f>
        <v/>
      </c>
      <c r="G2570">
        <f>IF(A2570="","",'Employees'!D16)</f>
        <v/>
      </c>
    </row>
    <row r="2571">
      <c r="A2571">
        <f>IF(AND('Ratings'!A166&lt;&gt;"",'Ratings'!N5&lt;&gt;""),'Ratings'!A166,"")</f>
        <v/>
      </c>
      <c r="B2571">
        <f>IF(A2571="","",'Employees'!C16)</f>
        <v/>
      </c>
      <c r="C2571">
        <f>IF(A2571="","",'Ratings'!C166)</f>
        <v/>
      </c>
      <c r="D2571">
        <f>IF(A2571="","",'Ratings'!D166)</f>
        <v/>
      </c>
      <c r="E2571">
        <f>IF(AND('Ratings'!A166&lt;&gt;"",'Ratings'!N5&lt;&gt;""),'Ratings'!N5,"")</f>
        <v/>
      </c>
      <c r="F2571">
        <f>IF(OR(A2571="",'Ratings'!N166=""),"",'Ratings'!N166)</f>
        <v/>
      </c>
      <c r="G2571">
        <f>IF(A2571="","",'Employees'!D16)</f>
        <v/>
      </c>
    </row>
    <row r="2572">
      <c r="A2572">
        <f>IF(AND('Ratings'!A166&lt;&gt;"",'Ratings'!O5&lt;&gt;""),'Ratings'!A166,"")</f>
        <v/>
      </c>
      <c r="B2572">
        <f>IF(A2572="","",'Employees'!C16)</f>
        <v/>
      </c>
      <c r="C2572">
        <f>IF(A2572="","",'Ratings'!C166)</f>
        <v/>
      </c>
      <c r="D2572">
        <f>IF(A2572="","",'Ratings'!D166)</f>
        <v/>
      </c>
      <c r="E2572">
        <f>IF(AND('Ratings'!A166&lt;&gt;"",'Ratings'!O5&lt;&gt;""),'Ratings'!O5,"")</f>
        <v/>
      </c>
      <c r="F2572">
        <f>IF(OR(A2572="",'Ratings'!O166=""),"",'Ratings'!O166)</f>
        <v/>
      </c>
      <c r="G2572">
        <f>IF(A2572="","",'Employees'!D16)</f>
        <v/>
      </c>
    </row>
    <row r="2573">
      <c r="A2573">
        <f>IF(AND('Ratings'!A166&lt;&gt;"",'Ratings'!P5&lt;&gt;""),'Ratings'!A166,"")</f>
        <v/>
      </c>
      <c r="B2573">
        <f>IF(A2573="","",'Employees'!C16)</f>
        <v/>
      </c>
      <c r="C2573">
        <f>IF(A2573="","",'Ratings'!C166)</f>
        <v/>
      </c>
      <c r="D2573">
        <f>IF(A2573="","",'Ratings'!D166)</f>
        <v/>
      </c>
      <c r="E2573">
        <f>IF(AND('Ratings'!A166&lt;&gt;"",'Ratings'!P5&lt;&gt;""),'Ratings'!P5,"")</f>
        <v/>
      </c>
      <c r="F2573">
        <f>IF(OR(A2573="",'Ratings'!P166=""),"",'Ratings'!P166)</f>
        <v/>
      </c>
      <c r="G2573">
        <f>IF(A2573="","",'Employees'!D16)</f>
        <v/>
      </c>
    </row>
    <row r="2574">
      <c r="A2574">
        <f>IF(AND('Ratings'!A166&lt;&gt;"",'Ratings'!Q5&lt;&gt;""),'Ratings'!A166,"")</f>
        <v/>
      </c>
      <c r="B2574">
        <f>IF(A2574="","",'Employees'!C16)</f>
        <v/>
      </c>
      <c r="C2574">
        <f>IF(A2574="","",'Ratings'!C166)</f>
        <v/>
      </c>
      <c r="D2574">
        <f>IF(A2574="","",'Ratings'!D166)</f>
        <v/>
      </c>
      <c r="E2574">
        <f>IF(AND('Ratings'!A166&lt;&gt;"",'Ratings'!Q5&lt;&gt;""),'Ratings'!Q5,"")</f>
        <v/>
      </c>
      <c r="F2574">
        <f>IF(OR(A2574="",'Ratings'!Q166=""),"",'Ratings'!Q166)</f>
        <v/>
      </c>
      <c r="G2574">
        <f>IF(A2574="","",'Employees'!D16)</f>
        <v/>
      </c>
    </row>
    <row r="2575">
      <c r="A2575">
        <f>IF(AND('Ratings'!A166&lt;&gt;"",'Ratings'!R5&lt;&gt;""),'Ratings'!A166,"")</f>
        <v/>
      </c>
      <c r="B2575">
        <f>IF(A2575="","",'Employees'!C16)</f>
        <v/>
      </c>
      <c r="C2575">
        <f>IF(A2575="","",'Ratings'!C166)</f>
        <v/>
      </c>
      <c r="D2575">
        <f>IF(A2575="","",'Ratings'!D166)</f>
        <v/>
      </c>
      <c r="E2575">
        <f>IF(AND('Ratings'!A166&lt;&gt;"",'Ratings'!R5&lt;&gt;""),'Ratings'!R5,"")</f>
        <v/>
      </c>
      <c r="F2575">
        <f>IF(OR(A2575="",'Ratings'!R166=""),"",'Ratings'!R166)</f>
        <v/>
      </c>
      <c r="G2575">
        <f>IF(A2575="","",'Employees'!D16)</f>
        <v/>
      </c>
    </row>
    <row r="2576">
      <c r="A2576">
        <f>IF(AND('Ratings'!A166&lt;&gt;"",'Ratings'!S5&lt;&gt;""),'Ratings'!A166,"")</f>
        <v/>
      </c>
      <c r="B2576">
        <f>IF(A2576="","",'Employees'!C16)</f>
        <v/>
      </c>
      <c r="C2576">
        <f>IF(A2576="","",'Ratings'!C166)</f>
        <v/>
      </c>
      <c r="D2576">
        <f>IF(A2576="","",'Ratings'!D166)</f>
        <v/>
      </c>
      <c r="E2576">
        <f>IF(AND('Ratings'!A166&lt;&gt;"",'Ratings'!S5&lt;&gt;""),'Ratings'!S5,"")</f>
        <v/>
      </c>
      <c r="F2576">
        <f>IF(OR(A2576="",'Ratings'!S166=""),"",'Ratings'!S166)</f>
        <v/>
      </c>
      <c r="G2576">
        <f>IF(A2576="","",'Employees'!D16)</f>
        <v/>
      </c>
    </row>
    <row r="2577">
      <c r="A2577">
        <f>IF(AND('Ratings'!A166&lt;&gt;"",'Ratings'!T5&lt;&gt;""),'Ratings'!A166,"")</f>
        <v/>
      </c>
      <c r="B2577">
        <f>IF(A2577="","",'Employees'!C16)</f>
        <v/>
      </c>
      <c r="C2577">
        <f>IF(A2577="","",'Ratings'!C166)</f>
        <v/>
      </c>
      <c r="D2577">
        <f>IF(A2577="","",'Ratings'!D166)</f>
        <v/>
      </c>
      <c r="E2577">
        <f>IF(AND('Ratings'!A166&lt;&gt;"",'Ratings'!T5&lt;&gt;""),'Ratings'!T5,"")</f>
        <v/>
      </c>
      <c r="F2577">
        <f>IF(OR(A2577="",'Ratings'!T166=""),"",'Ratings'!T166)</f>
        <v/>
      </c>
      <c r="G2577">
        <f>IF(A2577="","",'Employees'!D16)</f>
        <v/>
      </c>
    </row>
    <row r="2578">
      <c r="A2578">
        <f>IF(AND('Ratings'!A167&lt;&gt;"",'Ratings'!E5&lt;&gt;""),'Ratings'!A167,"")</f>
        <v/>
      </c>
      <c r="B2578">
        <f>IF(A2578="","",'Employees'!C16)</f>
        <v/>
      </c>
      <c r="C2578">
        <f>IF(A2578="","",'Ratings'!C167)</f>
        <v/>
      </c>
      <c r="D2578">
        <f>IF(A2578="","",'Ratings'!D167)</f>
        <v/>
      </c>
      <c r="E2578">
        <f>IF(AND('Ratings'!A167&lt;&gt;"",'Ratings'!E5&lt;&gt;""),'Ratings'!E5,"")</f>
        <v/>
      </c>
      <c r="F2578">
        <f>IF(OR(A2578="",'Ratings'!E167=""),"",'Ratings'!E167)</f>
        <v/>
      </c>
      <c r="G2578">
        <f>IF(A2578="","",'Employees'!D16)</f>
        <v/>
      </c>
    </row>
    <row r="2579">
      <c r="A2579">
        <f>IF(AND('Ratings'!A167&lt;&gt;"",'Ratings'!F5&lt;&gt;""),'Ratings'!A167,"")</f>
        <v/>
      </c>
      <c r="B2579">
        <f>IF(A2579="","",'Employees'!C16)</f>
        <v/>
      </c>
      <c r="C2579">
        <f>IF(A2579="","",'Ratings'!C167)</f>
        <v/>
      </c>
      <c r="D2579">
        <f>IF(A2579="","",'Ratings'!D167)</f>
        <v/>
      </c>
      <c r="E2579">
        <f>IF(AND('Ratings'!A167&lt;&gt;"",'Ratings'!F5&lt;&gt;""),'Ratings'!F5,"")</f>
        <v/>
      </c>
      <c r="F2579">
        <f>IF(OR(A2579="",'Ratings'!F167=""),"",'Ratings'!F167)</f>
        <v/>
      </c>
      <c r="G2579">
        <f>IF(A2579="","",'Employees'!D16)</f>
        <v/>
      </c>
    </row>
    <row r="2580">
      <c r="A2580">
        <f>IF(AND('Ratings'!A167&lt;&gt;"",'Ratings'!G5&lt;&gt;""),'Ratings'!A167,"")</f>
        <v/>
      </c>
      <c r="B2580">
        <f>IF(A2580="","",'Employees'!C16)</f>
        <v/>
      </c>
      <c r="C2580">
        <f>IF(A2580="","",'Ratings'!C167)</f>
        <v/>
      </c>
      <c r="D2580">
        <f>IF(A2580="","",'Ratings'!D167)</f>
        <v/>
      </c>
      <c r="E2580">
        <f>IF(AND('Ratings'!A167&lt;&gt;"",'Ratings'!G5&lt;&gt;""),'Ratings'!G5,"")</f>
        <v/>
      </c>
      <c r="F2580">
        <f>IF(OR(A2580="",'Ratings'!G167=""),"",'Ratings'!G167)</f>
        <v/>
      </c>
      <c r="G2580">
        <f>IF(A2580="","",'Employees'!D16)</f>
        <v/>
      </c>
    </row>
    <row r="2581">
      <c r="A2581">
        <f>IF(AND('Ratings'!A167&lt;&gt;"",'Ratings'!H5&lt;&gt;""),'Ratings'!A167,"")</f>
        <v/>
      </c>
      <c r="B2581">
        <f>IF(A2581="","",'Employees'!C16)</f>
        <v/>
      </c>
      <c r="C2581">
        <f>IF(A2581="","",'Ratings'!C167)</f>
        <v/>
      </c>
      <c r="D2581">
        <f>IF(A2581="","",'Ratings'!D167)</f>
        <v/>
      </c>
      <c r="E2581">
        <f>IF(AND('Ratings'!A167&lt;&gt;"",'Ratings'!H5&lt;&gt;""),'Ratings'!H5,"")</f>
        <v/>
      </c>
      <c r="F2581">
        <f>IF(OR(A2581="",'Ratings'!H167=""),"",'Ratings'!H167)</f>
        <v/>
      </c>
      <c r="G2581">
        <f>IF(A2581="","",'Employees'!D16)</f>
        <v/>
      </c>
    </row>
    <row r="2582">
      <c r="A2582">
        <f>IF(AND('Ratings'!A167&lt;&gt;"",'Ratings'!I5&lt;&gt;""),'Ratings'!A167,"")</f>
        <v/>
      </c>
      <c r="B2582">
        <f>IF(A2582="","",'Employees'!C16)</f>
        <v/>
      </c>
      <c r="C2582">
        <f>IF(A2582="","",'Ratings'!C167)</f>
        <v/>
      </c>
      <c r="D2582">
        <f>IF(A2582="","",'Ratings'!D167)</f>
        <v/>
      </c>
      <c r="E2582">
        <f>IF(AND('Ratings'!A167&lt;&gt;"",'Ratings'!I5&lt;&gt;""),'Ratings'!I5,"")</f>
        <v/>
      </c>
      <c r="F2582">
        <f>IF(OR(A2582="",'Ratings'!I167=""),"",'Ratings'!I167)</f>
        <v/>
      </c>
      <c r="G2582">
        <f>IF(A2582="","",'Employees'!D16)</f>
        <v/>
      </c>
    </row>
    <row r="2583">
      <c r="A2583">
        <f>IF(AND('Ratings'!A167&lt;&gt;"",'Ratings'!J5&lt;&gt;""),'Ratings'!A167,"")</f>
        <v/>
      </c>
      <c r="B2583">
        <f>IF(A2583="","",'Employees'!C16)</f>
        <v/>
      </c>
      <c r="C2583">
        <f>IF(A2583="","",'Ratings'!C167)</f>
        <v/>
      </c>
      <c r="D2583">
        <f>IF(A2583="","",'Ratings'!D167)</f>
        <v/>
      </c>
      <c r="E2583">
        <f>IF(AND('Ratings'!A167&lt;&gt;"",'Ratings'!J5&lt;&gt;""),'Ratings'!J5,"")</f>
        <v/>
      </c>
      <c r="F2583">
        <f>IF(OR(A2583="",'Ratings'!J167=""),"",'Ratings'!J167)</f>
        <v/>
      </c>
      <c r="G2583">
        <f>IF(A2583="","",'Employees'!D16)</f>
        <v/>
      </c>
    </row>
    <row r="2584">
      <c r="A2584">
        <f>IF(AND('Ratings'!A167&lt;&gt;"",'Ratings'!K5&lt;&gt;""),'Ratings'!A167,"")</f>
        <v/>
      </c>
      <c r="B2584">
        <f>IF(A2584="","",'Employees'!C16)</f>
        <v/>
      </c>
      <c r="C2584">
        <f>IF(A2584="","",'Ratings'!C167)</f>
        <v/>
      </c>
      <c r="D2584">
        <f>IF(A2584="","",'Ratings'!D167)</f>
        <v/>
      </c>
      <c r="E2584">
        <f>IF(AND('Ratings'!A167&lt;&gt;"",'Ratings'!K5&lt;&gt;""),'Ratings'!K5,"")</f>
        <v/>
      </c>
      <c r="F2584">
        <f>IF(OR(A2584="",'Ratings'!K167=""),"",'Ratings'!K167)</f>
        <v/>
      </c>
      <c r="G2584">
        <f>IF(A2584="","",'Employees'!D16)</f>
        <v/>
      </c>
    </row>
    <row r="2585">
      <c r="A2585">
        <f>IF(AND('Ratings'!A167&lt;&gt;"",'Ratings'!L5&lt;&gt;""),'Ratings'!A167,"")</f>
        <v/>
      </c>
      <c r="B2585">
        <f>IF(A2585="","",'Employees'!C16)</f>
        <v/>
      </c>
      <c r="C2585">
        <f>IF(A2585="","",'Ratings'!C167)</f>
        <v/>
      </c>
      <c r="D2585">
        <f>IF(A2585="","",'Ratings'!D167)</f>
        <v/>
      </c>
      <c r="E2585">
        <f>IF(AND('Ratings'!A167&lt;&gt;"",'Ratings'!L5&lt;&gt;""),'Ratings'!L5,"")</f>
        <v/>
      </c>
      <c r="F2585">
        <f>IF(OR(A2585="",'Ratings'!L167=""),"",'Ratings'!L167)</f>
        <v/>
      </c>
      <c r="G2585">
        <f>IF(A2585="","",'Employees'!D16)</f>
        <v/>
      </c>
    </row>
    <row r="2586">
      <c r="A2586">
        <f>IF(AND('Ratings'!A167&lt;&gt;"",'Ratings'!M5&lt;&gt;""),'Ratings'!A167,"")</f>
        <v/>
      </c>
      <c r="B2586">
        <f>IF(A2586="","",'Employees'!C16)</f>
        <v/>
      </c>
      <c r="C2586">
        <f>IF(A2586="","",'Ratings'!C167)</f>
        <v/>
      </c>
      <c r="D2586">
        <f>IF(A2586="","",'Ratings'!D167)</f>
        <v/>
      </c>
      <c r="E2586">
        <f>IF(AND('Ratings'!A167&lt;&gt;"",'Ratings'!M5&lt;&gt;""),'Ratings'!M5,"")</f>
        <v/>
      </c>
      <c r="F2586">
        <f>IF(OR(A2586="",'Ratings'!M167=""),"",'Ratings'!M167)</f>
        <v/>
      </c>
      <c r="G2586">
        <f>IF(A2586="","",'Employees'!D16)</f>
        <v/>
      </c>
    </row>
    <row r="2587">
      <c r="A2587">
        <f>IF(AND('Ratings'!A167&lt;&gt;"",'Ratings'!N5&lt;&gt;""),'Ratings'!A167,"")</f>
        <v/>
      </c>
      <c r="B2587">
        <f>IF(A2587="","",'Employees'!C16)</f>
        <v/>
      </c>
      <c r="C2587">
        <f>IF(A2587="","",'Ratings'!C167)</f>
        <v/>
      </c>
      <c r="D2587">
        <f>IF(A2587="","",'Ratings'!D167)</f>
        <v/>
      </c>
      <c r="E2587">
        <f>IF(AND('Ratings'!A167&lt;&gt;"",'Ratings'!N5&lt;&gt;""),'Ratings'!N5,"")</f>
        <v/>
      </c>
      <c r="F2587">
        <f>IF(OR(A2587="",'Ratings'!N167=""),"",'Ratings'!N167)</f>
        <v/>
      </c>
      <c r="G2587">
        <f>IF(A2587="","",'Employees'!D16)</f>
        <v/>
      </c>
    </row>
    <row r="2588">
      <c r="A2588">
        <f>IF(AND('Ratings'!A167&lt;&gt;"",'Ratings'!O5&lt;&gt;""),'Ratings'!A167,"")</f>
        <v/>
      </c>
      <c r="B2588">
        <f>IF(A2588="","",'Employees'!C16)</f>
        <v/>
      </c>
      <c r="C2588">
        <f>IF(A2588="","",'Ratings'!C167)</f>
        <v/>
      </c>
      <c r="D2588">
        <f>IF(A2588="","",'Ratings'!D167)</f>
        <v/>
      </c>
      <c r="E2588">
        <f>IF(AND('Ratings'!A167&lt;&gt;"",'Ratings'!O5&lt;&gt;""),'Ratings'!O5,"")</f>
        <v/>
      </c>
      <c r="F2588">
        <f>IF(OR(A2588="",'Ratings'!O167=""),"",'Ratings'!O167)</f>
        <v/>
      </c>
      <c r="G2588">
        <f>IF(A2588="","",'Employees'!D16)</f>
        <v/>
      </c>
    </row>
    <row r="2589">
      <c r="A2589">
        <f>IF(AND('Ratings'!A167&lt;&gt;"",'Ratings'!P5&lt;&gt;""),'Ratings'!A167,"")</f>
        <v/>
      </c>
      <c r="B2589">
        <f>IF(A2589="","",'Employees'!C16)</f>
        <v/>
      </c>
      <c r="C2589">
        <f>IF(A2589="","",'Ratings'!C167)</f>
        <v/>
      </c>
      <c r="D2589">
        <f>IF(A2589="","",'Ratings'!D167)</f>
        <v/>
      </c>
      <c r="E2589">
        <f>IF(AND('Ratings'!A167&lt;&gt;"",'Ratings'!P5&lt;&gt;""),'Ratings'!P5,"")</f>
        <v/>
      </c>
      <c r="F2589">
        <f>IF(OR(A2589="",'Ratings'!P167=""),"",'Ratings'!P167)</f>
        <v/>
      </c>
      <c r="G2589">
        <f>IF(A2589="","",'Employees'!D16)</f>
        <v/>
      </c>
    </row>
    <row r="2590">
      <c r="A2590">
        <f>IF(AND('Ratings'!A167&lt;&gt;"",'Ratings'!Q5&lt;&gt;""),'Ratings'!A167,"")</f>
        <v/>
      </c>
      <c r="B2590">
        <f>IF(A2590="","",'Employees'!C16)</f>
        <v/>
      </c>
      <c r="C2590">
        <f>IF(A2590="","",'Ratings'!C167)</f>
        <v/>
      </c>
      <c r="D2590">
        <f>IF(A2590="","",'Ratings'!D167)</f>
        <v/>
      </c>
      <c r="E2590">
        <f>IF(AND('Ratings'!A167&lt;&gt;"",'Ratings'!Q5&lt;&gt;""),'Ratings'!Q5,"")</f>
        <v/>
      </c>
      <c r="F2590">
        <f>IF(OR(A2590="",'Ratings'!Q167=""),"",'Ratings'!Q167)</f>
        <v/>
      </c>
      <c r="G2590">
        <f>IF(A2590="","",'Employees'!D16)</f>
        <v/>
      </c>
    </row>
    <row r="2591">
      <c r="A2591">
        <f>IF(AND('Ratings'!A167&lt;&gt;"",'Ratings'!R5&lt;&gt;""),'Ratings'!A167,"")</f>
        <v/>
      </c>
      <c r="B2591">
        <f>IF(A2591="","",'Employees'!C16)</f>
        <v/>
      </c>
      <c r="C2591">
        <f>IF(A2591="","",'Ratings'!C167)</f>
        <v/>
      </c>
      <c r="D2591">
        <f>IF(A2591="","",'Ratings'!D167)</f>
        <v/>
      </c>
      <c r="E2591">
        <f>IF(AND('Ratings'!A167&lt;&gt;"",'Ratings'!R5&lt;&gt;""),'Ratings'!R5,"")</f>
        <v/>
      </c>
      <c r="F2591">
        <f>IF(OR(A2591="",'Ratings'!R167=""),"",'Ratings'!R167)</f>
        <v/>
      </c>
      <c r="G2591">
        <f>IF(A2591="","",'Employees'!D16)</f>
        <v/>
      </c>
    </row>
    <row r="2592">
      <c r="A2592">
        <f>IF(AND('Ratings'!A167&lt;&gt;"",'Ratings'!S5&lt;&gt;""),'Ratings'!A167,"")</f>
        <v/>
      </c>
      <c r="B2592">
        <f>IF(A2592="","",'Employees'!C16)</f>
        <v/>
      </c>
      <c r="C2592">
        <f>IF(A2592="","",'Ratings'!C167)</f>
        <v/>
      </c>
      <c r="D2592">
        <f>IF(A2592="","",'Ratings'!D167)</f>
        <v/>
      </c>
      <c r="E2592">
        <f>IF(AND('Ratings'!A167&lt;&gt;"",'Ratings'!S5&lt;&gt;""),'Ratings'!S5,"")</f>
        <v/>
      </c>
      <c r="F2592">
        <f>IF(OR(A2592="",'Ratings'!S167=""),"",'Ratings'!S167)</f>
        <v/>
      </c>
      <c r="G2592">
        <f>IF(A2592="","",'Employees'!D16)</f>
        <v/>
      </c>
    </row>
    <row r="2593">
      <c r="A2593">
        <f>IF(AND('Ratings'!A167&lt;&gt;"",'Ratings'!T5&lt;&gt;""),'Ratings'!A167,"")</f>
        <v/>
      </c>
      <c r="B2593">
        <f>IF(A2593="","",'Employees'!C16)</f>
        <v/>
      </c>
      <c r="C2593">
        <f>IF(A2593="","",'Ratings'!C167)</f>
        <v/>
      </c>
      <c r="D2593">
        <f>IF(A2593="","",'Ratings'!D167)</f>
        <v/>
      </c>
      <c r="E2593">
        <f>IF(AND('Ratings'!A167&lt;&gt;"",'Ratings'!T5&lt;&gt;""),'Ratings'!T5,"")</f>
        <v/>
      </c>
      <c r="F2593">
        <f>IF(OR(A2593="",'Ratings'!T167=""),"",'Ratings'!T167)</f>
        <v/>
      </c>
      <c r="G2593">
        <f>IF(A2593="","",'Employees'!D16)</f>
        <v/>
      </c>
    </row>
    <row r="2594">
      <c r="A2594">
        <f>IF(AND('Ratings'!A168&lt;&gt;"",'Ratings'!E5&lt;&gt;""),'Ratings'!A168,"")</f>
        <v/>
      </c>
      <c r="B2594">
        <f>IF(A2594="","",'Employees'!C16)</f>
        <v/>
      </c>
      <c r="C2594">
        <f>IF(A2594="","",'Ratings'!C168)</f>
        <v/>
      </c>
      <c r="D2594">
        <f>IF(A2594="","",'Ratings'!D168)</f>
        <v/>
      </c>
      <c r="E2594">
        <f>IF(AND('Ratings'!A168&lt;&gt;"",'Ratings'!E5&lt;&gt;""),'Ratings'!E5,"")</f>
        <v/>
      </c>
      <c r="F2594">
        <f>IF(OR(A2594="",'Ratings'!E168=""),"",'Ratings'!E168)</f>
        <v/>
      </c>
      <c r="G2594">
        <f>IF(A2594="","",'Employees'!D16)</f>
        <v/>
      </c>
    </row>
    <row r="2595">
      <c r="A2595">
        <f>IF(AND('Ratings'!A168&lt;&gt;"",'Ratings'!F5&lt;&gt;""),'Ratings'!A168,"")</f>
        <v/>
      </c>
      <c r="B2595">
        <f>IF(A2595="","",'Employees'!C16)</f>
        <v/>
      </c>
      <c r="C2595">
        <f>IF(A2595="","",'Ratings'!C168)</f>
        <v/>
      </c>
      <c r="D2595">
        <f>IF(A2595="","",'Ratings'!D168)</f>
        <v/>
      </c>
      <c r="E2595">
        <f>IF(AND('Ratings'!A168&lt;&gt;"",'Ratings'!F5&lt;&gt;""),'Ratings'!F5,"")</f>
        <v/>
      </c>
      <c r="F2595">
        <f>IF(OR(A2595="",'Ratings'!F168=""),"",'Ratings'!F168)</f>
        <v/>
      </c>
      <c r="G2595">
        <f>IF(A2595="","",'Employees'!D16)</f>
        <v/>
      </c>
    </row>
    <row r="2596">
      <c r="A2596">
        <f>IF(AND('Ratings'!A168&lt;&gt;"",'Ratings'!G5&lt;&gt;""),'Ratings'!A168,"")</f>
        <v/>
      </c>
      <c r="B2596">
        <f>IF(A2596="","",'Employees'!C16)</f>
        <v/>
      </c>
      <c r="C2596">
        <f>IF(A2596="","",'Ratings'!C168)</f>
        <v/>
      </c>
      <c r="D2596">
        <f>IF(A2596="","",'Ratings'!D168)</f>
        <v/>
      </c>
      <c r="E2596">
        <f>IF(AND('Ratings'!A168&lt;&gt;"",'Ratings'!G5&lt;&gt;""),'Ratings'!G5,"")</f>
        <v/>
      </c>
      <c r="F2596">
        <f>IF(OR(A2596="",'Ratings'!G168=""),"",'Ratings'!G168)</f>
        <v/>
      </c>
      <c r="G2596">
        <f>IF(A2596="","",'Employees'!D16)</f>
        <v/>
      </c>
    </row>
    <row r="2597">
      <c r="A2597">
        <f>IF(AND('Ratings'!A168&lt;&gt;"",'Ratings'!H5&lt;&gt;""),'Ratings'!A168,"")</f>
        <v/>
      </c>
      <c r="B2597">
        <f>IF(A2597="","",'Employees'!C16)</f>
        <v/>
      </c>
      <c r="C2597">
        <f>IF(A2597="","",'Ratings'!C168)</f>
        <v/>
      </c>
      <c r="D2597">
        <f>IF(A2597="","",'Ratings'!D168)</f>
        <v/>
      </c>
      <c r="E2597">
        <f>IF(AND('Ratings'!A168&lt;&gt;"",'Ratings'!H5&lt;&gt;""),'Ratings'!H5,"")</f>
        <v/>
      </c>
      <c r="F2597">
        <f>IF(OR(A2597="",'Ratings'!H168=""),"",'Ratings'!H168)</f>
        <v/>
      </c>
      <c r="G2597">
        <f>IF(A2597="","",'Employees'!D16)</f>
        <v/>
      </c>
    </row>
    <row r="2598">
      <c r="A2598">
        <f>IF(AND('Ratings'!A168&lt;&gt;"",'Ratings'!I5&lt;&gt;""),'Ratings'!A168,"")</f>
        <v/>
      </c>
      <c r="B2598">
        <f>IF(A2598="","",'Employees'!C16)</f>
        <v/>
      </c>
      <c r="C2598">
        <f>IF(A2598="","",'Ratings'!C168)</f>
        <v/>
      </c>
      <c r="D2598">
        <f>IF(A2598="","",'Ratings'!D168)</f>
        <v/>
      </c>
      <c r="E2598">
        <f>IF(AND('Ratings'!A168&lt;&gt;"",'Ratings'!I5&lt;&gt;""),'Ratings'!I5,"")</f>
        <v/>
      </c>
      <c r="F2598">
        <f>IF(OR(A2598="",'Ratings'!I168=""),"",'Ratings'!I168)</f>
        <v/>
      </c>
      <c r="G2598">
        <f>IF(A2598="","",'Employees'!D16)</f>
        <v/>
      </c>
    </row>
    <row r="2599">
      <c r="A2599">
        <f>IF(AND('Ratings'!A168&lt;&gt;"",'Ratings'!J5&lt;&gt;""),'Ratings'!A168,"")</f>
        <v/>
      </c>
      <c r="B2599">
        <f>IF(A2599="","",'Employees'!C16)</f>
        <v/>
      </c>
      <c r="C2599">
        <f>IF(A2599="","",'Ratings'!C168)</f>
        <v/>
      </c>
      <c r="D2599">
        <f>IF(A2599="","",'Ratings'!D168)</f>
        <v/>
      </c>
      <c r="E2599">
        <f>IF(AND('Ratings'!A168&lt;&gt;"",'Ratings'!J5&lt;&gt;""),'Ratings'!J5,"")</f>
        <v/>
      </c>
      <c r="F2599">
        <f>IF(OR(A2599="",'Ratings'!J168=""),"",'Ratings'!J168)</f>
        <v/>
      </c>
      <c r="G2599">
        <f>IF(A2599="","",'Employees'!D16)</f>
        <v/>
      </c>
    </row>
    <row r="2600">
      <c r="A2600">
        <f>IF(AND('Ratings'!A168&lt;&gt;"",'Ratings'!K5&lt;&gt;""),'Ratings'!A168,"")</f>
        <v/>
      </c>
      <c r="B2600">
        <f>IF(A2600="","",'Employees'!C16)</f>
        <v/>
      </c>
      <c r="C2600">
        <f>IF(A2600="","",'Ratings'!C168)</f>
        <v/>
      </c>
      <c r="D2600">
        <f>IF(A2600="","",'Ratings'!D168)</f>
        <v/>
      </c>
      <c r="E2600">
        <f>IF(AND('Ratings'!A168&lt;&gt;"",'Ratings'!K5&lt;&gt;""),'Ratings'!K5,"")</f>
        <v/>
      </c>
      <c r="F2600">
        <f>IF(OR(A2600="",'Ratings'!K168=""),"",'Ratings'!K168)</f>
        <v/>
      </c>
      <c r="G2600">
        <f>IF(A2600="","",'Employees'!D16)</f>
        <v/>
      </c>
    </row>
    <row r="2601">
      <c r="A2601">
        <f>IF(AND('Ratings'!A168&lt;&gt;"",'Ratings'!L5&lt;&gt;""),'Ratings'!A168,"")</f>
        <v/>
      </c>
      <c r="B2601">
        <f>IF(A2601="","",'Employees'!C16)</f>
        <v/>
      </c>
      <c r="C2601">
        <f>IF(A2601="","",'Ratings'!C168)</f>
        <v/>
      </c>
      <c r="D2601">
        <f>IF(A2601="","",'Ratings'!D168)</f>
        <v/>
      </c>
      <c r="E2601">
        <f>IF(AND('Ratings'!A168&lt;&gt;"",'Ratings'!L5&lt;&gt;""),'Ratings'!L5,"")</f>
        <v/>
      </c>
      <c r="F2601">
        <f>IF(OR(A2601="",'Ratings'!L168=""),"",'Ratings'!L168)</f>
        <v/>
      </c>
      <c r="G2601">
        <f>IF(A2601="","",'Employees'!D16)</f>
        <v/>
      </c>
    </row>
    <row r="2602">
      <c r="A2602">
        <f>IF(AND('Ratings'!A168&lt;&gt;"",'Ratings'!M5&lt;&gt;""),'Ratings'!A168,"")</f>
        <v/>
      </c>
      <c r="B2602">
        <f>IF(A2602="","",'Employees'!C16)</f>
        <v/>
      </c>
      <c r="C2602">
        <f>IF(A2602="","",'Ratings'!C168)</f>
        <v/>
      </c>
      <c r="D2602">
        <f>IF(A2602="","",'Ratings'!D168)</f>
        <v/>
      </c>
      <c r="E2602">
        <f>IF(AND('Ratings'!A168&lt;&gt;"",'Ratings'!M5&lt;&gt;""),'Ratings'!M5,"")</f>
        <v/>
      </c>
      <c r="F2602">
        <f>IF(OR(A2602="",'Ratings'!M168=""),"",'Ratings'!M168)</f>
        <v/>
      </c>
      <c r="G2602">
        <f>IF(A2602="","",'Employees'!D16)</f>
        <v/>
      </c>
    </row>
    <row r="2603">
      <c r="A2603">
        <f>IF(AND('Ratings'!A168&lt;&gt;"",'Ratings'!N5&lt;&gt;""),'Ratings'!A168,"")</f>
        <v/>
      </c>
      <c r="B2603">
        <f>IF(A2603="","",'Employees'!C16)</f>
        <v/>
      </c>
      <c r="C2603">
        <f>IF(A2603="","",'Ratings'!C168)</f>
        <v/>
      </c>
      <c r="D2603">
        <f>IF(A2603="","",'Ratings'!D168)</f>
        <v/>
      </c>
      <c r="E2603">
        <f>IF(AND('Ratings'!A168&lt;&gt;"",'Ratings'!N5&lt;&gt;""),'Ratings'!N5,"")</f>
        <v/>
      </c>
      <c r="F2603">
        <f>IF(OR(A2603="",'Ratings'!N168=""),"",'Ratings'!N168)</f>
        <v/>
      </c>
      <c r="G2603">
        <f>IF(A2603="","",'Employees'!D16)</f>
        <v/>
      </c>
    </row>
    <row r="2604">
      <c r="A2604">
        <f>IF(AND('Ratings'!A168&lt;&gt;"",'Ratings'!O5&lt;&gt;""),'Ratings'!A168,"")</f>
        <v/>
      </c>
      <c r="B2604">
        <f>IF(A2604="","",'Employees'!C16)</f>
        <v/>
      </c>
      <c r="C2604">
        <f>IF(A2604="","",'Ratings'!C168)</f>
        <v/>
      </c>
      <c r="D2604">
        <f>IF(A2604="","",'Ratings'!D168)</f>
        <v/>
      </c>
      <c r="E2604">
        <f>IF(AND('Ratings'!A168&lt;&gt;"",'Ratings'!O5&lt;&gt;""),'Ratings'!O5,"")</f>
        <v/>
      </c>
      <c r="F2604">
        <f>IF(OR(A2604="",'Ratings'!O168=""),"",'Ratings'!O168)</f>
        <v/>
      </c>
      <c r="G2604">
        <f>IF(A2604="","",'Employees'!D16)</f>
        <v/>
      </c>
    </row>
    <row r="2605">
      <c r="A2605">
        <f>IF(AND('Ratings'!A168&lt;&gt;"",'Ratings'!P5&lt;&gt;""),'Ratings'!A168,"")</f>
        <v/>
      </c>
      <c r="B2605">
        <f>IF(A2605="","",'Employees'!C16)</f>
        <v/>
      </c>
      <c r="C2605">
        <f>IF(A2605="","",'Ratings'!C168)</f>
        <v/>
      </c>
      <c r="D2605">
        <f>IF(A2605="","",'Ratings'!D168)</f>
        <v/>
      </c>
      <c r="E2605">
        <f>IF(AND('Ratings'!A168&lt;&gt;"",'Ratings'!P5&lt;&gt;""),'Ratings'!P5,"")</f>
        <v/>
      </c>
      <c r="F2605">
        <f>IF(OR(A2605="",'Ratings'!P168=""),"",'Ratings'!P168)</f>
        <v/>
      </c>
      <c r="G2605">
        <f>IF(A2605="","",'Employees'!D16)</f>
        <v/>
      </c>
    </row>
    <row r="2606">
      <c r="A2606">
        <f>IF(AND('Ratings'!A168&lt;&gt;"",'Ratings'!Q5&lt;&gt;""),'Ratings'!A168,"")</f>
        <v/>
      </c>
      <c r="B2606">
        <f>IF(A2606="","",'Employees'!C16)</f>
        <v/>
      </c>
      <c r="C2606">
        <f>IF(A2606="","",'Ratings'!C168)</f>
        <v/>
      </c>
      <c r="D2606">
        <f>IF(A2606="","",'Ratings'!D168)</f>
        <v/>
      </c>
      <c r="E2606">
        <f>IF(AND('Ratings'!A168&lt;&gt;"",'Ratings'!Q5&lt;&gt;""),'Ratings'!Q5,"")</f>
        <v/>
      </c>
      <c r="F2606">
        <f>IF(OR(A2606="",'Ratings'!Q168=""),"",'Ratings'!Q168)</f>
        <v/>
      </c>
      <c r="G2606">
        <f>IF(A2606="","",'Employees'!D16)</f>
        <v/>
      </c>
    </row>
    <row r="2607">
      <c r="A2607">
        <f>IF(AND('Ratings'!A168&lt;&gt;"",'Ratings'!R5&lt;&gt;""),'Ratings'!A168,"")</f>
        <v/>
      </c>
      <c r="B2607">
        <f>IF(A2607="","",'Employees'!C16)</f>
        <v/>
      </c>
      <c r="C2607">
        <f>IF(A2607="","",'Ratings'!C168)</f>
        <v/>
      </c>
      <c r="D2607">
        <f>IF(A2607="","",'Ratings'!D168)</f>
        <v/>
      </c>
      <c r="E2607">
        <f>IF(AND('Ratings'!A168&lt;&gt;"",'Ratings'!R5&lt;&gt;""),'Ratings'!R5,"")</f>
        <v/>
      </c>
      <c r="F2607">
        <f>IF(OR(A2607="",'Ratings'!R168=""),"",'Ratings'!R168)</f>
        <v/>
      </c>
      <c r="G2607">
        <f>IF(A2607="","",'Employees'!D16)</f>
        <v/>
      </c>
    </row>
    <row r="2608">
      <c r="A2608">
        <f>IF(AND('Ratings'!A168&lt;&gt;"",'Ratings'!S5&lt;&gt;""),'Ratings'!A168,"")</f>
        <v/>
      </c>
      <c r="B2608">
        <f>IF(A2608="","",'Employees'!C16)</f>
        <v/>
      </c>
      <c r="C2608">
        <f>IF(A2608="","",'Ratings'!C168)</f>
        <v/>
      </c>
      <c r="D2608">
        <f>IF(A2608="","",'Ratings'!D168)</f>
        <v/>
      </c>
      <c r="E2608">
        <f>IF(AND('Ratings'!A168&lt;&gt;"",'Ratings'!S5&lt;&gt;""),'Ratings'!S5,"")</f>
        <v/>
      </c>
      <c r="F2608">
        <f>IF(OR(A2608="",'Ratings'!S168=""),"",'Ratings'!S168)</f>
        <v/>
      </c>
      <c r="G2608">
        <f>IF(A2608="","",'Employees'!D16)</f>
        <v/>
      </c>
    </row>
    <row r="2609">
      <c r="A2609">
        <f>IF(AND('Ratings'!A168&lt;&gt;"",'Ratings'!T5&lt;&gt;""),'Ratings'!A168,"")</f>
        <v/>
      </c>
      <c r="B2609">
        <f>IF(A2609="","",'Employees'!C16)</f>
        <v/>
      </c>
      <c r="C2609">
        <f>IF(A2609="","",'Ratings'!C168)</f>
        <v/>
      </c>
      <c r="D2609">
        <f>IF(A2609="","",'Ratings'!D168)</f>
        <v/>
      </c>
      <c r="E2609">
        <f>IF(AND('Ratings'!A168&lt;&gt;"",'Ratings'!T5&lt;&gt;""),'Ratings'!T5,"")</f>
        <v/>
      </c>
      <c r="F2609">
        <f>IF(OR(A2609="",'Ratings'!T168=""),"",'Ratings'!T168)</f>
        <v/>
      </c>
      <c r="G2609">
        <f>IF(A2609="","",'Employees'!D16)</f>
        <v/>
      </c>
    </row>
    <row r="2610">
      <c r="A2610">
        <f>IF(AND('Ratings'!A169&lt;&gt;"",'Ratings'!E5&lt;&gt;""),'Ratings'!A169,"")</f>
        <v/>
      </c>
      <c r="B2610">
        <f>IF(A2610="","",'Employees'!C16)</f>
        <v/>
      </c>
      <c r="C2610">
        <f>IF(A2610="","",'Ratings'!C169)</f>
        <v/>
      </c>
      <c r="D2610">
        <f>IF(A2610="","",'Ratings'!D169)</f>
        <v/>
      </c>
      <c r="E2610">
        <f>IF(AND('Ratings'!A169&lt;&gt;"",'Ratings'!E5&lt;&gt;""),'Ratings'!E5,"")</f>
        <v/>
      </c>
      <c r="F2610">
        <f>IF(OR(A2610="",'Ratings'!E169=""),"",'Ratings'!E169)</f>
        <v/>
      </c>
      <c r="G2610">
        <f>IF(A2610="","",'Employees'!D16)</f>
        <v/>
      </c>
    </row>
    <row r="2611">
      <c r="A2611">
        <f>IF(AND('Ratings'!A169&lt;&gt;"",'Ratings'!F5&lt;&gt;""),'Ratings'!A169,"")</f>
        <v/>
      </c>
      <c r="B2611">
        <f>IF(A2611="","",'Employees'!C16)</f>
        <v/>
      </c>
      <c r="C2611">
        <f>IF(A2611="","",'Ratings'!C169)</f>
        <v/>
      </c>
      <c r="D2611">
        <f>IF(A2611="","",'Ratings'!D169)</f>
        <v/>
      </c>
      <c r="E2611">
        <f>IF(AND('Ratings'!A169&lt;&gt;"",'Ratings'!F5&lt;&gt;""),'Ratings'!F5,"")</f>
        <v/>
      </c>
      <c r="F2611">
        <f>IF(OR(A2611="",'Ratings'!F169=""),"",'Ratings'!F169)</f>
        <v/>
      </c>
      <c r="G2611">
        <f>IF(A2611="","",'Employees'!D16)</f>
        <v/>
      </c>
    </row>
    <row r="2612">
      <c r="A2612">
        <f>IF(AND('Ratings'!A169&lt;&gt;"",'Ratings'!G5&lt;&gt;""),'Ratings'!A169,"")</f>
        <v/>
      </c>
      <c r="B2612">
        <f>IF(A2612="","",'Employees'!C16)</f>
        <v/>
      </c>
      <c r="C2612">
        <f>IF(A2612="","",'Ratings'!C169)</f>
        <v/>
      </c>
      <c r="D2612">
        <f>IF(A2612="","",'Ratings'!D169)</f>
        <v/>
      </c>
      <c r="E2612">
        <f>IF(AND('Ratings'!A169&lt;&gt;"",'Ratings'!G5&lt;&gt;""),'Ratings'!G5,"")</f>
        <v/>
      </c>
      <c r="F2612">
        <f>IF(OR(A2612="",'Ratings'!G169=""),"",'Ratings'!G169)</f>
        <v/>
      </c>
      <c r="G2612">
        <f>IF(A2612="","",'Employees'!D16)</f>
        <v/>
      </c>
    </row>
    <row r="2613">
      <c r="A2613">
        <f>IF(AND('Ratings'!A169&lt;&gt;"",'Ratings'!H5&lt;&gt;""),'Ratings'!A169,"")</f>
        <v/>
      </c>
      <c r="B2613">
        <f>IF(A2613="","",'Employees'!C16)</f>
        <v/>
      </c>
      <c r="C2613">
        <f>IF(A2613="","",'Ratings'!C169)</f>
        <v/>
      </c>
      <c r="D2613">
        <f>IF(A2613="","",'Ratings'!D169)</f>
        <v/>
      </c>
      <c r="E2613">
        <f>IF(AND('Ratings'!A169&lt;&gt;"",'Ratings'!H5&lt;&gt;""),'Ratings'!H5,"")</f>
        <v/>
      </c>
      <c r="F2613">
        <f>IF(OR(A2613="",'Ratings'!H169=""),"",'Ratings'!H169)</f>
        <v/>
      </c>
      <c r="G2613">
        <f>IF(A2613="","",'Employees'!D16)</f>
        <v/>
      </c>
    </row>
    <row r="2614">
      <c r="A2614">
        <f>IF(AND('Ratings'!A169&lt;&gt;"",'Ratings'!I5&lt;&gt;""),'Ratings'!A169,"")</f>
        <v/>
      </c>
      <c r="B2614">
        <f>IF(A2614="","",'Employees'!C16)</f>
        <v/>
      </c>
      <c r="C2614">
        <f>IF(A2614="","",'Ratings'!C169)</f>
        <v/>
      </c>
      <c r="D2614">
        <f>IF(A2614="","",'Ratings'!D169)</f>
        <v/>
      </c>
      <c r="E2614">
        <f>IF(AND('Ratings'!A169&lt;&gt;"",'Ratings'!I5&lt;&gt;""),'Ratings'!I5,"")</f>
        <v/>
      </c>
      <c r="F2614">
        <f>IF(OR(A2614="",'Ratings'!I169=""),"",'Ratings'!I169)</f>
        <v/>
      </c>
      <c r="G2614">
        <f>IF(A2614="","",'Employees'!D16)</f>
        <v/>
      </c>
    </row>
    <row r="2615">
      <c r="A2615">
        <f>IF(AND('Ratings'!A169&lt;&gt;"",'Ratings'!J5&lt;&gt;""),'Ratings'!A169,"")</f>
        <v/>
      </c>
      <c r="B2615">
        <f>IF(A2615="","",'Employees'!C16)</f>
        <v/>
      </c>
      <c r="C2615">
        <f>IF(A2615="","",'Ratings'!C169)</f>
        <v/>
      </c>
      <c r="D2615">
        <f>IF(A2615="","",'Ratings'!D169)</f>
        <v/>
      </c>
      <c r="E2615">
        <f>IF(AND('Ratings'!A169&lt;&gt;"",'Ratings'!J5&lt;&gt;""),'Ratings'!J5,"")</f>
        <v/>
      </c>
      <c r="F2615">
        <f>IF(OR(A2615="",'Ratings'!J169=""),"",'Ratings'!J169)</f>
        <v/>
      </c>
      <c r="G2615">
        <f>IF(A2615="","",'Employees'!D16)</f>
        <v/>
      </c>
    </row>
    <row r="2616">
      <c r="A2616">
        <f>IF(AND('Ratings'!A169&lt;&gt;"",'Ratings'!K5&lt;&gt;""),'Ratings'!A169,"")</f>
        <v/>
      </c>
      <c r="B2616">
        <f>IF(A2616="","",'Employees'!C16)</f>
        <v/>
      </c>
      <c r="C2616">
        <f>IF(A2616="","",'Ratings'!C169)</f>
        <v/>
      </c>
      <c r="D2616">
        <f>IF(A2616="","",'Ratings'!D169)</f>
        <v/>
      </c>
      <c r="E2616">
        <f>IF(AND('Ratings'!A169&lt;&gt;"",'Ratings'!K5&lt;&gt;""),'Ratings'!K5,"")</f>
        <v/>
      </c>
      <c r="F2616">
        <f>IF(OR(A2616="",'Ratings'!K169=""),"",'Ratings'!K169)</f>
        <v/>
      </c>
      <c r="G2616">
        <f>IF(A2616="","",'Employees'!D16)</f>
        <v/>
      </c>
    </row>
    <row r="2617">
      <c r="A2617">
        <f>IF(AND('Ratings'!A169&lt;&gt;"",'Ratings'!L5&lt;&gt;""),'Ratings'!A169,"")</f>
        <v/>
      </c>
      <c r="B2617">
        <f>IF(A2617="","",'Employees'!C16)</f>
        <v/>
      </c>
      <c r="C2617">
        <f>IF(A2617="","",'Ratings'!C169)</f>
        <v/>
      </c>
      <c r="D2617">
        <f>IF(A2617="","",'Ratings'!D169)</f>
        <v/>
      </c>
      <c r="E2617">
        <f>IF(AND('Ratings'!A169&lt;&gt;"",'Ratings'!L5&lt;&gt;""),'Ratings'!L5,"")</f>
        <v/>
      </c>
      <c r="F2617">
        <f>IF(OR(A2617="",'Ratings'!L169=""),"",'Ratings'!L169)</f>
        <v/>
      </c>
      <c r="G2617">
        <f>IF(A2617="","",'Employees'!D16)</f>
        <v/>
      </c>
    </row>
    <row r="2618">
      <c r="A2618">
        <f>IF(AND('Ratings'!A169&lt;&gt;"",'Ratings'!M5&lt;&gt;""),'Ratings'!A169,"")</f>
        <v/>
      </c>
      <c r="B2618">
        <f>IF(A2618="","",'Employees'!C16)</f>
        <v/>
      </c>
      <c r="C2618">
        <f>IF(A2618="","",'Ratings'!C169)</f>
        <v/>
      </c>
      <c r="D2618">
        <f>IF(A2618="","",'Ratings'!D169)</f>
        <v/>
      </c>
      <c r="E2618">
        <f>IF(AND('Ratings'!A169&lt;&gt;"",'Ratings'!M5&lt;&gt;""),'Ratings'!M5,"")</f>
        <v/>
      </c>
      <c r="F2618">
        <f>IF(OR(A2618="",'Ratings'!M169=""),"",'Ratings'!M169)</f>
        <v/>
      </c>
      <c r="G2618">
        <f>IF(A2618="","",'Employees'!D16)</f>
        <v/>
      </c>
    </row>
    <row r="2619">
      <c r="A2619">
        <f>IF(AND('Ratings'!A169&lt;&gt;"",'Ratings'!N5&lt;&gt;""),'Ratings'!A169,"")</f>
        <v/>
      </c>
      <c r="B2619">
        <f>IF(A2619="","",'Employees'!C16)</f>
        <v/>
      </c>
      <c r="C2619">
        <f>IF(A2619="","",'Ratings'!C169)</f>
        <v/>
      </c>
      <c r="D2619">
        <f>IF(A2619="","",'Ratings'!D169)</f>
        <v/>
      </c>
      <c r="E2619">
        <f>IF(AND('Ratings'!A169&lt;&gt;"",'Ratings'!N5&lt;&gt;""),'Ratings'!N5,"")</f>
        <v/>
      </c>
      <c r="F2619">
        <f>IF(OR(A2619="",'Ratings'!N169=""),"",'Ratings'!N169)</f>
        <v/>
      </c>
      <c r="G2619">
        <f>IF(A2619="","",'Employees'!D16)</f>
        <v/>
      </c>
    </row>
    <row r="2620">
      <c r="A2620">
        <f>IF(AND('Ratings'!A169&lt;&gt;"",'Ratings'!O5&lt;&gt;""),'Ratings'!A169,"")</f>
        <v/>
      </c>
      <c r="B2620">
        <f>IF(A2620="","",'Employees'!C16)</f>
        <v/>
      </c>
      <c r="C2620">
        <f>IF(A2620="","",'Ratings'!C169)</f>
        <v/>
      </c>
      <c r="D2620">
        <f>IF(A2620="","",'Ratings'!D169)</f>
        <v/>
      </c>
      <c r="E2620">
        <f>IF(AND('Ratings'!A169&lt;&gt;"",'Ratings'!O5&lt;&gt;""),'Ratings'!O5,"")</f>
        <v/>
      </c>
      <c r="F2620">
        <f>IF(OR(A2620="",'Ratings'!O169=""),"",'Ratings'!O169)</f>
        <v/>
      </c>
      <c r="G2620">
        <f>IF(A2620="","",'Employees'!D16)</f>
        <v/>
      </c>
    </row>
    <row r="2621">
      <c r="A2621">
        <f>IF(AND('Ratings'!A169&lt;&gt;"",'Ratings'!P5&lt;&gt;""),'Ratings'!A169,"")</f>
        <v/>
      </c>
      <c r="B2621">
        <f>IF(A2621="","",'Employees'!C16)</f>
        <v/>
      </c>
      <c r="C2621">
        <f>IF(A2621="","",'Ratings'!C169)</f>
        <v/>
      </c>
      <c r="D2621">
        <f>IF(A2621="","",'Ratings'!D169)</f>
        <v/>
      </c>
      <c r="E2621">
        <f>IF(AND('Ratings'!A169&lt;&gt;"",'Ratings'!P5&lt;&gt;""),'Ratings'!P5,"")</f>
        <v/>
      </c>
      <c r="F2621">
        <f>IF(OR(A2621="",'Ratings'!P169=""),"",'Ratings'!P169)</f>
        <v/>
      </c>
      <c r="G2621">
        <f>IF(A2621="","",'Employees'!D16)</f>
        <v/>
      </c>
    </row>
    <row r="2622">
      <c r="A2622">
        <f>IF(AND('Ratings'!A169&lt;&gt;"",'Ratings'!Q5&lt;&gt;""),'Ratings'!A169,"")</f>
        <v/>
      </c>
      <c r="B2622">
        <f>IF(A2622="","",'Employees'!C16)</f>
        <v/>
      </c>
      <c r="C2622">
        <f>IF(A2622="","",'Ratings'!C169)</f>
        <v/>
      </c>
      <c r="D2622">
        <f>IF(A2622="","",'Ratings'!D169)</f>
        <v/>
      </c>
      <c r="E2622">
        <f>IF(AND('Ratings'!A169&lt;&gt;"",'Ratings'!Q5&lt;&gt;""),'Ratings'!Q5,"")</f>
        <v/>
      </c>
      <c r="F2622">
        <f>IF(OR(A2622="",'Ratings'!Q169=""),"",'Ratings'!Q169)</f>
        <v/>
      </c>
      <c r="G2622">
        <f>IF(A2622="","",'Employees'!D16)</f>
        <v/>
      </c>
    </row>
    <row r="2623">
      <c r="A2623">
        <f>IF(AND('Ratings'!A169&lt;&gt;"",'Ratings'!R5&lt;&gt;""),'Ratings'!A169,"")</f>
        <v/>
      </c>
      <c r="B2623">
        <f>IF(A2623="","",'Employees'!C16)</f>
        <v/>
      </c>
      <c r="C2623">
        <f>IF(A2623="","",'Ratings'!C169)</f>
        <v/>
      </c>
      <c r="D2623">
        <f>IF(A2623="","",'Ratings'!D169)</f>
        <v/>
      </c>
      <c r="E2623">
        <f>IF(AND('Ratings'!A169&lt;&gt;"",'Ratings'!R5&lt;&gt;""),'Ratings'!R5,"")</f>
        <v/>
      </c>
      <c r="F2623">
        <f>IF(OR(A2623="",'Ratings'!R169=""),"",'Ratings'!R169)</f>
        <v/>
      </c>
      <c r="G2623">
        <f>IF(A2623="","",'Employees'!D16)</f>
        <v/>
      </c>
    </row>
    <row r="2624">
      <c r="A2624">
        <f>IF(AND('Ratings'!A169&lt;&gt;"",'Ratings'!S5&lt;&gt;""),'Ratings'!A169,"")</f>
        <v/>
      </c>
      <c r="B2624">
        <f>IF(A2624="","",'Employees'!C16)</f>
        <v/>
      </c>
      <c r="C2624">
        <f>IF(A2624="","",'Ratings'!C169)</f>
        <v/>
      </c>
      <c r="D2624">
        <f>IF(A2624="","",'Ratings'!D169)</f>
        <v/>
      </c>
      <c r="E2624">
        <f>IF(AND('Ratings'!A169&lt;&gt;"",'Ratings'!S5&lt;&gt;""),'Ratings'!S5,"")</f>
        <v/>
      </c>
      <c r="F2624">
        <f>IF(OR(A2624="",'Ratings'!S169=""),"",'Ratings'!S169)</f>
        <v/>
      </c>
      <c r="G2624">
        <f>IF(A2624="","",'Employees'!D16)</f>
        <v/>
      </c>
    </row>
    <row r="2625">
      <c r="A2625">
        <f>IF(AND('Ratings'!A169&lt;&gt;"",'Ratings'!T5&lt;&gt;""),'Ratings'!A169,"")</f>
        <v/>
      </c>
      <c r="B2625">
        <f>IF(A2625="","",'Employees'!C16)</f>
        <v/>
      </c>
      <c r="C2625">
        <f>IF(A2625="","",'Ratings'!C169)</f>
        <v/>
      </c>
      <c r="D2625">
        <f>IF(A2625="","",'Ratings'!D169)</f>
        <v/>
      </c>
      <c r="E2625">
        <f>IF(AND('Ratings'!A169&lt;&gt;"",'Ratings'!T5&lt;&gt;""),'Ratings'!T5,"")</f>
        <v/>
      </c>
      <c r="F2625">
        <f>IF(OR(A2625="",'Ratings'!T169=""),"",'Ratings'!T169)</f>
        <v/>
      </c>
      <c r="G2625">
        <f>IF(A2625="","",'Employees'!D16)</f>
        <v/>
      </c>
    </row>
    <row r="2626">
      <c r="A2626">
        <f>IF(AND('Ratings'!A170&lt;&gt;"",'Ratings'!E5&lt;&gt;""),'Ratings'!A170,"")</f>
        <v/>
      </c>
      <c r="B2626">
        <f>IF(A2626="","",'Employees'!C16)</f>
        <v/>
      </c>
      <c r="C2626">
        <f>IF(A2626="","",'Ratings'!C170)</f>
        <v/>
      </c>
      <c r="D2626">
        <f>IF(A2626="","",'Ratings'!D170)</f>
        <v/>
      </c>
      <c r="E2626">
        <f>IF(AND('Ratings'!A170&lt;&gt;"",'Ratings'!E5&lt;&gt;""),'Ratings'!E5,"")</f>
        <v/>
      </c>
      <c r="F2626">
        <f>IF(OR(A2626="",'Ratings'!E170=""),"",'Ratings'!E170)</f>
        <v/>
      </c>
      <c r="G2626">
        <f>IF(A2626="","",'Employees'!D16)</f>
        <v/>
      </c>
    </row>
    <row r="2627">
      <c r="A2627">
        <f>IF(AND('Ratings'!A170&lt;&gt;"",'Ratings'!F5&lt;&gt;""),'Ratings'!A170,"")</f>
        <v/>
      </c>
      <c r="B2627">
        <f>IF(A2627="","",'Employees'!C16)</f>
        <v/>
      </c>
      <c r="C2627">
        <f>IF(A2627="","",'Ratings'!C170)</f>
        <v/>
      </c>
      <c r="D2627">
        <f>IF(A2627="","",'Ratings'!D170)</f>
        <v/>
      </c>
      <c r="E2627">
        <f>IF(AND('Ratings'!A170&lt;&gt;"",'Ratings'!F5&lt;&gt;""),'Ratings'!F5,"")</f>
        <v/>
      </c>
      <c r="F2627">
        <f>IF(OR(A2627="",'Ratings'!F170=""),"",'Ratings'!F170)</f>
        <v/>
      </c>
      <c r="G2627">
        <f>IF(A2627="","",'Employees'!D16)</f>
        <v/>
      </c>
    </row>
    <row r="2628">
      <c r="A2628">
        <f>IF(AND('Ratings'!A170&lt;&gt;"",'Ratings'!G5&lt;&gt;""),'Ratings'!A170,"")</f>
        <v/>
      </c>
      <c r="B2628">
        <f>IF(A2628="","",'Employees'!C16)</f>
        <v/>
      </c>
      <c r="C2628">
        <f>IF(A2628="","",'Ratings'!C170)</f>
        <v/>
      </c>
      <c r="D2628">
        <f>IF(A2628="","",'Ratings'!D170)</f>
        <v/>
      </c>
      <c r="E2628">
        <f>IF(AND('Ratings'!A170&lt;&gt;"",'Ratings'!G5&lt;&gt;""),'Ratings'!G5,"")</f>
        <v/>
      </c>
      <c r="F2628">
        <f>IF(OR(A2628="",'Ratings'!G170=""),"",'Ratings'!G170)</f>
        <v/>
      </c>
      <c r="G2628">
        <f>IF(A2628="","",'Employees'!D16)</f>
        <v/>
      </c>
    </row>
    <row r="2629">
      <c r="A2629">
        <f>IF(AND('Ratings'!A170&lt;&gt;"",'Ratings'!H5&lt;&gt;""),'Ratings'!A170,"")</f>
        <v/>
      </c>
      <c r="B2629">
        <f>IF(A2629="","",'Employees'!C16)</f>
        <v/>
      </c>
      <c r="C2629">
        <f>IF(A2629="","",'Ratings'!C170)</f>
        <v/>
      </c>
      <c r="D2629">
        <f>IF(A2629="","",'Ratings'!D170)</f>
        <v/>
      </c>
      <c r="E2629">
        <f>IF(AND('Ratings'!A170&lt;&gt;"",'Ratings'!H5&lt;&gt;""),'Ratings'!H5,"")</f>
        <v/>
      </c>
      <c r="F2629">
        <f>IF(OR(A2629="",'Ratings'!H170=""),"",'Ratings'!H170)</f>
        <v/>
      </c>
      <c r="G2629">
        <f>IF(A2629="","",'Employees'!D16)</f>
        <v/>
      </c>
    </row>
    <row r="2630">
      <c r="A2630">
        <f>IF(AND('Ratings'!A170&lt;&gt;"",'Ratings'!I5&lt;&gt;""),'Ratings'!A170,"")</f>
        <v/>
      </c>
      <c r="B2630">
        <f>IF(A2630="","",'Employees'!C16)</f>
        <v/>
      </c>
      <c r="C2630">
        <f>IF(A2630="","",'Ratings'!C170)</f>
        <v/>
      </c>
      <c r="D2630">
        <f>IF(A2630="","",'Ratings'!D170)</f>
        <v/>
      </c>
      <c r="E2630">
        <f>IF(AND('Ratings'!A170&lt;&gt;"",'Ratings'!I5&lt;&gt;""),'Ratings'!I5,"")</f>
        <v/>
      </c>
      <c r="F2630">
        <f>IF(OR(A2630="",'Ratings'!I170=""),"",'Ratings'!I170)</f>
        <v/>
      </c>
      <c r="G2630">
        <f>IF(A2630="","",'Employees'!D16)</f>
        <v/>
      </c>
    </row>
    <row r="2631">
      <c r="A2631">
        <f>IF(AND('Ratings'!A170&lt;&gt;"",'Ratings'!J5&lt;&gt;""),'Ratings'!A170,"")</f>
        <v/>
      </c>
      <c r="B2631">
        <f>IF(A2631="","",'Employees'!C16)</f>
        <v/>
      </c>
      <c r="C2631">
        <f>IF(A2631="","",'Ratings'!C170)</f>
        <v/>
      </c>
      <c r="D2631">
        <f>IF(A2631="","",'Ratings'!D170)</f>
        <v/>
      </c>
      <c r="E2631">
        <f>IF(AND('Ratings'!A170&lt;&gt;"",'Ratings'!J5&lt;&gt;""),'Ratings'!J5,"")</f>
        <v/>
      </c>
      <c r="F2631">
        <f>IF(OR(A2631="",'Ratings'!J170=""),"",'Ratings'!J170)</f>
        <v/>
      </c>
      <c r="G2631">
        <f>IF(A2631="","",'Employees'!D16)</f>
        <v/>
      </c>
    </row>
    <row r="2632">
      <c r="A2632">
        <f>IF(AND('Ratings'!A170&lt;&gt;"",'Ratings'!K5&lt;&gt;""),'Ratings'!A170,"")</f>
        <v/>
      </c>
      <c r="B2632">
        <f>IF(A2632="","",'Employees'!C16)</f>
        <v/>
      </c>
      <c r="C2632">
        <f>IF(A2632="","",'Ratings'!C170)</f>
        <v/>
      </c>
      <c r="D2632">
        <f>IF(A2632="","",'Ratings'!D170)</f>
        <v/>
      </c>
      <c r="E2632">
        <f>IF(AND('Ratings'!A170&lt;&gt;"",'Ratings'!K5&lt;&gt;""),'Ratings'!K5,"")</f>
        <v/>
      </c>
      <c r="F2632">
        <f>IF(OR(A2632="",'Ratings'!K170=""),"",'Ratings'!K170)</f>
        <v/>
      </c>
      <c r="G2632">
        <f>IF(A2632="","",'Employees'!D16)</f>
        <v/>
      </c>
    </row>
    <row r="2633">
      <c r="A2633">
        <f>IF(AND('Ratings'!A170&lt;&gt;"",'Ratings'!L5&lt;&gt;""),'Ratings'!A170,"")</f>
        <v/>
      </c>
      <c r="B2633">
        <f>IF(A2633="","",'Employees'!C16)</f>
        <v/>
      </c>
      <c r="C2633">
        <f>IF(A2633="","",'Ratings'!C170)</f>
        <v/>
      </c>
      <c r="D2633">
        <f>IF(A2633="","",'Ratings'!D170)</f>
        <v/>
      </c>
      <c r="E2633">
        <f>IF(AND('Ratings'!A170&lt;&gt;"",'Ratings'!L5&lt;&gt;""),'Ratings'!L5,"")</f>
        <v/>
      </c>
      <c r="F2633">
        <f>IF(OR(A2633="",'Ratings'!L170=""),"",'Ratings'!L170)</f>
        <v/>
      </c>
      <c r="G2633">
        <f>IF(A2633="","",'Employees'!D16)</f>
        <v/>
      </c>
    </row>
    <row r="2634">
      <c r="A2634">
        <f>IF(AND('Ratings'!A170&lt;&gt;"",'Ratings'!M5&lt;&gt;""),'Ratings'!A170,"")</f>
        <v/>
      </c>
      <c r="B2634">
        <f>IF(A2634="","",'Employees'!C16)</f>
        <v/>
      </c>
      <c r="C2634">
        <f>IF(A2634="","",'Ratings'!C170)</f>
        <v/>
      </c>
      <c r="D2634">
        <f>IF(A2634="","",'Ratings'!D170)</f>
        <v/>
      </c>
      <c r="E2634">
        <f>IF(AND('Ratings'!A170&lt;&gt;"",'Ratings'!M5&lt;&gt;""),'Ratings'!M5,"")</f>
        <v/>
      </c>
      <c r="F2634">
        <f>IF(OR(A2634="",'Ratings'!M170=""),"",'Ratings'!M170)</f>
        <v/>
      </c>
      <c r="G2634">
        <f>IF(A2634="","",'Employees'!D16)</f>
        <v/>
      </c>
    </row>
    <row r="2635">
      <c r="A2635">
        <f>IF(AND('Ratings'!A170&lt;&gt;"",'Ratings'!N5&lt;&gt;""),'Ratings'!A170,"")</f>
        <v/>
      </c>
      <c r="B2635">
        <f>IF(A2635="","",'Employees'!C16)</f>
        <v/>
      </c>
      <c r="C2635">
        <f>IF(A2635="","",'Ratings'!C170)</f>
        <v/>
      </c>
      <c r="D2635">
        <f>IF(A2635="","",'Ratings'!D170)</f>
        <v/>
      </c>
      <c r="E2635">
        <f>IF(AND('Ratings'!A170&lt;&gt;"",'Ratings'!N5&lt;&gt;""),'Ratings'!N5,"")</f>
        <v/>
      </c>
      <c r="F2635">
        <f>IF(OR(A2635="",'Ratings'!N170=""),"",'Ratings'!N170)</f>
        <v/>
      </c>
      <c r="G2635">
        <f>IF(A2635="","",'Employees'!D16)</f>
        <v/>
      </c>
    </row>
    <row r="2636">
      <c r="A2636">
        <f>IF(AND('Ratings'!A170&lt;&gt;"",'Ratings'!O5&lt;&gt;""),'Ratings'!A170,"")</f>
        <v/>
      </c>
      <c r="B2636">
        <f>IF(A2636="","",'Employees'!C16)</f>
        <v/>
      </c>
      <c r="C2636">
        <f>IF(A2636="","",'Ratings'!C170)</f>
        <v/>
      </c>
      <c r="D2636">
        <f>IF(A2636="","",'Ratings'!D170)</f>
        <v/>
      </c>
      <c r="E2636">
        <f>IF(AND('Ratings'!A170&lt;&gt;"",'Ratings'!O5&lt;&gt;""),'Ratings'!O5,"")</f>
        <v/>
      </c>
      <c r="F2636">
        <f>IF(OR(A2636="",'Ratings'!O170=""),"",'Ratings'!O170)</f>
        <v/>
      </c>
      <c r="G2636">
        <f>IF(A2636="","",'Employees'!D16)</f>
        <v/>
      </c>
    </row>
    <row r="2637">
      <c r="A2637">
        <f>IF(AND('Ratings'!A170&lt;&gt;"",'Ratings'!P5&lt;&gt;""),'Ratings'!A170,"")</f>
        <v/>
      </c>
      <c r="B2637">
        <f>IF(A2637="","",'Employees'!C16)</f>
        <v/>
      </c>
      <c r="C2637">
        <f>IF(A2637="","",'Ratings'!C170)</f>
        <v/>
      </c>
      <c r="D2637">
        <f>IF(A2637="","",'Ratings'!D170)</f>
        <v/>
      </c>
      <c r="E2637">
        <f>IF(AND('Ratings'!A170&lt;&gt;"",'Ratings'!P5&lt;&gt;""),'Ratings'!P5,"")</f>
        <v/>
      </c>
      <c r="F2637">
        <f>IF(OR(A2637="",'Ratings'!P170=""),"",'Ratings'!P170)</f>
        <v/>
      </c>
      <c r="G2637">
        <f>IF(A2637="","",'Employees'!D16)</f>
        <v/>
      </c>
    </row>
    <row r="2638">
      <c r="A2638">
        <f>IF(AND('Ratings'!A170&lt;&gt;"",'Ratings'!Q5&lt;&gt;""),'Ratings'!A170,"")</f>
        <v/>
      </c>
      <c r="B2638">
        <f>IF(A2638="","",'Employees'!C16)</f>
        <v/>
      </c>
      <c r="C2638">
        <f>IF(A2638="","",'Ratings'!C170)</f>
        <v/>
      </c>
      <c r="D2638">
        <f>IF(A2638="","",'Ratings'!D170)</f>
        <v/>
      </c>
      <c r="E2638">
        <f>IF(AND('Ratings'!A170&lt;&gt;"",'Ratings'!Q5&lt;&gt;""),'Ratings'!Q5,"")</f>
        <v/>
      </c>
      <c r="F2638">
        <f>IF(OR(A2638="",'Ratings'!Q170=""),"",'Ratings'!Q170)</f>
        <v/>
      </c>
      <c r="G2638">
        <f>IF(A2638="","",'Employees'!D16)</f>
        <v/>
      </c>
    </row>
    <row r="2639">
      <c r="A2639">
        <f>IF(AND('Ratings'!A170&lt;&gt;"",'Ratings'!R5&lt;&gt;""),'Ratings'!A170,"")</f>
        <v/>
      </c>
      <c r="B2639">
        <f>IF(A2639="","",'Employees'!C16)</f>
        <v/>
      </c>
      <c r="C2639">
        <f>IF(A2639="","",'Ratings'!C170)</f>
        <v/>
      </c>
      <c r="D2639">
        <f>IF(A2639="","",'Ratings'!D170)</f>
        <v/>
      </c>
      <c r="E2639">
        <f>IF(AND('Ratings'!A170&lt;&gt;"",'Ratings'!R5&lt;&gt;""),'Ratings'!R5,"")</f>
        <v/>
      </c>
      <c r="F2639">
        <f>IF(OR(A2639="",'Ratings'!R170=""),"",'Ratings'!R170)</f>
        <v/>
      </c>
      <c r="G2639">
        <f>IF(A2639="","",'Employees'!D16)</f>
        <v/>
      </c>
    </row>
    <row r="2640">
      <c r="A2640">
        <f>IF(AND('Ratings'!A170&lt;&gt;"",'Ratings'!S5&lt;&gt;""),'Ratings'!A170,"")</f>
        <v/>
      </c>
      <c r="B2640">
        <f>IF(A2640="","",'Employees'!C16)</f>
        <v/>
      </c>
      <c r="C2640">
        <f>IF(A2640="","",'Ratings'!C170)</f>
        <v/>
      </c>
      <c r="D2640">
        <f>IF(A2640="","",'Ratings'!D170)</f>
        <v/>
      </c>
      <c r="E2640">
        <f>IF(AND('Ratings'!A170&lt;&gt;"",'Ratings'!S5&lt;&gt;""),'Ratings'!S5,"")</f>
        <v/>
      </c>
      <c r="F2640">
        <f>IF(OR(A2640="",'Ratings'!S170=""),"",'Ratings'!S170)</f>
        <v/>
      </c>
      <c r="G2640">
        <f>IF(A2640="","",'Employees'!D16)</f>
        <v/>
      </c>
    </row>
    <row r="2641">
      <c r="A2641">
        <f>IF(AND('Ratings'!A170&lt;&gt;"",'Ratings'!T5&lt;&gt;""),'Ratings'!A170,"")</f>
        <v/>
      </c>
      <c r="B2641">
        <f>IF(A2641="","",'Employees'!C16)</f>
        <v/>
      </c>
      <c r="C2641">
        <f>IF(A2641="","",'Ratings'!C170)</f>
        <v/>
      </c>
      <c r="D2641">
        <f>IF(A2641="","",'Ratings'!D170)</f>
        <v/>
      </c>
      <c r="E2641">
        <f>IF(AND('Ratings'!A170&lt;&gt;"",'Ratings'!T5&lt;&gt;""),'Ratings'!T5,"")</f>
        <v/>
      </c>
      <c r="F2641">
        <f>IF(OR(A2641="",'Ratings'!T170=""),"",'Ratings'!T170)</f>
        <v/>
      </c>
      <c r="G2641">
        <f>IF(A2641="","",'Employees'!D16)</f>
        <v/>
      </c>
    </row>
    <row r="2642">
      <c r="A2642">
        <f>IF(AND('Ratings'!A171&lt;&gt;"",'Ratings'!E5&lt;&gt;""),'Ratings'!A171,"")</f>
        <v/>
      </c>
      <c r="B2642">
        <f>IF(A2642="","",'Employees'!C16)</f>
        <v/>
      </c>
      <c r="C2642">
        <f>IF(A2642="","",'Ratings'!C171)</f>
        <v/>
      </c>
      <c r="D2642">
        <f>IF(A2642="","",'Ratings'!D171)</f>
        <v/>
      </c>
      <c r="E2642">
        <f>IF(AND('Ratings'!A171&lt;&gt;"",'Ratings'!E5&lt;&gt;""),'Ratings'!E5,"")</f>
        <v/>
      </c>
      <c r="F2642">
        <f>IF(OR(A2642="",'Ratings'!E171=""),"",'Ratings'!E171)</f>
        <v/>
      </c>
      <c r="G2642">
        <f>IF(A2642="","",'Employees'!D16)</f>
        <v/>
      </c>
    </row>
    <row r="2643">
      <c r="A2643">
        <f>IF(AND('Ratings'!A171&lt;&gt;"",'Ratings'!F5&lt;&gt;""),'Ratings'!A171,"")</f>
        <v/>
      </c>
      <c r="B2643">
        <f>IF(A2643="","",'Employees'!C16)</f>
        <v/>
      </c>
      <c r="C2643">
        <f>IF(A2643="","",'Ratings'!C171)</f>
        <v/>
      </c>
      <c r="D2643">
        <f>IF(A2643="","",'Ratings'!D171)</f>
        <v/>
      </c>
      <c r="E2643">
        <f>IF(AND('Ratings'!A171&lt;&gt;"",'Ratings'!F5&lt;&gt;""),'Ratings'!F5,"")</f>
        <v/>
      </c>
      <c r="F2643">
        <f>IF(OR(A2643="",'Ratings'!F171=""),"",'Ratings'!F171)</f>
        <v/>
      </c>
      <c r="G2643">
        <f>IF(A2643="","",'Employees'!D16)</f>
        <v/>
      </c>
    </row>
    <row r="2644">
      <c r="A2644">
        <f>IF(AND('Ratings'!A171&lt;&gt;"",'Ratings'!G5&lt;&gt;""),'Ratings'!A171,"")</f>
        <v/>
      </c>
      <c r="B2644">
        <f>IF(A2644="","",'Employees'!C16)</f>
        <v/>
      </c>
      <c r="C2644">
        <f>IF(A2644="","",'Ratings'!C171)</f>
        <v/>
      </c>
      <c r="D2644">
        <f>IF(A2644="","",'Ratings'!D171)</f>
        <v/>
      </c>
      <c r="E2644">
        <f>IF(AND('Ratings'!A171&lt;&gt;"",'Ratings'!G5&lt;&gt;""),'Ratings'!G5,"")</f>
        <v/>
      </c>
      <c r="F2644">
        <f>IF(OR(A2644="",'Ratings'!G171=""),"",'Ratings'!G171)</f>
        <v/>
      </c>
      <c r="G2644">
        <f>IF(A2644="","",'Employees'!D16)</f>
        <v/>
      </c>
    </row>
    <row r="2645">
      <c r="A2645">
        <f>IF(AND('Ratings'!A171&lt;&gt;"",'Ratings'!H5&lt;&gt;""),'Ratings'!A171,"")</f>
        <v/>
      </c>
      <c r="B2645">
        <f>IF(A2645="","",'Employees'!C16)</f>
        <v/>
      </c>
      <c r="C2645">
        <f>IF(A2645="","",'Ratings'!C171)</f>
        <v/>
      </c>
      <c r="D2645">
        <f>IF(A2645="","",'Ratings'!D171)</f>
        <v/>
      </c>
      <c r="E2645">
        <f>IF(AND('Ratings'!A171&lt;&gt;"",'Ratings'!H5&lt;&gt;""),'Ratings'!H5,"")</f>
        <v/>
      </c>
      <c r="F2645">
        <f>IF(OR(A2645="",'Ratings'!H171=""),"",'Ratings'!H171)</f>
        <v/>
      </c>
      <c r="G2645">
        <f>IF(A2645="","",'Employees'!D16)</f>
        <v/>
      </c>
    </row>
    <row r="2646">
      <c r="A2646">
        <f>IF(AND('Ratings'!A171&lt;&gt;"",'Ratings'!I5&lt;&gt;""),'Ratings'!A171,"")</f>
        <v/>
      </c>
      <c r="B2646">
        <f>IF(A2646="","",'Employees'!C16)</f>
        <v/>
      </c>
      <c r="C2646">
        <f>IF(A2646="","",'Ratings'!C171)</f>
        <v/>
      </c>
      <c r="D2646">
        <f>IF(A2646="","",'Ratings'!D171)</f>
        <v/>
      </c>
      <c r="E2646">
        <f>IF(AND('Ratings'!A171&lt;&gt;"",'Ratings'!I5&lt;&gt;""),'Ratings'!I5,"")</f>
        <v/>
      </c>
      <c r="F2646">
        <f>IF(OR(A2646="",'Ratings'!I171=""),"",'Ratings'!I171)</f>
        <v/>
      </c>
      <c r="G2646">
        <f>IF(A2646="","",'Employees'!D16)</f>
        <v/>
      </c>
    </row>
    <row r="2647">
      <c r="A2647">
        <f>IF(AND('Ratings'!A171&lt;&gt;"",'Ratings'!J5&lt;&gt;""),'Ratings'!A171,"")</f>
        <v/>
      </c>
      <c r="B2647">
        <f>IF(A2647="","",'Employees'!C16)</f>
        <v/>
      </c>
      <c r="C2647">
        <f>IF(A2647="","",'Ratings'!C171)</f>
        <v/>
      </c>
      <c r="D2647">
        <f>IF(A2647="","",'Ratings'!D171)</f>
        <v/>
      </c>
      <c r="E2647">
        <f>IF(AND('Ratings'!A171&lt;&gt;"",'Ratings'!J5&lt;&gt;""),'Ratings'!J5,"")</f>
        <v/>
      </c>
      <c r="F2647">
        <f>IF(OR(A2647="",'Ratings'!J171=""),"",'Ratings'!J171)</f>
        <v/>
      </c>
      <c r="G2647">
        <f>IF(A2647="","",'Employees'!D16)</f>
        <v/>
      </c>
    </row>
    <row r="2648">
      <c r="A2648">
        <f>IF(AND('Ratings'!A171&lt;&gt;"",'Ratings'!K5&lt;&gt;""),'Ratings'!A171,"")</f>
        <v/>
      </c>
      <c r="B2648">
        <f>IF(A2648="","",'Employees'!C16)</f>
        <v/>
      </c>
      <c r="C2648">
        <f>IF(A2648="","",'Ratings'!C171)</f>
        <v/>
      </c>
      <c r="D2648">
        <f>IF(A2648="","",'Ratings'!D171)</f>
        <v/>
      </c>
      <c r="E2648">
        <f>IF(AND('Ratings'!A171&lt;&gt;"",'Ratings'!K5&lt;&gt;""),'Ratings'!K5,"")</f>
        <v/>
      </c>
      <c r="F2648">
        <f>IF(OR(A2648="",'Ratings'!K171=""),"",'Ratings'!K171)</f>
        <v/>
      </c>
      <c r="G2648">
        <f>IF(A2648="","",'Employees'!D16)</f>
        <v/>
      </c>
    </row>
    <row r="2649">
      <c r="A2649">
        <f>IF(AND('Ratings'!A171&lt;&gt;"",'Ratings'!L5&lt;&gt;""),'Ratings'!A171,"")</f>
        <v/>
      </c>
      <c r="B2649">
        <f>IF(A2649="","",'Employees'!C16)</f>
        <v/>
      </c>
      <c r="C2649">
        <f>IF(A2649="","",'Ratings'!C171)</f>
        <v/>
      </c>
      <c r="D2649">
        <f>IF(A2649="","",'Ratings'!D171)</f>
        <v/>
      </c>
      <c r="E2649">
        <f>IF(AND('Ratings'!A171&lt;&gt;"",'Ratings'!L5&lt;&gt;""),'Ratings'!L5,"")</f>
        <v/>
      </c>
      <c r="F2649">
        <f>IF(OR(A2649="",'Ratings'!L171=""),"",'Ratings'!L171)</f>
        <v/>
      </c>
      <c r="G2649">
        <f>IF(A2649="","",'Employees'!D16)</f>
        <v/>
      </c>
    </row>
    <row r="2650">
      <c r="A2650">
        <f>IF(AND('Ratings'!A171&lt;&gt;"",'Ratings'!M5&lt;&gt;""),'Ratings'!A171,"")</f>
        <v/>
      </c>
      <c r="B2650">
        <f>IF(A2650="","",'Employees'!C16)</f>
        <v/>
      </c>
      <c r="C2650">
        <f>IF(A2650="","",'Ratings'!C171)</f>
        <v/>
      </c>
      <c r="D2650">
        <f>IF(A2650="","",'Ratings'!D171)</f>
        <v/>
      </c>
      <c r="E2650">
        <f>IF(AND('Ratings'!A171&lt;&gt;"",'Ratings'!M5&lt;&gt;""),'Ratings'!M5,"")</f>
        <v/>
      </c>
      <c r="F2650">
        <f>IF(OR(A2650="",'Ratings'!M171=""),"",'Ratings'!M171)</f>
        <v/>
      </c>
      <c r="G2650">
        <f>IF(A2650="","",'Employees'!D16)</f>
        <v/>
      </c>
    </row>
    <row r="2651">
      <c r="A2651">
        <f>IF(AND('Ratings'!A171&lt;&gt;"",'Ratings'!N5&lt;&gt;""),'Ratings'!A171,"")</f>
        <v/>
      </c>
      <c r="B2651">
        <f>IF(A2651="","",'Employees'!C16)</f>
        <v/>
      </c>
      <c r="C2651">
        <f>IF(A2651="","",'Ratings'!C171)</f>
        <v/>
      </c>
      <c r="D2651">
        <f>IF(A2651="","",'Ratings'!D171)</f>
        <v/>
      </c>
      <c r="E2651">
        <f>IF(AND('Ratings'!A171&lt;&gt;"",'Ratings'!N5&lt;&gt;""),'Ratings'!N5,"")</f>
        <v/>
      </c>
      <c r="F2651">
        <f>IF(OR(A2651="",'Ratings'!N171=""),"",'Ratings'!N171)</f>
        <v/>
      </c>
      <c r="G2651">
        <f>IF(A2651="","",'Employees'!D16)</f>
        <v/>
      </c>
    </row>
    <row r="2652">
      <c r="A2652">
        <f>IF(AND('Ratings'!A171&lt;&gt;"",'Ratings'!O5&lt;&gt;""),'Ratings'!A171,"")</f>
        <v/>
      </c>
      <c r="B2652">
        <f>IF(A2652="","",'Employees'!C16)</f>
        <v/>
      </c>
      <c r="C2652">
        <f>IF(A2652="","",'Ratings'!C171)</f>
        <v/>
      </c>
      <c r="D2652">
        <f>IF(A2652="","",'Ratings'!D171)</f>
        <v/>
      </c>
      <c r="E2652">
        <f>IF(AND('Ratings'!A171&lt;&gt;"",'Ratings'!O5&lt;&gt;""),'Ratings'!O5,"")</f>
        <v/>
      </c>
      <c r="F2652">
        <f>IF(OR(A2652="",'Ratings'!O171=""),"",'Ratings'!O171)</f>
        <v/>
      </c>
      <c r="G2652">
        <f>IF(A2652="","",'Employees'!D16)</f>
        <v/>
      </c>
    </row>
    <row r="2653">
      <c r="A2653">
        <f>IF(AND('Ratings'!A171&lt;&gt;"",'Ratings'!P5&lt;&gt;""),'Ratings'!A171,"")</f>
        <v/>
      </c>
      <c r="B2653">
        <f>IF(A2653="","",'Employees'!C16)</f>
        <v/>
      </c>
      <c r="C2653">
        <f>IF(A2653="","",'Ratings'!C171)</f>
        <v/>
      </c>
      <c r="D2653">
        <f>IF(A2653="","",'Ratings'!D171)</f>
        <v/>
      </c>
      <c r="E2653">
        <f>IF(AND('Ratings'!A171&lt;&gt;"",'Ratings'!P5&lt;&gt;""),'Ratings'!P5,"")</f>
        <v/>
      </c>
      <c r="F2653">
        <f>IF(OR(A2653="",'Ratings'!P171=""),"",'Ratings'!P171)</f>
        <v/>
      </c>
      <c r="G2653">
        <f>IF(A2653="","",'Employees'!D16)</f>
        <v/>
      </c>
    </row>
    <row r="2654">
      <c r="A2654">
        <f>IF(AND('Ratings'!A171&lt;&gt;"",'Ratings'!Q5&lt;&gt;""),'Ratings'!A171,"")</f>
        <v/>
      </c>
      <c r="B2654">
        <f>IF(A2654="","",'Employees'!C16)</f>
        <v/>
      </c>
      <c r="C2654">
        <f>IF(A2654="","",'Ratings'!C171)</f>
        <v/>
      </c>
      <c r="D2654">
        <f>IF(A2654="","",'Ratings'!D171)</f>
        <v/>
      </c>
      <c r="E2654">
        <f>IF(AND('Ratings'!A171&lt;&gt;"",'Ratings'!Q5&lt;&gt;""),'Ratings'!Q5,"")</f>
        <v/>
      </c>
      <c r="F2654">
        <f>IF(OR(A2654="",'Ratings'!Q171=""),"",'Ratings'!Q171)</f>
        <v/>
      </c>
      <c r="G2654">
        <f>IF(A2654="","",'Employees'!D16)</f>
        <v/>
      </c>
    </row>
    <row r="2655">
      <c r="A2655">
        <f>IF(AND('Ratings'!A171&lt;&gt;"",'Ratings'!R5&lt;&gt;""),'Ratings'!A171,"")</f>
        <v/>
      </c>
      <c r="B2655">
        <f>IF(A2655="","",'Employees'!C16)</f>
        <v/>
      </c>
      <c r="C2655">
        <f>IF(A2655="","",'Ratings'!C171)</f>
        <v/>
      </c>
      <c r="D2655">
        <f>IF(A2655="","",'Ratings'!D171)</f>
        <v/>
      </c>
      <c r="E2655">
        <f>IF(AND('Ratings'!A171&lt;&gt;"",'Ratings'!R5&lt;&gt;""),'Ratings'!R5,"")</f>
        <v/>
      </c>
      <c r="F2655">
        <f>IF(OR(A2655="",'Ratings'!R171=""),"",'Ratings'!R171)</f>
        <v/>
      </c>
      <c r="G2655">
        <f>IF(A2655="","",'Employees'!D16)</f>
        <v/>
      </c>
    </row>
    <row r="2656">
      <c r="A2656">
        <f>IF(AND('Ratings'!A171&lt;&gt;"",'Ratings'!S5&lt;&gt;""),'Ratings'!A171,"")</f>
        <v/>
      </c>
      <c r="B2656">
        <f>IF(A2656="","",'Employees'!C16)</f>
        <v/>
      </c>
      <c r="C2656">
        <f>IF(A2656="","",'Ratings'!C171)</f>
        <v/>
      </c>
      <c r="D2656">
        <f>IF(A2656="","",'Ratings'!D171)</f>
        <v/>
      </c>
      <c r="E2656">
        <f>IF(AND('Ratings'!A171&lt;&gt;"",'Ratings'!S5&lt;&gt;""),'Ratings'!S5,"")</f>
        <v/>
      </c>
      <c r="F2656">
        <f>IF(OR(A2656="",'Ratings'!S171=""),"",'Ratings'!S171)</f>
        <v/>
      </c>
      <c r="G2656">
        <f>IF(A2656="","",'Employees'!D16)</f>
        <v/>
      </c>
    </row>
    <row r="2657">
      <c r="A2657">
        <f>IF(AND('Ratings'!A171&lt;&gt;"",'Ratings'!T5&lt;&gt;""),'Ratings'!A171,"")</f>
        <v/>
      </c>
      <c r="B2657">
        <f>IF(A2657="","",'Employees'!C16)</f>
        <v/>
      </c>
      <c r="C2657">
        <f>IF(A2657="","",'Ratings'!C171)</f>
        <v/>
      </c>
      <c r="D2657">
        <f>IF(A2657="","",'Ratings'!D171)</f>
        <v/>
      </c>
      <c r="E2657">
        <f>IF(AND('Ratings'!A171&lt;&gt;"",'Ratings'!T5&lt;&gt;""),'Ratings'!T5,"")</f>
        <v/>
      </c>
      <c r="F2657">
        <f>IF(OR(A2657="",'Ratings'!T171=""),"",'Ratings'!T171)</f>
        <v/>
      </c>
      <c r="G2657">
        <f>IF(A2657="","",'Employees'!D16)</f>
        <v/>
      </c>
    </row>
    <row r="2658">
      <c r="A2658">
        <f>IF(AND('Ratings'!A172&lt;&gt;"",'Ratings'!E5&lt;&gt;""),'Ratings'!A172,"")</f>
        <v/>
      </c>
      <c r="B2658">
        <f>IF(A2658="","",'Employees'!C16)</f>
        <v/>
      </c>
      <c r="C2658">
        <f>IF(A2658="","",'Ratings'!C172)</f>
        <v/>
      </c>
      <c r="D2658">
        <f>IF(A2658="","",'Ratings'!D172)</f>
        <v/>
      </c>
      <c r="E2658">
        <f>IF(AND('Ratings'!A172&lt;&gt;"",'Ratings'!E5&lt;&gt;""),'Ratings'!E5,"")</f>
        <v/>
      </c>
      <c r="F2658">
        <f>IF(OR(A2658="",'Ratings'!E172=""),"",'Ratings'!E172)</f>
        <v/>
      </c>
      <c r="G2658">
        <f>IF(A2658="","",'Employees'!D16)</f>
        <v/>
      </c>
    </row>
    <row r="2659">
      <c r="A2659">
        <f>IF(AND('Ratings'!A172&lt;&gt;"",'Ratings'!F5&lt;&gt;""),'Ratings'!A172,"")</f>
        <v/>
      </c>
      <c r="B2659">
        <f>IF(A2659="","",'Employees'!C16)</f>
        <v/>
      </c>
      <c r="C2659">
        <f>IF(A2659="","",'Ratings'!C172)</f>
        <v/>
      </c>
      <c r="D2659">
        <f>IF(A2659="","",'Ratings'!D172)</f>
        <v/>
      </c>
      <c r="E2659">
        <f>IF(AND('Ratings'!A172&lt;&gt;"",'Ratings'!F5&lt;&gt;""),'Ratings'!F5,"")</f>
        <v/>
      </c>
      <c r="F2659">
        <f>IF(OR(A2659="",'Ratings'!F172=""),"",'Ratings'!F172)</f>
        <v/>
      </c>
      <c r="G2659">
        <f>IF(A2659="","",'Employees'!D16)</f>
        <v/>
      </c>
    </row>
    <row r="2660">
      <c r="A2660">
        <f>IF(AND('Ratings'!A172&lt;&gt;"",'Ratings'!G5&lt;&gt;""),'Ratings'!A172,"")</f>
        <v/>
      </c>
      <c r="B2660">
        <f>IF(A2660="","",'Employees'!C16)</f>
        <v/>
      </c>
      <c r="C2660">
        <f>IF(A2660="","",'Ratings'!C172)</f>
        <v/>
      </c>
      <c r="D2660">
        <f>IF(A2660="","",'Ratings'!D172)</f>
        <v/>
      </c>
      <c r="E2660">
        <f>IF(AND('Ratings'!A172&lt;&gt;"",'Ratings'!G5&lt;&gt;""),'Ratings'!G5,"")</f>
        <v/>
      </c>
      <c r="F2660">
        <f>IF(OR(A2660="",'Ratings'!G172=""),"",'Ratings'!G172)</f>
        <v/>
      </c>
      <c r="G2660">
        <f>IF(A2660="","",'Employees'!D16)</f>
        <v/>
      </c>
    </row>
    <row r="2661">
      <c r="A2661">
        <f>IF(AND('Ratings'!A172&lt;&gt;"",'Ratings'!H5&lt;&gt;""),'Ratings'!A172,"")</f>
        <v/>
      </c>
      <c r="B2661">
        <f>IF(A2661="","",'Employees'!C16)</f>
        <v/>
      </c>
      <c r="C2661">
        <f>IF(A2661="","",'Ratings'!C172)</f>
        <v/>
      </c>
      <c r="D2661">
        <f>IF(A2661="","",'Ratings'!D172)</f>
        <v/>
      </c>
      <c r="E2661">
        <f>IF(AND('Ratings'!A172&lt;&gt;"",'Ratings'!H5&lt;&gt;""),'Ratings'!H5,"")</f>
        <v/>
      </c>
      <c r="F2661">
        <f>IF(OR(A2661="",'Ratings'!H172=""),"",'Ratings'!H172)</f>
        <v/>
      </c>
      <c r="G2661">
        <f>IF(A2661="","",'Employees'!D16)</f>
        <v/>
      </c>
    </row>
    <row r="2662">
      <c r="A2662">
        <f>IF(AND('Ratings'!A172&lt;&gt;"",'Ratings'!I5&lt;&gt;""),'Ratings'!A172,"")</f>
        <v/>
      </c>
      <c r="B2662">
        <f>IF(A2662="","",'Employees'!C16)</f>
        <v/>
      </c>
      <c r="C2662">
        <f>IF(A2662="","",'Ratings'!C172)</f>
        <v/>
      </c>
      <c r="D2662">
        <f>IF(A2662="","",'Ratings'!D172)</f>
        <v/>
      </c>
      <c r="E2662">
        <f>IF(AND('Ratings'!A172&lt;&gt;"",'Ratings'!I5&lt;&gt;""),'Ratings'!I5,"")</f>
        <v/>
      </c>
      <c r="F2662">
        <f>IF(OR(A2662="",'Ratings'!I172=""),"",'Ratings'!I172)</f>
        <v/>
      </c>
      <c r="G2662">
        <f>IF(A2662="","",'Employees'!D16)</f>
        <v/>
      </c>
    </row>
    <row r="2663">
      <c r="A2663">
        <f>IF(AND('Ratings'!A172&lt;&gt;"",'Ratings'!J5&lt;&gt;""),'Ratings'!A172,"")</f>
        <v/>
      </c>
      <c r="B2663">
        <f>IF(A2663="","",'Employees'!C16)</f>
        <v/>
      </c>
      <c r="C2663">
        <f>IF(A2663="","",'Ratings'!C172)</f>
        <v/>
      </c>
      <c r="D2663">
        <f>IF(A2663="","",'Ratings'!D172)</f>
        <v/>
      </c>
      <c r="E2663">
        <f>IF(AND('Ratings'!A172&lt;&gt;"",'Ratings'!J5&lt;&gt;""),'Ratings'!J5,"")</f>
        <v/>
      </c>
      <c r="F2663">
        <f>IF(OR(A2663="",'Ratings'!J172=""),"",'Ratings'!J172)</f>
        <v/>
      </c>
      <c r="G2663">
        <f>IF(A2663="","",'Employees'!D16)</f>
        <v/>
      </c>
    </row>
    <row r="2664">
      <c r="A2664">
        <f>IF(AND('Ratings'!A172&lt;&gt;"",'Ratings'!K5&lt;&gt;""),'Ratings'!A172,"")</f>
        <v/>
      </c>
      <c r="B2664">
        <f>IF(A2664="","",'Employees'!C16)</f>
        <v/>
      </c>
      <c r="C2664">
        <f>IF(A2664="","",'Ratings'!C172)</f>
        <v/>
      </c>
      <c r="D2664">
        <f>IF(A2664="","",'Ratings'!D172)</f>
        <v/>
      </c>
      <c r="E2664">
        <f>IF(AND('Ratings'!A172&lt;&gt;"",'Ratings'!K5&lt;&gt;""),'Ratings'!K5,"")</f>
        <v/>
      </c>
      <c r="F2664">
        <f>IF(OR(A2664="",'Ratings'!K172=""),"",'Ratings'!K172)</f>
        <v/>
      </c>
      <c r="G2664">
        <f>IF(A2664="","",'Employees'!D16)</f>
        <v/>
      </c>
    </row>
    <row r="2665">
      <c r="A2665">
        <f>IF(AND('Ratings'!A172&lt;&gt;"",'Ratings'!L5&lt;&gt;""),'Ratings'!A172,"")</f>
        <v/>
      </c>
      <c r="B2665">
        <f>IF(A2665="","",'Employees'!C16)</f>
        <v/>
      </c>
      <c r="C2665">
        <f>IF(A2665="","",'Ratings'!C172)</f>
        <v/>
      </c>
      <c r="D2665">
        <f>IF(A2665="","",'Ratings'!D172)</f>
        <v/>
      </c>
      <c r="E2665">
        <f>IF(AND('Ratings'!A172&lt;&gt;"",'Ratings'!L5&lt;&gt;""),'Ratings'!L5,"")</f>
        <v/>
      </c>
      <c r="F2665">
        <f>IF(OR(A2665="",'Ratings'!L172=""),"",'Ratings'!L172)</f>
        <v/>
      </c>
      <c r="G2665">
        <f>IF(A2665="","",'Employees'!D16)</f>
        <v/>
      </c>
    </row>
    <row r="2666">
      <c r="A2666">
        <f>IF(AND('Ratings'!A172&lt;&gt;"",'Ratings'!M5&lt;&gt;""),'Ratings'!A172,"")</f>
        <v/>
      </c>
      <c r="B2666">
        <f>IF(A2666="","",'Employees'!C16)</f>
        <v/>
      </c>
      <c r="C2666">
        <f>IF(A2666="","",'Ratings'!C172)</f>
        <v/>
      </c>
      <c r="D2666">
        <f>IF(A2666="","",'Ratings'!D172)</f>
        <v/>
      </c>
      <c r="E2666">
        <f>IF(AND('Ratings'!A172&lt;&gt;"",'Ratings'!M5&lt;&gt;""),'Ratings'!M5,"")</f>
        <v/>
      </c>
      <c r="F2666">
        <f>IF(OR(A2666="",'Ratings'!M172=""),"",'Ratings'!M172)</f>
        <v/>
      </c>
      <c r="G2666">
        <f>IF(A2666="","",'Employees'!D16)</f>
        <v/>
      </c>
    </row>
    <row r="2667">
      <c r="A2667">
        <f>IF(AND('Ratings'!A172&lt;&gt;"",'Ratings'!N5&lt;&gt;""),'Ratings'!A172,"")</f>
        <v/>
      </c>
      <c r="B2667">
        <f>IF(A2667="","",'Employees'!C16)</f>
        <v/>
      </c>
      <c r="C2667">
        <f>IF(A2667="","",'Ratings'!C172)</f>
        <v/>
      </c>
      <c r="D2667">
        <f>IF(A2667="","",'Ratings'!D172)</f>
        <v/>
      </c>
      <c r="E2667">
        <f>IF(AND('Ratings'!A172&lt;&gt;"",'Ratings'!N5&lt;&gt;""),'Ratings'!N5,"")</f>
        <v/>
      </c>
      <c r="F2667">
        <f>IF(OR(A2667="",'Ratings'!N172=""),"",'Ratings'!N172)</f>
        <v/>
      </c>
      <c r="G2667">
        <f>IF(A2667="","",'Employees'!D16)</f>
        <v/>
      </c>
    </row>
    <row r="2668">
      <c r="A2668">
        <f>IF(AND('Ratings'!A172&lt;&gt;"",'Ratings'!O5&lt;&gt;""),'Ratings'!A172,"")</f>
        <v/>
      </c>
      <c r="B2668">
        <f>IF(A2668="","",'Employees'!C16)</f>
        <v/>
      </c>
      <c r="C2668">
        <f>IF(A2668="","",'Ratings'!C172)</f>
        <v/>
      </c>
      <c r="D2668">
        <f>IF(A2668="","",'Ratings'!D172)</f>
        <v/>
      </c>
      <c r="E2668">
        <f>IF(AND('Ratings'!A172&lt;&gt;"",'Ratings'!O5&lt;&gt;""),'Ratings'!O5,"")</f>
        <v/>
      </c>
      <c r="F2668">
        <f>IF(OR(A2668="",'Ratings'!O172=""),"",'Ratings'!O172)</f>
        <v/>
      </c>
      <c r="G2668">
        <f>IF(A2668="","",'Employees'!D16)</f>
        <v/>
      </c>
    </row>
    <row r="2669">
      <c r="A2669">
        <f>IF(AND('Ratings'!A172&lt;&gt;"",'Ratings'!P5&lt;&gt;""),'Ratings'!A172,"")</f>
        <v/>
      </c>
      <c r="B2669">
        <f>IF(A2669="","",'Employees'!C16)</f>
        <v/>
      </c>
      <c r="C2669">
        <f>IF(A2669="","",'Ratings'!C172)</f>
        <v/>
      </c>
      <c r="D2669">
        <f>IF(A2669="","",'Ratings'!D172)</f>
        <v/>
      </c>
      <c r="E2669">
        <f>IF(AND('Ratings'!A172&lt;&gt;"",'Ratings'!P5&lt;&gt;""),'Ratings'!P5,"")</f>
        <v/>
      </c>
      <c r="F2669">
        <f>IF(OR(A2669="",'Ratings'!P172=""),"",'Ratings'!P172)</f>
        <v/>
      </c>
      <c r="G2669">
        <f>IF(A2669="","",'Employees'!D16)</f>
        <v/>
      </c>
    </row>
    <row r="2670">
      <c r="A2670">
        <f>IF(AND('Ratings'!A172&lt;&gt;"",'Ratings'!Q5&lt;&gt;""),'Ratings'!A172,"")</f>
        <v/>
      </c>
      <c r="B2670">
        <f>IF(A2670="","",'Employees'!C16)</f>
        <v/>
      </c>
      <c r="C2670">
        <f>IF(A2670="","",'Ratings'!C172)</f>
        <v/>
      </c>
      <c r="D2670">
        <f>IF(A2670="","",'Ratings'!D172)</f>
        <v/>
      </c>
      <c r="E2670">
        <f>IF(AND('Ratings'!A172&lt;&gt;"",'Ratings'!Q5&lt;&gt;""),'Ratings'!Q5,"")</f>
        <v/>
      </c>
      <c r="F2670">
        <f>IF(OR(A2670="",'Ratings'!Q172=""),"",'Ratings'!Q172)</f>
        <v/>
      </c>
      <c r="G2670">
        <f>IF(A2670="","",'Employees'!D16)</f>
        <v/>
      </c>
    </row>
    <row r="2671">
      <c r="A2671">
        <f>IF(AND('Ratings'!A172&lt;&gt;"",'Ratings'!R5&lt;&gt;""),'Ratings'!A172,"")</f>
        <v/>
      </c>
      <c r="B2671">
        <f>IF(A2671="","",'Employees'!C16)</f>
        <v/>
      </c>
      <c r="C2671">
        <f>IF(A2671="","",'Ratings'!C172)</f>
        <v/>
      </c>
      <c r="D2671">
        <f>IF(A2671="","",'Ratings'!D172)</f>
        <v/>
      </c>
      <c r="E2671">
        <f>IF(AND('Ratings'!A172&lt;&gt;"",'Ratings'!R5&lt;&gt;""),'Ratings'!R5,"")</f>
        <v/>
      </c>
      <c r="F2671">
        <f>IF(OR(A2671="",'Ratings'!R172=""),"",'Ratings'!R172)</f>
        <v/>
      </c>
      <c r="G2671">
        <f>IF(A2671="","",'Employees'!D16)</f>
        <v/>
      </c>
    </row>
    <row r="2672">
      <c r="A2672">
        <f>IF(AND('Ratings'!A172&lt;&gt;"",'Ratings'!S5&lt;&gt;""),'Ratings'!A172,"")</f>
        <v/>
      </c>
      <c r="B2672">
        <f>IF(A2672="","",'Employees'!C16)</f>
        <v/>
      </c>
      <c r="C2672">
        <f>IF(A2672="","",'Ratings'!C172)</f>
        <v/>
      </c>
      <c r="D2672">
        <f>IF(A2672="","",'Ratings'!D172)</f>
        <v/>
      </c>
      <c r="E2672">
        <f>IF(AND('Ratings'!A172&lt;&gt;"",'Ratings'!S5&lt;&gt;""),'Ratings'!S5,"")</f>
        <v/>
      </c>
      <c r="F2672">
        <f>IF(OR(A2672="",'Ratings'!S172=""),"",'Ratings'!S172)</f>
        <v/>
      </c>
      <c r="G2672">
        <f>IF(A2672="","",'Employees'!D16)</f>
        <v/>
      </c>
    </row>
    <row r="2673">
      <c r="A2673">
        <f>IF(AND('Ratings'!A172&lt;&gt;"",'Ratings'!T5&lt;&gt;""),'Ratings'!A172,"")</f>
        <v/>
      </c>
      <c r="B2673">
        <f>IF(A2673="","",'Employees'!C16)</f>
        <v/>
      </c>
      <c r="C2673">
        <f>IF(A2673="","",'Ratings'!C172)</f>
        <v/>
      </c>
      <c r="D2673">
        <f>IF(A2673="","",'Ratings'!D172)</f>
        <v/>
      </c>
      <c r="E2673">
        <f>IF(AND('Ratings'!A172&lt;&gt;"",'Ratings'!T5&lt;&gt;""),'Ratings'!T5,"")</f>
        <v/>
      </c>
      <c r="F2673">
        <f>IF(OR(A2673="",'Ratings'!T172=""),"",'Ratings'!T172)</f>
        <v/>
      </c>
      <c r="G2673">
        <f>IF(A2673="","",'Employees'!D16)</f>
        <v/>
      </c>
    </row>
    <row r="2674">
      <c r="A2674">
        <f>IF(AND('Ratings'!A173&lt;&gt;"",'Ratings'!E5&lt;&gt;""),'Ratings'!A173,"")</f>
        <v/>
      </c>
      <c r="B2674">
        <f>IF(A2674="","",'Employees'!C16)</f>
        <v/>
      </c>
      <c r="C2674">
        <f>IF(A2674="","",'Ratings'!C173)</f>
        <v/>
      </c>
      <c r="D2674">
        <f>IF(A2674="","",'Ratings'!D173)</f>
        <v/>
      </c>
      <c r="E2674">
        <f>IF(AND('Ratings'!A173&lt;&gt;"",'Ratings'!E5&lt;&gt;""),'Ratings'!E5,"")</f>
        <v/>
      </c>
      <c r="F2674">
        <f>IF(OR(A2674="",'Ratings'!E173=""),"",'Ratings'!E173)</f>
        <v/>
      </c>
      <c r="G2674">
        <f>IF(A2674="","",'Employees'!D16)</f>
        <v/>
      </c>
    </row>
    <row r="2675">
      <c r="A2675">
        <f>IF(AND('Ratings'!A173&lt;&gt;"",'Ratings'!F5&lt;&gt;""),'Ratings'!A173,"")</f>
        <v/>
      </c>
      <c r="B2675">
        <f>IF(A2675="","",'Employees'!C16)</f>
        <v/>
      </c>
      <c r="C2675">
        <f>IF(A2675="","",'Ratings'!C173)</f>
        <v/>
      </c>
      <c r="D2675">
        <f>IF(A2675="","",'Ratings'!D173)</f>
        <v/>
      </c>
      <c r="E2675">
        <f>IF(AND('Ratings'!A173&lt;&gt;"",'Ratings'!F5&lt;&gt;""),'Ratings'!F5,"")</f>
        <v/>
      </c>
      <c r="F2675">
        <f>IF(OR(A2675="",'Ratings'!F173=""),"",'Ratings'!F173)</f>
        <v/>
      </c>
      <c r="G2675">
        <f>IF(A2675="","",'Employees'!D16)</f>
        <v/>
      </c>
    </row>
    <row r="2676">
      <c r="A2676">
        <f>IF(AND('Ratings'!A173&lt;&gt;"",'Ratings'!G5&lt;&gt;""),'Ratings'!A173,"")</f>
        <v/>
      </c>
      <c r="B2676">
        <f>IF(A2676="","",'Employees'!C16)</f>
        <v/>
      </c>
      <c r="C2676">
        <f>IF(A2676="","",'Ratings'!C173)</f>
        <v/>
      </c>
      <c r="D2676">
        <f>IF(A2676="","",'Ratings'!D173)</f>
        <v/>
      </c>
      <c r="E2676">
        <f>IF(AND('Ratings'!A173&lt;&gt;"",'Ratings'!G5&lt;&gt;""),'Ratings'!G5,"")</f>
        <v/>
      </c>
      <c r="F2676">
        <f>IF(OR(A2676="",'Ratings'!G173=""),"",'Ratings'!G173)</f>
        <v/>
      </c>
      <c r="G2676">
        <f>IF(A2676="","",'Employees'!D16)</f>
        <v/>
      </c>
    </row>
    <row r="2677">
      <c r="A2677">
        <f>IF(AND('Ratings'!A173&lt;&gt;"",'Ratings'!H5&lt;&gt;""),'Ratings'!A173,"")</f>
        <v/>
      </c>
      <c r="B2677">
        <f>IF(A2677="","",'Employees'!C16)</f>
        <v/>
      </c>
      <c r="C2677">
        <f>IF(A2677="","",'Ratings'!C173)</f>
        <v/>
      </c>
      <c r="D2677">
        <f>IF(A2677="","",'Ratings'!D173)</f>
        <v/>
      </c>
      <c r="E2677">
        <f>IF(AND('Ratings'!A173&lt;&gt;"",'Ratings'!H5&lt;&gt;""),'Ratings'!H5,"")</f>
        <v/>
      </c>
      <c r="F2677">
        <f>IF(OR(A2677="",'Ratings'!H173=""),"",'Ratings'!H173)</f>
        <v/>
      </c>
      <c r="G2677">
        <f>IF(A2677="","",'Employees'!D16)</f>
        <v/>
      </c>
    </row>
    <row r="2678">
      <c r="A2678">
        <f>IF(AND('Ratings'!A173&lt;&gt;"",'Ratings'!I5&lt;&gt;""),'Ratings'!A173,"")</f>
        <v/>
      </c>
      <c r="B2678">
        <f>IF(A2678="","",'Employees'!C16)</f>
        <v/>
      </c>
      <c r="C2678">
        <f>IF(A2678="","",'Ratings'!C173)</f>
        <v/>
      </c>
      <c r="D2678">
        <f>IF(A2678="","",'Ratings'!D173)</f>
        <v/>
      </c>
      <c r="E2678">
        <f>IF(AND('Ratings'!A173&lt;&gt;"",'Ratings'!I5&lt;&gt;""),'Ratings'!I5,"")</f>
        <v/>
      </c>
      <c r="F2678">
        <f>IF(OR(A2678="",'Ratings'!I173=""),"",'Ratings'!I173)</f>
        <v/>
      </c>
      <c r="G2678">
        <f>IF(A2678="","",'Employees'!D16)</f>
        <v/>
      </c>
    </row>
    <row r="2679">
      <c r="A2679">
        <f>IF(AND('Ratings'!A173&lt;&gt;"",'Ratings'!J5&lt;&gt;""),'Ratings'!A173,"")</f>
        <v/>
      </c>
      <c r="B2679">
        <f>IF(A2679="","",'Employees'!C16)</f>
        <v/>
      </c>
      <c r="C2679">
        <f>IF(A2679="","",'Ratings'!C173)</f>
        <v/>
      </c>
      <c r="D2679">
        <f>IF(A2679="","",'Ratings'!D173)</f>
        <v/>
      </c>
      <c r="E2679">
        <f>IF(AND('Ratings'!A173&lt;&gt;"",'Ratings'!J5&lt;&gt;""),'Ratings'!J5,"")</f>
        <v/>
      </c>
      <c r="F2679">
        <f>IF(OR(A2679="",'Ratings'!J173=""),"",'Ratings'!J173)</f>
        <v/>
      </c>
      <c r="G2679">
        <f>IF(A2679="","",'Employees'!D16)</f>
        <v/>
      </c>
    </row>
    <row r="2680">
      <c r="A2680">
        <f>IF(AND('Ratings'!A173&lt;&gt;"",'Ratings'!K5&lt;&gt;""),'Ratings'!A173,"")</f>
        <v/>
      </c>
      <c r="B2680">
        <f>IF(A2680="","",'Employees'!C16)</f>
        <v/>
      </c>
      <c r="C2680">
        <f>IF(A2680="","",'Ratings'!C173)</f>
        <v/>
      </c>
      <c r="D2680">
        <f>IF(A2680="","",'Ratings'!D173)</f>
        <v/>
      </c>
      <c r="E2680">
        <f>IF(AND('Ratings'!A173&lt;&gt;"",'Ratings'!K5&lt;&gt;""),'Ratings'!K5,"")</f>
        <v/>
      </c>
      <c r="F2680">
        <f>IF(OR(A2680="",'Ratings'!K173=""),"",'Ratings'!K173)</f>
        <v/>
      </c>
      <c r="G2680">
        <f>IF(A2680="","",'Employees'!D16)</f>
        <v/>
      </c>
    </row>
    <row r="2681">
      <c r="A2681">
        <f>IF(AND('Ratings'!A173&lt;&gt;"",'Ratings'!L5&lt;&gt;""),'Ratings'!A173,"")</f>
        <v/>
      </c>
      <c r="B2681">
        <f>IF(A2681="","",'Employees'!C16)</f>
        <v/>
      </c>
      <c r="C2681">
        <f>IF(A2681="","",'Ratings'!C173)</f>
        <v/>
      </c>
      <c r="D2681">
        <f>IF(A2681="","",'Ratings'!D173)</f>
        <v/>
      </c>
      <c r="E2681">
        <f>IF(AND('Ratings'!A173&lt;&gt;"",'Ratings'!L5&lt;&gt;""),'Ratings'!L5,"")</f>
        <v/>
      </c>
      <c r="F2681">
        <f>IF(OR(A2681="",'Ratings'!L173=""),"",'Ratings'!L173)</f>
        <v/>
      </c>
      <c r="G2681">
        <f>IF(A2681="","",'Employees'!D16)</f>
        <v/>
      </c>
    </row>
    <row r="2682">
      <c r="A2682">
        <f>IF(AND('Ratings'!A173&lt;&gt;"",'Ratings'!M5&lt;&gt;""),'Ratings'!A173,"")</f>
        <v/>
      </c>
      <c r="B2682">
        <f>IF(A2682="","",'Employees'!C16)</f>
        <v/>
      </c>
      <c r="C2682">
        <f>IF(A2682="","",'Ratings'!C173)</f>
        <v/>
      </c>
      <c r="D2682">
        <f>IF(A2682="","",'Ratings'!D173)</f>
        <v/>
      </c>
      <c r="E2682">
        <f>IF(AND('Ratings'!A173&lt;&gt;"",'Ratings'!M5&lt;&gt;""),'Ratings'!M5,"")</f>
        <v/>
      </c>
      <c r="F2682">
        <f>IF(OR(A2682="",'Ratings'!M173=""),"",'Ratings'!M173)</f>
        <v/>
      </c>
      <c r="G2682">
        <f>IF(A2682="","",'Employees'!D16)</f>
        <v/>
      </c>
    </row>
    <row r="2683">
      <c r="A2683">
        <f>IF(AND('Ratings'!A173&lt;&gt;"",'Ratings'!N5&lt;&gt;""),'Ratings'!A173,"")</f>
        <v/>
      </c>
      <c r="B2683">
        <f>IF(A2683="","",'Employees'!C16)</f>
        <v/>
      </c>
      <c r="C2683">
        <f>IF(A2683="","",'Ratings'!C173)</f>
        <v/>
      </c>
      <c r="D2683">
        <f>IF(A2683="","",'Ratings'!D173)</f>
        <v/>
      </c>
      <c r="E2683">
        <f>IF(AND('Ratings'!A173&lt;&gt;"",'Ratings'!N5&lt;&gt;""),'Ratings'!N5,"")</f>
        <v/>
      </c>
      <c r="F2683">
        <f>IF(OR(A2683="",'Ratings'!N173=""),"",'Ratings'!N173)</f>
        <v/>
      </c>
      <c r="G2683">
        <f>IF(A2683="","",'Employees'!D16)</f>
        <v/>
      </c>
    </row>
    <row r="2684">
      <c r="A2684">
        <f>IF(AND('Ratings'!A173&lt;&gt;"",'Ratings'!O5&lt;&gt;""),'Ratings'!A173,"")</f>
        <v/>
      </c>
      <c r="B2684">
        <f>IF(A2684="","",'Employees'!C16)</f>
        <v/>
      </c>
      <c r="C2684">
        <f>IF(A2684="","",'Ratings'!C173)</f>
        <v/>
      </c>
      <c r="D2684">
        <f>IF(A2684="","",'Ratings'!D173)</f>
        <v/>
      </c>
      <c r="E2684">
        <f>IF(AND('Ratings'!A173&lt;&gt;"",'Ratings'!O5&lt;&gt;""),'Ratings'!O5,"")</f>
        <v/>
      </c>
      <c r="F2684">
        <f>IF(OR(A2684="",'Ratings'!O173=""),"",'Ratings'!O173)</f>
        <v/>
      </c>
      <c r="G2684">
        <f>IF(A2684="","",'Employees'!D16)</f>
        <v/>
      </c>
    </row>
    <row r="2685">
      <c r="A2685">
        <f>IF(AND('Ratings'!A173&lt;&gt;"",'Ratings'!P5&lt;&gt;""),'Ratings'!A173,"")</f>
        <v/>
      </c>
      <c r="B2685">
        <f>IF(A2685="","",'Employees'!C16)</f>
        <v/>
      </c>
      <c r="C2685">
        <f>IF(A2685="","",'Ratings'!C173)</f>
        <v/>
      </c>
      <c r="D2685">
        <f>IF(A2685="","",'Ratings'!D173)</f>
        <v/>
      </c>
      <c r="E2685">
        <f>IF(AND('Ratings'!A173&lt;&gt;"",'Ratings'!P5&lt;&gt;""),'Ratings'!P5,"")</f>
        <v/>
      </c>
      <c r="F2685">
        <f>IF(OR(A2685="",'Ratings'!P173=""),"",'Ratings'!P173)</f>
        <v/>
      </c>
      <c r="G2685">
        <f>IF(A2685="","",'Employees'!D16)</f>
        <v/>
      </c>
    </row>
    <row r="2686">
      <c r="A2686">
        <f>IF(AND('Ratings'!A173&lt;&gt;"",'Ratings'!Q5&lt;&gt;""),'Ratings'!A173,"")</f>
        <v/>
      </c>
      <c r="B2686">
        <f>IF(A2686="","",'Employees'!C16)</f>
        <v/>
      </c>
      <c r="C2686">
        <f>IF(A2686="","",'Ratings'!C173)</f>
        <v/>
      </c>
      <c r="D2686">
        <f>IF(A2686="","",'Ratings'!D173)</f>
        <v/>
      </c>
      <c r="E2686">
        <f>IF(AND('Ratings'!A173&lt;&gt;"",'Ratings'!Q5&lt;&gt;""),'Ratings'!Q5,"")</f>
        <v/>
      </c>
      <c r="F2686">
        <f>IF(OR(A2686="",'Ratings'!Q173=""),"",'Ratings'!Q173)</f>
        <v/>
      </c>
      <c r="G2686">
        <f>IF(A2686="","",'Employees'!D16)</f>
        <v/>
      </c>
    </row>
    <row r="2687">
      <c r="A2687">
        <f>IF(AND('Ratings'!A173&lt;&gt;"",'Ratings'!R5&lt;&gt;""),'Ratings'!A173,"")</f>
        <v/>
      </c>
      <c r="B2687">
        <f>IF(A2687="","",'Employees'!C16)</f>
        <v/>
      </c>
      <c r="C2687">
        <f>IF(A2687="","",'Ratings'!C173)</f>
        <v/>
      </c>
      <c r="D2687">
        <f>IF(A2687="","",'Ratings'!D173)</f>
        <v/>
      </c>
      <c r="E2687">
        <f>IF(AND('Ratings'!A173&lt;&gt;"",'Ratings'!R5&lt;&gt;""),'Ratings'!R5,"")</f>
        <v/>
      </c>
      <c r="F2687">
        <f>IF(OR(A2687="",'Ratings'!R173=""),"",'Ratings'!R173)</f>
        <v/>
      </c>
      <c r="G2687">
        <f>IF(A2687="","",'Employees'!D16)</f>
        <v/>
      </c>
    </row>
    <row r="2688">
      <c r="A2688">
        <f>IF(AND('Ratings'!A173&lt;&gt;"",'Ratings'!S5&lt;&gt;""),'Ratings'!A173,"")</f>
        <v/>
      </c>
      <c r="B2688">
        <f>IF(A2688="","",'Employees'!C16)</f>
        <v/>
      </c>
      <c r="C2688">
        <f>IF(A2688="","",'Ratings'!C173)</f>
        <v/>
      </c>
      <c r="D2688">
        <f>IF(A2688="","",'Ratings'!D173)</f>
        <v/>
      </c>
      <c r="E2688">
        <f>IF(AND('Ratings'!A173&lt;&gt;"",'Ratings'!S5&lt;&gt;""),'Ratings'!S5,"")</f>
        <v/>
      </c>
      <c r="F2688">
        <f>IF(OR(A2688="",'Ratings'!S173=""),"",'Ratings'!S173)</f>
        <v/>
      </c>
      <c r="G2688">
        <f>IF(A2688="","",'Employees'!D16)</f>
        <v/>
      </c>
    </row>
    <row r="2689">
      <c r="A2689">
        <f>IF(AND('Ratings'!A173&lt;&gt;"",'Ratings'!T5&lt;&gt;""),'Ratings'!A173,"")</f>
        <v/>
      </c>
      <c r="B2689">
        <f>IF(A2689="","",'Employees'!C16)</f>
        <v/>
      </c>
      <c r="C2689">
        <f>IF(A2689="","",'Ratings'!C173)</f>
        <v/>
      </c>
      <c r="D2689">
        <f>IF(A2689="","",'Ratings'!D173)</f>
        <v/>
      </c>
      <c r="E2689">
        <f>IF(AND('Ratings'!A173&lt;&gt;"",'Ratings'!T5&lt;&gt;""),'Ratings'!T5,"")</f>
        <v/>
      </c>
      <c r="F2689">
        <f>IF(OR(A2689="",'Ratings'!T173=""),"",'Ratings'!T173)</f>
        <v/>
      </c>
      <c r="G2689">
        <f>IF(A2689="","",'Employees'!D16)</f>
        <v/>
      </c>
    </row>
    <row r="2690">
      <c r="A2690">
        <f>IF(AND('Ratings'!A174&lt;&gt;"",'Ratings'!E5&lt;&gt;""),'Ratings'!A174,"")</f>
        <v/>
      </c>
      <c r="B2690">
        <f>IF(A2690="","",'Employees'!C16)</f>
        <v/>
      </c>
      <c r="C2690">
        <f>IF(A2690="","",'Ratings'!C174)</f>
        <v/>
      </c>
      <c r="D2690">
        <f>IF(A2690="","",'Ratings'!D174)</f>
        <v/>
      </c>
      <c r="E2690">
        <f>IF(AND('Ratings'!A174&lt;&gt;"",'Ratings'!E5&lt;&gt;""),'Ratings'!E5,"")</f>
        <v/>
      </c>
      <c r="F2690">
        <f>IF(OR(A2690="",'Ratings'!E174=""),"",'Ratings'!E174)</f>
        <v/>
      </c>
      <c r="G2690">
        <f>IF(A2690="","",'Employees'!D16)</f>
        <v/>
      </c>
    </row>
    <row r="2691">
      <c r="A2691">
        <f>IF(AND('Ratings'!A174&lt;&gt;"",'Ratings'!F5&lt;&gt;""),'Ratings'!A174,"")</f>
        <v/>
      </c>
      <c r="B2691">
        <f>IF(A2691="","",'Employees'!C16)</f>
        <v/>
      </c>
      <c r="C2691">
        <f>IF(A2691="","",'Ratings'!C174)</f>
        <v/>
      </c>
      <c r="D2691">
        <f>IF(A2691="","",'Ratings'!D174)</f>
        <v/>
      </c>
      <c r="E2691">
        <f>IF(AND('Ratings'!A174&lt;&gt;"",'Ratings'!F5&lt;&gt;""),'Ratings'!F5,"")</f>
        <v/>
      </c>
      <c r="F2691">
        <f>IF(OR(A2691="",'Ratings'!F174=""),"",'Ratings'!F174)</f>
        <v/>
      </c>
      <c r="G2691">
        <f>IF(A2691="","",'Employees'!D16)</f>
        <v/>
      </c>
    </row>
    <row r="2692">
      <c r="A2692">
        <f>IF(AND('Ratings'!A174&lt;&gt;"",'Ratings'!G5&lt;&gt;""),'Ratings'!A174,"")</f>
        <v/>
      </c>
      <c r="B2692">
        <f>IF(A2692="","",'Employees'!C16)</f>
        <v/>
      </c>
      <c r="C2692">
        <f>IF(A2692="","",'Ratings'!C174)</f>
        <v/>
      </c>
      <c r="D2692">
        <f>IF(A2692="","",'Ratings'!D174)</f>
        <v/>
      </c>
      <c r="E2692">
        <f>IF(AND('Ratings'!A174&lt;&gt;"",'Ratings'!G5&lt;&gt;""),'Ratings'!G5,"")</f>
        <v/>
      </c>
      <c r="F2692">
        <f>IF(OR(A2692="",'Ratings'!G174=""),"",'Ratings'!G174)</f>
        <v/>
      </c>
      <c r="G2692">
        <f>IF(A2692="","",'Employees'!D16)</f>
        <v/>
      </c>
    </row>
    <row r="2693">
      <c r="A2693">
        <f>IF(AND('Ratings'!A174&lt;&gt;"",'Ratings'!H5&lt;&gt;""),'Ratings'!A174,"")</f>
        <v/>
      </c>
      <c r="B2693">
        <f>IF(A2693="","",'Employees'!C16)</f>
        <v/>
      </c>
      <c r="C2693">
        <f>IF(A2693="","",'Ratings'!C174)</f>
        <v/>
      </c>
      <c r="D2693">
        <f>IF(A2693="","",'Ratings'!D174)</f>
        <v/>
      </c>
      <c r="E2693">
        <f>IF(AND('Ratings'!A174&lt;&gt;"",'Ratings'!H5&lt;&gt;""),'Ratings'!H5,"")</f>
        <v/>
      </c>
      <c r="F2693">
        <f>IF(OR(A2693="",'Ratings'!H174=""),"",'Ratings'!H174)</f>
        <v/>
      </c>
      <c r="G2693">
        <f>IF(A2693="","",'Employees'!D16)</f>
        <v/>
      </c>
    </row>
    <row r="2694">
      <c r="A2694">
        <f>IF(AND('Ratings'!A174&lt;&gt;"",'Ratings'!I5&lt;&gt;""),'Ratings'!A174,"")</f>
        <v/>
      </c>
      <c r="B2694">
        <f>IF(A2694="","",'Employees'!C16)</f>
        <v/>
      </c>
      <c r="C2694">
        <f>IF(A2694="","",'Ratings'!C174)</f>
        <v/>
      </c>
      <c r="D2694">
        <f>IF(A2694="","",'Ratings'!D174)</f>
        <v/>
      </c>
      <c r="E2694">
        <f>IF(AND('Ratings'!A174&lt;&gt;"",'Ratings'!I5&lt;&gt;""),'Ratings'!I5,"")</f>
        <v/>
      </c>
      <c r="F2694">
        <f>IF(OR(A2694="",'Ratings'!I174=""),"",'Ratings'!I174)</f>
        <v/>
      </c>
      <c r="G2694">
        <f>IF(A2694="","",'Employees'!D16)</f>
        <v/>
      </c>
    </row>
    <row r="2695">
      <c r="A2695">
        <f>IF(AND('Ratings'!A174&lt;&gt;"",'Ratings'!J5&lt;&gt;""),'Ratings'!A174,"")</f>
        <v/>
      </c>
      <c r="B2695">
        <f>IF(A2695="","",'Employees'!C16)</f>
        <v/>
      </c>
      <c r="C2695">
        <f>IF(A2695="","",'Ratings'!C174)</f>
        <v/>
      </c>
      <c r="D2695">
        <f>IF(A2695="","",'Ratings'!D174)</f>
        <v/>
      </c>
      <c r="E2695">
        <f>IF(AND('Ratings'!A174&lt;&gt;"",'Ratings'!J5&lt;&gt;""),'Ratings'!J5,"")</f>
        <v/>
      </c>
      <c r="F2695">
        <f>IF(OR(A2695="",'Ratings'!J174=""),"",'Ratings'!J174)</f>
        <v/>
      </c>
      <c r="G2695">
        <f>IF(A2695="","",'Employees'!D16)</f>
        <v/>
      </c>
    </row>
    <row r="2696">
      <c r="A2696">
        <f>IF(AND('Ratings'!A174&lt;&gt;"",'Ratings'!K5&lt;&gt;""),'Ratings'!A174,"")</f>
        <v/>
      </c>
      <c r="B2696">
        <f>IF(A2696="","",'Employees'!C16)</f>
        <v/>
      </c>
      <c r="C2696">
        <f>IF(A2696="","",'Ratings'!C174)</f>
        <v/>
      </c>
      <c r="D2696">
        <f>IF(A2696="","",'Ratings'!D174)</f>
        <v/>
      </c>
      <c r="E2696">
        <f>IF(AND('Ratings'!A174&lt;&gt;"",'Ratings'!K5&lt;&gt;""),'Ratings'!K5,"")</f>
        <v/>
      </c>
      <c r="F2696">
        <f>IF(OR(A2696="",'Ratings'!K174=""),"",'Ratings'!K174)</f>
        <v/>
      </c>
      <c r="G2696">
        <f>IF(A2696="","",'Employees'!D16)</f>
        <v/>
      </c>
    </row>
    <row r="2697">
      <c r="A2697">
        <f>IF(AND('Ratings'!A174&lt;&gt;"",'Ratings'!L5&lt;&gt;""),'Ratings'!A174,"")</f>
        <v/>
      </c>
      <c r="B2697">
        <f>IF(A2697="","",'Employees'!C16)</f>
        <v/>
      </c>
      <c r="C2697">
        <f>IF(A2697="","",'Ratings'!C174)</f>
        <v/>
      </c>
      <c r="D2697">
        <f>IF(A2697="","",'Ratings'!D174)</f>
        <v/>
      </c>
      <c r="E2697">
        <f>IF(AND('Ratings'!A174&lt;&gt;"",'Ratings'!L5&lt;&gt;""),'Ratings'!L5,"")</f>
        <v/>
      </c>
      <c r="F2697">
        <f>IF(OR(A2697="",'Ratings'!L174=""),"",'Ratings'!L174)</f>
        <v/>
      </c>
      <c r="G2697">
        <f>IF(A2697="","",'Employees'!D16)</f>
        <v/>
      </c>
    </row>
    <row r="2698">
      <c r="A2698">
        <f>IF(AND('Ratings'!A174&lt;&gt;"",'Ratings'!M5&lt;&gt;""),'Ratings'!A174,"")</f>
        <v/>
      </c>
      <c r="B2698">
        <f>IF(A2698="","",'Employees'!C16)</f>
        <v/>
      </c>
      <c r="C2698">
        <f>IF(A2698="","",'Ratings'!C174)</f>
        <v/>
      </c>
      <c r="D2698">
        <f>IF(A2698="","",'Ratings'!D174)</f>
        <v/>
      </c>
      <c r="E2698">
        <f>IF(AND('Ratings'!A174&lt;&gt;"",'Ratings'!M5&lt;&gt;""),'Ratings'!M5,"")</f>
        <v/>
      </c>
      <c r="F2698">
        <f>IF(OR(A2698="",'Ratings'!M174=""),"",'Ratings'!M174)</f>
        <v/>
      </c>
      <c r="G2698">
        <f>IF(A2698="","",'Employees'!D16)</f>
        <v/>
      </c>
    </row>
    <row r="2699">
      <c r="A2699">
        <f>IF(AND('Ratings'!A174&lt;&gt;"",'Ratings'!N5&lt;&gt;""),'Ratings'!A174,"")</f>
        <v/>
      </c>
      <c r="B2699">
        <f>IF(A2699="","",'Employees'!C16)</f>
        <v/>
      </c>
      <c r="C2699">
        <f>IF(A2699="","",'Ratings'!C174)</f>
        <v/>
      </c>
      <c r="D2699">
        <f>IF(A2699="","",'Ratings'!D174)</f>
        <v/>
      </c>
      <c r="E2699">
        <f>IF(AND('Ratings'!A174&lt;&gt;"",'Ratings'!N5&lt;&gt;""),'Ratings'!N5,"")</f>
        <v/>
      </c>
      <c r="F2699">
        <f>IF(OR(A2699="",'Ratings'!N174=""),"",'Ratings'!N174)</f>
        <v/>
      </c>
      <c r="G2699">
        <f>IF(A2699="","",'Employees'!D16)</f>
        <v/>
      </c>
    </row>
    <row r="2700">
      <c r="A2700">
        <f>IF(AND('Ratings'!A174&lt;&gt;"",'Ratings'!O5&lt;&gt;""),'Ratings'!A174,"")</f>
        <v/>
      </c>
      <c r="B2700">
        <f>IF(A2700="","",'Employees'!C16)</f>
        <v/>
      </c>
      <c r="C2700">
        <f>IF(A2700="","",'Ratings'!C174)</f>
        <v/>
      </c>
      <c r="D2700">
        <f>IF(A2700="","",'Ratings'!D174)</f>
        <v/>
      </c>
      <c r="E2700">
        <f>IF(AND('Ratings'!A174&lt;&gt;"",'Ratings'!O5&lt;&gt;""),'Ratings'!O5,"")</f>
        <v/>
      </c>
      <c r="F2700">
        <f>IF(OR(A2700="",'Ratings'!O174=""),"",'Ratings'!O174)</f>
        <v/>
      </c>
      <c r="G2700">
        <f>IF(A2700="","",'Employees'!D16)</f>
        <v/>
      </c>
    </row>
    <row r="2701">
      <c r="A2701">
        <f>IF(AND('Ratings'!A174&lt;&gt;"",'Ratings'!P5&lt;&gt;""),'Ratings'!A174,"")</f>
        <v/>
      </c>
      <c r="B2701">
        <f>IF(A2701="","",'Employees'!C16)</f>
        <v/>
      </c>
      <c r="C2701">
        <f>IF(A2701="","",'Ratings'!C174)</f>
        <v/>
      </c>
      <c r="D2701">
        <f>IF(A2701="","",'Ratings'!D174)</f>
        <v/>
      </c>
      <c r="E2701">
        <f>IF(AND('Ratings'!A174&lt;&gt;"",'Ratings'!P5&lt;&gt;""),'Ratings'!P5,"")</f>
        <v/>
      </c>
      <c r="F2701">
        <f>IF(OR(A2701="",'Ratings'!P174=""),"",'Ratings'!P174)</f>
        <v/>
      </c>
      <c r="G2701">
        <f>IF(A2701="","",'Employees'!D16)</f>
        <v/>
      </c>
    </row>
    <row r="2702">
      <c r="A2702">
        <f>IF(AND('Ratings'!A174&lt;&gt;"",'Ratings'!Q5&lt;&gt;""),'Ratings'!A174,"")</f>
        <v/>
      </c>
      <c r="B2702">
        <f>IF(A2702="","",'Employees'!C16)</f>
        <v/>
      </c>
      <c r="C2702">
        <f>IF(A2702="","",'Ratings'!C174)</f>
        <v/>
      </c>
      <c r="D2702">
        <f>IF(A2702="","",'Ratings'!D174)</f>
        <v/>
      </c>
      <c r="E2702">
        <f>IF(AND('Ratings'!A174&lt;&gt;"",'Ratings'!Q5&lt;&gt;""),'Ratings'!Q5,"")</f>
        <v/>
      </c>
      <c r="F2702">
        <f>IF(OR(A2702="",'Ratings'!Q174=""),"",'Ratings'!Q174)</f>
        <v/>
      </c>
      <c r="G2702">
        <f>IF(A2702="","",'Employees'!D16)</f>
        <v/>
      </c>
    </row>
    <row r="2703">
      <c r="A2703">
        <f>IF(AND('Ratings'!A174&lt;&gt;"",'Ratings'!R5&lt;&gt;""),'Ratings'!A174,"")</f>
        <v/>
      </c>
      <c r="B2703">
        <f>IF(A2703="","",'Employees'!C16)</f>
        <v/>
      </c>
      <c r="C2703">
        <f>IF(A2703="","",'Ratings'!C174)</f>
        <v/>
      </c>
      <c r="D2703">
        <f>IF(A2703="","",'Ratings'!D174)</f>
        <v/>
      </c>
      <c r="E2703">
        <f>IF(AND('Ratings'!A174&lt;&gt;"",'Ratings'!R5&lt;&gt;""),'Ratings'!R5,"")</f>
        <v/>
      </c>
      <c r="F2703">
        <f>IF(OR(A2703="",'Ratings'!R174=""),"",'Ratings'!R174)</f>
        <v/>
      </c>
      <c r="G2703">
        <f>IF(A2703="","",'Employees'!D16)</f>
        <v/>
      </c>
    </row>
    <row r="2704">
      <c r="A2704">
        <f>IF(AND('Ratings'!A174&lt;&gt;"",'Ratings'!S5&lt;&gt;""),'Ratings'!A174,"")</f>
        <v/>
      </c>
      <c r="B2704">
        <f>IF(A2704="","",'Employees'!C16)</f>
        <v/>
      </c>
      <c r="C2704">
        <f>IF(A2704="","",'Ratings'!C174)</f>
        <v/>
      </c>
      <c r="D2704">
        <f>IF(A2704="","",'Ratings'!D174)</f>
        <v/>
      </c>
      <c r="E2704">
        <f>IF(AND('Ratings'!A174&lt;&gt;"",'Ratings'!S5&lt;&gt;""),'Ratings'!S5,"")</f>
        <v/>
      </c>
      <c r="F2704">
        <f>IF(OR(A2704="",'Ratings'!S174=""),"",'Ratings'!S174)</f>
        <v/>
      </c>
      <c r="G2704">
        <f>IF(A2704="","",'Employees'!D16)</f>
        <v/>
      </c>
    </row>
    <row r="2705">
      <c r="A2705">
        <f>IF(AND('Ratings'!A174&lt;&gt;"",'Ratings'!T5&lt;&gt;""),'Ratings'!A174,"")</f>
        <v/>
      </c>
      <c r="B2705">
        <f>IF(A2705="","",'Employees'!C16)</f>
        <v/>
      </c>
      <c r="C2705">
        <f>IF(A2705="","",'Ratings'!C174)</f>
        <v/>
      </c>
      <c r="D2705">
        <f>IF(A2705="","",'Ratings'!D174)</f>
        <v/>
      </c>
      <c r="E2705">
        <f>IF(AND('Ratings'!A174&lt;&gt;"",'Ratings'!T5&lt;&gt;""),'Ratings'!T5,"")</f>
        <v/>
      </c>
      <c r="F2705">
        <f>IF(OR(A2705="",'Ratings'!T174=""),"",'Ratings'!T174)</f>
        <v/>
      </c>
      <c r="G2705">
        <f>IF(A2705="","",'Employees'!D16)</f>
        <v/>
      </c>
    </row>
    <row r="2706">
      <c r="A2706">
        <f>IF(AND('Ratings'!A175&lt;&gt;"",'Ratings'!E5&lt;&gt;""),'Ratings'!A175,"")</f>
        <v/>
      </c>
      <c r="B2706">
        <f>IF(A2706="","",'Employees'!C16)</f>
        <v/>
      </c>
      <c r="C2706">
        <f>IF(A2706="","",'Ratings'!C175)</f>
        <v/>
      </c>
      <c r="D2706">
        <f>IF(A2706="","",'Ratings'!D175)</f>
        <v/>
      </c>
      <c r="E2706">
        <f>IF(AND('Ratings'!A175&lt;&gt;"",'Ratings'!E5&lt;&gt;""),'Ratings'!E5,"")</f>
        <v/>
      </c>
      <c r="F2706">
        <f>IF(OR(A2706="",'Ratings'!E175=""),"",'Ratings'!E175)</f>
        <v/>
      </c>
      <c r="G2706">
        <f>IF(A2706="","",'Employees'!D16)</f>
        <v/>
      </c>
    </row>
    <row r="2707">
      <c r="A2707">
        <f>IF(AND('Ratings'!A175&lt;&gt;"",'Ratings'!F5&lt;&gt;""),'Ratings'!A175,"")</f>
        <v/>
      </c>
      <c r="B2707">
        <f>IF(A2707="","",'Employees'!C16)</f>
        <v/>
      </c>
      <c r="C2707">
        <f>IF(A2707="","",'Ratings'!C175)</f>
        <v/>
      </c>
      <c r="D2707">
        <f>IF(A2707="","",'Ratings'!D175)</f>
        <v/>
      </c>
      <c r="E2707">
        <f>IF(AND('Ratings'!A175&lt;&gt;"",'Ratings'!F5&lt;&gt;""),'Ratings'!F5,"")</f>
        <v/>
      </c>
      <c r="F2707">
        <f>IF(OR(A2707="",'Ratings'!F175=""),"",'Ratings'!F175)</f>
        <v/>
      </c>
      <c r="G2707">
        <f>IF(A2707="","",'Employees'!D16)</f>
        <v/>
      </c>
    </row>
    <row r="2708">
      <c r="A2708">
        <f>IF(AND('Ratings'!A175&lt;&gt;"",'Ratings'!G5&lt;&gt;""),'Ratings'!A175,"")</f>
        <v/>
      </c>
      <c r="B2708">
        <f>IF(A2708="","",'Employees'!C16)</f>
        <v/>
      </c>
      <c r="C2708">
        <f>IF(A2708="","",'Ratings'!C175)</f>
        <v/>
      </c>
      <c r="D2708">
        <f>IF(A2708="","",'Ratings'!D175)</f>
        <v/>
      </c>
      <c r="E2708">
        <f>IF(AND('Ratings'!A175&lt;&gt;"",'Ratings'!G5&lt;&gt;""),'Ratings'!G5,"")</f>
        <v/>
      </c>
      <c r="F2708">
        <f>IF(OR(A2708="",'Ratings'!G175=""),"",'Ratings'!G175)</f>
        <v/>
      </c>
      <c r="G2708">
        <f>IF(A2708="","",'Employees'!D16)</f>
        <v/>
      </c>
    </row>
    <row r="2709">
      <c r="A2709">
        <f>IF(AND('Ratings'!A175&lt;&gt;"",'Ratings'!H5&lt;&gt;""),'Ratings'!A175,"")</f>
        <v/>
      </c>
      <c r="B2709">
        <f>IF(A2709="","",'Employees'!C16)</f>
        <v/>
      </c>
      <c r="C2709">
        <f>IF(A2709="","",'Ratings'!C175)</f>
        <v/>
      </c>
      <c r="D2709">
        <f>IF(A2709="","",'Ratings'!D175)</f>
        <v/>
      </c>
      <c r="E2709">
        <f>IF(AND('Ratings'!A175&lt;&gt;"",'Ratings'!H5&lt;&gt;""),'Ratings'!H5,"")</f>
        <v/>
      </c>
      <c r="F2709">
        <f>IF(OR(A2709="",'Ratings'!H175=""),"",'Ratings'!H175)</f>
        <v/>
      </c>
      <c r="G2709">
        <f>IF(A2709="","",'Employees'!D16)</f>
        <v/>
      </c>
    </row>
    <row r="2710">
      <c r="A2710">
        <f>IF(AND('Ratings'!A175&lt;&gt;"",'Ratings'!I5&lt;&gt;""),'Ratings'!A175,"")</f>
        <v/>
      </c>
      <c r="B2710">
        <f>IF(A2710="","",'Employees'!C16)</f>
        <v/>
      </c>
      <c r="C2710">
        <f>IF(A2710="","",'Ratings'!C175)</f>
        <v/>
      </c>
      <c r="D2710">
        <f>IF(A2710="","",'Ratings'!D175)</f>
        <v/>
      </c>
      <c r="E2710">
        <f>IF(AND('Ratings'!A175&lt;&gt;"",'Ratings'!I5&lt;&gt;""),'Ratings'!I5,"")</f>
        <v/>
      </c>
      <c r="F2710">
        <f>IF(OR(A2710="",'Ratings'!I175=""),"",'Ratings'!I175)</f>
        <v/>
      </c>
      <c r="G2710">
        <f>IF(A2710="","",'Employees'!D16)</f>
        <v/>
      </c>
    </row>
    <row r="2711">
      <c r="A2711">
        <f>IF(AND('Ratings'!A175&lt;&gt;"",'Ratings'!J5&lt;&gt;""),'Ratings'!A175,"")</f>
        <v/>
      </c>
      <c r="B2711">
        <f>IF(A2711="","",'Employees'!C16)</f>
        <v/>
      </c>
      <c r="C2711">
        <f>IF(A2711="","",'Ratings'!C175)</f>
        <v/>
      </c>
      <c r="D2711">
        <f>IF(A2711="","",'Ratings'!D175)</f>
        <v/>
      </c>
      <c r="E2711">
        <f>IF(AND('Ratings'!A175&lt;&gt;"",'Ratings'!J5&lt;&gt;""),'Ratings'!J5,"")</f>
        <v/>
      </c>
      <c r="F2711">
        <f>IF(OR(A2711="",'Ratings'!J175=""),"",'Ratings'!J175)</f>
        <v/>
      </c>
      <c r="G2711">
        <f>IF(A2711="","",'Employees'!D16)</f>
        <v/>
      </c>
    </row>
    <row r="2712">
      <c r="A2712">
        <f>IF(AND('Ratings'!A175&lt;&gt;"",'Ratings'!K5&lt;&gt;""),'Ratings'!A175,"")</f>
        <v/>
      </c>
      <c r="B2712">
        <f>IF(A2712="","",'Employees'!C16)</f>
        <v/>
      </c>
      <c r="C2712">
        <f>IF(A2712="","",'Ratings'!C175)</f>
        <v/>
      </c>
      <c r="D2712">
        <f>IF(A2712="","",'Ratings'!D175)</f>
        <v/>
      </c>
      <c r="E2712">
        <f>IF(AND('Ratings'!A175&lt;&gt;"",'Ratings'!K5&lt;&gt;""),'Ratings'!K5,"")</f>
        <v/>
      </c>
      <c r="F2712">
        <f>IF(OR(A2712="",'Ratings'!K175=""),"",'Ratings'!K175)</f>
        <v/>
      </c>
      <c r="G2712">
        <f>IF(A2712="","",'Employees'!D16)</f>
        <v/>
      </c>
    </row>
    <row r="2713">
      <c r="A2713">
        <f>IF(AND('Ratings'!A175&lt;&gt;"",'Ratings'!L5&lt;&gt;""),'Ratings'!A175,"")</f>
        <v/>
      </c>
      <c r="B2713">
        <f>IF(A2713="","",'Employees'!C16)</f>
        <v/>
      </c>
      <c r="C2713">
        <f>IF(A2713="","",'Ratings'!C175)</f>
        <v/>
      </c>
      <c r="D2713">
        <f>IF(A2713="","",'Ratings'!D175)</f>
        <v/>
      </c>
      <c r="E2713">
        <f>IF(AND('Ratings'!A175&lt;&gt;"",'Ratings'!L5&lt;&gt;""),'Ratings'!L5,"")</f>
        <v/>
      </c>
      <c r="F2713">
        <f>IF(OR(A2713="",'Ratings'!L175=""),"",'Ratings'!L175)</f>
        <v/>
      </c>
      <c r="G2713">
        <f>IF(A2713="","",'Employees'!D16)</f>
        <v/>
      </c>
    </row>
    <row r="2714">
      <c r="A2714">
        <f>IF(AND('Ratings'!A175&lt;&gt;"",'Ratings'!M5&lt;&gt;""),'Ratings'!A175,"")</f>
        <v/>
      </c>
      <c r="B2714">
        <f>IF(A2714="","",'Employees'!C16)</f>
        <v/>
      </c>
      <c r="C2714">
        <f>IF(A2714="","",'Ratings'!C175)</f>
        <v/>
      </c>
      <c r="D2714">
        <f>IF(A2714="","",'Ratings'!D175)</f>
        <v/>
      </c>
      <c r="E2714">
        <f>IF(AND('Ratings'!A175&lt;&gt;"",'Ratings'!M5&lt;&gt;""),'Ratings'!M5,"")</f>
        <v/>
      </c>
      <c r="F2714">
        <f>IF(OR(A2714="",'Ratings'!M175=""),"",'Ratings'!M175)</f>
        <v/>
      </c>
      <c r="G2714">
        <f>IF(A2714="","",'Employees'!D16)</f>
        <v/>
      </c>
    </row>
    <row r="2715">
      <c r="A2715">
        <f>IF(AND('Ratings'!A175&lt;&gt;"",'Ratings'!N5&lt;&gt;""),'Ratings'!A175,"")</f>
        <v/>
      </c>
      <c r="B2715">
        <f>IF(A2715="","",'Employees'!C16)</f>
        <v/>
      </c>
      <c r="C2715">
        <f>IF(A2715="","",'Ratings'!C175)</f>
        <v/>
      </c>
      <c r="D2715">
        <f>IF(A2715="","",'Ratings'!D175)</f>
        <v/>
      </c>
      <c r="E2715">
        <f>IF(AND('Ratings'!A175&lt;&gt;"",'Ratings'!N5&lt;&gt;""),'Ratings'!N5,"")</f>
        <v/>
      </c>
      <c r="F2715">
        <f>IF(OR(A2715="",'Ratings'!N175=""),"",'Ratings'!N175)</f>
        <v/>
      </c>
      <c r="G2715">
        <f>IF(A2715="","",'Employees'!D16)</f>
        <v/>
      </c>
    </row>
    <row r="2716">
      <c r="A2716">
        <f>IF(AND('Ratings'!A175&lt;&gt;"",'Ratings'!O5&lt;&gt;""),'Ratings'!A175,"")</f>
        <v/>
      </c>
      <c r="B2716">
        <f>IF(A2716="","",'Employees'!C16)</f>
        <v/>
      </c>
      <c r="C2716">
        <f>IF(A2716="","",'Ratings'!C175)</f>
        <v/>
      </c>
      <c r="D2716">
        <f>IF(A2716="","",'Ratings'!D175)</f>
        <v/>
      </c>
      <c r="E2716">
        <f>IF(AND('Ratings'!A175&lt;&gt;"",'Ratings'!O5&lt;&gt;""),'Ratings'!O5,"")</f>
        <v/>
      </c>
      <c r="F2716">
        <f>IF(OR(A2716="",'Ratings'!O175=""),"",'Ratings'!O175)</f>
        <v/>
      </c>
      <c r="G2716">
        <f>IF(A2716="","",'Employees'!D16)</f>
        <v/>
      </c>
    </row>
    <row r="2717">
      <c r="A2717">
        <f>IF(AND('Ratings'!A175&lt;&gt;"",'Ratings'!P5&lt;&gt;""),'Ratings'!A175,"")</f>
        <v/>
      </c>
      <c r="B2717">
        <f>IF(A2717="","",'Employees'!C16)</f>
        <v/>
      </c>
      <c r="C2717">
        <f>IF(A2717="","",'Ratings'!C175)</f>
        <v/>
      </c>
      <c r="D2717">
        <f>IF(A2717="","",'Ratings'!D175)</f>
        <v/>
      </c>
      <c r="E2717">
        <f>IF(AND('Ratings'!A175&lt;&gt;"",'Ratings'!P5&lt;&gt;""),'Ratings'!P5,"")</f>
        <v/>
      </c>
      <c r="F2717">
        <f>IF(OR(A2717="",'Ratings'!P175=""),"",'Ratings'!P175)</f>
        <v/>
      </c>
      <c r="G2717">
        <f>IF(A2717="","",'Employees'!D16)</f>
        <v/>
      </c>
    </row>
    <row r="2718">
      <c r="A2718">
        <f>IF(AND('Ratings'!A175&lt;&gt;"",'Ratings'!Q5&lt;&gt;""),'Ratings'!A175,"")</f>
        <v/>
      </c>
      <c r="B2718">
        <f>IF(A2718="","",'Employees'!C16)</f>
        <v/>
      </c>
      <c r="C2718">
        <f>IF(A2718="","",'Ratings'!C175)</f>
        <v/>
      </c>
      <c r="D2718">
        <f>IF(A2718="","",'Ratings'!D175)</f>
        <v/>
      </c>
      <c r="E2718">
        <f>IF(AND('Ratings'!A175&lt;&gt;"",'Ratings'!Q5&lt;&gt;""),'Ratings'!Q5,"")</f>
        <v/>
      </c>
      <c r="F2718">
        <f>IF(OR(A2718="",'Ratings'!Q175=""),"",'Ratings'!Q175)</f>
        <v/>
      </c>
      <c r="G2718">
        <f>IF(A2718="","",'Employees'!D16)</f>
        <v/>
      </c>
    </row>
    <row r="2719">
      <c r="A2719">
        <f>IF(AND('Ratings'!A175&lt;&gt;"",'Ratings'!R5&lt;&gt;""),'Ratings'!A175,"")</f>
        <v/>
      </c>
      <c r="B2719">
        <f>IF(A2719="","",'Employees'!C16)</f>
        <v/>
      </c>
      <c r="C2719">
        <f>IF(A2719="","",'Ratings'!C175)</f>
        <v/>
      </c>
      <c r="D2719">
        <f>IF(A2719="","",'Ratings'!D175)</f>
        <v/>
      </c>
      <c r="E2719">
        <f>IF(AND('Ratings'!A175&lt;&gt;"",'Ratings'!R5&lt;&gt;""),'Ratings'!R5,"")</f>
        <v/>
      </c>
      <c r="F2719">
        <f>IF(OR(A2719="",'Ratings'!R175=""),"",'Ratings'!R175)</f>
        <v/>
      </c>
      <c r="G2719">
        <f>IF(A2719="","",'Employees'!D16)</f>
        <v/>
      </c>
    </row>
    <row r="2720">
      <c r="A2720">
        <f>IF(AND('Ratings'!A175&lt;&gt;"",'Ratings'!S5&lt;&gt;""),'Ratings'!A175,"")</f>
        <v/>
      </c>
      <c r="B2720">
        <f>IF(A2720="","",'Employees'!C16)</f>
        <v/>
      </c>
      <c r="C2720">
        <f>IF(A2720="","",'Ratings'!C175)</f>
        <v/>
      </c>
      <c r="D2720">
        <f>IF(A2720="","",'Ratings'!D175)</f>
        <v/>
      </c>
      <c r="E2720">
        <f>IF(AND('Ratings'!A175&lt;&gt;"",'Ratings'!S5&lt;&gt;""),'Ratings'!S5,"")</f>
        <v/>
      </c>
      <c r="F2720">
        <f>IF(OR(A2720="",'Ratings'!S175=""),"",'Ratings'!S175)</f>
        <v/>
      </c>
      <c r="G2720">
        <f>IF(A2720="","",'Employees'!D16)</f>
        <v/>
      </c>
    </row>
    <row r="2721">
      <c r="A2721">
        <f>IF(AND('Ratings'!A175&lt;&gt;"",'Ratings'!T5&lt;&gt;""),'Ratings'!A175,"")</f>
        <v/>
      </c>
      <c r="B2721">
        <f>IF(A2721="","",'Employees'!C16)</f>
        <v/>
      </c>
      <c r="C2721">
        <f>IF(A2721="","",'Ratings'!C175)</f>
        <v/>
      </c>
      <c r="D2721">
        <f>IF(A2721="","",'Ratings'!D175)</f>
        <v/>
      </c>
      <c r="E2721">
        <f>IF(AND('Ratings'!A175&lt;&gt;"",'Ratings'!T5&lt;&gt;""),'Ratings'!T5,"")</f>
        <v/>
      </c>
      <c r="F2721">
        <f>IF(OR(A2721="",'Ratings'!T175=""),"",'Ratings'!T175)</f>
        <v/>
      </c>
      <c r="G2721">
        <f>IF(A2721="","",'Employees'!D16)</f>
        <v/>
      </c>
    </row>
    <row r="2722">
      <c r="A2722">
        <f>IF(AND('Ratings'!A176&lt;&gt;"",'Ratings'!E5&lt;&gt;""),'Ratings'!A176,"")</f>
        <v/>
      </c>
      <c r="B2722">
        <f>IF(A2722="","",'Employees'!C16)</f>
        <v/>
      </c>
      <c r="C2722">
        <f>IF(A2722="","",'Ratings'!C176)</f>
        <v/>
      </c>
      <c r="D2722">
        <f>IF(A2722="","",'Ratings'!D176)</f>
        <v/>
      </c>
      <c r="E2722">
        <f>IF(AND('Ratings'!A176&lt;&gt;"",'Ratings'!E5&lt;&gt;""),'Ratings'!E5,"")</f>
        <v/>
      </c>
      <c r="F2722">
        <f>IF(OR(A2722="",'Ratings'!E176=""),"",'Ratings'!E176)</f>
        <v/>
      </c>
      <c r="G2722">
        <f>IF(A2722="","",'Employees'!D16)</f>
        <v/>
      </c>
    </row>
    <row r="2723">
      <c r="A2723">
        <f>IF(AND('Ratings'!A176&lt;&gt;"",'Ratings'!F5&lt;&gt;""),'Ratings'!A176,"")</f>
        <v/>
      </c>
      <c r="B2723">
        <f>IF(A2723="","",'Employees'!C16)</f>
        <v/>
      </c>
      <c r="C2723">
        <f>IF(A2723="","",'Ratings'!C176)</f>
        <v/>
      </c>
      <c r="D2723">
        <f>IF(A2723="","",'Ratings'!D176)</f>
        <v/>
      </c>
      <c r="E2723">
        <f>IF(AND('Ratings'!A176&lt;&gt;"",'Ratings'!F5&lt;&gt;""),'Ratings'!F5,"")</f>
        <v/>
      </c>
      <c r="F2723">
        <f>IF(OR(A2723="",'Ratings'!F176=""),"",'Ratings'!F176)</f>
        <v/>
      </c>
      <c r="G2723">
        <f>IF(A2723="","",'Employees'!D16)</f>
        <v/>
      </c>
    </row>
    <row r="2724">
      <c r="A2724">
        <f>IF(AND('Ratings'!A176&lt;&gt;"",'Ratings'!G5&lt;&gt;""),'Ratings'!A176,"")</f>
        <v/>
      </c>
      <c r="B2724">
        <f>IF(A2724="","",'Employees'!C16)</f>
        <v/>
      </c>
      <c r="C2724">
        <f>IF(A2724="","",'Ratings'!C176)</f>
        <v/>
      </c>
      <c r="D2724">
        <f>IF(A2724="","",'Ratings'!D176)</f>
        <v/>
      </c>
      <c r="E2724">
        <f>IF(AND('Ratings'!A176&lt;&gt;"",'Ratings'!G5&lt;&gt;""),'Ratings'!G5,"")</f>
        <v/>
      </c>
      <c r="F2724">
        <f>IF(OR(A2724="",'Ratings'!G176=""),"",'Ratings'!G176)</f>
        <v/>
      </c>
      <c r="G2724">
        <f>IF(A2724="","",'Employees'!D16)</f>
        <v/>
      </c>
    </row>
    <row r="2725">
      <c r="A2725">
        <f>IF(AND('Ratings'!A176&lt;&gt;"",'Ratings'!H5&lt;&gt;""),'Ratings'!A176,"")</f>
        <v/>
      </c>
      <c r="B2725">
        <f>IF(A2725="","",'Employees'!C16)</f>
        <v/>
      </c>
      <c r="C2725">
        <f>IF(A2725="","",'Ratings'!C176)</f>
        <v/>
      </c>
      <c r="D2725">
        <f>IF(A2725="","",'Ratings'!D176)</f>
        <v/>
      </c>
      <c r="E2725">
        <f>IF(AND('Ratings'!A176&lt;&gt;"",'Ratings'!H5&lt;&gt;""),'Ratings'!H5,"")</f>
        <v/>
      </c>
      <c r="F2725">
        <f>IF(OR(A2725="",'Ratings'!H176=""),"",'Ratings'!H176)</f>
        <v/>
      </c>
      <c r="G2725">
        <f>IF(A2725="","",'Employees'!D16)</f>
        <v/>
      </c>
    </row>
    <row r="2726">
      <c r="A2726">
        <f>IF(AND('Ratings'!A176&lt;&gt;"",'Ratings'!I5&lt;&gt;""),'Ratings'!A176,"")</f>
        <v/>
      </c>
      <c r="B2726">
        <f>IF(A2726="","",'Employees'!C16)</f>
        <v/>
      </c>
      <c r="C2726">
        <f>IF(A2726="","",'Ratings'!C176)</f>
        <v/>
      </c>
      <c r="D2726">
        <f>IF(A2726="","",'Ratings'!D176)</f>
        <v/>
      </c>
      <c r="E2726">
        <f>IF(AND('Ratings'!A176&lt;&gt;"",'Ratings'!I5&lt;&gt;""),'Ratings'!I5,"")</f>
        <v/>
      </c>
      <c r="F2726">
        <f>IF(OR(A2726="",'Ratings'!I176=""),"",'Ratings'!I176)</f>
        <v/>
      </c>
      <c r="G2726">
        <f>IF(A2726="","",'Employees'!D16)</f>
        <v/>
      </c>
    </row>
    <row r="2727">
      <c r="A2727">
        <f>IF(AND('Ratings'!A176&lt;&gt;"",'Ratings'!J5&lt;&gt;""),'Ratings'!A176,"")</f>
        <v/>
      </c>
      <c r="B2727">
        <f>IF(A2727="","",'Employees'!C16)</f>
        <v/>
      </c>
      <c r="C2727">
        <f>IF(A2727="","",'Ratings'!C176)</f>
        <v/>
      </c>
      <c r="D2727">
        <f>IF(A2727="","",'Ratings'!D176)</f>
        <v/>
      </c>
      <c r="E2727">
        <f>IF(AND('Ratings'!A176&lt;&gt;"",'Ratings'!J5&lt;&gt;""),'Ratings'!J5,"")</f>
        <v/>
      </c>
      <c r="F2727">
        <f>IF(OR(A2727="",'Ratings'!J176=""),"",'Ratings'!J176)</f>
        <v/>
      </c>
      <c r="G2727">
        <f>IF(A2727="","",'Employees'!D16)</f>
        <v/>
      </c>
    </row>
    <row r="2728">
      <c r="A2728">
        <f>IF(AND('Ratings'!A176&lt;&gt;"",'Ratings'!K5&lt;&gt;""),'Ratings'!A176,"")</f>
        <v/>
      </c>
      <c r="B2728">
        <f>IF(A2728="","",'Employees'!C16)</f>
        <v/>
      </c>
      <c r="C2728">
        <f>IF(A2728="","",'Ratings'!C176)</f>
        <v/>
      </c>
      <c r="D2728">
        <f>IF(A2728="","",'Ratings'!D176)</f>
        <v/>
      </c>
      <c r="E2728">
        <f>IF(AND('Ratings'!A176&lt;&gt;"",'Ratings'!K5&lt;&gt;""),'Ratings'!K5,"")</f>
        <v/>
      </c>
      <c r="F2728">
        <f>IF(OR(A2728="",'Ratings'!K176=""),"",'Ratings'!K176)</f>
        <v/>
      </c>
      <c r="G2728">
        <f>IF(A2728="","",'Employees'!D16)</f>
        <v/>
      </c>
    </row>
    <row r="2729">
      <c r="A2729">
        <f>IF(AND('Ratings'!A176&lt;&gt;"",'Ratings'!L5&lt;&gt;""),'Ratings'!A176,"")</f>
        <v/>
      </c>
      <c r="B2729">
        <f>IF(A2729="","",'Employees'!C16)</f>
        <v/>
      </c>
      <c r="C2729">
        <f>IF(A2729="","",'Ratings'!C176)</f>
        <v/>
      </c>
      <c r="D2729">
        <f>IF(A2729="","",'Ratings'!D176)</f>
        <v/>
      </c>
      <c r="E2729">
        <f>IF(AND('Ratings'!A176&lt;&gt;"",'Ratings'!L5&lt;&gt;""),'Ratings'!L5,"")</f>
        <v/>
      </c>
      <c r="F2729">
        <f>IF(OR(A2729="",'Ratings'!L176=""),"",'Ratings'!L176)</f>
        <v/>
      </c>
      <c r="G2729">
        <f>IF(A2729="","",'Employees'!D16)</f>
        <v/>
      </c>
    </row>
    <row r="2730">
      <c r="A2730">
        <f>IF(AND('Ratings'!A176&lt;&gt;"",'Ratings'!M5&lt;&gt;""),'Ratings'!A176,"")</f>
        <v/>
      </c>
      <c r="B2730">
        <f>IF(A2730="","",'Employees'!C16)</f>
        <v/>
      </c>
      <c r="C2730">
        <f>IF(A2730="","",'Ratings'!C176)</f>
        <v/>
      </c>
      <c r="D2730">
        <f>IF(A2730="","",'Ratings'!D176)</f>
        <v/>
      </c>
      <c r="E2730">
        <f>IF(AND('Ratings'!A176&lt;&gt;"",'Ratings'!M5&lt;&gt;""),'Ratings'!M5,"")</f>
        <v/>
      </c>
      <c r="F2730">
        <f>IF(OR(A2730="",'Ratings'!M176=""),"",'Ratings'!M176)</f>
        <v/>
      </c>
      <c r="G2730">
        <f>IF(A2730="","",'Employees'!D16)</f>
        <v/>
      </c>
    </row>
    <row r="2731">
      <c r="A2731">
        <f>IF(AND('Ratings'!A176&lt;&gt;"",'Ratings'!N5&lt;&gt;""),'Ratings'!A176,"")</f>
        <v/>
      </c>
      <c r="B2731">
        <f>IF(A2731="","",'Employees'!C16)</f>
        <v/>
      </c>
      <c r="C2731">
        <f>IF(A2731="","",'Ratings'!C176)</f>
        <v/>
      </c>
      <c r="D2731">
        <f>IF(A2731="","",'Ratings'!D176)</f>
        <v/>
      </c>
      <c r="E2731">
        <f>IF(AND('Ratings'!A176&lt;&gt;"",'Ratings'!N5&lt;&gt;""),'Ratings'!N5,"")</f>
        <v/>
      </c>
      <c r="F2731">
        <f>IF(OR(A2731="",'Ratings'!N176=""),"",'Ratings'!N176)</f>
        <v/>
      </c>
      <c r="G2731">
        <f>IF(A2731="","",'Employees'!D16)</f>
        <v/>
      </c>
    </row>
    <row r="2732">
      <c r="A2732">
        <f>IF(AND('Ratings'!A176&lt;&gt;"",'Ratings'!O5&lt;&gt;""),'Ratings'!A176,"")</f>
        <v/>
      </c>
      <c r="B2732">
        <f>IF(A2732="","",'Employees'!C16)</f>
        <v/>
      </c>
      <c r="C2732">
        <f>IF(A2732="","",'Ratings'!C176)</f>
        <v/>
      </c>
      <c r="D2732">
        <f>IF(A2732="","",'Ratings'!D176)</f>
        <v/>
      </c>
      <c r="E2732">
        <f>IF(AND('Ratings'!A176&lt;&gt;"",'Ratings'!O5&lt;&gt;""),'Ratings'!O5,"")</f>
        <v/>
      </c>
      <c r="F2732">
        <f>IF(OR(A2732="",'Ratings'!O176=""),"",'Ratings'!O176)</f>
        <v/>
      </c>
      <c r="G2732">
        <f>IF(A2732="","",'Employees'!D16)</f>
        <v/>
      </c>
    </row>
    <row r="2733">
      <c r="A2733">
        <f>IF(AND('Ratings'!A176&lt;&gt;"",'Ratings'!P5&lt;&gt;""),'Ratings'!A176,"")</f>
        <v/>
      </c>
      <c r="B2733">
        <f>IF(A2733="","",'Employees'!C16)</f>
        <v/>
      </c>
      <c r="C2733">
        <f>IF(A2733="","",'Ratings'!C176)</f>
        <v/>
      </c>
      <c r="D2733">
        <f>IF(A2733="","",'Ratings'!D176)</f>
        <v/>
      </c>
      <c r="E2733">
        <f>IF(AND('Ratings'!A176&lt;&gt;"",'Ratings'!P5&lt;&gt;""),'Ratings'!P5,"")</f>
        <v/>
      </c>
      <c r="F2733">
        <f>IF(OR(A2733="",'Ratings'!P176=""),"",'Ratings'!P176)</f>
        <v/>
      </c>
      <c r="G2733">
        <f>IF(A2733="","",'Employees'!D16)</f>
        <v/>
      </c>
    </row>
    <row r="2734">
      <c r="A2734">
        <f>IF(AND('Ratings'!A176&lt;&gt;"",'Ratings'!Q5&lt;&gt;""),'Ratings'!A176,"")</f>
        <v/>
      </c>
      <c r="B2734">
        <f>IF(A2734="","",'Employees'!C16)</f>
        <v/>
      </c>
      <c r="C2734">
        <f>IF(A2734="","",'Ratings'!C176)</f>
        <v/>
      </c>
      <c r="D2734">
        <f>IF(A2734="","",'Ratings'!D176)</f>
        <v/>
      </c>
      <c r="E2734">
        <f>IF(AND('Ratings'!A176&lt;&gt;"",'Ratings'!Q5&lt;&gt;""),'Ratings'!Q5,"")</f>
        <v/>
      </c>
      <c r="F2734">
        <f>IF(OR(A2734="",'Ratings'!Q176=""),"",'Ratings'!Q176)</f>
        <v/>
      </c>
      <c r="G2734">
        <f>IF(A2734="","",'Employees'!D16)</f>
        <v/>
      </c>
    </row>
    <row r="2735">
      <c r="A2735">
        <f>IF(AND('Ratings'!A176&lt;&gt;"",'Ratings'!R5&lt;&gt;""),'Ratings'!A176,"")</f>
        <v/>
      </c>
      <c r="B2735">
        <f>IF(A2735="","",'Employees'!C16)</f>
        <v/>
      </c>
      <c r="C2735">
        <f>IF(A2735="","",'Ratings'!C176)</f>
        <v/>
      </c>
      <c r="D2735">
        <f>IF(A2735="","",'Ratings'!D176)</f>
        <v/>
      </c>
      <c r="E2735">
        <f>IF(AND('Ratings'!A176&lt;&gt;"",'Ratings'!R5&lt;&gt;""),'Ratings'!R5,"")</f>
        <v/>
      </c>
      <c r="F2735">
        <f>IF(OR(A2735="",'Ratings'!R176=""),"",'Ratings'!R176)</f>
        <v/>
      </c>
      <c r="G2735">
        <f>IF(A2735="","",'Employees'!D16)</f>
        <v/>
      </c>
    </row>
    <row r="2736">
      <c r="A2736">
        <f>IF(AND('Ratings'!A176&lt;&gt;"",'Ratings'!S5&lt;&gt;""),'Ratings'!A176,"")</f>
        <v/>
      </c>
      <c r="B2736">
        <f>IF(A2736="","",'Employees'!C16)</f>
        <v/>
      </c>
      <c r="C2736">
        <f>IF(A2736="","",'Ratings'!C176)</f>
        <v/>
      </c>
      <c r="D2736">
        <f>IF(A2736="","",'Ratings'!D176)</f>
        <v/>
      </c>
      <c r="E2736">
        <f>IF(AND('Ratings'!A176&lt;&gt;"",'Ratings'!S5&lt;&gt;""),'Ratings'!S5,"")</f>
        <v/>
      </c>
      <c r="F2736">
        <f>IF(OR(A2736="",'Ratings'!S176=""),"",'Ratings'!S176)</f>
        <v/>
      </c>
      <c r="G2736">
        <f>IF(A2736="","",'Employees'!D16)</f>
        <v/>
      </c>
    </row>
    <row r="2737">
      <c r="A2737">
        <f>IF(AND('Ratings'!A176&lt;&gt;"",'Ratings'!T5&lt;&gt;""),'Ratings'!A176,"")</f>
        <v/>
      </c>
      <c r="B2737">
        <f>IF(A2737="","",'Employees'!C16)</f>
        <v/>
      </c>
      <c r="C2737">
        <f>IF(A2737="","",'Ratings'!C176)</f>
        <v/>
      </c>
      <c r="D2737">
        <f>IF(A2737="","",'Ratings'!D176)</f>
        <v/>
      </c>
      <c r="E2737">
        <f>IF(AND('Ratings'!A176&lt;&gt;"",'Ratings'!T5&lt;&gt;""),'Ratings'!T5,"")</f>
        <v/>
      </c>
      <c r="F2737">
        <f>IF(OR(A2737="",'Ratings'!T176=""),"",'Ratings'!T176)</f>
        <v/>
      </c>
      <c r="G2737">
        <f>IF(A2737="","",'Employees'!D16)</f>
        <v/>
      </c>
    </row>
    <row r="2738">
      <c r="A2738">
        <f>IF(AND('Ratings'!A177&lt;&gt;"",'Ratings'!E5&lt;&gt;""),'Ratings'!A177,"")</f>
        <v/>
      </c>
      <c r="B2738">
        <f>IF(A2738="","",'Employees'!C16)</f>
        <v/>
      </c>
      <c r="C2738">
        <f>IF(A2738="","",'Ratings'!C177)</f>
        <v/>
      </c>
      <c r="D2738">
        <f>IF(A2738="","",'Ratings'!D177)</f>
        <v/>
      </c>
      <c r="E2738">
        <f>IF(AND('Ratings'!A177&lt;&gt;"",'Ratings'!E5&lt;&gt;""),'Ratings'!E5,"")</f>
        <v/>
      </c>
      <c r="F2738">
        <f>IF(OR(A2738="",'Ratings'!E177=""),"",'Ratings'!E177)</f>
        <v/>
      </c>
      <c r="G2738">
        <f>IF(A2738="","",'Employees'!D16)</f>
        <v/>
      </c>
    </row>
    <row r="2739">
      <c r="A2739">
        <f>IF(AND('Ratings'!A177&lt;&gt;"",'Ratings'!F5&lt;&gt;""),'Ratings'!A177,"")</f>
        <v/>
      </c>
      <c r="B2739">
        <f>IF(A2739="","",'Employees'!C16)</f>
        <v/>
      </c>
      <c r="C2739">
        <f>IF(A2739="","",'Ratings'!C177)</f>
        <v/>
      </c>
      <c r="D2739">
        <f>IF(A2739="","",'Ratings'!D177)</f>
        <v/>
      </c>
      <c r="E2739">
        <f>IF(AND('Ratings'!A177&lt;&gt;"",'Ratings'!F5&lt;&gt;""),'Ratings'!F5,"")</f>
        <v/>
      </c>
      <c r="F2739">
        <f>IF(OR(A2739="",'Ratings'!F177=""),"",'Ratings'!F177)</f>
        <v/>
      </c>
      <c r="G2739">
        <f>IF(A2739="","",'Employees'!D16)</f>
        <v/>
      </c>
    </row>
    <row r="2740">
      <c r="A2740">
        <f>IF(AND('Ratings'!A177&lt;&gt;"",'Ratings'!G5&lt;&gt;""),'Ratings'!A177,"")</f>
        <v/>
      </c>
      <c r="B2740">
        <f>IF(A2740="","",'Employees'!C16)</f>
        <v/>
      </c>
      <c r="C2740">
        <f>IF(A2740="","",'Ratings'!C177)</f>
        <v/>
      </c>
      <c r="D2740">
        <f>IF(A2740="","",'Ratings'!D177)</f>
        <v/>
      </c>
      <c r="E2740">
        <f>IF(AND('Ratings'!A177&lt;&gt;"",'Ratings'!G5&lt;&gt;""),'Ratings'!G5,"")</f>
        <v/>
      </c>
      <c r="F2740">
        <f>IF(OR(A2740="",'Ratings'!G177=""),"",'Ratings'!G177)</f>
        <v/>
      </c>
      <c r="G2740">
        <f>IF(A2740="","",'Employees'!D16)</f>
        <v/>
      </c>
    </row>
    <row r="2741">
      <c r="A2741">
        <f>IF(AND('Ratings'!A177&lt;&gt;"",'Ratings'!H5&lt;&gt;""),'Ratings'!A177,"")</f>
        <v/>
      </c>
      <c r="B2741">
        <f>IF(A2741="","",'Employees'!C16)</f>
        <v/>
      </c>
      <c r="C2741">
        <f>IF(A2741="","",'Ratings'!C177)</f>
        <v/>
      </c>
      <c r="D2741">
        <f>IF(A2741="","",'Ratings'!D177)</f>
        <v/>
      </c>
      <c r="E2741">
        <f>IF(AND('Ratings'!A177&lt;&gt;"",'Ratings'!H5&lt;&gt;""),'Ratings'!H5,"")</f>
        <v/>
      </c>
      <c r="F2741">
        <f>IF(OR(A2741="",'Ratings'!H177=""),"",'Ratings'!H177)</f>
        <v/>
      </c>
      <c r="G2741">
        <f>IF(A2741="","",'Employees'!D16)</f>
        <v/>
      </c>
    </row>
    <row r="2742">
      <c r="A2742">
        <f>IF(AND('Ratings'!A177&lt;&gt;"",'Ratings'!I5&lt;&gt;""),'Ratings'!A177,"")</f>
        <v/>
      </c>
      <c r="B2742">
        <f>IF(A2742="","",'Employees'!C16)</f>
        <v/>
      </c>
      <c r="C2742">
        <f>IF(A2742="","",'Ratings'!C177)</f>
        <v/>
      </c>
      <c r="D2742">
        <f>IF(A2742="","",'Ratings'!D177)</f>
        <v/>
      </c>
      <c r="E2742">
        <f>IF(AND('Ratings'!A177&lt;&gt;"",'Ratings'!I5&lt;&gt;""),'Ratings'!I5,"")</f>
        <v/>
      </c>
      <c r="F2742">
        <f>IF(OR(A2742="",'Ratings'!I177=""),"",'Ratings'!I177)</f>
        <v/>
      </c>
      <c r="G2742">
        <f>IF(A2742="","",'Employees'!D16)</f>
        <v/>
      </c>
    </row>
    <row r="2743">
      <c r="A2743">
        <f>IF(AND('Ratings'!A177&lt;&gt;"",'Ratings'!J5&lt;&gt;""),'Ratings'!A177,"")</f>
        <v/>
      </c>
      <c r="B2743">
        <f>IF(A2743="","",'Employees'!C16)</f>
        <v/>
      </c>
      <c r="C2743">
        <f>IF(A2743="","",'Ratings'!C177)</f>
        <v/>
      </c>
      <c r="D2743">
        <f>IF(A2743="","",'Ratings'!D177)</f>
        <v/>
      </c>
      <c r="E2743">
        <f>IF(AND('Ratings'!A177&lt;&gt;"",'Ratings'!J5&lt;&gt;""),'Ratings'!J5,"")</f>
        <v/>
      </c>
      <c r="F2743">
        <f>IF(OR(A2743="",'Ratings'!J177=""),"",'Ratings'!J177)</f>
        <v/>
      </c>
      <c r="G2743">
        <f>IF(A2743="","",'Employees'!D16)</f>
        <v/>
      </c>
    </row>
    <row r="2744">
      <c r="A2744">
        <f>IF(AND('Ratings'!A177&lt;&gt;"",'Ratings'!K5&lt;&gt;""),'Ratings'!A177,"")</f>
        <v/>
      </c>
      <c r="B2744">
        <f>IF(A2744="","",'Employees'!C16)</f>
        <v/>
      </c>
      <c r="C2744">
        <f>IF(A2744="","",'Ratings'!C177)</f>
        <v/>
      </c>
      <c r="D2744">
        <f>IF(A2744="","",'Ratings'!D177)</f>
        <v/>
      </c>
      <c r="E2744">
        <f>IF(AND('Ratings'!A177&lt;&gt;"",'Ratings'!K5&lt;&gt;""),'Ratings'!K5,"")</f>
        <v/>
      </c>
      <c r="F2744">
        <f>IF(OR(A2744="",'Ratings'!K177=""),"",'Ratings'!K177)</f>
        <v/>
      </c>
      <c r="G2744">
        <f>IF(A2744="","",'Employees'!D16)</f>
        <v/>
      </c>
    </row>
    <row r="2745">
      <c r="A2745">
        <f>IF(AND('Ratings'!A177&lt;&gt;"",'Ratings'!L5&lt;&gt;""),'Ratings'!A177,"")</f>
        <v/>
      </c>
      <c r="B2745">
        <f>IF(A2745="","",'Employees'!C16)</f>
        <v/>
      </c>
      <c r="C2745">
        <f>IF(A2745="","",'Ratings'!C177)</f>
        <v/>
      </c>
      <c r="D2745">
        <f>IF(A2745="","",'Ratings'!D177)</f>
        <v/>
      </c>
      <c r="E2745">
        <f>IF(AND('Ratings'!A177&lt;&gt;"",'Ratings'!L5&lt;&gt;""),'Ratings'!L5,"")</f>
        <v/>
      </c>
      <c r="F2745">
        <f>IF(OR(A2745="",'Ratings'!L177=""),"",'Ratings'!L177)</f>
        <v/>
      </c>
      <c r="G2745">
        <f>IF(A2745="","",'Employees'!D16)</f>
        <v/>
      </c>
    </row>
    <row r="2746">
      <c r="A2746">
        <f>IF(AND('Ratings'!A177&lt;&gt;"",'Ratings'!M5&lt;&gt;""),'Ratings'!A177,"")</f>
        <v/>
      </c>
      <c r="B2746">
        <f>IF(A2746="","",'Employees'!C16)</f>
        <v/>
      </c>
      <c r="C2746">
        <f>IF(A2746="","",'Ratings'!C177)</f>
        <v/>
      </c>
      <c r="D2746">
        <f>IF(A2746="","",'Ratings'!D177)</f>
        <v/>
      </c>
      <c r="E2746">
        <f>IF(AND('Ratings'!A177&lt;&gt;"",'Ratings'!M5&lt;&gt;""),'Ratings'!M5,"")</f>
        <v/>
      </c>
      <c r="F2746">
        <f>IF(OR(A2746="",'Ratings'!M177=""),"",'Ratings'!M177)</f>
        <v/>
      </c>
      <c r="G2746">
        <f>IF(A2746="","",'Employees'!D16)</f>
        <v/>
      </c>
    </row>
    <row r="2747">
      <c r="A2747">
        <f>IF(AND('Ratings'!A177&lt;&gt;"",'Ratings'!N5&lt;&gt;""),'Ratings'!A177,"")</f>
        <v/>
      </c>
      <c r="B2747">
        <f>IF(A2747="","",'Employees'!C16)</f>
        <v/>
      </c>
      <c r="C2747">
        <f>IF(A2747="","",'Ratings'!C177)</f>
        <v/>
      </c>
      <c r="D2747">
        <f>IF(A2747="","",'Ratings'!D177)</f>
        <v/>
      </c>
      <c r="E2747">
        <f>IF(AND('Ratings'!A177&lt;&gt;"",'Ratings'!N5&lt;&gt;""),'Ratings'!N5,"")</f>
        <v/>
      </c>
      <c r="F2747">
        <f>IF(OR(A2747="",'Ratings'!N177=""),"",'Ratings'!N177)</f>
        <v/>
      </c>
      <c r="G2747">
        <f>IF(A2747="","",'Employees'!D16)</f>
        <v/>
      </c>
    </row>
    <row r="2748">
      <c r="A2748">
        <f>IF(AND('Ratings'!A177&lt;&gt;"",'Ratings'!O5&lt;&gt;""),'Ratings'!A177,"")</f>
        <v/>
      </c>
      <c r="B2748">
        <f>IF(A2748="","",'Employees'!C16)</f>
        <v/>
      </c>
      <c r="C2748">
        <f>IF(A2748="","",'Ratings'!C177)</f>
        <v/>
      </c>
      <c r="D2748">
        <f>IF(A2748="","",'Ratings'!D177)</f>
        <v/>
      </c>
      <c r="E2748">
        <f>IF(AND('Ratings'!A177&lt;&gt;"",'Ratings'!O5&lt;&gt;""),'Ratings'!O5,"")</f>
        <v/>
      </c>
      <c r="F2748">
        <f>IF(OR(A2748="",'Ratings'!O177=""),"",'Ratings'!O177)</f>
        <v/>
      </c>
      <c r="G2748">
        <f>IF(A2748="","",'Employees'!D16)</f>
        <v/>
      </c>
    </row>
    <row r="2749">
      <c r="A2749">
        <f>IF(AND('Ratings'!A177&lt;&gt;"",'Ratings'!P5&lt;&gt;""),'Ratings'!A177,"")</f>
        <v/>
      </c>
      <c r="B2749">
        <f>IF(A2749="","",'Employees'!C16)</f>
        <v/>
      </c>
      <c r="C2749">
        <f>IF(A2749="","",'Ratings'!C177)</f>
        <v/>
      </c>
      <c r="D2749">
        <f>IF(A2749="","",'Ratings'!D177)</f>
        <v/>
      </c>
      <c r="E2749">
        <f>IF(AND('Ratings'!A177&lt;&gt;"",'Ratings'!P5&lt;&gt;""),'Ratings'!P5,"")</f>
        <v/>
      </c>
      <c r="F2749">
        <f>IF(OR(A2749="",'Ratings'!P177=""),"",'Ratings'!P177)</f>
        <v/>
      </c>
      <c r="G2749">
        <f>IF(A2749="","",'Employees'!D16)</f>
        <v/>
      </c>
    </row>
    <row r="2750">
      <c r="A2750">
        <f>IF(AND('Ratings'!A177&lt;&gt;"",'Ratings'!Q5&lt;&gt;""),'Ratings'!A177,"")</f>
        <v/>
      </c>
      <c r="B2750">
        <f>IF(A2750="","",'Employees'!C16)</f>
        <v/>
      </c>
      <c r="C2750">
        <f>IF(A2750="","",'Ratings'!C177)</f>
        <v/>
      </c>
      <c r="D2750">
        <f>IF(A2750="","",'Ratings'!D177)</f>
        <v/>
      </c>
      <c r="E2750">
        <f>IF(AND('Ratings'!A177&lt;&gt;"",'Ratings'!Q5&lt;&gt;""),'Ratings'!Q5,"")</f>
        <v/>
      </c>
      <c r="F2750">
        <f>IF(OR(A2750="",'Ratings'!Q177=""),"",'Ratings'!Q177)</f>
        <v/>
      </c>
      <c r="G2750">
        <f>IF(A2750="","",'Employees'!D16)</f>
        <v/>
      </c>
    </row>
    <row r="2751">
      <c r="A2751">
        <f>IF(AND('Ratings'!A177&lt;&gt;"",'Ratings'!R5&lt;&gt;""),'Ratings'!A177,"")</f>
        <v/>
      </c>
      <c r="B2751">
        <f>IF(A2751="","",'Employees'!C16)</f>
        <v/>
      </c>
      <c r="C2751">
        <f>IF(A2751="","",'Ratings'!C177)</f>
        <v/>
      </c>
      <c r="D2751">
        <f>IF(A2751="","",'Ratings'!D177)</f>
        <v/>
      </c>
      <c r="E2751">
        <f>IF(AND('Ratings'!A177&lt;&gt;"",'Ratings'!R5&lt;&gt;""),'Ratings'!R5,"")</f>
        <v/>
      </c>
      <c r="F2751">
        <f>IF(OR(A2751="",'Ratings'!R177=""),"",'Ratings'!R177)</f>
        <v/>
      </c>
      <c r="G2751">
        <f>IF(A2751="","",'Employees'!D16)</f>
        <v/>
      </c>
    </row>
    <row r="2752">
      <c r="A2752">
        <f>IF(AND('Ratings'!A177&lt;&gt;"",'Ratings'!S5&lt;&gt;""),'Ratings'!A177,"")</f>
        <v/>
      </c>
      <c r="B2752">
        <f>IF(A2752="","",'Employees'!C16)</f>
        <v/>
      </c>
      <c r="C2752">
        <f>IF(A2752="","",'Ratings'!C177)</f>
        <v/>
      </c>
      <c r="D2752">
        <f>IF(A2752="","",'Ratings'!D177)</f>
        <v/>
      </c>
      <c r="E2752">
        <f>IF(AND('Ratings'!A177&lt;&gt;"",'Ratings'!S5&lt;&gt;""),'Ratings'!S5,"")</f>
        <v/>
      </c>
      <c r="F2752">
        <f>IF(OR(A2752="",'Ratings'!S177=""),"",'Ratings'!S177)</f>
        <v/>
      </c>
      <c r="G2752">
        <f>IF(A2752="","",'Employees'!D16)</f>
        <v/>
      </c>
    </row>
    <row r="2753">
      <c r="A2753">
        <f>IF(AND('Ratings'!A177&lt;&gt;"",'Ratings'!T5&lt;&gt;""),'Ratings'!A177,"")</f>
        <v/>
      </c>
      <c r="B2753">
        <f>IF(A2753="","",'Employees'!C16)</f>
        <v/>
      </c>
      <c r="C2753">
        <f>IF(A2753="","",'Ratings'!C177)</f>
        <v/>
      </c>
      <c r="D2753">
        <f>IF(A2753="","",'Ratings'!D177)</f>
        <v/>
      </c>
      <c r="E2753">
        <f>IF(AND('Ratings'!A177&lt;&gt;"",'Ratings'!T5&lt;&gt;""),'Ratings'!T5,"")</f>
        <v/>
      </c>
      <c r="F2753">
        <f>IF(OR(A2753="",'Ratings'!T177=""),"",'Ratings'!T177)</f>
        <v/>
      </c>
      <c r="G2753">
        <f>IF(A2753="","",'Employees'!D16)</f>
        <v/>
      </c>
    </row>
    <row r="2754">
      <c r="A2754">
        <f>IF(AND('Ratings'!A178&lt;&gt;"",'Ratings'!E5&lt;&gt;""),'Ratings'!A178,"")</f>
        <v/>
      </c>
      <c r="B2754">
        <f>IF(A2754="","",'Employees'!C16)</f>
        <v/>
      </c>
      <c r="C2754">
        <f>IF(A2754="","",'Ratings'!C178)</f>
        <v/>
      </c>
      <c r="D2754">
        <f>IF(A2754="","",'Ratings'!D178)</f>
        <v/>
      </c>
      <c r="E2754">
        <f>IF(AND('Ratings'!A178&lt;&gt;"",'Ratings'!E5&lt;&gt;""),'Ratings'!E5,"")</f>
        <v/>
      </c>
      <c r="F2754">
        <f>IF(OR(A2754="",'Ratings'!E178=""),"",'Ratings'!E178)</f>
        <v/>
      </c>
      <c r="G2754">
        <f>IF(A2754="","",'Employees'!D16)</f>
        <v/>
      </c>
    </row>
    <row r="2755">
      <c r="A2755">
        <f>IF(AND('Ratings'!A178&lt;&gt;"",'Ratings'!F5&lt;&gt;""),'Ratings'!A178,"")</f>
        <v/>
      </c>
      <c r="B2755">
        <f>IF(A2755="","",'Employees'!C16)</f>
        <v/>
      </c>
      <c r="C2755">
        <f>IF(A2755="","",'Ratings'!C178)</f>
        <v/>
      </c>
      <c r="D2755">
        <f>IF(A2755="","",'Ratings'!D178)</f>
        <v/>
      </c>
      <c r="E2755">
        <f>IF(AND('Ratings'!A178&lt;&gt;"",'Ratings'!F5&lt;&gt;""),'Ratings'!F5,"")</f>
        <v/>
      </c>
      <c r="F2755">
        <f>IF(OR(A2755="",'Ratings'!F178=""),"",'Ratings'!F178)</f>
        <v/>
      </c>
      <c r="G2755">
        <f>IF(A2755="","",'Employees'!D16)</f>
        <v/>
      </c>
    </row>
    <row r="2756">
      <c r="A2756">
        <f>IF(AND('Ratings'!A178&lt;&gt;"",'Ratings'!G5&lt;&gt;""),'Ratings'!A178,"")</f>
        <v/>
      </c>
      <c r="B2756">
        <f>IF(A2756="","",'Employees'!C16)</f>
        <v/>
      </c>
      <c r="C2756">
        <f>IF(A2756="","",'Ratings'!C178)</f>
        <v/>
      </c>
      <c r="D2756">
        <f>IF(A2756="","",'Ratings'!D178)</f>
        <v/>
      </c>
      <c r="E2756">
        <f>IF(AND('Ratings'!A178&lt;&gt;"",'Ratings'!G5&lt;&gt;""),'Ratings'!G5,"")</f>
        <v/>
      </c>
      <c r="F2756">
        <f>IF(OR(A2756="",'Ratings'!G178=""),"",'Ratings'!G178)</f>
        <v/>
      </c>
      <c r="G2756">
        <f>IF(A2756="","",'Employees'!D16)</f>
        <v/>
      </c>
    </row>
    <row r="2757">
      <c r="A2757">
        <f>IF(AND('Ratings'!A178&lt;&gt;"",'Ratings'!H5&lt;&gt;""),'Ratings'!A178,"")</f>
        <v/>
      </c>
      <c r="B2757">
        <f>IF(A2757="","",'Employees'!C16)</f>
        <v/>
      </c>
      <c r="C2757">
        <f>IF(A2757="","",'Ratings'!C178)</f>
        <v/>
      </c>
      <c r="D2757">
        <f>IF(A2757="","",'Ratings'!D178)</f>
        <v/>
      </c>
      <c r="E2757">
        <f>IF(AND('Ratings'!A178&lt;&gt;"",'Ratings'!H5&lt;&gt;""),'Ratings'!H5,"")</f>
        <v/>
      </c>
      <c r="F2757">
        <f>IF(OR(A2757="",'Ratings'!H178=""),"",'Ratings'!H178)</f>
        <v/>
      </c>
      <c r="G2757">
        <f>IF(A2757="","",'Employees'!D16)</f>
        <v/>
      </c>
    </row>
    <row r="2758">
      <c r="A2758">
        <f>IF(AND('Ratings'!A178&lt;&gt;"",'Ratings'!I5&lt;&gt;""),'Ratings'!A178,"")</f>
        <v/>
      </c>
      <c r="B2758">
        <f>IF(A2758="","",'Employees'!C16)</f>
        <v/>
      </c>
      <c r="C2758">
        <f>IF(A2758="","",'Ratings'!C178)</f>
        <v/>
      </c>
      <c r="D2758">
        <f>IF(A2758="","",'Ratings'!D178)</f>
        <v/>
      </c>
      <c r="E2758">
        <f>IF(AND('Ratings'!A178&lt;&gt;"",'Ratings'!I5&lt;&gt;""),'Ratings'!I5,"")</f>
        <v/>
      </c>
      <c r="F2758">
        <f>IF(OR(A2758="",'Ratings'!I178=""),"",'Ratings'!I178)</f>
        <v/>
      </c>
      <c r="G2758">
        <f>IF(A2758="","",'Employees'!D16)</f>
        <v/>
      </c>
    </row>
    <row r="2759">
      <c r="A2759">
        <f>IF(AND('Ratings'!A178&lt;&gt;"",'Ratings'!J5&lt;&gt;""),'Ratings'!A178,"")</f>
        <v/>
      </c>
      <c r="B2759">
        <f>IF(A2759="","",'Employees'!C16)</f>
        <v/>
      </c>
      <c r="C2759">
        <f>IF(A2759="","",'Ratings'!C178)</f>
        <v/>
      </c>
      <c r="D2759">
        <f>IF(A2759="","",'Ratings'!D178)</f>
        <v/>
      </c>
      <c r="E2759">
        <f>IF(AND('Ratings'!A178&lt;&gt;"",'Ratings'!J5&lt;&gt;""),'Ratings'!J5,"")</f>
        <v/>
      </c>
      <c r="F2759">
        <f>IF(OR(A2759="",'Ratings'!J178=""),"",'Ratings'!J178)</f>
        <v/>
      </c>
      <c r="G2759">
        <f>IF(A2759="","",'Employees'!D16)</f>
        <v/>
      </c>
    </row>
    <row r="2760">
      <c r="A2760">
        <f>IF(AND('Ratings'!A178&lt;&gt;"",'Ratings'!K5&lt;&gt;""),'Ratings'!A178,"")</f>
        <v/>
      </c>
      <c r="B2760">
        <f>IF(A2760="","",'Employees'!C16)</f>
        <v/>
      </c>
      <c r="C2760">
        <f>IF(A2760="","",'Ratings'!C178)</f>
        <v/>
      </c>
      <c r="D2760">
        <f>IF(A2760="","",'Ratings'!D178)</f>
        <v/>
      </c>
      <c r="E2760">
        <f>IF(AND('Ratings'!A178&lt;&gt;"",'Ratings'!K5&lt;&gt;""),'Ratings'!K5,"")</f>
        <v/>
      </c>
      <c r="F2760">
        <f>IF(OR(A2760="",'Ratings'!K178=""),"",'Ratings'!K178)</f>
        <v/>
      </c>
      <c r="G2760">
        <f>IF(A2760="","",'Employees'!D16)</f>
        <v/>
      </c>
    </row>
    <row r="2761">
      <c r="A2761">
        <f>IF(AND('Ratings'!A178&lt;&gt;"",'Ratings'!L5&lt;&gt;""),'Ratings'!A178,"")</f>
        <v/>
      </c>
      <c r="B2761">
        <f>IF(A2761="","",'Employees'!C16)</f>
        <v/>
      </c>
      <c r="C2761">
        <f>IF(A2761="","",'Ratings'!C178)</f>
        <v/>
      </c>
      <c r="D2761">
        <f>IF(A2761="","",'Ratings'!D178)</f>
        <v/>
      </c>
      <c r="E2761">
        <f>IF(AND('Ratings'!A178&lt;&gt;"",'Ratings'!L5&lt;&gt;""),'Ratings'!L5,"")</f>
        <v/>
      </c>
      <c r="F2761">
        <f>IF(OR(A2761="",'Ratings'!L178=""),"",'Ratings'!L178)</f>
        <v/>
      </c>
      <c r="G2761">
        <f>IF(A2761="","",'Employees'!D16)</f>
        <v/>
      </c>
    </row>
    <row r="2762">
      <c r="A2762">
        <f>IF(AND('Ratings'!A178&lt;&gt;"",'Ratings'!M5&lt;&gt;""),'Ratings'!A178,"")</f>
        <v/>
      </c>
      <c r="B2762">
        <f>IF(A2762="","",'Employees'!C16)</f>
        <v/>
      </c>
      <c r="C2762">
        <f>IF(A2762="","",'Ratings'!C178)</f>
        <v/>
      </c>
      <c r="D2762">
        <f>IF(A2762="","",'Ratings'!D178)</f>
        <v/>
      </c>
      <c r="E2762">
        <f>IF(AND('Ratings'!A178&lt;&gt;"",'Ratings'!M5&lt;&gt;""),'Ratings'!M5,"")</f>
        <v/>
      </c>
      <c r="F2762">
        <f>IF(OR(A2762="",'Ratings'!M178=""),"",'Ratings'!M178)</f>
        <v/>
      </c>
      <c r="G2762">
        <f>IF(A2762="","",'Employees'!D16)</f>
        <v/>
      </c>
    </row>
    <row r="2763">
      <c r="A2763">
        <f>IF(AND('Ratings'!A178&lt;&gt;"",'Ratings'!N5&lt;&gt;""),'Ratings'!A178,"")</f>
        <v/>
      </c>
      <c r="B2763">
        <f>IF(A2763="","",'Employees'!C16)</f>
        <v/>
      </c>
      <c r="C2763">
        <f>IF(A2763="","",'Ratings'!C178)</f>
        <v/>
      </c>
      <c r="D2763">
        <f>IF(A2763="","",'Ratings'!D178)</f>
        <v/>
      </c>
      <c r="E2763">
        <f>IF(AND('Ratings'!A178&lt;&gt;"",'Ratings'!N5&lt;&gt;""),'Ratings'!N5,"")</f>
        <v/>
      </c>
      <c r="F2763">
        <f>IF(OR(A2763="",'Ratings'!N178=""),"",'Ratings'!N178)</f>
        <v/>
      </c>
      <c r="G2763">
        <f>IF(A2763="","",'Employees'!D16)</f>
        <v/>
      </c>
    </row>
    <row r="2764">
      <c r="A2764">
        <f>IF(AND('Ratings'!A178&lt;&gt;"",'Ratings'!O5&lt;&gt;""),'Ratings'!A178,"")</f>
        <v/>
      </c>
      <c r="B2764">
        <f>IF(A2764="","",'Employees'!C16)</f>
        <v/>
      </c>
      <c r="C2764">
        <f>IF(A2764="","",'Ratings'!C178)</f>
        <v/>
      </c>
      <c r="D2764">
        <f>IF(A2764="","",'Ratings'!D178)</f>
        <v/>
      </c>
      <c r="E2764">
        <f>IF(AND('Ratings'!A178&lt;&gt;"",'Ratings'!O5&lt;&gt;""),'Ratings'!O5,"")</f>
        <v/>
      </c>
      <c r="F2764">
        <f>IF(OR(A2764="",'Ratings'!O178=""),"",'Ratings'!O178)</f>
        <v/>
      </c>
      <c r="G2764">
        <f>IF(A2764="","",'Employees'!D16)</f>
        <v/>
      </c>
    </row>
    <row r="2765">
      <c r="A2765">
        <f>IF(AND('Ratings'!A178&lt;&gt;"",'Ratings'!P5&lt;&gt;""),'Ratings'!A178,"")</f>
        <v/>
      </c>
      <c r="B2765">
        <f>IF(A2765="","",'Employees'!C16)</f>
        <v/>
      </c>
      <c r="C2765">
        <f>IF(A2765="","",'Ratings'!C178)</f>
        <v/>
      </c>
      <c r="D2765">
        <f>IF(A2765="","",'Ratings'!D178)</f>
        <v/>
      </c>
      <c r="E2765">
        <f>IF(AND('Ratings'!A178&lt;&gt;"",'Ratings'!P5&lt;&gt;""),'Ratings'!P5,"")</f>
        <v/>
      </c>
      <c r="F2765">
        <f>IF(OR(A2765="",'Ratings'!P178=""),"",'Ratings'!P178)</f>
        <v/>
      </c>
      <c r="G2765">
        <f>IF(A2765="","",'Employees'!D16)</f>
        <v/>
      </c>
    </row>
    <row r="2766">
      <c r="A2766">
        <f>IF(AND('Ratings'!A178&lt;&gt;"",'Ratings'!Q5&lt;&gt;""),'Ratings'!A178,"")</f>
        <v/>
      </c>
      <c r="B2766">
        <f>IF(A2766="","",'Employees'!C16)</f>
        <v/>
      </c>
      <c r="C2766">
        <f>IF(A2766="","",'Ratings'!C178)</f>
        <v/>
      </c>
      <c r="D2766">
        <f>IF(A2766="","",'Ratings'!D178)</f>
        <v/>
      </c>
      <c r="E2766">
        <f>IF(AND('Ratings'!A178&lt;&gt;"",'Ratings'!Q5&lt;&gt;""),'Ratings'!Q5,"")</f>
        <v/>
      </c>
      <c r="F2766">
        <f>IF(OR(A2766="",'Ratings'!Q178=""),"",'Ratings'!Q178)</f>
        <v/>
      </c>
      <c r="G2766">
        <f>IF(A2766="","",'Employees'!D16)</f>
        <v/>
      </c>
    </row>
    <row r="2767">
      <c r="A2767">
        <f>IF(AND('Ratings'!A178&lt;&gt;"",'Ratings'!R5&lt;&gt;""),'Ratings'!A178,"")</f>
        <v/>
      </c>
      <c r="B2767">
        <f>IF(A2767="","",'Employees'!C16)</f>
        <v/>
      </c>
      <c r="C2767">
        <f>IF(A2767="","",'Ratings'!C178)</f>
        <v/>
      </c>
      <c r="D2767">
        <f>IF(A2767="","",'Ratings'!D178)</f>
        <v/>
      </c>
      <c r="E2767">
        <f>IF(AND('Ratings'!A178&lt;&gt;"",'Ratings'!R5&lt;&gt;""),'Ratings'!R5,"")</f>
        <v/>
      </c>
      <c r="F2767">
        <f>IF(OR(A2767="",'Ratings'!R178=""),"",'Ratings'!R178)</f>
        <v/>
      </c>
      <c r="G2767">
        <f>IF(A2767="","",'Employees'!D16)</f>
        <v/>
      </c>
    </row>
    <row r="2768">
      <c r="A2768">
        <f>IF(AND('Ratings'!A178&lt;&gt;"",'Ratings'!S5&lt;&gt;""),'Ratings'!A178,"")</f>
        <v/>
      </c>
      <c r="B2768">
        <f>IF(A2768="","",'Employees'!C16)</f>
        <v/>
      </c>
      <c r="C2768">
        <f>IF(A2768="","",'Ratings'!C178)</f>
        <v/>
      </c>
      <c r="D2768">
        <f>IF(A2768="","",'Ratings'!D178)</f>
        <v/>
      </c>
      <c r="E2768">
        <f>IF(AND('Ratings'!A178&lt;&gt;"",'Ratings'!S5&lt;&gt;""),'Ratings'!S5,"")</f>
        <v/>
      </c>
      <c r="F2768">
        <f>IF(OR(A2768="",'Ratings'!S178=""),"",'Ratings'!S178)</f>
        <v/>
      </c>
      <c r="G2768">
        <f>IF(A2768="","",'Employees'!D16)</f>
        <v/>
      </c>
    </row>
    <row r="2769">
      <c r="A2769">
        <f>IF(AND('Ratings'!A178&lt;&gt;"",'Ratings'!T5&lt;&gt;""),'Ratings'!A178,"")</f>
        <v/>
      </c>
      <c r="B2769">
        <f>IF(A2769="","",'Employees'!C16)</f>
        <v/>
      </c>
      <c r="C2769">
        <f>IF(A2769="","",'Ratings'!C178)</f>
        <v/>
      </c>
      <c r="D2769">
        <f>IF(A2769="","",'Ratings'!D178)</f>
        <v/>
      </c>
      <c r="E2769">
        <f>IF(AND('Ratings'!A178&lt;&gt;"",'Ratings'!T5&lt;&gt;""),'Ratings'!T5,"")</f>
        <v/>
      </c>
      <c r="F2769">
        <f>IF(OR(A2769="",'Ratings'!T178=""),"",'Ratings'!T178)</f>
        <v/>
      </c>
      <c r="G2769">
        <f>IF(A2769="","",'Employees'!D16)</f>
        <v/>
      </c>
    </row>
    <row r="2770">
      <c r="A2770">
        <f>IF(AND('Ratings'!A179&lt;&gt;"",'Ratings'!E5&lt;&gt;""),'Ratings'!A179,"")</f>
        <v/>
      </c>
      <c r="B2770">
        <f>IF(A2770="","",'Employees'!C16)</f>
        <v/>
      </c>
      <c r="C2770">
        <f>IF(A2770="","",'Ratings'!C179)</f>
        <v/>
      </c>
      <c r="D2770">
        <f>IF(A2770="","",'Ratings'!D179)</f>
        <v/>
      </c>
      <c r="E2770">
        <f>IF(AND('Ratings'!A179&lt;&gt;"",'Ratings'!E5&lt;&gt;""),'Ratings'!E5,"")</f>
        <v/>
      </c>
      <c r="F2770">
        <f>IF(OR(A2770="",'Ratings'!E179=""),"",'Ratings'!E179)</f>
        <v/>
      </c>
      <c r="G2770">
        <f>IF(A2770="","",'Employees'!D16)</f>
        <v/>
      </c>
    </row>
    <row r="2771">
      <c r="A2771">
        <f>IF(AND('Ratings'!A179&lt;&gt;"",'Ratings'!F5&lt;&gt;""),'Ratings'!A179,"")</f>
        <v/>
      </c>
      <c r="B2771">
        <f>IF(A2771="","",'Employees'!C16)</f>
        <v/>
      </c>
      <c r="C2771">
        <f>IF(A2771="","",'Ratings'!C179)</f>
        <v/>
      </c>
      <c r="D2771">
        <f>IF(A2771="","",'Ratings'!D179)</f>
        <v/>
      </c>
      <c r="E2771">
        <f>IF(AND('Ratings'!A179&lt;&gt;"",'Ratings'!F5&lt;&gt;""),'Ratings'!F5,"")</f>
        <v/>
      </c>
      <c r="F2771">
        <f>IF(OR(A2771="",'Ratings'!F179=""),"",'Ratings'!F179)</f>
        <v/>
      </c>
      <c r="G2771">
        <f>IF(A2771="","",'Employees'!D16)</f>
        <v/>
      </c>
    </row>
    <row r="2772">
      <c r="A2772">
        <f>IF(AND('Ratings'!A179&lt;&gt;"",'Ratings'!G5&lt;&gt;""),'Ratings'!A179,"")</f>
        <v/>
      </c>
      <c r="B2772">
        <f>IF(A2772="","",'Employees'!C16)</f>
        <v/>
      </c>
      <c r="C2772">
        <f>IF(A2772="","",'Ratings'!C179)</f>
        <v/>
      </c>
      <c r="D2772">
        <f>IF(A2772="","",'Ratings'!D179)</f>
        <v/>
      </c>
      <c r="E2772">
        <f>IF(AND('Ratings'!A179&lt;&gt;"",'Ratings'!G5&lt;&gt;""),'Ratings'!G5,"")</f>
        <v/>
      </c>
      <c r="F2772">
        <f>IF(OR(A2772="",'Ratings'!G179=""),"",'Ratings'!G179)</f>
        <v/>
      </c>
      <c r="G2772">
        <f>IF(A2772="","",'Employees'!D16)</f>
        <v/>
      </c>
    </row>
    <row r="2773">
      <c r="A2773">
        <f>IF(AND('Ratings'!A179&lt;&gt;"",'Ratings'!H5&lt;&gt;""),'Ratings'!A179,"")</f>
        <v/>
      </c>
      <c r="B2773">
        <f>IF(A2773="","",'Employees'!C16)</f>
        <v/>
      </c>
      <c r="C2773">
        <f>IF(A2773="","",'Ratings'!C179)</f>
        <v/>
      </c>
      <c r="D2773">
        <f>IF(A2773="","",'Ratings'!D179)</f>
        <v/>
      </c>
      <c r="E2773">
        <f>IF(AND('Ratings'!A179&lt;&gt;"",'Ratings'!H5&lt;&gt;""),'Ratings'!H5,"")</f>
        <v/>
      </c>
      <c r="F2773">
        <f>IF(OR(A2773="",'Ratings'!H179=""),"",'Ratings'!H179)</f>
        <v/>
      </c>
      <c r="G2773">
        <f>IF(A2773="","",'Employees'!D16)</f>
        <v/>
      </c>
    </row>
    <row r="2774">
      <c r="A2774">
        <f>IF(AND('Ratings'!A179&lt;&gt;"",'Ratings'!I5&lt;&gt;""),'Ratings'!A179,"")</f>
        <v/>
      </c>
      <c r="B2774">
        <f>IF(A2774="","",'Employees'!C16)</f>
        <v/>
      </c>
      <c r="C2774">
        <f>IF(A2774="","",'Ratings'!C179)</f>
        <v/>
      </c>
      <c r="D2774">
        <f>IF(A2774="","",'Ratings'!D179)</f>
        <v/>
      </c>
      <c r="E2774">
        <f>IF(AND('Ratings'!A179&lt;&gt;"",'Ratings'!I5&lt;&gt;""),'Ratings'!I5,"")</f>
        <v/>
      </c>
      <c r="F2774">
        <f>IF(OR(A2774="",'Ratings'!I179=""),"",'Ratings'!I179)</f>
        <v/>
      </c>
      <c r="G2774">
        <f>IF(A2774="","",'Employees'!D16)</f>
        <v/>
      </c>
    </row>
    <row r="2775">
      <c r="A2775">
        <f>IF(AND('Ratings'!A179&lt;&gt;"",'Ratings'!J5&lt;&gt;""),'Ratings'!A179,"")</f>
        <v/>
      </c>
      <c r="B2775">
        <f>IF(A2775="","",'Employees'!C16)</f>
        <v/>
      </c>
      <c r="C2775">
        <f>IF(A2775="","",'Ratings'!C179)</f>
        <v/>
      </c>
      <c r="D2775">
        <f>IF(A2775="","",'Ratings'!D179)</f>
        <v/>
      </c>
      <c r="E2775">
        <f>IF(AND('Ratings'!A179&lt;&gt;"",'Ratings'!J5&lt;&gt;""),'Ratings'!J5,"")</f>
        <v/>
      </c>
      <c r="F2775">
        <f>IF(OR(A2775="",'Ratings'!J179=""),"",'Ratings'!J179)</f>
        <v/>
      </c>
      <c r="G2775">
        <f>IF(A2775="","",'Employees'!D16)</f>
        <v/>
      </c>
    </row>
    <row r="2776">
      <c r="A2776">
        <f>IF(AND('Ratings'!A179&lt;&gt;"",'Ratings'!K5&lt;&gt;""),'Ratings'!A179,"")</f>
        <v/>
      </c>
      <c r="B2776">
        <f>IF(A2776="","",'Employees'!C16)</f>
        <v/>
      </c>
      <c r="C2776">
        <f>IF(A2776="","",'Ratings'!C179)</f>
        <v/>
      </c>
      <c r="D2776">
        <f>IF(A2776="","",'Ratings'!D179)</f>
        <v/>
      </c>
      <c r="E2776">
        <f>IF(AND('Ratings'!A179&lt;&gt;"",'Ratings'!K5&lt;&gt;""),'Ratings'!K5,"")</f>
        <v/>
      </c>
      <c r="F2776">
        <f>IF(OR(A2776="",'Ratings'!K179=""),"",'Ratings'!K179)</f>
        <v/>
      </c>
      <c r="G2776">
        <f>IF(A2776="","",'Employees'!D16)</f>
        <v/>
      </c>
    </row>
    <row r="2777">
      <c r="A2777">
        <f>IF(AND('Ratings'!A179&lt;&gt;"",'Ratings'!L5&lt;&gt;""),'Ratings'!A179,"")</f>
        <v/>
      </c>
      <c r="B2777">
        <f>IF(A2777="","",'Employees'!C16)</f>
        <v/>
      </c>
      <c r="C2777">
        <f>IF(A2777="","",'Ratings'!C179)</f>
        <v/>
      </c>
      <c r="D2777">
        <f>IF(A2777="","",'Ratings'!D179)</f>
        <v/>
      </c>
      <c r="E2777">
        <f>IF(AND('Ratings'!A179&lt;&gt;"",'Ratings'!L5&lt;&gt;""),'Ratings'!L5,"")</f>
        <v/>
      </c>
      <c r="F2777">
        <f>IF(OR(A2777="",'Ratings'!L179=""),"",'Ratings'!L179)</f>
        <v/>
      </c>
      <c r="G2777">
        <f>IF(A2777="","",'Employees'!D16)</f>
        <v/>
      </c>
    </row>
    <row r="2778">
      <c r="A2778">
        <f>IF(AND('Ratings'!A179&lt;&gt;"",'Ratings'!M5&lt;&gt;""),'Ratings'!A179,"")</f>
        <v/>
      </c>
      <c r="B2778">
        <f>IF(A2778="","",'Employees'!C16)</f>
        <v/>
      </c>
      <c r="C2778">
        <f>IF(A2778="","",'Ratings'!C179)</f>
        <v/>
      </c>
      <c r="D2778">
        <f>IF(A2778="","",'Ratings'!D179)</f>
        <v/>
      </c>
      <c r="E2778">
        <f>IF(AND('Ratings'!A179&lt;&gt;"",'Ratings'!M5&lt;&gt;""),'Ratings'!M5,"")</f>
        <v/>
      </c>
      <c r="F2778">
        <f>IF(OR(A2778="",'Ratings'!M179=""),"",'Ratings'!M179)</f>
        <v/>
      </c>
      <c r="G2778">
        <f>IF(A2778="","",'Employees'!D16)</f>
        <v/>
      </c>
    </row>
    <row r="2779">
      <c r="A2779">
        <f>IF(AND('Ratings'!A179&lt;&gt;"",'Ratings'!N5&lt;&gt;""),'Ratings'!A179,"")</f>
        <v/>
      </c>
      <c r="B2779">
        <f>IF(A2779="","",'Employees'!C16)</f>
        <v/>
      </c>
      <c r="C2779">
        <f>IF(A2779="","",'Ratings'!C179)</f>
        <v/>
      </c>
      <c r="D2779">
        <f>IF(A2779="","",'Ratings'!D179)</f>
        <v/>
      </c>
      <c r="E2779">
        <f>IF(AND('Ratings'!A179&lt;&gt;"",'Ratings'!N5&lt;&gt;""),'Ratings'!N5,"")</f>
        <v/>
      </c>
      <c r="F2779">
        <f>IF(OR(A2779="",'Ratings'!N179=""),"",'Ratings'!N179)</f>
        <v/>
      </c>
      <c r="G2779">
        <f>IF(A2779="","",'Employees'!D16)</f>
        <v/>
      </c>
    </row>
    <row r="2780">
      <c r="A2780">
        <f>IF(AND('Ratings'!A179&lt;&gt;"",'Ratings'!O5&lt;&gt;""),'Ratings'!A179,"")</f>
        <v/>
      </c>
      <c r="B2780">
        <f>IF(A2780="","",'Employees'!C16)</f>
        <v/>
      </c>
      <c r="C2780">
        <f>IF(A2780="","",'Ratings'!C179)</f>
        <v/>
      </c>
      <c r="D2780">
        <f>IF(A2780="","",'Ratings'!D179)</f>
        <v/>
      </c>
      <c r="E2780">
        <f>IF(AND('Ratings'!A179&lt;&gt;"",'Ratings'!O5&lt;&gt;""),'Ratings'!O5,"")</f>
        <v/>
      </c>
      <c r="F2780">
        <f>IF(OR(A2780="",'Ratings'!O179=""),"",'Ratings'!O179)</f>
        <v/>
      </c>
      <c r="G2780">
        <f>IF(A2780="","",'Employees'!D16)</f>
        <v/>
      </c>
    </row>
    <row r="2781">
      <c r="A2781">
        <f>IF(AND('Ratings'!A179&lt;&gt;"",'Ratings'!P5&lt;&gt;""),'Ratings'!A179,"")</f>
        <v/>
      </c>
      <c r="B2781">
        <f>IF(A2781="","",'Employees'!C16)</f>
        <v/>
      </c>
      <c r="C2781">
        <f>IF(A2781="","",'Ratings'!C179)</f>
        <v/>
      </c>
      <c r="D2781">
        <f>IF(A2781="","",'Ratings'!D179)</f>
        <v/>
      </c>
      <c r="E2781">
        <f>IF(AND('Ratings'!A179&lt;&gt;"",'Ratings'!P5&lt;&gt;""),'Ratings'!P5,"")</f>
        <v/>
      </c>
      <c r="F2781">
        <f>IF(OR(A2781="",'Ratings'!P179=""),"",'Ratings'!P179)</f>
        <v/>
      </c>
      <c r="G2781">
        <f>IF(A2781="","",'Employees'!D16)</f>
        <v/>
      </c>
    </row>
    <row r="2782">
      <c r="A2782">
        <f>IF(AND('Ratings'!A179&lt;&gt;"",'Ratings'!Q5&lt;&gt;""),'Ratings'!A179,"")</f>
        <v/>
      </c>
      <c r="B2782">
        <f>IF(A2782="","",'Employees'!C16)</f>
        <v/>
      </c>
      <c r="C2782">
        <f>IF(A2782="","",'Ratings'!C179)</f>
        <v/>
      </c>
      <c r="D2782">
        <f>IF(A2782="","",'Ratings'!D179)</f>
        <v/>
      </c>
      <c r="E2782">
        <f>IF(AND('Ratings'!A179&lt;&gt;"",'Ratings'!Q5&lt;&gt;""),'Ratings'!Q5,"")</f>
        <v/>
      </c>
      <c r="F2782">
        <f>IF(OR(A2782="",'Ratings'!Q179=""),"",'Ratings'!Q179)</f>
        <v/>
      </c>
      <c r="G2782">
        <f>IF(A2782="","",'Employees'!D16)</f>
        <v/>
      </c>
    </row>
    <row r="2783">
      <c r="A2783">
        <f>IF(AND('Ratings'!A179&lt;&gt;"",'Ratings'!R5&lt;&gt;""),'Ratings'!A179,"")</f>
        <v/>
      </c>
      <c r="B2783">
        <f>IF(A2783="","",'Employees'!C16)</f>
        <v/>
      </c>
      <c r="C2783">
        <f>IF(A2783="","",'Ratings'!C179)</f>
        <v/>
      </c>
      <c r="D2783">
        <f>IF(A2783="","",'Ratings'!D179)</f>
        <v/>
      </c>
      <c r="E2783">
        <f>IF(AND('Ratings'!A179&lt;&gt;"",'Ratings'!R5&lt;&gt;""),'Ratings'!R5,"")</f>
        <v/>
      </c>
      <c r="F2783">
        <f>IF(OR(A2783="",'Ratings'!R179=""),"",'Ratings'!R179)</f>
        <v/>
      </c>
      <c r="G2783">
        <f>IF(A2783="","",'Employees'!D16)</f>
        <v/>
      </c>
    </row>
    <row r="2784">
      <c r="A2784">
        <f>IF(AND('Ratings'!A179&lt;&gt;"",'Ratings'!S5&lt;&gt;""),'Ratings'!A179,"")</f>
        <v/>
      </c>
      <c r="B2784">
        <f>IF(A2784="","",'Employees'!C16)</f>
        <v/>
      </c>
      <c r="C2784">
        <f>IF(A2784="","",'Ratings'!C179)</f>
        <v/>
      </c>
      <c r="D2784">
        <f>IF(A2784="","",'Ratings'!D179)</f>
        <v/>
      </c>
      <c r="E2784">
        <f>IF(AND('Ratings'!A179&lt;&gt;"",'Ratings'!S5&lt;&gt;""),'Ratings'!S5,"")</f>
        <v/>
      </c>
      <c r="F2784">
        <f>IF(OR(A2784="",'Ratings'!S179=""),"",'Ratings'!S179)</f>
        <v/>
      </c>
      <c r="G2784">
        <f>IF(A2784="","",'Employees'!D16)</f>
        <v/>
      </c>
    </row>
    <row r="2785">
      <c r="A2785">
        <f>IF(AND('Ratings'!A179&lt;&gt;"",'Ratings'!T5&lt;&gt;""),'Ratings'!A179,"")</f>
        <v/>
      </c>
      <c r="B2785">
        <f>IF(A2785="","",'Employees'!C16)</f>
        <v/>
      </c>
      <c r="C2785">
        <f>IF(A2785="","",'Ratings'!C179)</f>
        <v/>
      </c>
      <c r="D2785">
        <f>IF(A2785="","",'Ratings'!D179)</f>
        <v/>
      </c>
      <c r="E2785">
        <f>IF(AND('Ratings'!A179&lt;&gt;"",'Ratings'!T5&lt;&gt;""),'Ratings'!T5,"")</f>
        <v/>
      </c>
      <c r="F2785">
        <f>IF(OR(A2785="",'Ratings'!T179=""),"",'Ratings'!T179)</f>
        <v/>
      </c>
      <c r="G2785">
        <f>IF(A2785="","",'Employees'!D16)</f>
        <v/>
      </c>
    </row>
    <row r="2786">
      <c r="A2786">
        <f>IF(AND('Ratings'!A180&lt;&gt;"",'Ratings'!E5&lt;&gt;""),'Ratings'!A180,"")</f>
        <v/>
      </c>
      <c r="B2786">
        <f>IF(A2786="","",'Employees'!C16)</f>
        <v/>
      </c>
      <c r="C2786">
        <f>IF(A2786="","",'Ratings'!C180)</f>
        <v/>
      </c>
      <c r="D2786">
        <f>IF(A2786="","",'Ratings'!D180)</f>
        <v/>
      </c>
      <c r="E2786">
        <f>IF(AND('Ratings'!A180&lt;&gt;"",'Ratings'!E5&lt;&gt;""),'Ratings'!E5,"")</f>
        <v/>
      </c>
      <c r="F2786">
        <f>IF(OR(A2786="",'Ratings'!E180=""),"",'Ratings'!E180)</f>
        <v/>
      </c>
      <c r="G2786">
        <f>IF(A2786="","",'Employees'!D16)</f>
        <v/>
      </c>
    </row>
    <row r="2787">
      <c r="A2787">
        <f>IF(AND('Ratings'!A180&lt;&gt;"",'Ratings'!F5&lt;&gt;""),'Ratings'!A180,"")</f>
        <v/>
      </c>
      <c r="B2787">
        <f>IF(A2787="","",'Employees'!C16)</f>
        <v/>
      </c>
      <c r="C2787">
        <f>IF(A2787="","",'Ratings'!C180)</f>
        <v/>
      </c>
      <c r="D2787">
        <f>IF(A2787="","",'Ratings'!D180)</f>
        <v/>
      </c>
      <c r="E2787">
        <f>IF(AND('Ratings'!A180&lt;&gt;"",'Ratings'!F5&lt;&gt;""),'Ratings'!F5,"")</f>
        <v/>
      </c>
      <c r="F2787">
        <f>IF(OR(A2787="",'Ratings'!F180=""),"",'Ratings'!F180)</f>
        <v/>
      </c>
      <c r="G2787">
        <f>IF(A2787="","",'Employees'!D16)</f>
        <v/>
      </c>
    </row>
    <row r="2788">
      <c r="A2788">
        <f>IF(AND('Ratings'!A180&lt;&gt;"",'Ratings'!G5&lt;&gt;""),'Ratings'!A180,"")</f>
        <v/>
      </c>
      <c r="B2788">
        <f>IF(A2788="","",'Employees'!C16)</f>
        <v/>
      </c>
      <c r="C2788">
        <f>IF(A2788="","",'Ratings'!C180)</f>
        <v/>
      </c>
      <c r="D2788">
        <f>IF(A2788="","",'Ratings'!D180)</f>
        <v/>
      </c>
      <c r="E2788">
        <f>IF(AND('Ratings'!A180&lt;&gt;"",'Ratings'!G5&lt;&gt;""),'Ratings'!G5,"")</f>
        <v/>
      </c>
      <c r="F2788">
        <f>IF(OR(A2788="",'Ratings'!G180=""),"",'Ratings'!G180)</f>
        <v/>
      </c>
      <c r="G2788">
        <f>IF(A2788="","",'Employees'!D16)</f>
        <v/>
      </c>
    </row>
    <row r="2789">
      <c r="A2789">
        <f>IF(AND('Ratings'!A180&lt;&gt;"",'Ratings'!H5&lt;&gt;""),'Ratings'!A180,"")</f>
        <v/>
      </c>
      <c r="B2789">
        <f>IF(A2789="","",'Employees'!C16)</f>
        <v/>
      </c>
      <c r="C2789">
        <f>IF(A2789="","",'Ratings'!C180)</f>
        <v/>
      </c>
      <c r="D2789">
        <f>IF(A2789="","",'Ratings'!D180)</f>
        <v/>
      </c>
      <c r="E2789">
        <f>IF(AND('Ratings'!A180&lt;&gt;"",'Ratings'!H5&lt;&gt;""),'Ratings'!H5,"")</f>
        <v/>
      </c>
      <c r="F2789">
        <f>IF(OR(A2789="",'Ratings'!H180=""),"",'Ratings'!H180)</f>
        <v/>
      </c>
      <c r="G2789">
        <f>IF(A2789="","",'Employees'!D16)</f>
        <v/>
      </c>
    </row>
    <row r="2790">
      <c r="A2790">
        <f>IF(AND('Ratings'!A180&lt;&gt;"",'Ratings'!I5&lt;&gt;""),'Ratings'!A180,"")</f>
        <v/>
      </c>
      <c r="B2790">
        <f>IF(A2790="","",'Employees'!C16)</f>
        <v/>
      </c>
      <c r="C2790">
        <f>IF(A2790="","",'Ratings'!C180)</f>
        <v/>
      </c>
      <c r="D2790">
        <f>IF(A2790="","",'Ratings'!D180)</f>
        <v/>
      </c>
      <c r="E2790">
        <f>IF(AND('Ratings'!A180&lt;&gt;"",'Ratings'!I5&lt;&gt;""),'Ratings'!I5,"")</f>
        <v/>
      </c>
      <c r="F2790">
        <f>IF(OR(A2790="",'Ratings'!I180=""),"",'Ratings'!I180)</f>
        <v/>
      </c>
      <c r="G2790">
        <f>IF(A2790="","",'Employees'!D16)</f>
        <v/>
      </c>
    </row>
    <row r="2791">
      <c r="A2791">
        <f>IF(AND('Ratings'!A180&lt;&gt;"",'Ratings'!J5&lt;&gt;""),'Ratings'!A180,"")</f>
        <v/>
      </c>
      <c r="B2791">
        <f>IF(A2791="","",'Employees'!C16)</f>
        <v/>
      </c>
      <c r="C2791">
        <f>IF(A2791="","",'Ratings'!C180)</f>
        <v/>
      </c>
      <c r="D2791">
        <f>IF(A2791="","",'Ratings'!D180)</f>
        <v/>
      </c>
      <c r="E2791">
        <f>IF(AND('Ratings'!A180&lt;&gt;"",'Ratings'!J5&lt;&gt;""),'Ratings'!J5,"")</f>
        <v/>
      </c>
      <c r="F2791">
        <f>IF(OR(A2791="",'Ratings'!J180=""),"",'Ratings'!J180)</f>
        <v/>
      </c>
      <c r="G2791">
        <f>IF(A2791="","",'Employees'!D16)</f>
        <v/>
      </c>
    </row>
    <row r="2792">
      <c r="A2792">
        <f>IF(AND('Ratings'!A180&lt;&gt;"",'Ratings'!K5&lt;&gt;""),'Ratings'!A180,"")</f>
        <v/>
      </c>
      <c r="B2792">
        <f>IF(A2792="","",'Employees'!C16)</f>
        <v/>
      </c>
      <c r="C2792">
        <f>IF(A2792="","",'Ratings'!C180)</f>
        <v/>
      </c>
      <c r="D2792">
        <f>IF(A2792="","",'Ratings'!D180)</f>
        <v/>
      </c>
      <c r="E2792">
        <f>IF(AND('Ratings'!A180&lt;&gt;"",'Ratings'!K5&lt;&gt;""),'Ratings'!K5,"")</f>
        <v/>
      </c>
      <c r="F2792">
        <f>IF(OR(A2792="",'Ratings'!K180=""),"",'Ratings'!K180)</f>
        <v/>
      </c>
      <c r="G2792">
        <f>IF(A2792="","",'Employees'!D16)</f>
        <v/>
      </c>
    </row>
    <row r="2793">
      <c r="A2793">
        <f>IF(AND('Ratings'!A180&lt;&gt;"",'Ratings'!L5&lt;&gt;""),'Ratings'!A180,"")</f>
        <v/>
      </c>
      <c r="B2793">
        <f>IF(A2793="","",'Employees'!C16)</f>
        <v/>
      </c>
      <c r="C2793">
        <f>IF(A2793="","",'Ratings'!C180)</f>
        <v/>
      </c>
      <c r="D2793">
        <f>IF(A2793="","",'Ratings'!D180)</f>
        <v/>
      </c>
      <c r="E2793">
        <f>IF(AND('Ratings'!A180&lt;&gt;"",'Ratings'!L5&lt;&gt;""),'Ratings'!L5,"")</f>
        <v/>
      </c>
      <c r="F2793">
        <f>IF(OR(A2793="",'Ratings'!L180=""),"",'Ratings'!L180)</f>
        <v/>
      </c>
      <c r="G2793">
        <f>IF(A2793="","",'Employees'!D16)</f>
        <v/>
      </c>
    </row>
    <row r="2794">
      <c r="A2794">
        <f>IF(AND('Ratings'!A180&lt;&gt;"",'Ratings'!M5&lt;&gt;""),'Ratings'!A180,"")</f>
        <v/>
      </c>
      <c r="B2794">
        <f>IF(A2794="","",'Employees'!C16)</f>
        <v/>
      </c>
      <c r="C2794">
        <f>IF(A2794="","",'Ratings'!C180)</f>
        <v/>
      </c>
      <c r="D2794">
        <f>IF(A2794="","",'Ratings'!D180)</f>
        <v/>
      </c>
      <c r="E2794">
        <f>IF(AND('Ratings'!A180&lt;&gt;"",'Ratings'!M5&lt;&gt;""),'Ratings'!M5,"")</f>
        <v/>
      </c>
      <c r="F2794">
        <f>IF(OR(A2794="",'Ratings'!M180=""),"",'Ratings'!M180)</f>
        <v/>
      </c>
      <c r="G2794">
        <f>IF(A2794="","",'Employees'!D16)</f>
        <v/>
      </c>
    </row>
    <row r="2795">
      <c r="A2795">
        <f>IF(AND('Ratings'!A180&lt;&gt;"",'Ratings'!N5&lt;&gt;""),'Ratings'!A180,"")</f>
        <v/>
      </c>
      <c r="B2795">
        <f>IF(A2795="","",'Employees'!C16)</f>
        <v/>
      </c>
      <c r="C2795">
        <f>IF(A2795="","",'Ratings'!C180)</f>
        <v/>
      </c>
      <c r="D2795">
        <f>IF(A2795="","",'Ratings'!D180)</f>
        <v/>
      </c>
      <c r="E2795">
        <f>IF(AND('Ratings'!A180&lt;&gt;"",'Ratings'!N5&lt;&gt;""),'Ratings'!N5,"")</f>
        <v/>
      </c>
      <c r="F2795">
        <f>IF(OR(A2795="",'Ratings'!N180=""),"",'Ratings'!N180)</f>
        <v/>
      </c>
      <c r="G2795">
        <f>IF(A2795="","",'Employees'!D16)</f>
        <v/>
      </c>
    </row>
    <row r="2796">
      <c r="A2796">
        <f>IF(AND('Ratings'!A180&lt;&gt;"",'Ratings'!O5&lt;&gt;""),'Ratings'!A180,"")</f>
        <v/>
      </c>
      <c r="B2796">
        <f>IF(A2796="","",'Employees'!C16)</f>
        <v/>
      </c>
      <c r="C2796">
        <f>IF(A2796="","",'Ratings'!C180)</f>
        <v/>
      </c>
      <c r="D2796">
        <f>IF(A2796="","",'Ratings'!D180)</f>
        <v/>
      </c>
      <c r="E2796">
        <f>IF(AND('Ratings'!A180&lt;&gt;"",'Ratings'!O5&lt;&gt;""),'Ratings'!O5,"")</f>
        <v/>
      </c>
      <c r="F2796">
        <f>IF(OR(A2796="",'Ratings'!O180=""),"",'Ratings'!O180)</f>
        <v/>
      </c>
      <c r="G2796">
        <f>IF(A2796="","",'Employees'!D16)</f>
        <v/>
      </c>
    </row>
    <row r="2797">
      <c r="A2797">
        <f>IF(AND('Ratings'!A180&lt;&gt;"",'Ratings'!P5&lt;&gt;""),'Ratings'!A180,"")</f>
        <v/>
      </c>
      <c r="B2797">
        <f>IF(A2797="","",'Employees'!C16)</f>
        <v/>
      </c>
      <c r="C2797">
        <f>IF(A2797="","",'Ratings'!C180)</f>
        <v/>
      </c>
      <c r="D2797">
        <f>IF(A2797="","",'Ratings'!D180)</f>
        <v/>
      </c>
      <c r="E2797">
        <f>IF(AND('Ratings'!A180&lt;&gt;"",'Ratings'!P5&lt;&gt;""),'Ratings'!P5,"")</f>
        <v/>
      </c>
      <c r="F2797">
        <f>IF(OR(A2797="",'Ratings'!P180=""),"",'Ratings'!P180)</f>
        <v/>
      </c>
      <c r="G2797">
        <f>IF(A2797="","",'Employees'!D16)</f>
        <v/>
      </c>
    </row>
    <row r="2798">
      <c r="A2798">
        <f>IF(AND('Ratings'!A180&lt;&gt;"",'Ratings'!Q5&lt;&gt;""),'Ratings'!A180,"")</f>
        <v/>
      </c>
      <c r="B2798">
        <f>IF(A2798="","",'Employees'!C16)</f>
        <v/>
      </c>
      <c r="C2798">
        <f>IF(A2798="","",'Ratings'!C180)</f>
        <v/>
      </c>
      <c r="D2798">
        <f>IF(A2798="","",'Ratings'!D180)</f>
        <v/>
      </c>
      <c r="E2798">
        <f>IF(AND('Ratings'!A180&lt;&gt;"",'Ratings'!Q5&lt;&gt;""),'Ratings'!Q5,"")</f>
        <v/>
      </c>
      <c r="F2798">
        <f>IF(OR(A2798="",'Ratings'!Q180=""),"",'Ratings'!Q180)</f>
        <v/>
      </c>
      <c r="G2798">
        <f>IF(A2798="","",'Employees'!D16)</f>
        <v/>
      </c>
    </row>
    <row r="2799">
      <c r="A2799">
        <f>IF(AND('Ratings'!A180&lt;&gt;"",'Ratings'!R5&lt;&gt;""),'Ratings'!A180,"")</f>
        <v/>
      </c>
      <c r="B2799">
        <f>IF(A2799="","",'Employees'!C16)</f>
        <v/>
      </c>
      <c r="C2799">
        <f>IF(A2799="","",'Ratings'!C180)</f>
        <v/>
      </c>
      <c r="D2799">
        <f>IF(A2799="","",'Ratings'!D180)</f>
        <v/>
      </c>
      <c r="E2799">
        <f>IF(AND('Ratings'!A180&lt;&gt;"",'Ratings'!R5&lt;&gt;""),'Ratings'!R5,"")</f>
        <v/>
      </c>
      <c r="F2799">
        <f>IF(OR(A2799="",'Ratings'!R180=""),"",'Ratings'!R180)</f>
        <v/>
      </c>
      <c r="G2799">
        <f>IF(A2799="","",'Employees'!D16)</f>
        <v/>
      </c>
    </row>
    <row r="2800">
      <c r="A2800">
        <f>IF(AND('Ratings'!A180&lt;&gt;"",'Ratings'!S5&lt;&gt;""),'Ratings'!A180,"")</f>
        <v/>
      </c>
      <c r="B2800">
        <f>IF(A2800="","",'Employees'!C16)</f>
        <v/>
      </c>
      <c r="C2800">
        <f>IF(A2800="","",'Ratings'!C180)</f>
        <v/>
      </c>
      <c r="D2800">
        <f>IF(A2800="","",'Ratings'!D180)</f>
        <v/>
      </c>
      <c r="E2800">
        <f>IF(AND('Ratings'!A180&lt;&gt;"",'Ratings'!S5&lt;&gt;""),'Ratings'!S5,"")</f>
        <v/>
      </c>
      <c r="F2800">
        <f>IF(OR(A2800="",'Ratings'!S180=""),"",'Ratings'!S180)</f>
        <v/>
      </c>
      <c r="G2800">
        <f>IF(A2800="","",'Employees'!D16)</f>
        <v/>
      </c>
    </row>
    <row r="2801">
      <c r="A2801">
        <f>IF(AND('Ratings'!A180&lt;&gt;"",'Ratings'!T5&lt;&gt;""),'Ratings'!A180,"")</f>
        <v/>
      </c>
      <c r="B2801">
        <f>IF(A2801="","",'Employees'!C16)</f>
        <v/>
      </c>
      <c r="C2801">
        <f>IF(A2801="","",'Ratings'!C180)</f>
        <v/>
      </c>
      <c r="D2801">
        <f>IF(A2801="","",'Ratings'!D180)</f>
        <v/>
      </c>
      <c r="E2801">
        <f>IF(AND('Ratings'!A180&lt;&gt;"",'Ratings'!T5&lt;&gt;""),'Ratings'!T5,"")</f>
        <v/>
      </c>
      <c r="F2801">
        <f>IF(OR(A2801="",'Ratings'!T180=""),"",'Ratings'!T180)</f>
        <v/>
      </c>
      <c r="G2801">
        <f>IF(A2801="","",'Employees'!D16)</f>
        <v/>
      </c>
    </row>
    <row r="2802">
      <c r="A2802">
        <f>IF(AND('Ratings'!A181&lt;&gt;"",'Ratings'!E5&lt;&gt;""),'Ratings'!A181,"")</f>
        <v/>
      </c>
      <c r="B2802">
        <f>IF(A2802="","",'Employees'!C16)</f>
        <v/>
      </c>
      <c r="C2802">
        <f>IF(A2802="","",'Ratings'!C181)</f>
        <v/>
      </c>
      <c r="D2802">
        <f>IF(A2802="","",'Ratings'!D181)</f>
        <v/>
      </c>
      <c r="E2802">
        <f>IF(AND('Ratings'!A181&lt;&gt;"",'Ratings'!E5&lt;&gt;""),'Ratings'!E5,"")</f>
        <v/>
      </c>
      <c r="F2802">
        <f>IF(OR(A2802="",'Ratings'!E181=""),"",'Ratings'!E181)</f>
        <v/>
      </c>
      <c r="G2802">
        <f>IF(A2802="","",'Employees'!D16)</f>
        <v/>
      </c>
    </row>
    <row r="2803">
      <c r="A2803">
        <f>IF(AND('Ratings'!A181&lt;&gt;"",'Ratings'!F5&lt;&gt;""),'Ratings'!A181,"")</f>
        <v/>
      </c>
      <c r="B2803">
        <f>IF(A2803="","",'Employees'!C16)</f>
        <v/>
      </c>
      <c r="C2803">
        <f>IF(A2803="","",'Ratings'!C181)</f>
        <v/>
      </c>
      <c r="D2803">
        <f>IF(A2803="","",'Ratings'!D181)</f>
        <v/>
      </c>
      <c r="E2803">
        <f>IF(AND('Ratings'!A181&lt;&gt;"",'Ratings'!F5&lt;&gt;""),'Ratings'!F5,"")</f>
        <v/>
      </c>
      <c r="F2803">
        <f>IF(OR(A2803="",'Ratings'!F181=""),"",'Ratings'!F181)</f>
        <v/>
      </c>
      <c r="G2803">
        <f>IF(A2803="","",'Employees'!D16)</f>
        <v/>
      </c>
    </row>
    <row r="2804">
      <c r="A2804">
        <f>IF(AND('Ratings'!A181&lt;&gt;"",'Ratings'!G5&lt;&gt;""),'Ratings'!A181,"")</f>
        <v/>
      </c>
      <c r="B2804">
        <f>IF(A2804="","",'Employees'!C16)</f>
        <v/>
      </c>
      <c r="C2804">
        <f>IF(A2804="","",'Ratings'!C181)</f>
        <v/>
      </c>
      <c r="D2804">
        <f>IF(A2804="","",'Ratings'!D181)</f>
        <v/>
      </c>
      <c r="E2804">
        <f>IF(AND('Ratings'!A181&lt;&gt;"",'Ratings'!G5&lt;&gt;""),'Ratings'!G5,"")</f>
        <v/>
      </c>
      <c r="F2804">
        <f>IF(OR(A2804="",'Ratings'!G181=""),"",'Ratings'!G181)</f>
        <v/>
      </c>
      <c r="G2804">
        <f>IF(A2804="","",'Employees'!D16)</f>
        <v/>
      </c>
    </row>
    <row r="2805">
      <c r="A2805">
        <f>IF(AND('Ratings'!A181&lt;&gt;"",'Ratings'!H5&lt;&gt;""),'Ratings'!A181,"")</f>
        <v/>
      </c>
      <c r="B2805">
        <f>IF(A2805="","",'Employees'!C16)</f>
        <v/>
      </c>
      <c r="C2805">
        <f>IF(A2805="","",'Ratings'!C181)</f>
        <v/>
      </c>
      <c r="D2805">
        <f>IF(A2805="","",'Ratings'!D181)</f>
        <v/>
      </c>
      <c r="E2805">
        <f>IF(AND('Ratings'!A181&lt;&gt;"",'Ratings'!H5&lt;&gt;""),'Ratings'!H5,"")</f>
        <v/>
      </c>
      <c r="F2805">
        <f>IF(OR(A2805="",'Ratings'!H181=""),"",'Ratings'!H181)</f>
        <v/>
      </c>
      <c r="G2805">
        <f>IF(A2805="","",'Employees'!D16)</f>
        <v/>
      </c>
    </row>
    <row r="2806">
      <c r="A2806">
        <f>IF(AND('Ratings'!A181&lt;&gt;"",'Ratings'!I5&lt;&gt;""),'Ratings'!A181,"")</f>
        <v/>
      </c>
      <c r="B2806">
        <f>IF(A2806="","",'Employees'!C16)</f>
        <v/>
      </c>
      <c r="C2806">
        <f>IF(A2806="","",'Ratings'!C181)</f>
        <v/>
      </c>
      <c r="D2806">
        <f>IF(A2806="","",'Ratings'!D181)</f>
        <v/>
      </c>
      <c r="E2806">
        <f>IF(AND('Ratings'!A181&lt;&gt;"",'Ratings'!I5&lt;&gt;""),'Ratings'!I5,"")</f>
        <v/>
      </c>
      <c r="F2806">
        <f>IF(OR(A2806="",'Ratings'!I181=""),"",'Ratings'!I181)</f>
        <v/>
      </c>
      <c r="G2806">
        <f>IF(A2806="","",'Employees'!D16)</f>
        <v/>
      </c>
    </row>
    <row r="2807">
      <c r="A2807">
        <f>IF(AND('Ratings'!A181&lt;&gt;"",'Ratings'!J5&lt;&gt;""),'Ratings'!A181,"")</f>
        <v/>
      </c>
      <c r="B2807">
        <f>IF(A2807="","",'Employees'!C16)</f>
        <v/>
      </c>
      <c r="C2807">
        <f>IF(A2807="","",'Ratings'!C181)</f>
        <v/>
      </c>
      <c r="D2807">
        <f>IF(A2807="","",'Ratings'!D181)</f>
        <v/>
      </c>
      <c r="E2807">
        <f>IF(AND('Ratings'!A181&lt;&gt;"",'Ratings'!J5&lt;&gt;""),'Ratings'!J5,"")</f>
        <v/>
      </c>
      <c r="F2807">
        <f>IF(OR(A2807="",'Ratings'!J181=""),"",'Ratings'!J181)</f>
        <v/>
      </c>
      <c r="G2807">
        <f>IF(A2807="","",'Employees'!D16)</f>
        <v/>
      </c>
    </row>
    <row r="2808">
      <c r="A2808">
        <f>IF(AND('Ratings'!A181&lt;&gt;"",'Ratings'!K5&lt;&gt;""),'Ratings'!A181,"")</f>
        <v/>
      </c>
      <c r="B2808">
        <f>IF(A2808="","",'Employees'!C16)</f>
        <v/>
      </c>
      <c r="C2808">
        <f>IF(A2808="","",'Ratings'!C181)</f>
        <v/>
      </c>
      <c r="D2808">
        <f>IF(A2808="","",'Ratings'!D181)</f>
        <v/>
      </c>
      <c r="E2808">
        <f>IF(AND('Ratings'!A181&lt;&gt;"",'Ratings'!K5&lt;&gt;""),'Ratings'!K5,"")</f>
        <v/>
      </c>
      <c r="F2808">
        <f>IF(OR(A2808="",'Ratings'!K181=""),"",'Ratings'!K181)</f>
        <v/>
      </c>
      <c r="G2808">
        <f>IF(A2808="","",'Employees'!D16)</f>
        <v/>
      </c>
    </row>
    <row r="2809">
      <c r="A2809">
        <f>IF(AND('Ratings'!A181&lt;&gt;"",'Ratings'!L5&lt;&gt;""),'Ratings'!A181,"")</f>
        <v/>
      </c>
      <c r="B2809">
        <f>IF(A2809="","",'Employees'!C16)</f>
        <v/>
      </c>
      <c r="C2809">
        <f>IF(A2809="","",'Ratings'!C181)</f>
        <v/>
      </c>
      <c r="D2809">
        <f>IF(A2809="","",'Ratings'!D181)</f>
        <v/>
      </c>
      <c r="E2809">
        <f>IF(AND('Ratings'!A181&lt;&gt;"",'Ratings'!L5&lt;&gt;""),'Ratings'!L5,"")</f>
        <v/>
      </c>
      <c r="F2809">
        <f>IF(OR(A2809="",'Ratings'!L181=""),"",'Ratings'!L181)</f>
        <v/>
      </c>
      <c r="G2809">
        <f>IF(A2809="","",'Employees'!D16)</f>
        <v/>
      </c>
    </row>
    <row r="2810">
      <c r="A2810">
        <f>IF(AND('Ratings'!A181&lt;&gt;"",'Ratings'!M5&lt;&gt;""),'Ratings'!A181,"")</f>
        <v/>
      </c>
      <c r="B2810">
        <f>IF(A2810="","",'Employees'!C16)</f>
        <v/>
      </c>
      <c r="C2810">
        <f>IF(A2810="","",'Ratings'!C181)</f>
        <v/>
      </c>
      <c r="D2810">
        <f>IF(A2810="","",'Ratings'!D181)</f>
        <v/>
      </c>
      <c r="E2810">
        <f>IF(AND('Ratings'!A181&lt;&gt;"",'Ratings'!M5&lt;&gt;""),'Ratings'!M5,"")</f>
        <v/>
      </c>
      <c r="F2810">
        <f>IF(OR(A2810="",'Ratings'!M181=""),"",'Ratings'!M181)</f>
        <v/>
      </c>
      <c r="G2810">
        <f>IF(A2810="","",'Employees'!D16)</f>
        <v/>
      </c>
    </row>
    <row r="2811">
      <c r="A2811">
        <f>IF(AND('Ratings'!A181&lt;&gt;"",'Ratings'!N5&lt;&gt;""),'Ratings'!A181,"")</f>
        <v/>
      </c>
      <c r="B2811">
        <f>IF(A2811="","",'Employees'!C16)</f>
        <v/>
      </c>
      <c r="C2811">
        <f>IF(A2811="","",'Ratings'!C181)</f>
        <v/>
      </c>
      <c r="D2811">
        <f>IF(A2811="","",'Ratings'!D181)</f>
        <v/>
      </c>
      <c r="E2811">
        <f>IF(AND('Ratings'!A181&lt;&gt;"",'Ratings'!N5&lt;&gt;""),'Ratings'!N5,"")</f>
        <v/>
      </c>
      <c r="F2811">
        <f>IF(OR(A2811="",'Ratings'!N181=""),"",'Ratings'!N181)</f>
        <v/>
      </c>
      <c r="G2811">
        <f>IF(A2811="","",'Employees'!D16)</f>
        <v/>
      </c>
    </row>
    <row r="2812">
      <c r="A2812">
        <f>IF(AND('Ratings'!A181&lt;&gt;"",'Ratings'!O5&lt;&gt;""),'Ratings'!A181,"")</f>
        <v/>
      </c>
      <c r="B2812">
        <f>IF(A2812="","",'Employees'!C16)</f>
        <v/>
      </c>
      <c r="C2812">
        <f>IF(A2812="","",'Ratings'!C181)</f>
        <v/>
      </c>
      <c r="D2812">
        <f>IF(A2812="","",'Ratings'!D181)</f>
        <v/>
      </c>
      <c r="E2812">
        <f>IF(AND('Ratings'!A181&lt;&gt;"",'Ratings'!O5&lt;&gt;""),'Ratings'!O5,"")</f>
        <v/>
      </c>
      <c r="F2812">
        <f>IF(OR(A2812="",'Ratings'!O181=""),"",'Ratings'!O181)</f>
        <v/>
      </c>
      <c r="G2812">
        <f>IF(A2812="","",'Employees'!D16)</f>
        <v/>
      </c>
    </row>
    <row r="2813">
      <c r="A2813">
        <f>IF(AND('Ratings'!A181&lt;&gt;"",'Ratings'!P5&lt;&gt;""),'Ratings'!A181,"")</f>
        <v/>
      </c>
      <c r="B2813">
        <f>IF(A2813="","",'Employees'!C16)</f>
        <v/>
      </c>
      <c r="C2813">
        <f>IF(A2813="","",'Ratings'!C181)</f>
        <v/>
      </c>
      <c r="D2813">
        <f>IF(A2813="","",'Ratings'!D181)</f>
        <v/>
      </c>
      <c r="E2813">
        <f>IF(AND('Ratings'!A181&lt;&gt;"",'Ratings'!P5&lt;&gt;""),'Ratings'!P5,"")</f>
        <v/>
      </c>
      <c r="F2813">
        <f>IF(OR(A2813="",'Ratings'!P181=""),"",'Ratings'!P181)</f>
        <v/>
      </c>
      <c r="G2813">
        <f>IF(A2813="","",'Employees'!D16)</f>
        <v/>
      </c>
    </row>
    <row r="2814">
      <c r="A2814">
        <f>IF(AND('Ratings'!A181&lt;&gt;"",'Ratings'!Q5&lt;&gt;""),'Ratings'!A181,"")</f>
        <v/>
      </c>
      <c r="B2814">
        <f>IF(A2814="","",'Employees'!C16)</f>
        <v/>
      </c>
      <c r="C2814">
        <f>IF(A2814="","",'Ratings'!C181)</f>
        <v/>
      </c>
      <c r="D2814">
        <f>IF(A2814="","",'Ratings'!D181)</f>
        <v/>
      </c>
      <c r="E2814">
        <f>IF(AND('Ratings'!A181&lt;&gt;"",'Ratings'!Q5&lt;&gt;""),'Ratings'!Q5,"")</f>
        <v/>
      </c>
      <c r="F2814">
        <f>IF(OR(A2814="",'Ratings'!Q181=""),"",'Ratings'!Q181)</f>
        <v/>
      </c>
      <c r="G2814">
        <f>IF(A2814="","",'Employees'!D16)</f>
        <v/>
      </c>
    </row>
    <row r="2815">
      <c r="A2815">
        <f>IF(AND('Ratings'!A181&lt;&gt;"",'Ratings'!R5&lt;&gt;""),'Ratings'!A181,"")</f>
        <v/>
      </c>
      <c r="B2815">
        <f>IF(A2815="","",'Employees'!C16)</f>
        <v/>
      </c>
      <c r="C2815">
        <f>IF(A2815="","",'Ratings'!C181)</f>
        <v/>
      </c>
      <c r="D2815">
        <f>IF(A2815="","",'Ratings'!D181)</f>
        <v/>
      </c>
      <c r="E2815">
        <f>IF(AND('Ratings'!A181&lt;&gt;"",'Ratings'!R5&lt;&gt;""),'Ratings'!R5,"")</f>
        <v/>
      </c>
      <c r="F2815">
        <f>IF(OR(A2815="",'Ratings'!R181=""),"",'Ratings'!R181)</f>
        <v/>
      </c>
      <c r="G2815">
        <f>IF(A2815="","",'Employees'!D16)</f>
        <v/>
      </c>
    </row>
    <row r="2816">
      <c r="A2816">
        <f>IF(AND('Ratings'!A181&lt;&gt;"",'Ratings'!S5&lt;&gt;""),'Ratings'!A181,"")</f>
        <v/>
      </c>
      <c r="B2816">
        <f>IF(A2816="","",'Employees'!C16)</f>
        <v/>
      </c>
      <c r="C2816">
        <f>IF(A2816="","",'Ratings'!C181)</f>
        <v/>
      </c>
      <c r="D2816">
        <f>IF(A2816="","",'Ratings'!D181)</f>
        <v/>
      </c>
      <c r="E2816">
        <f>IF(AND('Ratings'!A181&lt;&gt;"",'Ratings'!S5&lt;&gt;""),'Ratings'!S5,"")</f>
        <v/>
      </c>
      <c r="F2816">
        <f>IF(OR(A2816="",'Ratings'!S181=""),"",'Ratings'!S181)</f>
        <v/>
      </c>
      <c r="G2816">
        <f>IF(A2816="","",'Employees'!D16)</f>
        <v/>
      </c>
    </row>
    <row r="2817">
      <c r="A2817">
        <f>IF(AND('Ratings'!A181&lt;&gt;"",'Ratings'!T5&lt;&gt;""),'Ratings'!A181,"")</f>
        <v/>
      </c>
      <c r="B2817">
        <f>IF(A2817="","",'Employees'!C16)</f>
        <v/>
      </c>
      <c r="C2817">
        <f>IF(A2817="","",'Ratings'!C181)</f>
        <v/>
      </c>
      <c r="D2817">
        <f>IF(A2817="","",'Ratings'!D181)</f>
        <v/>
      </c>
      <c r="E2817">
        <f>IF(AND('Ratings'!A181&lt;&gt;"",'Ratings'!T5&lt;&gt;""),'Ratings'!T5,"")</f>
        <v/>
      </c>
      <c r="F2817">
        <f>IF(OR(A2817="",'Ratings'!T181=""),"",'Ratings'!T181)</f>
        <v/>
      </c>
      <c r="G2817">
        <f>IF(A2817="","",'Employees'!D16)</f>
        <v/>
      </c>
    </row>
    <row r="2818">
      <c r="A2818">
        <f>IF(AND('Ratings'!A182&lt;&gt;"",'Ratings'!E5&lt;&gt;""),'Ratings'!A182,"")</f>
        <v/>
      </c>
      <c r="B2818">
        <f>IF(A2818="","",'Employees'!C17)</f>
        <v/>
      </c>
      <c r="C2818">
        <f>IF(A2818="","",'Ratings'!C182)</f>
        <v/>
      </c>
      <c r="D2818">
        <f>IF(A2818="","",'Ratings'!D182)</f>
        <v/>
      </c>
      <c r="E2818">
        <f>IF(AND('Ratings'!A182&lt;&gt;"",'Ratings'!E5&lt;&gt;""),'Ratings'!E5,"")</f>
        <v/>
      </c>
      <c r="F2818">
        <f>IF(OR(A2818="",'Ratings'!E182=""),"",'Ratings'!E182)</f>
        <v/>
      </c>
      <c r="G2818">
        <f>IF(A2818="","",'Employees'!D17)</f>
        <v/>
      </c>
    </row>
    <row r="2819">
      <c r="A2819">
        <f>IF(AND('Ratings'!A182&lt;&gt;"",'Ratings'!F5&lt;&gt;""),'Ratings'!A182,"")</f>
        <v/>
      </c>
      <c r="B2819">
        <f>IF(A2819="","",'Employees'!C17)</f>
        <v/>
      </c>
      <c r="C2819">
        <f>IF(A2819="","",'Ratings'!C182)</f>
        <v/>
      </c>
      <c r="D2819">
        <f>IF(A2819="","",'Ratings'!D182)</f>
        <v/>
      </c>
      <c r="E2819">
        <f>IF(AND('Ratings'!A182&lt;&gt;"",'Ratings'!F5&lt;&gt;""),'Ratings'!F5,"")</f>
        <v/>
      </c>
      <c r="F2819">
        <f>IF(OR(A2819="",'Ratings'!F182=""),"",'Ratings'!F182)</f>
        <v/>
      </c>
      <c r="G2819">
        <f>IF(A2819="","",'Employees'!D17)</f>
        <v/>
      </c>
    </row>
    <row r="2820">
      <c r="A2820">
        <f>IF(AND('Ratings'!A182&lt;&gt;"",'Ratings'!G5&lt;&gt;""),'Ratings'!A182,"")</f>
        <v/>
      </c>
      <c r="B2820">
        <f>IF(A2820="","",'Employees'!C17)</f>
        <v/>
      </c>
      <c r="C2820">
        <f>IF(A2820="","",'Ratings'!C182)</f>
        <v/>
      </c>
      <c r="D2820">
        <f>IF(A2820="","",'Ratings'!D182)</f>
        <v/>
      </c>
      <c r="E2820">
        <f>IF(AND('Ratings'!A182&lt;&gt;"",'Ratings'!G5&lt;&gt;""),'Ratings'!G5,"")</f>
        <v/>
      </c>
      <c r="F2820">
        <f>IF(OR(A2820="",'Ratings'!G182=""),"",'Ratings'!G182)</f>
        <v/>
      </c>
      <c r="G2820">
        <f>IF(A2820="","",'Employees'!D17)</f>
        <v/>
      </c>
    </row>
    <row r="2821">
      <c r="A2821">
        <f>IF(AND('Ratings'!A182&lt;&gt;"",'Ratings'!H5&lt;&gt;""),'Ratings'!A182,"")</f>
        <v/>
      </c>
      <c r="B2821">
        <f>IF(A2821="","",'Employees'!C17)</f>
        <v/>
      </c>
      <c r="C2821">
        <f>IF(A2821="","",'Ratings'!C182)</f>
        <v/>
      </c>
      <c r="D2821">
        <f>IF(A2821="","",'Ratings'!D182)</f>
        <v/>
      </c>
      <c r="E2821">
        <f>IF(AND('Ratings'!A182&lt;&gt;"",'Ratings'!H5&lt;&gt;""),'Ratings'!H5,"")</f>
        <v/>
      </c>
      <c r="F2821">
        <f>IF(OR(A2821="",'Ratings'!H182=""),"",'Ratings'!H182)</f>
        <v/>
      </c>
      <c r="G2821">
        <f>IF(A2821="","",'Employees'!D17)</f>
        <v/>
      </c>
    </row>
    <row r="2822">
      <c r="A2822">
        <f>IF(AND('Ratings'!A182&lt;&gt;"",'Ratings'!I5&lt;&gt;""),'Ratings'!A182,"")</f>
        <v/>
      </c>
      <c r="B2822">
        <f>IF(A2822="","",'Employees'!C17)</f>
        <v/>
      </c>
      <c r="C2822">
        <f>IF(A2822="","",'Ratings'!C182)</f>
        <v/>
      </c>
      <c r="D2822">
        <f>IF(A2822="","",'Ratings'!D182)</f>
        <v/>
      </c>
      <c r="E2822">
        <f>IF(AND('Ratings'!A182&lt;&gt;"",'Ratings'!I5&lt;&gt;""),'Ratings'!I5,"")</f>
        <v/>
      </c>
      <c r="F2822">
        <f>IF(OR(A2822="",'Ratings'!I182=""),"",'Ratings'!I182)</f>
        <v/>
      </c>
      <c r="G2822">
        <f>IF(A2822="","",'Employees'!D17)</f>
        <v/>
      </c>
    </row>
    <row r="2823">
      <c r="A2823">
        <f>IF(AND('Ratings'!A182&lt;&gt;"",'Ratings'!J5&lt;&gt;""),'Ratings'!A182,"")</f>
        <v/>
      </c>
      <c r="B2823">
        <f>IF(A2823="","",'Employees'!C17)</f>
        <v/>
      </c>
      <c r="C2823">
        <f>IF(A2823="","",'Ratings'!C182)</f>
        <v/>
      </c>
      <c r="D2823">
        <f>IF(A2823="","",'Ratings'!D182)</f>
        <v/>
      </c>
      <c r="E2823">
        <f>IF(AND('Ratings'!A182&lt;&gt;"",'Ratings'!J5&lt;&gt;""),'Ratings'!J5,"")</f>
        <v/>
      </c>
      <c r="F2823">
        <f>IF(OR(A2823="",'Ratings'!J182=""),"",'Ratings'!J182)</f>
        <v/>
      </c>
      <c r="G2823">
        <f>IF(A2823="","",'Employees'!D17)</f>
        <v/>
      </c>
    </row>
    <row r="2824">
      <c r="A2824">
        <f>IF(AND('Ratings'!A182&lt;&gt;"",'Ratings'!K5&lt;&gt;""),'Ratings'!A182,"")</f>
        <v/>
      </c>
      <c r="B2824">
        <f>IF(A2824="","",'Employees'!C17)</f>
        <v/>
      </c>
      <c r="C2824">
        <f>IF(A2824="","",'Ratings'!C182)</f>
        <v/>
      </c>
      <c r="D2824">
        <f>IF(A2824="","",'Ratings'!D182)</f>
        <v/>
      </c>
      <c r="E2824">
        <f>IF(AND('Ratings'!A182&lt;&gt;"",'Ratings'!K5&lt;&gt;""),'Ratings'!K5,"")</f>
        <v/>
      </c>
      <c r="F2824">
        <f>IF(OR(A2824="",'Ratings'!K182=""),"",'Ratings'!K182)</f>
        <v/>
      </c>
      <c r="G2824">
        <f>IF(A2824="","",'Employees'!D17)</f>
        <v/>
      </c>
    </row>
    <row r="2825">
      <c r="A2825">
        <f>IF(AND('Ratings'!A182&lt;&gt;"",'Ratings'!L5&lt;&gt;""),'Ratings'!A182,"")</f>
        <v/>
      </c>
      <c r="B2825">
        <f>IF(A2825="","",'Employees'!C17)</f>
        <v/>
      </c>
      <c r="C2825">
        <f>IF(A2825="","",'Ratings'!C182)</f>
        <v/>
      </c>
      <c r="D2825">
        <f>IF(A2825="","",'Ratings'!D182)</f>
        <v/>
      </c>
      <c r="E2825">
        <f>IF(AND('Ratings'!A182&lt;&gt;"",'Ratings'!L5&lt;&gt;""),'Ratings'!L5,"")</f>
        <v/>
      </c>
      <c r="F2825">
        <f>IF(OR(A2825="",'Ratings'!L182=""),"",'Ratings'!L182)</f>
        <v/>
      </c>
      <c r="G2825">
        <f>IF(A2825="","",'Employees'!D17)</f>
        <v/>
      </c>
    </row>
    <row r="2826">
      <c r="A2826">
        <f>IF(AND('Ratings'!A182&lt;&gt;"",'Ratings'!M5&lt;&gt;""),'Ratings'!A182,"")</f>
        <v/>
      </c>
      <c r="B2826">
        <f>IF(A2826="","",'Employees'!C17)</f>
        <v/>
      </c>
      <c r="C2826">
        <f>IF(A2826="","",'Ratings'!C182)</f>
        <v/>
      </c>
      <c r="D2826">
        <f>IF(A2826="","",'Ratings'!D182)</f>
        <v/>
      </c>
      <c r="E2826">
        <f>IF(AND('Ratings'!A182&lt;&gt;"",'Ratings'!M5&lt;&gt;""),'Ratings'!M5,"")</f>
        <v/>
      </c>
      <c r="F2826">
        <f>IF(OR(A2826="",'Ratings'!M182=""),"",'Ratings'!M182)</f>
        <v/>
      </c>
      <c r="G2826">
        <f>IF(A2826="","",'Employees'!D17)</f>
        <v/>
      </c>
    </row>
    <row r="2827">
      <c r="A2827">
        <f>IF(AND('Ratings'!A182&lt;&gt;"",'Ratings'!N5&lt;&gt;""),'Ratings'!A182,"")</f>
        <v/>
      </c>
      <c r="B2827">
        <f>IF(A2827="","",'Employees'!C17)</f>
        <v/>
      </c>
      <c r="C2827">
        <f>IF(A2827="","",'Ratings'!C182)</f>
        <v/>
      </c>
      <c r="D2827">
        <f>IF(A2827="","",'Ratings'!D182)</f>
        <v/>
      </c>
      <c r="E2827">
        <f>IF(AND('Ratings'!A182&lt;&gt;"",'Ratings'!N5&lt;&gt;""),'Ratings'!N5,"")</f>
        <v/>
      </c>
      <c r="F2827">
        <f>IF(OR(A2827="",'Ratings'!N182=""),"",'Ratings'!N182)</f>
        <v/>
      </c>
      <c r="G2827">
        <f>IF(A2827="","",'Employees'!D17)</f>
        <v/>
      </c>
    </row>
    <row r="2828">
      <c r="A2828">
        <f>IF(AND('Ratings'!A182&lt;&gt;"",'Ratings'!O5&lt;&gt;""),'Ratings'!A182,"")</f>
        <v/>
      </c>
      <c r="B2828">
        <f>IF(A2828="","",'Employees'!C17)</f>
        <v/>
      </c>
      <c r="C2828">
        <f>IF(A2828="","",'Ratings'!C182)</f>
        <v/>
      </c>
      <c r="D2828">
        <f>IF(A2828="","",'Ratings'!D182)</f>
        <v/>
      </c>
      <c r="E2828">
        <f>IF(AND('Ratings'!A182&lt;&gt;"",'Ratings'!O5&lt;&gt;""),'Ratings'!O5,"")</f>
        <v/>
      </c>
      <c r="F2828">
        <f>IF(OR(A2828="",'Ratings'!O182=""),"",'Ratings'!O182)</f>
        <v/>
      </c>
      <c r="G2828">
        <f>IF(A2828="","",'Employees'!D17)</f>
        <v/>
      </c>
    </row>
    <row r="2829">
      <c r="A2829">
        <f>IF(AND('Ratings'!A182&lt;&gt;"",'Ratings'!P5&lt;&gt;""),'Ratings'!A182,"")</f>
        <v/>
      </c>
      <c r="B2829">
        <f>IF(A2829="","",'Employees'!C17)</f>
        <v/>
      </c>
      <c r="C2829">
        <f>IF(A2829="","",'Ratings'!C182)</f>
        <v/>
      </c>
      <c r="D2829">
        <f>IF(A2829="","",'Ratings'!D182)</f>
        <v/>
      </c>
      <c r="E2829">
        <f>IF(AND('Ratings'!A182&lt;&gt;"",'Ratings'!P5&lt;&gt;""),'Ratings'!P5,"")</f>
        <v/>
      </c>
      <c r="F2829">
        <f>IF(OR(A2829="",'Ratings'!P182=""),"",'Ratings'!P182)</f>
        <v/>
      </c>
      <c r="G2829">
        <f>IF(A2829="","",'Employees'!D17)</f>
        <v/>
      </c>
    </row>
    <row r="2830">
      <c r="A2830">
        <f>IF(AND('Ratings'!A182&lt;&gt;"",'Ratings'!Q5&lt;&gt;""),'Ratings'!A182,"")</f>
        <v/>
      </c>
      <c r="B2830">
        <f>IF(A2830="","",'Employees'!C17)</f>
        <v/>
      </c>
      <c r="C2830">
        <f>IF(A2830="","",'Ratings'!C182)</f>
        <v/>
      </c>
      <c r="D2830">
        <f>IF(A2830="","",'Ratings'!D182)</f>
        <v/>
      </c>
      <c r="E2830">
        <f>IF(AND('Ratings'!A182&lt;&gt;"",'Ratings'!Q5&lt;&gt;""),'Ratings'!Q5,"")</f>
        <v/>
      </c>
      <c r="F2830">
        <f>IF(OR(A2830="",'Ratings'!Q182=""),"",'Ratings'!Q182)</f>
        <v/>
      </c>
      <c r="G2830">
        <f>IF(A2830="","",'Employees'!D17)</f>
        <v/>
      </c>
    </row>
    <row r="2831">
      <c r="A2831">
        <f>IF(AND('Ratings'!A182&lt;&gt;"",'Ratings'!R5&lt;&gt;""),'Ratings'!A182,"")</f>
        <v/>
      </c>
      <c r="B2831">
        <f>IF(A2831="","",'Employees'!C17)</f>
        <v/>
      </c>
      <c r="C2831">
        <f>IF(A2831="","",'Ratings'!C182)</f>
        <v/>
      </c>
      <c r="D2831">
        <f>IF(A2831="","",'Ratings'!D182)</f>
        <v/>
      </c>
      <c r="E2831">
        <f>IF(AND('Ratings'!A182&lt;&gt;"",'Ratings'!R5&lt;&gt;""),'Ratings'!R5,"")</f>
        <v/>
      </c>
      <c r="F2831">
        <f>IF(OR(A2831="",'Ratings'!R182=""),"",'Ratings'!R182)</f>
        <v/>
      </c>
      <c r="G2831">
        <f>IF(A2831="","",'Employees'!D17)</f>
        <v/>
      </c>
    </row>
    <row r="2832">
      <c r="A2832">
        <f>IF(AND('Ratings'!A182&lt;&gt;"",'Ratings'!S5&lt;&gt;""),'Ratings'!A182,"")</f>
        <v/>
      </c>
      <c r="B2832">
        <f>IF(A2832="","",'Employees'!C17)</f>
        <v/>
      </c>
      <c r="C2832">
        <f>IF(A2832="","",'Ratings'!C182)</f>
        <v/>
      </c>
      <c r="D2832">
        <f>IF(A2832="","",'Ratings'!D182)</f>
        <v/>
      </c>
      <c r="E2832">
        <f>IF(AND('Ratings'!A182&lt;&gt;"",'Ratings'!S5&lt;&gt;""),'Ratings'!S5,"")</f>
        <v/>
      </c>
      <c r="F2832">
        <f>IF(OR(A2832="",'Ratings'!S182=""),"",'Ratings'!S182)</f>
        <v/>
      </c>
      <c r="G2832">
        <f>IF(A2832="","",'Employees'!D17)</f>
        <v/>
      </c>
    </row>
    <row r="2833">
      <c r="A2833">
        <f>IF(AND('Ratings'!A182&lt;&gt;"",'Ratings'!T5&lt;&gt;""),'Ratings'!A182,"")</f>
        <v/>
      </c>
      <c r="B2833">
        <f>IF(A2833="","",'Employees'!C17)</f>
        <v/>
      </c>
      <c r="C2833">
        <f>IF(A2833="","",'Ratings'!C182)</f>
        <v/>
      </c>
      <c r="D2833">
        <f>IF(A2833="","",'Ratings'!D182)</f>
        <v/>
      </c>
      <c r="E2833">
        <f>IF(AND('Ratings'!A182&lt;&gt;"",'Ratings'!T5&lt;&gt;""),'Ratings'!T5,"")</f>
        <v/>
      </c>
      <c r="F2833">
        <f>IF(OR(A2833="",'Ratings'!T182=""),"",'Ratings'!T182)</f>
        <v/>
      </c>
      <c r="G2833">
        <f>IF(A2833="","",'Employees'!D17)</f>
        <v/>
      </c>
    </row>
    <row r="2834">
      <c r="A2834">
        <f>IF(AND('Ratings'!A183&lt;&gt;"",'Ratings'!E5&lt;&gt;""),'Ratings'!A183,"")</f>
        <v/>
      </c>
      <c r="B2834">
        <f>IF(A2834="","",'Employees'!C17)</f>
        <v/>
      </c>
      <c r="C2834">
        <f>IF(A2834="","",'Ratings'!C183)</f>
        <v/>
      </c>
      <c r="D2834">
        <f>IF(A2834="","",'Ratings'!D183)</f>
        <v/>
      </c>
      <c r="E2834">
        <f>IF(AND('Ratings'!A183&lt;&gt;"",'Ratings'!E5&lt;&gt;""),'Ratings'!E5,"")</f>
        <v/>
      </c>
      <c r="F2834">
        <f>IF(OR(A2834="",'Ratings'!E183=""),"",'Ratings'!E183)</f>
        <v/>
      </c>
      <c r="G2834">
        <f>IF(A2834="","",'Employees'!D17)</f>
        <v/>
      </c>
    </row>
    <row r="2835">
      <c r="A2835">
        <f>IF(AND('Ratings'!A183&lt;&gt;"",'Ratings'!F5&lt;&gt;""),'Ratings'!A183,"")</f>
        <v/>
      </c>
      <c r="B2835">
        <f>IF(A2835="","",'Employees'!C17)</f>
        <v/>
      </c>
      <c r="C2835">
        <f>IF(A2835="","",'Ratings'!C183)</f>
        <v/>
      </c>
      <c r="D2835">
        <f>IF(A2835="","",'Ratings'!D183)</f>
        <v/>
      </c>
      <c r="E2835">
        <f>IF(AND('Ratings'!A183&lt;&gt;"",'Ratings'!F5&lt;&gt;""),'Ratings'!F5,"")</f>
        <v/>
      </c>
      <c r="F2835">
        <f>IF(OR(A2835="",'Ratings'!F183=""),"",'Ratings'!F183)</f>
        <v/>
      </c>
      <c r="G2835">
        <f>IF(A2835="","",'Employees'!D17)</f>
        <v/>
      </c>
    </row>
    <row r="2836">
      <c r="A2836">
        <f>IF(AND('Ratings'!A183&lt;&gt;"",'Ratings'!G5&lt;&gt;""),'Ratings'!A183,"")</f>
        <v/>
      </c>
      <c r="B2836">
        <f>IF(A2836="","",'Employees'!C17)</f>
        <v/>
      </c>
      <c r="C2836">
        <f>IF(A2836="","",'Ratings'!C183)</f>
        <v/>
      </c>
      <c r="D2836">
        <f>IF(A2836="","",'Ratings'!D183)</f>
        <v/>
      </c>
      <c r="E2836">
        <f>IF(AND('Ratings'!A183&lt;&gt;"",'Ratings'!G5&lt;&gt;""),'Ratings'!G5,"")</f>
        <v/>
      </c>
      <c r="F2836">
        <f>IF(OR(A2836="",'Ratings'!G183=""),"",'Ratings'!G183)</f>
        <v/>
      </c>
      <c r="G2836">
        <f>IF(A2836="","",'Employees'!D17)</f>
        <v/>
      </c>
    </row>
    <row r="2837">
      <c r="A2837">
        <f>IF(AND('Ratings'!A183&lt;&gt;"",'Ratings'!H5&lt;&gt;""),'Ratings'!A183,"")</f>
        <v/>
      </c>
      <c r="B2837">
        <f>IF(A2837="","",'Employees'!C17)</f>
        <v/>
      </c>
      <c r="C2837">
        <f>IF(A2837="","",'Ratings'!C183)</f>
        <v/>
      </c>
      <c r="D2837">
        <f>IF(A2837="","",'Ratings'!D183)</f>
        <v/>
      </c>
      <c r="E2837">
        <f>IF(AND('Ratings'!A183&lt;&gt;"",'Ratings'!H5&lt;&gt;""),'Ratings'!H5,"")</f>
        <v/>
      </c>
      <c r="F2837">
        <f>IF(OR(A2837="",'Ratings'!H183=""),"",'Ratings'!H183)</f>
        <v/>
      </c>
      <c r="G2837">
        <f>IF(A2837="","",'Employees'!D17)</f>
        <v/>
      </c>
    </row>
    <row r="2838">
      <c r="A2838">
        <f>IF(AND('Ratings'!A183&lt;&gt;"",'Ratings'!I5&lt;&gt;""),'Ratings'!A183,"")</f>
        <v/>
      </c>
      <c r="B2838">
        <f>IF(A2838="","",'Employees'!C17)</f>
        <v/>
      </c>
      <c r="C2838">
        <f>IF(A2838="","",'Ratings'!C183)</f>
        <v/>
      </c>
      <c r="D2838">
        <f>IF(A2838="","",'Ratings'!D183)</f>
        <v/>
      </c>
      <c r="E2838">
        <f>IF(AND('Ratings'!A183&lt;&gt;"",'Ratings'!I5&lt;&gt;""),'Ratings'!I5,"")</f>
        <v/>
      </c>
      <c r="F2838">
        <f>IF(OR(A2838="",'Ratings'!I183=""),"",'Ratings'!I183)</f>
        <v/>
      </c>
      <c r="G2838">
        <f>IF(A2838="","",'Employees'!D17)</f>
        <v/>
      </c>
    </row>
    <row r="2839">
      <c r="A2839">
        <f>IF(AND('Ratings'!A183&lt;&gt;"",'Ratings'!J5&lt;&gt;""),'Ratings'!A183,"")</f>
        <v/>
      </c>
      <c r="B2839">
        <f>IF(A2839="","",'Employees'!C17)</f>
        <v/>
      </c>
      <c r="C2839">
        <f>IF(A2839="","",'Ratings'!C183)</f>
        <v/>
      </c>
      <c r="D2839">
        <f>IF(A2839="","",'Ratings'!D183)</f>
        <v/>
      </c>
      <c r="E2839">
        <f>IF(AND('Ratings'!A183&lt;&gt;"",'Ratings'!J5&lt;&gt;""),'Ratings'!J5,"")</f>
        <v/>
      </c>
      <c r="F2839">
        <f>IF(OR(A2839="",'Ratings'!J183=""),"",'Ratings'!J183)</f>
        <v/>
      </c>
      <c r="G2839">
        <f>IF(A2839="","",'Employees'!D17)</f>
        <v/>
      </c>
    </row>
    <row r="2840">
      <c r="A2840">
        <f>IF(AND('Ratings'!A183&lt;&gt;"",'Ratings'!K5&lt;&gt;""),'Ratings'!A183,"")</f>
        <v/>
      </c>
      <c r="B2840">
        <f>IF(A2840="","",'Employees'!C17)</f>
        <v/>
      </c>
      <c r="C2840">
        <f>IF(A2840="","",'Ratings'!C183)</f>
        <v/>
      </c>
      <c r="D2840">
        <f>IF(A2840="","",'Ratings'!D183)</f>
        <v/>
      </c>
      <c r="E2840">
        <f>IF(AND('Ratings'!A183&lt;&gt;"",'Ratings'!K5&lt;&gt;""),'Ratings'!K5,"")</f>
        <v/>
      </c>
      <c r="F2840">
        <f>IF(OR(A2840="",'Ratings'!K183=""),"",'Ratings'!K183)</f>
        <v/>
      </c>
      <c r="G2840">
        <f>IF(A2840="","",'Employees'!D17)</f>
        <v/>
      </c>
    </row>
    <row r="2841">
      <c r="A2841">
        <f>IF(AND('Ratings'!A183&lt;&gt;"",'Ratings'!L5&lt;&gt;""),'Ratings'!A183,"")</f>
        <v/>
      </c>
      <c r="B2841">
        <f>IF(A2841="","",'Employees'!C17)</f>
        <v/>
      </c>
      <c r="C2841">
        <f>IF(A2841="","",'Ratings'!C183)</f>
        <v/>
      </c>
      <c r="D2841">
        <f>IF(A2841="","",'Ratings'!D183)</f>
        <v/>
      </c>
      <c r="E2841">
        <f>IF(AND('Ratings'!A183&lt;&gt;"",'Ratings'!L5&lt;&gt;""),'Ratings'!L5,"")</f>
        <v/>
      </c>
      <c r="F2841">
        <f>IF(OR(A2841="",'Ratings'!L183=""),"",'Ratings'!L183)</f>
        <v/>
      </c>
      <c r="G2841">
        <f>IF(A2841="","",'Employees'!D17)</f>
        <v/>
      </c>
    </row>
    <row r="2842">
      <c r="A2842">
        <f>IF(AND('Ratings'!A183&lt;&gt;"",'Ratings'!M5&lt;&gt;""),'Ratings'!A183,"")</f>
        <v/>
      </c>
      <c r="B2842">
        <f>IF(A2842="","",'Employees'!C17)</f>
        <v/>
      </c>
      <c r="C2842">
        <f>IF(A2842="","",'Ratings'!C183)</f>
        <v/>
      </c>
      <c r="D2842">
        <f>IF(A2842="","",'Ratings'!D183)</f>
        <v/>
      </c>
      <c r="E2842">
        <f>IF(AND('Ratings'!A183&lt;&gt;"",'Ratings'!M5&lt;&gt;""),'Ratings'!M5,"")</f>
        <v/>
      </c>
      <c r="F2842">
        <f>IF(OR(A2842="",'Ratings'!M183=""),"",'Ratings'!M183)</f>
        <v/>
      </c>
      <c r="G2842">
        <f>IF(A2842="","",'Employees'!D17)</f>
        <v/>
      </c>
    </row>
    <row r="2843">
      <c r="A2843">
        <f>IF(AND('Ratings'!A183&lt;&gt;"",'Ratings'!N5&lt;&gt;""),'Ratings'!A183,"")</f>
        <v/>
      </c>
      <c r="B2843">
        <f>IF(A2843="","",'Employees'!C17)</f>
        <v/>
      </c>
      <c r="C2843">
        <f>IF(A2843="","",'Ratings'!C183)</f>
        <v/>
      </c>
      <c r="D2843">
        <f>IF(A2843="","",'Ratings'!D183)</f>
        <v/>
      </c>
      <c r="E2843">
        <f>IF(AND('Ratings'!A183&lt;&gt;"",'Ratings'!N5&lt;&gt;""),'Ratings'!N5,"")</f>
        <v/>
      </c>
      <c r="F2843">
        <f>IF(OR(A2843="",'Ratings'!N183=""),"",'Ratings'!N183)</f>
        <v/>
      </c>
      <c r="G2843">
        <f>IF(A2843="","",'Employees'!D17)</f>
        <v/>
      </c>
    </row>
    <row r="2844">
      <c r="A2844">
        <f>IF(AND('Ratings'!A183&lt;&gt;"",'Ratings'!O5&lt;&gt;""),'Ratings'!A183,"")</f>
        <v/>
      </c>
      <c r="B2844">
        <f>IF(A2844="","",'Employees'!C17)</f>
        <v/>
      </c>
      <c r="C2844">
        <f>IF(A2844="","",'Ratings'!C183)</f>
        <v/>
      </c>
      <c r="D2844">
        <f>IF(A2844="","",'Ratings'!D183)</f>
        <v/>
      </c>
      <c r="E2844">
        <f>IF(AND('Ratings'!A183&lt;&gt;"",'Ratings'!O5&lt;&gt;""),'Ratings'!O5,"")</f>
        <v/>
      </c>
      <c r="F2844">
        <f>IF(OR(A2844="",'Ratings'!O183=""),"",'Ratings'!O183)</f>
        <v/>
      </c>
      <c r="G2844">
        <f>IF(A2844="","",'Employees'!D17)</f>
        <v/>
      </c>
    </row>
    <row r="2845">
      <c r="A2845">
        <f>IF(AND('Ratings'!A183&lt;&gt;"",'Ratings'!P5&lt;&gt;""),'Ratings'!A183,"")</f>
        <v/>
      </c>
      <c r="B2845">
        <f>IF(A2845="","",'Employees'!C17)</f>
        <v/>
      </c>
      <c r="C2845">
        <f>IF(A2845="","",'Ratings'!C183)</f>
        <v/>
      </c>
      <c r="D2845">
        <f>IF(A2845="","",'Ratings'!D183)</f>
        <v/>
      </c>
      <c r="E2845">
        <f>IF(AND('Ratings'!A183&lt;&gt;"",'Ratings'!P5&lt;&gt;""),'Ratings'!P5,"")</f>
        <v/>
      </c>
      <c r="F2845">
        <f>IF(OR(A2845="",'Ratings'!P183=""),"",'Ratings'!P183)</f>
        <v/>
      </c>
      <c r="G2845">
        <f>IF(A2845="","",'Employees'!D17)</f>
        <v/>
      </c>
    </row>
    <row r="2846">
      <c r="A2846">
        <f>IF(AND('Ratings'!A183&lt;&gt;"",'Ratings'!Q5&lt;&gt;""),'Ratings'!A183,"")</f>
        <v/>
      </c>
      <c r="B2846">
        <f>IF(A2846="","",'Employees'!C17)</f>
        <v/>
      </c>
      <c r="C2846">
        <f>IF(A2846="","",'Ratings'!C183)</f>
        <v/>
      </c>
      <c r="D2846">
        <f>IF(A2846="","",'Ratings'!D183)</f>
        <v/>
      </c>
      <c r="E2846">
        <f>IF(AND('Ratings'!A183&lt;&gt;"",'Ratings'!Q5&lt;&gt;""),'Ratings'!Q5,"")</f>
        <v/>
      </c>
      <c r="F2846">
        <f>IF(OR(A2846="",'Ratings'!Q183=""),"",'Ratings'!Q183)</f>
        <v/>
      </c>
      <c r="G2846">
        <f>IF(A2846="","",'Employees'!D17)</f>
        <v/>
      </c>
    </row>
    <row r="2847">
      <c r="A2847">
        <f>IF(AND('Ratings'!A183&lt;&gt;"",'Ratings'!R5&lt;&gt;""),'Ratings'!A183,"")</f>
        <v/>
      </c>
      <c r="B2847">
        <f>IF(A2847="","",'Employees'!C17)</f>
        <v/>
      </c>
      <c r="C2847">
        <f>IF(A2847="","",'Ratings'!C183)</f>
        <v/>
      </c>
      <c r="D2847">
        <f>IF(A2847="","",'Ratings'!D183)</f>
        <v/>
      </c>
      <c r="E2847">
        <f>IF(AND('Ratings'!A183&lt;&gt;"",'Ratings'!R5&lt;&gt;""),'Ratings'!R5,"")</f>
        <v/>
      </c>
      <c r="F2847">
        <f>IF(OR(A2847="",'Ratings'!R183=""),"",'Ratings'!R183)</f>
        <v/>
      </c>
      <c r="G2847">
        <f>IF(A2847="","",'Employees'!D17)</f>
        <v/>
      </c>
    </row>
    <row r="2848">
      <c r="A2848">
        <f>IF(AND('Ratings'!A183&lt;&gt;"",'Ratings'!S5&lt;&gt;""),'Ratings'!A183,"")</f>
        <v/>
      </c>
      <c r="B2848">
        <f>IF(A2848="","",'Employees'!C17)</f>
        <v/>
      </c>
      <c r="C2848">
        <f>IF(A2848="","",'Ratings'!C183)</f>
        <v/>
      </c>
      <c r="D2848">
        <f>IF(A2848="","",'Ratings'!D183)</f>
        <v/>
      </c>
      <c r="E2848">
        <f>IF(AND('Ratings'!A183&lt;&gt;"",'Ratings'!S5&lt;&gt;""),'Ratings'!S5,"")</f>
        <v/>
      </c>
      <c r="F2848">
        <f>IF(OR(A2848="",'Ratings'!S183=""),"",'Ratings'!S183)</f>
        <v/>
      </c>
      <c r="G2848">
        <f>IF(A2848="","",'Employees'!D17)</f>
        <v/>
      </c>
    </row>
    <row r="2849">
      <c r="A2849">
        <f>IF(AND('Ratings'!A183&lt;&gt;"",'Ratings'!T5&lt;&gt;""),'Ratings'!A183,"")</f>
        <v/>
      </c>
      <c r="B2849">
        <f>IF(A2849="","",'Employees'!C17)</f>
        <v/>
      </c>
      <c r="C2849">
        <f>IF(A2849="","",'Ratings'!C183)</f>
        <v/>
      </c>
      <c r="D2849">
        <f>IF(A2849="","",'Ratings'!D183)</f>
        <v/>
      </c>
      <c r="E2849">
        <f>IF(AND('Ratings'!A183&lt;&gt;"",'Ratings'!T5&lt;&gt;""),'Ratings'!T5,"")</f>
        <v/>
      </c>
      <c r="F2849">
        <f>IF(OR(A2849="",'Ratings'!T183=""),"",'Ratings'!T183)</f>
        <v/>
      </c>
      <c r="G2849">
        <f>IF(A2849="","",'Employees'!D17)</f>
        <v/>
      </c>
    </row>
    <row r="2850">
      <c r="A2850">
        <f>IF(AND('Ratings'!A184&lt;&gt;"",'Ratings'!E5&lt;&gt;""),'Ratings'!A184,"")</f>
        <v/>
      </c>
      <c r="B2850">
        <f>IF(A2850="","",'Employees'!C17)</f>
        <v/>
      </c>
      <c r="C2850">
        <f>IF(A2850="","",'Ratings'!C184)</f>
        <v/>
      </c>
      <c r="D2850">
        <f>IF(A2850="","",'Ratings'!D184)</f>
        <v/>
      </c>
      <c r="E2850">
        <f>IF(AND('Ratings'!A184&lt;&gt;"",'Ratings'!E5&lt;&gt;""),'Ratings'!E5,"")</f>
        <v/>
      </c>
      <c r="F2850">
        <f>IF(OR(A2850="",'Ratings'!E184=""),"",'Ratings'!E184)</f>
        <v/>
      </c>
      <c r="G2850">
        <f>IF(A2850="","",'Employees'!D17)</f>
        <v/>
      </c>
    </row>
    <row r="2851">
      <c r="A2851">
        <f>IF(AND('Ratings'!A184&lt;&gt;"",'Ratings'!F5&lt;&gt;""),'Ratings'!A184,"")</f>
        <v/>
      </c>
      <c r="B2851">
        <f>IF(A2851="","",'Employees'!C17)</f>
        <v/>
      </c>
      <c r="C2851">
        <f>IF(A2851="","",'Ratings'!C184)</f>
        <v/>
      </c>
      <c r="D2851">
        <f>IF(A2851="","",'Ratings'!D184)</f>
        <v/>
      </c>
      <c r="E2851">
        <f>IF(AND('Ratings'!A184&lt;&gt;"",'Ratings'!F5&lt;&gt;""),'Ratings'!F5,"")</f>
        <v/>
      </c>
      <c r="F2851">
        <f>IF(OR(A2851="",'Ratings'!F184=""),"",'Ratings'!F184)</f>
        <v/>
      </c>
      <c r="G2851">
        <f>IF(A2851="","",'Employees'!D17)</f>
        <v/>
      </c>
    </row>
    <row r="2852">
      <c r="A2852">
        <f>IF(AND('Ratings'!A184&lt;&gt;"",'Ratings'!G5&lt;&gt;""),'Ratings'!A184,"")</f>
        <v/>
      </c>
      <c r="B2852">
        <f>IF(A2852="","",'Employees'!C17)</f>
        <v/>
      </c>
      <c r="C2852">
        <f>IF(A2852="","",'Ratings'!C184)</f>
        <v/>
      </c>
      <c r="D2852">
        <f>IF(A2852="","",'Ratings'!D184)</f>
        <v/>
      </c>
      <c r="E2852">
        <f>IF(AND('Ratings'!A184&lt;&gt;"",'Ratings'!G5&lt;&gt;""),'Ratings'!G5,"")</f>
        <v/>
      </c>
      <c r="F2852">
        <f>IF(OR(A2852="",'Ratings'!G184=""),"",'Ratings'!G184)</f>
        <v/>
      </c>
      <c r="G2852">
        <f>IF(A2852="","",'Employees'!D17)</f>
        <v/>
      </c>
    </row>
    <row r="2853">
      <c r="A2853">
        <f>IF(AND('Ratings'!A184&lt;&gt;"",'Ratings'!H5&lt;&gt;""),'Ratings'!A184,"")</f>
        <v/>
      </c>
      <c r="B2853">
        <f>IF(A2853="","",'Employees'!C17)</f>
        <v/>
      </c>
      <c r="C2853">
        <f>IF(A2853="","",'Ratings'!C184)</f>
        <v/>
      </c>
      <c r="D2853">
        <f>IF(A2853="","",'Ratings'!D184)</f>
        <v/>
      </c>
      <c r="E2853">
        <f>IF(AND('Ratings'!A184&lt;&gt;"",'Ratings'!H5&lt;&gt;""),'Ratings'!H5,"")</f>
        <v/>
      </c>
      <c r="F2853">
        <f>IF(OR(A2853="",'Ratings'!H184=""),"",'Ratings'!H184)</f>
        <v/>
      </c>
      <c r="G2853">
        <f>IF(A2853="","",'Employees'!D17)</f>
        <v/>
      </c>
    </row>
    <row r="2854">
      <c r="A2854">
        <f>IF(AND('Ratings'!A184&lt;&gt;"",'Ratings'!I5&lt;&gt;""),'Ratings'!A184,"")</f>
        <v/>
      </c>
      <c r="B2854">
        <f>IF(A2854="","",'Employees'!C17)</f>
        <v/>
      </c>
      <c r="C2854">
        <f>IF(A2854="","",'Ratings'!C184)</f>
        <v/>
      </c>
      <c r="D2854">
        <f>IF(A2854="","",'Ratings'!D184)</f>
        <v/>
      </c>
      <c r="E2854">
        <f>IF(AND('Ratings'!A184&lt;&gt;"",'Ratings'!I5&lt;&gt;""),'Ratings'!I5,"")</f>
        <v/>
      </c>
      <c r="F2854">
        <f>IF(OR(A2854="",'Ratings'!I184=""),"",'Ratings'!I184)</f>
        <v/>
      </c>
      <c r="G2854">
        <f>IF(A2854="","",'Employees'!D17)</f>
        <v/>
      </c>
    </row>
    <row r="2855">
      <c r="A2855">
        <f>IF(AND('Ratings'!A184&lt;&gt;"",'Ratings'!J5&lt;&gt;""),'Ratings'!A184,"")</f>
        <v/>
      </c>
      <c r="B2855">
        <f>IF(A2855="","",'Employees'!C17)</f>
        <v/>
      </c>
      <c r="C2855">
        <f>IF(A2855="","",'Ratings'!C184)</f>
        <v/>
      </c>
      <c r="D2855">
        <f>IF(A2855="","",'Ratings'!D184)</f>
        <v/>
      </c>
      <c r="E2855">
        <f>IF(AND('Ratings'!A184&lt;&gt;"",'Ratings'!J5&lt;&gt;""),'Ratings'!J5,"")</f>
        <v/>
      </c>
      <c r="F2855">
        <f>IF(OR(A2855="",'Ratings'!J184=""),"",'Ratings'!J184)</f>
        <v/>
      </c>
      <c r="G2855">
        <f>IF(A2855="","",'Employees'!D17)</f>
        <v/>
      </c>
    </row>
    <row r="2856">
      <c r="A2856">
        <f>IF(AND('Ratings'!A184&lt;&gt;"",'Ratings'!K5&lt;&gt;""),'Ratings'!A184,"")</f>
        <v/>
      </c>
      <c r="B2856">
        <f>IF(A2856="","",'Employees'!C17)</f>
        <v/>
      </c>
      <c r="C2856">
        <f>IF(A2856="","",'Ratings'!C184)</f>
        <v/>
      </c>
      <c r="D2856">
        <f>IF(A2856="","",'Ratings'!D184)</f>
        <v/>
      </c>
      <c r="E2856">
        <f>IF(AND('Ratings'!A184&lt;&gt;"",'Ratings'!K5&lt;&gt;""),'Ratings'!K5,"")</f>
        <v/>
      </c>
      <c r="F2856">
        <f>IF(OR(A2856="",'Ratings'!K184=""),"",'Ratings'!K184)</f>
        <v/>
      </c>
      <c r="G2856">
        <f>IF(A2856="","",'Employees'!D17)</f>
        <v/>
      </c>
    </row>
    <row r="2857">
      <c r="A2857">
        <f>IF(AND('Ratings'!A184&lt;&gt;"",'Ratings'!L5&lt;&gt;""),'Ratings'!A184,"")</f>
        <v/>
      </c>
      <c r="B2857">
        <f>IF(A2857="","",'Employees'!C17)</f>
        <v/>
      </c>
      <c r="C2857">
        <f>IF(A2857="","",'Ratings'!C184)</f>
        <v/>
      </c>
      <c r="D2857">
        <f>IF(A2857="","",'Ratings'!D184)</f>
        <v/>
      </c>
      <c r="E2857">
        <f>IF(AND('Ratings'!A184&lt;&gt;"",'Ratings'!L5&lt;&gt;""),'Ratings'!L5,"")</f>
        <v/>
      </c>
      <c r="F2857">
        <f>IF(OR(A2857="",'Ratings'!L184=""),"",'Ratings'!L184)</f>
        <v/>
      </c>
      <c r="G2857">
        <f>IF(A2857="","",'Employees'!D17)</f>
        <v/>
      </c>
    </row>
    <row r="2858">
      <c r="A2858">
        <f>IF(AND('Ratings'!A184&lt;&gt;"",'Ratings'!M5&lt;&gt;""),'Ratings'!A184,"")</f>
        <v/>
      </c>
      <c r="B2858">
        <f>IF(A2858="","",'Employees'!C17)</f>
        <v/>
      </c>
      <c r="C2858">
        <f>IF(A2858="","",'Ratings'!C184)</f>
        <v/>
      </c>
      <c r="D2858">
        <f>IF(A2858="","",'Ratings'!D184)</f>
        <v/>
      </c>
      <c r="E2858">
        <f>IF(AND('Ratings'!A184&lt;&gt;"",'Ratings'!M5&lt;&gt;""),'Ratings'!M5,"")</f>
        <v/>
      </c>
      <c r="F2858">
        <f>IF(OR(A2858="",'Ratings'!M184=""),"",'Ratings'!M184)</f>
        <v/>
      </c>
      <c r="G2858">
        <f>IF(A2858="","",'Employees'!D17)</f>
        <v/>
      </c>
    </row>
    <row r="2859">
      <c r="A2859">
        <f>IF(AND('Ratings'!A184&lt;&gt;"",'Ratings'!N5&lt;&gt;""),'Ratings'!A184,"")</f>
        <v/>
      </c>
      <c r="B2859">
        <f>IF(A2859="","",'Employees'!C17)</f>
        <v/>
      </c>
      <c r="C2859">
        <f>IF(A2859="","",'Ratings'!C184)</f>
        <v/>
      </c>
      <c r="D2859">
        <f>IF(A2859="","",'Ratings'!D184)</f>
        <v/>
      </c>
      <c r="E2859">
        <f>IF(AND('Ratings'!A184&lt;&gt;"",'Ratings'!N5&lt;&gt;""),'Ratings'!N5,"")</f>
        <v/>
      </c>
      <c r="F2859">
        <f>IF(OR(A2859="",'Ratings'!N184=""),"",'Ratings'!N184)</f>
        <v/>
      </c>
      <c r="G2859">
        <f>IF(A2859="","",'Employees'!D17)</f>
        <v/>
      </c>
    </row>
    <row r="2860">
      <c r="A2860">
        <f>IF(AND('Ratings'!A184&lt;&gt;"",'Ratings'!O5&lt;&gt;""),'Ratings'!A184,"")</f>
        <v/>
      </c>
      <c r="B2860">
        <f>IF(A2860="","",'Employees'!C17)</f>
        <v/>
      </c>
      <c r="C2860">
        <f>IF(A2860="","",'Ratings'!C184)</f>
        <v/>
      </c>
      <c r="D2860">
        <f>IF(A2860="","",'Ratings'!D184)</f>
        <v/>
      </c>
      <c r="E2860">
        <f>IF(AND('Ratings'!A184&lt;&gt;"",'Ratings'!O5&lt;&gt;""),'Ratings'!O5,"")</f>
        <v/>
      </c>
      <c r="F2860">
        <f>IF(OR(A2860="",'Ratings'!O184=""),"",'Ratings'!O184)</f>
        <v/>
      </c>
      <c r="G2860">
        <f>IF(A2860="","",'Employees'!D17)</f>
        <v/>
      </c>
    </row>
    <row r="2861">
      <c r="A2861">
        <f>IF(AND('Ratings'!A184&lt;&gt;"",'Ratings'!P5&lt;&gt;""),'Ratings'!A184,"")</f>
        <v/>
      </c>
      <c r="B2861">
        <f>IF(A2861="","",'Employees'!C17)</f>
        <v/>
      </c>
      <c r="C2861">
        <f>IF(A2861="","",'Ratings'!C184)</f>
        <v/>
      </c>
      <c r="D2861">
        <f>IF(A2861="","",'Ratings'!D184)</f>
        <v/>
      </c>
      <c r="E2861">
        <f>IF(AND('Ratings'!A184&lt;&gt;"",'Ratings'!P5&lt;&gt;""),'Ratings'!P5,"")</f>
        <v/>
      </c>
      <c r="F2861">
        <f>IF(OR(A2861="",'Ratings'!P184=""),"",'Ratings'!P184)</f>
        <v/>
      </c>
      <c r="G2861">
        <f>IF(A2861="","",'Employees'!D17)</f>
        <v/>
      </c>
    </row>
    <row r="2862">
      <c r="A2862">
        <f>IF(AND('Ratings'!A184&lt;&gt;"",'Ratings'!Q5&lt;&gt;""),'Ratings'!A184,"")</f>
        <v/>
      </c>
      <c r="B2862">
        <f>IF(A2862="","",'Employees'!C17)</f>
        <v/>
      </c>
      <c r="C2862">
        <f>IF(A2862="","",'Ratings'!C184)</f>
        <v/>
      </c>
      <c r="D2862">
        <f>IF(A2862="","",'Ratings'!D184)</f>
        <v/>
      </c>
      <c r="E2862">
        <f>IF(AND('Ratings'!A184&lt;&gt;"",'Ratings'!Q5&lt;&gt;""),'Ratings'!Q5,"")</f>
        <v/>
      </c>
      <c r="F2862">
        <f>IF(OR(A2862="",'Ratings'!Q184=""),"",'Ratings'!Q184)</f>
        <v/>
      </c>
      <c r="G2862">
        <f>IF(A2862="","",'Employees'!D17)</f>
        <v/>
      </c>
    </row>
    <row r="2863">
      <c r="A2863">
        <f>IF(AND('Ratings'!A184&lt;&gt;"",'Ratings'!R5&lt;&gt;""),'Ratings'!A184,"")</f>
        <v/>
      </c>
      <c r="B2863">
        <f>IF(A2863="","",'Employees'!C17)</f>
        <v/>
      </c>
      <c r="C2863">
        <f>IF(A2863="","",'Ratings'!C184)</f>
        <v/>
      </c>
      <c r="D2863">
        <f>IF(A2863="","",'Ratings'!D184)</f>
        <v/>
      </c>
      <c r="E2863">
        <f>IF(AND('Ratings'!A184&lt;&gt;"",'Ratings'!R5&lt;&gt;""),'Ratings'!R5,"")</f>
        <v/>
      </c>
      <c r="F2863">
        <f>IF(OR(A2863="",'Ratings'!R184=""),"",'Ratings'!R184)</f>
        <v/>
      </c>
      <c r="G2863">
        <f>IF(A2863="","",'Employees'!D17)</f>
        <v/>
      </c>
    </row>
    <row r="2864">
      <c r="A2864">
        <f>IF(AND('Ratings'!A184&lt;&gt;"",'Ratings'!S5&lt;&gt;""),'Ratings'!A184,"")</f>
        <v/>
      </c>
      <c r="B2864">
        <f>IF(A2864="","",'Employees'!C17)</f>
        <v/>
      </c>
      <c r="C2864">
        <f>IF(A2864="","",'Ratings'!C184)</f>
        <v/>
      </c>
      <c r="D2864">
        <f>IF(A2864="","",'Ratings'!D184)</f>
        <v/>
      </c>
      <c r="E2864">
        <f>IF(AND('Ratings'!A184&lt;&gt;"",'Ratings'!S5&lt;&gt;""),'Ratings'!S5,"")</f>
        <v/>
      </c>
      <c r="F2864">
        <f>IF(OR(A2864="",'Ratings'!S184=""),"",'Ratings'!S184)</f>
        <v/>
      </c>
      <c r="G2864">
        <f>IF(A2864="","",'Employees'!D17)</f>
        <v/>
      </c>
    </row>
    <row r="2865">
      <c r="A2865">
        <f>IF(AND('Ratings'!A184&lt;&gt;"",'Ratings'!T5&lt;&gt;""),'Ratings'!A184,"")</f>
        <v/>
      </c>
      <c r="B2865">
        <f>IF(A2865="","",'Employees'!C17)</f>
        <v/>
      </c>
      <c r="C2865">
        <f>IF(A2865="","",'Ratings'!C184)</f>
        <v/>
      </c>
      <c r="D2865">
        <f>IF(A2865="","",'Ratings'!D184)</f>
        <v/>
      </c>
      <c r="E2865">
        <f>IF(AND('Ratings'!A184&lt;&gt;"",'Ratings'!T5&lt;&gt;""),'Ratings'!T5,"")</f>
        <v/>
      </c>
      <c r="F2865">
        <f>IF(OR(A2865="",'Ratings'!T184=""),"",'Ratings'!T184)</f>
        <v/>
      </c>
      <c r="G2865">
        <f>IF(A2865="","",'Employees'!D17)</f>
        <v/>
      </c>
    </row>
    <row r="2866">
      <c r="A2866">
        <f>IF(AND('Ratings'!A185&lt;&gt;"",'Ratings'!E5&lt;&gt;""),'Ratings'!A185,"")</f>
        <v/>
      </c>
      <c r="B2866">
        <f>IF(A2866="","",'Employees'!C17)</f>
        <v/>
      </c>
      <c r="C2866">
        <f>IF(A2866="","",'Ratings'!C185)</f>
        <v/>
      </c>
      <c r="D2866">
        <f>IF(A2866="","",'Ratings'!D185)</f>
        <v/>
      </c>
      <c r="E2866">
        <f>IF(AND('Ratings'!A185&lt;&gt;"",'Ratings'!E5&lt;&gt;""),'Ratings'!E5,"")</f>
        <v/>
      </c>
      <c r="F2866">
        <f>IF(OR(A2866="",'Ratings'!E185=""),"",'Ratings'!E185)</f>
        <v/>
      </c>
      <c r="G2866">
        <f>IF(A2866="","",'Employees'!D17)</f>
        <v/>
      </c>
    </row>
    <row r="2867">
      <c r="A2867">
        <f>IF(AND('Ratings'!A185&lt;&gt;"",'Ratings'!F5&lt;&gt;""),'Ratings'!A185,"")</f>
        <v/>
      </c>
      <c r="B2867">
        <f>IF(A2867="","",'Employees'!C17)</f>
        <v/>
      </c>
      <c r="C2867">
        <f>IF(A2867="","",'Ratings'!C185)</f>
        <v/>
      </c>
      <c r="D2867">
        <f>IF(A2867="","",'Ratings'!D185)</f>
        <v/>
      </c>
      <c r="E2867">
        <f>IF(AND('Ratings'!A185&lt;&gt;"",'Ratings'!F5&lt;&gt;""),'Ratings'!F5,"")</f>
        <v/>
      </c>
      <c r="F2867">
        <f>IF(OR(A2867="",'Ratings'!F185=""),"",'Ratings'!F185)</f>
        <v/>
      </c>
      <c r="G2867">
        <f>IF(A2867="","",'Employees'!D17)</f>
        <v/>
      </c>
    </row>
    <row r="2868">
      <c r="A2868">
        <f>IF(AND('Ratings'!A185&lt;&gt;"",'Ratings'!G5&lt;&gt;""),'Ratings'!A185,"")</f>
        <v/>
      </c>
      <c r="B2868">
        <f>IF(A2868="","",'Employees'!C17)</f>
        <v/>
      </c>
      <c r="C2868">
        <f>IF(A2868="","",'Ratings'!C185)</f>
        <v/>
      </c>
      <c r="D2868">
        <f>IF(A2868="","",'Ratings'!D185)</f>
        <v/>
      </c>
      <c r="E2868">
        <f>IF(AND('Ratings'!A185&lt;&gt;"",'Ratings'!G5&lt;&gt;""),'Ratings'!G5,"")</f>
        <v/>
      </c>
      <c r="F2868">
        <f>IF(OR(A2868="",'Ratings'!G185=""),"",'Ratings'!G185)</f>
        <v/>
      </c>
      <c r="G2868">
        <f>IF(A2868="","",'Employees'!D17)</f>
        <v/>
      </c>
    </row>
    <row r="2869">
      <c r="A2869">
        <f>IF(AND('Ratings'!A185&lt;&gt;"",'Ratings'!H5&lt;&gt;""),'Ratings'!A185,"")</f>
        <v/>
      </c>
      <c r="B2869">
        <f>IF(A2869="","",'Employees'!C17)</f>
        <v/>
      </c>
      <c r="C2869">
        <f>IF(A2869="","",'Ratings'!C185)</f>
        <v/>
      </c>
      <c r="D2869">
        <f>IF(A2869="","",'Ratings'!D185)</f>
        <v/>
      </c>
      <c r="E2869">
        <f>IF(AND('Ratings'!A185&lt;&gt;"",'Ratings'!H5&lt;&gt;""),'Ratings'!H5,"")</f>
        <v/>
      </c>
      <c r="F2869">
        <f>IF(OR(A2869="",'Ratings'!H185=""),"",'Ratings'!H185)</f>
        <v/>
      </c>
      <c r="G2869">
        <f>IF(A2869="","",'Employees'!D17)</f>
        <v/>
      </c>
    </row>
    <row r="2870">
      <c r="A2870">
        <f>IF(AND('Ratings'!A185&lt;&gt;"",'Ratings'!I5&lt;&gt;""),'Ratings'!A185,"")</f>
        <v/>
      </c>
      <c r="B2870">
        <f>IF(A2870="","",'Employees'!C17)</f>
        <v/>
      </c>
      <c r="C2870">
        <f>IF(A2870="","",'Ratings'!C185)</f>
        <v/>
      </c>
      <c r="D2870">
        <f>IF(A2870="","",'Ratings'!D185)</f>
        <v/>
      </c>
      <c r="E2870">
        <f>IF(AND('Ratings'!A185&lt;&gt;"",'Ratings'!I5&lt;&gt;""),'Ratings'!I5,"")</f>
        <v/>
      </c>
      <c r="F2870">
        <f>IF(OR(A2870="",'Ratings'!I185=""),"",'Ratings'!I185)</f>
        <v/>
      </c>
      <c r="G2870">
        <f>IF(A2870="","",'Employees'!D17)</f>
        <v/>
      </c>
    </row>
    <row r="2871">
      <c r="A2871">
        <f>IF(AND('Ratings'!A185&lt;&gt;"",'Ratings'!J5&lt;&gt;""),'Ratings'!A185,"")</f>
        <v/>
      </c>
      <c r="B2871">
        <f>IF(A2871="","",'Employees'!C17)</f>
        <v/>
      </c>
      <c r="C2871">
        <f>IF(A2871="","",'Ratings'!C185)</f>
        <v/>
      </c>
      <c r="D2871">
        <f>IF(A2871="","",'Ratings'!D185)</f>
        <v/>
      </c>
      <c r="E2871">
        <f>IF(AND('Ratings'!A185&lt;&gt;"",'Ratings'!J5&lt;&gt;""),'Ratings'!J5,"")</f>
        <v/>
      </c>
      <c r="F2871">
        <f>IF(OR(A2871="",'Ratings'!J185=""),"",'Ratings'!J185)</f>
        <v/>
      </c>
      <c r="G2871">
        <f>IF(A2871="","",'Employees'!D17)</f>
        <v/>
      </c>
    </row>
    <row r="2872">
      <c r="A2872">
        <f>IF(AND('Ratings'!A185&lt;&gt;"",'Ratings'!K5&lt;&gt;""),'Ratings'!A185,"")</f>
        <v/>
      </c>
      <c r="B2872">
        <f>IF(A2872="","",'Employees'!C17)</f>
        <v/>
      </c>
      <c r="C2872">
        <f>IF(A2872="","",'Ratings'!C185)</f>
        <v/>
      </c>
      <c r="D2872">
        <f>IF(A2872="","",'Ratings'!D185)</f>
        <v/>
      </c>
      <c r="E2872">
        <f>IF(AND('Ratings'!A185&lt;&gt;"",'Ratings'!K5&lt;&gt;""),'Ratings'!K5,"")</f>
        <v/>
      </c>
      <c r="F2872">
        <f>IF(OR(A2872="",'Ratings'!K185=""),"",'Ratings'!K185)</f>
        <v/>
      </c>
      <c r="G2872">
        <f>IF(A2872="","",'Employees'!D17)</f>
        <v/>
      </c>
    </row>
    <row r="2873">
      <c r="A2873">
        <f>IF(AND('Ratings'!A185&lt;&gt;"",'Ratings'!L5&lt;&gt;""),'Ratings'!A185,"")</f>
        <v/>
      </c>
      <c r="B2873">
        <f>IF(A2873="","",'Employees'!C17)</f>
        <v/>
      </c>
      <c r="C2873">
        <f>IF(A2873="","",'Ratings'!C185)</f>
        <v/>
      </c>
      <c r="D2873">
        <f>IF(A2873="","",'Ratings'!D185)</f>
        <v/>
      </c>
      <c r="E2873">
        <f>IF(AND('Ratings'!A185&lt;&gt;"",'Ratings'!L5&lt;&gt;""),'Ratings'!L5,"")</f>
        <v/>
      </c>
      <c r="F2873">
        <f>IF(OR(A2873="",'Ratings'!L185=""),"",'Ratings'!L185)</f>
        <v/>
      </c>
      <c r="G2873">
        <f>IF(A2873="","",'Employees'!D17)</f>
        <v/>
      </c>
    </row>
    <row r="2874">
      <c r="A2874">
        <f>IF(AND('Ratings'!A185&lt;&gt;"",'Ratings'!M5&lt;&gt;""),'Ratings'!A185,"")</f>
        <v/>
      </c>
      <c r="B2874">
        <f>IF(A2874="","",'Employees'!C17)</f>
        <v/>
      </c>
      <c r="C2874">
        <f>IF(A2874="","",'Ratings'!C185)</f>
        <v/>
      </c>
      <c r="D2874">
        <f>IF(A2874="","",'Ratings'!D185)</f>
        <v/>
      </c>
      <c r="E2874">
        <f>IF(AND('Ratings'!A185&lt;&gt;"",'Ratings'!M5&lt;&gt;""),'Ratings'!M5,"")</f>
        <v/>
      </c>
      <c r="F2874">
        <f>IF(OR(A2874="",'Ratings'!M185=""),"",'Ratings'!M185)</f>
        <v/>
      </c>
      <c r="G2874">
        <f>IF(A2874="","",'Employees'!D17)</f>
        <v/>
      </c>
    </row>
    <row r="2875">
      <c r="A2875">
        <f>IF(AND('Ratings'!A185&lt;&gt;"",'Ratings'!N5&lt;&gt;""),'Ratings'!A185,"")</f>
        <v/>
      </c>
      <c r="B2875">
        <f>IF(A2875="","",'Employees'!C17)</f>
        <v/>
      </c>
      <c r="C2875">
        <f>IF(A2875="","",'Ratings'!C185)</f>
        <v/>
      </c>
      <c r="D2875">
        <f>IF(A2875="","",'Ratings'!D185)</f>
        <v/>
      </c>
      <c r="E2875">
        <f>IF(AND('Ratings'!A185&lt;&gt;"",'Ratings'!N5&lt;&gt;""),'Ratings'!N5,"")</f>
        <v/>
      </c>
      <c r="F2875">
        <f>IF(OR(A2875="",'Ratings'!N185=""),"",'Ratings'!N185)</f>
        <v/>
      </c>
      <c r="G2875">
        <f>IF(A2875="","",'Employees'!D17)</f>
        <v/>
      </c>
    </row>
    <row r="2876">
      <c r="A2876">
        <f>IF(AND('Ratings'!A185&lt;&gt;"",'Ratings'!O5&lt;&gt;""),'Ratings'!A185,"")</f>
        <v/>
      </c>
      <c r="B2876">
        <f>IF(A2876="","",'Employees'!C17)</f>
        <v/>
      </c>
      <c r="C2876">
        <f>IF(A2876="","",'Ratings'!C185)</f>
        <v/>
      </c>
      <c r="D2876">
        <f>IF(A2876="","",'Ratings'!D185)</f>
        <v/>
      </c>
      <c r="E2876">
        <f>IF(AND('Ratings'!A185&lt;&gt;"",'Ratings'!O5&lt;&gt;""),'Ratings'!O5,"")</f>
        <v/>
      </c>
      <c r="F2876">
        <f>IF(OR(A2876="",'Ratings'!O185=""),"",'Ratings'!O185)</f>
        <v/>
      </c>
      <c r="G2876">
        <f>IF(A2876="","",'Employees'!D17)</f>
        <v/>
      </c>
    </row>
    <row r="2877">
      <c r="A2877">
        <f>IF(AND('Ratings'!A185&lt;&gt;"",'Ratings'!P5&lt;&gt;""),'Ratings'!A185,"")</f>
        <v/>
      </c>
      <c r="B2877">
        <f>IF(A2877="","",'Employees'!C17)</f>
        <v/>
      </c>
      <c r="C2877">
        <f>IF(A2877="","",'Ratings'!C185)</f>
        <v/>
      </c>
      <c r="D2877">
        <f>IF(A2877="","",'Ratings'!D185)</f>
        <v/>
      </c>
      <c r="E2877">
        <f>IF(AND('Ratings'!A185&lt;&gt;"",'Ratings'!P5&lt;&gt;""),'Ratings'!P5,"")</f>
        <v/>
      </c>
      <c r="F2877">
        <f>IF(OR(A2877="",'Ratings'!P185=""),"",'Ratings'!P185)</f>
        <v/>
      </c>
      <c r="G2877">
        <f>IF(A2877="","",'Employees'!D17)</f>
        <v/>
      </c>
    </row>
    <row r="2878">
      <c r="A2878">
        <f>IF(AND('Ratings'!A185&lt;&gt;"",'Ratings'!Q5&lt;&gt;""),'Ratings'!A185,"")</f>
        <v/>
      </c>
      <c r="B2878">
        <f>IF(A2878="","",'Employees'!C17)</f>
        <v/>
      </c>
      <c r="C2878">
        <f>IF(A2878="","",'Ratings'!C185)</f>
        <v/>
      </c>
      <c r="D2878">
        <f>IF(A2878="","",'Ratings'!D185)</f>
        <v/>
      </c>
      <c r="E2878">
        <f>IF(AND('Ratings'!A185&lt;&gt;"",'Ratings'!Q5&lt;&gt;""),'Ratings'!Q5,"")</f>
        <v/>
      </c>
      <c r="F2878">
        <f>IF(OR(A2878="",'Ratings'!Q185=""),"",'Ratings'!Q185)</f>
        <v/>
      </c>
      <c r="G2878">
        <f>IF(A2878="","",'Employees'!D17)</f>
        <v/>
      </c>
    </row>
    <row r="2879">
      <c r="A2879">
        <f>IF(AND('Ratings'!A185&lt;&gt;"",'Ratings'!R5&lt;&gt;""),'Ratings'!A185,"")</f>
        <v/>
      </c>
      <c r="B2879">
        <f>IF(A2879="","",'Employees'!C17)</f>
        <v/>
      </c>
      <c r="C2879">
        <f>IF(A2879="","",'Ratings'!C185)</f>
        <v/>
      </c>
      <c r="D2879">
        <f>IF(A2879="","",'Ratings'!D185)</f>
        <v/>
      </c>
      <c r="E2879">
        <f>IF(AND('Ratings'!A185&lt;&gt;"",'Ratings'!R5&lt;&gt;""),'Ratings'!R5,"")</f>
        <v/>
      </c>
      <c r="F2879">
        <f>IF(OR(A2879="",'Ratings'!R185=""),"",'Ratings'!R185)</f>
        <v/>
      </c>
      <c r="G2879">
        <f>IF(A2879="","",'Employees'!D17)</f>
        <v/>
      </c>
    </row>
    <row r="2880">
      <c r="A2880">
        <f>IF(AND('Ratings'!A185&lt;&gt;"",'Ratings'!S5&lt;&gt;""),'Ratings'!A185,"")</f>
        <v/>
      </c>
      <c r="B2880">
        <f>IF(A2880="","",'Employees'!C17)</f>
        <v/>
      </c>
      <c r="C2880">
        <f>IF(A2880="","",'Ratings'!C185)</f>
        <v/>
      </c>
      <c r="D2880">
        <f>IF(A2880="","",'Ratings'!D185)</f>
        <v/>
      </c>
      <c r="E2880">
        <f>IF(AND('Ratings'!A185&lt;&gt;"",'Ratings'!S5&lt;&gt;""),'Ratings'!S5,"")</f>
        <v/>
      </c>
      <c r="F2880">
        <f>IF(OR(A2880="",'Ratings'!S185=""),"",'Ratings'!S185)</f>
        <v/>
      </c>
      <c r="G2880">
        <f>IF(A2880="","",'Employees'!D17)</f>
        <v/>
      </c>
    </row>
    <row r="2881">
      <c r="A2881">
        <f>IF(AND('Ratings'!A185&lt;&gt;"",'Ratings'!T5&lt;&gt;""),'Ratings'!A185,"")</f>
        <v/>
      </c>
      <c r="B2881">
        <f>IF(A2881="","",'Employees'!C17)</f>
        <v/>
      </c>
      <c r="C2881">
        <f>IF(A2881="","",'Ratings'!C185)</f>
        <v/>
      </c>
      <c r="D2881">
        <f>IF(A2881="","",'Ratings'!D185)</f>
        <v/>
      </c>
      <c r="E2881">
        <f>IF(AND('Ratings'!A185&lt;&gt;"",'Ratings'!T5&lt;&gt;""),'Ratings'!T5,"")</f>
        <v/>
      </c>
      <c r="F2881">
        <f>IF(OR(A2881="",'Ratings'!T185=""),"",'Ratings'!T185)</f>
        <v/>
      </c>
      <c r="G2881">
        <f>IF(A2881="","",'Employees'!D17)</f>
        <v/>
      </c>
    </row>
    <row r="2882">
      <c r="A2882">
        <f>IF(AND('Ratings'!A186&lt;&gt;"",'Ratings'!E5&lt;&gt;""),'Ratings'!A186,"")</f>
        <v/>
      </c>
      <c r="B2882">
        <f>IF(A2882="","",'Employees'!C17)</f>
        <v/>
      </c>
      <c r="C2882">
        <f>IF(A2882="","",'Ratings'!C186)</f>
        <v/>
      </c>
      <c r="D2882">
        <f>IF(A2882="","",'Ratings'!D186)</f>
        <v/>
      </c>
      <c r="E2882">
        <f>IF(AND('Ratings'!A186&lt;&gt;"",'Ratings'!E5&lt;&gt;""),'Ratings'!E5,"")</f>
        <v/>
      </c>
      <c r="F2882">
        <f>IF(OR(A2882="",'Ratings'!E186=""),"",'Ratings'!E186)</f>
        <v/>
      </c>
      <c r="G2882">
        <f>IF(A2882="","",'Employees'!D17)</f>
        <v/>
      </c>
    </row>
    <row r="2883">
      <c r="A2883">
        <f>IF(AND('Ratings'!A186&lt;&gt;"",'Ratings'!F5&lt;&gt;""),'Ratings'!A186,"")</f>
        <v/>
      </c>
      <c r="B2883">
        <f>IF(A2883="","",'Employees'!C17)</f>
        <v/>
      </c>
      <c r="C2883">
        <f>IF(A2883="","",'Ratings'!C186)</f>
        <v/>
      </c>
      <c r="D2883">
        <f>IF(A2883="","",'Ratings'!D186)</f>
        <v/>
      </c>
      <c r="E2883">
        <f>IF(AND('Ratings'!A186&lt;&gt;"",'Ratings'!F5&lt;&gt;""),'Ratings'!F5,"")</f>
        <v/>
      </c>
      <c r="F2883">
        <f>IF(OR(A2883="",'Ratings'!F186=""),"",'Ratings'!F186)</f>
        <v/>
      </c>
      <c r="G2883">
        <f>IF(A2883="","",'Employees'!D17)</f>
        <v/>
      </c>
    </row>
    <row r="2884">
      <c r="A2884">
        <f>IF(AND('Ratings'!A186&lt;&gt;"",'Ratings'!G5&lt;&gt;""),'Ratings'!A186,"")</f>
        <v/>
      </c>
      <c r="B2884">
        <f>IF(A2884="","",'Employees'!C17)</f>
        <v/>
      </c>
      <c r="C2884">
        <f>IF(A2884="","",'Ratings'!C186)</f>
        <v/>
      </c>
      <c r="D2884">
        <f>IF(A2884="","",'Ratings'!D186)</f>
        <v/>
      </c>
      <c r="E2884">
        <f>IF(AND('Ratings'!A186&lt;&gt;"",'Ratings'!G5&lt;&gt;""),'Ratings'!G5,"")</f>
        <v/>
      </c>
      <c r="F2884">
        <f>IF(OR(A2884="",'Ratings'!G186=""),"",'Ratings'!G186)</f>
        <v/>
      </c>
      <c r="G2884">
        <f>IF(A2884="","",'Employees'!D17)</f>
        <v/>
      </c>
    </row>
    <row r="2885">
      <c r="A2885">
        <f>IF(AND('Ratings'!A186&lt;&gt;"",'Ratings'!H5&lt;&gt;""),'Ratings'!A186,"")</f>
        <v/>
      </c>
      <c r="B2885">
        <f>IF(A2885="","",'Employees'!C17)</f>
        <v/>
      </c>
      <c r="C2885">
        <f>IF(A2885="","",'Ratings'!C186)</f>
        <v/>
      </c>
      <c r="D2885">
        <f>IF(A2885="","",'Ratings'!D186)</f>
        <v/>
      </c>
      <c r="E2885">
        <f>IF(AND('Ratings'!A186&lt;&gt;"",'Ratings'!H5&lt;&gt;""),'Ratings'!H5,"")</f>
        <v/>
      </c>
      <c r="F2885">
        <f>IF(OR(A2885="",'Ratings'!H186=""),"",'Ratings'!H186)</f>
        <v/>
      </c>
      <c r="G2885">
        <f>IF(A2885="","",'Employees'!D17)</f>
        <v/>
      </c>
    </row>
    <row r="2886">
      <c r="A2886">
        <f>IF(AND('Ratings'!A186&lt;&gt;"",'Ratings'!I5&lt;&gt;""),'Ratings'!A186,"")</f>
        <v/>
      </c>
      <c r="B2886">
        <f>IF(A2886="","",'Employees'!C17)</f>
        <v/>
      </c>
      <c r="C2886">
        <f>IF(A2886="","",'Ratings'!C186)</f>
        <v/>
      </c>
      <c r="D2886">
        <f>IF(A2886="","",'Ratings'!D186)</f>
        <v/>
      </c>
      <c r="E2886">
        <f>IF(AND('Ratings'!A186&lt;&gt;"",'Ratings'!I5&lt;&gt;""),'Ratings'!I5,"")</f>
        <v/>
      </c>
      <c r="F2886">
        <f>IF(OR(A2886="",'Ratings'!I186=""),"",'Ratings'!I186)</f>
        <v/>
      </c>
      <c r="G2886">
        <f>IF(A2886="","",'Employees'!D17)</f>
        <v/>
      </c>
    </row>
    <row r="2887">
      <c r="A2887">
        <f>IF(AND('Ratings'!A186&lt;&gt;"",'Ratings'!J5&lt;&gt;""),'Ratings'!A186,"")</f>
        <v/>
      </c>
      <c r="B2887">
        <f>IF(A2887="","",'Employees'!C17)</f>
        <v/>
      </c>
      <c r="C2887">
        <f>IF(A2887="","",'Ratings'!C186)</f>
        <v/>
      </c>
      <c r="D2887">
        <f>IF(A2887="","",'Ratings'!D186)</f>
        <v/>
      </c>
      <c r="E2887">
        <f>IF(AND('Ratings'!A186&lt;&gt;"",'Ratings'!J5&lt;&gt;""),'Ratings'!J5,"")</f>
        <v/>
      </c>
      <c r="F2887">
        <f>IF(OR(A2887="",'Ratings'!J186=""),"",'Ratings'!J186)</f>
        <v/>
      </c>
      <c r="G2887">
        <f>IF(A2887="","",'Employees'!D17)</f>
        <v/>
      </c>
    </row>
    <row r="2888">
      <c r="A2888">
        <f>IF(AND('Ratings'!A186&lt;&gt;"",'Ratings'!K5&lt;&gt;""),'Ratings'!A186,"")</f>
        <v/>
      </c>
      <c r="B2888">
        <f>IF(A2888="","",'Employees'!C17)</f>
        <v/>
      </c>
      <c r="C2888">
        <f>IF(A2888="","",'Ratings'!C186)</f>
        <v/>
      </c>
      <c r="D2888">
        <f>IF(A2888="","",'Ratings'!D186)</f>
        <v/>
      </c>
      <c r="E2888">
        <f>IF(AND('Ratings'!A186&lt;&gt;"",'Ratings'!K5&lt;&gt;""),'Ratings'!K5,"")</f>
        <v/>
      </c>
      <c r="F2888">
        <f>IF(OR(A2888="",'Ratings'!K186=""),"",'Ratings'!K186)</f>
        <v/>
      </c>
      <c r="G2888">
        <f>IF(A2888="","",'Employees'!D17)</f>
        <v/>
      </c>
    </row>
    <row r="2889">
      <c r="A2889">
        <f>IF(AND('Ratings'!A186&lt;&gt;"",'Ratings'!L5&lt;&gt;""),'Ratings'!A186,"")</f>
        <v/>
      </c>
      <c r="B2889">
        <f>IF(A2889="","",'Employees'!C17)</f>
        <v/>
      </c>
      <c r="C2889">
        <f>IF(A2889="","",'Ratings'!C186)</f>
        <v/>
      </c>
      <c r="D2889">
        <f>IF(A2889="","",'Ratings'!D186)</f>
        <v/>
      </c>
      <c r="E2889">
        <f>IF(AND('Ratings'!A186&lt;&gt;"",'Ratings'!L5&lt;&gt;""),'Ratings'!L5,"")</f>
        <v/>
      </c>
      <c r="F2889">
        <f>IF(OR(A2889="",'Ratings'!L186=""),"",'Ratings'!L186)</f>
        <v/>
      </c>
      <c r="G2889">
        <f>IF(A2889="","",'Employees'!D17)</f>
        <v/>
      </c>
    </row>
    <row r="2890">
      <c r="A2890">
        <f>IF(AND('Ratings'!A186&lt;&gt;"",'Ratings'!M5&lt;&gt;""),'Ratings'!A186,"")</f>
        <v/>
      </c>
      <c r="B2890">
        <f>IF(A2890="","",'Employees'!C17)</f>
        <v/>
      </c>
      <c r="C2890">
        <f>IF(A2890="","",'Ratings'!C186)</f>
        <v/>
      </c>
      <c r="D2890">
        <f>IF(A2890="","",'Ratings'!D186)</f>
        <v/>
      </c>
      <c r="E2890">
        <f>IF(AND('Ratings'!A186&lt;&gt;"",'Ratings'!M5&lt;&gt;""),'Ratings'!M5,"")</f>
        <v/>
      </c>
      <c r="F2890">
        <f>IF(OR(A2890="",'Ratings'!M186=""),"",'Ratings'!M186)</f>
        <v/>
      </c>
      <c r="G2890">
        <f>IF(A2890="","",'Employees'!D17)</f>
        <v/>
      </c>
    </row>
    <row r="2891">
      <c r="A2891">
        <f>IF(AND('Ratings'!A186&lt;&gt;"",'Ratings'!N5&lt;&gt;""),'Ratings'!A186,"")</f>
        <v/>
      </c>
      <c r="B2891">
        <f>IF(A2891="","",'Employees'!C17)</f>
        <v/>
      </c>
      <c r="C2891">
        <f>IF(A2891="","",'Ratings'!C186)</f>
        <v/>
      </c>
      <c r="D2891">
        <f>IF(A2891="","",'Ratings'!D186)</f>
        <v/>
      </c>
      <c r="E2891">
        <f>IF(AND('Ratings'!A186&lt;&gt;"",'Ratings'!N5&lt;&gt;""),'Ratings'!N5,"")</f>
        <v/>
      </c>
      <c r="F2891">
        <f>IF(OR(A2891="",'Ratings'!N186=""),"",'Ratings'!N186)</f>
        <v/>
      </c>
      <c r="G2891">
        <f>IF(A2891="","",'Employees'!D17)</f>
        <v/>
      </c>
    </row>
    <row r="2892">
      <c r="A2892">
        <f>IF(AND('Ratings'!A186&lt;&gt;"",'Ratings'!O5&lt;&gt;""),'Ratings'!A186,"")</f>
        <v/>
      </c>
      <c r="B2892">
        <f>IF(A2892="","",'Employees'!C17)</f>
        <v/>
      </c>
      <c r="C2892">
        <f>IF(A2892="","",'Ratings'!C186)</f>
        <v/>
      </c>
      <c r="D2892">
        <f>IF(A2892="","",'Ratings'!D186)</f>
        <v/>
      </c>
      <c r="E2892">
        <f>IF(AND('Ratings'!A186&lt;&gt;"",'Ratings'!O5&lt;&gt;""),'Ratings'!O5,"")</f>
        <v/>
      </c>
      <c r="F2892">
        <f>IF(OR(A2892="",'Ratings'!O186=""),"",'Ratings'!O186)</f>
        <v/>
      </c>
      <c r="G2892">
        <f>IF(A2892="","",'Employees'!D17)</f>
        <v/>
      </c>
    </row>
    <row r="2893">
      <c r="A2893">
        <f>IF(AND('Ratings'!A186&lt;&gt;"",'Ratings'!P5&lt;&gt;""),'Ratings'!A186,"")</f>
        <v/>
      </c>
      <c r="B2893">
        <f>IF(A2893="","",'Employees'!C17)</f>
        <v/>
      </c>
      <c r="C2893">
        <f>IF(A2893="","",'Ratings'!C186)</f>
        <v/>
      </c>
      <c r="D2893">
        <f>IF(A2893="","",'Ratings'!D186)</f>
        <v/>
      </c>
      <c r="E2893">
        <f>IF(AND('Ratings'!A186&lt;&gt;"",'Ratings'!P5&lt;&gt;""),'Ratings'!P5,"")</f>
        <v/>
      </c>
      <c r="F2893">
        <f>IF(OR(A2893="",'Ratings'!P186=""),"",'Ratings'!P186)</f>
        <v/>
      </c>
      <c r="G2893">
        <f>IF(A2893="","",'Employees'!D17)</f>
        <v/>
      </c>
    </row>
    <row r="2894">
      <c r="A2894">
        <f>IF(AND('Ratings'!A186&lt;&gt;"",'Ratings'!Q5&lt;&gt;""),'Ratings'!A186,"")</f>
        <v/>
      </c>
      <c r="B2894">
        <f>IF(A2894="","",'Employees'!C17)</f>
        <v/>
      </c>
      <c r="C2894">
        <f>IF(A2894="","",'Ratings'!C186)</f>
        <v/>
      </c>
      <c r="D2894">
        <f>IF(A2894="","",'Ratings'!D186)</f>
        <v/>
      </c>
      <c r="E2894">
        <f>IF(AND('Ratings'!A186&lt;&gt;"",'Ratings'!Q5&lt;&gt;""),'Ratings'!Q5,"")</f>
        <v/>
      </c>
      <c r="F2894">
        <f>IF(OR(A2894="",'Ratings'!Q186=""),"",'Ratings'!Q186)</f>
        <v/>
      </c>
      <c r="G2894">
        <f>IF(A2894="","",'Employees'!D17)</f>
        <v/>
      </c>
    </row>
    <row r="2895">
      <c r="A2895">
        <f>IF(AND('Ratings'!A186&lt;&gt;"",'Ratings'!R5&lt;&gt;""),'Ratings'!A186,"")</f>
        <v/>
      </c>
      <c r="B2895">
        <f>IF(A2895="","",'Employees'!C17)</f>
        <v/>
      </c>
      <c r="C2895">
        <f>IF(A2895="","",'Ratings'!C186)</f>
        <v/>
      </c>
      <c r="D2895">
        <f>IF(A2895="","",'Ratings'!D186)</f>
        <v/>
      </c>
      <c r="E2895">
        <f>IF(AND('Ratings'!A186&lt;&gt;"",'Ratings'!R5&lt;&gt;""),'Ratings'!R5,"")</f>
        <v/>
      </c>
      <c r="F2895">
        <f>IF(OR(A2895="",'Ratings'!R186=""),"",'Ratings'!R186)</f>
        <v/>
      </c>
      <c r="G2895">
        <f>IF(A2895="","",'Employees'!D17)</f>
        <v/>
      </c>
    </row>
    <row r="2896">
      <c r="A2896">
        <f>IF(AND('Ratings'!A186&lt;&gt;"",'Ratings'!S5&lt;&gt;""),'Ratings'!A186,"")</f>
        <v/>
      </c>
      <c r="B2896">
        <f>IF(A2896="","",'Employees'!C17)</f>
        <v/>
      </c>
      <c r="C2896">
        <f>IF(A2896="","",'Ratings'!C186)</f>
        <v/>
      </c>
      <c r="D2896">
        <f>IF(A2896="","",'Ratings'!D186)</f>
        <v/>
      </c>
      <c r="E2896">
        <f>IF(AND('Ratings'!A186&lt;&gt;"",'Ratings'!S5&lt;&gt;""),'Ratings'!S5,"")</f>
        <v/>
      </c>
      <c r="F2896">
        <f>IF(OR(A2896="",'Ratings'!S186=""),"",'Ratings'!S186)</f>
        <v/>
      </c>
      <c r="G2896">
        <f>IF(A2896="","",'Employees'!D17)</f>
        <v/>
      </c>
    </row>
    <row r="2897">
      <c r="A2897">
        <f>IF(AND('Ratings'!A186&lt;&gt;"",'Ratings'!T5&lt;&gt;""),'Ratings'!A186,"")</f>
        <v/>
      </c>
      <c r="B2897">
        <f>IF(A2897="","",'Employees'!C17)</f>
        <v/>
      </c>
      <c r="C2897">
        <f>IF(A2897="","",'Ratings'!C186)</f>
        <v/>
      </c>
      <c r="D2897">
        <f>IF(A2897="","",'Ratings'!D186)</f>
        <v/>
      </c>
      <c r="E2897">
        <f>IF(AND('Ratings'!A186&lt;&gt;"",'Ratings'!T5&lt;&gt;""),'Ratings'!T5,"")</f>
        <v/>
      </c>
      <c r="F2897">
        <f>IF(OR(A2897="",'Ratings'!T186=""),"",'Ratings'!T186)</f>
        <v/>
      </c>
      <c r="G2897">
        <f>IF(A2897="","",'Employees'!D17)</f>
        <v/>
      </c>
    </row>
    <row r="2898">
      <c r="A2898">
        <f>IF(AND('Ratings'!A187&lt;&gt;"",'Ratings'!E5&lt;&gt;""),'Ratings'!A187,"")</f>
        <v/>
      </c>
      <c r="B2898">
        <f>IF(A2898="","",'Employees'!C17)</f>
        <v/>
      </c>
      <c r="C2898">
        <f>IF(A2898="","",'Ratings'!C187)</f>
        <v/>
      </c>
      <c r="D2898">
        <f>IF(A2898="","",'Ratings'!D187)</f>
        <v/>
      </c>
      <c r="E2898">
        <f>IF(AND('Ratings'!A187&lt;&gt;"",'Ratings'!E5&lt;&gt;""),'Ratings'!E5,"")</f>
        <v/>
      </c>
      <c r="F2898">
        <f>IF(OR(A2898="",'Ratings'!E187=""),"",'Ratings'!E187)</f>
        <v/>
      </c>
      <c r="G2898">
        <f>IF(A2898="","",'Employees'!D17)</f>
        <v/>
      </c>
    </row>
    <row r="2899">
      <c r="A2899">
        <f>IF(AND('Ratings'!A187&lt;&gt;"",'Ratings'!F5&lt;&gt;""),'Ratings'!A187,"")</f>
        <v/>
      </c>
      <c r="B2899">
        <f>IF(A2899="","",'Employees'!C17)</f>
        <v/>
      </c>
      <c r="C2899">
        <f>IF(A2899="","",'Ratings'!C187)</f>
        <v/>
      </c>
      <c r="D2899">
        <f>IF(A2899="","",'Ratings'!D187)</f>
        <v/>
      </c>
      <c r="E2899">
        <f>IF(AND('Ratings'!A187&lt;&gt;"",'Ratings'!F5&lt;&gt;""),'Ratings'!F5,"")</f>
        <v/>
      </c>
      <c r="F2899">
        <f>IF(OR(A2899="",'Ratings'!F187=""),"",'Ratings'!F187)</f>
        <v/>
      </c>
      <c r="G2899">
        <f>IF(A2899="","",'Employees'!D17)</f>
        <v/>
      </c>
    </row>
    <row r="2900">
      <c r="A2900">
        <f>IF(AND('Ratings'!A187&lt;&gt;"",'Ratings'!G5&lt;&gt;""),'Ratings'!A187,"")</f>
        <v/>
      </c>
      <c r="B2900">
        <f>IF(A2900="","",'Employees'!C17)</f>
        <v/>
      </c>
      <c r="C2900">
        <f>IF(A2900="","",'Ratings'!C187)</f>
        <v/>
      </c>
      <c r="D2900">
        <f>IF(A2900="","",'Ratings'!D187)</f>
        <v/>
      </c>
      <c r="E2900">
        <f>IF(AND('Ratings'!A187&lt;&gt;"",'Ratings'!G5&lt;&gt;""),'Ratings'!G5,"")</f>
        <v/>
      </c>
      <c r="F2900">
        <f>IF(OR(A2900="",'Ratings'!G187=""),"",'Ratings'!G187)</f>
        <v/>
      </c>
      <c r="G2900">
        <f>IF(A2900="","",'Employees'!D17)</f>
        <v/>
      </c>
    </row>
    <row r="2901">
      <c r="A2901">
        <f>IF(AND('Ratings'!A187&lt;&gt;"",'Ratings'!H5&lt;&gt;""),'Ratings'!A187,"")</f>
        <v/>
      </c>
      <c r="B2901">
        <f>IF(A2901="","",'Employees'!C17)</f>
        <v/>
      </c>
      <c r="C2901">
        <f>IF(A2901="","",'Ratings'!C187)</f>
        <v/>
      </c>
      <c r="D2901">
        <f>IF(A2901="","",'Ratings'!D187)</f>
        <v/>
      </c>
      <c r="E2901">
        <f>IF(AND('Ratings'!A187&lt;&gt;"",'Ratings'!H5&lt;&gt;""),'Ratings'!H5,"")</f>
        <v/>
      </c>
      <c r="F2901">
        <f>IF(OR(A2901="",'Ratings'!H187=""),"",'Ratings'!H187)</f>
        <v/>
      </c>
      <c r="G2901">
        <f>IF(A2901="","",'Employees'!D17)</f>
        <v/>
      </c>
    </row>
    <row r="2902">
      <c r="A2902">
        <f>IF(AND('Ratings'!A187&lt;&gt;"",'Ratings'!I5&lt;&gt;""),'Ratings'!A187,"")</f>
        <v/>
      </c>
      <c r="B2902">
        <f>IF(A2902="","",'Employees'!C17)</f>
        <v/>
      </c>
      <c r="C2902">
        <f>IF(A2902="","",'Ratings'!C187)</f>
        <v/>
      </c>
      <c r="D2902">
        <f>IF(A2902="","",'Ratings'!D187)</f>
        <v/>
      </c>
      <c r="E2902">
        <f>IF(AND('Ratings'!A187&lt;&gt;"",'Ratings'!I5&lt;&gt;""),'Ratings'!I5,"")</f>
        <v/>
      </c>
      <c r="F2902">
        <f>IF(OR(A2902="",'Ratings'!I187=""),"",'Ratings'!I187)</f>
        <v/>
      </c>
      <c r="G2902">
        <f>IF(A2902="","",'Employees'!D17)</f>
        <v/>
      </c>
    </row>
    <row r="2903">
      <c r="A2903">
        <f>IF(AND('Ratings'!A187&lt;&gt;"",'Ratings'!J5&lt;&gt;""),'Ratings'!A187,"")</f>
        <v/>
      </c>
      <c r="B2903">
        <f>IF(A2903="","",'Employees'!C17)</f>
        <v/>
      </c>
      <c r="C2903">
        <f>IF(A2903="","",'Ratings'!C187)</f>
        <v/>
      </c>
      <c r="D2903">
        <f>IF(A2903="","",'Ratings'!D187)</f>
        <v/>
      </c>
      <c r="E2903">
        <f>IF(AND('Ratings'!A187&lt;&gt;"",'Ratings'!J5&lt;&gt;""),'Ratings'!J5,"")</f>
        <v/>
      </c>
      <c r="F2903">
        <f>IF(OR(A2903="",'Ratings'!J187=""),"",'Ratings'!J187)</f>
        <v/>
      </c>
      <c r="G2903">
        <f>IF(A2903="","",'Employees'!D17)</f>
        <v/>
      </c>
    </row>
    <row r="2904">
      <c r="A2904">
        <f>IF(AND('Ratings'!A187&lt;&gt;"",'Ratings'!K5&lt;&gt;""),'Ratings'!A187,"")</f>
        <v/>
      </c>
      <c r="B2904">
        <f>IF(A2904="","",'Employees'!C17)</f>
        <v/>
      </c>
      <c r="C2904">
        <f>IF(A2904="","",'Ratings'!C187)</f>
        <v/>
      </c>
      <c r="D2904">
        <f>IF(A2904="","",'Ratings'!D187)</f>
        <v/>
      </c>
      <c r="E2904">
        <f>IF(AND('Ratings'!A187&lt;&gt;"",'Ratings'!K5&lt;&gt;""),'Ratings'!K5,"")</f>
        <v/>
      </c>
      <c r="F2904">
        <f>IF(OR(A2904="",'Ratings'!K187=""),"",'Ratings'!K187)</f>
        <v/>
      </c>
      <c r="G2904">
        <f>IF(A2904="","",'Employees'!D17)</f>
        <v/>
      </c>
    </row>
    <row r="2905">
      <c r="A2905">
        <f>IF(AND('Ratings'!A187&lt;&gt;"",'Ratings'!L5&lt;&gt;""),'Ratings'!A187,"")</f>
        <v/>
      </c>
      <c r="B2905">
        <f>IF(A2905="","",'Employees'!C17)</f>
        <v/>
      </c>
      <c r="C2905">
        <f>IF(A2905="","",'Ratings'!C187)</f>
        <v/>
      </c>
      <c r="D2905">
        <f>IF(A2905="","",'Ratings'!D187)</f>
        <v/>
      </c>
      <c r="E2905">
        <f>IF(AND('Ratings'!A187&lt;&gt;"",'Ratings'!L5&lt;&gt;""),'Ratings'!L5,"")</f>
        <v/>
      </c>
      <c r="F2905">
        <f>IF(OR(A2905="",'Ratings'!L187=""),"",'Ratings'!L187)</f>
        <v/>
      </c>
      <c r="G2905">
        <f>IF(A2905="","",'Employees'!D17)</f>
        <v/>
      </c>
    </row>
    <row r="2906">
      <c r="A2906">
        <f>IF(AND('Ratings'!A187&lt;&gt;"",'Ratings'!M5&lt;&gt;""),'Ratings'!A187,"")</f>
        <v/>
      </c>
      <c r="B2906">
        <f>IF(A2906="","",'Employees'!C17)</f>
        <v/>
      </c>
      <c r="C2906">
        <f>IF(A2906="","",'Ratings'!C187)</f>
        <v/>
      </c>
      <c r="D2906">
        <f>IF(A2906="","",'Ratings'!D187)</f>
        <v/>
      </c>
      <c r="E2906">
        <f>IF(AND('Ratings'!A187&lt;&gt;"",'Ratings'!M5&lt;&gt;""),'Ratings'!M5,"")</f>
        <v/>
      </c>
      <c r="F2906">
        <f>IF(OR(A2906="",'Ratings'!M187=""),"",'Ratings'!M187)</f>
        <v/>
      </c>
      <c r="G2906">
        <f>IF(A2906="","",'Employees'!D17)</f>
        <v/>
      </c>
    </row>
    <row r="2907">
      <c r="A2907">
        <f>IF(AND('Ratings'!A187&lt;&gt;"",'Ratings'!N5&lt;&gt;""),'Ratings'!A187,"")</f>
        <v/>
      </c>
      <c r="B2907">
        <f>IF(A2907="","",'Employees'!C17)</f>
        <v/>
      </c>
      <c r="C2907">
        <f>IF(A2907="","",'Ratings'!C187)</f>
        <v/>
      </c>
      <c r="D2907">
        <f>IF(A2907="","",'Ratings'!D187)</f>
        <v/>
      </c>
      <c r="E2907">
        <f>IF(AND('Ratings'!A187&lt;&gt;"",'Ratings'!N5&lt;&gt;""),'Ratings'!N5,"")</f>
        <v/>
      </c>
      <c r="F2907">
        <f>IF(OR(A2907="",'Ratings'!N187=""),"",'Ratings'!N187)</f>
        <v/>
      </c>
      <c r="G2907">
        <f>IF(A2907="","",'Employees'!D17)</f>
        <v/>
      </c>
    </row>
    <row r="2908">
      <c r="A2908">
        <f>IF(AND('Ratings'!A187&lt;&gt;"",'Ratings'!O5&lt;&gt;""),'Ratings'!A187,"")</f>
        <v/>
      </c>
      <c r="B2908">
        <f>IF(A2908="","",'Employees'!C17)</f>
        <v/>
      </c>
      <c r="C2908">
        <f>IF(A2908="","",'Ratings'!C187)</f>
        <v/>
      </c>
      <c r="D2908">
        <f>IF(A2908="","",'Ratings'!D187)</f>
        <v/>
      </c>
      <c r="E2908">
        <f>IF(AND('Ratings'!A187&lt;&gt;"",'Ratings'!O5&lt;&gt;""),'Ratings'!O5,"")</f>
        <v/>
      </c>
      <c r="F2908">
        <f>IF(OR(A2908="",'Ratings'!O187=""),"",'Ratings'!O187)</f>
        <v/>
      </c>
      <c r="G2908">
        <f>IF(A2908="","",'Employees'!D17)</f>
        <v/>
      </c>
    </row>
    <row r="2909">
      <c r="A2909">
        <f>IF(AND('Ratings'!A187&lt;&gt;"",'Ratings'!P5&lt;&gt;""),'Ratings'!A187,"")</f>
        <v/>
      </c>
      <c r="B2909">
        <f>IF(A2909="","",'Employees'!C17)</f>
        <v/>
      </c>
      <c r="C2909">
        <f>IF(A2909="","",'Ratings'!C187)</f>
        <v/>
      </c>
      <c r="D2909">
        <f>IF(A2909="","",'Ratings'!D187)</f>
        <v/>
      </c>
      <c r="E2909">
        <f>IF(AND('Ratings'!A187&lt;&gt;"",'Ratings'!P5&lt;&gt;""),'Ratings'!P5,"")</f>
        <v/>
      </c>
      <c r="F2909">
        <f>IF(OR(A2909="",'Ratings'!P187=""),"",'Ratings'!P187)</f>
        <v/>
      </c>
      <c r="G2909">
        <f>IF(A2909="","",'Employees'!D17)</f>
        <v/>
      </c>
    </row>
    <row r="2910">
      <c r="A2910">
        <f>IF(AND('Ratings'!A187&lt;&gt;"",'Ratings'!Q5&lt;&gt;""),'Ratings'!A187,"")</f>
        <v/>
      </c>
      <c r="B2910">
        <f>IF(A2910="","",'Employees'!C17)</f>
        <v/>
      </c>
      <c r="C2910">
        <f>IF(A2910="","",'Ratings'!C187)</f>
        <v/>
      </c>
      <c r="D2910">
        <f>IF(A2910="","",'Ratings'!D187)</f>
        <v/>
      </c>
      <c r="E2910">
        <f>IF(AND('Ratings'!A187&lt;&gt;"",'Ratings'!Q5&lt;&gt;""),'Ratings'!Q5,"")</f>
        <v/>
      </c>
      <c r="F2910">
        <f>IF(OR(A2910="",'Ratings'!Q187=""),"",'Ratings'!Q187)</f>
        <v/>
      </c>
      <c r="G2910">
        <f>IF(A2910="","",'Employees'!D17)</f>
        <v/>
      </c>
    </row>
    <row r="2911">
      <c r="A2911">
        <f>IF(AND('Ratings'!A187&lt;&gt;"",'Ratings'!R5&lt;&gt;""),'Ratings'!A187,"")</f>
        <v/>
      </c>
      <c r="B2911">
        <f>IF(A2911="","",'Employees'!C17)</f>
        <v/>
      </c>
      <c r="C2911">
        <f>IF(A2911="","",'Ratings'!C187)</f>
        <v/>
      </c>
      <c r="D2911">
        <f>IF(A2911="","",'Ratings'!D187)</f>
        <v/>
      </c>
      <c r="E2911">
        <f>IF(AND('Ratings'!A187&lt;&gt;"",'Ratings'!R5&lt;&gt;""),'Ratings'!R5,"")</f>
        <v/>
      </c>
      <c r="F2911">
        <f>IF(OR(A2911="",'Ratings'!R187=""),"",'Ratings'!R187)</f>
        <v/>
      </c>
      <c r="G2911">
        <f>IF(A2911="","",'Employees'!D17)</f>
        <v/>
      </c>
    </row>
    <row r="2912">
      <c r="A2912">
        <f>IF(AND('Ratings'!A187&lt;&gt;"",'Ratings'!S5&lt;&gt;""),'Ratings'!A187,"")</f>
        <v/>
      </c>
      <c r="B2912">
        <f>IF(A2912="","",'Employees'!C17)</f>
        <v/>
      </c>
      <c r="C2912">
        <f>IF(A2912="","",'Ratings'!C187)</f>
        <v/>
      </c>
      <c r="D2912">
        <f>IF(A2912="","",'Ratings'!D187)</f>
        <v/>
      </c>
      <c r="E2912">
        <f>IF(AND('Ratings'!A187&lt;&gt;"",'Ratings'!S5&lt;&gt;""),'Ratings'!S5,"")</f>
        <v/>
      </c>
      <c r="F2912">
        <f>IF(OR(A2912="",'Ratings'!S187=""),"",'Ratings'!S187)</f>
        <v/>
      </c>
      <c r="G2912">
        <f>IF(A2912="","",'Employees'!D17)</f>
        <v/>
      </c>
    </row>
    <row r="2913">
      <c r="A2913">
        <f>IF(AND('Ratings'!A187&lt;&gt;"",'Ratings'!T5&lt;&gt;""),'Ratings'!A187,"")</f>
        <v/>
      </c>
      <c r="B2913">
        <f>IF(A2913="","",'Employees'!C17)</f>
        <v/>
      </c>
      <c r="C2913">
        <f>IF(A2913="","",'Ratings'!C187)</f>
        <v/>
      </c>
      <c r="D2913">
        <f>IF(A2913="","",'Ratings'!D187)</f>
        <v/>
      </c>
      <c r="E2913">
        <f>IF(AND('Ratings'!A187&lt;&gt;"",'Ratings'!T5&lt;&gt;""),'Ratings'!T5,"")</f>
        <v/>
      </c>
      <c r="F2913">
        <f>IF(OR(A2913="",'Ratings'!T187=""),"",'Ratings'!T187)</f>
        <v/>
      </c>
      <c r="G2913">
        <f>IF(A2913="","",'Employees'!D17)</f>
        <v/>
      </c>
    </row>
    <row r="2914">
      <c r="A2914">
        <f>IF(AND('Ratings'!A188&lt;&gt;"",'Ratings'!E5&lt;&gt;""),'Ratings'!A188,"")</f>
        <v/>
      </c>
      <c r="B2914">
        <f>IF(A2914="","",'Employees'!C17)</f>
        <v/>
      </c>
      <c r="C2914">
        <f>IF(A2914="","",'Ratings'!C188)</f>
        <v/>
      </c>
      <c r="D2914">
        <f>IF(A2914="","",'Ratings'!D188)</f>
        <v/>
      </c>
      <c r="E2914">
        <f>IF(AND('Ratings'!A188&lt;&gt;"",'Ratings'!E5&lt;&gt;""),'Ratings'!E5,"")</f>
        <v/>
      </c>
      <c r="F2914">
        <f>IF(OR(A2914="",'Ratings'!E188=""),"",'Ratings'!E188)</f>
        <v/>
      </c>
      <c r="G2914">
        <f>IF(A2914="","",'Employees'!D17)</f>
        <v/>
      </c>
    </row>
    <row r="2915">
      <c r="A2915">
        <f>IF(AND('Ratings'!A188&lt;&gt;"",'Ratings'!F5&lt;&gt;""),'Ratings'!A188,"")</f>
        <v/>
      </c>
      <c r="B2915">
        <f>IF(A2915="","",'Employees'!C17)</f>
        <v/>
      </c>
      <c r="C2915">
        <f>IF(A2915="","",'Ratings'!C188)</f>
        <v/>
      </c>
      <c r="D2915">
        <f>IF(A2915="","",'Ratings'!D188)</f>
        <v/>
      </c>
      <c r="E2915">
        <f>IF(AND('Ratings'!A188&lt;&gt;"",'Ratings'!F5&lt;&gt;""),'Ratings'!F5,"")</f>
        <v/>
      </c>
      <c r="F2915">
        <f>IF(OR(A2915="",'Ratings'!F188=""),"",'Ratings'!F188)</f>
        <v/>
      </c>
      <c r="G2915">
        <f>IF(A2915="","",'Employees'!D17)</f>
        <v/>
      </c>
    </row>
    <row r="2916">
      <c r="A2916">
        <f>IF(AND('Ratings'!A188&lt;&gt;"",'Ratings'!G5&lt;&gt;""),'Ratings'!A188,"")</f>
        <v/>
      </c>
      <c r="B2916">
        <f>IF(A2916="","",'Employees'!C17)</f>
        <v/>
      </c>
      <c r="C2916">
        <f>IF(A2916="","",'Ratings'!C188)</f>
        <v/>
      </c>
      <c r="D2916">
        <f>IF(A2916="","",'Ratings'!D188)</f>
        <v/>
      </c>
      <c r="E2916">
        <f>IF(AND('Ratings'!A188&lt;&gt;"",'Ratings'!G5&lt;&gt;""),'Ratings'!G5,"")</f>
        <v/>
      </c>
      <c r="F2916">
        <f>IF(OR(A2916="",'Ratings'!G188=""),"",'Ratings'!G188)</f>
        <v/>
      </c>
      <c r="G2916">
        <f>IF(A2916="","",'Employees'!D17)</f>
        <v/>
      </c>
    </row>
    <row r="2917">
      <c r="A2917">
        <f>IF(AND('Ratings'!A188&lt;&gt;"",'Ratings'!H5&lt;&gt;""),'Ratings'!A188,"")</f>
        <v/>
      </c>
      <c r="B2917">
        <f>IF(A2917="","",'Employees'!C17)</f>
        <v/>
      </c>
      <c r="C2917">
        <f>IF(A2917="","",'Ratings'!C188)</f>
        <v/>
      </c>
      <c r="D2917">
        <f>IF(A2917="","",'Ratings'!D188)</f>
        <v/>
      </c>
      <c r="E2917">
        <f>IF(AND('Ratings'!A188&lt;&gt;"",'Ratings'!H5&lt;&gt;""),'Ratings'!H5,"")</f>
        <v/>
      </c>
      <c r="F2917">
        <f>IF(OR(A2917="",'Ratings'!H188=""),"",'Ratings'!H188)</f>
        <v/>
      </c>
      <c r="G2917">
        <f>IF(A2917="","",'Employees'!D17)</f>
        <v/>
      </c>
    </row>
    <row r="2918">
      <c r="A2918">
        <f>IF(AND('Ratings'!A188&lt;&gt;"",'Ratings'!I5&lt;&gt;""),'Ratings'!A188,"")</f>
        <v/>
      </c>
      <c r="B2918">
        <f>IF(A2918="","",'Employees'!C17)</f>
        <v/>
      </c>
      <c r="C2918">
        <f>IF(A2918="","",'Ratings'!C188)</f>
        <v/>
      </c>
      <c r="D2918">
        <f>IF(A2918="","",'Ratings'!D188)</f>
        <v/>
      </c>
      <c r="E2918">
        <f>IF(AND('Ratings'!A188&lt;&gt;"",'Ratings'!I5&lt;&gt;""),'Ratings'!I5,"")</f>
        <v/>
      </c>
      <c r="F2918">
        <f>IF(OR(A2918="",'Ratings'!I188=""),"",'Ratings'!I188)</f>
        <v/>
      </c>
      <c r="G2918">
        <f>IF(A2918="","",'Employees'!D17)</f>
        <v/>
      </c>
    </row>
    <row r="2919">
      <c r="A2919">
        <f>IF(AND('Ratings'!A188&lt;&gt;"",'Ratings'!J5&lt;&gt;""),'Ratings'!A188,"")</f>
        <v/>
      </c>
      <c r="B2919">
        <f>IF(A2919="","",'Employees'!C17)</f>
        <v/>
      </c>
      <c r="C2919">
        <f>IF(A2919="","",'Ratings'!C188)</f>
        <v/>
      </c>
      <c r="D2919">
        <f>IF(A2919="","",'Ratings'!D188)</f>
        <v/>
      </c>
      <c r="E2919">
        <f>IF(AND('Ratings'!A188&lt;&gt;"",'Ratings'!J5&lt;&gt;""),'Ratings'!J5,"")</f>
        <v/>
      </c>
      <c r="F2919">
        <f>IF(OR(A2919="",'Ratings'!J188=""),"",'Ratings'!J188)</f>
        <v/>
      </c>
      <c r="G2919">
        <f>IF(A2919="","",'Employees'!D17)</f>
        <v/>
      </c>
    </row>
    <row r="2920">
      <c r="A2920">
        <f>IF(AND('Ratings'!A188&lt;&gt;"",'Ratings'!K5&lt;&gt;""),'Ratings'!A188,"")</f>
        <v/>
      </c>
      <c r="B2920">
        <f>IF(A2920="","",'Employees'!C17)</f>
        <v/>
      </c>
      <c r="C2920">
        <f>IF(A2920="","",'Ratings'!C188)</f>
        <v/>
      </c>
      <c r="D2920">
        <f>IF(A2920="","",'Ratings'!D188)</f>
        <v/>
      </c>
      <c r="E2920">
        <f>IF(AND('Ratings'!A188&lt;&gt;"",'Ratings'!K5&lt;&gt;""),'Ratings'!K5,"")</f>
        <v/>
      </c>
      <c r="F2920">
        <f>IF(OR(A2920="",'Ratings'!K188=""),"",'Ratings'!K188)</f>
        <v/>
      </c>
      <c r="G2920">
        <f>IF(A2920="","",'Employees'!D17)</f>
        <v/>
      </c>
    </row>
    <row r="2921">
      <c r="A2921">
        <f>IF(AND('Ratings'!A188&lt;&gt;"",'Ratings'!L5&lt;&gt;""),'Ratings'!A188,"")</f>
        <v/>
      </c>
      <c r="B2921">
        <f>IF(A2921="","",'Employees'!C17)</f>
        <v/>
      </c>
      <c r="C2921">
        <f>IF(A2921="","",'Ratings'!C188)</f>
        <v/>
      </c>
      <c r="D2921">
        <f>IF(A2921="","",'Ratings'!D188)</f>
        <v/>
      </c>
      <c r="E2921">
        <f>IF(AND('Ratings'!A188&lt;&gt;"",'Ratings'!L5&lt;&gt;""),'Ratings'!L5,"")</f>
        <v/>
      </c>
      <c r="F2921">
        <f>IF(OR(A2921="",'Ratings'!L188=""),"",'Ratings'!L188)</f>
        <v/>
      </c>
      <c r="G2921">
        <f>IF(A2921="","",'Employees'!D17)</f>
        <v/>
      </c>
    </row>
    <row r="2922">
      <c r="A2922">
        <f>IF(AND('Ratings'!A188&lt;&gt;"",'Ratings'!M5&lt;&gt;""),'Ratings'!A188,"")</f>
        <v/>
      </c>
      <c r="B2922">
        <f>IF(A2922="","",'Employees'!C17)</f>
        <v/>
      </c>
      <c r="C2922">
        <f>IF(A2922="","",'Ratings'!C188)</f>
        <v/>
      </c>
      <c r="D2922">
        <f>IF(A2922="","",'Ratings'!D188)</f>
        <v/>
      </c>
      <c r="E2922">
        <f>IF(AND('Ratings'!A188&lt;&gt;"",'Ratings'!M5&lt;&gt;""),'Ratings'!M5,"")</f>
        <v/>
      </c>
      <c r="F2922">
        <f>IF(OR(A2922="",'Ratings'!M188=""),"",'Ratings'!M188)</f>
        <v/>
      </c>
      <c r="G2922">
        <f>IF(A2922="","",'Employees'!D17)</f>
        <v/>
      </c>
    </row>
    <row r="2923">
      <c r="A2923">
        <f>IF(AND('Ratings'!A188&lt;&gt;"",'Ratings'!N5&lt;&gt;""),'Ratings'!A188,"")</f>
        <v/>
      </c>
      <c r="B2923">
        <f>IF(A2923="","",'Employees'!C17)</f>
        <v/>
      </c>
      <c r="C2923">
        <f>IF(A2923="","",'Ratings'!C188)</f>
        <v/>
      </c>
      <c r="D2923">
        <f>IF(A2923="","",'Ratings'!D188)</f>
        <v/>
      </c>
      <c r="E2923">
        <f>IF(AND('Ratings'!A188&lt;&gt;"",'Ratings'!N5&lt;&gt;""),'Ratings'!N5,"")</f>
        <v/>
      </c>
      <c r="F2923">
        <f>IF(OR(A2923="",'Ratings'!N188=""),"",'Ratings'!N188)</f>
        <v/>
      </c>
      <c r="G2923">
        <f>IF(A2923="","",'Employees'!D17)</f>
        <v/>
      </c>
    </row>
    <row r="2924">
      <c r="A2924">
        <f>IF(AND('Ratings'!A188&lt;&gt;"",'Ratings'!O5&lt;&gt;""),'Ratings'!A188,"")</f>
        <v/>
      </c>
      <c r="B2924">
        <f>IF(A2924="","",'Employees'!C17)</f>
        <v/>
      </c>
      <c r="C2924">
        <f>IF(A2924="","",'Ratings'!C188)</f>
        <v/>
      </c>
      <c r="D2924">
        <f>IF(A2924="","",'Ratings'!D188)</f>
        <v/>
      </c>
      <c r="E2924">
        <f>IF(AND('Ratings'!A188&lt;&gt;"",'Ratings'!O5&lt;&gt;""),'Ratings'!O5,"")</f>
        <v/>
      </c>
      <c r="F2924">
        <f>IF(OR(A2924="",'Ratings'!O188=""),"",'Ratings'!O188)</f>
        <v/>
      </c>
      <c r="G2924">
        <f>IF(A2924="","",'Employees'!D17)</f>
        <v/>
      </c>
    </row>
    <row r="2925">
      <c r="A2925">
        <f>IF(AND('Ratings'!A188&lt;&gt;"",'Ratings'!P5&lt;&gt;""),'Ratings'!A188,"")</f>
        <v/>
      </c>
      <c r="B2925">
        <f>IF(A2925="","",'Employees'!C17)</f>
        <v/>
      </c>
      <c r="C2925">
        <f>IF(A2925="","",'Ratings'!C188)</f>
        <v/>
      </c>
      <c r="D2925">
        <f>IF(A2925="","",'Ratings'!D188)</f>
        <v/>
      </c>
      <c r="E2925">
        <f>IF(AND('Ratings'!A188&lt;&gt;"",'Ratings'!P5&lt;&gt;""),'Ratings'!P5,"")</f>
        <v/>
      </c>
      <c r="F2925">
        <f>IF(OR(A2925="",'Ratings'!P188=""),"",'Ratings'!P188)</f>
        <v/>
      </c>
      <c r="G2925">
        <f>IF(A2925="","",'Employees'!D17)</f>
        <v/>
      </c>
    </row>
    <row r="2926">
      <c r="A2926">
        <f>IF(AND('Ratings'!A188&lt;&gt;"",'Ratings'!Q5&lt;&gt;""),'Ratings'!A188,"")</f>
        <v/>
      </c>
      <c r="B2926">
        <f>IF(A2926="","",'Employees'!C17)</f>
        <v/>
      </c>
      <c r="C2926">
        <f>IF(A2926="","",'Ratings'!C188)</f>
        <v/>
      </c>
      <c r="D2926">
        <f>IF(A2926="","",'Ratings'!D188)</f>
        <v/>
      </c>
      <c r="E2926">
        <f>IF(AND('Ratings'!A188&lt;&gt;"",'Ratings'!Q5&lt;&gt;""),'Ratings'!Q5,"")</f>
        <v/>
      </c>
      <c r="F2926">
        <f>IF(OR(A2926="",'Ratings'!Q188=""),"",'Ratings'!Q188)</f>
        <v/>
      </c>
      <c r="G2926">
        <f>IF(A2926="","",'Employees'!D17)</f>
        <v/>
      </c>
    </row>
    <row r="2927">
      <c r="A2927">
        <f>IF(AND('Ratings'!A188&lt;&gt;"",'Ratings'!R5&lt;&gt;""),'Ratings'!A188,"")</f>
        <v/>
      </c>
      <c r="B2927">
        <f>IF(A2927="","",'Employees'!C17)</f>
        <v/>
      </c>
      <c r="C2927">
        <f>IF(A2927="","",'Ratings'!C188)</f>
        <v/>
      </c>
      <c r="D2927">
        <f>IF(A2927="","",'Ratings'!D188)</f>
        <v/>
      </c>
      <c r="E2927">
        <f>IF(AND('Ratings'!A188&lt;&gt;"",'Ratings'!R5&lt;&gt;""),'Ratings'!R5,"")</f>
        <v/>
      </c>
      <c r="F2927">
        <f>IF(OR(A2927="",'Ratings'!R188=""),"",'Ratings'!R188)</f>
        <v/>
      </c>
      <c r="G2927">
        <f>IF(A2927="","",'Employees'!D17)</f>
        <v/>
      </c>
    </row>
    <row r="2928">
      <c r="A2928">
        <f>IF(AND('Ratings'!A188&lt;&gt;"",'Ratings'!S5&lt;&gt;""),'Ratings'!A188,"")</f>
        <v/>
      </c>
      <c r="B2928">
        <f>IF(A2928="","",'Employees'!C17)</f>
        <v/>
      </c>
      <c r="C2928">
        <f>IF(A2928="","",'Ratings'!C188)</f>
        <v/>
      </c>
      <c r="D2928">
        <f>IF(A2928="","",'Ratings'!D188)</f>
        <v/>
      </c>
      <c r="E2928">
        <f>IF(AND('Ratings'!A188&lt;&gt;"",'Ratings'!S5&lt;&gt;""),'Ratings'!S5,"")</f>
        <v/>
      </c>
      <c r="F2928">
        <f>IF(OR(A2928="",'Ratings'!S188=""),"",'Ratings'!S188)</f>
        <v/>
      </c>
      <c r="G2928">
        <f>IF(A2928="","",'Employees'!D17)</f>
        <v/>
      </c>
    </row>
    <row r="2929">
      <c r="A2929">
        <f>IF(AND('Ratings'!A188&lt;&gt;"",'Ratings'!T5&lt;&gt;""),'Ratings'!A188,"")</f>
        <v/>
      </c>
      <c r="B2929">
        <f>IF(A2929="","",'Employees'!C17)</f>
        <v/>
      </c>
      <c r="C2929">
        <f>IF(A2929="","",'Ratings'!C188)</f>
        <v/>
      </c>
      <c r="D2929">
        <f>IF(A2929="","",'Ratings'!D188)</f>
        <v/>
      </c>
      <c r="E2929">
        <f>IF(AND('Ratings'!A188&lt;&gt;"",'Ratings'!T5&lt;&gt;""),'Ratings'!T5,"")</f>
        <v/>
      </c>
      <c r="F2929">
        <f>IF(OR(A2929="",'Ratings'!T188=""),"",'Ratings'!T188)</f>
        <v/>
      </c>
      <c r="G2929">
        <f>IF(A2929="","",'Employees'!D17)</f>
        <v/>
      </c>
    </row>
    <row r="2930">
      <c r="A2930">
        <f>IF(AND('Ratings'!A189&lt;&gt;"",'Ratings'!E5&lt;&gt;""),'Ratings'!A189,"")</f>
        <v/>
      </c>
      <c r="B2930">
        <f>IF(A2930="","",'Employees'!C17)</f>
        <v/>
      </c>
      <c r="C2930">
        <f>IF(A2930="","",'Ratings'!C189)</f>
        <v/>
      </c>
      <c r="D2930">
        <f>IF(A2930="","",'Ratings'!D189)</f>
        <v/>
      </c>
      <c r="E2930">
        <f>IF(AND('Ratings'!A189&lt;&gt;"",'Ratings'!E5&lt;&gt;""),'Ratings'!E5,"")</f>
        <v/>
      </c>
      <c r="F2930">
        <f>IF(OR(A2930="",'Ratings'!E189=""),"",'Ratings'!E189)</f>
        <v/>
      </c>
      <c r="G2930">
        <f>IF(A2930="","",'Employees'!D17)</f>
        <v/>
      </c>
    </row>
    <row r="2931">
      <c r="A2931">
        <f>IF(AND('Ratings'!A189&lt;&gt;"",'Ratings'!F5&lt;&gt;""),'Ratings'!A189,"")</f>
        <v/>
      </c>
      <c r="B2931">
        <f>IF(A2931="","",'Employees'!C17)</f>
        <v/>
      </c>
      <c r="C2931">
        <f>IF(A2931="","",'Ratings'!C189)</f>
        <v/>
      </c>
      <c r="D2931">
        <f>IF(A2931="","",'Ratings'!D189)</f>
        <v/>
      </c>
      <c r="E2931">
        <f>IF(AND('Ratings'!A189&lt;&gt;"",'Ratings'!F5&lt;&gt;""),'Ratings'!F5,"")</f>
        <v/>
      </c>
      <c r="F2931">
        <f>IF(OR(A2931="",'Ratings'!F189=""),"",'Ratings'!F189)</f>
        <v/>
      </c>
      <c r="G2931">
        <f>IF(A2931="","",'Employees'!D17)</f>
        <v/>
      </c>
    </row>
    <row r="2932">
      <c r="A2932">
        <f>IF(AND('Ratings'!A189&lt;&gt;"",'Ratings'!G5&lt;&gt;""),'Ratings'!A189,"")</f>
        <v/>
      </c>
      <c r="B2932">
        <f>IF(A2932="","",'Employees'!C17)</f>
        <v/>
      </c>
      <c r="C2932">
        <f>IF(A2932="","",'Ratings'!C189)</f>
        <v/>
      </c>
      <c r="D2932">
        <f>IF(A2932="","",'Ratings'!D189)</f>
        <v/>
      </c>
      <c r="E2932">
        <f>IF(AND('Ratings'!A189&lt;&gt;"",'Ratings'!G5&lt;&gt;""),'Ratings'!G5,"")</f>
        <v/>
      </c>
      <c r="F2932">
        <f>IF(OR(A2932="",'Ratings'!G189=""),"",'Ratings'!G189)</f>
        <v/>
      </c>
      <c r="G2932">
        <f>IF(A2932="","",'Employees'!D17)</f>
        <v/>
      </c>
    </row>
    <row r="2933">
      <c r="A2933">
        <f>IF(AND('Ratings'!A189&lt;&gt;"",'Ratings'!H5&lt;&gt;""),'Ratings'!A189,"")</f>
        <v/>
      </c>
      <c r="B2933">
        <f>IF(A2933="","",'Employees'!C17)</f>
        <v/>
      </c>
      <c r="C2933">
        <f>IF(A2933="","",'Ratings'!C189)</f>
        <v/>
      </c>
      <c r="D2933">
        <f>IF(A2933="","",'Ratings'!D189)</f>
        <v/>
      </c>
      <c r="E2933">
        <f>IF(AND('Ratings'!A189&lt;&gt;"",'Ratings'!H5&lt;&gt;""),'Ratings'!H5,"")</f>
        <v/>
      </c>
      <c r="F2933">
        <f>IF(OR(A2933="",'Ratings'!H189=""),"",'Ratings'!H189)</f>
        <v/>
      </c>
      <c r="G2933">
        <f>IF(A2933="","",'Employees'!D17)</f>
        <v/>
      </c>
    </row>
    <row r="2934">
      <c r="A2934">
        <f>IF(AND('Ratings'!A189&lt;&gt;"",'Ratings'!I5&lt;&gt;""),'Ratings'!A189,"")</f>
        <v/>
      </c>
      <c r="B2934">
        <f>IF(A2934="","",'Employees'!C17)</f>
        <v/>
      </c>
      <c r="C2934">
        <f>IF(A2934="","",'Ratings'!C189)</f>
        <v/>
      </c>
      <c r="D2934">
        <f>IF(A2934="","",'Ratings'!D189)</f>
        <v/>
      </c>
      <c r="E2934">
        <f>IF(AND('Ratings'!A189&lt;&gt;"",'Ratings'!I5&lt;&gt;""),'Ratings'!I5,"")</f>
        <v/>
      </c>
      <c r="F2934">
        <f>IF(OR(A2934="",'Ratings'!I189=""),"",'Ratings'!I189)</f>
        <v/>
      </c>
      <c r="G2934">
        <f>IF(A2934="","",'Employees'!D17)</f>
        <v/>
      </c>
    </row>
    <row r="2935">
      <c r="A2935">
        <f>IF(AND('Ratings'!A189&lt;&gt;"",'Ratings'!J5&lt;&gt;""),'Ratings'!A189,"")</f>
        <v/>
      </c>
      <c r="B2935">
        <f>IF(A2935="","",'Employees'!C17)</f>
        <v/>
      </c>
      <c r="C2935">
        <f>IF(A2935="","",'Ratings'!C189)</f>
        <v/>
      </c>
      <c r="D2935">
        <f>IF(A2935="","",'Ratings'!D189)</f>
        <v/>
      </c>
      <c r="E2935">
        <f>IF(AND('Ratings'!A189&lt;&gt;"",'Ratings'!J5&lt;&gt;""),'Ratings'!J5,"")</f>
        <v/>
      </c>
      <c r="F2935">
        <f>IF(OR(A2935="",'Ratings'!J189=""),"",'Ratings'!J189)</f>
        <v/>
      </c>
      <c r="G2935">
        <f>IF(A2935="","",'Employees'!D17)</f>
        <v/>
      </c>
    </row>
    <row r="2936">
      <c r="A2936">
        <f>IF(AND('Ratings'!A189&lt;&gt;"",'Ratings'!K5&lt;&gt;""),'Ratings'!A189,"")</f>
        <v/>
      </c>
      <c r="B2936">
        <f>IF(A2936="","",'Employees'!C17)</f>
        <v/>
      </c>
      <c r="C2936">
        <f>IF(A2936="","",'Ratings'!C189)</f>
        <v/>
      </c>
      <c r="D2936">
        <f>IF(A2936="","",'Ratings'!D189)</f>
        <v/>
      </c>
      <c r="E2936">
        <f>IF(AND('Ratings'!A189&lt;&gt;"",'Ratings'!K5&lt;&gt;""),'Ratings'!K5,"")</f>
        <v/>
      </c>
      <c r="F2936">
        <f>IF(OR(A2936="",'Ratings'!K189=""),"",'Ratings'!K189)</f>
        <v/>
      </c>
      <c r="G2936">
        <f>IF(A2936="","",'Employees'!D17)</f>
        <v/>
      </c>
    </row>
    <row r="2937">
      <c r="A2937">
        <f>IF(AND('Ratings'!A189&lt;&gt;"",'Ratings'!L5&lt;&gt;""),'Ratings'!A189,"")</f>
        <v/>
      </c>
      <c r="B2937">
        <f>IF(A2937="","",'Employees'!C17)</f>
        <v/>
      </c>
      <c r="C2937">
        <f>IF(A2937="","",'Ratings'!C189)</f>
        <v/>
      </c>
      <c r="D2937">
        <f>IF(A2937="","",'Ratings'!D189)</f>
        <v/>
      </c>
      <c r="E2937">
        <f>IF(AND('Ratings'!A189&lt;&gt;"",'Ratings'!L5&lt;&gt;""),'Ratings'!L5,"")</f>
        <v/>
      </c>
      <c r="F2937">
        <f>IF(OR(A2937="",'Ratings'!L189=""),"",'Ratings'!L189)</f>
        <v/>
      </c>
      <c r="G2937">
        <f>IF(A2937="","",'Employees'!D17)</f>
        <v/>
      </c>
    </row>
    <row r="2938">
      <c r="A2938">
        <f>IF(AND('Ratings'!A189&lt;&gt;"",'Ratings'!M5&lt;&gt;""),'Ratings'!A189,"")</f>
        <v/>
      </c>
      <c r="B2938">
        <f>IF(A2938="","",'Employees'!C17)</f>
        <v/>
      </c>
      <c r="C2938">
        <f>IF(A2938="","",'Ratings'!C189)</f>
        <v/>
      </c>
      <c r="D2938">
        <f>IF(A2938="","",'Ratings'!D189)</f>
        <v/>
      </c>
      <c r="E2938">
        <f>IF(AND('Ratings'!A189&lt;&gt;"",'Ratings'!M5&lt;&gt;""),'Ratings'!M5,"")</f>
        <v/>
      </c>
      <c r="F2938">
        <f>IF(OR(A2938="",'Ratings'!M189=""),"",'Ratings'!M189)</f>
        <v/>
      </c>
      <c r="G2938">
        <f>IF(A2938="","",'Employees'!D17)</f>
        <v/>
      </c>
    </row>
    <row r="2939">
      <c r="A2939">
        <f>IF(AND('Ratings'!A189&lt;&gt;"",'Ratings'!N5&lt;&gt;""),'Ratings'!A189,"")</f>
        <v/>
      </c>
      <c r="B2939">
        <f>IF(A2939="","",'Employees'!C17)</f>
        <v/>
      </c>
      <c r="C2939">
        <f>IF(A2939="","",'Ratings'!C189)</f>
        <v/>
      </c>
      <c r="D2939">
        <f>IF(A2939="","",'Ratings'!D189)</f>
        <v/>
      </c>
      <c r="E2939">
        <f>IF(AND('Ratings'!A189&lt;&gt;"",'Ratings'!N5&lt;&gt;""),'Ratings'!N5,"")</f>
        <v/>
      </c>
      <c r="F2939">
        <f>IF(OR(A2939="",'Ratings'!N189=""),"",'Ratings'!N189)</f>
        <v/>
      </c>
      <c r="G2939">
        <f>IF(A2939="","",'Employees'!D17)</f>
        <v/>
      </c>
    </row>
    <row r="2940">
      <c r="A2940">
        <f>IF(AND('Ratings'!A189&lt;&gt;"",'Ratings'!O5&lt;&gt;""),'Ratings'!A189,"")</f>
        <v/>
      </c>
      <c r="B2940">
        <f>IF(A2940="","",'Employees'!C17)</f>
        <v/>
      </c>
      <c r="C2940">
        <f>IF(A2940="","",'Ratings'!C189)</f>
        <v/>
      </c>
      <c r="D2940">
        <f>IF(A2940="","",'Ratings'!D189)</f>
        <v/>
      </c>
      <c r="E2940">
        <f>IF(AND('Ratings'!A189&lt;&gt;"",'Ratings'!O5&lt;&gt;""),'Ratings'!O5,"")</f>
        <v/>
      </c>
      <c r="F2940">
        <f>IF(OR(A2940="",'Ratings'!O189=""),"",'Ratings'!O189)</f>
        <v/>
      </c>
      <c r="G2940">
        <f>IF(A2940="","",'Employees'!D17)</f>
        <v/>
      </c>
    </row>
    <row r="2941">
      <c r="A2941">
        <f>IF(AND('Ratings'!A189&lt;&gt;"",'Ratings'!P5&lt;&gt;""),'Ratings'!A189,"")</f>
        <v/>
      </c>
      <c r="B2941">
        <f>IF(A2941="","",'Employees'!C17)</f>
        <v/>
      </c>
      <c r="C2941">
        <f>IF(A2941="","",'Ratings'!C189)</f>
        <v/>
      </c>
      <c r="D2941">
        <f>IF(A2941="","",'Ratings'!D189)</f>
        <v/>
      </c>
      <c r="E2941">
        <f>IF(AND('Ratings'!A189&lt;&gt;"",'Ratings'!P5&lt;&gt;""),'Ratings'!P5,"")</f>
        <v/>
      </c>
      <c r="F2941">
        <f>IF(OR(A2941="",'Ratings'!P189=""),"",'Ratings'!P189)</f>
        <v/>
      </c>
      <c r="G2941">
        <f>IF(A2941="","",'Employees'!D17)</f>
        <v/>
      </c>
    </row>
    <row r="2942">
      <c r="A2942">
        <f>IF(AND('Ratings'!A189&lt;&gt;"",'Ratings'!Q5&lt;&gt;""),'Ratings'!A189,"")</f>
        <v/>
      </c>
      <c r="B2942">
        <f>IF(A2942="","",'Employees'!C17)</f>
        <v/>
      </c>
      <c r="C2942">
        <f>IF(A2942="","",'Ratings'!C189)</f>
        <v/>
      </c>
      <c r="D2942">
        <f>IF(A2942="","",'Ratings'!D189)</f>
        <v/>
      </c>
      <c r="E2942">
        <f>IF(AND('Ratings'!A189&lt;&gt;"",'Ratings'!Q5&lt;&gt;""),'Ratings'!Q5,"")</f>
        <v/>
      </c>
      <c r="F2942">
        <f>IF(OR(A2942="",'Ratings'!Q189=""),"",'Ratings'!Q189)</f>
        <v/>
      </c>
      <c r="G2942">
        <f>IF(A2942="","",'Employees'!D17)</f>
        <v/>
      </c>
    </row>
    <row r="2943">
      <c r="A2943">
        <f>IF(AND('Ratings'!A189&lt;&gt;"",'Ratings'!R5&lt;&gt;""),'Ratings'!A189,"")</f>
        <v/>
      </c>
      <c r="B2943">
        <f>IF(A2943="","",'Employees'!C17)</f>
        <v/>
      </c>
      <c r="C2943">
        <f>IF(A2943="","",'Ratings'!C189)</f>
        <v/>
      </c>
      <c r="D2943">
        <f>IF(A2943="","",'Ratings'!D189)</f>
        <v/>
      </c>
      <c r="E2943">
        <f>IF(AND('Ratings'!A189&lt;&gt;"",'Ratings'!R5&lt;&gt;""),'Ratings'!R5,"")</f>
        <v/>
      </c>
      <c r="F2943">
        <f>IF(OR(A2943="",'Ratings'!R189=""),"",'Ratings'!R189)</f>
        <v/>
      </c>
      <c r="G2943">
        <f>IF(A2943="","",'Employees'!D17)</f>
        <v/>
      </c>
    </row>
    <row r="2944">
      <c r="A2944">
        <f>IF(AND('Ratings'!A189&lt;&gt;"",'Ratings'!S5&lt;&gt;""),'Ratings'!A189,"")</f>
        <v/>
      </c>
      <c r="B2944">
        <f>IF(A2944="","",'Employees'!C17)</f>
        <v/>
      </c>
      <c r="C2944">
        <f>IF(A2944="","",'Ratings'!C189)</f>
        <v/>
      </c>
      <c r="D2944">
        <f>IF(A2944="","",'Ratings'!D189)</f>
        <v/>
      </c>
      <c r="E2944">
        <f>IF(AND('Ratings'!A189&lt;&gt;"",'Ratings'!S5&lt;&gt;""),'Ratings'!S5,"")</f>
        <v/>
      </c>
      <c r="F2944">
        <f>IF(OR(A2944="",'Ratings'!S189=""),"",'Ratings'!S189)</f>
        <v/>
      </c>
      <c r="G2944">
        <f>IF(A2944="","",'Employees'!D17)</f>
        <v/>
      </c>
    </row>
    <row r="2945">
      <c r="A2945">
        <f>IF(AND('Ratings'!A189&lt;&gt;"",'Ratings'!T5&lt;&gt;""),'Ratings'!A189,"")</f>
        <v/>
      </c>
      <c r="B2945">
        <f>IF(A2945="","",'Employees'!C17)</f>
        <v/>
      </c>
      <c r="C2945">
        <f>IF(A2945="","",'Ratings'!C189)</f>
        <v/>
      </c>
      <c r="D2945">
        <f>IF(A2945="","",'Ratings'!D189)</f>
        <v/>
      </c>
      <c r="E2945">
        <f>IF(AND('Ratings'!A189&lt;&gt;"",'Ratings'!T5&lt;&gt;""),'Ratings'!T5,"")</f>
        <v/>
      </c>
      <c r="F2945">
        <f>IF(OR(A2945="",'Ratings'!T189=""),"",'Ratings'!T189)</f>
        <v/>
      </c>
      <c r="G2945">
        <f>IF(A2945="","",'Employees'!D17)</f>
        <v/>
      </c>
    </row>
    <row r="2946">
      <c r="A2946">
        <f>IF(AND('Ratings'!A190&lt;&gt;"",'Ratings'!E5&lt;&gt;""),'Ratings'!A190,"")</f>
        <v/>
      </c>
      <c r="B2946">
        <f>IF(A2946="","",'Employees'!C17)</f>
        <v/>
      </c>
      <c r="C2946">
        <f>IF(A2946="","",'Ratings'!C190)</f>
        <v/>
      </c>
      <c r="D2946">
        <f>IF(A2946="","",'Ratings'!D190)</f>
        <v/>
      </c>
      <c r="E2946">
        <f>IF(AND('Ratings'!A190&lt;&gt;"",'Ratings'!E5&lt;&gt;""),'Ratings'!E5,"")</f>
        <v/>
      </c>
      <c r="F2946">
        <f>IF(OR(A2946="",'Ratings'!E190=""),"",'Ratings'!E190)</f>
        <v/>
      </c>
      <c r="G2946">
        <f>IF(A2946="","",'Employees'!D17)</f>
        <v/>
      </c>
    </row>
    <row r="2947">
      <c r="A2947">
        <f>IF(AND('Ratings'!A190&lt;&gt;"",'Ratings'!F5&lt;&gt;""),'Ratings'!A190,"")</f>
        <v/>
      </c>
      <c r="B2947">
        <f>IF(A2947="","",'Employees'!C17)</f>
        <v/>
      </c>
      <c r="C2947">
        <f>IF(A2947="","",'Ratings'!C190)</f>
        <v/>
      </c>
      <c r="D2947">
        <f>IF(A2947="","",'Ratings'!D190)</f>
        <v/>
      </c>
      <c r="E2947">
        <f>IF(AND('Ratings'!A190&lt;&gt;"",'Ratings'!F5&lt;&gt;""),'Ratings'!F5,"")</f>
        <v/>
      </c>
      <c r="F2947">
        <f>IF(OR(A2947="",'Ratings'!F190=""),"",'Ratings'!F190)</f>
        <v/>
      </c>
      <c r="G2947">
        <f>IF(A2947="","",'Employees'!D17)</f>
        <v/>
      </c>
    </row>
    <row r="2948">
      <c r="A2948">
        <f>IF(AND('Ratings'!A190&lt;&gt;"",'Ratings'!G5&lt;&gt;""),'Ratings'!A190,"")</f>
        <v/>
      </c>
      <c r="B2948">
        <f>IF(A2948="","",'Employees'!C17)</f>
        <v/>
      </c>
      <c r="C2948">
        <f>IF(A2948="","",'Ratings'!C190)</f>
        <v/>
      </c>
      <c r="D2948">
        <f>IF(A2948="","",'Ratings'!D190)</f>
        <v/>
      </c>
      <c r="E2948">
        <f>IF(AND('Ratings'!A190&lt;&gt;"",'Ratings'!G5&lt;&gt;""),'Ratings'!G5,"")</f>
        <v/>
      </c>
      <c r="F2948">
        <f>IF(OR(A2948="",'Ratings'!G190=""),"",'Ratings'!G190)</f>
        <v/>
      </c>
      <c r="G2948">
        <f>IF(A2948="","",'Employees'!D17)</f>
        <v/>
      </c>
    </row>
    <row r="2949">
      <c r="A2949">
        <f>IF(AND('Ratings'!A190&lt;&gt;"",'Ratings'!H5&lt;&gt;""),'Ratings'!A190,"")</f>
        <v/>
      </c>
      <c r="B2949">
        <f>IF(A2949="","",'Employees'!C17)</f>
        <v/>
      </c>
      <c r="C2949">
        <f>IF(A2949="","",'Ratings'!C190)</f>
        <v/>
      </c>
      <c r="D2949">
        <f>IF(A2949="","",'Ratings'!D190)</f>
        <v/>
      </c>
      <c r="E2949">
        <f>IF(AND('Ratings'!A190&lt;&gt;"",'Ratings'!H5&lt;&gt;""),'Ratings'!H5,"")</f>
        <v/>
      </c>
      <c r="F2949">
        <f>IF(OR(A2949="",'Ratings'!H190=""),"",'Ratings'!H190)</f>
        <v/>
      </c>
      <c r="G2949">
        <f>IF(A2949="","",'Employees'!D17)</f>
        <v/>
      </c>
    </row>
    <row r="2950">
      <c r="A2950">
        <f>IF(AND('Ratings'!A190&lt;&gt;"",'Ratings'!I5&lt;&gt;""),'Ratings'!A190,"")</f>
        <v/>
      </c>
      <c r="B2950">
        <f>IF(A2950="","",'Employees'!C17)</f>
        <v/>
      </c>
      <c r="C2950">
        <f>IF(A2950="","",'Ratings'!C190)</f>
        <v/>
      </c>
      <c r="D2950">
        <f>IF(A2950="","",'Ratings'!D190)</f>
        <v/>
      </c>
      <c r="E2950">
        <f>IF(AND('Ratings'!A190&lt;&gt;"",'Ratings'!I5&lt;&gt;""),'Ratings'!I5,"")</f>
        <v/>
      </c>
      <c r="F2950">
        <f>IF(OR(A2950="",'Ratings'!I190=""),"",'Ratings'!I190)</f>
        <v/>
      </c>
      <c r="G2950">
        <f>IF(A2950="","",'Employees'!D17)</f>
        <v/>
      </c>
    </row>
    <row r="2951">
      <c r="A2951">
        <f>IF(AND('Ratings'!A190&lt;&gt;"",'Ratings'!J5&lt;&gt;""),'Ratings'!A190,"")</f>
        <v/>
      </c>
      <c r="B2951">
        <f>IF(A2951="","",'Employees'!C17)</f>
        <v/>
      </c>
      <c r="C2951">
        <f>IF(A2951="","",'Ratings'!C190)</f>
        <v/>
      </c>
      <c r="D2951">
        <f>IF(A2951="","",'Ratings'!D190)</f>
        <v/>
      </c>
      <c r="E2951">
        <f>IF(AND('Ratings'!A190&lt;&gt;"",'Ratings'!J5&lt;&gt;""),'Ratings'!J5,"")</f>
        <v/>
      </c>
      <c r="F2951">
        <f>IF(OR(A2951="",'Ratings'!J190=""),"",'Ratings'!J190)</f>
        <v/>
      </c>
      <c r="G2951">
        <f>IF(A2951="","",'Employees'!D17)</f>
        <v/>
      </c>
    </row>
    <row r="2952">
      <c r="A2952">
        <f>IF(AND('Ratings'!A190&lt;&gt;"",'Ratings'!K5&lt;&gt;""),'Ratings'!A190,"")</f>
        <v/>
      </c>
      <c r="B2952">
        <f>IF(A2952="","",'Employees'!C17)</f>
        <v/>
      </c>
      <c r="C2952">
        <f>IF(A2952="","",'Ratings'!C190)</f>
        <v/>
      </c>
      <c r="D2952">
        <f>IF(A2952="","",'Ratings'!D190)</f>
        <v/>
      </c>
      <c r="E2952">
        <f>IF(AND('Ratings'!A190&lt;&gt;"",'Ratings'!K5&lt;&gt;""),'Ratings'!K5,"")</f>
        <v/>
      </c>
      <c r="F2952">
        <f>IF(OR(A2952="",'Ratings'!K190=""),"",'Ratings'!K190)</f>
        <v/>
      </c>
      <c r="G2952">
        <f>IF(A2952="","",'Employees'!D17)</f>
        <v/>
      </c>
    </row>
    <row r="2953">
      <c r="A2953">
        <f>IF(AND('Ratings'!A190&lt;&gt;"",'Ratings'!L5&lt;&gt;""),'Ratings'!A190,"")</f>
        <v/>
      </c>
      <c r="B2953">
        <f>IF(A2953="","",'Employees'!C17)</f>
        <v/>
      </c>
      <c r="C2953">
        <f>IF(A2953="","",'Ratings'!C190)</f>
        <v/>
      </c>
      <c r="D2953">
        <f>IF(A2953="","",'Ratings'!D190)</f>
        <v/>
      </c>
      <c r="E2953">
        <f>IF(AND('Ratings'!A190&lt;&gt;"",'Ratings'!L5&lt;&gt;""),'Ratings'!L5,"")</f>
        <v/>
      </c>
      <c r="F2953">
        <f>IF(OR(A2953="",'Ratings'!L190=""),"",'Ratings'!L190)</f>
        <v/>
      </c>
      <c r="G2953">
        <f>IF(A2953="","",'Employees'!D17)</f>
        <v/>
      </c>
    </row>
    <row r="2954">
      <c r="A2954">
        <f>IF(AND('Ratings'!A190&lt;&gt;"",'Ratings'!M5&lt;&gt;""),'Ratings'!A190,"")</f>
        <v/>
      </c>
      <c r="B2954">
        <f>IF(A2954="","",'Employees'!C17)</f>
        <v/>
      </c>
      <c r="C2954">
        <f>IF(A2954="","",'Ratings'!C190)</f>
        <v/>
      </c>
      <c r="D2954">
        <f>IF(A2954="","",'Ratings'!D190)</f>
        <v/>
      </c>
      <c r="E2954">
        <f>IF(AND('Ratings'!A190&lt;&gt;"",'Ratings'!M5&lt;&gt;""),'Ratings'!M5,"")</f>
        <v/>
      </c>
      <c r="F2954">
        <f>IF(OR(A2954="",'Ratings'!M190=""),"",'Ratings'!M190)</f>
        <v/>
      </c>
      <c r="G2954">
        <f>IF(A2954="","",'Employees'!D17)</f>
        <v/>
      </c>
    </row>
    <row r="2955">
      <c r="A2955">
        <f>IF(AND('Ratings'!A190&lt;&gt;"",'Ratings'!N5&lt;&gt;""),'Ratings'!A190,"")</f>
        <v/>
      </c>
      <c r="B2955">
        <f>IF(A2955="","",'Employees'!C17)</f>
        <v/>
      </c>
      <c r="C2955">
        <f>IF(A2955="","",'Ratings'!C190)</f>
        <v/>
      </c>
      <c r="D2955">
        <f>IF(A2955="","",'Ratings'!D190)</f>
        <v/>
      </c>
      <c r="E2955">
        <f>IF(AND('Ratings'!A190&lt;&gt;"",'Ratings'!N5&lt;&gt;""),'Ratings'!N5,"")</f>
        <v/>
      </c>
      <c r="F2955">
        <f>IF(OR(A2955="",'Ratings'!N190=""),"",'Ratings'!N190)</f>
        <v/>
      </c>
      <c r="G2955">
        <f>IF(A2955="","",'Employees'!D17)</f>
        <v/>
      </c>
    </row>
    <row r="2956">
      <c r="A2956">
        <f>IF(AND('Ratings'!A190&lt;&gt;"",'Ratings'!O5&lt;&gt;""),'Ratings'!A190,"")</f>
        <v/>
      </c>
      <c r="B2956">
        <f>IF(A2956="","",'Employees'!C17)</f>
        <v/>
      </c>
      <c r="C2956">
        <f>IF(A2956="","",'Ratings'!C190)</f>
        <v/>
      </c>
      <c r="D2956">
        <f>IF(A2956="","",'Ratings'!D190)</f>
        <v/>
      </c>
      <c r="E2956">
        <f>IF(AND('Ratings'!A190&lt;&gt;"",'Ratings'!O5&lt;&gt;""),'Ratings'!O5,"")</f>
        <v/>
      </c>
      <c r="F2956">
        <f>IF(OR(A2956="",'Ratings'!O190=""),"",'Ratings'!O190)</f>
        <v/>
      </c>
      <c r="G2956">
        <f>IF(A2956="","",'Employees'!D17)</f>
        <v/>
      </c>
    </row>
    <row r="2957">
      <c r="A2957">
        <f>IF(AND('Ratings'!A190&lt;&gt;"",'Ratings'!P5&lt;&gt;""),'Ratings'!A190,"")</f>
        <v/>
      </c>
      <c r="B2957">
        <f>IF(A2957="","",'Employees'!C17)</f>
        <v/>
      </c>
      <c r="C2957">
        <f>IF(A2957="","",'Ratings'!C190)</f>
        <v/>
      </c>
      <c r="D2957">
        <f>IF(A2957="","",'Ratings'!D190)</f>
        <v/>
      </c>
      <c r="E2957">
        <f>IF(AND('Ratings'!A190&lt;&gt;"",'Ratings'!P5&lt;&gt;""),'Ratings'!P5,"")</f>
        <v/>
      </c>
      <c r="F2957">
        <f>IF(OR(A2957="",'Ratings'!P190=""),"",'Ratings'!P190)</f>
        <v/>
      </c>
      <c r="G2957">
        <f>IF(A2957="","",'Employees'!D17)</f>
        <v/>
      </c>
    </row>
    <row r="2958">
      <c r="A2958">
        <f>IF(AND('Ratings'!A190&lt;&gt;"",'Ratings'!Q5&lt;&gt;""),'Ratings'!A190,"")</f>
        <v/>
      </c>
      <c r="B2958">
        <f>IF(A2958="","",'Employees'!C17)</f>
        <v/>
      </c>
      <c r="C2958">
        <f>IF(A2958="","",'Ratings'!C190)</f>
        <v/>
      </c>
      <c r="D2958">
        <f>IF(A2958="","",'Ratings'!D190)</f>
        <v/>
      </c>
      <c r="E2958">
        <f>IF(AND('Ratings'!A190&lt;&gt;"",'Ratings'!Q5&lt;&gt;""),'Ratings'!Q5,"")</f>
        <v/>
      </c>
      <c r="F2958">
        <f>IF(OR(A2958="",'Ratings'!Q190=""),"",'Ratings'!Q190)</f>
        <v/>
      </c>
      <c r="G2958">
        <f>IF(A2958="","",'Employees'!D17)</f>
        <v/>
      </c>
    </row>
    <row r="2959">
      <c r="A2959">
        <f>IF(AND('Ratings'!A190&lt;&gt;"",'Ratings'!R5&lt;&gt;""),'Ratings'!A190,"")</f>
        <v/>
      </c>
      <c r="B2959">
        <f>IF(A2959="","",'Employees'!C17)</f>
        <v/>
      </c>
      <c r="C2959">
        <f>IF(A2959="","",'Ratings'!C190)</f>
        <v/>
      </c>
      <c r="D2959">
        <f>IF(A2959="","",'Ratings'!D190)</f>
        <v/>
      </c>
      <c r="E2959">
        <f>IF(AND('Ratings'!A190&lt;&gt;"",'Ratings'!R5&lt;&gt;""),'Ratings'!R5,"")</f>
        <v/>
      </c>
      <c r="F2959">
        <f>IF(OR(A2959="",'Ratings'!R190=""),"",'Ratings'!R190)</f>
        <v/>
      </c>
      <c r="G2959">
        <f>IF(A2959="","",'Employees'!D17)</f>
        <v/>
      </c>
    </row>
    <row r="2960">
      <c r="A2960">
        <f>IF(AND('Ratings'!A190&lt;&gt;"",'Ratings'!S5&lt;&gt;""),'Ratings'!A190,"")</f>
        <v/>
      </c>
      <c r="B2960">
        <f>IF(A2960="","",'Employees'!C17)</f>
        <v/>
      </c>
      <c r="C2960">
        <f>IF(A2960="","",'Ratings'!C190)</f>
        <v/>
      </c>
      <c r="D2960">
        <f>IF(A2960="","",'Ratings'!D190)</f>
        <v/>
      </c>
      <c r="E2960">
        <f>IF(AND('Ratings'!A190&lt;&gt;"",'Ratings'!S5&lt;&gt;""),'Ratings'!S5,"")</f>
        <v/>
      </c>
      <c r="F2960">
        <f>IF(OR(A2960="",'Ratings'!S190=""),"",'Ratings'!S190)</f>
        <v/>
      </c>
      <c r="G2960">
        <f>IF(A2960="","",'Employees'!D17)</f>
        <v/>
      </c>
    </row>
    <row r="2961">
      <c r="A2961">
        <f>IF(AND('Ratings'!A190&lt;&gt;"",'Ratings'!T5&lt;&gt;""),'Ratings'!A190,"")</f>
        <v/>
      </c>
      <c r="B2961">
        <f>IF(A2961="","",'Employees'!C17)</f>
        <v/>
      </c>
      <c r="C2961">
        <f>IF(A2961="","",'Ratings'!C190)</f>
        <v/>
      </c>
      <c r="D2961">
        <f>IF(A2961="","",'Ratings'!D190)</f>
        <v/>
      </c>
      <c r="E2961">
        <f>IF(AND('Ratings'!A190&lt;&gt;"",'Ratings'!T5&lt;&gt;""),'Ratings'!T5,"")</f>
        <v/>
      </c>
      <c r="F2961">
        <f>IF(OR(A2961="",'Ratings'!T190=""),"",'Ratings'!T190)</f>
        <v/>
      </c>
      <c r="G2961">
        <f>IF(A2961="","",'Employees'!D17)</f>
        <v/>
      </c>
    </row>
    <row r="2962">
      <c r="A2962">
        <f>IF(AND('Ratings'!A191&lt;&gt;"",'Ratings'!E5&lt;&gt;""),'Ratings'!A191,"")</f>
        <v/>
      </c>
      <c r="B2962">
        <f>IF(A2962="","",'Employees'!C17)</f>
        <v/>
      </c>
      <c r="C2962">
        <f>IF(A2962="","",'Ratings'!C191)</f>
        <v/>
      </c>
      <c r="D2962">
        <f>IF(A2962="","",'Ratings'!D191)</f>
        <v/>
      </c>
      <c r="E2962">
        <f>IF(AND('Ratings'!A191&lt;&gt;"",'Ratings'!E5&lt;&gt;""),'Ratings'!E5,"")</f>
        <v/>
      </c>
      <c r="F2962">
        <f>IF(OR(A2962="",'Ratings'!E191=""),"",'Ratings'!E191)</f>
        <v/>
      </c>
      <c r="G2962">
        <f>IF(A2962="","",'Employees'!D17)</f>
        <v/>
      </c>
    </row>
    <row r="2963">
      <c r="A2963">
        <f>IF(AND('Ratings'!A191&lt;&gt;"",'Ratings'!F5&lt;&gt;""),'Ratings'!A191,"")</f>
        <v/>
      </c>
      <c r="B2963">
        <f>IF(A2963="","",'Employees'!C17)</f>
        <v/>
      </c>
      <c r="C2963">
        <f>IF(A2963="","",'Ratings'!C191)</f>
        <v/>
      </c>
      <c r="D2963">
        <f>IF(A2963="","",'Ratings'!D191)</f>
        <v/>
      </c>
      <c r="E2963">
        <f>IF(AND('Ratings'!A191&lt;&gt;"",'Ratings'!F5&lt;&gt;""),'Ratings'!F5,"")</f>
        <v/>
      </c>
      <c r="F2963">
        <f>IF(OR(A2963="",'Ratings'!F191=""),"",'Ratings'!F191)</f>
        <v/>
      </c>
      <c r="G2963">
        <f>IF(A2963="","",'Employees'!D17)</f>
        <v/>
      </c>
    </row>
    <row r="2964">
      <c r="A2964">
        <f>IF(AND('Ratings'!A191&lt;&gt;"",'Ratings'!G5&lt;&gt;""),'Ratings'!A191,"")</f>
        <v/>
      </c>
      <c r="B2964">
        <f>IF(A2964="","",'Employees'!C17)</f>
        <v/>
      </c>
      <c r="C2964">
        <f>IF(A2964="","",'Ratings'!C191)</f>
        <v/>
      </c>
      <c r="D2964">
        <f>IF(A2964="","",'Ratings'!D191)</f>
        <v/>
      </c>
      <c r="E2964">
        <f>IF(AND('Ratings'!A191&lt;&gt;"",'Ratings'!G5&lt;&gt;""),'Ratings'!G5,"")</f>
        <v/>
      </c>
      <c r="F2964">
        <f>IF(OR(A2964="",'Ratings'!G191=""),"",'Ratings'!G191)</f>
        <v/>
      </c>
      <c r="G2964">
        <f>IF(A2964="","",'Employees'!D17)</f>
        <v/>
      </c>
    </row>
    <row r="2965">
      <c r="A2965">
        <f>IF(AND('Ratings'!A191&lt;&gt;"",'Ratings'!H5&lt;&gt;""),'Ratings'!A191,"")</f>
        <v/>
      </c>
      <c r="B2965">
        <f>IF(A2965="","",'Employees'!C17)</f>
        <v/>
      </c>
      <c r="C2965">
        <f>IF(A2965="","",'Ratings'!C191)</f>
        <v/>
      </c>
      <c r="D2965">
        <f>IF(A2965="","",'Ratings'!D191)</f>
        <v/>
      </c>
      <c r="E2965">
        <f>IF(AND('Ratings'!A191&lt;&gt;"",'Ratings'!H5&lt;&gt;""),'Ratings'!H5,"")</f>
        <v/>
      </c>
      <c r="F2965">
        <f>IF(OR(A2965="",'Ratings'!H191=""),"",'Ratings'!H191)</f>
        <v/>
      </c>
      <c r="G2965">
        <f>IF(A2965="","",'Employees'!D17)</f>
        <v/>
      </c>
    </row>
    <row r="2966">
      <c r="A2966">
        <f>IF(AND('Ratings'!A191&lt;&gt;"",'Ratings'!I5&lt;&gt;""),'Ratings'!A191,"")</f>
        <v/>
      </c>
      <c r="B2966">
        <f>IF(A2966="","",'Employees'!C17)</f>
        <v/>
      </c>
      <c r="C2966">
        <f>IF(A2966="","",'Ratings'!C191)</f>
        <v/>
      </c>
      <c r="D2966">
        <f>IF(A2966="","",'Ratings'!D191)</f>
        <v/>
      </c>
      <c r="E2966">
        <f>IF(AND('Ratings'!A191&lt;&gt;"",'Ratings'!I5&lt;&gt;""),'Ratings'!I5,"")</f>
        <v/>
      </c>
      <c r="F2966">
        <f>IF(OR(A2966="",'Ratings'!I191=""),"",'Ratings'!I191)</f>
        <v/>
      </c>
      <c r="G2966">
        <f>IF(A2966="","",'Employees'!D17)</f>
        <v/>
      </c>
    </row>
    <row r="2967">
      <c r="A2967">
        <f>IF(AND('Ratings'!A191&lt;&gt;"",'Ratings'!J5&lt;&gt;""),'Ratings'!A191,"")</f>
        <v/>
      </c>
      <c r="B2967">
        <f>IF(A2967="","",'Employees'!C17)</f>
        <v/>
      </c>
      <c r="C2967">
        <f>IF(A2967="","",'Ratings'!C191)</f>
        <v/>
      </c>
      <c r="D2967">
        <f>IF(A2967="","",'Ratings'!D191)</f>
        <v/>
      </c>
      <c r="E2967">
        <f>IF(AND('Ratings'!A191&lt;&gt;"",'Ratings'!J5&lt;&gt;""),'Ratings'!J5,"")</f>
        <v/>
      </c>
      <c r="F2967">
        <f>IF(OR(A2967="",'Ratings'!J191=""),"",'Ratings'!J191)</f>
        <v/>
      </c>
      <c r="G2967">
        <f>IF(A2967="","",'Employees'!D17)</f>
        <v/>
      </c>
    </row>
    <row r="2968">
      <c r="A2968">
        <f>IF(AND('Ratings'!A191&lt;&gt;"",'Ratings'!K5&lt;&gt;""),'Ratings'!A191,"")</f>
        <v/>
      </c>
      <c r="B2968">
        <f>IF(A2968="","",'Employees'!C17)</f>
        <v/>
      </c>
      <c r="C2968">
        <f>IF(A2968="","",'Ratings'!C191)</f>
        <v/>
      </c>
      <c r="D2968">
        <f>IF(A2968="","",'Ratings'!D191)</f>
        <v/>
      </c>
      <c r="E2968">
        <f>IF(AND('Ratings'!A191&lt;&gt;"",'Ratings'!K5&lt;&gt;""),'Ratings'!K5,"")</f>
        <v/>
      </c>
      <c r="F2968">
        <f>IF(OR(A2968="",'Ratings'!K191=""),"",'Ratings'!K191)</f>
        <v/>
      </c>
      <c r="G2968">
        <f>IF(A2968="","",'Employees'!D17)</f>
        <v/>
      </c>
    </row>
    <row r="2969">
      <c r="A2969">
        <f>IF(AND('Ratings'!A191&lt;&gt;"",'Ratings'!L5&lt;&gt;""),'Ratings'!A191,"")</f>
        <v/>
      </c>
      <c r="B2969">
        <f>IF(A2969="","",'Employees'!C17)</f>
        <v/>
      </c>
      <c r="C2969">
        <f>IF(A2969="","",'Ratings'!C191)</f>
        <v/>
      </c>
      <c r="D2969">
        <f>IF(A2969="","",'Ratings'!D191)</f>
        <v/>
      </c>
      <c r="E2969">
        <f>IF(AND('Ratings'!A191&lt;&gt;"",'Ratings'!L5&lt;&gt;""),'Ratings'!L5,"")</f>
        <v/>
      </c>
      <c r="F2969">
        <f>IF(OR(A2969="",'Ratings'!L191=""),"",'Ratings'!L191)</f>
        <v/>
      </c>
      <c r="G2969">
        <f>IF(A2969="","",'Employees'!D17)</f>
        <v/>
      </c>
    </row>
    <row r="2970">
      <c r="A2970">
        <f>IF(AND('Ratings'!A191&lt;&gt;"",'Ratings'!M5&lt;&gt;""),'Ratings'!A191,"")</f>
        <v/>
      </c>
      <c r="B2970">
        <f>IF(A2970="","",'Employees'!C17)</f>
        <v/>
      </c>
      <c r="C2970">
        <f>IF(A2970="","",'Ratings'!C191)</f>
        <v/>
      </c>
      <c r="D2970">
        <f>IF(A2970="","",'Ratings'!D191)</f>
        <v/>
      </c>
      <c r="E2970">
        <f>IF(AND('Ratings'!A191&lt;&gt;"",'Ratings'!M5&lt;&gt;""),'Ratings'!M5,"")</f>
        <v/>
      </c>
      <c r="F2970">
        <f>IF(OR(A2970="",'Ratings'!M191=""),"",'Ratings'!M191)</f>
        <v/>
      </c>
      <c r="G2970">
        <f>IF(A2970="","",'Employees'!D17)</f>
        <v/>
      </c>
    </row>
    <row r="2971">
      <c r="A2971">
        <f>IF(AND('Ratings'!A191&lt;&gt;"",'Ratings'!N5&lt;&gt;""),'Ratings'!A191,"")</f>
        <v/>
      </c>
      <c r="B2971">
        <f>IF(A2971="","",'Employees'!C17)</f>
        <v/>
      </c>
      <c r="C2971">
        <f>IF(A2971="","",'Ratings'!C191)</f>
        <v/>
      </c>
      <c r="D2971">
        <f>IF(A2971="","",'Ratings'!D191)</f>
        <v/>
      </c>
      <c r="E2971">
        <f>IF(AND('Ratings'!A191&lt;&gt;"",'Ratings'!N5&lt;&gt;""),'Ratings'!N5,"")</f>
        <v/>
      </c>
      <c r="F2971">
        <f>IF(OR(A2971="",'Ratings'!N191=""),"",'Ratings'!N191)</f>
        <v/>
      </c>
      <c r="G2971">
        <f>IF(A2971="","",'Employees'!D17)</f>
        <v/>
      </c>
    </row>
    <row r="2972">
      <c r="A2972">
        <f>IF(AND('Ratings'!A191&lt;&gt;"",'Ratings'!O5&lt;&gt;""),'Ratings'!A191,"")</f>
        <v/>
      </c>
      <c r="B2972">
        <f>IF(A2972="","",'Employees'!C17)</f>
        <v/>
      </c>
      <c r="C2972">
        <f>IF(A2972="","",'Ratings'!C191)</f>
        <v/>
      </c>
      <c r="D2972">
        <f>IF(A2972="","",'Ratings'!D191)</f>
        <v/>
      </c>
      <c r="E2972">
        <f>IF(AND('Ratings'!A191&lt;&gt;"",'Ratings'!O5&lt;&gt;""),'Ratings'!O5,"")</f>
        <v/>
      </c>
      <c r="F2972">
        <f>IF(OR(A2972="",'Ratings'!O191=""),"",'Ratings'!O191)</f>
        <v/>
      </c>
      <c r="G2972">
        <f>IF(A2972="","",'Employees'!D17)</f>
        <v/>
      </c>
    </row>
    <row r="2973">
      <c r="A2973">
        <f>IF(AND('Ratings'!A191&lt;&gt;"",'Ratings'!P5&lt;&gt;""),'Ratings'!A191,"")</f>
        <v/>
      </c>
      <c r="B2973">
        <f>IF(A2973="","",'Employees'!C17)</f>
        <v/>
      </c>
      <c r="C2973">
        <f>IF(A2973="","",'Ratings'!C191)</f>
        <v/>
      </c>
      <c r="D2973">
        <f>IF(A2973="","",'Ratings'!D191)</f>
        <v/>
      </c>
      <c r="E2973">
        <f>IF(AND('Ratings'!A191&lt;&gt;"",'Ratings'!P5&lt;&gt;""),'Ratings'!P5,"")</f>
        <v/>
      </c>
      <c r="F2973">
        <f>IF(OR(A2973="",'Ratings'!P191=""),"",'Ratings'!P191)</f>
        <v/>
      </c>
      <c r="G2973">
        <f>IF(A2973="","",'Employees'!D17)</f>
        <v/>
      </c>
    </row>
    <row r="2974">
      <c r="A2974">
        <f>IF(AND('Ratings'!A191&lt;&gt;"",'Ratings'!Q5&lt;&gt;""),'Ratings'!A191,"")</f>
        <v/>
      </c>
      <c r="B2974">
        <f>IF(A2974="","",'Employees'!C17)</f>
        <v/>
      </c>
      <c r="C2974">
        <f>IF(A2974="","",'Ratings'!C191)</f>
        <v/>
      </c>
      <c r="D2974">
        <f>IF(A2974="","",'Ratings'!D191)</f>
        <v/>
      </c>
      <c r="E2974">
        <f>IF(AND('Ratings'!A191&lt;&gt;"",'Ratings'!Q5&lt;&gt;""),'Ratings'!Q5,"")</f>
        <v/>
      </c>
      <c r="F2974">
        <f>IF(OR(A2974="",'Ratings'!Q191=""),"",'Ratings'!Q191)</f>
        <v/>
      </c>
      <c r="G2974">
        <f>IF(A2974="","",'Employees'!D17)</f>
        <v/>
      </c>
    </row>
    <row r="2975">
      <c r="A2975">
        <f>IF(AND('Ratings'!A191&lt;&gt;"",'Ratings'!R5&lt;&gt;""),'Ratings'!A191,"")</f>
        <v/>
      </c>
      <c r="B2975">
        <f>IF(A2975="","",'Employees'!C17)</f>
        <v/>
      </c>
      <c r="C2975">
        <f>IF(A2975="","",'Ratings'!C191)</f>
        <v/>
      </c>
      <c r="D2975">
        <f>IF(A2975="","",'Ratings'!D191)</f>
        <v/>
      </c>
      <c r="E2975">
        <f>IF(AND('Ratings'!A191&lt;&gt;"",'Ratings'!R5&lt;&gt;""),'Ratings'!R5,"")</f>
        <v/>
      </c>
      <c r="F2975">
        <f>IF(OR(A2975="",'Ratings'!R191=""),"",'Ratings'!R191)</f>
        <v/>
      </c>
      <c r="G2975">
        <f>IF(A2975="","",'Employees'!D17)</f>
        <v/>
      </c>
    </row>
    <row r="2976">
      <c r="A2976">
        <f>IF(AND('Ratings'!A191&lt;&gt;"",'Ratings'!S5&lt;&gt;""),'Ratings'!A191,"")</f>
        <v/>
      </c>
      <c r="B2976">
        <f>IF(A2976="","",'Employees'!C17)</f>
        <v/>
      </c>
      <c r="C2976">
        <f>IF(A2976="","",'Ratings'!C191)</f>
        <v/>
      </c>
      <c r="D2976">
        <f>IF(A2976="","",'Ratings'!D191)</f>
        <v/>
      </c>
      <c r="E2976">
        <f>IF(AND('Ratings'!A191&lt;&gt;"",'Ratings'!S5&lt;&gt;""),'Ratings'!S5,"")</f>
        <v/>
      </c>
      <c r="F2976">
        <f>IF(OR(A2976="",'Ratings'!S191=""),"",'Ratings'!S191)</f>
        <v/>
      </c>
      <c r="G2976">
        <f>IF(A2976="","",'Employees'!D17)</f>
        <v/>
      </c>
    </row>
    <row r="2977">
      <c r="A2977">
        <f>IF(AND('Ratings'!A191&lt;&gt;"",'Ratings'!T5&lt;&gt;""),'Ratings'!A191,"")</f>
        <v/>
      </c>
      <c r="B2977">
        <f>IF(A2977="","",'Employees'!C17)</f>
        <v/>
      </c>
      <c r="C2977">
        <f>IF(A2977="","",'Ratings'!C191)</f>
        <v/>
      </c>
      <c r="D2977">
        <f>IF(A2977="","",'Ratings'!D191)</f>
        <v/>
      </c>
      <c r="E2977">
        <f>IF(AND('Ratings'!A191&lt;&gt;"",'Ratings'!T5&lt;&gt;""),'Ratings'!T5,"")</f>
        <v/>
      </c>
      <c r="F2977">
        <f>IF(OR(A2977="",'Ratings'!T191=""),"",'Ratings'!T191)</f>
        <v/>
      </c>
      <c r="G2977">
        <f>IF(A2977="","",'Employees'!D17)</f>
        <v/>
      </c>
    </row>
    <row r="2978">
      <c r="A2978">
        <f>IF(AND('Ratings'!A192&lt;&gt;"",'Ratings'!E5&lt;&gt;""),'Ratings'!A192,"")</f>
        <v/>
      </c>
      <c r="B2978">
        <f>IF(A2978="","",'Employees'!C17)</f>
        <v/>
      </c>
      <c r="C2978">
        <f>IF(A2978="","",'Ratings'!C192)</f>
        <v/>
      </c>
      <c r="D2978">
        <f>IF(A2978="","",'Ratings'!D192)</f>
        <v/>
      </c>
      <c r="E2978">
        <f>IF(AND('Ratings'!A192&lt;&gt;"",'Ratings'!E5&lt;&gt;""),'Ratings'!E5,"")</f>
        <v/>
      </c>
      <c r="F2978">
        <f>IF(OR(A2978="",'Ratings'!E192=""),"",'Ratings'!E192)</f>
        <v/>
      </c>
      <c r="G2978">
        <f>IF(A2978="","",'Employees'!D17)</f>
        <v/>
      </c>
    </row>
    <row r="2979">
      <c r="A2979">
        <f>IF(AND('Ratings'!A192&lt;&gt;"",'Ratings'!F5&lt;&gt;""),'Ratings'!A192,"")</f>
        <v/>
      </c>
      <c r="B2979">
        <f>IF(A2979="","",'Employees'!C17)</f>
        <v/>
      </c>
      <c r="C2979">
        <f>IF(A2979="","",'Ratings'!C192)</f>
        <v/>
      </c>
      <c r="D2979">
        <f>IF(A2979="","",'Ratings'!D192)</f>
        <v/>
      </c>
      <c r="E2979">
        <f>IF(AND('Ratings'!A192&lt;&gt;"",'Ratings'!F5&lt;&gt;""),'Ratings'!F5,"")</f>
        <v/>
      </c>
      <c r="F2979">
        <f>IF(OR(A2979="",'Ratings'!F192=""),"",'Ratings'!F192)</f>
        <v/>
      </c>
      <c r="G2979">
        <f>IF(A2979="","",'Employees'!D17)</f>
        <v/>
      </c>
    </row>
    <row r="2980">
      <c r="A2980">
        <f>IF(AND('Ratings'!A192&lt;&gt;"",'Ratings'!G5&lt;&gt;""),'Ratings'!A192,"")</f>
        <v/>
      </c>
      <c r="B2980">
        <f>IF(A2980="","",'Employees'!C17)</f>
        <v/>
      </c>
      <c r="C2980">
        <f>IF(A2980="","",'Ratings'!C192)</f>
        <v/>
      </c>
      <c r="D2980">
        <f>IF(A2980="","",'Ratings'!D192)</f>
        <v/>
      </c>
      <c r="E2980">
        <f>IF(AND('Ratings'!A192&lt;&gt;"",'Ratings'!G5&lt;&gt;""),'Ratings'!G5,"")</f>
        <v/>
      </c>
      <c r="F2980">
        <f>IF(OR(A2980="",'Ratings'!G192=""),"",'Ratings'!G192)</f>
        <v/>
      </c>
      <c r="G2980">
        <f>IF(A2980="","",'Employees'!D17)</f>
        <v/>
      </c>
    </row>
    <row r="2981">
      <c r="A2981">
        <f>IF(AND('Ratings'!A192&lt;&gt;"",'Ratings'!H5&lt;&gt;""),'Ratings'!A192,"")</f>
        <v/>
      </c>
      <c r="B2981">
        <f>IF(A2981="","",'Employees'!C17)</f>
        <v/>
      </c>
      <c r="C2981">
        <f>IF(A2981="","",'Ratings'!C192)</f>
        <v/>
      </c>
      <c r="D2981">
        <f>IF(A2981="","",'Ratings'!D192)</f>
        <v/>
      </c>
      <c r="E2981">
        <f>IF(AND('Ratings'!A192&lt;&gt;"",'Ratings'!H5&lt;&gt;""),'Ratings'!H5,"")</f>
        <v/>
      </c>
      <c r="F2981">
        <f>IF(OR(A2981="",'Ratings'!H192=""),"",'Ratings'!H192)</f>
        <v/>
      </c>
      <c r="G2981">
        <f>IF(A2981="","",'Employees'!D17)</f>
        <v/>
      </c>
    </row>
    <row r="2982">
      <c r="A2982">
        <f>IF(AND('Ratings'!A192&lt;&gt;"",'Ratings'!I5&lt;&gt;""),'Ratings'!A192,"")</f>
        <v/>
      </c>
      <c r="B2982">
        <f>IF(A2982="","",'Employees'!C17)</f>
        <v/>
      </c>
      <c r="C2982">
        <f>IF(A2982="","",'Ratings'!C192)</f>
        <v/>
      </c>
      <c r="D2982">
        <f>IF(A2982="","",'Ratings'!D192)</f>
        <v/>
      </c>
      <c r="E2982">
        <f>IF(AND('Ratings'!A192&lt;&gt;"",'Ratings'!I5&lt;&gt;""),'Ratings'!I5,"")</f>
        <v/>
      </c>
      <c r="F2982">
        <f>IF(OR(A2982="",'Ratings'!I192=""),"",'Ratings'!I192)</f>
        <v/>
      </c>
      <c r="G2982">
        <f>IF(A2982="","",'Employees'!D17)</f>
        <v/>
      </c>
    </row>
    <row r="2983">
      <c r="A2983">
        <f>IF(AND('Ratings'!A192&lt;&gt;"",'Ratings'!J5&lt;&gt;""),'Ratings'!A192,"")</f>
        <v/>
      </c>
      <c r="B2983">
        <f>IF(A2983="","",'Employees'!C17)</f>
        <v/>
      </c>
      <c r="C2983">
        <f>IF(A2983="","",'Ratings'!C192)</f>
        <v/>
      </c>
      <c r="D2983">
        <f>IF(A2983="","",'Ratings'!D192)</f>
        <v/>
      </c>
      <c r="E2983">
        <f>IF(AND('Ratings'!A192&lt;&gt;"",'Ratings'!J5&lt;&gt;""),'Ratings'!J5,"")</f>
        <v/>
      </c>
      <c r="F2983">
        <f>IF(OR(A2983="",'Ratings'!J192=""),"",'Ratings'!J192)</f>
        <v/>
      </c>
      <c r="G2983">
        <f>IF(A2983="","",'Employees'!D17)</f>
        <v/>
      </c>
    </row>
    <row r="2984">
      <c r="A2984">
        <f>IF(AND('Ratings'!A192&lt;&gt;"",'Ratings'!K5&lt;&gt;""),'Ratings'!A192,"")</f>
        <v/>
      </c>
      <c r="B2984">
        <f>IF(A2984="","",'Employees'!C17)</f>
        <v/>
      </c>
      <c r="C2984">
        <f>IF(A2984="","",'Ratings'!C192)</f>
        <v/>
      </c>
      <c r="D2984">
        <f>IF(A2984="","",'Ratings'!D192)</f>
        <v/>
      </c>
      <c r="E2984">
        <f>IF(AND('Ratings'!A192&lt;&gt;"",'Ratings'!K5&lt;&gt;""),'Ratings'!K5,"")</f>
        <v/>
      </c>
      <c r="F2984">
        <f>IF(OR(A2984="",'Ratings'!K192=""),"",'Ratings'!K192)</f>
        <v/>
      </c>
      <c r="G2984">
        <f>IF(A2984="","",'Employees'!D17)</f>
        <v/>
      </c>
    </row>
    <row r="2985">
      <c r="A2985">
        <f>IF(AND('Ratings'!A192&lt;&gt;"",'Ratings'!L5&lt;&gt;""),'Ratings'!A192,"")</f>
        <v/>
      </c>
      <c r="B2985">
        <f>IF(A2985="","",'Employees'!C17)</f>
        <v/>
      </c>
      <c r="C2985">
        <f>IF(A2985="","",'Ratings'!C192)</f>
        <v/>
      </c>
      <c r="D2985">
        <f>IF(A2985="","",'Ratings'!D192)</f>
        <v/>
      </c>
      <c r="E2985">
        <f>IF(AND('Ratings'!A192&lt;&gt;"",'Ratings'!L5&lt;&gt;""),'Ratings'!L5,"")</f>
        <v/>
      </c>
      <c r="F2985">
        <f>IF(OR(A2985="",'Ratings'!L192=""),"",'Ratings'!L192)</f>
        <v/>
      </c>
      <c r="G2985">
        <f>IF(A2985="","",'Employees'!D17)</f>
        <v/>
      </c>
    </row>
    <row r="2986">
      <c r="A2986">
        <f>IF(AND('Ratings'!A192&lt;&gt;"",'Ratings'!M5&lt;&gt;""),'Ratings'!A192,"")</f>
        <v/>
      </c>
      <c r="B2986">
        <f>IF(A2986="","",'Employees'!C17)</f>
        <v/>
      </c>
      <c r="C2986">
        <f>IF(A2986="","",'Ratings'!C192)</f>
        <v/>
      </c>
      <c r="D2986">
        <f>IF(A2986="","",'Ratings'!D192)</f>
        <v/>
      </c>
      <c r="E2986">
        <f>IF(AND('Ratings'!A192&lt;&gt;"",'Ratings'!M5&lt;&gt;""),'Ratings'!M5,"")</f>
        <v/>
      </c>
      <c r="F2986">
        <f>IF(OR(A2986="",'Ratings'!M192=""),"",'Ratings'!M192)</f>
        <v/>
      </c>
      <c r="G2986">
        <f>IF(A2986="","",'Employees'!D17)</f>
        <v/>
      </c>
    </row>
    <row r="2987">
      <c r="A2987">
        <f>IF(AND('Ratings'!A192&lt;&gt;"",'Ratings'!N5&lt;&gt;""),'Ratings'!A192,"")</f>
        <v/>
      </c>
      <c r="B2987">
        <f>IF(A2987="","",'Employees'!C17)</f>
        <v/>
      </c>
      <c r="C2987">
        <f>IF(A2987="","",'Ratings'!C192)</f>
        <v/>
      </c>
      <c r="D2987">
        <f>IF(A2987="","",'Ratings'!D192)</f>
        <v/>
      </c>
      <c r="E2987">
        <f>IF(AND('Ratings'!A192&lt;&gt;"",'Ratings'!N5&lt;&gt;""),'Ratings'!N5,"")</f>
        <v/>
      </c>
      <c r="F2987">
        <f>IF(OR(A2987="",'Ratings'!N192=""),"",'Ratings'!N192)</f>
        <v/>
      </c>
      <c r="G2987">
        <f>IF(A2987="","",'Employees'!D17)</f>
        <v/>
      </c>
    </row>
    <row r="2988">
      <c r="A2988">
        <f>IF(AND('Ratings'!A192&lt;&gt;"",'Ratings'!O5&lt;&gt;""),'Ratings'!A192,"")</f>
        <v/>
      </c>
      <c r="B2988">
        <f>IF(A2988="","",'Employees'!C17)</f>
        <v/>
      </c>
      <c r="C2988">
        <f>IF(A2988="","",'Ratings'!C192)</f>
        <v/>
      </c>
      <c r="D2988">
        <f>IF(A2988="","",'Ratings'!D192)</f>
        <v/>
      </c>
      <c r="E2988">
        <f>IF(AND('Ratings'!A192&lt;&gt;"",'Ratings'!O5&lt;&gt;""),'Ratings'!O5,"")</f>
        <v/>
      </c>
      <c r="F2988">
        <f>IF(OR(A2988="",'Ratings'!O192=""),"",'Ratings'!O192)</f>
        <v/>
      </c>
      <c r="G2988">
        <f>IF(A2988="","",'Employees'!D17)</f>
        <v/>
      </c>
    </row>
    <row r="2989">
      <c r="A2989">
        <f>IF(AND('Ratings'!A192&lt;&gt;"",'Ratings'!P5&lt;&gt;""),'Ratings'!A192,"")</f>
        <v/>
      </c>
      <c r="B2989">
        <f>IF(A2989="","",'Employees'!C17)</f>
        <v/>
      </c>
      <c r="C2989">
        <f>IF(A2989="","",'Ratings'!C192)</f>
        <v/>
      </c>
      <c r="D2989">
        <f>IF(A2989="","",'Ratings'!D192)</f>
        <v/>
      </c>
      <c r="E2989">
        <f>IF(AND('Ratings'!A192&lt;&gt;"",'Ratings'!P5&lt;&gt;""),'Ratings'!P5,"")</f>
        <v/>
      </c>
      <c r="F2989">
        <f>IF(OR(A2989="",'Ratings'!P192=""),"",'Ratings'!P192)</f>
        <v/>
      </c>
      <c r="G2989">
        <f>IF(A2989="","",'Employees'!D17)</f>
        <v/>
      </c>
    </row>
    <row r="2990">
      <c r="A2990">
        <f>IF(AND('Ratings'!A192&lt;&gt;"",'Ratings'!Q5&lt;&gt;""),'Ratings'!A192,"")</f>
        <v/>
      </c>
      <c r="B2990">
        <f>IF(A2990="","",'Employees'!C17)</f>
        <v/>
      </c>
      <c r="C2990">
        <f>IF(A2990="","",'Ratings'!C192)</f>
        <v/>
      </c>
      <c r="D2990">
        <f>IF(A2990="","",'Ratings'!D192)</f>
        <v/>
      </c>
      <c r="E2990">
        <f>IF(AND('Ratings'!A192&lt;&gt;"",'Ratings'!Q5&lt;&gt;""),'Ratings'!Q5,"")</f>
        <v/>
      </c>
      <c r="F2990">
        <f>IF(OR(A2990="",'Ratings'!Q192=""),"",'Ratings'!Q192)</f>
        <v/>
      </c>
      <c r="G2990">
        <f>IF(A2990="","",'Employees'!D17)</f>
        <v/>
      </c>
    </row>
    <row r="2991">
      <c r="A2991">
        <f>IF(AND('Ratings'!A192&lt;&gt;"",'Ratings'!R5&lt;&gt;""),'Ratings'!A192,"")</f>
        <v/>
      </c>
      <c r="B2991">
        <f>IF(A2991="","",'Employees'!C17)</f>
        <v/>
      </c>
      <c r="C2991">
        <f>IF(A2991="","",'Ratings'!C192)</f>
        <v/>
      </c>
      <c r="D2991">
        <f>IF(A2991="","",'Ratings'!D192)</f>
        <v/>
      </c>
      <c r="E2991">
        <f>IF(AND('Ratings'!A192&lt;&gt;"",'Ratings'!R5&lt;&gt;""),'Ratings'!R5,"")</f>
        <v/>
      </c>
      <c r="F2991">
        <f>IF(OR(A2991="",'Ratings'!R192=""),"",'Ratings'!R192)</f>
        <v/>
      </c>
      <c r="G2991">
        <f>IF(A2991="","",'Employees'!D17)</f>
        <v/>
      </c>
    </row>
    <row r="2992">
      <c r="A2992">
        <f>IF(AND('Ratings'!A192&lt;&gt;"",'Ratings'!S5&lt;&gt;""),'Ratings'!A192,"")</f>
        <v/>
      </c>
      <c r="B2992">
        <f>IF(A2992="","",'Employees'!C17)</f>
        <v/>
      </c>
      <c r="C2992">
        <f>IF(A2992="","",'Ratings'!C192)</f>
        <v/>
      </c>
      <c r="D2992">
        <f>IF(A2992="","",'Ratings'!D192)</f>
        <v/>
      </c>
      <c r="E2992">
        <f>IF(AND('Ratings'!A192&lt;&gt;"",'Ratings'!S5&lt;&gt;""),'Ratings'!S5,"")</f>
        <v/>
      </c>
      <c r="F2992">
        <f>IF(OR(A2992="",'Ratings'!S192=""),"",'Ratings'!S192)</f>
        <v/>
      </c>
      <c r="G2992">
        <f>IF(A2992="","",'Employees'!D17)</f>
        <v/>
      </c>
    </row>
    <row r="2993">
      <c r="A2993">
        <f>IF(AND('Ratings'!A192&lt;&gt;"",'Ratings'!T5&lt;&gt;""),'Ratings'!A192,"")</f>
        <v/>
      </c>
      <c r="B2993">
        <f>IF(A2993="","",'Employees'!C17)</f>
        <v/>
      </c>
      <c r="C2993">
        <f>IF(A2993="","",'Ratings'!C192)</f>
        <v/>
      </c>
      <c r="D2993">
        <f>IF(A2993="","",'Ratings'!D192)</f>
        <v/>
      </c>
      <c r="E2993">
        <f>IF(AND('Ratings'!A192&lt;&gt;"",'Ratings'!T5&lt;&gt;""),'Ratings'!T5,"")</f>
        <v/>
      </c>
      <c r="F2993">
        <f>IF(OR(A2993="",'Ratings'!T192=""),"",'Ratings'!T192)</f>
        <v/>
      </c>
      <c r="G2993">
        <f>IF(A2993="","",'Employees'!D17)</f>
        <v/>
      </c>
    </row>
    <row r="2994">
      <c r="A2994">
        <f>IF(AND('Ratings'!A193&lt;&gt;"",'Ratings'!E5&lt;&gt;""),'Ratings'!A193,"")</f>
        <v/>
      </c>
      <c r="B2994">
        <f>IF(A2994="","",'Employees'!C17)</f>
        <v/>
      </c>
      <c r="C2994">
        <f>IF(A2994="","",'Ratings'!C193)</f>
        <v/>
      </c>
      <c r="D2994">
        <f>IF(A2994="","",'Ratings'!D193)</f>
        <v/>
      </c>
      <c r="E2994">
        <f>IF(AND('Ratings'!A193&lt;&gt;"",'Ratings'!E5&lt;&gt;""),'Ratings'!E5,"")</f>
        <v/>
      </c>
      <c r="F2994">
        <f>IF(OR(A2994="",'Ratings'!E193=""),"",'Ratings'!E193)</f>
        <v/>
      </c>
      <c r="G2994">
        <f>IF(A2994="","",'Employees'!D17)</f>
        <v/>
      </c>
    </row>
    <row r="2995">
      <c r="A2995">
        <f>IF(AND('Ratings'!A193&lt;&gt;"",'Ratings'!F5&lt;&gt;""),'Ratings'!A193,"")</f>
        <v/>
      </c>
      <c r="B2995">
        <f>IF(A2995="","",'Employees'!C17)</f>
        <v/>
      </c>
      <c r="C2995">
        <f>IF(A2995="","",'Ratings'!C193)</f>
        <v/>
      </c>
      <c r="D2995">
        <f>IF(A2995="","",'Ratings'!D193)</f>
        <v/>
      </c>
      <c r="E2995">
        <f>IF(AND('Ratings'!A193&lt;&gt;"",'Ratings'!F5&lt;&gt;""),'Ratings'!F5,"")</f>
        <v/>
      </c>
      <c r="F2995">
        <f>IF(OR(A2995="",'Ratings'!F193=""),"",'Ratings'!F193)</f>
        <v/>
      </c>
      <c r="G2995">
        <f>IF(A2995="","",'Employees'!D17)</f>
        <v/>
      </c>
    </row>
    <row r="2996">
      <c r="A2996">
        <f>IF(AND('Ratings'!A193&lt;&gt;"",'Ratings'!G5&lt;&gt;""),'Ratings'!A193,"")</f>
        <v/>
      </c>
      <c r="B2996">
        <f>IF(A2996="","",'Employees'!C17)</f>
        <v/>
      </c>
      <c r="C2996">
        <f>IF(A2996="","",'Ratings'!C193)</f>
        <v/>
      </c>
      <c r="D2996">
        <f>IF(A2996="","",'Ratings'!D193)</f>
        <v/>
      </c>
      <c r="E2996">
        <f>IF(AND('Ratings'!A193&lt;&gt;"",'Ratings'!G5&lt;&gt;""),'Ratings'!G5,"")</f>
        <v/>
      </c>
      <c r="F2996">
        <f>IF(OR(A2996="",'Ratings'!G193=""),"",'Ratings'!G193)</f>
        <v/>
      </c>
      <c r="G2996">
        <f>IF(A2996="","",'Employees'!D17)</f>
        <v/>
      </c>
    </row>
    <row r="2997">
      <c r="A2997">
        <f>IF(AND('Ratings'!A193&lt;&gt;"",'Ratings'!H5&lt;&gt;""),'Ratings'!A193,"")</f>
        <v/>
      </c>
      <c r="B2997">
        <f>IF(A2997="","",'Employees'!C17)</f>
        <v/>
      </c>
      <c r="C2997">
        <f>IF(A2997="","",'Ratings'!C193)</f>
        <v/>
      </c>
      <c r="D2997">
        <f>IF(A2997="","",'Ratings'!D193)</f>
        <v/>
      </c>
      <c r="E2997">
        <f>IF(AND('Ratings'!A193&lt;&gt;"",'Ratings'!H5&lt;&gt;""),'Ratings'!H5,"")</f>
        <v/>
      </c>
      <c r="F2997">
        <f>IF(OR(A2997="",'Ratings'!H193=""),"",'Ratings'!H193)</f>
        <v/>
      </c>
      <c r="G2997">
        <f>IF(A2997="","",'Employees'!D17)</f>
        <v/>
      </c>
    </row>
    <row r="2998">
      <c r="A2998">
        <f>IF(AND('Ratings'!A193&lt;&gt;"",'Ratings'!I5&lt;&gt;""),'Ratings'!A193,"")</f>
        <v/>
      </c>
      <c r="B2998">
        <f>IF(A2998="","",'Employees'!C17)</f>
        <v/>
      </c>
      <c r="C2998">
        <f>IF(A2998="","",'Ratings'!C193)</f>
        <v/>
      </c>
      <c r="D2998">
        <f>IF(A2998="","",'Ratings'!D193)</f>
        <v/>
      </c>
      <c r="E2998">
        <f>IF(AND('Ratings'!A193&lt;&gt;"",'Ratings'!I5&lt;&gt;""),'Ratings'!I5,"")</f>
        <v/>
      </c>
      <c r="F2998">
        <f>IF(OR(A2998="",'Ratings'!I193=""),"",'Ratings'!I193)</f>
        <v/>
      </c>
      <c r="G2998">
        <f>IF(A2998="","",'Employees'!D17)</f>
        <v/>
      </c>
    </row>
    <row r="2999">
      <c r="A2999">
        <f>IF(AND('Ratings'!A193&lt;&gt;"",'Ratings'!J5&lt;&gt;""),'Ratings'!A193,"")</f>
        <v/>
      </c>
      <c r="B2999">
        <f>IF(A2999="","",'Employees'!C17)</f>
        <v/>
      </c>
      <c r="C2999">
        <f>IF(A2999="","",'Ratings'!C193)</f>
        <v/>
      </c>
      <c r="D2999">
        <f>IF(A2999="","",'Ratings'!D193)</f>
        <v/>
      </c>
      <c r="E2999">
        <f>IF(AND('Ratings'!A193&lt;&gt;"",'Ratings'!J5&lt;&gt;""),'Ratings'!J5,"")</f>
        <v/>
      </c>
      <c r="F2999">
        <f>IF(OR(A2999="",'Ratings'!J193=""),"",'Ratings'!J193)</f>
        <v/>
      </c>
      <c r="G2999">
        <f>IF(A2999="","",'Employees'!D17)</f>
        <v/>
      </c>
    </row>
    <row r="3000">
      <c r="A3000">
        <f>IF(AND('Ratings'!A193&lt;&gt;"",'Ratings'!K5&lt;&gt;""),'Ratings'!A193,"")</f>
        <v/>
      </c>
      <c r="B3000">
        <f>IF(A3000="","",'Employees'!C17)</f>
        <v/>
      </c>
      <c r="C3000">
        <f>IF(A3000="","",'Ratings'!C193)</f>
        <v/>
      </c>
      <c r="D3000">
        <f>IF(A3000="","",'Ratings'!D193)</f>
        <v/>
      </c>
      <c r="E3000">
        <f>IF(AND('Ratings'!A193&lt;&gt;"",'Ratings'!K5&lt;&gt;""),'Ratings'!K5,"")</f>
        <v/>
      </c>
      <c r="F3000">
        <f>IF(OR(A3000="",'Ratings'!K193=""),"",'Ratings'!K193)</f>
        <v/>
      </c>
      <c r="G3000">
        <f>IF(A3000="","",'Employees'!D17)</f>
        <v/>
      </c>
    </row>
    <row r="3001">
      <c r="A3001">
        <f>IF(AND('Ratings'!A193&lt;&gt;"",'Ratings'!L5&lt;&gt;""),'Ratings'!A193,"")</f>
        <v/>
      </c>
      <c r="B3001">
        <f>IF(A3001="","",'Employees'!C17)</f>
        <v/>
      </c>
      <c r="C3001">
        <f>IF(A3001="","",'Ratings'!C193)</f>
        <v/>
      </c>
      <c r="D3001">
        <f>IF(A3001="","",'Ratings'!D193)</f>
        <v/>
      </c>
      <c r="E3001">
        <f>IF(AND('Ratings'!A193&lt;&gt;"",'Ratings'!L5&lt;&gt;""),'Ratings'!L5,"")</f>
        <v/>
      </c>
      <c r="F3001">
        <f>IF(OR(A3001="",'Ratings'!L193=""),"",'Ratings'!L193)</f>
        <v/>
      </c>
      <c r="G3001">
        <f>IF(A3001="","",'Employees'!D17)</f>
        <v/>
      </c>
    </row>
    <row r="3002">
      <c r="A3002">
        <f>IF(AND('Ratings'!A193&lt;&gt;"",'Ratings'!M5&lt;&gt;""),'Ratings'!A193,"")</f>
        <v/>
      </c>
      <c r="B3002">
        <f>IF(A3002="","",'Employees'!C17)</f>
        <v/>
      </c>
      <c r="C3002">
        <f>IF(A3002="","",'Ratings'!C193)</f>
        <v/>
      </c>
      <c r="D3002">
        <f>IF(A3002="","",'Ratings'!D193)</f>
        <v/>
      </c>
      <c r="E3002">
        <f>IF(AND('Ratings'!A193&lt;&gt;"",'Ratings'!M5&lt;&gt;""),'Ratings'!M5,"")</f>
        <v/>
      </c>
      <c r="F3002">
        <f>IF(OR(A3002="",'Ratings'!M193=""),"",'Ratings'!M193)</f>
        <v/>
      </c>
      <c r="G3002">
        <f>IF(A3002="","",'Employees'!D17)</f>
        <v/>
      </c>
    </row>
    <row r="3003">
      <c r="A3003">
        <f>IF(AND('Ratings'!A193&lt;&gt;"",'Ratings'!N5&lt;&gt;""),'Ratings'!A193,"")</f>
        <v/>
      </c>
      <c r="B3003">
        <f>IF(A3003="","",'Employees'!C17)</f>
        <v/>
      </c>
      <c r="C3003">
        <f>IF(A3003="","",'Ratings'!C193)</f>
        <v/>
      </c>
      <c r="D3003">
        <f>IF(A3003="","",'Ratings'!D193)</f>
        <v/>
      </c>
      <c r="E3003">
        <f>IF(AND('Ratings'!A193&lt;&gt;"",'Ratings'!N5&lt;&gt;""),'Ratings'!N5,"")</f>
        <v/>
      </c>
      <c r="F3003">
        <f>IF(OR(A3003="",'Ratings'!N193=""),"",'Ratings'!N193)</f>
        <v/>
      </c>
      <c r="G3003">
        <f>IF(A3003="","",'Employees'!D17)</f>
        <v/>
      </c>
    </row>
    <row r="3004">
      <c r="A3004">
        <f>IF(AND('Ratings'!A193&lt;&gt;"",'Ratings'!O5&lt;&gt;""),'Ratings'!A193,"")</f>
        <v/>
      </c>
      <c r="B3004">
        <f>IF(A3004="","",'Employees'!C17)</f>
        <v/>
      </c>
      <c r="C3004">
        <f>IF(A3004="","",'Ratings'!C193)</f>
        <v/>
      </c>
      <c r="D3004">
        <f>IF(A3004="","",'Ratings'!D193)</f>
        <v/>
      </c>
      <c r="E3004">
        <f>IF(AND('Ratings'!A193&lt;&gt;"",'Ratings'!O5&lt;&gt;""),'Ratings'!O5,"")</f>
        <v/>
      </c>
      <c r="F3004">
        <f>IF(OR(A3004="",'Ratings'!O193=""),"",'Ratings'!O193)</f>
        <v/>
      </c>
      <c r="G3004">
        <f>IF(A3004="","",'Employees'!D17)</f>
        <v/>
      </c>
    </row>
    <row r="3005">
      <c r="A3005">
        <f>IF(AND('Ratings'!A193&lt;&gt;"",'Ratings'!P5&lt;&gt;""),'Ratings'!A193,"")</f>
        <v/>
      </c>
      <c r="B3005">
        <f>IF(A3005="","",'Employees'!C17)</f>
        <v/>
      </c>
      <c r="C3005">
        <f>IF(A3005="","",'Ratings'!C193)</f>
        <v/>
      </c>
      <c r="D3005">
        <f>IF(A3005="","",'Ratings'!D193)</f>
        <v/>
      </c>
      <c r="E3005">
        <f>IF(AND('Ratings'!A193&lt;&gt;"",'Ratings'!P5&lt;&gt;""),'Ratings'!P5,"")</f>
        <v/>
      </c>
      <c r="F3005">
        <f>IF(OR(A3005="",'Ratings'!P193=""),"",'Ratings'!P193)</f>
        <v/>
      </c>
      <c r="G3005">
        <f>IF(A3005="","",'Employees'!D17)</f>
        <v/>
      </c>
    </row>
    <row r="3006">
      <c r="A3006">
        <f>IF(AND('Ratings'!A193&lt;&gt;"",'Ratings'!Q5&lt;&gt;""),'Ratings'!A193,"")</f>
        <v/>
      </c>
      <c r="B3006">
        <f>IF(A3006="","",'Employees'!C17)</f>
        <v/>
      </c>
      <c r="C3006">
        <f>IF(A3006="","",'Ratings'!C193)</f>
        <v/>
      </c>
      <c r="D3006">
        <f>IF(A3006="","",'Ratings'!D193)</f>
        <v/>
      </c>
      <c r="E3006">
        <f>IF(AND('Ratings'!A193&lt;&gt;"",'Ratings'!Q5&lt;&gt;""),'Ratings'!Q5,"")</f>
        <v/>
      </c>
      <c r="F3006">
        <f>IF(OR(A3006="",'Ratings'!Q193=""),"",'Ratings'!Q193)</f>
        <v/>
      </c>
      <c r="G3006">
        <f>IF(A3006="","",'Employees'!D17)</f>
        <v/>
      </c>
    </row>
    <row r="3007">
      <c r="A3007">
        <f>IF(AND('Ratings'!A193&lt;&gt;"",'Ratings'!R5&lt;&gt;""),'Ratings'!A193,"")</f>
        <v/>
      </c>
      <c r="B3007">
        <f>IF(A3007="","",'Employees'!C17)</f>
        <v/>
      </c>
      <c r="C3007">
        <f>IF(A3007="","",'Ratings'!C193)</f>
        <v/>
      </c>
      <c r="D3007">
        <f>IF(A3007="","",'Ratings'!D193)</f>
        <v/>
      </c>
      <c r="E3007">
        <f>IF(AND('Ratings'!A193&lt;&gt;"",'Ratings'!R5&lt;&gt;""),'Ratings'!R5,"")</f>
        <v/>
      </c>
      <c r="F3007">
        <f>IF(OR(A3007="",'Ratings'!R193=""),"",'Ratings'!R193)</f>
        <v/>
      </c>
      <c r="G3007">
        <f>IF(A3007="","",'Employees'!D17)</f>
        <v/>
      </c>
    </row>
    <row r="3008">
      <c r="A3008">
        <f>IF(AND('Ratings'!A193&lt;&gt;"",'Ratings'!S5&lt;&gt;""),'Ratings'!A193,"")</f>
        <v/>
      </c>
      <c r="B3008">
        <f>IF(A3008="","",'Employees'!C17)</f>
        <v/>
      </c>
      <c r="C3008">
        <f>IF(A3008="","",'Ratings'!C193)</f>
        <v/>
      </c>
      <c r="D3008">
        <f>IF(A3008="","",'Ratings'!D193)</f>
        <v/>
      </c>
      <c r="E3008">
        <f>IF(AND('Ratings'!A193&lt;&gt;"",'Ratings'!S5&lt;&gt;""),'Ratings'!S5,"")</f>
        <v/>
      </c>
      <c r="F3008">
        <f>IF(OR(A3008="",'Ratings'!S193=""),"",'Ratings'!S193)</f>
        <v/>
      </c>
      <c r="G3008">
        <f>IF(A3008="","",'Employees'!D17)</f>
        <v/>
      </c>
    </row>
    <row r="3009">
      <c r="A3009">
        <f>IF(AND('Ratings'!A193&lt;&gt;"",'Ratings'!T5&lt;&gt;""),'Ratings'!A193,"")</f>
        <v/>
      </c>
      <c r="B3009">
        <f>IF(A3009="","",'Employees'!C17)</f>
        <v/>
      </c>
      <c r="C3009">
        <f>IF(A3009="","",'Ratings'!C193)</f>
        <v/>
      </c>
      <c r="D3009">
        <f>IF(A3009="","",'Ratings'!D193)</f>
        <v/>
      </c>
      <c r="E3009">
        <f>IF(AND('Ratings'!A193&lt;&gt;"",'Ratings'!T5&lt;&gt;""),'Ratings'!T5,"")</f>
        <v/>
      </c>
      <c r="F3009">
        <f>IF(OR(A3009="",'Ratings'!T193=""),"",'Ratings'!T193)</f>
        <v/>
      </c>
      <c r="G3009">
        <f>IF(A3009="","",'Employees'!D17)</f>
        <v/>
      </c>
    </row>
    <row r="3010">
      <c r="A3010">
        <f>IF(AND('Ratings'!A194&lt;&gt;"",'Ratings'!E5&lt;&gt;""),'Ratings'!A194,"")</f>
        <v/>
      </c>
      <c r="B3010">
        <f>IF(A3010="","",'Employees'!C17)</f>
        <v/>
      </c>
      <c r="C3010">
        <f>IF(A3010="","",'Ratings'!C194)</f>
        <v/>
      </c>
      <c r="D3010">
        <f>IF(A3010="","",'Ratings'!D194)</f>
        <v/>
      </c>
      <c r="E3010">
        <f>IF(AND('Ratings'!A194&lt;&gt;"",'Ratings'!E5&lt;&gt;""),'Ratings'!E5,"")</f>
        <v/>
      </c>
      <c r="F3010">
        <f>IF(OR(A3010="",'Ratings'!E194=""),"",'Ratings'!E194)</f>
        <v/>
      </c>
      <c r="G3010">
        <f>IF(A3010="","",'Employees'!D17)</f>
        <v/>
      </c>
    </row>
    <row r="3011">
      <c r="A3011">
        <f>IF(AND('Ratings'!A194&lt;&gt;"",'Ratings'!F5&lt;&gt;""),'Ratings'!A194,"")</f>
        <v/>
      </c>
      <c r="B3011">
        <f>IF(A3011="","",'Employees'!C17)</f>
        <v/>
      </c>
      <c r="C3011">
        <f>IF(A3011="","",'Ratings'!C194)</f>
        <v/>
      </c>
      <c r="D3011">
        <f>IF(A3011="","",'Ratings'!D194)</f>
        <v/>
      </c>
      <c r="E3011">
        <f>IF(AND('Ratings'!A194&lt;&gt;"",'Ratings'!F5&lt;&gt;""),'Ratings'!F5,"")</f>
        <v/>
      </c>
      <c r="F3011">
        <f>IF(OR(A3011="",'Ratings'!F194=""),"",'Ratings'!F194)</f>
        <v/>
      </c>
      <c r="G3011">
        <f>IF(A3011="","",'Employees'!D17)</f>
        <v/>
      </c>
    </row>
    <row r="3012">
      <c r="A3012">
        <f>IF(AND('Ratings'!A194&lt;&gt;"",'Ratings'!G5&lt;&gt;""),'Ratings'!A194,"")</f>
        <v/>
      </c>
      <c r="B3012">
        <f>IF(A3012="","",'Employees'!C17)</f>
        <v/>
      </c>
      <c r="C3012">
        <f>IF(A3012="","",'Ratings'!C194)</f>
        <v/>
      </c>
      <c r="D3012">
        <f>IF(A3012="","",'Ratings'!D194)</f>
        <v/>
      </c>
      <c r="E3012">
        <f>IF(AND('Ratings'!A194&lt;&gt;"",'Ratings'!G5&lt;&gt;""),'Ratings'!G5,"")</f>
        <v/>
      </c>
      <c r="F3012">
        <f>IF(OR(A3012="",'Ratings'!G194=""),"",'Ratings'!G194)</f>
        <v/>
      </c>
      <c r="G3012">
        <f>IF(A3012="","",'Employees'!D17)</f>
        <v/>
      </c>
    </row>
    <row r="3013">
      <c r="A3013">
        <f>IF(AND('Ratings'!A194&lt;&gt;"",'Ratings'!H5&lt;&gt;""),'Ratings'!A194,"")</f>
        <v/>
      </c>
      <c r="B3013">
        <f>IF(A3013="","",'Employees'!C17)</f>
        <v/>
      </c>
      <c r="C3013">
        <f>IF(A3013="","",'Ratings'!C194)</f>
        <v/>
      </c>
      <c r="D3013">
        <f>IF(A3013="","",'Ratings'!D194)</f>
        <v/>
      </c>
      <c r="E3013">
        <f>IF(AND('Ratings'!A194&lt;&gt;"",'Ratings'!H5&lt;&gt;""),'Ratings'!H5,"")</f>
        <v/>
      </c>
      <c r="F3013">
        <f>IF(OR(A3013="",'Ratings'!H194=""),"",'Ratings'!H194)</f>
        <v/>
      </c>
      <c r="G3013">
        <f>IF(A3013="","",'Employees'!D17)</f>
        <v/>
      </c>
    </row>
    <row r="3014">
      <c r="A3014">
        <f>IF(AND('Ratings'!A194&lt;&gt;"",'Ratings'!I5&lt;&gt;""),'Ratings'!A194,"")</f>
        <v/>
      </c>
      <c r="B3014">
        <f>IF(A3014="","",'Employees'!C17)</f>
        <v/>
      </c>
      <c r="C3014">
        <f>IF(A3014="","",'Ratings'!C194)</f>
        <v/>
      </c>
      <c r="D3014">
        <f>IF(A3014="","",'Ratings'!D194)</f>
        <v/>
      </c>
      <c r="E3014">
        <f>IF(AND('Ratings'!A194&lt;&gt;"",'Ratings'!I5&lt;&gt;""),'Ratings'!I5,"")</f>
        <v/>
      </c>
      <c r="F3014">
        <f>IF(OR(A3014="",'Ratings'!I194=""),"",'Ratings'!I194)</f>
        <v/>
      </c>
      <c r="G3014">
        <f>IF(A3014="","",'Employees'!D17)</f>
        <v/>
      </c>
    </row>
    <row r="3015">
      <c r="A3015">
        <f>IF(AND('Ratings'!A194&lt;&gt;"",'Ratings'!J5&lt;&gt;""),'Ratings'!A194,"")</f>
        <v/>
      </c>
      <c r="B3015">
        <f>IF(A3015="","",'Employees'!C17)</f>
        <v/>
      </c>
      <c r="C3015">
        <f>IF(A3015="","",'Ratings'!C194)</f>
        <v/>
      </c>
      <c r="D3015">
        <f>IF(A3015="","",'Ratings'!D194)</f>
        <v/>
      </c>
      <c r="E3015">
        <f>IF(AND('Ratings'!A194&lt;&gt;"",'Ratings'!J5&lt;&gt;""),'Ratings'!J5,"")</f>
        <v/>
      </c>
      <c r="F3015">
        <f>IF(OR(A3015="",'Ratings'!J194=""),"",'Ratings'!J194)</f>
        <v/>
      </c>
      <c r="G3015">
        <f>IF(A3015="","",'Employees'!D17)</f>
        <v/>
      </c>
    </row>
    <row r="3016">
      <c r="A3016">
        <f>IF(AND('Ratings'!A194&lt;&gt;"",'Ratings'!K5&lt;&gt;""),'Ratings'!A194,"")</f>
        <v/>
      </c>
      <c r="B3016">
        <f>IF(A3016="","",'Employees'!C17)</f>
        <v/>
      </c>
      <c r="C3016">
        <f>IF(A3016="","",'Ratings'!C194)</f>
        <v/>
      </c>
      <c r="D3016">
        <f>IF(A3016="","",'Ratings'!D194)</f>
        <v/>
      </c>
      <c r="E3016">
        <f>IF(AND('Ratings'!A194&lt;&gt;"",'Ratings'!K5&lt;&gt;""),'Ratings'!K5,"")</f>
        <v/>
      </c>
      <c r="F3016">
        <f>IF(OR(A3016="",'Ratings'!K194=""),"",'Ratings'!K194)</f>
        <v/>
      </c>
      <c r="G3016">
        <f>IF(A3016="","",'Employees'!D17)</f>
        <v/>
      </c>
    </row>
    <row r="3017">
      <c r="A3017">
        <f>IF(AND('Ratings'!A194&lt;&gt;"",'Ratings'!L5&lt;&gt;""),'Ratings'!A194,"")</f>
        <v/>
      </c>
      <c r="B3017">
        <f>IF(A3017="","",'Employees'!C17)</f>
        <v/>
      </c>
      <c r="C3017">
        <f>IF(A3017="","",'Ratings'!C194)</f>
        <v/>
      </c>
      <c r="D3017">
        <f>IF(A3017="","",'Ratings'!D194)</f>
        <v/>
      </c>
      <c r="E3017">
        <f>IF(AND('Ratings'!A194&lt;&gt;"",'Ratings'!L5&lt;&gt;""),'Ratings'!L5,"")</f>
        <v/>
      </c>
      <c r="F3017">
        <f>IF(OR(A3017="",'Ratings'!L194=""),"",'Ratings'!L194)</f>
        <v/>
      </c>
      <c r="G3017">
        <f>IF(A3017="","",'Employees'!D17)</f>
        <v/>
      </c>
    </row>
    <row r="3018">
      <c r="A3018">
        <f>IF(AND('Ratings'!A194&lt;&gt;"",'Ratings'!M5&lt;&gt;""),'Ratings'!A194,"")</f>
        <v/>
      </c>
      <c r="B3018">
        <f>IF(A3018="","",'Employees'!C17)</f>
        <v/>
      </c>
      <c r="C3018">
        <f>IF(A3018="","",'Ratings'!C194)</f>
        <v/>
      </c>
      <c r="D3018">
        <f>IF(A3018="","",'Ratings'!D194)</f>
        <v/>
      </c>
      <c r="E3018">
        <f>IF(AND('Ratings'!A194&lt;&gt;"",'Ratings'!M5&lt;&gt;""),'Ratings'!M5,"")</f>
        <v/>
      </c>
      <c r="F3018">
        <f>IF(OR(A3018="",'Ratings'!M194=""),"",'Ratings'!M194)</f>
        <v/>
      </c>
      <c r="G3018">
        <f>IF(A3018="","",'Employees'!D17)</f>
        <v/>
      </c>
    </row>
    <row r="3019">
      <c r="A3019">
        <f>IF(AND('Ratings'!A194&lt;&gt;"",'Ratings'!N5&lt;&gt;""),'Ratings'!A194,"")</f>
        <v/>
      </c>
      <c r="B3019">
        <f>IF(A3019="","",'Employees'!C17)</f>
        <v/>
      </c>
      <c r="C3019">
        <f>IF(A3019="","",'Ratings'!C194)</f>
        <v/>
      </c>
      <c r="D3019">
        <f>IF(A3019="","",'Ratings'!D194)</f>
        <v/>
      </c>
      <c r="E3019">
        <f>IF(AND('Ratings'!A194&lt;&gt;"",'Ratings'!N5&lt;&gt;""),'Ratings'!N5,"")</f>
        <v/>
      </c>
      <c r="F3019">
        <f>IF(OR(A3019="",'Ratings'!N194=""),"",'Ratings'!N194)</f>
        <v/>
      </c>
      <c r="G3019">
        <f>IF(A3019="","",'Employees'!D17)</f>
        <v/>
      </c>
    </row>
    <row r="3020">
      <c r="A3020">
        <f>IF(AND('Ratings'!A194&lt;&gt;"",'Ratings'!O5&lt;&gt;""),'Ratings'!A194,"")</f>
        <v/>
      </c>
      <c r="B3020">
        <f>IF(A3020="","",'Employees'!C17)</f>
        <v/>
      </c>
      <c r="C3020">
        <f>IF(A3020="","",'Ratings'!C194)</f>
        <v/>
      </c>
      <c r="D3020">
        <f>IF(A3020="","",'Ratings'!D194)</f>
        <v/>
      </c>
      <c r="E3020">
        <f>IF(AND('Ratings'!A194&lt;&gt;"",'Ratings'!O5&lt;&gt;""),'Ratings'!O5,"")</f>
        <v/>
      </c>
      <c r="F3020">
        <f>IF(OR(A3020="",'Ratings'!O194=""),"",'Ratings'!O194)</f>
        <v/>
      </c>
      <c r="G3020">
        <f>IF(A3020="","",'Employees'!D17)</f>
        <v/>
      </c>
    </row>
    <row r="3021">
      <c r="A3021">
        <f>IF(AND('Ratings'!A194&lt;&gt;"",'Ratings'!P5&lt;&gt;""),'Ratings'!A194,"")</f>
        <v/>
      </c>
      <c r="B3021">
        <f>IF(A3021="","",'Employees'!C17)</f>
        <v/>
      </c>
      <c r="C3021">
        <f>IF(A3021="","",'Ratings'!C194)</f>
        <v/>
      </c>
      <c r="D3021">
        <f>IF(A3021="","",'Ratings'!D194)</f>
        <v/>
      </c>
      <c r="E3021">
        <f>IF(AND('Ratings'!A194&lt;&gt;"",'Ratings'!P5&lt;&gt;""),'Ratings'!P5,"")</f>
        <v/>
      </c>
      <c r="F3021">
        <f>IF(OR(A3021="",'Ratings'!P194=""),"",'Ratings'!P194)</f>
        <v/>
      </c>
      <c r="G3021">
        <f>IF(A3021="","",'Employees'!D17)</f>
        <v/>
      </c>
    </row>
    <row r="3022">
      <c r="A3022">
        <f>IF(AND('Ratings'!A194&lt;&gt;"",'Ratings'!Q5&lt;&gt;""),'Ratings'!A194,"")</f>
        <v/>
      </c>
      <c r="B3022">
        <f>IF(A3022="","",'Employees'!C17)</f>
        <v/>
      </c>
      <c r="C3022">
        <f>IF(A3022="","",'Ratings'!C194)</f>
        <v/>
      </c>
      <c r="D3022">
        <f>IF(A3022="","",'Ratings'!D194)</f>
        <v/>
      </c>
      <c r="E3022">
        <f>IF(AND('Ratings'!A194&lt;&gt;"",'Ratings'!Q5&lt;&gt;""),'Ratings'!Q5,"")</f>
        <v/>
      </c>
      <c r="F3022">
        <f>IF(OR(A3022="",'Ratings'!Q194=""),"",'Ratings'!Q194)</f>
        <v/>
      </c>
      <c r="G3022">
        <f>IF(A3022="","",'Employees'!D17)</f>
        <v/>
      </c>
    </row>
    <row r="3023">
      <c r="A3023">
        <f>IF(AND('Ratings'!A194&lt;&gt;"",'Ratings'!R5&lt;&gt;""),'Ratings'!A194,"")</f>
        <v/>
      </c>
      <c r="B3023">
        <f>IF(A3023="","",'Employees'!C17)</f>
        <v/>
      </c>
      <c r="C3023">
        <f>IF(A3023="","",'Ratings'!C194)</f>
        <v/>
      </c>
      <c r="D3023">
        <f>IF(A3023="","",'Ratings'!D194)</f>
        <v/>
      </c>
      <c r="E3023">
        <f>IF(AND('Ratings'!A194&lt;&gt;"",'Ratings'!R5&lt;&gt;""),'Ratings'!R5,"")</f>
        <v/>
      </c>
      <c r="F3023">
        <f>IF(OR(A3023="",'Ratings'!R194=""),"",'Ratings'!R194)</f>
        <v/>
      </c>
      <c r="G3023">
        <f>IF(A3023="","",'Employees'!D17)</f>
        <v/>
      </c>
    </row>
    <row r="3024">
      <c r="A3024">
        <f>IF(AND('Ratings'!A194&lt;&gt;"",'Ratings'!S5&lt;&gt;""),'Ratings'!A194,"")</f>
        <v/>
      </c>
      <c r="B3024">
        <f>IF(A3024="","",'Employees'!C17)</f>
        <v/>
      </c>
      <c r="C3024">
        <f>IF(A3024="","",'Ratings'!C194)</f>
        <v/>
      </c>
      <c r="D3024">
        <f>IF(A3024="","",'Ratings'!D194)</f>
        <v/>
      </c>
      <c r="E3024">
        <f>IF(AND('Ratings'!A194&lt;&gt;"",'Ratings'!S5&lt;&gt;""),'Ratings'!S5,"")</f>
        <v/>
      </c>
      <c r="F3024">
        <f>IF(OR(A3024="",'Ratings'!S194=""),"",'Ratings'!S194)</f>
        <v/>
      </c>
      <c r="G3024">
        <f>IF(A3024="","",'Employees'!D17)</f>
        <v/>
      </c>
    </row>
    <row r="3025">
      <c r="A3025">
        <f>IF(AND('Ratings'!A194&lt;&gt;"",'Ratings'!T5&lt;&gt;""),'Ratings'!A194,"")</f>
        <v/>
      </c>
      <c r="B3025">
        <f>IF(A3025="","",'Employees'!C17)</f>
        <v/>
      </c>
      <c r="C3025">
        <f>IF(A3025="","",'Ratings'!C194)</f>
        <v/>
      </c>
      <c r="D3025">
        <f>IF(A3025="","",'Ratings'!D194)</f>
        <v/>
      </c>
      <c r="E3025">
        <f>IF(AND('Ratings'!A194&lt;&gt;"",'Ratings'!T5&lt;&gt;""),'Ratings'!T5,"")</f>
        <v/>
      </c>
      <c r="F3025">
        <f>IF(OR(A3025="",'Ratings'!T194=""),"",'Ratings'!T194)</f>
        <v/>
      </c>
      <c r="G3025">
        <f>IF(A3025="","",'Employees'!D17)</f>
        <v/>
      </c>
    </row>
    <row r="3026">
      <c r="A3026">
        <f>IF(AND('Ratings'!A195&lt;&gt;"",'Ratings'!E5&lt;&gt;""),'Ratings'!A195,"")</f>
        <v/>
      </c>
      <c r="B3026">
        <f>IF(A3026="","",'Employees'!C17)</f>
        <v/>
      </c>
      <c r="C3026">
        <f>IF(A3026="","",'Ratings'!C195)</f>
        <v/>
      </c>
      <c r="D3026">
        <f>IF(A3026="","",'Ratings'!D195)</f>
        <v/>
      </c>
      <c r="E3026">
        <f>IF(AND('Ratings'!A195&lt;&gt;"",'Ratings'!E5&lt;&gt;""),'Ratings'!E5,"")</f>
        <v/>
      </c>
      <c r="F3026">
        <f>IF(OR(A3026="",'Ratings'!E195=""),"",'Ratings'!E195)</f>
        <v/>
      </c>
      <c r="G3026">
        <f>IF(A3026="","",'Employees'!D17)</f>
        <v/>
      </c>
    </row>
    <row r="3027">
      <c r="A3027">
        <f>IF(AND('Ratings'!A195&lt;&gt;"",'Ratings'!F5&lt;&gt;""),'Ratings'!A195,"")</f>
        <v/>
      </c>
      <c r="B3027">
        <f>IF(A3027="","",'Employees'!C17)</f>
        <v/>
      </c>
      <c r="C3027">
        <f>IF(A3027="","",'Ratings'!C195)</f>
        <v/>
      </c>
      <c r="D3027">
        <f>IF(A3027="","",'Ratings'!D195)</f>
        <v/>
      </c>
      <c r="E3027">
        <f>IF(AND('Ratings'!A195&lt;&gt;"",'Ratings'!F5&lt;&gt;""),'Ratings'!F5,"")</f>
        <v/>
      </c>
      <c r="F3027">
        <f>IF(OR(A3027="",'Ratings'!F195=""),"",'Ratings'!F195)</f>
        <v/>
      </c>
      <c r="G3027">
        <f>IF(A3027="","",'Employees'!D17)</f>
        <v/>
      </c>
    </row>
    <row r="3028">
      <c r="A3028">
        <f>IF(AND('Ratings'!A195&lt;&gt;"",'Ratings'!G5&lt;&gt;""),'Ratings'!A195,"")</f>
        <v/>
      </c>
      <c r="B3028">
        <f>IF(A3028="","",'Employees'!C17)</f>
        <v/>
      </c>
      <c r="C3028">
        <f>IF(A3028="","",'Ratings'!C195)</f>
        <v/>
      </c>
      <c r="D3028">
        <f>IF(A3028="","",'Ratings'!D195)</f>
        <v/>
      </c>
      <c r="E3028">
        <f>IF(AND('Ratings'!A195&lt;&gt;"",'Ratings'!G5&lt;&gt;""),'Ratings'!G5,"")</f>
        <v/>
      </c>
      <c r="F3028">
        <f>IF(OR(A3028="",'Ratings'!G195=""),"",'Ratings'!G195)</f>
        <v/>
      </c>
      <c r="G3028">
        <f>IF(A3028="","",'Employees'!D17)</f>
        <v/>
      </c>
    </row>
    <row r="3029">
      <c r="A3029">
        <f>IF(AND('Ratings'!A195&lt;&gt;"",'Ratings'!H5&lt;&gt;""),'Ratings'!A195,"")</f>
        <v/>
      </c>
      <c r="B3029">
        <f>IF(A3029="","",'Employees'!C17)</f>
        <v/>
      </c>
      <c r="C3029">
        <f>IF(A3029="","",'Ratings'!C195)</f>
        <v/>
      </c>
      <c r="D3029">
        <f>IF(A3029="","",'Ratings'!D195)</f>
        <v/>
      </c>
      <c r="E3029">
        <f>IF(AND('Ratings'!A195&lt;&gt;"",'Ratings'!H5&lt;&gt;""),'Ratings'!H5,"")</f>
        <v/>
      </c>
      <c r="F3029">
        <f>IF(OR(A3029="",'Ratings'!H195=""),"",'Ratings'!H195)</f>
        <v/>
      </c>
      <c r="G3029">
        <f>IF(A3029="","",'Employees'!D17)</f>
        <v/>
      </c>
    </row>
    <row r="3030">
      <c r="A3030">
        <f>IF(AND('Ratings'!A195&lt;&gt;"",'Ratings'!I5&lt;&gt;""),'Ratings'!A195,"")</f>
        <v/>
      </c>
      <c r="B3030">
        <f>IF(A3030="","",'Employees'!C17)</f>
        <v/>
      </c>
      <c r="C3030">
        <f>IF(A3030="","",'Ratings'!C195)</f>
        <v/>
      </c>
      <c r="D3030">
        <f>IF(A3030="","",'Ratings'!D195)</f>
        <v/>
      </c>
      <c r="E3030">
        <f>IF(AND('Ratings'!A195&lt;&gt;"",'Ratings'!I5&lt;&gt;""),'Ratings'!I5,"")</f>
        <v/>
      </c>
      <c r="F3030">
        <f>IF(OR(A3030="",'Ratings'!I195=""),"",'Ratings'!I195)</f>
        <v/>
      </c>
      <c r="G3030">
        <f>IF(A3030="","",'Employees'!D17)</f>
        <v/>
      </c>
    </row>
    <row r="3031">
      <c r="A3031">
        <f>IF(AND('Ratings'!A195&lt;&gt;"",'Ratings'!J5&lt;&gt;""),'Ratings'!A195,"")</f>
        <v/>
      </c>
      <c r="B3031">
        <f>IF(A3031="","",'Employees'!C17)</f>
        <v/>
      </c>
      <c r="C3031">
        <f>IF(A3031="","",'Ratings'!C195)</f>
        <v/>
      </c>
      <c r="D3031">
        <f>IF(A3031="","",'Ratings'!D195)</f>
        <v/>
      </c>
      <c r="E3031">
        <f>IF(AND('Ratings'!A195&lt;&gt;"",'Ratings'!J5&lt;&gt;""),'Ratings'!J5,"")</f>
        <v/>
      </c>
      <c r="F3031">
        <f>IF(OR(A3031="",'Ratings'!J195=""),"",'Ratings'!J195)</f>
        <v/>
      </c>
      <c r="G3031">
        <f>IF(A3031="","",'Employees'!D17)</f>
        <v/>
      </c>
    </row>
    <row r="3032">
      <c r="A3032">
        <f>IF(AND('Ratings'!A195&lt;&gt;"",'Ratings'!K5&lt;&gt;""),'Ratings'!A195,"")</f>
        <v/>
      </c>
      <c r="B3032">
        <f>IF(A3032="","",'Employees'!C17)</f>
        <v/>
      </c>
      <c r="C3032">
        <f>IF(A3032="","",'Ratings'!C195)</f>
        <v/>
      </c>
      <c r="D3032">
        <f>IF(A3032="","",'Ratings'!D195)</f>
        <v/>
      </c>
      <c r="E3032">
        <f>IF(AND('Ratings'!A195&lt;&gt;"",'Ratings'!K5&lt;&gt;""),'Ratings'!K5,"")</f>
        <v/>
      </c>
      <c r="F3032">
        <f>IF(OR(A3032="",'Ratings'!K195=""),"",'Ratings'!K195)</f>
        <v/>
      </c>
      <c r="G3032">
        <f>IF(A3032="","",'Employees'!D17)</f>
        <v/>
      </c>
    </row>
    <row r="3033">
      <c r="A3033">
        <f>IF(AND('Ratings'!A195&lt;&gt;"",'Ratings'!L5&lt;&gt;""),'Ratings'!A195,"")</f>
        <v/>
      </c>
      <c r="B3033">
        <f>IF(A3033="","",'Employees'!C17)</f>
        <v/>
      </c>
      <c r="C3033">
        <f>IF(A3033="","",'Ratings'!C195)</f>
        <v/>
      </c>
      <c r="D3033">
        <f>IF(A3033="","",'Ratings'!D195)</f>
        <v/>
      </c>
      <c r="E3033">
        <f>IF(AND('Ratings'!A195&lt;&gt;"",'Ratings'!L5&lt;&gt;""),'Ratings'!L5,"")</f>
        <v/>
      </c>
      <c r="F3033">
        <f>IF(OR(A3033="",'Ratings'!L195=""),"",'Ratings'!L195)</f>
        <v/>
      </c>
      <c r="G3033">
        <f>IF(A3033="","",'Employees'!D17)</f>
        <v/>
      </c>
    </row>
    <row r="3034">
      <c r="A3034">
        <f>IF(AND('Ratings'!A195&lt;&gt;"",'Ratings'!M5&lt;&gt;""),'Ratings'!A195,"")</f>
        <v/>
      </c>
      <c r="B3034">
        <f>IF(A3034="","",'Employees'!C17)</f>
        <v/>
      </c>
      <c r="C3034">
        <f>IF(A3034="","",'Ratings'!C195)</f>
        <v/>
      </c>
      <c r="D3034">
        <f>IF(A3034="","",'Ratings'!D195)</f>
        <v/>
      </c>
      <c r="E3034">
        <f>IF(AND('Ratings'!A195&lt;&gt;"",'Ratings'!M5&lt;&gt;""),'Ratings'!M5,"")</f>
        <v/>
      </c>
      <c r="F3034">
        <f>IF(OR(A3034="",'Ratings'!M195=""),"",'Ratings'!M195)</f>
        <v/>
      </c>
      <c r="G3034">
        <f>IF(A3034="","",'Employees'!D17)</f>
        <v/>
      </c>
    </row>
    <row r="3035">
      <c r="A3035">
        <f>IF(AND('Ratings'!A195&lt;&gt;"",'Ratings'!N5&lt;&gt;""),'Ratings'!A195,"")</f>
        <v/>
      </c>
      <c r="B3035">
        <f>IF(A3035="","",'Employees'!C17)</f>
        <v/>
      </c>
      <c r="C3035">
        <f>IF(A3035="","",'Ratings'!C195)</f>
        <v/>
      </c>
      <c r="D3035">
        <f>IF(A3035="","",'Ratings'!D195)</f>
        <v/>
      </c>
      <c r="E3035">
        <f>IF(AND('Ratings'!A195&lt;&gt;"",'Ratings'!N5&lt;&gt;""),'Ratings'!N5,"")</f>
        <v/>
      </c>
      <c r="F3035">
        <f>IF(OR(A3035="",'Ratings'!N195=""),"",'Ratings'!N195)</f>
        <v/>
      </c>
      <c r="G3035">
        <f>IF(A3035="","",'Employees'!D17)</f>
        <v/>
      </c>
    </row>
    <row r="3036">
      <c r="A3036">
        <f>IF(AND('Ratings'!A195&lt;&gt;"",'Ratings'!O5&lt;&gt;""),'Ratings'!A195,"")</f>
        <v/>
      </c>
      <c r="B3036">
        <f>IF(A3036="","",'Employees'!C17)</f>
        <v/>
      </c>
      <c r="C3036">
        <f>IF(A3036="","",'Ratings'!C195)</f>
        <v/>
      </c>
      <c r="D3036">
        <f>IF(A3036="","",'Ratings'!D195)</f>
        <v/>
      </c>
      <c r="E3036">
        <f>IF(AND('Ratings'!A195&lt;&gt;"",'Ratings'!O5&lt;&gt;""),'Ratings'!O5,"")</f>
        <v/>
      </c>
      <c r="F3036">
        <f>IF(OR(A3036="",'Ratings'!O195=""),"",'Ratings'!O195)</f>
        <v/>
      </c>
      <c r="G3036">
        <f>IF(A3036="","",'Employees'!D17)</f>
        <v/>
      </c>
    </row>
    <row r="3037">
      <c r="A3037">
        <f>IF(AND('Ratings'!A195&lt;&gt;"",'Ratings'!P5&lt;&gt;""),'Ratings'!A195,"")</f>
        <v/>
      </c>
      <c r="B3037">
        <f>IF(A3037="","",'Employees'!C17)</f>
        <v/>
      </c>
      <c r="C3037">
        <f>IF(A3037="","",'Ratings'!C195)</f>
        <v/>
      </c>
      <c r="D3037">
        <f>IF(A3037="","",'Ratings'!D195)</f>
        <v/>
      </c>
      <c r="E3037">
        <f>IF(AND('Ratings'!A195&lt;&gt;"",'Ratings'!P5&lt;&gt;""),'Ratings'!P5,"")</f>
        <v/>
      </c>
      <c r="F3037">
        <f>IF(OR(A3037="",'Ratings'!P195=""),"",'Ratings'!P195)</f>
        <v/>
      </c>
      <c r="G3037">
        <f>IF(A3037="","",'Employees'!D17)</f>
        <v/>
      </c>
    </row>
    <row r="3038">
      <c r="A3038">
        <f>IF(AND('Ratings'!A195&lt;&gt;"",'Ratings'!Q5&lt;&gt;""),'Ratings'!A195,"")</f>
        <v/>
      </c>
      <c r="B3038">
        <f>IF(A3038="","",'Employees'!C17)</f>
        <v/>
      </c>
      <c r="C3038">
        <f>IF(A3038="","",'Ratings'!C195)</f>
        <v/>
      </c>
      <c r="D3038">
        <f>IF(A3038="","",'Ratings'!D195)</f>
        <v/>
      </c>
      <c r="E3038">
        <f>IF(AND('Ratings'!A195&lt;&gt;"",'Ratings'!Q5&lt;&gt;""),'Ratings'!Q5,"")</f>
        <v/>
      </c>
      <c r="F3038">
        <f>IF(OR(A3038="",'Ratings'!Q195=""),"",'Ratings'!Q195)</f>
        <v/>
      </c>
      <c r="G3038">
        <f>IF(A3038="","",'Employees'!D17)</f>
        <v/>
      </c>
    </row>
    <row r="3039">
      <c r="A3039">
        <f>IF(AND('Ratings'!A195&lt;&gt;"",'Ratings'!R5&lt;&gt;""),'Ratings'!A195,"")</f>
        <v/>
      </c>
      <c r="B3039">
        <f>IF(A3039="","",'Employees'!C17)</f>
        <v/>
      </c>
      <c r="C3039">
        <f>IF(A3039="","",'Ratings'!C195)</f>
        <v/>
      </c>
      <c r="D3039">
        <f>IF(A3039="","",'Ratings'!D195)</f>
        <v/>
      </c>
      <c r="E3039">
        <f>IF(AND('Ratings'!A195&lt;&gt;"",'Ratings'!R5&lt;&gt;""),'Ratings'!R5,"")</f>
        <v/>
      </c>
      <c r="F3039">
        <f>IF(OR(A3039="",'Ratings'!R195=""),"",'Ratings'!R195)</f>
        <v/>
      </c>
      <c r="G3039">
        <f>IF(A3039="","",'Employees'!D17)</f>
        <v/>
      </c>
    </row>
    <row r="3040">
      <c r="A3040">
        <f>IF(AND('Ratings'!A195&lt;&gt;"",'Ratings'!S5&lt;&gt;""),'Ratings'!A195,"")</f>
        <v/>
      </c>
      <c r="B3040">
        <f>IF(A3040="","",'Employees'!C17)</f>
        <v/>
      </c>
      <c r="C3040">
        <f>IF(A3040="","",'Ratings'!C195)</f>
        <v/>
      </c>
      <c r="D3040">
        <f>IF(A3040="","",'Ratings'!D195)</f>
        <v/>
      </c>
      <c r="E3040">
        <f>IF(AND('Ratings'!A195&lt;&gt;"",'Ratings'!S5&lt;&gt;""),'Ratings'!S5,"")</f>
        <v/>
      </c>
      <c r="F3040">
        <f>IF(OR(A3040="",'Ratings'!S195=""),"",'Ratings'!S195)</f>
        <v/>
      </c>
      <c r="G3040">
        <f>IF(A3040="","",'Employees'!D17)</f>
        <v/>
      </c>
    </row>
    <row r="3041">
      <c r="A3041">
        <f>IF(AND('Ratings'!A195&lt;&gt;"",'Ratings'!T5&lt;&gt;""),'Ratings'!A195,"")</f>
        <v/>
      </c>
      <c r="B3041">
        <f>IF(A3041="","",'Employees'!C17)</f>
        <v/>
      </c>
      <c r="C3041">
        <f>IF(A3041="","",'Ratings'!C195)</f>
        <v/>
      </c>
      <c r="D3041">
        <f>IF(A3041="","",'Ratings'!D195)</f>
        <v/>
      </c>
      <c r="E3041">
        <f>IF(AND('Ratings'!A195&lt;&gt;"",'Ratings'!T5&lt;&gt;""),'Ratings'!T5,"")</f>
        <v/>
      </c>
      <c r="F3041">
        <f>IF(OR(A3041="",'Ratings'!T195=""),"",'Ratings'!T195)</f>
        <v/>
      </c>
      <c r="G3041">
        <f>IF(A3041="","",'Employees'!D17)</f>
        <v/>
      </c>
    </row>
    <row r="3042">
      <c r="A3042">
        <f>IF(AND('Ratings'!A196&lt;&gt;"",'Ratings'!E5&lt;&gt;""),'Ratings'!A196,"")</f>
        <v/>
      </c>
      <c r="B3042">
        <f>IF(A3042="","",'Employees'!C17)</f>
        <v/>
      </c>
      <c r="C3042">
        <f>IF(A3042="","",'Ratings'!C196)</f>
        <v/>
      </c>
      <c r="D3042">
        <f>IF(A3042="","",'Ratings'!D196)</f>
        <v/>
      </c>
      <c r="E3042">
        <f>IF(AND('Ratings'!A196&lt;&gt;"",'Ratings'!E5&lt;&gt;""),'Ratings'!E5,"")</f>
        <v/>
      </c>
      <c r="F3042">
        <f>IF(OR(A3042="",'Ratings'!E196=""),"",'Ratings'!E196)</f>
        <v/>
      </c>
      <c r="G3042">
        <f>IF(A3042="","",'Employees'!D17)</f>
        <v/>
      </c>
    </row>
    <row r="3043">
      <c r="A3043">
        <f>IF(AND('Ratings'!A196&lt;&gt;"",'Ratings'!F5&lt;&gt;""),'Ratings'!A196,"")</f>
        <v/>
      </c>
      <c r="B3043">
        <f>IF(A3043="","",'Employees'!C17)</f>
        <v/>
      </c>
      <c r="C3043">
        <f>IF(A3043="","",'Ratings'!C196)</f>
        <v/>
      </c>
      <c r="D3043">
        <f>IF(A3043="","",'Ratings'!D196)</f>
        <v/>
      </c>
      <c r="E3043">
        <f>IF(AND('Ratings'!A196&lt;&gt;"",'Ratings'!F5&lt;&gt;""),'Ratings'!F5,"")</f>
        <v/>
      </c>
      <c r="F3043">
        <f>IF(OR(A3043="",'Ratings'!F196=""),"",'Ratings'!F196)</f>
        <v/>
      </c>
      <c r="G3043">
        <f>IF(A3043="","",'Employees'!D17)</f>
        <v/>
      </c>
    </row>
    <row r="3044">
      <c r="A3044">
        <f>IF(AND('Ratings'!A196&lt;&gt;"",'Ratings'!G5&lt;&gt;""),'Ratings'!A196,"")</f>
        <v/>
      </c>
      <c r="B3044">
        <f>IF(A3044="","",'Employees'!C17)</f>
        <v/>
      </c>
      <c r="C3044">
        <f>IF(A3044="","",'Ratings'!C196)</f>
        <v/>
      </c>
      <c r="D3044">
        <f>IF(A3044="","",'Ratings'!D196)</f>
        <v/>
      </c>
      <c r="E3044">
        <f>IF(AND('Ratings'!A196&lt;&gt;"",'Ratings'!G5&lt;&gt;""),'Ratings'!G5,"")</f>
        <v/>
      </c>
      <c r="F3044">
        <f>IF(OR(A3044="",'Ratings'!G196=""),"",'Ratings'!G196)</f>
        <v/>
      </c>
      <c r="G3044">
        <f>IF(A3044="","",'Employees'!D17)</f>
        <v/>
      </c>
    </row>
    <row r="3045">
      <c r="A3045">
        <f>IF(AND('Ratings'!A196&lt;&gt;"",'Ratings'!H5&lt;&gt;""),'Ratings'!A196,"")</f>
        <v/>
      </c>
      <c r="B3045">
        <f>IF(A3045="","",'Employees'!C17)</f>
        <v/>
      </c>
      <c r="C3045">
        <f>IF(A3045="","",'Ratings'!C196)</f>
        <v/>
      </c>
      <c r="D3045">
        <f>IF(A3045="","",'Ratings'!D196)</f>
        <v/>
      </c>
      <c r="E3045">
        <f>IF(AND('Ratings'!A196&lt;&gt;"",'Ratings'!H5&lt;&gt;""),'Ratings'!H5,"")</f>
        <v/>
      </c>
      <c r="F3045">
        <f>IF(OR(A3045="",'Ratings'!H196=""),"",'Ratings'!H196)</f>
        <v/>
      </c>
      <c r="G3045">
        <f>IF(A3045="","",'Employees'!D17)</f>
        <v/>
      </c>
    </row>
    <row r="3046">
      <c r="A3046">
        <f>IF(AND('Ratings'!A196&lt;&gt;"",'Ratings'!I5&lt;&gt;""),'Ratings'!A196,"")</f>
        <v/>
      </c>
      <c r="B3046">
        <f>IF(A3046="","",'Employees'!C17)</f>
        <v/>
      </c>
      <c r="C3046">
        <f>IF(A3046="","",'Ratings'!C196)</f>
        <v/>
      </c>
      <c r="D3046">
        <f>IF(A3046="","",'Ratings'!D196)</f>
        <v/>
      </c>
      <c r="E3046">
        <f>IF(AND('Ratings'!A196&lt;&gt;"",'Ratings'!I5&lt;&gt;""),'Ratings'!I5,"")</f>
        <v/>
      </c>
      <c r="F3046">
        <f>IF(OR(A3046="",'Ratings'!I196=""),"",'Ratings'!I196)</f>
        <v/>
      </c>
      <c r="G3046">
        <f>IF(A3046="","",'Employees'!D17)</f>
        <v/>
      </c>
    </row>
    <row r="3047">
      <c r="A3047">
        <f>IF(AND('Ratings'!A196&lt;&gt;"",'Ratings'!J5&lt;&gt;""),'Ratings'!A196,"")</f>
        <v/>
      </c>
      <c r="B3047">
        <f>IF(A3047="","",'Employees'!C17)</f>
        <v/>
      </c>
      <c r="C3047">
        <f>IF(A3047="","",'Ratings'!C196)</f>
        <v/>
      </c>
      <c r="D3047">
        <f>IF(A3047="","",'Ratings'!D196)</f>
        <v/>
      </c>
      <c r="E3047">
        <f>IF(AND('Ratings'!A196&lt;&gt;"",'Ratings'!J5&lt;&gt;""),'Ratings'!J5,"")</f>
        <v/>
      </c>
      <c r="F3047">
        <f>IF(OR(A3047="",'Ratings'!J196=""),"",'Ratings'!J196)</f>
        <v/>
      </c>
      <c r="G3047">
        <f>IF(A3047="","",'Employees'!D17)</f>
        <v/>
      </c>
    </row>
    <row r="3048">
      <c r="A3048">
        <f>IF(AND('Ratings'!A196&lt;&gt;"",'Ratings'!K5&lt;&gt;""),'Ratings'!A196,"")</f>
        <v/>
      </c>
      <c r="B3048">
        <f>IF(A3048="","",'Employees'!C17)</f>
        <v/>
      </c>
      <c r="C3048">
        <f>IF(A3048="","",'Ratings'!C196)</f>
        <v/>
      </c>
      <c r="D3048">
        <f>IF(A3048="","",'Ratings'!D196)</f>
        <v/>
      </c>
      <c r="E3048">
        <f>IF(AND('Ratings'!A196&lt;&gt;"",'Ratings'!K5&lt;&gt;""),'Ratings'!K5,"")</f>
        <v/>
      </c>
      <c r="F3048">
        <f>IF(OR(A3048="",'Ratings'!K196=""),"",'Ratings'!K196)</f>
        <v/>
      </c>
      <c r="G3048">
        <f>IF(A3048="","",'Employees'!D17)</f>
        <v/>
      </c>
    </row>
    <row r="3049">
      <c r="A3049">
        <f>IF(AND('Ratings'!A196&lt;&gt;"",'Ratings'!L5&lt;&gt;""),'Ratings'!A196,"")</f>
        <v/>
      </c>
      <c r="B3049">
        <f>IF(A3049="","",'Employees'!C17)</f>
        <v/>
      </c>
      <c r="C3049">
        <f>IF(A3049="","",'Ratings'!C196)</f>
        <v/>
      </c>
      <c r="D3049">
        <f>IF(A3049="","",'Ratings'!D196)</f>
        <v/>
      </c>
      <c r="E3049">
        <f>IF(AND('Ratings'!A196&lt;&gt;"",'Ratings'!L5&lt;&gt;""),'Ratings'!L5,"")</f>
        <v/>
      </c>
      <c r="F3049">
        <f>IF(OR(A3049="",'Ratings'!L196=""),"",'Ratings'!L196)</f>
        <v/>
      </c>
      <c r="G3049">
        <f>IF(A3049="","",'Employees'!D17)</f>
        <v/>
      </c>
    </row>
    <row r="3050">
      <c r="A3050">
        <f>IF(AND('Ratings'!A196&lt;&gt;"",'Ratings'!M5&lt;&gt;""),'Ratings'!A196,"")</f>
        <v/>
      </c>
      <c r="B3050">
        <f>IF(A3050="","",'Employees'!C17)</f>
        <v/>
      </c>
      <c r="C3050">
        <f>IF(A3050="","",'Ratings'!C196)</f>
        <v/>
      </c>
      <c r="D3050">
        <f>IF(A3050="","",'Ratings'!D196)</f>
        <v/>
      </c>
      <c r="E3050">
        <f>IF(AND('Ratings'!A196&lt;&gt;"",'Ratings'!M5&lt;&gt;""),'Ratings'!M5,"")</f>
        <v/>
      </c>
      <c r="F3050">
        <f>IF(OR(A3050="",'Ratings'!M196=""),"",'Ratings'!M196)</f>
        <v/>
      </c>
      <c r="G3050">
        <f>IF(A3050="","",'Employees'!D17)</f>
        <v/>
      </c>
    </row>
    <row r="3051">
      <c r="A3051">
        <f>IF(AND('Ratings'!A196&lt;&gt;"",'Ratings'!N5&lt;&gt;""),'Ratings'!A196,"")</f>
        <v/>
      </c>
      <c r="B3051">
        <f>IF(A3051="","",'Employees'!C17)</f>
        <v/>
      </c>
      <c r="C3051">
        <f>IF(A3051="","",'Ratings'!C196)</f>
        <v/>
      </c>
      <c r="D3051">
        <f>IF(A3051="","",'Ratings'!D196)</f>
        <v/>
      </c>
      <c r="E3051">
        <f>IF(AND('Ratings'!A196&lt;&gt;"",'Ratings'!N5&lt;&gt;""),'Ratings'!N5,"")</f>
        <v/>
      </c>
      <c r="F3051">
        <f>IF(OR(A3051="",'Ratings'!N196=""),"",'Ratings'!N196)</f>
        <v/>
      </c>
      <c r="G3051">
        <f>IF(A3051="","",'Employees'!D17)</f>
        <v/>
      </c>
    </row>
    <row r="3052">
      <c r="A3052">
        <f>IF(AND('Ratings'!A196&lt;&gt;"",'Ratings'!O5&lt;&gt;""),'Ratings'!A196,"")</f>
        <v/>
      </c>
      <c r="B3052">
        <f>IF(A3052="","",'Employees'!C17)</f>
        <v/>
      </c>
      <c r="C3052">
        <f>IF(A3052="","",'Ratings'!C196)</f>
        <v/>
      </c>
      <c r="D3052">
        <f>IF(A3052="","",'Ratings'!D196)</f>
        <v/>
      </c>
      <c r="E3052">
        <f>IF(AND('Ratings'!A196&lt;&gt;"",'Ratings'!O5&lt;&gt;""),'Ratings'!O5,"")</f>
        <v/>
      </c>
      <c r="F3052">
        <f>IF(OR(A3052="",'Ratings'!O196=""),"",'Ratings'!O196)</f>
        <v/>
      </c>
      <c r="G3052">
        <f>IF(A3052="","",'Employees'!D17)</f>
        <v/>
      </c>
    </row>
    <row r="3053">
      <c r="A3053">
        <f>IF(AND('Ratings'!A196&lt;&gt;"",'Ratings'!P5&lt;&gt;""),'Ratings'!A196,"")</f>
        <v/>
      </c>
      <c r="B3053">
        <f>IF(A3053="","",'Employees'!C17)</f>
        <v/>
      </c>
      <c r="C3053">
        <f>IF(A3053="","",'Ratings'!C196)</f>
        <v/>
      </c>
      <c r="D3053">
        <f>IF(A3053="","",'Ratings'!D196)</f>
        <v/>
      </c>
      <c r="E3053">
        <f>IF(AND('Ratings'!A196&lt;&gt;"",'Ratings'!P5&lt;&gt;""),'Ratings'!P5,"")</f>
        <v/>
      </c>
      <c r="F3053">
        <f>IF(OR(A3053="",'Ratings'!P196=""),"",'Ratings'!P196)</f>
        <v/>
      </c>
      <c r="G3053">
        <f>IF(A3053="","",'Employees'!D17)</f>
        <v/>
      </c>
    </row>
    <row r="3054">
      <c r="A3054">
        <f>IF(AND('Ratings'!A196&lt;&gt;"",'Ratings'!Q5&lt;&gt;""),'Ratings'!A196,"")</f>
        <v/>
      </c>
      <c r="B3054">
        <f>IF(A3054="","",'Employees'!C17)</f>
        <v/>
      </c>
      <c r="C3054">
        <f>IF(A3054="","",'Ratings'!C196)</f>
        <v/>
      </c>
      <c r="D3054">
        <f>IF(A3054="","",'Ratings'!D196)</f>
        <v/>
      </c>
      <c r="E3054">
        <f>IF(AND('Ratings'!A196&lt;&gt;"",'Ratings'!Q5&lt;&gt;""),'Ratings'!Q5,"")</f>
        <v/>
      </c>
      <c r="F3054">
        <f>IF(OR(A3054="",'Ratings'!Q196=""),"",'Ratings'!Q196)</f>
        <v/>
      </c>
      <c r="G3054">
        <f>IF(A3054="","",'Employees'!D17)</f>
        <v/>
      </c>
    </row>
    <row r="3055">
      <c r="A3055">
        <f>IF(AND('Ratings'!A196&lt;&gt;"",'Ratings'!R5&lt;&gt;""),'Ratings'!A196,"")</f>
        <v/>
      </c>
      <c r="B3055">
        <f>IF(A3055="","",'Employees'!C17)</f>
        <v/>
      </c>
      <c r="C3055">
        <f>IF(A3055="","",'Ratings'!C196)</f>
        <v/>
      </c>
      <c r="D3055">
        <f>IF(A3055="","",'Ratings'!D196)</f>
        <v/>
      </c>
      <c r="E3055">
        <f>IF(AND('Ratings'!A196&lt;&gt;"",'Ratings'!R5&lt;&gt;""),'Ratings'!R5,"")</f>
        <v/>
      </c>
      <c r="F3055">
        <f>IF(OR(A3055="",'Ratings'!R196=""),"",'Ratings'!R196)</f>
        <v/>
      </c>
      <c r="G3055">
        <f>IF(A3055="","",'Employees'!D17)</f>
        <v/>
      </c>
    </row>
    <row r="3056">
      <c r="A3056">
        <f>IF(AND('Ratings'!A196&lt;&gt;"",'Ratings'!S5&lt;&gt;""),'Ratings'!A196,"")</f>
        <v/>
      </c>
      <c r="B3056">
        <f>IF(A3056="","",'Employees'!C17)</f>
        <v/>
      </c>
      <c r="C3056">
        <f>IF(A3056="","",'Ratings'!C196)</f>
        <v/>
      </c>
      <c r="D3056">
        <f>IF(A3056="","",'Ratings'!D196)</f>
        <v/>
      </c>
      <c r="E3056">
        <f>IF(AND('Ratings'!A196&lt;&gt;"",'Ratings'!S5&lt;&gt;""),'Ratings'!S5,"")</f>
        <v/>
      </c>
      <c r="F3056">
        <f>IF(OR(A3056="",'Ratings'!S196=""),"",'Ratings'!S196)</f>
        <v/>
      </c>
      <c r="G3056">
        <f>IF(A3056="","",'Employees'!D17)</f>
        <v/>
      </c>
    </row>
    <row r="3057">
      <c r="A3057">
        <f>IF(AND('Ratings'!A196&lt;&gt;"",'Ratings'!T5&lt;&gt;""),'Ratings'!A196,"")</f>
        <v/>
      </c>
      <c r="B3057">
        <f>IF(A3057="","",'Employees'!C17)</f>
        <v/>
      </c>
      <c r="C3057">
        <f>IF(A3057="","",'Ratings'!C196)</f>
        <v/>
      </c>
      <c r="D3057">
        <f>IF(A3057="","",'Ratings'!D196)</f>
        <v/>
      </c>
      <c r="E3057">
        <f>IF(AND('Ratings'!A196&lt;&gt;"",'Ratings'!T5&lt;&gt;""),'Ratings'!T5,"")</f>
        <v/>
      </c>
      <c r="F3057">
        <f>IF(OR(A3057="",'Ratings'!T196=""),"",'Ratings'!T196)</f>
        <v/>
      </c>
      <c r="G3057">
        <f>IF(A3057="","",'Employees'!D17)</f>
        <v/>
      </c>
    </row>
    <row r="3058">
      <c r="A3058">
        <f>IF(AND('Ratings'!A197&lt;&gt;"",'Ratings'!E5&lt;&gt;""),'Ratings'!A197,"")</f>
        <v/>
      </c>
      <c r="B3058">
        <f>IF(A3058="","",'Employees'!C17)</f>
        <v/>
      </c>
      <c r="C3058">
        <f>IF(A3058="","",'Ratings'!C197)</f>
        <v/>
      </c>
      <c r="D3058">
        <f>IF(A3058="","",'Ratings'!D197)</f>
        <v/>
      </c>
      <c r="E3058">
        <f>IF(AND('Ratings'!A197&lt;&gt;"",'Ratings'!E5&lt;&gt;""),'Ratings'!E5,"")</f>
        <v/>
      </c>
      <c r="F3058">
        <f>IF(OR(A3058="",'Ratings'!E197=""),"",'Ratings'!E197)</f>
        <v/>
      </c>
      <c r="G3058">
        <f>IF(A3058="","",'Employees'!D17)</f>
        <v/>
      </c>
    </row>
    <row r="3059">
      <c r="A3059">
        <f>IF(AND('Ratings'!A197&lt;&gt;"",'Ratings'!F5&lt;&gt;""),'Ratings'!A197,"")</f>
        <v/>
      </c>
      <c r="B3059">
        <f>IF(A3059="","",'Employees'!C17)</f>
        <v/>
      </c>
      <c r="C3059">
        <f>IF(A3059="","",'Ratings'!C197)</f>
        <v/>
      </c>
      <c r="D3059">
        <f>IF(A3059="","",'Ratings'!D197)</f>
        <v/>
      </c>
      <c r="E3059">
        <f>IF(AND('Ratings'!A197&lt;&gt;"",'Ratings'!F5&lt;&gt;""),'Ratings'!F5,"")</f>
        <v/>
      </c>
      <c r="F3059">
        <f>IF(OR(A3059="",'Ratings'!F197=""),"",'Ratings'!F197)</f>
        <v/>
      </c>
      <c r="G3059">
        <f>IF(A3059="","",'Employees'!D17)</f>
        <v/>
      </c>
    </row>
    <row r="3060">
      <c r="A3060">
        <f>IF(AND('Ratings'!A197&lt;&gt;"",'Ratings'!G5&lt;&gt;""),'Ratings'!A197,"")</f>
        <v/>
      </c>
      <c r="B3060">
        <f>IF(A3060="","",'Employees'!C17)</f>
        <v/>
      </c>
      <c r="C3060">
        <f>IF(A3060="","",'Ratings'!C197)</f>
        <v/>
      </c>
      <c r="D3060">
        <f>IF(A3060="","",'Ratings'!D197)</f>
        <v/>
      </c>
      <c r="E3060">
        <f>IF(AND('Ratings'!A197&lt;&gt;"",'Ratings'!G5&lt;&gt;""),'Ratings'!G5,"")</f>
        <v/>
      </c>
      <c r="F3060">
        <f>IF(OR(A3060="",'Ratings'!G197=""),"",'Ratings'!G197)</f>
        <v/>
      </c>
      <c r="G3060">
        <f>IF(A3060="","",'Employees'!D17)</f>
        <v/>
      </c>
    </row>
    <row r="3061">
      <c r="A3061">
        <f>IF(AND('Ratings'!A197&lt;&gt;"",'Ratings'!H5&lt;&gt;""),'Ratings'!A197,"")</f>
        <v/>
      </c>
      <c r="B3061">
        <f>IF(A3061="","",'Employees'!C17)</f>
        <v/>
      </c>
      <c r="C3061">
        <f>IF(A3061="","",'Ratings'!C197)</f>
        <v/>
      </c>
      <c r="D3061">
        <f>IF(A3061="","",'Ratings'!D197)</f>
        <v/>
      </c>
      <c r="E3061">
        <f>IF(AND('Ratings'!A197&lt;&gt;"",'Ratings'!H5&lt;&gt;""),'Ratings'!H5,"")</f>
        <v/>
      </c>
      <c r="F3061">
        <f>IF(OR(A3061="",'Ratings'!H197=""),"",'Ratings'!H197)</f>
        <v/>
      </c>
      <c r="G3061">
        <f>IF(A3061="","",'Employees'!D17)</f>
        <v/>
      </c>
    </row>
    <row r="3062">
      <c r="A3062">
        <f>IF(AND('Ratings'!A197&lt;&gt;"",'Ratings'!I5&lt;&gt;""),'Ratings'!A197,"")</f>
        <v/>
      </c>
      <c r="B3062">
        <f>IF(A3062="","",'Employees'!C17)</f>
        <v/>
      </c>
      <c r="C3062">
        <f>IF(A3062="","",'Ratings'!C197)</f>
        <v/>
      </c>
      <c r="D3062">
        <f>IF(A3062="","",'Ratings'!D197)</f>
        <v/>
      </c>
      <c r="E3062">
        <f>IF(AND('Ratings'!A197&lt;&gt;"",'Ratings'!I5&lt;&gt;""),'Ratings'!I5,"")</f>
        <v/>
      </c>
      <c r="F3062">
        <f>IF(OR(A3062="",'Ratings'!I197=""),"",'Ratings'!I197)</f>
        <v/>
      </c>
      <c r="G3062">
        <f>IF(A3062="","",'Employees'!D17)</f>
        <v/>
      </c>
    </row>
    <row r="3063">
      <c r="A3063">
        <f>IF(AND('Ratings'!A197&lt;&gt;"",'Ratings'!J5&lt;&gt;""),'Ratings'!A197,"")</f>
        <v/>
      </c>
      <c r="B3063">
        <f>IF(A3063="","",'Employees'!C17)</f>
        <v/>
      </c>
      <c r="C3063">
        <f>IF(A3063="","",'Ratings'!C197)</f>
        <v/>
      </c>
      <c r="D3063">
        <f>IF(A3063="","",'Ratings'!D197)</f>
        <v/>
      </c>
      <c r="E3063">
        <f>IF(AND('Ratings'!A197&lt;&gt;"",'Ratings'!J5&lt;&gt;""),'Ratings'!J5,"")</f>
        <v/>
      </c>
      <c r="F3063">
        <f>IF(OR(A3063="",'Ratings'!J197=""),"",'Ratings'!J197)</f>
        <v/>
      </c>
      <c r="G3063">
        <f>IF(A3063="","",'Employees'!D17)</f>
        <v/>
      </c>
    </row>
    <row r="3064">
      <c r="A3064">
        <f>IF(AND('Ratings'!A197&lt;&gt;"",'Ratings'!K5&lt;&gt;""),'Ratings'!A197,"")</f>
        <v/>
      </c>
      <c r="B3064">
        <f>IF(A3064="","",'Employees'!C17)</f>
        <v/>
      </c>
      <c r="C3064">
        <f>IF(A3064="","",'Ratings'!C197)</f>
        <v/>
      </c>
      <c r="D3064">
        <f>IF(A3064="","",'Ratings'!D197)</f>
        <v/>
      </c>
      <c r="E3064">
        <f>IF(AND('Ratings'!A197&lt;&gt;"",'Ratings'!K5&lt;&gt;""),'Ratings'!K5,"")</f>
        <v/>
      </c>
      <c r="F3064">
        <f>IF(OR(A3064="",'Ratings'!K197=""),"",'Ratings'!K197)</f>
        <v/>
      </c>
      <c r="G3064">
        <f>IF(A3064="","",'Employees'!D17)</f>
        <v/>
      </c>
    </row>
    <row r="3065">
      <c r="A3065">
        <f>IF(AND('Ratings'!A197&lt;&gt;"",'Ratings'!L5&lt;&gt;""),'Ratings'!A197,"")</f>
        <v/>
      </c>
      <c r="B3065">
        <f>IF(A3065="","",'Employees'!C17)</f>
        <v/>
      </c>
      <c r="C3065">
        <f>IF(A3065="","",'Ratings'!C197)</f>
        <v/>
      </c>
      <c r="D3065">
        <f>IF(A3065="","",'Ratings'!D197)</f>
        <v/>
      </c>
      <c r="E3065">
        <f>IF(AND('Ratings'!A197&lt;&gt;"",'Ratings'!L5&lt;&gt;""),'Ratings'!L5,"")</f>
        <v/>
      </c>
      <c r="F3065">
        <f>IF(OR(A3065="",'Ratings'!L197=""),"",'Ratings'!L197)</f>
        <v/>
      </c>
      <c r="G3065">
        <f>IF(A3065="","",'Employees'!D17)</f>
        <v/>
      </c>
    </row>
    <row r="3066">
      <c r="A3066">
        <f>IF(AND('Ratings'!A197&lt;&gt;"",'Ratings'!M5&lt;&gt;""),'Ratings'!A197,"")</f>
        <v/>
      </c>
      <c r="B3066">
        <f>IF(A3066="","",'Employees'!C17)</f>
        <v/>
      </c>
      <c r="C3066">
        <f>IF(A3066="","",'Ratings'!C197)</f>
        <v/>
      </c>
      <c r="D3066">
        <f>IF(A3066="","",'Ratings'!D197)</f>
        <v/>
      </c>
      <c r="E3066">
        <f>IF(AND('Ratings'!A197&lt;&gt;"",'Ratings'!M5&lt;&gt;""),'Ratings'!M5,"")</f>
        <v/>
      </c>
      <c r="F3066">
        <f>IF(OR(A3066="",'Ratings'!M197=""),"",'Ratings'!M197)</f>
        <v/>
      </c>
      <c r="G3066">
        <f>IF(A3066="","",'Employees'!D17)</f>
        <v/>
      </c>
    </row>
    <row r="3067">
      <c r="A3067">
        <f>IF(AND('Ratings'!A197&lt;&gt;"",'Ratings'!N5&lt;&gt;""),'Ratings'!A197,"")</f>
        <v/>
      </c>
      <c r="B3067">
        <f>IF(A3067="","",'Employees'!C17)</f>
        <v/>
      </c>
      <c r="C3067">
        <f>IF(A3067="","",'Ratings'!C197)</f>
        <v/>
      </c>
      <c r="D3067">
        <f>IF(A3067="","",'Ratings'!D197)</f>
        <v/>
      </c>
      <c r="E3067">
        <f>IF(AND('Ratings'!A197&lt;&gt;"",'Ratings'!N5&lt;&gt;""),'Ratings'!N5,"")</f>
        <v/>
      </c>
      <c r="F3067">
        <f>IF(OR(A3067="",'Ratings'!N197=""),"",'Ratings'!N197)</f>
        <v/>
      </c>
      <c r="G3067">
        <f>IF(A3067="","",'Employees'!D17)</f>
        <v/>
      </c>
    </row>
    <row r="3068">
      <c r="A3068">
        <f>IF(AND('Ratings'!A197&lt;&gt;"",'Ratings'!O5&lt;&gt;""),'Ratings'!A197,"")</f>
        <v/>
      </c>
      <c r="B3068">
        <f>IF(A3068="","",'Employees'!C17)</f>
        <v/>
      </c>
      <c r="C3068">
        <f>IF(A3068="","",'Ratings'!C197)</f>
        <v/>
      </c>
      <c r="D3068">
        <f>IF(A3068="","",'Ratings'!D197)</f>
        <v/>
      </c>
      <c r="E3068">
        <f>IF(AND('Ratings'!A197&lt;&gt;"",'Ratings'!O5&lt;&gt;""),'Ratings'!O5,"")</f>
        <v/>
      </c>
      <c r="F3068">
        <f>IF(OR(A3068="",'Ratings'!O197=""),"",'Ratings'!O197)</f>
        <v/>
      </c>
      <c r="G3068">
        <f>IF(A3068="","",'Employees'!D17)</f>
        <v/>
      </c>
    </row>
    <row r="3069">
      <c r="A3069">
        <f>IF(AND('Ratings'!A197&lt;&gt;"",'Ratings'!P5&lt;&gt;""),'Ratings'!A197,"")</f>
        <v/>
      </c>
      <c r="B3069">
        <f>IF(A3069="","",'Employees'!C17)</f>
        <v/>
      </c>
      <c r="C3069">
        <f>IF(A3069="","",'Ratings'!C197)</f>
        <v/>
      </c>
      <c r="D3069">
        <f>IF(A3069="","",'Ratings'!D197)</f>
        <v/>
      </c>
      <c r="E3069">
        <f>IF(AND('Ratings'!A197&lt;&gt;"",'Ratings'!P5&lt;&gt;""),'Ratings'!P5,"")</f>
        <v/>
      </c>
      <c r="F3069">
        <f>IF(OR(A3069="",'Ratings'!P197=""),"",'Ratings'!P197)</f>
        <v/>
      </c>
      <c r="G3069">
        <f>IF(A3069="","",'Employees'!D17)</f>
        <v/>
      </c>
    </row>
    <row r="3070">
      <c r="A3070">
        <f>IF(AND('Ratings'!A197&lt;&gt;"",'Ratings'!Q5&lt;&gt;""),'Ratings'!A197,"")</f>
        <v/>
      </c>
      <c r="B3070">
        <f>IF(A3070="","",'Employees'!C17)</f>
        <v/>
      </c>
      <c r="C3070">
        <f>IF(A3070="","",'Ratings'!C197)</f>
        <v/>
      </c>
      <c r="D3070">
        <f>IF(A3070="","",'Ratings'!D197)</f>
        <v/>
      </c>
      <c r="E3070">
        <f>IF(AND('Ratings'!A197&lt;&gt;"",'Ratings'!Q5&lt;&gt;""),'Ratings'!Q5,"")</f>
        <v/>
      </c>
      <c r="F3070">
        <f>IF(OR(A3070="",'Ratings'!Q197=""),"",'Ratings'!Q197)</f>
        <v/>
      </c>
      <c r="G3070">
        <f>IF(A3070="","",'Employees'!D17)</f>
        <v/>
      </c>
    </row>
    <row r="3071">
      <c r="A3071">
        <f>IF(AND('Ratings'!A197&lt;&gt;"",'Ratings'!R5&lt;&gt;""),'Ratings'!A197,"")</f>
        <v/>
      </c>
      <c r="B3071">
        <f>IF(A3071="","",'Employees'!C17)</f>
        <v/>
      </c>
      <c r="C3071">
        <f>IF(A3071="","",'Ratings'!C197)</f>
        <v/>
      </c>
      <c r="D3071">
        <f>IF(A3071="","",'Ratings'!D197)</f>
        <v/>
      </c>
      <c r="E3071">
        <f>IF(AND('Ratings'!A197&lt;&gt;"",'Ratings'!R5&lt;&gt;""),'Ratings'!R5,"")</f>
        <v/>
      </c>
      <c r="F3071">
        <f>IF(OR(A3071="",'Ratings'!R197=""),"",'Ratings'!R197)</f>
        <v/>
      </c>
      <c r="G3071">
        <f>IF(A3071="","",'Employees'!D17)</f>
        <v/>
      </c>
    </row>
    <row r="3072">
      <c r="A3072">
        <f>IF(AND('Ratings'!A197&lt;&gt;"",'Ratings'!S5&lt;&gt;""),'Ratings'!A197,"")</f>
        <v/>
      </c>
      <c r="B3072">
        <f>IF(A3072="","",'Employees'!C17)</f>
        <v/>
      </c>
      <c r="C3072">
        <f>IF(A3072="","",'Ratings'!C197)</f>
        <v/>
      </c>
      <c r="D3072">
        <f>IF(A3072="","",'Ratings'!D197)</f>
        <v/>
      </c>
      <c r="E3072">
        <f>IF(AND('Ratings'!A197&lt;&gt;"",'Ratings'!S5&lt;&gt;""),'Ratings'!S5,"")</f>
        <v/>
      </c>
      <c r="F3072">
        <f>IF(OR(A3072="",'Ratings'!S197=""),"",'Ratings'!S197)</f>
        <v/>
      </c>
      <c r="G3072">
        <f>IF(A3072="","",'Employees'!D17)</f>
        <v/>
      </c>
    </row>
    <row r="3073">
      <c r="A3073">
        <f>IF(AND('Ratings'!A197&lt;&gt;"",'Ratings'!T5&lt;&gt;""),'Ratings'!A197,"")</f>
        <v/>
      </c>
      <c r="B3073">
        <f>IF(A3073="","",'Employees'!C17)</f>
        <v/>
      </c>
      <c r="C3073">
        <f>IF(A3073="","",'Ratings'!C197)</f>
        <v/>
      </c>
      <c r="D3073">
        <f>IF(A3073="","",'Ratings'!D197)</f>
        <v/>
      </c>
      <c r="E3073">
        <f>IF(AND('Ratings'!A197&lt;&gt;"",'Ratings'!T5&lt;&gt;""),'Ratings'!T5,"")</f>
        <v/>
      </c>
      <c r="F3073">
        <f>IF(OR(A3073="",'Ratings'!T197=""),"",'Ratings'!T197)</f>
        <v/>
      </c>
      <c r="G3073">
        <f>IF(A3073="","",'Employees'!D17)</f>
        <v/>
      </c>
    </row>
    <row r="3074">
      <c r="A3074">
        <f>IF(AND('Ratings'!A198&lt;&gt;"",'Ratings'!E5&lt;&gt;""),'Ratings'!A198,"")</f>
        <v/>
      </c>
      <c r="B3074">
        <f>IF(A3074="","",'Employees'!C18)</f>
        <v/>
      </c>
      <c r="C3074">
        <f>IF(A3074="","",'Ratings'!C198)</f>
        <v/>
      </c>
      <c r="D3074">
        <f>IF(A3074="","",'Ratings'!D198)</f>
        <v/>
      </c>
      <c r="E3074">
        <f>IF(AND('Ratings'!A198&lt;&gt;"",'Ratings'!E5&lt;&gt;""),'Ratings'!E5,"")</f>
        <v/>
      </c>
      <c r="F3074">
        <f>IF(OR(A3074="",'Ratings'!E198=""),"",'Ratings'!E198)</f>
        <v/>
      </c>
      <c r="G3074">
        <f>IF(A3074="","",'Employees'!D18)</f>
        <v/>
      </c>
    </row>
    <row r="3075">
      <c r="A3075">
        <f>IF(AND('Ratings'!A198&lt;&gt;"",'Ratings'!F5&lt;&gt;""),'Ratings'!A198,"")</f>
        <v/>
      </c>
      <c r="B3075">
        <f>IF(A3075="","",'Employees'!C18)</f>
        <v/>
      </c>
      <c r="C3075">
        <f>IF(A3075="","",'Ratings'!C198)</f>
        <v/>
      </c>
      <c r="D3075">
        <f>IF(A3075="","",'Ratings'!D198)</f>
        <v/>
      </c>
      <c r="E3075">
        <f>IF(AND('Ratings'!A198&lt;&gt;"",'Ratings'!F5&lt;&gt;""),'Ratings'!F5,"")</f>
        <v/>
      </c>
      <c r="F3075">
        <f>IF(OR(A3075="",'Ratings'!F198=""),"",'Ratings'!F198)</f>
        <v/>
      </c>
      <c r="G3075">
        <f>IF(A3075="","",'Employees'!D18)</f>
        <v/>
      </c>
    </row>
    <row r="3076">
      <c r="A3076">
        <f>IF(AND('Ratings'!A198&lt;&gt;"",'Ratings'!G5&lt;&gt;""),'Ratings'!A198,"")</f>
        <v/>
      </c>
      <c r="B3076">
        <f>IF(A3076="","",'Employees'!C18)</f>
        <v/>
      </c>
      <c r="C3076">
        <f>IF(A3076="","",'Ratings'!C198)</f>
        <v/>
      </c>
      <c r="D3076">
        <f>IF(A3076="","",'Ratings'!D198)</f>
        <v/>
      </c>
      <c r="E3076">
        <f>IF(AND('Ratings'!A198&lt;&gt;"",'Ratings'!G5&lt;&gt;""),'Ratings'!G5,"")</f>
        <v/>
      </c>
      <c r="F3076">
        <f>IF(OR(A3076="",'Ratings'!G198=""),"",'Ratings'!G198)</f>
        <v/>
      </c>
      <c r="G3076">
        <f>IF(A3076="","",'Employees'!D18)</f>
        <v/>
      </c>
    </row>
    <row r="3077">
      <c r="A3077">
        <f>IF(AND('Ratings'!A198&lt;&gt;"",'Ratings'!H5&lt;&gt;""),'Ratings'!A198,"")</f>
        <v/>
      </c>
      <c r="B3077">
        <f>IF(A3077="","",'Employees'!C18)</f>
        <v/>
      </c>
      <c r="C3077">
        <f>IF(A3077="","",'Ratings'!C198)</f>
        <v/>
      </c>
      <c r="D3077">
        <f>IF(A3077="","",'Ratings'!D198)</f>
        <v/>
      </c>
      <c r="E3077">
        <f>IF(AND('Ratings'!A198&lt;&gt;"",'Ratings'!H5&lt;&gt;""),'Ratings'!H5,"")</f>
        <v/>
      </c>
      <c r="F3077">
        <f>IF(OR(A3077="",'Ratings'!H198=""),"",'Ratings'!H198)</f>
        <v/>
      </c>
      <c r="G3077">
        <f>IF(A3077="","",'Employees'!D18)</f>
        <v/>
      </c>
    </row>
    <row r="3078">
      <c r="A3078">
        <f>IF(AND('Ratings'!A198&lt;&gt;"",'Ratings'!I5&lt;&gt;""),'Ratings'!A198,"")</f>
        <v/>
      </c>
      <c r="B3078">
        <f>IF(A3078="","",'Employees'!C18)</f>
        <v/>
      </c>
      <c r="C3078">
        <f>IF(A3078="","",'Ratings'!C198)</f>
        <v/>
      </c>
      <c r="D3078">
        <f>IF(A3078="","",'Ratings'!D198)</f>
        <v/>
      </c>
      <c r="E3078">
        <f>IF(AND('Ratings'!A198&lt;&gt;"",'Ratings'!I5&lt;&gt;""),'Ratings'!I5,"")</f>
        <v/>
      </c>
      <c r="F3078">
        <f>IF(OR(A3078="",'Ratings'!I198=""),"",'Ratings'!I198)</f>
        <v/>
      </c>
      <c r="G3078">
        <f>IF(A3078="","",'Employees'!D18)</f>
        <v/>
      </c>
    </row>
    <row r="3079">
      <c r="A3079">
        <f>IF(AND('Ratings'!A198&lt;&gt;"",'Ratings'!J5&lt;&gt;""),'Ratings'!A198,"")</f>
        <v/>
      </c>
      <c r="B3079">
        <f>IF(A3079="","",'Employees'!C18)</f>
        <v/>
      </c>
      <c r="C3079">
        <f>IF(A3079="","",'Ratings'!C198)</f>
        <v/>
      </c>
      <c r="D3079">
        <f>IF(A3079="","",'Ratings'!D198)</f>
        <v/>
      </c>
      <c r="E3079">
        <f>IF(AND('Ratings'!A198&lt;&gt;"",'Ratings'!J5&lt;&gt;""),'Ratings'!J5,"")</f>
        <v/>
      </c>
      <c r="F3079">
        <f>IF(OR(A3079="",'Ratings'!J198=""),"",'Ratings'!J198)</f>
        <v/>
      </c>
      <c r="G3079">
        <f>IF(A3079="","",'Employees'!D18)</f>
        <v/>
      </c>
    </row>
    <row r="3080">
      <c r="A3080">
        <f>IF(AND('Ratings'!A198&lt;&gt;"",'Ratings'!K5&lt;&gt;""),'Ratings'!A198,"")</f>
        <v/>
      </c>
      <c r="B3080">
        <f>IF(A3080="","",'Employees'!C18)</f>
        <v/>
      </c>
      <c r="C3080">
        <f>IF(A3080="","",'Ratings'!C198)</f>
        <v/>
      </c>
      <c r="D3080">
        <f>IF(A3080="","",'Ratings'!D198)</f>
        <v/>
      </c>
      <c r="E3080">
        <f>IF(AND('Ratings'!A198&lt;&gt;"",'Ratings'!K5&lt;&gt;""),'Ratings'!K5,"")</f>
        <v/>
      </c>
      <c r="F3080">
        <f>IF(OR(A3080="",'Ratings'!K198=""),"",'Ratings'!K198)</f>
        <v/>
      </c>
      <c r="G3080">
        <f>IF(A3080="","",'Employees'!D18)</f>
        <v/>
      </c>
    </row>
    <row r="3081">
      <c r="A3081">
        <f>IF(AND('Ratings'!A198&lt;&gt;"",'Ratings'!L5&lt;&gt;""),'Ratings'!A198,"")</f>
        <v/>
      </c>
      <c r="B3081">
        <f>IF(A3081="","",'Employees'!C18)</f>
        <v/>
      </c>
      <c r="C3081">
        <f>IF(A3081="","",'Ratings'!C198)</f>
        <v/>
      </c>
      <c r="D3081">
        <f>IF(A3081="","",'Ratings'!D198)</f>
        <v/>
      </c>
      <c r="E3081">
        <f>IF(AND('Ratings'!A198&lt;&gt;"",'Ratings'!L5&lt;&gt;""),'Ratings'!L5,"")</f>
        <v/>
      </c>
      <c r="F3081">
        <f>IF(OR(A3081="",'Ratings'!L198=""),"",'Ratings'!L198)</f>
        <v/>
      </c>
      <c r="G3081">
        <f>IF(A3081="","",'Employees'!D18)</f>
        <v/>
      </c>
    </row>
    <row r="3082">
      <c r="A3082">
        <f>IF(AND('Ratings'!A198&lt;&gt;"",'Ratings'!M5&lt;&gt;""),'Ratings'!A198,"")</f>
        <v/>
      </c>
      <c r="B3082">
        <f>IF(A3082="","",'Employees'!C18)</f>
        <v/>
      </c>
      <c r="C3082">
        <f>IF(A3082="","",'Ratings'!C198)</f>
        <v/>
      </c>
      <c r="D3082">
        <f>IF(A3082="","",'Ratings'!D198)</f>
        <v/>
      </c>
      <c r="E3082">
        <f>IF(AND('Ratings'!A198&lt;&gt;"",'Ratings'!M5&lt;&gt;""),'Ratings'!M5,"")</f>
        <v/>
      </c>
      <c r="F3082">
        <f>IF(OR(A3082="",'Ratings'!M198=""),"",'Ratings'!M198)</f>
        <v/>
      </c>
      <c r="G3082">
        <f>IF(A3082="","",'Employees'!D18)</f>
        <v/>
      </c>
    </row>
    <row r="3083">
      <c r="A3083">
        <f>IF(AND('Ratings'!A198&lt;&gt;"",'Ratings'!N5&lt;&gt;""),'Ratings'!A198,"")</f>
        <v/>
      </c>
      <c r="B3083">
        <f>IF(A3083="","",'Employees'!C18)</f>
        <v/>
      </c>
      <c r="C3083">
        <f>IF(A3083="","",'Ratings'!C198)</f>
        <v/>
      </c>
      <c r="D3083">
        <f>IF(A3083="","",'Ratings'!D198)</f>
        <v/>
      </c>
      <c r="E3083">
        <f>IF(AND('Ratings'!A198&lt;&gt;"",'Ratings'!N5&lt;&gt;""),'Ratings'!N5,"")</f>
        <v/>
      </c>
      <c r="F3083">
        <f>IF(OR(A3083="",'Ratings'!N198=""),"",'Ratings'!N198)</f>
        <v/>
      </c>
      <c r="G3083">
        <f>IF(A3083="","",'Employees'!D18)</f>
        <v/>
      </c>
    </row>
    <row r="3084">
      <c r="A3084">
        <f>IF(AND('Ratings'!A198&lt;&gt;"",'Ratings'!O5&lt;&gt;""),'Ratings'!A198,"")</f>
        <v/>
      </c>
      <c r="B3084">
        <f>IF(A3084="","",'Employees'!C18)</f>
        <v/>
      </c>
      <c r="C3084">
        <f>IF(A3084="","",'Ratings'!C198)</f>
        <v/>
      </c>
      <c r="D3084">
        <f>IF(A3084="","",'Ratings'!D198)</f>
        <v/>
      </c>
      <c r="E3084">
        <f>IF(AND('Ratings'!A198&lt;&gt;"",'Ratings'!O5&lt;&gt;""),'Ratings'!O5,"")</f>
        <v/>
      </c>
      <c r="F3084">
        <f>IF(OR(A3084="",'Ratings'!O198=""),"",'Ratings'!O198)</f>
        <v/>
      </c>
      <c r="G3084">
        <f>IF(A3084="","",'Employees'!D18)</f>
        <v/>
      </c>
    </row>
    <row r="3085">
      <c r="A3085">
        <f>IF(AND('Ratings'!A198&lt;&gt;"",'Ratings'!P5&lt;&gt;""),'Ratings'!A198,"")</f>
        <v/>
      </c>
      <c r="B3085">
        <f>IF(A3085="","",'Employees'!C18)</f>
        <v/>
      </c>
      <c r="C3085">
        <f>IF(A3085="","",'Ratings'!C198)</f>
        <v/>
      </c>
      <c r="D3085">
        <f>IF(A3085="","",'Ratings'!D198)</f>
        <v/>
      </c>
      <c r="E3085">
        <f>IF(AND('Ratings'!A198&lt;&gt;"",'Ratings'!P5&lt;&gt;""),'Ratings'!P5,"")</f>
        <v/>
      </c>
      <c r="F3085">
        <f>IF(OR(A3085="",'Ratings'!P198=""),"",'Ratings'!P198)</f>
        <v/>
      </c>
      <c r="G3085">
        <f>IF(A3085="","",'Employees'!D18)</f>
        <v/>
      </c>
    </row>
    <row r="3086">
      <c r="A3086">
        <f>IF(AND('Ratings'!A198&lt;&gt;"",'Ratings'!Q5&lt;&gt;""),'Ratings'!A198,"")</f>
        <v/>
      </c>
      <c r="B3086">
        <f>IF(A3086="","",'Employees'!C18)</f>
        <v/>
      </c>
      <c r="C3086">
        <f>IF(A3086="","",'Ratings'!C198)</f>
        <v/>
      </c>
      <c r="D3086">
        <f>IF(A3086="","",'Ratings'!D198)</f>
        <v/>
      </c>
      <c r="E3086">
        <f>IF(AND('Ratings'!A198&lt;&gt;"",'Ratings'!Q5&lt;&gt;""),'Ratings'!Q5,"")</f>
        <v/>
      </c>
      <c r="F3086">
        <f>IF(OR(A3086="",'Ratings'!Q198=""),"",'Ratings'!Q198)</f>
        <v/>
      </c>
      <c r="G3086">
        <f>IF(A3086="","",'Employees'!D18)</f>
        <v/>
      </c>
    </row>
    <row r="3087">
      <c r="A3087">
        <f>IF(AND('Ratings'!A198&lt;&gt;"",'Ratings'!R5&lt;&gt;""),'Ratings'!A198,"")</f>
        <v/>
      </c>
      <c r="B3087">
        <f>IF(A3087="","",'Employees'!C18)</f>
        <v/>
      </c>
      <c r="C3087">
        <f>IF(A3087="","",'Ratings'!C198)</f>
        <v/>
      </c>
      <c r="D3087">
        <f>IF(A3087="","",'Ratings'!D198)</f>
        <v/>
      </c>
      <c r="E3087">
        <f>IF(AND('Ratings'!A198&lt;&gt;"",'Ratings'!R5&lt;&gt;""),'Ratings'!R5,"")</f>
        <v/>
      </c>
      <c r="F3087">
        <f>IF(OR(A3087="",'Ratings'!R198=""),"",'Ratings'!R198)</f>
        <v/>
      </c>
      <c r="G3087">
        <f>IF(A3087="","",'Employees'!D18)</f>
        <v/>
      </c>
    </row>
    <row r="3088">
      <c r="A3088">
        <f>IF(AND('Ratings'!A198&lt;&gt;"",'Ratings'!S5&lt;&gt;""),'Ratings'!A198,"")</f>
        <v/>
      </c>
      <c r="B3088">
        <f>IF(A3088="","",'Employees'!C18)</f>
        <v/>
      </c>
      <c r="C3088">
        <f>IF(A3088="","",'Ratings'!C198)</f>
        <v/>
      </c>
      <c r="D3088">
        <f>IF(A3088="","",'Ratings'!D198)</f>
        <v/>
      </c>
      <c r="E3088">
        <f>IF(AND('Ratings'!A198&lt;&gt;"",'Ratings'!S5&lt;&gt;""),'Ratings'!S5,"")</f>
        <v/>
      </c>
      <c r="F3088">
        <f>IF(OR(A3088="",'Ratings'!S198=""),"",'Ratings'!S198)</f>
        <v/>
      </c>
      <c r="G3088">
        <f>IF(A3088="","",'Employees'!D18)</f>
        <v/>
      </c>
    </row>
    <row r="3089">
      <c r="A3089">
        <f>IF(AND('Ratings'!A198&lt;&gt;"",'Ratings'!T5&lt;&gt;""),'Ratings'!A198,"")</f>
        <v/>
      </c>
      <c r="B3089">
        <f>IF(A3089="","",'Employees'!C18)</f>
        <v/>
      </c>
      <c r="C3089">
        <f>IF(A3089="","",'Ratings'!C198)</f>
        <v/>
      </c>
      <c r="D3089">
        <f>IF(A3089="","",'Ratings'!D198)</f>
        <v/>
      </c>
      <c r="E3089">
        <f>IF(AND('Ratings'!A198&lt;&gt;"",'Ratings'!T5&lt;&gt;""),'Ratings'!T5,"")</f>
        <v/>
      </c>
      <c r="F3089">
        <f>IF(OR(A3089="",'Ratings'!T198=""),"",'Ratings'!T198)</f>
        <v/>
      </c>
      <c r="G3089">
        <f>IF(A3089="","",'Employees'!D18)</f>
        <v/>
      </c>
    </row>
    <row r="3090">
      <c r="A3090">
        <f>IF(AND('Ratings'!A199&lt;&gt;"",'Ratings'!E5&lt;&gt;""),'Ratings'!A199,"")</f>
        <v/>
      </c>
      <c r="B3090">
        <f>IF(A3090="","",'Employees'!C18)</f>
        <v/>
      </c>
      <c r="C3090">
        <f>IF(A3090="","",'Ratings'!C199)</f>
        <v/>
      </c>
      <c r="D3090">
        <f>IF(A3090="","",'Ratings'!D199)</f>
        <v/>
      </c>
      <c r="E3090">
        <f>IF(AND('Ratings'!A199&lt;&gt;"",'Ratings'!E5&lt;&gt;""),'Ratings'!E5,"")</f>
        <v/>
      </c>
      <c r="F3090">
        <f>IF(OR(A3090="",'Ratings'!E199=""),"",'Ratings'!E199)</f>
        <v/>
      </c>
      <c r="G3090">
        <f>IF(A3090="","",'Employees'!D18)</f>
        <v/>
      </c>
    </row>
    <row r="3091">
      <c r="A3091">
        <f>IF(AND('Ratings'!A199&lt;&gt;"",'Ratings'!F5&lt;&gt;""),'Ratings'!A199,"")</f>
        <v/>
      </c>
      <c r="B3091">
        <f>IF(A3091="","",'Employees'!C18)</f>
        <v/>
      </c>
      <c r="C3091">
        <f>IF(A3091="","",'Ratings'!C199)</f>
        <v/>
      </c>
      <c r="D3091">
        <f>IF(A3091="","",'Ratings'!D199)</f>
        <v/>
      </c>
      <c r="E3091">
        <f>IF(AND('Ratings'!A199&lt;&gt;"",'Ratings'!F5&lt;&gt;""),'Ratings'!F5,"")</f>
        <v/>
      </c>
      <c r="F3091">
        <f>IF(OR(A3091="",'Ratings'!F199=""),"",'Ratings'!F199)</f>
        <v/>
      </c>
      <c r="G3091">
        <f>IF(A3091="","",'Employees'!D18)</f>
        <v/>
      </c>
    </row>
    <row r="3092">
      <c r="A3092">
        <f>IF(AND('Ratings'!A199&lt;&gt;"",'Ratings'!G5&lt;&gt;""),'Ratings'!A199,"")</f>
        <v/>
      </c>
      <c r="B3092">
        <f>IF(A3092="","",'Employees'!C18)</f>
        <v/>
      </c>
      <c r="C3092">
        <f>IF(A3092="","",'Ratings'!C199)</f>
        <v/>
      </c>
      <c r="D3092">
        <f>IF(A3092="","",'Ratings'!D199)</f>
        <v/>
      </c>
      <c r="E3092">
        <f>IF(AND('Ratings'!A199&lt;&gt;"",'Ratings'!G5&lt;&gt;""),'Ratings'!G5,"")</f>
        <v/>
      </c>
      <c r="F3092">
        <f>IF(OR(A3092="",'Ratings'!G199=""),"",'Ratings'!G199)</f>
        <v/>
      </c>
      <c r="G3092">
        <f>IF(A3092="","",'Employees'!D18)</f>
        <v/>
      </c>
    </row>
    <row r="3093">
      <c r="A3093">
        <f>IF(AND('Ratings'!A199&lt;&gt;"",'Ratings'!H5&lt;&gt;""),'Ratings'!A199,"")</f>
        <v/>
      </c>
      <c r="B3093">
        <f>IF(A3093="","",'Employees'!C18)</f>
        <v/>
      </c>
      <c r="C3093">
        <f>IF(A3093="","",'Ratings'!C199)</f>
        <v/>
      </c>
      <c r="D3093">
        <f>IF(A3093="","",'Ratings'!D199)</f>
        <v/>
      </c>
      <c r="E3093">
        <f>IF(AND('Ratings'!A199&lt;&gt;"",'Ratings'!H5&lt;&gt;""),'Ratings'!H5,"")</f>
        <v/>
      </c>
      <c r="F3093">
        <f>IF(OR(A3093="",'Ratings'!H199=""),"",'Ratings'!H199)</f>
        <v/>
      </c>
      <c r="G3093">
        <f>IF(A3093="","",'Employees'!D18)</f>
        <v/>
      </c>
    </row>
    <row r="3094">
      <c r="A3094">
        <f>IF(AND('Ratings'!A199&lt;&gt;"",'Ratings'!I5&lt;&gt;""),'Ratings'!A199,"")</f>
        <v/>
      </c>
      <c r="B3094">
        <f>IF(A3094="","",'Employees'!C18)</f>
        <v/>
      </c>
      <c r="C3094">
        <f>IF(A3094="","",'Ratings'!C199)</f>
        <v/>
      </c>
      <c r="D3094">
        <f>IF(A3094="","",'Ratings'!D199)</f>
        <v/>
      </c>
      <c r="E3094">
        <f>IF(AND('Ratings'!A199&lt;&gt;"",'Ratings'!I5&lt;&gt;""),'Ratings'!I5,"")</f>
        <v/>
      </c>
      <c r="F3094">
        <f>IF(OR(A3094="",'Ratings'!I199=""),"",'Ratings'!I199)</f>
        <v/>
      </c>
      <c r="G3094">
        <f>IF(A3094="","",'Employees'!D18)</f>
        <v/>
      </c>
    </row>
    <row r="3095">
      <c r="A3095">
        <f>IF(AND('Ratings'!A199&lt;&gt;"",'Ratings'!J5&lt;&gt;""),'Ratings'!A199,"")</f>
        <v/>
      </c>
      <c r="B3095">
        <f>IF(A3095="","",'Employees'!C18)</f>
        <v/>
      </c>
      <c r="C3095">
        <f>IF(A3095="","",'Ratings'!C199)</f>
        <v/>
      </c>
      <c r="D3095">
        <f>IF(A3095="","",'Ratings'!D199)</f>
        <v/>
      </c>
      <c r="E3095">
        <f>IF(AND('Ratings'!A199&lt;&gt;"",'Ratings'!J5&lt;&gt;""),'Ratings'!J5,"")</f>
        <v/>
      </c>
      <c r="F3095">
        <f>IF(OR(A3095="",'Ratings'!J199=""),"",'Ratings'!J199)</f>
        <v/>
      </c>
      <c r="G3095">
        <f>IF(A3095="","",'Employees'!D18)</f>
        <v/>
      </c>
    </row>
    <row r="3096">
      <c r="A3096">
        <f>IF(AND('Ratings'!A199&lt;&gt;"",'Ratings'!K5&lt;&gt;""),'Ratings'!A199,"")</f>
        <v/>
      </c>
      <c r="B3096">
        <f>IF(A3096="","",'Employees'!C18)</f>
        <v/>
      </c>
      <c r="C3096">
        <f>IF(A3096="","",'Ratings'!C199)</f>
        <v/>
      </c>
      <c r="D3096">
        <f>IF(A3096="","",'Ratings'!D199)</f>
        <v/>
      </c>
      <c r="E3096">
        <f>IF(AND('Ratings'!A199&lt;&gt;"",'Ratings'!K5&lt;&gt;""),'Ratings'!K5,"")</f>
        <v/>
      </c>
      <c r="F3096">
        <f>IF(OR(A3096="",'Ratings'!K199=""),"",'Ratings'!K199)</f>
        <v/>
      </c>
      <c r="G3096">
        <f>IF(A3096="","",'Employees'!D18)</f>
        <v/>
      </c>
    </row>
    <row r="3097">
      <c r="A3097">
        <f>IF(AND('Ratings'!A199&lt;&gt;"",'Ratings'!L5&lt;&gt;""),'Ratings'!A199,"")</f>
        <v/>
      </c>
      <c r="B3097">
        <f>IF(A3097="","",'Employees'!C18)</f>
        <v/>
      </c>
      <c r="C3097">
        <f>IF(A3097="","",'Ratings'!C199)</f>
        <v/>
      </c>
      <c r="D3097">
        <f>IF(A3097="","",'Ratings'!D199)</f>
        <v/>
      </c>
      <c r="E3097">
        <f>IF(AND('Ratings'!A199&lt;&gt;"",'Ratings'!L5&lt;&gt;""),'Ratings'!L5,"")</f>
        <v/>
      </c>
      <c r="F3097">
        <f>IF(OR(A3097="",'Ratings'!L199=""),"",'Ratings'!L199)</f>
        <v/>
      </c>
      <c r="G3097">
        <f>IF(A3097="","",'Employees'!D18)</f>
        <v/>
      </c>
    </row>
    <row r="3098">
      <c r="A3098">
        <f>IF(AND('Ratings'!A199&lt;&gt;"",'Ratings'!M5&lt;&gt;""),'Ratings'!A199,"")</f>
        <v/>
      </c>
      <c r="B3098">
        <f>IF(A3098="","",'Employees'!C18)</f>
        <v/>
      </c>
      <c r="C3098">
        <f>IF(A3098="","",'Ratings'!C199)</f>
        <v/>
      </c>
      <c r="D3098">
        <f>IF(A3098="","",'Ratings'!D199)</f>
        <v/>
      </c>
      <c r="E3098">
        <f>IF(AND('Ratings'!A199&lt;&gt;"",'Ratings'!M5&lt;&gt;""),'Ratings'!M5,"")</f>
        <v/>
      </c>
      <c r="F3098">
        <f>IF(OR(A3098="",'Ratings'!M199=""),"",'Ratings'!M199)</f>
        <v/>
      </c>
      <c r="G3098">
        <f>IF(A3098="","",'Employees'!D18)</f>
        <v/>
      </c>
    </row>
    <row r="3099">
      <c r="A3099">
        <f>IF(AND('Ratings'!A199&lt;&gt;"",'Ratings'!N5&lt;&gt;""),'Ratings'!A199,"")</f>
        <v/>
      </c>
      <c r="B3099">
        <f>IF(A3099="","",'Employees'!C18)</f>
        <v/>
      </c>
      <c r="C3099">
        <f>IF(A3099="","",'Ratings'!C199)</f>
        <v/>
      </c>
      <c r="D3099">
        <f>IF(A3099="","",'Ratings'!D199)</f>
        <v/>
      </c>
      <c r="E3099">
        <f>IF(AND('Ratings'!A199&lt;&gt;"",'Ratings'!N5&lt;&gt;""),'Ratings'!N5,"")</f>
        <v/>
      </c>
      <c r="F3099">
        <f>IF(OR(A3099="",'Ratings'!N199=""),"",'Ratings'!N199)</f>
        <v/>
      </c>
      <c r="G3099">
        <f>IF(A3099="","",'Employees'!D18)</f>
        <v/>
      </c>
    </row>
    <row r="3100">
      <c r="A3100">
        <f>IF(AND('Ratings'!A199&lt;&gt;"",'Ratings'!O5&lt;&gt;""),'Ratings'!A199,"")</f>
        <v/>
      </c>
      <c r="B3100">
        <f>IF(A3100="","",'Employees'!C18)</f>
        <v/>
      </c>
      <c r="C3100">
        <f>IF(A3100="","",'Ratings'!C199)</f>
        <v/>
      </c>
      <c r="D3100">
        <f>IF(A3100="","",'Ratings'!D199)</f>
        <v/>
      </c>
      <c r="E3100">
        <f>IF(AND('Ratings'!A199&lt;&gt;"",'Ratings'!O5&lt;&gt;""),'Ratings'!O5,"")</f>
        <v/>
      </c>
      <c r="F3100">
        <f>IF(OR(A3100="",'Ratings'!O199=""),"",'Ratings'!O199)</f>
        <v/>
      </c>
      <c r="G3100">
        <f>IF(A3100="","",'Employees'!D18)</f>
        <v/>
      </c>
    </row>
    <row r="3101">
      <c r="A3101">
        <f>IF(AND('Ratings'!A199&lt;&gt;"",'Ratings'!P5&lt;&gt;""),'Ratings'!A199,"")</f>
        <v/>
      </c>
      <c r="B3101">
        <f>IF(A3101="","",'Employees'!C18)</f>
        <v/>
      </c>
      <c r="C3101">
        <f>IF(A3101="","",'Ratings'!C199)</f>
        <v/>
      </c>
      <c r="D3101">
        <f>IF(A3101="","",'Ratings'!D199)</f>
        <v/>
      </c>
      <c r="E3101">
        <f>IF(AND('Ratings'!A199&lt;&gt;"",'Ratings'!P5&lt;&gt;""),'Ratings'!P5,"")</f>
        <v/>
      </c>
      <c r="F3101">
        <f>IF(OR(A3101="",'Ratings'!P199=""),"",'Ratings'!P199)</f>
        <v/>
      </c>
      <c r="G3101">
        <f>IF(A3101="","",'Employees'!D18)</f>
        <v/>
      </c>
    </row>
    <row r="3102">
      <c r="A3102">
        <f>IF(AND('Ratings'!A199&lt;&gt;"",'Ratings'!Q5&lt;&gt;""),'Ratings'!A199,"")</f>
        <v/>
      </c>
      <c r="B3102">
        <f>IF(A3102="","",'Employees'!C18)</f>
        <v/>
      </c>
      <c r="C3102">
        <f>IF(A3102="","",'Ratings'!C199)</f>
        <v/>
      </c>
      <c r="D3102">
        <f>IF(A3102="","",'Ratings'!D199)</f>
        <v/>
      </c>
      <c r="E3102">
        <f>IF(AND('Ratings'!A199&lt;&gt;"",'Ratings'!Q5&lt;&gt;""),'Ratings'!Q5,"")</f>
        <v/>
      </c>
      <c r="F3102">
        <f>IF(OR(A3102="",'Ratings'!Q199=""),"",'Ratings'!Q199)</f>
        <v/>
      </c>
      <c r="G3102">
        <f>IF(A3102="","",'Employees'!D18)</f>
        <v/>
      </c>
    </row>
    <row r="3103">
      <c r="A3103">
        <f>IF(AND('Ratings'!A199&lt;&gt;"",'Ratings'!R5&lt;&gt;""),'Ratings'!A199,"")</f>
        <v/>
      </c>
      <c r="B3103">
        <f>IF(A3103="","",'Employees'!C18)</f>
        <v/>
      </c>
      <c r="C3103">
        <f>IF(A3103="","",'Ratings'!C199)</f>
        <v/>
      </c>
      <c r="D3103">
        <f>IF(A3103="","",'Ratings'!D199)</f>
        <v/>
      </c>
      <c r="E3103">
        <f>IF(AND('Ratings'!A199&lt;&gt;"",'Ratings'!R5&lt;&gt;""),'Ratings'!R5,"")</f>
        <v/>
      </c>
      <c r="F3103">
        <f>IF(OR(A3103="",'Ratings'!R199=""),"",'Ratings'!R199)</f>
        <v/>
      </c>
      <c r="G3103">
        <f>IF(A3103="","",'Employees'!D18)</f>
        <v/>
      </c>
    </row>
    <row r="3104">
      <c r="A3104">
        <f>IF(AND('Ratings'!A199&lt;&gt;"",'Ratings'!S5&lt;&gt;""),'Ratings'!A199,"")</f>
        <v/>
      </c>
      <c r="B3104">
        <f>IF(A3104="","",'Employees'!C18)</f>
        <v/>
      </c>
      <c r="C3104">
        <f>IF(A3104="","",'Ratings'!C199)</f>
        <v/>
      </c>
      <c r="D3104">
        <f>IF(A3104="","",'Ratings'!D199)</f>
        <v/>
      </c>
      <c r="E3104">
        <f>IF(AND('Ratings'!A199&lt;&gt;"",'Ratings'!S5&lt;&gt;""),'Ratings'!S5,"")</f>
        <v/>
      </c>
      <c r="F3104">
        <f>IF(OR(A3104="",'Ratings'!S199=""),"",'Ratings'!S199)</f>
        <v/>
      </c>
      <c r="G3104">
        <f>IF(A3104="","",'Employees'!D18)</f>
        <v/>
      </c>
    </row>
    <row r="3105">
      <c r="A3105">
        <f>IF(AND('Ratings'!A199&lt;&gt;"",'Ratings'!T5&lt;&gt;""),'Ratings'!A199,"")</f>
        <v/>
      </c>
      <c r="B3105">
        <f>IF(A3105="","",'Employees'!C18)</f>
        <v/>
      </c>
      <c r="C3105">
        <f>IF(A3105="","",'Ratings'!C199)</f>
        <v/>
      </c>
      <c r="D3105">
        <f>IF(A3105="","",'Ratings'!D199)</f>
        <v/>
      </c>
      <c r="E3105">
        <f>IF(AND('Ratings'!A199&lt;&gt;"",'Ratings'!T5&lt;&gt;""),'Ratings'!T5,"")</f>
        <v/>
      </c>
      <c r="F3105">
        <f>IF(OR(A3105="",'Ratings'!T199=""),"",'Ratings'!T199)</f>
        <v/>
      </c>
      <c r="G3105">
        <f>IF(A3105="","",'Employees'!D18)</f>
        <v/>
      </c>
    </row>
    <row r="3106">
      <c r="A3106">
        <f>IF(AND('Ratings'!A200&lt;&gt;"",'Ratings'!E5&lt;&gt;""),'Ratings'!A200,"")</f>
        <v/>
      </c>
      <c r="B3106">
        <f>IF(A3106="","",'Employees'!C18)</f>
        <v/>
      </c>
      <c r="C3106">
        <f>IF(A3106="","",'Ratings'!C200)</f>
        <v/>
      </c>
      <c r="D3106">
        <f>IF(A3106="","",'Ratings'!D200)</f>
        <v/>
      </c>
      <c r="E3106">
        <f>IF(AND('Ratings'!A200&lt;&gt;"",'Ratings'!E5&lt;&gt;""),'Ratings'!E5,"")</f>
        <v/>
      </c>
      <c r="F3106">
        <f>IF(OR(A3106="",'Ratings'!E200=""),"",'Ratings'!E200)</f>
        <v/>
      </c>
      <c r="G3106">
        <f>IF(A3106="","",'Employees'!D18)</f>
        <v/>
      </c>
    </row>
    <row r="3107">
      <c r="A3107">
        <f>IF(AND('Ratings'!A200&lt;&gt;"",'Ratings'!F5&lt;&gt;""),'Ratings'!A200,"")</f>
        <v/>
      </c>
      <c r="B3107">
        <f>IF(A3107="","",'Employees'!C18)</f>
        <v/>
      </c>
      <c r="C3107">
        <f>IF(A3107="","",'Ratings'!C200)</f>
        <v/>
      </c>
      <c r="D3107">
        <f>IF(A3107="","",'Ratings'!D200)</f>
        <v/>
      </c>
      <c r="E3107">
        <f>IF(AND('Ratings'!A200&lt;&gt;"",'Ratings'!F5&lt;&gt;""),'Ratings'!F5,"")</f>
        <v/>
      </c>
      <c r="F3107">
        <f>IF(OR(A3107="",'Ratings'!F200=""),"",'Ratings'!F200)</f>
        <v/>
      </c>
      <c r="G3107">
        <f>IF(A3107="","",'Employees'!D18)</f>
        <v/>
      </c>
    </row>
    <row r="3108">
      <c r="A3108">
        <f>IF(AND('Ratings'!A200&lt;&gt;"",'Ratings'!G5&lt;&gt;""),'Ratings'!A200,"")</f>
        <v/>
      </c>
      <c r="B3108">
        <f>IF(A3108="","",'Employees'!C18)</f>
        <v/>
      </c>
      <c r="C3108">
        <f>IF(A3108="","",'Ratings'!C200)</f>
        <v/>
      </c>
      <c r="D3108">
        <f>IF(A3108="","",'Ratings'!D200)</f>
        <v/>
      </c>
      <c r="E3108">
        <f>IF(AND('Ratings'!A200&lt;&gt;"",'Ratings'!G5&lt;&gt;""),'Ratings'!G5,"")</f>
        <v/>
      </c>
      <c r="F3108">
        <f>IF(OR(A3108="",'Ratings'!G200=""),"",'Ratings'!G200)</f>
        <v/>
      </c>
      <c r="G3108">
        <f>IF(A3108="","",'Employees'!D18)</f>
        <v/>
      </c>
    </row>
    <row r="3109">
      <c r="A3109">
        <f>IF(AND('Ratings'!A200&lt;&gt;"",'Ratings'!H5&lt;&gt;""),'Ratings'!A200,"")</f>
        <v/>
      </c>
      <c r="B3109">
        <f>IF(A3109="","",'Employees'!C18)</f>
        <v/>
      </c>
      <c r="C3109">
        <f>IF(A3109="","",'Ratings'!C200)</f>
        <v/>
      </c>
      <c r="D3109">
        <f>IF(A3109="","",'Ratings'!D200)</f>
        <v/>
      </c>
      <c r="E3109">
        <f>IF(AND('Ratings'!A200&lt;&gt;"",'Ratings'!H5&lt;&gt;""),'Ratings'!H5,"")</f>
        <v/>
      </c>
      <c r="F3109">
        <f>IF(OR(A3109="",'Ratings'!H200=""),"",'Ratings'!H200)</f>
        <v/>
      </c>
      <c r="G3109">
        <f>IF(A3109="","",'Employees'!D18)</f>
        <v/>
      </c>
    </row>
    <row r="3110">
      <c r="A3110">
        <f>IF(AND('Ratings'!A200&lt;&gt;"",'Ratings'!I5&lt;&gt;""),'Ratings'!A200,"")</f>
        <v/>
      </c>
      <c r="B3110">
        <f>IF(A3110="","",'Employees'!C18)</f>
        <v/>
      </c>
      <c r="C3110">
        <f>IF(A3110="","",'Ratings'!C200)</f>
        <v/>
      </c>
      <c r="D3110">
        <f>IF(A3110="","",'Ratings'!D200)</f>
        <v/>
      </c>
      <c r="E3110">
        <f>IF(AND('Ratings'!A200&lt;&gt;"",'Ratings'!I5&lt;&gt;""),'Ratings'!I5,"")</f>
        <v/>
      </c>
      <c r="F3110">
        <f>IF(OR(A3110="",'Ratings'!I200=""),"",'Ratings'!I200)</f>
        <v/>
      </c>
      <c r="G3110">
        <f>IF(A3110="","",'Employees'!D18)</f>
        <v/>
      </c>
    </row>
    <row r="3111">
      <c r="A3111">
        <f>IF(AND('Ratings'!A200&lt;&gt;"",'Ratings'!J5&lt;&gt;""),'Ratings'!A200,"")</f>
        <v/>
      </c>
      <c r="B3111">
        <f>IF(A3111="","",'Employees'!C18)</f>
        <v/>
      </c>
      <c r="C3111">
        <f>IF(A3111="","",'Ratings'!C200)</f>
        <v/>
      </c>
      <c r="D3111">
        <f>IF(A3111="","",'Ratings'!D200)</f>
        <v/>
      </c>
      <c r="E3111">
        <f>IF(AND('Ratings'!A200&lt;&gt;"",'Ratings'!J5&lt;&gt;""),'Ratings'!J5,"")</f>
        <v/>
      </c>
      <c r="F3111">
        <f>IF(OR(A3111="",'Ratings'!J200=""),"",'Ratings'!J200)</f>
        <v/>
      </c>
      <c r="G3111">
        <f>IF(A3111="","",'Employees'!D18)</f>
        <v/>
      </c>
    </row>
    <row r="3112">
      <c r="A3112">
        <f>IF(AND('Ratings'!A200&lt;&gt;"",'Ratings'!K5&lt;&gt;""),'Ratings'!A200,"")</f>
        <v/>
      </c>
      <c r="B3112">
        <f>IF(A3112="","",'Employees'!C18)</f>
        <v/>
      </c>
      <c r="C3112">
        <f>IF(A3112="","",'Ratings'!C200)</f>
        <v/>
      </c>
      <c r="D3112">
        <f>IF(A3112="","",'Ratings'!D200)</f>
        <v/>
      </c>
      <c r="E3112">
        <f>IF(AND('Ratings'!A200&lt;&gt;"",'Ratings'!K5&lt;&gt;""),'Ratings'!K5,"")</f>
        <v/>
      </c>
      <c r="F3112">
        <f>IF(OR(A3112="",'Ratings'!K200=""),"",'Ratings'!K200)</f>
        <v/>
      </c>
      <c r="G3112">
        <f>IF(A3112="","",'Employees'!D18)</f>
        <v/>
      </c>
    </row>
    <row r="3113">
      <c r="A3113">
        <f>IF(AND('Ratings'!A200&lt;&gt;"",'Ratings'!L5&lt;&gt;""),'Ratings'!A200,"")</f>
        <v/>
      </c>
      <c r="B3113">
        <f>IF(A3113="","",'Employees'!C18)</f>
        <v/>
      </c>
      <c r="C3113">
        <f>IF(A3113="","",'Ratings'!C200)</f>
        <v/>
      </c>
      <c r="D3113">
        <f>IF(A3113="","",'Ratings'!D200)</f>
        <v/>
      </c>
      <c r="E3113">
        <f>IF(AND('Ratings'!A200&lt;&gt;"",'Ratings'!L5&lt;&gt;""),'Ratings'!L5,"")</f>
        <v/>
      </c>
      <c r="F3113">
        <f>IF(OR(A3113="",'Ratings'!L200=""),"",'Ratings'!L200)</f>
        <v/>
      </c>
      <c r="G3113">
        <f>IF(A3113="","",'Employees'!D18)</f>
        <v/>
      </c>
    </row>
    <row r="3114">
      <c r="A3114">
        <f>IF(AND('Ratings'!A200&lt;&gt;"",'Ratings'!M5&lt;&gt;""),'Ratings'!A200,"")</f>
        <v/>
      </c>
      <c r="B3114">
        <f>IF(A3114="","",'Employees'!C18)</f>
        <v/>
      </c>
      <c r="C3114">
        <f>IF(A3114="","",'Ratings'!C200)</f>
        <v/>
      </c>
      <c r="D3114">
        <f>IF(A3114="","",'Ratings'!D200)</f>
        <v/>
      </c>
      <c r="E3114">
        <f>IF(AND('Ratings'!A200&lt;&gt;"",'Ratings'!M5&lt;&gt;""),'Ratings'!M5,"")</f>
        <v/>
      </c>
      <c r="F3114">
        <f>IF(OR(A3114="",'Ratings'!M200=""),"",'Ratings'!M200)</f>
        <v/>
      </c>
      <c r="G3114">
        <f>IF(A3114="","",'Employees'!D18)</f>
        <v/>
      </c>
    </row>
    <row r="3115">
      <c r="A3115">
        <f>IF(AND('Ratings'!A200&lt;&gt;"",'Ratings'!N5&lt;&gt;""),'Ratings'!A200,"")</f>
        <v/>
      </c>
      <c r="B3115">
        <f>IF(A3115="","",'Employees'!C18)</f>
        <v/>
      </c>
      <c r="C3115">
        <f>IF(A3115="","",'Ratings'!C200)</f>
        <v/>
      </c>
      <c r="D3115">
        <f>IF(A3115="","",'Ratings'!D200)</f>
        <v/>
      </c>
      <c r="E3115">
        <f>IF(AND('Ratings'!A200&lt;&gt;"",'Ratings'!N5&lt;&gt;""),'Ratings'!N5,"")</f>
        <v/>
      </c>
      <c r="F3115">
        <f>IF(OR(A3115="",'Ratings'!N200=""),"",'Ratings'!N200)</f>
        <v/>
      </c>
      <c r="G3115">
        <f>IF(A3115="","",'Employees'!D18)</f>
        <v/>
      </c>
    </row>
    <row r="3116">
      <c r="A3116">
        <f>IF(AND('Ratings'!A200&lt;&gt;"",'Ratings'!O5&lt;&gt;""),'Ratings'!A200,"")</f>
        <v/>
      </c>
      <c r="B3116">
        <f>IF(A3116="","",'Employees'!C18)</f>
        <v/>
      </c>
      <c r="C3116">
        <f>IF(A3116="","",'Ratings'!C200)</f>
        <v/>
      </c>
      <c r="D3116">
        <f>IF(A3116="","",'Ratings'!D200)</f>
        <v/>
      </c>
      <c r="E3116">
        <f>IF(AND('Ratings'!A200&lt;&gt;"",'Ratings'!O5&lt;&gt;""),'Ratings'!O5,"")</f>
        <v/>
      </c>
      <c r="F3116">
        <f>IF(OR(A3116="",'Ratings'!O200=""),"",'Ratings'!O200)</f>
        <v/>
      </c>
      <c r="G3116">
        <f>IF(A3116="","",'Employees'!D18)</f>
        <v/>
      </c>
    </row>
    <row r="3117">
      <c r="A3117">
        <f>IF(AND('Ratings'!A200&lt;&gt;"",'Ratings'!P5&lt;&gt;""),'Ratings'!A200,"")</f>
        <v/>
      </c>
      <c r="B3117">
        <f>IF(A3117="","",'Employees'!C18)</f>
        <v/>
      </c>
      <c r="C3117">
        <f>IF(A3117="","",'Ratings'!C200)</f>
        <v/>
      </c>
      <c r="D3117">
        <f>IF(A3117="","",'Ratings'!D200)</f>
        <v/>
      </c>
      <c r="E3117">
        <f>IF(AND('Ratings'!A200&lt;&gt;"",'Ratings'!P5&lt;&gt;""),'Ratings'!P5,"")</f>
        <v/>
      </c>
      <c r="F3117">
        <f>IF(OR(A3117="",'Ratings'!P200=""),"",'Ratings'!P200)</f>
        <v/>
      </c>
      <c r="G3117">
        <f>IF(A3117="","",'Employees'!D18)</f>
        <v/>
      </c>
    </row>
    <row r="3118">
      <c r="A3118">
        <f>IF(AND('Ratings'!A200&lt;&gt;"",'Ratings'!Q5&lt;&gt;""),'Ratings'!A200,"")</f>
        <v/>
      </c>
      <c r="B3118">
        <f>IF(A3118="","",'Employees'!C18)</f>
        <v/>
      </c>
      <c r="C3118">
        <f>IF(A3118="","",'Ratings'!C200)</f>
        <v/>
      </c>
      <c r="D3118">
        <f>IF(A3118="","",'Ratings'!D200)</f>
        <v/>
      </c>
      <c r="E3118">
        <f>IF(AND('Ratings'!A200&lt;&gt;"",'Ratings'!Q5&lt;&gt;""),'Ratings'!Q5,"")</f>
        <v/>
      </c>
      <c r="F3118">
        <f>IF(OR(A3118="",'Ratings'!Q200=""),"",'Ratings'!Q200)</f>
        <v/>
      </c>
      <c r="G3118">
        <f>IF(A3118="","",'Employees'!D18)</f>
        <v/>
      </c>
    </row>
    <row r="3119">
      <c r="A3119">
        <f>IF(AND('Ratings'!A200&lt;&gt;"",'Ratings'!R5&lt;&gt;""),'Ratings'!A200,"")</f>
        <v/>
      </c>
      <c r="B3119">
        <f>IF(A3119="","",'Employees'!C18)</f>
        <v/>
      </c>
      <c r="C3119">
        <f>IF(A3119="","",'Ratings'!C200)</f>
        <v/>
      </c>
      <c r="D3119">
        <f>IF(A3119="","",'Ratings'!D200)</f>
        <v/>
      </c>
      <c r="E3119">
        <f>IF(AND('Ratings'!A200&lt;&gt;"",'Ratings'!R5&lt;&gt;""),'Ratings'!R5,"")</f>
        <v/>
      </c>
      <c r="F3119">
        <f>IF(OR(A3119="",'Ratings'!R200=""),"",'Ratings'!R200)</f>
        <v/>
      </c>
      <c r="G3119">
        <f>IF(A3119="","",'Employees'!D18)</f>
        <v/>
      </c>
    </row>
    <row r="3120">
      <c r="A3120">
        <f>IF(AND('Ratings'!A200&lt;&gt;"",'Ratings'!S5&lt;&gt;""),'Ratings'!A200,"")</f>
        <v/>
      </c>
      <c r="B3120">
        <f>IF(A3120="","",'Employees'!C18)</f>
        <v/>
      </c>
      <c r="C3120">
        <f>IF(A3120="","",'Ratings'!C200)</f>
        <v/>
      </c>
      <c r="D3120">
        <f>IF(A3120="","",'Ratings'!D200)</f>
        <v/>
      </c>
      <c r="E3120">
        <f>IF(AND('Ratings'!A200&lt;&gt;"",'Ratings'!S5&lt;&gt;""),'Ratings'!S5,"")</f>
        <v/>
      </c>
      <c r="F3120">
        <f>IF(OR(A3120="",'Ratings'!S200=""),"",'Ratings'!S200)</f>
        <v/>
      </c>
      <c r="G3120">
        <f>IF(A3120="","",'Employees'!D18)</f>
        <v/>
      </c>
    </row>
    <row r="3121">
      <c r="A3121">
        <f>IF(AND('Ratings'!A200&lt;&gt;"",'Ratings'!T5&lt;&gt;""),'Ratings'!A200,"")</f>
        <v/>
      </c>
      <c r="B3121">
        <f>IF(A3121="","",'Employees'!C18)</f>
        <v/>
      </c>
      <c r="C3121">
        <f>IF(A3121="","",'Ratings'!C200)</f>
        <v/>
      </c>
      <c r="D3121">
        <f>IF(A3121="","",'Ratings'!D200)</f>
        <v/>
      </c>
      <c r="E3121">
        <f>IF(AND('Ratings'!A200&lt;&gt;"",'Ratings'!T5&lt;&gt;""),'Ratings'!T5,"")</f>
        <v/>
      </c>
      <c r="F3121">
        <f>IF(OR(A3121="",'Ratings'!T200=""),"",'Ratings'!T200)</f>
        <v/>
      </c>
      <c r="G3121">
        <f>IF(A3121="","",'Employees'!D18)</f>
        <v/>
      </c>
    </row>
    <row r="3122">
      <c r="A3122">
        <f>IF(AND('Ratings'!A201&lt;&gt;"",'Ratings'!E5&lt;&gt;""),'Ratings'!A201,"")</f>
        <v/>
      </c>
      <c r="B3122">
        <f>IF(A3122="","",'Employees'!C18)</f>
        <v/>
      </c>
      <c r="C3122">
        <f>IF(A3122="","",'Ratings'!C201)</f>
        <v/>
      </c>
      <c r="D3122">
        <f>IF(A3122="","",'Ratings'!D201)</f>
        <v/>
      </c>
      <c r="E3122">
        <f>IF(AND('Ratings'!A201&lt;&gt;"",'Ratings'!E5&lt;&gt;""),'Ratings'!E5,"")</f>
        <v/>
      </c>
      <c r="F3122">
        <f>IF(OR(A3122="",'Ratings'!E201=""),"",'Ratings'!E201)</f>
        <v/>
      </c>
      <c r="G3122">
        <f>IF(A3122="","",'Employees'!D18)</f>
        <v/>
      </c>
    </row>
    <row r="3123">
      <c r="A3123">
        <f>IF(AND('Ratings'!A201&lt;&gt;"",'Ratings'!F5&lt;&gt;""),'Ratings'!A201,"")</f>
        <v/>
      </c>
      <c r="B3123">
        <f>IF(A3123="","",'Employees'!C18)</f>
        <v/>
      </c>
      <c r="C3123">
        <f>IF(A3123="","",'Ratings'!C201)</f>
        <v/>
      </c>
      <c r="D3123">
        <f>IF(A3123="","",'Ratings'!D201)</f>
        <v/>
      </c>
      <c r="E3123">
        <f>IF(AND('Ratings'!A201&lt;&gt;"",'Ratings'!F5&lt;&gt;""),'Ratings'!F5,"")</f>
        <v/>
      </c>
      <c r="F3123">
        <f>IF(OR(A3123="",'Ratings'!F201=""),"",'Ratings'!F201)</f>
        <v/>
      </c>
      <c r="G3123">
        <f>IF(A3123="","",'Employees'!D18)</f>
        <v/>
      </c>
    </row>
    <row r="3124">
      <c r="A3124">
        <f>IF(AND('Ratings'!A201&lt;&gt;"",'Ratings'!G5&lt;&gt;""),'Ratings'!A201,"")</f>
        <v/>
      </c>
      <c r="B3124">
        <f>IF(A3124="","",'Employees'!C18)</f>
        <v/>
      </c>
      <c r="C3124">
        <f>IF(A3124="","",'Ratings'!C201)</f>
        <v/>
      </c>
      <c r="D3124">
        <f>IF(A3124="","",'Ratings'!D201)</f>
        <v/>
      </c>
      <c r="E3124">
        <f>IF(AND('Ratings'!A201&lt;&gt;"",'Ratings'!G5&lt;&gt;""),'Ratings'!G5,"")</f>
        <v/>
      </c>
      <c r="F3124">
        <f>IF(OR(A3124="",'Ratings'!G201=""),"",'Ratings'!G201)</f>
        <v/>
      </c>
      <c r="G3124">
        <f>IF(A3124="","",'Employees'!D18)</f>
        <v/>
      </c>
    </row>
    <row r="3125">
      <c r="A3125">
        <f>IF(AND('Ratings'!A201&lt;&gt;"",'Ratings'!H5&lt;&gt;""),'Ratings'!A201,"")</f>
        <v/>
      </c>
      <c r="B3125">
        <f>IF(A3125="","",'Employees'!C18)</f>
        <v/>
      </c>
      <c r="C3125">
        <f>IF(A3125="","",'Ratings'!C201)</f>
        <v/>
      </c>
      <c r="D3125">
        <f>IF(A3125="","",'Ratings'!D201)</f>
        <v/>
      </c>
      <c r="E3125">
        <f>IF(AND('Ratings'!A201&lt;&gt;"",'Ratings'!H5&lt;&gt;""),'Ratings'!H5,"")</f>
        <v/>
      </c>
      <c r="F3125">
        <f>IF(OR(A3125="",'Ratings'!H201=""),"",'Ratings'!H201)</f>
        <v/>
      </c>
      <c r="G3125">
        <f>IF(A3125="","",'Employees'!D18)</f>
        <v/>
      </c>
    </row>
    <row r="3126">
      <c r="A3126">
        <f>IF(AND('Ratings'!A201&lt;&gt;"",'Ratings'!I5&lt;&gt;""),'Ratings'!A201,"")</f>
        <v/>
      </c>
      <c r="B3126">
        <f>IF(A3126="","",'Employees'!C18)</f>
        <v/>
      </c>
      <c r="C3126">
        <f>IF(A3126="","",'Ratings'!C201)</f>
        <v/>
      </c>
      <c r="D3126">
        <f>IF(A3126="","",'Ratings'!D201)</f>
        <v/>
      </c>
      <c r="E3126">
        <f>IF(AND('Ratings'!A201&lt;&gt;"",'Ratings'!I5&lt;&gt;""),'Ratings'!I5,"")</f>
        <v/>
      </c>
      <c r="F3126">
        <f>IF(OR(A3126="",'Ratings'!I201=""),"",'Ratings'!I201)</f>
        <v/>
      </c>
      <c r="G3126">
        <f>IF(A3126="","",'Employees'!D18)</f>
        <v/>
      </c>
    </row>
    <row r="3127">
      <c r="A3127">
        <f>IF(AND('Ratings'!A201&lt;&gt;"",'Ratings'!J5&lt;&gt;""),'Ratings'!A201,"")</f>
        <v/>
      </c>
      <c r="B3127">
        <f>IF(A3127="","",'Employees'!C18)</f>
        <v/>
      </c>
      <c r="C3127">
        <f>IF(A3127="","",'Ratings'!C201)</f>
        <v/>
      </c>
      <c r="D3127">
        <f>IF(A3127="","",'Ratings'!D201)</f>
        <v/>
      </c>
      <c r="E3127">
        <f>IF(AND('Ratings'!A201&lt;&gt;"",'Ratings'!J5&lt;&gt;""),'Ratings'!J5,"")</f>
        <v/>
      </c>
      <c r="F3127">
        <f>IF(OR(A3127="",'Ratings'!J201=""),"",'Ratings'!J201)</f>
        <v/>
      </c>
      <c r="G3127">
        <f>IF(A3127="","",'Employees'!D18)</f>
        <v/>
      </c>
    </row>
    <row r="3128">
      <c r="A3128">
        <f>IF(AND('Ratings'!A201&lt;&gt;"",'Ratings'!K5&lt;&gt;""),'Ratings'!A201,"")</f>
        <v/>
      </c>
      <c r="B3128">
        <f>IF(A3128="","",'Employees'!C18)</f>
        <v/>
      </c>
      <c r="C3128">
        <f>IF(A3128="","",'Ratings'!C201)</f>
        <v/>
      </c>
      <c r="D3128">
        <f>IF(A3128="","",'Ratings'!D201)</f>
        <v/>
      </c>
      <c r="E3128">
        <f>IF(AND('Ratings'!A201&lt;&gt;"",'Ratings'!K5&lt;&gt;""),'Ratings'!K5,"")</f>
        <v/>
      </c>
      <c r="F3128">
        <f>IF(OR(A3128="",'Ratings'!K201=""),"",'Ratings'!K201)</f>
        <v/>
      </c>
      <c r="G3128">
        <f>IF(A3128="","",'Employees'!D18)</f>
        <v/>
      </c>
    </row>
    <row r="3129">
      <c r="A3129">
        <f>IF(AND('Ratings'!A201&lt;&gt;"",'Ratings'!L5&lt;&gt;""),'Ratings'!A201,"")</f>
        <v/>
      </c>
      <c r="B3129">
        <f>IF(A3129="","",'Employees'!C18)</f>
        <v/>
      </c>
      <c r="C3129">
        <f>IF(A3129="","",'Ratings'!C201)</f>
        <v/>
      </c>
      <c r="D3129">
        <f>IF(A3129="","",'Ratings'!D201)</f>
        <v/>
      </c>
      <c r="E3129">
        <f>IF(AND('Ratings'!A201&lt;&gt;"",'Ratings'!L5&lt;&gt;""),'Ratings'!L5,"")</f>
        <v/>
      </c>
      <c r="F3129">
        <f>IF(OR(A3129="",'Ratings'!L201=""),"",'Ratings'!L201)</f>
        <v/>
      </c>
      <c r="G3129">
        <f>IF(A3129="","",'Employees'!D18)</f>
        <v/>
      </c>
    </row>
    <row r="3130">
      <c r="A3130">
        <f>IF(AND('Ratings'!A201&lt;&gt;"",'Ratings'!M5&lt;&gt;""),'Ratings'!A201,"")</f>
        <v/>
      </c>
      <c r="B3130">
        <f>IF(A3130="","",'Employees'!C18)</f>
        <v/>
      </c>
      <c r="C3130">
        <f>IF(A3130="","",'Ratings'!C201)</f>
        <v/>
      </c>
      <c r="D3130">
        <f>IF(A3130="","",'Ratings'!D201)</f>
        <v/>
      </c>
      <c r="E3130">
        <f>IF(AND('Ratings'!A201&lt;&gt;"",'Ratings'!M5&lt;&gt;""),'Ratings'!M5,"")</f>
        <v/>
      </c>
      <c r="F3130">
        <f>IF(OR(A3130="",'Ratings'!M201=""),"",'Ratings'!M201)</f>
        <v/>
      </c>
      <c r="G3130">
        <f>IF(A3130="","",'Employees'!D18)</f>
        <v/>
      </c>
    </row>
    <row r="3131">
      <c r="A3131">
        <f>IF(AND('Ratings'!A201&lt;&gt;"",'Ratings'!N5&lt;&gt;""),'Ratings'!A201,"")</f>
        <v/>
      </c>
      <c r="B3131">
        <f>IF(A3131="","",'Employees'!C18)</f>
        <v/>
      </c>
      <c r="C3131">
        <f>IF(A3131="","",'Ratings'!C201)</f>
        <v/>
      </c>
      <c r="D3131">
        <f>IF(A3131="","",'Ratings'!D201)</f>
        <v/>
      </c>
      <c r="E3131">
        <f>IF(AND('Ratings'!A201&lt;&gt;"",'Ratings'!N5&lt;&gt;""),'Ratings'!N5,"")</f>
        <v/>
      </c>
      <c r="F3131">
        <f>IF(OR(A3131="",'Ratings'!N201=""),"",'Ratings'!N201)</f>
        <v/>
      </c>
      <c r="G3131">
        <f>IF(A3131="","",'Employees'!D18)</f>
        <v/>
      </c>
    </row>
    <row r="3132">
      <c r="A3132">
        <f>IF(AND('Ratings'!A201&lt;&gt;"",'Ratings'!O5&lt;&gt;""),'Ratings'!A201,"")</f>
        <v/>
      </c>
      <c r="B3132">
        <f>IF(A3132="","",'Employees'!C18)</f>
        <v/>
      </c>
      <c r="C3132">
        <f>IF(A3132="","",'Ratings'!C201)</f>
        <v/>
      </c>
      <c r="D3132">
        <f>IF(A3132="","",'Ratings'!D201)</f>
        <v/>
      </c>
      <c r="E3132">
        <f>IF(AND('Ratings'!A201&lt;&gt;"",'Ratings'!O5&lt;&gt;""),'Ratings'!O5,"")</f>
        <v/>
      </c>
      <c r="F3132">
        <f>IF(OR(A3132="",'Ratings'!O201=""),"",'Ratings'!O201)</f>
        <v/>
      </c>
      <c r="G3132">
        <f>IF(A3132="","",'Employees'!D18)</f>
        <v/>
      </c>
    </row>
    <row r="3133">
      <c r="A3133">
        <f>IF(AND('Ratings'!A201&lt;&gt;"",'Ratings'!P5&lt;&gt;""),'Ratings'!A201,"")</f>
        <v/>
      </c>
      <c r="B3133">
        <f>IF(A3133="","",'Employees'!C18)</f>
        <v/>
      </c>
      <c r="C3133">
        <f>IF(A3133="","",'Ratings'!C201)</f>
        <v/>
      </c>
      <c r="D3133">
        <f>IF(A3133="","",'Ratings'!D201)</f>
        <v/>
      </c>
      <c r="E3133">
        <f>IF(AND('Ratings'!A201&lt;&gt;"",'Ratings'!P5&lt;&gt;""),'Ratings'!P5,"")</f>
        <v/>
      </c>
      <c r="F3133">
        <f>IF(OR(A3133="",'Ratings'!P201=""),"",'Ratings'!P201)</f>
        <v/>
      </c>
      <c r="G3133">
        <f>IF(A3133="","",'Employees'!D18)</f>
        <v/>
      </c>
    </row>
    <row r="3134">
      <c r="A3134">
        <f>IF(AND('Ratings'!A201&lt;&gt;"",'Ratings'!Q5&lt;&gt;""),'Ratings'!A201,"")</f>
        <v/>
      </c>
      <c r="B3134">
        <f>IF(A3134="","",'Employees'!C18)</f>
        <v/>
      </c>
      <c r="C3134">
        <f>IF(A3134="","",'Ratings'!C201)</f>
        <v/>
      </c>
      <c r="D3134">
        <f>IF(A3134="","",'Ratings'!D201)</f>
        <v/>
      </c>
      <c r="E3134">
        <f>IF(AND('Ratings'!A201&lt;&gt;"",'Ratings'!Q5&lt;&gt;""),'Ratings'!Q5,"")</f>
        <v/>
      </c>
      <c r="F3134">
        <f>IF(OR(A3134="",'Ratings'!Q201=""),"",'Ratings'!Q201)</f>
        <v/>
      </c>
      <c r="G3134">
        <f>IF(A3134="","",'Employees'!D18)</f>
        <v/>
      </c>
    </row>
    <row r="3135">
      <c r="A3135">
        <f>IF(AND('Ratings'!A201&lt;&gt;"",'Ratings'!R5&lt;&gt;""),'Ratings'!A201,"")</f>
        <v/>
      </c>
      <c r="B3135">
        <f>IF(A3135="","",'Employees'!C18)</f>
        <v/>
      </c>
      <c r="C3135">
        <f>IF(A3135="","",'Ratings'!C201)</f>
        <v/>
      </c>
      <c r="D3135">
        <f>IF(A3135="","",'Ratings'!D201)</f>
        <v/>
      </c>
      <c r="E3135">
        <f>IF(AND('Ratings'!A201&lt;&gt;"",'Ratings'!R5&lt;&gt;""),'Ratings'!R5,"")</f>
        <v/>
      </c>
      <c r="F3135">
        <f>IF(OR(A3135="",'Ratings'!R201=""),"",'Ratings'!R201)</f>
        <v/>
      </c>
      <c r="G3135">
        <f>IF(A3135="","",'Employees'!D18)</f>
        <v/>
      </c>
    </row>
    <row r="3136">
      <c r="A3136">
        <f>IF(AND('Ratings'!A201&lt;&gt;"",'Ratings'!S5&lt;&gt;""),'Ratings'!A201,"")</f>
        <v/>
      </c>
      <c r="B3136">
        <f>IF(A3136="","",'Employees'!C18)</f>
        <v/>
      </c>
      <c r="C3136">
        <f>IF(A3136="","",'Ratings'!C201)</f>
        <v/>
      </c>
      <c r="D3136">
        <f>IF(A3136="","",'Ratings'!D201)</f>
        <v/>
      </c>
      <c r="E3136">
        <f>IF(AND('Ratings'!A201&lt;&gt;"",'Ratings'!S5&lt;&gt;""),'Ratings'!S5,"")</f>
        <v/>
      </c>
      <c r="F3136">
        <f>IF(OR(A3136="",'Ratings'!S201=""),"",'Ratings'!S201)</f>
        <v/>
      </c>
      <c r="G3136">
        <f>IF(A3136="","",'Employees'!D18)</f>
        <v/>
      </c>
    </row>
    <row r="3137">
      <c r="A3137">
        <f>IF(AND('Ratings'!A201&lt;&gt;"",'Ratings'!T5&lt;&gt;""),'Ratings'!A201,"")</f>
        <v/>
      </c>
      <c r="B3137">
        <f>IF(A3137="","",'Employees'!C18)</f>
        <v/>
      </c>
      <c r="C3137">
        <f>IF(A3137="","",'Ratings'!C201)</f>
        <v/>
      </c>
      <c r="D3137">
        <f>IF(A3137="","",'Ratings'!D201)</f>
        <v/>
      </c>
      <c r="E3137">
        <f>IF(AND('Ratings'!A201&lt;&gt;"",'Ratings'!T5&lt;&gt;""),'Ratings'!T5,"")</f>
        <v/>
      </c>
      <c r="F3137">
        <f>IF(OR(A3137="",'Ratings'!T201=""),"",'Ratings'!T201)</f>
        <v/>
      </c>
      <c r="G3137">
        <f>IF(A3137="","",'Employees'!D18)</f>
        <v/>
      </c>
    </row>
    <row r="3138">
      <c r="A3138">
        <f>IF(AND('Ratings'!A202&lt;&gt;"",'Ratings'!E5&lt;&gt;""),'Ratings'!A202,"")</f>
        <v/>
      </c>
      <c r="B3138">
        <f>IF(A3138="","",'Employees'!C18)</f>
        <v/>
      </c>
      <c r="C3138">
        <f>IF(A3138="","",'Ratings'!C202)</f>
        <v/>
      </c>
      <c r="D3138">
        <f>IF(A3138="","",'Ratings'!D202)</f>
        <v/>
      </c>
      <c r="E3138">
        <f>IF(AND('Ratings'!A202&lt;&gt;"",'Ratings'!E5&lt;&gt;""),'Ratings'!E5,"")</f>
        <v/>
      </c>
      <c r="F3138">
        <f>IF(OR(A3138="",'Ratings'!E202=""),"",'Ratings'!E202)</f>
        <v/>
      </c>
      <c r="G3138">
        <f>IF(A3138="","",'Employees'!D18)</f>
        <v/>
      </c>
    </row>
    <row r="3139">
      <c r="A3139">
        <f>IF(AND('Ratings'!A202&lt;&gt;"",'Ratings'!F5&lt;&gt;""),'Ratings'!A202,"")</f>
        <v/>
      </c>
      <c r="B3139">
        <f>IF(A3139="","",'Employees'!C18)</f>
        <v/>
      </c>
      <c r="C3139">
        <f>IF(A3139="","",'Ratings'!C202)</f>
        <v/>
      </c>
      <c r="D3139">
        <f>IF(A3139="","",'Ratings'!D202)</f>
        <v/>
      </c>
      <c r="E3139">
        <f>IF(AND('Ratings'!A202&lt;&gt;"",'Ratings'!F5&lt;&gt;""),'Ratings'!F5,"")</f>
        <v/>
      </c>
      <c r="F3139">
        <f>IF(OR(A3139="",'Ratings'!F202=""),"",'Ratings'!F202)</f>
        <v/>
      </c>
      <c r="G3139">
        <f>IF(A3139="","",'Employees'!D18)</f>
        <v/>
      </c>
    </row>
    <row r="3140">
      <c r="A3140">
        <f>IF(AND('Ratings'!A202&lt;&gt;"",'Ratings'!G5&lt;&gt;""),'Ratings'!A202,"")</f>
        <v/>
      </c>
      <c r="B3140">
        <f>IF(A3140="","",'Employees'!C18)</f>
        <v/>
      </c>
      <c r="C3140">
        <f>IF(A3140="","",'Ratings'!C202)</f>
        <v/>
      </c>
      <c r="D3140">
        <f>IF(A3140="","",'Ratings'!D202)</f>
        <v/>
      </c>
      <c r="E3140">
        <f>IF(AND('Ratings'!A202&lt;&gt;"",'Ratings'!G5&lt;&gt;""),'Ratings'!G5,"")</f>
        <v/>
      </c>
      <c r="F3140">
        <f>IF(OR(A3140="",'Ratings'!G202=""),"",'Ratings'!G202)</f>
        <v/>
      </c>
      <c r="G3140">
        <f>IF(A3140="","",'Employees'!D18)</f>
        <v/>
      </c>
    </row>
    <row r="3141">
      <c r="A3141">
        <f>IF(AND('Ratings'!A202&lt;&gt;"",'Ratings'!H5&lt;&gt;""),'Ratings'!A202,"")</f>
        <v/>
      </c>
      <c r="B3141">
        <f>IF(A3141="","",'Employees'!C18)</f>
        <v/>
      </c>
      <c r="C3141">
        <f>IF(A3141="","",'Ratings'!C202)</f>
        <v/>
      </c>
      <c r="D3141">
        <f>IF(A3141="","",'Ratings'!D202)</f>
        <v/>
      </c>
      <c r="E3141">
        <f>IF(AND('Ratings'!A202&lt;&gt;"",'Ratings'!H5&lt;&gt;""),'Ratings'!H5,"")</f>
        <v/>
      </c>
      <c r="F3141">
        <f>IF(OR(A3141="",'Ratings'!H202=""),"",'Ratings'!H202)</f>
        <v/>
      </c>
      <c r="G3141">
        <f>IF(A3141="","",'Employees'!D18)</f>
        <v/>
      </c>
    </row>
    <row r="3142">
      <c r="A3142">
        <f>IF(AND('Ratings'!A202&lt;&gt;"",'Ratings'!I5&lt;&gt;""),'Ratings'!A202,"")</f>
        <v/>
      </c>
      <c r="B3142">
        <f>IF(A3142="","",'Employees'!C18)</f>
        <v/>
      </c>
      <c r="C3142">
        <f>IF(A3142="","",'Ratings'!C202)</f>
        <v/>
      </c>
      <c r="D3142">
        <f>IF(A3142="","",'Ratings'!D202)</f>
        <v/>
      </c>
      <c r="E3142">
        <f>IF(AND('Ratings'!A202&lt;&gt;"",'Ratings'!I5&lt;&gt;""),'Ratings'!I5,"")</f>
        <v/>
      </c>
      <c r="F3142">
        <f>IF(OR(A3142="",'Ratings'!I202=""),"",'Ratings'!I202)</f>
        <v/>
      </c>
      <c r="G3142">
        <f>IF(A3142="","",'Employees'!D18)</f>
        <v/>
      </c>
    </row>
    <row r="3143">
      <c r="A3143">
        <f>IF(AND('Ratings'!A202&lt;&gt;"",'Ratings'!J5&lt;&gt;""),'Ratings'!A202,"")</f>
        <v/>
      </c>
      <c r="B3143">
        <f>IF(A3143="","",'Employees'!C18)</f>
        <v/>
      </c>
      <c r="C3143">
        <f>IF(A3143="","",'Ratings'!C202)</f>
        <v/>
      </c>
      <c r="D3143">
        <f>IF(A3143="","",'Ratings'!D202)</f>
        <v/>
      </c>
      <c r="E3143">
        <f>IF(AND('Ratings'!A202&lt;&gt;"",'Ratings'!J5&lt;&gt;""),'Ratings'!J5,"")</f>
        <v/>
      </c>
      <c r="F3143">
        <f>IF(OR(A3143="",'Ratings'!J202=""),"",'Ratings'!J202)</f>
        <v/>
      </c>
      <c r="G3143">
        <f>IF(A3143="","",'Employees'!D18)</f>
        <v/>
      </c>
    </row>
    <row r="3144">
      <c r="A3144">
        <f>IF(AND('Ratings'!A202&lt;&gt;"",'Ratings'!K5&lt;&gt;""),'Ratings'!A202,"")</f>
        <v/>
      </c>
      <c r="B3144">
        <f>IF(A3144="","",'Employees'!C18)</f>
        <v/>
      </c>
      <c r="C3144">
        <f>IF(A3144="","",'Ratings'!C202)</f>
        <v/>
      </c>
      <c r="D3144">
        <f>IF(A3144="","",'Ratings'!D202)</f>
        <v/>
      </c>
      <c r="E3144">
        <f>IF(AND('Ratings'!A202&lt;&gt;"",'Ratings'!K5&lt;&gt;""),'Ratings'!K5,"")</f>
        <v/>
      </c>
      <c r="F3144">
        <f>IF(OR(A3144="",'Ratings'!K202=""),"",'Ratings'!K202)</f>
        <v/>
      </c>
      <c r="G3144">
        <f>IF(A3144="","",'Employees'!D18)</f>
        <v/>
      </c>
    </row>
    <row r="3145">
      <c r="A3145">
        <f>IF(AND('Ratings'!A202&lt;&gt;"",'Ratings'!L5&lt;&gt;""),'Ratings'!A202,"")</f>
        <v/>
      </c>
      <c r="B3145">
        <f>IF(A3145="","",'Employees'!C18)</f>
        <v/>
      </c>
      <c r="C3145">
        <f>IF(A3145="","",'Ratings'!C202)</f>
        <v/>
      </c>
      <c r="D3145">
        <f>IF(A3145="","",'Ratings'!D202)</f>
        <v/>
      </c>
      <c r="E3145">
        <f>IF(AND('Ratings'!A202&lt;&gt;"",'Ratings'!L5&lt;&gt;""),'Ratings'!L5,"")</f>
        <v/>
      </c>
      <c r="F3145">
        <f>IF(OR(A3145="",'Ratings'!L202=""),"",'Ratings'!L202)</f>
        <v/>
      </c>
      <c r="G3145">
        <f>IF(A3145="","",'Employees'!D18)</f>
        <v/>
      </c>
    </row>
    <row r="3146">
      <c r="A3146">
        <f>IF(AND('Ratings'!A202&lt;&gt;"",'Ratings'!M5&lt;&gt;""),'Ratings'!A202,"")</f>
        <v/>
      </c>
      <c r="B3146">
        <f>IF(A3146="","",'Employees'!C18)</f>
        <v/>
      </c>
      <c r="C3146">
        <f>IF(A3146="","",'Ratings'!C202)</f>
        <v/>
      </c>
      <c r="D3146">
        <f>IF(A3146="","",'Ratings'!D202)</f>
        <v/>
      </c>
      <c r="E3146">
        <f>IF(AND('Ratings'!A202&lt;&gt;"",'Ratings'!M5&lt;&gt;""),'Ratings'!M5,"")</f>
        <v/>
      </c>
      <c r="F3146">
        <f>IF(OR(A3146="",'Ratings'!M202=""),"",'Ratings'!M202)</f>
        <v/>
      </c>
      <c r="G3146">
        <f>IF(A3146="","",'Employees'!D18)</f>
        <v/>
      </c>
    </row>
    <row r="3147">
      <c r="A3147">
        <f>IF(AND('Ratings'!A202&lt;&gt;"",'Ratings'!N5&lt;&gt;""),'Ratings'!A202,"")</f>
        <v/>
      </c>
      <c r="B3147">
        <f>IF(A3147="","",'Employees'!C18)</f>
        <v/>
      </c>
      <c r="C3147">
        <f>IF(A3147="","",'Ratings'!C202)</f>
        <v/>
      </c>
      <c r="D3147">
        <f>IF(A3147="","",'Ratings'!D202)</f>
        <v/>
      </c>
      <c r="E3147">
        <f>IF(AND('Ratings'!A202&lt;&gt;"",'Ratings'!N5&lt;&gt;""),'Ratings'!N5,"")</f>
        <v/>
      </c>
      <c r="F3147">
        <f>IF(OR(A3147="",'Ratings'!N202=""),"",'Ratings'!N202)</f>
        <v/>
      </c>
      <c r="G3147">
        <f>IF(A3147="","",'Employees'!D18)</f>
        <v/>
      </c>
    </row>
    <row r="3148">
      <c r="A3148">
        <f>IF(AND('Ratings'!A202&lt;&gt;"",'Ratings'!O5&lt;&gt;""),'Ratings'!A202,"")</f>
        <v/>
      </c>
      <c r="B3148">
        <f>IF(A3148="","",'Employees'!C18)</f>
        <v/>
      </c>
      <c r="C3148">
        <f>IF(A3148="","",'Ratings'!C202)</f>
        <v/>
      </c>
      <c r="D3148">
        <f>IF(A3148="","",'Ratings'!D202)</f>
        <v/>
      </c>
      <c r="E3148">
        <f>IF(AND('Ratings'!A202&lt;&gt;"",'Ratings'!O5&lt;&gt;""),'Ratings'!O5,"")</f>
        <v/>
      </c>
      <c r="F3148">
        <f>IF(OR(A3148="",'Ratings'!O202=""),"",'Ratings'!O202)</f>
        <v/>
      </c>
      <c r="G3148">
        <f>IF(A3148="","",'Employees'!D18)</f>
        <v/>
      </c>
    </row>
    <row r="3149">
      <c r="A3149">
        <f>IF(AND('Ratings'!A202&lt;&gt;"",'Ratings'!P5&lt;&gt;""),'Ratings'!A202,"")</f>
        <v/>
      </c>
      <c r="B3149">
        <f>IF(A3149="","",'Employees'!C18)</f>
        <v/>
      </c>
      <c r="C3149">
        <f>IF(A3149="","",'Ratings'!C202)</f>
        <v/>
      </c>
      <c r="D3149">
        <f>IF(A3149="","",'Ratings'!D202)</f>
        <v/>
      </c>
      <c r="E3149">
        <f>IF(AND('Ratings'!A202&lt;&gt;"",'Ratings'!P5&lt;&gt;""),'Ratings'!P5,"")</f>
        <v/>
      </c>
      <c r="F3149">
        <f>IF(OR(A3149="",'Ratings'!P202=""),"",'Ratings'!P202)</f>
        <v/>
      </c>
      <c r="G3149">
        <f>IF(A3149="","",'Employees'!D18)</f>
        <v/>
      </c>
    </row>
    <row r="3150">
      <c r="A3150">
        <f>IF(AND('Ratings'!A202&lt;&gt;"",'Ratings'!Q5&lt;&gt;""),'Ratings'!A202,"")</f>
        <v/>
      </c>
      <c r="B3150">
        <f>IF(A3150="","",'Employees'!C18)</f>
        <v/>
      </c>
      <c r="C3150">
        <f>IF(A3150="","",'Ratings'!C202)</f>
        <v/>
      </c>
      <c r="D3150">
        <f>IF(A3150="","",'Ratings'!D202)</f>
        <v/>
      </c>
      <c r="E3150">
        <f>IF(AND('Ratings'!A202&lt;&gt;"",'Ratings'!Q5&lt;&gt;""),'Ratings'!Q5,"")</f>
        <v/>
      </c>
      <c r="F3150">
        <f>IF(OR(A3150="",'Ratings'!Q202=""),"",'Ratings'!Q202)</f>
        <v/>
      </c>
      <c r="G3150">
        <f>IF(A3150="","",'Employees'!D18)</f>
        <v/>
      </c>
    </row>
    <row r="3151">
      <c r="A3151">
        <f>IF(AND('Ratings'!A202&lt;&gt;"",'Ratings'!R5&lt;&gt;""),'Ratings'!A202,"")</f>
        <v/>
      </c>
      <c r="B3151">
        <f>IF(A3151="","",'Employees'!C18)</f>
        <v/>
      </c>
      <c r="C3151">
        <f>IF(A3151="","",'Ratings'!C202)</f>
        <v/>
      </c>
      <c r="D3151">
        <f>IF(A3151="","",'Ratings'!D202)</f>
        <v/>
      </c>
      <c r="E3151">
        <f>IF(AND('Ratings'!A202&lt;&gt;"",'Ratings'!R5&lt;&gt;""),'Ratings'!R5,"")</f>
        <v/>
      </c>
      <c r="F3151">
        <f>IF(OR(A3151="",'Ratings'!R202=""),"",'Ratings'!R202)</f>
        <v/>
      </c>
      <c r="G3151">
        <f>IF(A3151="","",'Employees'!D18)</f>
        <v/>
      </c>
    </row>
    <row r="3152">
      <c r="A3152">
        <f>IF(AND('Ratings'!A202&lt;&gt;"",'Ratings'!S5&lt;&gt;""),'Ratings'!A202,"")</f>
        <v/>
      </c>
      <c r="B3152">
        <f>IF(A3152="","",'Employees'!C18)</f>
        <v/>
      </c>
      <c r="C3152">
        <f>IF(A3152="","",'Ratings'!C202)</f>
        <v/>
      </c>
      <c r="D3152">
        <f>IF(A3152="","",'Ratings'!D202)</f>
        <v/>
      </c>
      <c r="E3152">
        <f>IF(AND('Ratings'!A202&lt;&gt;"",'Ratings'!S5&lt;&gt;""),'Ratings'!S5,"")</f>
        <v/>
      </c>
      <c r="F3152">
        <f>IF(OR(A3152="",'Ratings'!S202=""),"",'Ratings'!S202)</f>
        <v/>
      </c>
      <c r="G3152">
        <f>IF(A3152="","",'Employees'!D18)</f>
        <v/>
      </c>
    </row>
    <row r="3153">
      <c r="A3153">
        <f>IF(AND('Ratings'!A202&lt;&gt;"",'Ratings'!T5&lt;&gt;""),'Ratings'!A202,"")</f>
        <v/>
      </c>
      <c r="B3153">
        <f>IF(A3153="","",'Employees'!C18)</f>
        <v/>
      </c>
      <c r="C3153">
        <f>IF(A3153="","",'Ratings'!C202)</f>
        <v/>
      </c>
      <c r="D3153">
        <f>IF(A3153="","",'Ratings'!D202)</f>
        <v/>
      </c>
      <c r="E3153">
        <f>IF(AND('Ratings'!A202&lt;&gt;"",'Ratings'!T5&lt;&gt;""),'Ratings'!T5,"")</f>
        <v/>
      </c>
      <c r="F3153">
        <f>IF(OR(A3153="",'Ratings'!T202=""),"",'Ratings'!T202)</f>
        <v/>
      </c>
      <c r="G3153">
        <f>IF(A3153="","",'Employees'!D18)</f>
        <v/>
      </c>
    </row>
    <row r="3154">
      <c r="A3154">
        <f>IF(AND('Ratings'!A203&lt;&gt;"",'Ratings'!E5&lt;&gt;""),'Ratings'!A203,"")</f>
        <v/>
      </c>
      <c r="B3154">
        <f>IF(A3154="","",'Employees'!C18)</f>
        <v/>
      </c>
      <c r="C3154">
        <f>IF(A3154="","",'Ratings'!C203)</f>
        <v/>
      </c>
      <c r="D3154">
        <f>IF(A3154="","",'Ratings'!D203)</f>
        <v/>
      </c>
      <c r="E3154">
        <f>IF(AND('Ratings'!A203&lt;&gt;"",'Ratings'!E5&lt;&gt;""),'Ratings'!E5,"")</f>
        <v/>
      </c>
      <c r="F3154">
        <f>IF(OR(A3154="",'Ratings'!E203=""),"",'Ratings'!E203)</f>
        <v/>
      </c>
      <c r="G3154">
        <f>IF(A3154="","",'Employees'!D18)</f>
        <v/>
      </c>
    </row>
    <row r="3155">
      <c r="A3155">
        <f>IF(AND('Ratings'!A203&lt;&gt;"",'Ratings'!F5&lt;&gt;""),'Ratings'!A203,"")</f>
        <v/>
      </c>
      <c r="B3155">
        <f>IF(A3155="","",'Employees'!C18)</f>
        <v/>
      </c>
      <c r="C3155">
        <f>IF(A3155="","",'Ratings'!C203)</f>
        <v/>
      </c>
      <c r="D3155">
        <f>IF(A3155="","",'Ratings'!D203)</f>
        <v/>
      </c>
      <c r="E3155">
        <f>IF(AND('Ratings'!A203&lt;&gt;"",'Ratings'!F5&lt;&gt;""),'Ratings'!F5,"")</f>
        <v/>
      </c>
      <c r="F3155">
        <f>IF(OR(A3155="",'Ratings'!F203=""),"",'Ratings'!F203)</f>
        <v/>
      </c>
      <c r="G3155">
        <f>IF(A3155="","",'Employees'!D18)</f>
        <v/>
      </c>
    </row>
    <row r="3156">
      <c r="A3156">
        <f>IF(AND('Ratings'!A203&lt;&gt;"",'Ratings'!G5&lt;&gt;""),'Ratings'!A203,"")</f>
        <v/>
      </c>
      <c r="B3156">
        <f>IF(A3156="","",'Employees'!C18)</f>
        <v/>
      </c>
      <c r="C3156">
        <f>IF(A3156="","",'Ratings'!C203)</f>
        <v/>
      </c>
      <c r="D3156">
        <f>IF(A3156="","",'Ratings'!D203)</f>
        <v/>
      </c>
      <c r="E3156">
        <f>IF(AND('Ratings'!A203&lt;&gt;"",'Ratings'!G5&lt;&gt;""),'Ratings'!G5,"")</f>
        <v/>
      </c>
      <c r="F3156">
        <f>IF(OR(A3156="",'Ratings'!G203=""),"",'Ratings'!G203)</f>
        <v/>
      </c>
      <c r="G3156">
        <f>IF(A3156="","",'Employees'!D18)</f>
        <v/>
      </c>
    </row>
    <row r="3157">
      <c r="A3157">
        <f>IF(AND('Ratings'!A203&lt;&gt;"",'Ratings'!H5&lt;&gt;""),'Ratings'!A203,"")</f>
        <v/>
      </c>
      <c r="B3157">
        <f>IF(A3157="","",'Employees'!C18)</f>
        <v/>
      </c>
      <c r="C3157">
        <f>IF(A3157="","",'Ratings'!C203)</f>
        <v/>
      </c>
      <c r="D3157">
        <f>IF(A3157="","",'Ratings'!D203)</f>
        <v/>
      </c>
      <c r="E3157">
        <f>IF(AND('Ratings'!A203&lt;&gt;"",'Ratings'!H5&lt;&gt;""),'Ratings'!H5,"")</f>
        <v/>
      </c>
      <c r="F3157">
        <f>IF(OR(A3157="",'Ratings'!H203=""),"",'Ratings'!H203)</f>
        <v/>
      </c>
      <c r="G3157">
        <f>IF(A3157="","",'Employees'!D18)</f>
        <v/>
      </c>
    </row>
    <row r="3158">
      <c r="A3158">
        <f>IF(AND('Ratings'!A203&lt;&gt;"",'Ratings'!I5&lt;&gt;""),'Ratings'!A203,"")</f>
        <v/>
      </c>
      <c r="B3158">
        <f>IF(A3158="","",'Employees'!C18)</f>
        <v/>
      </c>
      <c r="C3158">
        <f>IF(A3158="","",'Ratings'!C203)</f>
        <v/>
      </c>
      <c r="D3158">
        <f>IF(A3158="","",'Ratings'!D203)</f>
        <v/>
      </c>
      <c r="E3158">
        <f>IF(AND('Ratings'!A203&lt;&gt;"",'Ratings'!I5&lt;&gt;""),'Ratings'!I5,"")</f>
        <v/>
      </c>
      <c r="F3158">
        <f>IF(OR(A3158="",'Ratings'!I203=""),"",'Ratings'!I203)</f>
        <v/>
      </c>
      <c r="G3158">
        <f>IF(A3158="","",'Employees'!D18)</f>
        <v/>
      </c>
    </row>
    <row r="3159">
      <c r="A3159">
        <f>IF(AND('Ratings'!A203&lt;&gt;"",'Ratings'!J5&lt;&gt;""),'Ratings'!A203,"")</f>
        <v/>
      </c>
      <c r="B3159">
        <f>IF(A3159="","",'Employees'!C18)</f>
        <v/>
      </c>
      <c r="C3159">
        <f>IF(A3159="","",'Ratings'!C203)</f>
        <v/>
      </c>
      <c r="D3159">
        <f>IF(A3159="","",'Ratings'!D203)</f>
        <v/>
      </c>
      <c r="E3159">
        <f>IF(AND('Ratings'!A203&lt;&gt;"",'Ratings'!J5&lt;&gt;""),'Ratings'!J5,"")</f>
        <v/>
      </c>
      <c r="F3159">
        <f>IF(OR(A3159="",'Ratings'!J203=""),"",'Ratings'!J203)</f>
        <v/>
      </c>
      <c r="G3159">
        <f>IF(A3159="","",'Employees'!D18)</f>
        <v/>
      </c>
    </row>
    <row r="3160">
      <c r="A3160">
        <f>IF(AND('Ratings'!A203&lt;&gt;"",'Ratings'!K5&lt;&gt;""),'Ratings'!A203,"")</f>
        <v/>
      </c>
      <c r="B3160">
        <f>IF(A3160="","",'Employees'!C18)</f>
        <v/>
      </c>
      <c r="C3160">
        <f>IF(A3160="","",'Ratings'!C203)</f>
        <v/>
      </c>
      <c r="D3160">
        <f>IF(A3160="","",'Ratings'!D203)</f>
        <v/>
      </c>
      <c r="E3160">
        <f>IF(AND('Ratings'!A203&lt;&gt;"",'Ratings'!K5&lt;&gt;""),'Ratings'!K5,"")</f>
        <v/>
      </c>
      <c r="F3160">
        <f>IF(OR(A3160="",'Ratings'!K203=""),"",'Ratings'!K203)</f>
        <v/>
      </c>
      <c r="G3160">
        <f>IF(A3160="","",'Employees'!D18)</f>
        <v/>
      </c>
    </row>
    <row r="3161">
      <c r="A3161">
        <f>IF(AND('Ratings'!A203&lt;&gt;"",'Ratings'!L5&lt;&gt;""),'Ratings'!A203,"")</f>
        <v/>
      </c>
      <c r="B3161">
        <f>IF(A3161="","",'Employees'!C18)</f>
        <v/>
      </c>
      <c r="C3161">
        <f>IF(A3161="","",'Ratings'!C203)</f>
        <v/>
      </c>
      <c r="D3161">
        <f>IF(A3161="","",'Ratings'!D203)</f>
        <v/>
      </c>
      <c r="E3161">
        <f>IF(AND('Ratings'!A203&lt;&gt;"",'Ratings'!L5&lt;&gt;""),'Ratings'!L5,"")</f>
        <v/>
      </c>
      <c r="F3161">
        <f>IF(OR(A3161="",'Ratings'!L203=""),"",'Ratings'!L203)</f>
        <v/>
      </c>
      <c r="G3161">
        <f>IF(A3161="","",'Employees'!D18)</f>
        <v/>
      </c>
    </row>
    <row r="3162">
      <c r="A3162">
        <f>IF(AND('Ratings'!A203&lt;&gt;"",'Ratings'!M5&lt;&gt;""),'Ratings'!A203,"")</f>
        <v/>
      </c>
      <c r="B3162">
        <f>IF(A3162="","",'Employees'!C18)</f>
        <v/>
      </c>
      <c r="C3162">
        <f>IF(A3162="","",'Ratings'!C203)</f>
        <v/>
      </c>
      <c r="D3162">
        <f>IF(A3162="","",'Ratings'!D203)</f>
        <v/>
      </c>
      <c r="E3162">
        <f>IF(AND('Ratings'!A203&lt;&gt;"",'Ratings'!M5&lt;&gt;""),'Ratings'!M5,"")</f>
        <v/>
      </c>
      <c r="F3162">
        <f>IF(OR(A3162="",'Ratings'!M203=""),"",'Ratings'!M203)</f>
        <v/>
      </c>
      <c r="G3162">
        <f>IF(A3162="","",'Employees'!D18)</f>
        <v/>
      </c>
    </row>
    <row r="3163">
      <c r="A3163">
        <f>IF(AND('Ratings'!A203&lt;&gt;"",'Ratings'!N5&lt;&gt;""),'Ratings'!A203,"")</f>
        <v/>
      </c>
      <c r="B3163">
        <f>IF(A3163="","",'Employees'!C18)</f>
        <v/>
      </c>
      <c r="C3163">
        <f>IF(A3163="","",'Ratings'!C203)</f>
        <v/>
      </c>
      <c r="D3163">
        <f>IF(A3163="","",'Ratings'!D203)</f>
        <v/>
      </c>
      <c r="E3163">
        <f>IF(AND('Ratings'!A203&lt;&gt;"",'Ratings'!N5&lt;&gt;""),'Ratings'!N5,"")</f>
        <v/>
      </c>
      <c r="F3163">
        <f>IF(OR(A3163="",'Ratings'!N203=""),"",'Ratings'!N203)</f>
        <v/>
      </c>
      <c r="G3163">
        <f>IF(A3163="","",'Employees'!D18)</f>
        <v/>
      </c>
    </row>
    <row r="3164">
      <c r="A3164">
        <f>IF(AND('Ratings'!A203&lt;&gt;"",'Ratings'!O5&lt;&gt;""),'Ratings'!A203,"")</f>
        <v/>
      </c>
      <c r="B3164">
        <f>IF(A3164="","",'Employees'!C18)</f>
        <v/>
      </c>
      <c r="C3164">
        <f>IF(A3164="","",'Ratings'!C203)</f>
        <v/>
      </c>
      <c r="D3164">
        <f>IF(A3164="","",'Ratings'!D203)</f>
        <v/>
      </c>
      <c r="E3164">
        <f>IF(AND('Ratings'!A203&lt;&gt;"",'Ratings'!O5&lt;&gt;""),'Ratings'!O5,"")</f>
        <v/>
      </c>
      <c r="F3164">
        <f>IF(OR(A3164="",'Ratings'!O203=""),"",'Ratings'!O203)</f>
        <v/>
      </c>
      <c r="G3164">
        <f>IF(A3164="","",'Employees'!D18)</f>
        <v/>
      </c>
    </row>
    <row r="3165">
      <c r="A3165">
        <f>IF(AND('Ratings'!A203&lt;&gt;"",'Ratings'!P5&lt;&gt;""),'Ratings'!A203,"")</f>
        <v/>
      </c>
      <c r="B3165">
        <f>IF(A3165="","",'Employees'!C18)</f>
        <v/>
      </c>
      <c r="C3165">
        <f>IF(A3165="","",'Ratings'!C203)</f>
        <v/>
      </c>
      <c r="D3165">
        <f>IF(A3165="","",'Ratings'!D203)</f>
        <v/>
      </c>
      <c r="E3165">
        <f>IF(AND('Ratings'!A203&lt;&gt;"",'Ratings'!P5&lt;&gt;""),'Ratings'!P5,"")</f>
        <v/>
      </c>
      <c r="F3165">
        <f>IF(OR(A3165="",'Ratings'!P203=""),"",'Ratings'!P203)</f>
        <v/>
      </c>
      <c r="G3165">
        <f>IF(A3165="","",'Employees'!D18)</f>
        <v/>
      </c>
    </row>
    <row r="3166">
      <c r="A3166">
        <f>IF(AND('Ratings'!A203&lt;&gt;"",'Ratings'!Q5&lt;&gt;""),'Ratings'!A203,"")</f>
        <v/>
      </c>
      <c r="B3166">
        <f>IF(A3166="","",'Employees'!C18)</f>
        <v/>
      </c>
      <c r="C3166">
        <f>IF(A3166="","",'Ratings'!C203)</f>
        <v/>
      </c>
      <c r="D3166">
        <f>IF(A3166="","",'Ratings'!D203)</f>
        <v/>
      </c>
      <c r="E3166">
        <f>IF(AND('Ratings'!A203&lt;&gt;"",'Ratings'!Q5&lt;&gt;""),'Ratings'!Q5,"")</f>
        <v/>
      </c>
      <c r="F3166">
        <f>IF(OR(A3166="",'Ratings'!Q203=""),"",'Ratings'!Q203)</f>
        <v/>
      </c>
      <c r="G3166">
        <f>IF(A3166="","",'Employees'!D18)</f>
        <v/>
      </c>
    </row>
    <row r="3167">
      <c r="A3167">
        <f>IF(AND('Ratings'!A203&lt;&gt;"",'Ratings'!R5&lt;&gt;""),'Ratings'!A203,"")</f>
        <v/>
      </c>
      <c r="B3167">
        <f>IF(A3167="","",'Employees'!C18)</f>
        <v/>
      </c>
      <c r="C3167">
        <f>IF(A3167="","",'Ratings'!C203)</f>
        <v/>
      </c>
      <c r="D3167">
        <f>IF(A3167="","",'Ratings'!D203)</f>
        <v/>
      </c>
      <c r="E3167">
        <f>IF(AND('Ratings'!A203&lt;&gt;"",'Ratings'!R5&lt;&gt;""),'Ratings'!R5,"")</f>
        <v/>
      </c>
      <c r="F3167">
        <f>IF(OR(A3167="",'Ratings'!R203=""),"",'Ratings'!R203)</f>
        <v/>
      </c>
      <c r="G3167">
        <f>IF(A3167="","",'Employees'!D18)</f>
        <v/>
      </c>
    </row>
    <row r="3168">
      <c r="A3168">
        <f>IF(AND('Ratings'!A203&lt;&gt;"",'Ratings'!S5&lt;&gt;""),'Ratings'!A203,"")</f>
        <v/>
      </c>
      <c r="B3168">
        <f>IF(A3168="","",'Employees'!C18)</f>
        <v/>
      </c>
      <c r="C3168">
        <f>IF(A3168="","",'Ratings'!C203)</f>
        <v/>
      </c>
      <c r="D3168">
        <f>IF(A3168="","",'Ratings'!D203)</f>
        <v/>
      </c>
      <c r="E3168">
        <f>IF(AND('Ratings'!A203&lt;&gt;"",'Ratings'!S5&lt;&gt;""),'Ratings'!S5,"")</f>
        <v/>
      </c>
      <c r="F3168">
        <f>IF(OR(A3168="",'Ratings'!S203=""),"",'Ratings'!S203)</f>
        <v/>
      </c>
      <c r="G3168">
        <f>IF(A3168="","",'Employees'!D18)</f>
        <v/>
      </c>
    </row>
    <row r="3169">
      <c r="A3169">
        <f>IF(AND('Ratings'!A203&lt;&gt;"",'Ratings'!T5&lt;&gt;""),'Ratings'!A203,"")</f>
        <v/>
      </c>
      <c r="B3169">
        <f>IF(A3169="","",'Employees'!C18)</f>
        <v/>
      </c>
      <c r="C3169">
        <f>IF(A3169="","",'Ratings'!C203)</f>
        <v/>
      </c>
      <c r="D3169">
        <f>IF(A3169="","",'Ratings'!D203)</f>
        <v/>
      </c>
      <c r="E3169">
        <f>IF(AND('Ratings'!A203&lt;&gt;"",'Ratings'!T5&lt;&gt;""),'Ratings'!T5,"")</f>
        <v/>
      </c>
      <c r="F3169">
        <f>IF(OR(A3169="",'Ratings'!T203=""),"",'Ratings'!T203)</f>
        <v/>
      </c>
      <c r="G3169">
        <f>IF(A3169="","",'Employees'!D18)</f>
        <v/>
      </c>
    </row>
    <row r="3170">
      <c r="A3170">
        <f>IF(AND('Ratings'!A204&lt;&gt;"",'Ratings'!E5&lt;&gt;""),'Ratings'!A204,"")</f>
        <v/>
      </c>
      <c r="B3170">
        <f>IF(A3170="","",'Employees'!C18)</f>
        <v/>
      </c>
      <c r="C3170">
        <f>IF(A3170="","",'Ratings'!C204)</f>
        <v/>
      </c>
      <c r="D3170">
        <f>IF(A3170="","",'Ratings'!D204)</f>
        <v/>
      </c>
      <c r="E3170">
        <f>IF(AND('Ratings'!A204&lt;&gt;"",'Ratings'!E5&lt;&gt;""),'Ratings'!E5,"")</f>
        <v/>
      </c>
      <c r="F3170">
        <f>IF(OR(A3170="",'Ratings'!E204=""),"",'Ratings'!E204)</f>
        <v/>
      </c>
      <c r="G3170">
        <f>IF(A3170="","",'Employees'!D18)</f>
        <v/>
      </c>
    </row>
    <row r="3171">
      <c r="A3171">
        <f>IF(AND('Ratings'!A204&lt;&gt;"",'Ratings'!F5&lt;&gt;""),'Ratings'!A204,"")</f>
        <v/>
      </c>
      <c r="B3171">
        <f>IF(A3171="","",'Employees'!C18)</f>
        <v/>
      </c>
      <c r="C3171">
        <f>IF(A3171="","",'Ratings'!C204)</f>
        <v/>
      </c>
      <c r="D3171">
        <f>IF(A3171="","",'Ratings'!D204)</f>
        <v/>
      </c>
      <c r="E3171">
        <f>IF(AND('Ratings'!A204&lt;&gt;"",'Ratings'!F5&lt;&gt;""),'Ratings'!F5,"")</f>
        <v/>
      </c>
      <c r="F3171">
        <f>IF(OR(A3171="",'Ratings'!F204=""),"",'Ratings'!F204)</f>
        <v/>
      </c>
      <c r="G3171">
        <f>IF(A3171="","",'Employees'!D18)</f>
        <v/>
      </c>
    </row>
    <row r="3172">
      <c r="A3172">
        <f>IF(AND('Ratings'!A204&lt;&gt;"",'Ratings'!G5&lt;&gt;""),'Ratings'!A204,"")</f>
        <v/>
      </c>
      <c r="B3172">
        <f>IF(A3172="","",'Employees'!C18)</f>
        <v/>
      </c>
      <c r="C3172">
        <f>IF(A3172="","",'Ratings'!C204)</f>
        <v/>
      </c>
      <c r="D3172">
        <f>IF(A3172="","",'Ratings'!D204)</f>
        <v/>
      </c>
      <c r="E3172">
        <f>IF(AND('Ratings'!A204&lt;&gt;"",'Ratings'!G5&lt;&gt;""),'Ratings'!G5,"")</f>
        <v/>
      </c>
      <c r="F3172">
        <f>IF(OR(A3172="",'Ratings'!G204=""),"",'Ratings'!G204)</f>
        <v/>
      </c>
      <c r="G3172">
        <f>IF(A3172="","",'Employees'!D18)</f>
        <v/>
      </c>
    </row>
    <row r="3173">
      <c r="A3173">
        <f>IF(AND('Ratings'!A204&lt;&gt;"",'Ratings'!H5&lt;&gt;""),'Ratings'!A204,"")</f>
        <v/>
      </c>
      <c r="B3173">
        <f>IF(A3173="","",'Employees'!C18)</f>
        <v/>
      </c>
      <c r="C3173">
        <f>IF(A3173="","",'Ratings'!C204)</f>
        <v/>
      </c>
      <c r="D3173">
        <f>IF(A3173="","",'Ratings'!D204)</f>
        <v/>
      </c>
      <c r="E3173">
        <f>IF(AND('Ratings'!A204&lt;&gt;"",'Ratings'!H5&lt;&gt;""),'Ratings'!H5,"")</f>
        <v/>
      </c>
      <c r="F3173">
        <f>IF(OR(A3173="",'Ratings'!H204=""),"",'Ratings'!H204)</f>
        <v/>
      </c>
      <c r="G3173">
        <f>IF(A3173="","",'Employees'!D18)</f>
        <v/>
      </c>
    </row>
    <row r="3174">
      <c r="A3174">
        <f>IF(AND('Ratings'!A204&lt;&gt;"",'Ratings'!I5&lt;&gt;""),'Ratings'!A204,"")</f>
        <v/>
      </c>
      <c r="B3174">
        <f>IF(A3174="","",'Employees'!C18)</f>
        <v/>
      </c>
      <c r="C3174">
        <f>IF(A3174="","",'Ratings'!C204)</f>
        <v/>
      </c>
      <c r="D3174">
        <f>IF(A3174="","",'Ratings'!D204)</f>
        <v/>
      </c>
      <c r="E3174">
        <f>IF(AND('Ratings'!A204&lt;&gt;"",'Ratings'!I5&lt;&gt;""),'Ratings'!I5,"")</f>
        <v/>
      </c>
      <c r="F3174">
        <f>IF(OR(A3174="",'Ratings'!I204=""),"",'Ratings'!I204)</f>
        <v/>
      </c>
      <c r="G3174">
        <f>IF(A3174="","",'Employees'!D18)</f>
        <v/>
      </c>
    </row>
    <row r="3175">
      <c r="A3175">
        <f>IF(AND('Ratings'!A204&lt;&gt;"",'Ratings'!J5&lt;&gt;""),'Ratings'!A204,"")</f>
        <v/>
      </c>
      <c r="B3175">
        <f>IF(A3175="","",'Employees'!C18)</f>
        <v/>
      </c>
      <c r="C3175">
        <f>IF(A3175="","",'Ratings'!C204)</f>
        <v/>
      </c>
      <c r="D3175">
        <f>IF(A3175="","",'Ratings'!D204)</f>
        <v/>
      </c>
      <c r="E3175">
        <f>IF(AND('Ratings'!A204&lt;&gt;"",'Ratings'!J5&lt;&gt;""),'Ratings'!J5,"")</f>
        <v/>
      </c>
      <c r="F3175">
        <f>IF(OR(A3175="",'Ratings'!J204=""),"",'Ratings'!J204)</f>
        <v/>
      </c>
      <c r="G3175">
        <f>IF(A3175="","",'Employees'!D18)</f>
        <v/>
      </c>
    </row>
    <row r="3176">
      <c r="A3176">
        <f>IF(AND('Ratings'!A204&lt;&gt;"",'Ratings'!K5&lt;&gt;""),'Ratings'!A204,"")</f>
        <v/>
      </c>
      <c r="B3176">
        <f>IF(A3176="","",'Employees'!C18)</f>
        <v/>
      </c>
      <c r="C3176">
        <f>IF(A3176="","",'Ratings'!C204)</f>
        <v/>
      </c>
      <c r="D3176">
        <f>IF(A3176="","",'Ratings'!D204)</f>
        <v/>
      </c>
      <c r="E3176">
        <f>IF(AND('Ratings'!A204&lt;&gt;"",'Ratings'!K5&lt;&gt;""),'Ratings'!K5,"")</f>
        <v/>
      </c>
      <c r="F3176">
        <f>IF(OR(A3176="",'Ratings'!K204=""),"",'Ratings'!K204)</f>
        <v/>
      </c>
      <c r="G3176">
        <f>IF(A3176="","",'Employees'!D18)</f>
        <v/>
      </c>
    </row>
    <row r="3177">
      <c r="A3177">
        <f>IF(AND('Ratings'!A204&lt;&gt;"",'Ratings'!L5&lt;&gt;""),'Ratings'!A204,"")</f>
        <v/>
      </c>
      <c r="B3177">
        <f>IF(A3177="","",'Employees'!C18)</f>
        <v/>
      </c>
      <c r="C3177">
        <f>IF(A3177="","",'Ratings'!C204)</f>
        <v/>
      </c>
      <c r="D3177">
        <f>IF(A3177="","",'Ratings'!D204)</f>
        <v/>
      </c>
      <c r="E3177">
        <f>IF(AND('Ratings'!A204&lt;&gt;"",'Ratings'!L5&lt;&gt;""),'Ratings'!L5,"")</f>
        <v/>
      </c>
      <c r="F3177">
        <f>IF(OR(A3177="",'Ratings'!L204=""),"",'Ratings'!L204)</f>
        <v/>
      </c>
      <c r="G3177">
        <f>IF(A3177="","",'Employees'!D18)</f>
        <v/>
      </c>
    </row>
    <row r="3178">
      <c r="A3178">
        <f>IF(AND('Ratings'!A204&lt;&gt;"",'Ratings'!M5&lt;&gt;""),'Ratings'!A204,"")</f>
        <v/>
      </c>
      <c r="B3178">
        <f>IF(A3178="","",'Employees'!C18)</f>
        <v/>
      </c>
      <c r="C3178">
        <f>IF(A3178="","",'Ratings'!C204)</f>
        <v/>
      </c>
      <c r="D3178">
        <f>IF(A3178="","",'Ratings'!D204)</f>
        <v/>
      </c>
      <c r="E3178">
        <f>IF(AND('Ratings'!A204&lt;&gt;"",'Ratings'!M5&lt;&gt;""),'Ratings'!M5,"")</f>
        <v/>
      </c>
      <c r="F3178">
        <f>IF(OR(A3178="",'Ratings'!M204=""),"",'Ratings'!M204)</f>
        <v/>
      </c>
      <c r="G3178">
        <f>IF(A3178="","",'Employees'!D18)</f>
        <v/>
      </c>
    </row>
    <row r="3179">
      <c r="A3179">
        <f>IF(AND('Ratings'!A204&lt;&gt;"",'Ratings'!N5&lt;&gt;""),'Ratings'!A204,"")</f>
        <v/>
      </c>
      <c r="B3179">
        <f>IF(A3179="","",'Employees'!C18)</f>
        <v/>
      </c>
      <c r="C3179">
        <f>IF(A3179="","",'Ratings'!C204)</f>
        <v/>
      </c>
      <c r="D3179">
        <f>IF(A3179="","",'Ratings'!D204)</f>
        <v/>
      </c>
      <c r="E3179">
        <f>IF(AND('Ratings'!A204&lt;&gt;"",'Ratings'!N5&lt;&gt;""),'Ratings'!N5,"")</f>
        <v/>
      </c>
      <c r="F3179">
        <f>IF(OR(A3179="",'Ratings'!N204=""),"",'Ratings'!N204)</f>
        <v/>
      </c>
      <c r="G3179">
        <f>IF(A3179="","",'Employees'!D18)</f>
        <v/>
      </c>
    </row>
    <row r="3180">
      <c r="A3180">
        <f>IF(AND('Ratings'!A204&lt;&gt;"",'Ratings'!O5&lt;&gt;""),'Ratings'!A204,"")</f>
        <v/>
      </c>
      <c r="B3180">
        <f>IF(A3180="","",'Employees'!C18)</f>
        <v/>
      </c>
      <c r="C3180">
        <f>IF(A3180="","",'Ratings'!C204)</f>
        <v/>
      </c>
      <c r="D3180">
        <f>IF(A3180="","",'Ratings'!D204)</f>
        <v/>
      </c>
      <c r="E3180">
        <f>IF(AND('Ratings'!A204&lt;&gt;"",'Ratings'!O5&lt;&gt;""),'Ratings'!O5,"")</f>
        <v/>
      </c>
      <c r="F3180">
        <f>IF(OR(A3180="",'Ratings'!O204=""),"",'Ratings'!O204)</f>
        <v/>
      </c>
      <c r="G3180">
        <f>IF(A3180="","",'Employees'!D18)</f>
        <v/>
      </c>
    </row>
    <row r="3181">
      <c r="A3181">
        <f>IF(AND('Ratings'!A204&lt;&gt;"",'Ratings'!P5&lt;&gt;""),'Ratings'!A204,"")</f>
        <v/>
      </c>
      <c r="B3181">
        <f>IF(A3181="","",'Employees'!C18)</f>
        <v/>
      </c>
      <c r="C3181">
        <f>IF(A3181="","",'Ratings'!C204)</f>
        <v/>
      </c>
      <c r="D3181">
        <f>IF(A3181="","",'Ratings'!D204)</f>
        <v/>
      </c>
      <c r="E3181">
        <f>IF(AND('Ratings'!A204&lt;&gt;"",'Ratings'!P5&lt;&gt;""),'Ratings'!P5,"")</f>
        <v/>
      </c>
      <c r="F3181">
        <f>IF(OR(A3181="",'Ratings'!P204=""),"",'Ratings'!P204)</f>
        <v/>
      </c>
      <c r="G3181">
        <f>IF(A3181="","",'Employees'!D18)</f>
        <v/>
      </c>
    </row>
    <row r="3182">
      <c r="A3182">
        <f>IF(AND('Ratings'!A204&lt;&gt;"",'Ratings'!Q5&lt;&gt;""),'Ratings'!A204,"")</f>
        <v/>
      </c>
      <c r="B3182">
        <f>IF(A3182="","",'Employees'!C18)</f>
        <v/>
      </c>
      <c r="C3182">
        <f>IF(A3182="","",'Ratings'!C204)</f>
        <v/>
      </c>
      <c r="D3182">
        <f>IF(A3182="","",'Ratings'!D204)</f>
        <v/>
      </c>
      <c r="E3182">
        <f>IF(AND('Ratings'!A204&lt;&gt;"",'Ratings'!Q5&lt;&gt;""),'Ratings'!Q5,"")</f>
        <v/>
      </c>
      <c r="F3182">
        <f>IF(OR(A3182="",'Ratings'!Q204=""),"",'Ratings'!Q204)</f>
        <v/>
      </c>
      <c r="G3182">
        <f>IF(A3182="","",'Employees'!D18)</f>
        <v/>
      </c>
    </row>
    <row r="3183">
      <c r="A3183">
        <f>IF(AND('Ratings'!A204&lt;&gt;"",'Ratings'!R5&lt;&gt;""),'Ratings'!A204,"")</f>
        <v/>
      </c>
      <c r="B3183">
        <f>IF(A3183="","",'Employees'!C18)</f>
        <v/>
      </c>
      <c r="C3183">
        <f>IF(A3183="","",'Ratings'!C204)</f>
        <v/>
      </c>
      <c r="D3183">
        <f>IF(A3183="","",'Ratings'!D204)</f>
        <v/>
      </c>
      <c r="E3183">
        <f>IF(AND('Ratings'!A204&lt;&gt;"",'Ratings'!R5&lt;&gt;""),'Ratings'!R5,"")</f>
        <v/>
      </c>
      <c r="F3183">
        <f>IF(OR(A3183="",'Ratings'!R204=""),"",'Ratings'!R204)</f>
        <v/>
      </c>
      <c r="G3183">
        <f>IF(A3183="","",'Employees'!D18)</f>
        <v/>
      </c>
    </row>
    <row r="3184">
      <c r="A3184">
        <f>IF(AND('Ratings'!A204&lt;&gt;"",'Ratings'!S5&lt;&gt;""),'Ratings'!A204,"")</f>
        <v/>
      </c>
      <c r="B3184">
        <f>IF(A3184="","",'Employees'!C18)</f>
        <v/>
      </c>
      <c r="C3184">
        <f>IF(A3184="","",'Ratings'!C204)</f>
        <v/>
      </c>
      <c r="D3184">
        <f>IF(A3184="","",'Ratings'!D204)</f>
        <v/>
      </c>
      <c r="E3184">
        <f>IF(AND('Ratings'!A204&lt;&gt;"",'Ratings'!S5&lt;&gt;""),'Ratings'!S5,"")</f>
        <v/>
      </c>
      <c r="F3184">
        <f>IF(OR(A3184="",'Ratings'!S204=""),"",'Ratings'!S204)</f>
        <v/>
      </c>
      <c r="G3184">
        <f>IF(A3184="","",'Employees'!D18)</f>
        <v/>
      </c>
    </row>
    <row r="3185">
      <c r="A3185">
        <f>IF(AND('Ratings'!A204&lt;&gt;"",'Ratings'!T5&lt;&gt;""),'Ratings'!A204,"")</f>
        <v/>
      </c>
      <c r="B3185">
        <f>IF(A3185="","",'Employees'!C18)</f>
        <v/>
      </c>
      <c r="C3185">
        <f>IF(A3185="","",'Ratings'!C204)</f>
        <v/>
      </c>
      <c r="D3185">
        <f>IF(A3185="","",'Ratings'!D204)</f>
        <v/>
      </c>
      <c r="E3185">
        <f>IF(AND('Ratings'!A204&lt;&gt;"",'Ratings'!T5&lt;&gt;""),'Ratings'!T5,"")</f>
        <v/>
      </c>
      <c r="F3185">
        <f>IF(OR(A3185="",'Ratings'!T204=""),"",'Ratings'!T204)</f>
        <v/>
      </c>
      <c r="G3185">
        <f>IF(A3185="","",'Employees'!D18)</f>
        <v/>
      </c>
    </row>
    <row r="3186">
      <c r="A3186">
        <f>IF(AND('Ratings'!A205&lt;&gt;"",'Ratings'!E5&lt;&gt;""),'Ratings'!A205,"")</f>
        <v/>
      </c>
      <c r="B3186">
        <f>IF(A3186="","",'Employees'!C18)</f>
        <v/>
      </c>
      <c r="C3186">
        <f>IF(A3186="","",'Ratings'!C205)</f>
        <v/>
      </c>
      <c r="D3186">
        <f>IF(A3186="","",'Ratings'!D205)</f>
        <v/>
      </c>
      <c r="E3186">
        <f>IF(AND('Ratings'!A205&lt;&gt;"",'Ratings'!E5&lt;&gt;""),'Ratings'!E5,"")</f>
        <v/>
      </c>
      <c r="F3186">
        <f>IF(OR(A3186="",'Ratings'!E205=""),"",'Ratings'!E205)</f>
        <v/>
      </c>
      <c r="G3186">
        <f>IF(A3186="","",'Employees'!D18)</f>
        <v/>
      </c>
    </row>
    <row r="3187">
      <c r="A3187">
        <f>IF(AND('Ratings'!A205&lt;&gt;"",'Ratings'!F5&lt;&gt;""),'Ratings'!A205,"")</f>
        <v/>
      </c>
      <c r="B3187">
        <f>IF(A3187="","",'Employees'!C18)</f>
        <v/>
      </c>
      <c r="C3187">
        <f>IF(A3187="","",'Ratings'!C205)</f>
        <v/>
      </c>
      <c r="D3187">
        <f>IF(A3187="","",'Ratings'!D205)</f>
        <v/>
      </c>
      <c r="E3187">
        <f>IF(AND('Ratings'!A205&lt;&gt;"",'Ratings'!F5&lt;&gt;""),'Ratings'!F5,"")</f>
        <v/>
      </c>
      <c r="F3187">
        <f>IF(OR(A3187="",'Ratings'!F205=""),"",'Ratings'!F205)</f>
        <v/>
      </c>
      <c r="G3187">
        <f>IF(A3187="","",'Employees'!D18)</f>
        <v/>
      </c>
    </row>
    <row r="3188">
      <c r="A3188">
        <f>IF(AND('Ratings'!A205&lt;&gt;"",'Ratings'!G5&lt;&gt;""),'Ratings'!A205,"")</f>
        <v/>
      </c>
      <c r="B3188">
        <f>IF(A3188="","",'Employees'!C18)</f>
        <v/>
      </c>
      <c r="C3188">
        <f>IF(A3188="","",'Ratings'!C205)</f>
        <v/>
      </c>
      <c r="D3188">
        <f>IF(A3188="","",'Ratings'!D205)</f>
        <v/>
      </c>
      <c r="E3188">
        <f>IF(AND('Ratings'!A205&lt;&gt;"",'Ratings'!G5&lt;&gt;""),'Ratings'!G5,"")</f>
        <v/>
      </c>
      <c r="F3188">
        <f>IF(OR(A3188="",'Ratings'!G205=""),"",'Ratings'!G205)</f>
        <v/>
      </c>
      <c r="G3188">
        <f>IF(A3188="","",'Employees'!D18)</f>
        <v/>
      </c>
    </row>
    <row r="3189">
      <c r="A3189">
        <f>IF(AND('Ratings'!A205&lt;&gt;"",'Ratings'!H5&lt;&gt;""),'Ratings'!A205,"")</f>
        <v/>
      </c>
      <c r="B3189">
        <f>IF(A3189="","",'Employees'!C18)</f>
        <v/>
      </c>
      <c r="C3189">
        <f>IF(A3189="","",'Ratings'!C205)</f>
        <v/>
      </c>
      <c r="D3189">
        <f>IF(A3189="","",'Ratings'!D205)</f>
        <v/>
      </c>
      <c r="E3189">
        <f>IF(AND('Ratings'!A205&lt;&gt;"",'Ratings'!H5&lt;&gt;""),'Ratings'!H5,"")</f>
        <v/>
      </c>
      <c r="F3189">
        <f>IF(OR(A3189="",'Ratings'!H205=""),"",'Ratings'!H205)</f>
        <v/>
      </c>
      <c r="G3189">
        <f>IF(A3189="","",'Employees'!D18)</f>
        <v/>
      </c>
    </row>
    <row r="3190">
      <c r="A3190">
        <f>IF(AND('Ratings'!A205&lt;&gt;"",'Ratings'!I5&lt;&gt;""),'Ratings'!A205,"")</f>
        <v/>
      </c>
      <c r="B3190">
        <f>IF(A3190="","",'Employees'!C18)</f>
        <v/>
      </c>
      <c r="C3190">
        <f>IF(A3190="","",'Ratings'!C205)</f>
        <v/>
      </c>
      <c r="D3190">
        <f>IF(A3190="","",'Ratings'!D205)</f>
        <v/>
      </c>
      <c r="E3190">
        <f>IF(AND('Ratings'!A205&lt;&gt;"",'Ratings'!I5&lt;&gt;""),'Ratings'!I5,"")</f>
        <v/>
      </c>
      <c r="F3190">
        <f>IF(OR(A3190="",'Ratings'!I205=""),"",'Ratings'!I205)</f>
        <v/>
      </c>
      <c r="G3190">
        <f>IF(A3190="","",'Employees'!D18)</f>
        <v/>
      </c>
    </row>
    <row r="3191">
      <c r="A3191">
        <f>IF(AND('Ratings'!A205&lt;&gt;"",'Ratings'!J5&lt;&gt;""),'Ratings'!A205,"")</f>
        <v/>
      </c>
      <c r="B3191">
        <f>IF(A3191="","",'Employees'!C18)</f>
        <v/>
      </c>
      <c r="C3191">
        <f>IF(A3191="","",'Ratings'!C205)</f>
        <v/>
      </c>
      <c r="D3191">
        <f>IF(A3191="","",'Ratings'!D205)</f>
        <v/>
      </c>
      <c r="E3191">
        <f>IF(AND('Ratings'!A205&lt;&gt;"",'Ratings'!J5&lt;&gt;""),'Ratings'!J5,"")</f>
        <v/>
      </c>
      <c r="F3191">
        <f>IF(OR(A3191="",'Ratings'!J205=""),"",'Ratings'!J205)</f>
        <v/>
      </c>
      <c r="G3191">
        <f>IF(A3191="","",'Employees'!D18)</f>
        <v/>
      </c>
    </row>
    <row r="3192">
      <c r="A3192">
        <f>IF(AND('Ratings'!A205&lt;&gt;"",'Ratings'!K5&lt;&gt;""),'Ratings'!A205,"")</f>
        <v/>
      </c>
      <c r="B3192">
        <f>IF(A3192="","",'Employees'!C18)</f>
        <v/>
      </c>
      <c r="C3192">
        <f>IF(A3192="","",'Ratings'!C205)</f>
        <v/>
      </c>
      <c r="D3192">
        <f>IF(A3192="","",'Ratings'!D205)</f>
        <v/>
      </c>
      <c r="E3192">
        <f>IF(AND('Ratings'!A205&lt;&gt;"",'Ratings'!K5&lt;&gt;""),'Ratings'!K5,"")</f>
        <v/>
      </c>
      <c r="F3192">
        <f>IF(OR(A3192="",'Ratings'!K205=""),"",'Ratings'!K205)</f>
        <v/>
      </c>
      <c r="G3192">
        <f>IF(A3192="","",'Employees'!D18)</f>
        <v/>
      </c>
    </row>
    <row r="3193">
      <c r="A3193">
        <f>IF(AND('Ratings'!A205&lt;&gt;"",'Ratings'!L5&lt;&gt;""),'Ratings'!A205,"")</f>
        <v/>
      </c>
      <c r="B3193">
        <f>IF(A3193="","",'Employees'!C18)</f>
        <v/>
      </c>
      <c r="C3193">
        <f>IF(A3193="","",'Ratings'!C205)</f>
        <v/>
      </c>
      <c r="D3193">
        <f>IF(A3193="","",'Ratings'!D205)</f>
        <v/>
      </c>
      <c r="E3193">
        <f>IF(AND('Ratings'!A205&lt;&gt;"",'Ratings'!L5&lt;&gt;""),'Ratings'!L5,"")</f>
        <v/>
      </c>
      <c r="F3193">
        <f>IF(OR(A3193="",'Ratings'!L205=""),"",'Ratings'!L205)</f>
        <v/>
      </c>
      <c r="G3193">
        <f>IF(A3193="","",'Employees'!D18)</f>
        <v/>
      </c>
    </row>
    <row r="3194">
      <c r="A3194">
        <f>IF(AND('Ratings'!A205&lt;&gt;"",'Ratings'!M5&lt;&gt;""),'Ratings'!A205,"")</f>
        <v/>
      </c>
      <c r="B3194">
        <f>IF(A3194="","",'Employees'!C18)</f>
        <v/>
      </c>
      <c r="C3194">
        <f>IF(A3194="","",'Ratings'!C205)</f>
        <v/>
      </c>
      <c r="D3194">
        <f>IF(A3194="","",'Ratings'!D205)</f>
        <v/>
      </c>
      <c r="E3194">
        <f>IF(AND('Ratings'!A205&lt;&gt;"",'Ratings'!M5&lt;&gt;""),'Ratings'!M5,"")</f>
        <v/>
      </c>
      <c r="F3194">
        <f>IF(OR(A3194="",'Ratings'!M205=""),"",'Ratings'!M205)</f>
        <v/>
      </c>
      <c r="G3194">
        <f>IF(A3194="","",'Employees'!D18)</f>
        <v/>
      </c>
    </row>
    <row r="3195">
      <c r="A3195">
        <f>IF(AND('Ratings'!A205&lt;&gt;"",'Ratings'!N5&lt;&gt;""),'Ratings'!A205,"")</f>
        <v/>
      </c>
      <c r="B3195">
        <f>IF(A3195="","",'Employees'!C18)</f>
        <v/>
      </c>
      <c r="C3195">
        <f>IF(A3195="","",'Ratings'!C205)</f>
        <v/>
      </c>
      <c r="D3195">
        <f>IF(A3195="","",'Ratings'!D205)</f>
        <v/>
      </c>
      <c r="E3195">
        <f>IF(AND('Ratings'!A205&lt;&gt;"",'Ratings'!N5&lt;&gt;""),'Ratings'!N5,"")</f>
        <v/>
      </c>
      <c r="F3195">
        <f>IF(OR(A3195="",'Ratings'!N205=""),"",'Ratings'!N205)</f>
        <v/>
      </c>
      <c r="G3195">
        <f>IF(A3195="","",'Employees'!D18)</f>
        <v/>
      </c>
    </row>
    <row r="3196">
      <c r="A3196">
        <f>IF(AND('Ratings'!A205&lt;&gt;"",'Ratings'!O5&lt;&gt;""),'Ratings'!A205,"")</f>
        <v/>
      </c>
      <c r="B3196">
        <f>IF(A3196="","",'Employees'!C18)</f>
        <v/>
      </c>
      <c r="C3196">
        <f>IF(A3196="","",'Ratings'!C205)</f>
        <v/>
      </c>
      <c r="D3196">
        <f>IF(A3196="","",'Ratings'!D205)</f>
        <v/>
      </c>
      <c r="E3196">
        <f>IF(AND('Ratings'!A205&lt;&gt;"",'Ratings'!O5&lt;&gt;""),'Ratings'!O5,"")</f>
        <v/>
      </c>
      <c r="F3196">
        <f>IF(OR(A3196="",'Ratings'!O205=""),"",'Ratings'!O205)</f>
        <v/>
      </c>
      <c r="G3196">
        <f>IF(A3196="","",'Employees'!D18)</f>
        <v/>
      </c>
    </row>
    <row r="3197">
      <c r="A3197">
        <f>IF(AND('Ratings'!A205&lt;&gt;"",'Ratings'!P5&lt;&gt;""),'Ratings'!A205,"")</f>
        <v/>
      </c>
      <c r="B3197">
        <f>IF(A3197="","",'Employees'!C18)</f>
        <v/>
      </c>
      <c r="C3197">
        <f>IF(A3197="","",'Ratings'!C205)</f>
        <v/>
      </c>
      <c r="D3197">
        <f>IF(A3197="","",'Ratings'!D205)</f>
        <v/>
      </c>
      <c r="E3197">
        <f>IF(AND('Ratings'!A205&lt;&gt;"",'Ratings'!P5&lt;&gt;""),'Ratings'!P5,"")</f>
        <v/>
      </c>
      <c r="F3197">
        <f>IF(OR(A3197="",'Ratings'!P205=""),"",'Ratings'!P205)</f>
        <v/>
      </c>
      <c r="G3197">
        <f>IF(A3197="","",'Employees'!D18)</f>
        <v/>
      </c>
    </row>
    <row r="3198">
      <c r="A3198">
        <f>IF(AND('Ratings'!A205&lt;&gt;"",'Ratings'!Q5&lt;&gt;""),'Ratings'!A205,"")</f>
        <v/>
      </c>
      <c r="B3198">
        <f>IF(A3198="","",'Employees'!C18)</f>
        <v/>
      </c>
      <c r="C3198">
        <f>IF(A3198="","",'Ratings'!C205)</f>
        <v/>
      </c>
      <c r="D3198">
        <f>IF(A3198="","",'Ratings'!D205)</f>
        <v/>
      </c>
      <c r="E3198">
        <f>IF(AND('Ratings'!A205&lt;&gt;"",'Ratings'!Q5&lt;&gt;""),'Ratings'!Q5,"")</f>
        <v/>
      </c>
      <c r="F3198">
        <f>IF(OR(A3198="",'Ratings'!Q205=""),"",'Ratings'!Q205)</f>
        <v/>
      </c>
      <c r="G3198">
        <f>IF(A3198="","",'Employees'!D18)</f>
        <v/>
      </c>
    </row>
    <row r="3199">
      <c r="A3199">
        <f>IF(AND('Ratings'!A205&lt;&gt;"",'Ratings'!R5&lt;&gt;""),'Ratings'!A205,"")</f>
        <v/>
      </c>
      <c r="B3199">
        <f>IF(A3199="","",'Employees'!C18)</f>
        <v/>
      </c>
      <c r="C3199">
        <f>IF(A3199="","",'Ratings'!C205)</f>
        <v/>
      </c>
      <c r="D3199">
        <f>IF(A3199="","",'Ratings'!D205)</f>
        <v/>
      </c>
      <c r="E3199">
        <f>IF(AND('Ratings'!A205&lt;&gt;"",'Ratings'!R5&lt;&gt;""),'Ratings'!R5,"")</f>
        <v/>
      </c>
      <c r="F3199">
        <f>IF(OR(A3199="",'Ratings'!R205=""),"",'Ratings'!R205)</f>
        <v/>
      </c>
      <c r="G3199">
        <f>IF(A3199="","",'Employees'!D18)</f>
        <v/>
      </c>
    </row>
    <row r="3200">
      <c r="A3200">
        <f>IF(AND('Ratings'!A205&lt;&gt;"",'Ratings'!S5&lt;&gt;""),'Ratings'!A205,"")</f>
        <v/>
      </c>
      <c r="B3200">
        <f>IF(A3200="","",'Employees'!C18)</f>
        <v/>
      </c>
      <c r="C3200">
        <f>IF(A3200="","",'Ratings'!C205)</f>
        <v/>
      </c>
      <c r="D3200">
        <f>IF(A3200="","",'Ratings'!D205)</f>
        <v/>
      </c>
      <c r="E3200">
        <f>IF(AND('Ratings'!A205&lt;&gt;"",'Ratings'!S5&lt;&gt;""),'Ratings'!S5,"")</f>
        <v/>
      </c>
      <c r="F3200">
        <f>IF(OR(A3200="",'Ratings'!S205=""),"",'Ratings'!S205)</f>
        <v/>
      </c>
      <c r="G3200">
        <f>IF(A3200="","",'Employees'!D18)</f>
        <v/>
      </c>
    </row>
    <row r="3201">
      <c r="A3201">
        <f>IF(AND('Ratings'!A205&lt;&gt;"",'Ratings'!T5&lt;&gt;""),'Ratings'!A205,"")</f>
        <v/>
      </c>
      <c r="B3201">
        <f>IF(A3201="","",'Employees'!C18)</f>
        <v/>
      </c>
      <c r="C3201">
        <f>IF(A3201="","",'Ratings'!C205)</f>
        <v/>
      </c>
      <c r="D3201">
        <f>IF(A3201="","",'Ratings'!D205)</f>
        <v/>
      </c>
      <c r="E3201">
        <f>IF(AND('Ratings'!A205&lt;&gt;"",'Ratings'!T5&lt;&gt;""),'Ratings'!T5,"")</f>
        <v/>
      </c>
      <c r="F3201">
        <f>IF(OR(A3201="",'Ratings'!T205=""),"",'Ratings'!T205)</f>
        <v/>
      </c>
      <c r="G3201">
        <f>IF(A3201="","",'Employees'!D18)</f>
        <v/>
      </c>
    </row>
    <row r="3202">
      <c r="A3202">
        <f>IF(AND('Ratings'!A206&lt;&gt;"",'Ratings'!E5&lt;&gt;""),'Ratings'!A206,"")</f>
        <v/>
      </c>
      <c r="B3202">
        <f>IF(A3202="","",'Employees'!C18)</f>
        <v/>
      </c>
      <c r="C3202">
        <f>IF(A3202="","",'Ratings'!C206)</f>
        <v/>
      </c>
      <c r="D3202">
        <f>IF(A3202="","",'Ratings'!D206)</f>
        <v/>
      </c>
      <c r="E3202">
        <f>IF(AND('Ratings'!A206&lt;&gt;"",'Ratings'!E5&lt;&gt;""),'Ratings'!E5,"")</f>
        <v/>
      </c>
      <c r="F3202">
        <f>IF(OR(A3202="",'Ratings'!E206=""),"",'Ratings'!E206)</f>
        <v/>
      </c>
      <c r="G3202">
        <f>IF(A3202="","",'Employees'!D18)</f>
        <v/>
      </c>
    </row>
    <row r="3203">
      <c r="A3203">
        <f>IF(AND('Ratings'!A206&lt;&gt;"",'Ratings'!F5&lt;&gt;""),'Ratings'!A206,"")</f>
        <v/>
      </c>
      <c r="B3203">
        <f>IF(A3203="","",'Employees'!C18)</f>
        <v/>
      </c>
      <c r="C3203">
        <f>IF(A3203="","",'Ratings'!C206)</f>
        <v/>
      </c>
      <c r="D3203">
        <f>IF(A3203="","",'Ratings'!D206)</f>
        <v/>
      </c>
      <c r="E3203">
        <f>IF(AND('Ratings'!A206&lt;&gt;"",'Ratings'!F5&lt;&gt;""),'Ratings'!F5,"")</f>
        <v/>
      </c>
      <c r="F3203">
        <f>IF(OR(A3203="",'Ratings'!F206=""),"",'Ratings'!F206)</f>
        <v/>
      </c>
      <c r="G3203">
        <f>IF(A3203="","",'Employees'!D18)</f>
        <v/>
      </c>
    </row>
    <row r="3204">
      <c r="A3204">
        <f>IF(AND('Ratings'!A206&lt;&gt;"",'Ratings'!G5&lt;&gt;""),'Ratings'!A206,"")</f>
        <v/>
      </c>
      <c r="B3204">
        <f>IF(A3204="","",'Employees'!C18)</f>
        <v/>
      </c>
      <c r="C3204">
        <f>IF(A3204="","",'Ratings'!C206)</f>
        <v/>
      </c>
      <c r="D3204">
        <f>IF(A3204="","",'Ratings'!D206)</f>
        <v/>
      </c>
      <c r="E3204">
        <f>IF(AND('Ratings'!A206&lt;&gt;"",'Ratings'!G5&lt;&gt;""),'Ratings'!G5,"")</f>
        <v/>
      </c>
      <c r="F3204">
        <f>IF(OR(A3204="",'Ratings'!G206=""),"",'Ratings'!G206)</f>
        <v/>
      </c>
      <c r="G3204">
        <f>IF(A3204="","",'Employees'!D18)</f>
        <v/>
      </c>
    </row>
    <row r="3205">
      <c r="A3205">
        <f>IF(AND('Ratings'!A206&lt;&gt;"",'Ratings'!H5&lt;&gt;""),'Ratings'!A206,"")</f>
        <v/>
      </c>
      <c r="B3205">
        <f>IF(A3205="","",'Employees'!C18)</f>
        <v/>
      </c>
      <c r="C3205">
        <f>IF(A3205="","",'Ratings'!C206)</f>
        <v/>
      </c>
      <c r="D3205">
        <f>IF(A3205="","",'Ratings'!D206)</f>
        <v/>
      </c>
      <c r="E3205">
        <f>IF(AND('Ratings'!A206&lt;&gt;"",'Ratings'!H5&lt;&gt;""),'Ratings'!H5,"")</f>
        <v/>
      </c>
      <c r="F3205">
        <f>IF(OR(A3205="",'Ratings'!H206=""),"",'Ratings'!H206)</f>
        <v/>
      </c>
      <c r="G3205">
        <f>IF(A3205="","",'Employees'!D18)</f>
        <v/>
      </c>
    </row>
    <row r="3206">
      <c r="A3206">
        <f>IF(AND('Ratings'!A206&lt;&gt;"",'Ratings'!I5&lt;&gt;""),'Ratings'!A206,"")</f>
        <v/>
      </c>
      <c r="B3206">
        <f>IF(A3206="","",'Employees'!C18)</f>
        <v/>
      </c>
      <c r="C3206">
        <f>IF(A3206="","",'Ratings'!C206)</f>
        <v/>
      </c>
      <c r="D3206">
        <f>IF(A3206="","",'Ratings'!D206)</f>
        <v/>
      </c>
      <c r="E3206">
        <f>IF(AND('Ratings'!A206&lt;&gt;"",'Ratings'!I5&lt;&gt;""),'Ratings'!I5,"")</f>
        <v/>
      </c>
      <c r="F3206">
        <f>IF(OR(A3206="",'Ratings'!I206=""),"",'Ratings'!I206)</f>
        <v/>
      </c>
      <c r="G3206">
        <f>IF(A3206="","",'Employees'!D18)</f>
        <v/>
      </c>
    </row>
    <row r="3207">
      <c r="A3207">
        <f>IF(AND('Ratings'!A206&lt;&gt;"",'Ratings'!J5&lt;&gt;""),'Ratings'!A206,"")</f>
        <v/>
      </c>
      <c r="B3207">
        <f>IF(A3207="","",'Employees'!C18)</f>
        <v/>
      </c>
      <c r="C3207">
        <f>IF(A3207="","",'Ratings'!C206)</f>
        <v/>
      </c>
      <c r="D3207">
        <f>IF(A3207="","",'Ratings'!D206)</f>
        <v/>
      </c>
      <c r="E3207">
        <f>IF(AND('Ratings'!A206&lt;&gt;"",'Ratings'!J5&lt;&gt;""),'Ratings'!J5,"")</f>
        <v/>
      </c>
      <c r="F3207">
        <f>IF(OR(A3207="",'Ratings'!J206=""),"",'Ratings'!J206)</f>
        <v/>
      </c>
      <c r="G3207">
        <f>IF(A3207="","",'Employees'!D18)</f>
        <v/>
      </c>
    </row>
    <row r="3208">
      <c r="A3208">
        <f>IF(AND('Ratings'!A206&lt;&gt;"",'Ratings'!K5&lt;&gt;""),'Ratings'!A206,"")</f>
        <v/>
      </c>
      <c r="B3208">
        <f>IF(A3208="","",'Employees'!C18)</f>
        <v/>
      </c>
      <c r="C3208">
        <f>IF(A3208="","",'Ratings'!C206)</f>
        <v/>
      </c>
      <c r="D3208">
        <f>IF(A3208="","",'Ratings'!D206)</f>
        <v/>
      </c>
      <c r="E3208">
        <f>IF(AND('Ratings'!A206&lt;&gt;"",'Ratings'!K5&lt;&gt;""),'Ratings'!K5,"")</f>
        <v/>
      </c>
      <c r="F3208">
        <f>IF(OR(A3208="",'Ratings'!K206=""),"",'Ratings'!K206)</f>
        <v/>
      </c>
      <c r="G3208">
        <f>IF(A3208="","",'Employees'!D18)</f>
        <v/>
      </c>
    </row>
    <row r="3209">
      <c r="A3209">
        <f>IF(AND('Ratings'!A206&lt;&gt;"",'Ratings'!L5&lt;&gt;""),'Ratings'!A206,"")</f>
        <v/>
      </c>
      <c r="B3209">
        <f>IF(A3209="","",'Employees'!C18)</f>
        <v/>
      </c>
      <c r="C3209">
        <f>IF(A3209="","",'Ratings'!C206)</f>
        <v/>
      </c>
      <c r="D3209">
        <f>IF(A3209="","",'Ratings'!D206)</f>
        <v/>
      </c>
      <c r="E3209">
        <f>IF(AND('Ratings'!A206&lt;&gt;"",'Ratings'!L5&lt;&gt;""),'Ratings'!L5,"")</f>
        <v/>
      </c>
      <c r="F3209">
        <f>IF(OR(A3209="",'Ratings'!L206=""),"",'Ratings'!L206)</f>
        <v/>
      </c>
      <c r="G3209">
        <f>IF(A3209="","",'Employees'!D18)</f>
        <v/>
      </c>
    </row>
    <row r="3210">
      <c r="A3210">
        <f>IF(AND('Ratings'!A206&lt;&gt;"",'Ratings'!M5&lt;&gt;""),'Ratings'!A206,"")</f>
        <v/>
      </c>
      <c r="B3210">
        <f>IF(A3210="","",'Employees'!C18)</f>
        <v/>
      </c>
      <c r="C3210">
        <f>IF(A3210="","",'Ratings'!C206)</f>
        <v/>
      </c>
      <c r="D3210">
        <f>IF(A3210="","",'Ratings'!D206)</f>
        <v/>
      </c>
      <c r="E3210">
        <f>IF(AND('Ratings'!A206&lt;&gt;"",'Ratings'!M5&lt;&gt;""),'Ratings'!M5,"")</f>
        <v/>
      </c>
      <c r="F3210">
        <f>IF(OR(A3210="",'Ratings'!M206=""),"",'Ratings'!M206)</f>
        <v/>
      </c>
      <c r="G3210">
        <f>IF(A3210="","",'Employees'!D18)</f>
        <v/>
      </c>
    </row>
    <row r="3211">
      <c r="A3211">
        <f>IF(AND('Ratings'!A206&lt;&gt;"",'Ratings'!N5&lt;&gt;""),'Ratings'!A206,"")</f>
        <v/>
      </c>
      <c r="B3211">
        <f>IF(A3211="","",'Employees'!C18)</f>
        <v/>
      </c>
      <c r="C3211">
        <f>IF(A3211="","",'Ratings'!C206)</f>
        <v/>
      </c>
      <c r="D3211">
        <f>IF(A3211="","",'Ratings'!D206)</f>
        <v/>
      </c>
      <c r="E3211">
        <f>IF(AND('Ratings'!A206&lt;&gt;"",'Ratings'!N5&lt;&gt;""),'Ratings'!N5,"")</f>
        <v/>
      </c>
      <c r="F3211">
        <f>IF(OR(A3211="",'Ratings'!N206=""),"",'Ratings'!N206)</f>
        <v/>
      </c>
      <c r="G3211">
        <f>IF(A3211="","",'Employees'!D18)</f>
        <v/>
      </c>
    </row>
    <row r="3212">
      <c r="A3212">
        <f>IF(AND('Ratings'!A206&lt;&gt;"",'Ratings'!O5&lt;&gt;""),'Ratings'!A206,"")</f>
        <v/>
      </c>
      <c r="B3212">
        <f>IF(A3212="","",'Employees'!C18)</f>
        <v/>
      </c>
      <c r="C3212">
        <f>IF(A3212="","",'Ratings'!C206)</f>
        <v/>
      </c>
      <c r="D3212">
        <f>IF(A3212="","",'Ratings'!D206)</f>
        <v/>
      </c>
      <c r="E3212">
        <f>IF(AND('Ratings'!A206&lt;&gt;"",'Ratings'!O5&lt;&gt;""),'Ratings'!O5,"")</f>
        <v/>
      </c>
      <c r="F3212">
        <f>IF(OR(A3212="",'Ratings'!O206=""),"",'Ratings'!O206)</f>
        <v/>
      </c>
      <c r="G3212">
        <f>IF(A3212="","",'Employees'!D18)</f>
        <v/>
      </c>
    </row>
    <row r="3213">
      <c r="A3213">
        <f>IF(AND('Ratings'!A206&lt;&gt;"",'Ratings'!P5&lt;&gt;""),'Ratings'!A206,"")</f>
        <v/>
      </c>
      <c r="B3213">
        <f>IF(A3213="","",'Employees'!C18)</f>
        <v/>
      </c>
      <c r="C3213">
        <f>IF(A3213="","",'Ratings'!C206)</f>
        <v/>
      </c>
      <c r="D3213">
        <f>IF(A3213="","",'Ratings'!D206)</f>
        <v/>
      </c>
      <c r="E3213">
        <f>IF(AND('Ratings'!A206&lt;&gt;"",'Ratings'!P5&lt;&gt;""),'Ratings'!P5,"")</f>
        <v/>
      </c>
      <c r="F3213">
        <f>IF(OR(A3213="",'Ratings'!P206=""),"",'Ratings'!P206)</f>
        <v/>
      </c>
      <c r="G3213">
        <f>IF(A3213="","",'Employees'!D18)</f>
        <v/>
      </c>
    </row>
    <row r="3214">
      <c r="A3214">
        <f>IF(AND('Ratings'!A206&lt;&gt;"",'Ratings'!Q5&lt;&gt;""),'Ratings'!A206,"")</f>
        <v/>
      </c>
      <c r="B3214">
        <f>IF(A3214="","",'Employees'!C18)</f>
        <v/>
      </c>
      <c r="C3214">
        <f>IF(A3214="","",'Ratings'!C206)</f>
        <v/>
      </c>
      <c r="D3214">
        <f>IF(A3214="","",'Ratings'!D206)</f>
        <v/>
      </c>
      <c r="E3214">
        <f>IF(AND('Ratings'!A206&lt;&gt;"",'Ratings'!Q5&lt;&gt;""),'Ratings'!Q5,"")</f>
        <v/>
      </c>
      <c r="F3214">
        <f>IF(OR(A3214="",'Ratings'!Q206=""),"",'Ratings'!Q206)</f>
        <v/>
      </c>
      <c r="G3214">
        <f>IF(A3214="","",'Employees'!D18)</f>
        <v/>
      </c>
    </row>
    <row r="3215">
      <c r="A3215">
        <f>IF(AND('Ratings'!A206&lt;&gt;"",'Ratings'!R5&lt;&gt;""),'Ratings'!A206,"")</f>
        <v/>
      </c>
      <c r="B3215">
        <f>IF(A3215="","",'Employees'!C18)</f>
        <v/>
      </c>
      <c r="C3215">
        <f>IF(A3215="","",'Ratings'!C206)</f>
        <v/>
      </c>
      <c r="D3215">
        <f>IF(A3215="","",'Ratings'!D206)</f>
        <v/>
      </c>
      <c r="E3215">
        <f>IF(AND('Ratings'!A206&lt;&gt;"",'Ratings'!R5&lt;&gt;""),'Ratings'!R5,"")</f>
        <v/>
      </c>
      <c r="F3215">
        <f>IF(OR(A3215="",'Ratings'!R206=""),"",'Ratings'!R206)</f>
        <v/>
      </c>
      <c r="G3215">
        <f>IF(A3215="","",'Employees'!D18)</f>
        <v/>
      </c>
    </row>
    <row r="3216">
      <c r="A3216">
        <f>IF(AND('Ratings'!A206&lt;&gt;"",'Ratings'!S5&lt;&gt;""),'Ratings'!A206,"")</f>
        <v/>
      </c>
      <c r="B3216">
        <f>IF(A3216="","",'Employees'!C18)</f>
        <v/>
      </c>
      <c r="C3216">
        <f>IF(A3216="","",'Ratings'!C206)</f>
        <v/>
      </c>
      <c r="D3216">
        <f>IF(A3216="","",'Ratings'!D206)</f>
        <v/>
      </c>
      <c r="E3216">
        <f>IF(AND('Ratings'!A206&lt;&gt;"",'Ratings'!S5&lt;&gt;""),'Ratings'!S5,"")</f>
        <v/>
      </c>
      <c r="F3216">
        <f>IF(OR(A3216="",'Ratings'!S206=""),"",'Ratings'!S206)</f>
        <v/>
      </c>
      <c r="G3216">
        <f>IF(A3216="","",'Employees'!D18)</f>
        <v/>
      </c>
    </row>
    <row r="3217">
      <c r="A3217">
        <f>IF(AND('Ratings'!A206&lt;&gt;"",'Ratings'!T5&lt;&gt;""),'Ratings'!A206,"")</f>
        <v/>
      </c>
      <c r="B3217">
        <f>IF(A3217="","",'Employees'!C18)</f>
        <v/>
      </c>
      <c r="C3217">
        <f>IF(A3217="","",'Ratings'!C206)</f>
        <v/>
      </c>
      <c r="D3217">
        <f>IF(A3217="","",'Ratings'!D206)</f>
        <v/>
      </c>
      <c r="E3217">
        <f>IF(AND('Ratings'!A206&lt;&gt;"",'Ratings'!T5&lt;&gt;""),'Ratings'!T5,"")</f>
        <v/>
      </c>
      <c r="F3217">
        <f>IF(OR(A3217="",'Ratings'!T206=""),"",'Ratings'!T206)</f>
        <v/>
      </c>
      <c r="G3217">
        <f>IF(A3217="","",'Employees'!D18)</f>
        <v/>
      </c>
    </row>
    <row r="3218">
      <c r="A3218">
        <f>IF(AND('Ratings'!A207&lt;&gt;"",'Ratings'!E5&lt;&gt;""),'Ratings'!A207,"")</f>
        <v/>
      </c>
      <c r="B3218">
        <f>IF(A3218="","",'Employees'!C18)</f>
        <v/>
      </c>
      <c r="C3218">
        <f>IF(A3218="","",'Ratings'!C207)</f>
        <v/>
      </c>
      <c r="D3218">
        <f>IF(A3218="","",'Ratings'!D207)</f>
        <v/>
      </c>
      <c r="E3218">
        <f>IF(AND('Ratings'!A207&lt;&gt;"",'Ratings'!E5&lt;&gt;""),'Ratings'!E5,"")</f>
        <v/>
      </c>
      <c r="F3218">
        <f>IF(OR(A3218="",'Ratings'!E207=""),"",'Ratings'!E207)</f>
        <v/>
      </c>
      <c r="G3218">
        <f>IF(A3218="","",'Employees'!D18)</f>
        <v/>
      </c>
    </row>
    <row r="3219">
      <c r="A3219">
        <f>IF(AND('Ratings'!A207&lt;&gt;"",'Ratings'!F5&lt;&gt;""),'Ratings'!A207,"")</f>
        <v/>
      </c>
      <c r="B3219">
        <f>IF(A3219="","",'Employees'!C18)</f>
        <v/>
      </c>
      <c r="C3219">
        <f>IF(A3219="","",'Ratings'!C207)</f>
        <v/>
      </c>
      <c r="D3219">
        <f>IF(A3219="","",'Ratings'!D207)</f>
        <v/>
      </c>
      <c r="E3219">
        <f>IF(AND('Ratings'!A207&lt;&gt;"",'Ratings'!F5&lt;&gt;""),'Ratings'!F5,"")</f>
        <v/>
      </c>
      <c r="F3219">
        <f>IF(OR(A3219="",'Ratings'!F207=""),"",'Ratings'!F207)</f>
        <v/>
      </c>
      <c r="G3219">
        <f>IF(A3219="","",'Employees'!D18)</f>
        <v/>
      </c>
    </row>
    <row r="3220">
      <c r="A3220">
        <f>IF(AND('Ratings'!A207&lt;&gt;"",'Ratings'!G5&lt;&gt;""),'Ratings'!A207,"")</f>
        <v/>
      </c>
      <c r="B3220">
        <f>IF(A3220="","",'Employees'!C18)</f>
        <v/>
      </c>
      <c r="C3220">
        <f>IF(A3220="","",'Ratings'!C207)</f>
        <v/>
      </c>
      <c r="D3220">
        <f>IF(A3220="","",'Ratings'!D207)</f>
        <v/>
      </c>
      <c r="E3220">
        <f>IF(AND('Ratings'!A207&lt;&gt;"",'Ratings'!G5&lt;&gt;""),'Ratings'!G5,"")</f>
        <v/>
      </c>
      <c r="F3220">
        <f>IF(OR(A3220="",'Ratings'!G207=""),"",'Ratings'!G207)</f>
        <v/>
      </c>
      <c r="G3220">
        <f>IF(A3220="","",'Employees'!D18)</f>
        <v/>
      </c>
    </row>
    <row r="3221">
      <c r="A3221">
        <f>IF(AND('Ratings'!A207&lt;&gt;"",'Ratings'!H5&lt;&gt;""),'Ratings'!A207,"")</f>
        <v/>
      </c>
      <c r="B3221">
        <f>IF(A3221="","",'Employees'!C18)</f>
        <v/>
      </c>
      <c r="C3221">
        <f>IF(A3221="","",'Ratings'!C207)</f>
        <v/>
      </c>
      <c r="D3221">
        <f>IF(A3221="","",'Ratings'!D207)</f>
        <v/>
      </c>
      <c r="E3221">
        <f>IF(AND('Ratings'!A207&lt;&gt;"",'Ratings'!H5&lt;&gt;""),'Ratings'!H5,"")</f>
        <v/>
      </c>
      <c r="F3221">
        <f>IF(OR(A3221="",'Ratings'!H207=""),"",'Ratings'!H207)</f>
        <v/>
      </c>
      <c r="G3221">
        <f>IF(A3221="","",'Employees'!D18)</f>
        <v/>
      </c>
    </row>
    <row r="3222">
      <c r="A3222">
        <f>IF(AND('Ratings'!A207&lt;&gt;"",'Ratings'!I5&lt;&gt;""),'Ratings'!A207,"")</f>
        <v/>
      </c>
      <c r="B3222">
        <f>IF(A3222="","",'Employees'!C18)</f>
        <v/>
      </c>
      <c r="C3222">
        <f>IF(A3222="","",'Ratings'!C207)</f>
        <v/>
      </c>
      <c r="D3222">
        <f>IF(A3222="","",'Ratings'!D207)</f>
        <v/>
      </c>
      <c r="E3222">
        <f>IF(AND('Ratings'!A207&lt;&gt;"",'Ratings'!I5&lt;&gt;""),'Ratings'!I5,"")</f>
        <v/>
      </c>
      <c r="F3222">
        <f>IF(OR(A3222="",'Ratings'!I207=""),"",'Ratings'!I207)</f>
        <v/>
      </c>
      <c r="G3222">
        <f>IF(A3222="","",'Employees'!D18)</f>
        <v/>
      </c>
    </row>
    <row r="3223">
      <c r="A3223">
        <f>IF(AND('Ratings'!A207&lt;&gt;"",'Ratings'!J5&lt;&gt;""),'Ratings'!A207,"")</f>
        <v/>
      </c>
      <c r="B3223">
        <f>IF(A3223="","",'Employees'!C18)</f>
        <v/>
      </c>
      <c r="C3223">
        <f>IF(A3223="","",'Ratings'!C207)</f>
        <v/>
      </c>
      <c r="D3223">
        <f>IF(A3223="","",'Ratings'!D207)</f>
        <v/>
      </c>
      <c r="E3223">
        <f>IF(AND('Ratings'!A207&lt;&gt;"",'Ratings'!J5&lt;&gt;""),'Ratings'!J5,"")</f>
        <v/>
      </c>
      <c r="F3223">
        <f>IF(OR(A3223="",'Ratings'!J207=""),"",'Ratings'!J207)</f>
        <v/>
      </c>
      <c r="G3223">
        <f>IF(A3223="","",'Employees'!D18)</f>
        <v/>
      </c>
    </row>
    <row r="3224">
      <c r="A3224">
        <f>IF(AND('Ratings'!A207&lt;&gt;"",'Ratings'!K5&lt;&gt;""),'Ratings'!A207,"")</f>
        <v/>
      </c>
      <c r="B3224">
        <f>IF(A3224="","",'Employees'!C18)</f>
        <v/>
      </c>
      <c r="C3224">
        <f>IF(A3224="","",'Ratings'!C207)</f>
        <v/>
      </c>
      <c r="D3224">
        <f>IF(A3224="","",'Ratings'!D207)</f>
        <v/>
      </c>
      <c r="E3224">
        <f>IF(AND('Ratings'!A207&lt;&gt;"",'Ratings'!K5&lt;&gt;""),'Ratings'!K5,"")</f>
        <v/>
      </c>
      <c r="F3224">
        <f>IF(OR(A3224="",'Ratings'!K207=""),"",'Ratings'!K207)</f>
        <v/>
      </c>
      <c r="G3224">
        <f>IF(A3224="","",'Employees'!D18)</f>
        <v/>
      </c>
    </row>
    <row r="3225">
      <c r="A3225">
        <f>IF(AND('Ratings'!A207&lt;&gt;"",'Ratings'!L5&lt;&gt;""),'Ratings'!A207,"")</f>
        <v/>
      </c>
      <c r="B3225">
        <f>IF(A3225="","",'Employees'!C18)</f>
        <v/>
      </c>
      <c r="C3225">
        <f>IF(A3225="","",'Ratings'!C207)</f>
        <v/>
      </c>
      <c r="D3225">
        <f>IF(A3225="","",'Ratings'!D207)</f>
        <v/>
      </c>
      <c r="E3225">
        <f>IF(AND('Ratings'!A207&lt;&gt;"",'Ratings'!L5&lt;&gt;""),'Ratings'!L5,"")</f>
        <v/>
      </c>
      <c r="F3225">
        <f>IF(OR(A3225="",'Ratings'!L207=""),"",'Ratings'!L207)</f>
        <v/>
      </c>
      <c r="G3225">
        <f>IF(A3225="","",'Employees'!D18)</f>
        <v/>
      </c>
    </row>
    <row r="3226">
      <c r="A3226">
        <f>IF(AND('Ratings'!A207&lt;&gt;"",'Ratings'!M5&lt;&gt;""),'Ratings'!A207,"")</f>
        <v/>
      </c>
      <c r="B3226">
        <f>IF(A3226="","",'Employees'!C18)</f>
        <v/>
      </c>
      <c r="C3226">
        <f>IF(A3226="","",'Ratings'!C207)</f>
        <v/>
      </c>
      <c r="D3226">
        <f>IF(A3226="","",'Ratings'!D207)</f>
        <v/>
      </c>
      <c r="E3226">
        <f>IF(AND('Ratings'!A207&lt;&gt;"",'Ratings'!M5&lt;&gt;""),'Ratings'!M5,"")</f>
        <v/>
      </c>
      <c r="F3226">
        <f>IF(OR(A3226="",'Ratings'!M207=""),"",'Ratings'!M207)</f>
        <v/>
      </c>
      <c r="G3226">
        <f>IF(A3226="","",'Employees'!D18)</f>
        <v/>
      </c>
    </row>
    <row r="3227">
      <c r="A3227">
        <f>IF(AND('Ratings'!A207&lt;&gt;"",'Ratings'!N5&lt;&gt;""),'Ratings'!A207,"")</f>
        <v/>
      </c>
      <c r="B3227">
        <f>IF(A3227="","",'Employees'!C18)</f>
        <v/>
      </c>
      <c r="C3227">
        <f>IF(A3227="","",'Ratings'!C207)</f>
        <v/>
      </c>
      <c r="D3227">
        <f>IF(A3227="","",'Ratings'!D207)</f>
        <v/>
      </c>
      <c r="E3227">
        <f>IF(AND('Ratings'!A207&lt;&gt;"",'Ratings'!N5&lt;&gt;""),'Ratings'!N5,"")</f>
        <v/>
      </c>
      <c r="F3227">
        <f>IF(OR(A3227="",'Ratings'!N207=""),"",'Ratings'!N207)</f>
        <v/>
      </c>
      <c r="G3227">
        <f>IF(A3227="","",'Employees'!D18)</f>
        <v/>
      </c>
    </row>
    <row r="3228">
      <c r="A3228">
        <f>IF(AND('Ratings'!A207&lt;&gt;"",'Ratings'!O5&lt;&gt;""),'Ratings'!A207,"")</f>
        <v/>
      </c>
      <c r="B3228">
        <f>IF(A3228="","",'Employees'!C18)</f>
        <v/>
      </c>
      <c r="C3228">
        <f>IF(A3228="","",'Ratings'!C207)</f>
        <v/>
      </c>
      <c r="D3228">
        <f>IF(A3228="","",'Ratings'!D207)</f>
        <v/>
      </c>
      <c r="E3228">
        <f>IF(AND('Ratings'!A207&lt;&gt;"",'Ratings'!O5&lt;&gt;""),'Ratings'!O5,"")</f>
        <v/>
      </c>
      <c r="F3228">
        <f>IF(OR(A3228="",'Ratings'!O207=""),"",'Ratings'!O207)</f>
        <v/>
      </c>
      <c r="G3228">
        <f>IF(A3228="","",'Employees'!D18)</f>
        <v/>
      </c>
    </row>
    <row r="3229">
      <c r="A3229">
        <f>IF(AND('Ratings'!A207&lt;&gt;"",'Ratings'!P5&lt;&gt;""),'Ratings'!A207,"")</f>
        <v/>
      </c>
      <c r="B3229">
        <f>IF(A3229="","",'Employees'!C18)</f>
        <v/>
      </c>
      <c r="C3229">
        <f>IF(A3229="","",'Ratings'!C207)</f>
        <v/>
      </c>
      <c r="D3229">
        <f>IF(A3229="","",'Ratings'!D207)</f>
        <v/>
      </c>
      <c r="E3229">
        <f>IF(AND('Ratings'!A207&lt;&gt;"",'Ratings'!P5&lt;&gt;""),'Ratings'!P5,"")</f>
        <v/>
      </c>
      <c r="F3229">
        <f>IF(OR(A3229="",'Ratings'!P207=""),"",'Ratings'!P207)</f>
        <v/>
      </c>
      <c r="G3229">
        <f>IF(A3229="","",'Employees'!D18)</f>
        <v/>
      </c>
    </row>
    <row r="3230">
      <c r="A3230">
        <f>IF(AND('Ratings'!A207&lt;&gt;"",'Ratings'!Q5&lt;&gt;""),'Ratings'!A207,"")</f>
        <v/>
      </c>
      <c r="B3230">
        <f>IF(A3230="","",'Employees'!C18)</f>
        <v/>
      </c>
      <c r="C3230">
        <f>IF(A3230="","",'Ratings'!C207)</f>
        <v/>
      </c>
      <c r="D3230">
        <f>IF(A3230="","",'Ratings'!D207)</f>
        <v/>
      </c>
      <c r="E3230">
        <f>IF(AND('Ratings'!A207&lt;&gt;"",'Ratings'!Q5&lt;&gt;""),'Ratings'!Q5,"")</f>
        <v/>
      </c>
      <c r="F3230">
        <f>IF(OR(A3230="",'Ratings'!Q207=""),"",'Ratings'!Q207)</f>
        <v/>
      </c>
      <c r="G3230">
        <f>IF(A3230="","",'Employees'!D18)</f>
        <v/>
      </c>
    </row>
    <row r="3231">
      <c r="A3231">
        <f>IF(AND('Ratings'!A207&lt;&gt;"",'Ratings'!R5&lt;&gt;""),'Ratings'!A207,"")</f>
        <v/>
      </c>
      <c r="B3231">
        <f>IF(A3231="","",'Employees'!C18)</f>
        <v/>
      </c>
      <c r="C3231">
        <f>IF(A3231="","",'Ratings'!C207)</f>
        <v/>
      </c>
      <c r="D3231">
        <f>IF(A3231="","",'Ratings'!D207)</f>
        <v/>
      </c>
      <c r="E3231">
        <f>IF(AND('Ratings'!A207&lt;&gt;"",'Ratings'!R5&lt;&gt;""),'Ratings'!R5,"")</f>
        <v/>
      </c>
      <c r="F3231">
        <f>IF(OR(A3231="",'Ratings'!R207=""),"",'Ratings'!R207)</f>
        <v/>
      </c>
      <c r="G3231">
        <f>IF(A3231="","",'Employees'!D18)</f>
        <v/>
      </c>
    </row>
    <row r="3232">
      <c r="A3232">
        <f>IF(AND('Ratings'!A207&lt;&gt;"",'Ratings'!S5&lt;&gt;""),'Ratings'!A207,"")</f>
        <v/>
      </c>
      <c r="B3232">
        <f>IF(A3232="","",'Employees'!C18)</f>
        <v/>
      </c>
      <c r="C3232">
        <f>IF(A3232="","",'Ratings'!C207)</f>
        <v/>
      </c>
      <c r="D3232">
        <f>IF(A3232="","",'Ratings'!D207)</f>
        <v/>
      </c>
      <c r="E3232">
        <f>IF(AND('Ratings'!A207&lt;&gt;"",'Ratings'!S5&lt;&gt;""),'Ratings'!S5,"")</f>
        <v/>
      </c>
      <c r="F3232">
        <f>IF(OR(A3232="",'Ratings'!S207=""),"",'Ratings'!S207)</f>
        <v/>
      </c>
      <c r="G3232">
        <f>IF(A3232="","",'Employees'!D18)</f>
        <v/>
      </c>
    </row>
    <row r="3233">
      <c r="A3233">
        <f>IF(AND('Ratings'!A207&lt;&gt;"",'Ratings'!T5&lt;&gt;""),'Ratings'!A207,"")</f>
        <v/>
      </c>
      <c r="B3233">
        <f>IF(A3233="","",'Employees'!C18)</f>
        <v/>
      </c>
      <c r="C3233">
        <f>IF(A3233="","",'Ratings'!C207)</f>
        <v/>
      </c>
      <c r="D3233">
        <f>IF(A3233="","",'Ratings'!D207)</f>
        <v/>
      </c>
      <c r="E3233">
        <f>IF(AND('Ratings'!A207&lt;&gt;"",'Ratings'!T5&lt;&gt;""),'Ratings'!T5,"")</f>
        <v/>
      </c>
      <c r="F3233">
        <f>IF(OR(A3233="",'Ratings'!T207=""),"",'Ratings'!T207)</f>
        <v/>
      </c>
      <c r="G3233">
        <f>IF(A3233="","",'Employees'!D18)</f>
        <v/>
      </c>
    </row>
    <row r="3234">
      <c r="A3234">
        <f>IF(AND('Ratings'!A208&lt;&gt;"",'Ratings'!E5&lt;&gt;""),'Ratings'!A208,"")</f>
        <v/>
      </c>
      <c r="B3234">
        <f>IF(A3234="","",'Employees'!C18)</f>
        <v/>
      </c>
      <c r="C3234">
        <f>IF(A3234="","",'Ratings'!C208)</f>
        <v/>
      </c>
      <c r="D3234">
        <f>IF(A3234="","",'Ratings'!D208)</f>
        <v/>
      </c>
      <c r="E3234">
        <f>IF(AND('Ratings'!A208&lt;&gt;"",'Ratings'!E5&lt;&gt;""),'Ratings'!E5,"")</f>
        <v/>
      </c>
      <c r="F3234">
        <f>IF(OR(A3234="",'Ratings'!E208=""),"",'Ratings'!E208)</f>
        <v/>
      </c>
      <c r="G3234">
        <f>IF(A3234="","",'Employees'!D18)</f>
        <v/>
      </c>
    </row>
    <row r="3235">
      <c r="A3235">
        <f>IF(AND('Ratings'!A208&lt;&gt;"",'Ratings'!F5&lt;&gt;""),'Ratings'!A208,"")</f>
        <v/>
      </c>
      <c r="B3235">
        <f>IF(A3235="","",'Employees'!C18)</f>
        <v/>
      </c>
      <c r="C3235">
        <f>IF(A3235="","",'Ratings'!C208)</f>
        <v/>
      </c>
      <c r="D3235">
        <f>IF(A3235="","",'Ratings'!D208)</f>
        <v/>
      </c>
      <c r="E3235">
        <f>IF(AND('Ratings'!A208&lt;&gt;"",'Ratings'!F5&lt;&gt;""),'Ratings'!F5,"")</f>
        <v/>
      </c>
      <c r="F3235">
        <f>IF(OR(A3235="",'Ratings'!F208=""),"",'Ratings'!F208)</f>
        <v/>
      </c>
      <c r="G3235">
        <f>IF(A3235="","",'Employees'!D18)</f>
        <v/>
      </c>
    </row>
    <row r="3236">
      <c r="A3236">
        <f>IF(AND('Ratings'!A208&lt;&gt;"",'Ratings'!G5&lt;&gt;""),'Ratings'!A208,"")</f>
        <v/>
      </c>
      <c r="B3236">
        <f>IF(A3236="","",'Employees'!C18)</f>
        <v/>
      </c>
      <c r="C3236">
        <f>IF(A3236="","",'Ratings'!C208)</f>
        <v/>
      </c>
      <c r="D3236">
        <f>IF(A3236="","",'Ratings'!D208)</f>
        <v/>
      </c>
      <c r="E3236">
        <f>IF(AND('Ratings'!A208&lt;&gt;"",'Ratings'!G5&lt;&gt;""),'Ratings'!G5,"")</f>
        <v/>
      </c>
      <c r="F3236">
        <f>IF(OR(A3236="",'Ratings'!G208=""),"",'Ratings'!G208)</f>
        <v/>
      </c>
      <c r="G3236">
        <f>IF(A3236="","",'Employees'!D18)</f>
        <v/>
      </c>
    </row>
    <row r="3237">
      <c r="A3237">
        <f>IF(AND('Ratings'!A208&lt;&gt;"",'Ratings'!H5&lt;&gt;""),'Ratings'!A208,"")</f>
        <v/>
      </c>
      <c r="B3237">
        <f>IF(A3237="","",'Employees'!C18)</f>
        <v/>
      </c>
      <c r="C3237">
        <f>IF(A3237="","",'Ratings'!C208)</f>
        <v/>
      </c>
      <c r="D3237">
        <f>IF(A3237="","",'Ratings'!D208)</f>
        <v/>
      </c>
      <c r="E3237">
        <f>IF(AND('Ratings'!A208&lt;&gt;"",'Ratings'!H5&lt;&gt;""),'Ratings'!H5,"")</f>
        <v/>
      </c>
      <c r="F3237">
        <f>IF(OR(A3237="",'Ratings'!H208=""),"",'Ratings'!H208)</f>
        <v/>
      </c>
      <c r="G3237">
        <f>IF(A3237="","",'Employees'!D18)</f>
        <v/>
      </c>
    </row>
    <row r="3238">
      <c r="A3238">
        <f>IF(AND('Ratings'!A208&lt;&gt;"",'Ratings'!I5&lt;&gt;""),'Ratings'!A208,"")</f>
        <v/>
      </c>
      <c r="B3238">
        <f>IF(A3238="","",'Employees'!C18)</f>
        <v/>
      </c>
      <c r="C3238">
        <f>IF(A3238="","",'Ratings'!C208)</f>
        <v/>
      </c>
      <c r="D3238">
        <f>IF(A3238="","",'Ratings'!D208)</f>
        <v/>
      </c>
      <c r="E3238">
        <f>IF(AND('Ratings'!A208&lt;&gt;"",'Ratings'!I5&lt;&gt;""),'Ratings'!I5,"")</f>
        <v/>
      </c>
      <c r="F3238">
        <f>IF(OR(A3238="",'Ratings'!I208=""),"",'Ratings'!I208)</f>
        <v/>
      </c>
      <c r="G3238">
        <f>IF(A3238="","",'Employees'!D18)</f>
        <v/>
      </c>
    </row>
    <row r="3239">
      <c r="A3239">
        <f>IF(AND('Ratings'!A208&lt;&gt;"",'Ratings'!J5&lt;&gt;""),'Ratings'!A208,"")</f>
        <v/>
      </c>
      <c r="B3239">
        <f>IF(A3239="","",'Employees'!C18)</f>
        <v/>
      </c>
      <c r="C3239">
        <f>IF(A3239="","",'Ratings'!C208)</f>
        <v/>
      </c>
      <c r="D3239">
        <f>IF(A3239="","",'Ratings'!D208)</f>
        <v/>
      </c>
      <c r="E3239">
        <f>IF(AND('Ratings'!A208&lt;&gt;"",'Ratings'!J5&lt;&gt;""),'Ratings'!J5,"")</f>
        <v/>
      </c>
      <c r="F3239">
        <f>IF(OR(A3239="",'Ratings'!J208=""),"",'Ratings'!J208)</f>
        <v/>
      </c>
      <c r="G3239">
        <f>IF(A3239="","",'Employees'!D18)</f>
        <v/>
      </c>
    </row>
    <row r="3240">
      <c r="A3240">
        <f>IF(AND('Ratings'!A208&lt;&gt;"",'Ratings'!K5&lt;&gt;""),'Ratings'!A208,"")</f>
        <v/>
      </c>
      <c r="B3240">
        <f>IF(A3240="","",'Employees'!C18)</f>
        <v/>
      </c>
      <c r="C3240">
        <f>IF(A3240="","",'Ratings'!C208)</f>
        <v/>
      </c>
      <c r="D3240">
        <f>IF(A3240="","",'Ratings'!D208)</f>
        <v/>
      </c>
      <c r="E3240">
        <f>IF(AND('Ratings'!A208&lt;&gt;"",'Ratings'!K5&lt;&gt;""),'Ratings'!K5,"")</f>
        <v/>
      </c>
      <c r="F3240">
        <f>IF(OR(A3240="",'Ratings'!K208=""),"",'Ratings'!K208)</f>
        <v/>
      </c>
      <c r="G3240">
        <f>IF(A3240="","",'Employees'!D18)</f>
        <v/>
      </c>
    </row>
    <row r="3241">
      <c r="A3241">
        <f>IF(AND('Ratings'!A208&lt;&gt;"",'Ratings'!L5&lt;&gt;""),'Ratings'!A208,"")</f>
        <v/>
      </c>
      <c r="B3241">
        <f>IF(A3241="","",'Employees'!C18)</f>
        <v/>
      </c>
      <c r="C3241">
        <f>IF(A3241="","",'Ratings'!C208)</f>
        <v/>
      </c>
      <c r="D3241">
        <f>IF(A3241="","",'Ratings'!D208)</f>
        <v/>
      </c>
      <c r="E3241">
        <f>IF(AND('Ratings'!A208&lt;&gt;"",'Ratings'!L5&lt;&gt;""),'Ratings'!L5,"")</f>
        <v/>
      </c>
      <c r="F3241">
        <f>IF(OR(A3241="",'Ratings'!L208=""),"",'Ratings'!L208)</f>
        <v/>
      </c>
      <c r="G3241">
        <f>IF(A3241="","",'Employees'!D18)</f>
        <v/>
      </c>
    </row>
    <row r="3242">
      <c r="A3242">
        <f>IF(AND('Ratings'!A208&lt;&gt;"",'Ratings'!M5&lt;&gt;""),'Ratings'!A208,"")</f>
        <v/>
      </c>
      <c r="B3242">
        <f>IF(A3242="","",'Employees'!C18)</f>
        <v/>
      </c>
      <c r="C3242">
        <f>IF(A3242="","",'Ratings'!C208)</f>
        <v/>
      </c>
      <c r="D3242">
        <f>IF(A3242="","",'Ratings'!D208)</f>
        <v/>
      </c>
      <c r="E3242">
        <f>IF(AND('Ratings'!A208&lt;&gt;"",'Ratings'!M5&lt;&gt;""),'Ratings'!M5,"")</f>
        <v/>
      </c>
      <c r="F3242">
        <f>IF(OR(A3242="",'Ratings'!M208=""),"",'Ratings'!M208)</f>
        <v/>
      </c>
      <c r="G3242">
        <f>IF(A3242="","",'Employees'!D18)</f>
        <v/>
      </c>
    </row>
    <row r="3243">
      <c r="A3243">
        <f>IF(AND('Ratings'!A208&lt;&gt;"",'Ratings'!N5&lt;&gt;""),'Ratings'!A208,"")</f>
        <v/>
      </c>
      <c r="B3243">
        <f>IF(A3243="","",'Employees'!C18)</f>
        <v/>
      </c>
      <c r="C3243">
        <f>IF(A3243="","",'Ratings'!C208)</f>
        <v/>
      </c>
      <c r="D3243">
        <f>IF(A3243="","",'Ratings'!D208)</f>
        <v/>
      </c>
      <c r="E3243">
        <f>IF(AND('Ratings'!A208&lt;&gt;"",'Ratings'!N5&lt;&gt;""),'Ratings'!N5,"")</f>
        <v/>
      </c>
      <c r="F3243">
        <f>IF(OR(A3243="",'Ratings'!N208=""),"",'Ratings'!N208)</f>
        <v/>
      </c>
      <c r="G3243">
        <f>IF(A3243="","",'Employees'!D18)</f>
        <v/>
      </c>
    </row>
    <row r="3244">
      <c r="A3244">
        <f>IF(AND('Ratings'!A208&lt;&gt;"",'Ratings'!O5&lt;&gt;""),'Ratings'!A208,"")</f>
        <v/>
      </c>
      <c r="B3244">
        <f>IF(A3244="","",'Employees'!C18)</f>
        <v/>
      </c>
      <c r="C3244">
        <f>IF(A3244="","",'Ratings'!C208)</f>
        <v/>
      </c>
      <c r="D3244">
        <f>IF(A3244="","",'Ratings'!D208)</f>
        <v/>
      </c>
      <c r="E3244">
        <f>IF(AND('Ratings'!A208&lt;&gt;"",'Ratings'!O5&lt;&gt;""),'Ratings'!O5,"")</f>
        <v/>
      </c>
      <c r="F3244">
        <f>IF(OR(A3244="",'Ratings'!O208=""),"",'Ratings'!O208)</f>
        <v/>
      </c>
      <c r="G3244">
        <f>IF(A3244="","",'Employees'!D18)</f>
        <v/>
      </c>
    </row>
    <row r="3245">
      <c r="A3245">
        <f>IF(AND('Ratings'!A208&lt;&gt;"",'Ratings'!P5&lt;&gt;""),'Ratings'!A208,"")</f>
        <v/>
      </c>
      <c r="B3245">
        <f>IF(A3245="","",'Employees'!C18)</f>
        <v/>
      </c>
      <c r="C3245">
        <f>IF(A3245="","",'Ratings'!C208)</f>
        <v/>
      </c>
      <c r="D3245">
        <f>IF(A3245="","",'Ratings'!D208)</f>
        <v/>
      </c>
      <c r="E3245">
        <f>IF(AND('Ratings'!A208&lt;&gt;"",'Ratings'!P5&lt;&gt;""),'Ratings'!P5,"")</f>
        <v/>
      </c>
      <c r="F3245">
        <f>IF(OR(A3245="",'Ratings'!P208=""),"",'Ratings'!P208)</f>
        <v/>
      </c>
      <c r="G3245">
        <f>IF(A3245="","",'Employees'!D18)</f>
        <v/>
      </c>
    </row>
    <row r="3246">
      <c r="A3246">
        <f>IF(AND('Ratings'!A208&lt;&gt;"",'Ratings'!Q5&lt;&gt;""),'Ratings'!A208,"")</f>
        <v/>
      </c>
      <c r="B3246">
        <f>IF(A3246="","",'Employees'!C18)</f>
        <v/>
      </c>
      <c r="C3246">
        <f>IF(A3246="","",'Ratings'!C208)</f>
        <v/>
      </c>
      <c r="D3246">
        <f>IF(A3246="","",'Ratings'!D208)</f>
        <v/>
      </c>
      <c r="E3246">
        <f>IF(AND('Ratings'!A208&lt;&gt;"",'Ratings'!Q5&lt;&gt;""),'Ratings'!Q5,"")</f>
        <v/>
      </c>
      <c r="F3246">
        <f>IF(OR(A3246="",'Ratings'!Q208=""),"",'Ratings'!Q208)</f>
        <v/>
      </c>
      <c r="G3246">
        <f>IF(A3246="","",'Employees'!D18)</f>
        <v/>
      </c>
    </row>
    <row r="3247">
      <c r="A3247">
        <f>IF(AND('Ratings'!A208&lt;&gt;"",'Ratings'!R5&lt;&gt;""),'Ratings'!A208,"")</f>
        <v/>
      </c>
      <c r="B3247">
        <f>IF(A3247="","",'Employees'!C18)</f>
        <v/>
      </c>
      <c r="C3247">
        <f>IF(A3247="","",'Ratings'!C208)</f>
        <v/>
      </c>
      <c r="D3247">
        <f>IF(A3247="","",'Ratings'!D208)</f>
        <v/>
      </c>
      <c r="E3247">
        <f>IF(AND('Ratings'!A208&lt;&gt;"",'Ratings'!R5&lt;&gt;""),'Ratings'!R5,"")</f>
        <v/>
      </c>
      <c r="F3247">
        <f>IF(OR(A3247="",'Ratings'!R208=""),"",'Ratings'!R208)</f>
        <v/>
      </c>
      <c r="G3247">
        <f>IF(A3247="","",'Employees'!D18)</f>
        <v/>
      </c>
    </row>
    <row r="3248">
      <c r="A3248">
        <f>IF(AND('Ratings'!A208&lt;&gt;"",'Ratings'!S5&lt;&gt;""),'Ratings'!A208,"")</f>
        <v/>
      </c>
      <c r="B3248">
        <f>IF(A3248="","",'Employees'!C18)</f>
        <v/>
      </c>
      <c r="C3248">
        <f>IF(A3248="","",'Ratings'!C208)</f>
        <v/>
      </c>
      <c r="D3248">
        <f>IF(A3248="","",'Ratings'!D208)</f>
        <v/>
      </c>
      <c r="E3248">
        <f>IF(AND('Ratings'!A208&lt;&gt;"",'Ratings'!S5&lt;&gt;""),'Ratings'!S5,"")</f>
        <v/>
      </c>
      <c r="F3248">
        <f>IF(OR(A3248="",'Ratings'!S208=""),"",'Ratings'!S208)</f>
        <v/>
      </c>
      <c r="G3248">
        <f>IF(A3248="","",'Employees'!D18)</f>
        <v/>
      </c>
    </row>
    <row r="3249">
      <c r="A3249">
        <f>IF(AND('Ratings'!A208&lt;&gt;"",'Ratings'!T5&lt;&gt;""),'Ratings'!A208,"")</f>
        <v/>
      </c>
      <c r="B3249">
        <f>IF(A3249="","",'Employees'!C18)</f>
        <v/>
      </c>
      <c r="C3249">
        <f>IF(A3249="","",'Ratings'!C208)</f>
        <v/>
      </c>
      <c r="D3249">
        <f>IF(A3249="","",'Ratings'!D208)</f>
        <v/>
      </c>
      <c r="E3249">
        <f>IF(AND('Ratings'!A208&lt;&gt;"",'Ratings'!T5&lt;&gt;""),'Ratings'!T5,"")</f>
        <v/>
      </c>
      <c r="F3249">
        <f>IF(OR(A3249="",'Ratings'!T208=""),"",'Ratings'!T208)</f>
        <v/>
      </c>
      <c r="G3249">
        <f>IF(A3249="","",'Employees'!D18)</f>
        <v/>
      </c>
    </row>
    <row r="3250">
      <c r="A3250">
        <f>IF(AND('Ratings'!A209&lt;&gt;"",'Ratings'!E5&lt;&gt;""),'Ratings'!A209,"")</f>
        <v/>
      </c>
      <c r="B3250">
        <f>IF(A3250="","",'Employees'!C18)</f>
        <v/>
      </c>
      <c r="C3250">
        <f>IF(A3250="","",'Ratings'!C209)</f>
        <v/>
      </c>
      <c r="D3250">
        <f>IF(A3250="","",'Ratings'!D209)</f>
        <v/>
      </c>
      <c r="E3250">
        <f>IF(AND('Ratings'!A209&lt;&gt;"",'Ratings'!E5&lt;&gt;""),'Ratings'!E5,"")</f>
        <v/>
      </c>
      <c r="F3250">
        <f>IF(OR(A3250="",'Ratings'!E209=""),"",'Ratings'!E209)</f>
        <v/>
      </c>
      <c r="G3250">
        <f>IF(A3250="","",'Employees'!D18)</f>
        <v/>
      </c>
    </row>
    <row r="3251">
      <c r="A3251">
        <f>IF(AND('Ratings'!A209&lt;&gt;"",'Ratings'!F5&lt;&gt;""),'Ratings'!A209,"")</f>
        <v/>
      </c>
      <c r="B3251">
        <f>IF(A3251="","",'Employees'!C18)</f>
        <v/>
      </c>
      <c r="C3251">
        <f>IF(A3251="","",'Ratings'!C209)</f>
        <v/>
      </c>
      <c r="D3251">
        <f>IF(A3251="","",'Ratings'!D209)</f>
        <v/>
      </c>
      <c r="E3251">
        <f>IF(AND('Ratings'!A209&lt;&gt;"",'Ratings'!F5&lt;&gt;""),'Ratings'!F5,"")</f>
        <v/>
      </c>
      <c r="F3251">
        <f>IF(OR(A3251="",'Ratings'!F209=""),"",'Ratings'!F209)</f>
        <v/>
      </c>
      <c r="G3251">
        <f>IF(A3251="","",'Employees'!D18)</f>
        <v/>
      </c>
    </row>
    <row r="3252">
      <c r="A3252">
        <f>IF(AND('Ratings'!A209&lt;&gt;"",'Ratings'!G5&lt;&gt;""),'Ratings'!A209,"")</f>
        <v/>
      </c>
      <c r="B3252">
        <f>IF(A3252="","",'Employees'!C18)</f>
        <v/>
      </c>
      <c r="C3252">
        <f>IF(A3252="","",'Ratings'!C209)</f>
        <v/>
      </c>
      <c r="D3252">
        <f>IF(A3252="","",'Ratings'!D209)</f>
        <v/>
      </c>
      <c r="E3252">
        <f>IF(AND('Ratings'!A209&lt;&gt;"",'Ratings'!G5&lt;&gt;""),'Ratings'!G5,"")</f>
        <v/>
      </c>
      <c r="F3252">
        <f>IF(OR(A3252="",'Ratings'!G209=""),"",'Ratings'!G209)</f>
        <v/>
      </c>
      <c r="G3252">
        <f>IF(A3252="","",'Employees'!D18)</f>
        <v/>
      </c>
    </row>
    <row r="3253">
      <c r="A3253">
        <f>IF(AND('Ratings'!A209&lt;&gt;"",'Ratings'!H5&lt;&gt;""),'Ratings'!A209,"")</f>
        <v/>
      </c>
      <c r="B3253">
        <f>IF(A3253="","",'Employees'!C18)</f>
        <v/>
      </c>
      <c r="C3253">
        <f>IF(A3253="","",'Ratings'!C209)</f>
        <v/>
      </c>
      <c r="D3253">
        <f>IF(A3253="","",'Ratings'!D209)</f>
        <v/>
      </c>
      <c r="E3253">
        <f>IF(AND('Ratings'!A209&lt;&gt;"",'Ratings'!H5&lt;&gt;""),'Ratings'!H5,"")</f>
        <v/>
      </c>
      <c r="F3253">
        <f>IF(OR(A3253="",'Ratings'!H209=""),"",'Ratings'!H209)</f>
        <v/>
      </c>
      <c r="G3253">
        <f>IF(A3253="","",'Employees'!D18)</f>
        <v/>
      </c>
    </row>
    <row r="3254">
      <c r="A3254">
        <f>IF(AND('Ratings'!A209&lt;&gt;"",'Ratings'!I5&lt;&gt;""),'Ratings'!A209,"")</f>
        <v/>
      </c>
      <c r="B3254">
        <f>IF(A3254="","",'Employees'!C18)</f>
        <v/>
      </c>
      <c r="C3254">
        <f>IF(A3254="","",'Ratings'!C209)</f>
        <v/>
      </c>
      <c r="D3254">
        <f>IF(A3254="","",'Ratings'!D209)</f>
        <v/>
      </c>
      <c r="E3254">
        <f>IF(AND('Ratings'!A209&lt;&gt;"",'Ratings'!I5&lt;&gt;""),'Ratings'!I5,"")</f>
        <v/>
      </c>
      <c r="F3254">
        <f>IF(OR(A3254="",'Ratings'!I209=""),"",'Ratings'!I209)</f>
        <v/>
      </c>
      <c r="G3254">
        <f>IF(A3254="","",'Employees'!D18)</f>
        <v/>
      </c>
    </row>
    <row r="3255">
      <c r="A3255">
        <f>IF(AND('Ratings'!A209&lt;&gt;"",'Ratings'!J5&lt;&gt;""),'Ratings'!A209,"")</f>
        <v/>
      </c>
      <c r="B3255">
        <f>IF(A3255="","",'Employees'!C18)</f>
        <v/>
      </c>
      <c r="C3255">
        <f>IF(A3255="","",'Ratings'!C209)</f>
        <v/>
      </c>
      <c r="D3255">
        <f>IF(A3255="","",'Ratings'!D209)</f>
        <v/>
      </c>
      <c r="E3255">
        <f>IF(AND('Ratings'!A209&lt;&gt;"",'Ratings'!J5&lt;&gt;""),'Ratings'!J5,"")</f>
        <v/>
      </c>
      <c r="F3255">
        <f>IF(OR(A3255="",'Ratings'!J209=""),"",'Ratings'!J209)</f>
        <v/>
      </c>
      <c r="G3255">
        <f>IF(A3255="","",'Employees'!D18)</f>
        <v/>
      </c>
    </row>
    <row r="3256">
      <c r="A3256">
        <f>IF(AND('Ratings'!A209&lt;&gt;"",'Ratings'!K5&lt;&gt;""),'Ratings'!A209,"")</f>
        <v/>
      </c>
      <c r="B3256">
        <f>IF(A3256="","",'Employees'!C18)</f>
        <v/>
      </c>
      <c r="C3256">
        <f>IF(A3256="","",'Ratings'!C209)</f>
        <v/>
      </c>
      <c r="D3256">
        <f>IF(A3256="","",'Ratings'!D209)</f>
        <v/>
      </c>
      <c r="E3256">
        <f>IF(AND('Ratings'!A209&lt;&gt;"",'Ratings'!K5&lt;&gt;""),'Ratings'!K5,"")</f>
        <v/>
      </c>
      <c r="F3256">
        <f>IF(OR(A3256="",'Ratings'!K209=""),"",'Ratings'!K209)</f>
        <v/>
      </c>
      <c r="G3256">
        <f>IF(A3256="","",'Employees'!D18)</f>
        <v/>
      </c>
    </row>
    <row r="3257">
      <c r="A3257">
        <f>IF(AND('Ratings'!A209&lt;&gt;"",'Ratings'!L5&lt;&gt;""),'Ratings'!A209,"")</f>
        <v/>
      </c>
      <c r="B3257">
        <f>IF(A3257="","",'Employees'!C18)</f>
        <v/>
      </c>
      <c r="C3257">
        <f>IF(A3257="","",'Ratings'!C209)</f>
        <v/>
      </c>
      <c r="D3257">
        <f>IF(A3257="","",'Ratings'!D209)</f>
        <v/>
      </c>
      <c r="E3257">
        <f>IF(AND('Ratings'!A209&lt;&gt;"",'Ratings'!L5&lt;&gt;""),'Ratings'!L5,"")</f>
        <v/>
      </c>
      <c r="F3257">
        <f>IF(OR(A3257="",'Ratings'!L209=""),"",'Ratings'!L209)</f>
        <v/>
      </c>
      <c r="G3257">
        <f>IF(A3257="","",'Employees'!D18)</f>
        <v/>
      </c>
    </row>
    <row r="3258">
      <c r="A3258">
        <f>IF(AND('Ratings'!A209&lt;&gt;"",'Ratings'!M5&lt;&gt;""),'Ratings'!A209,"")</f>
        <v/>
      </c>
      <c r="B3258">
        <f>IF(A3258="","",'Employees'!C18)</f>
        <v/>
      </c>
      <c r="C3258">
        <f>IF(A3258="","",'Ratings'!C209)</f>
        <v/>
      </c>
      <c r="D3258">
        <f>IF(A3258="","",'Ratings'!D209)</f>
        <v/>
      </c>
      <c r="E3258">
        <f>IF(AND('Ratings'!A209&lt;&gt;"",'Ratings'!M5&lt;&gt;""),'Ratings'!M5,"")</f>
        <v/>
      </c>
      <c r="F3258">
        <f>IF(OR(A3258="",'Ratings'!M209=""),"",'Ratings'!M209)</f>
        <v/>
      </c>
      <c r="G3258">
        <f>IF(A3258="","",'Employees'!D18)</f>
        <v/>
      </c>
    </row>
    <row r="3259">
      <c r="A3259">
        <f>IF(AND('Ratings'!A209&lt;&gt;"",'Ratings'!N5&lt;&gt;""),'Ratings'!A209,"")</f>
        <v/>
      </c>
      <c r="B3259">
        <f>IF(A3259="","",'Employees'!C18)</f>
        <v/>
      </c>
      <c r="C3259">
        <f>IF(A3259="","",'Ratings'!C209)</f>
        <v/>
      </c>
      <c r="D3259">
        <f>IF(A3259="","",'Ratings'!D209)</f>
        <v/>
      </c>
      <c r="E3259">
        <f>IF(AND('Ratings'!A209&lt;&gt;"",'Ratings'!N5&lt;&gt;""),'Ratings'!N5,"")</f>
        <v/>
      </c>
      <c r="F3259">
        <f>IF(OR(A3259="",'Ratings'!N209=""),"",'Ratings'!N209)</f>
        <v/>
      </c>
      <c r="G3259">
        <f>IF(A3259="","",'Employees'!D18)</f>
        <v/>
      </c>
    </row>
    <row r="3260">
      <c r="A3260">
        <f>IF(AND('Ratings'!A209&lt;&gt;"",'Ratings'!O5&lt;&gt;""),'Ratings'!A209,"")</f>
        <v/>
      </c>
      <c r="B3260">
        <f>IF(A3260="","",'Employees'!C18)</f>
        <v/>
      </c>
      <c r="C3260">
        <f>IF(A3260="","",'Ratings'!C209)</f>
        <v/>
      </c>
      <c r="D3260">
        <f>IF(A3260="","",'Ratings'!D209)</f>
        <v/>
      </c>
      <c r="E3260">
        <f>IF(AND('Ratings'!A209&lt;&gt;"",'Ratings'!O5&lt;&gt;""),'Ratings'!O5,"")</f>
        <v/>
      </c>
      <c r="F3260">
        <f>IF(OR(A3260="",'Ratings'!O209=""),"",'Ratings'!O209)</f>
        <v/>
      </c>
      <c r="G3260">
        <f>IF(A3260="","",'Employees'!D18)</f>
        <v/>
      </c>
    </row>
    <row r="3261">
      <c r="A3261">
        <f>IF(AND('Ratings'!A209&lt;&gt;"",'Ratings'!P5&lt;&gt;""),'Ratings'!A209,"")</f>
        <v/>
      </c>
      <c r="B3261">
        <f>IF(A3261="","",'Employees'!C18)</f>
        <v/>
      </c>
      <c r="C3261">
        <f>IF(A3261="","",'Ratings'!C209)</f>
        <v/>
      </c>
      <c r="D3261">
        <f>IF(A3261="","",'Ratings'!D209)</f>
        <v/>
      </c>
      <c r="E3261">
        <f>IF(AND('Ratings'!A209&lt;&gt;"",'Ratings'!P5&lt;&gt;""),'Ratings'!P5,"")</f>
        <v/>
      </c>
      <c r="F3261">
        <f>IF(OR(A3261="",'Ratings'!P209=""),"",'Ratings'!P209)</f>
        <v/>
      </c>
      <c r="G3261">
        <f>IF(A3261="","",'Employees'!D18)</f>
        <v/>
      </c>
    </row>
    <row r="3262">
      <c r="A3262">
        <f>IF(AND('Ratings'!A209&lt;&gt;"",'Ratings'!Q5&lt;&gt;""),'Ratings'!A209,"")</f>
        <v/>
      </c>
      <c r="B3262">
        <f>IF(A3262="","",'Employees'!C18)</f>
        <v/>
      </c>
      <c r="C3262">
        <f>IF(A3262="","",'Ratings'!C209)</f>
        <v/>
      </c>
      <c r="D3262">
        <f>IF(A3262="","",'Ratings'!D209)</f>
        <v/>
      </c>
      <c r="E3262">
        <f>IF(AND('Ratings'!A209&lt;&gt;"",'Ratings'!Q5&lt;&gt;""),'Ratings'!Q5,"")</f>
        <v/>
      </c>
      <c r="F3262">
        <f>IF(OR(A3262="",'Ratings'!Q209=""),"",'Ratings'!Q209)</f>
        <v/>
      </c>
      <c r="G3262">
        <f>IF(A3262="","",'Employees'!D18)</f>
        <v/>
      </c>
    </row>
    <row r="3263">
      <c r="A3263">
        <f>IF(AND('Ratings'!A209&lt;&gt;"",'Ratings'!R5&lt;&gt;""),'Ratings'!A209,"")</f>
        <v/>
      </c>
      <c r="B3263">
        <f>IF(A3263="","",'Employees'!C18)</f>
        <v/>
      </c>
      <c r="C3263">
        <f>IF(A3263="","",'Ratings'!C209)</f>
        <v/>
      </c>
      <c r="D3263">
        <f>IF(A3263="","",'Ratings'!D209)</f>
        <v/>
      </c>
      <c r="E3263">
        <f>IF(AND('Ratings'!A209&lt;&gt;"",'Ratings'!R5&lt;&gt;""),'Ratings'!R5,"")</f>
        <v/>
      </c>
      <c r="F3263">
        <f>IF(OR(A3263="",'Ratings'!R209=""),"",'Ratings'!R209)</f>
        <v/>
      </c>
      <c r="G3263">
        <f>IF(A3263="","",'Employees'!D18)</f>
        <v/>
      </c>
    </row>
    <row r="3264">
      <c r="A3264">
        <f>IF(AND('Ratings'!A209&lt;&gt;"",'Ratings'!S5&lt;&gt;""),'Ratings'!A209,"")</f>
        <v/>
      </c>
      <c r="B3264">
        <f>IF(A3264="","",'Employees'!C18)</f>
        <v/>
      </c>
      <c r="C3264">
        <f>IF(A3264="","",'Ratings'!C209)</f>
        <v/>
      </c>
      <c r="D3264">
        <f>IF(A3264="","",'Ratings'!D209)</f>
        <v/>
      </c>
      <c r="E3264">
        <f>IF(AND('Ratings'!A209&lt;&gt;"",'Ratings'!S5&lt;&gt;""),'Ratings'!S5,"")</f>
        <v/>
      </c>
      <c r="F3264">
        <f>IF(OR(A3264="",'Ratings'!S209=""),"",'Ratings'!S209)</f>
        <v/>
      </c>
      <c r="G3264">
        <f>IF(A3264="","",'Employees'!D18)</f>
        <v/>
      </c>
    </row>
    <row r="3265">
      <c r="A3265">
        <f>IF(AND('Ratings'!A209&lt;&gt;"",'Ratings'!T5&lt;&gt;""),'Ratings'!A209,"")</f>
        <v/>
      </c>
      <c r="B3265">
        <f>IF(A3265="","",'Employees'!C18)</f>
        <v/>
      </c>
      <c r="C3265">
        <f>IF(A3265="","",'Ratings'!C209)</f>
        <v/>
      </c>
      <c r="D3265">
        <f>IF(A3265="","",'Ratings'!D209)</f>
        <v/>
      </c>
      <c r="E3265">
        <f>IF(AND('Ratings'!A209&lt;&gt;"",'Ratings'!T5&lt;&gt;""),'Ratings'!T5,"")</f>
        <v/>
      </c>
      <c r="F3265">
        <f>IF(OR(A3265="",'Ratings'!T209=""),"",'Ratings'!T209)</f>
        <v/>
      </c>
      <c r="G3265">
        <f>IF(A3265="","",'Employees'!D18)</f>
        <v/>
      </c>
    </row>
    <row r="3266">
      <c r="A3266">
        <f>IF(AND('Ratings'!A210&lt;&gt;"",'Ratings'!E5&lt;&gt;""),'Ratings'!A210,"")</f>
        <v/>
      </c>
      <c r="B3266">
        <f>IF(A3266="","",'Employees'!C18)</f>
        <v/>
      </c>
      <c r="C3266">
        <f>IF(A3266="","",'Ratings'!C210)</f>
        <v/>
      </c>
      <c r="D3266">
        <f>IF(A3266="","",'Ratings'!D210)</f>
        <v/>
      </c>
      <c r="E3266">
        <f>IF(AND('Ratings'!A210&lt;&gt;"",'Ratings'!E5&lt;&gt;""),'Ratings'!E5,"")</f>
        <v/>
      </c>
      <c r="F3266">
        <f>IF(OR(A3266="",'Ratings'!E210=""),"",'Ratings'!E210)</f>
        <v/>
      </c>
      <c r="G3266">
        <f>IF(A3266="","",'Employees'!D18)</f>
        <v/>
      </c>
    </row>
    <row r="3267">
      <c r="A3267">
        <f>IF(AND('Ratings'!A210&lt;&gt;"",'Ratings'!F5&lt;&gt;""),'Ratings'!A210,"")</f>
        <v/>
      </c>
      <c r="B3267">
        <f>IF(A3267="","",'Employees'!C18)</f>
        <v/>
      </c>
      <c r="C3267">
        <f>IF(A3267="","",'Ratings'!C210)</f>
        <v/>
      </c>
      <c r="D3267">
        <f>IF(A3267="","",'Ratings'!D210)</f>
        <v/>
      </c>
      <c r="E3267">
        <f>IF(AND('Ratings'!A210&lt;&gt;"",'Ratings'!F5&lt;&gt;""),'Ratings'!F5,"")</f>
        <v/>
      </c>
      <c r="F3267">
        <f>IF(OR(A3267="",'Ratings'!F210=""),"",'Ratings'!F210)</f>
        <v/>
      </c>
      <c r="G3267">
        <f>IF(A3267="","",'Employees'!D18)</f>
        <v/>
      </c>
    </row>
    <row r="3268">
      <c r="A3268">
        <f>IF(AND('Ratings'!A210&lt;&gt;"",'Ratings'!G5&lt;&gt;""),'Ratings'!A210,"")</f>
        <v/>
      </c>
      <c r="B3268">
        <f>IF(A3268="","",'Employees'!C18)</f>
        <v/>
      </c>
      <c r="C3268">
        <f>IF(A3268="","",'Ratings'!C210)</f>
        <v/>
      </c>
      <c r="D3268">
        <f>IF(A3268="","",'Ratings'!D210)</f>
        <v/>
      </c>
      <c r="E3268">
        <f>IF(AND('Ratings'!A210&lt;&gt;"",'Ratings'!G5&lt;&gt;""),'Ratings'!G5,"")</f>
        <v/>
      </c>
      <c r="F3268">
        <f>IF(OR(A3268="",'Ratings'!G210=""),"",'Ratings'!G210)</f>
        <v/>
      </c>
      <c r="G3268">
        <f>IF(A3268="","",'Employees'!D18)</f>
        <v/>
      </c>
    </row>
    <row r="3269">
      <c r="A3269">
        <f>IF(AND('Ratings'!A210&lt;&gt;"",'Ratings'!H5&lt;&gt;""),'Ratings'!A210,"")</f>
        <v/>
      </c>
      <c r="B3269">
        <f>IF(A3269="","",'Employees'!C18)</f>
        <v/>
      </c>
      <c r="C3269">
        <f>IF(A3269="","",'Ratings'!C210)</f>
        <v/>
      </c>
      <c r="D3269">
        <f>IF(A3269="","",'Ratings'!D210)</f>
        <v/>
      </c>
      <c r="E3269">
        <f>IF(AND('Ratings'!A210&lt;&gt;"",'Ratings'!H5&lt;&gt;""),'Ratings'!H5,"")</f>
        <v/>
      </c>
      <c r="F3269">
        <f>IF(OR(A3269="",'Ratings'!H210=""),"",'Ratings'!H210)</f>
        <v/>
      </c>
      <c r="G3269">
        <f>IF(A3269="","",'Employees'!D18)</f>
        <v/>
      </c>
    </row>
    <row r="3270">
      <c r="A3270">
        <f>IF(AND('Ratings'!A210&lt;&gt;"",'Ratings'!I5&lt;&gt;""),'Ratings'!A210,"")</f>
        <v/>
      </c>
      <c r="B3270">
        <f>IF(A3270="","",'Employees'!C18)</f>
        <v/>
      </c>
      <c r="C3270">
        <f>IF(A3270="","",'Ratings'!C210)</f>
        <v/>
      </c>
      <c r="D3270">
        <f>IF(A3270="","",'Ratings'!D210)</f>
        <v/>
      </c>
      <c r="E3270">
        <f>IF(AND('Ratings'!A210&lt;&gt;"",'Ratings'!I5&lt;&gt;""),'Ratings'!I5,"")</f>
        <v/>
      </c>
      <c r="F3270">
        <f>IF(OR(A3270="",'Ratings'!I210=""),"",'Ratings'!I210)</f>
        <v/>
      </c>
      <c r="G3270">
        <f>IF(A3270="","",'Employees'!D18)</f>
        <v/>
      </c>
    </row>
    <row r="3271">
      <c r="A3271">
        <f>IF(AND('Ratings'!A210&lt;&gt;"",'Ratings'!J5&lt;&gt;""),'Ratings'!A210,"")</f>
        <v/>
      </c>
      <c r="B3271">
        <f>IF(A3271="","",'Employees'!C18)</f>
        <v/>
      </c>
      <c r="C3271">
        <f>IF(A3271="","",'Ratings'!C210)</f>
        <v/>
      </c>
      <c r="D3271">
        <f>IF(A3271="","",'Ratings'!D210)</f>
        <v/>
      </c>
      <c r="E3271">
        <f>IF(AND('Ratings'!A210&lt;&gt;"",'Ratings'!J5&lt;&gt;""),'Ratings'!J5,"")</f>
        <v/>
      </c>
      <c r="F3271">
        <f>IF(OR(A3271="",'Ratings'!J210=""),"",'Ratings'!J210)</f>
        <v/>
      </c>
      <c r="G3271">
        <f>IF(A3271="","",'Employees'!D18)</f>
        <v/>
      </c>
    </row>
    <row r="3272">
      <c r="A3272">
        <f>IF(AND('Ratings'!A210&lt;&gt;"",'Ratings'!K5&lt;&gt;""),'Ratings'!A210,"")</f>
        <v/>
      </c>
      <c r="B3272">
        <f>IF(A3272="","",'Employees'!C18)</f>
        <v/>
      </c>
      <c r="C3272">
        <f>IF(A3272="","",'Ratings'!C210)</f>
        <v/>
      </c>
      <c r="D3272">
        <f>IF(A3272="","",'Ratings'!D210)</f>
        <v/>
      </c>
      <c r="E3272">
        <f>IF(AND('Ratings'!A210&lt;&gt;"",'Ratings'!K5&lt;&gt;""),'Ratings'!K5,"")</f>
        <v/>
      </c>
      <c r="F3272">
        <f>IF(OR(A3272="",'Ratings'!K210=""),"",'Ratings'!K210)</f>
        <v/>
      </c>
      <c r="G3272">
        <f>IF(A3272="","",'Employees'!D18)</f>
        <v/>
      </c>
    </row>
    <row r="3273">
      <c r="A3273">
        <f>IF(AND('Ratings'!A210&lt;&gt;"",'Ratings'!L5&lt;&gt;""),'Ratings'!A210,"")</f>
        <v/>
      </c>
      <c r="B3273">
        <f>IF(A3273="","",'Employees'!C18)</f>
        <v/>
      </c>
      <c r="C3273">
        <f>IF(A3273="","",'Ratings'!C210)</f>
        <v/>
      </c>
      <c r="D3273">
        <f>IF(A3273="","",'Ratings'!D210)</f>
        <v/>
      </c>
      <c r="E3273">
        <f>IF(AND('Ratings'!A210&lt;&gt;"",'Ratings'!L5&lt;&gt;""),'Ratings'!L5,"")</f>
        <v/>
      </c>
      <c r="F3273">
        <f>IF(OR(A3273="",'Ratings'!L210=""),"",'Ratings'!L210)</f>
        <v/>
      </c>
      <c r="G3273">
        <f>IF(A3273="","",'Employees'!D18)</f>
        <v/>
      </c>
    </row>
    <row r="3274">
      <c r="A3274">
        <f>IF(AND('Ratings'!A210&lt;&gt;"",'Ratings'!M5&lt;&gt;""),'Ratings'!A210,"")</f>
        <v/>
      </c>
      <c r="B3274">
        <f>IF(A3274="","",'Employees'!C18)</f>
        <v/>
      </c>
      <c r="C3274">
        <f>IF(A3274="","",'Ratings'!C210)</f>
        <v/>
      </c>
      <c r="D3274">
        <f>IF(A3274="","",'Ratings'!D210)</f>
        <v/>
      </c>
      <c r="E3274">
        <f>IF(AND('Ratings'!A210&lt;&gt;"",'Ratings'!M5&lt;&gt;""),'Ratings'!M5,"")</f>
        <v/>
      </c>
      <c r="F3274">
        <f>IF(OR(A3274="",'Ratings'!M210=""),"",'Ratings'!M210)</f>
        <v/>
      </c>
      <c r="G3274">
        <f>IF(A3274="","",'Employees'!D18)</f>
        <v/>
      </c>
    </row>
    <row r="3275">
      <c r="A3275">
        <f>IF(AND('Ratings'!A210&lt;&gt;"",'Ratings'!N5&lt;&gt;""),'Ratings'!A210,"")</f>
        <v/>
      </c>
      <c r="B3275">
        <f>IF(A3275="","",'Employees'!C18)</f>
        <v/>
      </c>
      <c r="C3275">
        <f>IF(A3275="","",'Ratings'!C210)</f>
        <v/>
      </c>
      <c r="D3275">
        <f>IF(A3275="","",'Ratings'!D210)</f>
        <v/>
      </c>
      <c r="E3275">
        <f>IF(AND('Ratings'!A210&lt;&gt;"",'Ratings'!N5&lt;&gt;""),'Ratings'!N5,"")</f>
        <v/>
      </c>
      <c r="F3275">
        <f>IF(OR(A3275="",'Ratings'!N210=""),"",'Ratings'!N210)</f>
        <v/>
      </c>
      <c r="G3275">
        <f>IF(A3275="","",'Employees'!D18)</f>
        <v/>
      </c>
    </row>
    <row r="3276">
      <c r="A3276">
        <f>IF(AND('Ratings'!A210&lt;&gt;"",'Ratings'!O5&lt;&gt;""),'Ratings'!A210,"")</f>
        <v/>
      </c>
      <c r="B3276">
        <f>IF(A3276="","",'Employees'!C18)</f>
        <v/>
      </c>
      <c r="C3276">
        <f>IF(A3276="","",'Ratings'!C210)</f>
        <v/>
      </c>
      <c r="D3276">
        <f>IF(A3276="","",'Ratings'!D210)</f>
        <v/>
      </c>
      <c r="E3276">
        <f>IF(AND('Ratings'!A210&lt;&gt;"",'Ratings'!O5&lt;&gt;""),'Ratings'!O5,"")</f>
        <v/>
      </c>
      <c r="F3276">
        <f>IF(OR(A3276="",'Ratings'!O210=""),"",'Ratings'!O210)</f>
        <v/>
      </c>
      <c r="G3276">
        <f>IF(A3276="","",'Employees'!D18)</f>
        <v/>
      </c>
    </row>
    <row r="3277">
      <c r="A3277">
        <f>IF(AND('Ratings'!A210&lt;&gt;"",'Ratings'!P5&lt;&gt;""),'Ratings'!A210,"")</f>
        <v/>
      </c>
      <c r="B3277">
        <f>IF(A3277="","",'Employees'!C18)</f>
        <v/>
      </c>
      <c r="C3277">
        <f>IF(A3277="","",'Ratings'!C210)</f>
        <v/>
      </c>
      <c r="D3277">
        <f>IF(A3277="","",'Ratings'!D210)</f>
        <v/>
      </c>
      <c r="E3277">
        <f>IF(AND('Ratings'!A210&lt;&gt;"",'Ratings'!P5&lt;&gt;""),'Ratings'!P5,"")</f>
        <v/>
      </c>
      <c r="F3277">
        <f>IF(OR(A3277="",'Ratings'!P210=""),"",'Ratings'!P210)</f>
        <v/>
      </c>
      <c r="G3277">
        <f>IF(A3277="","",'Employees'!D18)</f>
        <v/>
      </c>
    </row>
    <row r="3278">
      <c r="A3278">
        <f>IF(AND('Ratings'!A210&lt;&gt;"",'Ratings'!Q5&lt;&gt;""),'Ratings'!A210,"")</f>
        <v/>
      </c>
      <c r="B3278">
        <f>IF(A3278="","",'Employees'!C18)</f>
        <v/>
      </c>
      <c r="C3278">
        <f>IF(A3278="","",'Ratings'!C210)</f>
        <v/>
      </c>
      <c r="D3278">
        <f>IF(A3278="","",'Ratings'!D210)</f>
        <v/>
      </c>
      <c r="E3278">
        <f>IF(AND('Ratings'!A210&lt;&gt;"",'Ratings'!Q5&lt;&gt;""),'Ratings'!Q5,"")</f>
        <v/>
      </c>
      <c r="F3278">
        <f>IF(OR(A3278="",'Ratings'!Q210=""),"",'Ratings'!Q210)</f>
        <v/>
      </c>
      <c r="G3278">
        <f>IF(A3278="","",'Employees'!D18)</f>
        <v/>
      </c>
    </row>
    <row r="3279">
      <c r="A3279">
        <f>IF(AND('Ratings'!A210&lt;&gt;"",'Ratings'!R5&lt;&gt;""),'Ratings'!A210,"")</f>
        <v/>
      </c>
      <c r="B3279">
        <f>IF(A3279="","",'Employees'!C18)</f>
        <v/>
      </c>
      <c r="C3279">
        <f>IF(A3279="","",'Ratings'!C210)</f>
        <v/>
      </c>
      <c r="D3279">
        <f>IF(A3279="","",'Ratings'!D210)</f>
        <v/>
      </c>
      <c r="E3279">
        <f>IF(AND('Ratings'!A210&lt;&gt;"",'Ratings'!R5&lt;&gt;""),'Ratings'!R5,"")</f>
        <v/>
      </c>
      <c r="F3279">
        <f>IF(OR(A3279="",'Ratings'!R210=""),"",'Ratings'!R210)</f>
        <v/>
      </c>
      <c r="G3279">
        <f>IF(A3279="","",'Employees'!D18)</f>
        <v/>
      </c>
    </row>
    <row r="3280">
      <c r="A3280">
        <f>IF(AND('Ratings'!A210&lt;&gt;"",'Ratings'!S5&lt;&gt;""),'Ratings'!A210,"")</f>
        <v/>
      </c>
      <c r="B3280">
        <f>IF(A3280="","",'Employees'!C18)</f>
        <v/>
      </c>
      <c r="C3280">
        <f>IF(A3280="","",'Ratings'!C210)</f>
        <v/>
      </c>
      <c r="D3280">
        <f>IF(A3280="","",'Ratings'!D210)</f>
        <v/>
      </c>
      <c r="E3280">
        <f>IF(AND('Ratings'!A210&lt;&gt;"",'Ratings'!S5&lt;&gt;""),'Ratings'!S5,"")</f>
        <v/>
      </c>
      <c r="F3280">
        <f>IF(OR(A3280="",'Ratings'!S210=""),"",'Ratings'!S210)</f>
        <v/>
      </c>
      <c r="G3280">
        <f>IF(A3280="","",'Employees'!D18)</f>
        <v/>
      </c>
    </row>
    <row r="3281">
      <c r="A3281">
        <f>IF(AND('Ratings'!A210&lt;&gt;"",'Ratings'!T5&lt;&gt;""),'Ratings'!A210,"")</f>
        <v/>
      </c>
      <c r="B3281">
        <f>IF(A3281="","",'Employees'!C18)</f>
        <v/>
      </c>
      <c r="C3281">
        <f>IF(A3281="","",'Ratings'!C210)</f>
        <v/>
      </c>
      <c r="D3281">
        <f>IF(A3281="","",'Ratings'!D210)</f>
        <v/>
      </c>
      <c r="E3281">
        <f>IF(AND('Ratings'!A210&lt;&gt;"",'Ratings'!T5&lt;&gt;""),'Ratings'!T5,"")</f>
        <v/>
      </c>
      <c r="F3281">
        <f>IF(OR(A3281="",'Ratings'!T210=""),"",'Ratings'!T210)</f>
        <v/>
      </c>
      <c r="G3281">
        <f>IF(A3281="","",'Employees'!D18)</f>
        <v/>
      </c>
    </row>
    <row r="3282">
      <c r="A3282">
        <f>IF(AND('Ratings'!A211&lt;&gt;"",'Ratings'!E5&lt;&gt;""),'Ratings'!A211,"")</f>
        <v/>
      </c>
      <c r="B3282">
        <f>IF(A3282="","",'Employees'!C18)</f>
        <v/>
      </c>
      <c r="C3282">
        <f>IF(A3282="","",'Ratings'!C211)</f>
        <v/>
      </c>
      <c r="D3282">
        <f>IF(A3282="","",'Ratings'!D211)</f>
        <v/>
      </c>
      <c r="E3282">
        <f>IF(AND('Ratings'!A211&lt;&gt;"",'Ratings'!E5&lt;&gt;""),'Ratings'!E5,"")</f>
        <v/>
      </c>
      <c r="F3282">
        <f>IF(OR(A3282="",'Ratings'!E211=""),"",'Ratings'!E211)</f>
        <v/>
      </c>
      <c r="G3282">
        <f>IF(A3282="","",'Employees'!D18)</f>
        <v/>
      </c>
    </row>
    <row r="3283">
      <c r="A3283">
        <f>IF(AND('Ratings'!A211&lt;&gt;"",'Ratings'!F5&lt;&gt;""),'Ratings'!A211,"")</f>
        <v/>
      </c>
      <c r="B3283">
        <f>IF(A3283="","",'Employees'!C18)</f>
        <v/>
      </c>
      <c r="C3283">
        <f>IF(A3283="","",'Ratings'!C211)</f>
        <v/>
      </c>
      <c r="D3283">
        <f>IF(A3283="","",'Ratings'!D211)</f>
        <v/>
      </c>
      <c r="E3283">
        <f>IF(AND('Ratings'!A211&lt;&gt;"",'Ratings'!F5&lt;&gt;""),'Ratings'!F5,"")</f>
        <v/>
      </c>
      <c r="F3283">
        <f>IF(OR(A3283="",'Ratings'!F211=""),"",'Ratings'!F211)</f>
        <v/>
      </c>
      <c r="G3283">
        <f>IF(A3283="","",'Employees'!D18)</f>
        <v/>
      </c>
    </row>
    <row r="3284">
      <c r="A3284">
        <f>IF(AND('Ratings'!A211&lt;&gt;"",'Ratings'!G5&lt;&gt;""),'Ratings'!A211,"")</f>
        <v/>
      </c>
      <c r="B3284">
        <f>IF(A3284="","",'Employees'!C18)</f>
        <v/>
      </c>
      <c r="C3284">
        <f>IF(A3284="","",'Ratings'!C211)</f>
        <v/>
      </c>
      <c r="D3284">
        <f>IF(A3284="","",'Ratings'!D211)</f>
        <v/>
      </c>
      <c r="E3284">
        <f>IF(AND('Ratings'!A211&lt;&gt;"",'Ratings'!G5&lt;&gt;""),'Ratings'!G5,"")</f>
        <v/>
      </c>
      <c r="F3284">
        <f>IF(OR(A3284="",'Ratings'!G211=""),"",'Ratings'!G211)</f>
        <v/>
      </c>
      <c r="G3284">
        <f>IF(A3284="","",'Employees'!D18)</f>
        <v/>
      </c>
    </row>
    <row r="3285">
      <c r="A3285">
        <f>IF(AND('Ratings'!A211&lt;&gt;"",'Ratings'!H5&lt;&gt;""),'Ratings'!A211,"")</f>
        <v/>
      </c>
      <c r="B3285">
        <f>IF(A3285="","",'Employees'!C18)</f>
        <v/>
      </c>
      <c r="C3285">
        <f>IF(A3285="","",'Ratings'!C211)</f>
        <v/>
      </c>
      <c r="D3285">
        <f>IF(A3285="","",'Ratings'!D211)</f>
        <v/>
      </c>
      <c r="E3285">
        <f>IF(AND('Ratings'!A211&lt;&gt;"",'Ratings'!H5&lt;&gt;""),'Ratings'!H5,"")</f>
        <v/>
      </c>
      <c r="F3285">
        <f>IF(OR(A3285="",'Ratings'!H211=""),"",'Ratings'!H211)</f>
        <v/>
      </c>
      <c r="G3285">
        <f>IF(A3285="","",'Employees'!D18)</f>
        <v/>
      </c>
    </row>
    <row r="3286">
      <c r="A3286">
        <f>IF(AND('Ratings'!A211&lt;&gt;"",'Ratings'!I5&lt;&gt;""),'Ratings'!A211,"")</f>
        <v/>
      </c>
      <c r="B3286">
        <f>IF(A3286="","",'Employees'!C18)</f>
        <v/>
      </c>
      <c r="C3286">
        <f>IF(A3286="","",'Ratings'!C211)</f>
        <v/>
      </c>
      <c r="D3286">
        <f>IF(A3286="","",'Ratings'!D211)</f>
        <v/>
      </c>
      <c r="E3286">
        <f>IF(AND('Ratings'!A211&lt;&gt;"",'Ratings'!I5&lt;&gt;""),'Ratings'!I5,"")</f>
        <v/>
      </c>
      <c r="F3286">
        <f>IF(OR(A3286="",'Ratings'!I211=""),"",'Ratings'!I211)</f>
        <v/>
      </c>
      <c r="G3286">
        <f>IF(A3286="","",'Employees'!D18)</f>
        <v/>
      </c>
    </row>
    <row r="3287">
      <c r="A3287">
        <f>IF(AND('Ratings'!A211&lt;&gt;"",'Ratings'!J5&lt;&gt;""),'Ratings'!A211,"")</f>
        <v/>
      </c>
      <c r="B3287">
        <f>IF(A3287="","",'Employees'!C18)</f>
        <v/>
      </c>
      <c r="C3287">
        <f>IF(A3287="","",'Ratings'!C211)</f>
        <v/>
      </c>
      <c r="D3287">
        <f>IF(A3287="","",'Ratings'!D211)</f>
        <v/>
      </c>
      <c r="E3287">
        <f>IF(AND('Ratings'!A211&lt;&gt;"",'Ratings'!J5&lt;&gt;""),'Ratings'!J5,"")</f>
        <v/>
      </c>
      <c r="F3287">
        <f>IF(OR(A3287="",'Ratings'!J211=""),"",'Ratings'!J211)</f>
        <v/>
      </c>
      <c r="G3287">
        <f>IF(A3287="","",'Employees'!D18)</f>
        <v/>
      </c>
    </row>
    <row r="3288">
      <c r="A3288">
        <f>IF(AND('Ratings'!A211&lt;&gt;"",'Ratings'!K5&lt;&gt;""),'Ratings'!A211,"")</f>
        <v/>
      </c>
      <c r="B3288">
        <f>IF(A3288="","",'Employees'!C18)</f>
        <v/>
      </c>
      <c r="C3288">
        <f>IF(A3288="","",'Ratings'!C211)</f>
        <v/>
      </c>
      <c r="D3288">
        <f>IF(A3288="","",'Ratings'!D211)</f>
        <v/>
      </c>
      <c r="E3288">
        <f>IF(AND('Ratings'!A211&lt;&gt;"",'Ratings'!K5&lt;&gt;""),'Ratings'!K5,"")</f>
        <v/>
      </c>
      <c r="F3288">
        <f>IF(OR(A3288="",'Ratings'!K211=""),"",'Ratings'!K211)</f>
        <v/>
      </c>
      <c r="G3288">
        <f>IF(A3288="","",'Employees'!D18)</f>
        <v/>
      </c>
    </row>
    <row r="3289">
      <c r="A3289">
        <f>IF(AND('Ratings'!A211&lt;&gt;"",'Ratings'!L5&lt;&gt;""),'Ratings'!A211,"")</f>
        <v/>
      </c>
      <c r="B3289">
        <f>IF(A3289="","",'Employees'!C18)</f>
        <v/>
      </c>
      <c r="C3289">
        <f>IF(A3289="","",'Ratings'!C211)</f>
        <v/>
      </c>
      <c r="D3289">
        <f>IF(A3289="","",'Ratings'!D211)</f>
        <v/>
      </c>
      <c r="E3289">
        <f>IF(AND('Ratings'!A211&lt;&gt;"",'Ratings'!L5&lt;&gt;""),'Ratings'!L5,"")</f>
        <v/>
      </c>
      <c r="F3289">
        <f>IF(OR(A3289="",'Ratings'!L211=""),"",'Ratings'!L211)</f>
        <v/>
      </c>
      <c r="G3289">
        <f>IF(A3289="","",'Employees'!D18)</f>
        <v/>
      </c>
    </row>
    <row r="3290">
      <c r="A3290">
        <f>IF(AND('Ratings'!A211&lt;&gt;"",'Ratings'!M5&lt;&gt;""),'Ratings'!A211,"")</f>
        <v/>
      </c>
      <c r="B3290">
        <f>IF(A3290="","",'Employees'!C18)</f>
        <v/>
      </c>
      <c r="C3290">
        <f>IF(A3290="","",'Ratings'!C211)</f>
        <v/>
      </c>
      <c r="D3290">
        <f>IF(A3290="","",'Ratings'!D211)</f>
        <v/>
      </c>
      <c r="E3290">
        <f>IF(AND('Ratings'!A211&lt;&gt;"",'Ratings'!M5&lt;&gt;""),'Ratings'!M5,"")</f>
        <v/>
      </c>
      <c r="F3290">
        <f>IF(OR(A3290="",'Ratings'!M211=""),"",'Ratings'!M211)</f>
        <v/>
      </c>
      <c r="G3290">
        <f>IF(A3290="","",'Employees'!D18)</f>
        <v/>
      </c>
    </row>
    <row r="3291">
      <c r="A3291">
        <f>IF(AND('Ratings'!A211&lt;&gt;"",'Ratings'!N5&lt;&gt;""),'Ratings'!A211,"")</f>
        <v/>
      </c>
      <c r="B3291">
        <f>IF(A3291="","",'Employees'!C18)</f>
        <v/>
      </c>
      <c r="C3291">
        <f>IF(A3291="","",'Ratings'!C211)</f>
        <v/>
      </c>
      <c r="D3291">
        <f>IF(A3291="","",'Ratings'!D211)</f>
        <v/>
      </c>
      <c r="E3291">
        <f>IF(AND('Ratings'!A211&lt;&gt;"",'Ratings'!N5&lt;&gt;""),'Ratings'!N5,"")</f>
        <v/>
      </c>
      <c r="F3291">
        <f>IF(OR(A3291="",'Ratings'!N211=""),"",'Ratings'!N211)</f>
        <v/>
      </c>
      <c r="G3291">
        <f>IF(A3291="","",'Employees'!D18)</f>
        <v/>
      </c>
    </row>
    <row r="3292">
      <c r="A3292">
        <f>IF(AND('Ratings'!A211&lt;&gt;"",'Ratings'!O5&lt;&gt;""),'Ratings'!A211,"")</f>
        <v/>
      </c>
      <c r="B3292">
        <f>IF(A3292="","",'Employees'!C18)</f>
        <v/>
      </c>
      <c r="C3292">
        <f>IF(A3292="","",'Ratings'!C211)</f>
        <v/>
      </c>
      <c r="D3292">
        <f>IF(A3292="","",'Ratings'!D211)</f>
        <v/>
      </c>
      <c r="E3292">
        <f>IF(AND('Ratings'!A211&lt;&gt;"",'Ratings'!O5&lt;&gt;""),'Ratings'!O5,"")</f>
        <v/>
      </c>
      <c r="F3292">
        <f>IF(OR(A3292="",'Ratings'!O211=""),"",'Ratings'!O211)</f>
        <v/>
      </c>
      <c r="G3292">
        <f>IF(A3292="","",'Employees'!D18)</f>
        <v/>
      </c>
    </row>
    <row r="3293">
      <c r="A3293">
        <f>IF(AND('Ratings'!A211&lt;&gt;"",'Ratings'!P5&lt;&gt;""),'Ratings'!A211,"")</f>
        <v/>
      </c>
      <c r="B3293">
        <f>IF(A3293="","",'Employees'!C18)</f>
        <v/>
      </c>
      <c r="C3293">
        <f>IF(A3293="","",'Ratings'!C211)</f>
        <v/>
      </c>
      <c r="D3293">
        <f>IF(A3293="","",'Ratings'!D211)</f>
        <v/>
      </c>
      <c r="E3293">
        <f>IF(AND('Ratings'!A211&lt;&gt;"",'Ratings'!P5&lt;&gt;""),'Ratings'!P5,"")</f>
        <v/>
      </c>
      <c r="F3293">
        <f>IF(OR(A3293="",'Ratings'!P211=""),"",'Ratings'!P211)</f>
        <v/>
      </c>
      <c r="G3293">
        <f>IF(A3293="","",'Employees'!D18)</f>
        <v/>
      </c>
    </row>
    <row r="3294">
      <c r="A3294">
        <f>IF(AND('Ratings'!A211&lt;&gt;"",'Ratings'!Q5&lt;&gt;""),'Ratings'!A211,"")</f>
        <v/>
      </c>
      <c r="B3294">
        <f>IF(A3294="","",'Employees'!C18)</f>
        <v/>
      </c>
      <c r="C3294">
        <f>IF(A3294="","",'Ratings'!C211)</f>
        <v/>
      </c>
      <c r="D3294">
        <f>IF(A3294="","",'Ratings'!D211)</f>
        <v/>
      </c>
      <c r="E3294">
        <f>IF(AND('Ratings'!A211&lt;&gt;"",'Ratings'!Q5&lt;&gt;""),'Ratings'!Q5,"")</f>
        <v/>
      </c>
      <c r="F3294">
        <f>IF(OR(A3294="",'Ratings'!Q211=""),"",'Ratings'!Q211)</f>
        <v/>
      </c>
      <c r="G3294">
        <f>IF(A3294="","",'Employees'!D18)</f>
        <v/>
      </c>
    </row>
    <row r="3295">
      <c r="A3295">
        <f>IF(AND('Ratings'!A211&lt;&gt;"",'Ratings'!R5&lt;&gt;""),'Ratings'!A211,"")</f>
        <v/>
      </c>
      <c r="B3295">
        <f>IF(A3295="","",'Employees'!C18)</f>
        <v/>
      </c>
      <c r="C3295">
        <f>IF(A3295="","",'Ratings'!C211)</f>
        <v/>
      </c>
      <c r="D3295">
        <f>IF(A3295="","",'Ratings'!D211)</f>
        <v/>
      </c>
      <c r="E3295">
        <f>IF(AND('Ratings'!A211&lt;&gt;"",'Ratings'!R5&lt;&gt;""),'Ratings'!R5,"")</f>
        <v/>
      </c>
      <c r="F3295">
        <f>IF(OR(A3295="",'Ratings'!R211=""),"",'Ratings'!R211)</f>
        <v/>
      </c>
      <c r="G3295">
        <f>IF(A3295="","",'Employees'!D18)</f>
        <v/>
      </c>
    </row>
    <row r="3296">
      <c r="A3296">
        <f>IF(AND('Ratings'!A211&lt;&gt;"",'Ratings'!S5&lt;&gt;""),'Ratings'!A211,"")</f>
        <v/>
      </c>
      <c r="B3296">
        <f>IF(A3296="","",'Employees'!C18)</f>
        <v/>
      </c>
      <c r="C3296">
        <f>IF(A3296="","",'Ratings'!C211)</f>
        <v/>
      </c>
      <c r="D3296">
        <f>IF(A3296="","",'Ratings'!D211)</f>
        <v/>
      </c>
      <c r="E3296">
        <f>IF(AND('Ratings'!A211&lt;&gt;"",'Ratings'!S5&lt;&gt;""),'Ratings'!S5,"")</f>
        <v/>
      </c>
      <c r="F3296">
        <f>IF(OR(A3296="",'Ratings'!S211=""),"",'Ratings'!S211)</f>
        <v/>
      </c>
      <c r="G3296">
        <f>IF(A3296="","",'Employees'!D18)</f>
        <v/>
      </c>
    </row>
    <row r="3297">
      <c r="A3297">
        <f>IF(AND('Ratings'!A211&lt;&gt;"",'Ratings'!T5&lt;&gt;""),'Ratings'!A211,"")</f>
        <v/>
      </c>
      <c r="B3297">
        <f>IF(A3297="","",'Employees'!C18)</f>
        <v/>
      </c>
      <c r="C3297">
        <f>IF(A3297="","",'Ratings'!C211)</f>
        <v/>
      </c>
      <c r="D3297">
        <f>IF(A3297="","",'Ratings'!D211)</f>
        <v/>
      </c>
      <c r="E3297">
        <f>IF(AND('Ratings'!A211&lt;&gt;"",'Ratings'!T5&lt;&gt;""),'Ratings'!T5,"")</f>
        <v/>
      </c>
      <c r="F3297">
        <f>IF(OR(A3297="",'Ratings'!T211=""),"",'Ratings'!T211)</f>
        <v/>
      </c>
      <c r="G3297">
        <f>IF(A3297="","",'Employees'!D18)</f>
        <v/>
      </c>
    </row>
    <row r="3298">
      <c r="A3298">
        <f>IF(AND('Ratings'!A212&lt;&gt;"",'Ratings'!E5&lt;&gt;""),'Ratings'!A212,"")</f>
        <v/>
      </c>
      <c r="B3298">
        <f>IF(A3298="","",'Employees'!C18)</f>
        <v/>
      </c>
      <c r="C3298">
        <f>IF(A3298="","",'Ratings'!C212)</f>
        <v/>
      </c>
      <c r="D3298">
        <f>IF(A3298="","",'Ratings'!D212)</f>
        <v/>
      </c>
      <c r="E3298">
        <f>IF(AND('Ratings'!A212&lt;&gt;"",'Ratings'!E5&lt;&gt;""),'Ratings'!E5,"")</f>
        <v/>
      </c>
      <c r="F3298">
        <f>IF(OR(A3298="",'Ratings'!E212=""),"",'Ratings'!E212)</f>
        <v/>
      </c>
      <c r="G3298">
        <f>IF(A3298="","",'Employees'!D18)</f>
        <v/>
      </c>
    </row>
    <row r="3299">
      <c r="A3299">
        <f>IF(AND('Ratings'!A212&lt;&gt;"",'Ratings'!F5&lt;&gt;""),'Ratings'!A212,"")</f>
        <v/>
      </c>
      <c r="B3299">
        <f>IF(A3299="","",'Employees'!C18)</f>
        <v/>
      </c>
      <c r="C3299">
        <f>IF(A3299="","",'Ratings'!C212)</f>
        <v/>
      </c>
      <c r="D3299">
        <f>IF(A3299="","",'Ratings'!D212)</f>
        <v/>
      </c>
      <c r="E3299">
        <f>IF(AND('Ratings'!A212&lt;&gt;"",'Ratings'!F5&lt;&gt;""),'Ratings'!F5,"")</f>
        <v/>
      </c>
      <c r="F3299">
        <f>IF(OR(A3299="",'Ratings'!F212=""),"",'Ratings'!F212)</f>
        <v/>
      </c>
      <c r="G3299">
        <f>IF(A3299="","",'Employees'!D18)</f>
        <v/>
      </c>
    </row>
    <row r="3300">
      <c r="A3300">
        <f>IF(AND('Ratings'!A212&lt;&gt;"",'Ratings'!G5&lt;&gt;""),'Ratings'!A212,"")</f>
        <v/>
      </c>
      <c r="B3300">
        <f>IF(A3300="","",'Employees'!C18)</f>
        <v/>
      </c>
      <c r="C3300">
        <f>IF(A3300="","",'Ratings'!C212)</f>
        <v/>
      </c>
      <c r="D3300">
        <f>IF(A3300="","",'Ratings'!D212)</f>
        <v/>
      </c>
      <c r="E3300">
        <f>IF(AND('Ratings'!A212&lt;&gt;"",'Ratings'!G5&lt;&gt;""),'Ratings'!G5,"")</f>
        <v/>
      </c>
      <c r="F3300">
        <f>IF(OR(A3300="",'Ratings'!G212=""),"",'Ratings'!G212)</f>
        <v/>
      </c>
      <c r="G3300">
        <f>IF(A3300="","",'Employees'!D18)</f>
        <v/>
      </c>
    </row>
    <row r="3301">
      <c r="A3301">
        <f>IF(AND('Ratings'!A212&lt;&gt;"",'Ratings'!H5&lt;&gt;""),'Ratings'!A212,"")</f>
        <v/>
      </c>
      <c r="B3301">
        <f>IF(A3301="","",'Employees'!C18)</f>
        <v/>
      </c>
      <c r="C3301">
        <f>IF(A3301="","",'Ratings'!C212)</f>
        <v/>
      </c>
      <c r="D3301">
        <f>IF(A3301="","",'Ratings'!D212)</f>
        <v/>
      </c>
      <c r="E3301">
        <f>IF(AND('Ratings'!A212&lt;&gt;"",'Ratings'!H5&lt;&gt;""),'Ratings'!H5,"")</f>
        <v/>
      </c>
      <c r="F3301">
        <f>IF(OR(A3301="",'Ratings'!H212=""),"",'Ratings'!H212)</f>
        <v/>
      </c>
      <c r="G3301">
        <f>IF(A3301="","",'Employees'!D18)</f>
        <v/>
      </c>
    </row>
    <row r="3302">
      <c r="A3302">
        <f>IF(AND('Ratings'!A212&lt;&gt;"",'Ratings'!I5&lt;&gt;""),'Ratings'!A212,"")</f>
        <v/>
      </c>
      <c r="B3302">
        <f>IF(A3302="","",'Employees'!C18)</f>
        <v/>
      </c>
      <c r="C3302">
        <f>IF(A3302="","",'Ratings'!C212)</f>
        <v/>
      </c>
      <c r="D3302">
        <f>IF(A3302="","",'Ratings'!D212)</f>
        <v/>
      </c>
      <c r="E3302">
        <f>IF(AND('Ratings'!A212&lt;&gt;"",'Ratings'!I5&lt;&gt;""),'Ratings'!I5,"")</f>
        <v/>
      </c>
      <c r="F3302">
        <f>IF(OR(A3302="",'Ratings'!I212=""),"",'Ratings'!I212)</f>
        <v/>
      </c>
      <c r="G3302">
        <f>IF(A3302="","",'Employees'!D18)</f>
        <v/>
      </c>
    </row>
    <row r="3303">
      <c r="A3303">
        <f>IF(AND('Ratings'!A212&lt;&gt;"",'Ratings'!J5&lt;&gt;""),'Ratings'!A212,"")</f>
        <v/>
      </c>
      <c r="B3303">
        <f>IF(A3303="","",'Employees'!C18)</f>
        <v/>
      </c>
      <c r="C3303">
        <f>IF(A3303="","",'Ratings'!C212)</f>
        <v/>
      </c>
      <c r="D3303">
        <f>IF(A3303="","",'Ratings'!D212)</f>
        <v/>
      </c>
      <c r="E3303">
        <f>IF(AND('Ratings'!A212&lt;&gt;"",'Ratings'!J5&lt;&gt;""),'Ratings'!J5,"")</f>
        <v/>
      </c>
      <c r="F3303">
        <f>IF(OR(A3303="",'Ratings'!J212=""),"",'Ratings'!J212)</f>
        <v/>
      </c>
      <c r="G3303">
        <f>IF(A3303="","",'Employees'!D18)</f>
        <v/>
      </c>
    </row>
    <row r="3304">
      <c r="A3304">
        <f>IF(AND('Ratings'!A212&lt;&gt;"",'Ratings'!K5&lt;&gt;""),'Ratings'!A212,"")</f>
        <v/>
      </c>
      <c r="B3304">
        <f>IF(A3304="","",'Employees'!C18)</f>
        <v/>
      </c>
      <c r="C3304">
        <f>IF(A3304="","",'Ratings'!C212)</f>
        <v/>
      </c>
      <c r="D3304">
        <f>IF(A3304="","",'Ratings'!D212)</f>
        <v/>
      </c>
      <c r="E3304">
        <f>IF(AND('Ratings'!A212&lt;&gt;"",'Ratings'!K5&lt;&gt;""),'Ratings'!K5,"")</f>
        <v/>
      </c>
      <c r="F3304">
        <f>IF(OR(A3304="",'Ratings'!K212=""),"",'Ratings'!K212)</f>
        <v/>
      </c>
      <c r="G3304">
        <f>IF(A3304="","",'Employees'!D18)</f>
        <v/>
      </c>
    </row>
    <row r="3305">
      <c r="A3305">
        <f>IF(AND('Ratings'!A212&lt;&gt;"",'Ratings'!L5&lt;&gt;""),'Ratings'!A212,"")</f>
        <v/>
      </c>
      <c r="B3305">
        <f>IF(A3305="","",'Employees'!C18)</f>
        <v/>
      </c>
      <c r="C3305">
        <f>IF(A3305="","",'Ratings'!C212)</f>
        <v/>
      </c>
      <c r="D3305">
        <f>IF(A3305="","",'Ratings'!D212)</f>
        <v/>
      </c>
      <c r="E3305">
        <f>IF(AND('Ratings'!A212&lt;&gt;"",'Ratings'!L5&lt;&gt;""),'Ratings'!L5,"")</f>
        <v/>
      </c>
      <c r="F3305">
        <f>IF(OR(A3305="",'Ratings'!L212=""),"",'Ratings'!L212)</f>
        <v/>
      </c>
      <c r="G3305">
        <f>IF(A3305="","",'Employees'!D18)</f>
        <v/>
      </c>
    </row>
    <row r="3306">
      <c r="A3306">
        <f>IF(AND('Ratings'!A212&lt;&gt;"",'Ratings'!M5&lt;&gt;""),'Ratings'!A212,"")</f>
        <v/>
      </c>
      <c r="B3306">
        <f>IF(A3306="","",'Employees'!C18)</f>
        <v/>
      </c>
      <c r="C3306">
        <f>IF(A3306="","",'Ratings'!C212)</f>
        <v/>
      </c>
      <c r="D3306">
        <f>IF(A3306="","",'Ratings'!D212)</f>
        <v/>
      </c>
      <c r="E3306">
        <f>IF(AND('Ratings'!A212&lt;&gt;"",'Ratings'!M5&lt;&gt;""),'Ratings'!M5,"")</f>
        <v/>
      </c>
      <c r="F3306">
        <f>IF(OR(A3306="",'Ratings'!M212=""),"",'Ratings'!M212)</f>
        <v/>
      </c>
      <c r="G3306">
        <f>IF(A3306="","",'Employees'!D18)</f>
        <v/>
      </c>
    </row>
    <row r="3307">
      <c r="A3307">
        <f>IF(AND('Ratings'!A212&lt;&gt;"",'Ratings'!N5&lt;&gt;""),'Ratings'!A212,"")</f>
        <v/>
      </c>
      <c r="B3307">
        <f>IF(A3307="","",'Employees'!C18)</f>
        <v/>
      </c>
      <c r="C3307">
        <f>IF(A3307="","",'Ratings'!C212)</f>
        <v/>
      </c>
      <c r="D3307">
        <f>IF(A3307="","",'Ratings'!D212)</f>
        <v/>
      </c>
      <c r="E3307">
        <f>IF(AND('Ratings'!A212&lt;&gt;"",'Ratings'!N5&lt;&gt;""),'Ratings'!N5,"")</f>
        <v/>
      </c>
      <c r="F3307">
        <f>IF(OR(A3307="",'Ratings'!N212=""),"",'Ratings'!N212)</f>
        <v/>
      </c>
      <c r="G3307">
        <f>IF(A3307="","",'Employees'!D18)</f>
        <v/>
      </c>
    </row>
    <row r="3308">
      <c r="A3308">
        <f>IF(AND('Ratings'!A212&lt;&gt;"",'Ratings'!O5&lt;&gt;""),'Ratings'!A212,"")</f>
        <v/>
      </c>
      <c r="B3308">
        <f>IF(A3308="","",'Employees'!C18)</f>
        <v/>
      </c>
      <c r="C3308">
        <f>IF(A3308="","",'Ratings'!C212)</f>
        <v/>
      </c>
      <c r="D3308">
        <f>IF(A3308="","",'Ratings'!D212)</f>
        <v/>
      </c>
      <c r="E3308">
        <f>IF(AND('Ratings'!A212&lt;&gt;"",'Ratings'!O5&lt;&gt;""),'Ratings'!O5,"")</f>
        <v/>
      </c>
      <c r="F3308">
        <f>IF(OR(A3308="",'Ratings'!O212=""),"",'Ratings'!O212)</f>
        <v/>
      </c>
      <c r="G3308">
        <f>IF(A3308="","",'Employees'!D18)</f>
        <v/>
      </c>
    </row>
    <row r="3309">
      <c r="A3309">
        <f>IF(AND('Ratings'!A212&lt;&gt;"",'Ratings'!P5&lt;&gt;""),'Ratings'!A212,"")</f>
        <v/>
      </c>
      <c r="B3309">
        <f>IF(A3309="","",'Employees'!C18)</f>
        <v/>
      </c>
      <c r="C3309">
        <f>IF(A3309="","",'Ratings'!C212)</f>
        <v/>
      </c>
      <c r="D3309">
        <f>IF(A3309="","",'Ratings'!D212)</f>
        <v/>
      </c>
      <c r="E3309">
        <f>IF(AND('Ratings'!A212&lt;&gt;"",'Ratings'!P5&lt;&gt;""),'Ratings'!P5,"")</f>
        <v/>
      </c>
      <c r="F3309">
        <f>IF(OR(A3309="",'Ratings'!P212=""),"",'Ratings'!P212)</f>
        <v/>
      </c>
      <c r="G3309">
        <f>IF(A3309="","",'Employees'!D18)</f>
        <v/>
      </c>
    </row>
    <row r="3310">
      <c r="A3310">
        <f>IF(AND('Ratings'!A212&lt;&gt;"",'Ratings'!Q5&lt;&gt;""),'Ratings'!A212,"")</f>
        <v/>
      </c>
      <c r="B3310">
        <f>IF(A3310="","",'Employees'!C18)</f>
        <v/>
      </c>
      <c r="C3310">
        <f>IF(A3310="","",'Ratings'!C212)</f>
        <v/>
      </c>
      <c r="D3310">
        <f>IF(A3310="","",'Ratings'!D212)</f>
        <v/>
      </c>
      <c r="E3310">
        <f>IF(AND('Ratings'!A212&lt;&gt;"",'Ratings'!Q5&lt;&gt;""),'Ratings'!Q5,"")</f>
        <v/>
      </c>
      <c r="F3310">
        <f>IF(OR(A3310="",'Ratings'!Q212=""),"",'Ratings'!Q212)</f>
        <v/>
      </c>
      <c r="G3310">
        <f>IF(A3310="","",'Employees'!D18)</f>
        <v/>
      </c>
    </row>
    <row r="3311">
      <c r="A3311">
        <f>IF(AND('Ratings'!A212&lt;&gt;"",'Ratings'!R5&lt;&gt;""),'Ratings'!A212,"")</f>
        <v/>
      </c>
      <c r="B3311">
        <f>IF(A3311="","",'Employees'!C18)</f>
        <v/>
      </c>
      <c r="C3311">
        <f>IF(A3311="","",'Ratings'!C212)</f>
        <v/>
      </c>
      <c r="D3311">
        <f>IF(A3311="","",'Ratings'!D212)</f>
        <v/>
      </c>
      <c r="E3311">
        <f>IF(AND('Ratings'!A212&lt;&gt;"",'Ratings'!R5&lt;&gt;""),'Ratings'!R5,"")</f>
        <v/>
      </c>
      <c r="F3311">
        <f>IF(OR(A3311="",'Ratings'!R212=""),"",'Ratings'!R212)</f>
        <v/>
      </c>
      <c r="G3311">
        <f>IF(A3311="","",'Employees'!D18)</f>
        <v/>
      </c>
    </row>
    <row r="3312">
      <c r="A3312">
        <f>IF(AND('Ratings'!A212&lt;&gt;"",'Ratings'!S5&lt;&gt;""),'Ratings'!A212,"")</f>
        <v/>
      </c>
      <c r="B3312">
        <f>IF(A3312="","",'Employees'!C18)</f>
        <v/>
      </c>
      <c r="C3312">
        <f>IF(A3312="","",'Ratings'!C212)</f>
        <v/>
      </c>
      <c r="D3312">
        <f>IF(A3312="","",'Ratings'!D212)</f>
        <v/>
      </c>
      <c r="E3312">
        <f>IF(AND('Ratings'!A212&lt;&gt;"",'Ratings'!S5&lt;&gt;""),'Ratings'!S5,"")</f>
        <v/>
      </c>
      <c r="F3312">
        <f>IF(OR(A3312="",'Ratings'!S212=""),"",'Ratings'!S212)</f>
        <v/>
      </c>
      <c r="G3312">
        <f>IF(A3312="","",'Employees'!D18)</f>
        <v/>
      </c>
    </row>
    <row r="3313">
      <c r="A3313">
        <f>IF(AND('Ratings'!A212&lt;&gt;"",'Ratings'!T5&lt;&gt;""),'Ratings'!A212,"")</f>
        <v/>
      </c>
      <c r="B3313">
        <f>IF(A3313="","",'Employees'!C18)</f>
        <v/>
      </c>
      <c r="C3313">
        <f>IF(A3313="","",'Ratings'!C212)</f>
        <v/>
      </c>
      <c r="D3313">
        <f>IF(A3313="","",'Ratings'!D212)</f>
        <v/>
      </c>
      <c r="E3313">
        <f>IF(AND('Ratings'!A212&lt;&gt;"",'Ratings'!T5&lt;&gt;""),'Ratings'!T5,"")</f>
        <v/>
      </c>
      <c r="F3313">
        <f>IF(OR(A3313="",'Ratings'!T212=""),"",'Ratings'!T212)</f>
        <v/>
      </c>
      <c r="G3313">
        <f>IF(A3313="","",'Employees'!D18)</f>
        <v/>
      </c>
    </row>
    <row r="3314">
      <c r="A3314">
        <f>IF(AND('Ratings'!A213&lt;&gt;"",'Ratings'!E5&lt;&gt;""),'Ratings'!A213,"")</f>
        <v/>
      </c>
      <c r="B3314">
        <f>IF(A3314="","",'Employees'!C18)</f>
        <v/>
      </c>
      <c r="C3314">
        <f>IF(A3314="","",'Ratings'!C213)</f>
        <v/>
      </c>
      <c r="D3314">
        <f>IF(A3314="","",'Ratings'!D213)</f>
        <v/>
      </c>
      <c r="E3314">
        <f>IF(AND('Ratings'!A213&lt;&gt;"",'Ratings'!E5&lt;&gt;""),'Ratings'!E5,"")</f>
        <v/>
      </c>
      <c r="F3314">
        <f>IF(OR(A3314="",'Ratings'!E213=""),"",'Ratings'!E213)</f>
        <v/>
      </c>
      <c r="G3314">
        <f>IF(A3314="","",'Employees'!D18)</f>
        <v/>
      </c>
    </row>
    <row r="3315">
      <c r="A3315">
        <f>IF(AND('Ratings'!A213&lt;&gt;"",'Ratings'!F5&lt;&gt;""),'Ratings'!A213,"")</f>
        <v/>
      </c>
      <c r="B3315">
        <f>IF(A3315="","",'Employees'!C18)</f>
        <v/>
      </c>
      <c r="C3315">
        <f>IF(A3315="","",'Ratings'!C213)</f>
        <v/>
      </c>
      <c r="D3315">
        <f>IF(A3315="","",'Ratings'!D213)</f>
        <v/>
      </c>
      <c r="E3315">
        <f>IF(AND('Ratings'!A213&lt;&gt;"",'Ratings'!F5&lt;&gt;""),'Ratings'!F5,"")</f>
        <v/>
      </c>
      <c r="F3315">
        <f>IF(OR(A3315="",'Ratings'!F213=""),"",'Ratings'!F213)</f>
        <v/>
      </c>
      <c r="G3315">
        <f>IF(A3315="","",'Employees'!D18)</f>
        <v/>
      </c>
    </row>
    <row r="3316">
      <c r="A3316">
        <f>IF(AND('Ratings'!A213&lt;&gt;"",'Ratings'!G5&lt;&gt;""),'Ratings'!A213,"")</f>
        <v/>
      </c>
      <c r="B3316">
        <f>IF(A3316="","",'Employees'!C18)</f>
        <v/>
      </c>
      <c r="C3316">
        <f>IF(A3316="","",'Ratings'!C213)</f>
        <v/>
      </c>
      <c r="D3316">
        <f>IF(A3316="","",'Ratings'!D213)</f>
        <v/>
      </c>
      <c r="E3316">
        <f>IF(AND('Ratings'!A213&lt;&gt;"",'Ratings'!G5&lt;&gt;""),'Ratings'!G5,"")</f>
        <v/>
      </c>
      <c r="F3316">
        <f>IF(OR(A3316="",'Ratings'!G213=""),"",'Ratings'!G213)</f>
        <v/>
      </c>
      <c r="G3316">
        <f>IF(A3316="","",'Employees'!D18)</f>
        <v/>
      </c>
    </row>
    <row r="3317">
      <c r="A3317">
        <f>IF(AND('Ratings'!A213&lt;&gt;"",'Ratings'!H5&lt;&gt;""),'Ratings'!A213,"")</f>
        <v/>
      </c>
      <c r="B3317">
        <f>IF(A3317="","",'Employees'!C18)</f>
        <v/>
      </c>
      <c r="C3317">
        <f>IF(A3317="","",'Ratings'!C213)</f>
        <v/>
      </c>
      <c r="D3317">
        <f>IF(A3317="","",'Ratings'!D213)</f>
        <v/>
      </c>
      <c r="E3317">
        <f>IF(AND('Ratings'!A213&lt;&gt;"",'Ratings'!H5&lt;&gt;""),'Ratings'!H5,"")</f>
        <v/>
      </c>
      <c r="F3317">
        <f>IF(OR(A3317="",'Ratings'!H213=""),"",'Ratings'!H213)</f>
        <v/>
      </c>
      <c r="G3317">
        <f>IF(A3317="","",'Employees'!D18)</f>
        <v/>
      </c>
    </row>
    <row r="3318">
      <c r="A3318">
        <f>IF(AND('Ratings'!A213&lt;&gt;"",'Ratings'!I5&lt;&gt;""),'Ratings'!A213,"")</f>
        <v/>
      </c>
      <c r="B3318">
        <f>IF(A3318="","",'Employees'!C18)</f>
        <v/>
      </c>
      <c r="C3318">
        <f>IF(A3318="","",'Ratings'!C213)</f>
        <v/>
      </c>
      <c r="D3318">
        <f>IF(A3318="","",'Ratings'!D213)</f>
        <v/>
      </c>
      <c r="E3318">
        <f>IF(AND('Ratings'!A213&lt;&gt;"",'Ratings'!I5&lt;&gt;""),'Ratings'!I5,"")</f>
        <v/>
      </c>
      <c r="F3318">
        <f>IF(OR(A3318="",'Ratings'!I213=""),"",'Ratings'!I213)</f>
        <v/>
      </c>
      <c r="G3318">
        <f>IF(A3318="","",'Employees'!D18)</f>
        <v/>
      </c>
    </row>
    <row r="3319">
      <c r="A3319">
        <f>IF(AND('Ratings'!A213&lt;&gt;"",'Ratings'!J5&lt;&gt;""),'Ratings'!A213,"")</f>
        <v/>
      </c>
      <c r="B3319">
        <f>IF(A3319="","",'Employees'!C18)</f>
        <v/>
      </c>
      <c r="C3319">
        <f>IF(A3319="","",'Ratings'!C213)</f>
        <v/>
      </c>
      <c r="D3319">
        <f>IF(A3319="","",'Ratings'!D213)</f>
        <v/>
      </c>
      <c r="E3319">
        <f>IF(AND('Ratings'!A213&lt;&gt;"",'Ratings'!J5&lt;&gt;""),'Ratings'!J5,"")</f>
        <v/>
      </c>
      <c r="F3319">
        <f>IF(OR(A3319="",'Ratings'!J213=""),"",'Ratings'!J213)</f>
        <v/>
      </c>
      <c r="G3319">
        <f>IF(A3319="","",'Employees'!D18)</f>
        <v/>
      </c>
    </row>
    <row r="3320">
      <c r="A3320">
        <f>IF(AND('Ratings'!A213&lt;&gt;"",'Ratings'!K5&lt;&gt;""),'Ratings'!A213,"")</f>
        <v/>
      </c>
      <c r="B3320">
        <f>IF(A3320="","",'Employees'!C18)</f>
        <v/>
      </c>
      <c r="C3320">
        <f>IF(A3320="","",'Ratings'!C213)</f>
        <v/>
      </c>
      <c r="D3320">
        <f>IF(A3320="","",'Ratings'!D213)</f>
        <v/>
      </c>
      <c r="E3320">
        <f>IF(AND('Ratings'!A213&lt;&gt;"",'Ratings'!K5&lt;&gt;""),'Ratings'!K5,"")</f>
        <v/>
      </c>
      <c r="F3320">
        <f>IF(OR(A3320="",'Ratings'!K213=""),"",'Ratings'!K213)</f>
        <v/>
      </c>
      <c r="G3320">
        <f>IF(A3320="","",'Employees'!D18)</f>
        <v/>
      </c>
    </row>
    <row r="3321">
      <c r="A3321">
        <f>IF(AND('Ratings'!A213&lt;&gt;"",'Ratings'!L5&lt;&gt;""),'Ratings'!A213,"")</f>
        <v/>
      </c>
      <c r="B3321">
        <f>IF(A3321="","",'Employees'!C18)</f>
        <v/>
      </c>
      <c r="C3321">
        <f>IF(A3321="","",'Ratings'!C213)</f>
        <v/>
      </c>
      <c r="D3321">
        <f>IF(A3321="","",'Ratings'!D213)</f>
        <v/>
      </c>
      <c r="E3321">
        <f>IF(AND('Ratings'!A213&lt;&gt;"",'Ratings'!L5&lt;&gt;""),'Ratings'!L5,"")</f>
        <v/>
      </c>
      <c r="F3321">
        <f>IF(OR(A3321="",'Ratings'!L213=""),"",'Ratings'!L213)</f>
        <v/>
      </c>
      <c r="G3321">
        <f>IF(A3321="","",'Employees'!D18)</f>
        <v/>
      </c>
    </row>
    <row r="3322">
      <c r="A3322">
        <f>IF(AND('Ratings'!A213&lt;&gt;"",'Ratings'!M5&lt;&gt;""),'Ratings'!A213,"")</f>
        <v/>
      </c>
      <c r="B3322">
        <f>IF(A3322="","",'Employees'!C18)</f>
        <v/>
      </c>
      <c r="C3322">
        <f>IF(A3322="","",'Ratings'!C213)</f>
        <v/>
      </c>
      <c r="D3322">
        <f>IF(A3322="","",'Ratings'!D213)</f>
        <v/>
      </c>
      <c r="E3322">
        <f>IF(AND('Ratings'!A213&lt;&gt;"",'Ratings'!M5&lt;&gt;""),'Ratings'!M5,"")</f>
        <v/>
      </c>
      <c r="F3322">
        <f>IF(OR(A3322="",'Ratings'!M213=""),"",'Ratings'!M213)</f>
        <v/>
      </c>
      <c r="G3322">
        <f>IF(A3322="","",'Employees'!D18)</f>
        <v/>
      </c>
    </row>
    <row r="3323">
      <c r="A3323">
        <f>IF(AND('Ratings'!A213&lt;&gt;"",'Ratings'!N5&lt;&gt;""),'Ratings'!A213,"")</f>
        <v/>
      </c>
      <c r="B3323">
        <f>IF(A3323="","",'Employees'!C18)</f>
        <v/>
      </c>
      <c r="C3323">
        <f>IF(A3323="","",'Ratings'!C213)</f>
        <v/>
      </c>
      <c r="D3323">
        <f>IF(A3323="","",'Ratings'!D213)</f>
        <v/>
      </c>
      <c r="E3323">
        <f>IF(AND('Ratings'!A213&lt;&gt;"",'Ratings'!N5&lt;&gt;""),'Ratings'!N5,"")</f>
        <v/>
      </c>
      <c r="F3323">
        <f>IF(OR(A3323="",'Ratings'!N213=""),"",'Ratings'!N213)</f>
        <v/>
      </c>
      <c r="G3323">
        <f>IF(A3323="","",'Employees'!D18)</f>
        <v/>
      </c>
    </row>
    <row r="3324">
      <c r="A3324">
        <f>IF(AND('Ratings'!A213&lt;&gt;"",'Ratings'!O5&lt;&gt;""),'Ratings'!A213,"")</f>
        <v/>
      </c>
      <c r="B3324">
        <f>IF(A3324="","",'Employees'!C18)</f>
        <v/>
      </c>
      <c r="C3324">
        <f>IF(A3324="","",'Ratings'!C213)</f>
        <v/>
      </c>
      <c r="D3324">
        <f>IF(A3324="","",'Ratings'!D213)</f>
        <v/>
      </c>
      <c r="E3324">
        <f>IF(AND('Ratings'!A213&lt;&gt;"",'Ratings'!O5&lt;&gt;""),'Ratings'!O5,"")</f>
        <v/>
      </c>
      <c r="F3324">
        <f>IF(OR(A3324="",'Ratings'!O213=""),"",'Ratings'!O213)</f>
        <v/>
      </c>
      <c r="G3324">
        <f>IF(A3324="","",'Employees'!D18)</f>
        <v/>
      </c>
    </row>
    <row r="3325">
      <c r="A3325">
        <f>IF(AND('Ratings'!A213&lt;&gt;"",'Ratings'!P5&lt;&gt;""),'Ratings'!A213,"")</f>
        <v/>
      </c>
      <c r="B3325">
        <f>IF(A3325="","",'Employees'!C18)</f>
        <v/>
      </c>
      <c r="C3325">
        <f>IF(A3325="","",'Ratings'!C213)</f>
        <v/>
      </c>
      <c r="D3325">
        <f>IF(A3325="","",'Ratings'!D213)</f>
        <v/>
      </c>
      <c r="E3325">
        <f>IF(AND('Ratings'!A213&lt;&gt;"",'Ratings'!P5&lt;&gt;""),'Ratings'!P5,"")</f>
        <v/>
      </c>
      <c r="F3325">
        <f>IF(OR(A3325="",'Ratings'!P213=""),"",'Ratings'!P213)</f>
        <v/>
      </c>
      <c r="G3325">
        <f>IF(A3325="","",'Employees'!D18)</f>
        <v/>
      </c>
    </row>
    <row r="3326">
      <c r="A3326">
        <f>IF(AND('Ratings'!A213&lt;&gt;"",'Ratings'!Q5&lt;&gt;""),'Ratings'!A213,"")</f>
        <v/>
      </c>
      <c r="B3326">
        <f>IF(A3326="","",'Employees'!C18)</f>
        <v/>
      </c>
      <c r="C3326">
        <f>IF(A3326="","",'Ratings'!C213)</f>
        <v/>
      </c>
      <c r="D3326">
        <f>IF(A3326="","",'Ratings'!D213)</f>
        <v/>
      </c>
      <c r="E3326">
        <f>IF(AND('Ratings'!A213&lt;&gt;"",'Ratings'!Q5&lt;&gt;""),'Ratings'!Q5,"")</f>
        <v/>
      </c>
      <c r="F3326">
        <f>IF(OR(A3326="",'Ratings'!Q213=""),"",'Ratings'!Q213)</f>
        <v/>
      </c>
      <c r="G3326">
        <f>IF(A3326="","",'Employees'!D18)</f>
        <v/>
      </c>
    </row>
    <row r="3327">
      <c r="A3327">
        <f>IF(AND('Ratings'!A213&lt;&gt;"",'Ratings'!R5&lt;&gt;""),'Ratings'!A213,"")</f>
        <v/>
      </c>
      <c r="B3327">
        <f>IF(A3327="","",'Employees'!C18)</f>
        <v/>
      </c>
      <c r="C3327">
        <f>IF(A3327="","",'Ratings'!C213)</f>
        <v/>
      </c>
      <c r="D3327">
        <f>IF(A3327="","",'Ratings'!D213)</f>
        <v/>
      </c>
      <c r="E3327">
        <f>IF(AND('Ratings'!A213&lt;&gt;"",'Ratings'!R5&lt;&gt;""),'Ratings'!R5,"")</f>
        <v/>
      </c>
      <c r="F3327">
        <f>IF(OR(A3327="",'Ratings'!R213=""),"",'Ratings'!R213)</f>
        <v/>
      </c>
      <c r="G3327">
        <f>IF(A3327="","",'Employees'!D18)</f>
        <v/>
      </c>
    </row>
    <row r="3328">
      <c r="A3328">
        <f>IF(AND('Ratings'!A213&lt;&gt;"",'Ratings'!S5&lt;&gt;""),'Ratings'!A213,"")</f>
        <v/>
      </c>
      <c r="B3328">
        <f>IF(A3328="","",'Employees'!C18)</f>
        <v/>
      </c>
      <c r="C3328">
        <f>IF(A3328="","",'Ratings'!C213)</f>
        <v/>
      </c>
      <c r="D3328">
        <f>IF(A3328="","",'Ratings'!D213)</f>
        <v/>
      </c>
      <c r="E3328">
        <f>IF(AND('Ratings'!A213&lt;&gt;"",'Ratings'!S5&lt;&gt;""),'Ratings'!S5,"")</f>
        <v/>
      </c>
      <c r="F3328">
        <f>IF(OR(A3328="",'Ratings'!S213=""),"",'Ratings'!S213)</f>
        <v/>
      </c>
      <c r="G3328">
        <f>IF(A3328="","",'Employees'!D18)</f>
        <v/>
      </c>
    </row>
    <row r="3329">
      <c r="A3329">
        <f>IF(AND('Ratings'!A213&lt;&gt;"",'Ratings'!T5&lt;&gt;""),'Ratings'!A213,"")</f>
        <v/>
      </c>
      <c r="B3329">
        <f>IF(A3329="","",'Employees'!C18)</f>
        <v/>
      </c>
      <c r="C3329">
        <f>IF(A3329="","",'Ratings'!C213)</f>
        <v/>
      </c>
      <c r="D3329">
        <f>IF(A3329="","",'Ratings'!D213)</f>
        <v/>
      </c>
      <c r="E3329">
        <f>IF(AND('Ratings'!A213&lt;&gt;"",'Ratings'!T5&lt;&gt;""),'Ratings'!T5,"")</f>
        <v/>
      </c>
      <c r="F3329">
        <f>IF(OR(A3329="",'Ratings'!T213=""),"",'Ratings'!T213)</f>
        <v/>
      </c>
      <c r="G3329">
        <f>IF(A3329="","",'Employees'!D18)</f>
        <v/>
      </c>
    </row>
    <row r="3330">
      <c r="A3330">
        <f>IF(AND('Ratings'!A214&lt;&gt;"",'Ratings'!E5&lt;&gt;""),'Ratings'!A214,"")</f>
        <v/>
      </c>
      <c r="B3330">
        <f>IF(A3330="","",'Employees'!C19)</f>
        <v/>
      </c>
      <c r="C3330">
        <f>IF(A3330="","",'Ratings'!C214)</f>
        <v/>
      </c>
      <c r="D3330">
        <f>IF(A3330="","",'Ratings'!D214)</f>
        <v/>
      </c>
      <c r="E3330">
        <f>IF(AND('Ratings'!A214&lt;&gt;"",'Ratings'!E5&lt;&gt;""),'Ratings'!E5,"")</f>
        <v/>
      </c>
      <c r="F3330">
        <f>IF(OR(A3330="",'Ratings'!E214=""),"",'Ratings'!E214)</f>
        <v/>
      </c>
      <c r="G3330">
        <f>IF(A3330="","",'Employees'!D19)</f>
        <v/>
      </c>
    </row>
    <row r="3331">
      <c r="A3331">
        <f>IF(AND('Ratings'!A214&lt;&gt;"",'Ratings'!F5&lt;&gt;""),'Ratings'!A214,"")</f>
        <v/>
      </c>
      <c r="B3331">
        <f>IF(A3331="","",'Employees'!C19)</f>
        <v/>
      </c>
      <c r="C3331">
        <f>IF(A3331="","",'Ratings'!C214)</f>
        <v/>
      </c>
      <c r="D3331">
        <f>IF(A3331="","",'Ratings'!D214)</f>
        <v/>
      </c>
      <c r="E3331">
        <f>IF(AND('Ratings'!A214&lt;&gt;"",'Ratings'!F5&lt;&gt;""),'Ratings'!F5,"")</f>
        <v/>
      </c>
      <c r="F3331">
        <f>IF(OR(A3331="",'Ratings'!F214=""),"",'Ratings'!F214)</f>
        <v/>
      </c>
      <c r="G3331">
        <f>IF(A3331="","",'Employees'!D19)</f>
        <v/>
      </c>
    </row>
    <row r="3332">
      <c r="A3332">
        <f>IF(AND('Ratings'!A214&lt;&gt;"",'Ratings'!G5&lt;&gt;""),'Ratings'!A214,"")</f>
        <v/>
      </c>
      <c r="B3332">
        <f>IF(A3332="","",'Employees'!C19)</f>
        <v/>
      </c>
      <c r="C3332">
        <f>IF(A3332="","",'Ratings'!C214)</f>
        <v/>
      </c>
      <c r="D3332">
        <f>IF(A3332="","",'Ratings'!D214)</f>
        <v/>
      </c>
      <c r="E3332">
        <f>IF(AND('Ratings'!A214&lt;&gt;"",'Ratings'!G5&lt;&gt;""),'Ratings'!G5,"")</f>
        <v/>
      </c>
      <c r="F3332">
        <f>IF(OR(A3332="",'Ratings'!G214=""),"",'Ratings'!G214)</f>
        <v/>
      </c>
      <c r="G3332">
        <f>IF(A3332="","",'Employees'!D19)</f>
        <v/>
      </c>
    </row>
    <row r="3333">
      <c r="A3333">
        <f>IF(AND('Ratings'!A214&lt;&gt;"",'Ratings'!H5&lt;&gt;""),'Ratings'!A214,"")</f>
        <v/>
      </c>
      <c r="B3333">
        <f>IF(A3333="","",'Employees'!C19)</f>
        <v/>
      </c>
      <c r="C3333">
        <f>IF(A3333="","",'Ratings'!C214)</f>
        <v/>
      </c>
      <c r="D3333">
        <f>IF(A3333="","",'Ratings'!D214)</f>
        <v/>
      </c>
      <c r="E3333">
        <f>IF(AND('Ratings'!A214&lt;&gt;"",'Ratings'!H5&lt;&gt;""),'Ratings'!H5,"")</f>
        <v/>
      </c>
      <c r="F3333">
        <f>IF(OR(A3333="",'Ratings'!H214=""),"",'Ratings'!H214)</f>
        <v/>
      </c>
      <c r="G3333">
        <f>IF(A3333="","",'Employees'!D19)</f>
        <v/>
      </c>
    </row>
    <row r="3334">
      <c r="A3334">
        <f>IF(AND('Ratings'!A214&lt;&gt;"",'Ratings'!I5&lt;&gt;""),'Ratings'!A214,"")</f>
        <v/>
      </c>
      <c r="B3334">
        <f>IF(A3334="","",'Employees'!C19)</f>
        <v/>
      </c>
      <c r="C3334">
        <f>IF(A3334="","",'Ratings'!C214)</f>
        <v/>
      </c>
      <c r="D3334">
        <f>IF(A3334="","",'Ratings'!D214)</f>
        <v/>
      </c>
      <c r="E3334">
        <f>IF(AND('Ratings'!A214&lt;&gt;"",'Ratings'!I5&lt;&gt;""),'Ratings'!I5,"")</f>
        <v/>
      </c>
      <c r="F3334">
        <f>IF(OR(A3334="",'Ratings'!I214=""),"",'Ratings'!I214)</f>
        <v/>
      </c>
      <c r="G3334">
        <f>IF(A3334="","",'Employees'!D19)</f>
        <v/>
      </c>
    </row>
    <row r="3335">
      <c r="A3335">
        <f>IF(AND('Ratings'!A214&lt;&gt;"",'Ratings'!J5&lt;&gt;""),'Ratings'!A214,"")</f>
        <v/>
      </c>
      <c r="B3335">
        <f>IF(A3335="","",'Employees'!C19)</f>
        <v/>
      </c>
      <c r="C3335">
        <f>IF(A3335="","",'Ratings'!C214)</f>
        <v/>
      </c>
      <c r="D3335">
        <f>IF(A3335="","",'Ratings'!D214)</f>
        <v/>
      </c>
      <c r="E3335">
        <f>IF(AND('Ratings'!A214&lt;&gt;"",'Ratings'!J5&lt;&gt;""),'Ratings'!J5,"")</f>
        <v/>
      </c>
      <c r="F3335">
        <f>IF(OR(A3335="",'Ratings'!J214=""),"",'Ratings'!J214)</f>
        <v/>
      </c>
      <c r="G3335">
        <f>IF(A3335="","",'Employees'!D19)</f>
        <v/>
      </c>
    </row>
    <row r="3336">
      <c r="A3336">
        <f>IF(AND('Ratings'!A214&lt;&gt;"",'Ratings'!K5&lt;&gt;""),'Ratings'!A214,"")</f>
        <v/>
      </c>
      <c r="B3336">
        <f>IF(A3336="","",'Employees'!C19)</f>
        <v/>
      </c>
      <c r="C3336">
        <f>IF(A3336="","",'Ratings'!C214)</f>
        <v/>
      </c>
      <c r="D3336">
        <f>IF(A3336="","",'Ratings'!D214)</f>
        <v/>
      </c>
      <c r="E3336">
        <f>IF(AND('Ratings'!A214&lt;&gt;"",'Ratings'!K5&lt;&gt;""),'Ratings'!K5,"")</f>
        <v/>
      </c>
      <c r="F3336">
        <f>IF(OR(A3336="",'Ratings'!K214=""),"",'Ratings'!K214)</f>
        <v/>
      </c>
      <c r="G3336">
        <f>IF(A3336="","",'Employees'!D19)</f>
        <v/>
      </c>
    </row>
    <row r="3337">
      <c r="A3337">
        <f>IF(AND('Ratings'!A214&lt;&gt;"",'Ratings'!L5&lt;&gt;""),'Ratings'!A214,"")</f>
        <v/>
      </c>
      <c r="B3337">
        <f>IF(A3337="","",'Employees'!C19)</f>
        <v/>
      </c>
      <c r="C3337">
        <f>IF(A3337="","",'Ratings'!C214)</f>
        <v/>
      </c>
      <c r="D3337">
        <f>IF(A3337="","",'Ratings'!D214)</f>
        <v/>
      </c>
      <c r="E3337">
        <f>IF(AND('Ratings'!A214&lt;&gt;"",'Ratings'!L5&lt;&gt;""),'Ratings'!L5,"")</f>
        <v/>
      </c>
      <c r="F3337">
        <f>IF(OR(A3337="",'Ratings'!L214=""),"",'Ratings'!L214)</f>
        <v/>
      </c>
      <c r="G3337">
        <f>IF(A3337="","",'Employees'!D19)</f>
        <v/>
      </c>
    </row>
    <row r="3338">
      <c r="A3338">
        <f>IF(AND('Ratings'!A214&lt;&gt;"",'Ratings'!M5&lt;&gt;""),'Ratings'!A214,"")</f>
        <v/>
      </c>
      <c r="B3338">
        <f>IF(A3338="","",'Employees'!C19)</f>
        <v/>
      </c>
      <c r="C3338">
        <f>IF(A3338="","",'Ratings'!C214)</f>
        <v/>
      </c>
      <c r="D3338">
        <f>IF(A3338="","",'Ratings'!D214)</f>
        <v/>
      </c>
      <c r="E3338">
        <f>IF(AND('Ratings'!A214&lt;&gt;"",'Ratings'!M5&lt;&gt;""),'Ratings'!M5,"")</f>
        <v/>
      </c>
      <c r="F3338">
        <f>IF(OR(A3338="",'Ratings'!M214=""),"",'Ratings'!M214)</f>
        <v/>
      </c>
      <c r="G3338">
        <f>IF(A3338="","",'Employees'!D19)</f>
        <v/>
      </c>
    </row>
    <row r="3339">
      <c r="A3339">
        <f>IF(AND('Ratings'!A214&lt;&gt;"",'Ratings'!N5&lt;&gt;""),'Ratings'!A214,"")</f>
        <v/>
      </c>
      <c r="B3339">
        <f>IF(A3339="","",'Employees'!C19)</f>
        <v/>
      </c>
      <c r="C3339">
        <f>IF(A3339="","",'Ratings'!C214)</f>
        <v/>
      </c>
      <c r="D3339">
        <f>IF(A3339="","",'Ratings'!D214)</f>
        <v/>
      </c>
      <c r="E3339">
        <f>IF(AND('Ratings'!A214&lt;&gt;"",'Ratings'!N5&lt;&gt;""),'Ratings'!N5,"")</f>
        <v/>
      </c>
      <c r="F3339">
        <f>IF(OR(A3339="",'Ratings'!N214=""),"",'Ratings'!N214)</f>
        <v/>
      </c>
      <c r="G3339">
        <f>IF(A3339="","",'Employees'!D19)</f>
        <v/>
      </c>
    </row>
    <row r="3340">
      <c r="A3340">
        <f>IF(AND('Ratings'!A214&lt;&gt;"",'Ratings'!O5&lt;&gt;""),'Ratings'!A214,"")</f>
        <v/>
      </c>
      <c r="B3340">
        <f>IF(A3340="","",'Employees'!C19)</f>
        <v/>
      </c>
      <c r="C3340">
        <f>IF(A3340="","",'Ratings'!C214)</f>
        <v/>
      </c>
      <c r="D3340">
        <f>IF(A3340="","",'Ratings'!D214)</f>
        <v/>
      </c>
      <c r="E3340">
        <f>IF(AND('Ratings'!A214&lt;&gt;"",'Ratings'!O5&lt;&gt;""),'Ratings'!O5,"")</f>
        <v/>
      </c>
      <c r="F3340">
        <f>IF(OR(A3340="",'Ratings'!O214=""),"",'Ratings'!O214)</f>
        <v/>
      </c>
      <c r="G3340">
        <f>IF(A3340="","",'Employees'!D19)</f>
        <v/>
      </c>
    </row>
    <row r="3341">
      <c r="A3341">
        <f>IF(AND('Ratings'!A214&lt;&gt;"",'Ratings'!P5&lt;&gt;""),'Ratings'!A214,"")</f>
        <v/>
      </c>
      <c r="B3341">
        <f>IF(A3341="","",'Employees'!C19)</f>
        <v/>
      </c>
      <c r="C3341">
        <f>IF(A3341="","",'Ratings'!C214)</f>
        <v/>
      </c>
      <c r="D3341">
        <f>IF(A3341="","",'Ratings'!D214)</f>
        <v/>
      </c>
      <c r="E3341">
        <f>IF(AND('Ratings'!A214&lt;&gt;"",'Ratings'!P5&lt;&gt;""),'Ratings'!P5,"")</f>
        <v/>
      </c>
      <c r="F3341">
        <f>IF(OR(A3341="",'Ratings'!P214=""),"",'Ratings'!P214)</f>
        <v/>
      </c>
      <c r="G3341">
        <f>IF(A3341="","",'Employees'!D19)</f>
        <v/>
      </c>
    </row>
    <row r="3342">
      <c r="A3342">
        <f>IF(AND('Ratings'!A214&lt;&gt;"",'Ratings'!Q5&lt;&gt;""),'Ratings'!A214,"")</f>
        <v/>
      </c>
      <c r="B3342">
        <f>IF(A3342="","",'Employees'!C19)</f>
        <v/>
      </c>
      <c r="C3342">
        <f>IF(A3342="","",'Ratings'!C214)</f>
        <v/>
      </c>
      <c r="D3342">
        <f>IF(A3342="","",'Ratings'!D214)</f>
        <v/>
      </c>
      <c r="E3342">
        <f>IF(AND('Ratings'!A214&lt;&gt;"",'Ratings'!Q5&lt;&gt;""),'Ratings'!Q5,"")</f>
        <v/>
      </c>
      <c r="F3342">
        <f>IF(OR(A3342="",'Ratings'!Q214=""),"",'Ratings'!Q214)</f>
        <v/>
      </c>
      <c r="G3342">
        <f>IF(A3342="","",'Employees'!D19)</f>
        <v/>
      </c>
    </row>
    <row r="3343">
      <c r="A3343">
        <f>IF(AND('Ratings'!A214&lt;&gt;"",'Ratings'!R5&lt;&gt;""),'Ratings'!A214,"")</f>
        <v/>
      </c>
      <c r="B3343">
        <f>IF(A3343="","",'Employees'!C19)</f>
        <v/>
      </c>
      <c r="C3343">
        <f>IF(A3343="","",'Ratings'!C214)</f>
        <v/>
      </c>
      <c r="D3343">
        <f>IF(A3343="","",'Ratings'!D214)</f>
        <v/>
      </c>
      <c r="E3343">
        <f>IF(AND('Ratings'!A214&lt;&gt;"",'Ratings'!R5&lt;&gt;""),'Ratings'!R5,"")</f>
        <v/>
      </c>
      <c r="F3343">
        <f>IF(OR(A3343="",'Ratings'!R214=""),"",'Ratings'!R214)</f>
        <v/>
      </c>
      <c r="G3343">
        <f>IF(A3343="","",'Employees'!D19)</f>
        <v/>
      </c>
    </row>
    <row r="3344">
      <c r="A3344">
        <f>IF(AND('Ratings'!A214&lt;&gt;"",'Ratings'!S5&lt;&gt;""),'Ratings'!A214,"")</f>
        <v/>
      </c>
      <c r="B3344">
        <f>IF(A3344="","",'Employees'!C19)</f>
        <v/>
      </c>
      <c r="C3344">
        <f>IF(A3344="","",'Ratings'!C214)</f>
        <v/>
      </c>
      <c r="D3344">
        <f>IF(A3344="","",'Ratings'!D214)</f>
        <v/>
      </c>
      <c r="E3344">
        <f>IF(AND('Ratings'!A214&lt;&gt;"",'Ratings'!S5&lt;&gt;""),'Ratings'!S5,"")</f>
        <v/>
      </c>
      <c r="F3344">
        <f>IF(OR(A3344="",'Ratings'!S214=""),"",'Ratings'!S214)</f>
        <v/>
      </c>
      <c r="G3344">
        <f>IF(A3344="","",'Employees'!D19)</f>
        <v/>
      </c>
    </row>
    <row r="3345">
      <c r="A3345">
        <f>IF(AND('Ratings'!A214&lt;&gt;"",'Ratings'!T5&lt;&gt;""),'Ratings'!A214,"")</f>
        <v/>
      </c>
      <c r="B3345">
        <f>IF(A3345="","",'Employees'!C19)</f>
        <v/>
      </c>
      <c r="C3345">
        <f>IF(A3345="","",'Ratings'!C214)</f>
        <v/>
      </c>
      <c r="D3345">
        <f>IF(A3345="","",'Ratings'!D214)</f>
        <v/>
      </c>
      <c r="E3345">
        <f>IF(AND('Ratings'!A214&lt;&gt;"",'Ratings'!T5&lt;&gt;""),'Ratings'!T5,"")</f>
        <v/>
      </c>
      <c r="F3345">
        <f>IF(OR(A3345="",'Ratings'!T214=""),"",'Ratings'!T214)</f>
        <v/>
      </c>
      <c r="G3345">
        <f>IF(A3345="","",'Employees'!D19)</f>
        <v/>
      </c>
    </row>
    <row r="3346">
      <c r="A3346">
        <f>IF(AND('Ratings'!A215&lt;&gt;"",'Ratings'!E5&lt;&gt;""),'Ratings'!A215,"")</f>
        <v/>
      </c>
      <c r="B3346">
        <f>IF(A3346="","",'Employees'!C19)</f>
        <v/>
      </c>
      <c r="C3346">
        <f>IF(A3346="","",'Ratings'!C215)</f>
        <v/>
      </c>
      <c r="D3346">
        <f>IF(A3346="","",'Ratings'!D215)</f>
        <v/>
      </c>
      <c r="E3346">
        <f>IF(AND('Ratings'!A215&lt;&gt;"",'Ratings'!E5&lt;&gt;""),'Ratings'!E5,"")</f>
        <v/>
      </c>
      <c r="F3346">
        <f>IF(OR(A3346="",'Ratings'!E215=""),"",'Ratings'!E215)</f>
        <v/>
      </c>
      <c r="G3346">
        <f>IF(A3346="","",'Employees'!D19)</f>
        <v/>
      </c>
    </row>
    <row r="3347">
      <c r="A3347">
        <f>IF(AND('Ratings'!A215&lt;&gt;"",'Ratings'!F5&lt;&gt;""),'Ratings'!A215,"")</f>
        <v/>
      </c>
      <c r="B3347">
        <f>IF(A3347="","",'Employees'!C19)</f>
        <v/>
      </c>
      <c r="C3347">
        <f>IF(A3347="","",'Ratings'!C215)</f>
        <v/>
      </c>
      <c r="D3347">
        <f>IF(A3347="","",'Ratings'!D215)</f>
        <v/>
      </c>
      <c r="E3347">
        <f>IF(AND('Ratings'!A215&lt;&gt;"",'Ratings'!F5&lt;&gt;""),'Ratings'!F5,"")</f>
        <v/>
      </c>
      <c r="F3347">
        <f>IF(OR(A3347="",'Ratings'!F215=""),"",'Ratings'!F215)</f>
        <v/>
      </c>
      <c r="G3347">
        <f>IF(A3347="","",'Employees'!D19)</f>
        <v/>
      </c>
    </row>
    <row r="3348">
      <c r="A3348">
        <f>IF(AND('Ratings'!A215&lt;&gt;"",'Ratings'!G5&lt;&gt;""),'Ratings'!A215,"")</f>
        <v/>
      </c>
      <c r="B3348">
        <f>IF(A3348="","",'Employees'!C19)</f>
        <v/>
      </c>
      <c r="C3348">
        <f>IF(A3348="","",'Ratings'!C215)</f>
        <v/>
      </c>
      <c r="D3348">
        <f>IF(A3348="","",'Ratings'!D215)</f>
        <v/>
      </c>
      <c r="E3348">
        <f>IF(AND('Ratings'!A215&lt;&gt;"",'Ratings'!G5&lt;&gt;""),'Ratings'!G5,"")</f>
        <v/>
      </c>
      <c r="F3348">
        <f>IF(OR(A3348="",'Ratings'!G215=""),"",'Ratings'!G215)</f>
        <v/>
      </c>
      <c r="G3348">
        <f>IF(A3348="","",'Employees'!D19)</f>
        <v/>
      </c>
    </row>
    <row r="3349">
      <c r="A3349">
        <f>IF(AND('Ratings'!A215&lt;&gt;"",'Ratings'!H5&lt;&gt;""),'Ratings'!A215,"")</f>
        <v/>
      </c>
      <c r="B3349">
        <f>IF(A3349="","",'Employees'!C19)</f>
        <v/>
      </c>
      <c r="C3349">
        <f>IF(A3349="","",'Ratings'!C215)</f>
        <v/>
      </c>
      <c r="D3349">
        <f>IF(A3349="","",'Ratings'!D215)</f>
        <v/>
      </c>
      <c r="E3349">
        <f>IF(AND('Ratings'!A215&lt;&gt;"",'Ratings'!H5&lt;&gt;""),'Ratings'!H5,"")</f>
        <v/>
      </c>
      <c r="F3349">
        <f>IF(OR(A3349="",'Ratings'!H215=""),"",'Ratings'!H215)</f>
        <v/>
      </c>
      <c r="G3349">
        <f>IF(A3349="","",'Employees'!D19)</f>
        <v/>
      </c>
    </row>
    <row r="3350">
      <c r="A3350">
        <f>IF(AND('Ratings'!A215&lt;&gt;"",'Ratings'!I5&lt;&gt;""),'Ratings'!A215,"")</f>
        <v/>
      </c>
      <c r="B3350">
        <f>IF(A3350="","",'Employees'!C19)</f>
        <v/>
      </c>
      <c r="C3350">
        <f>IF(A3350="","",'Ratings'!C215)</f>
        <v/>
      </c>
      <c r="D3350">
        <f>IF(A3350="","",'Ratings'!D215)</f>
        <v/>
      </c>
      <c r="E3350">
        <f>IF(AND('Ratings'!A215&lt;&gt;"",'Ratings'!I5&lt;&gt;""),'Ratings'!I5,"")</f>
        <v/>
      </c>
      <c r="F3350">
        <f>IF(OR(A3350="",'Ratings'!I215=""),"",'Ratings'!I215)</f>
        <v/>
      </c>
      <c r="G3350">
        <f>IF(A3350="","",'Employees'!D19)</f>
        <v/>
      </c>
    </row>
    <row r="3351">
      <c r="A3351">
        <f>IF(AND('Ratings'!A215&lt;&gt;"",'Ratings'!J5&lt;&gt;""),'Ratings'!A215,"")</f>
        <v/>
      </c>
      <c r="B3351">
        <f>IF(A3351="","",'Employees'!C19)</f>
        <v/>
      </c>
      <c r="C3351">
        <f>IF(A3351="","",'Ratings'!C215)</f>
        <v/>
      </c>
      <c r="D3351">
        <f>IF(A3351="","",'Ratings'!D215)</f>
        <v/>
      </c>
      <c r="E3351">
        <f>IF(AND('Ratings'!A215&lt;&gt;"",'Ratings'!J5&lt;&gt;""),'Ratings'!J5,"")</f>
        <v/>
      </c>
      <c r="F3351">
        <f>IF(OR(A3351="",'Ratings'!J215=""),"",'Ratings'!J215)</f>
        <v/>
      </c>
      <c r="G3351">
        <f>IF(A3351="","",'Employees'!D19)</f>
        <v/>
      </c>
    </row>
    <row r="3352">
      <c r="A3352">
        <f>IF(AND('Ratings'!A215&lt;&gt;"",'Ratings'!K5&lt;&gt;""),'Ratings'!A215,"")</f>
        <v/>
      </c>
      <c r="B3352">
        <f>IF(A3352="","",'Employees'!C19)</f>
        <v/>
      </c>
      <c r="C3352">
        <f>IF(A3352="","",'Ratings'!C215)</f>
        <v/>
      </c>
      <c r="D3352">
        <f>IF(A3352="","",'Ratings'!D215)</f>
        <v/>
      </c>
      <c r="E3352">
        <f>IF(AND('Ratings'!A215&lt;&gt;"",'Ratings'!K5&lt;&gt;""),'Ratings'!K5,"")</f>
        <v/>
      </c>
      <c r="F3352">
        <f>IF(OR(A3352="",'Ratings'!K215=""),"",'Ratings'!K215)</f>
        <v/>
      </c>
      <c r="G3352">
        <f>IF(A3352="","",'Employees'!D19)</f>
        <v/>
      </c>
    </row>
    <row r="3353">
      <c r="A3353">
        <f>IF(AND('Ratings'!A215&lt;&gt;"",'Ratings'!L5&lt;&gt;""),'Ratings'!A215,"")</f>
        <v/>
      </c>
      <c r="B3353">
        <f>IF(A3353="","",'Employees'!C19)</f>
        <v/>
      </c>
      <c r="C3353">
        <f>IF(A3353="","",'Ratings'!C215)</f>
        <v/>
      </c>
      <c r="D3353">
        <f>IF(A3353="","",'Ratings'!D215)</f>
        <v/>
      </c>
      <c r="E3353">
        <f>IF(AND('Ratings'!A215&lt;&gt;"",'Ratings'!L5&lt;&gt;""),'Ratings'!L5,"")</f>
        <v/>
      </c>
      <c r="F3353">
        <f>IF(OR(A3353="",'Ratings'!L215=""),"",'Ratings'!L215)</f>
        <v/>
      </c>
      <c r="G3353">
        <f>IF(A3353="","",'Employees'!D19)</f>
        <v/>
      </c>
    </row>
    <row r="3354">
      <c r="A3354">
        <f>IF(AND('Ratings'!A215&lt;&gt;"",'Ratings'!M5&lt;&gt;""),'Ratings'!A215,"")</f>
        <v/>
      </c>
      <c r="B3354">
        <f>IF(A3354="","",'Employees'!C19)</f>
        <v/>
      </c>
      <c r="C3354">
        <f>IF(A3354="","",'Ratings'!C215)</f>
        <v/>
      </c>
      <c r="D3354">
        <f>IF(A3354="","",'Ratings'!D215)</f>
        <v/>
      </c>
      <c r="E3354">
        <f>IF(AND('Ratings'!A215&lt;&gt;"",'Ratings'!M5&lt;&gt;""),'Ratings'!M5,"")</f>
        <v/>
      </c>
      <c r="F3354">
        <f>IF(OR(A3354="",'Ratings'!M215=""),"",'Ratings'!M215)</f>
        <v/>
      </c>
      <c r="G3354">
        <f>IF(A3354="","",'Employees'!D19)</f>
        <v/>
      </c>
    </row>
    <row r="3355">
      <c r="A3355">
        <f>IF(AND('Ratings'!A215&lt;&gt;"",'Ratings'!N5&lt;&gt;""),'Ratings'!A215,"")</f>
        <v/>
      </c>
      <c r="B3355">
        <f>IF(A3355="","",'Employees'!C19)</f>
        <v/>
      </c>
      <c r="C3355">
        <f>IF(A3355="","",'Ratings'!C215)</f>
        <v/>
      </c>
      <c r="D3355">
        <f>IF(A3355="","",'Ratings'!D215)</f>
        <v/>
      </c>
      <c r="E3355">
        <f>IF(AND('Ratings'!A215&lt;&gt;"",'Ratings'!N5&lt;&gt;""),'Ratings'!N5,"")</f>
        <v/>
      </c>
      <c r="F3355">
        <f>IF(OR(A3355="",'Ratings'!N215=""),"",'Ratings'!N215)</f>
        <v/>
      </c>
      <c r="G3355">
        <f>IF(A3355="","",'Employees'!D19)</f>
        <v/>
      </c>
    </row>
    <row r="3356">
      <c r="A3356">
        <f>IF(AND('Ratings'!A215&lt;&gt;"",'Ratings'!O5&lt;&gt;""),'Ratings'!A215,"")</f>
        <v/>
      </c>
      <c r="B3356">
        <f>IF(A3356="","",'Employees'!C19)</f>
        <v/>
      </c>
      <c r="C3356">
        <f>IF(A3356="","",'Ratings'!C215)</f>
        <v/>
      </c>
      <c r="D3356">
        <f>IF(A3356="","",'Ratings'!D215)</f>
        <v/>
      </c>
      <c r="E3356">
        <f>IF(AND('Ratings'!A215&lt;&gt;"",'Ratings'!O5&lt;&gt;""),'Ratings'!O5,"")</f>
        <v/>
      </c>
      <c r="F3356">
        <f>IF(OR(A3356="",'Ratings'!O215=""),"",'Ratings'!O215)</f>
        <v/>
      </c>
      <c r="G3356">
        <f>IF(A3356="","",'Employees'!D19)</f>
        <v/>
      </c>
    </row>
    <row r="3357">
      <c r="A3357">
        <f>IF(AND('Ratings'!A215&lt;&gt;"",'Ratings'!P5&lt;&gt;""),'Ratings'!A215,"")</f>
        <v/>
      </c>
      <c r="B3357">
        <f>IF(A3357="","",'Employees'!C19)</f>
        <v/>
      </c>
      <c r="C3357">
        <f>IF(A3357="","",'Ratings'!C215)</f>
        <v/>
      </c>
      <c r="D3357">
        <f>IF(A3357="","",'Ratings'!D215)</f>
        <v/>
      </c>
      <c r="E3357">
        <f>IF(AND('Ratings'!A215&lt;&gt;"",'Ratings'!P5&lt;&gt;""),'Ratings'!P5,"")</f>
        <v/>
      </c>
      <c r="F3357">
        <f>IF(OR(A3357="",'Ratings'!P215=""),"",'Ratings'!P215)</f>
        <v/>
      </c>
      <c r="G3357">
        <f>IF(A3357="","",'Employees'!D19)</f>
        <v/>
      </c>
    </row>
    <row r="3358">
      <c r="A3358">
        <f>IF(AND('Ratings'!A215&lt;&gt;"",'Ratings'!Q5&lt;&gt;""),'Ratings'!A215,"")</f>
        <v/>
      </c>
      <c r="B3358">
        <f>IF(A3358="","",'Employees'!C19)</f>
        <v/>
      </c>
      <c r="C3358">
        <f>IF(A3358="","",'Ratings'!C215)</f>
        <v/>
      </c>
      <c r="D3358">
        <f>IF(A3358="","",'Ratings'!D215)</f>
        <v/>
      </c>
      <c r="E3358">
        <f>IF(AND('Ratings'!A215&lt;&gt;"",'Ratings'!Q5&lt;&gt;""),'Ratings'!Q5,"")</f>
        <v/>
      </c>
      <c r="F3358">
        <f>IF(OR(A3358="",'Ratings'!Q215=""),"",'Ratings'!Q215)</f>
        <v/>
      </c>
      <c r="G3358">
        <f>IF(A3358="","",'Employees'!D19)</f>
        <v/>
      </c>
    </row>
    <row r="3359">
      <c r="A3359">
        <f>IF(AND('Ratings'!A215&lt;&gt;"",'Ratings'!R5&lt;&gt;""),'Ratings'!A215,"")</f>
        <v/>
      </c>
      <c r="B3359">
        <f>IF(A3359="","",'Employees'!C19)</f>
        <v/>
      </c>
      <c r="C3359">
        <f>IF(A3359="","",'Ratings'!C215)</f>
        <v/>
      </c>
      <c r="D3359">
        <f>IF(A3359="","",'Ratings'!D215)</f>
        <v/>
      </c>
      <c r="E3359">
        <f>IF(AND('Ratings'!A215&lt;&gt;"",'Ratings'!R5&lt;&gt;""),'Ratings'!R5,"")</f>
        <v/>
      </c>
      <c r="F3359">
        <f>IF(OR(A3359="",'Ratings'!R215=""),"",'Ratings'!R215)</f>
        <v/>
      </c>
      <c r="G3359">
        <f>IF(A3359="","",'Employees'!D19)</f>
        <v/>
      </c>
    </row>
    <row r="3360">
      <c r="A3360">
        <f>IF(AND('Ratings'!A215&lt;&gt;"",'Ratings'!S5&lt;&gt;""),'Ratings'!A215,"")</f>
        <v/>
      </c>
      <c r="B3360">
        <f>IF(A3360="","",'Employees'!C19)</f>
        <v/>
      </c>
      <c r="C3360">
        <f>IF(A3360="","",'Ratings'!C215)</f>
        <v/>
      </c>
      <c r="D3360">
        <f>IF(A3360="","",'Ratings'!D215)</f>
        <v/>
      </c>
      <c r="E3360">
        <f>IF(AND('Ratings'!A215&lt;&gt;"",'Ratings'!S5&lt;&gt;""),'Ratings'!S5,"")</f>
        <v/>
      </c>
      <c r="F3360">
        <f>IF(OR(A3360="",'Ratings'!S215=""),"",'Ratings'!S215)</f>
        <v/>
      </c>
      <c r="G3360">
        <f>IF(A3360="","",'Employees'!D19)</f>
        <v/>
      </c>
    </row>
    <row r="3361">
      <c r="A3361">
        <f>IF(AND('Ratings'!A215&lt;&gt;"",'Ratings'!T5&lt;&gt;""),'Ratings'!A215,"")</f>
        <v/>
      </c>
      <c r="B3361">
        <f>IF(A3361="","",'Employees'!C19)</f>
        <v/>
      </c>
      <c r="C3361">
        <f>IF(A3361="","",'Ratings'!C215)</f>
        <v/>
      </c>
      <c r="D3361">
        <f>IF(A3361="","",'Ratings'!D215)</f>
        <v/>
      </c>
      <c r="E3361">
        <f>IF(AND('Ratings'!A215&lt;&gt;"",'Ratings'!T5&lt;&gt;""),'Ratings'!T5,"")</f>
        <v/>
      </c>
      <c r="F3361">
        <f>IF(OR(A3361="",'Ratings'!T215=""),"",'Ratings'!T215)</f>
        <v/>
      </c>
      <c r="G3361">
        <f>IF(A3361="","",'Employees'!D19)</f>
        <v/>
      </c>
    </row>
    <row r="3362">
      <c r="A3362">
        <f>IF(AND('Ratings'!A216&lt;&gt;"",'Ratings'!E5&lt;&gt;""),'Ratings'!A216,"")</f>
        <v/>
      </c>
      <c r="B3362">
        <f>IF(A3362="","",'Employees'!C19)</f>
        <v/>
      </c>
      <c r="C3362">
        <f>IF(A3362="","",'Ratings'!C216)</f>
        <v/>
      </c>
      <c r="D3362">
        <f>IF(A3362="","",'Ratings'!D216)</f>
        <v/>
      </c>
      <c r="E3362">
        <f>IF(AND('Ratings'!A216&lt;&gt;"",'Ratings'!E5&lt;&gt;""),'Ratings'!E5,"")</f>
        <v/>
      </c>
      <c r="F3362">
        <f>IF(OR(A3362="",'Ratings'!E216=""),"",'Ratings'!E216)</f>
        <v/>
      </c>
      <c r="G3362">
        <f>IF(A3362="","",'Employees'!D19)</f>
        <v/>
      </c>
    </row>
    <row r="3363">
      <c r="A3363">
        <f>IF(AND('Ratings'!A216&lt;&gt;"",'Ratings'!F5&lt;&gt;""),'Ratings'!A216,"")</f>
        <v/>
      </c>
      <c r="B3363">
        <f>IF(A3363="","",'Employees'!C19)</f>
        <v/>
      </c>
      <c r="C3363">
        <f>IF(A3363="","",'Ratings'!C216)</f>
        <v/>
      </c>
      <c r="D3363">
        <f>IF(A3363="","",'Ratings'!D216)</f>
        <v/>
      </c>
      <c r="E3363">
        <f>IF(AND('Ratings'!A216&lt;&gt;"",'Ratings'!F5&lt;&gt;""),'Ratings'!F5,"")</f>
        <v/>
      </c>
      <c r="F3363">
        <f>IF(OR(A3363="",'Ratings'!F216=""),"",'Ratings'!F216)</f>
        <v/>
      </c>
      <c r="G3363">
        <f>IF(A3363="","",'Employees'!D19)</f>
        <v/>
      </c>
    </row>
    <row r="3364">
      <c r="A3364">
        <f>IF(AND('Ratings'!A216&lt;&gt;"",'Ratings'!G5&lt;&gt;""),'Ratings'!A216,"")</f>
        <v/>
      </c>
      <c r="B3364">
        <f>IF(A3364="","",'Employees'!C19)</f>
        <v/>
      </c>
      <c r="C3364">
        <f>IF(A3364="","",'Ratings'!C216)</f>
        <v/>
      </c>
      <c r="D3364">
        <f>IF(A3364="","",'Ratings'!D216)</f>
        <v/>
      </c>
      <c r="E3364">
        <f>IF(AND('Ratings'!A216&lt;&gt;"",'Ratings'!G5&lt;&gt;""),'Ratings'!G5,"")</f>
        <v/>
      </c>
      <c r="F3364">
        <f>IF(OR(A3364="",'Ratings'!G216=""),"",'Ratings'!G216)</f>
        <v/>
      </c>
      <c r="G3364">
        <f>IF(A3364="","",'Employees'!D19)</f>
        <v/>
      </c>
    </row>
    <row r="3365">
      <c r="A3365">
        <f>IF(AND('Ratings'!A216&lt;&gt;"",'Ratings'!H5&lt;&gt;""),'Ratings'!A216,"")</f>
        <v/>
      </c>
      <c r="B3365">
        <f>IF(A3365="","",'Employees'!C19)</f>
        <v/>
      </c>
      <c r="C3365">
        <f>IF(A3365="","",'Ratings'!C216)</f>
        <v/>
      </c>
      <c r="D3365">
        <f>IF(A3365="","",'Ratings'!D216)</f>
        <v/>
      </c>
      <c r="E3365">
        <f>IF(AND('Ratings'!A216&lt;&gt;"",'Ratings'!H5&lt;&gt;""),'Ratings'!H5,"")</f>
        <v/>
      </c>
      <c r="F3365">
        <f>IF(OR(A3365="",'Ratings'!H216=""),"",'Ratings'!H216)</f>
        <v/>
      </c>
      <c r="G3365">
        <f>IF(A3365="","",'Employees'!D19)</f>
        <v/>
      </c>
    </row>
    <row r="3366">
      <c r="A3366">
        <f>IF(AND('Ratings'!A216&lt;&gt;"",'Ratings'!I5&lt;&gt;""),'Ratings'!A216,"")</f>
        <v/>
      </c>
      <c r="B3366">
        <f>IF(A3366="","",'Employees'!C19)</f>
        <v/>
      </c>
      <c r="C3366">
        <f>IF(A3366="","",'Ratings'!C216)</f>
        <v/>
      </c>
      <c r="D3366">
        <f>IF(A3366="","",'Ratings'!D216)</f>
        <v/>
      </c>
      <c r="E3366">
        <f>IF(AND('Ratings'!A216&lt;&gt;"",'Ratings'!I5&lt;&gt;""),'Ratings'!I5,"")</f>
        <v/>
      </c>
      <c r="F3366">
        <f>IF(OR(A3366="",'Ratings'!I216=""),"",'Ratings'!I216)</f>
        <v/>
      </c>
      <c r="G3366">
        <f>IF(A3366="","",'Employees'!D19)</f>
        <v/>
      </c>
    </row>
    <row r="3367">
      <c r="A3367">
        <f>IF(AND('Ratings'!A216&lt;&gt;"",'Ratings'!J5&lt;&gt;""),'Ratings'!A216,"")</f>
        <v/>
      </c>
      <c r="B3367">
        <f>IF(A3367="","",'Employees'!C19)</f>
        <v/>
      </c>
      <c r="C3367">
        <f>IF(A3367="","",'Ratings'!C216)</f>
        <v/>
      </c>
      <c r="D3367">
        <f>IF(A3367="","",'Ratings'!D216)</f>
        <v/>
      </c>
      <c r="E3367">
        <f>IF(AND('Ratings'!A216&lt;&gt;"",'Ratings'!J5&lt;&gt;""),'Ratings'!J5,"")</f>
        <v/>
      </c>
      <c r="F3367">
        <f>IF(OR(A3367="",'Ratings'!J216=""),"",'Ratings'!J216)</f>
        <v/>
      </c>
      <c r="G3367">
        <f>IF(A3367="","",'Employees'!D19)</f>
        <v/>
      </c>
    </row>
    <row r="3368">
      <c r="A3368">
        <f>IF(AND('Ratings'!A216&lt;&gt;"",'Ratings'!K5&lt;&gt;""),'Ratings'!A216,"")</f>
        <v/>
      </c>
      <c r="B3368">
        <f>IF(A3368="","",'Employees'!C19)</f>
        <v/>
      </c>
      <c r="C3368">
        <f>IF(A3368="","",'Ratings'!C216)</f>
        <v/>
      </c>
      <c r="D3368">
        <f>IF(A3368="","",'Ratings'!D216)</f>
        <v/>
      </c>
      <c r="E3368">
        <f>IF(AND('Ratings'!A216&lt;&gt;"",'Ratings'!K5&lt;&gt;""),'Ratings'!K5,"")</f>
        <v/>
      </c>
      <c r="F3368">
        <f>IF(OR(A3368="",'Ratings'!K216=""),"",'Ratings'!K216)</f>
        <v/>
      </c>
      <c r="G3368">
        <f>IF(A3368="","",'Employees'!D19)</f>
        <v/>
      </c>
    </row>
    <row r="3369">
      <c r="A3369">
        <f>IF(AND('Ratings'!A216&lt;&gt;"",'Ratings'!L5&lt;&gt;""),'Ratings'!A216,"")</f>
        <v/>
      </c>
      <c r="B3369">
        <f>IF(A3369="","",'Employees'!C19)</f>
        <v/>
      </c>
      <c r="C3369">
        <f>IF(A3369="","",'Ratings'!C216)</f>
        <v/>
      </c>
      <c r="D3369">
        <f>IF(A3369="","",'Ratings'!D216)</f>
        <v/>
      </c>
      <c r="E3369">
        <f>IF(AND('Ratings'!A216&lt;&gt;"",'Ratings'!L5&lt;&gt;""),'Ratings'!L5,"")</f>
        <v/>
      </c>
      <c r="F3369">
        <f>IF(OR(A3369="",'Ratings'!L216=""),"",'Ratings'!L216)</f>
        <v/>
      </c>
      <c r="G3369">
        <f>IF(A3369="","",'Employees'!D19)</f>
        <v/>
      </c>
    </row>
    <row r="3370">
      <c r="A3370">
        <f>IF(AND('Ratings'!A216&lt;&gt;"",'Ratings'!M5&lt;&gt;""),'Ratings'!A216,"")</f>
        <v/>
      </c>
      <c r="B3370">
        <f>IF(A3370="","",'Employees'!C19)</f>
        <v/>
      </c>
      <c r="C3370">
        <f>IF(A3370="","",'Ratings'!C216)</f>
        <v/>
      </c>
      <c r="D3370">
        <f>IF(A3370="","",'Ratings'!D216)</f>
        <v/>
      </c>
      <c r="E3370">
        <f>IF(AND('Ratings'!A216&lt;&gt;"",'Ratings'!M5&lt;&gt;""),'Ratings'!M5,"")</f>
        <v/>
      </c>
      <c r="F3370">
        <f>IF(OR(A3370="",'Ratings'!M216=""),"",'Ratings'!M216)</f>
        <v/>
      </c>
      <c r="G3370">
        <f>IF(A3370="","",'Employees'!D19)</f>
        <v/>
      </c>
    </row>
    <row r="3371">
      <c r="A3371">
        <f>IF(AND('Ratings'!A216&lt;&gt;"",'Ratings'!N5&lt;&gt;""),'Ratings'!A216,"")</f>
        <v/>
      </c>
      <c r="B3371">
        <f>IF(A3371="","",'Employees'!C19)</f>
        <v/>
      </c>
      <c r="C3371">
        <f>IF(A3371="","",'Ratings'!C216)</f>
        <v/>
      </c>
      <c r="D3371">
        <f>IF(A3371="","",'Ratings'!D216)</f>
        <v/>
      </c>
      <c r="E3371">
        <f>IF(AND('Ratings'!A216&lt;&gt;"",'Ratings'!N5&lt;&gt;""),'Ratings'!N5,"")</f>
        <v/>
      </c>
      <c r="F3371">
        <f>IF(OR(A3371="",'Ratings'!N216=""),"",'Ratings'!N216)</f>
        <v/>
      </c>
      <c r="G3371">
        <f>IF(A3371="","",'Employees'!D19)</f>
        <v/>
      </c>
    </row>
    <row r="3372">
      <c r="A3372">
        <f>IF(AND('Ratings'!A216&lt;&gt;"",'Ratings'!O5&lt;&gt;""),'Ratings'!A216,"")</f>
        <v/>
      </c>
      <c r="B3372">
        <f>IF(A3372="","",'Employees'!C19)</f>
        <v/>
      </c>
      <c r="C3372">
        <f>IF(A3372="","",'Ratings'!C216)</f>
        <v/>
      </c>
      <c r="D3372">
        <f>IF(A3372="","",'Ratings'!D216)</f>
        <v/>
      </c>
      <c r="E3372">
        <f>IF(AND('Ratings'!A216&lt;&gt;"",'Ratings'!O5&lt;&gt;""),'Ratings'!O5,"")</f>
        <v/>
      </c>
      <c r="F3372">
        <f>IF(OR(A3372="",'Ratings'!O216=""),"",'Ratings'!O216)</f>
        <v/>
      </c>
      <c r="G3372">
        <f>IF(A3372="","",'Employees'!D19)</f>
        <v/>
      </c>
    </row>
    <row r="3373">
      <c r="A3373">
        <f>IF(AND('Ratings'!A216&lt;&gt;"",'Ratings'!P5&lt;&gt;""),'Ratings'!A216,"")</f>
        <v/>
      </c>
      <c r="B3373">
        <f>IF(A3373="","",'Employees'!C19)</f>
        <v/>
      </c>
      <c r="C3373">
        <f>IF(A3373="","",'Ratings'!C216)</f>
        <v/>
      </c>
      <c r="D3373">
        <f>IF(A3373="","",'Ratings'!D216)</f>
        <v/>
      </c>
      <c r="E3373">
        <f>IF(AND('Ratings'!A216&lt;&gt;"",'Ratings'!P5&lt;&gt;""),'Ratings'!P5,"")</f>
        <v/>
      </c>
      <c r="F3373">
        <f>IF(OR(A3373="",'Ratings'!P216=""),"",'Ratings'!P216)</f>
        <v/>
      </c>
      <c r="G3373">
        <f>IF(A3373="","",'Employees'!D19)</f>
        <v/>
      </c>
    </row>
    <row r="3374">
      <c r="A3374">
        <f>IF(AND('Ratings'!A216&lt;&gt;"",'Ratings'!Q5&lt;&gt;""),'Ratings'!A216,"")</f>
        <v/>
      </c>
      <c r="B3374">
        <f>IF(A3374="","",'Employees'!C19)</f>
        <v/>
      </c>
      <c r="C3374">
        <f>IF(A3374="","",'Ratings'!C216)</f>
        <v/>
      </c>
      <c r="D3374">
        <f>IF(A3374="","",'Ratings'!D216)</f>
        <v/>
      </c>
      <c r="E3374">
        <f>IF(AND('Ratings'!A216&lt;&gt;"",'Ratings'!Q5&lt;&gt;""),'Ratings'!Q5,"")</f>
        <v/>
      </c>
      <c r="F3374">
        <f>IF(OR(A3374="",'Ratings'!Q216=""),"",'Ratings'!Q216)</f>
        <v/>
      </c>
      <c r="G3374">
        <f>IF(A3374="","",'Employees'!D19)</f>
        <v/>
      </c>
    </row>
    <row r="3375">
      <c r="A3375">
        <f>IF(AND('Ratings'!A216&lt;&gt;"",'Ratings'!R5&lt;&gt;""),'Ratings'!A216,"")</f>
        <v/>
      </c>
      <c r="B3375">
        <f>IF(A3375="","",'Employees'!C19)</f>
        <v/>
      </c>
      <c r="C3375">
        <f>IF(A3375="","",'Ratings'!C216)</f>
        <v/>
      </c>
      <c r="D3375">
        <f>IF(A3375="","",'Ratings'!D216)</f>
        <v/>
      </c>
      <c r="E3375">
        <f>IF(AND('Ratings'!A216&lt;&gt;"",'Ratings'!R5&lt;&gt;""),'Ratings'!R5,"")</f>
        <v/>
      </c>
      <c r="F3375">
        <f>IF(OR(A3375="",'Ratings'!R216=""),"",'Ratings'!R216)</f>
        <v/>
      </c>
      <c r="G3375">
        <f>IF(A3375="","",'Employees'!D19)</f>
        <v/>
      </c>
    </row>
    <row r="3376">
      <c r="A3376">
        <f>IF(AND('Ratings'!A216&lt;&gt;"",'Ratings'!S5&lt;&gt;""),'Ratings'!A216,"")</f>
        <v/>
      </c>
      <c r="B3376">
        <f>IF(A3376="","",'Employees'!C19)</f>
        <v/>
      </c>
      <c r="C3376">
        <f>IF(A3376="","",'Ratings'!C216)</f>
        <v/>
      </c>
      <c r="D3376">
        <f>IF(A3376="","",'Ratings'!D216)</f>
        <v/>
      </c>
      <c r="E3376">
        <f>IF(AND('Ratings'!A216&lt;&gt;"",'Ratings'!S5&lt;&gt;""),'Ratings'!S5,"")</f>
        <v/>
      </c>
      <c r="F3376">
        <f>IF(OR(A3376="",'Ratings'!S216=""),"",'Ratings'!S216)</f>
        <v/>
      </c>
      <c r="G3376">
        <f>IF(A3376="","",'Employees'!D19)</f>
        <v/>
      </c>
    </row>
    <row r="3377">
      <c r="A3377">
        <f>IF(AND('Ratings'!A216&lt;&gt;"",'Ratings'!T5&lt;&gt;""),'Ratings'!A216,"")</f>
        <v/>
      </c>
      <c r="B3377">
        <f>IF(A3377="","",'Employees'!C19)</f>
        <v/>
      </c>
      <c r="C3377">
        <f>IF(A3377="","",'Ratings'!C216)</f>
        <v/>
      </c>
      <c r="D3377">
        <f>IF(A3377="","",'Ratings'!D216)</f>
        <v/>
      </c>
      <c r="E3377">
        <f>IF(AND('Ratings'!A216&lt;&gt;"",'Ratings'!T5&lt;&gt;""),'Ratings'!T5,"")</f>
        <v/>
      </c>
      <c r="F3377">
        <f>IF(OR(A3377="",'Ratings'!T216=""),"",'Ratings'!T216)</f>
        <v/>
      </c>
      <c r="G3377">
        <f>IF(A3377="","",'Employees'!D19)</f>
        <v/>
      </c>
    </row>
    <row r="3378">
      <c r="A3378">
        <f>IF(AND('Ratings'!A217&lt;&gt;"",'Ratings'!E5&lt;&gt;""),'Ratings'!A217,"")</f>
        <v/>
      </c>
      <c r="B3378">
        <f>IF(A3378="","",'Employees'!C19)</f>
        <v/>
      </c>
      <c r="C3378">
        <f>IF(A3378="","",'Ratings'!C217)</f>
        <v/>
      </c>
      <c r="D3378">
        <f>IF(A3378="","",'Ratings'!D217)</f>
        <v/>
      </c>
      <c r="E3378">
        <f>IF(AND('Ratings'!A217&lt;&gt;"",'Ratings'!E5&lt;&gt;""),'Ratings'!E5,"")</f>
        <v/>
      </c>
      <c r="F3378">
        <f>IF(OR(A3378="",'Ratings'!E217=""),"",'Ratings'!E217)</f>
        <v/>
      </c>
      <c r="G3378">
        <f>IF(A3378="","",'Employees'!D19)</f>
        <v/>
      </c>
    </row>
    <row r="3379">
      <c r="A3379">
        <f>IF(AND('Ratings'!A217&lt;&gt;"",'Ratings'!F5&lt;&gt;""),'Ratings'!A217,"")</f>
        <v/>
      </c>
      <c r="B3379">
        <f>IF(A3379="","",'Employees'!C19)</f>
        <v/>
      </c>
      <c r="C3379">
        <f>IF(A3379="","",'Ratings'!C217)</f>
        <v/>
      </c>
      <c r="D3379">
        <f>IF(A3379="","",'Ratings'!D217)</f>
        <v/>
      </c>
      <c r="E3379">
        <f>IF(AND('Ratings'!A217&lt;&gt;"",'Ratings'!F5&lt;&gt;""),'Ratings'!F5,"")</f>
        <v/>
      </c>
      <c r="F3379">
        <f>IF(OR(A3379="",'Ratings'!F217=""),"",'Ratings'!F217)</f>
        <v/>
      </c>
      <c r="G3379">
        <f>IF(A3379="","",'Employees'!D19)</f>
        <v/>
      </c>
    </row>
    <row r="3380">
      <c r="A3380">
        <f>IF(AND('Ratings'!A217&lt;&gt;"",'Ratings'!G5&lt;&gt;""),'Ratings'!A217,"")</f>
        <v/>
      </c>
      <c r="B3380">
        <f>IF(A3380="","",'Employees'!C19)</f>
        <v/>
      </c>
      <c r="C3380">
        <f>IF(A3380="","",'Ratings'!C217)</f>
        <v/>
      </c>
      <c r="D3380">
        <f>IF(A3380="","",'Ratings'!D217)</f>
        <v/>
      </c>
      <c r="E3380">
        <f>IF(AND('Ratings'!A217&lt;&gt;"",'Ratings'!G5&lt;&gt;""),'Ratings'!G5,"")</f>
        <v/>
      </c>
      <c r="F3380">
        <f>IF(OR(A3380="",'Ratings'!G217=""),"",'Ratings'!G217)</f>
        <v/>
      </c>
      <c r="G3380">
        <f>IF(A3380="","",'Employees'!D19)</f>
        <v/>
      </c>
    </row>
    <row r="3381">
      <c r="A3381">
        <f>IF(AND('Ratings'!A217&lt;&gt;"",'Ratings'!H5&lt;&gt;""),'Ratings'!A217,"")</f>
        <v/>
      </c>
      <c r="B3381">
        <f>IF(A3381="","",'Employees'!C19)</f>
        <v/>
      </c>
      <c r="C3381">
        <f>IF(A3381="","",'Ratings'!C217)</f>
        <v/>
      </c>
      <c r="D3381">
        <f>IF(A3381="","",'Ratings'!D217)</f>
        <v/>
      </c>
      <c r="E3381">
        <f>IF(AND('Ratings'!A217&lt;&gt;"",'Ratings'!H5&lt;&gt;""),'Ratings'!H5,"")</f>
        <v/>
      </c>
      <c r="F3381">
        <f>IF(OR(A3381="",'Ratings'!H217=""),"",'Ratings'!H217)</f>
        <v/>
      </c>
      <c r="G3381">
        <f>IF(A3381="","",'Employees'!D19)</f>
        <v/>
      </c>
    </row>
    <row r="3382">
      <c r="A3382">
        <f>IF(AND('Ratings'!A217&lt;&gt;"",'Ratings'!I5&lt;&gt;""),'Ratings'!A217,"")</f>
        <v/>
      </c>
      <c r="B3382">
        <f>IF(A3382="","",'Employees'!C19)</f>
        <v/>
      </c>
      <c r="C3382">
        <f>IF(A3382="","",'Ratings'!C217)</f>
        <v/>
      </c>
      <c r="D3382">
        <f>IF(A3382="","",'Ratings'!D217)</f>
        <v/>
      </c>
      <c r="E3382">
        <f>IF(AND('Ratings'!A217&lt;&gt;"",'Ratings'!I5&lt;&gt;""),'Ratings'!I5,"")</f>
        <v/>
      </c>
      <c r="F3382">
        <f>IF(OR(A3382="",'Ratings'!I217=""),"",'Ratings'!I217)</f>
        <v/>
      </c>
      <c r="G3382">
        <f>IF(A3382="","",'Employees'!D19)</f>
        <v/>
      </c>
    </row>
    <row r="3383">
      <c r="A3383">
        <f>IF(AND('Ratings'!A217&lt;&gt;"",'Ratings'!J5&lt;&gt;""),'Ratings'!A217,"")</f>
        <v/>
      </c>
      <c r="B3383">
        <f>IF(A3383="","",'Employees'!C19)</f>
        <v/>
      </c>
      <c r="C3383">
        <f>IF(A3383="","",'Ratings'!C217)</f>
        <v/>
      </c>
      <c r="D3383">
        <f>IF(A3383="","",'Ratings'!D217)</f>
        <v/>
      </c>
      <c r="E3383">
        <f>IF(AND('Ratings'!A217&lt;&gt;"",'Ratings'!J5&lt;&gt;""),'Ratings'!J5,"")</f>
        <v/>
      </c>
      <c r="F3383">
        <f>IF(OR(A3383="",'Ratings'!J217=""),"",'Ratings'!J217)</f>
        <v/>
      </c>
      <c r="G3383">
        <f>IF(A3383="","",'Employees'!D19)</f>
        <v/>
      </c>
    </row>
    <row r="3384">
      <c r="A3384">
        <f>IF(AND('Ratings'!A217&lt;&gt;"",'Ratings'!K5&lt;&gt;""),'Ratings'!A217,"")</f>
        <v/>
      </c>
      <c r="B3384">
        <f>IF(A3384="","",'Employees'!C19)</f>
        <v/>
      </c>
      <c r="C3384">
        <f>IF(A3384="","",'Ratings'!C217)</f>
        <v/>
      </c>
      <c r="D3384">
        <f>IF(A3384="","",'Ratings'!D217)</f>
        <v/>
      </c>
      <c r="E3384">
        <f>IF(AND('Ratings'!A217&lt;&gt;"",'Ratings'!K5&lt;&gt;""),'Ratings'!K5,"")</f>
        <v/>
      </c>
      <c r="F3384">
        <f>IF(OR(A3384="",'Ratings'!K217=""),"",'Ratings'!K217)</f>
        <v/>
      </c>
      <c r="G3384">
        <f>IF(A3384="","",'Employees'!D19)</f>
        <v/>
      </c>
    </row>
    <row r="3385">
      <c r="A3385">
        <f>IF(AND('Ratings'!A217&lt;&gt;"",'Ratings'!L5&lt;&gt;""),'Ratings'!A217,"")</f>
        <v/>
      </c>
      <c r="B3385">
        <f>IF(A3385="","",'Employees'!C19)</f>
        <v/>
      </c>
      <c r="C3385">
        <f>IF(A3385="","",'Ratings'!C217)</f>
        <v/>
      </c>
      <c r="D3385">
        <f>IF(A3385="","",'Ratings'!D217)</f>
        <v/>
      </c>
      <c r="E3385">
        <f>IF(AND('Ratings'!A217&lt;&gt;"",'Ratings'!L5&lt;&gt;""),'Ratings'!L5,"")</f>
        <v/>
      </c>
      <c r="F3385">
        <f>IF(OR(A3385="",'Ratings'!L217=""),"",'Ratings'!L217)</f>
        <v/>
      </c>
      <c r="G3385">
        <f>IF(A3385="","",'Employees'!D19)</f>
        <v/>
      </c>
    </row>
    <row r="3386">
      <c r="A3386">
        <f>IF(AND('Ratings'!A217&lt;&gt;"",'Ratings'!M5&lt;&gt;""),'Ratings'!A217,"")</f>
        <v/>
      </c>
      <c r="B3386">
        <f>IF(A3386="","",'Employees'!C19)</f>
        <v/>
      </c>
      <c r="C3386">
        <f>IF(A3386="","",'Ratings'!C217)</f>
        <v/>
      </c>
      <c r="D3386">
        <f>IF(A3386="","",'Ratings'!D217)</f>
        <v/>
      </c>
      <c r="E3386">
        <f>IF(AND('Ratings'!A217&lt;&gt;"",'Ratings'!M5&lt;&gt;""),'Ratings'!M5,"")</f>
        <v/>
      </c>
      <c r="F3386">
        <f>IF(OR(A3386="",'Ratings'!M217=""),"",'Ratings'!M217)</f>
        <v/>
      </c>
      <c r="G3386">
        <f>IF(A3386="","",'Employees'!D19)</f>
        <v/>
      </c>
    </row>
    <row r="3387">
      <c r="A3387">
        <f>IF(AND('Ratings'!A217&lt;&gt;"",'Ratings'!N5&lt;&gt;""),'Ratings'!A217,"")</f>
        <v/>
      </c>
      <c r="B3387">
        <f>IF(A3387="","",'Employees'!C19)</f>
        <v/>
      </c>
      <c r="C3387">
        <f>IF(A3387="","",'Ratings'!C217)</f>
        <v/>
      </c>
      <c r="D3387">
        <f>IF(A3387="","",'Ratings'!D217)</f>
        <v/>
      </c>
      <c r="E3387">
        <f>IF(AND('Ratings'!A217&lt;&gt;"",'Ratings'!N5&lt;&gt;""),'Ratings'!N5,"")</f>
        <v/>
      </c>
      <c r="F3387">
        <f>IF(OR(A3387="",'Ratings'!N217=""),"",'Ratings'!N217)</f>
        <v/>
      </c>
      <c r="G3387">
        <f>IF(A3387="","",'Employees'!D19)</f>
        <v/>
      </c>
    </row>
    <row r="3388">
      <c r="A3388">
        <f>IF(AND('Ratings'!A217&lt;&gt;"",'Ratings'!O5&lt;&gt;""),'Ratings'!A217,"")</f>
        <v/>
      </c>
      <c r="B3388">
        <f>IF(A3388="","",'Employees'!C19)</f>
        <v/>
      </c>
      <c r="C3388">
        <f>IF(A3388="","",'Ratings'!C217)</f>
        <v/>
      </c>
      <c r="D3388">
        <f>IF(A3388="","",'Ratings'!D217)</f>
        <v/>
      </c>
      <c r="E3388">
        <f>IF(AND('Ratings'!A217&lt;&gt;"",'Ratings'!O5&lt;&gt;""),'Ratings'!O5,"")</f>
        <v/>
      </c>
      <c r="F3388">
        <f>IF(OR(A3388="",'Ratings'!O217=""),"",'Ratings'!O217)</f>
        <v/>
      </c>
      <c r="G3388">
        <f>IF(A3388="","",'Employees'!D19)</f>
        <v/>
      </c>
    </row>
    <row r="3389">
      <c r="A3389">
        <f>IF(AND('Ratings'!A217&lt;&gt;"",'Ratings'!P5&lt;&gt;""),'Ratings'!A217,"")</f>
        <v/>
      </c>
      <c r="B3389">
        <f>IF(A3389="","",'Employees'!C19)</f>
        <v/>
      </c>
      <c r="C3389">
        <f>IF(A3389="","",'Ratings'!C217)</f>
        <v/>
      </c>
      <c r="D3389">
        <f>IF(A3389="","",'Ratings'!D217)</f>
        <v/>
      </c>
      <c r="E3389">
        <f>IF(AND('Ratings'!A217&lt;&gt;"",'Ratings'!P5&lt;&gt;""),'Ratings'!P5,"")</f>
        <v/>
      </c>
      <c r="F3389">
        <f>IF(OR(A3389="",'Ratings'!P217=""),"",'Ratings'!P217)</f>
        <v/>
      </c>
      <c r="G3389">
        <f>IF(A3389="","",'Employees'!D19)</f>
        <v/>
      </c>
    </row>
    <row r="3390">
      <c r="A3390">
        <f>IF(AND('Ratings'!A217&lt;&gt;"",'Ratings'!Q5&lt;&gt;""),'Ratings'!A217,"")</f>
        <v/>
      </c>
      <c r="B3390">
        <f>IF(A3390="","",'Employees'!C19)</f>
        <v/>
      </c>
      <c r="C3390">
        <f>IF(A3390="","",'Ratings'!C217)</f>
        <v/>
      </c>
      <c r="D3390">
        <f>IF(A3390="","",'Ratings'!D217)</f>
        <v/>
      </c>
      <c r="E3390">
        <f>IF(AND('Ratings'!A217&lt;&gt;"",'Ratings'!Q5&lt;&gt;""),'Ratings'!Q5,"")</f>
        <v/>
      </c>
      <c r="F3390">
        <f>IF(OR(A3390="",'Ratings'!Q217=""),"",'Ratings'!Q217)</f>
        <v/>
      </c>
      <c r="G3390">
        <f>IF(A3390="","",'Employees'!D19)</f>
        <v/>
      </c>
    </row>
    <row r="3391">
      <c r="A3391">
        <f>IF(AND('Ratings'!A217&lt;&gt;"",'Ratings'!R5&lt;&gt;""),'Ratings'!A217,"")</f>
        <v/>
      </c>
      <c r="B3391">
        <f>IF(A3391="","",'Employees'!C19)</f>
        <v/>
      </c>
      <c r="C3391">
        <f>IF(A3391="","",'Ratings'!C217)</f>
        <v/>
      </c>
      <c r="D3391">
        <f>IF(A3391="","",'Ratings'!D217)</f>
        <v/>
      </c>
      <c r="E3391">
        <f>IF(AND('Ratings'!A217&lt;&gt;"",'Ratings'!R5&lt;&gt;""),'Ratings'!R5,"")</f>
        <v/>
      </c>
      <c r="F3391">
        <f>IF(OR(A3391="",'Ratings'!R217=""),"",'Ratings'!R217)</f>
        <v/>
      </c>
      <c r="G3391">
        <f>IF(A3391="","",'Employees'!D19)</f>
        <v/>
      </c>
    </row>
    <row r="3392">
      <c r="A3392">
        <f>IF(AND('Ratings'!A217&lt;&gt;"",'Ratings'!S5&lt;&gt;""),'Ratings'!A217,"")</f>
        <v/>
      </c>
      <c r="B3392">
        <f>IF(A3392="","",'Employees'!C19)</f>
        <v/>
      </c>
      <c r="C3392">
        <f>IF(A3392="","",'Ratings'!C217)</f>
        <v/>
      </c>
      <c r="D3392">
        <f>IF(A3392="","",'Ratings'!D217)</f>
        <v/>
      </c>
      <c r="E3392">
        <f>IF(AND('Ratings'!A217&lt;&gt;"",'Ratings'!S5&lt;&gt;""),'Ratings'!S5,"")</f>
        <v/>
      </c>
      <c r="F3392">
        <f>IF(OR(A3392="",'Ratings'!S217=""),"",'Ratings'!S217)</f>
        <v/>
      </c>
      <c r="G3392">
        <f>IF(A3392="","",'Employees'!D19)</f>
        <v/>
      </c>
    </row>
    <row r="3393">
      <c r="A3393">
        <f>IF(AND('Ratings'!A217&lt;&gt;"",'Ratings'!T5&lt;&gt;""),'Ratings'!A217,"")</f>
        <v/>
      </c>
      <c r="B3393">
        <f>IF(A3393="","",'Employees'!C19)</f>
        <v/>
      </c>
      <c r="C3393">
        <f>IF(A3393="","",'Ratings'!C217)</f>
        <v/>
      </c>
      <c r="D3393">
        <f>IF(A3393="","",'Ratings'!D217)</f>
        <v/>
      </c>
      <c r="E3393">
        <f>IF(AND('Ratings'!A217&lt;&gt;"",'Ratings'!T5&lt;&gt;""),'Ratings'!T5,"")</f>
        <v/>
      </c>
      <c r="F3393">
        <f>IF(OR(A3393="",'Ratings'!T217=""),"",'Ratings'!T217)</f>
        <v/>
      </c>
      <c r="G3393">
        <f>IF(A3393="","",'Employees'!D19)</f>
        <v/>
      </c>
    </row>
    <row r="3394">
      <c r="A3394">
        <f>IF(AND('Ratings'!A218&lt;&gt;"",'Ratings'!E5&lt;&gt;""),'Ratings'!A218,"")</f>
        <v/>
      </c>
      <c r="B3394">
        <f>IF(A3394="","",'Employees'!C19)</f>
        <v/>
      </c>
      <c r="C3394">
        <f>IF(A3394="","",'Ratings'!C218)</f>
        <v/>
      </c>
      <c r="D3394">
        <f>IF(A3394="","",'Ratings'!D218)</f>
        <v/>
      </c>
      <c r="E3394">
        <f>IF(AND('Ratings'!A218&lt;&gt;"",'Ratings'!E5&lt;&gt;""),'Ratings'!E5,"")</f>
        <v/>
      </c>
      <c r="F3394">
        <f>IF(OR(A3394="",'Ratings'!E218=""),"",'Ratings'!E218)</f>
        <v/>
      </c>
      <c r="G3394">
        <f>IF(A3394="","",'Employees'!D19)</f>
        <v/>
      </c>
    </row>
    <row r="3395">
      <c r="A3395">
        <f>IF(AND('Ratings'!A218&lt;&gt;"",'Ratings'!F5&lt;&gt;""),'Ratings'!A218,"")</f>
        <v/>
      </c>
      <c r="B3395">
        <f>IF(A3395="","",'Employees'!C19)</f>
        <v/>
      </c>
      <c r="C3395">
        <f>IF(A3395="","",'Ratings'!C218)</f>
        <v/>
      </c>
      <c r="D3395">
        <f>IF(A3395="","",'Ratings'!D218)</f>
        <v/>
      </c>
      <c r="E3395">
        <f>IF(AND('Ratings'!A218&lt;&gt;"",'Ratings'!F5&lt;&gt;""),'Ratings'!F5,"")</f>
        <v/>
      </c>
      <c r="F3395">
        <f>IF(OR(A3395="",'Ratings'!F218=""),"",'Ratings'!F218)</f>
        <v/>
      </c>
      <c r="G3395">
        <f>IF(A3395="","",'Employees'!D19)</f>
        <v/>
      </c>
    </row>
    <row r="3396">
      <c r="A3396">
        <f>IF(AND('Ratings'!A218&lt;&gt;"",'Ratings'!G5&lt;&gt;""),'Ratings'!A218,"")</f>
        <v/>
      </c>
      <c r="B3396">
        <f>IF(A3396="","",'Employees'!C19)</f>
        <v/>
      </c>
      <c r="C3396">
        <f>IF(A3396="","",'Ratings'!C218)</f>
        <v/>
      </c>
      <c r="D3396">
        <f>IF(A3396="","",'Ratings'!D218)</f>
        <v/>
      </c>
      <c r="E3396">
        <f>IF(AND('Ratings'!A218&lt;&gt;"",'Ratings'!G5&lt;&gt;""),'Ratings'!G5,"")</f>
        <v/>
      </c>
      <c r="F3396">
        <f>IF(OR(A3396="",'Ratings'!G218=""),"",'Ratings'!G218)</f>
        <v/>
      </c>
      <c r="G3396">
        <f>IF(A3396="","",'Employees'!D19)</f>
        <v/>
      </c>
    </row>
    <row r="3397">
      <c r="A3397">
        <f>IF(AND('Ratings'!A218&lt;&gt;"",'Ratings'!H5&lt;&gt;""),'Ratings'!A218,"")</f>
        <v/>
      </c>
      <c r="B3397">
        <f>IF(A3397="","",'Employees'!C19)</f>
        <v/>
      </c>
      <c r="C3397">
        <f>IF(A3397="","",'Ratings'!C218)</f>
        <v/>
      </c>
      <c r="D3397">
        <f>IF(A3397="","",'Ratings'!D218)</f>
        <v/>
      </c>
      <c r="E3397">
        <f>IF(AND('Ratings'!A218&lt;&gt;"",'Ratings'!H5&lt;&gt;""),'Ratings'!H5,"")</f>
        <v/>
      </c>
      <c r="F3397">
        <f>IF(OR(A3397="",'Ratings'!H218=""),"",'Ratings'!H218)</f>
        <v/>
      </c>
      <c r="G3397">
        <f>IF(A3397="","",'Employees'!D19)</f>
        <v/>
      </c>
    </row>
    <row r="3398">
      <c r="A3398">
        <f>IF(AND('Ratings'!A218&lt;&gt;"",'Ratings'!I5&lt;&gt;""),'Ratings'!A218,"")</f>
        <v/>
      </c>
      <c r="B3398">
        <f>IF(A3398="","",'Employees'!C19)</f>
        <v/>
      </c>
      <c r="C3398">
        <f>IF(A3398="","",'Ratings'!C218)</f>
        <v/>
      </c>
      <c r="D3398">
        <f>IF(A3398="","",'Ratings'!D218)</f>
        <v/>
      </c>
      <c r="E3398">
        <f>IF(AND('Ratings'!A218&lt;&gt;"",'Ratings'!I5&lt;&gt;""),'Ratings'!I5,"")</f>
        <v/>
      </c>
      <c r="F3398">
        <f>IF(OR(A3398="",'Ratings'!I218=""),"",'Ratings'!I218)</f>
        <v/>
      </c>
      <c r="G3398">
        <f>IF(A3398="","",'Employees'!D19)</f>
        <v/>
      </c>
    </row>
    <row r="3399">
      <c r="A3399">
        <f>IF(AND('Ratings'!A218&lt;&gt;"",'Ratings'!J5&lt;&gt;""),'Ratings'!A218,"")</f>
        <v/>
      </c>
      <c r="B3399">
        <f>IF(A3399="","",'Employees'!C19)</f>
        <v/>
      </c>
      <c r="C3399">
        <f>IF(A3399="","",'Ratings'!C218)</f>
        <v/>
      </c>
      <c r="D3399">
        <f>IF(A3399="","",'Ratings'!D218)</f>
        <v/>
      </c>
      <c r="E3399">
        <f>IF(AND('Ratings'!A218&lt;&gt;"",'Ratings'!J5&lt;&gt;""),'Ratings'!J5,"")</f>
        <v/>
      </c>
      <c r="F3399">
        <f>IF(OR(A3399="",'Ratings'!J218=""),"",'Ratings'!J218)</f>
        <v/>
      </c>
      <c r="G3399">
        <f>IF(A3399="","",'Employees'!D19)</f>
        <v/>
      </c>
    </row>
    <row r="3400">
      <c r="A3400">
        <f>IF(AND('Ratings'!A218&lt;&gt;"",'Ratings'!K5&lt;&gt;""),'Ratings'!A218,"")</f>
        <v/>
      </c>
      <c r="B3400">
        <f>IF(A3400="","",'Employees'!C19)</f>
        <v/>
      </c>
      <c r="C3400">
        <f>IF(A3400="","",'Ratings'!C218)</f>
        <v/>
      </c>
      <c r="D3400">
        <f>IF(A3400="","",'Ratings'!D218)</f>
        <v/>
      </c>
      <c r="E3400">
        <f>IF(AND('Ratings'!A218&lt;&gt;"",'Ratings'!K5&lt;&gt;""),'Ratings'!K5,"")</f>
        <v/>
      </c>
      <c r="F3400">
        <f>IF(OR(A3400="",'Ratings'!K218=""),"",'Ratings'!K218)</f>
        <v/>
      </c>
      <c r="G3400">
        <f>IF(A3400="","",'Employees'!D19)</f>
        <v/>
      </c>
    </row>
    <row r="3401">
      <c r="A3401">
        <f>IF(AND('Ratings'!A218&lt;&gt;"",'Ratings'!L5&lt;&gt;""),'Ratings'!A218,"")</f>
        <v/>
      </c>
      <c r="B3401">
        <f>IF(A3401="","",'Employees'!C19)</f>
        <v/>
      </c>
      <c r="C3401">
        <f>IF(A3401="","",'Ratings'!C218)</f>
        <v/>
      </c>
      <c r="D3401">
        <f>IF(A3401="","",'Ratings'!D218)</f>
        <v/>
      </c>
      <c r="E3401">
        <f>IF(AND('Ratings'!A218&lt;&gt;"",'Ratings'!L5&lt;&gt;""),'Ratings'!L5,"")</f>
        <v/>
      </c>
      <c r="F3401">
        <f>IF(OR(A3401="",'Ratings'!L218=""),"",'Ratings'!L218)</f>
        <v/>
      </c>
      <c r="G3401">
        <f>IF(A3401="","",'Employees'!D19)</f>
        <v/>
      </c>
    </row>
    <row r="3402">
      <c r="A3402">
        <f>IF(AND('Ratings'!A218&lt;&gt;"",'Ratings'!M5&lt;&gt;""),'Ratings'!A218,"")</f>
        <v/>
      </c>
      <c r="B3402">
        <f>IF(A3402="","",'Employees'!C19)</f>
        <v/>
      </c>
      <c r="C3402">
        <f>IF(A3402="","",'Ratings'!C218)</f>
        <v/>
      </c>
      <c r="D3402">
        <f>IF(A3402="","",'Ratings'!D218)</f>
        <v/>
      </c>
      <c r="E3402">
        <f>IF(AND('Ratings'!A218&lt;&gt;"",'Ratings'!M5&lt;&gt;""),'Ratings'!M5,"")</f>
        <v/>
      </c>
      <c r="F3402">
        <f>IF(OR(A3402="",'Ratings'!M218=""),"",'Ratings'!M218)</f>
        <v/>
      </c>
      <c r="G3402">
        <f>IF(A3402="","",'Employees'!D19)</f>
        <v/>
      </c>
    </row>
    <row r="3403">
      <c r="A3403">
        <f>IF(AND('Ratings'!A218&lt;&gt;"",'Ratings'!N5&lt;&gt;""),'Ratings'!A218,"")</f>
        <v/>
      </c>
      <c r="B3403">
        <f>IF(A3403="","",'Employees'!C19)</f>
        <v/>
      </c>
      <c r="C3403">
        <f>IF(A3403="","",'Ratings'!C218)</f>
        <v/>
      </c>
      <c r="D3403">
        <f>IF(A3403="","",'Ratings'!D218)</f>
        <v/>
      </c>
      <c r="E3403">
        <f>IF(AND('Ratings'!A218&lt;&gt;"",'Ratings'!N5&lt;&gt;""),'Ratings'!N5,"")</f>
        <v/>
      </c>
      <c r="F3403">
        <f>IF(OR(A3403="",'Ratings'!N218=""),"",'Ratings'!N218)</f>
        <v/>
      </c>
      <c r="G3403">
        <f>IF(A3403="","",'Employees'!D19)</f>
        <v/>
      </c>
    </row>
    <row r="3404">
      <c r="A3404">
        <f>IF(AND('Ratings'!A218&lt;&gt;"",'Ratings'!O5&lt;&gt;""),'Ratings'!A218,"")</f>
        <v/>
      </c>
      <c r="B3404">
        <f>IF(A3404="","",'Employees'!C19)</f>
        <v/>
      </c>
      <c r="C3404">
        <f>IF(A3404="","",'Ratings'!C218)</f>
        <v/>
      </c>
      <c r="D3404">
        <f>IF(A3404="","",'Ratings'!D218)</f>
        <v/>
      </c>
      <c r="E3404">
        <f>IF(AND('Ratings'!A218&lt;&gt;"",'Ratings'!O5&lt;&gt;""),'Ratings'!O5,"")</f>
        <v/>
      </c>
      <c r="F3404">
        <f>IF(OR(A3404="",'Ratings'!O218=""),"",'Ratings'!O218)</f>
        <v/>
      </c>
      <c r="G3404">
        <f>IF(A3404="","",'Employees'!D19)</f>
        <v/>
      </c>
    </row>
    <row r="3405">
      <c r="A3405">
        <f>IF(AND('Ratings'!A218&lt;&gt;"",'Ratings'!P5&lt;&gt;""),'Ratings'!A218,"")</f>
        <v/>
      </c>
      <c r="B3405">
        <f>IF(A3405="","",'Employees'!C19)</f>
        <v/>
      </c>
      <c r="C3405">
        <f>IF(A3405="","",'Ratings'!C218)</f>
        <v/>
      </c>
      <c r="D3405">
        <f>IF(A3405="","",'Ratings'!D218)</f>
        <v/>
      </c>
      <c r="E3405">
        <f>IF(AND('Ratings'!A218&lt;&gt;"",'Ratings'!P5&lt;&gt;""),'Ratings'!P5,"")</f>
        <v/>
      </c>
      <c r="F3405">
        <f>IF(OR(A3405="",'Ratings'!P218=""),"",'Ratings'!P218)</f>
        <v/>
      </c>
      <c r="G3405">
        <f>IF(A3405="","",'Employees'!D19)</f>
        <v/>
      </c>
    </row>
    <row r="3406">
      <c r="A3406">
        <f>IF(AND('Ratings'!A218&lt;&gt;"",'Ratings'!Q5&lt;&gt;""),'Ratings'!A218,"")</f>
        <v/>
      </c>
      <c r="B3406">
        <f>IF(A3406="","",'Employees'!C19)</f>
        <v/>
      </c>
      <c r="C3406">
        <f>IF(A3406="","",'Ratings'!C218)</f>
        <v/>
      </c>
      <c r="D3406">
        <f>IF(A3406="","",'Ratings'!D218)</f>
        <v/>
      </c>
      <c r="E3406">
        <f>IF(AND('Ratings'!A218&lt;&gt;"",'Ratings'!Q5&lt;&gt;""),'Ratings'!Q5,"")</f>
        <v/>
      </c>
      <c r="F3406">
        <f>IF(OR(A3406="",'Ratings'!Q218=""),"",'Ratings'!Q218)</f>
        <v/>
      </c>
      <c r="G3406">
        <f>IF(A3406="","",'Employees'!D19)</f>
        <v/>
      </c>
    </row>
    <row r="3407">
      <c r="A3407">
        <f>IF(AND('Ratings'!A218&lt;&gt;"",'Ratings'!R5&lt;&gt;""),'Ratings'!A218,"")</f>
        <v/>
      </c>
      <c r="B3407">
        <f>IF(A3407="","",'Employees'!C19)</f>
        <v/>
      </c>
      <c r="C3407">
        <f>IF(A3407="","",'Ratings'!C218)</f>
        <v/>
      </c>
      <c r="D3407">
        <f>IF(A3407="","",'Ratings'!D218)</f>
        <v/>
      </c>
      <c r="E3407">
        <f>IF(AND('Ratings'!A218&lt;&gt;"",'Ratings'!R5&lt;&gt;""),'Ratings'!R5,"")</f>
        <v/>
      </c>
      <c r="F3407">
        <f>IF(OR(A3407="",'Ratings'!R218=""),"",'Ratings'!R218)</f>
        <v/>
      </c>
      <c r="G3407">
        <f>IF(A3407="","",'Employees'!D19)</f>
        <v/>
      </c>
    </row>
    <row r="3408">
      <c r="A3408">
        <f>IF(AND('Ratings'!A218&lt;&gt;"",'Ratings'!S5&lt;&gt;""),'Ratings'!A218,"")</f>
        <v/>
      </c>
      <c r="B3408">
        <f>IF(A3408="","",'Employees'!C19)</f>
        <v/>
      </c>
      <c r="C3408">
        <f>IF(A3408="","",'Ratings'!C218)</f>
        <v/>
      </c>
      <c r="D3408">
        <f>IF(A3408="","",'Ratings'!D218)</f>
        <v/>
      </c>
      <c r="E3408">
        <f>IF(AND('Ratings'!A218&lt;&gt;"",'Ratings'!S5&lt;&gt;""),'Ratings'!S5,"")</f>
        <v/>
      </c>
      <c r="F3408">
        <f>IF(OR(A3408="",'Ratings'!S218=""),"",'Ratings'!S218)</f>
        <v/>
      </c>
      <c r="G3408">
        <f>IF(A3408="","",'Employees'!D19)</f>
        <v/>
      </c>
    </row>
    <row r="3409">
      <c r="A3409">
        <f>IF(AND('Ratings'!A218&lt;&gt;"",'Ratings'!T5&lt;&gt;""),'Ratings'!A218,"")</f>
        <v/>
      </c>
      <c r="B3409">
        <f>IF(A3409="","",'Employees'!C19)</f>
        <v/>
      </c>
      <c r="C3409">
        <f>IF(A3409="","",'Ratings'!C218)</f>
        <v/>
      </c>
      <c r="D3409">
        <f>IF(A3409="","",'Ratings'!D218)</f>
        <v/>
      </c>
      <c r="E3409">
        <f>IF(AND('Ratings'!A218&lt;&gt;"",'Ratings'!T5&lt;&gt;""),'Ratings'!T5,"")</f>
        <v/>
      </c>
      <c r="F3409">
        <f>IF(OR(A3409="",'Ratings'!T218=""),"",'Ratings'!T218)</f>
        <v/>
      </c>
      <c r="G3409">
        <f>IF(A3409="","",'Employees'!D19)</f>
        <v/>
      </c>
    </row>
    <row r="3410">
      <c r="A3410">
        <f>IF(AND('Ratings'!A219&lt;&gt;"",'Ratings'!E5&lt;&gt;""),'Ratings'!A219,"")</f>
        <v/>
      </c>
      <c r="B3410">
        <f>IF(A3410="","",'Employees'!C19)</f>
        <v/>
      </c>
      <c r="C3410">
        <f>IF(A3410="","",'Ratings'!C219)</f>
        <v/>
      </c>
      <c r="D3410">
        <f>IF(A3410="","",'Ratings'!D219)</f>
        <v/>
      </c>
      <c r="E3410">
        <f>IF(AND('Ratings'!A219&lt;&gt;"",'Ratings'!E5&lt;&gt;""),'Ratings'!E5,"")</f>
        <v/>
      </c>
      <c r="F3410">
        <f>IF(OR(A3410="",'Ratings'!E219=""),"",'Ratings'!E219)</f>
        <v/>
      </c>
      <c r="G3410">
        <f>IF(A3410="","",'Employees'!D19)</f>
        <v/>
      </c>
    </row>
    <row r="3411">
      <c r="A3411">
        <f>IF(AND('Ratings'!A219&lt;&gt;"",'Ratings'!F5&lt;&gt;""),'Ratings'!A219,"")</f>
        <v/>
      </c>
      <c r="B3411">
        <f>IF(A3411="","",'Employees'!C19)</f>
        <v/>
      </c>
      <c r="C3411">
        <f>IF(A3411="","",'Ratings'!C219)</f>
        <v/>
      </c>
      <c r="D3411">
        <f>IF(A3411="","",'Ratings'!D219)</f>
        <v/>
      </c>
      <c r="E3411">
        <f>IF(AND('Ratings'!A219&lt;&gt;"",'Ratings'!F5&lt;&gt;""),'Ratings'!F5,"")</f>
        <v/>
      </c>
      <c r="F3411">
        <f>IF(OR(A3411="",'Ratings'!F219=""),"",'Ratings'!F219)</f>
        <v/>
      </c>
      <c r="G3411">
        <f>IF(A3411="","",'Employees'!D19)</f>
        <v/>
      </c>
    </row>
    <row r="3412">
      <c r="A3412">
        <f>IF(AND('Ratings'!A219&lt;&gt;"",'Ratings'!G5&lt;&gt;""),'Ratings'!A219,"")</f>
        <v/>
      </c>
      <c r="B3412">
        <f>IF(A3412="","",'Employees'!C19)</f>
        <v/>
      </c>
      <c r="C3412">
        <f>IF(A3412="","",'Ratings'!C219)</f>
        <v/>
      </c>
      <c r="D3412">
        <f>IF(A3412="","",'Ratings'!D219)</f>
        <v/>
      </c>
      <c r="E3412">
        <f>IF(AND('Ratings'!A219&lt;&gt;"",'Ratings'!G5&lt;&gt;""),'Ratings'!G5,"")</f>
        <v/>
      </c>
      <c r="F3412">
        <f>IF(OR(A3412="",'Ratings'!G219=""),"",'Ratings'!G219)</f>
        <v/>
      </c>
      <c r="G3412">
        <f>IF(A3412="","",'Employees'!D19)</f>
        <v/>
      </c>
    </row>
    <row r="3413">
      <c r="A3413">
        <f>IF(AND('Ratings'!A219&lt;&gt;"",'Ratings'!H5&lt;&gt;""),'Ratings'!A219,"")</f>
        <v/>
      </c>
      <c r="B3413">
        <f>IF(A3413="","",'Employees'!C19)</f>
        <v/>
      </c>
      <c r="C3413">
        <f>IF(A3413="","",'Ratings'!C219)</f>
        <v/>
      </c>
      <c r="D3413">
        <f>IF(A3413="","",'Ratings'!D219)</f>
        <v/>
      </c>
      <c r="E3413">
        <f>IF(AND('Ratings'!A219&lt;&gt;"",'Ratings'!H5&lt;&gt;""),'Ratings'!H5,"")</f>
        <v/>
      </c>
      <c r="F3413">
        <f>IF(OR(A3413="",'Ratings'!H219=""),"",'Ratings'!H219)</f>
        <v/>
      </c>
      <c r="G3413">
        <f>IF(A3413="","",'Employees'!D19)</f>
        <v/>
      </c>
    </row>
    <row r="3414">
      <c r="A3414">
        <f>IF(AND('Ratings'!A219&lt;&gt;"",'Ratings'!I5&lt;&gt;""),'Ratings'!A219,"")</f>
        <v/>
      </c>
      <c r="B3414">
        <f>IF(A3414="","",'Employees'!C19)</f>
        <v/>
      </c>
      <c r="C3414">
        <f>IF(A3414="","",'Ratings'!C219)</f>
        <v/>
      </c>
      <c r="D3414">
        <f>IF(A3414="","",'Ratings'!D219)</f>
        <v/>
      </c>
      <c r="E3414">
        <f>IF(AND('Ratings'!A219&lt;&gt;"",'Ratings'!I5&lt;&gt;""),'Ratings'!I5,"")</f>
        <v/>
      </c>
      <c r="F3414">
        <f>IF(OR(A3414="",'Ratings'!I219=""),"",'Ratings'!I219)</f>
        <v/>
      </c>
      <c r="G3414">
        <f>IF(A3414="","",'Employees'!D19)</f>
        <v/>
      </c>
    </row>
    <row r="3415">
      <c r="A3415">
        <f>IF(AND('Ratings'!A219&lt;&gt;"",'Ratings'!J5&lt;&gt;""),'Ratings'!A219,"")</f>
        <v/>
      </c>
      <c r="B3415">
        <f>IF(A3415="","",'Employees'!C19)</f>
        <v/>
      </c>
      <c r="C3415">
        <f>IF(A3415="","",'Ratings'!C219)</f>
        <v/>
      </c>
      <c r="D3415">
        <f>IF(A3415="","",'Ratings'!D219)</f>
        <v/>
      </c>
      <c r="E3415">
        <f>IF(AND('Ratings'!A219&lt;&gt;"",'Ratings'!J5&lt;&gt;""),'Ratings'!J5,"")</f>
        <v/>
      </c>
      <c r="F3415">
        <f>IF(OR(A3415="",'Ratings'!J219=""),"",'Ratings'!J219)</f>
        <v/>
      </c>
      <c r="G3415">
        <f>IF(A3415="","",'Employees'!D19)</f>
        <v/>
      </c>
    </row>
    <row r="3416">
      <c r="A3416">
        <f>IF(AND('Ratings'!A219&lt;&gt;"",'Ratings'!K5&lt;&gt;""),'Ratings'!A219,"")</f>
        <v/>
      </c>
      <c r="B3416">
        <f>IF(A3416="","",'Employees'!C19)</f>
        <v/>
      </c>
      <c r="C3416">
        <f>IF(A3416="","",'Ratings'!C219)</f>
        <v/>
      </c>
      <c r="D3416">
        <f>IF(A3416="","",'Ratings'!D219)</f>
        <v/>
      </c>
      <c r="E3416">
        <f>IF(AND('Ratings'!A219&lt;&gt;"",'Ratings'!K5&lt;&gt;""),'Ratings'!K5,"")</f>
        <v/>
      </c>
      <c r="F3416">
        <f>IF(OR(A3416="",'Ratings'!K219=""),"",'Ratings'!K219)</f>
        <v/>
      </c>
      <c r="G3416">
        <f>IF(A3416="","",'Employees'!D19)</f>
        <v/>
      </c>
    </row>
    <row r="3417">
      <c r="A3417">
        <f>IF(AND('Ratings'!A219&lt;&gt;"",'Ratings'!L5&lt;&gt;""),'Ratings'!A219,"")</f>
        <v/>
      </c>
      <c r="B3417">
        <f>IF(A3417="","",'Employees'!C19)</f>
        <v/>
      </c>
      <c r="C3417">
        <f>IF(A3417="","",'Ratings'!C219)</f>
        <v/>
      </c>
      <c r="D3417">
        <f>IF(A3417="","",'Ratings'!D219)</f>
        <v/>
      </c>
      <c r="E3417">
        <f>IF(AND('Ratings'!A219&lt;&gt;"",'Ratings'!L5&lt;&gt;""),'Ratings'!L5,"")</f>
        <v/>
      </c>
      <c r="F3417">
        <f>IF(OR(A3417="",'Ratings'!L219=""),"",'Ratings'!L219)</f>
        <v/>
      </c>
      <c r="G3417">
        <f>IF(A3417="","",'Employees'!D19)</f>
        <v/>
      </c>
    </row>
    <row r="3418">
      <c r="A3418">
        <f>IF(AND('Ratings'!A219&lt;&gt;"",'Ratings'!M5&lt;&gt;""),'Ratings'!A219,"")</f>
        <v/>
      </c>
      <c r="B3418">
        <f>IF(A3418="","",'Employees'!C19)</f>
        <v/>
      </c>
      <c r="C3418">
        <f>IF(A3418="","",'Ratings'!C219)</f>
        <v/>
      </c>
      <c r="D3418">
        <f>IF(A3418="","",'Ratings'!D219)</f>
        <v/>
      </c>
      <c r="E3418">
        <f>IF(AND('Ratings'!A219&lt;&gt;"",'Ratings'!M5&lt;&gt;""),'Ratings'!M5,"")</f>
        <v/>
      </c>
      <c r="F3418">
        <f>IF(OR(A3418="",'Ratings'!M219=""),"",'Ratings'!M219)</f>
        <v/>
      </c>
      <c r="G3418">
        <f>IF(A3418="","",'Employees'!D19)</f>
        <v/>
      </c>
    </row>
    <row r="3419">
      <c r="A3419">
        <f>IF(AND('Ratings'!A219&lt;&gt;"",'Ratings'!N5&lt;&gt;""),'Ratings'!A219,"")</f>
        <v/>
      </c>
      <c r="B3419">
        <f>IF(A3419="","",'Employees'!C19)</f>
        <v/>
      </c>
      <c r="C3419">
        <f>IF(A3419="","",'Ratings'!C219)</f>
        <v/>
      </c>
      <c r="D3419">
        <f>IF(A3419="","",'Ratings'!D219)</f>
        <v/>
      </c>
      <c r="E3419">
        <f>IF(AND('Ratings'!A219&lt;&gt;"",'Ratings'!N5&lt;&gt;""),'Ratings'!N5,"")</f>
        <v/>
      </c>
      <c r="F3419">
        <f>IF(OR(A3419="",'Ratings'!N219=""),"",'Ratings'!N219)</f>
        <v/>
      </c>
      <c r="G3419">
        <f>IF(A3419="","",'Employees'!D19)</f>
        <v/>
      </c>
    </row>
    <row r="3420">
      <c r="A3420">
        <f>IF(AND('Ratings'!A219&lt;&gt;"",'Ratings'!O5&lt;&gt;""),'Ratings'!A219,"")</f>
        <v/>
      </c>
      <c r="B3420">
        <f>IF(A3420="","",'Employees'!C19)</f>
        <v/>
      </c>
      <c r="C3420">
        <f>IF(A3420="","",'Ratings'!C219)</f>
        <v/>
      </c>
      <c r="D3420">
        <f>IF(A3420="","",'Ratings'!D219)</f>
        <v/>
      </c>
      <c r="E3420">
        <f>IF(AND('Ratings'!A219&lt;&gt;"",'Ratings'!O5&lt;&gt;""),'Ratings'!O5,"")</f>
        <v/>
      </c>
      <c r="F3420">
        <f>IF(OR(A3420="",'Ratings'!O219=""),"",'Ratings'!O219)</f>
        <v/>
      </c>
      <c r="G3420">
        <f>IF(A3420="","",'Employees'!D19)</f>
        <v/>
      </c>
    </row>
    <row r="3421">
      <c r="A3421">
        <f>IF(AND('Ratings'!A219&lt;&gt;"",'Ratings'!P5&lt;&gt;""),'Ratings'!A219,"")</f>
        <v/>
      </c>
      <c r="B3421">
        <f>IF(A3421="","",'Employees'!C19)</f>
        <v/>
      </c>
      <c r="C3421">
        <f>IF(A3421="","",'Ratings'!C219)</f>
        <v/>
      </c>
      <c r="D3421">
        <f>IF(A3421="","",'Ratings'!D219)</f>
        <v/>
      </c>
      <c r="E3421">
        <f>IF(AND('Ratings'!A219&lt;&gt;"",'Ratings'!P5&lt;&gt;""),'Ratings'!P5,"")</f>
        <v/>
      </c>
      <c r="F3421">
        <f>IF(OR(A3421="",'Ratings'!P219=""),"",'Ratings'!P219)</f>
        <v/>
      </c>
      <c r="G3421">
        <f>IF(A3421="","",'Employees'!D19)</f>
        <v/>
      </c>
    </row>
    <row r="3422">
      <c r="A3422">
        <f>IF(AND('Ratings'!A219&lt;&gt;"",'Ratings'!Q5&lt;&gt;""),'Ratings'!A219,"")</f>
        <v/>
      </c>
      <c r="B3422">
        <f>IF(A3422="","",'Employees'!C19)</f>
        <v/>
      </c>
      <c r="C3422">
        <f>IF(A3422="","",'Ratings'!C219)</f>
        <v/>
      </c>
      <c r="D3422">
        <f>IF(A3422="","",'Ratings'!D219)</f>
        <v/>
      </c>
      <c r="E3422">
        <f>IF(AND('Ratings'!A219&lt;&gt;"",'Ratings'!Q5&lt;&gt;""),'Ratings'!Q5,"")</f>
        <v/>
      </c>
      <c r="F3422">
        <f>IF(OR(A3422="",'Ratings'!Q219=""),"",'Ratings'!Q219)</f>
        <v/>
      </c>
      <c r="G3422">
        <f>IF(A3422="","",'Employees'!D19)</f>
        <v/>
      </c>
    </row>
    <row r="3423">
      <c r="A3423">
        <f>IF(AND('Ratings'!A219&lt;&gt;"",'Ratings'!R5&lt;&gt;""),'Ratings'!A219,"")</f>
        <v/>
      </c>
      <c r="B3423">
        <f>IF(A3423="","",'Employees'!C19)</f>
        <v/>
      </c>
      <c r="C3423">
        <f>IF(A3423="","",'Ratings'!C219)</f>
        <v/>
      </c>
      <c r="D3423">
        <f>IF(A3423="","",'Ratings'!D219)</f>
        <v/>
      </c>
      <c r="E3423">
        <f>IF(AND('Ratings'!A219&lt;&gt;"",'Ratings'!R5&lt;&gt;""),'Ratings'!R5,"")</f>
        <v/>
      </c>
      <c r="F3423">
        <f>IF(OR(A3423="",'Ratings'!R219=""),"",'Ratings'!R219)</f>
        <v/>
      </c>
      <c r="G3423">
        <f>IF(A3423="","",'Employees'!D19)</f>
        <v/>
      </c>
    </row>
    <row r="3424">
      <c r="A3424">
        <f>IF(AND('Ratings'!A219&lt;&gt;"",'Ratings'!S5&lt;&gt;""),'Ratings'!A219,"")</f>
        <v/>
      </c>
      <c r="B3424">
        <f>IF(A3424="","",'Employees'!C19)</f>
        <v/>
      </c>
      <c r="C3424">
        <f>IF(A3424="","",'Ratings'!C219)</f>
        <v/>
      </c>
      <c r="D3424">
        <f>IF(A3424="","",'Ratings'!D219)</f>
        <v/>
      </c>
      <c r="E3424">
        <f>IF(AND('Ratings'!A219&lt;&gt;"",'Ratings'!S5&lt;&gt;""),'Ratings'!S5,"")</f>
        <v/>
      </c>
      <c r="F3424">
        <f>IF(OR(A3424="",'Ratings'!S219=""),"",'Ratings'!S219)</f>
        <v/>
      </c>
      <c r="G3424">
        <f>IF(A3424="","",'Employees'!D19)</f>
        <v/>
      </c>
    </row>
    <row r="3425">
      <c r="A3425">
        <f>IF(AND('Ratings'!A219&lt;&gt;"",'Ratings'!T5&lt;&gt;""),'Ratings'!A219,"")</f>
        <v/>
      </c>
      <c r="B3425">
        <f>IF(A3425="","",'Employees'!C19)</f>
        <v/>
      </c>
      <c r="C3425">
        <f>IF(A3425="","",'Ratings'!C219)</f>
        <v/>
      </c>
      <c r="D3425">
        <f>IF(A3425="","",'Ratings'!D219)</f>
        <v/>
      </c>
      <c r="E3425">
        <f>IF(AND('Ratings'!A219&lt;&gt;"",'Ratings'!T5&lt;&gt;""),'Ratings'!T5,"")</f>
        <v/>
      </c>
      <c r="F3425">
        <f>IF(OR(A3425="",'Ratings'!T219=""),"",'Ratings'!T219)</f>
        <v/>
      </c>
      <c r="G3425">
        <f>IF(A3425="","",'Employees'!D19)</f>
        <v/>
      </c>
    </row>
    <row r="3426">
      <c r="A3426">
        <f>IF(AND('Ratings'!A220&lt;&gt;"",'Ratings'!E5&lt;&gt;""),'Ratings'!A220,"")</f>
        <v/>
      </c>
      <c r="B3426">
        <f>IF(A3426="","",'Employees'!C19)</f>
        <v/>
      </c>
      <c r="C3426">
        <f>IF(A3426="","",'Ratings'!C220)</f>
        <v/>
      </c>
      <c r="D3426">
        <f>IF(A3426="","",'Ratings'!D220)</f>
        <v/>
      </c>
      <c r="E3426">
        <f>IF(AND('Ratings'!A220&lt;&gt;"",'Ratings'!E5&lt;&gt;""),'Ratings'!E5,"")</f>
        <v/>
      </c>
      <c r="F3426">
        <f>IF(OR(A3426="",'Ratings'!E220=""),"",'Ratings'!E220)</f>
        <v/>
      </c>
      <c r="G3426">
        <f>IF(A3426="","",'Employees'!D19)</f>
        <v/>
      </c>
    </row>
    <row r="3427">
      <c r="A3427">
        <f>IF(AND('Ratings'!A220&lt;&gt;"",'Ratings'!F5&lt;&gt;""),'Ratings'!A220,"")</f>
        <v/>
      </c>
      <c r="B3427">
        <f>IF(A3427="","",'Employees'!C19)</f>
        <v/>
      </c>
      <c r="C3427">
        <f>IF(A3427="","",'Ratings'!C220)</f>
        <v/>
      </c>
      <c r="D3427">
        <f>IF(A3427="","",'Ratings'!D220)</f>
        <v/>
      </c>
      <c r="E3427">
        <f>IF(AND('Ratings'!A220&lt;&gt;"",'Ratings'!F5&lt;&gt;""),'Ratings'!F5,"")</f>
        <v/>
      </c>
      <c r="F3427">
        <f>IF(OR(A3427="",'Ratings'!F220=""),"",'Ratings'!F220)</f>
        <v/>
      </c>
      <c r="G3427">
        <f>IF(A3427="","",'Employees'!D19)</f>
        <v/>
      </c>
    </row>
    <row r="3428">
      <c r="A3428">
        <f>IF(AND('Ratings'!A220&lt;&gt;"",'Ratings'!G5&lt;&gt;""),'Ratings'!A220,"")</f>
        <v/>
      </c>
      <c r="B3428">
        <f>IF(A3428="","",'Employees'!C19)</f>
        <v/>
      </c>
      <c r="C3428">
        <f>IF(A3428="","",'Ratings'!C220)</f>
        <v/>
      </c>
      <c r="D3428">
        <f>IF(A3428="","",'Ratings'!D220)</f>
        <v/>
      </c>
      <c r="E3428">
        <f>IF(AND('Ratings'!A220&lt;&gt;"",'Ratings'!G5&lt;&gt;""),'Ratings'!G5,"")</f>
        <v/>
      </c>
      <c r="F3428">
        <f>IF(OR(A3428="",'Ratings'!G220=""),"",'Ratings'!G220)</f>
        <v/>
      </c>
      <c r="G3428">
        <f>IF(A3428="","",'Employees'!D19)</f>
        <v/>
      </c>
    </row>
    <row r="3429">
      <c r="A3429">
        <f>IF(AND('Ratings'!A220&lt;&gt;"",'Ratings'!H5&lt;&gt;""),'Ratings'!A220,"")</f>
        <v/>
      </c>
      <c r="B3429">
        <f>IF(A3429="","",'Employees'!C19)</f>
        <v/>
      </c>
      <c r="C3429">
        <f>IF(A3429="","",'Ratings'!C220)</f>
        <v/>
      </c>
      <c r="D3429">
        <f>IF(A3429="","",'Ratings'!D220)</f>
        <v/>
      </c>
      <c r="E3429">
        <f>IF(AND('Ratings'!A220&lt;&gt;"",'Ratings'!H5&lt;&gt;""),'Ratings'!H5,"")</f>
        <v/>
      </c>
      <c r="F3429">
        <f>IF(OR(A3429="",'Ratings'!H220=""),"",'Ratings'!H220)</f>
        <v/>
      </c>
      <c r="G3429">
        <f>IF(A3429="","",'Employees'!D19)</f>
        <v/>
      </c>
    </row>
    <row r="3430">
      <c r="A3430">
        <f>IF(AND('Ratings'!A220&lt;&gt;"",'Ratings'!I5&lt;&gt;""),'Ratings'!A220,"")</f>
        <v/>
      </c>
      <c r="B3430">
        <f>IF(A3430="","",'Employees'!C19)</f>
        <v/>
      </c>
      <c r="C3430">
        <f>IF(A3430="","",'Ratings'!C220)</f>
        <v/>
      </c>
      <c r="D3430">
        <f>IF(A3430="","",'Ratings'!D220)</f>
        <v/>
      </c>
      <c r="E3430">
        <f>IF(AND('Ratings'!A220&lt;&gt;"",'Ratings'!I5&lt;&gt;""),'Ratings'!I5,"")</f>
        <v/>
      </c>
      <c r="F3430">
        <f>IF(OR(A3430="",'Ratings'!I220=""),"",'Ratings'!I220)</f>
        <v/>
      </c>
      <c r="G3430">
        <f>IF(A3430="","",'Employees'!D19)</f>
        <v/>
      </c>
    </row>
    <row r="3431">
      <c r="A3431">
        <f>IF(AND('Ratings'!A220&lt;&gt;"",'Ratings'!J5&lt;&gt;""),'Ratings'!A220,"")</f>
        <v/>
      </c>
      <c r="B3431">
        <f>IF(A3431="","",'Employees'!C19)</f>
        <v/>
      </c>
      <c r="C3431">
        <f>IF(A3431="","",'Ratings'!C220)</f>
        <v/>
      </c>
      <c r="D3431">
        <f>IF(A3431="","",'Ratings'!D220)</f>
        <v/>
      </c>
      <c r="E3431">
        <f>IF(AND('Ratings'!A220&lt;&gt;"",'Ratings'!J5&lt;&gt;""),'Ratings'!J5,"")</f>
        <v/>
      </c>
      <c r="F3431">
        <f>IF(OR(A3431="",'Ratings'!J220=""),"",'Ratings'!J220)</f>
        <v/>
      </c>
      <c r="G3431">
        <f>IF(A3431="","",'Employees'!D19)</f>
        <v/>
      </c>
    </row>
    <row r="3432">
      <c r="A3432">
        <f>IF(AND('Ratings'!A220&lt;&gt;"",'Ratings'!K5&lt;&gt;""),'Ratings'!A220,"")</f>
        <v/>
      </c>
      <c r="B3432">
        <f>IF(A3432="","",'Employees'!C19)</f>
        <v/>
      </c>
      <c r="C3432">
        <f>IF(A3432="","",'Ratings'!C220)</f>
        <v/>
      </c>
      <c r="D3432">
        <f>IF(A3432="","",'Ratings'!D220)</f>
        <v/>
      </c>
      <c r="E3432">
        <f>IF(AND('Ratings'!A220&lt;&gt;"",'Ratings'!K5&lt;&gt;""),'Ratings'!K5,"")</f>
        <v/>
      </c>
      <c r="F3432">
        <f>IF(OR(A3432="",'Ratings'!K220=""),"",'Ratings'!K220)</f>
        <v/>
      </c>
      <c r="G3432">
        <f>IF(A3432="","",'Employees'!D19)</f>
        <v/>
      </c>
    </row>
    <row r="3433">
      <c r="A3433">
        <f>IF(AND('Ratings'!A220&lt;&gt;"",'Ratings'!L5&lt;&gt;""),'Ratings'!A220,"")</f>
        <v/>
      </c>
      <c r="B3433">
        <f>IF(A3433="","",'Employees'!C19)</f>
        <v/>
      </c>
      <c r="C3433">
        <f>IF(A3433="","",'Ratings'!C220)</f>
        <v/>
      </c>
      <c r="D3433">
        <f>IF(A3433="","",'Ratings'!D220)</f>
        <v/>
      </c>
      <c r="E3433">
        <f>IF(AND('Ratings'!A220&lt;&gt;"",'Ratings'!L5&lt;&gt;""),'Ratings'!L5,"")</f>
        <v/>
      </c>
      <c r="F3433">
        <f>IF(OR(A3433="",'Ratings'!L220=""),"",'Ratings'!L220)</f>
        <v/>
      </c>
      <c r="G3433">
        <f>IF(A3433="","",'Employees'!D19)</f>
        <v/>
      </c>
    </row>
    <row r="3434">
      <c r="A3434">
        <f>IF(AND('Ratings'!A220&lt;&gt;"",'Ratings'!M5&lt;&gt;""),'Ratings'!A220,"")</f>
        <v/>
      </c>
      <c r="B3434">
        <f>IF(A3434="","",'Employees'!C19)</f>
        <v/>
      </c>
      <c r="C3434">
        <f>IF(A3434="","",'Ratings'!C220)</f>
        <v/>
      </c>
      <c r="D3434">
        <f>IF(A3434="","",'Ratings'!D220)</f>
        <v/>
      </c>
      <c r="E3434">
        <f>IF(AND('Ratings'!A220&lt;&gt;"",'Ratings'!M5&lt;&gt;""),'Ratings'!M5,"")</f>
        <v/>
      </c>
      <c r="F3434">
        <f>IF(OR(A3434="",'Ratings'!M220=""),"",'Ratings'!M220)</f>
        <v/>
      </c>
      <c r="G3434">
        <f>IF(A3434="","",'Employees'!D19)</f>
        <v/>
      </c>
    </row>
    <row r="3435">
      <c r="A3435">
        <f>IF(AND('Ratings'!A220&lt;&gt;"",'Ratings'!N5&lt;&gt;""),'Ratings'!A220,"")</f>
        <v/>
      </c>
      <c r="B3435">
        <f>IF(A3435="","",'Employees'!C19)</f>
        <v/>
      </c>
      <c r="C3435">
        <f>IF(A3435="","",'Ratings'!C220)</f>
        <v/>
      </c>
      <c r="D3435">
        <f>IF(A3435="","",'Ratings'!D220)</f>
        <v/>
      </c>
      <c r="E3435">
        <f>IF(AND('Ratings'!A220&lt;&gt;"",'Ratings'!N5&lt;&gt;""),'Ratings'!N5,"")</f>
        <v/>
      </c>
      <c r="F3435">
        <f>IF(OR(A3435="",'Ratings'!N220=""),"",'Ratings'!N220)</f>
        <v/>
      </c>
      <c r="G3435">
        <f>IF(A3435="","",'Employees'!D19)</f>
        <v/>
      </c>
    </row>
    <row r="3436">
      <c r="A3436">
        <f>IF(AND('Ratings'!A220&lt;&gt;"",'Ratings'!O5&lt;&gt;""),'Ratings'!A220,"")</f>
        <v/>
      </c>
      <c r="B3436">
        <f>IF(A3436="","",'Employees'!C19)</f>
        <v/>
      </c>
      <c r="C3436">
        <f>IF(A3436="","",'Ratings'!C220)</f>
        <v/>
      </c>
      <c r="D3436">
        <f>IF(A3436="","",'Ratings'!D220)</f>
        <v/>
      </c>
      <c r="E3436">
        <f>IF(AND('Ratings'!A220&lt;&gt;"",'Ratings'!O5&lt;&gt;""),'Ratings'!O5,"")</f>
        <v/>
      </c>
      <c r="F3436">
        <f>IF(OR(A3436="",'Ratings'!O220=""),"",'Ratings'!O220)</f>
        <v/>
      </c>
      <c r="G3436">
        <f>IF(A3436="","",'Employees'!D19)</f>
        <v/>
      </c>
    </row>
    <row r="3437">
      <c r="A3437">
        <f>IF(AND('Ratings'!A220&lt;&gt;"",'Ratings'!P5&lt;&gt;""),'Ratings'!A220,"")</f>
        <v/>
      </c>
      <c r="B3437">
        <f>IF(A3437="","",'Employees'!C19)</f>
        <v/>
      </c>
      <c r="C3437">
        <f>IF(A3437="","",'Ratings'!C220)</f>
        <v/>
      </c>
      <c r="D3437">
        <f>IF(A3437="","",'Ratings'!D220)</f>
        <v/>
      </c>
      <c r="E3437">
        <f>IF(AND('Ratings'!A220&lt;&gt;"",'Ratings'!P5&lt;&gt;""),'Ratings'!P5,"")</f>
        <v/>
      </c>
      <c r="F3437">
        <f>IF(OR(A3437="",'Ratings'!P220=""),"",'Ratings'!P220)</f>
        <v/>
      </c>
      <c r="G3437">
        <f>IF(A3437="","",'Employees'!D19)</f>
        <v/>
      </c>
    </row>
    <row r="3438">
      <c r="A3438">
        <f>IF(AND('Ratings'!A220&lt;&gt;"",'Ratings'!Q5&lt;&gt;""),'Ratings'!A220,"")</f>
        <v/>
      </c>
      <c r="B3438">
        <f>IF(A3438="","",'Employees'!C19)</f>
        <v/>
      </c>
      <c r="C3438">
        <f>IF(A3438="","",'Ratings'!C220)</f>
        <v/>
      </c>
      <c r="D3438">
        <f>IF(A3438="","",'Ratings'!D220)</f>
        <v/>
      </c>
      <c r="E3438">
        <f>IF(AND('Ratings'!A220&lt;&gt;"",'Ratings'!Q5&lt;&gt;""),'Ratings'!Q5,"")</f>
        <v/>
      </c>
      <c r="F3438">
        <f>IF(OR(A3438="",'Ratings'!Q220=""),"",'Ratings'!Q220)</f>
        <v/>
      </c>
      <c r="G3438">
        <f>IF(A3438="","",'Employees'!D19)</f>
        <v/>
      </c>
    </row>
    <row r="3439">
      <c r="A3439">
        <f>IF(AND('Ratings'!A220&lt;&gt;"",'Ratings'!R5&lt;&gt;""),'Ratings'!A220,"")</f>
        <v/>
      </c>
      <c r="B3439">
        <f>IF(A3439="","",'Employees'!C19)</f>
        <v/>
      </c>
      <c r="C3439">
        <f>IF(A3439="","",'Ratings'!C220)</f>
        <v/>
      </c>
      <c r="D3439">
        <f>IF(A3439="","",'Ratings'!D220)</f>
        <v/>
      </c>
      <c r="E3439">
        <f>IF(AND('Ratings'!A220&lt;&gt;"",'Ratings'!R5&lt;&gt;""),'Ratings'!R5,"")</f>
        <v/>
      </c>
      <c r="F3439">
        <f>IF(OR(A3439="",'Ratings'!R220=""),"",'Ratings'!R220)</f>
        <v/>
      </c>
      <c r="G3439">
        <f>IF(A3439="","",'Employees'!D19)</f>
        <v/>
      </c>
    </row>
    <row r="3440">
      <c r="A3440">
        <f>IF(AND('Ratings'!A220&lt;&gt;"",'Ratings'!S5&lt;&gt;""),'Ratings'!A220,"")</f>
        <v/>
      </c>
      <c r="B3440">
        <f>IF(A3440="","",'Employees'!C19)</f>
        <v/>
      </c>
      <c r="C3440">
        <f>IF(A3440="","",'Ratings'!C220)</f>
        <v/>
      </c>
      <c r="D3440">
        <f>IF(A3440="","",'Ratings'!D220)</f>
        <v/>
      </c>
      <c r="E3440">
        <f>IF(AND('Ratings'!A220&lt;&gt;"",'Ratings'!S5&lt;&gt;""),'Ratings'!S5,"")</f>
        <v/>
      </c>
      <c r="F3440">
        <f>IF(OR(A3440="",'Ratings'!S220=""),"",'Ratings'!S220)</f>
        <v/>
      </c>
      <c r="G3440">
        <f>IF(A3440="","",'Employees'!D19)</f>
        <v/>
      </c>
    </row>
    <row r="3441">
      <c r="A3441">
        <f>IF(AND('Ratings'!A220&lt;&gt;"",'Ratings'!T5&lt;&gt;""),'Ratings'!A220,"")</f>
        <v/>
      </c>
      <c r="B3441">
        <f>IF(A3441="","",'Employees'!C19)</f>
        <v/>
      </c>
      <c r="C3441">
        <f>IF(A3441="","",'Ratings'!C220)</f>
        <v/>
      </c>
      <c r="D3441">
        <f>IF(A3441="","",'Ratings'!D220)</f>
        <v/>
      </c>
      <c r="E3441">
        <f>IF(AND('Ratings'!A220&lt;&gt;"",'Ratings'!T5&lt;&gt;""),'Ratings'!T5,"")</f>
        <v/>
      </c>
      <c r="F3441">
        <f>IF(OR(A3441="",'Ratings'!T220=""),"",'Ratings'!T220)</f>
        <v/>
      </c>
      <c r="G3441">
        <f>IF(A3441="","",'Employees'!D19)</f>
        <v/>
      </c>
    </row>
    <row r="3442">
      <c r="A3442">
        <f>IF(AND('Ratings'!A221&lt;&gt;"",'Ratings'!E5&lt;&gt;""),'Ratings'!A221,"")</f>
        <v/>
      </c>
      <c r="B3442">
        <f>IF(A3442="","",'Employees'!C19)</f>
        <v/>
      </c>
      <c r="C3442">
        <f>IF(A3442="","",'Ratings'!C221)</f>
        <v/>
      </c>
      <c r="D3442">
        <f>IF(A3442="","",'Ratings'!D221)</f>
        <v/>
      </c>
      <c r="E3442">
        <f>IF(AND('Ratings'!A221&lt;&gt;"",'Ratings'!E5&lt;&gt;""),'Ratings'!E5,"")</f>
        <v/>
      </c>
      <c r="F3442">
        <f>IF(OR(A3442="",'Ratings'!E221=""),"",'Ratings'!E221)</f>
        <v/>
      </c>
      <c r="G3442">
        <f>IF(A3442="","",'Employees'!D19)</f>
        <v/>
      </c>
    </row>
    <row r="3443">
      <c r="A3443">
        <f>IF(AND('Ratings'!A221&lt;&gt;"",'Ratings'!F5&lt;&gt;""),'Ratings'!A221,"")</f>
        <v/>
      </c>
      <c r="B3443">
        <f>IF(A3443="","",'Employees'!C19)</f>
        <v/>
      </c>
      <c r="C3443">
        <f>IF(A3443="","",'Ratings'!C221)</f>
        <v/>
      </c>
      <c r="D3443">
        <f>IF(A3443="","",'Ratings'!D221)</f>
        <v/>
      </c>
      <c r="E3443">
        <f>IF(AND('Ratings'!A221&lt;&gt;"",'Ratings'!F5&lt;&gt;""),'Ratings'!F5,"")</f>
        <v/>
      </c>
      <c r="F3443">
        <f>IF(OR(A3443="",'Ratings'!F221=""),"",'Ratings'!F221)</f>
        <v/>
      </c>
      <c r="G3443">
        <f>IF(A3443="","",'Employees'!D19)</f>
        <v/>
      </c>
    </row>
    <row r="3444">
      <c r="A3444">
        <f>IF(AND('Ratings'!A221&lt;&gt;"",'Ratings'!G5&lt;&gt;""),'Ratings'!A221,"")</f>
        <v/>
      </c>
      <c r="B3444">
        <f>IF(A3444="","",'Employees'!C19)</f>
        <v/>
      </c>
      <c r="C3444">
        <f>IF(A3444="","",'Ratings'!C221)</f>
        <v/>
      </c>
      <c r="D3444">
        <f>IF(A3444="","",'Ratings'!D221)</f>
        <v/>
      </c>
      <c r="E3444">
        <f>IF(AND('Ratings'!A221&lt;&gt;"",'Ratings'!G5&lt;&gt;""),'Ratings'!G5,"")</f>
        <v/>
      </c>
      <c r="F3444">
        <f>IF(OR(A3444="",'Ratings'!G221=""),"",'Ratings'!G221)</f>
        <v/>
      </c>
      <c r="G3444">
        <f>IF(A3444="","",'Employees'!D19)</f>
        <v/>
      </c>
    </row>
    <row r="3445">
      <c r="A3445">
        <f>IF(AND('Ratings'!A221&lt;&gt;"",'Ratings'!H5&lt;&gt;""),'Ratings'!A221,"")</f>
        <v/>
      </c>
      <c r="B3445">
        <f>IF(A3445="","",'Employees'!C19)</f>
        <v/>
      </c>
      <c r="C3445">
        <f>IF(A3445="","",'Ratings'!C221)</f>
        <v/>
      </c>
      <c r="D3445">
        <f>IF(A3445="","",'Ratings'!D221)</f>
        <v/>
      </c>
      <c r="E3445">
        <f>IF(AND('Ratings'!A221&lt;&gt;"",'Ratings'!H5&lt;&gt;""),'Ratings'!H5,"")</f>
        <v/>
      </c>
      <c r="F3445">
        <f>IF(OR(A3445="",'Ratings'!H221=""),"",'Ratings'!H221)</f>
        <v/>
      </c>
      <c r="G3445">
        <f>IF(A3445="","",'Employees'!D19)</f>
        <v/>
      </c>
    </row>
    <row r="3446">
      <c r="A3446">
        <f>IF(AND('Ratings'!A221&lt;&gt;"",'Ratings'!I5&lt;&gt;""),'Ratings'!A221,"")</f>
        <v/>
      </c>
      <c r="B3446">
        <f>IF(A3446="","",'Employees'!C19)</f>
        <v/>
      </c>
      <c r="C3446">
        <f>IF(A3446="","",'Ratings'!C221)</f>
        <v/>
      </c>
      <c r="D3446">
        <f>IF(A3446="","",'Ratings'!D221)</f>
        <v/>
      </c>
      <c r="E3446">
        <f>IF(AND('Ratings'!A221&lt;&gt;"",'Ratings'!I5&lt;&gt;""),'Ratings'!I5,"")</f>
        <v/>
      </c>
      <c r="F3446">
        <f>IF(OR(A3446="",'Ratings'!I221=""),"",'Ratings'!I221)</f>
        <v/>
      </c>
      <c r="G3446">
        <f>IF(A3446="","",'Employees'!D19)</f>
        <v/>
      </c>
    </row>
    <row r="3447">
      <c r="A3447">
        <f>IF(AND('Ratings'!A221&lt;&gt;"",'Ratings'!J5&lt;&gt;""),'Ratings'!A221,"")</f>
        <v/>
      </c>
      <c r="B3447">
        <f>IF(A3447="","",'Employees'!C19)</f>
        <v/>
      </c>
      <c r="C3447">
        <f>IF(A3447="","",'Ratings'!C221)</f>
        <v/>
      </c>
      <c r="D3447">
        <f>IF(A3447="","",'Ratings'!D221)</f>
        <v/>
      </c>
      <c r="E3447">
        <f>IF(AND('Ratings'!A221&lt;&gt;"",'Ratings'!J5&lt;&gt;""),'Ratings'!J5,"")</f>
        <v/>
      </c>
      <c r="F3447">
        <f>IF(OR(A3447="",'Ratings'!J221=""),"",'Ratings'!J221)</f>
        <v/>
      </c>
      <c r="G3447">
        <f>IF(A3447="","",'Employees'!D19)</f>
        <v/>
      </c>
    </row>
    <row r="3448">
      <c r="A3448">
        <f>IF(AND('Ratings'!A221&lt;&gt;"",'Ratings'!K5&lt;&gt;""),'Ratings'!A221,"")</f>
        <v/>
      </c>
      <c r="B3448">
        <f>IF(A3448="","",'Employees'!C19)</f>
        <v/>
      </c>
      <c r="C3448">
        <f>IF(A3448="","",'Ratings'!C221)</f>
        <v/>
      </c>
      <c r="D3448">
        <f>IF(A3448="","",'Ratings'!D221)</f>
        <v/>
      </c>
      <c r="E3448">
        <f>IF(AND('Ratings'!A221&lt;&gt;"",'Ratings'!K5&lt;&gt;""),'Ratings'!K5,"")</f>
        <v/>
      </c>
      <c r="F3448">
        <f>IF(OR(A3448="",'Ratings'!K221=""),"",'Ratings'!K221)</f>
        <v/>
      </c>
      <c r="G3448">
        <f>IF(A3448="","",'Employees'!D19)</f>
        <v/>
      </c>
    </row>
    <row r="3449">
      <c r="A3449">
        <f>IF(AND('Ratings'!A221&lt;&gt;"",'Ratings'!L5&lt;&gt;""),'Ratings'!A221,"")</f>
        <v/>
      </c>
      <c r="B3449">
        <f>IF(A3449="","",'Employees'!C19)</f>
        <v/>
      </c>
      <c r="C3449">
        <f>IF(A3449="","",'Ratings'!C221)</f>
        <v/>
      </c>
      <c r="D3449">
        <f>IF(A3449="","",'Ratings'!D221)</f>
        <v/>
      </c>
      <c r="E3449">
        <f>IF(AND('Ratings'!A221&lt;&gt;"",'Ratings'!L5&lt;&gt;""),'Ratings'!L5,"")</f>
        <v/>
      </c>
      <c r="F3449">
        <f>IF(OR(A3449="",'Ratings'!L221=""),"",'Ratings'!L221)</f>
        <v/>
      </c>
      <c r="G3449">
        <f>IF(A3449="","",'Employees'!D19)</f>
        <v/>
      </c>
    </row>
    <row r="3450">
      <c r="A3450">
        <f>IF(AND('Ratings'!A221&lt;&gt;"",'Ratings'!M5&lt;&gt;""),'Ratings'!A221,"")</f>
        <v/>
      </c>
      <c r="B3450">
        <f>IF(A3450="","",'Employees'!C19)</f>
        <v/>
      </c>
      <c r="C3450">
        <f>IF(A3450="","",'Ratings'!C221)</f>
        <v/>
      </c>
      <c r="D3450">
        <f>IF(A3450="","",'Ratings'!D221)</f>
        <v/>
      </c>
      <c r="E3450">
        <f>IF(AND('Ratings'!A221&lt;&gt;"",'Ratings'!M5&lt;&gt;""),'Ratings'!M5,"")</f>
        <v/>
      </c>
      <c r="F3450">
        <f>IF(OR(A3450="",'Ratings'!M221=""),"",'Ratings'!M221)</f>
        <v/>
      </c>
      <c r="G3450">
        <f>IF(A3450="","",'Employees'!D19)</f>
        <v/>
      </c>
    </row>
    <row r="3451">
      <c r="A3451">
        <f>IF(AND('Ratings'!A221&lt;&gt;"",'Ratings'!N5&lt;&gt;""),'Ratings'!A221,"")</f>
        <v/>
      </c>
      <c r="B3451">
        <f>IF(A3451="","",'Employees'!C19)</f>
        <v/>
      </c>
      <c r="C3451">
        <f>IF(A3451="","",'Ratings'!C221)</f>
        <v/>
      </c>
      <c r="D3451">
        <f>IF(A3451="","",'Ratings'!D221)</f>
        <v/>
      </c>
      <c r="E3451">
        <f>IF(AND('Ratings'!A221&lt;&gt;"",'Ratings'!N5&lt;&gt;""),'Ratings'!N5,"")</f>
        <v/>
      </c>
      <c r="F3451">
        <f>IF(OR(A3451="",'Ratings'!N221=""),"",'Ratings'!N221)</f>
        <v/>
      </c>
      <c r="G3451">
        <f>IF(A3451="","",'Employees'!D19)</f>
        <v/>
      </c>
    </row>
    <row r="3452">
      <c r="A3452">
        <f>IF(AND('Ratings'!A221&lt;&gt;"",'Ratings'!O5&lt;&gt;""),'Ratings'!A221,"")</f>
        <v/>
      </c>
      <c r="B3452">
        <f>IF(A3452="","",'Employees'!C19)</f>
        <v/>
      </c>
      <c r="C3452">
        <f>IF(A3452="","",'Ratings'!C221)</f>
        <v/>
      </c>
      <c r="D3452">
        <f>IF(A3452="","",'Ratings'!D221)</f>
        <v/>
      </c>
      <c r="E3452">
        <f>IF(AND('Ratings'!A221&lt;&gt;"",'Ratings'!O5&lt;&gt;""),'Ratings'!O5,"")</f>
        <v/>
      </c>
      <c r="F3452">
        <f>IF(OR(A3452="",'Ratings'!O221=""),"",'Ratings'!O221)</f>
        <v/>
      </c>
      <c r="G3452">
        <f>IF(A3452="","",'Employees'!D19)</f>
        <v/>
      </c>
    </row>
    <row r="3453">
      <c r="A3453">
        <f>IF(AND('Ratings'!A221&lt;&gt;"",'Ratings'!P5&lt;&gt;""),'Ratings'!A221,"")</f>
        <v/>
      </c>
      <c r="B3453">
        <f>IF(A3453="","",'Employees'!C19)</f>
        <v/>
      </c>
      <c r="C3453">
        <f>IF(A3453="","",'Ratings'!C221)</f>
        <v/>
      </c>
      <c r="D3453">
        <f>IF(A3453="","",'Ratings'!D221)</f>
        <v/>
      </c>
      <c r="E3453">
        <f>IF(AND('Ratings'!A221&lt;&gt;"",'Ratings'!P5&lt;&gt;""),'Ratings'!P5,"")</f>
        <v/>
      </c>
      <c r="F3453">
        <f>IF(OR(A3453="",'Ratings'!P221=""),"",'Ratings'!P221)</f>
        <v/>
      </c>
      <c r="G3453">
        <f>IF(A3453="","",'Employees'!D19)</f>
        <v/>
      </c>
    </row>
    <row r="3454">
      <c r="A3454">
        <f>IF(AND('Ratings'!A221&lt;&gt;"",'Ratings'!Q5&lt;&gt;""),'Ratings'!A221,"")</f>
        <v/>
      </c>
      <c r="B3454">
        <f>IF(A3454="","",'Employees'!C19)</f>
        <v/>
      </c>
      <c r="C3454">
        <f>IF(A3454="","",'Ratings'!C221)</f>
        <v/>
      </c>
      <c r="D3454">
        <f>IF(A3454="","",'Ratings'!D221)</f>
        <v/>
      </c>
      <c r="E3454">
        <f>IF(AND('Ratings'!A221&lt;&gt;"",'Ratings'!Q5&lt;&gt;""),'Ratings'!Q5,"")</f>
        <v/>
      </c>
      <c r="F3454">
        <f>IF(OR(A3454="",'Ratings'!Q221=""),"",'Ratings'!Q221)</f>
        <v/>
      </c>
      <c r="G3454">
        <f>IF(A3454="","",'Employees'!D19)</f>
        <v/>
      </c>
    </row>
    <row r="3455">
      <c r="A3455">
        <f>IF(AND('Ratings'!A221&lt;&gt;"",'Ratings'!R5&lt;&gt;""),'Ratings'!A221,"")</f>
        <v/>
      </c>
      <c r="B3455">
        <f>IF(A3455="","",'Employees'!C19)</f>
        <v/>
      </c>
      <c r="C3455">
        <f>IF(A3455="","",'Ratings'!C221)</f>
        <v/>
      </c>
      <c r="D3455">
        <f>IF(A3455="","",'Ratings'!D221)</f>
        <v/>
      </c>
      <c r="E3455">
        <f>IF(AND('Ratings'!A221&lt;&gt;"",'Ratings'!R5&lt;&gt;""),'Ratings'!R5,"")</f>
        <v/>
      </c>
      <c r="F3455">
        <f>IF(OR(A3455="",'Ratings'!R221=""),"",'Ratings'!R221)</f>
        <v/>
      </c>
      <c r="G3455">
        <f>IF(A3455="","",'Employees'!D19)</f>
        <v/>
      </c>
    </row>
    <row r="3456">
      <c r="A3456">
        <f>IF(AND('Ratings'!A221&lt;&gt;"",'Ratings'!S5&lt;&gt;""),'Ratings'!A221,"")</f>
        <v/>
      </c>
      <c r="B3456">
        <f>IF(A3456="","",'Employees'!C19)</f>
        <v/>
      </c>
      <c r="C3456">
        <f>IF(A3456="","",'Ratings'!C221)</f>
        <v/>
      </c>
      <c r="D3456">
        <f>IF(A3456="","",'Ratings'!D221)</f>
        <v/>
      </c>
      <c r="E3456">
        <f>IF(AND('Ratings'!A221&lt;&gt;"",'Ratings'!S5&lt;&gt;""),'Ratings'!S5,"")</f>
        <v/>
      </c>
      <c r="F3456">
        <f>IF(OR(A3456="",'Ratings'!S221=""),"",'Ratings'!S221)</f>
        <v/>
      </c>
      <c r="G3456">
        <f>IF(A3456="","",'Employees'!D19)</f>
        <v/>
      </c>
    </row>
    <row r="3457">
      <c r="A3457">
        <f>IF(AND('Ratings'!A221&lt;&gt;"",'Ratings'!T5&lt;&gt;""),'Ratings'!A221,"")</f>
        <v/>
      </c>
      <c r="B3457">
        <f>IF(A3457="","",'Employees'!C19)</f>
        <v/>
      </c>
      <c r="C3457">
        <f>IF(A3457="","",'Ratings'!C221)</f>
        <v/>
      </c>
      <c r="D3457">
        <f>IF(A3457="","",'Ratings'!D221)</f>
        <v/>
      </c>
      <c r="E3457">
        <f>IF(AND('Ratings'!A221&lt;&gt;"",'Ratings'!T5&lt;&gt;""),'Ratings'!T5,"")</f>
        <v/>
      </c>
      <c r="F3457">
        <f>IF(OR(A3457="",'Ratings'!T221=""),"",'Ratings'!T221)</f>
        <v/>
      </c>
      <c r="G3457">
        <f>IF(A3457="","",'Employees'!D19)</f>
        <v/>
      </c>
    </row>
    <row r="3458">
      <c r="A3458">
        <f>IF(AND('Ratings'!A222&lt;&gt;"",'Ratings'!E5&lt;&gt;""),'Ratings'!A222,"")</f>
        <v/>
      </c>
      <c r="B3458">
        <f>IF(A3458="","",'Employees'!C19)</f>
        <v/>
      </c>
      <c r="C3458">
        <f>IF(A3458="","",'Ratings'!C222)</f>
        <v/>
      </c>
      <c r="D3458">
        <f>IF(A3458="","",'Ratings'!D222)</f>
        <v/>
      </c>
      <c r="E3458">
        <f>IF(AND('Ratings'!A222&lt;&gt;"",'Ratings'!E5&lt;&gt;""),'Ratings'!E5,"")</f>
        <v/>
      </c>
      <c r="F3458">
        <f>IF(OR(A3458="",'Ratings'!E222=""),"",'Ratings'!E222)</f>
        <v/>
      </c>
      <c r="G3458">
        <f>IF(A3458="","",'Employees'!D19)</f>
        <v/>
      </c>
    </row>
    <row r="3459">
      <c r="A3459">
        <f>IF(AND('Ratings'!A222&lt;&gt;"",'Ratings'!F5&lt;&gt;""),'Ratings'!A222,"")</f>
        <v/>
      </c>
      <c r="B3459">
        <f>IF(A3459="","",'Employees'!C19)</f>
        <v/>
      </c>
      <c r="C3459">
        <f>IF(A3459="","",'Ratings'!C222)</f>
        <v/>
      </c>
      <c r="D3459">
        <f>IF(A3459="","",'Ratings'!D222)</f>
        <v/>
      </c>
      <c r="E3459">
        <f>IF(AND('Ratings'!A222&lt;&gt;"",'Ratings'!F5&lt;&gt;""),'Ratings'!F5,"")</f>
        <v/>
      </c>
      <c r="F3459">
        <f>IF(OR(A3459="",'Ratings'!F222=""),"",'Ratings'!F222)</f>
        <v/>
      </c>
      <c r="G3459">
        <f>IF(A3459="","",'Employees'!D19)</f>
        <v/>
      </c>
    </row>
    <row r="3460">
      <c r="A3460">
        <f>IF(AND('Ratings'!A222&lt;&gt;"",'Ratings'!G5&lt;&gt;""),'Ratings'!A222,"")</f>
        <v/>
      </c>
      <c r="B3460">
        <f>IF(A3460="","",'Employees'!C19)</f>
        <v/>
      </c>
      <c r="C3460">
        <f>IF(A3460="","",'Ratings'!C222)</f>
        <v/>
      </c>
      <c r="D3460">
        <f>IF(A3460="","",'Ratings'!D222)</f>
        <v/>
      </c>
      <c r="E3460">
        <f>IF(AND('Ratings'!A222&lt;&gt;"",'Ratings'!G5&lt;&gt;""),'Ratings'!G5,"")</f>
        <v/>
      </c>
      <c r="F3460">
        <f>IF(OR(A3460="",'Ratings'!G222=""),"",'Ratings'!G222)</f>
        <v/>
      </c>
      <c r="G3460">
        <f>IF(A3460="","",'Employees'!D19)</f>
        <v/>
      </c>
    </row>
    <row r="3461">
      <c r="A3461">
        <f>IF(AND('Ratings'!A222&lt;&gt;"",'Ratings'!H5&lt;&gt;""),'Ratings'!A222,"")</f>
        <v/>
      </c>
      <c r="B3461">
        <f>IF(A3461="","",'Employees'!C19)</f>
        <v/>
      </c>
      <c r="C3461">
        <f>IF(A3461="","",'Ratings'!C222)</f>
        <v/>
      </c>
      <c r="D3461">
        <f>IF(A3461="","",'Ratings'!D222)</f>
        <v/>
      </c>
      <c r="E3461">
        <f>IF(AND('Ratings'!A222&lt;&gt;"",'Ratings'!H5&lt;&gt;""),'Ratings'!H5,"")</f>
        <v/>
      </c>
      <c r="F3461">
        <f>IF(OR(A3461="",'Ratings'!H222=""),"",'Ratings'!H222)</f>
        <v/>
      </c>
      <c r="G3461">
        <f>IF(A3461="","",'Employees'!D19)</f>
        <v/>
      </c>
    </row>
    <row r="3462">
      <c r="A3462">
        <f>IF(AND('Ratings'!A222&lt;&gt;"",'Ratings'!I5&lt;&gt;""),'Ratings'!A222,"")</f>
        <v/>
      </c>
      <c r="B3462">
        <f>IF(A3462="","",'Employees'!C19)</f>
        <v/>
      </c>
      <c r="C3462">
        <f>IF(A3462="","",'Ratings'!C222)</f>
        <v/>
      </c>
      <c r="D3462">
        <f>IF(A3462="","",'Ratings'!D222)</f>
        <v/>
      </c>
      <c r="E3462">
        <f>IF(AND('Ratings'!A222&lt;&gt;"",'Ratings'!I5&lt;&gt;""),'Ratings'!I5,"")</f>
        <v/>
      </c>
      <c r="F3462">
        <f>IF(OR(A3462="",'Ratings'!I222=""),"",'Ratings'!I222)</f>
        <v/>
      </c>
      <c r="G3462">
        <f>IF(A3462="","",'Employees'!D19)</f>
        <v/>
      </c>
    </row>
    <row r="3463">
      <c r="A3463">
        <f>IF(AND('Ratings'!A222&lt;&gt;"",'Ratings'!J5&lt;&gt;""),'Ratings'!A222,"")</f>
        <v/>
      </c>
      <c r="B3463">
        <f>IF(A3463="","",'Employees'!C19)</f>
        <v/>
      </c>
      <c r="C3463">
        <f>IF(A3463="","",'Ratings'!C222)</f>
        <v/>
      </c>
      <c r="D3463">
        <f>IF(A3463="","",'Ratings'!D222)</f>
        <v/>
      </c>
      <c r="E3463">
        <f>IF(AND('Ratings'!A222&lt;&gt;"",'Ratings'!J5&lt;&gt;""),'Ratings'!J5,"")</f>
        <v/>
      </c>
      <c r="F3463">
        <f>IF(OR(A3463="",'Ratings'!J222=""),"",'Ratings'!J222)</f>
        <v/>
      </c>
      <c r="G3463">
        <f>IF(A3463="","",'Employees'!D19)</f>
        <v/>
      </c>
    </row>
    <row r="3464">
      <c r="A3464">
        <f>IF(AND('Ratings'!A222&lt;&gt;"",'Ratings'!K5&lt;&gt;""),'Ratings'!A222,"")</f>
        <v/>
      </c>
      <c r="B3464">
        <f>IF(A3464="","",'Employees'!C19)</f>
        <v/>
      </c>
      <c r="C3464">
        <f>IF(A3464="","",'Ratings'!C222)</f>
        <v/>
      </c>
      <c r="D3464">
        <f>IF(A3464="","",'Ratings'!D222)</f>
        <v/>
      </c>
      <c r="E3464">
        <f>IF(AND('Ratings'!A222&lt;&gt;"",'Ratings'!K5&lt;&gt;""),'Ratings'!K5,"")</f>
        <v/>
      </c>
      <c r="F3464">
        <f>IF(OR(A3464="",'Ratings'!K222=""),"",'Ratings'!K222)</f>
        <v/>
      </c>
      <c r="G3464">
        <f>IF(A3464="","",'Employees'!D19)</f>
        <v/>
      </c>
    </row>
    <row r="3465">
      <c r="A3465">
        <f>IF(AND('Ratings'!A222&lt;&gt;"",'Ratings'!L5&lt;&gt;""),'Ratings'!A222,"")</f>
        <v/>
      </c>
      <c r="B3465">
        <f>IF(A3465="","",'Employees'!C19)</f>
        <v/>
      </c>
      <c r="C3465">
        <f>IF(A3465="","",'Ratings'!C222)</f>
        <v/>
      </c>
      <c r="D3465">
        <f>IF(A3465="","",'Ratings'!D222)</f>
        <v/>
      </c>
      <c r="E3465">
        <f>IF(AND('Ratings'!A222&lt;&gt;"",'Ratings'!L5&lt;&gt;""),'Ratings'!L5,"")</f>
        <v/>
      </c>
      <c r="F3465">
        <f>IF(OR(A3465="",'Ratings'!L222=""),"",'Ratings'!L222)</f>
        <v/>
      </c>
      <c r="G3465">
        <f>IF(A3465="","",'Employees'!D19)</f>
        <v/>
      </c>
    </row>
    <row r="3466">
      <c r="A3466">
        <f>IF(AND('Ratings'!A222&lt;&gt;"",'Ratings'!M5&lt;&gt;""),'Ratings'!A222,"")</f>
        <v/>
      </c>
      <c r="B3466">
        <f>IF(A3466="","",'Employees'!C19)</f>
        <v/>
      </c>
      <c r="C3466">
        <f>IF(A3466="","",'Ratings'!C222)</f>
        <v/>
      </c>
      <c r="D3466">
        <f>IF(A3466="","",'Ratings'!D222)</f>
        <v/>
      </c>
      <c r="E3466">
        <f>IF(AND('Ratings'!A222&lt;&gt;"",'Ratings'!M5&lt;&gt;""),'Ratings'!M5,"")</f>
        <v/>
      </c>
      <c r="F3466">
        <f>IF(OR(A3466="",'Ratings'!M222=""),"",'Ratings'!M222)</f>
        <v/>
      </c>
      <c r="G3466">
        <f>IF(A3466="","",'Employees'!D19)</f>
        <v/>
      </c>
    </row>
    <row r="3467">
      <c r="A3467">
        <f>IF(AND('Ratings'!A222&lt;&gt;"",'Ratings'!N5&lt;&gt;""),'Ratings'!A222,"")</f>
        <v/>
      </c>
      <c r="B3467">
        <f>IF(A3467="","",'Employees'!C19)</f>
        <v/>
      </c>
      <c r="C3467">
        <f>IF(A3467="","",'Ratings'!C222)</f>
        <v/>
      </c>
      <c r="D3467">
        <f>IF(A3467="","",'Ratings'!D222)</f>
        <v/>
      </c>
      <c r="E3467">
        <f>IF(AND('Ratings'!A222&lt;&gt;"",'Ratings'!N5&lt;&gt;""),'Ratings'!N5,"")</f>
        <v/>
      </c>
      <c r="F3467">
        <f>IF(OR(A3467="",'Ratings'!N222=""),"",'Ratings'!N222)</f>
        <v/>
      </c>
      <c r="G3467">
        <f>IF(A3467="","",'Employees'!D19)</f>
        <v/>
      </c>
    </row>
    <row r="3468">
      <c r="A3468">
        <f>IF(AND('Ratings'!A222&lt;&gt;"",'Ratings'!O5&lt;&gt;""),'Ratings'!A222,"")</f>
        <v/>
      </c>
      <c r="B3468">
        <f>IF(A3468="","",'Employees'!C19)</f>
        <v/>
      </c>
      <c r="C3468">
        <f>IF(A3468="","",'Ratings'!C222)</f>
        <v/>
      </c>
      <c r="D3468">
        <f>IF(A3468="","",'Ratings'!D222)</f>
        <v/>
      </c>
      <c r="E3468">
        <f>IF(AND('Ratings'!A222&lt;&gt;"",'Ratings'!O5&lt;&gt;""),'Ratings'!O5,"")</f>
        <v/>
      </c>
      <c r="F3468">
        <f>IF(OR(A3468="",'Ratings'!O222=""),"",'Ratings'!O222)</f>
        <v/>
      </c>
      <c r="G3468">
        <f>IF(A3468="","",'Employees'!D19)</f>
        <v/>
      </c>
    </row>
    <row r="3469">
      <c r="A3469">
        <f>IF(AND('Ratings'!A222&lt;&gt;"",'Ratings'!P5&lt;&gt;""),'Ratings'!A222,"")</f>
        <v/>
      </c>
      <c r="B3469">
        <f>IF(A3469="","",'Employees'!C19)</f>
        <v/>
      </c>
      <c r="C3469">
        <f>IF(A3469="","",'Ratings'!C222)</f>
        <v/>
      </c>
      <c r="D3469">
        <f>IF(A3469="","",'Ratings'!D222)</f>
        <v/>
      </c>
      <c r="E3469">
        <f>IF(AND('Ratings'!A222&lt;&gt;"",'Ratings'!P5&lt;&gt;""),'Ratings'!P5,"")</f>
        <v/>
      </c>
      <c r="F3469">
        <f>IF(OR(A3469="",'Ratings'!P222=""),"",'Ratings'!P222)</f>
        <v/>
      </c>
      <c r="G3469">
        <f>IF(A3469="","",'Employees'!D19)</f>
        <v/>
      </c>
    </row>
    <row r="3470">
      <c r="A3470">
        <f>IF(AND('Ratings'!A222&lt;&gt;"",'Ratings'!Q5&lt;&gt;""),'Ratings'!A222,"")</f>
        <v/>
      </c>
      <c r="B3470">
        <f>IF(A3470="","",'Employees'!C19)</f>
        <v/>
      </c>
      <c r="C3470">
        <f>IF(A3470="","",'Ratings'!C222)</f>
        <v/>
      </c>
      <c r="D3470">
        <f>IF(A3470="","",'Ratings'!D222)</f>
        <v/>
      </c>
      <c r="E3470">
        <f>IF(AND('Ratings'!A222&lt;&gt;"",'Ratings'!Q5&lt;&gt;""),'Ratings'!Q5,"")</f>
        <v/>
      </c>
      <c r="F3470">
        <f>IF(OR(A3470="",'Ratings'!Q222=""),"",'Ratings'!Q222)</f>
        <v/>
      </c>
      <c r="G3470">
        <f>IF(A3470="","",'Employees'!D19)</f>
        <v/>
      </c>
    </row>
    <row r="3471">
      <c r="A3471">
        <f>IF(AND('Ratings'!A222&lt;&gt;"",'Ratings'!R5&lt;&gt;""),'Ratings'!A222,"")</f>
        <v/>
      </c>
      <c r="B3471">
        <f>IF(A3471="","",'Employees'!C19)</f>
        <v/>
      </c>
      <c r="C3471">
        <f>IF(A3471="","",'Ratings'!C222)</f>
        <v/>
      </c>
      <c r="D3471">
        <f>IF(A3471="","",'Ratings'!D222)</f>
        <v/>
      </c>
      <c r="E3471">
        <f>IF(AND('Ratings'!A222&lt;&gt;"",'Ratings'!R5&lt;&gt;""),'Ratings'!R5,"")</f>
        <v/>
      </c>
      <c r="F3471">
        <f>IF(OR(A3471="",'Ratings'!R222=""),"",'Ratings'!R222)</f>
        <v/>
      </c>
      <c r="G3471">
        <f>IF(A3471="","",'Employees'!D19)</f>
        <v/>
      </c>
    </row>
    <row r="3472">
      <c r="A3472">
        <f>IF(AND('Ratings'!A222&lt;&gt;"",'Ratings'!S5&lt;&gt;""),'Ratings'!A222,"")</f>
        <v/>
      </c>
      <c r="B3472">
        <f>IF(A3472="","",'Employees'!C19)</f>
        <v/>
      </c>
      <c r="C3472">
        <f>IF(A3472="","",'Ratings'!C222)</f>
        <v/>
      </c>
      <c r="D3472">
        <f>IF(A3472="","",'Ratings'!D222)</f>
        <v/>
      </c>
      <c r="E3472">
        <f>IF(AND('Ratings'!A222&lt;&gt;"",'Ratings'!S5&lt;&gt;""),'Ratings'!S5,"")</f>
        <v/>
      </c>
      <c r="F3472">
        <f>IF(OR(A3472="",'Ratings'!S222=""),"",'Ratings'!S222)</f>
        <v/>
      </c>
      <c r="G3472">
        <f>IF(A3472="","",'Employees'!D19)</f>
        <v/>
      </c>
    </row>
    <row r="3473">
      <c r="A3473">
        <f>IF(AND('Ratings'!A222&lt;&gt;"",'Ratings'!T5&lt;&gt;""),'Ratings'!A222,"")</f>
        <v/>
      </c>
      <c r="B3473">
        <f>IF(A3473="","",'Employees'!C19)</f>
        <v/>
      </c>
      <c r="C3473">
        <f>IF(A3473="","",'Ratings'!C222)</f>
        <v/>
      </c>
      <c r="D3473">
        <f>IF(A3473="","",'Ratings'!D222)</f>
        <v/>
      </c>
      <c r="E3473">
        <f>IF(AND('Ratings'!A222&lt;&gt;"",'Ratings'!T5&lt;&gt;""),'Ratings'!T5,"")</f>
        <v/>
      </c>
      <c r="F3473">
        <f>IF(OR(A3473="",'Ratings'!T222=""),"",'Ratings'!T222)</f>
        <v/>
      </c>
      <c r="G3473">
        <f>IF(A3473="","",'Employees'!D19)</f>
        <v/>
      </c>
    </row>
    <row r="3474">
      <c r="A3474">
        <f>IF(AND('Ratings'!A223&lt;&gt;"",'Ratings'!E5&lt;&gt;""),'Ratings'!A223,"")</f>
        <v/>
      </c>
      <c r="B3474">
        <f>IF(A3474="","",'Employees'!C19)</f>
        <v/>
      </c>
      <c r="C3474">
        <f>IF(A3474="","",'Ratings'!C223)</f>
        <v/>
      </c>
      <c r="D3474">
        <f>IF(A3474="","",'Ratings'!D223)</f>
        <v/>
      </c>
      <c r="E3474">
        <f>IF(AND('Ratings'!A223&lt;&gt;"",'Ratings'!E5&lt;&gt;""),'Ratings'!E5,"")</f>
        <v/>
      </c>
      <c r="F3474">
        <f>IF(OR(A3474="",'Ratings'!E223=""),"",'Ratings'!E223)</f>
        <v/>
      </c>
      <c r="G3474">
        <f>IF(A3474="","",'Employees'!D19)</f>
        <v/>
      </c>
    </row>
    <row r="3475">
      <c r="A3475">
        <f>IF(AND('Ratings'!A223&lt;&gt;"",'Ratings'!F5&lt;&gt;""),'Ratings'!A223,"")</f>
        <v/>
      </c>
      <c r="B3475">
        <f>IF(A3475="","",'Employees'!C19)</f>
        <v/>
      </c>
      <c r="C3475">
        <f>IF(A3475="","",'Ratings'!C223)</f>
        <v/>
      </c>
      <c r="D3475">
        <f>IF(A3475="","",'Ratings'!D223)</f>
        <v/>
      </c>
      <c r="E3475">
        <f>IF(AND('Ratings'!A223&lt;&gt;"",'Ratings'!F5&lt;&gt;""),'Ratings'!F5,"")</f>
        <v/>
      </c>
      <c r="F3475">
        <f>IF(OR(A3475="",'Ratings'!F223=""),"",'Ratings'!F223)</f>
        <v/>
      </c>
      <c r="G3475">
        <f>IF(A3475="","",'Employees'!D19)</f>
        <v/>
      </c>
    </row>
    <row r="3476">
      <c r="A3476">
        <f>IF(AND('Ratings'!A223&lt;&gt;"",'Ratings'!G5&lt;&gt;""),'Ratings'!A223,"")</f>
        <v/>
      </c>
      <c r="B3476">
        <f>IF(A3476="","",'Employees'!C19)</f>
        <v/>
      </c>
      <c r="C3476">
        <f>IF(A3476="","",'Ratings'!C223)</f>
        <v/>
      </c>
      <c r="D3476">
        <f>IF(A3476="","",'Ratings'!D223)</f>
        <v/>
      </c>
      <c r="E3476">
        <f>IF(AND('Ratings'!A223&lt;&gt;"",'Ratings'!G5&lt;&gt;""),'Ratings'!G5,"")</f>
        <v/>
      </c>
      <c r="F3476">
        <f>IF(OR(A3476="",'Ratings'!G223=""),"",'Ratings'!G223)</f>
        <v/>
      </c>
      <c r="G3476">
        <f>IF(A3476="","",'Employees'!D19)</f>
        <v/>
      </c>
    </row>
    <row r="3477">
      <c r="A3477">
        <f>IF(AND('Ratings'!A223&lt;&gt;"",'Ratings'!H5&lt;&gt;""),'Ratings'!A223,"")</f>
        <v/>
      </c>
      <c r="B3477">
        <f>IF(A3477="","",'Employees'!C19)</f>
        <v/>
      </c>
      <c r="C3477">
        <f>IF(A3477="","",'Ratings'!C223)</f>
        <v/>
      </c>
      <c r="D3477">
        <f>IF(A3477="","",'Ratings'!D223)</f>
        <v/>
      </c>
      <c r="E3477">
        <f>IF(AND('Ratings'!A223&lt;&gt;"",'Ratings'!H5&lt;&gt;""),'Ratings'!H5,"")</f>
        <v/>
      </c>
      <c r="F3477">
        <f>IF(OR(A3477="",'Ratings'!H223=""),"",'Ratings'!H223)</f>
        <v/>
      </c>
      <c r="G3477">
        <f>IF(A3477="","",'Employees'!D19)</f>
        <v/>
      </c>
    </row>
    <row r="3478">
      <c r="A3478">
        <f>IF(AND('Ratings'!A223&lt;&gt;"",'Ratings'!I5&lt;&gt;""),'Ratings'!A223,"")</f>
        <v/>
      </c>
      <c r="B3478">
        <f>IF(A3478="","",'Employees'!C19)</f>
        <v/>
      </c>
      <c r="C3478">
        <f>IF(A3478="","",'Ratings'!C223)</f>
        <v/>
      </c>
      <c r="D3478">
        <f>IF(A3478="","",'Ratings'!D223)</f>
        <v/>
      </c>
      <c r="E3478">
        <f>IF(AND('Ratings'!A223&lt;&gt;"",'Ratings'!I5&lt;&gt;""),'Ratings'!I5,"")</f>
        <v/>
      </c>
      <c r="F3478">
        <f>IF(OR(A3478="",'Ratings'!I223=""),"",'Ratings'!I223)</f>
        <v/>
      </c>
      <c r="G3478">
        <f>IF(A3478="","",'Employees'!D19)</f>
        <v/>
      </c>
    </row>
    <row r="3479">
      <c r="A3479">
        <f>IF(AND('Ratings'!A223&lt;&gt;"",'Ratings'!J5&lt;&gt;""),'Ratings'!A223,"")</f>
        <v/>
      </c>
      <c r="B3479">
        <f>IF(A3479="","",'Employees'!C19)</f>
        <v/>
      </c>
      <c r="C3479">
        <f>IF(A3479="","",'Ratings'!C223)</f>
        <v/>
      </c>
      <c r="D3479">
        <f>IF(A3479="","",'Ratings'!D223)</f>
        <v/>
      </c>
      <c r="E3479">
        <f>IF(AND('Ratings'!A223&lt;&gt;"",'Ratings'!J5&lt;&gt;""),'Ratings'!J5,"")</f>
        <v/>
      </c>
      <c r="F3479">
        <f>IF(OR(A3479="",'Ratings'!J223=""),"",'Ratings'!J223)</f>
        <v/>
      </c>
      <c r="G3479">
        <f>IF(A3479="","",'Employees'!D19)</f>
        <v/>
      </c>
    </row>
    <row r="3480">
      <c r="A3480">
        <f>IF(AND('Ratings'!A223&lt;&gt;"",'Ratings'!K5&lt;&gt;""),'Ratings'!A223,"")</f>
        <v/>
      </c>
      <c r="B3480">
        <f>IF(A3480="","",'Employees'!C19)</f>
        <v/>
      </c>
      <c r="C3480">
        <f>IF(A3480="","",'Ratings'!C223)</f>
        <v/>
      </c>
      <c r="D3480">
        <f>IF(A3480="","",'Ratings'!D223)</f>
        <v/>
      </c>
      <c r="E3480">
        <f>IF(AND('Ratings'!A223&lt;&gt;"",'Ratings'!K5&lt;&gt;""),'Ratings'!K5,"")</f>
        <v/>
      </c>
      <c r="F3480">
        <f>IF(OR(A3480="",'Ratings'!K223=""),"",'Ratings'!K223)</f>
        <v/>
      </c>
      <c r="G3480">
        <f>IF(A3480="","",'Employees'!D19)</f>
        <v/>
      </c>
    </row>
    <row r="3481">
      <c r="A3481">
        <f>IF(AND('Ratings'!A223&lt;&gt;"",'Ratings'!L5&lt;&gt;""),'Ratings'!A223,"")</f>
        <v/>
      </c>
      <c r="B3481">
        <f>IF(A3481="","",'Employees'!C19)</f>
        <v/>
      </c>
      <c r="C3481">
        <f>IF(A3481="","",'Ratings'!C223)</f>
        <v/>
      </c>
      <c r="D3481">
        <f>IF(A3481="","",'Ratings'!D223)</f>
        <v/>
      </c>
      <c r="E3481">
        <f>IF(AND('Ratings'!A223&lt;&gt;"",'Ratings'!L5&lt;&gt;""),'Ratings'!L5,"")</f>
        <v/>
      </c>
      <c r="F3481">
        <f>IF(OR(A3481="",'Ratings'!L223=""),"",'Ratings'!L223)</f>
        <v/>
      </c>
      <c r="G3481">
        <f>IF(A3481="","",'Employees'!D19)</f>
        <v/>
      </c>
    </row>
    <row r="3482">
      <c r="A3482">
        <f>IF(AND('Ratings'!A223&lt;&gt;"",'Ratings'!M5&lt;&gt;""),'Ratings'!A223,"")</f>
        <v/>
      </c>
      <c r="B3482">
        <f>IF(A3482="","",'Employees'!C19)</f>
        <v/>
      </c>
      <c r="C3482">
        <f>IF(A3482="","",'Ratings'!C223)</f>
        <v/>
      </c>
      <c r="D3482">
        <f>IF(A3482="","",'Ratings'!D223)</f>
        <v/>
      </c>
      <c r="E3482">
        <f>IF(AND('Ratings'!A223&lt;&gt;"",'Ratings'!M5&lt;&gt;""),'Ratings'!M5,"")</f>
        <v/>
      </c>
      <c r="F3482">
        <f>IF(OR(A3482="",'Ratings'!M223=""),"",'Ratings'!M223)</f>
        <v/>
      </c>
      <c r="G3482">
        <f>IF(A3482="","",'Employees'!D19)</f>
        <v/>
      </c>
    </row>
    <row r="3483">
      <c r="A3483">
        <f>IF(AND('Ratings'!A223&lt;&gt;"",'Ratings'!N5&lt;&gt;""),'Ratings'!A223,"")</f>
        <v/>
      </c>
      <c r="B3483">
        <f>IF(A3483="","",'Employees'!C19)</f>
        <v/>
      </c>
      <c r="C3483">
        <f>IF(A3483="","",'Ratings'!C223)</f>
        <v/>
      </c>
      <c r="D3483">
        <f>IF(A3483="","",'Ratings'!D223)</f>
        <v/>
      </c>
      <c r="E3483">
        <f>IF(AND('Ratings'!A223&lt;&gt;"",'Ratings'!N5&lt;&gt;""),'Ratings'!N5,"")</f>
        <v/>
      </c>
      <c r="F3483">
        <f>IF(OR(A3483="",'Ratings'!N223=""),"",'Ratings'!N223)</f>
        <v/>
      </c>
      <c r="G3483">
        <f>IF(A3483="","",'Employees'!D19)</f>
        <v/>
      </c>
    </row>
    <row r="3484">
      <c r="A3484">
        <f>IF(AND('Ratings'!A223&lt;&gt;"",'Ratings'!O5&lt;&gt;""),'Ratings'!A223,"")</f>
        <v/>
      </c>
      <c r="B3484">
        <f>IF(A3484="","",'Employees'!C19)</f>
        <v/>
      </c>
      <c r="C3484">
        <f>IF(A3484="","",'Ratings'!C223)</f>
        <v/>
      </c>
      <c r="D3484">
        <f>IF(A3484="","",'Ratings'!D223)</f>
        <v/>
      </c>
      <c r="E3484">
        <f>IF(AND('Ratings'!A223&lt;&gt;"",'Ratings'!O5&lt;&gt;""),'Ratings'!O5,"")</f>
        <v/>
      </c>
      <c r="F3484">
        <f>IF(OR(A3484="",'Ratings'!O223=""),"",'Ratings'!O223)</f>
        <v/>
      </c>
      <c r="G3484">
        <f>IF(A3484="","",'Employees'!D19)</f>
        <v/>
      </c>
    </row>
    <row r="3485">
      <c r="A3485">
        <f>IF(AND('Ratings'!A223&lt;&gt;"",'Ratings'!P5&lt;&gt;""),'Ratings'!A223,"")</f>
        <v/>
      </c>
      <c r="B3485">
        <f>IF(A3485="","",'Employees'!C19)</f>
        <v/>
      </c>
      <c r="C3485">
        <f>IF(A3485="","",'Ratings'!C223)</f>
        <v/>
      </c>
      <c r="D3485">
        <f>IF(A3485="","",'Ratings'!D223)</f>
        <v/>
      </c>
      <c r="E3485">
        <f>IF(AND('Ratings'!A223&lt;&gt;"",'Ratings'!P5&lt;&gt;""),'Ratings'!P5,"")</f>
        <v/>
      </c>
      <c r="F3485">
        <f>IF(OR(A3485="",'Ratings'!P223=""),"",'Ratings'!P223)</f>
        <v/>
      </c>
      <c r="G3485">
        <f>IF(A3485="","",'Employees'!D19)</f>
        <v/>
      </c>
    </row>
    <row r="3486">
      <c r="A3486">
        <f>IF(AND('Ratings'!A223&lt;&gt;"",'Ratings'!Q5&lt;&gt;""),'Ratings'!A223,"")</f>
        <v/>
      </c>
      <c r="B3486">
        <f>IF(A3486="","",'Employees'!C19)</f>
        <v/>
      </c>
      <c r="C3486">
        <f>IF(A3486="","",'Ratings'!C223)</f>
        <v/>
      </c>
      <c r="D3486">
        <f>IF(A3486="","",'Ratings'!D223)</f>
        <v/>
      </c>
      <c r="E3486">
        <f>IF(AND('Ratings'!A223&lt;&gt;"",'Ratings'!Q5&lt;&gt;""),'Ratings'!Q5,"")</f>
        <v/>
      </c>
      <c r="F3486">
        <f>IF(OR(A3486="",'Ratings'!Q223=""),"",'Ratings'!Q223)</f>
        <v/>
      </c>
      <c r="G3486">
        <f>IF(A3486="","",'Employees'!D19)</f>
        <v/>
      </c>
    </row>
    <row r="3487">
      <c r="A3487">
        <f>IF(AND('Ratings'!A223&lt;&gt;"",'Ratings'!R5&lt;&gt;""),'Ratings'!A223,"")</f>
        <v/>
      </c>
      <c r="B3487">
        <f>IF(A3487="","",'Employees'!C19)</f>
        <v/>
      </c>
      <c r="C3487">
        <f>IF(A3487="","",'Ratings'!C223)</f>
        <v/>
      </c>
      <c r="D3487">
        <f>IF(A3487="","",'Ratings'!D223)</f>
        <v/>
      </c>
      <c r="E3487">
        <f>IF(AND('Ratings'!A223&lt;&gt;"",'Ratings'!R5&lt;&gt;""),'Ratings'!R5,"")</f>
        <v/>
      </c>
      <c r="F3487">
        <f>IF(OR(A3487="",'Ratings'!R223=""),"",'Ratings'!R223)</f>
        <v/>
      </c>
      <c r="G3487">
        <f>IF(A3487="","",'Employees'!D19)</f>
        <v/>
      </c>
    </row>
    <row r="3488">
      <c r="A3488">
        <f>IF(AND('Ratings'!A223&lt;&gt;"",'Ratings'!S5&lt;&gt;""),'Ratings'!A223,"")</f>
        <v/>
      </c>
      <c r="B3488">
        <f>IF(A3488="","",'Employees'!C19)</f>
        <v/>
      </c>
      <c r="C3488">
        <f>IF(A3488="","",'Ratings'!C223)</f>
        <v/>
      </c>
      <c r="D3488">
        <f>IF(A3488="","",'Ratings'!D223)</f>
        <v/>
      </c>
      <c r="E3488">
        <f>IF(AND('Ratings'!A223&lt;&gt;"",'Ratings'!S5&lt;&gt;""),'Ratings'!S5,"")</f>
        <v/>
      </c>
      <c r="F3488">
        <f>IF(OR(A3488="",'Ratings'!S223=""),"",'Ratings'!S223)</f>
        <v/>
      </c>
      <c r="G3488">
        <f>IF(A3488="","",'Employees'!D19)</f>
        <v/>
      </c>
    </row>
    <row r="3489">
      <c r="A3489">
        <f>IF(AND('Ratings'!A223&lt;&gt;"",'Ratings'!T5&lt;&gt;""),'Ratings'!A223,"")</f>
        <v/>
      </c>
      <c r="B3489">
        <f>IF(A3489="","",'Employees'!C19)</f>
        <v/>
      </c>
      <c r="C3489">
        <f>IF(A3489="","",'Ratings'!C223)</f>
        <v/>
      </c>
      <c r="D3489">
        <f>IF(A3489="","",'Ratings'!D223)</f>
        <v/>
      </c>
      <c r="E3489">
        <f>IF(AND('Ratings'!A223&lt;&gt;"",'Ratings'!T5&lt;&gt;""),'Ratings'!T5,"")</f>
        <v/>
      </c>
      <c r="F3489">
        <f>IF(OR(A3489="",'Ratings'!T223=""),"",'Ratings'!T223)</f>
        <v/>
      </c>
      <c r="G3489">
        <f>IF(A3489="","",'Employees'!D19)</f>
        <v/>
      </c>
    </row>
    <row r="3490">
      <c r="A3490">
        <f>IF(AND('Ratings'!A224&lt;&gt;"",'Ratings'!E5&lt;&gt;""),'Ratings'!A224,"")</f>
        <v/>
      </c>
      <c r="B3490">
        <f>IF(A3490="","",'Employees'!C19)</f>
        <v/>
      </c>
      <c r="C3490">
        <f>IF(A3490="","",'Ratings'!C224)</f>
        <v/>
      </c>
      <c r="D3490">
        <f>IF(A3490="","",'Ratings'!D224)</f>
        <v/>
      </c>
      <c r="E3490">
        <f>IF(AND('Ratings'!A224&lt;&gt;"",'Ratings'!E5&lt;&gt;""),'Ratings'!E5,"")</f>
        <v/>
      </c>
      <c r="F3490">
        <f>IF(OR(A3490="",'Ratings'!E224=""),"",'Ratings'!E224)</f>
        <v/>
      </c>
      <c r="G3490">
        <f>IF(A3490="","",'Employees'!D19)</f>
        <v/>
      </c>
    </row>
    <row r="3491">
      <c r="A3491">
        <f>IF(AND('Ratings'!A224&lt;&gt;"",'Ratings'!F5&lt;&gt;""),'Ratings'!A224,"")</f>
        <v/>
      </c>
      <c r="B3491">
        <f>IF(A3491="","",'Employees'!C19)</f>
        <v/>
      </c>
      <c r="C3491">
        <f>IF(A3491="","",'Ratings'!C224)</f>
        <v/>
      </c>
      <c r="D3491">
        <f>IF(A3491="","",'Ratings'!D224)</f>
        <v/>
      </c>
      <c r="E3491">
        <f>IF(AND('Ratings'!A224&lt;&gt;"",'Ratings'!F5&lt;&gt;""),'Ratings'!F5,"")</f>
        <v/>
      </c>
      <c r="F3491">
        <f>IF(OR(A3491="",'Ratings'!F224=""),"",'Ratings'!F224)</f>
        <v/>
      </c>
      <c r="G3491">
        <f>IF(A3491="","",'Employees'!D19)</f>
        <v/>
      </c>
    </row>
    <row r="3492">
      <c r="A3492">
        <f>IF(AND('Ratings'!A224&lt;&gt;"",'Ratings'!G5&lt;&gt;""),'Ratings'!A224,"")</f>
        <v/>
      </c>
      <c r="B3492">
        <f>IF(A3492="","",'Employees'!C19)</f>
        <v/>
      </c>
      <c r="C3492">
        <f>IF(A3492="","",'Ratings'!C224)</f>
        <v/>
      </c>
      <c r="D3492">
        <f>IF(A3492="","",'Ratings'!D224)</f>
        <v/>
      </c>
      <c r="E3492">
        <f>IF(AND('Ratings'!A224&lt;&gt;"",'Ratings'!G5&lt;&gt;""),'Ratings'!G5,"")</f>
        <v/>
      </c>
      <c r="F3492">
        <f>IF(OR(A3492="",'Ratings'!G224=""),"",'Ratings'!G224)</f>
        <v/>
      </c>
      <c r="G3492">
        <f>IF(A3492="","",'Employees'!D19)</f>
        <v/>
      </c>
    </row>
    <row r="3493">
      <c r="A3493">
        <f>IF(AND('Ratings'!A224&lt;&gt;"",'Ratings'!H5&lt;&gt;""),'Ratings'!A224,"")</f>
        <v/>
      </c>
      <c r="B3493">
        <f>IF(A3493="","",'Employees'!C19)</f>
        <v/>
      </c>
      <c r="C3493">
        <f>IF(A3493="","",'Ratings'!C224)</f>
        <v/>
      </c>
      <c r="D3493">
        <f>IF(A3493="","",'Ratings'!D224)</f>
        <v/>
      </c>
      <c r="E3493">
        <f>IF(AND('Ratings'!A224&lt;&gt;"",'Ratings'!H5&lt;&gt;""),'Ratings'!H5,"")</f>
        <v/>
      </c>
      <c r="F3493">
        <f>IF(OR(A3493="",'Ratings'!H224=""),"",'Ratings'!H224)</f>
        <v/>
      </c>
      <c r="G3493">
        <f>IF(A3493="","",'Employees'!D19)</f>
        <v/>
      </c>
    </row>
    <row r="3494">
      <c r="A3494">
        <f>IF(AND('Ratings'!A224&lt;&gt;"",'Ratings'!I5&lt;&gt;""),'Ratings'!A224,"")</f>
        <v/>
      </c>
      <c r="B3494">
        <f>IF(A3494="","",'Employees'!C19)</f>
        <v/>
      </c>
      <c r="C3494">
        <f>IF(A3494="","",'Ratings'!C224)</f>
        <v/>
      </c>
      <c r="D3494">
        <f>IF(A3494="","",'Ratings'!D224)</f>
        <v/>
      </c>
      <c r="E3494">
        <f>IF(AND('Ratings'!A224&lt;&gt;"",'Ratings'!I5&lt;&gt;""),'Ratings'!I5,"")</f>
        <v/>
      </c>
      <c r="F3494">
        <f>IF(OR(A3494="",'Ratings'!I224=""),"",'Ratings'!I224)</f>
        <v/>
      </c>
      <c r="G3494">
        <f>IF(A3494="","",'Employees'!D19)</f>
        <v/>
      </c>
    </row>
    <row r="3495">
      <c r="A3495">
        <f>IF(AND('Ratings'!A224&lt;&gt;"",'Ratings'!J5&lt;&gt;""),'Ratings'!A224,"")</f>
        <v/>
      </c>
      <c r="B3495">
        <f>IF(A3495="","",'Employees'!C19)</f>
        <v/>
      </c>
      <c r="C3495">
        <f>IF(A3495="","",'Ratings'!C224)</f>
        <v/>
      </c>
      <c r="D3495">
        <f>IF(A3495="","",'Ratings'!D224)</f>
        <v/>
      </c>
      <c r="E3495">
        <f>IF(AND('Ratings'!A224&lt;&gt;"",'Ratings'!J5&lt;&gt;""),'Ratings'!J5,"")</f>
        <v/>
      </c>
      <c r="F3495">
        <f>IF(OR(A3495="",'Ratings'!J224=""),"",'Ratings'!J224)</f>
        <v/>
      </c>
      <c r="G3495">
        <f>IF(A3495="","",'Employees'!D19)</f>
        <v/>
      </c>
    </row>
    <row r="3496">
      <c r="A3496">
        <f>IF(AND('Ratings'!A224&lt;&gt;"",'Ratings'!K5&lt;&gt;""),'Ratings'!A224,"")</f>
        <v/>
      </c>
      <c r="B3496">
        <f>IF(A3496="","",'Employees'!C19)</f>
        <v/>
      </c>
      <c r="C3496">
        <f>IF(A3496="","",'Ratings'!C224)</f>
        <v/>
      </c>
      <c r="D3496">
        <f>IF(A3496="","",'Ratings'!D224)</f>
        <v/>
      </c>
      <c r="E3496">
        <f>IF(AND('Ratings'!A224&lt;&gt;"",'Ratings'!K5&lt;&gt;""),'Ratings'!K5,"")</f>
        <v/>
      </c>
      <c r="F3496">
        <f>IF(OR(A3496="",'Ratings'!K224=""),"",'Ratings'!K224)</f>
        <v/>
      </c>
      <c r="G3496">
        <f>IF(A3496="","",'Employees'!D19)</f>
        <v/>
      </c>
    </row>
    <row r="3497">
      <c r="A3497">
        <f>IF(AND('Ratings'!A224&lt;&gt;"",'Ratings'!L5&lt;&gt;""),'Ratings'!A224,"")</f>
        <v/>
      </c>
      <c r="B3497">
        <f>IF(A3497="","",'Employees'!C19)</f>
        <v/>
      </c>
      <c r="C3497">
        <f>IF(A3497="","",'Ratings'!C224)</f>
        <v/>
      </c>
      <c r="D3497">
        <f>IF(A3497="","",'Ratings'!D224)</f>
        <v/>
      </c>
      <c r="E3497">
        <f>IF(AND('Ratings'!A224&lt;&gt;"",'Ratings'!L5&lt;&gt;""),'Ratings'!L5,"")</f>
        <v/>
      </c>
      <c r="F3497">
        <f>IF(OR(A3497="",'Ratings'!L224=""),"",'Ratings'!L224)</f>
        <v/>
      </c>
      <c r="G3497">
        <f>IF(A3497="","",'Employees'!D19)</f>
        <v/>
      </c>
    </row>
    <row r="3498">
      <c r="A3498">
        <f>IF(AND('Ratings'!A224&lt;&gt;"",'Ratings'!M5&lt;&gt;""),'Ratings'!A224,"")</f>
        <v/>
      </c>
      <c r="B3498">
        <f>IF(A3498="","",'Employees'!C19)</f>
        <v/>
      </c>
      <c r="C3498">
        <f>IF(A3498="","",'Ratings'!C224)</f>
        <v/>
      </c>
      <c r="D3498">
        <f>IF(A3498="","",'Ratings'!D224)</f>
        <v/>
      </c>
      <c r="E3498">
        <f>IF(AND('Ratings'!A224&lt;&gt;"",'Ratings'!M5&lt;&gt;""),'Ratings'!M5,"")</f>
        <v/>
      </c>
      <c r="F3498">
        <f>IF(OR(A3498="",'Ratings'!M224=""),"",'Ratings'!M224)</f>
        <v/>
      </c>
      <c r="G3498">
        <f>IF(A3498="","",'Employees'!D19)</f>
        <v/>
      </c>
    </row>
    <row r="3499">
      <c r="A3499">
        <f>IF(AND('Ratings'!A224&lt;&gt;"",'Ratings'!N5&lt;&gt;""),'Ratings'!A224,"")</f>
        <v/>
      </c>
      <c r="B3499">
        <f>IF(A3499="","",'Employees'!C19)</f>
        <v/>
      </c>
      <c r="C3499">
        <f>IF(A3499="","",'Ratings'!C224)</f>
        <v/>
      </c>
      <c r="D3499">
        <f>IF(A3499="","",'Ratings'!D224)</f>
        <v/>
      </c>
      <c r="E3499">
        <f>IF(AND('Ratings'!A224&lt;&gt;"",'Ratings'!N5&lt;&gt;""),'Ratings'!N5,"")</f>
        <v/>
      </c>
      <c r="F3499">
        <f>IF(OR(A3499="",'Ratings'!N224=""),"",'Ratings'!N224)</f>
        <v/>
      </c>
      <c r="G3499">
        <f>IF(A3499="","",'Employees'!D19)</f>
        <v/>
      </c>
    </row>
    <row r="3500">
      <c r="A3500">
        <f>IF(AND('Ratings'!A224&lt;&gt;"",'Ratings'!O5&lt;&gt;""),'Ratings'!A224,"")</f>
        <v/>
      </c>
      <c r="B3500">
        <f>IF(A3500="","",'Employees'!C19)</f>
        <v/>
      </c>
      <c r="C3500">
        <f>IF(A3500="","",'Ratings'!C224)</f>
        <v/>
      </c>
      <c r="D3500">
        <f>IF(A3500="","",'Ratings'!D224)</f>
        <v/>
      </c>
      <c r="E3500">
        <f>IF(AND('Ratings'!A224&lt;&gt;"",'Ratings'!O5&lt;&gt;""),'Ratings'!O5,"")</f>
        <v/>
      </c>
      <c r="F3500">
        <f>IF(OR(A3500="",'Ratings'!O224=""),"",'Ratings'!O224)</f>
        <v/>
      </c>
      <c r="G3500">
        <f>IF(A3500="","",'Employees'!D19)</f>
        <v/>
      </c>
    </row>
    <row r="3501">
      <c r="A3501">
        <f>IF(AND('Ratings'!A224&lt;&gt;"",'Ratings'!P5&lt;&gt;""),'Ratings'!A224,"")</f>
        <v/>
      </c>
      <c r="B3501">
        <f>IF(A3501="","",'Employees'!C19)</f>
        <v/>
      </c>
      <c r="C3501">
        <f>IF(A3501="","",'Ratings'!C224)</f>
        <v/>
      </c>
      <c r="D3501">
        <f>IF(A3501="","",'Ratings'!D224)</f>
        <v/>
      </c>
      <c r="E3501">
        <f>IF(AND('Ratings'!A224&lt;&gt;"",'Ratings'!P5&lt;&gt;""),'Ratings'!P5,"")</f>
        <v/>
      </c>
      <c r="F3501">
        <f>IF(OR(A3501="",'Ratings'!P224=""),"",'Ratings'!P224)</f>
        <v/>
      </c>
      <c r="G3501">
        <f>IF(A3501="","",'Employees'!D19)</f>
        <v/>
      </c>
    </row>
    <row r="3502">
      <c r="A3502">
        <f>IF(AND('Ratings'!A224&lt;&gt;"",'Ratings'!Q5&lt;&gt;""),'Ratings'!A224,"")</f>
        <v/>
      </c>
      <c r="B3502">
        <f>IF(A3502="","",'Employees'!C19)</f>
        <v/>
      </c>
      <c r="C3502">
        <f>IF(A3502="","",'Ratings'!C224)</f>
        <v/>
      </c>
      <c r="D3502">
        <f>IF(A3502="","",'Ratings'!D224)</f>
        <v/>
      </c>
      <c r="E3502">
        <f>IF(AND('Ratings'!A224&lt;&gt;"",'Ratings'!Q5&lt;&gt;""),'Ratings'!Q5,"")</f>
        <v/>
      </c>
      <c r="F3502">
        <f>IF(OR(A3502="",'Ratings'!Q224=""),"",'Ratings'!Q224)</f>
        <v/>
      </c>
      <c r="G3502">
        <f>IF(A3502="","",'Employees'!D19)</f>
        <v/>
      </c>
    </row>
    <row r="3503">
      <c r="A3503">
        <f>IF(AND('Ratings'!A224&lt;&gt;"",'Ratings'!R5&lt;&gt;""),'Ratings'!A224,"")</f>
        <v/>
      </c>
      <c r="B3503">
        <f>IF(A3503="","",'Employees'!C19)</f>
        <v/>
      </c>
      <c r="C3503">
        <f>IF(A3503="","",'Ratings'!C224)</f>
        <v/>
      </c>
      <c r="D3503">
        <f>IF(A3503="","",'Ratings'!D224)</f>
        <v/>
      </c>
      <c r="E3503">
        <f>IF(AND('Ratings'!A224&lt;&gt;"",'Ratings'!R5&lt;&gt;""),'Ratings'!R5,"")</f>
        <v/>
      </c>
      <c r="F3503">
        <f>IF(OR(A3503="",'Ratings'!R224=""),"",'Ratings'!R224)</f>
        <v/>
      </c>
      <c r="G3503">
        <f>IF(A3503="","",'Employees'!D19)</f>
        <v/>
      </c>
    </row>
    <row r="3504">
      <c r="A3504">
        <f>IF(AND('Ratings'!A224&lt;&gt;"",'Ratings'!S5&lt;&gt;""),'Ratings'!A224,"")</f>
        <v/>
      </c>
      <c r="B3504">
        <f>IF(A3504="","",'Employees'!C19)</f>
        <v/>
      </c>
      <c r="C3504">
        <f>IF(A3504="","",'Ratings'!C224)</f>
        <v/>
      </c>
      <c r="D3504">
        <f>IF(A3504="","",'Ratings'!D224)</f>
        <v/>
      </c>
      <c r="E3504">
        <f>IF(AND('Ratings'!A224&lt;&gt;"",'Ratings'!S5&lt;&gt;""),'Ratings'!S5,"")</f>
        <v/>
      </c>
      <c r="F3504">
        <f>IF(OR(A3504="",'Ratings'!S224=""),"",'Ratings'!S224)</f>
        <v/>
      </c>
      <c r="G3504">
        <f>IF(A3504="","",'Employees'!D19)</f>
        <v/>
      </c>
    </row>
    <row r="3505">
      <c r="A3505">
        <f>IF(AND('Ratings'!A224&lt;&gt;"",'Ratings'!T5&lt;&gt;""),'Ratings'!A224,"")</f>
        <v/>
      </c>
      <c r="B3505">
        <f>IF(A3505="","",'Employees'!C19)</f>
        <v/>
      </c>
      <c r="C3505">
        <f>IF(A3505="","",'Ratings'!C224)</f>
        <v/>
      </c>
      <c r="D3505">
        <f>IF(A3505="","",'Ratings'!D224)</f>
        <v/>
      </c>
      <c r="E3505">
        <f>IF(AND('Ratings'!A224&lt;&gt;"",'Ratings'!T5&lt;&gt;""),'Ratings'!T5,"")</f>
        <v/>
      </c>
      <c r="F3505">
        <f>IF(OR(A3505="",'Ratings'!T224=""),"",'Ratings'!T224)</f>
        <v/>
      </c>
      <c r="G3505">
        <f>IF(A3505="","",'Employees'!D19)</f>
        <v/>
      </c>
    </row>
    <row r="3506">
      <c r="A3506">
        <f>IF(AND('Ratings'!A225&lt;&gt;"",'Ratings'!E5&lt;&gt;""),'Ratings'!A225,"")</f>
        <v/>
      </c>
      <c r="B3506">
        <f>IF(A3506="","",'Employees'!C19)</f>
        <v/>
      </c>
      <c r="C3506">
        <f>IF(A3506="","",'Ratings'!C225)</f>
        <v/>
      </c>
      <c r="D3506">
        <f>IF(A3506="","",'Ratings'!D225)</f>
        <v/>
      </c>
      <c r="E3506">
        <f>IF(AND('Ratings'!A225&lt;&gt;"",'Ratings'!E5&lt;&gt;""),'Ratings'!E5,"")</f>
        <v/>
      </c>
      <c r="F3506">
        <f>IF(OR(A3506="",'Ratings'!E225=""),"",'Ratings'!E225)</f>
        <v/>
      </c>
      <c r="G3506">
        <f>IF(A3506="","",'Employees'!D19)</f>
        <v/>
      </c>
    </row>
    <row r="3507">
      <c r="A3507">
        <f>IF(AND('Ratings'!A225&lt;&gt;"",'Ratings'!F5&lt;&gt;""),'Ratings'!A225,"")</f>
        <v/>
      </c>
      <c r="B3507">
        <f>IF(A3507="","",'Employees'!C19)</f>
        <v/>
      </c>
      <c r="C3507">
        <f>IF(A3507="","",'Ratings'!C225)</f>
        <v/>
      </c>
      <c r="D3507">
        <f>IF(A3507="","",'Ratings'!D225)</f>
        <v/>
      </c>
      <c r="E3507">
        <f>IF(AND('Ratings'!A225&lt;&gt;"",'Ratings'!F5&lt;&gt;""),'Ratings'!F5,"")</f>
        <v/>
      </c>
      <c r="F3507">
        <f>IF(OR(A3507="",'Ratings'!F225=""),"",'Ratings'!F225)</f>
        <v/>
      </c>
      <c r="G3507">
        <f>IF(A3507="","",'Employees'!D19)</f>
        <v/>
      </c>
    </row>
    <row r="3508">
      <c r="A3508">
        <f>IF(AND('Ratings'!A225&lt;&gt;"",'Ratings'!G5&lt;&gt;""),'Ratings'!A225,"")</f>
        <v/>
      </c>
      <c r="B3508">
        <f>IF(A3508="","",'Employees'!C19)</f>
        <v/>
      </c>
      <c r="C3508">
        <f>IF(A3508="","",'Ratings'!C225)</f>
        <v/>
      </c>
      <c r="D3508">
        <f>IF(A3508="","",'Ratings'!D225)</f>
        <v/>
      </c>
      <c r="E3508">
        <f>IF(AND('Ratings'!A225&lt;&gt;"",'Ratings'!G5&lt;&gt;""),'Ratings'!G5,"")</f>
        <v/>
      </c>
      <c r="F3508">
        <f>IF(OR(A3508="",'Ratings'!G225=""),"",'Ratings'!G225)</f>
        <v/>
      </c>
      <c r="G3508">
        <f>IF(A3508="","",'Employees'!D19)</f>
        <v/>
      </c>
    </row>
    <row r="3509">
      <c r="A3509">
        <f>IF(AND('Ratings'!A225&lt;&gt;"",'Ratings'!H5&lt;&gt;""),'Ratings'!A225,"")</f>
        <v/>
      </c>
      <c r="B3509">
        <f>IF(A3509="","",'Employees'!C19)</f>
        <v/>
      </c>
      <c r="C3509">
        <f>IF(A3509="","",'Ratings'!C225)</f>
        <v/>
      </c>
      <c r="D3509">
        <f>IF(A3509="","",'Ratings'!D225)</f>
        <v/>
      </c>
      <c r="E3509">
        <f>IF(AND('Ratings'!A225&lt;&gt;"",'Ratings'!H5&lt;&gt;""),'Ratings'!H5,"")</f>
        <v/>
      </c>
      <c r="F3509">
        <f>IF(OR(A3509="",'Ratings'!H225=""),"",'Ratings'!H225)</f>
        <v/>
      </c>
      <c r="G3509">
        <f>IF(A3509="","",'Employees'!D19)</f>
        <v/>
      </c>
    </row>
    <row r="3510">
      <c r="A3510">
        <f>IF(AND('Ratings'!A225&lt;&gt;"",'Ratings'!I5&lt;&gt;""),'Ratings'!A225,"")</f>
        <v/>
      </c>
      <c r="B3510">
        <f>IF(A3510="","",'Employees'!C19)</f>
        <v/>
      </c>
      <c r="C3510">
        <f>IF(A3510="","",'Ratings'!C225)</f>
        <v/>
      </c>
      <c r="D3510">
        <f>IF(A3510="","",'Ratings'!D225)</f>
        <v/>
      </c>
      <c r="E3510">
        <f>IF(AND('Ratings'!A225&lt;&gt;"",'Ratings'!I5&lt;&gt;""),'Ratings'!I5,"")</f>
        <v/>
      </c>
      <c r="F3510">
        <f>IF(OR(A3510="",'Ratings'!I225=""),"",'Ratings'!I225)</f>
        <v/>
      </c>
      <c r="G3510">
        <f>IF(A3510="","",'Employees'!D19)</f>
        <v/>
      </c>
    </row>
    <row r="3511">
      <c r="A3511">
        <f>IF(AND('Ratings'!A225&lt;&gt;"",'Ratings'!J5&lt;&gt;""),'Ratings'!A225,"")</f>
        <v/>
      </c>
      <c r="B3511">
        <f>IF(A3511="","",'Employees'!C19)</f>
        <v/>
      </c>
      <c r="C3511">
        <f>IF(A3511="","",'Ratings'!C225)</f>
        <v/>
      </c>
      <c r="D3511">
        <f>IF(A3511="","",'Ratings'!D225)</f>
        <v/>
      </c>
      <c r="E3511">
        <f>IF(AND('Ratings'!A225&lt;&gt;"",'Ratings'!J5&lt;&gt;""),'Ratings'!J5,"")</f>
        <v/>
      </c>
      <c r="F3511">
        <f>IF(OR(A3511="",'Ratings'!J225=""),"",'Ratings'!J225)</f>
        <v/>
      </c>
      <c r="G3511">
        <f>IF(A3511="","",'Employees'!D19)</f>
        <v/>
      </c>
    </row>
    <row r="3512">
      <c r="A3512">
        <f>IF(AND('Ratings'!A225&lt;&gt;"",'Ratings'!K5&lt;&gt;""),'Ratings'!A225,"")</f>
        <v/>
      </c>
      <c r="B3512">
        <f>IF(A3512="","",'Employees'!C19)</f>
        <v/>
      </c>
      <c r="C3512">
        <f>IF(A3512="","",'Ratings'!C225)</f>
        <v/>
      </c>
      <c r="D3512">
        <f>IF(A3512="","",'Ratings'!D225)</f>
        <v/>
      </c>
      <c r="E3512">
        <f>IF(AND('Ratings'!A225&lt;&gt;"",'Ratings'!K5&lt;&gt;""),'Ratings'!K5,"")</f>
        <v/>
      </c>
      <c r="F3512">
        <f>IF(OR(A3512="",'Ratings'!K225=""),"",'Ratings'!K225)</f>
        <v/>
      </c>
      <c r="G3512">
        <f>IF(A3512="","",'Employees'!D19)</f>
        <v/>
      </c>
    </row>
    <row r="3513">
      <c r="A3513">
        <f>IF(AND('Ratings'!A225&lt;&gt;"",'Ratings'!L5&lt;&gt;""),'Ratings'!A225,"")</f>
        <v/>
      </c>
      <c r="B3513">
        <f>IF(A3513="","",'Employees'!C19)</f>
        <v/>
      </c>
      <c r="C3513">
        <f>IF(A3513="","",'Ratings'!C225)</f>
        <v/>
      </c>
      <c r="D3513">
        <f>IF(A3513="","",'Ratings'!D225)</f>
        <v/>
      </c>
      <c r="E3513">
        <f>IF(AND('Ratings'!A225&lt;&gt;"",'Ratings'!L5&lt;&gt;""),'Ratings'!L5,"")</f>
        <v/>
      </c>
      <c r="F3513">
        <f>IF(OR(A3513="",'Ratings'!L225=""),"",'Ratings'!L225)</f>
        <v/>
      </c>
      <c r="G3513">
        <f>IF(A3513="","",'Employees'!D19)</f>
        <v/>
      </c>
    </row>
    <row r="3514">
      <c r="A3514">
        <f>IF(AND('Ratings'!A225&lt;&gt;"",'Ratings'!M5&lt;&gt;""),'Ratings'!A225,"")</f>
        <v/>
      </c>
      <c r="B3514">
        <f>IF(A3514="","",'Employees'!C19)</f>
        <v/>
      </c>
      <c r="C3514">
        <f>IF(A3514="","",'Ratings'!C225)</f>
        <v/>
      </c>
      <c r="D3514">
        <f>IF(A3514="","",'Ratings'!D225)</f>
        <v/>
      </c>
      <c r="E3514">
        <f>IF(AND('Ratings'!A225&lt;&gt;"",'Ratings'!M5&lt;&gt;""),'Ratings'!M5,"")</f>
        <v/>
      </c>
      <c r="F3514">
        <f>IF(OR(A3514="",'Ratings'!M225=""),"",'Ratings'!M225)</f>
        <v/>
      </c>
      <c r="G3514">
        <f>IF(A3514="","",'Employees'!D19)</f>
        <v/>
      </c>
    </row>
    <row r="3515">
      <c r="A3515">
        <f>IF(AND('Ratings'!A225&lt;&gt;"",'Ratings'!N5&lt;&gt;""),'Ratings'!A225,"")</f>
        <v/>
      </c>
      <c r="B3515">
        <f>IF(A3515="","",'Employees'!C19)</f>
        <v/>
      </c>
      <c r="C3515">
        <f>IF(A3515="","",'Ratings'!C225)</f>
        <v/>
      </c>
      <c r="D3515">
        <f>IF(A3515="","",'Ratings'!D225)</f>
        <v/>
      </c>
      <c r="E3515">
        <f>IF(AND('Ratings'!A225&lt;&gt;"",'Ratings'!N5&lt;&gt;""),'Ratings'!N5,"")</f>
        <v/>
      </c>
      <c r="F3515">
        <f>IF(OR(A3515="",'Ratings'!N225=""),"",'Ratings'!N225)</f>
        <v/>
      </c>
      <c r="G3515">
        <f>IF(A3515="","",'Employees'!D19)</f>
        <v/>
      </c>
    </row>
    <row r="3516">
      <c r="A3516">
        <f>IF(AND('Ratings'!A225&lt;&gt;"",'Ratings'!O5&lt;&gt;""),'Ratings'!A225,"")</f>
        <v/>
      </c>
      <c r="B3516">
        <f>IF(A3516="","",'Employees'!C19)</f>
        <v/>
      </c>
      <c r="C3516">
        <f>IF(A3516="","",'Ratings'!C225)</f>
        <v/>
      </c>
      <c r="D3516">
        <f>IF(A3516="","",'Ratings'!D225)</f>
        <v/>
      </c>
      <c r="E3516">
        <f>IF(AND('Ratings'!A225&lt;&gt;"",'Ratings'!O5&lt;&gt;""),'Ratings'!O5,"")</f>
        <v/>
      </c>
      <c r="F3516">
        <f>IF(OR(A3516="",'Ratings'!O225=""),"",'Ratings'!O225)</f>
        <v/>
      </c>
      <c r="G3516">
        <f>IF(A3516="","",'Employees'!D19)</f>
        <v/>
      </c>
    </row>
    <row r="3517">
      <c r="A3517">
        <f>IF(AND('Ratings'!A225&lt;&gt;"",'Ratings'!P5&lt;&gt;""),'Ratings'!A225,"")</f>
        <v/>
      </c>
      <c r="B3517">
        <f>IF(A3517="","",'Employees'!C19)</f>
        <v/>
      </c>
      <c r="C3517">
        <f>IF(A3517="","",'Ratings'!C225)</f>
        <v/>
      </c>
      <c r="D3517">
        <f>IF(A3517="","",'Ratings'!D225)</f>
        <v/>
      </c>
      <c r="E3517">
        <f>IF(AND('Ratings'!A225&lt;&gt;"",'Ratings'!P5&lt;&gt;""),'Ratings'!P5,"")</f>
        <v/>
      </c>
      <c r="F3517">
        <f>IF(OR(A3517="",'Ratings'!P225=""),"",'Ratings'!P225)</f>
        <v/>
      </c>
      <c r="G3517">
        <f>IF(A3517="","",'Employees'!D19)</f>
        <v/>
      </c>
    </row>
    <row r="3518">
      <c r="A3518">
        <f>IF(AND('Ratings'!A225&lt;&gt;"",'Ratings'!Q5&lt;&gt;""),'Ratings'!A225,"")</f>
        <v/>
      </c>
      <c r="B3518">
        <f>IF(A3518="","",'Employees'!C19)</f>
        <v/>
      </c>
      <c r="C3518">
        <f>IF(A3518="","",'Ratings'!C225)</f>
        <v/>
      </c>
      <c r="D3518">
        <f>IF(A3518="","",'Ratings'!D225)</f>
        <v/>
      </c>
      <c r="E3518">
        <f>IF(AND('Ratings'!A225&lt;&gt;"",'Ratings'!Q5&lt;&gt;""),'Ratings'!Q5,"")</f>
        <v/>
      </c>
      <c r="F3518">
        <f>IF(OR(A3518="",'Ratings'!Q225=""),"",'Ratings'!Q225)</f>
        <v/>
      </c>
      <c r="G3518">
        <f>IF(A3518="","",'Employees'!D19)</f>
        <v/>
      </c>
    </row>
    <row r="3519">
      <c r="A3519">
        <f>IF(AND('Ratings'!A225&lt;&gt;"",'Ratings'!R5&lt;&gt;""),'Ratings'!A225,"")</f>
        <v/>
      </c>
      <c r="B3519">
        <f>IF(A3519="","",'Employees'!C19)</f>
        <v/>
      </c>
      <c r="C3519">
        <f>IF(A3519="","",'Ratings'!C225)</f>
        <v/>
      </c>
      <c r="D3519">
        <f>IF(A3519="","",'Ratings'!D225)</f>
        <v/>
      </c>
      <c r="E3519">
        <f>IF(AND('Ratings'!A225&lt;&gt;"",'Ratings'!R5&lt;&gt;""),'Ratings'!R5,"")</f>
        <v/>
      </c>
      <c r="F3519">
        <f>IF(OR(A3519="",'Ratings'!R225=""),"",'Ratings'!R225)</f>
        <v/>
      </c>
      <c r="G3519">
        <f>IF(A3519="","",'Employees'!D19)</f>
        <v/>
      </c>
    </row>
    <row r="3520">
      <c r="A3520">
        <f>IF(AND('Ratings'!A225&lt;&gt;"",'Ratings'!S5&lt;&gt;""),'Ratings'!A225,"")</f>
        <v/>
      </c>
      <c r="B3520">
        <f>IF(A3520="","",'Employees'!C19)</f>
        <v/>
      </c>
      <c r="C3520">
        <f>IF(A3520="","",'Ratings'!C225)</f>
        <v/>
      </c>
      <c r="D3520">
        <f>IF(A3520="","",'Ratings'!D225)</f>
        <v/>
      </c>
      <c r="E3520">
        <f>IF(AND('Ratings'!A225&lt;&gt;"",'Ratings'!S5&lt;&gt;""),'Ratings'!S5,"")</f>
        <v/>
      </c>
      <c r="F3520">
        <f>IF(OR(A3520="",'Ratings'!S225=""),"",'Ratings'!S225)</f>
        <v/>
      </c>
      <c r="G3520">
        <f>IF(A3520="","",'Employees'!D19)</f>
        <v/>
      </c>
    </row>
    <row r="3521">
      <c r="A3521">
        <f>IF(AND('Ratings'!A225&lt;&gt;"",'Ratings'!T5&lt;&gt;""),'Ratings'!A225,"")</f>
        <v/>
      </c>
      <c r="B3521">
        <f>IF(A3521="","",'Employees'!C19)</f>
        <v/>
      </c>
      <c r="C3521">
        <f>IF(A3521="","",'Ratings'!C225)</f>
        <v/>
      </c>
      <c r="D3521">
        <f>IF(A3521="","",'Ratings'!D225)</f>
        <v/>
      </c>
      <c r="E3521">
        <f>IF(AND('Ratings'!A225&lt;&gt;"",'Ratings'!T5&lt;&gt;""),'Ratings'!T5,"")</f>
        <v/>
      </c>
      <c r="F3521">
        <f>IF(OR(A3521="",'Ratings'!T225=""),"",'Ratings'!T225)</f>
        <v/>
      </c>
      <c r="G3521">
        <f>IF(A3521="","",'Employees'!D19)</f>
        <v/>
      </c>
    </row>
    <row r="3522">
      <c r="A3522">
        <f>IF(AND('Ratings'!A226&lt;&gt;"",'Ratings'!E5&lt;&gt;""),'Ratings'!A226,"")</f>
        <v/>
      </c>
      <c r="B3522">
        <f>IF(A3522="","",'Employees'!C19)</f>
        <v/>
      </c>
      <c r="C3522">
        <f>IF(A3522="","",'Ratings'!C226)</f>
        <v/>
      </c>
      <c r="D3522">
        <f>IF(A3522="","",'Ratings'!D226)</f>
        <v/>
      </c>
      <c r="E3522">
        <f>IF(AND('Ratings'!A226&lt;&gt;"",'Ratings'!E5&lt;&gt;""),'Ratings'!E5,"")</f>
        <v/>
      </c>
      <c r="F3522">
        <f>IF(OR(A3522="",'Ratings'!E226=""),"",'Ratings'!E226)</f>
        <v/>
      </c>
      <c r="G3522">
        <f>IF(A3522="","",'Employees'!D19)</f>
        <v/>
      </c>
    </row>
    <row r="3523">
      <c r="A3523">
        <f>IF(AND('Ratings'!A226&lt;&gt;"",'Ratings'!F5&lt;&gt;""),'Ratings'!A226,"")</f>
        <v/>
      </c>
      <c r="B3523">
        <f>IF(A3523="","",'Employees'!C19)</f>
        <v/>
      </c>
      <c r="C3523">
        <f>IF(A3523="","",'Ratings'!C226)</f>
        <v/>
      </c>
      <c r="D3523">
        <f>IF(A3523="","",'Ratings'!D226)</f>
        <v/>
      </c>
      <c r="E3523">
        <f>IF(AND('Ratings'!A226&lt;&gt;"",'Ratings'!F5&lt;&gt;""),'Ratings'!F5,"")</f>
        <v/>
      </c>
      <c r="F3523">
        <f>IF(OR(A3523="",'Ratings'!F226=""),"",'Ratings'!F226)</f>
        <v/>
      </c>
      <c r="G3523">
        <f>IF(A3523="","",'Employees'!D19)</f>
        <v/>
      </c>
    </row>
    <row r="3524">
      <c r="A3524">
        <f>IF(AND('Ratings'!A226&lt;&gt;"",'Ratings'!G5&lt;&gt;""),'Ratings'!A226,"")</f>
        <v/>
      </c>
      <c r="B3524">
        <f>IF(A3524="","",'Employees'!C19)</f>
        <v/>
      </c>
      <c r="C3524">
        <f>IF(A3524="","",'Ratings'!C226)</f>
        <v/>
      </c>
      <c r="D3524">
        <f>IF(A3524="","",'Ratings'!D226)</f>
        <v/>
      </c>
      <c r="E3524">
        <f>IF(AND('Ratings'!A226&lt;&gt;"",'Ratings'!G5&lt;&gt;""),'Ratings'!G5,"")</f>
        <v/>
      </c>
      <c r="F3524">
        <f>IF(OR(A3524="",'Ratings'!G226=""),"",'Ratings'!G226)</f>
        <v/>
      </c>
      <c r="G3524">
        <f>IF(A3524="","",'Employees'!D19)</f>
        <v/>
      </c>
    </row>
    <row r="3525">
      <c r="A3525">
        <f>IF(AND('Ratings'!A226&lt;&gt;"",'Ratings'!H5&lt;&gt;""),'Ratings'!A226,"")</f>
        <v/>
      </c>
      <c r="B3525">
        <f>IF(A3525="","",'Employees'!C19)</f>
        <v/>
      </c>
      <c r="C3525">
        <f>IF(A3525="","",'Ratings'!C226)</f>
        <v/>
      </c>
      <c r="D3525">
        <f>IF(A3525="","",'Ratings'!D226)</f>
        <v/>
      </c>
      <c r="E3525">
        <f>IF(AND('Ratings'!A226&lt;&gt;"",'Ratings'!H5&lt;&gt;""),'Ratings'!H5,"")</f>
        <v/>
      </c>
      <c r="F3525">
        <f>IF(OR(A3525="",'Ratings'!H226=""),"",'Ratings'!H226)</f>
        <v/>
      </c>
      <c r="G3525">
        <f>IF(A3525="","",'Employees'!D19)</f>
        <v/>
      </c>
    </row>
    <row r="3526">
      <c r="A3526">
        <f>IF(AND('Ratings'!A226&lt;&gt;"",'Ratings'!I5&lt;&gt;""),'Ratings'!A226,"")</f>
        <v/>
      </c>
      <c r="B3526">
        <f>IF(A3526="","",'Employees'!C19)</f>
        <v/>
      </c>
      <c r="C3526">
        <f>IF(A3526="","",'Ratings'!C226)</f>
        <v/>
      </c>
      <c r="D3526">
        <f>IF(A3526="","",'Ratings'!D226)</f>
        <v/>
      </c>
      <c r="E3526">
        <f>IF(AND('Ratings'!A226&lt;&gt;"",'Ratings'!I5&lt;&gt;""),'Ratings'!I5,"")</f>
        <v/>
      </c>
      <c r="F3526">
        <f>IF(OR(A3526="",'Ratings'!I226=""),"",'Ratings'!I226)</f>
        <v/>
      </c>
      <c r="G3526">
        <f>IF(A3526="","",'Employees'!D19)</f>
        <v/>
      </c>
    </row>
    <row r="3527">
      <c r="A3527">
        <f>IF(AND('Ratings'!A226&lt;&gt;"",'Ratings'!J5&lt;&gt;""),'Ratings'!A226,"")</f>
        <v/>
      </c>
      <c r="B3527">
        <f>IF(A3527="","",'Employees'!C19)</f>
        <v/>
      </c>
      <c r="C3527">
        <f>IF(A3527="","",'Ratings'!C226)</f>
        <v/>
      </c>
      <c r="D3527">
        <f>IF(A3527="","",'Ratings'!D226)</f>
        <v/>
      </c>
      <c r="E3527">
        <f>IF(AND('Ratings'!A226&lt;&gt;"",'Ratings'!J5&lt;&gt;""),'Ratings'!J5,"")</f>
        <v/>
      </c>
      <c r="F3527">
        <f>IF(OR(A3527="",'Ratings'!J226=""),"",'Ratings'!J226)</f>
        <v/>
      </c>
      <c r="G3527">
        <f>IF(A3527="","",'Employees'!D19)</f>
        <v/>
      </c>
    </row>
    <row r="3528">
      <c r="A3528">
        <f>IF(AND('Ratings'!A226&lt;&gt;"",'Ratings'!K5&lt;&gt;""),'Ratings'!A226,"")</f>
        <v/>
      </c>
      <c r="B3528">
        <f>IF(A3528="","",'Employees'!C19)</f>
        <v/>
      </c>
      <c r="C3528">
        <f>IF(A3528="","",'Ratings'!C226)</f>
        <v/>
      </c>
      <c r="D3528">
        <f>IF(A3528="","",'Ratings'!D226)</f>
        <v/>
      </c>
      <c r="E3528">
        <f>IF(AND('Ratings'!A226&lt;&gt;"",'Ratings'!K5&lt;&gt;""),'Ratings'!K5,"")</f>
        <v/>
      </c>
      <c r="F3528">
        <f>IF(OR(A3528="",'Ratings'!K226=""),"",'Ratings'!K226)</f>
        <v/>
      </c>
      <c r="G3528">
        <f>IF(A3528="","",'Employees'!D19)</f>
        <v/>
      </c>
    </row>
    <row r="3529">
      <c r="A3529">
        <f>IF(AND('Ratings'!A226&lt;&gt;"",'Ratings'!L5&lt;&gt;""),'Ratings'!A226,"")</f>
        <v/>
      </c>
      <c r="B3529">
        <f>IF(A3529="","",'Employees'!C19)</f>
        <v/>
      </c>
      <c r="C3529">
        <f>IF(A3529="","",'Ratings'!C226)</f>
        <v/>
      </c>
      <c r="D3529">
        <f>IF(A3529="","",'Ratings'!D226)</f>
        <v/>
      </c>
      <c r="E3529">
        <f>IF(AND('Ratings'!A226&lt;&gt;"",'Ratings'!L5&lt;&gt;""),'Ratings'!L5,"")</f>
        <v/>
      </c>
      <c r="F3529">
        <f>IF(OR(A3529="",'Ratings'!L226=""),"",'Ratings'!L226)</f>
        <v/>
      </c>
      <c r="G3529">
        <f>IF(A3529="","",'Employees'!D19)</f>
        <v/>
      </c>
    </row>
    <row r="3530">
      <c r="A3530">
        <f>IF(AND('Ratings'!A226&lt;&gt;"",'Ratings'!M5&lt;&gt;""),'Ratings'!A226,"")</f>
        <v/>
      </c>
      <c r="B3530">
        <f>IF(A3530="","",'Employees'!C19)</f>
        <v/>
      </c>
      <c r="C3530">
        <f>IF(A3530="","",'Ratings'!C226)</f>
        <v/>
      </c>
      <c r="D3530">
        <f>IF(A3530="","",'Ratings'!D226)</f>
        <v/>
      </c>
      <c r="E3530">
        <f>IF(AND('Ratings'!A226&lt;&gt;"",'Ratings'!M5&lt;&gt;""),'Ratings'!M5,"")</f>
        <v/>
      </c>
      <c r="F3530">
        <f>IF(OR(A3530="",'Ratings'!M226=""),"",'Ratings'!M226)</f>
        <v/>
      </c>
      <c r="G3530">
        <f>IF(A3530="","",'Employees'!D19)</f>
        <v/>
      </c>
    </row>
    <row r="3531">
      <c r="A3531">
        <f>IF(AND('Ratings'!A226&lt;&gt;"",'Ratings'!N5&lt;&gt;""),'Ratings'!A226,"")</f>
        <v/>
      </c>
      <c r="B3531">
        <f>IF(A3531="","",'Employees'!C19)</f>
        <v/>
      </c>
      <c r="C3531">
        <f>IF(A3531="","",'Ratings'!C226)</f>
        <v/>
      </c>
      <c r="D3531">
        <f>IF(A3531="","",'Ratings'!D226)</f>
        <v/>
      </c>
      <c r="E3531">
        <f>IF(AND('Ratings'!A226&lt;&gt;"",'Ratings'!N5&lt;&gt;""),'Ratings'!N5,"")</f>
        <v/>
      </c>
      <c r="F3531">
        <f>IF(OR(A3531="",'Ratings'!N226=""),"",'Ratings'!N226)</f>
        <v/>
      </c>
      <c r="G3531">
        <f>IF(A3531="","",'Employees'!D19)</f>
        <v/>
      </c>
    </row>
    <row r="3532">
      <c r="A3532">
        <f>IF(AND('Ratings'!A226&lt;&gt;"",'Ratings'!O5&lt;&gt;""),'Ratings'!A226,"")</f>
        <v/>
      </c>
      <c r="B3532">
        <f>IF(A3532="","",'Employees'!C19)</f>
        <v/>
      </c>
      <c r="C3532">
        <f>IF(A3532="","",'Ratings'!C226)</f>
        <v/>
      </c>
      <c r="D3532">
        <f>IF(A3532="","",'Ratings'!D226)</f>
        <v/>
      </c>
      <c r="E3532">
        <f>IF(AND('Ratings'!A226&lt;&gt;"",'Ratings'!O5&lt;&gt;""),'Ratings'!O5,"")</f>
        <v/>
      </c>
      <c r="F3532">
        <f>IF(OR(A3532="",'Ratings'!O226=""),"",'Ratings'!O226)</f>
        <v/>
      </c>
      <c r="G3532">
        <f>IF(A3532="","",'Employees'!D19)</f>
        <v/>
      </c>
    </row>
    <row r="3533">
      <c r="A3533">
        <f>IF(AND('Ratings'!A226&lt;&gt;"",'Ratings'!P5&lt;&gt;""),'Ratings'!A226,"")</f>
        <v/>
      </c>
      <c r="B3533">
        <f>IF(A3533="","",'Employees'!C19)</f>
        <v/>
      </c>
      <c r="C3533">
        <f>IF(A3533="","",'Ratings'!C226)</f>
        <v/>
      </c>
      <c r="D3533">
        <f>IF(A3533="","",'Ratings'!D226)</f>
        <v/>
      </c>
      <c r="E3533">
        <f>IF(AND('Ratings'!A226&lt;&gt;"",'Ratings'!P5&lt;&gt;""),'Ratings'!P5,"")</f>
        <v/>
      </c>
      <c r="F3533">
        <f>IF(OR(A3533="",'Ratings'!P226=""),"",'Ratings'!P226)</f>
        <v/>
      </c>
      <c r="G3533">
        <f>IF(A3533="","",'Employees'!D19)</f>
        <v/>
      </c>
    </row>
    <row r="3534">
      <c r="A3534">
        <f>IF(AND('Ratings'!A226&lt;&gt;"",'Ratings'!Q5&lt;&gt;""),'Ratings'!A226,"")</f>
        <v/>
      </c>
      <c r="B3534">
        <f>IF(A3534="","",'Employees'!C19)</f>
        <v/>
      </c>
      <c r="C3534">
        <f>IF(A3534="","",'Ratings'!C226)</f>
        <v/>
      </c>
      <c r="D3534">
        <f>IF(A3534="","",'Ratings'!D226)</f>
        <v/>
      </c>
      <c r="E3534">
        <f>IF(AND('Ratings'!A226&lt;&gt;"",'Ratings'!Q5&lt;&gt;""),'Ratings'!Q5,"")</f>
        <v/>
      </c>
      <c r="F3534">
        <f>IF(OR(A3534="",'Ratings'!Q226=""),"",'Ratings'!Q226)</f>
        <v/>
      </c>
      <c r="G3534">
        <f>IF(A3534="","",'Employees'!D19)</f>
        <v/>
      </c>
    </row>
    <row r="3535">
      <c r="A3535">
        <f>IF(AND('Ratings'!A226&lt;&gt;"",'Ratings'!R5&lt;&gt;""),'Ratings'!A226,"")</f>
        <v/>
      </c>
      <c r="B3535">
        <f>IF(A3535="","",'Employees'!C19)</f>
        <v/>
      </c>
      <c r="C3535">
        <f>IF(A3535="","",'Ratings'!C226)</f>
        <v/>
      </c>
      <c r="D3535">
        <f>IF(A3535="","",'Ratings'!D226)</f>
        <v/>
      </c>
      <c r="E3535">
        <f>IF(AND('Ratings'!A226&lt;&gt;"",'Ratings'!R5&lt;&gt;""),'Ratings'!R5,"")</f>
        <v/>
      </c>
      <c r="F3535">
        <f>IF(OR(A3535="",'Ratings'!R226=""),"",'Ratings'!R226)</f>
        <v/>
      </c>
      <c r="G3535">
        <f>IF(A3535="","",'Employees'!D19)</f>
        <v/>
      </c>
    </row>
    <row r="3536">
      <c r="A3536">
        <f>IF(AND('Ratings'!A226&lt;&gt;"",'Ratings'!S5&lt;&gt;""),'Ratings'!A226,"")</f>
        <v/>
      </c>
      <c r="B3536">
        <f>IF(A3536="","",'Employees'!C19)</f>
        <v/>
      </c>
      <c r="C3536">
        <f>IF(A3536="","",'Ratings'!C226)</f>
        <v/>
      </c>
      <c r="D3536">
        <f>IF(A3536="","",'Ratings'!D226)</f>
        <v/>
      </c>
      <c r="E3536">
        <f>IF(AND('Ratings'!A226&lt;&gt;"",'Ratings'!S5&lt;&gt;""),'Ratings'!S5,"")</f>
        <v/>
      </c>
      <c r="F3536">
        <f>IF(OR(A3536="",'Ratings'!S226=""),"",'Ratings'!S226)</f>
        <v/>
      </c>
      <c r="G3536">
        <f>IF(A3536="","",'Employees'!D19)</f>
        <v/>
      </c>
    </row>
    <row r="3537">
      <c r="A3537">
        <f>IF(AND('Ratings'!A226&lt;&gt;"",'Ratings'!T5&lt;&gt;""),'Ratings'!A226,"")</f>
        <v/>
      </c>
      <c r="B3537">
        <f>IF(A3537="","",'Employees'!C19)</f>
        <v/>
      </c>
      <c r="C3537">
        <f>IF(A3537="","",'Ratings'!C226)</f>
        <v/>
      </c>
      <c r="D3537">
        <f>IF(A3537="","",'Ratings'!D226)</f>
        <v/>
      </c>
      <c r="E3537">
        <f>IF(AND('Ratings'!A226&lt;&gt;"",'Ratings'!T5&lt;&gt;""),'Ratings'!T5,"")</f>
        <v/>
      </c>
      <c r="F3537">
        <f>IF(OR(A3537="",'Ratings'!T226=""),"",'Ratings'!T226)</f>
        <v/>
      </c>
      <c r="G3537">
        <f>IF(A3537="","",'Employees'!D19)</f>
        <v/>
      </c>
    </row>
    <row r="3538">
      <c r="A3538">
        <f>IF(AND('Ratings'!A227&lt;&gt;"",'Ratings'!E5&lt;&gt;""),'Ratings'!A227,"")</f>
        <v/>
      </c>
      <c r="B3538">
        <f>IF(A3538="","",'Employees'!C19)</f>
        <v/>
      </c>
      <c r="C3538">
        <f>IF(A3538="","",'Ratings'!C227)</f>
        <v/>
      </c>
      <c r="D3538">
        <f>IF(A3538="","",'Ratings'!D227)</f>
        <v/>
      </c>
      <c r="E3538">
        <f>IF(AND('Ratings'!A227&lt;&gt;"",'Ratings'!E5&lt;&gt;""),'Ratings'!E5,"")</f>
        <v/>
      </c>
      <c r="F3538">
        <f>IF(OR(A3538="",'Ratings'!E227=""),"",'Ratings'!E227)</f>
        <v/>
      </c>
      <c r="G3538">
        <f>IF(A3538="","",'Employees'!D19)</f>
        <v/>
      </c>
    </row>
    <row r="3539">
      <c r="A3539">
        <f>IF(AND('Ratings'!A227&lt;&gt;"",'Ratings'!F5&lt;&gt;""),'Ratings'!A227,"")</f>
        <v/>
      </c>
      <c r="B3539">
        <f>IF(A3539="","",'Employees'!C19)</f>
        <v/>
      </c>
      <c r="C3539">
        <f>IF(A3539="","",'Ratings'!C227)</f>
        <v/>
      </c>
      <c r="D3539">
        <f>IF(A3539="","",'Ratings'!D227)</f>
        <v/>
      </c>
      <c r="E3539">
        <f>IF(AND('Ratings'!A227&lt;&gt;"",'Ratings'!F5&lt;&gt;""),'Ratings'!F5,"")</f>
        <v/>
      </c>
      <c r="F3539">
        <f>IF(OR(A3539="",'Ratings'!F227=""),"",'Ratings'!F227)</f>
        <v/>
      </c>
      <c r="G3539">
        <f>IF(A3539="","",'Employees'!D19)</f>
        <v/>
      </c>
    </row>
    <row r="3540">
      <c r="A3540">
        <f>IF(AND('Ratings'!A227&lt;&gt;"",'Ratings'!G5&lt;&gt;""),'Ratings'!A227,"")</f>
        <v/>
      </c>
      <c r="B3540">
        <f>IF(A3540="","",'Employees'!C19)</f>
        <v/>
      </c>
      <c r="C3540">
        <f>IF(A3540="","",'Ratings'!C227)</f>
        <v/>
      </c>
      <c r="D3540">
        <f>IF(A3540="","",'Ratings'!D227)</f>
        <v/>
      </c>
      <c r="E3540">
        <f>IF(AND('Ratings'!A227&lt;&gt;"",'Ratings'!G5&lt;&gt;""),'Ratings'!G5,"")</f>
        <v/>
      </c>
      <c r="F3540">
        <f>IF(OR(A3540="",'Ratings'!G227=""),"",'Ratings'!G227)</f>
        <v/>
      </c>
      <c r="G3540">
        <f>IF(A3540="","",'Employees'!D19)</f>
        <v/>
      </c>
    </row>
    <row r="3541">
      <c r="A3541">
        <f>IF(AND('Ratings'!A227&lt;&gt;"",'Ratings'!H5&lt;&gt;""),'Ratings'!A227,"")</f>
        <v/>
      </c>
      <c r="B3541">
        <f>IF(A3541="","",'Employees'!C19)</f>
        <v/>
      </c>
      <c r="C3541">
        <f>IF(A3541="","",'Ratings'!C227)</f>
        <v/>
      </c>
      <c r="D3541">
        <f>IF(A3541="","",'Ratings'!D227)</f>
        <v/>
      </c>
      <c r="E3541">
        <f>IF(AND('Ratings'!A227&lt;&gt;"",'Ratings'!H5&lt;&gt;""),'Ratings'!H5,"")</f>
        <v/>
      </c>
      <c r="F3541">
        <f>IF(OR(A3541="",'Ratings'!H227=""),"",'Ratings'!H227)</f>
        <v/>
      </c>
      <c r="G3541">
        <f>IF(A3541="","",'Employees'!D19)</f>
        <v/>
      </c>
    </row>
    <row r="3542">
      <c r="A3542">
        <f>IF(AND('Ratings'!A227&lt;&gt;"",'Ratings'!I5&lt;&gt;""),'Ratings'!A227,"")</f>
        <v/>
      </c>
      <c r="B3542">
        <f>IF(A3542="","",'Employees'!C19)</f>
        <v/>
      </c>
      <c r="C3542">
        <f>IF(A3542="","",'Ratings'!C227)</f>
        <v/>
      </c>
      <c r="D3542">
        <f>IF(A3542="","",'Ratings'!D227)</f>
        <v/>
      </c>
      <c r="E3542">
        <f>IF(AND('Ratings'!A227&lt;&gt;"",'Ratings'!I5&lt;&gt;""),'Ratings'!I5,"")</f>
        <v/>
      </c>
      <c r="F3542">
        <f>IF(OR(A3542="",'Ratings'!I227=""),"",'Ratings'!I227)</f>
        <v/>
      </c>
      <c r="G3542">
        <f>IF(A3542="","",'Employees'!D19)</f>
        <v/>
      </c>
    </row>
    <row r="3543">
      <c r="A3543">
        <f>IF(AND('Ratings'!A227&lt;&gt;"",'Ratings'!J5&lt;&gt;""),'Ratings'!A227,"")</f>
        <v/>
      </c>
      <c r="B3543">
        <f>IF(A3543="","",'Employees'!C19)</f>
        <v/>
      </c>
      <c r="C3543">
        <f>IF(A3543="","",'Ratings'!C227)</f>
        <v/>
      </c>
      <c r="D3543">
        <f>IF(A3543="","",'Ratings'!D227)</f>
        <v/>
      </c>
      <c r="E3543">
        <f>IF(AND('Ratings'!A227&lt;&gt;"",'Ratings'!J5&lt;&gt;""),'Ratings'!J5,"")</f>
        <v/>
      </c>
      <c r="F3543">
        <f>IF(OR(A3543="",'Ratings'!J227=""),"",'Ratings'!J227)</f>
        <v/>
      </c>
      <c r="G3543">
        <f>IF(A3543="","",'Employees'!D19)</f>
        <v/>
      </c>
    </row>
    <row r="3544">
      <c r="A3544">
        <f>IF(AND('Ratings'!A227&lt;&gt;"",'Ratings'!K5&lt;&gt;""),'Ratings'!A227,"")</f>
        <v/>
      </c>
      <c r="B3544">
        <f>IF(A3544="","",'Employees'!C19)</f>
        <v/>
      </c>
      <c r="C3544">
        <f>IF(A3544="","",'Ratings'!C227)</f>
        <v/>
      </c>
      <c r="D3544">
        <f>IF(A3544="","",'Ratings'!D227)</f>
        <v/>
      </c>
      <c r="E3544">
        <f>IF(AND('Ratings'!A227&lt;&gt;"",'Ratings'!K5&lt;&gt;""),'Ratings'!K5,"")</f>
        <v/>
      </c>
      <c r="F3544">
        <f>IF(OR(A3544="",'Ratings'!K227=""),"",'Ratings'!K227)</f>
        <v/>
      </c>
      <c r="G3544">
        <f>IF(A3544="","",'Employees'!D19)</f>
        <v/>
      </c>
    </row>
    <row r="3545">
      <c r="A3545">
        <f>IF(AND('Ratings'!A227&lt;&gt;"",'Ratings'!L5&lt;&gt;""),'Ratings'!A227,"")</f>
        <v/>
      </c>
      <c r="B3545">
        <f>IF(A3545="","",'Employees'!C19)</f>
        <v/>
      </c>
      <c r="C3545">
        <f>IF(A3545="","",'Ratings'!C227)</f>
        <v/>
      </c>
      <c r="D3545">
        <f>IF(A3545="","",'Ratings'!D227)</f>
        <v/>
      </c>
      <c r="E3545">
        <f>IF(AND('Ratings'!A227&lt;&gt;"",'Ratings'!L5&lt;&gt;""),'Ratings'!L5,"")</f>
        <v/>
      </c>
      <c r="F3545">
        <f>IF(OR(A3545="",'Ratings'!L227=""),"",'Ratings'!L227)</f>
        <v/>
      </c>
      <c r="G3545">
        <f>IF(A3545="","",'Employees'!D19)</f>
        <v/>
      </c>
    </row>
    <row r="3546">
      <c r="A3546">
        <f>IF(AND('Ratings'!A227&lt;&gt;"",'Ratings'!M5&lt;&gt;""),'Ratings'!A227,"")</f>
        <v/>
      </c>
      <c r="B3546">
        <f>IF(A3546="","",'Employees'!C19)</f>
        <v/>
      </c>
      <c r="C3546">
        <f>IF(A3546="","",'Ratings'!C227)</f>
        <v/>
      </c>
      <c r="D3546">
        <f>IF(A3546="","",'Ratings'!D227)</f>
        <v/>
      </c>
      <c r="E3546">
        <f>IF(AND('Ratings'!A227&lt;&gt;"",'Ratings'!M5&lt;&gt;""),'Ratings'!M5,"")</f>
        <v/>
      </c>
      <c r="F3546">
        <f>IF(OR(A3546="",'Ratings'!M227=""),"",'Ratings'!M227)</f>
        <v/>
      </c>
      <c r="G3546">
        <f>IF(A3546="","",'Employees'!D19)</f>
        <v/>
      </c>
    </row>
    <row r="3547">
      <c r="A3547">
        <f>IF(AND('Ratings'!A227&lt;&gt;"",'Ratings'!N5&lt;&gt;""),'Ratings'!A227,"")</f>
        <v/>
      </c>
      <c r="B3547">
        <f>IF(A3547="","",'Employees'!C19)</f>
        <v/>
      </c>
      <c r="C3547">
        <f>IF(A3547="","",'Ratings'!C227)</f>
        <v/>
      </c>
      <c r="D3547">
        <f>IF(A3547="","",'Ratings'!D227)</f>
        <v/>
      </c>
      <c r="E3547">
        <f>IF(AND('Ratings'!A227&lt;&gt;"",'Ratings'!N5&lt;&gt;""),'Ratings'!N5,"")</f>
        <v/>
      </c>
      <c r="F3547">
        <f>IF(OR(A3547="",'Ratings'!N227=""),"",'Ratings'!N227)</f>
        <v/>
      </c>
      <c r="G3547">
        <f>IF(A3547="","",'Employees'!D19)</f>
        <v/>
      </c>
    </row>
    <row r="3548">
      <c r="A3548">
        <f>IF(AND('Ratings'!A227&lt;&gt;"",'Ratings'!O5&lt;&gt;""),'Ratings'!A227,"")</f>
        <v/>
      </c>
      <c r="B3548">
        <f>IF(A3548="","",'Employees'!C19)</f>
        <v/>
      </c>
      <c r="C3548">
        <f>IF(A3548="","",'Ratings'!C227)</f>
        <v/>
      </c>
      <c r="D3548">
        <f>IF(A3548="","",'Ratings'!D227)</f>
        <v/>
      </c>
      <c r="E3548">
        <f>IF(AND('Ratings'!A227&lt;&gt;"",'Ratings'!O5&lt;&gt;""),'Ratings'!O5,"")</f>
        <v/>
      </c>
      <c r="F3548">
        <f>IF(OR(A3548="",'Ratings'!O227=""),"",'Ratings'!O227)</f>
        <v/>
      </c>
      <c r="G3548">
        <f>IF(A3548="","",'Employees'!D19)</f>
        <v/>
      </c>
    </row>
    <row r="3549">
      <c r="A3549">
        <f>IF(AND('Ratings'!A227&lt;&gt;"",'Ratings'!P5&lt;&gt;""),'Ratings'!A227,"")</f>
        <v/>
      </c>
      <c r="B3549">
        <f>IF(A3549="","",'Employees'!C19)</f>
        <v/>
      </c>
      <c r="C3549">
        <f>IF(A3549="","",'Ratings'!C227)</f>
        <v/>
      </c>
      <c r="D3549">
        <f>IF(A3549="","",'Ratings'!D227)</f>
        <v/>
      </c>
      <c r="E3549">
        <f>IF(AND('Ratings'!A227&lt;&gt;"",'Ratings'!P5&lt;&gt;""),'Ratings'!P5,"")</f>
        <v/>
      </c>
      <c r="F3549">
        <f>IF(OR(A3549="",'Ratings'!P227=""),"",'Ratings'!P227)</f>
        <v/>
      </c>
      <c r="G3549">
        <f>IF(A3549="","",'Employees'!D19)</f>
        <v/>
      </c>
    </row>
    <row r="3550">
      <c r="A3550">
        <f>IF(AND('Ratings'!A227&lt;&gt;"",'Ratings'!Q5&lt;&gt;""),'Ratings'!A227,"")</f>
        <v/>
      </c>
      <c r="B3550">
        <f>IF(A3550="","",'Employees'!C19)</f>
        <v/>
      </c>
      <c r="C3550">
        <f>IF(A3550="","",'Ratings'!C227)</f>
        <v/>
      </c>
      <c r="D3550">
        <f>IF(A3550="","",'Ratings'!D227)</f>
        <v/>
      </c>
      <c r="E3550">
        <f>IF(AND('Ratings'!A227&lt;&gt;"",'Ratings'!Q5&lt;&gt;""),'Ratings'!Q5,"")</f>
        <v/>
      </c>
      <c r="F3550">
        <f>IF(OR(A3550="",'Ratings'!Q227=""),"",'Ratings'!Q227)</f>
        <v/>
      </c>
      <c r="G3550">
        <f>IF(A3550="","",'Employees'!D19)</f>
        <v/>
      </c>
    </row>
    <row r="3551">
      <c r="A3551">
        <f>IF(AND('Ratings'!A227&lt;&gt;"",'Ratings'!R5&lt;&gt;""),'Ratings'!A227,"")</f>
        <v/>
      </c>
      <c r="B3551">
        <f>IF(A3551="","",'Employees'!C19)</f>
        <v/>
      </c>
      <c r="C3551">
        <f>IF(A3551="","",'Ratings'!C227)</f>
        <v/>
      </c>
      <c r="D3551">
        <f>IF(A3551="","",'Ratings'!D227)</f>
        <v/>
      </c>
      <c r="E3551">
        <f>IF(AND('Ratings'!A227&lt;&gt;"",'Ratings'!R5&lt;&gt;""),'Ratings'!R5,"")</f>
        <v/>
      </c>
      <c r="F3551">
        <f>IF(OR(A3551="",'Ratings'!R227=""),"",'Ratings'!R227)</f>
        <v/>
      </c>
      <c r="G3551">
        <f>IF(A3551="","",'Employees'!D19)</f>
        <v/>
      </c>
    </row>
    <row r="3552">
      <c r="A3552">
        <f>IF(AND('Ratings'!A227&lt;&gt;"",'Ratings'!S5&lt;&gt;""),'Ratings'!A227,"")</f>
        <v/>
      </c>
      <c r="B3552">
        <f>IF(A3552="","",'Employees'!C19)</f>
        <v/>
      </c>
      <c r="C3552">
        <f>IF(A3552="","",'Ratings'!C227)</f>
        <v/>
      </c>
      <c r="D3552">
        <f>IF(A3552="","",'Ratings'!D227)</f>
        <v/>
      </c>
      <c r="E3552">
        <f>IF(AND('Ratings'!A227&lt;&gt;"",'Ratings'!S5&lt;&gt;""),'Ratings'!S5,"")</f>
        <v/>
      </c>
      <c r="F3552">
        <f>IF(OR(A3552="",'Ratings'!S227=""),"",'Ratings'!S227)</f>
        <v/>
      </c>
      <c r="G3552">
        <f>IF(A3552="","",'Employees'!D19)</f>
        <v/>
      </c>
    </row>
    <row r="3553">
      <c r="A3553">
        <f>IF(AND('Ratings'!A227&lt;&gt;"",'Ratings'!T5&lt;&gt;""),'Ratings'!A227,"")</f>
        <v/>
      </c>
      <c r="B3553">
        <f>IF(A3553="","",'Employees'!C19)</f>
        <v/>
      </c>
      <c r="C3553">
        <f>IF(A3553="","",'Ratings'!C227)</f>
        <v/>
      </c>
      <c r="D3553">
        <f>IF(A3553="","",'Ratings'!D227)</f>
        <v/>
      </c>
      <c r="E3553">
        <f>IF(AND('Ratings'!A227&lt;&gt;"",'Ratings'!T5&lt;&gt;""),'Ratings'!T5,"")</f>
        <v/>
      </c>
      <c r="F3553">
        <f>IF(OR(A3553="",'Ratings'!T227=""),"",'Ratings'!T227)</f>
        <v/>
      </c>
      <c r="G3553">
        <f>IF(A3553="","",'Employees'!D19)</f>
        <v/>
      </c>
    </row>
    <row r="3554">
      <c r="A3554">
        <f>IF(AND('Ratings'!A228&lt;&gt;"",'Ratings'!E5&lt;&gt;""),'Ratings'!A228,"")</f>
        <v/>
      </c>
      <c r="B3554">
        <f>IF(A3554="","",'Employees'!C19)</f>
        <v/>
      </c>
      <c r="C3554">
        <f>IF(A3554="","",'Ratings'!C228)</f>
        <v/>
      </c>
      <c r="D3554">
        <f>IF(A3554="","",'Ratings'!D228)</f>
        <v/>
      </c>
      <c r="E3554">
        <f>IF(AND('Ratings'!A228&lt;&gt;"",'Ratings'!E5&lt;&gt;""),'Ratings'!E5,"")</f>
        <v/>
      </c>
      <c r="F3554">
        <f>IF(OR(A3554="",'Ratings'!E228=""),"",'Ratings'!E228)</f>
        <v/>
      </c>
      <c r="G3554">
        <f>IF(A3554="","",'Employees'!D19)</f>
        <v/>
      </c>
    </row>
    <row r="3555">
      <c r="A3555">
        <f>IF(AND('Ratings'!A228&lt;&gt;"",'Ratings'!F5&lt;&gt;""),'Ratings'!A228,"")</f>
        <v/>
      </c>
      <c r="B3555">
        <f>IF(A3555="","",'Employees'!C19)</f>
        <v/>
      </c>
      <c r="C3555">
        <f>IF(A3555="","",'Ratings'!C228)</f>
        <v/>
      </c>
      <c r="D3555">
        <f>IF(A3555="","",'Ratings'!D228)</f>
        <v/>
      </c>
      <c r="E3555">
        <f>IF(AND('Ratings'!A228&lt;&gt;"",'Ratings'!F5&lt;&gt;""),'Ratings'!F5,"")</f>
        <v/>
      </c>
      <c r="F3555">
        <f>IF(OR(A3555="",'Ratings'!F228=""),"",'Ratings'!F228)</f>
        <v/>
      </c>
      <c r="G3555">
        <f>IF(A3555="","",'Employees'!D19)</f>
        <v/>
      </c>
    </row>
    <row r="3556">
      <c r="A3556">
        <f>IF(AND('Ratings'!A228&lt;&gt;"",'Ratings'!G5&lt;&gt;""),'Ratings'!A228,"")</f>
        <v/>
      </c>
      <c r="B3556">
        <f>IF(A3556="","",'Employees'!C19)</f>
        <v/>
      </c>
      <c r="C3556">
        <f>IF(A3556="","",'Ratings'!C228)</f>
        <v/>
      </c>
      <c r="D3556">
        <f>IF(A3556="","",'Ratings'!D228)</f>
        <v/>
      </c>
      <c r="E3556">
        <f>IF(AND('Ratings'!A228&lt;&gt;"",'Ratings'!G5&lt;&gt;""),'Ratings'!G5,"")</f>
        <v/>
      </c>
      <c r="F3556">
        <f>IF(OR(A3556="",'Ratings'!G228=""),"",'Ratings'!G228)</f>
        <v/>
      </c>
      <c r="G3556">
        <f>IF(A3556="","",'Employees'!D19)</f>
        <v/>
      </c>
    </row>
    <row r="3557">
      <c r="A3557">
        <f>IF(AND('Ratings'!A228&lt;&gt;"",'Ratings'!H5&lt;&gt;""),'Ratings'!A228,"")</f>
        <v/>
      </c>
      <c r="B3557">
        <f>IF(A3557="","",'Employees'!C19)</f>
        <v/>
      </c>
      <c r="C3557">
        <f>IF(A3557="","",'Ratings'!C228)</f>
        <v/>
      </c>
      <c r="D3557">
        <f>IF(A3557="","",'Ratings'!D228)</f>
        <v/>
      </c>
      <c r="E3557">
        <f>IF(AND('Ratings'!A228&lt;&gt;"",'Ratings'!H5&lt;&gt;""),'Ratings'!H5,"")</f>
        <v/>
      </c>
      <c r="F3557">
        <f>IF(OR(A3557="",'Ratings'!H228=""),"",'Ratings'!H228)</f>
        <v/>
      </c>
      <c r="G3557">
        <f>IF(A3557="","",'Employees'!D19)</f>
        <v/>
      </c>
    </row>
    <row r="3558">
      <c r="A3558">
        <f>IF(AND('Ratings'!A228&lt;&gt;"",'Ratings'!I5&lt;&gt;""),'Ratings'!A228,"")</f>
        <v/>
      </c>
      <c r="B3558">
        <f>IF(A3558="","",'Employees'!C19)</f>
        <v/>
      </c>
      <c r="C3558">
        <f>IF(A3558="","",'Ratings'!C228)</f>
        <v/>
      </c>
      <c r="D3558">
        <f>IF(A3558="","",'Ratings'!D228)</f>
        <v/>
      </c>
      <c r="E3558">
        <f>IF(AND('Ratings'!A228&lt;&gt;"",'Ratings'!I5&lt;&gt;""),'Ratings'!I5,"")</f>
        <v/>
      </c>
      <c r="F3558">
        <f>IF(OR(A3558="",'Ratings'!I228=""),"",'Ratings'!I228)</f>
        <v/>
      </c>
      <c r="G3558">
        <f>IF(A3558="","",'Employees'!D19)</f>
        <v/>
      </c>
    </row>
    <row r="3559">
      <c r="A3559">
        <f>IF(AND('Ratings'!A228&lt;&gt;"",'Ratings'!J5&lt;&gt;""),'Ratings'!A228,"")</f>
        <v/>
      </c>
      <c r="B3559">
        <f>IF(A3559="","",'Employees'!C19)</f>
        <v/>
      </c>
      <c r="C3559">
        <f>IF(A3559="","",'Ratings'!C228)</f>
        <v/>
      </c>
      <c r="D3559">
        <f>IF(A3559="","",'Ratings'!D228)</f>
        <v/>
      </c>
      <c r="E3559">
        <f>IF(AND('Ratings'!A228&lt;&gt;"",'Ratings'!J5&lt;&gt;""),'Ratings'!J5,"")</f>
        <v/>
      </c>
      <c r="F3559">
        <f>IF(OR(A3559="",'Ratings'!J228=""),"",'Ratings'!J228)</f>
        <v/>
      </c>
      <c r="G3559">
        <f>IF(A3559="","",'Employees'!D19)</f>
        <v/>
      </c>
    </row>
    <row r="3560">
      <c r="A3560">
        <f>IF(AND('Ratings'!A228&lt;&gt;"",'Ratings'!K5&lt;&gt;""),'Ratings'!A228,"")</f>
        <v/>
      </c>
      <c r="B3560">
        <f>IF(A3560="","",'Employees'!C19)</f>
        <v/>
      </c>
      <c r="C3560">
        <f>IF(A3560="","",'Ratings'!C228)</f>
        <v/>
      </c>
      <c r="D3560">
        <f>IF(A3560="","",'Ratings'!D228)</f>
        <v/>
      </c>
      <c r="E3560">
        <f>IF(AND('Ratings'!A228&lt;&gt;"",'Ratings'!K5&lt;&gt;""),'Ratings'!K5,"")</f>
        <v/>
      </c>
      <c r="F3560">
        <f>IF(OR(A3560="",'Ratings'!K228=""),"",'Ratings'!K228)</f>
        <v/>
      </c>
      <c r="G3560">
        <f>IF(A3560="","",'Employees'!D19)</f>
        <v/>
      </c>
    </row>
    <row r="3561">
      <c r="A3561">
        <f>IF(AND('Ratings'!A228&lt;&gt;"",'Ratings'!L5&lt;&gt;""),'Ratings'!A228,"")</f>
        <v/>
      </c>
      <c r="B3561">
        <f>IF(A3561="","",'Employees'!C19)</f>
        <v/>
      </c>
      <c r="C3561">
        <f>IF(A3561="","",'Ratings'!C228)</f>
        <v/>
      </c>
      <c r="D3561">
        <f>IF(A3561="","",'Ratings'!D228)</f>
        <v/>
      </c>
      <c r="E3561">
        <f>IF(AND('Ratings'!A228&lt;&gt;"",'Ratings'!L5&lt;&gt;""),'Ratings'!L5,"")</f>
        <v/>
      </c>
      <c r="F3561">
        <f>IF(OR(A3561="",'Ratings'!L228=""),"",'Ratings'!L228)</f>
        <v/>
      </c>
      <c r="G3561">
        <f>IF(A3561="","",'Employees'!D19)</f>
        <v/>
      </c>
    </row>
    <row r="3562">
      <c r="A3562">
        <f>IF(AND('Ratings'!A228&lt;&gt;"",'Ratings'!M5&lt;&gt;""),'Ratings'!A228,"")</f>
        <v/>
      </c>
      <c r="B3562">
        <f>IF(A3562="","",'Employees'!C19)</f>
        <v/>
      </c>
      <c r="C3562">
        <f>IF(A3562="","",'Ratings'!C228)</f>
        <v/>
      </c>
      <c r="D3562">
        <f>IF(A3562="","",'Ratings'!D228)</f>
        <v/>
      </c>
      <c r="E3562">
        <f>IF(AND('Ratings'!A228&lt;&gt;"",'Ratings'!M5&lt;&gt;""),'Ratings'!M5,"")</f>
        <v/>
      </c>
      <c r="F3562">
        <f>IF(OR(A3562="",'Ratings'!M228=""),"",'Ratings'!M228)</f>
        <v/>
      </c>
      <c r="G3562">
        <f>IF(A3562="","",'Employees'!D19)</f>
        <v/>
      </c>
    </row>
    <row r="3563">
      <c r="A3563">
        <f>IF(AND('Ratings'!A228&lt;&gt;"",'Ratings'!N5&lt;&gt;""),'Ratings'!A228,"")</f>
        <v/>
      </c>
      <c r="B3563">
        <f>IF(A3563="","",'Employees'!C19)</f>
        <v/>
      </c>
      <c r="C3563">
        <f>IF(A3563="","",'Ratings'!C228)</f>
        <v/>
      </c>
      <c r="D3563">
        <f>IF(A3563="","",'Ratings'!D228)</f>
        <v/>
      </c>
      <c r="E3563">
        <f>IF(AND('Ratings'!A228&lt;&gt;"",'Ratings'!N5&lt;&gt;""),'Ratings'!N5,"")</f>
        <v/>
      </c>
      <c r="F3563">
        <f>IF(OR(A3563="",'Ratings'!N228=""),"",'Ratings'!N228)</f>
        <v/>
      </c>
      <c r="G3563">
        <f>IF(A3563="","",'Employees'!D19)</f>
        <v/>
      </c>
    </row>
    <row r="3564">
      <c r="A3564">
        <f>IF(AND('Ratings'!A228&lt;&gt;"",'Ratings'!O5&lt;&gt;""),'Ratings'!A228,"")</f>
        <v/>
      </c>
      <c r="B3564">
        <f>IF(A3564="","",'Employees'!C19)</f>
        <v/>
      </c>
      <c r="C3564">
        <f>IF(A3564="","",'Ratings'!C228)</f>
        <v/>
      </c>
      <c r="D3564">
        <f>IF(A3564="","",'Ratings'!D228)</f>
        <v/>
      </c>
      <c r="E3564">
        <f>IF(AND('Ratings'!A228&lt;&gt;"",'Ratings'!O5&lt;&gt;""),'Ratings'!O5,"")</f>
        <v/>
      </c>
      <c r="F3564">
        <f>IF(OR(A3564="",'Ratings'!O228=""),"",'Ratings'!O228)</f>
        <v/>
      </c>
      <c r="G3564">
        <f>IF(A3564="","",'Employees'!D19)</f>
        <v/>
      </c>
    </row>
    <row r="3565">
      <c r="A3565">
        <f>IF(AND('Ratings'!A228&lt;&gt;"",'Ratings'!P5&lt;&gt;""),'Ratings'!A228,"")</f>
        <v/>
      </c>
      <c r="B3565">
        <f>IF(A3565="","",'Employees'!C19)</f>
        <v/>
      </c>
      <c r="C3565">
        <f>IF(A3565="","",'Ratings'!C228)</f>
        <v/>
      </c>
      <c r="D3565">
        <f>IF(A3565="","",'Ratings'!D228)</f>
        <v/>
      </c>
      <c r="E3565">
        <f>IF(AND('Ratings'!A228&lt;&gt;"",'Ratings'!P5&lt;&gt;""),'Ratings'!P5,"")</f>
        <v/>
      </c>
      <c r="F3565">
        <f>IF(OR(A3565="",'Ratings'!P228=""),"",'Ratings'!P228)</f>
        <v/>
      </c>
      <c r="G3565">
        <f>IF(A3565="","",'Employees'!D19)</f>
        <v/>
      </c>
    </row>
    <row r="3566">
      <c r="A3566">
        <f>IF(AND('Ratings'!A228&lt;&gt;"",'Ratings'!Q5&lt;&gt;""),'Ratings'!A228,"")</f>
        <v/>
      </c>
      <c r="B3566">
        <f>IF(A3566="","",'Employees'!C19)</f>
        <v/>
      </c>
      <c r="C3566">
        <f>IF(A3566="","",'Ratings'!C228)</f>
        <v/>
      </c>
      <c r="D3566">
        <f>IF(A3566="","",'Ratings'!D228)</f>
        <v/>
      </c>
      <c r="E3566">
        <f>IF(AND('Ratings'!A228&lt;&gt;"",'Ratings'!Q5&lt;&gt;""),'Ratings'!Q5,"")</f>
        <v/>
      </c>
      <c r="F3566">
        <f>IF(OR(A3566="",'Ratings'!Q228=""),"",'Ratings'!Q228)</f>
        <v/>
      </c>
      <c r="G3566">
        <f>IF(A3566="","",'Employees'!D19)</f>
        <v/>
      </c>
    </row>
    <row r="3567">
      <c r="A3567">
        <f>IF(AND('Ratings'!A228&lt;&gt;"",'Ratings'!R5&lt;&gt;""),'Ratings'!A228,"")</f>
        <v/>
      </c>
      <c r="B3567">
        <f>IF(A3567="","",'Employees'!C19)</f>
        <v/>
      </c>
      <c r="C3567">
        <f>IF(A3567="","",'Ratings'!C228)</f>
        <v/>
      </c>
      <c r="D3567">
        <f>IF(A3567="","",'Ratings'!D228)</f>
        <v/>
      </c>
      <c r="E3567">
        <f>IF(AND('Ratings'!A228&lt;&gt;"",'Ratings'!R5&lt;&gt;""),'Ratings'!R5,"")</f>
        <v/>
      </c>
      <c r="F3567">
        <f>IF(OR(A3567="",'Ratings'!R228=""),"",'Ratings'!R228)</f>
        <v/>
      </c>
      <c r="G3567">
        <f>IF(A3567="","",'Employees'!D19)</f>
        <v/>
      </c>
    </row>
    <row r="3568">
      <c r="A3568">
        <f>IF(AND('Ratings'!A228&lt;&gt;"",'Ratings'!S5&lt;&gt;""),'Ratings'!A228,"")</f>
        <v/>
      </c>
      <c r="B3568">
        <f>IF(A3568="","",'Employees'!C19)</f>
        <v/>
      </c>
      <c r="C3568">
        <f>IF(A3568="","",'Ratings'!C228)</f>
        <v/>
      </c>
      <c r="D3568">
        <f>IF(A3568="","",'Ratings'!D228)</f>
        <v/>
      </c>
      <c r="E3568">
        <f>IF(AND('Ratings'!A228&lt;&gt;"",'Ratings'!S5&lt;&gt;""),'Ratings'!S5,"")</f>
        <v/>
      </c>
      <c r="F3568">
        <f>IF(OR(A3568="",'Ratings'!S228=""),"",'Ratings'!S228)</f>
        <v/>
      </c>
      <c r="G3568">
        <f>IF(A3568="","",'Employees'!D19)</f>
        <v/>
      </c>
    </row>
    <row r="3569">
      <c r="A3569">
        <f>IF(AND('Ratings'!A228&lt;&gt;"",'Ratings'!T5&lt;&gt;""),'Ratings'!A228,"")</f>
        <v/>
      </c>
      <c r="B3569">
        <f>IF(A3569="","",'Employees'!C19)</f>
        <v/>
      </c>
      <c r="C3569">
        <f>IF(A3569="","",'Ratings'!C228)</f>
        <v/>
      </c>
      <c r="D3569">
        <f>IF(A3569="","",'Ratings'!D228)</f>
        <v/>
      </c>
      <c r="E3569">
        <f>IF(AND('Ratings'!A228&lt;&gt;"",'Ratings'!T5&lt;&gt;""),'Ratings'!T5,"")</f>
        <v/>
      </c>
      <c r="F3569">
        <f>IF(OR(A3569="",'Ratings'!T228=""),"",'Ratings'!T228)</f>
        <v/>
      </c>
      <c r="G3569">
        <f>IF(A3569="","",'Employees'!D19)</f>
        <v/>
      </c>
    </row>
    <row r="3570">
      <c r="A3570">
        <f>IF(AND('Ratings'!A229&lt;&gt;"",'Ratings'!E5&lt;&gt;""),'Ratings'!A229,"")</f>
        <v/>
      </c>
      <c r="B3570">
        <f>IF(A3570="","",'Employees'!C19)</f>
        <v/>
      </c>
      <c r="C3570">
        <f>IF(A3570="","",'Ratings'!C229)</f>
        <v/>
      </c>
      <c r="D3570">
        <f>IF(A3570="","",'Ratings'!D229)</f>
        <v/>
      </c>
      <c r="E3570">
        <f>IF(AND('Ratings'!A229&lt;&gt;"",'Ratings'!E5&lt;&gt;""),'Ratings'!E5,"")</f>
        <v/>
      </c>
      <c r="F3570">
        <f>IF(OR(A3570="",'Ratings'!E229=""),"",'Ratings'!E229)</f>
        <v/>
      </c>
      <c r="G3570">
        <f>IF(A3570="","",'Employees'!D19)</f>
        <v/>
      </c>
    </row>
    <row r="3571">
      <c r="A3571">
        <f>IF(AND('Ratings'!A229&lt;&gt;"",'Ratings'!F5&lt;&gt;""),'Ratings'!A229,"")</f>
        <v/>
      </c>
      <c r="B3571">
        <f>IF(A3571="","",'Employees'!C19)</f>
        <v/>
      </c>
      <c r="C3571">
        <f>IF(A3571="","",'Ratings'!C229)</f>
        <v/>
      </c>
      <c r="D3571">
        <f>IF(A3571="","",'Ratings'!D229)</f>
        <v/>
      </c>
      <c r="E3571">
        <f>IF(AND('Ratings'!A229&lt;&gt;"",'Ratings'!F5&lt;&gt;""),'Ratings'!F5,"")</f>
        <v/>
      </c>
      <c r="F3571">
        <f>IF(OR(A3571="",'Ratings'!F229=""),"",'Ratings'!F229)</f>
        <v/>
      </c>
      <c r="G3571">
        <f>IF(A3571="","",'Employees'!D19)</f>
        <v/>
      </c>
    </row>
    <row r="3572">
      <c r="A3572">
        <f>IF(AND('Ratings'!A229&lt;&gt;"",'Ratings'!G5&lt;&gt;""),'Ratings'!A229,"")</f>
        <v/>
      </c>
      <c r="B3572">
        <f>IF(A3572="","",'Employees'!C19)</f>
        <v/>
      </c>
      <c r="C3572">
        <f>IF(A3572="","",'Ratings'!C229)</f>
        <v/>
      </c>
      <c r="D3572">
        <f>IF(A3572="","",'Ratings'!D229)</f>
        <v/>
      </c>
      <c r="E3572">
        <f>IF(AND('Ratings'!A229&lt;&gt;"",'Ratings'!G5&lt;&gt;""),'Ratings'!G5,"")</f>
        <v/>
      </c>
      <c r="F3572">
        <f>IF(OR(A3572="",'Ratings'!G229=""),"",'Ratings'!G229)</f>
        <v/>
      </c>
      <c r="G3572">
        <f>IF(A3572="","",'Employees'!D19)</f>
        <v/>
      </c>
    </row>
    <row r="3573">
      <c r="A3573">
        <f>IF(AND('Ratings'!A229&lt;&gt;"",'Ratings'!H5&lt;&gt;""),'Ratings'!A229,"")</f>
        <v/>
      </c>
      <c r="B3573">
        <f>IF(A3573="","",'Employees'!C19)</f>
        <v/>
      </c>
      <c r="C3573">
        <f>IF(A3573="","",'Ratings'!C229)</f>
        <v/>
      </c>
      <c r="D3573">
        <f>IF(A3573="","",'Ratings'!D229)</f>
        <v/>
      </c>
      <c r="E3573">
        <f>IF(AND('Ratings'!A229&lt;&gt;"",'Ratings'!H5&lt;&gt;""),'Ratings'!H5,"")</f>
        <v/>
      </c>
      <c r="F3573">
        <f>IF(OR(A3573="",'Ratings'!H229=""),"",'Ratings'!H229)</f>
        <v/>
      </c>
      <c r="G3573">
        <f>IF(A3573="","",'Employees'!D19)</f>
        <v/>
      </c>
    </row>
    <row r="3574">
      <c r="A3574">
        <f>IF(AND('Ratings'!A229&lt;&gt;"",'Ratings'!I5&lt;&gt;""),'Ratings'!A229,"")</f>
        <v/>
      </c>
      <c r="B3574">
        <f>IF(A3574="","",'Employees'!C19)</f>
        <v/>
      </c>
      <c r="C3574">
        <f>IF(A3574="","",'Ratings'!C229)</f>
        <v/>
      </c>
      <c r="D3574">
        <f>IF(A3574="","",'Ratings'!D229)</f>
        <v/>
      </c>
      <c r="E3574">
        <f>IF(AND('Ratings'!A229&lt;&gt;"",'Ratings'!I5&lt;&gt;""),'Ratings'!I5,"")</f>
        <v/>
      </c>
      <c r="F3574">
        <f>IF(OR(A3574="",'Ratings'!I229=""),"",'Ratings'!I229)</f>
        <v/>
      </c>
      <c r="G3574">
        <f>IF(A3574="","",'Employees'!D19)</f>
        <v/>
      </c>
    </row>
    <row r="3575">
      <c r="A3575">
        <f>IF(AND('Ratings'!A229&lt;&gt;"",'Ratings'!J5&lt;&gt;""),'Ratings'!A229,"")</f>
        <v/>
      </c>
      <c r="B3575">
        <f>IF(A3575="","",'Employees'!C19)</f>
        <v/>
      </c>
      <c r="C3575">
        <f>IF(A3575="","",'Ratings'!C229)</f>
        <v/>
      </c>
      <c r="D3575">
        <f>IF(A3575="","",'Ratings'!D229)</f>
        <v/>
      </c>
      <c r="E3575">
        <f>IF(AND('Ratings'!A229&lt;&gt;"",'Ratings'!J5&lt;&gt;""),'Ratings'!J5,"")</f>
        <v/>
      </c>
      <c r="F3575">
        <f>IF(OR(A3575="",'Ratings'!J229=""),"",'Ratings'!J229)</f>
        <v/>
      </c>
      <c r="G3575">
        <f>IF(A3575="","",'Employees'!D19)</f>
        <v/>
      </c>
    </row>
    <row r="3576">
      <c r="A3576">
        <f>IF(AND('Ratings'!A229&lt;&gt;"",'Ratings'!K5&lt;&gt;""),'Ratings'!A229,"")</f>
        <v/>
      </c>
      <c r="B3576">
        <f>IF(A3576="","",'Employees'!C19)</f>
        <v/>
      </c>
      <c r="C3576">
        <f>IF(A3576="","",'Ratings'!C229)</f>
        <v/>
      </c>
      <c r="D3576">
        <f>IF(A3576="","",'Ratings'!D229)</f>
        <v/>
      </c>
      <c r="E3576">
        <f>IF(AND('Ratings'!A229&lt;&gt;"",'Ratings'!K5&lt;&gt;""),'Ratings'!K5,"")</f>
        <v/>
      </c>
      <c r="F3576">
        <f>IF(OR(A3576="",'Ratings'!K229=""),"",'Ratings'!K229)</f>
        <v/>
      </c>
      <c r="G3576">
        <f>IF(A3576="","",'Employees'!D19)</f>
        <v/>
      </c>
    </row>
    <row r="3577">
      <c r="A3577">
        <f>IF(AND('Ratings'!A229&lt;&gt;"",'Ratings'!L5&lt;&gt;""),'Ratings'!A229,"")</f>
        <v/>
      </c>
      <c r="B3577">
        <f>IF(A3577="","",'Employees'!C19)</f>
        <v/>
      </c>
      <c r="C3577">
        <f>IF(A3577="","",'Ratings'!C229)</f>
        <v/>
      </c>
      <c r="D3577">
        <f>IF(A3577="","",'Ratings'!D229)</f>
        <v/>
      </c>
      <c r="E3577">
        <f>IF(AND('Ratings'!A229&lt;&gt;"",'Ratings'!L5&lt;&gt;""),'Ratings'!L5,"")</f>
        <v/>
      </c>
      <c r="F3577">
        <f>IF(OR(A3577="",'Ratings'!L229=""),"",'Ratings'!L229)</f>
        <v/>
      </c>
      <c r="G3577">
        <f>IF(A3577="","",'Employees'!D19)</f>
        <v/>
      </c>
    </row>
    <row r="3578">
      <c r="A3578">
        <f>IF(AND('Ratings'!A229&lt;&gt;"",'Ratings'!M5&lt;&gt;""),'Ratings'!A229,"")</f>
        <v/>
      </c>
      <c r="B3578">
        <f>IF(A3578="","",'Employees'!C19)</f>
        <v/>
      </c>
      <c r="C3578">
        <f>IF(A3578="","",'Ratings'!C229)</f>
        <v/>
      </c>
      <c r="D3578">
        <f>IF(A3578="","",'Ratings'!D229)</f>
        <v/>
      </c>
      <c r="E3578">
        <f>IF(AND('Ratings'!A229&lt;&gt;"",'Ratings'!M5&lt;&gt;""),'Ratings'!M5,"")</f>
        <v/>
      </c>
      <c r="F3578">
        <f>IF(OR(A3578="",'Ratings'!M229=""),"",'Ratings'!M229)</f>
        <v/>
      </c>
      <c r="G3578">
        <f>IF(A3578="","",'Employees'!D19)</f>
        <v/>
      </c>
    </row>
    <row r="3579">
      <c r="A3579">
        <f>IF(AND('Ratings'!A229&lt;&gt;"",'Ratings'!N5&lt;&gt;""),'Ratings'!A229,"")</f>
        <v/>
      </c>
      <c r="B3579">
        <f>IF(A3579="","",'Employees'!C19)</f>
        <v/>
      </c>
      <c r="C3579">
        <f>IF(A3579="","",'Ratings'!C229)</f>
        <v/>
      </c>
      <c r="D3579">
        <f>IF(A3579="","",'Ratings'!D229)</f>
        <v/>
      </c>
      <c r="E3579">
        <f>IF(AND('Ratings'!A229&lt;&gt;"",'Ratings'!N5&lt;&gt;""),'Ratings'!N5,"")</f>
        <v/>
      </c>
      <c r="F3579">
        <f>IF(OR(A3579="",'Ratings'!N229=""),"",'Ratings'!N229)</f>
        <v/>
      </c>
      <c r="G3579">
        <f>IF(A3579="","",'Employees'!D19)</f>
        <v/>
      </c>
    </row>
    <row r="3580">
      <c r="A3580">
        <f>IF(AND('Ratings'!A229&lt;&gt;"",'Ratings'!O5&lt;&gt;""),'Ratings'!A229,"")</f>
        <v/>
      </c>
      <c r="B3580">
        <f>IF(A3580="","",'Employees'!C19)</f>
        <v/>
      </c>
      <c r="C3580">
        <f>IF(A3580="","",'Ratings'!C229)</f>
        <v/>
      </c>
      <c r="D3580">
        <f>IF(A3580="","",'Ratings'!D229)</f>
        <v/>
      </c>
      <c r="E3580">
        <f>IF(AND('Ratings'!A229&lt;&gt;"",'Ratings'!O5&lt;&gt;""),'Ratings'!O5,"")</f>
        <v/>
      </c>
      <c r="F3580">
        <f>IF(OR(A3580="",'Ratings'!O229=""),"",'Ratings'!O229)</f>
        <v/>
      </c>
      <c r="G3580">
        <f>IF(A3580="","",'Employees'!D19)</f>
        <v/>
      </c>
    </row>
    <row r="3581">
      <c r="A3581">
        <f>IF(AND('Ratings'!A229&lt;&gt;"",'Ratings'!P5&lt;&gt;""),'Ratings'!A229,"")</f>
        <v/>
      </c>
      <c r="B3581">
        <f>IF(A3581="","",'Employees'!C19)</f>
        <v/>
      </c>
      <c r="C3581">
        <f>IF(A3581="","",'Ratings'!C229)</f>
        <v/>
      </c>
      <c r="D3581">
        <f>IF(A3581="","",'Ratings'!D229)</f>
        <v/>
      </c>
      <c r="E3581">
        <f>IF(AND('Ratings'!A229&lt;&gt;"",'Ratings'!P5&lt;&gt;""),'Ratings'!P5,"")</f>
        <v/>
      </c>
      <c r="F3581">
        <f>IF(OR(A3581="",'Ratings'!P229=""),"",'Ratings'!P229)</f>
        <v/>
      </c>
      <c r="G3581">
        <f>IF(A3581="","",'Employees'!D19)</f>
        <v/>
      </c>
    </row>
    <row r="3582">
      <c r="A3582">
        <f>IF(AND('Ratings'!A229&lt;&gt;"",'Ratings'!Q5&lt;&gt;""),'Ratings'!A229,"")</f>
        <v/>
      </c>
      <c r="B3582">
        <f>IF(A3582="","",'Employees'!C19)</f>
        <v/>
      </c>
      <c r="C3582">
        <f>IF(A3582="","",'Ratings'!C229)</f>
        <v/>
      </c>
      <c r="D3582">
        <f>IF(A3582="","",'Ratings'!D229)</f>
        <v/>
      </c>
      <c r="E3582">
        <f>IF(AND('Ratings'!A229&lt;&gt;"",'Ratings'!Q5&lt;&gt;""),'Ratings'!Q5,"")</f>
        <v/>
      </c>
      <c r="F3582">
        <f>IF(OR(A3582="",'Ratings'!Q229=""),"",'Ratings'!Q229)</f>
        <v/>
      </c>
      <c r="G3582">
        <f>IF(A3582="","",'Employees'!D19)</f>
        <v/>
      </c>
    </row>
    <row r="3583">
      <c r="A3583">
        <f>IF(AND('Ratings'!A229&lt;&gt;"",'Ratings'!R5&lt;&gt;""),'Ratings'!A229,"")</f>
        <v/>
      </c>
      <c r="B3583">
        <f>IF(A3583="","",'Employees'!C19)</f>
        <v/>
      </c>
      <c r="C3583">
        <f>IF(A3583="","",'Ratings'!C229)</f>
        <v/>
      </c>
      <c r="D3583">
        <f>IF(A3583="","",'Ratings'!D229)</f>
        <v/>
      </c>
      <c r="E3583">
        <f>IF(AND('Ratings'!A229&lt;&gt;"",'Ratings'!R5&lt;&gt;""),'Ratings'!R5,"")</f>
        <v/>
      </c>
      <c r="F3583">
        <f>IF(OR(A3583="",'Ratings'!R229=""),"",'Ratings'!R229)</f>
        <v/>
      </c>
      <c r="G3583">
        <f>IF(A3583="","",'Employees'!D19)</f>
        <v/>
      </c>
    </row>
    <row r="3584">
      <c r="A3584">
        <f>IF(AND('Ratings'!A229&lt;&gt;"",'Ratings'!S5&lt;&gt;""),'Ratings'!A229,"")</f>
        <v/>
      </c>
      <c r="B3584">
        <f>IF(A3584="","",'Employees'!C19)</f>
        <v/>
      </c>
      <c r="C3584">
        <f>IF(A3584="","",'Ratings'!C229)</f>
        <v/>
      </c>
      <c r="D3584">
        <f>IF(A3584="","",'Ratings'!D229)</f>
        <v/>
      </c>
      <c r="E3584">
        <f>IF(AND('Ratings'!A229&lt;&gt;"",'Ratings'!S5&lt;&gt;""),'Ratings'!S5,"")</f>
        <v/>
      </c>
      <c r="F3584">
        <f>IF(OR(A3584="",'Ratings'!S229=""),"",'Ratings'!S229)</f>
        <v/>
      </c>
      <c r="G3584">
        <f>IF(A3584="","",'Employees'!D19)</f>
        <v/>
      </c>
    </row>
    <row r="3585">
      <c r="A3585">
        <f>IF(AND('Ratings'!A229&lt;&gt;"",'Ratings'!T5&lt;&gt;""),'Ratings'!A229,"")</f>
        <v/>
      </c>
      <c r="B3585">
        <f>IF(A3585="","",'Employees'!C19)</f>
        <v/>
      </c>
      <c r="C3585">
        <f>IF(A3585="","",'Ratings'!C229)</f>
        <v/>
      </c>
      <c r="D3585">
        <f>IF(A3585="","",'Ratings'!D229)</f>
        <v/>
      </c>
      <c r="E3585">
        <f>IF(AND('Ratings'!A229&lt;&gt;"",'Ratings'!T5&lt;&gt;""),'Ratings'!T5,"")</f>
        <v/>
      </c>
      <c r="F3585">
        <f>IF(OR(A3585="",'Ratings'!T229=""),"",'Ratings'!T229)</f>
        <v/>
      </c>
      <c r="G3585">
        <f>IF(A3585="","",'Employees'!D19)</f>
        <v/>
      </c>
    </row>
    <row r="3586">
      <c r="A3586">
        <f>IF(AND('Ratings'!A230&lt;&gt;"",'Ratings'!E5&lt;&gt;""),'Ratings'!A230,"")</f>
        <v/>
      </c>
      <c r="B3586">
        <f>IF(A3586="","",'Employees'!C20)</f>
        <v/>
      </c>
      <c r="C3586">
        <f>IF(A3586="","",'Ratings'!C230)</f>
        <v/>
      </c>
      <c r="D3586">
        <f>IF(A3586="","",'Ratings'!D230)</f>
        <v/>
      </c>
      <c r="E3586">
        <f>IF(AND('Ratings'!A230&lt;&gt;"",'Ratings'!E5&lt;&gt;""),'Ratings'!E5,"")</f>
        <v/>
      </c>
      <c r="F3586">
        <f>IF(OR(A3586="",'Ratings'!E230=""),"",'Ratings'!E230)</f>
        <v/>
      </c>
      <c r="G3586">
        <f>IF(A3586="","",'Employees'!D20)</f>
        <v/>
      </c>
    </row>
    <row r="3587">
      <c r="A3587">
        <f>IF(AND('Ratings'!A230&lt;&gt;"",'Ratings'!F5&lt;&gt;""),'Ratings'!A230,"")</f>
        <v/>
      </c>
      <c r="B3587">
        <f>IF(A3587="","",'Employees'!C20)</f>
        <v/>
      </c>
      <c r="C3587">
        <f>IF(A3587="","",'Ratings'!C230)</f>
        <v/>
      </c>
      <c r="D3587">
        <f>IF(A3587="","",'Ratings'!D230)</f>
        <v/>
      </c>
      <c r="E3587">
        <f>IF(AND('Ratings'!A230&lt;&gt;"",'Ratings'!F5&lt;&gt;""),'Ratings'!F5,"")</f>
        <v/>
      </c>
      <c r="F3587">
        <f>IF(OR(A3587="",'Ratings'!F230=""),"",'Ratings'!F230)</f>
        <v/>
      </c>
      <c r="G3587">
        <f>IF(A3587="","",'Employees'!D20)</f>
        <v/>
      </c>
    </row>
    <row r="3588">
      <c r="A3588">
        <f>IF(AND('Ratings'!A230&lt;&gt;"",'Ratings'!G5&lt;&gt;""),'Ratings'!A230,"")</f>
        <v/>
      </c>
      <c r="B3588">
        <f>IF(A3588="","",'Employees'!C20)</f>
        <v/>
      </c>
      <c r="C3588">
        <f>IF(A3588="","",'Ratings'!C230)</f>
        <v/>
      </c>
      <c r="D3588">
        <f>IF(A3588="","",'Ratings'!D230)</f>
        <v/>
      </c>
      <c r="E3588">
        <f>IF(AND('Ratings'!A230&lt;&gt;"",'Ratings'!G5&lt;&gt;""),'Ratings'!G5,"")</f>
        <v/>
      </c>
      <c r="F3588">
        <f>IF(OR(A3588="",'Ratings'!G230=""),"",'Ratings'!G230)</f>
        <v/>
      </c>
      <c r="G3588">
        <f>IF(A3588="","",'Employees'!D20)</f>
        <v/>
      </c>
    </row>
    <row r="3589">
      <c r="A3589">
        <f>IF(AND('Ratings'!A230&lt;&gt;"",'Ratings'!H5&lt;&gt;""),'Ratings'!A230,"")</f>
        <v/>
      </c>
      <c r="B3589">
        <f>IF(A3589="","",'Employees'!C20)</f>
        <v/>
      </c>
      <c r="C3589">
        <f>IF(A3589="","",'Ratings'!C230)</f>
        <v/>
      </c>
      <c r="D3589">
        <f>IF(A3589="","",'Ratings'!D230)</f>
        <v/>
      </c>
      <c r="E3589">
        <f>IF(AND('Ratings'!A230&lt;&gt;"",'Ratings'!H5&lt;&gt;""),'Ratings'!H5,"")</f>
        <v/>
      </c>
      <c r="F3589">
        <f>IF(OR(A3589="",'Ratings'!H230=""),"",'Ratings'!H230)</f>
        <v/>
      </c>
      <c r="G3589">
        <f>IF(A3589="","",'Employees'!D20)</f>
        <v/>
      </c>
    </row>
    <row r="3590">
      <c r="A3590">
        <f>IF(AND('Ratings'!A230&lt;&gt;"",'Ratings'!I5&lt;&gt;""),'Ratings'!A230,"")</f>
        <v/>
      </c>
      <c r="B3590">
        <f>IF(A3590="","",'Employees'!C20)</f>
        <v/>
      </c>
      <c r="C3590">
        <f>IF(A3590="","",'Ratings'!C230)</f>
        <v/>
      </c>
      <c r="D3590">
        <f>IF(A3590="","",'Ratings'!D230)</f>
        <v/>
      </c>
      <c r="E3590">
        <f>IF(AND('Ratings'!A230&lt;&gt;"",'Ratings'!I5&lt;&gt;""),'Ratings'!I5,"")</f>
        <v/>
      </c>
      <c r="F3590">
        <f>IF(OR(A3590="",'Ratings'!I230=""),"",'Ratings'!I230)</f>
        <v/>
      </c>
      <c r="G3590">
        <f>IF(A3590="","",'Employees'!D20)</f>
        <v/>
      </c>
    </row>
    <row r="3591">
      <c r="A3591">
        <f>IF(AND('Ratings'!A230&lt;&gt;"",'Ratings'!J5&lt;&gt;""),'Ratings'!A230,"")</f>
        <v/>
      </c>
      <c r="B3591">
        <f>IF(A3591="","",'Employees'!C20)</f>
        <v/>
      </c>
      <c r="C3591">
        <f>IF(A3591="","",'Ratings'!C230)</f>
        <v/>
      </c>
      <c r="D3591">
        <f>IF(A3591="","",'Ratings'!D230)</f>
        <v/>
      </c>
      <c r="E3591">
        <f>IF(AND('Ratings'!A230&lt;&gt;"",'Ratings'!J5&lt;&gt;""),'Ratings'!J5,"")</f>
        <v/>
      </c>
      <c r="F3591">
        <f>IF(OR(A3591="",'Ratings'!J230=""),"",'Ratings'!J230)</f>
        <v/>
      </c>
      <c r="G3591">
        <f>IF(A3591="","",'Employees'!D20)</f>
        <v/>
      </c>
    </row>
    <row r="3592">
      <c r="A3592">
        <f>IF(AND('Ratings'!A230&lt;&gt;"",'Ratings'!K5&lt;&gt;""),'Ratings'!A230,"")</f>
        <v/>
      </c>
      <c r="B3592">
        <f>IF(A3592="","",'Employees'!C20)</f>
        <v/>
      </c>
      <c r="C3592">
        <f>IF(A3592="","",'Ratings'!C230)</f>
        <v/>
      </c>
      <c r="D3592">
        <f>IF(A3592="","",'Ratings'!D230)</f>
        <v/>
      </c>
      <c r="E3592">
        <f>IF(AND('Ratings'!A230&lt;&gt;"",'Ratings'!K5&lt;&gt;""),'Ratings'!K5,"")</f>
        <v/>
      </c>
      <c r="F3592">
        <f>IF(OR(A3592="",'Ratings'!K230=""),"",'Ratings'!K230)</f>
        <v/>
      </c>
      <c r="G3592">
        <f>IF(A3592="","",'Employees'!D20)</f>
        <v/>
      </c>
    </row>
    <row r="3593">
      <c r="A3593">
        <f>IF(AND('Ratings'!A230&lt;&gt;"",'Ratings'!L5&lt;&gt;""),'Ratings'!A230,"")</f>
        <v/>
      </c>
      <c r="B3593">
        <f>IF(A3593="","",'Employees'!C20)</f>
        <v/>
      </c>
      <c r="C3593">
        <f>IF(A3593="","",'Ratings'!C230)</f>
        <v/>
      </c>
      <c r="D3593">
        <f>IF(A3593="","",'Ratings'!D230)</f>
        <v/>
      </c>
      <c r="E3593">
        <f>IF(AND('Ratings'!A230&lt;&gt;"",'Ratings'!L5&lt;&gt;""),'Ratings'!L5,"")</f>
        <v/>
      </c>
      <c r="F3593">
        <f>IF(OR(A3593="",'Ratings'!L230=""),"",'Ratings'!L230)</f>
        <v/>
      </c>
      <c r="G3593">
        <f>IF(A3593="","",'Employees'!D20)</f>
        <v/>
      </c>
    </row>
    <row r="3594">
      <c r="A3594">
        <f>IF(AND('Ratings'!A230&lt;&gt;"",'Ratings'!M5&lt;&gt;""),'Ratings'!A230,"")</f>
        <v/>
      </c>
      <c r="B3594">
        <f>IF(A3594="","",'Employees'!C20)</f>
        <v/>
      </c>
      <c r="C3594">
        <f>IF(A3594="","",'Ratings'!C230)</f>
        <v/>
      </c>
      <c r="D3594">
        <f>IF(A3594="","",'Ratings'!D230)</f>
        <v/>
      </c>
      <c r="E3594">
        <f>IF(AND('Ratings'!A230&lt;&gt;"",'Ratings'!M5&lt;&gt;""),'Ratings'!M5,"")</f>
        <v/>
      </c>
      <c r="F3594">
        <f>IF(OR(A3594="",'Ratings'!M230=""),"",'Ratings'!M230)</f>
        <v/>
      </c>
      <c r="G3594">
        <f>IF(A3594="","",'Employees'!D20)</f>
        <v/>
      </c>
    </row>
    <row r="3595">
      <c r="A3595">
        <f>IF(AND('Ratings'!A230&lt;&gt;"",'Ratings'!N5&lt;&gt;""),'Ratings'!A230,"")</f>
        <v/>
      </c>
      <c r="B3595">
        <f>IF(A3595="","",'Employees'!C20)</f>
        <v/>
      </c>
      <c r="C3595">
        <f>IF(A3595="","",'Ratings'!C230)</f>
        <v/>
      </c>
      <c r="D3595">
        <f>IF(A3595="","",'Ratings'!D230)</f>
        <v/>
      </c>
      <c r="E3595">
        <f>IF(AND('Ratings'!A230&lt;&gt;"",'Ratings'!N5&lt;&gt;""),'Ratings'!N5,"")</f>
        <v/>
      </c>
      <c r="F3595">
        <f>IF(OR(A3595="",'Ratings'!N230=""),"",'Ratings'!N230)</f>
        <v/>
      </c>
      <c r="G3595">
        <f>IF(A3595="","",'Employees'!D20)</f>
        <v/>
      </c>
    </row>
    <row r="3596">
      <c r="A3596">
        <f>IF(AND('Ratings'!A230&lt;&gt;"",'Ratings'!O5&lt;&gt;""),'Ratings'!A230,"")</f>
        <v/>
      </c>
      <c r="B3596">
        <f>IF(A3596="","",'Employees'!C20)</f>
        <v/>
      </c>
      <c r="C3596">
        <f>IF(A3596="","",'Ratings'!C230)</f>
        <v/>
      </c>
      <c r="D3596">
        <f>IF(A3596="","",'Ratings'!D230)</f>
        <v/>
      </c>
      <c r="E3596">
        <f>IF(AND('Ratings'!A230&lt;&gt;"",'Ratings'!O5&lt;&gt;""),'Ratings'!O5,"")</f>
        <v/>
      </c>
      <c r="F3596">
        <f>IF(OR(A3596="",'Ratings'!O230=""),"",'Ratings'!O230)</f>
        <v/>
      </c>
      <c r="G3596">
        <f>IF(A3596="","",'Employees'!D20)</f>
        <v/>
      </c>
    </row>
    <row r="3597">
      <c r="A3597">
        <f>IF(AND('Ratings'!A230&lt;&gt;"",'Ratings'!P5&lt;&gt;""),'Ratings'!A230,"")</f>
        <v/>
      </c>
      <c r="B3597">
        <f>IF(A3597="","",'Employees'!C20)</f>
        <v/>
      </c>
      <c r="C3597">
        <f>IF(A3597="","",'Ratings'!C230)</f>
        <v/>
      </c>
      <c r="D3597">
        <f>IF(A3597="","",'Ratings'!D230)</f>
        <v/>
      </c>
      <c r="E3597">
        <f>IF(AND('Ratings'!A230&lt;&gt;"",'Ratings'!P5&lt;&gt;""),'Ratings'!P5,"")</f>
        <v/>
      </c>
      <c r="F3597">
        <f>IF(OR(A3597="",'Ratings'!P230=""),"",'Ratings'!P230)</f>
        <v/>
      </c>
      <c r="G3597">
        <f>IF(A3597="","",'Employees'!D20)</f>
        <v/>
      </c>
    </row>
    <row r="3598">
      <c r="A3598">
        <f>IF(AND('Ratings'!A230&lt;&gt;"",'Ratings'!Q5&lt;&gt;""),'Ratings'!A230,"")</f>
        <v/>
      </c>
      <c r="B3598">
        <f>IF(A3598="","",'Employees'!C20)</f>
        <v/>
      </c>
      <c r="C3598">
        <f>IF(A3598="","",'Ratings'!C230)</f>
        <v/>
      </c>
      <c r="D3598">
        <f>IF(A3598="","",'Ratings'!D230)</f>
        <v/>
      </c>
      <c r="E3598">
        <f>IF(AND('Ratings'!A230&lt;&gt;"",'Ratings'!Q5&lt;&gt;""),'Ratings'!Q5,"")</f>
        <v/>
      </c>
      <c r="F3598">
        <f>IF(OR(A3598="",'Ratings'!Q230=""),"",'Ratings'!Q230)</f>
        <v/>
      </c>
      <c r="G3598">
        <f>IF(A3598="","",'Employees'!D20)</f>
        <v/>
      </c>
    </row>
    <row r="3599">
      <c r="A3599">
        <f>IF(AND('Ratings'!A230&lt;&gt;"",'Ratings'!R5&lt;&gt;""),'Ratings'!A230,"")</f>
        <v/>
      </c>
      <c r="B3599">
        <f>IF(A3599="","",'Employees'!C20)</f>
        <v/>
      </c>
      <c r="C3599">
        <f>IF(A3599="","",'Ratings'!C230)</f>
        <v/>
      </c>
      <c r="D3599">
        <f>IF(A3599="","",'Ratings'!D230)</f>
        <v/>
      </c>
      <c r="E3599">
        <f>IF(AND('Ratings'!A230&lt;&gt;"",'Ratings'!R5&lt;&gt;""),'Ratings'!R5,"")</f>
        <v/>
      </c>
      <c r="F3599">
        <f>IF(OR(A3599="",'Ratings'!R230=""),"",'Ratings'!R230)</f>
        <v/>
      </c>
      <c r="G3599">
        <f>IF(A3599="","",'Employees'!D20)</f>
        <v/>
      </c>
    </row>
    <row r="3600">
      <c r="A3600">
        <f>IF(AND('Ratings'!A230&lt;&gt;"",'Ratings'!S5&lt;&gt;""),'Ratings'!A230,"")</f>
        <v/>
      </c>
      <c r="B3600">
        <f>IF(A3600="","",'Employees'!C20)</f>
        <v/>
      </c>
      <c r="C3600">
        <f>IF(A3600="","",'Ratings'!C230)</f>
        <v/>
      </c>
      <c r="D3600">
        <f>IF(A3600="","",'Ratings'!D230)</f>
        <v/>
      </c>
      <c r="E3600">
        <f>IF(AND('Ratings'!A230&lt;&gt;"",'Ratings'!S5&lt;&gt;""),'Ratings'!S5,"")</f>
        <v/>
      </c>
      <c r="F3600">
        <f>IF(OR(A3600="",'Ratings'!S230=""),"",'Ratings'!S230)</f>
        <v/>
      </c>
      <c r="G3600">
        <f>IF(A3600="","",'Employees'!D20)</f>
        <v/>
      </c>
    </row>
    <row r="3601">
      <c r="A3601">
        <f>IF(AND('Ratings'!A230&lt;&gt;"",'Ratings'!T5&lt;&gt;""),'Ratings'!A230,"")</f>
        <v/>
      </c>
      <c r="B3601">
        <f>IF(A3601="","",'Employees'!C20)</f>
        <v/>
      </c>
      <c r="C3601">
        <f>IF(A3601="","",'Ratings'!C230)</f>
        <v/>
      </c>
      <c r="D3601">
        <f>IF(A3601="","",'Ratings'!D230)</f>
        <v/>
      </c>
      <c r="E3601">
        <f>IF(AND('Ratings'!A230&lt;&gt;"",'Ratings'!T5&lt;&gt;""),'Ratings'!T5,"")</f>
        <v/>
      </c>
      <c r="F3601">
        <f>IF(OR(A3601="",'Ratings'!T230=""),"",'Ratings'!T230)</f>
        <v/>
      </c>
      <c r="G3601">
        <f>IF(A3601="","",'Employees'!D20)</f>
        <v/>
      </c>
    </row>
    <row r="3602">
      <c r="A3602">
        <f>IF(AND('Ratings'!A231&lt;&gt;"",'Ratings'!E5&lt;&gt;""),'Ratings'!A231,"")</f>
        <v/>
      </c>
      <c r="B3602">
        <f>IF(A3602="","",'Employees'!C20)</f>
        <v/>
      </c>
      <c r="C3602">
        <f>IF(A3602="","",'Ratings'!C231)</f>
        <v/>
      </c>
      <c r="D3602">
        <f>IF(A3602="","",'Ratings'!D231)</f>
        <v/>
      </c>
      <c r="E3602">
        <f>IF(AND('Ratings'!A231&lt;&gt;"",'Ratings'!E5&lt;&gt;""),'Ratings'!E5,"")</f>
        <v/>
      </c>
      <c r="F3602">
        <f>IF(OR(A3602="",'Ratings'!E231=""),"",'Ratings'!E231)</f>
        <v/>
      </c>
      <c r="G3602">
        <f>IF(A3602="","",'Employees'!D20)</f>
        <v/>
      </c>
    </row>
    <row r="3603">
      <c r="A3603">
        <f>IF(AND('Ratings'!A231&lt;&gt;"",'Ratings'!F5&lt;&gt;""),'Ratings'!A231,"")</f>
        <v/>
      </c>
      <c r="B3603">
        <f>IF(A3603="","",'Employees'!C20)</f>
        <v/>
      </c>
      <c r="C3603">
        <f>IF(A3603="","",'Ratings'!C231)</f>
        <v/>
      </c>
      <c r="D3603">
        <f>IF(A3603="","",'Ratings'!D231)</f>
        <v/>
      </c>
      <c r="E3603">
        <f>IF(AND('Ratings'!A231&lt;&gt;"",'Ratings'!F5&lt;&gt;""),'Ratings'!F5,"")</f>
        <v/>
      </c>
      <c r="F3603">
        <f>IF(OR(A3603="",'Ratings'!F231=""),"",'Ratings'!F231)</f>
        <v/>
      </c>
      <c r="G3603">
        <f>IF(A3603="","",'Employees'!D20)</f>
        <v/>
      </c>
    </row>
    <row r="3604">
      <c r="A3604">
        <f>IF(AND('Ratings'!A231&lt;&gt;"",'Ratings'!G5&lt;&gt;""),'Ratings'!A231,"")</f>
        <v/>
      </c>
      <c r="B3604">
        <f>IF(A3604="","",'Employees'!C20)</f>
        <v/>
      </c>
      <c r="C3604">
        <f>IF(A3604="","",'Ratings'!C231)</f>
        <v/>
      </c>
      <c r="D3604">
        <f>IF(A3604="","",'Ratings'!D231)</f>
        <v/>
      </c>
      <c r="E3604">
        <f>IF(AND('Ratings'!A231&lt;&gt;"",'Ratings'!G5&lt;&gt;""),'Ratings'!G5,"")</f>
        <v/>
      </c>
      <c r="F3604">
        <f>IF(OR(A3604="",'Ratings'!G231=""),"",'Ratings'!G231)</f>
        <v/>
      </c>
      <c r="G3604">
        <f>IF(A3604="","",'Employees'!D20)</f>
        <v/>
      </c>
    </row>
    <row r="3605">
      <c r="A3605">
        <f>IF(AND('Ratings'!A231&lt;&gt;"",'Ratings'!H5&lt;&gt;""),'Ratings'!A231,"")</f>
        <v/>
      </c>
      <c r="B3605">
        <f>IF(A3605="","",'Employees'!C20)</f>
        <v/>
      </c>
      <c r="C3605">
        <f>IF(A3605="","",'Ratings'!C231)</f>
        <v/>
      </c>
      <c r="D3605">
        <f>IF(A3605="","",'Ratings'!D231)</f>
        <v/>
      </c>
      <c r="E3605">
        <f>IF(AND('Ratings'!A231&lt;&gt;"",'Ratings'!H5&lt;&gt;""),'Ratings'!H5,"")</f>
        <v/>
      </c>
      <c r="F3605">
        <f>IF(OR(A3605="",'Ratings'!H231=""),"",'Ratings'!H231)</f>
        <v/>
      </c>
      <c r="G3605">
        <f>IF(A3605="","",'Employees'!D20)</f>
        <v/>
      </c>
    </row>
    <row r="3606">
      <c r="A3606">
        <f>IF(AND('Ratings'!A231&lt;&gt;"",'Ratings'!I5&lt;&gt;""),'Ratings'!A231,"")</f>
        <v/>
      </c>
      <c r="B3606">
        <f>IF(A3606="","",'Employees'!C20)</f>
        <v/>
      </c>
      <c r="C3606">
        <f>IF(A3606="","",'Ratings'!C231)</f>
        <v/>
      </c>
      <c r="D3606">
        <f>IF(A3606="","",'Ratings'!D231)</f>
        <v/>
      </c>
      <c r="E3606">
        <f>IF(AND('Ratings'!A231&lt;&gt;"",'Ratings'!I5&lt;&gt;""),'Ratings'!I5,"")</f>
        <v/>
      </c>
      <c r="F3606">
        <f>IF(OR(A3606="",'Ratings'!I231=""),"",'Ratings'!I231)</f>
        <v/>
      </c>
      <c r="G3606">
        <f>IF(A3606="","",'Employees'!D20)</f>
        <v/>
      </c>
    </row>
    <row r="3607">
      <c r="A3607">
        <f>IF(AND('Ratings'!A231&lt;&gt;"",'Ratings'!J5&lt;&gt;""),'Ratings'!A231,"")</f>
        <v/>
      </c>
      <c r="B3607">
        <f>IF(A3607="","",'Employees'!C20)</f>
        <v/>
      </c>
      <c r="C3607">
        <f>IF(A3607="","",'Ratings'!C231)</f>
        <v/>
      </c>
      <c r="D3607">
        <f>IF(A3607="","",'Ratings'!D231)</f>
        <v/>
      </c>
      <c r="E3607">
        <f>IF(AND('Ratings'!A231&lt;&gt;"",'Ratings'!J5&lt;&gt;""),'Ratings'!J5,"")</f>
        <v/>
      </c>
      <c r="F3607">
        <f>IF(OR(A3607="",'Ratings'!J231=""),"",'Ratings'!J231)</f>
        <v/>
      </c>
      <c r="G3607">
        <f>IF(A3607="","",'Employees'!D20)</f>
        <v/>
      </c>
    </row>
    <row r="3608">
      <c r="A3608">
        <f>IF(AND('Ratings'!A231&lt;&gt;"",'Ratings'!K5&lt;&gt;""),'Ratings'!A231,"")</f>
        <v/>
      </c>
      <c r="B3608">
        <f>IF(A3608="","",'Employees'!C20)</f>
        <v/>
      </c>
      <c r="C3608">
        <f>IF(A3608="","",'Ratings'!C231)</f>
        <v/>
      </c>
      <c r="D3608">
        <f>IF(A3608="","",'Ratings'!D231)</f>
        <v/>
      </c>
      <c r="E3608">
        <f>IF(AND('Ratings'!A231&lt;&gt;"",'Ratings'!K5&lt;&gt;""),'Ratings'!K5,"")</f>
        <v/>
      </c>
      <c r="F3608">
        <f>IF(OR(A3608="",'Ratings'!K231=""),"",'Ratings'!K231)</f>
        <v/>
      </c>
      <c r="G3608">
        <f>IF(A3608="","",'Employees'!D20)</f>
        <v/>
      </c>
    </row>
    <row r="3609">
      <c r="A3609">
        <f>IF(AND('Ratings'!A231&lt;&gt;"",'Ratings'!L5&lt;&gt;""),'Ratings'!A231,"")</f>
        <v/>
      </c>
      <c r="B3609">
        <f>IF(A3609="","",'Employees'!C20)</f>
        <v/>
      </c>
      <c r="C3609">
        <f>IF(A3609="","",'Ratings'!C231)</f>
        <v/>
      </c>
      <c r="D3609">
        <f>IF(A3609="","",'Ratings'!D231)</f>
        <v/>
      </c>
      <c r="E3609">
        <f>IF(AND('Ratings'!A231&lt;&gt;"",'Ratings'!L5&lt;&gt;""),'Ratings'!L5,"")</f>
        <v/>
      </c>
      <c r="F3609">
        <f>IF(OR(A3609="",'Ratings'!L231=""),"",'Ratings'!L231)</f>
        <v/>
      </c>
      <c r="G3609">
        <f>IF(A3609="","",'Employees'!D20)</f>
        <v/>
      </c>
    </row>
    <row r="3610">
      <c r="A3610">
        <f>IF(AND('Ratings'!A231&lt;&gt;"",'Ratings'!M5&lt;&gt;""),'Ratings'!A231,"")</f>
        <v/>
      </c>
      <c r="B3610">
        <f>IF(A3610="","",'Employees'!C20)</f>
        <v/>
      </c>
      <c r="C3610">
        <f>IF(A3610="","",'Ratings'!C231)</f>
        <v/>
      </c>
      <c r="D3610">
        <f>IF(A3610="","",'Ratings'!D231)</f>
        <v/>
      </c>
      <c r="E3610">
        <f>IF(AND('Ratings'!A231&lt;&gt;"",'Ratings'!M5&lt;&gt;""),'Ratings'!M5,"")</f>
        <v/>
      </c>
      <c r="F3610">
        <f>IF(OR(A3610="",'Ratings'!M231=""),"",'Ratings'!M231)</f>
        <v/>
      </c>
      <c r="G3610">
        <f>IF(A3610="","",'Employees'!D20)</f>
        <v/>
      </c>
    </row>
    <row r="3611">
      <c r="A3611">
        <f>IF(AND('Ratings'!A231&lt;&gt;"",'Ratings'!N5&lt;&gt;""),'Ratings'!A231,"")</f>
        <v/>
      </c>
      <c r="B3611">
        <f>IF(A3611="","",'Employees'!C20)</f>
        <v/>
      </c>
      <c r="C3611">
        <f>IF(A3611="","",'Ratings'!C231)</f>
        <v/>
      </c>
      <c r="D3611">
        <f>IF(A3611="","",'Ratings'!D231)</f>
        <v/>
      </c>
      <c r="E3611">
        <f>IF(AND('Ratings'!A231&lt;&gt;"",'Ratings'!N5&lt;&gt;""),'Ratings'!N5,"")</f>
        <v/>
      </c>
      <c r="F3611">
        <f>IF(OR(A3611="",'Ratings'!N231=""),"",'Ratings'!N231)</f>
        <v/>
      </c>
      <c r="G3611">
        <f>IF(A3611="","",'Employees'!D20)</f>
        <v/>
      </c>
    </row>
    <row r="3612">
      <c r="A3612">
        <f>IF(AND('Ratings'!A231&lt;&gt;"",'Ratings'!O5&lt;&gt;""),'Ratings'!A231,"")</f>
        <v/>
      </c>
      <c r="B3612">
        <f>IF(A3612="","",'Employees'!C20)</f>
        <v/>
      </c>
      <c r="C3612">
        <f>IF(A3612="","",'Ratings'!C231)</f>
        <v/>
      </c>
      <c r="D3612">
        <f>IF(A3612="","",'Ratings'!D231)</f>
        <v/>
      </c>
      <c r="E3612">
        <f>IF(AND('Ratings'!A231&lt;&gt;"",'Ratings'!O5&lt;&gt;""),'Ratings'!O5,"")</f>
        <v/>
      </c>
      <c r="F3612">
        <f>IF(OR(A3612="",'Ratings'!O231=""),"",'Ratings'!O231)</f>
        <v/>
      </c>
      <c r="G3612">
        <f>IF(A3612="","",'Employees'!D20)</f>
        <v/>
      </c>
    </row>
    <row r="3613">
      <c r="A3613">
        <f>IF(AND('Ratings'!A231&lt;&gt;"",'Ratings'!P5&lt;&gt;""),'Ratings'!A231,"")</f>
        <v/>
      </c>
      <c r="B3613">
        <f>IF(A3613="","",'Employees'!C20)</f>
        <v/>
      </c>
      <c r="C3613">
        <f>IF(A3613="","",'Ratings'!C231)</f>
        <v/>
      </c>
      <c r="D3613">
        <f>IF(A3613="","",'Ratings'!D231)</f>
        <v/>
      </c>
      <c r="E3613">
        <f>IF(AND('Ratings'!A231&lt;&gt;"",'Ratings'!P5&lt;&gt;""),'Ratings'!P5,"")</f>
        <v/>
      </c>
      <c r="F3613">
        <f>IF(OR(A3613="",'Ratings'!P231=""),"",'Ratings'!P231)</f>
        <v/>
      </c>
      <c r="G3613">
        <f>IF(A3613="","",'Employees'!D20)</f>
        <v/>
      </c>
    </row>
    <row r="3614">
      <c r="A3614">
        <f>IF(AND('Ratings'!A231&lt;&gt;"",'Ratings'!Q5&lt;&gt;""),'Ratings'!A231,"")</f>
        <v/>
      </c>
      <c r="B3614">
        <f>IF(A3614="","",'Employees'!C20)</f>
        <v/>
      </c>
      <c r="C3614">
        <f>IF(A3614="","",'Ratings'!C231)</f>
        <v/>
      </c>
      <c r="D3614">
        <f>IF(A3614="","",'Ratings'!D231)</f>
        <v/>
      </c>
      <c r="E3614">
        <f>IF(AND('Ratings'!A231&lt;&gt;"",'Ratings'!Q5&lt;&gt;""),'Ratings'!Q5,"")</f>
        <v/>
      </c>
      <c r="F3614">
        <f>IF(OR(A3614="",'Ratings'!Q231=""),"",'Ratings'!Q231)</f>
        <v/>
      </c>
      <c r="G3614">
        <f>IF(A3614="","",'Employees'!D20)</f>
        <v/>
      </c>
    </row>
    <row r="3615">
      <c r="A3615">
        <f>IF(AND('Ratings'!A231&lt;&gt;"",'Ratings'!R5&lt;&gt;""),'Ratings'!A231,"")</f>
        <v/>
      </c>
      <c r="B3615">
        <f>IF(A3615="","",'Employees'!C20)</f>
        <v/>
      </c>
      <c r="C3615">
        <f>IF(A3615="","",'Ratings'!C231)</f>
        <v/>
      </c>
      <c r="D3615">
        <f>IF(A3615="","",'Ratings'!D231)</f>
        <v/>
      </c>
      <c r="E3615">
        <f>IF(AND('Ratings'!A231&lt;&gt;"",'Ratings'!R5&lt;&gt;""),'Ratings'!R5,"")</f>
        <v/>
      </c>
      <c r="F3615">
        <f>IF(OR(A3615="",'Ratings'!R231=""),"",'Ratings'!R231)</f>
        <v/>
      </c>
      <c r="G3615">
        <f>IF(A3615="","",'Employees'!D20)</f>
        <v/>
      </c>
    </row>
    <row r="3616">
      <c r="A3616">
        <f>IF(AND('Ratings'!A231&lt;&gt;"",'Ratings'!S5&lt;&gt;""),'Ratings'!A231,"")</f>
        <v/>
      </c>
      <c r="B3616">
        <f>IF(A3616="","",'Employees'!C20)</f>
        <v/>
      </c>
      <c r="C3616">
        <f>IF(A3616="","",'Ratings'!C231)</f>
        <v/>
      </c>
      <c r="D3616">
        <f>IF(A3616="","",'Ratings'!D231)</f>
        <v/>
      </c>
      <c r="E3616">
        <f>IF(AND('Ratings'!A231&lt;&gt;"",'Ratings'!S5&lt;&gt;""),'Ratings'!S5,"")</f>
        <v/>
      </c>
      <c r="F3616">
        <f>IF(OR(A3616="",'Ratings'!S231=""),"",'Ratings'!S231)</f>
        <v/>
      </c>
      <c r="G3616">
        <f>IF(A3616="","",'Employees'!D20)</f>
        <v/>
      </c>
    </row>
    <row r="3617">
      <c r="A3617">
        <f>IF(AND('Ratings'!A231&lt;&gt;"",'Ratings'!T5&lt;&gt;""),'Ratings'!A231,"")</f>
        <v/>
      </c>
      <c r="B3617">
        <f>IF(A3617="","",'Employees'!C20)</f>
        <v/>
      </c>
      <c r="C3617">
        <f>IF(A3617="","",'Ratings'!C231)</f>
        <v/>
      </c>
      <c r="D3617">
        <f>IF(A3617="","",'Ratings'!D231)</f>
        <v/>
      </c>
      <c r="E3617">
        <f>IF(AND('Ratings'!A231&lt;&gt;"",'Ratings'!T5&lt;&gt;""),'Ratings'!T5,"")</f>
        <v/>
      </c>
      <c r="F3617">
        <f>IF(OR(A3617="",'Ratings'!T231=""),"",'Ratings'!T231)</f>
        <v/>
      </c>
      <c r="G3617">
        <f>IF(A3617="","",'Employees'!D20)</f>
        <v/>
      </c>
    </row>
    <row r="3618">
      <c r="A3618">
        <f>IF(AND('Ratings'!A232&lt;&gt;"",'Ratings'!E5&lt;&gt;""),'Ratings'!A232,"")</f>
        <v/>
      </c>
      <c r="B3618">
        <f>IF(A3618="","",'Employees'!C20)</f>
        <v/>
      </c>
      <c r="C3618">
        <f>IF(A3618="","",'Ratings'!C232)</f>
        <v/>
      </c>
      <c r="D3618">
        <f>IF(A3618="","",'Ratings'!D232)</f>
        <v/>
      </c>
      <c r="E3618">
        <f>IF(AND('Ratings'!A232&lt;&gt;"",'Ratings'!E5&lt;&gt;""),'Ratings'!E5,"")</f>
        <v/>
      </c>
      <c r="F3618">
        <f>IF(OR(A3618="",'Ratings'!E232=""),"",'Ratings'!E232)</f>
        <v/>
      </c>
      <c r="G3618">
        <f>IF(A3618="","",'Employees'!D20)</f>
        <v/>
      </c>
    </row>
    <row r="3619">
      <c r="A3619">
        <f>IF(AND('Ratings'!A232&lt;&gt;"",'Ratings'!F5&lt;&gt;""),'Ratings'!A232,"")</f>
        <v/>
      </c>
      <c r="B3619">
        <f>IF(A3619="","",'Employees'!C20)</f>
        <v/>
      </c>
      <c r="C3619">
        <f>IF(A3619="","",'Ratings'!C232)</f>
        <v/>
      </c>
      <c r="D3619">
        <f>IF(A3619="","",'Ratings'!D232)</f>
        <v/>
      </c>
      <c r="E3619">
        <f>IF(AND('Ratings'!A232&lt;&gt;"",'Ratings'!F5&lt;&gt;""),'Ratings'!F5,"")</f>
        <v/>
      </c>
      <c r="F3619">
        <f>IF(OR(A3619="",'Ratings'!F232=""),"",'Ratings'!F232)</f>
        <v/>
      </c>
      <c r="G3619">
        <f>IF(A3619="","",'Employees'!D20)</f>
        <v/>
      </c>
    </row>
    <row r="3620">
      <c r="A3620">
        <f>IF(AND('Ratings'!A232&lt;&gt;"",'Ratings'!G5&lt;&gt;""),'Ratings'!A232,"")</f>
        <v/>
      </c>
      <c r="B3620">
        <f>IF(A3620="","",'Employees'!C20)</f>
        <v/>
      </c>
      <c r="C3620">
        <f>IF(A3620="","",'Ratings'!C232)</f>
        <v/>
      </c>
      <c r="D3620">
        <f>IF(A3620="","",'Ratings'!D232)</f>
        <v/>
      </c>
      <c r="E3620">
        <f>IF(AND('Ratings'!A232&lt;&gt;"",'Ratings'!G5&lt;&gt;""),'Ratings'!G5,"")</f>
        <v/>
      </c>
      <c r="F3620">
        <f>IF(OR(A3620="",'Ratings'!G232=""),"",'Ratings'!G232)</f>
        <v/>
      </c>
      <c r="G3620">
        <f>IF(A3620="","",'Employees'!D20)</f>
        <v/>
      </c>
    </row>
    <row r="3621">
      <c r="A3621">
        <f>IF(AND('Ratings'!A232&lt;&gt;"",'Ratings'!H5&lt;&gt;""),'Ratings'!A232,"")</f>
        <v/>
      </c>
      <c r="B3621">
        <f>IF(A3621="","",'Employees'!C20)</f>
        <v/>
      </c>
      <c r="C3621">
        <f>IF(A3621="","",'Ratings'!C232)</f>
        <v/>
      </c>
      <c r="D3621">
        <f>IF(A3621="","",'Ratings'!D232)</f>
        <v/>
      </c>
      <c r="E3621">
        <f>IF(AND('Ratings'!A232&lt;&gt;"",'Ratings'!H5&lt;&gt;""),'Ratings'!H5,"")</f>
        <v/>
      </c>
      <c r="F3621">
        <f>IF(OR(A3621="",'Ratings'!H232=""),"",'Ratings'!H232)</f>
        <v/>
      </c>
      <c r="G3621">
        <f>IF(A3621="","",'Employees'!D20)</f>
        <v/>
      </c>
    </row>
    <row r="3622">
      <c r="A3622">
        <f>IF(AND('Ratings'!A232&lt;&gt;"",'Ratings'!I5&lt;&gt;""),'Ratings'!A232,"")</f>
        <v/>
      </c>
      <c r="B3622">
        <f>IF(A3622="","",'Employees'!C20)</f>
        <v/>
      </c>
      <c r="C3622">
        <f>IF(A3622="","",'Ratings'!C232)</f>
        <v/>
      </c>
      <c r="D3622">
        <f>IF(A3622="","",'Ratings'!D232)</f>
        <v/>
      </c>
      <c r="E3622">
        <f>IF(AND('Ratings'!A232&lt;&gt;"",'Ratings'!I5&lt;&gt;""),'Ratings'!I5,"")</f>
        <v/>
      </c>
      <c r="F3622">
        <f>IF(OR(A3622="",'Ratings'!I232=""),"",'Ratings'!I232)</f>
        <v/>
      </c>
      <c r="G3622">
        <f>IF(A3622="","",'Employees'!D20)</f>
        <v/>
      </c>
    </row>
    <row r="3623">
      <c r="A3623">
        <f>IF(AND('Ratings'!A232&lt;&gt;"",'Ratings'!J5&lt;&gt;""),'Ratings'!A232,"")</f>
        <v/>
      </c>
      <c r="B3623">
        <f>IF(A3623="","",'Employees'!C20)</f>
        <v/>
      </c>
      <c r="C3623">
        <f>IF(A3623="","",'Ratings'!C232)</f>
        <v/>
      </c>
      <c r="D3623">
        <f>IF(A3623="","",'Ratings'!D232)</f>
        <v/>
      </c>
      <c r="E3623">
        <f>IF(AND('Ratings'!A232&lt;&gt;"",'Ratings'!J5&lt;&gt;""),'Ratings'!J5,"")</f>
        <v/>
      </c>
      <c r="F3623">
        <f>IF(OR(A3623="",'Ratings'!J232=""),"",'Ratings'!J232)</f>
        <v/>
      </c>
      <c r="G3623">
        <f>IF(A3623="","",'Employees'!D20)</f>
        <v/>
      </c>
    </row>
    <row r="3624">
      <c r="A3624">
        <f>IF(AND('Ratings'!A232&lt;&gt;"",'Ratings'!K5&lt;&gt;""),'Ratings'!A232,"")</f>
        <v/>
      </c>
      <c r="B3624">
        <f>IF(A3624="","",'Employees'!C20)</f>
        <v/>
      </c>
      <c r="C3624">
        <f>IF(A3624="","",'Ratings'!C232)</f>
        <v/>
      </c>
      <c r="D3624">
        <f>IF(A3624="","",'Ratings'!D232)</f>
        <v/>
      </c>
      <c r="E3624">
        <f>IF(AND('Ratings'!A232&lt;&gt;"",'Ratings'!K5&lt;&gt;""),'Ratings'!K5,"")</f>
        <v/>
      </c>
      <c r="F3624">
        <f>IF(OR(A3624="",'Ratings'!K232=""),"",'Ratings'!K232)</f>
        <v/>
      </c>
      <c r="G3624">
        <f>IF(A3624="","",'Employees'!D20)</f>
        <v/>
      </c>
    </row>
    <row r="3625">
      <c r="A3625">
        <f>IF(AND('Ratings'!A232&lt;&gt;"",'Ratings'!L5&lt;&gt;""),'Ratings'!A232,"")</f>
        <v/>
      </c>
      <c r="B3625">
        <f>IF(A3625="","",'Employees'!C20)</f>
        <v/>
      </c>
      <c r="C3625">
        <f>IF(A3625="","",'Ratings'!C232)</f>
        <v/>
      </c>
      <c r="D3625">
        <f>IF(A3625="","",'Ratings'!D232)</f>
        <v/>
      </c>
      <c r="E3625">
        <f>IF(AND('Ratings'!A232&lt;&gt;"",'Ratings'!L5&lt;&gt;""),'Ratings'!L5,"")</f>
        <v/>
      </c>
      <c r="F3625">
        <f>IF(OR(A3625="",'Ratings'!L232=""),"",'Ratings'!L232)</f>
        <v/>
      </c>
      <c r="G3625">
        <f>IF(A3625="","",'Employees'!D20)</f>
        <v/>
      </c>
    </row>
    <row r="3626">
      <c r="A3626">
        <f>IF(AND('Ratings'!A232&lt;&gt;"",'Ratings'!M5&lt;&gt;""),'Ratings'!A232,"")</f>
        <v/>
      </c>
      <c r="B3626">
        <f>IF(A3626="","",'Employees'!C20)</f>
        <v/>
      </c>
      <c r="C3626">
        <f>IF(A3626="","",'Ratings'!C232)</f>
        <v/>
      </c>
      <c r="D3626">
        <f>IF(A3626="","",'Ratings'!D232)</f>
        <v/>
      </c>
      <c r="E3626">
        <f>IF(AND('Ratings'!A232&lt;&gt;"",'Ratings'!M5&lt;&gt;""),'Ratings'!M5,"")</f>
        <v/>
      </c>
      <c r="F3626">
        <f>IF(OR(A3626="",'Ratings'!M232=""),"",'Ratings'!M232)</f>
        <v/>
      </c>
      <c r="G3626">
        <f>IF(A3626="","",'Employees'!D20)</f>
        <v/>
      </c>
    </row>
    <row r="3627">
      <c r="A3627">
        <f>IF(AND('Ratings'!A232&lt;&gt;"",'Ratings'!N5&lt;&gt;""),'Ratings'!A232,"")</f>
        <v/>
      </c>
      <c r="B3627">
        <f>IF(A3627="","",'Employees'!C20)</f>
        <v/>
      </c>
      <c r="C3627">
        <f>IF(A3627="","",'Ratings'!C232)</f>
        <v/>
      </c>
      <c r="D3627">
        <f>IF(A3627="","",'Ratings'!D232)</f>
        <v/>
      </c>
      <c r="E3627">
        <f>IF(AND('Ratings'!A232&lt;&gt;"",'Ratings'!N5&lt;&gt;""),'Ratings'!N5,"")</f>
        <v/>
      </c>
      <c r="F3627">
        <f>IF(OR(A3627="",'Ratings'!N232=""),"",'Ratings'!N232)</f>
        <v/>
      </c>
      <c r="G3627">
        <f>IF(A3627="","",'Employees'!D20)</f>
        <v/>
      </c>
    </row>
    <row r="3628">
      <c r="A3628">
        <f>IF(AND('Ratings'!A232&lt;&gt;"",'Ratings'!O5&lt;&gt;""),'Ratings'!A232,"")</f>
        <v/>
      </c>
      <c r="B3628">
        <f>IF(A3628="","",'Employees'!C20)</f>
        <v/>
      </c>
      <c r="C3628">
        <f>IF(A3628="","",'Ratings'!C232)</f>
        <v/>
      </c>
      <c r="D3628">
        <f>IF(A3628="","",'Ratings'!D232)</f>
        <v/>
      </c>
      <c r="E3628">
        <f>IF(AND('Ratings'!A232&lt;&gt;"",'Ratings'!O5&lt;&gt;""),'Ratings'!O5,"")</f>
        <v/>
      </c>
      <c r="F3628">
        <f>IF(OR(A3628="",'Ratings'!O232=""),"",'Ratings'!O232)</f>
        <v/>
      </c>
      <c r="G3628">
        <f>IF(A3628="","",'Employees'!D20)</f>
        <v/>
      </c>
    </row>
    <row r="3629">
      <c r="A3629">
        <f>IF(AND('Ratings'!A232&lt;&gt;"",'Ratings'!P5&lt;&gt;""),'Ratings'!A232,"")</f>
        <v/>
      </c>
      <c r="B3629">
        <f>IF(A3629="","",'Employees'!C20)</f>
        <v/>
      </c>
      <c r="C3629">
        <f>IF(A3629="","",'Ratings'!C232)</f>
        <v/>
      </c>
      <c r="D3629">
        <f>IF(A3629="","",'Ratings'!D232)</f>
        <v/>
      </c>
      <c r="E3629">
        <f>IF(AND('Ratings'!A232&lt;&gt;"",'Ratings'!P5&lt;&gt;""),'Ratings'!P5,"")</f>
        <v/>
      </c>
      <c r="F3629">
        <f>IF(OR(A3629="",'Ratings'!P232=""),"",'Ratings'!P232)</f>
        <v/>
      </c>
      <c r="G3629">
        <f>IF(A3629="","",'Employees'!D20)</f>
        <v/>
      </c>
    </row>
    <row r="3630">
      <c r="A3630">
        <f>IF(AND('Ratings'!A232&lt;&gt;"",'Ratings'!Q5&lt;&gt;""),'Ratings'!A232,"")</f>
        <v/>
      </c>
      <c r="B3630">
        <f>IF(A3630="","",'Employees'!C20)</f>
        <v/>
      </c>
      <c r="C3630">
        <f>IF(A3630="","",'Ratings'!C232)</f>
        <v/>
      </c>
      <c r="D3630">
        <f>IF(A3630="","",'Ratings'!D232)</f>
        <v/>
      </c>
      <c r="E3630">
        <f>IF(AND('Ratings'!A232&lt;&gt;"",'Ratings'!Q5&lt;&gt;""),'Ratings'!Q5,"")</f>
        <v/>
      </c>
      <c r="F3630">
        <f>IF(OR(A3630="",'Ratings'!Q232=""),"",'Ratings'!Q232)</f>
        <v/>
      </c>
      <c r="G3630">
        <f>IF(A3630="","",'Employees'!D20)</f>
        <v/>
      </c>
    </row>
    <row r="3631">
      <c r="A3631">
        <f>IF(AND('Ratings'!A232&lt;&gt;"",'Ratings'!R5&lt;&gt;""),'Ratings'!A232,"")</f>
        <v/>
      </c>
      <c r="B3631">
        <f>IF(A3631="","",'Employees'!C20)</f>
        <v/>
      </c>
      <c r="C3631">
        <f>IF(A3631="","",'Ratings'!C232)</f>
        <v/>
      </c>
      <c r="D3631">
        <f>IF(A3631="","",'Ratings'!D232)</f>
        <v/>
      </c>
      <c r="E3631">
        <f>IF(AND('Ratings'!A232&lt;&gt;"",'Ratings'!R5&lt;&gt;""),'Ratings'!R5,"")</f>
        <v/>
      </c>
      <c r="F3631">
        <f>IF(OR(A3631="",'Ratings'!R232=""),"",'Ratings'!R232)</f>
        <v/>
      </c>
      <c r="G3631">
        <f>IF(A3631="","",'Employees'!D20)</f>
        <v/>
      </c>
    </row>
    <row r="3632">
      <c r="A3632">
        <f>IF(AND('Ratings'!A232&lt;&gt;"",'Ratings'!S5&lt;&gt;""),'Ratings'!A232,"")</f>
        <v/>
      </c>
      <c r="B3632">
        <f>IF(A3632="","",'Employees'!C20)</f>
        <v/>
      </c>
      <c r="C3632">
        <f>IF(A3632="","",'Ratings'!C232)</f>
        <v/>
      </c>
      <c r="D3632">
        <f>IF(A3632="","",'Ratings'!D232)</f>
        <v/>
      </c>
      <c r="E3632">
        <f>IF(AND('Ratings'!A232&lt;&gt;"",'Ratings'!S5&lt;&gt;""),'Ratings'!S5,"")</f>
        <v/>
      </c>
      <c r="F3632">
        <f>IF(OR(A3632="",'Ratings'!S232=""),"",'Ratings'!S232)</f>
        <v/>
      </c>
      <c r="G3632">
        <f>IF(A3632="","",'Employees'!D20)</f>
        <v/>
      </c>
    </row>
    <row r="3633">
      <c r="A3633">
        <f>IF(AND('Ratings'!A232&lt;&gt;"",'Ratings'!T5&lt;&gt;""),'Ratings'!A232,"")</f>
        <v/>
      </c>
      <c r="B3633">
        <f>IF(A3633="","",'Employees'!C20)</f>
        <v/>
      </c>
      <c r="C3633">
        <f>IF(A3633="","",'Ratings'!C232)</f>
        <v/>
      </c>
      <c r="D3633">
        <f>IF(A3633="","",'Ratings'!D232)</f>
        <v/>
      </c>
      <c r="E3633">
        <f>IF(AND('Ratings'!A232&lt;&gt;"",'Ratings'!T5&lt;&gt;""),'Ratings'!T5,"")</f>
        <v/>
      </c>
      <c r="F3633">
        <f>IF(OR(A3633="",'Ratings'!T232=""),"",'Ratings'!T232)</f>
        <v/>
      </c>
      <c r="G3633">
        <f>IF(A3633="","",'Employees'!D20)</f>
        <v/>
      </c>
    </row>
    <row r="3634">
      <c r="A3634">
        <f>IF(AND('Ratings'!A233&lt;&gt;"",'Ratings'!E5&lt;&gt;""),'Ratings'!A233,"")</f>
        <v/>
      </c>
      <c r="B3634">
        <f>IF(A3634="","",'Employees'!C20)</f>
        <v/>
      </c>
      <c r="C3634">
        <f>IF(A3634="","",'Ratings'!C233)</f>
        <v/>
      </c>
      <c r="D3634">
        <f>IF(A3634="","",'Ratings'!D233)</f>
        <v/>
      </c>
      <c r="E3634">
        <f>IF(AND('Ratings'!A233&lt;&gt;"",'Ratings'!E5&lt;&gt;""),'Ratings'!E5,"")</f>
        <v/>
      </c>
      <c r="F3634">
        <f>IF(OR(A3634="",'Ratings'!E233=""),"",'Ratings'!E233)</f>
        <v/>
      </c>
      <c r="G3634">
        <f>IF(A3634="","",'Employees'!D20)</f>
        <v/>
      </c>
    </row>
    <row r="3635">
      <c r="A3635">
        <f>IF(AND('Ratings'!A233&lt;&gt;"",'Ratings'!F5&lt;&gt;""),'Ratings'!A233,"")</f>
        <v/>
      </c>
      <c r="B3635">
        <f>IF(A3635="","",'Employees'!C20)</f>
        <v/>
      </c>
      <c r="C3635">
        <f>IF(A3635="","",'Ratings'!C233)</f>
        <v/>
      </c>
      <c r="D3635">
        <f>IF(A3635="","",'Ratings'!D233)</f>
        <v/>
      </c>
      <c r="E3635">
        <f>IF(AND('Ratings'!A233&lt;&gt;"",'Ratings'!F5&lt;&gt;""),'Ratings'!F5,"")</f>
        <v/>
      </c>
      <c r="F3635">
        <f>IF(OR(A3635="",'Ratings'!F233=""),"",'Ratings'!F233)</f>
        <v/>
      </c>
      <c r="G3635">
        <f>IF(A3635="","",'Employees'!D20)</f>
        <v/>
      </c>
    </row>
    <row r="3636">
      <c r="A3636">
        <f>IF(AND('Ratings'!A233&lt;&gt;"",'Ratings'!G5&lt;&gt;""),'Ratings'!A233,"")</f>
        <v/>
      </c>
      <c r="B3636">
        <f>IF(A3636="","",'Employees'!C20)</f>
        <v/>
      </c>
      <c r="C3636">
        <f>IF(A3636="","",'Ratings'!C233)</f>
        <v/>
      </c>
      <c r="D3636">
        <f>IF(A3636="","",'Ratings'!D233)</f>
        <v/>
      </c>
      <c r="E3636">
        <f>IF(AND('Ratings'!A233&lt;&gt;"",'Ratings'!G5&lt;&gt;""),'Ratings'!G5,"")</f>
        <v/>
      </c>
      <c r="F3636">
        <f>IF(OR(A3636="",'Ratings'!G233=""),"",'Ratings'!G233)</f>
        <v/>
      </c>
      <c r="G3636">
        <f>IF(A3636="","",'Employees'!D20)</f>
        <v/>
      </c>
    </row>
    <row r="3637">
      <c r="A3637">
        <f>IF(AND('Ratings'!A233&lt;&gt;"",'Ratings'!H5&lt;&gt;""),'Ratings'!A233,"")</f>
        <v/>
      </c>
      <c r="B3637">
        <f>IF(A3637="","",'Employees'!C20)</f>
        <v/>
      </c>
      <c r="C3637">
        <f>IF(A3637="","",'Ratings'!C233)</f>
        <v/>
      </c>
      <c r="D3637">
        <f>IF(A3637="","",'Ratings'!D233)</f>
        <v/>
      </c>
      <c r="E3637">
        <f>IF(AND('Ratings'!A233&lt;&gt;"",'Ratings'!H5&lt;&gt;""),'Ratings'!H5,"")</f>
        <v/>
      </c>
      <c r="F3637">
        <f>IF(OR(A3637="",'Ratings'!H233=""),"",'Ratings'!H233)</f>
        <v/>
      </c>
      <c r="G3637">
        <f>IF(A3637="","",'Employees'!D20)</f>
        <v/>
      </c>
    </row>
    <row r="3638">
      <c r="A3638">
        <f>IF(AND('Ratings'!A233&lt;&gt;"",'Ratings'!I5&lt;&gt;""),'Ratings'!A233,"")</f>
        <v/>
      </c>
      <c r="B3638">
        <f>IF(A3638="","",'Employees'!C20)</f>
        <v/>
      </c>
      <c r="C3638">
        <f>IF(A3638="","",'Ratings'!C233)</f>
        <v/>
      </c>
      <c r="D3638">
        <f>IF(A3638="","",'Ratings'!D233)</f>
        <v/>
      </c>
      <c r="E3638">
        <f>IF(AND('Ratings'!A233&lt;&gt;"",'Ratings'!I5&lt;&gt;""),'Ratings'!I5,"")</f>
        <v/>
      </c>
      <c r="F3638">
        <f>IF(OR(A3638="",'Ratings'!I233=""),"",'Ratings'!I233)</f>
        <v/>
      </c>
      <c r="G3638">
        <f>IF(A3638="","",'Employees'!D20)</f>
        <v/>
      </c>
    </row>
    <row r="3639">
      <c r="A3639">
        <f>IF(AND('Ratings'!A233&lt;&gt;"",'Ratings'!J5&lt;&gt;""),'Ratings'!A233,"")</f>
        <v/>
      </c>
      <c r="B3639">
        <f>IF(A3639="","",'Employees'!C20)</f>
        <v/>
      </c>
      <c r="C3639">
        <f>IF(A3639="","",'Ratings'!C233)</f>
        <v/>
      </c>
      <c r="D3639">
        <f>IF(A3639="","",'Ratings'!D233)</f>
        <v/>
      </c>
      <c r="E3639">
        <f>IF(AND('Ratings'!A233&lt;&gt;"",'Ratings'!J5&lt;&gt;""),'Ratings'!J5,"")</f>
        <v/>
      </c>
      <c r="F3639">
        <f>IF(OR(A3639="",'Ratings'!J233=""),"",'Ratings'!J233)</f>
        <v/>
      </c>
      <c r="G3639">
        <f>IF(A3639="","",'Employees'!D20)</f>
        <v/>
      </c>
    </row>
    <row r="3640">
      <c r="A3640">
        <f>IF(AND('Ratings'!A233&lt;&gt;"",'Ratings'!K5&lt;&gt;""),'Ratings'!A233,"")</f>
        <v/>
      </c>
      <c r="B3640">
        <f>IF(A3640="","",'Employees'!C20)</f>
        <v/>
      </c>
      <c r="C3640">
        <f>IF(A3640="","",'Ratings'!C233)</f>
        <v/>
      </c>
      <c r="D3640">
        <f>IF(A3640="","",'Ratings'!D233)</f>
        <v/>
      </c>
      <c r="E3640">
        <f>IF(AND('Ratings'!A233&lt;&gt;"",'Ratings'!K5&lt;&gt;""),'Ratings'!K5,"")</f>
        <v/>
      </c>
      <c r="F3640">
        <f>IF(OR(A3640="",'Ratings'!K233=""),"",'Ratings'!K233)</f>
        <v/>
      </c>
      <c r="G3640">
        <f>IF(A3640="","",'Employees'!D20)</f>
        <v/>
      </c>
    </row>
    <row r="3641">
      <c r="A3641">
        <f>IF(AND('Ratings'!A233&lt;&gt;"",'Ratings'!L5&lt;&gt;""),'Ratings'!A233,"")</f>
        <v/>
      </c>
      <c r="B3641">
        <f>IF(A3641="","",'Employees'!C20)</f>
        <v/>
      </c>
      <c r="C3641">
        <f>IF(A3641="","",'Ratings'!C233)</f>
        <v/>
      </c>
      <c r="D3641">
        <f>IF(A3641="","",'Ratings'!D233)</f>
        <v/>
      </c>
      <c r="E3641">
        <f>IF(AND('Ratings'!A233&lt;&gt;"",'Ratings'!L5&lt;&gt;""),'Ratings'!L5,"")</f>
        <v/>
      </c>
      <c r="F3641">
        <f>IF(OR(A3641="",'Ratings'!L233=""),"",'Ratings'!L233)</f>
        <v/>
      </c>
      <c r="G3641">
        <f>IF(A3641="","",'Employees'!D20)</f>
        <v/>
      </c>
    </row>
    <row r="3642">
      <c r="A3642">
        <f>IF(AND('Ratings'!A233&lt;&gt;"",'Ratings'!M5&lt;&gt;""),'Ratings'!A233,"")</f>
        <v/>
      </c>
      <c r="B3642">
        <f>IF(A3642="","",'Employees'!C20)</f>
        <v/>
      </c>
      <c r="C3642">
        <f>IF(A3642="","",'Ratings'!C233)</f>
        <v/>
      </c>
      <c r="D3642">
        <f>IF(A3642="","",'Ratings'!D233)</f>
        <v/>
      </c>
      <c r="E3642">
        <f>IF(AND('Ratings'!A233&lt;&gt;"",'Ratings'!M5&lt;&gt;""),'Ratings'!M5,"")</f>
        <v/>
      </c>
      <c r="F3642">
        <f>IF(OR(A3642="",'Ratings'!M233=""),"",'Ratings'!M233)</f>
        <v/>
      </c>
      <c r="G3642">
        <f>IF(A3642="","",'Employees'!D20)</f>
        <v/>
      </c>
    </row>
    <row r="3643">
      <c r="A3643">
        <f>IF(AND('Ratings'!A233&lt;&gt;"",'Ratings'!N5&lt;&gt;""),'Ratings'!A233,"")</f>
        <v/>
      </c>
      <c r="B3643">
        <f>IF(A3643="","",'Employees'!C20)</f>
        <v/>
      </c>
      <c r="C3643">
        <f>IF(A3643="","",'Ratings'!C233)</f>
        <v/>
      </c>
      <c r="D3643">
        <f>IF(A3643="","",'Ratings'!D233)</f>
        <v/>
      </c>
      <c r="E3643">
        <f>IF(AND('Ratings'!A233&lt;&gt;"",'Ratings'!N5&lt;&gt;""),'Ratings'!N5,"")</f>
        <v/>
      </c>
      <c r="F3643">
        <f>IF(OR(A3643="",'Ratings'!N233=""),"",'Ratings'!N233)</f>
        <v/>
      </c>
      <c r="G3643">
        <f>IF(A3643="","",'Employees'!D20)</f>
        <v/>
      </c>
    </row>
    <row r="3644">
      <c r="A3644">
        <f>IF(AND('Ratings'!A233&lt;&gt;"",'Ratings'!O5&lt;&gt;""),'Ratings'!A233,"")</f>
        <v/>
      </c>
      <c r="B3644">
        <f>IF(A3644="","",'Employees'!C20)</f>
        <v/>
      </c>
      <c r="C3644">
        <f>IF(A3644="","",'Ratings'!C233)</f>
        <v/>
      </c>
      <c r="D3644">
        <f>IF(A3644="","",'Ratings'!D233)</f>
        <v/>
      </c>
      <c r="E3644">
        <f>IF(AND('Ratings'!A233&lt;&gt;"",'Ratings'!O5&lt;&gt;""),'Ratings'!O5,"")</f>
        <v/>
      </c>
      <c r="F3644">
        <f>IF(OR(A3644="",'Ratings'!O233=""),"",'Ratings'!O233)</f>
        <v/>
      </c>
      <c r="G3644">
        <f>IF(A3644="","",'Employees'!D20)</f>
        <v/>
      </c>
    </row>
    <row r="3645">
      <c r="A3645">
        <f>IF(AND('Ratings'!A233&lt;&gt;"",'Ratings'!P5&lt;&gt;""),'Ratings'!A233,"")</f>
        <v/>
      </c>
      <c r="B3645">
        <f>IF(A3645="","",'Employees'!C20)</f>
        <v/>
      </c>
      <c r="C3645">
        <f>IF(A3645="","",'Ratings'!C233)</f>
        <v/>
      </c>
      <c r="D3645">
        <f>IF(A3645="","",'Ratings'!D233)</f>
        <v/>
      </c>
      <c r="E3645">
        <f>IF(AND('Ratings'!A233&lt;&gt;"",'Ratings'!P5&lt;&gt;""),'Ratings'!P5,"")</f>
        <v/>
      </c>
      <c r="F3645">
        <f>IF(OR(A3645="",'Ratings'!P233=""),"",'Ratings'!P233)</f>
        <v/>
      </c>
      <c r="G3645">
        <f>IF(A3645="","",'Employees'!D20)</f>
        <v/>
      </c>
    </row>
    <row r="3646">
      <c r="A3646">
        <f>IF(AND('Ratings'!A233&lt;&gt;"",'Ratings'!Q5&lt;&gt;""),'Ratings'!A233,"")</f>
        <v/>
      </c>
      <c r="B3646">
        <f>IF(A3646="","",'Employees'!C20)</f>
        <v/>
      </c>
      <c r="C3646">
        <f>IF(A3646="","",'Ratings'!C233)</f>
        <v/>
      </c>
      <c r="D3646">
        <f>IF(A3646="","",'Ratings'!D233)</f>
        <v/>
      </c>
      <c r="E3646">
        <f>IF(AND('Ratings'!A233&lt;&gt;"",'Ratings'!Q5&lt;&gt;""),'Ratings'!Q5,"")</f>
        <v/>
      </c>
      <c r="F3646">
        <f>IF(OR(A3646="",'Ratings'!Q233=""),"",'Ratings'!Q233)</f>
        <v/>
      </c>
      <c r="G3646">
        <f>IF(A3646="","",'Employees'!D20)</f>
        <v/>
      </c>
    </row>
    <row r="3647">
      <c r="A3647">
        <f>IF(AND('Ratings'!A233&lt;&gt;"",'Ratings'!R5&lt;&gt;""),'Ratings'!A233,"")</f>
        <v/>
      </c>
      <c r="B3647">
        <f>IF(A3647="","",'Employees'!C20)</f>
        <v/>
      </c>
      <c r="C3647">
        <f>IF(A3647="","",'Ratings'!C233)</f>
        <v/>
      </c>
      <c r="D3647">
        <f>IF(A3647="","",'Ratings'!D233)</f>
        <v/>
      </c>
      <c r="E3647">
        <f>IF(AND('Ratings'!A233&lt;&gt;"",'Ratings'!R5&lt;&gt;""),'Ratings'!R5,"")</f>
        <v/>
      </c>
      <c r="F3647">
        <f>IF(OR(A3647="",'Ratings'!R233=""),"",'Ratings'!R233)</f>
        <v/>
      </c>
      <c r="G3647">
        <f>IF(A3647="","",'Employees'!D20)</f>
        <v/>
      </c>
    </row>
    <row r="3648">
      <c r="A3648">
        <f>IF(AND('Ratings'!A233&lt;&gt;"",'Ratings'!S5&lt;&gt;""),'Ratings'!A233,"")</f>
        <v/>
      </c>
      <c r="B3648">
        <f>IF(A3648="","",'Employees'!C20)</f>
        <v/>
      </c>
      <c r="C3648">
        <f>IF(A3648="","",'Ratings'!C233)</f>
        <v/>
      </c>
      <c r="D3648">
        <f>IF(A3648="","",'Ratings'!D233)</f>
        <v/>
      </c>
      <c r="E3648">
        <f>IF(AND('Ratings'!A233&lt;&gt;"",'Ratings'!S5&lt;&gt;""),'Ratings'!S5,"")</f>
        <v/>
      </c>
      <c r="F3648">
        <f>IF(OR(A3648="",'Ratings'!S233=""),"",'Ratings'!S233)</f>
        <v/>
      </c>
      <c r="G3648">
        <f>IF(A3648="","",'Employees'!D20)</f>
        <v/>
      </c>
    </row>
    <row r="3649">
      <c r="A3649">
        <f>IF(AND('Ratings'!A233&lt;&gt;"",'Ratings'!T5&lt;&gt;""),'Ratings'!A233,"")</f>
        <v/>
      </c>
      <c r="B3649">
        <f>IF(A3649="","",'Employees'!C20)</f>
        <v/>
      </c>
      <c r="C3649">
        <f>IF(A3649="","",'Ratings'!C233)</f>
        <v/>
      </c>
      <c r="D3649">
        <f>IF(A3649="","",'Ratings'!D233)</f>
        <v/>
      </c>
      <c r="E3649">
        <f>IF(AND('Ratings'!A233&lt;&gt;"",'Ratings'!T5&lt;&gt;""),'Ratings'!T5,"")</f>
        <v/>
      </c>
      <c r="F3649">
        <f>IF(OR(A3649="",'Ratings'!T233=""),"",'Ratings'!T233)</f>
        <v/>
      </c>
      <c r="G3649">
        <f>IF(A3649="","",'Employees'!D20)</f>
        <v/>
      </c>
    </row>
    <row r="3650">
      <c r="A3650">
        <f>IF(AND('Ratings'!A234&lt;&gt;"",'Ratings'!E5&lt;&gt;""),'Ratings'!A234,"")</f>
        <v/>
      </c>
      <c r="B3650">
        <f>IF(A3650="","",'Employees'!C20)</f>
        <v/>
      </c>
      <c r="C3650">
        <f>IF(A3650="","",'Ratings'!C234)</f>
        <v/>
      </c>
      <c r="D3650">
        <f>IF(A3650="","",'Ratings'!D234)</f>
        <v/>
      </c>
      <c r="E3650">
        <f>IF(AND('Ratings'!A234&lt;&gt;"",'Ratings'!E5&lt;&gt;""),'Ratings'!E5,"")</f>
        <v/>
      </c>
      <c r="F3650">
        <f>IF(OR(A3650="",'Ratings'!E234=""),"",'Ratings'!E234)</f>
        <v/>
      </c>
      <c r="G3650">
        <f>IF(A3650="","",'Employees'!D20)</f>
        <v/>
      </c>
    </row>
    <row r="3651">
      <c r="A3651">
        <f>IF(AND('Ratings'!A234&lt;&gt;"",'Ratings'!F5&lt;&gt;""),'Ratings'!A234,"")</f>
        <v/>
      </c>
      <c r="B3651">
        <f>IF(A3651="","",'Employees'!C20)</f>
        <v/>
      </c>
      <c r="C3651">
        <f>IF(A3651="","",'Ratings'!C234)</f>
        <v/>
      </c>
      <c r="D3651">
        <f>IF(A3651="","",'Ratings'!D234)</f>
        <v/>
      </c>
      <c r="E3651">
        <f>IF(AND('Ratings'!A234&lt;&gt;"",'Ratings'!F5&lt;&gt;""),'Ratings'!F5,"")</f>
        <v/>
      </c>
      <c r="F3651">
        <f>IF(OR(A3651="",'Ratings'!F234=""),"",'Ratings'!F234)</f>
        <v/>
      </c>
      <c r="G3651">
        <f>IF(A3651="","",'Employees'!D20)</f>
        <v/>
      </c>
    </row>
    <row r="3652">
      <c r="A3652">
        <f>IF(AND('Ratings'!A234&lt;&gt;"",'Ratings'!G5&lt;&gt;""),'Ratings'!A234,"")</f>
        <v/>
      </c>
      <c r="B3652">
        <f>IF(A3652="","",'Employees'!C20)</f>
        <v/>
      </c>
      <c r="C3652">
        <f>IF(A3652="","",'Ratings'!C234)</f>
        <v/>
      </c>
      <c r="D3652">
        <f>IF(A3652="","",'Ratings'!D234)</f>
        <v/>
      </c>
      <c r="E3652">
        <f>IF(AND('Ratings'!A234&lt;&gt;"",'Ratings'!G5&lt;&gt;""),'Ratings'!G5,"")</f>
        <v/>
      </c>
      <c r="F3652">
        <f>IF(OR(A3652="",'Ratings'!G234=""),"",'Ratings'!G234)</f>
        <v/>
      </c>
      <c r="G3652">
        <f>IF(A3652="","",'Employees'!D20)</f>
        <v/>
      </c>
    </row>
    <row r="3653">
      <c r="A3653">
        <f>IF(AND('Ratings'!A234&lt;&gt;"",'Ratings'!H5&lt;&gt;""),'Ratings'!A234,"")</f>
        <v/>
      </c>
      <c r="B3653">
        <f>IF(A3653="","",'Employees'!C20)</f>
        <v/>
      </c>
      <c r="C3653">
        <f>IF(A3653="","",'Ratings'!C234)</f>
        <v/>
      </c>
      <c r="D3653">
        <f>IF(A3653="","",'Ratings'!D234)</f>
        <v/>
      </c>
      <c r="E3653">
        <f>IF(AND('Ratings'!A234&lt;&gt;"",'Ratings'!H5&lt;&gt;""),'Ratings'!H5,"")</f>
        <v/>
      </c>
      <c r="F3653">
        <f>IF(OR(A3653="",'Ratings'!H234=""),"",'Ratings'!H234)</f>
        <v/>
      </c>
      <c r="G3653">
        <f>IF(A3653="","",'Employees'!D20)</f>
        <v/>
      </c>
    </row>
    <row r="3654">
      <c r="A3654">
        <f>IF(AND('Ratings'!A234&lt;&gt;"",'Ratings'!I5&lt;&gt;""),'Ratings'!A234,"")</f>
        <v/>
      </c>
      <c r="B3654">
        <f>IF(A3654="","",'Employees'!C20)</f>
        <v/>
      </c>
      <c r="C3654">
        <f>IF(A3654="","",'Ratings'!C234)</f>
        <v/>
      </c>
      <c r="D3654">
        <f>IF(A3654="","",'Ratings'!D234)</f>
        <v/>
      </c>
      <c r="E3654">
        <f>IF(AND('Ratings'!A234&lt;&gt;"",'Ratings'!I5&lt;&gt;""),'Ratings'!I5,"")</f>
        <v/>
      </c>
      <c r="F3654">
        <f>IF(OR(A3654="",'Ratings'!I234=""),"",'Ratings'!I234)</f>
        <v/>
      </c>
      <c r="G3654">
        <f>IF(A3654="","",'Employees'!D20)</f>
        <v/>
      </c>
    </row>
    <row r="3655">
      <c r="A3655">
        <f>IF(AND('Ratings'!A234&lt;&gt;"",'Ratings'!J5&lt;&gt;""),'Ratings'!A234,"")</f>
        <v/>
      </c>
      <c r="B3655">
        <f>IF(A3655="","",'Employees'!C20)</f>
        <v/>
      </c>
      <c r="C3655">
        <f>IF(A3655="","",'Ratings'!C234)</f>
        <v/>
      </c>
      <c r="D3655">
        <f>IF(A3655="","",'Ratings'!D234)</f>
        <v/>
      </c>
      <c r="E3655">
        <f>IF(AND('Ratings'!A234&lt;&gt;"",'Ratings'!J5&lt;&gt;""),'Ratings'!J5,"")</f>
        <v/>
      </c>
      <c r="F3655">
        <f>IF(OR(A3655="",'Ratings'!J234=""),"",'Ratings'!J234)</f>
        <v/>
      </c>
      <c r="G3655">
        <f>IF(A3655="","",'Employees'!D20)</f>
        <v/>
      </c>
    </row>
    <row r="3656">
      <c r="A3656">
        <f>IF(AND('Ratings'!A234&lt;&gt;"",'Ratings'!K5&lt;&gt;""),'Ratings'!A234,"")</f>
        <v/>
      </c>
      <c r="B3656">
        <f>IF(A3656="","",'Employees'!C20)</f>
        <v/>
      </c>
      <c r="C3656">
        <f>IF(A3656="","",'Ratings'!C234)</f>
        <v/>
      </c>
      <c r="D3656">
        <f>IF(A3656="","",'Ratings'!D234)</f>
        <v/>
      </c>
      <c r="E3656">
        <f>IF(AND('Ratings'!A234&lt;&gt;"",'Ratings'!K5&lt;&gt;""),'Ratings'!K5,"")</f>
        <v/>
      </c>
      <c r="F3656">
        <f>IF(OR(A3656="",'Ratings'!K234=""),"",'Ratings'!K234)</f>
        <v/>
      </c>
      <c r="G3656">
        <f>IF(A3656="","",'Employees'!D20)</f>
        <v/>
      </c>
    </row>
    <row r="3657">
      <c r="A3657">
        <f>IF(AND('Ratings'!A234&lt;&gt;"",'Ratings'!L5&lt;&gt;""),'Ratings'!A234,"")</f>
        <v/>
      </c>
      <c r="B3657">
        <f>IF(A3657="","",'Employees'!C20)</f>
        <v/>
      </c>
      <c r="C3657">
        <f>IF(A3657="","",'Ratings'!C234)</f>
        <v/>
      </c>
      <c r="D3657">
        <f>IF(A3657="","",'Ratings'!D234)</f>
        <v/>
      </c>
      <c r="E3657">
        <f>IF(AND('Ratings'!A234&lt;&gt;"",'Ratings'!L5&lt;&gt;""),'Ratings'!L5,"")</f>
        <v/>
      </c>
      <c r="F3657">
        <f>IF(OR(A3657="",'Ratings'!L234=""),"",'Ratings'!L234)</f>
        <v/>
      </c>
      <c r="G3657">
        <f>IF(A3657="","",'Employees'!D20)</f>
        <v/>
      </c>
    </row>
    <row r="3658">
      <c r="A3658">
        <f>IF(AND('Ratings'!A234&lt;&gt;"",'Ratings'!M5&lt;&gt;""),'Ratings'!A234,"")</f>
        <v/>
      </c>
      <c r="B3658">
        <f>IF(A3658="","",'Employees'!C20)</f>
        <v/>
      </c>
      <c r="C3658">
        <f>IF(A3658="","",'Ratings'!C234)</f>
        <v/>
      </c>
      <c r="D3658">
        <f>IF(A3658="","",'Ratings'!D234)</f>
        <v/>
      </c>
      <c r="E3658">
        <f>IF(AND('Ratings'!A234&lt;&gt;"",'Ratings'!M5&lt;&gt;""),'Ratings'!M5,"")</f>
        <v/>
      </c>
      <c r="F3658">
        <f>IF(OR(A3658="",'Ratings'!M234=""),"",'Ratings'!M234)</f>
        <v/>
      </c>
      <c r="G3658">
        <f>IF(A3658="","",'Employees'!D20)</f>
        <v/>
      </c>
    </row>
    <row r="3659">
      <c r="A3659">
        <f>IF(AND('Ratings'!A234&lt;&gt;"",'Ratings'!N5&lt;&gt;""),'Ratings'!A234,"")</f>
        <v/>
      </c>
      <c r="B3659">
        <f>IF(A3659="","",'Employees'!C20)</f>
        <v/>
      </c>
      <c r="C3659">
        <f>IF(A3659="","",'Ratings'!C234)</f>
        <v/>
      </c>
      <c r="D3659">
        <f>IF(A3659="","",'Ratings'!D234)</f>
        <v/>
      </c>
      <c r="E3659">
        <f>IF(AND('Ratings'!A234&lt;&gt;"",'Ratings'!N5&lt;&gt;""),'Ratings'!N5,"")</f>
        <v/>
      </c>
      <c r="F3659">
        <f>IF(OR(A3659="",'Ratings'!N234=""),"",'Ratings'!N234)</f>
        <v/>
      </c>
      <c r="G3659">
        <f>IF(A3659="","",'Employees'!D20)</f>
        <v/>
      </c>
    </row>
    <row r="3660">
      <c r="A3660">
        <f>IF(AND('Ratings'!A234&lt;&gt;"",'Ratings'!O5&lt;&gt;""),'Ratings'!A234,"")</f>
        <v/>
      </c>
      <c r="B3660">
        <f>IF(A3660="","",'Employees'!C20)</f>
        <v/>
      </c>
      <c r="C3660">
        <f>IF(A3660="","",'Ratings'!C234)</f>
        <v/>
      </c>
      <c r="D3660">
        <f>IF(A3660="","",'Ratings'!D234)</f>
        <v/>
      </c>
      <c r="E3660">
        <f>IF(AND('Ratings'!A234&lt;&gt;"",'Ratings'!O5&lt;&gt;""),'Ratings'!O5,"")</f>
        <v/>
      </c>
      <c r="F3660">
        <f>IF(OR(A3660="",'Ratings'!O234=""),"",'Ratings'!O234)</f>
        <v/>
      </c>
      <c r="G3660">
        <f>IF(A3660="","",'Employees'!D20)</f>
        <v/>
      </c>
    </row>
    <row r="3661">
      <c r="A3661">
        <f>IF(AND('Ratings'!A234&lt;&gt;"",'Ratings'!P5&lt;&gt;""),'Ratings'!A234,"")</f>
        <v/>
      </c>
      <c r="B3661">
        <f>IF(A3661="","",'Employees'!C20)</f>
        <v/>
      </c>
      <c r="C3661">
        <f>IF(A3661="","",'Ratings'!C234)</f>
        <v/>
      </c>
      <c r="D3661">
        <f>IF(A3661="","",'Ratings'!D234)</f>
        <v/>
      </c>
      <c r="E3661">
        <f>IF(AND('Ratings'!A234&lt;&gt;"",'Ratings'!P5&lt;&gt;""),'Ratings'!P5,"")</f>
        <v/>
      </c>
      <c r="F3661">
        <f>IF(OR(A3661="",'Ratings'!P234=""),"",'Ratings'!P234)</f>
        <v/>
      </c>
      <c r="G3661">
        <f>IF(A3661="","",'Employees'!D20)</f>
        <v/>
      </c>
    </row>
    <row r="3662">
      <c r="A3662">
        <f>IF(AND('Ratings'!A234&lt;&gt;"",'Ratings'!Q5&lt;&gt;""),'Ratings'!A234,"")</f>
        <v/>
      </c>
      <c r="B3662">
        <f>IF(A3662="","",'Employees'!C20)</f>
        <v/>
      </c>
      <c r="C3662">
        <f>IF(A3662="","",'Ratings'!C234)</f>
        <v/>
      </c>
      <c r="D3662">
        <f>IF(A3662="","",'Ratings'!D234)</f>
        <v/>
      </c>
      <c r="E3662">
        <f>IF(AND('Ratings'!A234&lt;&gt;"",'Ratings'!Q5&lt;&gt;""),'Ratings'!Q5,"")</f>
        <v/>
      </c>
      <c r="F3662">
        <f>IF(OR(A3662="",'Ratings'!Q234=""),"",'Ratings'!Q234)</f>
        <v/>
      </c>
      <c r="G3662">
        <f>IF(A3662="","",'Employees'!D20)</f>
        <v/>
      </c>
    </row>
    <row r="3663">
      <c r="A3663">
        <f>IF(AND('Ratings'!A234&lt;&gt;"",'Ratings'!R5&lt;&gt;""),'Ratings'!A234,"")</f>
        <v/>
      </c>
      <c r="B3663">
        <f>IF(A3663="","",'Employees'!C20)</f>
        <v/>
      </c>
      <c r="C3663">
        <f>IF(A3663="","",'Ratings'!C234)</f>
        <v/>
      </c>
      <c r="D3663">
        <f>IF(A3663="","",'Ratings'!D234)</f>
        <v/>
      </c>
      <c r="E3663">
        <f>IF(AND('Ratings'!A234&lt;&gt;"",'Ratings'!R5&lt;&gt;""),'Ratings'!R5,"")</f>
        <v/>
      </c>
      <c r="F3663">
        <f>IF(OR(A3663="",'Ratings'!R234=""),"",'Ratings'!R234)</f>
        <v/>
      </c>
      <c r="G3663">
        <f>IF(A3663="","",'Employees'!D20)</f>
        <v/>
      </c>
    </row>
    <row r="3664">
      <c r="A3664">
        <f>IF(AND('Ratings'!A234&lt;&gt;"",'Ratings'!S5&lt;&gt;""),'Ratings'!A234,"")</f>
        <v/>
      </c>
      <c r="B3664">
        <f>IF(A3664="","",'Employees'!C20)</f>
        <v/>
      </c>
      <c r="C3664">
        <f>IF(A3664="","",'Ratings'!C234)</f>
        <v/>
      </c>
      <c r="D3664">
        <f>IF(A3664="","",'Ratings'!D234)</f>
        <v/>
      </c>
      <c r="E3664">
        <f>IF(AND('Ratings'!A234&lt;&gt;"",'Ratings'!S5&lt;&gt;""),'Ratings'!S5,"")</f>
        <v/>
      </c>
      <c r="F3664">
        <f>IF(OR(A3664="",'Ratings'!S234=""),"",'Ratings'!S234)</f>
        <v/>
      </c>
      <c r="G3664">
        <f>IF(A3664="","",'Employees'!D20)</f>
        <v/>
      </c>
    </row>
    <row r="3665">
      <c r="A3665">
        <f>IF(AND('Ratings'!A234&lt;&gt;"",'Ratings'!T5&lt;&gt;""),'Ratings'!A234,"")</f>
        <v/>
      </c>
      <c r="B3665">
        <f>IF(A3665="","",'Employees'!C20)</f>
        <v/>
      </c>
      <c r="C3665">
        <f>IF(A3665="","",'Ratings'!C234)</f>
        <v/>
      </c>
      <c r="D3665">
        <f>IF(A3665="","",'Ratings'!D234)</f>
        <v/>
      </c>
      <c r="E3665">
        <f>IF(AND('Ratings'!A234&lt;&gt;"",'Ratings'!T5&lt;&gt;""),'Ratings'!T5,"")</f>
        <v/>
      </c>
      <c r="F3665">
        <f>IF(OR(A3665="",'Ratings'!T234=""),"",'Ratings'!T234)</f>
        <v/>
      </c>
      <c r="G3665">
        <f>IF(A3665="","",'Employees'!D20)</f>
        <v/>
      </c>
    </row>
    <row r="3666">
      <c r="A3666">
        <f>IF(AND('Ratings'!A235&lt;&gt;"",'Ratings'!E5&lt;&gt;""),'Ratings'!A235,"")</f>
        <v/>
      </c>
      <c r="B3666">
        <f>IF(A3666="","",'Employees'!C20)</f>
        <v/>
      </c>
      <c r="C3666">
        <f>IF(A3666="","",'Ratings'!C235)</f>
        <v/>
      </c>
      <c r="D3666">
        <f>IF(A3666="","",'Ratings'!D235)</f>
        <v/>
      </c>
      <c r="E3666">
        <f>IF(AND('Ratings'!A235&lt;&gt;"",'Ratings'!E5&lt;&gt;""),'Ratings'!E5,"")</f>
        <v/>
      </c>
      <c r="F3666">
        <f>IF(OR(A3666="",'Ratings'!E235=""),"",'Ratings'!E235)</f>
        <v/>
      </c>
      <c r="G3666">
        <f>IF(A3666="","",'Employees'!D20)</f>
        <v/>
      </c>
    </row>
    <row r="3667">
      <c r="A3667">
        <f>IF(AND('Ratings'!A235&lt;&gt;"",'Ratings'!F5&lt;&gt;""),'Ratings'!A235,"")</f>
        <v/>
      </c>
      <c r="B3667">
        <f>IF(A3667="","",'Employees'!C20)</f>
        <v/>
      </c>
      <c r="C3667">
        <f>IF(A3667="","",'Ratings'!C235)</f>
        <v/>
      </c>
      <c r="D3667">
        <f>IF(A3667="","",'Ratings'!D235)</f>
        <v/>
      </c>
      <c r="E3667">
        <f>IF(AND('Ratings'!A235&lt;&gt;"",'Ratings'!F5&lt;&gt;""),'Ratings'!F5,"")</f>
        <v/>
      </c>
      <c r="F3667">
        <f>IF(OR(A3667="",'Ratings'!F235=""),"",'Ratings'!F235)</f>
        <v/>
      </c>
      <c r="G3667">
        <f>IF(A3667="","",'Employees'!D20)</f>
        <v/>
      </c>
    </row>
    <row r="3668">
      <c r="A3668">
        <f>IF(AND('Ratings'!A235&lt;&gt;"",'Ratings'!G5&lt;&gt;""),'Ratings'!A235,"")</f>
        <v/>
      </c>
      <c r="B3668">
        <f>IF(A3668="","",'Employees'!C20)</f>
        <v/>
      </c>
      <c r="C3668">
        <f>IF(A3668="","",'Ratings'!C235)</f>
        <v/>
      </c>
      <c r="D3668">
        <f>IF(A3668="","",'Ratings'!D235)</f>
        <v/>
      </c>
      <c r="E3668">
        <f>IF(AND('Ratings'!A235&lt;&gt;"",'Ratings'!G5&lt;&gt;""),'Ratings'!G5,"")</f>
        <v/>
      </c>
      <c r="F3668">
        <f>IF(OR(A3668="",'Ratings'!G235=""),"",'Ratings'!G235)</f>
        <v/>
      </c>
      <c r="G3668">
        <f>IF(A3668="","",'Employees'!D20)</f>
        <v/>
      </c>
    </row>
    <row r="3669">
      <c r="A3669">
        <f>IF(AND('Ratings'!A235&lt;&gt;"",'Ratings'!H5&lt;&gt;""),'Ratings'!A235,"")</f>
        <v/>
      </c>
      <c r="B3669">
        <f>IF(A3669="","",'Employees'!C20)</f>
        <v/>
      </c>
      <c r="C3669">
        <f>IF(A3669="","",'Ratings'!C235)</f>
        <v/>
      </c>
      <c r="D3669">
        <f>IF(A3669="","",'Ratings'!D235)</f>
        <v/>
      </c>
      <c r="E3669">
        <f>IF(AND('Ratings'!A235&lt;&gt;"",'Ratings'!H5&lt;&gt;""),'Ratings'!H5,"")</f>
        <v/>
      </c>
      <c r="F3669">
        <f>IF(OR(A3669="",'Ratings'!H235=""),"",'Ratings'!H235)</f>
        <v/>
      </c>
      <c r="G3669">
        <f>IF(A3669="","",'Employees'!D20)</f>
        <v/>
      </c>
    </row>
    <row r="3670">
      <c r="A3670">
        <f>IF(AND('Ratings'!A235&lt;&gt;"",'Ratings'!I5&lt;&gt;""),'Ratings'!A235,"")</f>
        <v/>
      </c>
      <c r="B3670">
        <f>IF(A3670="","",'Employees'!C20)</f>
        <v/>
      </c>
      <c r="C3670">
        <f>IF(A3670="","",'Ratings'!C235)</f>
        <v/>
      </c>
      <c r="D3670">
        <f>IF(A3670="","",'Ratings'!D235)</f>
        <v/>
      </c>
      <c r="E3670">
        <f>IF(AND('Ratings'!A235&lt;&gt;"",'Ratings'!I5&lt;&gt;""),'Ratings'!I5,"")</f>
        <v/>
      </c>
      <c r="F3670">
        <f>IF(OR(A3670="",'Ratings'!I235=""),"",'Ratings'!I235)</f>
        <v/>
      </c>
      <c r="G3670">
        <f>IF(A3670="","",'Employees'!D20)</f>
        <v/>
      </c>
    </row>
    <row r="3671">
      <c r="A3671">
        <f>IF(AND('Ratings'!A235&lt;&gt;"",'Ratings'!J5&lt;&gt;""),'Ratings'!A235,"")</f>
        <v/>
      </c>
      <c r="B3671">
        <f>IF(A3671="","",'Employees'!C20)</f>
        <v/>
      </c>
      <c r="C3671">
        <f>IF(A3671="","",'Ratings'!C235)</f>
        <v/>
      </c>
      <c r="D3671">
        <f>IF(A3671="","",'Ratings'!D235)</f>
        <v/>
      </c>
      <c r="E3671">
        <f>IF(AND('Ratings'!A235&lt;&gt;"",'Ratings'!J5&lt;&gt;""),'Ratings'!J5,"")</f>
        <v/>
      </c>
      <c r="F3671">
        <f>IF(OR(A3671="",'Ratings'!J235=""),"",'Ratings'!J235)</f>
        <v/>
      </c>
      <c r="G3671">
        <f>IF(A3671="","",'Employees'!D20)</f>
        <v/>
      </c>
    </row>
    <row r="3672">
      <c r="A3672">
        <f>IF(AND('Ratings'!A235&lt;&gt;"",'Ratings'!K5&lt;&gt;""),'Ratings'!A235,"")</f>
        <v/>
      </c>
      <c r="B3672">
        <f>IF(A3672="","",'Employees'!C20)</f>
        <v/>
      </c>
      <c r="C3672">
        <f>IF(A3672="","",'Ratings'!C235)</f>
        <v/>
      </c>
      <c r="D3672">
        <f>IF(A3672="","",'Ratings'!D235)</f>
        <v/>
      </c>
      <c r="E3672">
        <f>IF(AND('Ratings'!A235&lt;&gt;"",'Ratings'!K5&lt;&gt;""),'Ratings'!K5,"")</f>
        <v/>
      </c>
      <c r="F3672">
        <f>IF(OR(A3672="",'Ratings'!K235=""),"",'Ratings'!K235)</f>
        <v/>
      </c>
      <c r="G3672">
        <f>IF(A3672="","",'Employees'!D20)</f>
        <v/>
      </c>
    </row>
    <row r="3673">
      <c r="A3673">
        <f>IF(AND('Ratings'!A235&lt;&gt;"",'Ratings'!L5&lt;&gt;""),'Ratings'!A235,"")</f>
        <v/>
      </c>
      <c r="B3673">
        <f>IF(A3673="","",'Employees'!C20)</f>
        <v/>
      </c>
      <c r="C3673">
        <f>IF(A3673="","",'Ratings'!C235)</f>
        <v/>
      </c>
      <c r="D3673">
        <f>IF(A3673="","",'Ratings'!D235)</f>
        <v/>
      </c>
      <c r="E3673">
        <f>IF(AND('Ratings'!A235&lt;&gt;"",'Ratings'!L5&lt;&gt;""),'Ratings'!L5,"")</f>
        <v/>
      </c>
      <c r="F3673">
        <f>IF(OR(A3673="",'Ratings'!L235=""),"",'Ratings'!L235)</f>
        <v/>
      </c>
      <c r="G3673">
        <f>IF(A3673="","",'Employees'!D20)</f>
        <v/>
      </c>
    </row>
    <row r="3674">
      <c r="A3674">
        <f>IF(AND('Ratings'!A235&lt;&gt;"",'Ratings'!M5&lt;&gt;""),'Ratings'!A235,"")</f>
        <v/>
      </c>
      <c r="B3674">
        <f>IF(A3674="","",'Employees'!C20)</f>
        <v/>
      </c>
      <c r="C3674">
        <f>IF(A3674="","",'Ratings'!C235)</f>
        <v/>
      </c>
      <c r="D3674">
        <f>IF(A3674="","",'Ratings'!D235)</f>
        <v/>
      </c>
      <c r="E3674">
        <f>IF(AND('Ratings'!A235&lt;&gt;"",'Ratings'!M5&lt;&gt;""),'Ratings'!M5,"")</f>
        <v/>
      </c>
      <c r="F3674">
        <f>IF(OR(A3674="",'Ratings'!M235=""),"",'Ratings'!M235)</f>
        <v/>
      </c>
      <c r="G3674">
        <f>IF(A3674="","",'Employees'!D20)</f>
        <v/>
      </c>
    </row>
    <row r="3675">
      <c r="A3675">
        <f>IF(AND('Ratings'!A235&lt;&gt;"",'Ratings'!N5&lt;&gt;""),'Ratings'!A235,"")</f>
        <v/>
      </c>
      <c r="B3675">
        <f>IF(A3675="","",'Employees'!C20)</f>
        <v/>
      </c>
      <c r="C3675">
        <f>IF(A3675="","",'Ratings'!C235)</f>
        <v/>
      </c>
      <c r="D3675">
        <f>IF(A3675="","",'Ratings'!D235)</f>
        <v/>
      </c>
      <c r="E3675">
        <f>IF(AND('Ratings'!A235&lt;&gt;"",'Ratings'!N5&lt;&gt;""),'Ratings'!N5,"")</f>
        <v/>
      </c>
      <c r="F3675">
        <f>IF(OR(A3675="",'Ratings'!N235=""),"",'Ratings'!N235)</f>
        <v/>
      </c>
      <c r="G3675">
        <f>IF(A3675="","",'Employees'!D20)</f>
        <v/>
      </c>
    </row>
    <row r="3676">
      <c r="A3676">
        <f>IF(AND('Ratings'!A235&lt;&gt;"",'Ratings'!O5&lt;&gt;""),'Ratings'!A235,"")</f>
        <v/>
      </c>
      <c r="B3676">
        <f>IF(A3676="","",'Employees'!C20)</f>
        <v/>
      </c>
      <c r="C3676">
        <f>IF(A3676="","",'Ratings'!C235)</f>
        <v/>
      </c>
      <c r="D3676">
        <f>IF(A3676="","",'Ratings'!D235)</f>
        <v/>
      </c>
      <c r="E3676">
        <f>IF(AND('Ratings'!A235&lt;&gt;"",'Ratings'!O5&lt;&gt;""),'Ratings'!O5,"")</f>
        <v/>
      </c>
      <c r="F3676">
        <f>IF(OR(A3676="",'Ratings'!O235=""),"",'Ratings'!O235)</f>
        <v/>
      </c>
      <c r="G3676">
        <f>IF(A3676="","",'Employees'!D20)</f>
        <v/>
      </c>
    </row>
    <row r="3677">
      <c r="A3677">
        <f>IF(AND('Ratings'!A235&lt;&gt;"",'Ratings'!P5&lt;&gt;""),'Ratings'!A235,"")</f>
        <v/>
      </c>
      <c r="B3677">
        <f>IF(A3677="","",'Employees'!C20)</f>
        <v/>
      </c>
      <c r="C3677">
        <f>IF(A3677="","",'Ratings'!C235)</f>
        <v/>
      </c>
      <c r="D3677">
        <f>IF(A3677="","",'Ratings'!D235)</f>
        <v/>
      </c>
      <c r="E3677">
        <f>IF(AND('Ratings'!A235&lt;&gt;"",'Ratings'!P5&lt;&gt;""),'Ratings'!P5,"")</f>
        <v/>
      </c>
      <c r="F3677">
        <f>IF(OR(A3677="",'Ratings'!P235=""),"",'Ratings'!P235)</f>
        <v/>
      </c>
      <c r="G3677">
        <f>IF(A3677="","",'Employees'!D20)</f>
        <v/>
      </c>
    </row>
    <row r="3678">
      <c r="A3678">
        <f>IF(AND('Ratings'!A235&lt;&gt;"",'Ratings'!Q5&lt;&gt;""),'Ratings'!A235,"")</f>
        <v/>
      </c>
      <c r="B3678">
        <f>IF(A3678="","",'Employees'!C20)</f>
        <v/>
      </c>
      <c r="C3678">
        <f>IF(A3678="","",'Ratings'!C235)</f>
        <v/>
      </c>
      <c r="D3678">
        <f>IF(A3678="","",'Ratings'!D235)</f>
        <v/>
      </c>
      <c r="E3678">
        <f>IF(AND('Ratings'!A235&lt;&gt;"",'Ratings'!Q5&lt;&gt;""),'Ratings'!Q5,"")</f>
        <v/>
      </c>
      <c r="F3678">
        <f>IF(OR(A3678="",'Ratings'!Q235=""),"",'Ratings'!Q235)</f>
        <v/>
      </c>
      <c r="G3678">
        <f>IF(A3678="","",'Employees'!D20)</f>
        <v/>
      </c>
    </row>
    <row r="3679">
      <c r="A3679">
        <f>IF(AND('Ratings'!A235&lt;&gt;"",'Ratings'!R5&lt;&gt;""),'Ratings'!A235,"")</f>
        <v/>
      </c>
      <c r="B3679">
        <f>IF(A3679="","",'Employees'!C20)</f>
        <v/>
      </c>
      <c r="C3679">
        <f>IF(A3679="","",'Ratings'!C235)</f>
        <v/>
      </c>
      <c r="D3679">
        <f>IF(A3679="","",'Ratings'!D235)</f>
        <v/>
      </c>
      <c r="E3679">
        <f>IF(AND('Ratings'!A235&lt;&gt;"",'Ratings'!R5&lt;&gt;""),'Ratings'!R5,"")</f>
        <v/>
      </c>
      <c r="F3679">
        <f>IF(OR(A3679="",'Ratings'!R235=""),"",'Ratings'!R235)</f>
        <v/>
      </c>
      <c r="G3679">
        <f>IF(A3679="","",'Employees'!D20)</f>
        <v/>
      </c>
    </row>
    <row r="3680">
      <c r="A3680">
        <f>IF(AND('Ratings'!A235&lt;&gt;"",'Ratings'!S5&lt;&gt;""),'Ratings'!A235,"")</f>
        <v/>
      </c>
      <c r="B3680">
        <f>IF(A3680="","",'Employees'!C20)</f>
        <v/>
      </c>
      <c r="C3680">
        <f>IF(A3680="","",'Ratings'!C235)</f>
        <v/>
      </c>
      <c r="D3680">
        <f>IF(A3680="","",'Ratings'!D235)</f>
        <v/>
      </c>
      <c r="E3680">
        <f>IF(AND('Ratings'!A235&lt;&gt;"",'Ratings'!S5&lt;&gt;""),'Ratings'!S5,"")</f>
        <v/>
      </c>
      <c r="F3680">
        <f>IF(OR(A3680="",'Ratings'!S235=""),"",'Ratings'!S235)</f>
        <v/>
      </c>
      <c r="G3680">
        <f>IF(A3680="","",'Employees'!D20)</f>
        <v/>
      </c>
    </row>
    <row r="3681">
      <c r="A3681">
        <f>IF(AND('Ratings'!A235&lt;&gt;"",'Ratings'!T5&lt;&gt;""),'Ratings'!A235,"")</f>
        <v/>
      </c>
      <c r="B3681">
        <f>IF(A3681="","",'Employees'!C20)</f>
        <v/>
      </c>
      <c r="C3681">
        <f>IF(A3681="","",'Ratings'!C235)</f>
        <v/>
      </c>
      <c r="D3681">
        <f>IF(A3681="","",'Ratings'!D235)</f>
        <v/>
      </c>
      <c r="E3681">
        <f>IF(AND('Ratings'!A235&lt;&gt;"",'Ratings'!T5&lt;&gt;""),'Ratings'!T5,"")</f>
        <v/>
      </c>
      <c r="F3681">
        <f>IF(OR(A3681="",'Ratings'!T235=""),"",'Ratings'!T235)</f>
        <v/>
      </c>
      <c r="G3681">
        <f>IF(A3681="","",'Employees'!D20)</f>
        <v/>
      </c>
    </row>
    <row r="3682">
      <c r="A3682">
        <f>IF(AND('Ratings'!A236&lt;&gt;"",'Ratings'!E5&lt;&gt;""),'Ratings'!A236,"")</f>
        <v/>
      </c>
      <c r="B3682">
        <f>IF(A3682="","",'Employees'!C20)</f>
        <v/>
      </c>
      <c r="C3682">
        <f>IF(A3682="","",'Ratings'!C236)</f>
        <v/>
      </c>
      <c r="D3682">
        <f>IF(A3682="","",'Ratings'!D236)</f>
        <v/>
      </c>
      <c r="E3682">
        <f>IF(AND('Ratings'!A236&lt;&gt;"",'Ratings'!E5&lt;&gt;""),'Ratings'!E5,"")</f>
        <v/>
      </c>
      <c r="F3682">
        <f>IF(OR(A3682="",'Ratings'!E236=""),"",'Ratings'!E236)</f>
        <v/>
      </c>
      <c r="G3682">
        <f>IF(A3682="","",'Employees'!D20)</f>
        <v/>
      </c>
    </row>
    <row r="3683">
      <c r="A3683">
        <f>IF(AND('Ratings'!A236&lt;&gt;"",'Ratings'!F5&lt;&gt;""),'Ratings'!A236,"")</f>
        <v/>
      </c>
      <c r="B3683">
        <f>IF(A3683="","",'Employees'!C20)</f>
        <v/>
      </c>
      <c r="C3683">
        <f>IF(A3683="","",'Ratings'!C236)</f>
        <v/>
      </c>
      <c r="D3683">
        <f>IF(A3683="","",'Ratings'!D236)</f>
        <v/>
      </c>
      <c r="E3683">
        <f>IF(AND('Ratings'!A236&lt;&gt;"",'Ratings'!F5&lt;&gt;""),'Ratings'!F5,"")</f>
        <v/>
      </c>
      <c r="F3683">
        <f>IF(OR(A3683="",'Ratings'!F236=""),"",'Ratings'!F236)</f>
        <v/>
      </c>
      <c r="G3683">
        <f>IF(A3683="","",'Employees'!D20)</f>
        <v/>
      </c>
    </row>
    <row r="3684">
      <c r="A3684">
        <f>IF(AND('Ratings'!A236&lt;&gt;"",'Ratings'!G5&lt;&gt;""),'Ratings'!A236,"")</f>
        <v/>
      </c>
      <c r="B3684">
        <f>IF(A3684="","",'Employees'!C20)</f>
        <v/>
      </c>
      <c r="C3684">
        <f>IF(A3684="","",'Ratings'!C236)</f>
        <v/>
      </c>
      <c r="D3684">
        <f>IF(A3684="","",'Ratings'!D236)</f>
        <v/>
      </c>
      <c r="E3684">
        <f>IF(AND('Ratings'!A236&lt;&gt;"",'Ratings'!G5&lt;&gt;""),'Ratings'!G5,"")</f>
        <v/>
      </c>
      <c r="F3684">
        <f>IF(OR(A3684="",'Ratings'!G236=""),"",'Ratings'!G236)</f>
        <v/>
      </c>
      <c r="G3684">
        <f>IF(A3684="","",'Employees'!D20)</f>
        <v/>
      </c>
    </row>
    <row r="3685">
      <c r="A3685">
        <f>IF(AND('Ratings'!A236&lt;&gt;"",'Ratings'!H5&lt;&gt;""),'Ratings'!A236,"")</f>
        <v/>
      </c>
      <c r="B3685">
        <f>IF(A3685="","",'Employees'!C20)</f>
        <v/>
      </c>
      <c r="C3685">
        <f>IF(A3685="","",'Ratings'!C236)</f>
        <v/>
      </c>
      <c r="D3685">
        <f>IF(A3685="","",'Ratings'!D236)</f>
        <v/>
      </c>
      <c r="E3685">
        <f>IF(AND('Ratings'!A236&lt;&gt;"",'Ratings'!H5&lt;&gt;""),'Ratings'!H5,"")</f>
        <v/>
      </c>
      <c r="F3685">
        <f>IF(OR(A3685="",'Ratings'!H236=""),"",'Ratings'!H236)</f>
        <v/>
      </c>
      <c r="G3685">
        <f>IF(A3685="","",'Employees'!D20)</f>
        <v/>
      </c>
    </row>
    <row r="3686">
      <c r="A3686">
        <f>IF(AND('Ratings'!A236&lt;&gt;"",'Ratings'!I5&lt;&gt;""),'Ratings'!A236,"")</f>
        <v/>
      </c>
      <c r="B3686">
        <f>IF(A3686="","",'Employees'!C20)</f>
        <v/>
      </c>
      <c r="C3686">
        <f>IF(A3686="","",'Ratings'!C236)</f>
        <v/>
      </c>
      <c r="D3686">
        <f>IF(A3686="","",'Ratings'!D236)</f>
        <v/>
      </c>
      <c r="E3686">
        <f>IF(AND('Ratings'!A236&lt;&gt;"",'Ratings'!I5&lt;&gt;""),'Ratings'!I5,"")</f>
        <v/>
      </c>
      <c r="F3686">
        <f>IF(OR(A3686="",'Ratings'!I236=""),"",'Ratings'!I236)</f>
        <v/>
      </c>
      <c r="G3686">
        <f>IF(A3686="","",'Employees'!D20)</f>
        <v/>
      </c>
    </row>
    <row r="3687">
      <c r="A3687">
        <f>IF(AND('Ratings'!A236&lt;&gt;"",'Ratings'!J5&lt;&gt;""),'Ratings'!A236,"")</f>
        <v/>
      </c>
      <c r="B3687">
        <f>IF(A3687="","",'Employees'!C20)</f>
        <v/>
      </c>
      <c r="C3687">
        <f>IF(A3687="","",'Ratings'!C236)</f>
        <v/>
      </c>
      <c r="D3687">
        <f>IF(A3687="","",'Ratings'!D236)</f>
        <v/>
      </c>
      <c r="E3687">
        <f>IF(AND('Ratings'!A236&lt;&gt;"",'Ratings'!J5&lt;&gt;""),'Ratings'!J5,"")</f>
        <v/>
      </c>
      <c r="F3687">
        <f>IF(OR(A3687="",'Ratings'!J236=""),"",'Ratings'!J236)</f>
        <v/>
      </c>
      <c r="G3687">
        <f>IF(A3687="","",'Employees'!D20)</f>
        <v/>
      </c>
    </row>
    <row r="3688">
      <c r="A3688">
        <f>IF(AND('Ratings'!A236&lt;&gt;"",'Ratings'!K5&lt;&gt;""),'Ratings'!A236,"")</f>
        <v/>
      </c>
      <c r="B3688">
        <f>IF(A3688="","",'Employees'!C20)</f>
        <v/>
      </c>
      <c r="C3688">
        <f>IF(A3688="","",'Ratings'!C236)</f>
        <v/>
      </c>
      <c r="D3688">
        <f>IF(A3688="","",'Ratings'!D236)</f>
        <v/>
      </c>
      <c r="E3688">
        <f>IF(AND('Ratings'!A236&lt;&gt;"",'Ratings'!K5&lt;&gt;""),'Ratings'!K5,"")</f>
        <v/>
      </c>
      <c r="F3688">
        <f>IF(OR(A3688="",'Ratings'!K236=""),"",'Ratings'!K236)</f>
        <v/>
      </c>
      <c r="G3688">
        <f>IF(A3688="","",'Employees'!D20)</f>
        <v/>
      </c>
    </row>
    <row r="3689">
      <c r="A3689">
        <f>IF(AND('Ratings'!A236&lt;&gt;"",'Ratings'!L5&lt;&gt;""),'Ratings'!A236,"")</f>
        <v/>
      </c>
      <c r="B3689">
        <f>IF(A3689="","",'Employees'!C20)</f>
        <v/>
      </c>
      <c r="C3689">
        <f>IF(A3689="","",'Ratings'!C236)</f>
        <v/>
      </c>
      <c r="D3689">
        <f>IF(A3689="","",'Ratings'!D236)</f>
        <v/>
      </c>
      <c r="E3689">
        <f>IF(AND('Ratings'!A236&lt;&gt;"",'Ratings'!L5&lt;&gt;""),'Ratings'!L5,"")</f>
        <v/>
      </c>
      <c r="F3689">
        <f>IF(OR(A3689="",'Ratings'!L236=""),"",'Ratings'!L236)</f>
        <v/>
      </c>
      <c r="G3689">
        <f>IF(A3689="","",'Employees'!D20)</f>
        <v/>
      </c>
    </row>
    <row r="3690">
      <c r="A3690">
        <f>IF(AND('Ratings'!A236&lt;&gt;"",'Ratings'!M5&lt;&gt;""),'Ratings'!A236,"")</f>
        <v/>
      </c>
      <c r="B3690">
        <f>IF(A3690="","",'Employees'!C20)</f>
        <v/>
      </c>
      <c r="C3690">
        <f>IF(A3690="","",'Ratings'!C236)</f>
        <v/>
      </c>
      <c r="D3690">
        <f>IF(A3690="","",'Ratings'!D236)</f>
        <v/>
      </c>
      <c r="E3690">
        <f>IF(AND('Ratings'!A236&lt;&gt;"",'Ratings'!M5&lt;&gt;""),'Ratings'!M5,"")</f>
        <v/>
      </c>
      <c r="F3690">
        <f>IF(OR(A3690="",'Ratings'!M236=""),"",'Ratings'!M236)</f>
        <v/>
      </c>
      <c r="G3690">
        <f>IF(A3690="","",'Employees'!D20)</f>
        <v/>
      </c>
    </row>
    <row r="3691">
      <c r="A3691">
        <f>IF(AND('Ratings'!A236&lt;&gt;"",'Ratings'!N5&lt;&gt;""),'Ratings'!A236,"")</f>
        <v/>
      </c>
      <c r="B3691">
        <f>IF(A3691="","",'Employees'!C20)</f>
        <v/>
      </c>
      <c r="C3691">
        <f>IF(A3691="","",'Ratings'!C236)</f>
        <v/>
      </c>
      <c r="D3691">
        <f>IF(A3691="","",'Ratings'!D236)</f>
        <v/>
      </c>
      <c r="E3691">
        <f>IF(AND('Ratings'!A236&lt;&gt;"",'Ratings'!N5&lt;&gt;""),'Ratings'!N5,"")</f>
        <v/>
      </c>
      <c r="F3691">
        <f>IF(OR(A3691="",'Ratings'!N236=""),"",'Ratings'!N236)</f>
        <v/>
      </c>
      <c r="G3691">
        <f>IF(A3691="","",'Employees'!D20)</f>
        <v/>
      </c>
    </row>
    <row r="3692">
      <c r="A3692">
        <f>IF(AND('Ratings'!A236&lt;&gt;"",'Ratings'!O5&lt;&gt;""),'Ratings'!A236,"")</f>
        <v/>
      </c>
      <c r="B3692">
        <f>IF(A3692="","",'Employees'!C20)</f>
        <v/>
      </c>
      <c r="C3692">
        <f>IF(A3692="","",'Ratings'!C236)</f>
        <v/>
      </c>
      <c r="D3692">
        <f>IF(A3692="","",'Ratings'!D236)</f>
        <v/>
      </c>
      <c r="E3692">
        <f>IF(AND('Ratings'!A236&lt;&gt;"",'Ratings'!O5&lt;&gt;""),'Ratings'!O5,"")</f>
        <v/>
      </c>
      <c r="F3692">
        <f>IF(OR(A3692="",'Ratings'!O236=""),"",'Ratings'!O236)</f>
        <v/>
      </c>
      <c r="G3692">
        <f>IF(A3692="","",'Employees'!D20)</f>
        <v/>
      </c>
    </row>
    <row r="3693">
      <c r="A3693">
        <f>IF(AND('Ratings'!A236&lt;&gt;"",'Ratings'!P5&lt;&gt;""),'Ratings'!A236,"")</f>
        <v/>
      </c>
      <c r="B3693">
        <f>IF(A3693="","",'Employees'!C20)</f>
        <v/>
      </c>
      <c r="C3693">
        <f>IF(A3693="","",'Ratings'!C236)</f>
        <v/>
      </c>
      <c r="D3693">
        <f>IF(A3693="","",'Ratings'!D236)</f>
        <v/>
      </c>
      <c r="E3693">
        <f>IF(AND('Ratings'!A236&lt;&gt;"",'Ratings'!P5&lt;&gt;""),'Ratings'!P5,"")</f>
        <v/>
      </c>
      <c r="F3693">
        <f>IF(OR(A3693="",'Ratings'!P236=""),"",'Ratings'!P236)</f>
        <v/>
      </c>
      <c r="G3693">
        <f>IF(A3693="","",'Employees'!D20)</f>
        <v/>
      </c>
    </row>
    <row r="3694">
      <c r="A3694">
        <f>IF(AND('Ratings'!A236&lt;&gt;"",'Ratings'!Q5&lt;&gt;""),'Ratings'!A236,"")</f>
        <v/>
      </c>
      <c r="B3694">
        <f>IF(A3694="","",'Employees'!C20)</f>
        <v/>
      </c>
      <c r="C3694">
        <f>IF(A3694="","",'Ratings'!C236)</f>
        <v/>
      </c>
      <c r="D3694">
        <f>IF(A3694="","",'Ratings'!D236)</f>
        <v/>
      </c>
      <c r="E3694">
        <f>IF(AND('Ratings'!A236&lt;&gt;"",'Ratings'!Q5&lt;&gt;""),'Ratings'!Q5,"")</f>
        <v/>
      </c>
      <c r="F3694">
        <f>IF(OR(A3694="",'Ratings'!Q236=""),"",'Ratings'!Q236)</f>
        <v/>
      </c>
      <c r="G3694">
        <f>IF(A3694="","",'Employees'!D20)</f>
        <v/>
      </c>
    </row>
    <row r="3695">
      <c r="A3695">
        <f>IF(AND('Ratings'!A236&lt;&gt;"",'Ratings'!R5&lt;&gt;""),'Ratings'!A236,"")</f>
        <v/>
      </c>
      <c r="B3695">
        <f>IF(A3695="","",'Employees'!C20)</f>
        <v/>
      </c>
      <c r="C3695">
        <f>IF(A3695="","",'Ratings'!C236)</f>
        <v/>
      </c>
      <c r="D3695">
        <f>IF(A3695="","",'Ratings'!D236)</f>
        <v/>
      </c>
      <c r="E3695">
        <f>IF(AND('Ratings'!A236&lt;&gt;"",'Ratings'!R5&lt;&gt;""),'Ratings'!R5,"")</f>
        <v/>
      </c>
      <c r="F3695">
        <f>IF(OR(A3695="",'Ratings'!R236=""),"",'Ratings'!R236)</f>
        <v/>
      </c>
      <c r="G3695">
        <f>IF(A3695="","",'Employees'!D20)</f>
        <v/>
      </c>
    </row>
    <row r="3696">
      <c r="A3696">
        <f>IF(AND('Ratings'!A236&lt;&gt;"",'Ratings'!S5&lt;&gt;""),'Ratings'!A236,"")</f>
        <v/>
      </c>
      <c r="B3696">
        <f>IF(A3696="","",'Employees'!C20)</f>
        <v/>
      </c>
      <c r="C3696">
        <f>IF(A3696="","",'Ratings'!C236)</f>
        <v/>
      </c>
      <c r="D3696">
        <f>IF(A3696="","",'Ratings'!D236)</f>
        <v/>
      </c>
      <c r="E3696">
        <f>IF(AND('Ratings'!A236&lt;&gt;"",'Ratings'!S5&lt;&gt;""),'Ratings'!S5,"")</f>
        <v/>
      </c>
      <c r="F3696">
        <f>IF(OR(A3696="",'Ratings'!S236=""),"",'Ratings'!S236)</f>
        <v/>
      </c>
      <c r="G3696">
        <f>IF(A3696="","",'Employees'!D20)</f>
        <v/>
      </c>
    </row>
    <row r="3697">
      <c r="A3697">
        <f>IF(AND('Ratings'!A236&lt;&gt;"",'Ratings'!T5&lt;&gt;""),'Ratings'!A236,"")</f>
        <v/>
      </c>
      <c r="B3697">
        <f>IF(A3697="","",'Employees'!C20)</f>
        <v/>
      </c>
      <c r="C3697">
        <f>IF(A3697="","",'Ratings'!C236)</f>
        <v/>
      </c>
      <c r="D3697">
        <f>IF(A3697="","",'Ratings'!D236)</f>
        <v/>
      </c>
      <c r="E3697">
        <f>IF(AND('Ratings'!A236&lt;&gt;"",'Ratings'!T5&lt;&gt;""),'Ratings'!T5,"")</f>
        <v/>
      </c>
      <c r="F3697">
        <f>IF(OR(A3697="",'Ratings'!T236=""),"",'Ratings'!T236)</f>
        <v/>
      </c>
      <c r="G3697">
        <f>IF(A3697="","",'Employees'!D20)</f>
        <v/>
      </c>
    </row>
    <row r="3698">
      <c r="A3698">
        <f>IF(AND('Ratings'!A237&lt;&gt;"",'Ratings'!E5&lt;&gt;""),'Ratings'!A237,"")</f>
        <v/>
      </c>
      <c r="B3698">
        <f>IF(A3698="","",'Employees'!C20)</f>
        <v/>
      </c>
      <c r="C3698">
        <f>IF(A3698="","",'Ratings'!C237)</f>
        <v/>
      </c>
      <c r="D3698">
        <f>IF(A3698="","",'Ratings'!D237)</f>
        <v/>
      </c>
      <c r="E3698">
        <f>IF(AND('Ratings'!A237&lt;&gt;"",'Ratings'!E5&lt;&gt;""),'Ratings'!E5,"")</f>
        <v/>
      </c>
      <c r="F3698">
        <f>IF(OR(A3698="",'Ratings'!E237=""),"",'Ratings'!E237)</f>
        <v/>
      </c>
      <c r="G3698">
        <f>IF(A3698="","",'Employees'!D20)</f>
        <v/>
      </c>
    </row>
    <row r="3699">
      <c r="A3699">
        <f>IF(AND('Ratings'!A237&lt;&gt;"",'Ratings'!F5&lt;&gt;""),'Ratings'!A237,"")</f>
        <v/>
      </c>
      <c r="B3699">
        <f>IF(A3699="","",'Employees'!C20)</f>
        <v/>
      </c>
      <c r="C3699">
        <f>IF(A3699="","",'Ratings'!C237)</f>
        <v/>
      </c>
      <c r="D3699">
        <f>IF(A3699="","",'Ratings'!D237)</f>
        <v/>
      </c>
      <c r="E3699">
        <f>IF(AND('Ratings'!A237&lt;&gt;"",'Ratings'!F5&lt;&gt;""),'Ratings'!F5,"")</f>
        <v/>
      </c>
      <c r="F3699">
        <f>IF(OR(A3699="",'Ratings'!F237=""),"",'Ratings'!F237)</f>
        <v/>
      </c>
      <c r="G3699">
        <f>IF(A3699="","",'Employees'!D20)</f>
        <v/>
      </c>
    </row>
    <row r="3700">
      <c r="A3700">
        <f>IF(AND('Ratings'!A237&lt;&gt;"",'Ratings'!G5&lt;&gt;""),'Ratings'!A237,"")</f>
        <v/>
      </c>
      <c r="B3700">
        <f>IF(A3700="","",'Employees'!C20)</f>
        <v/>
      </c>
      <c r="C3700">
        <f>IF(A3700="","",'Ratings'!C237)</f>
        <v/>
      </c>
      <c r="D3700">
        <f>IF(A3700="","",'Ratings'!D237)</f>
        <v/>
      </c>
      <c r="E3700">
        <f>IF(AND('Ratings'!A237&lt;&gt;"",'Ratings'!G5&lt;&gt;""),'Ratings'!G5,"")</f>
        <v/>
      </c>
      <c r="F3700">
        <f>IF(OR(A3700="",'Ratings'!G237=""),"",'Ratings'!G237)</f>
        <v/>
      </c>
      <c r="G3700">
        <f>IF(A3700="","",'Employees'!D20)</f>
        <v/>
      </c>
    </row>
    <row r="3701">
      <c r="A3701">
        <f>IF(AND('Ratings'!A237&lt;&gt;"",'Ratings'!H5&lt;&gt;""),'Ratings'!A237,"")</f>
        <v/>
      </c>
      <c r="B3701">
        <f>IF(A3701="","",'Employees'!C20)</f>
        <v/>
      </c>
      <c r="C3701">
        <f>IF(A3701="","",'Ratings'!C237)</f>
        <v/>
      </c>
      <c r="D3701">
        <f>IF(A3701="","",'Ratings'!D237)</f>
        <v/>
      </c>
      <c r="E3701">
        <f>IF(AND('Ratings'!A237&lt;&gt;"",'Ratings'!H5&lt;&gt;""),'Ratings'!H5,"")</f>
        <v/>
      </c>
      <c r="F3701">
        <f>IF(OR(A3701="",'Ratings'!H237=""),"",'Ratings'!H237)</f>
        <v/>
      </c>
      <c r="G3701">
        <f>IF(A3701="","",'Employees'!D20)</f>
        <v/>
      </c>
    </row>
    <row r="3702">
      <c r="A3702">
        <f>IF(AND('Ratings'!A237&lt;&gt;"",'Ratings'!I5&lt;&gt;""),'Ratings'!A237,"")</f>
        <v/>
      </c>
      <c r="B3702">
        <f>IF(A3702="","",'Employees'!C20)</f>
        <v/>
      </c>
      <c r="C3702">
        <f>IF(A3702="","",'Ratings'!C237)</f>
        <v/>
      </c>
      <c r="D3702">
        <f>IF(A3702="","",'Ratings'!D237)</f>
        <v/>
      </c>
      <c r="E3702">
        <f>IF(AND('Ratings'!A237&lt;&gt;"",'Ratings'!I5&lt;&gt;""),'Ratings'!I5,"")</f>
        <v/>
      </c>
      <c r="F3702">
        <f>IF(OR(A3702="",'Ratings'!I237=""),"",'Ratings'!I237)</f>
        <v/>
      </c>
      <c r="G3702">
        <f>IF(A3702="","",'Employees'!D20)</f>
        <v/>
      </c>
    </row>
    <row r="3703">
      <c r="A3703">
        <f>IF(AND('Ratings'!A237&lt;&gt;"",'Ratings'!J5&lt;&gt;""),'Ratings'!A237,"")</f>
        <v/>
      </c>
      <c r="B3703">
        <f>IF(A3703="","",'Employees'!C20)</f>
        <v/>
      </c>
      <c r="C3703">
        <f>IF(A3703="","",'Ratings'!C237)</f>
        <v/>
      </c>
      <c r="D3703">
        <f>IF(A3703="","",'Ratings'!D237)</f>
        <v/>
      </c>
      <c r="E3703">
        <f>IF(AND('Ratings'!A237&lt;&gt;"",'Ratings'!J5&lt;&gt;""),'Ratings'!J5,"")</f>
        <v/>
      </c>
      <c r="F3703">
        <f>IF(OR(A3703="",'Ratings'!J237=""),"",'Ratings'!J237)</f>
        <v/>
      </c>
      <c r="G3703">
        <f>IF(A3703="","",'Employees'!D20)</f>
        <v/>
      </c>
    </row>
    <row r="3704">
      <c r="A3704">
        <f>IF(AND('Ratings'!A237&lt;&gt;"",'Ratings'!K5&lt;&gt;""),'Ratings'!A237,"")</f>
        <v/>
      </c>
      <c r="B3704">
        <f>IF(A3704="","",'Employees'!C20)</f>
        <v/>
      </c>
      <c r="C3704">
        <f>IF(A3704="","",'Ratings'!C237)</f>
        <v/>
      </c>
      <c r="D3704">
        <f>IF(A3704="","",'Ratings'!D237)</f>
        <v/>
      </c>
      <c r="E3704">
        <f>IF(AND('Ratings'!A237&lt;&gt;"",'Ratings'!K5&lt;&gt;""),'Ratings'!K5,"")</f>
        <v/>
      </c>
      <c r="F3704">
        <f>IF(OR(A3704="",'Ratings'!K237=""),"",'Ratings'!K237)</f>
        <v/>
      </c>
      <c r="G3704">
        <f>IF(A3704="","",'Employees'!D20)</f>
        <v/>
      </c>
    </row>
    <row r="3705">
      <c r="A3705">
        <f>IF(AND('Ratings'!A237&lt;&gt;"",'Ratings'!L5&lt;&gt;""),'Ratings'!A237,"")</f>
        <v/>
      </c>
      <c r="B3705">
        <f>IF(A3705="","",'Employees'!C20)</f>
        <v/>
      </c>
      <c r="C3705">
        <f>IF(A3705="","",'Ratings'!C237)</f>
        <v/>
      </c>
      <c r="D3705">
        <f>IF(A3705="","",'Ratings'!D237)</f>
        <v/>
      </c>
      <c r="E3705">
        <f>IF(AND('Ratings'!A237&lt;&gt;"",'Ratings'!L5&lt;&gt;""),'Ratings'!L5,"")</f>
        <v/>
      </c>
      <c r="F3705">
        <f>IF(OR(A3705="",'Ratings'!L237=""),"",'Ratings'!L237)</f>
        <v/>
      </c>
      <c r="G3705">
        <f>IF(A3705="","",'Employees'!D20)</f>
        <v/>
      </c>
    </row>
    <row r="3706">
      <c r="A3706">
        <f>IF(AND('Ratings'!A237&lt;&gt;"",'Ratings'!M5&lt;&gt;""),'Ratings'!A237,"")</f>
        <v/>
      </c>
      <c r="B3706">
        <f>IF(A3706="","",'Employees'!C20)</f>
        <v/>
      </c>
      <c r="C3706">
        <f>IF(A3706="","",'Ratings'!C237)</f>
        <v/>
      </c>
      <c r="D3706">
        <f>IF(A3706="","",'Ratings'!D237)</f>
        <v/>
      </c>
      <c r="E3706">
        <f>IF(AND('Ratings'!A237&lt;&gt;"",'Ratings'!M5&lt;&gt;""),'Ratings'!M5,"")</f>
        <v/>
      </c>
      <c r="F3706">
        <f>IF(OR(A3706="",'Ratings'!M237=""),"",'Ratings'!M237)</f>
        <v/>
      </c>
      <c r="G3706">
        <f>IF(A3706="","",'Employees'!D20)</f>
        <v/>
      </c>
    </row>
    <row r="3707">
      <c r="A3707">
        <f>IF(AND('Ratings'!A237&lt;&gt;"",'Ratings'!N5&lt;&gt;""),'Ratings'!A237,"")</f>
        <v/>
      </c>
      <c r="B3707">
        <f>IF(A3707="","",'Employees'!C20)</f>
        <v/>
      </c>
      <c r="C3707">
        <f>IF(A3707="","",'Ratings'!C237)</f>
        <v/>
      </c>
      <c r="D3707">
        <f>IF(A3707="","",'Ratings'!D237)</f>
        <v/>
      </c>
      <c r="E3707">
        <f>IF(AND('Ratings'!A237&lt;&gt;"",'Ratings'!N5&lt;&gt;""),'Ratings'!N5,"")</f>
        <v/>
      </c>
      <c r="F3707">
        <f>IF(OR(A3707="",'Ratings'!N237=""),"",'Ratings'!N237)</f>
        <v/>
      </c>
      <c r="G3707">
        <f>IF(A3707="","",'Employees'!D20)</f>
        <v/>
      </c>
    </row>
    <row r="3708">
      <c r="A3708">
        <f>IF(AND('Ratings'!A237&lt;&gt;"",'Ratings'!O5&lt;&gt;""),'Ratings'!A237,"")</f>
        <v/>
      </c>
      <c r="B3708">
        <f>IF(A3708="","",'Employees'!C20)</f>
        <v/>
      </c>
      <c r="C3708">
        <f>IF(A3708="","",'Ratings'!C237)</f>
        <v/>
      </c>
      <c r="D3708">
        <f>IF(A3708="","",'Ratings'!D237)</f>
        <v/>
      </c>
      <c r="E3708">
        <f>IF(AND('Ratings'!A237&lt;&gt;"",'Ratings'!O5&lt;&gt;""),'Ratings'!O5,"")</f>
        <v/>
      </c>
      <c r="F3708">
        <f>IF(OR(A3708="",'Ratings'!O237=""),"",'Ratings'!O237)</f>
        <v/>
      </c>
      <c r="G3708">
        <f>IF(A3708="","",'Employees'!D20)</f>
        <v/>
      </c>
    </row>
    <row r="3709">
      <c r="A3709">
        <f>IF(AND('Ratings'!A237&lt;&gt;"",'Ratings'!P5&lt;&gt;""),'Ratings'!A237,"")</f>
        <v/>
      </c>
      <c r="B3709">
        <f>IF(A3709="","",'Employees'!C20)</f>
        <v/>
      </c>
      <c r="C3709">
        <f>IF(A3709="","",'Ratings'!C237)</f>
        <v/>
      </c>
      <c r="D3709">
        <f>IF(A3709="","",'Ratings'!D237)</f>
        <v/>
      </c>
      <c r="E3709">
        <f>IF(AND('Ratings'!A237&lt;&gt;"",'Ratings'!P5&lt;&gt;""),'Ratings'!P5,"")</f>
        <v/>
      </c>
      <c r="F3709">
        <f>IF(OR(A3709="",'Ratings'!P237=""),"",'Ratings'!P237)</f>
        <v/>
      </c>
      <c r="G3709">
        <f>IF(A3709="","",'Employees'!D20)</f>
        <v/>
      </c>
    </row>
    <row r="3710">
      <c r="A3710">
        <f>IF(AND('Ratings'!A237&lt;&gt;"",'Ratings'!Q5&lt;&gt;""),'Ratings'!A237,"")</f>
        <v/>
      </c>
      <c r="B3710">
        <f>IF(A3710="","",'Employees'!C20)</f>
        <v/>
      </c>
      <c r="C3710">
        <f>IF(A3710="","",'Ratings'!C237)</f>
        <v/>
      </c>
      <c r="D3710">
        <f>IF(A3710="","",'Ratings'!D237)</f>
        <v/>
      </c>
      <c r="E3710">
        <f>IF(AND('Ratings'!A237&lt;&gt;"",'Ratings'!Q5&lt;&gt;""),'Ratings'!Q5,"")</f>
        <v/>
      </c>
      <c r="F3710">
        <f>IF(OR(A3710="",'Ratings'!Q237=""),"",'Ratings'!Q237)</f>
        <v/>
      </c>
      <c r="G3710">
        <f>IF(A3710="","",'Employees'!D20)</f>
        <v/>
      </c>
    </row>
    <row r="3711">
      <c r="A3711">
        <f>IF(AND('Ratings'!A237&lt;&gt;"",'Ratings'!R5&lt;&gt;""),'Ratings'!A237,"")</f>
        <v/>
      </c>
      <c r="B3711">
        <f>IF(A3711="","",'Employees'!C20)</f>
        <v/>
      </c>
      <c r="C3711">
        <f>IF(A3711="","",'Ratings'!C237)</f>
        <v/>
      </c>
      <c r="D3711">
        <f>IF(A3711="","",'Ratings'!D237)</f>
        <v/>
      </c>
      <c r="E3711">
        <f>IF(AND('Ratings'!A237&lt;&gt;"",'Ratings'!R5&lt;&gt;""),'Ratings'!R5,"")</f>
        <v/>
      </c>
      <c r="F3711">
        <f>IF(OR(A3711="",'Ratings'!R237=""),"",'Ratings'!R237)</f>
        <v/>
      </c>
      <c r="G3711">
        <f>IF(A3711="","",'Employees'!D20)</f>
        <v/>
      </c>
    </row>
    <row r="3712">
      <c r="A3712">
        <f>IF(AND('Ratings'!A237&lt;&gt;"",'Ratings'!S5&lt;&gt;""),'Ratings'!A237,"")</f>
        <v/>
      </c>
      <c r="B3712">
        <f>IF(A3712="","",'Employees'!C20)</f>
        <v/>
      </c>
      <c r="C3712">
        <f>IF(A3712="","",'Ratings'!C237)</f>
        <v/>
      </c>
      <c r="D3712">
        <f>IF(A3712="","",'Ratings'!D237)</f>
        <v/>
      </c>
      <c r="E3712">
        <f>IF(AND('Ratings'!A237&lt;&gt;"",'Ratings'!S5&lt;&gt;""),'Ratings'!S5,"")</f>
        <v/>
      </c>
      <c r="F3712">
        <f>IF(OR(A3712="",'Ratings'!S237=""),"",'Ratings'!S237)</f>
        <v/>
      </c>
      <c r="G3712">
        <f>IF(A3712="","",'Employees'!D20)</f>
        <v/>
      </c>
    </row>
    <row r="3713">
      <c r="A3713">
        <f>IF(AND('Ratings'!A237&lt;&gt;"",'Ratings'!T5&lt;&gt;""),'Ratings'!A237,"")</f>
        <v/>
      </c>
      <c r="B3713">
        <f>IF(A3713="","",'Employees'!C20)</f>
        <v/>
      </c>
      <c r="C3713">
        <f>IF(A3713="","",'Ratings'!C237)</f>
        <v/>
      </c>
      <c r="D3713">
        <f>IF(A3713="","",'Ratings'!D237)</f>
        <v/>
      </c>
      <c r="E3713">
        <f>IF(AND('Ratings'!A237&lt;&gt;"",'Ratings'!T5&lt;&gt;""),'Ratings'!T5,"")</f>
        <v/>
      </c>
      <c r="F3713">
        <f>IF(OR(A3713="",'Ratings'!T237=""),"",'Ratings'!T237)</f>
        <v/>
      </c>
      <c r="G3713">
        <f>IF(A3713="","",'Employees'!D20)</f>
        <v/>
      </c>
    </row>
    <row r="3714">
      <c r="A3714">
        <f>IF(AND('Ratings'!A238&lt;&gt;"",'Ratings'!E5&lt;&gt;""),'Ratings'!A238,"")</f>
        <v/>
      </c>
      <c r="B3714">
        <f>IF(A3714="","",'Employees'!C20)</f>
        <v/>
      </c>
      <c r="C3714">
        <f>IF(A3714="","",'Ratings'!C238)</f>
        <v/>
      </c>
      <c r="D3714">
        <f>IF(A3714="","",'Ratings'!D238)</f>
        <v/>
      </c>
      <c r="E3714">
        <f>IF(AND('Ratings'!A238&lt;&gt;"",'Ratings'!E5&lt;&gt;""),'Ratings'!E5,"")</f>
        <v/>
      </c>
      <c r="F3714">
        <f>IF(OR(A3714="",'Ratings'!E238=""),"",'Ratings'!E238)</f>
        <v/>
      </c>
      <c r="G3714">
        <f>IF(A3714="","",'Employees'!D20)</f>
        <v/>
      </c>
    </row>
    <row r="3715">
      <c r="A3715">
        <f>IF(AND('Ratings'!A238&lt;&gt;"",'Ratings'!F5&lt;&gt;""),'Ratings'!A238,"")</f>
        <v/>
      </c>
      <c r="B3715">
        <f>IF(A3715="","",'Employees'!C20)</f>
        <v/>
      </c>
      <c r="C3715">
        <f>IF(A3715="","",'Ratings'!C238)</f>
        <v/>
      </c>
      <c r="D3715">
        <f>IF(A3715="","",'Ratings'!D238)</f>
        <v/>
      </c>
      <c r="E3715">
        <f>IF(AND('Ratings'!A238&lt;&gt;"",'Ratings'!F5&lt;&gt;""),'Ratings'!F5,"")</f>
        <v/>
      </c>
      <c r="F3715">
        <f>IF(OR(A3715="",'Ratings'!F238=""),"",'Ratings'!F238)</f>
        <v/>
      </c>
      <c r="G3715">
        <f>IF(A3715="","",'Employees'!D20)</f>
        <v/>
      </c>
    </row>
    <row r="3716">
      <c r="A3716">
        <f>IF(AND('Ratings'!A238&lt;&gt;"",'Ratings'!G5&lt;&gt;""),'Ratings'!A238,"")</f>
        <v/>
      </c>
      <c r="B3716">
        <f>IF(A3716="","",'Employees'!C20)</f>
        <v/>
      </c>
      <c r="C3716">
        <f>IF(A3716="","",'Ratings'!C238)</f>
        <v/>
      </c>
      <c r="D3716">
        <f>IF(A3716="","",'Ratings'!D238)</f>
        <v/>
      </c>
      <c r="E3716">
        <f>IF(AND('Ratings'!A238&lt;&gt;"",'Ratings'!G5&lt;&gt;""),'Ratings'!G5,"")</f>
        <v/>
      </c>
      <c r="F3716">
        <f>IF(OR(A3716="",'Ratings'!G238=""),"",'Ratings'!G238)</f>
        <v/>
      </c>
      <c r="G3716">
        <f>IF(A3716="","",'Employees'!D20)</f>
        <v/>
      </c>
    </row>
    <row r="3717">
      <c r="A3717">
        <f>IF(AND('Ratings'!A238&lt;&gt;"",'Ratings'!H5&lt;&gt;""),'Ratings'!A238,"")</f>
        <v/>
      </c>
      <c r="B3717">
        <f>IF(A3717="","",'Employees'!C20)</f>
        <v/>
      </c>
      <c r="C3717">
        <f>IF(A3717="","",'Ratings'!C238)</f>
        <v/>
      </c>
      <c r="D3717">
        <f>IF(A3717="","",'Ratings'!D238)</f>
        <v/>
      </c>
      <c r="E3717">
        <f>IF(AND('Ratings'!A238&lt;&gt;"",'Ratings'!H5&lt;&gt;""),'Ratings'!H5,"")</f>
        <v/>
      </c>
      <c r="F3717">
        <f>IF(OR(A3717="",'Ratings'!H238=""),"",'Ratings'!H238)</f>
        <v/>
      </c>
      <c r="G3717">
        <f>IF(A3717="","",'Employees'!D20)</f>
        <v/>
      </c>
    </row>
    <row r="3718">
      <c r="A3718">
        <f>IF(AND('Ratings'!A238&lt;&gt;"",'Ratings'!I5&lt;&gt;""),'Ratings'!A238,"")</f>
        <v/>
      </c>
      <c r="B3718">
        <f>IF(A3718="","",'Employees'!C20)</f>
        <v/>
      </c>
      <c r="C3718">
        <f>IF(A3718="","",'Ratings'!C238)</f>
        <v/>
      </c>
      <c r="D3718">
        <f>IF(A3718="","",'Ratings'!D238)</f>
        <v/>
      </c>
      <c r="E3718">
        <f>IF(AND('Ratings'!A238&lt;&gt;"",'Ratings'!I5&lt;&gt;""),'Ratings'!I5,"")</f>
        <v/>
      </c>
      <c r="F3718">
        <f>IF(OR(A3718="",'Ratings'!I238=""),"",'Ratings'!I238)</f>
        <v/>
      </c>
      <c r="G3718">
        <f>IF(A3718="","",'Employees'!D20)</f>
        <v/>
      </c>
    </row>
    <row r="3719">
      <c r="A3719">
        <f>IF(AND('Ratings'!A238&lt;&gt;"",'Ratings'!J5&lt;&gt;""),'Ratings'!A238,"")</f>
        <v/>
      </c>
      <c r="B3719">
        <f>IF(A3719="","",'Employees'!C20)</f>
        <v/>
      </c>
      <c r="C3719">
        <f>IF(A3719="","",'Ratings'!C238)</f>
        <v/>
      </c>
      <c r="D3719">
        <f>IF(A3719="","",'Ratings'!D238)</f>
        <v/>
      </c>
      <c r="E3719">
        <f>IF(AND('Ratings'!A238&lt;&gt;"",'Ratings'!J5&lt;&gt;""),'Ratings'!J5,"")</f>
        <v/>
      </c>
      <c r="F3719">
        <f>IF(OR(A3719="",'Ratings'!J238=""),"",'Ratings'!J238)</f>
        <v/>
      </c>
      <c r="G3719">
        <f>IF(A3719="","",'Employees'!D20)</f>
        <v/>
      </c>
    </row>
    <row r="3720">
      <c r="A3720">
        <f>IF(AND('Ratings'!A238&lt;&gt;"",'Ratings'!K5&lt;&gt;""),'Ratings'!A238,"")</f>
        <v/>
      </c>
      <c r="B3720">
        <f>IF(A3720="","",'Employees'!C20)</f>
        <v/>
      </c>
      <c r="C3720">
        <f>IF(A3720="","",'Ratings'!C238)</f>
        <v/>
      </c>
      <c r="D3720">
        <f>IF(A3720="","",'Ratings'!D238)</f>
        <v/>
      </c>
      <c r="E3720">
        <f>IF(AND('Ratings'!A238&lt;&gt;"",'Ratings'!K5&lt;&gt;""),'Ratings'!K5,"")</f>
        <v/>
      </c>
      <c r="F3720">
        <f>IF(OR(A3720="",'Ratings'!K238=""),"",'Ratings'!K238)</f>
        <v/>
      </c>
      <c r="G3720">
        <f>IF(A3720="","",'Employees'!D20)</f>
        <v/>
      </c>
    </row>
    <row r="3721">
      <c r="A3721">
        <f>IF(AND('Ratings'!A238&lt;&gt;"",'Ratings'!L5&lt;&gt;""),'Ratings'!A238,"")</f>
        <v/>
      </c>
      <c r="B3721">
        <f>IF(A3721="","",'Employees'!C20)</f>
        <v/>
      </c>
      <c r="C3721">
        <f>IF(A3721="","",'Ratings'!C238)</f>
        <v/>
      </c>
      <c r="D3721">
        <f>IF(A3721="","",'Ratings'!D238)</f>
        <v/>
      </c>
      <c r="E3721">
        <f>IF(AND('Ratings'!A238&lt;&gt;"",'Ratings'!L5&lt;&gt;""),'Ratings'!L5,"")</f>
        <v/>
      </c>
      <c r="F3721">
        <f>IF(OR(A3721="",'Ratings'!L238=""),"",'Ratings'!L238)</f>
        <v/>
      </c>
      <c r="G3721">
        <f>IF(A3721="","",'Employees'!D20)</f>
        <v/>
      </c>
    </row>
    <row r="3722">
      <c r="A3722">
        <f>IF(AND('Ratings'!A238&lt;&gt;"",'Ratings'!M5&lt;&gt;""),'Ratings'!A238,"")</f>
        <v/>
      </c>
      <c r="B3722">
        <f>IF(A3722="","",'Employees'!C20)</f>
        <v/>
      </c>
      <c r="C3722">
        <f>IF(A3722="","",'Ratings'!C238)</f>
        <v/>
      </c>
      <c r="D3722">
        <f>IF(A3722="","",'Ratings'!D238)</f>
        <v/>
      </c>
      <c r="E3722">
        <f>IF(AND('Ratings'!A238&lt;&gt;"",'Ratings'!M5&lt;&gt;""),'Ratings'!M5,"")</f>
        <v/>
      </c>
      <c r="F3722">
        <f>IF(OR(A3722="",'Ratings'!M238=""),"",'Ratings'!M238)</f>
        <v/>
      </c>
      <c r="G3722">
        <f>IF(A3722="","",'Employees'!D20)</f>
        <v/>
      </c>
    </row>
    <row r="3723">
      <c r="A3723">
        <f>IF(AND('Ratings'!A238&lt;&gt;"",'Ratings'!N5&lt;&gt;""),'Ratings'!A238,"")</f>
        <v/>
      </c>
      <c r="B3723">
        <f>IF(A3723="","",'Employees'!C20)</f>
        <v/>
      </c>
      <c r="C3723">
        <f>IF(A3723="","",'Ratings'!C238)</f>
        <v/>
      </c>
      <c r="D3723">
        <f>IF(A3723="","",'Ratings'!D238)</f>
        <v/>
      </c>
      <c r="E3723">
        <f>IF(AND('Ratings'!A238&lt;&gt;"",'Ratings'!N5&lt;&gt;""),'Ratings'!N5,"")</f>
        <v/>
      </c>
      <c r="F3723">
        <f>IF(OR(A3723="",'Ratings'!N238=""),"",'Ratings'!N238)</f>
        <v/>
      </c>
      <c r="G3723">
        <f>IF(A3723="","",'Employees'!D20)</f>
        <v/>
      </c>
    </row>
    <row r="3724">
      <c r="A3724">
        <f>IF(AND('Ratings'!A238&lt;&gt;"",'Ratings'!O5&lt;&gt;""),'Ratings'!A238,"")</f>
        <v/>
      </c>
      <c r="B3724">
        <f>IF(A3724="","",'Employees'!C20)</f>
        <v/>
      </c>
      <c r="C3724">
        <f>IF(A3724="","",'Ratings'!C238)</f>
        <v/>
      </c>
      <c r="D3724">
        <f>IF(A3724="","",'Ratings'!D238)</f>
        <v/>
      </c>
      <c r="E3724">
        <f>IF(AND('Ratings'!A238&lt;&gt;"",'Ratings'!O5&lt;&gt;""),'Ratings'!O5,"")</f>
        <v/>
      </c>
      <c r="F3724">
        <f>IF(OR(A3724="",'Ratings'!O238=""),"",'Ratings'!O238)</f>
        <v/>
      </c>
      <c r="G3724">
        <f>IF(A3724="","",'Employees'!D20)</f>
        <v/>
      </c>
    </row>
    <row r="3725">
      <c r="A3725">
        <f>IF(AND('Ratings'!A238&lt;&gt;"",'Ratings'!P5&lt;&gt;""),'Ratings'!A238,"")</f>
        <v/>
      </c>
      <c r="B3725">
        <f>IF(A3725="","",'Employees'!C20)</f>
        <v/>
      </c>
      <c r="C3725">
        <f>IF(A3725="","",'Ratings'!C238)</f>
        <v/>
      </c>
      <c r="D3725">
        <f>IF(A3725="","",'Ratings'!D238)</f>
        <v/>
      </c>
      <c r="E3725">
        <f>IF(AND('Ratings'!A238&lt;&gt;"",'Ratings'!P5&lt;&gt;""),'Ratings'!P5,"")</f>
        <v/>
      </c>
      <c r="F3725">
        <f>IF(OR(A3725="",'Ratings'!P238=""),"",'Ratings'!P238)</f>
        <v/>
      </c>
      <c r="G3725">
        <f>IF(A3725="","",'Employees'!D20)</f>
        <v/>
      </c>
    </row>
    <row r="3726">
      <c r="A3726">
        <f>IF(AND('Ratings'!A238&lt;&gt;"",'Ratings'!Q5&lt;&gt;""),'Ratings'!A238,"")</f>
        <v/>
      </c>
      <c r="B3726">
        <f>IF(A3726="","",'Employees'!C20)</f>
        <v/>
      </c>
      <c r="C3726">
        <f>IF(A3726="","",'Ratings'!C238)</f>
        <v/>
      </c>
      <c r="D3726">
        <f>IF(A3726="","",'Ratings'!D238)</f>
        <v/>
      </c>
      <c r="E3726">
        <f>IF(AND('Ratings'!A238&lt;&gt;"",'Ratings'!Q5&lt;&gt;""),'Ratings'!Q5,"")</f>
        <v/>
      </c>
      <c r="F3726">
        <f>IF(OR(A3726="",'Ratings'!Q238=""),"",'Ratings'!Q238)</f>
        <v/>
      </c>
      <c r="G3726">
        <f>IF(A3726="","",'Employees'!D20)</f>
        <v/>
      </c>
    </row>
    <row r="3727">
      <c r="A3727">
        <f>IF(AND('Ratings'!A238&lt;&gt;"",'Ratings'!R5&lt;&gt;""),'Ratings'!A238,"")</f>
        <v/>
      </c>
      <c r="B3727">
        <f>IF(A3727="","",'Employees'!C20)</f>
        <v/>
      </c>
      <c r="C3727">
        <f>IF(A3727="","",'Ratings'!C238)</f>
        <v/>
      </c>
      <c r="D3727">
        <f>IF(A3727="","",'Ratings'!D238)</f>
        <v/>
      </c>
      <c r="E3727">
        <f>IF(AND('Ratings'!A238&lt;&gt;"",'Ratings'!R5&lt;&gt;""),'Ratings'!R5,"")</f>
        <v/>
      </c>
      <c r="F3727">
        <f>IF(OR(A3727="",'Ratings'!R238=""),"",'Ratings'!R238)</f>
        <v/>
      </c>
      <c r="G3727">
        <f>IF(A3727="","",'Employees'!D20)</f>
        <v/>
      </c>
    </row>
    <row r="3728">
      <c r="A3728">
        <f>IF(AND('Ratings'!A238&lt;&gt;"",'Ratings'!S5&lt;&gt;""),'Ratings'!A238,"")</f>
        <v/>
      </c>
      <c r="B3728">
        <f>IF(A3728="","",'Employees'!C20)</f>
        <v/>
      </c>
      <c r="C3728">
        <f>IF(A3728="","",'Ratings'!C238)</f>
        <v/>
      </c>
      <c r="D3728">
        <f>IF(A3728="","",'Ratings'!D238)</f>
        <v/>
      </c>
      <c r="E3728">
        <f>IF(AND('Ratings'!A238&lt;&gt;"",'Ratings'!S5&lt;&gt;""),'Ratings'!S5,"")</f>
        <v/>
      </c>
      <c r="F3728">
        <f>IF(OR(A3728="",'Ratings'!S238=""),"",'Ratings'!S238)</f>
        <v/>
      </c>
      <c r="G3728">
        <f>IF(A3728="","",'Employees'!D20)</f>
        <v/>
      </c>
    </row>
    <row r="3729">
      <c r="A3729">
        <f>IF(AND('Ratings'!A238&lt;&gt;"",'Ratings'!T5&lt;&gt;""),'Ratings'!A238,"")</f>
        <v/>
      </c>
      <c r="B3729">
        <f>IF(A3729="","",'Employees'!C20)</f>
        <v/>
      </c>
      <c r="C3729">
        <f>IF(A3729="","",'Ratings'!C238)</f>
        <v/>
      </c>
      <c r="D3729">
        <f>IF(A3729="","",'Ratings'!D238)</f>
        <v/>
      </c>
      <c r="E3729">
        <f>IF(AND('Ratings'!A238&lt;&gt;"",'Ratings'!T5&lt;&gt;""),'Ratings'!T5,"")</f>
        <v/>
      </c>
      <c r="F3729">
        <f>IF(OR(A3729="",'Ratings'!T238=""),"",'Ratings'!T238)</f>
        <v/>
      </c>
      <c r="G3729">
        <f>IF(A3729="","",'Employees'!D20)</f>
        <v/>
      </c>
    </row>
    <row r="3730">
      <c r="A3730">
        <f>IF(AND('Ratings'!A239&lt;&gt;"",'Ratings'!E5&lt;&gt;""),'Ratings'!A239,"")</f>
        <v/>
      </c>
      <c r="B3730">
        <f>IF(A3730="","",'Employees'!C20)</f>
        <v/>
      </c>
      <c r="C3730">
        <f>IF(A3730="","",'Ratings'!C239)</f>
        <v/>
      </c>
      <c r="D3730">
        <f>IF(A3730="","",'Ratings'!D239)</f>
        <v/>
      </c>
      <c r="E3730">
        <f>IF(AND('Ratings'!A239&lt;&gt;"",'Ratings'!E5&lt;&gt;""),'Ratings'!E5,"")</f>
        <v/>
      </c>
      <c r="F3730">
        <f>IF(OR(A3730="",'Ratings'!E239=""),"",'Ratings'!E239)</f>
        <v/>
      </c>
      <c r="G3730">
        <f>IF(A3730="","",'Employees'!D20)</f>
        <v/>
      </c>
    </row>
    <row r="3731">
      <c r="A3731">
        <f>IF(AND('Ratings'!A239&lt;&gt;"",'Ratings'!F5&lt;&gt;""),'Ratings'!A239,"")</f>
        <v/>
      </c>
      <c r="B3731">
        <f>IF(A3731="","",'Employees'!C20)</f>
        <v/>
      </c>
      <c r="C3731">
        <f>IF(A3731="","",'Ratings'!C239)</f>
        <v/>
      </c>
      <c r="D3731">
        <f>IF(A3731="","",'Ratings'!D239)</f>
        <v/>
      </c>
      <c r="E3731">
        <f>IF(AND('Ratings'!A239&lt;&gt;"",'Ratings'!F5&lt;&gt;""),'Ratings'!F5,"")</f>
        <v/>
      </c>
      <c r="F3731">
        <f>IF(OR(A3731="",'Ratings'!F239=""),"",'Ratings'!F239)</f>
        <v/>
      </c>
      <c r="G3731">
        <f>IF(A3731="","",'Employees'!D20)</f>
        <v/>
      </c>
    </row>
    <row r="3732">
      <c r="A3732">
        <f>IF(AND('Ratings'!A239&lt;&gt;"",'Ratings'!G5&lt;&gt;""),'Ratings'!A239,"")</f>
        <v/>
      </c>
      <c r="B3732">
        <f>IF(A3732="","",'Employees'!C20)</f>
        <v/>
      </c>
      <c r="C3732">
        <f>IF(A3732="","",'Ratings'!C239)</f>
        <v/>
      </c>
      <c r="D3732">
        <f>IF(A3732="","",'Ratings'!D239)</f>
        <v/>
      </c>
      <c r="E3732">
        <f>IF(AND('Ratings'!A239&lt;&gt;"",'Ratings'!G5&lt;&gt;""),'Ratings'!G5,"")</f>
        <v/>
      </c>
      <c r="F3732">
        <f>IF(OR(A3732="",'Ratings'!G239=""),"",'Ratings'!G239)</f>
        <v/>
      </c>
      <c r="G3732">
        <f>IF(A3732="","",'Employees'!D20)</f>
        <v/>
      </c>
    </row>
    <row r="3733">
      <c r="A3733">
        <f>IF(AND('Ratings'!A239&lt;&gt;"",'Ratings'!H5&lt;&gt;""),'Ratings'!A239,"")</f>
        <v/>
      </c>
      <c r="B3733">
        <f>IF(A3733="","",'Employees'!C20)</f>
        <v/>
      </c>
      <c r="C3733">
        <f>IF(A3733="","",'Ratings'!C239)</f>
        <v/>
      </c>
      <c r="D3733">
        <f>IF(A3733="","",'Ratings'!D239)</f>
        <v/>
      </c>
      <c r="E3733">
        <f>IF(AND('Ratings'!A239&lt;&gt;"",'Ratings'!H5&lt;&gt;""),'Ratings'!H5,"")</f>
        <v/>
      </c>
      <c r="F3733">
        <f>IF(OR(A3733="",'Ratings'!H239=""),"",'Ratings'!H239)</f>
        <v/>
      </c>
      <c r="G3733">
        <f>IF(A3733="","",'Employees'!D20)</f>
        <v/>
      </c>
    </row>
    <row r="3734">
      <c r="A3734">
        <f>IF(AND('Ratings'!A239&lt;&gt;"",'Ratings'!I5&lt;&gt;""),'Ratings'!A239,"")</f>
        <v/>
      </c>
      <c r="B3734">
        <f>IF(A3734="","",'Employees'!C20)</f>
        <v/>
      </c>
      <c r="C3734">
        <f>IF(A3734="","",'Ratings'!C239)</f>
        <v/>
      </c>
      <c r="D3734">
        <f>IF(A3734="","",'Ratings'!D239)</f>
        <v/>
      </c>
      <c r="E3734">
        <f>IF(AND('Ratings'!A239&lt;&gt;"",'Ratings'!I5&lt;&gt;""),'Ratings'!I5,"")</f>
        <v/>
      </c>
      <c r="F3734">
        <f>IF(OR(A3734="",'Ratings'!I239=""),"",'Ratings'!I239)</f>
        <v/>
      </c>
      <c r="G3734">
        <f>IF(A3734="","",'Employees'!D20)</f>
        <v/>
      </c>
    </row>
    <row r="3735">
      <c r="A3735">
        <f>IF(AND('Ratings'!A239&lt;&gt;"",'Ratings'!J5&lt;&gt;""),'Ratings'!A239,"")</f>
        <v/>
      </c>
      <c r="B3735">
        <f>IF(A3735="","",'Employees'!C20)</f>
        <v/>
      </c>
      <c r="C3735">
        <f>IF(A3735="","",'Ratings'!C239)</f>
        <v/>
      </c>
      <c r="D3735">
        <f>IF(A3735="","",'Ratings'!D239)</f>
        <v/>
      </c>
      <c r="E3735">
        <f>IF(AND('Ratings'!A239&lt;&gt;"",'Ratings'!J5&lt;&gt;""),'Ratings'!J5,"")</f>
        <v/>
      </c>
      <c r="F3735">
        <f>IF(OR(A3735="",'Ratings'!J239=""),"",'Ratings'!J239)</f>
        <v/>
      </c>
      <c r="G3735">
        <f>IF(A3735="","",'Employees'!D20)</f>
        <v/>
      </c>
    </row>
    <row r="3736">
      <c r="A3736">
        <f>IF(AND('Ratings'!A239&lt;&gt;"",'Ratings'!K5&lt;&gt;""),'Ratings'!A239,"")</f>
        <v/>
      </c>
      <c r="B3736">
        <f>IF(A3736="","",'Employees'!C20)</f>
        <v/>
      </c>
      <c r="C3736">
        <f>IF(A3736="","",'Ratings'!C239)</f>
        <v/>
      </c>
      <c r="D3736">
        <f>IF(A3736="","",'Ratings'!D239)</f>
        <v/>
      </c>
      <c r="E3736">
        <f>IF(AND('Ratings'!A239&lt;&gt;"",'Ratings'!K5&lt;&gt;""),'Ratings'!K5,"")</f>
        <v/>
      </c>
      <c r="F3736">
        <f>IF(OR(A3736="",'Ratings'!K239=""),"",'Ratings'!K239)</f>
        <v/>
      </c>
      <c r="G3736">
        <f>IF(A3736="","",'Employees'!D20)</f>
        <v/>
      </c>
    </row>
    <row r="3737">
      <c r="A3737">
        <f>IF(AND('Ratings'!A239&lt;&gt;"",'Ratings'!L5&lt;&gt;""),'Ratings'!A239,"")</f>
        <v/>
      </c>
      <c r="B3737">
        <f>IF(A3737="","",'Employees'!C20)</f>
        <v/>
      </c>
      <c r="C3737">
        <f>IF(A3737="","",'Ratings'!C239)</f>
        <v/>
      </c>
      <c r="D3737">
        <f>IF(A3737="","",'Ratings'!D239)</f>
        <v/>
      </c>
      <c r="E3737">
        <f>IF(AND('Ratings'!A239&lt;&gt;"",'Ratings'!L5&lt;&gt;""),'Ratings'!L5,"")</f>
        <v/>
      </c>
      <c r="F3737">
        <f>IF(OR(A3737="",'Ratings'!L239=""),"",'Ratings'!L239)</f>
        <v/>
      </c>
      <c r="G3737">
        <f>IF(A3737="","",'Employees'!D20)</f>
        <v/>
      </c>
    </row>
    <row r="3738">
      <c r="A3738">
        <f>IF(AND('Ratings'!A239&lt;&gt;"",'Ratings'!M5&lt;&gt;""),'Ratings'!A239,"")</f>
        <v/>
      </c>
      <c r="B3738">
        <f>IF(A3738="","",'Employees'!C20)</f>
        <v/>
      </c>
      <c r="C3738">
        <f>IF(A3738="","",'Ratings'!C239)</f>
        <v/>
      </c>
      <c r="D3738">
        <f>IF(A3738="","",'Ratings'!D239)</f>
        <v/>
      </c>
      <c r="E3738">
        <f>IF(AND('Ratings'!A239&lt;&gt;"",'Ratings'!M5&lt;&gt;""),'Ratings'!M5,"")</f>
        <v/>
      </c>
      <c r="F3738">
        <f>IF(OR(A3738="",'Ratings'!M239=""),"",'Ratings'!M239)</f>
        <v/>
      </c>
      <c r="G3738">
        <f>IF(A3738="","",'Employees'!D20)</f>
        <v/>
      </c>
    </row>
    <row r="3739">
      <c r="A3739">
        <f>IF(AND('Ratings'!A239&lt;&gt;"",'Ratings'!N5&lt;&gt;""),'Ratings'!A239,"")</f>
        <v/>
      </c>
      <c r="B3739">
        <f>IF(A3739="","",'Employees'!C20)</f>
        <v/>
      </c>
      <c r="C3739">
        <f>IF(A3739="","",'Ratings'!C239)</f>
        <v/>
      </c>
      <c r="D3739">
        <f>IF(A3739="","",'Ratings'!D239)</f>
        <v/>
      </c>
      <c r="E3739">
        <f>IF(AND('Ratings'!A239&lt;&gt;"",'Ratings'!N5&lt;&gt;""),'Ratings'!N5,"")</f>
        <v/>
      </c>
      <c r="F3739">
        <f>IF(OR(A3739="",'Ratings'!N239=""),"",'Ratings'!N239)</f>
        <v/>
      </c>
      <c r="G3739">
        <f>IF(A3739="","",'Employees'!D20)</f>
        <v/>
      </c>
    </row>
    <row r="3740">
      <c r="A3740">
        <f>IF(AND('Ratings'!A239&lt;&gt;"",'Ratings'!O5&lt;&gt;""),'Ratings'!A239,"")</f>
        <v/>
      </c>
      <c r="B3740">
        <f>IF(A3740="","",'Employees'!C20)</f>
        <v/>
      </c>
      <c r="C3740">
        <f>IF(A3740="","",'Ratings'!C239)</f>
        <v/>
      </c>
      <c r="D3740">
        <f>IF(A3740="","",'Ratings'!D239)</f>
        <v/>
      </c>
      <c r="E3740">
        <f>IF(AND('Ratings'!A239&lt;&gt;"",'Ratings'!O5&lt;&gt;""),'Ratings'!O5,"")</f>
        <v/>
      </c>
      <c r="F3740">
        <f>IF(OR(A3740="",'Ratings'!O239=""),"",'Ratings'!O239)</f>
        <v/>
      </c>
      <c r="G3740">
        <f>IF(A3740="","",'Employees'!D20)</f>
        <v/>
      </c>
    </row>
    <row r="3741">
      <c r="A3741">
        <f>IF(AND('Ratings'!A239&lt;&gt;"",'Ratings'!P5&lt;&gt;""),'Ratings'!A239,"")</f>
        <v/>
      </c>
      <c r="B3741">
        <f>IF(A3741="","",'Employees'!C20)</f>
        <v/>
      </c>
      <c r="C3741">
        <f>IF(A3741="","",'Ratings'!C239)</f>
        <v/>
      </c>
      <c r="D3741">
        <f>IF(A3741="","",'Ratings'!D239)</f>
        <v/>
      </c>
      <c r="E3741">
        <f>IF(AND('Ratings'!A239&lt;&gt;"",'Ratings'!P5&lt;&gt;""),'Ratings'!P5,"")</f>
        <v/>
      </c>
      <c r="F3741">
        <f>IF(OR(A3741="",'Ratings'!P239=""),"",'Ratings'!P239)</f>
        <v/>
      </c>
      <c r="G3741">
        <f>IF(A3741="","",'Employees'!D20)</f>
        <v/>
      </c>
    </row>
    <row r="3742">
      <c r="A3742">
        <f>IF(AND('Ratings'!A239&lt;&gt;"",'Ratings'!Q5&lt;&gt;""),'Ratings'!A239,"")</f>
        <v/>
      </c>
      <c r="B3742">
        <f>IF(A3742="","",'Employees'!C20)</f>
        <v/>
      </c>
      <c r="C3742">
        <f>IF(A3742="","",'Ratings'!C239)</f>
        <v/>
      </c>
      <c r="D3742">
        <f>IF(A3742="","",'Ratings'!D239)</f>
        <v/>
      </c>
      <c r="E3742">
        <f>IF(AND('Ratings'!A239&lt;&gt;"",'Ratings'!Q5&lt;&gt;""),'Ratings'!Q5,"")</f>
        <v/>
      </c>
      <c r="F3742">
        <f>IF(OR(A3742="",'Ratings'!Q239=""),"",'Ratings'!Q239)</f>
        <v/>
      </c>
      <c r="G3742">
        <f>IF(A3742="","",'Employees'!D20)</f>
        <v/>
      </c>
    </row>
    <row r="3743">
      <c r="A3743">
        <f>IF(AND('Ratings'!A239&lt;&gt;"",'Ratings'!R5&lt;&gt;""),'Ratings'!A239,"")</f>
        <v/>
      </c>
      <c r="B3743">
        <f>IF(A3743="","",'Employees'!C20)</f>
        <v/>
      </c>
      <c r="C3743">
        <f>IF(A3743="","",'Ratings'!C239)</f>
        <v/>
      </c>
      <c r="D3743">
        <f>IF(A3743="","",'Ratings'!D239)</f>
        <v/>
      </c>
      <c r="E3743">
        <f>IF(AND('Ratings'!A239&lt;&gt;"",'Ratings'!R5&lt;&gt;""),'Ratings'!R5,"")</f>
        <v/>
      </c>
      <c r="F3743">
        <f>IF(OR(A3743="",'Ratings'!R239=""),"",'Ratings'!R239)</f>
        <v/>
      </c>
      <c r="G3743">
        <f>IF(A3743="","",'Employees'!D20)</f>
        <v/>
      </c>
    </row>
    <row r="3744">
      <c r="A3744">
        <f>IF(AND('Ratings'!A239&lt;&gt;"",'Ratings'!S5&lt;&gt;""),'Ratings'!A239,"")</f>
        <v/>
      </c>
      <c r="B3744">
        <f>IF(A3744="","",'Employees'!C20)</f>
        <v/>
      </c>
      <c r="C3744">
        <f>IF(A3744="","",'Ratings'!C239)</f>
        <v/>
      </c>
      <c r="D3744">
        <f>IF(A3744="","",'Ratings'!D239)</f>
        <v/>
      </c>
      <c r="E3744">
        <f>IF(AND('Ratings'!A239&lt;&gt;"",'Ratings'!S5&lt;&gt;""),'Ratings'!S5,"")</f>
        <v/>
      </c>
      <c r="F3744">
        <f>IF(OR(A3744="",'Ratings'!S239=""),"",'Ratings'!S239)</f>
        <v/>
      </c>
      <c r="G3744">
        <f>IF(A3744="","",'Employees'!D20)</f>
        <v/>
      </c>
    </row>
    <row r="3745">
      <c r="A3745">
        <f>IF(AND('Ratings'!A239&lt;&gt;"",'Ratings'!T5&lt;&gt;""),'Ratings'!A239,"")</f>
        <v/>
      </c>
      <c r="B3745">
        <f>IF(A3745="","",'Employees'!C20)</f>
        <v/>
      </c>
      <c r="C3745">
        <f>IF(A3745="","",'Ratings'!C239)</f>
        <v/>
      </c>
      <c r="D3745">
        <f>IF(A3745="","",'Ratings'!D239)</f>
        <v/>
      </c>
      <c r="E3745">
        <f>IF(AND('Ratings'!A239&lt;&gt;"",'Ratings'!T5&lt;&gt;""),'Ratings'!T5,"")</f>
        <v/>
      </c>
      <c r="F3745">
        <f>IF(OR(A3745="",'Ratings'!T239=""),"",'Ratings'!T239)</f>
        <v/>
      </c>
      <c r="G3745">
        <f>IF(A3745="","",'Employees'!D20)</f>
        <v/>
      </c>
    </row>
    <row r="3746">
      <c r="A3746">
        <f>IF(AND('Ratings'!A240&lt;&gt;"",'Ratings'!E5&lt;&gt;""),'Ratings'!A240,"")</f>
        <v/>
      </c>
      <c r="B3746">
        <f>IF(A3746="","",'Employees'!C20)</f>
        <v/>
      </c>
      <c r="C3746">
        <f>IF(A3746="","",'Ratings'!C240)</f>
        <v/>
      </c>
      <c r="D3746">
        <f>IF(A3746="","",'Ratings'!D240)</f>
        <v/>
      </c>
      <c r="E3746">
        <f>IF(AND('Ratings'!A240&lt;&gt;"",'Ratings'!E5&lt;&gt;""),'Ratings'!E5,"")</f>
        <v/>
      </c>
      <c r="F3746">
        <f>IF(OR(A3746="",'Ratings'!E240=""),"",'Ratings'!E240)</f>
        <v/>
      </c>
      <c r="G3746">
        <f>IF(A3746="","",'Employees'!D20)</f>
        <v/>
      </c>
    </row>
    <row r="3747">
      <c r="A3747">
        <f>IF(AND('Ratings'!A240&lt;&gt;"",'Ratings'!F5&lt;&gt;""),'Ratings'!A240,"")</f>
        <v/>
      </c>
      <c r="B3747">
        <f>IF(A3747="","",'Employees'!C20)</f>
        <v/>
      </c>
      <c r="C3747">
        <f>IF(A3747="","",'Ratings'!C240)</f>
        <v/>
      </c>
      <c r="D3747">
        <f>IF(A3747="","",'Ratings'!D240)</f>
        <v/>
      </c>
      <c r="E3747">
        <f>IF(AND('Ratings'!A240&lt;&gt;"",'Ratings'!F5&lt;&gt;""),'Ratings'!F5,"")</f>
        <v/>
      </c>
      <c r="F3747">
        <f>IF(OR(A3747="",'Ratings'!F240=""),"",'Ratings'!F240)</f>
        <v/>
      </c>
      <c r="G3747">
        <f>IF(A3747="","",'Employees'!D20)</f>
        <v/>
      </c>
    </row>
    <row r="3748">
      <c r="A3748">
        <f>IF(AND('Ratings'!A240&lt;&gt;"",'Ratings'!G5&lt;&gt;""),'Ratings'!A240,"")</f>
        <v/>
      </c>
      <c r="B3748">
        <f>IF(A3748="","",'Employees'!C20)</f>
        <v/>
      </c>
      <c r="C3748">
        <f>IF(A3748="","",'Ratings'!C240)</f>
        <v/>
      </c>
      <c r="D3748">
        <f>IF(A3748="","",'Ratings'!D240)</f>
        <v/>
      </c>
      <c r="E3748">
        <f>IF(AND('Ratings'!A240&lt;&gt;"",'Ratings'!G5&lt;&gt;""),'Ratings'!G5,"")</f>
        <v/>
      </c>
      <c r="F3748">
        <f>IF(OR(A3748="",'Ratings'!G240=""),"",'Ratings'!G240)</f>
        <v/>
      </c>
      <c r="G3748">
        <f>IF(A3748="","",'Employees'!D20)</f>
        <v/>
      </c>
    </row>
    <row r="3749">
      <c r="A3749">
        <f>IF(AND('Ratings'!A240&lt;&gt;"",'Ratings'!H5&lt;&gt;""),'Ratings'!A240,"")</f>
        <v/>
      </c>
      <c r="B3749">
        <f>IF(A3749="","",'Employees'!C20)</f>
        <v/>
      </c>
      <c r="C3749">
        <f>IF(A3749="","",'Ratings'!C240)</f>
        <v/>
      </c>
      <c r="D3749">
        <f>IF(A3749="","",'Ratings'!D240)</f>
        <v/>
      </c>
      <c r="E3749">
        <f>IF(AND('Ratings'!A240&lt;&gt;"",'Ratings'!H5&lt;&gt;""),'Ratings'!H5,"")</f>
        <v/>
      </c>
      <c r="F3749">
        <f>IF(OR(A3749="",'Ratings'!H240=""),"",'Ratings'!H240)</f>
        <v/>
      </c>
      <c r="G3749">
        <f>IF(A3749="","",'Employees'!D20)</f>
        <v/>
      </c>
    </row>
    <row r="3750">
      <c r="A3750">
        <f>IF(AND('Ratings'!A240&lt;&gt;"",'Ratings'!I5&lt;&gt;""),'Ratings'!A240,"")</f>
        <v/>
      </c>
      <c r="B3750">
        <f>IF(A3750="","",'Employees'!C20)</f>
        <v/>
      </c>
      <c r="C3750">
        <f>IF(A3750="","",'Ratings'!C240)</f>
        <v/>
      </c>
      <c r="D3750">
        <f>IF(A3750="","",'Ratings'!D240)</f>
        <v/>
      </c>
      <c r="E3750">
        <f>IF(AND('Ratings'!A240&lt;&gt;"",'Ratings'!I5&lt;&gt;""),'Ratings'!I5,"")</f>
        <v/>
      </c>
      <c r="F3750">
        <f>IF(OR(A3750="",'Ratings'!I240=""),"",'Ratings'!I240)</f>
        <v/>
      </c>
      <c r="G3750">
        <f>IF(A3750="","",'Employees'!D20)</f>
        <v/>
      </c>
    </row>
    <row r="3751">
      <c r="A3751">
        <f>IF(AND('Ratings'!A240&lt;&gt;"",'Ratings'!J5&lt;&gt;""),'Ratings'!A240,"")</f>
        <v/>
      </c>
      <c r="B3751">
        <f>IF(A3751="","",'Employees'!C20)</f>
        <v/>
      </c>
      <c r="C3751">
        <f>IF(A3751="","",'Ratings'!C240)</f>
        <v/>
      </c>
      <c r="D3751">
        <f>IF(A3751="","",'Ratings'!D240)</f>
        <v/>
      </c>
      <c r="E3751">
        <f>IF(AND('Ratings'!A240&lt;&gt;"",'Ratings'!J5&lt;&gt;""),'Ratings'!J5,"")</f>
        <v/>
      </c>
      <c r="F3751">
        <f>IF(OR(A3751="",'Ratings'!J240=""),"",'Ratings'!J240)</f>
        <v/>
      </c>
      <c r="G3751">
        <f>IF(A3751="","",'Employees'!D20)</f>
        <v/>
      </c>
    </row>
    <row r="3752">
      <c r="A3752">
        <f>IF(AND('Ratings'!A240&lt;&gt;"",'Ratings'!K5&lt;&gt;""),'Ratings'!A240,"")</f>
        <v/>
      </c>
      <c r="B3752">
        <f>IF(A3752="","",'Employees'!C20)</f>
        <v/>
      </c>
      <c r="C3752">
        <f>IF(A3752="","",'Ratings'!C240)</f>
        <v/>
      </c>
      <c r="D3752">
        <f>IF(A3752="","",'Ratings'!D240)</f>
        <v/>
      </c>
      <c r="E3752">
        <f>IF(AND('Ratings'!A240&lt;&gt;"",'Ratings'!K5&lt;&gt;""),'Ratings'!K5,"")</f>
        <v/>
      </c>
      <c r="F3752">
        <f>IF(OR(A3752="",'Ratings'!K240=""),"",'Ratings'!K240)</f>
        <v/>
      </c>
      <c r="G3752">
        <f>IF(A3752="","",'Employees'!D20)</f>
        <v/>
      </c>
    </row>
    <row r="3753">
      <c r="A3753">
        <f>IF(AND('Ratings'!A240&lt;&gt;"",'Ratings'!L5&lt;&gt;""),'Ratings'!A240,"")</f>
        <v/>
      </c>
      <c r="B3753">
        <f>IF(A3753="","",'Employees'!C20)</f>
        <v/>
      </c>
      <c r="C3753">
        <f>IF(A3753="","",'Ratings'!C240)</f>
        <v/>
      </c>
      <c r="D3753">
        <f>IF(A3753="","",'Ratings'!D240)</f>
        <v/>
      </c>
      <c r="E3753">
        <f>IF(AND('Ratings'!A240&lt;&gt;"",'Ratings'!L5&lt;&gt;""),'Ratings'!L5,"")</f>
        <v/>
      </c>
      <c r="F3753">
        <f>IF(OR(A3753="",'Ratings'!L240=""),"",'Ratings'!L240)</f>
        <v/>
      </c>
      <c r="G3753">
        <f>IF(A3753="","",'Employees'!D20)</f>
        <v/>
      </c>
    </row>
    <row r="3754">
      <c r="A3754">
        <f>IF(AND('Ratings'!A240&lt;&gt;"",'Ratings'!M5&lt;&gt;""),'Ratings'!A240,"")</f>
        <v/>
      </c>
      <c r="B3754">
        <f>IF(A3754="","",'Employees'!C20)</f>
        <v/>
      </c>
      <c r="C3754">
        <f>IF(A3754="","",'Ratings'!C240)</f>
        <v/>
      </c>
      <c r="D3754">
        <f>IF(A3754="","",'Ratings'!D240)</f>
        <v/>
      </c>
      <c r="E3754">
        <f>IF(AND('Ratings'!A240&lt;&gt;"",'Ratings'!M5&lt;&gt;""),'Ratings'!M5,"")</f>
        <v/>
      </c>
      <c r="F3754">
        <f>IF(OR(A3754="",'Ratings'!M240=""),"",'Ratings'!M240)</f>
        <v/>
      </c>
      <c r="G3754">
        <f>IF(A3754="","",'Employees'!D20)</f>
        <v/>
      </c>
    </row>
    <row r="3755">
      <c r="A3755">
        <f>IF(AND('Ratings'!A240&lt;&gt;"",'Ratings'!N5&lt;&gt;""),'Ratings'!A240,"")</f>
        <v/>
      </c>
      <c r="B3755">
        <f>IF(A3755="","",'Employees'!C20)</f>
        <v/>
      </c>
      <c r="C3755">
        <f>IF(A3755="","",'Ratings'!C240)</f>
        <v/>
      </c>
      <c r="D3755">
        <f>IF(A3755="","",'Ratings'!D240)</f>
        <v/>
      </c>
      <c r="E3755">
        <f>IF(AND('Ratings'!A240&lt;&gt;"",'Ratings'!N5&lt;&gt;""),'Ratings'!N5,"")</f>
        <v/>
      </c>
      <c r="F3755">
        <f>IF(OR(A3755="",'Ratings'!N240=""),"",'Ratings'!N240)</f>
        <v/>
      </c>
      <c r="G3755">
        <f>IF(A3755="","",'Employees'!D20)</f>
        <v/>
      </c>
    </row>
    <row r="3756">
      <c r="A3756">
        <f>IF(AND('Ratings'!A240&lt;&gt;"",'Ratings'!O5&lt;&gt;""),'Ratings'!A240,"")</f>
        <v/>
      </c>
      <c r="B3756">
        <f>IF(A3756="","",'Employees'!C20)</f>
        <v/>
      </c>
      <c r="C3756">
        <f>IF(A3756="","",'Ratings'!C240)</f>
        <v/>
      </c>
      <c r="D3756">
        <f>IF(A3756="","",'Ratings'!D240)</f>
        <v/>
      </c>
      <c r="E3756">
        <f>IF(AND('Ratings'!A240&lt;&gt;"",'Ratings'!O5&lt;&gt;""),'Ratings'!O5,"")</f>
        <v/>
      </c>
      <c r="F3756">
        <f>IF(OR(A3756="",'Ratings'!O240=""),"",'Ratings'!O240)</f>
        <v/>
      </c>
      <c r="G3756">
        <f>IF(A3756="","",'Employees'!D20)</f>
        <v/>
      </c>
    </row>
    <row r="3757">
      <c r="A3757">
        <f>IF(AND('Ratings'!A240&lt;&gt;"",'Ratings'!P5&lt;&gt;""),'Ratings'!A240,"")</f>
        <v/>
      </c>
      <c r="B3757">
        <f>IF(A3757="","",'Employees'!C20)</f>
        <v/>
      </c>
      <c r="C3757">
        <f>IF(A3757="","",'Ratings'!C240)</f>
        <v/>
      </c>
      <c r="D3757">
        <f>IF(A3757="","",'Ratings'!D240)</f>
        <v/>
      </c>
      <c r="E3757">
        <f>IF(AND('Ratings'!A240&lt;&gt;"",'Ratings'!P5&lt;&gt;""),'Ratings'!P5,"")</f>
        <v/>
      </c>
      <c r="F3757">
        <f>IF(OR(A3757="",'Ratings'!P240=""),"",'Ratings'!P240)</f>
        <v/>
      </c>
      <c r="G3757">
        <f>IF(A3757="","",'Employees'!D20)</f>
        <v/>
      </c>
    </row>
    <row r="3758">
      <c r="A3758">
        <f>IF(AND('Ratings'!A240&lt;&gt;"",'Ratings'!Q5&lt;&gt;""),'Ratings'!A240,"")</f>
        <v/>
      </c>
      <c r="B3758">
        <f>IF(A3758="","",'Employees'!C20)</f>
        <v/>
      </c>
      <c r="C3758">
        <f>IF(A3758="","",'Ratings'!C240)</f>
        <v/>
      </c>
      <c r="D3758">
        <f>IF(A3758="","",'Ratings'!D240)</f>
        <v/>
      </c>
      <c r="E3758">
        <f>IF(AND('Ratings'!A240&lt;&gt;"",'Ratings'!Q5&lt;&gt;""),'Ratings'!Q5,"")</f>
        <v/>
      </c>
      <c r="F3758">
        <f>IF(OR(A3758="",'Ratings'!Q240=""),"",'Ratings'!Q240)</f>
        <v/>
      </c>
      <c r="G3758">
        <f>IF(A3758="","",'Employees'!D20)</f>
        <v/>
      </c>
    </row>
    <row r="3759">
      <c r="A3759">
        <f>IF(AND('Ratings'!A240&lt;&gt;"",'Ratings'!R5&lt;&gt;""),'Ratings'!A240,"")</f>
        <v/>
      </c>
      <c r="B3759">
        <f>IF(A3759="","",'Employees'!C20)</f>
        <v/>
      </c>
      <c r="C3759">
        <f>IF(A3759="","",'Ratings'!C240)</f>
        <v/>
      </c>
      <c r="D3759">
        <f>IF(A3759="","",'Ratings'!D240)</f>
        <v/>
      </c>
      <c r="E3759">
        <f>IF(AND('Ratings'!A240&lt;&gt;"",'Ratings'!R5&lt;&gt;""),'Ratings'!R5,"")</f>
        <v/>
      </c>
      <c r="F3759">
        <f>IF(OR(A3759="",'Ratings'!R240=""),"",'Ratings'!R240)</f>
        <v/>
      </c>
      <c r="G3759">
        <f>IF(A3759="","",'Employees'!D20)</f>
        <v/>
      </c>
    </row>
    <row r="3760">
      <c r="A3760">
        <f>IF(AND('Ratings'!A240&lt;&gt;"",'Ratings'!S5&lt;&gt;""),'Ratings'!A240,"")</f>
        <v/>
      </c>
      <c r="B3760">
        <f>IF(A3760="","",'Employees'!C20)</f>
        <v/>
      </c>
      <c r="C3760">
        <f>IF(A3760="","",'Ratings'!C240)</f>
        <v/>
      </c>
      <c r="D3760">
        <f>IF(A3760="","",'Ratings'!D240)</f>
        <v/>
      </c>
      <c r="E3760">
        <f>IF(AND('Ratings'!A240&lt;&gt;"",'Ratings'!S5&lt;&gt;""),'Ratings'!S5,"")</f>
        <v/>
      </c>
      <c r="F3760">
        <f>IF(OR(A3760="",'Ratings'!S240=""),"",'Ratings'!S240)</f>
        <v/>
      </c>
      <c r="G3760">
        <f>IF(A3760="","",'Employees'!D20)</f>
        <v/>
      </c>
    </row>
    <row r="3761">
      <c r="A3761">
        <f>IF(AND('Ratings'!A240&lt;&gt;"",'Ratings'!T5&lt;&gt;""),'Ratings'!A240,"")</f>
        <v/>
      </c>
      <c r="B3761">
        <f>IF(A3761="","",'Employees'!C20)</f>
        <v/>
      </c>
      <c r="C3761">
        <f>IF(A3761="","",'Ratings'!C240)</f>
        <v/>
      </c>
      <c r="D3761">
        <f>IF(A3761="","",'Ratings'!D240)</f>
        <v/>
      </c>
      <c r="E3761">
        <f>IF(AND('Ratings'!A240&lt;&gt;"",'Ratings'!T5&lt;&gt;""),'Ratings'!T5,"")</f>
        <v/>
      </c>
      <c r="F3761">
        <f>IF(OR(A3761="",'Ratings'!T240=""),"",'Ratings'!T240)</f>
        <v/>
      </c>
      <c r="G3761">
        <f>IF(A3761="","",'Employees'!D20)</f>
        <v/>
      </c>
    </row>
    <row r="3762">
      <c r="A3762">
        <f>IF(AND('Ratings'!A241&lt;&gt;"",'Ratings'!E5&lt;&gt;""),'Ratings'!A241,"")</f>
        <v/>
      </c>
      <c r="B3762">
        <f>IF(A3762="","",'Employees'!C20)</f>
        <v/>
      </c>
      <c r="C3762">
        <f>IF(A3762="","",'Ratings'!C241)</f>
        <v/>
      </c>
      <c r="D3762">
        <f>IF(A3762="","",'Ratings'!D241)</f>
        <v/>
      </c>
      <c r="E3762">
        <f>IF(AND('Ratings'!A241&lt;&gt;"",'Ratings'!E5&lt;&gt;""),'Ratings'!E5,"")</f>
        <v/>
      </c>
      <c r="F3762">
        <f>IF(OR(A3762="",'Ratings'!E241=""),"",'Ratings'!E241)</f>
        <v/>
      </c>
      <c r="G3762">
        <f>IF(A3762="","",'Employees'!D20)</f>
        <v/>
      </c>
    </row>
    <row r="3763">
      <c r="A3763">
        <f>IF(AND('Ratings'!A241&lt;&gt;"",'Ratings'!F5&lt;&gt;""),'Ratings'!A241,"")</f>
        <v/>
      </c>
      <c r="B3763">
        <f>IF(A3763="","",'Employees'!C20)</f>
        <v/>
      </c>
      <c r="C3763">
        <f>IF(A3763="","",'Ratings'!C241)</f>
        <v/>
      </c>
      <c r="D3763">
        <f>IF(A3763="","",'Ratings'!D241)</f>
        <v/>
      </c>
      <c r="E3763">
        <f>IF(AND('Ratings'!A241&lt;&gt;"",'Ratings'!F5&lt;&gt;""),'Ratings'!F5,"")</f>
        <v/>
      </c>
      <c r="F3763">
        <f>IF(OR(A3763="",'Ratings'!F241=""),"",'Ratings'!F241)</f>
        <v/>
      </c>
      <c r="G3763">
        <f>IF(A3763="","",'Employees'!D20)</f>
        <v/>
      </c>
    </row>
    <row r="3764">
      <c r="A3764">
        <f>IF(AND('Ratings'!A241&lt;&gt;"",'Ratings'!G5&lt;&gt;""),'Ratings'!A241,"")</f>
        <v/>
      </c>
      <c r="B3764">
        <f>IF(A3764="","",'Employees'!C20)</f>
        <v/>
      </c>
      <c r="C3764">
        <f>IF(A3764="","",'Ratings'!C241)</f>
        <v/>
      </c>
      <c r="D3764">
        <f>IF(A3764="","",'Ratings'!D241)</f>
        <v/>
      </c>
      <c r="E3764">
        <f>IF(AND('Ratings'!A241&lt;&gt;"",'Ratings'!G5&lt;&gt;""),'Ratings'!G5,"")</f>
        <v/>
      </c>
      <c r="F3764">
        <f>IF(OR(A3764="",'Ratings'!G241=""),"",'Ratings'!G241)</f>
        <v/>
      </c>
      <c r="G3764">
        <f>IF(A3764="","",'Employees'!D20)</f>
        <v/>
      </c>
    </row>
    <row r="3765">
      <c r="A3765">
        <f>IF(AND('Ratings'!A241&lt;&gt;"",'Ratings'!H5&lt;&gt;""),'Ratings'!A241,"")</f>
        <v/>
      </c>
      <c r="B3765">
        <f>IF(A3765="","",'Employees'!C20)</f>
        <v/>
      </c>
      <c r="C3765">
        <f>IF(A3765="","",'Ratings'!C241)</f>
        <v/>
      </c>
      <c r="D3765">
        <f>IF(A3765="","",'Ratings'!D241)</f>
        <v/>
      </c>
      <c r="E3765">
        <f>IF(AND('Ratings'!A241&lt;&gt;"",'Ratings'!H5&lt;&gt;""),'Ratings'!H5,"")</f>
        <v/>
      </c>
      <c r="F3765">
        <f>IF(OR(A3765="",'Ratings'!H241=""),"",'Ratings'!H241)</f>
        <v/>
      </c>
      <c r="G3765">
        <f>IF(A3765="","",'Employees'!D20)</f>
        <v/>
      </c>
    </row>
    <row r="3766">
      <c r="A3766">
        <f>IF(AND('Ratings'!A241&lt;&gt;"",'Ratings'!I5&lt;&gt;""),'Ratings'!A241,"")</f>
        <v/>
      </c>
      <c r="B3766">
        <f>IF(A3766="","",'Employees'!C20)</f>
        <v/>
      </c>
      <c r="C3766">
        <f>IF(A3766="","",'Ratings'!C241)</f>
        <v/>
      </c>
      <c r="D3766">
        <f>IF(A3766="","",'Ratings'!D241)</f>
        <v/>
      </c>
      <c r="E3766">
        <f>IF(AND('Ratings'!A241&lt;&gt;"",'Ratings'!I5&lt;&gt;""),'Ratings'!I5,"")</f>
        <v/>
      </c>
      <c r="F3766">
        <f>IF(OR(A3766="",'Ratings'!I241=""),"",'Ratings'!I241)</f>
        <v/>
      </c>
      <c r="G3766">
        <f>IF(A3766="","",'Employees'!D20)</f>
        <v/>
      </c>
    </row>
    <row r="3767">
      <c r="A3767">
        <f>IF(AND('Ratings'!A241&lt;&gt;"",'Ratings'!J5&lt;&gt;""),'Ratings'!A241,"")</f>
        <v/>
      </c>
      <c r="B3767">
        <f>IF(A3767="","",'Employees'!C20)</f>
        <v/>
      </c>
      <c r="C3767">
        <f>IF(A3767="","",'Ratings'!C241)</f>
        <v/>
      </c>
      <c r="D3767">
        <f>IF(A3767="","",'Ratings'!D241)</f>
        <v/>
      </c>
      <c r="E3767">
        <f>IF(AND('Ratings'!A241&lt;&gt;"",'Ratings'!J5&lt;&gt;""),'Ratings'!J5,"")</f>
        <v/>
      </c>
      <c r="F3767">
        <f>IF(OR(A3767="",'Ratings'!J241=""),"",'Ratings'!J241)</f>
        <v/>
      </c>
      <c r="G3767">
        <f>IF(A3767="","",'Employees'!D20)</f>
        <v/>
      </c>
    </row>
    <row r="3768">
      <c r="A3768">
        <f>IF(AND('Ratings'!A241&lt;&gt;"",'Ratings'!K5&lt;&gt;""),'Ratings'!A241,"")</f>
        <v/>
      </c>
      <c r="B3768">
        <f>IF(A3768="","",'Employees'!C20)</f>
        <v/>
      </c>
      <c r="C3768">
        <f>IF(A3768="","",'Ratings'!C241)</f>
        <v/>
      </c>
      <c r="D3768">
        <f>IF(A3768="","",'Ratings'!D241)</f>
        <v/>
      </c>
      <c r="E3768">
        <f>IF(AND('Ratings'!A241&lt;&gt;"",'Ratings'!K5&lt;&gt;""),'Ratings'!K5,"")</f>
        <v/>
      </c>
      <c r="F3768">
        <f>IF(OR(A3768="",'Ratings'!K241=""),"",'Ratings'!K241)</f>
        <v/>
      </c>
      <c r="G3768">
        <f>IF(A3768="","",'Employees'!D20)</f>
        <v/>
      </c>
    </row>
    <row r="3769">
      <c r="A3769">
        <f>IF(AND('Ratings'!A241&lt;&gt;"",'Ratings'!L5&lt;&gt;""),'Ratings'!A241,"")</f>
        <v/>
      </c>
      <c r="B3769">
        <f>IF(A3769="","",'Employees'!C20)</f>
        <v/>
      </c>
      <c r="C3769">
        <f>IF(A3769="","",'Ratings'!C241)</f>
        <v/>
      </c>
      <c r="D3769">
        <f>IF(A3769="","",'Ratings'!D241)</f>
        <v/>
      </c>
      <c r="E3769">
        <f>IF(AND('Ratings'!A241&lt;&gt;"",'Ratings'!L5&lt;&gt;""),'Ratings'!L5,"")</f>
        <v/>
      </c>
      <c r="F3769">
        <f>IF(OR(A3769="",'Ratings'!L241=""),"",'Ratings'!L241)</f>
        <v/>
      </c>
      <c r="G3769">
        <f>IF(A3769="","",'Employees'!D20)</f>
        <v/>
      </c>
    </row>
    <row r="3770">
      <c r="A3770">
        <f>IF(AND('Ratings'!A241&lt;&gt;"",'Ratings'!M5&lt;&gt;""),'Ratings'!A241,"")</f>
        <v/>
      </c>
      <c r="B3770">
        <f>IF(A3770="","",'Employees'!C20)</f>
        <v/>
      </c>
      <c r="C3770">
        <f>IF(A3770="","",'Ratings'!C241)</f>
        <v/>
      </c>
      <c r="D3770">
        <f>IF(A3770="","",'Ratings'!D241)</f>
        <v/>
      </c>
      <c r="E3770">
        <f>IF(AND('Ratings'!A241&lt;&gt;"",'Ratings'!M5&lt;&gt;""),'Ratings'!M5,"")</f>
        <v/>
      </c>
      <c r="F3770">
        <f>IF(OR(A3770="",'Ratings'!M241=""),"",'Ratings'!M241)</f>
        <v/>
      </c>
      <c r="G3770">
        <f>IF(A3770="","",'Employees'!D20)</f>
        <v/>
      </c>
    </row>
    <row r="3771">
      <c r="A3771">
        <f>IF(AND('Ratings'!A241&lt;&gt;"",'Ratings'!N5&lt;&gt;""),'Ratings'!A241,"")</f>
        <v/>
      </c>
      <c r="B3771">
        <f>IF(A3771="","",'Employees'!C20)</f>
        <v/>
      </c>
      <c r="C3771">
        <f>IF(A3771="","",'Ratings'!C241)</f>
        <v/>
      </c>
      <c r="D3771">
        <f>IF(A3771="","",'Ratings'!D241)</f>
        <v/>
      </c>
      <c r="E3771">
        <f>IF(AND('Ratings'!A241&lt;&gt;"",'Ratings'!N5&lt;&gt;""),'Ratings'!N5,"")</f>
        <v/>
      </c>
      <c r="F3771">
        <f>IF(OR(A3771="",'Ratings'!N241=""),"",'Ratings'!N241)</f>
        <v/>
      </c>
      <c r="G3771">
        <f>IF(A3771="","",'Employees'!D20)</f>
        <v/>
      </c>
    </row>
    <row r="3772">
      <c r="A3772">
        <f>IF(AND('Ratings'!A241&lt;&gt;"",'Ratings'!O5&lt;&gt;""),'Ratings'!A241,"")</f>
        <v/>
      </c>
      <c r="B3772">
        <f>IF(A3772="","",'Employees'!C20)</f>
        <v/>
      </c>
      <c r="C3772">
        <f>IF(A3772="","",'Ratings'!C241)</f>
        <v/>
      </c>
      <c r="D3772">
        <f>IF(A3772="","",'Ratings'!D241)</f>
        <v/>
      </c>
      <c r="E3772">
        <f>IF(AND('Ratings'!A241&lt;&gt;"",'Ratings'!O5&lt;&gt;""),'Ratings'!O5,"")</f>
        <v/>
      </c>
      <c r="F3772">
        <f>IF(OR(A3772="",'Ratings'!O241=""),"",'Ratings'!O241)</f>
        <v/>
      </c>
      <c r="G3772">
        <f>IF(A3772="","",'Employees'!D20)</f>
        <v/>
      </c>
    </row>
    <row r="3773">
      <c r="A3773">
        <f>IF(AND('Ratings'!A241&lt;&gt;"",'Ratings'!P5&lt;&gt;""),'Ratings'!A241,"")</f>
        <v/>
      </c>
      <c r="B3773">
        <f>IF(A3773="","",'Employees'!C20)</f>
        <v/>
      </c>
      <c r="C3773">
        <f>IF(A3773="","",'Ratings'!C241)</f>
        <v/>
      </c>
      <c r="D3773">
        <f>IF(A3773="","",'Ratings'!D241)</f>
        <v/>
      </c>
      <c r="E3773">
        <f>IF(AND('Ratings'!A241&lt;&gt;"",'Ratings'!P5&lt;&gt;""),'Ratings'!P5,"")</f>
        <v/>
      </c>
      <c r="F3773">
        <f>IF(OR(A3773="",'Ratings'!P241=""),"",'Ratings'!P241)</f>
        <v/>
      </c>
      <c r="G3773">
        <f>IF(A3773="","",'Employees'!D20)</f>
        <v/>
      </c>
    </row>
    <row r="3774">
      <c r="A3774">
        <f>IF(AND('Ratings'!A241&lt;&gt;"",'Ratings'!Q5&lt;&gt;""),'Ratings'!A241,"")</f>
        <v/>
      </c>
      <c r="B3774">
        <f>IF(A3774="","",'Employees'!C20)</f>
        <v/>
      </c>
      <c r="C3774">
        <f>IF(A3774="","",'Ratings'!C241)</f>
        <v/>
      </c>
      <c r="D3774">
        <f>IF(A3774="","",'Ratings'!D241)</f>
        <v/>
      </c>
      <c r="E3774">
        <f>IF(AND('Ratings'!A241&lt;&gt;"",'Ratings'!Q5&lt;&gt;""),'Ratings'!Q5,"")</f>
        <v/>
      </c>
      <c r="F3774">
        <f>IF(OR(A3774="",'Ratings'!Q241=""),"",'Ratings'!Q241)</f>
        <v/>
      </c>
      <c r="G3774">
        <f>IF(A3774="","",'Employees'!D20)</f>
        <v/>
      </c>
    </row>
    <row r="3775">
      <c r="A3775">
        <f>IF(AND('Ratings'!A241&lt;&gt;"",'Ratings'!R5&lt;&gt;""),'Ratings'!A241,"")</f>
        <v/>
      </c>
      <c r="B3775">
        <f>IF(A3775="","",'Employees'!C20)</f>
        <v/>
      </c>
      <c r="C3775">
        <f>IF(A3775="","",'Ratings'!C241)</f>
        <v/>
      </c>
      <c r="D3775">
        <f>IF(A3775="","",'Ratings'!D241)</f>
        <v/>
      </c>
      <c r="E3775">
        <f>IF(AND('Ratings'!A241&lt;&gt;"",'Ratings'!R5&lt;&gt;""),'Ratings'!R5,"")</f>
        <v/>
      </c>
      <c r="F3775">
        <f>IF(OR(A3775="",'Ratings'!R241=""),"",'Ratings'!R241)</f>
        <v/>
      </c>
      <c r="G3775">
        <f>IF(A3775="","",'Employees'!D20)</f>
        <v/>
      </c>
    </row>
    <row r="3776">
      <c r="A3776">
        <f>IF(AND('Ratings'!A241&lt;&gt;"",'Ratings'!S5&lt;&gt;""),'Ratings'!A241,"")</f>
        <v/>
      </c>
      <c r="B3776">
        <f>IF(A3776="","",'Employees'!C20)</f>
        <v/>
      </c>
      <c r="C3776">
        <f>IF(A3776="","",'Ratings'!C241)</f>
        <v/>
      </c>
      <c r="D3776">
        <f>IF(A3776="","",'Ratings'!D241)</f>
        <v/>
      </c>
      <c r="E3776">
        <f>IF(AND('Ratings'!A241&lt;&gt;"",'Ratings'!S5&lt;&gt;""),'Ratings'!S5,"")</f>
        <v/>
      </c>
      <c r="F3776">
        <f>IF(OR(A3776="",'Ratings'!S241=""),"",'Ratings'!S241)</f>
        <v/>
      </c>
      <c r="G3776">
        <f>IF(A3776="","",'Employees'!D20)</f>
        <v/>
      </c>
    </row>
    <row r="3777">
      <c r="A3777">
        <f>IF(AND('Ratings'!A241&lt;&gt;"",'Ratings'!T5&lt;&gt;""),'Ratings'!A241,"")</f>
        <v/>
      </c>
      <c r="B3777">
        <f>IF(A3777="","",'Employees'!C20)</f>
        <v/>
      </c>
      <c r="C3777">
        <f>IF(A3777="","",'Ratings'!C241)</f>
        <v/>
      </c>
      <c r="D3777">
        <f>IF(A3777="","",'Ratings'!D241)</f>
        <v/>
      </c>
      <c r="E3777">
        <f>IF(AND('Ratings'!A241&lt;&gt;"",'Ratings'!T5&lt;&gt;""),'Ratings'!T5,"")</f>
        <v/>
      </c>
      <c r="F3777">
        <f>IF(OR(A3777="",'Ratings'!T241=""),"",'Ratings'!T241)</f>
        <v/>
      </c>
      <c r="G3777">
        <f>IF(A3777="","",'Employees'!D20)</f>
        <v/>
      </c>
    </row>
    <row r="3778">
      <c r="A3778">
        <f>IF(AND('Ratings'!A242&lt;&gt;"",'Ratings'!E5&lt;&gt;""),'Ratings'!A242,"")</f>
        <v/>
      </c>
      <c r="B3778">
        <f>IF(A3778="","",'Employees'!C20)</f>
        <v/>
      </c>
      <c r="C3778">
        <f>IF(A3778="","",'Ratings'!C242)</f>
        <v/>
      </c>
      <c r="D3778">
        <f>IF(A3778="","",'Ratings'!D242)</f>
        <v/>
      </c>
      <c r="E3778">
        <f>IF(AND('Ratings'!A242&lt;&gt;"",'Ratings'!E5&lt;&gt;""),'Ratings'!E5,"")</f>
        <v/>
      </c>
      <c r="F3778">
        <f>IF(OR(A3778="",'Ratings'!E242=""),"",'Ratings'!E242)</f>
        <v/>
      </c>
      <c r="G3778">
        <f>IF(A3778="","",'Employees'!D20)</f>
        <v/>
      </c>
    </row>
    <row r="3779">
      <c r="A3779">
        <f>IF(AND('Ratings'!A242&lt;&gt;"",'Ratings'!F5&lt;&gt;""),'Ratings'!A242,"")</f>
        <v/>
      </c>
      <c r="B3779">
        <f>IF(A3779="","",'Employees'!C20)</f>
        <v/>
      </c>
      <c r="C3779">
        <f>IF(A3779="","",'Ratings'!C242)</f>
        <v/>
      </c>
      <c r="D3779">
        <f>IF(A3779="","",'Ratings'!D242)</f>
        <v/>
      </c>
      <c r="E3779">
        <f>IF(AND('Ratings'!A242&lt;&gt;"",'Ratings'!F5&lt;&gt;""),'Ratings'!F5,"")</f>
        <v/>
      </c>
      <c r="F3779">
        <f>IF(OR(A3779="",'Ratings'!F242=""),"",'Ratings'!F242)</f>
        <v/>
      </c>
      <c r="G3779">
        <f>IF(A3779="","",'Employees'!D20)</f>
        <v/>
      </c>
    </row>
    <row r="3780">
      <c r="A3780">
        <f>IF(AND('Ratings'!A242&lt;&gt;"",'Ratings'!G5&lt;&gt;""),'Ratings'!A242,"")</f>
        <v/>
      </c>
      <c r="B3780">
        <f>IF(A3780="","",'Employees'!C20)</f>
        <v/>
      </c>
      <c r="C3780">
        <f>IF(A3780="","",'Ratings'!C242)</f>
        <v/>
      </c>
      <c r="D3780">
        <f>IF(A3780="","",'Ratings'!D242)</f>
        <v/>
      </c>
      <c r="E3780">
        <f>IF(AND('Ratings'!A242&lt;&gt;"",'Ratings'!G5&lt;&gt;""),'Ratings'!G5,"")</f>
        <v/>
      </c>
      <c r="F3780">
        <f>IF(OR(A3780="",'Ratings'!G242=""),"",'Ratings'!G242)</f>
        <v/>
      </c>
      <c r="G3780">
        <f>IF(A3780="","",'Employees'!D20)</f>
        <v/>
      </c>
    </row>
    <row r="3781">
      <c r="A3781">
        <f>IF(AND('Ratings'!A242&lt;&gt;"",'Ratings'!H5&lt;&gt;""),'Ratings'!A242,"")</f>
        <v/>
      </c>
      <c r="B3781">
        <f>IF(A3781="","",'Employees'!C20)</f>
        <v/>
      </c>
      <c r="C3781">
        <f>IF(A3781="","",'Ratings'!C242)</f>
        <v/>
      </c>
      <c r="D3781">
        <f>IF(A3781="","",'Ratings'!D242)</f>
        <v/>
      </c>
      <c r="E3781">
        <f>IF(AND('Ratings'!A242&lt;&gt;"",'Ratings'!H5&lt;&gt;""),'Ratings'!H5,"")</f>
        <v/>
      </c>
      <c r="F3781">
        <f>IF(OR(A3781="",'Ratings'!H242=""),"",'Ratings'!H242)</f>
        <v/>
      </c>
      <c r="G3781">
        <f>IF(A3781="","",'Employees'!D20)</f>
        <v/>
      </c>
    </row>
    <row r="3782">
      <c r="A3782">
        <f>IF(AND('Ratings'!A242&lt;&gt;"",'Ratings'!I5&lt;&gt;""),'Ratings'!A242,"")</f>
        <v/>
      </c>
      <c r="B3782">
        <f>IF(A3782="","",'Employees'!C20)</f>
        <v/>
      </c>
      <c r="C3782">
        <f>IF(A3782="","",'Ratings'!C242)</f>
        <v/>
      </c>
      <c r="D3782">
        <f>IF(A3782="","",'Ratings'!D242)</f>
        <v/>
      </c>
      <c r="E3782">
        <f>IF(AND('Ratings'!A242&lt;&gt;"",'Ratings'!I5&lt;&gt;""),'Ratings'!I5,"")</f>
        <v/>
      </c>
      <c r="F3782">
        <f>IF(OR(A3782="",'Ratings'!I242=""),"",'Ratings'!I242)</f>
        <v/>
      </c>
      <c r="G3782">
        <f>IF(A3782="","",'Employees'!D20)</f>
        <v/>
      </c>
    </row>
    <row r="3783">
      <c r="A3783">
        <f>IF(AND('Ratings'!A242&lt;&gt;"",'Ratings'!J5&lt;&gt;""),'Ratings'!A242,"")</f>
        <v/>
      </c>
      <c r="B3783">
        <f>IF(A3783="","",'Employees'!C20)</f>
        <v/>
      </c>
      <c r="C3783">
        <f>IF(A3783="","",'Ratings'!C242)</f>
        <v/>
      </c>
      <c r="D3783">
        <f>IF(A3783="","",'Ratings'!D242)</f>
        <v/>
      </c>
      <c r="E3783">
        <f>IF(AND('Ratings'!A242&lt;&gt;"",'Ratings'!J5&lt;&gt;""),'Ratings'!J5,"")</f>
        <v/>
      </c>
      <c r="F3783">
        <f>IF(OR(A3783="",'Ratings'!J242=""),"",'Ratings'!J242)</f>
        <v/>
      </c>
      <c r="G3783">
        <f>IF(A3783="","",'Employees'!D20)</f>
        <v/>
      </c>
    </row>
    <row r="3784">
      <c r="A3784">
        <f>IF(AND('Ratings'!A242&lt;&gt;"",'Ratings'!K5&lt;&gt;""),'Ratings'!A242,"")</f>
        <v/>
      </c>
      <c r="B3784">
        <f>IF(A3784="","",'Employees'!C20)</f>
        <v/>
      </c>
      <c r="C3784">
        <f>IF(A3784="","",'Ratings'!C242)</f>
        <v/>
      </c>
      <c r="D3784">
        <f>IF(A3784="","",'Ratings'!D242)</f>
        <v/>
      </c>
      <c r="E3784">
        <f>IF(AND('Ratings'!A242&lt;&gt;"",'Ratings'!K5&lt;&gt;""),'Ratings'!K5,"")</f>
        <v/>
      </c>
      <c r="F3784">
        <f>IF(OR(A3784="",'Ratings'!K242=""),"",'Ratings'!K242)</f>
        <v/>
      </c>
      <c r="G3784">
        <f>IF(A3784="","",'Employees'!D20)</f>
        <v/>
      </c>
    </row>
    <row r="3785">
      <c r="A3785">
        <f>IF(AND('Ratings'!A242&lt;&gt;"",'Ratings'!L5&lt;&gt;""),'Ratings'!A242,"")</f>
        <v/>
      </c>
      <c r="B3785">
        <f>IF(A3785="","",'Employees'!C20)</f>
        <v/>
      </c>
      <c r="C3785">
        <f>IF(A3785="","",'Ratings'!C242)</f>
        <v/>
      </c>
      <c r="D3785">
        <f>IF(A3785="","",'Ratings'!D242)</f>
        <v/>
      </c>
      <c r="E3785">
        <f>IF(AND('Ratings'!A242&lt;&gt;"",'Ratings'!L5&lt;&gt;""),'Ratings'!L5,"")</f>
        <v/>
      </c>
      <c r="F3785">
        <f>IF(OR(A3785="",'Ratings'!L242=""),"",'Ratings'!L242)</f>
        <v/>
      </c>
      <c r="G3785">
        <f>IF(A3785="","",'Employees'!D20)</f>
        <v/>
      </c>
    </row>
    <row r="3786">
      <c r="A3786">
        <f>IF(AND('Ratings'!A242&lt;&gt;"",'Ratings'!M5&lt;&gt;""),'Ratings'!A242,"")</f>
        <v/>
      </c>
      <c r="B3786">
        <f>IF(A3786="","",'Employees'!C20)</f>
        <v/>
      </c>
      <c r="C3786">
        <f>IF(A3786="","",'Ratings'!C242)</f>
        <v/>
      </c>
      <c r="D3786">
        <f>IF(A3786="","",'Ratings'!D242)</f>
        <v/>
      </c>
      <c r="E3786">
        <f>IF(AND('Ratings'!A242&lt;&gt;"",'Ratings'!M5&lt;&gt;""),'Ratings'!M5,"")</f>
        <v/>
      </c>
      <c r="F3786">
        <f>IF(OR(A3786="",'Ratings'!M242=""),"",'Ratings'!M242)</f>
        <v/>
      </c>
      <c r="G3786">
        <f>IF(A3786="","",'Employees'!D20)</f>
        <v/>
      </c>
    </row>
    <row r="3787">
      <c r="A3787">
        <f>IF(AND('Ratings'!A242&lt;&gt;"",'Ratings'!N5&lt;&gt;""),'Ratings'!A242,"")</f>
        <v/>
      </c>
      <c r="B3787">
        <f>IF(A3787="","",'Employees'!C20)</f>
        <v/>
      </c>
      <c r="C3787">
        <f>IF(A3787="","",'Ratings'!C242)</f>
        <v/>
      </c>
      <c r="D3787">
        <f>IF(A3787="","",'Ratings'!D242)</f>
        <v/>
      </c>
      <c r="E3787">
        <f>IF(AND('Ratings'!A242&lt;&gt;"",'Ratings'!N5&lt;&gt;""),'Ratings'!N5,"")</f>
        <v/>
      </c>
      <c r="F3787">
        <f>IF(OR(A3787="",'Ratings'!N242=""),"",'Ratings'!N242)</f>
        <v/>
      </c>
      <c r="G3787">
        <f>IF(A3787="","",'Employees'!D20)</f>
        <v/>
      </c>
    </row>
    <row r="3788">
      <c r="A3788">
        <f>IF(AND('Ratings'!A242&lt;&gt;"",'Ratings'!O5&lt;&gt;""),'Ratings'!A242,"")</f>
        <v/>
      </c>
      <c r="B3788">
        <f>IF(A3788="","",'Employees'!C20)</f>
        <v/>
      </c>
      <c r="C3788">
        <f>IF(A3788="","",'Ratings'!C242)</f>
        <v/>
      </c>
      <c r="D3788">
        <f>IF(A3788="","",'Ratings'!D242)</f>
        <v/>
      </c>
      <c r="E3788">
        <f>IF(AND('Ratings'!A242&lt;&gt;"",'Ratings'!O5&lt;&gt;""),'Ratings'!O5,"")</f>
        <v/>
      </c>
      <c r="F3788">
        <f>IF(OR(A3788="",'Ratings'!O242=""),"",'Ratings'!O242)</f>
        <v/>
      </c>
      <c r="G3788">
        <f>IF(A3788="","",'Employees'!D20)</f>
        <v/>
      </c>
    </row>
    <row r="3789">
      <c r="A3789">
        <f>IF(AND('Ratings'!A242&lt;&gt;"",'Ratings'!P5&lt;&gt;""),'Ratings'!A242,"")</f>
        <v/>
      </c>
      <c r="B3789">
        <f>IF(A3789="","",'Employees'!C20)</f>
        <v/>
      </c>
      <c r="C3789">
        <f>IF(A3789="","",'Ratings'!C242)</f>
        <v/>
      </c>
      <c r="D3789">
        <f>IF(A3789="","",'Ratings'!D242)</f>
        <v/>
      </c>
      <c r="E3789">
        <f>IF(AND('Ratings'!A242&lt;&gt;"",'Ratings'!P5&lt;&gt;""),'Ratings'!P5,"")</f>
        <v/>
      </c>
      <c r="F3789">
        <f>IF(OR(A3789="",'Ratings'!P242=""),"",'Ratings'!P242)</f>
        <v/>
      </c>
      <c r="G3789">
        <f>IF(A3789="","",'Employees'!D20)</f>
        <v/>
      </c>
    </row>
    <row r="3790">
      <c r="A3790">
        <f>IF(AND('Ratings'!A242&lt;&gt;"",'Ratings'!Q5&lt;&gt;""),'Ratings'!A242,"")</f>
        <v/>
      </c>
      <c r="B3790">
        <f>IF(A3790="","",'Employees'!C20)</f>
        <v/>
      </c>
      <c r="C3790">
        <f>IF(A3790="","",'Ratings'!C242)</f>
        <v/>
      </c>
      <c r="D3790">
        <f>IF(A3790="","",'Ratings'!D242)</f>
        <v/>
      </c>
      <c r="E3790">
        <f>IF(AND('Ratings'!A242&lt;&gt;"",'Ratings'!Q5&lt;&gt;""),'Ratings'!Q5,"")</f>
        <v/>
      </c>
      <c r="F3790">
        <f>IF(OR(A3790="",'Ratings'!Q242=""),"",'Ratings'!Q242)</f>
        <v/>
      </c>
      <c r="G3790">
        <f>IF(A3790="","",'Employees'!D20)</f>
        <v/>
      </c>
    </row>
    <row r="3791">
      <c r="A3791">
        <f>IF(AND('Ratings'!A242&lt;&gt;"",'Ratings'!R5&lt;&gt;""),'Ratings'!A242,"")</f>
        <v/>
      </c>
      <c r="B3791">
        <f>IF(A3791="","",'Employees'!C20)</f>
        <v/>
      </c>
      <c r="C3791">
        <f>IF(A3791="","",'Ratings'!C242)</f>
        <v/>
      </c>
      <c r="D3791">
        <f>IF(A3791="","",'Ratings'!D242)</f>
        <v/>
      </c>
      <c r="E3791">
        <f>IF(AND('Ratings'!A242&lt;&gt;"",'Ratings'!R5&lt;&gt;""),'Ratings'!R5,"")</f>
        <v/>
      </c>
      <c r="F3791">
        <f>IF(OR(A3791="",'Ratings'!R242=""),"",'Ratings'!R242)</f>
        <v/>
      </c>
      <c r="G3791">
        <f>IF(A3791="","",'Employees'!D20)</f>
        <v/>
      </c>
    </row>
    <row r="3792">
      <c r="A3792">
        <f>IF(AND('Ratings'!A242&lt;&gt;"",'Ratings'!S5&lt;&gt;""),'Ratings'!A242,"")</f>
        <v/>
      </c>
      <c r="B3792">
        <f>IF(A3792="","",'Employees'!C20)</f>
        <v/>
      </c>
      <c r="C3792">
        <f>IF(A3792="","",'Ratings'!C242)</f>
        <v/>
      </c>
      <c r="D3792">
        <f>IF(A3792="","",'Ratings'!D242)</f>
        <v/>
      </c>
      <c r="E3792">
        <f>IF(AND('Ratings'!A242&lt;&gt;"",'Ratings'!S5&lt;&gt;""),'Ratings'!S5,"")</f>
        <v/>
      </c>
      <c r="F3792">
        <f>IF(OR(A3792="",'Ratings'!S242=""),"",'Ratings'!S242)</f>
        <v/>
      </c>
      <c r="G3792">
        <f>IF(A3792="","",'Employees'!D20)</f>
        <v/>
      </c>
    </row>
    <row r="3793">
      <c r="A3793">
        <f>IF(AND('Ratings'!A242&lt;&gt;"",'Ratings'!T5&lt;&gt;""),'Ratings'!A242,"")</f>
        <v/>
      </c>
      <c r="B3793">
        <f>IF(A3793="","",'Employees'!C20)</f>
        <v/>
      </c>
      <c r="C3793">
        <f>IF(A3793="","",'Ratings'!C242)</f>
        <v/>
      </c>
      <c r="D3793">
        <f>IF(A3793="","",'Ratings'!D242)</f>
        <v/>
      </c>
      <c r="E3793">
        <f>IF(AND('Ratings'!A242&lt;&gt;"",'Ratings'!T5&lt;&gt;""),'Ratings'!T5,"")</f>
        <v/>
      </c>
      <c r="F3793">
        <f>IF(OR(A3793="",'Ratings'!T242=""),"",'Ratings'!T242)</f>
        <v/>
      </c>
      <c r="G3793">
        <f>IF(A3793="","",'Employees'!D20)</f>
        <v/>
      </c>
    </row>
    <row r="3794">
      <c r="A3794">
        <f>IF(AND('Ratings'!A243&lt;&gt;"",'Ratings'!E5&lt;&gt;""),'Ratings'!A243,"")</f>
        <v/>
      </c>
      <c r="B3794">
        <f>IF(A3794="","",'Employees'!C20)</f>
        <v/>
      </c>
      <c r="C3794">
        <f>IF(A3794="","",'Ratings'!C243)</f>
        <v/>
      </c>
      <c r="D3794">
        <f>IF(A3794="","",'Ratings'!D243)</f>
        <v/>
      </c>
      <c r="E3794">
        <f>IF(AND('Ratings'!A243&lt;&gt;"",'Ratings'!E5&lt;&gt;""),'Ratings'!E5,"")</f>
        <v/>
      </c>
      <c r="F3794">
        <f>IF(OR(A3794="",'Ratings'!E243=""),"",'Ratings'!E243)</f>
        <v/>
      </c>
      <c r="G3794">
        <f>IF(A3794="","",'Employees'!D20)</f>
        <v/>
      </c>
    </row>
    <row r="3795">
      <c r="A3795">
        <f>IF(AND('Ratings'!A243&lt;&gt;"",'Ratings'!F5&lt;&gt;""),'Ratings'!A243,"")</f>
        <v/>
      </c>
      <c r="B3795">
        <f>IF(A3795="","",'Employees'!C20)</f>
        <v/>
      </c>
      <c r="C3795">
        <f>IF(A3795="","",'Ratings'!C243)</f>
        <v/>
      </c>
      <c r="D3795">
        <f>IF(A3795="","",'Ratings'!D243)</f>
        <v/>
      </c>
      <c r="E3795">
        <f>IF(AND('Ratings'!A243&lt;&gt;"",'Ratings'!F5&lt;&gt;""),'Ratings'!F5,"")</f>
        <v/>
      </c>
      <c r="F3795">
        <f>IF(OR(A3795="",'Ratings'!F243=""),"",'Ratings'!F243)</f>
        <v/>
      </c>
      <c r="G3795">
        <f>IF(A3795="","",'Employees'!D20)</f>
        <v/>
      </c>
    </row>
    <row r="3796">
      <c r="A3796">
        <f>IF(AND('Ratings'!A243&lt;&gt;"",'Ratings'!G5&lt;&gt;""),'Ratings'!A243,"")</f>
        <v/>
      </c>
      <c r="B3796">
        <f>IF(A3796="","",'Employees'!C20)</f>
        <v/>
      </c>
      <c r="C3796">
        <f>IF(A3796="","",'Ratings'!C243)</f>
        <v/>
      </c>
      <c r="D3796">
        <f>IF(A3796="","",'Ratings'!D243)</f>
        <v/>
      </c>
      <c r="E3796">
        <f>IF(AND('Ratings'!A243&lt;&gt;"",'Ratings'!G5&lt;&gt;""),'Ratings'!G5,"")</f>
        <v/>
      </c>
      <c r="F3796">
        <f>IF(OR(A3796="",'Ratings'!G243=""),"",'Ratings'!G243)</f>
        <v/>
      </c>
      <c r="G3796">
        <f>IF(A3796="","",'Employees'!D20)</f>
        <v/>
      </c>
    </row>
    <row r="3797">
      <c r="A3797">
        <f>IF(AND('Ratings'!A243&lt;&gt;"",'Ratings'!H5&lt;&gt;""),'Ratings'!A243,"")</f>
        <v/>
      </c>
      <c r="B3797">
        <f>IF(A3797="","",'Employees'!C20)</f>
        <v/>
      </c>
      <c r="C3797">
        <f>IF(A3797="","",'Ratings'!C243)</f>
        <v/>
      </c>
      <c r="D3797">
        <f>IF(A3797="","",'Ratings'!D243)</f>
        <v/>
      </c>
      <c r="E3797">
        <f>IF(AND('Ratings'!A243&lt;&gt;"",'Ratings'!H5&lt;&gt;""),'Ratings'!H5,"")</f>
        <v/>
      </c>
      <c r="F3797">
        <f>IF(OR(A3797="",'Ratings'!H243=""),"",'Ratings'!H243)</f>
        <v/>
      </c>
      <c r="G3797">
        <f>IF(A3797="","",'Employees'!D20)</f>
        <v/>
      </c>
    </row>
    <row r="3798">
      <c r="A3798">
        <f>IF(AND('Ratings'!A243&lt;&gt;"",'Ratings'!I5&lt;&gt;""),'Ratings'!A243,"")</f>
        <v/>
      </c>
      <c r="B3798">
        <f>IF(A3798="","",'Employees'!C20)</f>
        <v/>
      </c>
      <c r="C3798">
        <f>IF(A3798="","",'Ratings'!C243)</f>
        <v/>
      </c>
      <c r="D3798">
        <f>IF(A3798="","",'Ratings'!D243)</f>
        <v/>
      </c>
      <c r="E3798">
        <f>IF(AND('Ratings'!A243&lt;&gt;"",'Ratings'!I5&lt;&gt;""),'Ratings'!I5,"")</f>
        <v/>
      </c>
      <c r="F3798">
        <f>IF(OR(A3798="",'Ratings'!I243=""),"",'Ratings'!I243)</f>
        <v/>
      </c>
      <c r="G3798">
        <f>IF(A3798="","",'Employees'!D20)</f>
        <v/>
      </c>
    </row>
    <row r="3799">
      <c r="A3799">
        <f>IF(AND('Ratings'!A243&lt;&gt;"",'Ratings'!J5&lt;&gt;""),'Ratings'!A243,"")</f>
        <v/>
      </c>
      <c r="B3799">
        <f>IF(A3799="","",'Employees'!C20)</f>
        <v/>
      </c>
      <c r="C3799">
        <f>IF(A3799="","",'Ratings'!C243)</f>
        <v/>
      </c>
      <c r="D3799">
        <f>IF(A3799="","",'Ratings'!D243)</f>
        <v/>
      </c>
      <c r="E3799">
        <f>IF(AND('Ratings'!A243&lt;&gt;"",'Ratings'!J5&lt;&gt;""),'Ratings'!J5,"")</f>
        <v/>
      </c>
      <c r="F3799">
        <f>IF(OR(A3799="",'Ratings'!J243=""),"",'Ratings'!J243)</f>
        <v/>
      </c>
      <c r="G3799">
        <f>IF(A3799="","",'Employees'!D20)</f>
        <v/>
      </c>
    </row>
    <row r="3800">
      <c r="A3800">
        <f>IF(AND('Ratings'!A243&lt;&gt;"",'Ratings'!K5&lt;&gt;""),'Ratings'!A243,"")</f>
        <v/>
      </c>
      <c r="B3800">
        <f>IF(A3800="","",'Employees'!C20)</f>
        <v/>
      </c>
      <c r="C3800">
        <f>IF(A3800="","",'Ratings'!C243)</f>
        <v/>
      </c>
      <c r="D3800">
        <f>IF(A3800="","",'Ratings'!D243)</f>
        <v/>
      </c>
      <c r="E3800">
        <f>IF(AND('Ratings'!A243&lt;&gt;"",'Ratings'!K5&lt;&gt;""),'Ratings'!K5,"")</f>
        <v/>
      </c>
      <c r="F3800">
        <f>IF(OR(A3800="",'Ratings'!K243=""),"",'Ratings'!K243)</f>
        <v/>
      </c>
      <c r="G3800">
        <f>IF(A3800="","",'Employees'!D20)</f>
        <v/>
      </c>
    </row>
    <row r="3801">
      <c r="A3801">
        <f>IF(AND('Ratings'!A243&lt;&gt;"",'Ratings'!L5&lt;&gt;""),'Ratings'!A243,"")</f>
        <v/>
      </c>
      <c r="B3801">
        <f>IF(A3801="","",'Employees'!C20)</f>
        <v/>
      </c>
      <c r="C3801">
        <f>IF(A3801="","",'Ratings'!C243)</f>
        <v/>
      </c>
      <c r="D3801">
        <f>IF(A3801="","",'Ratings'!D243)</f>
        <v/>
      </c>
      <c r="E3801">
        <f>IF(AND('Ratings'!A243&lt;&gt;"",'Ratings'!L5&lt;&gt;""),'Ratings'!L5,"")</f>
        <v/>
      </c>
      <c r="F3801">
        <f>IF(OR(A3801="",'Ratings'!L243=""),"",'Ratings'!L243)</f>
        <v/>
      </c>
      <c r="G3801">
        <f>IF(A3801="","",'Employees'!D20)</f>
        <v/>
      </c>
    </row>
    <row r="3802">
      <c r="A3802">
        <f>IF(AND('Ratings'!A243&lt;&gt;"",'Ratings'!M5&lt;&gt;""),'Ratings'!A243,"")</f>
        <v/>
      </c>
      <c r="B3802">
        <f>IF(A3802="","",'Employees'!C20)</f>
        <v/>
      </c>
      <c r="C3802">
        <f>IF(A3802="","",'Ratings'!C243)</f>
        <v/>
      </c>
      <c r="D3802">
        <f>IF(A3802="","",'Ratings'!D243)</f>
        <v/>
      </c>
      <c r="E3802">
        <f>IF(AND('Ratings'!A243&lt;&gt;"",'Ratings'!M5&lt;&gt;""),'Ratings'!M5,"")</f>
        <v/>
      </c>
      <c r="F3802">
        <f>IF(OR(A3802="",'Ratings'!M243=""),"",'Ratings'!M243)</f>
        <v/>
      </c>
      <c r="G3802">
        <f>IF(A3802="","",'Employees'!D20)</f>
        <v/>
      </c>
    </row>
    <row r="3803">
      <c r="A3803">
        <f>IF(AND('Ratings'!A243&lt;&gt;"",'Ratings'!N5&lt;&gt;""),'Ratings'!A243,"")</f>
        <v/>
      </c>
      <c r="B3803">
        <f>IF(A3803="","",'Employees'!C20)</f>
        <v/>
      </c>
      <c r="C3803">
        <f>IF(A3803="","",'Ratings'!C243)</f>
        <v/>
      </c>
      <c r="D3803">
        <f>IF(A3803="","",'Ratings'!D243)</f>
        <v/>
      </c>
      <c r="E3803">
        <f>IF(AND('Ratings'!A243&lt;&gt;"",'Ratings'!N5&lt;&gt;""),'Ratings'!N5,"")</f>
        <v/>
      </c>
      <c r="F3803">
        <f>IF(OR(A3803="",'Ratings'!N243=""),"",'Ratings'!N243)</f>
        <v/>
      </c>
      <c r="G3803">
        <f>IF(A3803="","",'Employees'!D20)</f>
        <v/>
      </c>
    </row>
    <row r="3804">
      <c r="A3804">
        <f>IF(AND('Ratings'!A243&lt;&gt;"",'Ratings'!O5&lt;&gt;""),'Ratings'!A243,"")</f>
        <v/>
      </c>
      <c r="B3804">
        <f>IF(A3804="","",'Employees'!C20)</f>
        <v/>
      </c>
      <c r="C3804">
        <f>IF(A3804="","",'Ratings'!C243)</f>
        <v/>
      </c>
      <c r="D3804">
        <f>IF(A3804="","",'Ratings'!D243)</f>
        <v/>
      </c>
      <c r="E3804">
        <f>IF(AND('Ratings'!A243&lt;&gt;"",'Ratings'!O5&lt;&gt;""),'Ratings'!O5,"")</f>
        <v/>
      </c>
      <c r="F3804">
        <f>IF(OR(A3804="",'Ratings'!O243=""),"",'Ratings'!O243)</f>
        <v/>
      </c>
      <c r="G3804">
        <f>IF(A3804="","",'Employees'!D20)</f>
        <v/>
      </c>
    </row>
    <row r="3805">
      <c r="A3805">
        <f>IF(AND('Ratings'!A243&lt;&gt;"",'Ratings'!P5&lt;&gt;""),'Ratings'!A243,"")</f>
        <v/>
      </c>
      <c r="B3805">
        <f>IF(A3805="","",'Employees'!C20)</f>
        <v/>
      </c>
      <c r="C3805">
        <f>IF(A3805="","",'Ratings'!C243)</f>
        <v/>
      </c>
      <c r="D3805">
        <f>IF(A3805="","",'Ratings'!D243)</f>
        <v/>
      </c>
      <c r="E3805">
        <f>IF(AND('Ratings'!A243&lt;&gt;"",'Ratings'!P5&lt;&gt;""),'Ratings'!P5,"")</f>
        <v/>
      </c>
      <c r="F3805">
        <f>IF(OR(A3805="",'Ratings'!P243=""),"",'Ratings'!P243)</f>
        <v/>
      </c>
      <c r="G3805">
        <f>IF(A3805="","",'Employees'!D20)</f>
        <v/>
      </c>
    </row>
    <row r="3806">
      <c r="A3806">
        <f>IF(AND('Ratings'!A243&lt;&gt;"",'Ratings'!Q5&lt;&gt;""),'Ratings'!A243,"")</f>
        <v/>
      </c>
      <c r="B3806">
        <f>IF(A3806="","",'Employees'!C20)</f>
        <v/>
      </c>
      <c r="C3806">
        <f>IF(A3806="","",'Ratings'!C243)</f>
        <v/>
      </c>
      <c r="D3806">
        <f>IF(A3806="","",'Ratings'!D243)</f>
        <v/>
      </c>
      <c r="E3806">
        <f>IF(AND('Ratings'!A243&lt;&gt;"",'Ratings'!Q5&lt;&gt;""),'Ratings'!Q5,"")</f>
        <v/>
      </c>
      <c r="F3806">
        <f>IF(OR(A3806="",'Ratings'!Q243=""),"",'Ratings'!Q243)</f>
        <v/>
      </c>
      <c r="G3806">
        <f>IF(A3806="","",'Employees'!D20)</f>
        <v/>
      </c>
    </row>
    <row r="3807">
      <c r="A3807">
        <f>IF(AND('Ratings'!A243&lt;&gt;"",'Ratings'!R5&lt;&gt;""),'Ratings'!A243,"")</f>
        <v/>
      </c>
      <c r="B3807">
        <f>IF(A3807="","",'Employees'!C20)</f>
        <v/>
      </c>
      <c r="C3807">
        <f>IF(A3807="","",'Ratings'!C243)</f>
        <v/>
      </c>
      <c r="D3807">
        <f>IF(A3807="","",'Ratings'!D243)</f>
        <v/>
      </c>
      <c r="E3807">
        <f>IF(AND('Ratings'!A243&lt;&gt;"",'Ratings'!R5&lt;&gt;""),'Ratings'!R5,"")</f>
        <v/>
      </c>
      <c r="F3807">
        <f>IF(OR(A3807="",'Ratings'!R243=""),"",'Ratings'!R243)</f>
        <v/>
      </c>
      <c r="G3807">
        <f>IF(A3807="","",'Employees'!D20)</f>
        <v/>
      </c>
    </row>
    <row r="3808">
      <c r="A3808">
        <f>IF(AND('Ratings'!A243&lt;&gt;"",'Ratings'!S5&lt;&gt;""),'Ratings'!A243,"")</f>
        <v/>
      </c>
      <c r="B3808">
        <f>IF(A3808="","",'Employees'!C20)</f>
        <v/>
      </c>
      <c r="C3808">
        <f>IF(A3808="","",'Ratings'!C243)</f>
        <v/>
      </c>
      <c r="D3808">
        <f>IF(A3808="","",'Ratings'!D243)</f>
        <v/>
      </c>
      <c r="E3808">
        <f>IF(AND('Ratings'!A243&lt;&gt;"",'Ratings'!S5&lt;&gt;""),'Ratings'!S5,"")</f>
        <v/>
      </c>
      <c r="F3808">
        <f>IF(OR(A3808="",'Ratings'!S243=""),"",'Ratings'!S243)</f>
        <v/>
      </c>
      <c r="G3808">
        <f>IF(A3808="","",'Employees'!D20)</f>
        <v/>
      </c>
    </row>
    <row r="3809">
      <c r="A3809">
        <f>IF(AND('Ratings'!A243&lt;&gt;"",'Ratings'!T5&lt;&gt;""),'Ratings'!A243,"")</f>
        <v/>
      </c>
      <c r="B3809">
        <f>IF(A3809="","",'Employees'!C20)</f>
        <v/>
      </c>
      <c r="C3809">
        <f>IF(A3809="","",'Ratings'!C243)</f>
        <v/>
      </c>
      <c r="D3809">
        <f>IF(A3809="","",'Ratings'!D243)</f>
        <v/>
      </c>
      <c r="E3809">
        <f>IF(AND('Ratings'!A243&lt;&gt;"",'Ratings'!T5&lt;&gt;""),'Ratings'!T5,"")</f>
        <v/>
      </c>
      <c r="F3809">
        <f>IF(OR(A3809="",'Ratings'!T243=""),"",'Ratings'!T243)</f>
        <v/>
      </c>
      <c r="G3809">
        <f>IF(A3809="","",'Employees'!D20)</f>
        <v/>
      </c>
    </row>
    <row r="3810">
      <c r="A3810">
        <f>IF(AND('Ratings'!A244&lt;&gt;"",'Ratings'!E5&lt;&gt;""),'Ratings'!A244,"")</f>
        <v/>
      </c>
      <c r="B3810">
        <f>IF(A3810="","",'Employees'!C20)</f>
        <v/>
      </c>
      <c r="C3810">
        <f>IF(A3810="","",'Ratings'!C244)</f>
        <v/>
      </c>
      <c r="D3810">
        <f>IF(A3810="","",'Ratings'!D244)</f>
        <v/>
      </c>
      <c r="E3810">
        <f>IF(AND('Ratings'!A244&lt;&gt;"",'Ratings'!E5&lt;&gt;""),'Ratings'!E5,"")</f>
        <v/>
      </c>
      <c r="F3810">
        <f>IF(OR(A3810="",'Ratings'!E244=""),"",'Ratings'!E244)</f>
        <v/>
      </c>
      <c r="G3810">
        <f>IF(A3810="","",'Employees'!D20)</f>
        <v/>
      </c>
    </row>
    <row r="3811">
      <c r="A3811">
        <f>IF(AND('Ratings'!A244&lt;&gt;"",'Ratings'!F5&lt;&gt;""),'Ratings'!A244,"")</f>
        <v/>
      </c>
      <c r="B3811">
        <f>IF(A3811="","",'Employees'!C20)</f>
        <v/>
      </c>
      <c r="C3811">
        <f>IF(A3811="","",'Ratings'!C244)</f>
        <v/>
      </c>
      <c r="D3811">
        <f>IF(A3811="","",'Ratings'!D244)</f>
        <v/>
      </c>
      <c r="E3811">
        <f>IF(AND('Ratings'!A244&lt;&gt;"",'Ratings'!F5&lt;&gt;""),'Ratings'!F5,"")</f>
        <v/>
      </c>
      <c r="F3811">
        <f>IF(OR(A3811="",'Ratings'!F244=""),"",'Ratings'!F244)</f>
        <v/>
      </c>
      <c r="G3811">
        <f>IF(A3811="","",'Employees'!D20)</f>
        <v/>
      </c>
    </row>
    <row r="3812">
      <c r="A3812">
        <f>IF(AND('Ratings'!A244&lt;&gt;"",'Ratings'!G5&lt;&gt;""),'Ratings'!A244,"")</f>
        <v/>
      </c>
      <c r="B3812">
        <f>IF(A3812="","",'Employees'!C20)</f>
        <v/>
      </c>
      <c r="C3812">
        <f>IF(A3812="","",'Ratings'!C244)</f>
        <v/>
      </c>
      <c r="D3812">
        <f>IF(A3812="","",'Ratings'!D244)</f>
        <v/>
      </c>
      <c r="E3812">
        <f>IF(AND('Ratings'!A244&lt;&gt;"",'Ratings'!G5&lt;&gt;""),'Ratings'!G5,"")</f>
        <v/>
      </c>
      <c r="F3812">
        <f>IF(OR(A3812="",'Ratings'!G244=""),"",'Ratings'!G244)</f>
        <v/>
      </c>
      <c r="G3812">
        <f>IF(A3812="","",'Employees'!D20)</f>
        <v/>
      </c>
    </row>
    <row r="3813">
      <c r="A3813">
        <f>IF(AND('Ratings'!A244&lt;&gt;"",'Ratings'!H5&lt;&gt;""),'Ratings'!A244,"")</f>
        <v/>
      </c>
      <c r="B3813">
        <f>IF(A3813="","",'Employees'!C20)</f>
        <v/>
      </c>
      <c r="C3813">
        <f>IF(A3813="","",'Ratings'!C244)</f>
        <v/>
      </c>
      <c r="D3813">
        <f>IF(A3813="","",'Ratings'!D244)</f>
        <v/>
      </c>
      <c r="E3813">
        <f>IF(AND('Ratings'!A244&lt;&gt;"",'Ratings'!H5&lt;&gt;""),'Ratings'!H5,"")</f>
        <v/>
      </c>
      <c r="F3813">
        <f>IF(OR(A3813="",'Ratings'!H244=""),"",'Ratings'!H244)</f>
        <v/>
      </c>
      <c r="G3813">
        <f>IF(A3813="","",'Employees'!D20)</f>
        <v/>
      </c>
    </row>
    <row r="3814">
      <c r="A3814">
        <f>IF(AND('Ratings'!A244&lt;&gt;"",'Ratings'!I5&lt;&gt;""),'Ratings'!A244,"")</f>
        <v/>
      </c>
      <c r="B3814">
        <f>IF(A3814="","",'Employees'!C20)</f>
        <v/>
      </c>
      <c r="C3814">
        <f>IF(A3814="","",'Ratings'!C244)</f>
        <v/>
      </c>
      <c r="D3814">
        <f>IF(A3814="","",'Ratings'!D244)</f>
        <v/>
      </c>
      <c r="E3814">
        <f>IF(AND('Ratings'!A244&lt;&gt;"",'Ratings'!I5&lt;&gt;""),'Ratings'!I5,"")</f>
        <v/>
      </c>
      <c r="F3814">
        <f>IF(OR(A3814="",'Ratings'!I244=""),"",'Ratings'!I244)</f>
        <v/>
      </c>
      <c r="G3814">
        <f>IF(A3814="","",'Employees'!D20)</f>
        <v/>
      </c>
    </row>
    <row r="3815">
      <c r="A3815">
        <f>IF(AND('Ratings'!A244&lt;&gt;"",'Ratings'!J5&lt;&gt;""),'Ratings'!A244,"")</f>
        <v/>
      </c>
      <c r="B3815">
        <f>IF(A3815="","",'Employees'!C20)</f>
        <v/>
      </c>
      <c r="C3815">
        <f>IF(A3815="","",'Ratings'!C244)</f>
        <v/>
      </c>
      <c r="D3815">
        <f>IF(A3815="","",'Ratings'!D244)</f>
        <v/>
      </c>
      <c r="E3815">
        <f>IF(AND('Ratings'!A244&lt;&gt;"",'Ratings'!J5&lt;&gt;""),'Ratings'!J5,"")</f>
        <v/>
      </c>
      <c r="F3815">
        <f>IF(OR(A3815="",'Ratings'!J244=""),"",'Ratings'!J244)</f>
        <v/>
      </c>
      <c r="G3815">
        <f>IF(A3815="","",'Employees'!D20)</f>
        <v/>
      </c>
    </row>
    <row r="3816">
      <c r="A3816">
        <f>IF(AND('Ratings'!A244&lt;&gt;"",'Ratings'!K5&lt;&gt;""),'Ratings'!A244,"")</f>
        <v/>
      </c>
      <c r="B3816">
        <f>IF(A3816="","",'Employees'!C20)</f>
        <v/>
      </c>
      <c r="C3816">
        <f>IF(A3816="","",'Ratings'!C244)</f>
        <v/>
      </c>
      <c r="D3816">
        <f>IF(A3816="","",'Ratings'!D244)</f>
        <v/>
      </c>
      <c r="E3816">
        <f>IF(AND('Ratings'!A244&lt;&gt;"",'Ratings'!K5&lt;&gt;""),'Ratings'!K5,"")</f>
        <v/>
      </c>
      <c r="F3816">
        <f>IF(OR(A3816="",'Ratings'!K244=""),"",'Ratings'!K244)</f>
        <v/>
      </c>
      <c r="G3816">
        <f>IF(A3816="","",'Employees'!D20)</f>
        <v/>
      </c>
    </row>
    <row r="3817">
      <c r="A3817">
        <f>IF(AND('Ratings'!A244&lt;&gt;"",'Ratings'!L5&lt;&gt;""),'Ratings'!A244,"")</f>
        <v/>
      </c>
      <c r="B3817">
        <f>IF(A3817="","",'Employees'!C20)</f>
        <v/>
      </c>
      <c r="C3817">
        <f>IF(A3817="","",'Ratings'!C244)</f>
        <v/>
      </c>
      <c r="D3817">
        <f>IF(A3817="","",'Ratings'!D244)</f>
        <v/>
      </c>
      <c r="E3817">
        <f>IF(AND('Ratings'!A244&lt;&gt;"",'Ratings'!L5&lt;&gt;""),'Ratings'!L5,"")</f>
        <v/>
      </c>
      <c r="F3817">
        <f>IF(OR(A3817="",'Ratings'!L244=""),"",'Ratings'!L244)</f>
        <v/>
      </c>
      <c r="G3817">
        <f>IF(A3817="","",'Employees'!D20)</f>
        <v/>
      </c>
    </row>
    <row r="3818">
      <c r="A3818">
        <f>IF(AND('Ratings'!A244&lt;&gt;"",'Ratings'!M5&lt;&gt;""),'Ratings'!A244,"")</f>
        <v/>
      </c>
      <c r="B3818">
        <f>IF(A3818="","",'Employees'!C20)</f>
        <v/>
      </c>
      <c r="C3818">
        <f>IF(A3818="","",'Ratings'!C244)</f>
        <v/>
      </c>
      <c r="D3818">
        <f>IF(A3818="","",'Ratings'!D244)</f>
        <v/>
      </c>
      <c r="E3818">
        <f>IF(AND('Ratings'!A244&lt;&gt;"",'Ratings'!M5&lt;&gt;""),'Ratings'!M5,"")</f>
        <v/>
      </c>
      <c r="F3818">
        <f>IF(OR(A3818="",'Ratings'!M244=""),"",'Ratings'!M244)</f>
        <v/>
      </c>
      <c r="G3818">
        <f>IF(A3818="","",'Employees'!D20)</f>
        <v/>
      </c>
    </row>
    <row r="3819">
      <c r="A3819">
        <f>IF(AND('Ratings'!A244&lt;&gt;"",'Ratings'!N5&lt;&gt;""),'Ratings'!A244,"")</f>
        <v/>
      </c>
      <c r="B3819">
        <f>IF(A3819="","",'Employees'!C20)</f>
        <v/>
      </c>
      <c r="C3819">
        <f>IF(A3819="","",'Ratings'!C244)</f>
        <v/>
      </c>
      <c r="D3819">
        <f>IF(A3819="","",'Ratings'!D244)</f>
        <v/>
      </c>
      <c r="E3819">
        <f>IF(AND('Ratings'!A244&lt;&gt;"",'Ratings'!N5&lt;&gt;""),'Ratings'!N5,"")</f>
        <v/>
      </c>
      <c r="F3819">
        <f>IF(OR(A3819="",'Ratings'!N244=""),"",'Ratings'!N244)</f>
        <v/>
      </c>
      <c r="G3819">
        <f>IF(A3819="","",'Employees'!D20)</f>
        <v/>
      </c>
    </row>
    <row r="3820">
      <c r="A3820">
        <f>IF(AND('Ratings'!A244&lt;&gt;"",'Ratings'!O5&lt;&gt;""),'Ratings'!A244,"")</f>
        <v/>
      </c>
      <c r="B3820">
        <f>IF(A3820="","",'Employees'!C20)</f>
        <v/>
      </c>
      <c r="C3820">
        <f>IF(A3820="","",'Ratings'!C244)</f>
        <v/>
      </c>
      <c r="D3820">
        <f>IF(A3820="","",'Ratings'!D244)</f>
        <v/>
      </c>
      <c r="E3820">
        <f>IF(AND('Ratings'!A244&lt;&gt;"",'Ratings'!O5&lt;&gt;""),'Ratings'!O5,"")</f>
        <v/>
      </c>
      <c r="F3820">
        <f>IF(OR(A3820="",'Ratings'!O244=""),"",'Ratings'!O244)</f>
        <v/>
      </c>
      <c r="G3820">
        <f>IF(A3820="","",'Employees'!D20)</f>
        <v/>
      </c>
    </row>
    <row r="3821">
      <c r="A3821">
        <f>IF(AND('Ratings'!A244&lt;&gt;"",'Ratings'!P5&lt;&gt;""),'Ratings'!A244,"")</f>
        <v/>
      </c>
      <c r="B3821">
        <f>IF(A3821="","",'Employees'!C20)</f>
        <v/>
      </c>
      <c r="C3821">
        <f>IF(A3821="","",'Ratings'!C244)</f>
        <v/>
      </c>
      <c r="D3821">
        <f>IF(A3821="","",'Ratings'!D244)</f>
        <v/>
      </c>
      <c r="E3821">
        <f>IF(AND('Ratings'!A244&lt;&gt;"",'Ratings'!P5&lt;&gt;""),'Ratings'!P5,"")</f>
        <v/>
      </c>
      <c r="F3821">
        <f>IF(OR(A3821="",'Ratings'!P244=""),"",'Ratings'!P244)</f>
        <v/>
      </c>
      <c r="G3821">
        <f>IF(A3821="","",'Employees'!D20)</f>
        <v/>
      </c>
    </row>
    <row r="3822">
      <c r="A3822">
        <f>IF(AND('Ratings'!A244&lt;&gt;"",'Ratings'!Q5&lt;&gt;""),'Ratings'!A244,"")</f>
        <v/>
      </c>
      <c r="B3822">
        <f>IF(A3822="","",'Employees'!C20)</f>
        <v/>
      </c>
      <c r="C3822">
        <f>IF(A3822="","",'Ratings'!C244)</f>
        <v/>
      </c>
      <c r="D3822">
        <f>IF(A3822="","",'Ratings'!D244)</f>
        <v/>
      </c>
      <c r="E3822">
        <f>IF(AND('Ratings'!A244&lt;&gt;"",'Ratings'!Q5&lt;&gt;""),'Ratings'!Q5,"")</f>
        <v/>
      </c>
      <c r="F3822">
        <f>IF(OR(A3822="",'Ratings'!Q244=""),"",'Ratings'!Q244)</f>
        <v/>
      </c>
      <c r="G3822">
        <f>IF(A3822="","",'Employees'!D20)</f>
        <v/>
      </c>
    </row>
    <row r="3823">
      <c r="A3823">
        <f>IF(AND('Ratings'!A244&lt;&gt;"",'Ratings'!R5&lt;&gt;""),'Ratings'!A244,"")</f>
        <v/>
      </c>
      <c r="B3823">
        <f>IF(A3823="","",'Employees'!C20)</f>
        <v/>
      </c>
      <c r="C3823">
        <f>IF(A3823="","",'Ratings'!C244)</f>
        <v/>
      </c>
      <c r="D3823">
        <f>IF(A3823="","",'Ratings'!D244)</f>
        <v/>
      </c>
      <c r="E3823">
        <f>IF(AND('Ratings'!A244&lt;&gt;"",'Ratings'!R5&lt;&gt;""),'Ratings'!R5,"")</f>
        <v/>
      </c>
      <c r="F3823">
        <f>IF(OR(A3823="",'Ratings'!R244=""),"",'Ratings'!R244)</f>
        <v/>
      </c>
      <c r="G3823">
        <f>IF(A3823="","",'Employees'!D20)</f>
        <v/>
      </c>
    </row>
    <row r="3824">
      <c r="A3824">
        <f>IF(AND('Ratings'!A244&lt;&gt;"",'Ratings'!S5&lt;&gt;""),'Ratings'!A244,"")</f>
        <v/>
      </c>
      <c r="B3824">
        <f>IF(A3824="","",'Employees'!C20)</f>
        <v/>
      </c>
      <c r="C3824">
        <f>IF(A3824="","",'Ratings'!C244)</f>
        <v/>
      </c>
      <c r="D3824">
        <f>IF(A3824="","",'Ratings'!D244)</f>
        <v/>
      </c>
      <c r="E3824">
        <f>IF(AND('Ratings'!A244&lt;&gt;"",'Ratings'!S5&lt;&gt;""),'Ratings'!S5,"")</f>
        <v/>
      </c>
      <c r="F3824">
        <f>IF(OR(A3824="",'Ratings'!S244=""),"",'Ratings'!S244)</f>
        <v/>
      </c>
      <c r="G3824">
        <f>IF(A3824="","",'Employees'!D20)</f>
        <v/>
      </c>
    </row>
    <row r="3825">
      <c r="A3825">
        <f>IF(AND('Ratings'!A244&lt;&gt;"",'Ratings'!T5&lt;&gt;""),'Ratings'!A244,"")</f>
        <v/>
      </c>
      <c r="B3825">
        <f>IF(A3825="","",'Employees'!C20)</f>
        <v/>
      </c>
      <c r="C3825">
        <f>IF(A3825="","",'Ratings'!C244)</f>
        <v/>
      </c>
      <c r="D3825">
        <f>IF(A3825="","",'Ratings'!D244)</f>
        <v/>
      </c>
      <c r="E3825">
        <f>IF(AND('Ratings'!A244&lt;&gt;"",'Ratings'!T5&lt;&gt;""),'Ratings'!T5,"")</f>
        <v/>
      </c>
      <c r="F3825">
        <f>IF(OR(A3825="",'Ratings'!T244=""),"",'Ratings'!T244)</f>
        <v/>
      </c>
      <c r="G3825">
        <f>IF(A3825="","",'Employees'!D20)</f>
        <v/>
      </c>
    </row>
    <row r="3826">
      <c r="A3826">
        <f>IF(AND('Ratings'!A245&lt;&gt;"",'Ratings'!E5&lt;&gt;""),'Ratings'!A245,"")</f>
        <v/>
      </c>
      <c r="B3826">
        <f>IF(A3826="","",'Employees'!C20)</f>
        <v/>
      </c>
      <c r="C3826">
        <f>IF(A3826="","",'Ratings'!C245)</f>
        <v/>
      </c>
      <c r="D3826">
        <f>IF(A3826="","",'Ratings'!D245)</f>
        <v/>
      </c>
      <c r="E3826">
        <f>IF(AND('Ratings'!A245&lt;&gt;"",'Ratings'!E5&lt;&gt;""),'Ratings'!E5,"")</f>
        <v/>
      </c>
      <c r="F3826">
        <f>IF(OR(A3826="",'Ratings'!E245=""),"",'Ratings'!E245)</f>
        <v/>
      </c>
      <c r="G3826">
        <f>IF(A3826="","",'Employees'!D20)</f>
        <v/>
      </c>
    </row>
    <row r="3827">
      <c r="A3827">
        <f>IF(AND('Ratings'!A245&lt;&gt;"",'Ratings'!F5&lt;&gt;""),'Ratings'!A245,"")</f>
        <v/>
      </c>
      <c r="B3827">
        <f>IF(A3827="","",'Employees'!C20)</f>
        <v/>
      </c>
      <c r="C3827">
        <f>IF(A3827="","",'Ratings'!C245)</f>
        <v/>
      </c>
      <c r="D3827">
        <f>IF(A3827="","",'Ratings'!D245)</f>
        <v/>
      </c>
      <c r="E3827">
        <f>IF(AND('Ratings'!A245&lt;&gt;"",'Ratings'!F5&lt;&gt;""),'Ratings'!F5,"")</f>
        <v/>
      </c>
      <c r="F3827">
        <f>IF(OR(A3827="",'Ratings'!F245=""),"",'Ratings'!F245)</f>
        <v/>
      </c>
      <c r="G3827">
        <f>IF(A3827="","",'Employees'!D20)</f>
        <v/>
      </c>
    </row>
    <row r="3828">
      <c r="A3828">
        <f>IF(AND('Ratings'!A245&lt;&gt;"",'Ratings'!G5&lt;&gt;""),'Ratings'!A245,"")</f>
        <v/>
      </c>
      <c r="B3828">
        <f>IF(A3828="","",'Employees'!C20)</f>
        <v/>
      </c>
      <c r="C3828">
        <f>IF(A3828="","",'Ratings'!C245)</f>
        <v/>
      </c>
      <c r="D3828">
        <f>IF(A3828="","",'Ratings'!D245)</f>
        <v/>
      </c>
      <c r="E3828">
        <f>IF(AND('Ratings'!A245&lt;&gt;"",'Ratings'!G5&lt;&gt;""),'Ratings'!G5,"")</f>
        <v/>
      </c>
      <c r="F3828">
        <f>IF(OR(A3828="",'Ratings'!G245=""),"",'Ratings'!G245)</f>
        <v/>
      </c>
      <c r="G3828">
        <f>IF(A3828="","",'Employees'!D20)</f>
        <v/>
      </c>
    </row>
    <row r="3829">
      <c r="A3829">
        <f>IF(AND('Ratings'!A245&lt;&gt;"",'Ratings'!H5&lt;&gt;""),'Ratings'!A245,"")</f>
        <v/>
      </c>
      <c r="B3829">
        <f>IF(A3829="","",'Employees'!C20)</f>
        <v/>
      </c>
      <c r="C3829">
        <f>IF(A3829="","",'Ratings'!C245)</f>
        <v/>
      </c>
      <c r="D3829">
        <f>IF(A3829="","",'Ratings'!D245)</f>
        <v/>
      </c>
      <c r="E3829">
        <f>IF(AND('Ratings'!A245&lt;&gt;"",'Ratings'!H5&lt;&gt;""),'Ratings'!H5,"")</f>
        <v/>
      </c>
      <c r="F3829">
        <f>IF(OR(A3829="",'Ratings'!H245=""),"",'Ratings'!H245)</f>
        <v/>
      </c>
      <c r="G3829">
        <f>IF(A3829="","",'Employees'!D20)</f>
        <v/>
      </c>
    </row>
    <row r="3830">
      <c r="A3830">
        <f>IF(AND('Ratings'!A245&lt;&gt;"",'Ratings'!I5&lt;&gt;""),'Ratings'!A245,"")</f>
        <v/>
      </c>
      <c r="B3830">
        <f>IF(A3830="","",'Employees'!C20)</f>
        <v/>
      </c>
      <c r="C3830">
        <f>IF(A3830="","",'Ratings'!C245)</f>
        <v/>
      </c>
      <c r="D3830">
        <f>IF(A3830="","",'Ratings'!D245)</f>
        <v/>
      </c>
      <c r="E3830">
        <f>IF(AND('Ratings'!A245&lt;&gt;"",'Ratings'!I5&lt;&gt;""),'Ratings'!I5,"")</f>
        <v/>
      </c>
      <c r="F3830">
        <f>IF(OR(A3830="",'Ratings'!I245=""),"",'Ratings'!I245)</f>
        <v/>
      </c>
      <c r="G3830">
        <f>IF(A3830="","",'Employees'!D20)</f>
        <v/>
      </c>
    </row>
    <row r="3831">
      <c r="A3831">
        <f>IF(AND('Ratings'!A245&lt;&gt;"",'Ratings'!J5&lt;&gt;""),'Ratings'!A245,"")</f>
        <v/>
      </c>
      <c r="B3831">
        <f>IF(A3831="","",'Employees'!C20)</f>
        <v/>
      </c>
      <c r="C3831">
        <f>IF(A3831="","",'Ratings'!C245)</f>
        <v/>
      </c>
      <c r="D3831">
        <f>IF(A3831="","",'Ratings'!D245)</f>
        <v/>
      </c>
      <c r="E3831">
        <f>IF(AND('Ratings'!A245&lt;&gt;"",'Ratings'!J5&lt;&gt;""),'Ratings'!J5,"")</f>
        <v/>
      </c>
      <c r="F3831">
        <f>IF(OR(A3831="",'Ratings'!J245=""),"",'Ratings'!J245)</f>
        <v/>
      </c>
      <c r="G3831">
        <f>IF(A3831="","",'Employees'!D20)</f>
        <v/>
      </c>
    </row>
    <row r="3832">
      <c r="A3832">
        <f>IF(AND('Ratings'!A245&lt;&gt;"",'Ratings'!K5&lt;&gt;""),'Ratings'!A245,"")</f>
        <v/>
      </c>
      <c r="B3832">
        <f>IF(A3832="","",'Employees'!C20)</f>
        <v/>
      </c>
      <c r="C3832">
        <f>IF(A3832="","",'Ratings'!C245)</f>
        <v/>
      </c>
      <c r="D3832">
        <f>IF(A3832="","",'Ratings'!D245)</f>
        <v/>
      </c>
      <c r="E3832">
        <f>IF(AND('Ratings'!A245&lt;&gt;"",'Ratings'!K5&lt;&gt;""),'Ratings'!K5,"")</f>
        <v/>
      </c>
      <c r="F3832">
        <f>IF(OR(A3832="",'Ratings'!K245=""),"",'Ratings'!K245)</f>
        <v/>
      </c>
      <c r="G3832">
        <f>IF(A3832="","",'Employees'!D20)</f>
        <v/>
      </c>
    </row>
    <row r="3833">
      <c r="A3833">
        <f>IF(AND('Ratings'!A245&lt;&gt;"",'Ratings'!L5&lt;&gt;""),'Ratings'!A245,"")</f>
        <v/>
      </c>
      <c r="B3833">
        <f>IF(A3833="","",'Employees'!C20)</f>
        <v/>
      </c>
      <c r="C3833">
        <f>IF(A3833="","",'Ratings'!C245)</f>
        <v/>
      </c>
      <c r="D3833">
        <f>IF(A3833="","",'Ratings'!D245)</f>
        <v/>
      </c>
      <c r="E3833">
        <f>IF(AND('Ratings'!A245&lt;&gt;"",'Ratings'!L5&lt;&gt;""),'Ratings'!L5,"")</f>
        <v/>
      </c>
      <c r="F3833">
        <f>IF(OR(A3833="",'Ratings'!L245=""),"",'Ratings'!L245)</f>
        <v/>
      </c>
      <c r="G3833">
        <f>IF(A3833="","",'Employees'!D20)</f>
        <v/>
      </c>
    </row>
    <row r="3834">
      <c r="A3834">
        <f>IF(AND('Ratings'!A245&lt;&gt;"",'Ratings'!M5&lt;&gt;""),'Ratings'!A245,"")</f>
        <v/>
      </c>
      <c r="B3834">
        <f>IF(A3834="","",'Employees'!C20)</f>
        <v/>
      </c>
      <c r="C3834">
        <f>IF(A3834="","",'Ratings'!C245)</f>
        <v/>
      </c>
      <c r="D3834">
        <f>IF(A3834="","",'Ratings'!D245)</f>
        <v/>
      </c>
      <c r="E3834">
        <f>IF(AND('Ratings'!A245&lt;&gt;"",'Ratings'!M5&lt;&gt;""),'Ratings'!M5,"")</f>
        <v/>
      </c>
      <c r="F3834">
        <f>IF(OR(A3834="",'Ratings'!M245=""),"",'Ratings'!M245)</f>
        <v/>
      </c>
      <c r="G3834">
        <f>IF(A3834="","",'Employees'!D20)</f>
        <v/>
      </c>
    </row>
    <row r="3835">
      <c r="A3835">
        <f>IF(AND('Ratings'!A245&lt;&gt;"",'Ratings'!N5&lt;&gt;""),'Ratings'!A245,"")</f>
        <v/>
      </c>
      <c r="B3835">
        <f>IF(A3835="","",'Employees'!C20)</f>
        <v/>
      </c>
      <c r="C3835">
        <f>IF(A3835="","",'Ratings'!C245)</f>
        <v/>
      </c>
      <c r="D3835">
        <f>IF(A3835="","",'Ratings'!D245)</f>
        <v/>
      </c>
      <c r="E3835">
        <f>IF(AND('Ratings'!A245&lt;&gt;"",'Ratings'!N5&lt;&gt;""),'Ratings'!N5,"")</f>
        <v/>
      </c>
      <c r="F3835">
        <f>IF(OR(A3835="",'Ratings'!N245=""),"",'Ratings'!N245)</f>
        <v/>
      </c>
      <c r="G3835">
        <f>IF(A3835="","",'Employees'!D20)</f>
        <v/>
      </c>
    </row>
    <row r="3836">
      <c r="A3836">
        <f>IF(AND('Ratings'!A245&lt;&gt;"",'Ratings'!O5&lt;&gt;""),'Ratings'!A245,"")</f>
        <v/>
      </c>
      <c r="B3836">
        <f>IF(A3836="","",'Employees'!C20)</f>
        <v/>
      </c>
      <c r="C3836">
        <f>IF(A3836="","",'Ratings'!C245)</f>
        <v/>
      </c>
      <c r="D3836">
        <f>IF(A3836="","",'Ratings'!D245)</f>
        <v/>
      </c>
      <c r="E3836">
        <f>IF(AND('Ratings'!A245&lt;&gt;"",'Ratings'!O5&lt;&gt;""),'Ratings'!O5,"")</f>
        <v/>
      </c>
      <c r="F3836">
        <f>IF(OR(A3836="",'Ratings'!O245=""),"",'Ratings'!O245)</f>
        <v/>
      </c>
      <c r="G3836">
        <f>IF(A3836="","",'Employees'!D20)</f>
        <v/>
      </c>
    </row>
    <row r="3837">
      <c r="A3837">
        <f>IF(AND('Ratings'!A245&lt;&gt;"",'Ratings'!P5&lt;&gt;""),'Ratings'!A245,"")</f>
        <v/>
      </c>
      <c r="B3837">
        <f>IF(A3837="","",'Employees'!C20)</f>
        <v/>
      </c>
      <c r="C3837">
        <f>IF(A3837="","",'Ratings'!C245)</f>
        <v/>
      </c>
      <c r="D3837">
        <f>IF(A3837="","",'Ratings'!D245)</f>
        <v/>
      </c>
      <c r="E3837">
        <f>IF(AND('Ratings'!A245&lt;&gt;"",'Ratings'!P5&lt;&gt;""),'Ratings'!P5,"")</f>
        <v/>
      </c>
      <c r="F3837">
        <f>IF(OR(A3837="",'Ratings'!P245=""),"",'Ratings'!P245)</f>
        <v/>
      </c>
      <c r="G3837">
        <f>IF(A3837="","",'Employees'!D20)</f>
        <v/>
      </c>
    </row>
    <row r="3838">
      <c r="A3838">
        <f>IF(AND('Ratings'!A245&lt;&gt;"",'Ratings'!Q5&lt;&gt;""),'Ratings'!A245,"")</f>
        <v/>
      </c>
      <c r="B3838">
        <f>IF(A3838="","",'Employees'!C20)</f>
        <v/>
      </c>
      <c r="C3838">
        <f>IF(A3838="","",'Ratings'!C245)</f>
        <v/>
      </c>
      <c r="D3838">
        <f>IF(A3838="","",'Ratings'!D245)</f>
        <v/>
      </c>
      <c r="E3838">
        <f>IF(AND('Ratings'!A245&lt;&gt;"",'Ratings'!Q5&lt;&gt;""),'Ratings'!Q5,"")</f>
        <v/>
      </c>
      <c r="F3838">
        <f>IF(OR(A3838="",'Ratings'!Q245=""),"",'Ratings'!Q245)</f>
        <v/>
      </c>
      <c r="G3838">
        <f>IF(A3838="","",'Employees'!D20)</f>
        <v/>
      </c>
    </row>
    <row r="3839">
      <c r="A3839">
        <f>IF(AND('Ratings'!A245&lt;&gt;"",'Ratings'!R5&lt;&gt;""),'Ratings'!A245,"")</f>
        <v/>
      </c>
      <c r="B3839">
        <f>IF(A3839="","",'Employees'!C20)</f>
        <v/>
      </c>
      <c r="C3839">
        <f>IF(A3839="","",'Ratings'!C245)</f>
        <v/>
      </c>
      <c r="D3839">
        <f>IF(A3839="","",'Ratings'!D245)</f>
        <v/>
      </c>
      <c r="E3839">
        <f>IF(AND('Ratings'!A245&lt;&gt;"",'Ratings'!R5&lt;&gt;""),'Ratings'!R5,"")</f>
        <v/>
      </c>
      <c r="F3839">
        <f>IF(OR(A3839="",'Ratings'!R245=""),"",'Ratings'!R245)</f>
        <v/>
      </c>
      <c r="G3839">
        <f>IF(A3839="","",'Employees'!D20)</f>
        <v/>
      </c>
    </row>
    <row r="3840">
      <c r="A3840">
        <f>IF(AND('Ratings'!A245&lt;&gt;"",'Ratings'!S5&lt;&gt;""),'Ratings'!A245,"")</f>
        <v/>
      </c>
      <c r="B3840">
        <f>IF(A3840="","",'Employees'!C20)</f>
        <v/>
      </c>
      <c r="C3840">
        <f>IF(A3840="","",'Ratings'!C245)</f>
        <v/>
      </c>
      <c r="D3840">
        <f>IF(A3840="","",'Ratings'!D245)</f>
        <v/>
      </c>
      <c r="E3840">
        <f>IF(AND('Ratings'!A245&lt;&gt;"",'Ratings'!S5&lt;&gt;""),'Ratings'!S5,"")</f>
        <v/>
      </c>
      <c r="F3840">
        <f>IF(OR(A3840="",'Ratings'!S245=""),"",'Ratings'!S245)</f>
        <v/>
      </c>
      <c r="G3840">
        <f>IF(A3840="","",'Employees'!D20)</f>
        <v/>
      </c>
    </row>
    <row r="3841">
      <c r="A3841">
        <f>IF(AND('Ratings'!A245&lt;&gt;"",'Ratings'!T5&lt;&gt;""),'Ratings'!A245,"")</f>
        <v/>
      </c>
      <c r="B3841">
        <f>IF(A3841="","",'Employees'!C20)</f>
        <v/>
      </c>
      <c r="C3841">
        <f>IF(A3841="","",'Ratings'!C245)</f>
        <v/>
      </c>
      <c r="D3841">
        <f>IF(A3841="","",'Ratings'!D245)</f>
        <v/>
      </c>
      <c r="E3841">
        <f>IF(AND('Ratings'!A245&lt;&gt;"",'Ratings'!T5&lt;&gt;""),'Ratings'!T5,"")</f>
        <v/>
      </c>
      <c r="F3841">
        <f>IF(OR(A3841="",'Ratings'!T245=""),"",'Ratings'!T245)</f>
        <v/>
      </c>
      <c r="G3841">
        <f>IF(A3841="","",'Employees'!D20)</f>
        <v/>
      </c>
    </row>
    <row r="3842">
      <c r="A3842">
        <f>IF(AND('Ratings'!A246&lt;&gt;"",'Ratings'!E5&lt;&gt;""),'Ratings'!A246,"")</f>
        <v/>
      </c>
      <c r="B3842">
        <f>IF(A3842="","",'Employees'!C21)</f>
        <v/>
      </c>
      <c r="C3842">
        <f>IF(A3842="","",'Ratings'!C246)</f>
        <v/>
      </c>
      <c r="D3842">
        <f>IF(A3842="","",'Ratings'!D246)</f>
        <v/>
      </c>
      <c r="E3842">
        <f>IF(AND('Ratings'!A246&lt;&gt;"",'Ratings'!E5&lt;&gt;""),'Ratings'!E5,"")</f>
        <v/>
      </c>
      <c r="F3842">
        <f>IF(OR(A3842="",'Ratings'!E246=""),"",'Ratings'!E246)</f>
        <v/>
      </c>
      <c r="G3842">
        <f>IF(A3842="","",'Employees'!D21)</f>
        <v/>
      </c>
    </row>
    <row r="3843">
      <c r="A3843">
        <f>IF(AND('Ratings'!A246&lt;&gt;"",'Ratings'!F5&lt;&gt;""),'Ratings'!A246,"")</f>
        <v/>
      </c>
      <c r="B3843">
        <f>IF(A3843="","",'Employees'!C21)</f>
        <v/>
      </c>
      <c r="C3843">
        <f>IF(A3843="","",'Ratings'!C246)</f>
        <v/>
      </c>
      <c r="D3843">
        <f>IF(A3843="","",'Ratings'!D246)</f>
        <v/>
      </c>
      <c r="E3843">
        <f>IF(AND('Ratings'!A246&lt;&gt;"",'Ratings'!F5&lt;&gt;""),'Ratings'!F5,"")</f>
        <v/>
      </c>
      <c r="F3843">
        <f>IF(OR(A3843="",'Ratings'!F246=""),"",'Ratings'!F246)</f>
        <v/>
      </c>
      <c r="G3843">
        <f>IF(A3843="","",'Employees'!D21)</f>
        <v/>
      </c>
    </row>
    <row r="3844">
      <c r="A3844">
        <f>IF(AND('Ratings'!A246&lt;&gt;"",'Ratings'!G5&lt;&gt;""),'Ratings'!A246,"")</f>
        <v/>
      </c>
      <c r="B3844">
        <f>IF(A3844="","",'Employees'!C21)</f>
        <v/>
      </c>
      <c r="C3844">
        <f>IF(A3844="","",'Ratings'!C246)</f>
        <v/>
      </c>
      <c r="D3844">
        <f>IF(A3844="","",'Ratings'!D246)</f>
        <v/>
      </c>
      <c r="E3844">
        <f>IF(AND('Ratings'!A246&lt;&gt;"",'Ratings'!G5&lt;&gt;""),'Ratings'!G5,"")</f>
        <v/>
      </c>
      <c r="F3844">
        <f>IF(OR(A3844="",'Ratings'!G246=""),"",'Ratings'!G246)</f>
        <v/>
      </c>
      <c r="G3844">
        <f>IF(A3844="","",'Employees'!D21)</f>
        <v/>
      </c>
    </row>
    <row r="3845">
      <c r="A3845">
        <f>IF(AND('Ratings'!A246&lt;&gt;"",'Ratings'!H5&lt;&gt;""),'Ratings'!A246,"")</f>
        <v/>
      </c>
      <c r="B3845">
        <f>IF(A3845="","",'Employees'!C21)</f>
        <v/>
      </c>
      <c r="C3845">
        <f>IF(A3845="","",'Ratings'!C246)</f>
        <v/>
      </c>
      <c r="D3845">
        <f>IF(A3845="","",'Ratings'!D246)</f>
        <v/>
      </c>
      <c r="E3845">
        <f>IF(AND('Ratings'!A246&lt;&gt;"",'Ratings'!H5&lt;&gt;""),'Ratings'!H5,"")</f>
        <v/>
      </c>
      <c r="F3845">
        <f>IF(OR(A3845="",'Ratings'!H246=""),"",'Ratings'!H246)</f>
        <v/>
      </c>
      <c r="G3845">
        <f>IF(A3845="","",'Employees'!D21)</f>
        <v/>
      </c>
    </row>
    <row r="3846">
      <c r="A3846">
        <f>IF(AND('Ratings'!A246&lt;&gt;"",'Ratings'!I5&lt;&gt;""),'Ratings'!A246,"")</f>
        <v/>
      </c>
      <c r="B3846">
        <f>IF(A3846="","",'Employees'!C21)</f>
        <v/>
      </c>
      <c r="C3846">
        <f>IF(A3846="","",'Ratings'!C246)</f>
        <v/>
      </c>
      <c r="D3846">
        <f>IF(A3846="","",'Ratings'!D246)</f>
        <v/>
      </c>
      <c r="E3846">
        <f>IF(AND('Ratings'!A246&lt;&gt;"",'Ratings'!I5&lt;&gt;""),'Ratings'!I5,"")</f>
        <v/>
      </c>
      <c r="F3846">
        <f>IF(OR(A3846="",'Ratings'!I246=""),"",'Ratings'!I246)</f>
        <v/>
      </c>
      <c r="G3846">
        <f>IF(A3846="","",'Employees'!D21)</f>
        <v/>
      </c>
    </row>
    <row r="3847">
      <c r="A3847">
        <f>IF(AND('Ratings'!A246&lt;&gt;"",'Ratings'!J5&lt;&gt;""),'Ratings'!A246,"")</f>
        <v/>
      </c>
      <c r="B3847">
        <f>IF(A3847="","",'Employees'!C21)</f>
        <v/>
      </c>
      <c r="C3847">
        <f>IF(A3847="","",'Ratings'!C246)</f>
        <v/>
      </c>
      <c r="D3847">
        <f>IF(A3847="","",'Ratings'!D246)</f>
        <v/>
      </c>
      <c r="E3847">
        <f>IF(AND('Ratings'!A246&lt;&gt;"",'Ratings'!J5&lt;&gt;""),'Ratings'!J5,"")</f>
        <v/>
      </c>
      <c r="F3847">
        <f>IF(OR(A3847="",'Ratings'!J246=""),"",'Ratings'!J246)</f>
        <v/>
      </c>
      <c r="G3847">
        <f>IF(A3847="","",'Employees'!D21)</f>
        <v/>
      </c>
    </row>
    <row r="3848">
      <c r="A3848">
        <f>IF(AND('Ratings'!A246&lt;&gt;"",'Ratings'!K5&lt;&gt;""),'Ratings'!A246,"")</f>
        <v/>
      </c>
      <c r="B3848">
        <f>IF(A3848="","",'Employees'!C21)</f>
        <v/>
      </c>
      <c r="C3848">
        <f>IF(A3848="","",'Ratings'!C246)</f>
        <v/>
      </c>
      <c r="D3848">
        <f>IF(A3848="","",'Ratings'!D246)</f>
        <v/>
      </c>
      <c r="E3848">
        <f>IF(AND('Ratings'!A246&lt;&gt;"",'Ratings'!K5&lt;&gt;""),'Ratings'!K5,"")</f>
        <v/>
      </c>
      <c r="F3848">
        <f>IF(OR(A3848="",'Ratings'!K246=""),"",'Ratings'!K246)</f>
        <v/>
      </c>
      <c r="G3848">
        <f>IF(A3848="","",'Employees'!D21)</f>
        <v/>
      </c>
    </row>
    <row r="3849">
      <c r="A3849">
        <f>IF(AND('Ratings'!A246&lt;&gt;"",'Ratings'!L5&lt;&gt;""),'Ratings'!A246,"")</f>
        <v/>
      </c>
      <c r="B3849">
        <f>IF(A3849="","",'Employees'!C21)</f>
        <v/>
      </c>
      <c r="C3849">
        <f>IF(A3849="","",'Ratings'!C246)</f>
        <v/>
      </c>
      <c r="D3849">
        <f>IF(A3849="","",'Ratings'!D246)</f>
        <v/>
      </c>
      <c r="E3849">
        <f>IF(AND('Ratings'!A246&lt;&gt;"",'Ratings'!L5&lt;&gt;""),'Ratings'!L5,"")</f>
        <v/>
      </c>
      <c r="F3849">
        <f>IF(OR(A3849="",'Ratings'!L246=""),"",'Ratings'!L246)</f>
        <v/>
      </c>
      <c r="G3849">
        <f>IF(A3849="","",'Employees'!D21)</f>
        <v/>
      </c>
    </row>
    <row r="3850">
      <c r="A3850">
        <f>IF(AND('Ratings'!A246&lt;&gt;"",'Ratings'!M5&lt;&gt;""),'Ratings'!A246,"")</f>
        <v/>
      </c>
      <c r="B3850">
        <f>IF(A3850="","",'Employees'!C21)</f>
        <v/>
      </c>
      <c r="C3850">
        <f>IF(A3850="","",'Ratings'!C246)</f>
        <v/>
      </c>
      <c r="D3850">
        <f>IF(A3850="","",'Ratings'!D246)</f>
        <v/>
      </c>
      <c r="E3850">
        <f>IF(AND('Ratings'!A246&lt;&gt;"",'Ratings'!M5&lt;&gt;""),'Ratings'!M5,"")</f>
        <v/>
      </c>
      <c r="F3850">
        <f>IF(OR(A3850="",'Ratings'!M246=""),"",'Ratings'!M246)</f>
        <v/>
      </c>
      <c r="G3850">
        <f>IF(A3850="","",'Employees'!D21)</f>
        <v/>
      </c>
    </row>
    <row r="3851">
      <c r="A3851">
        <f>IF(AND('Ratings'!A246&lt;&gt;"",'Ratings'!N5&lt;&gt;""),'Ratings'!A246,"")</f>
        <v/>
      </c>
      <c r="B3851">
        <f>IF(A3851="","",'Employees'!C21)</f>
        <v/>
      </c>
      <c r="C3851">
        <f>IF(A3851="","",'Ratings'!C246)</f>
        <v/>
      </c>
      <c r="D3851">
        <f>IF(A3851="","",'Ratings'!D246)</f>
        <v/>
      </c>
      <c r="E3851">
        <f>IF(AND('Ratings'!A246&lt;&gt;"",'Ratings'!N5&lt;&gt;""),'Ratings'!N5,"")</f>
        <v/>
      </c>
      <c r="F3851">
        <f>IF(OR(A3851="",'Ratings'!N246=""),"",'Ratings'!N246)</f>
        <v/>
      </c>
      <c r="G3851">
        <f>IF(A3851="","",'Employees'!D21)</f>
        <v/>
      </c>
    </row>
    <row r="3852">
      <c r="A3852">
        <f>IF(AND('Ratings'!A246&lt;&gt;"",'Ratings'!O5&lt;&gt;""),'Ratings'!A246,"")</f>
        <v/>
      </c>
      <c r="B3852">
        <f>IF(A3852="","",'Employees'!C21)</f>
        <v/>
      </c>
      <c r="C3852">
        <f>IF(A3852="","",'Ratings'!C246)</f>
        <v/>
      </c>
      <c r="D3852">
        <f>IF(A3852="","",'Ratings'!D246)</f>
        <v/>
      </c>
      <c r="E3852">
        <f>IF(AND('Ratings'!A246&lt;&gt;"",'Ratings'!O5&lt;&gt;""),'Ratings'!O5,"")</f>
        <v/>
      </c>
      <c r="F3852">
        <f>IF(OR(A3852="",'Ratings'!O246=""),"",'Ratings'!O246)</f>
        <v/>
      </c>
      <c r="G3852">
        <f>IF(A3852="","",'Employees'!D21)</f>
        <v/>
      </c>
    </row>
    <row r="3853">
      <c r="A3853">
        <f>IF(AND('Ratings'!A246&lt;&gt;"",'Ratings'!P5&lt;&gt;""),'Ratings'!A246,"")</f>
        <v/>
      </c>
      <c r="B3853">
        <f>IF(A3853="","",'Employees'!C21)</f>
        <v/>
      </c>
      <c r="C3853">
        <f>IF(A3853="","",'Ratings'!C246)</f>
        <v/>
      </c>
      <c r="D3853">
        <f>IF(A3853="","",'Ratings'!D246)</f>
        <v/>
      </c>
      <c r="E3853">
        <f>IF(AND('Ratings'!A246&lt;&gt;"",'Ratings'!P5&lt;&gt;""),'Ratings'!P5,"")</f>
        <v/>
      </c>
      <c r="F3853">
        <f>IF(OR(A3853="",'Ratings'!P246=""),"",'Ratings'!P246)</f>
        <v/>
      </c>
      <c r="G3853">
        <f>IF(A3853="","",'Employees'!D21)</f>
        <v/>
      </c>
    </row>
    <row r="3854">
      <c r="A3854">
        <f>IF(AND('Ratings'!A246&lt;&gt;"",'Ratings'!Q5&lt;&gt;""),'Ratings'!A246,"")</f>
        <v/>
      </c>
      <c r="B3854">
        <f>IF(A3854="","",'Employees'!C21)</f>
        <v/>
      </c>
      <c r="C3854">
        <f>IF(A3854="","",'Ratings'!C246)</f>
        <v/>
      </c>
      <c r="D3854">
        <f>IF(A3854="","",'Ratings'!D246)</f>
        <v/>
      </c>
      <c r="E3854">
        <f>IF(AND('Ratings'!A246&lt;&gt;"",'Ratings'!Q5&lt;&gt;""),'Ratings'!Q5,"")</f>
        <v/>
      </c>
      <c r="F3854">
        <f>IF(OR(A3854="",'Ratings'!Q246=""),"",'Ratings'!Q246)</f>
        <v/>
      </c>
      <c r="G3854">
        <f>IF(A3854="","",'Employees'!D21)</f>
        <v/>
      </c>
    </row>
    <row r="3855">
      <c r="A3855">
        <f>IF(AND('Ratings'!A246&lt;&gt;"",'Ratings'!R5&lt;&gt;""),'Ratings'!A246,"")</f>
        <v/>
      </c>
      <c r="B3855">
        <f>IF(A3855="","",'Employees'!C21)</f>
        <v/>
      </c>
      <c r="C3855">
        <f>IF(A3855="","",'Ratings'!C246)</f>
        <v/>
      </c>
      <c r="D3855">
        <f>IF(A3855="","",'Ratings'!D246)</f>
        <v/>
      </c>
      <c r="E3855">
        <f>IF(AND('Ratings'!A246&lt;&gt;"",'Ratings'!R5&lt;&gt;""),'Ratings'!R5,"")</f>
        <v/>
      </c>
      <c r="F3855">
        <f>IF(OR(A3855="",'Ratings'!R246=""),"",'Ratings'!R246)</f>
        <v/>
      </c>
      <c r="G3855">
        <f>IF(A3855="","",'Employees'!D21)</f>
        <v/>
      </c>
    </row>
    <row r="3856">
      <c r="A3856">
        <f>IF(AND('Ratings'!A246&lt;&gt;"",'Ratings'!S5&lt;&gt;""),'Ratings'!A246,"")</f>
        <v/>
      </c>
      <c r="B3856">
        <f>IF(A3856="","",'Employees'!C21)</f>
        <v/>
      </c>
      <c r="C3856">
        <f>IF(A3856="","",'Ratings'!C246)</f>
        <v/>
      </c>
      <c r="D3856">
        <f>IF(A3856="","",'Ratings'!D246)</f>
        <v/>
      </c>
      <c r="E3856">
        <f>IF(AND('Ratings'!A246&lt;&gt;"",'Ratings'!S5&lt;&gt;""),'Ratings'!S5,"")</f>
        <v/>
      </c>
      <c r="F3856">
        <f>IF(OR(A3856="",'Ratings'!S246=""),"",'Ratings'!S246)</f>
        <v/>
      </c>
      <c r="G3856">
        <f>IF(A3856="","",'Employees'!D21)</f>
        <v/>
      </c>
    </row>
    <row r="3857">
      <c r="A3857">
        <f>IF(AND('Ratings'!A246&lt;&gt;"",'Ratings'!T5&lt;&gt;""),'Ratings'!A246,"")</f>
        <v/>
      </c>
      <c r="B3857">
        <f>IF(A3857="","",'Employees'!C21)</f>
        <v/>
      </c>
      <c r="C3857">
        <f>IF(A3857="","",'Ratings'!C246)</f>
        <v/>
      </c>
      <c r="D3857">
        <f>IF(A3857="","",'Ratings'!D246)</f>
        <v/>
      </c>
      <c r="E3857">
        <f>IF(AND('Ratings'!A246&lt;&gt;"",'Ratings'!T5&lt;&gt;""),'Ratings'!T5,"")</f>
        <v/>
      </c>
      <c r="F3857">
        <f>IF(OR(A3857="",'Ratings'!T246=""),"",'Ratings'!T246)</f>
        <v/>
      </c>
      <c r="G3857">
        <f>IF(A3857="","",'Employees'!D21)</f>
        <v/>
      </c>
    </row>
    <row r="3858">
      <c r="A3858">
        <f>IF(AND('Ratings'!A247&lt;&gt;"",'Ratings'!E5&lt;&gt;""),'Ratings'!A247,"")</f>
        <v/>
      </c>
      <c r="B3858">
        <f>IF(A3858="","",'Employees'!C21)</f>
        <v/>
      </c>
      <c r="C3858">
        <f>IF(A3858="","",'Ratings'!C247)</f>
        <v/>
      </c>
      <c r="D3858">
        <f>IF(A3858="","",'Ratings'!D247)</f>
        <v/>
      </c>
      <c r="E3858">
        <f>IF(AND('Ratings'!A247&lt;&gt;"",'Ratings'!E5&lt;&gt;""),'Ratings'!E5,"")</f>
        <v/>
      </c>
      <c r="F3858">
        <f>IF(OR(A3858="",'Ratings'!E247=""),"",'Ratings'!E247)</f>
        <v/>
      </c>
      <c r="G3858">
        <f>IF(A3858="","",'Employees'!D21)</f>
        <v/>
      </c>
    </row>
    <row r="3859">
      <c r="A3859">
        <f>IF(AND('Ratings'!A247&lt;&gt;"",'Ratings'!F5&lt;&gt;""),'Ratings'!A247,"")</f>
        <v/>
      </c>
      <c r="B3859">
        <f>IF(A3859="","",'Employees'!C21)</f>
        <v/>
      </c>
      <c r="C3859">
        <f>IF(A3859="","",'Ratings'!C247)</f>
        <v/>
      </c>
      <c r="D3859">
        <f>IF(A3859="","",'Ratings'!D247)</f>
        <v/>
      </c>
      <c r="E3859">
        <f>IF(AND('Ratings'!A247&lt;&gt;"",'Ratings'!F5&lt;&gt;""),'Ratings'!F5,"")</f>
        <v/>
      </c>
      <c r="F3859">
        <f>IF(OR(A3859="",'Ratings'!F247=""),"",'Ratings'!F247)</f>
        <v/>
      </c>
      <c r="G3859">
        <f>IF(A3859="","",'Employees'!D21)</f>
        <v/>
      </c>
    </row>
    <row r="3860">
      <c r="A3860">
        <f>IF(AND('Ratings'!A247&lt;&gt;"",'Ratings'!G5&lt;&gt;""),'Ratings'!A247,"")</f>
        <v/>
      </c>
      <c r="B3860">
        <f>IF(A3860="","",'Employees'!C21)</f>
        <v/>
      </c>
      <c r="C3860">
        <f>IF(A3860="","",'Ratings'!C247)</f>
        <v/>
      </c>
      <c r="D3860">
        <f>IF(A3860="","",'Ratings'!D247)</f>
        <v/>
      </c>
      <c r="E3860">
        <f>IF(AND('Ratings'!A247&lt;&gt;"",'Ratings'!G5&lt;&gt;""),'Ratings'!G5,"")</f>
        <v/>
      </c>
      <c r="F3860">
        <f>IF(OR(A3860="",'Ratings'!G247=""),"",'Ratings'!G247)</f>
        <v/>
      </c>
      <c r="G3860">
        <f>IF(A3860="","",'Employees'!D21)</f>
        <v/>
      </c>
    </row>
    <row r="3861">
      <c r="A3861">
        <f>IF(AND('Ratings'!A247&lt;&gt;"",'Ratings'!H5&lt;&gt;""),'Ratings'!A247,"")</f>
        <v/>
      </c>
      <c r="B3861">
        <f>IF(A3861="","",'Employees'!C21)</f>
        <v/>
      </c>
      <c r="C3861">
        <f>IF(A3861="","",'Ratings'!C247)</f>
        <v/>
      </c>
      <c r="D3861">
        <f>IF(A3861="","",'Ratings'!D247)</f>
        <v/>
      </c>
      <c r="E3861">
        <f>IF(AND('Ratings'!A247&lt;&gt;"",'Ratings'!H5&lt;&gt;""),'Ratings'!H5,"")</f>
        <v/>
      </c>
      <c r="F3861">
        <f>IF(OR(A3861="",'Ratings'!H247=""),"",'Ratings'!H247)</f>
        <v/>
      </c>
      <c r="G3861">
        <f>IF(A3861="","",'Employees'!D21)</f>
        <v/>
      </c>
    </row>
    <row r="3862">
      <c r="A3862">
        <f>IF(AND('Ratings'!A247&lt;&gt;"",'Ratings'!I5&lt;&gt;""),'Ratings'!A247,"")</f>
        <v/>
      </c>
      <c r="B3862">
        <f>IF(A3862="","",'Employees'!C21)</f>
        <v/>
      </c>
      <c r="C3862">
        <f>IF(A3862="","",'Ratings'!C247)</f>
        <v/>
      </c>
      <c r="D3862">
        <f>IF(A3862="","",'Ratings'!D247)</f>
        <v/>
      </c>
      <c r="E3862">
        <f>IF(AND('Ratings'!A247&lt;&gt;"",'Ratings'!I5&lt;&gt;""),'Ratings'!I5,"")</f>
        <v/>
      </c>
      <c r="F3862">
        <f>IF(OR(A3862="",'Ratings'!I247=""),"",'Ratings'!I247)</f>
        <v/>
      </c>
      <c r="G3862">
        <f>IF(A3862="","",'Employees'!D21)</f>
        <v/>
      </c>
    </row>
    <row r="3863">
      <c r="A3863">
        <f>IF(AND('Ratings'!A247&lt;&gt;"",'Ratings'!J5&lt;&gt;""),'Ratings'!A247,"")</f>
        <v/>
      </c>
      <c r="B3863">
        <f>IF(A3863="","",'Employees'!C21)</f>
        <v/>
      </c>
      <c r="C3863">
        <f>IF(A3863="","",'Ratings'!C247)</f>
        <v/>
      </c>
      <c r="D3863">
        <f>IF(A3863="","",'Ratings'!D247)</f>
        <v/>
      </c>
      <c r="E3863">
        <f>IF(AND('Ratings'!A247&lt;&gt;"",'Ratings'!J5&lt;&gt;""),'Ratings'!J5,"")</f>
        <v/>
      </c>
      <c r="F3863">
        <f>IF(OR(A3863="",'Ratings'!J247=""),"",'Ratings'!J247)</f>
        <v/>
      </c>
      <c r="G3863">
        <f>IF(A3863="","",'Employees'!D21)</f>
        <v/>
      </c>
    </row>
    <row r="3864">
      <c r="A3864">
        <f>IF(AND('Ratings'!A247&lt;&gt;"",'Ratings'!K5&lt;&gt;""),'Ratings'!A247,"")</f>
        <v/>
      </c>
      <c r="B3864">
        <f>IF(A3864="","",'Employees'!C21)</f>
        <v/>
      </c>
      <c r="C3864">
        <f>IF(A3864="","",'Ratings'!C247)</f>
        <v/>
      </c>
      <c r="D3864">
        <f>IF(A3864="","",'Ratings'!D247)</f>
        <v/>
      </c>
      <c r="E3864">
        <f>IF(AND('Ratings'!A247&lt;&gt;"",'Ratings'!K5&lt;&gt;""),'Ratings'!K5,"")</f>
        <v/>
      </c>
      <c r="F3864">
        <f>IF(OR(A3864="",'Ratings'!K247=""),"",'Ratings'!K247)</f>
        <v/>
      </c>
      <c r="G3864">
        <f>IF(A3864="","",'Employees'!D21)</f>
        <v/>
      </c>
    </row>
    <row r="3865">
      <c r="A3865">
        <f>IF(AND('Ratings'!A247&lt;&gt;"",'Ratings'!L5&lt;&gt;""),'Ratings'!A247,"")</f>
        <v/>
      </c>
      <c r="B3865">
        <f>IF(A3865="","",'Employees'!C21)</f>
        <v/>
      </c>
      <c r="C3865">
        <f>IF(A3865="","",'Ratings'!C247)</f>
        <v/>
      </c>
      <c r="D3865">
        <f>IF(A3865="","",'Ratings'!D247)</f>
        <v/>
      </c>
      <c r="E3865">
        <f>IF(AND('Ratings'!A247&lt;&gt;"",'Ratings'!L5&lt;&gt;""),'Ratings'!L5,"")</f>
        <v/>
      </c>
      <c r="F3865">
        <f>IF(OR(A3865="",'Ratings'!L247=""),"",'Ratings'!L247)</f>
        <v/>
      </c>
      <c r="G3865">
        <f>IF(A3865="","",'Employees'!D21)</f>
        <v/>
      </c>
    </row>
    <row r="3866">
      <c r="A3866">
        <f>IF(AND('Ratings'!A247&lt;&gt;"",'Ratings'!M5&lt;&gt;""),'Ratings'!A247,"")</f>
        <v/>
      </c>
      <c r="B3866">
        <f>IF(A3866="","",'Employees'!C21)</f>
        <v/>
      </c>
      <c r="C3866">
        <f>IF(A3866="","",'Ratings'!C247)</f>
        <v/>
      </c>
      <c r="D3866">
        <f>IF(A3866="","",'Ratings'!D247)</f>
        <v/>
      </c>
      <c r="E3866">
        <f>IF(AND('Ratings'!A247&lt;&gt;"",'Ratings'!M5&lt;&gt;""),'Ratings'!M5,"")</f>
        <v/>
      </c>
      <c r="F3866">
        <f>IF(OR(A3866="",'Ratings'!M247=""),"",'Ratings'!M247)</f>
        <v/>
      </c>
      <c r="G3866">
        <f>IF(A3866="","",'Employees'!D21)</f>
        <v/>
      </c>
    </row>
    <row r="3867">
      <c r="A3867">
        <f>IF(AND('Ratings'!A247&lt;&gt;"",'Ratings'!N5&lt;&gt;""),'Ratings'!A247,"")</f>
        <v/>
      </c>
      <c r="B3867">
        <f>IF(A3867="","",'Employees'!C21)</f>
        <v/>
      </c>
      <c r="C3867">
        <f>IF(A3867="","",'Ratings'!C247)</f>
        <v/>
      </c>
      <c r="D3867">
        <f>IF(A3867="","",'Ratings'!D247)</f>
        <v/>
      </c>
      <c r="E3867">
        <f>IF(AND('Ratings'!A247&lt;&gt;"",'Ratings'!N5&lt;&gt;""),'Ratings'!N5,"")</f>
        <v/>
      </c>
      <c r="F3867">
        <f>IF(OR(A3867="",'Ratings'!N247=""),"",'Ratings'!N247)</f>
        <v/>
      </c>
      <c r="G3867">
        <f>IF(A3867="","",'Employees'!D21)</f>
        <v/>
      </c>
    </row>
    <row r="3868">
      <c r="A3868">
        <f>IF(AND('Ratings'!A247&lt;&gt;"",'Ratings'!O5&lt;&gt;""),'Ratings'!A247,"")</f>
        <v/>
      </c>
      <c r="B3868">
        <f>IF(A3868="","",'Employees'!C21)</f>
        <v/>
      </c>
      <c r="C3868">
        <f>IF(A3868="","",'Ratings'!C247)</f>
        <v/>
      </c>
      <c r="D3868">
        <f>IF(A3868="","",'Ratings'!D247)</f>
        <v/>
      </c>
      <c r="E3868">
        <f>IF(AND('Ratings'!A247&lt;&gt;"",'Ratings'!O5&lt;&gt;""),'Ratings'!O5,"")</f>
        <v/>
      </c>
      <c r="F3868">
        <f>IF(OR(A3868="",'Ratings'!O247=""),"",'Ratings'!O247)</f>
        <v/>
      </c>
      <c r="G3868">
        <f>IF(A3868="","",'Employees'!D21)</f>
        <v/>
      </c>
    </row>
    <row r="3869">
      <c r="A3869">
        <f>IF(AND('Ratings'!A247&lt;&gt;"",'Ratings'!P5&lt;&gt;""),'Ratings'!A247,"")</f>
        <v/>
      </c>
      <c r="B3869">
        <f>IF(A3869="","",'Employees'!C21)</f>
        <v/>
      </c>
      <c r="C3869">
        <f>IF(A3869="","",'Ratings'!C247)</f>
        <v/>
      </c>
      <c r="D3869">
        <f>IF(A3869="","",'Ratings'!D247)</f>
        <v/>
      </c>
      <c r="E3869">
        <f>IF(AND('Ratings'!A247&lt;&gt;"",'Ratings'!P5&lt;&gt;""),'Ratings'!P5,"")</f>
        <v/>
      </c>
      <c r="F3869">
        <f>IF(OR(A3869="",'Ratings'!P247=""),"",'Ratings'!P247)</f>
        <v/>
      </c>
      <c r="G3869">
        <f>IF(A3869="","",'Employees'!D21)</f>
        <v/>
      </c>
    </row>
    <row r="3870">
      <c r="A3870">
        <f>IF(AND('Ratings'!A247&lt;&gt;"",'Ratings'!Q5&lt;&gt;""),'Ratings'!A247,"")</f>
        <v/>
      </c>
      <c r="B3870">
        <f>IF(A3870="","",'Employees'!C21)</f>
        <v/>
      </c>
      <c r="C3870">
        <f>IF(A3870="","",'Ratings'!C247)</f>
        <v/>
      </c>
      <c r="D3870">
        <f>IF(A3870="","",'Ratings'!D247)</f>
        <v/>
      </c>
      <c r="E3870">
        <f>IF(AND('Ratings'!A247&lt;&gt;"",'Ratings'!Q5&lt;&gt;""),'Ratings'!Q5,"")</f>
        <v/>
      </c>
      <c r="F3870">
        <f>IF(OR(A3870="",'Ratings'!Q247=""),"",'Ratings'!Q247)</f>
        <v/>
      </c>
      <c r="G3870">
        <f>IF(A3870="","",'Employees'!D21)</f>
        <v/>
      </c>
    </row>
    <row r="3871">
      <c r="A3871">
        <f>IF(AND('Ratings'!A247&lt;&gt;"",'Ratings'!R5&lt;&gt;""),'Ratings'!A247,"")</f>
        <v/>
      </c>
      <c r="B3871">
        <f>IF(A3871="","",'Employees'!C21)</f>
        <v/>
      </c>
      <c r="C3871">
        <f>IF(A3871="","",'Ratings'!C247)</f>
        <v/>
      </c>
      <c r="D3871">
        <f>IF(A3871="","",'Ratings'!D247)</f>
        <v/>
      </c>
      <c r="E3871">
        <f>IF(AND('Ratings'!A247&lt;&gt;"",'Ratings'!R5&lt;&gt;""),'Ratings'!R5,"")</f>
        <v/>
      </c>
      <c r="F3871">
        <f>IF(OR(A3871="",'Ratings'!R247=""),"",'Ratings'!R247)</f>
        <v/>
      </c>
      <c r="G3871">
        <f>IF(A3871="","",'Employees'!D21)</f>
        <v/>
      </c>
    </row>
    <row r="3872">
      <c r="A3872">
        <f>IF(AND('Ratings'!A247&lt;&gt;"",'Ratings'!S5&lt;&gt;""),'Ratings'!A247,"")</f>
        <v/>
      </c>
      <c r="B3872">
        <f>IF(A3872="","",'Employees'!C21)</f>
        <v/>
      </c>
      <c r="C3872">
        <f>IF(A3872="","",'Ratings'!C247)</f>
        <v/>
      </c>
      <c r="D3872">
        <f>IF(A3872="","",'Ratings'!D247)</f>
        <v/>
      </c>
      <c r="E3872">
        <f>IF(AND('Ratings'!A247&lt;&gt;"",'Ratings'!S5&lt;&gt;""),'Ratings'!S5,"")</f>
        <v/>
      </c>
      <c r="F3872">
        <f>IF(OR(A3872="",'Ratings'!S247=""),"",'Ratings'!S247)</f>
        <v/>
      </c>
      <c r="G3872">
        <f>IF(A3872="","",'Employees'!D21)</f>
        <v/>
      </c>
    </row>
    <row r="3873">
      <c r="A3873">
        <f>IF(AND('Ratings'!A247&lt;&gt;"",'Ratings'!T5&lt;&gt;""),'Ratings'!A247,"")</f>
        <v/>
      </c>
      <c r="B3873">
        <f>IF(A3873="","",'Employees'!C21)</f>
        <v/>
      </c>
      <c r="C3873">
        <f>IF(A3873="","",'Ratings'!C247)</f>
        <v/>
      </c>
      <c r="D3873">
        <f>IF(A3873="","",'Ratings'!D247)</f>
        <v/>
      </c>
      <c r="E3873">
        <f>IF(AND('Ratings'!A247&lt;&gt;"",'Ratings'!T5&lt;&gt;""),'Ratings'!T5,"")</f>
        <v/>
      </c>
      <c r="F3873">
        <f>IF(OR(A3873="",'Ratings'!T247=""),"",'Ratings'!T247)</f>
        <v/>
      </c>
      <c r="G3873">
        <f>IF(A3873="","",'Employees'!D21)</f>
        <v/>
      </c>
    </row>
    <row r="3874">
      <c r="A3874">
        <f>IF(AND('Ratings'!A248&lt;&gt;"",'Ratings'!E5&lt;&gt;""),'Ratings'!A248,"")</f>
        <v/>
      </c>
      <c r="B3874">
        <f>IF(A3874="","",'Employees'!C21)</f>
        <v/>
      </c>
      <c r="C3874">
        <f>IF(A3874="","",'Ratings'!C248)</f>
        <v/>
      </c>
      <c r="D3874">
        <f>IF(A3874="","",'Ratings'!D248)</f>
        <v/>
      </c>
      <c r="E3874">
        <f>IF(AND('Ratings'!A248&lt;&gt;"",'Ratings'!E5&lt;&gt;""),'Ratings'!E5,"")</f>
        <v/>
      </c>
      <c r="F3874">
        <f>IF(OR(A3874="",'Ratings'!E248=""),"",'Ratings'!E248)</f>
        <v/>
      </c>
      <c r="G3874">
        <f>IF(A3874="","",'Employees'!D21)</f>
        <v/>
      </c>
    </row>
    <row r="3875">
      <c r="A3875">
        <f>IF(AND('Ratings'!A248&lt;&gt;"",'Ratings'!F5&lt;&gt;""),'Ratings'!A248,"")</f>
        <v/>
      </c>
      <c r="B3875">
        <f>IF(A3875="","",'Employees'!C21)</f>
        <v/>
      </c>
      <c r="C3875">
        <f>IF(A3875="","",'Ratings'!C248)</f>
        <v/>
      </c>
      <c r="D3875">
        <f>IF(A3875="","",'Ratings'!D248)</f>
        <v/>
      </c>
      <c r="E3875">
        <f>IF(AND('Ratings'!A248&lt;&gt;"",'Ratings'!F5&lt;&gt;""),'Ratings'!F5,"")</f>
        <v/>
      </c>
      <c r="F3875">
        <f>IF(OR(A3875="",'Ratings'!F248=""),"",'Ratings'!F248)</f>
        <v/>
      </c>
      <c r="G3875">
        <f>IF(A3875="","",'Employees'!D21)</f>
        <v/>
      </c>
    </row>
    <row r="3876">
      <c r="A3876">
        <f>IF(AND('Ratings'!A248&lt;&gt;"",'Ratings'!G5&lt;&gt;""),'Ratings'!A248,"")</f>
        <v/>
      </c>
      <c r="B3876">
        <f>IF(A3876="","",'Employees'!C21)</f>
        <v/>
      </c>
      <c r="C3876">
        <f>IF(A3876="","",'Ratings'!C248)</f>
        <v/>
      </c>
      <c r="D3876">
        <f>IF(A3876="","",'Ratings'!D248)</f>
        <v/>
      </c>
      <c r="E3876">
        <f>IF(AND('Ratings'!A248&lt;&gt;"",'Ratings'!G5&lt;&gt;""),'Ratings'!G5,"")</f>
        <v/>
      </c>
      <c r="F3876">
        <f>IF(OR(A3876="",'Ratings'!G248=""),"",'Ratings'!G248)</f>
        <v/>
      </c>
      <c r="G3876">
        <f>IF(A3876="","",'Employees'!D21)</f>
        <v/>
      </c>
    </row>
    <row r="3877">
      <c r="A3877">
        <f>IF(AND('Ratings'!A248&lt;&gt;"",'Ratings'!H5&lt;&gt;""),'Ratings'!A248,"")</f>
        <v/>
      </c>
      <c r="B3877">
        <f>IF(A3877="","",'Employees'!C21)</f>
        <v/>
      </c>
      <c r="C3877">
        <f>IF(A3877="","",'Ratings'!C248)</f>
        <v/>
      </c>
      <c r="D3877">
        <f>IF(A3877="","",'Ratings'!D248)</f>
        <v/>
      </c>
      <c r="E3877">
        <f>IF(AND('Ratings'!A248&lt;&gt;"",'Ratings'!H5&lt;&gt;""),'Ratings'!H5,"")</f>
        <v/>
      </c>
      <c r="F3877">
        <f>IF(OR(A3877="",'Ratings'!H248=""),"",'Ratings'!H248)</f>
        <v/>
      </c>
      <c r="G3877">
        <f>IF(A3877="","",'Employees'!D21)</f>
        <v/>
      </c>
    </row>
    <row r="3878">
      <c r="A3878">
        <f>IF(AND('Ratings'!A248&lt;&gt;"",'Ratings'!I5&lt;&gt;""),'Ratings'!A248,"")</f>
        <v/>
      </c>
      <c r="B3878">
        <f>IF(A3878="","",'Employees'!C21)</f>
        <v/>
      </c>
      <c r="C3878">
        <f>IF(A3878="","",'Ratings'!C248)</f>
        <v/>
      </c>
      <c r="D3878">
        <f>IF(A3878="","",'Ratings'!D248)</f>
        <v/>
      </c>
      <c r="E3878">
        <f>IF(AND('Ratings'!A248&lt;&gt;"",'Ratings'!I5&lt;&gt;""),'Ratings'!I5,"")</f>
        <v/>
      </c>
      <c r="F3878">
        <f>IF(OR(A3878="",'Ratings'!I248=""),"",'Ratings'!I248)</f>
        <v/>
      </c>
      <c r="G3878">
        <f>IF(A3878="","",'Employees'!D21)</f>
        <v/>
      </c>
    </row>
    <row r="3879">
      <c r="A3879">
        <f>IF(AND('Ratings'!A248&lt;&gt;"",'Ratings'!J5&lt;&gt;""),'Ratings'!A248,"")</f>
        <v/>
      </c>
      <c r="B3879">
        <f>IF(A3879="","",'Employees'!C21)</f>
        <v/>
      </c>
      <c r="C3879">
        <f>IF(A3879="","",'Ratings'!C248)</f>
        <v/>
      </c>
      <c r="D3879">
        <f>IF(A3879="","",'Ratings'!D248)</f>
        <v/>
      </c>
      <c r="E3879">
        <f>IF(AND('Ratings'!A248&lt;&gt;"",'Ratings'!J5&lt;&gt;""),'Ratings'!J5,"")</f>
        <v/>
      </c>
      <c r="F3879">
        <f>IF(OR(A3879="",'Ratings'!J248=""),"",'Ratings'!J248)</f>
        <v/>
      </c>
      <c r="G3879">
        <f>IF(A3879="","",'Employees'!D21)</f>
        <v/>
      </c>
    </row>
    <row r="3880">
      <c r="A3880">
        <f>IF(AND('Ratings'!A248&lt;&gt;"",'Ratings'!K5&lt;&gt;""),'Ratings'!A248,"")</f>
        <v/>
      </c>
      <c r="B3880">
        <f>IF(A3880="","",'Employees'!C21)</f>
        <v/>
      </c>
      <c r="C3880">
        <f>IF(A3880="","",'Ratings'!C248)</f>
        <v/>
      </c>
      <c r="D3880">
        <f>IF(A3880="","",'Ratings'!D248)</f>
        <v/>
      </c>
      <c r="E3880">
        <f>IF(AND('Ratings'!A248&lt;&gt;"",'Ratings'!K5&lt;&gt;""),'Ratings'!K5,"")</f>
        <v/>
      </c>
      <c r="F3880">
        <f>IF(OR(A3880="",'Ratings'!K248=""),"",'Ratings'!K248)</f>
        <v/>
      </c>
      <c r="G3880">
        <f>IF(A3880="","",'Employees'!D21)</f>
        <v/>
      </c>
    </row>
    <row r="3881">
      <c r="A3881">
        <f>IF(AND('Ratings'!A248&lt;&gt;"",'Ratings'!L5&lt;&gt;""),'Ratings'!A248,"")</f>
        <v/>
      </c>
      <c r="B3881">
        <f>IF(A3881="","",'Employees'!C21)</f>
        <v/>
      </c>
      <c r="C3881">
        <f>IF(A3881="","",'Ratings'!C248)</f>
        <v/>
      </c>
      <c r="D3881">
        <f>IF(A3881="","",'Ratings'!D248)</f>
        <v/>
      </c>
      <c r="E3881">
        <f>IF(AND('Ratings'!A248&lt;&gt;"",'Ratings'!L5&lt;&gt;""),'Ratings'!L5,"")</f>
        <v/>
      </c>
      <c r="F3881">
        <f>IF(OR(A3881="",'Ratings'!L248=""),"",'Ratings'!L248)</f>
        <v/>
      </c>
      <c r="G3881">
        <f>IF(A3881="","",'Employees'!D21)</f>
        <v/>
      </c>
    </row>
    <row r="3882">
      <c r="A3882">
        <f>IF(AND('Ratings'!A248&lt;&gt;"",'Ratings'!M5&lt;&gt;""),'Ratings'!A248,"")</f>
        <v/>
      </c>
      <c r="B3882">
        <f>IF(A3882="","",'Employees'!C21)</f>
        <v/>
      </c>
      <c r="C3882">
        <f>IF(A3882="","",'Ratings'!C248)</f>
        <v/>
      </c>
      <c r="D3882">
        <f>IF(A3882="","",'Ratings'!D248)</f>
        <v/>
      </c>
      <c r="E3882">
        <f>IF(AND('Ratings'!A248&lt;&gt;"",'Ratings'!M5&lt;&gt;""),'Ratings'!M5,"")</f>
        <v/>
      </c>
      <c r="F3882">
        <f>IF(OR(A3882="",'Ratings'!M248=""),"",'Ratings'!M248)</f>
        <v/>
      </c>
      <c r="G3882">
        <f>IF(A3882="","",'Employees'!D21)</f>
        <v/>
      </c>
    </row>
    <row r="3883">
      <c r="A3883">
        <f>IF(AND('Ratings'!A248&lt;&gt;"",'Ratings'!N5&lt;&gt;""),'Ratings'!A248,"")</f>
        <v/>
      </c>
      <c r="B3883">
        <f>IF(A3883="","",'Employees'!C21)</f>
        <v/>
      </c>
      <c r="C3883">
        <f>IF(A3883="","",'Ratings'!C248)</f>
        <v/>
      </c>
      <c r="D3883">
        <f>IF(A3883="","",'Ratings'!D248)</f>
        <v/>
      </c>
      <c r="E3883">
        <f>IF(AND('Ratings'!A248&lt;&gt;"",'Ratings'!N5&lt;&gt;""),'Ratings'!N5,"")</f>
        <v/>
      </c>
      <c r="F3883">
        <f>IF(OR(A3883="",'Ratings'!N248=""),"",'Ratings'!N248)</f>
        <v/>
      </c>
      <c r="G3883">
        <f>IF(A3883="","",'Employees'!D21)</f>
        <v/>
      </c>
    </row>
    <row r="3884">
      <c r="A3884">
        <f>IF(AND('Ratings'!A248&lt;&gt;"",'Ratings'!O5&lt;&gt;""),'Ratings'!A248,"")</f>
        <v/>
      </c>
      <c r="B3884">
        <f>IF(A3884="","",'Employees'!C21)</f>
        <v/>
      </c>
      <c r="C3884">
        <f>IF(A3884="","",'Ratings'!C248)</f>
        <v/>
      </c>
      <c r="D3884">
        <f>IF(A3884="","",'Ratings'!D248)</f>
        <v/>
      </c>
      <c r="E3884">
        <f>IF(AND('Ratings'!A248&lt;&gt;"",'Ratings'!O5&lt;&gt;""),'Ratings'!O5,"")</f>
        <v/>
      </c>
      <c r="F3884">
        <f>IF(OR(A3884="",'Ratings'!O248=""),"",'Ratings'!O248)</f>
        <v/>
      </c>
      <c r="G3884">
        <f>IF(A3884="","",'Employees'!D21)</f>
        <v/>
      </c>
    </row>
    <row r="3885">
      <c r="A3885">
        <f>IF(AND('Ratings'!A248&lt;&gt;"",'Ratings'!P5&lt;&gt;""),'Ratings'!A248,"")</f>
        <v/>
      </c>
      <c r="B3885">
        <f>IF(A3885="","",'Employees'!C21)</f>
        <v/>
      </c>
      <c r="C3885">
        <f>IF(A3885="","",'Ratings'!C248)</f>
        <v/>
      </c>
      <c r="D3885">
        <f>IF(A3885="","",'Ratings'!D248)</f>
        <v/>
      </c>
      <c r="E3885">
        <f>IF(AND('Ratings'!A248&lt;&gt;"",'Ratings'!P5&lt;&gt;""),'Ratings'!P5,"")</f>
        <v/>
      </c>
      <c r="F3885">
        <f>IF(OR(A3885="",'Ratings'!P248=""),"",'Ratings'!P248)</f>
        <v/>
      </c>
      <c r="G3885">
        <f>IF(A3885="","",'Employees'!D21)</f>
        <v/>
      </c>
    </row>
    <row r="3886">
      <c r="A3886">
        <f>IF(AND('Ratings'!A248&lt;&gt;"",'Ratings'!Q5&lt;&gt;""),'Ratings'!A248,"")</f>
        <v/>
      </c>
      <c r="B3886">
        <f>IF(A3886="","",'Employees'!C21)</f>
        <v/>
      </c>
      <c r="C3886">
        <f>IF(A3886="","",'Ratings'!C248)</f>
        <v/>
      </c>
      <c r="D3886">
        <f>IF(A3886="","",'Ratings'!D248)</f>
        <v/>
      </c>
      <c r="E3886">
        <f>IF(AND('Ratings'!A248&lt;&gt;"",'Ratings'!Q5&lt;&gt;""),'Ratings'!Q5,"")</f>
        <v/>
      </c>
      <c r="F3886">
        <f>IF(OR(A3886="",'Ratings'!Q248=""),"",'Ratings'!Q248)</f>
        <v/>
      </c>
      <c r="G3886">
        <f>IF(A3886="","",'Employees'!D21)</f>
        <v/>
      </c>
    </row>
    <row r="3887">
      <c r="A3887">
        <f>IF(AND('Ratings'!A248&lt;&gt;"",'Ratings'!R5&lt;&gt;""),'Ratings'!A248,"")</f>
        <v/>
      </c>
      <c r="B3887">
        <f>IF(A3887="","",'Employees'!C21)</f>
        <v/>
      </c>
      <c r="C3887">
        <f>IF(A3887="","",'Ratings'!C248)</f>
        <v/>
      </c>
      <c r="D3887">
        <f>IF(A3887="","",'Ratings'!D248)</f>
        <v/>
      </c>
      <c r="E3887">
        <f>IF(AND('Ratings'!A248&lt;&gt;"",'Ratings'!R5&lt;&gt;""),'Ratings'!R5,"")</f>
        <v/>
      </c>
      <c r="F3887">
        <f>IF(OR(A3887="",'Ratings'!R248=""),"",'Ratings'!R248)</f>
        <v/>
      </c>
      <c r="G3887">
        <f>IF(A3887="","",'Employees'!D21)</f>
        <v/>
      </c>
    </row>
    <row r="3888">
      <c r="A3888">
        <f>IF(AND('Ratings'!A248&lt;&gt;"",'Ratings'!S5&lt;&gt;""),'Ratings'!A248,"")</f>
        <v/>
      </c>
      <c r="B3888">
        <f>IF(A3888="","",'Employees'!C21)</f>
        <v/>
      </c>
      <c r="C3888">
        <f>IF(A3888="","",'Ratings'!C248)</f>
        <v/>
      </c>
      <c r="D3888">
        <f>IF(A3888="","",'Ratings'!D248)</f>
        <v/>
      </c>
      <c r="E3888">
        <f>IF(AND('Ratings'!A248&lt;&gt;"",'Ratings'!S5&lt;&gt;""),'Ratings'!S5,"")</f>
        <v/>
      </c>
      <c r="F3888">
        <f>IF(OR(A3888="",'Ratings'!S248=""),"",'Ratings'!S248)</f>
        <v/>
      </c>
      <c r="G3888">
        <f>IF(A3888="","",'Employees'!D21)</f>
        <v/>
      </c>
    </row>
    <row r="3889">
      <c r="A3889">
        <f>IF(AND('Ratings'!A248&lt;&gt;"",'Ratings'!T5&lt;&gt;""),'Ratings'!A248,"")</f>
        <v/>
      </c>
      <c r="B3889">
        <f>IF(A3889="","",'Employees'!C21)</f>
        <v/>
      </c>
      <c r="C3889">
        <f>IF(A3889="","",'Ratings'!C248)</f>
        <v/>
      </c>
      <c r="D3889">
        <f>IF(A3889="","",'Ratings'!D248)</f>
        <v/>
      </c>
      <c r="E3889">
        <f>IF(AND('Ratings'!A248&lt;&gt;"",'Ratings'!T5&lt;&gt;""),'Ratings'!T5,"")</f>
        <v/>
      </c>
      <c r="F3889">
        <f>IF(OR(A3889="",'Ratings'!T248=""),"",'Ratings'!T248)</f>
        <v/>
      </c>
      <c r="G3889">
        <f>IF(A3889="","",'Employees'!D21)</f>
        <v/>
      </c>
    </row>
    <row r="3890">
      <c r="A3890">
        <f>IF(AND('Ratings'!A249&lt;&gt;"",'Ratings'!E5&lt;&gt;""),'Ratings'!A249,"")</f>
        <v/>
      </c>
      <c r="B3890">
        <f>IF(A3890="","",'Employees'!C21)</f>
        <v/>
      </c>
      <c r="C3890">
        <f>IF(A3890="","",'Ratings'!C249)</f>
        <v/>
      </c>
      <c r="D3890">
        <f>IF(A3890="","",'Ratings'!D249)</f>
        <v/>
      </c>
      <c r="E3890">
        <f>IF(AND('Ratings'!A249&lt;&gt;"",'Ratings'!E5&lt;&gt;""),'Ratings'!E5,"")</f>
        <v/>
      </c>
      <c r="F3890">
        <f>IF(OR(A3890="",'Ratings'!E249=""),"",'Ratings'!E249)</f>
        <v/>
      </c>
      <c r="G3890">
        <f>IF(A3890="","",'Employees'!D21)</f>
        <v/>
      </c>
    </row>
    <row r="3891">
      <c r="A3891">
        <f>IF(AND('Ratings'!A249&lt;&gt;"",'Ratings'!F5&lt;&gt;""),'Ratings'!A249,"")</f>
        <v/>
      </c>
      <c r="B3891">
        <f>IF(A3891="","",'Employees'!C21)</f>
        <v/>
      </c>
      <c r="C3891">
        <f>IF(A3891="","",'Ratings'!C249)</f>
        <v/>
      </c>
      <c r="D3891">
        <f>IF(A3891="","",'Ratings'!D249)</f>
        <v/>
      </c>
      <c r="E3891">
        <f>IF(AND('Ratings'!A249&lt;&gt;"",'Ratings'!F5&lt;&gt;""),'Ratings'!F5,"")</f>
        <v/>
      </c>
      <c r="F3891">
        <f>IF(OR(A3891="",'Ratings'!F249=""),"",'Ratings'!F249)</f>
        <v/>
      </c>
      <c r="G3891">
        <f>IF(A3891="","",'Employees'!D21)</f>
        <v/>
      </c>
    </row>
    <row r="3892">
      <c r="A3892">
        <f>IF(AND('Ratings'!A249&lt;&gt;"",'Ratings'!G5&lt;&gt;""),'Ratings'!A249,"")</f>
        <v/>
      </c>
      <c r="B3892">
        <f>IF(A3892="","",'Employees'!C21)</f>
        <v/>
      </c>
      <c r="C3892">
        <f>IF(A3892="","",'Ratings'!C249)</f>
        <v/>
      </c>
      <c r="D3892">
        <f>IF(A3892="","",'Ratings'!D249)</f>
        <v/>
      </c>
      <c r="E3892">
        <f>IF(AND('Ratings'!A249&lt;&gt;"",'Ratings'!G5&lt;&gt;""),'Ratings'!G5,"")</f>
        <v/>
      </c>
      <c r="F3892">
        <f>IF(OR(A3892="",'Ratings'!G249=""),"",'Ratings'!G249)</f>
        <v/>
      </c>
      <c r="G3892">
        <f>IF(A3892="","",'Employees'!D21)</f>
        <v/>
      </c>
    </row>
    <row r="3893">
      <c r="A3893">
        <f>IF(AND('Ratings'!A249&lt;&gt;"",'Ratings'!H5&lt;&gt;""),'Ratings'!A249,"")</f>
        <v/>
      </c>
      <c r="B3893">
        <f>IF(A3893="","",'Employees'!C21)</f>
        <v/>
      </c>
      <c r="C3893">
        <f>IF(A3893="","",'Ratings'!C249)</f>
        <v/>
      </c>
      <c r="D3893">
        <f>IF(A3893="","",'Ratings'!D249)</f>
        <v/>
      </c>
      <c r="E3893">
        <f>IF(AND('Ratings'!A249&lt;&gt;"",'Ratings'!H5&lt;&gt;""),'Ratings'!H5,"")</f>
        <v/>
      </c>
      <c r="F3893">
        <f>IF(OR(A3893="",'Ratings'!H249=""),"",'Ratings'!H249)</f>
        <v/>
      </c>
      <c r="G3893">
        <f>IF(A3893="","",'Employees'!D21)</f>
        <v/>
      </c>
    </row>
    <row r="3894">
      <c r="A3894">
        <f>IF(AND('Ratings'!A249&lt;&gt;"",'Ratings'!I5&lt;&gt;""),'Ratings'!A249,"")</f>
        <v/>
      </c>
      <c r="B3894">
        <f>IF(A3894="","",'Employees'!C21)</f>
        <v/>
      </c>
      <c r="C3894">
        <f>IF(A3894="","",'Ratings'!C249)</f>
        <v/>
      </c>
      <c r="D3894">
        <f>IF(A3894="","",'Ratings'!D249)</f>
        <v/>
      </c>
      <c r="E3894">
        <f>IF(AND('Ratings'!A249&lt;&gt;"",'Ratings'!I5&lt;&gt;""),'Ratings'!I5,"")</f>
        <v/>
      </c>
      <c r="F3894">
        <f>IF(OR(A3894="",'Ratings'!I249=""),"",'Ratings'!I249)</f>
        <v/>
      </c>
      <c r="G3894">
        <f>IF(A3894="","",'Employees'!D21)</f>
        <v/>
      </c>
    </row>
    <row r="3895">
      <c r="A3895">
        <f>IF(AND('Ratings'!A249&lt;&gt;"",'Ratings'!J5&lt;&gt;""),'Ratings'!A249,"")</f>
        <v/>
      </c>
      <c r="B3895">
        <f>IF(A3895="","",'Employees'!C21)</f>
        <v/>
      </c>
      <c r="C3895">
        <f>IF(A3895="","",'Ratings'!C249)</f>
        <v/>
      </c>
      <c r="D3895">
        <f>IF(A3895="","",'Ratings'!D249)</f>
        <v/>
      </c>
      <c r="E3895">
        <f>IF(AND('Ratings'!A249&lt;&gt;"",'Ratings'!J5&lt;&gt;""),'Ratings'!J5,"")</f>
        <v/>
      </c>
      <c r="F3895">
        <f>IF(OR(A3895="",'Ratings'!J249=""),"",'Ratings'!J249)</f>
        <v/>
      </c>
      <c r="G3895">
        <f>IF(A3895="","",'Employees'!D21)</f>
        <v/>
      </c>
    </row>
    <row r="3896">
      <c r="A3896">
        <f>IF(AND('Ratings'!A249&lt;&gt;"",'Ratings'!K5&lt;&gt;""),'Ratings'!A249,"")</f>
        <v/>
      </c>
      <c r="B3896">
        <f>IF(A3896="","",'Employees'!C21)</f>
        <v/>
      </c>
      <c r="C3896">
        <f>IF(A3896="","",'Ratings'!C249)</f>
        <v/>
      </c>
      <c r="D3896">
        <f>IF(A3896="","",'Ratings'!D249)</f>
        <v/>
      </c>
      <c r="E3896">
        <f>IF(AND('Ratings'!A249&lt;&gt;"",'Ratings'!K5&lt;&gt;""),'Ratings'!K5,"")</f>
        <v/>
      </c>
      <c r="F3896">
        <f>IF(OR(A3896="",'Ratings'!K249=""),"",'Ratings'!K249)</f>
        <v/>
      </c>
      <c r="G3896">
        <f>IF(A3896="","",'Employees'!D21)</f>
        <v/>
      </c>
    </row>
    <row r="3897">
      <c r="A3897">
        <f>IF(AND('Ratings'!A249&lt;&gt;"",'Ratings'!L5&lt;&gt;""),'Ratings'!A249,"")</f>
        <v/>
      </c>
      <c r="B3897">
        <f>IF(A3897="","",'Employees'!C21)</f>
        <v/>
      </c>
      <c r="C3897">
        <f>IF(A3897="","",'Ratings'!C249)</f>
        <v/>
      </c>
      <c r="D3897">
        <f>IF(A3897="","",'Ratings'!D249)</f>
        <v/>
      </c>
      <c r="E3897">
        <f>IF(AND('Ratings'!A249&lt;&gt;"",'Ratings'!L5&lt;&gt;""),'Ratings'!L5,"")</f>
        <v/>
      </c>
      <c r="F3897">
        <f>IF(OR(A3897="",'Ratings'!L249=""),"",'Ratings'!L249)</f>
        <v/>
      </c>
      <c r="G3897">
        <f>IF(A3897="","",'Employees'!D21)</f>
        <v/>
      </c>
    </row>
    <row r="3898">
      <c r="A3898">
        <f>IF(AND('Ratings'!A249&lt;&gt;"",'Ratings'!M5&lt;&gt;""),'Ratings'!A249,"")</f>
        <v/>
      </c>
      <c r="B3898">
        <f>IF(A3898="","",'Employees'!C21)</f>
        <v/>
      </c>
      <c r="C3898">
        <f>IF(A3898="","",'Ratings'!C249)</f>
        <v/>
      </c>
      <c r="D3898">
        <f>IF(A3898="","",'Ratings'!D249)</f>
        <v/>
      </c>
      <c r="E3898">
        <f>IF(AND('Ratings'!A249&lt;&gt;"",'Ratings'!M5&lt;&gt;""),'Ratings'!M5,"")</f>
        <v/>
      </c>
      <c r="F3898">
        <f>IF(OR(A3898="",'Ratings'!M249=""),"",'Ratings'!M249)</f>
        <v/>
      </c>
      <c r="G3898">
        <f>IF(A3898="","",'Employees'!D21)</f>
        <v/>
      </c>
    </row>
    <row r="3899">
      <c r="A3899">
        <f>IF(AND('Ratings'!A249&lt;&gt;"",'Ratings'!N5&lt;&gt;""),'Ratings'!A249,"")</f>
        <v/>
      </c>
      <c r="B3899">
        <f>IF(A3899="","",'Employees'!C21)</f>
        <v/>
      </c>
      <c r="C3899">
        <f>IF(A3899="","",'Ratings'!C249)</f>
        <v/>
      </c>
      <c r="D3899">
        <f>IF(A3899="","",'Ratings'!D249)</f>
        <v/>
      </c>
      <c r="E3899">
        <f>IF(AND('Ratings'!A249&lt;&gt;"",'Ratings'!N5&lt;&gt;""),'Ratings'!N5,"")</f>
        <v/>
      </c>
      <c r="F3899">
        <f>IF(OR(A3899="",'Ratings'!N249=""),"",'Ratings'!N249)</f>
        <v/>
      </c>
      <c r="G3899">
        <f>IF(A3899="","",'Employees'!D21)</f>
        <v/>
      </c>
    </row>
    <row r="3900">
      <c r="A3900">
        <f>IF(AND('Ratings'!A249&lt;&gt;"",'Ratings'!O5&lt;&gt;""),'Ratings'!A249,"")</f>
        <v/>
      </c>
      <c r="B3900">
        <f>IF(A3900="","",'Employees'!C21)</f>
        <v/>
      </c>
      <c r="C3900">
        <f>IF(A3900="","",'Ratings'!C249)</f>
        <v/>
      </c>
      <c r="D3900">
        <f>IF(A3900="","",'Ratings'!D249)</f>
        <v/>
      </c>
      <c r="E3900">
        <f>IF(AND('Ratings'!A249&lt;&gt;"",'Ratings'!O5&lt;&gt;""),'Ratings'!O5,"")</f>
        <v/>
      </c>
      <c r="F3900">
        <f>IF(OR(A3900="",'Ratings'!O249=""),"",'Ratings'!O249)</f>
        <v/>
      </c>
      <c r="G3900">
        <f>IF(A3900="","",'Employees'!D21)</f>
        <v/>
      </c>
    </row>
    <row r="3901">
      <c r="A3901">
        <f>IF(AND('Ratings'!A249&lt;&gt;"",'Ratings'!P5&lt;&gt;""),'Ratings'!A249,"")</f>
        <v/>
      </c>
      <c r="B3901">
        <f>IF(A3901="","",'Employees'!C21)</f>
        <v/>
      </c>
      <c r="C3901">
        <f>IF(A3901="","",'Ratings'!C249)</f>
        <v/>
      </c>
      <c r="D3901">
        <f>IF(A3901="","",'Ratings'!D249)</f>
        <v/>
      </c>
      <c r="E3901">
        <f>IF(AND('Ratings'!A249&lt;&gt;"",'Ratings'!P5&lt;&gt;""),'Ratings'!P5,"")</f>
        <v/>
      </c>
      <c r="F3901">
        <f>IF(OR(A3901="",'Ratings'!P249=""),"",'Ratings'!P249)</f>
        <v/>
      </c>
      <c r="G3901">
        <f>IF(A3901="","",'Employees'!D21)</f>
        <v/>
      </c>
    </row>
    <row r="3902">
      <c r="A3902">
        <f>IF(AND('Ratings'!A249&lt;&gt;"",'Ratings'!Q5&lt;&gt;""),'Ratings'!A249,"")</f>
        <v/>
      </c>
      <c r="B3902">
        <f>IF(A3902="","",'Employees'!C21)</f>
        <v/>
      </c>
      <c r="C3902">
        <f>IF(A3902="","",'Ratings'!C249)</f>
        <v/>
      </c>
      <c r="D3902">
        <f>IF(A3902="","",'Ratings'!D249)</f>
        <v/>
      </c>
      <c r="E3902">
        <f>IF(AND('Ratings'!A249&lt;&gt;"",'Ratings'!Q5&lt;&gt;""),'Ratings'!Q5,"")</f>
        <v/>
      </c>
      <c r="F3902">
        <f>IF(OR(A3902="",'Ratings'!Q249=""),"",'Ratings'!Q249)</f>
        <v/>
      </c>
      <c r="G3902">
        <f>IF(A3902="","",'Employees'!D21)</f>
        <v/>
      </c>
    </row>
    <row r="3903">
      <c r="A3903">
        <f>IF(AND('Ratings'!A249&lt;&gt;"",'Ratings'!R5&lt;&gt;""),'Ratings'!A249,"")</f>
        <v/>
      </c>
      <c r="B3903">
        <f>IF(A3903="","",'Employees'!C21)</f>
        <v/>
      </c>
      <c r="C3903">
        <f>IF(A3903="","",'Ratings'!C249)</f>
        <v/>
      </c>
      <c r="D3903">
        <f>IF(A3903="","",'Ratings'!D249)</f>
        <v/>
      </c>
      <c r="E3903">
        <f>IF(AND('Ratings'!A249&lt;&gt;"",'Ratings'!R5&lt;&gt;""),'Ratings'!R5,"")</f>
        <v/>
      </c>
      <c r="F3903">
        <f>IF(OR(A3903="",'Ratings'!R249=""),"",'Ratings'!R249)</f>
        <v/>
      </c>
      <c r="G3903">
        <f>IF(A3903="","",'Employees'!D21)</f>
        <v/>
      </c>
    </row>
    <row r="3904">
      <c r="A3904">
        <f>IF(AND('Ratings'!A249&lt;&gt;"",'Ratings'!S5&lt;&gt;""),'Ratings'!A249,"")</f>
        <v/>
      </c>
      <c r="B3904">
        <f>IF(A3904="","",'Employees'!C21)</f>
        <v/>
      </c>
      <c r="C3904">
        <f>IF(A3904="","",'Ratings'!C249)</f>
        <v/>
      </c>
      <c r="D3904">
        <f>IF(A3904="","",'Ratings'!D249)</f>
        <v/>
      </c>
      <c r="E3904">
        <f>IF(AND('Ratings'!A249&lt;&gt;"",'Ratings'!S5&lt;&gt;""),'Ratings'!S5,"")</f>
        <v/>
      </c>
      <c r="F3904">
        <f>IF(OR(A3904="",'Ratings'!S249=""),"",'Ratings'!S249)</f>
        <v/>
      </c>
      <c r="G3904">
        <f>IF(A3904="","",'Employees'!D21)</f>
        <v/>
      </c>
    </row>
    <row r="3905">
      <c r="A3905">
        <f>IF(AND('Ratings'!A249&lt;&gt;"",'Ratings'!T5&lt;&gt;""),'Ratings'!A249,"")</f>
        <v/>
      </c>
      <c r="B3905">
        <f>IF(A3905="","",'Employees'!C21)</f>
        <v/>
      </c>
      <c r="C3905">
        <f>IF(A3905="","",'Ratings'!C249)</f>
        <v/>
      </c>
      <c r="D3905">
        <f>IF(A3905="","",'Ratings'!D249)</f>
        <v/>
      </c>
      <c r="E3905">
        <f>IF(AND('Ratings'!A249&lt;&gt;"",'Ratings'!T5&lt;&gt;""),'Ratings'!T5,"")</f>
        <v/>
      </c>
      <c r="F3905">
        <f>IF(OR(A3905="",'Ratings'!T249=""),"",'Ratings'!T249)</f>
        <v/>
      </c>
      <c r="G3905">
        <f>IF(A3905="","",'Employees'!D21)</f>
        <v/>
      </c>
    </row>
    <row r="3906">
      <c r="A3906">
        <f>IF(AND('Ratings'!A250&lt;&gt;"",'Ratings'!E5&lt;&gt;""),'Ratings'!A250,"")</f>
        <v/>
      </c>
      <c r="B3906">
        <f>IF(A3906="","",'Employees'!C21)</f>
        <v/>
      </c>
      <c r="C3906">
        <f>IF(A3906="","",'Ratings'!C250)</f>
        <v/>
      </c>
      <c r="D3906">
        <f>IF(A3906="","",'Ratings'!D250)</f>
        <v/>
      </c>
      <c r="E3906">
        <f>IF(AND('Ratings'!A250&lt;&gt;"",'Ratings'!E5&lt;&gt;""),'Ratings'!E5,"")</f>
        <v/>
      </c>
      <c r="F3906">
        <f>IF(OR(A3906="",'Ratings'!E250=""),"",'Ratings'!E250)</f>
        <v/>
      </c>
      <c r="G3906">
        <f>IF(A3906="","",'Employees'!D21)</f>
        <v/>
      </c>
    </row>
    <row r="3907">
      <c r="A3907">
        <f>IF(AND('Ratings'!A250&lt;&gt;"",'Ratings'!F5&lt;&gt;""),'Ratings'!A250,"")</f>
        <v/>
      </c>
      <c r="B3907">
        <f>IF(A3907="","",'Employees'!C21)</f>
        <v/>
      </c>
      <c r="C3907">
        <f>IF(A3907="","",'Ratings'!C250)</f>
        <v/>
      </c>
      <c r="D3907">
        <f>IF(A3907="","",'Ratings'!D250)</f>
        <v/>
      </c>
      <c r="E3907">
        <f>IF(AND('Ratings'!A250&lt;&gt;"",'Ratings'!F5&lt;&gt;""),'Ratings'!F5,"")</f>
        <v/>
      </c>
      <c r="F3907">
        <f>IF(OR(A3907="",'Ratings'!F250=""),"",'Ratings'!F250)</f>
        <v/>
      </c>
      <c r="G3907">
        <f>IF(A3907="","",'Employees'!D21)</f>
        <v/>
      </c>
    </row>
    <row r="3908">
      <c r="A3908">
        <f>IF(AND('Ratings'!A250&lt;&gt;"",'Ratings'!G5&lt;&gt;""),'Ratings'!A250,"")</f>
        <v/>
      </c>
      <c r="B3908">
        <f>IF(A3908="","",'Employees'!C21)</f>
        <v/>
      </c>
      <c r="C3908">
        <f>IF(A3908="","",'Ratings'!C250)</f>
        <v/>
      </c>
      <c r="D3908">
        <f>IF(A3908="","",'Ratings'!D250)</f>
        <v/>
      </c>
      <c r="E3908">
        <f>IF(AND('Ratings'!A250&lt;&gt;"",'Ratings'!G5&lt;&gt;""),'Ratings'!G5,"")</f>
        <v/>
      </c>
      <c r="F3908">
        <f>IF(OR(A3908="",'Ratings'!G250=""),"",'Ratings'!G250)</f>
        <v/>
      </c>
      <c r="G3908">
        <f>IF(A3908="","",'Employees'!D21)</f>
        <v/>
      </c>
    </row>
    <row r="3909">
      <c r="A3909">
        <f>IF(AND('Ratings'!A250&lt;&gt;"",'Ratings'!H5&lt;&gt;""),'Ratings'!A250,"")</f>
        <v/>
      </c>
      <c r="B3909">
        <f>IF(A3909="","",'Employees'!C21)</f>
        <v/>
      </c>
      <c r="C3909">
        <f>IF(A3909="","",'Ratings'!C250)</f>
        <v/>
      </c>
      <c r="D3909">
        <f>IF(A3909="","",'Ratings'!D250)</f>
        <v/>
      </c>
      <c r="E3909">
        <f>IF(AND('Ratings'!A250&lt;&gt;"",'Ratings'!H5&lt;&gt;""),'Ratings'!H5,"")</f>
        <v/>
      </c>
      <c r="F3909">
        <f>IF(OR(A3909="",'Ratings'!H250=""),"",'Ratings'!H250)</f>
        <v/>
      </c>
      <c r="G3909">
        <f>IF(A3909="","",'Employees'!D21)</f>
        <v/>
      </c>
    </row>
    <row r="3910">
      <c r="A3910">
        <f>IF(AND('Ratings'!A250&lt;&gt;"",'Ratings'!I5&lt;&gt;""),'Ratings'!A250,"")</f>
        <v/>
      </c>
      <c r="B3910">
        <f>IF(A3910="","",'Employees'!C21)</f>
        <v/>
      </c>
      <c r="C3910">
        <f>IF(A3910="","",'Ratings'!C250)</f>
        <v/>
      </c>
      <c r="D3910">
        <f>IF(A3910="","",'Ratings'!D250)</f>
        <v/>
      </c>
      <c r="E3910">
        <f>IF(AND('Ratings'!A250&lt;&gt;"",'Ratings'!I5&lt;&gt;""),'Ratings'!I5,"")</f>
        <v/>
      </c>
      <c r="F3910">
        <f>IF(OR(A3910="",'Ratings'!I250=""),"",'Ratings'!I250)</f>
        <v/>
      </c>
      <c r="G3910">
        <f>IF(A3910="","",'Employees'!D21)</f>
        <v/>
      </c>
    </row>
    <row r="3911">
      <c r="A3911">
        <f>IF(AND('Ratings'!A250&lt;&gt;"",'Ratings'!J5&lt;&gt;""),'Ratings'!A250,"")</f>
        <v/>
      </c>
      <c r="B3911">
        <f>IF(A3911="","",'Employees'!C21)</f>
        <v/>
      </c>
      <c r="C3911">
        <f>IF(A3911="","",'Ratings'!C250)</f>
        <v/>
      </c>
      <c r="D3911">
        <f>IF(A3911="","",'Ratings'!D250)</f>
        <v/>
      </c>
      <c r="E3911">
        <f>IF(AND('Ratings'!A250&lt;&gt;"",'Ratings'!J5&lt;&gt;""),'Ratings'!J5,"")</f>
        <v/>
      </c>
      <c r="F3911">
        <f>IF(OR(A3911="",'Ratings'!J250=""),"",'Ratings'!J250)</f>
        <v/>
      </c>
      <c r="G3911">
        <f>IF(A3911="","",'Employees'!D21)</f>
        <v/>
      </c>
    </row>
    <row r="3912">
      <c r="A3912">
        <f>IF(AND('Ratings'!A250&lt;&gt;"",'Ratings'!K5&lt;&gt;""),'Ratings'!A250,"")</f>
        <v/>
      </c>
      <c r="B3912">
        <f>IF(A3912="","",'Employees'!C21)</f>
        <v/>
      </c>
      <c r="C3912">
        <f>IF(A3912="","",'Ratings'!C250)</f>
        <v/>
      </c>
      <c r="D3912">
        <f>IF(A3912="","",'Ratings'!D250)</f>
        <v/>
      </c>
      <c r="E3912">
        <f>IF(AND('Ratings'!A250&lt;&gt;"",'Ratings'!K5&lt;&gt;""),'Ratings'!K5,"")</f>
        <v/>
      </c>
      <c r="F3912">
        <f>IF(OR(A3912="",'Ratings'!K250=""),"",'Ratings'!K250)</f>
        <v/>
      </c>
      <c r="G3912">
        <f>IF(A3912="","",'Employees'!D21)</f>
        <v/>
      </c>
    </row>
    <row r="3913">
      <c r="A3913">
        <f>IF(AND('Ratings'!A250&lt;&gt;"",'Ratings'!L5&lt;&gt;""),'Ratings'!A250,"")</f>
        <v/>
      </c>
      <c r="B3913">
        <f>IF(A3913="","",'Employees'!C21)</f>
        <v/>
      </c>
      <c r="C3913">
        <f>IF(A3913="","",'Ratings'!C250)</f>
        <v/>
      </c>
      <c r="D3913">
        <f>IF(A3913="","",'Ratings'!D250)</f>
        <v/>
      </c>
      <c r="E3913">
        <f>IF(AND('Ratings'!A250&lt;&gt;"",'Ratings'!L5&lt;&gt;""),'Ratings'!L5,"")</f>
        <v/>
      </c>
      <c r="F3913">
        <f>IF(OR(A3913="",'Ratings'!L250=""),"",'Ratings'!L250)</f>
        <v/>
      </c>
      <c r="G3913">
        <f>IF(A3913="","",'Employees'!D21)</f>
        <v/>
      </c>
    </row>
    <row r="3914">
      <c r="A3914">
        <f>IF(AND('Ratings'!A250&lt;&gt;"",'Ratings'!M5&lt;&gt;""),'Ratings'!A250,"")</f>
        <v/>
      </c>
      <c r="B3914">
        <f>IF(A3914="","",'Employees'!C21)</f>
        <v/>
      </c>
      <c r="C3914">
        <f>IF(A3914="","",'Ratings'!C250)</f>
        <v/>
      </c>
      <c r="D3914">
        <f>IF(A3914="","",'Ratings'!D250)</f>
        <v/>
      </c>
      <c r="E3914">
        <f>IF(AND('Ratings'!A250&lt;&gt;"",'Ratings'!M5&lt;&gt;""),'Ratings'!M5,"")</f>
        <v/>
      </c>
      <c r="F3914">
        <f>IF(OR(A3914="",'Ratings'!M250=""),"",'Ratings'!M250)</f>
        <v/>
      </c>
      <c r="G3914">
        <f>IF(A3914="","",'Employees'!D21)</f>
        <v/>
      </c>
    </row>
    <row r="3915">
      <c r="A3915">
        <f>IF(AND('Ratings'!A250&lt;&gt;"",'Ratings'!N5&lt;&gt;""),'Ratings'!A250,"")</f>
        <v/>
      </c>
      <c r="B3915">
        <f>IF(A3915="","",'Employees'!C21)</f>
        <v/>
      </c>
      <c r="C3915">
        <f>IF(A3915="","",'Ratings'!C250)</f>
        <v/>
      </c>
      <c r="D3915">
        <f>IF(A3915="","",'Ratings'!D250)</f>
        <v/>
      </c>
      <c r="E3915">
        <f>IF(AND('Ratings'!A250&lt;&gt;"",'Ratings'!N5&lt;&gt;""),'Ratings'!N5,"")</f>
        <v/>
      </c>
      <c r="F3915">
        <f>IF(OR(A3915="",'Ratings'!N250=""),"",'Ratings'!N250)</f>
        <v/>
      </c>
      <c r="G3915">
        <f>IF(A3915="","",'Employees'!D21)</f>
        <v/>
      </c>
    </row>
    <row r="3916">
      <c r="A3916">
        <f>IF(AND('Ratings'!A250&lt;&gt;"",'Ratings'!O5&lt;&gt;""),'Ratings'!A250,"")</f>
        <v/>
      </c>
      <c r="B3916">
        <f>IF(A3916="","",'Employees'!C21)</f>
        <v/>
      </c>
      <c r="C3916">
        <f>IF(A3916="","",'Ratings'!C250)</f>
        <v/>
      </c>
      <c r="D3916">
        <f>IF(A3916="","",'Ratings'!D250)</f>
        <v/>
      </c>
      <c r="E3916">
        <f>IF(AND('Ratings'!A250&lt;&gt;"",'Ratings'!O5&lt;&gt;""),'Ratings'!O5,"")</f>
        <v/>
      </c>
      <c r="F3916">
        <f>IF(OR(A3916="",'Ratings'!O250=""),"",'Ratings'!O250)</f>
        <v/>
      </c>
      <c r="G3916">
        <f>IF(A3916="","",'Employees'!D21)</f>
        <v/>
      </c>
    </row>
    <row r="3917">
      <c r="A3917">
        <f>IF(AND('Ratings'!A250&lt;&gt;"",'Ratings'!P5&lt;&gt;""),'Ratings'!A250,"")</f>
        <v/>
      </c>
      <c r="B3917">
        <f>IF(A3917="","",'Employees'!C21)</f>
        <v/>
      </c>
      <c r="C3917">
        <f>IF(A3917="","",'Ratings'!C250)</f>
        <v/>
      </c>
      <c r="D3917">
        <f>IF(A3917="","",'Ratings'!D250)</f>
        <v/>
      </c>
      <c r="E3917">
        <f>IF(AND('Ratings'!A250&lt;&gt;"",'Ratings'!P5&lt;&gt;""),'Ratings'!P5,"")</f>
        <v/>
      </c>
      <c r="F3917">
        <f>IF(OR(A3917="",'Ratings'!P250=""),"",'Ratings'!P250)</f>
        <v/>
      </c>
      <c r="G3917">
        <f>IF(A3917="","",'Employees'!D21)</f>
        <v/>
      </c>
    </row>
    <row r="3918">
      <c r="A3918">
        <f>IF(AND('Ratings'!A250&lt;&gt;"",'Ratings'!Q5&lt;&gt;""),'Ratings'!A250,"")</f>
        <v/>
      </c>
      <c r="B3918">
        <f>IF(A3918="","",'Employees'!C21)</f>
        <v/>
      </c>
      <c r="C3918">
        <f>IF(A3918="","",'Ratings'!C250)</f>
        <v/>
      </c>
      <c r="D3918">
        <f>IF(A3918="","",'Ratings'!D250)</f>
        <v/>
      </c>
      <c r="E3918">
        <f>IF(AND('Ratings'!A250&lt;&gt;"",'Ratings'!Q5&lt;&gt;""),'Ratings'!Q5,"")</f>
        <v/>
      </c>
      <c r="F3918">
        <f>IF(OR(A3918="",'Ratings'!Q250=""),"",'Ratings'!Q250)</f>
        <v/>
      </c>
      <c r="G3918">
        <f>IF(A3918="","",'Employees'!D21)</f>
        <v/>
      </c>
    </row>
    <row r="3919">
      <c r="A3919">
        <f>IF(AND('Ratings'!A250&lt;&gt;"",'Ratings'!R5&lt;&gt;""),'Ratings'!A250,"")</f>
        <v/>
      </c>
      <c r="B3919">
        <f>IF(A3919="","",'Employees'!C21)</f>
        <v/>
      </c>
      <c r="C3919">
        <f>IF(A3919="","",'Ratings'!C250)</f>
        <v/>
      </c>
      <c r="D3919">
        <f>IF(A3919="","",'Ratings'!D250)</f>
        <v/>
      </c>
      <c r="E3919">
        <f>IF(AND('Ratings'!A250&lt;&gt;"",'Ratings'!R5&lt;&gt;""),'Ratings'!R5,"")</f>
        <v/>
      </c>
      <c r="F3919">
        <f>IF(OR(A3919="",'Ratings'!R250=""),"",'Ratings'!R250)</f>
        <v/>
      </c>
      <c r="G3919">
        <f>IF(A3919="","",'Employees'!D21)</f>
        <v/>
      </c>
    </row>
    <row r="3920">
      <c r="A3920">
        <f>IF(AND('Ratings'!A250&lt;&gt;"",'Ratings'!S5&lt;&gt;""),'Ratings'!A250,"")</f>
        <v/>
      </c>
      <c r="B3920">
        <f>IF(A3920="","",'Employees'!C21)</f>
        <v/>
      </c>
      <c r="C3920">
        <f>IF(A3920="","",'Ratings'!C250)</f>
        <v/>
      </c>
      <c r="D3920">
        <f>IF(A3920="","",'Ratings'!D250)</f>
        <v/>
      </c>
      <c r="E3920">
        <f>IF(AND('Ratings'!A250&lt;&gt;"",'Ratings'!S5&lt;&gt;""),'Ratings'!S5,"")</f>
        <v/>
      </c>
      <c r="F3920">
        <f>IF(OR(A3920="",'Ratings'!S250=""),"",'Ratings'!S250)</f>
        <v/>
      </c>
      <c r="G3920">
        <f>IF(A3920="","",'Employees'!D21)</f>
        <v/>
      </c>
    </row>
    <row r="3921">
      <c r="A3921">
        <f>IF(AND('Ratings'!A250&lt;&gt;"",'Ratings'!T5&lt;&gt;""),'Ratings'!A250,"")</f>
        <v/>
      </c>
      <c r="B3921">
        <f>IF(A3921="","",'Employees'!C21)</f>
        <v/>
      </c>
      <c r="C3921">
        <f>IF(A3921="","",'Ratings'!C250)</f>
        <v/>
      </c>
      <c r="D3921">
        <f>IF(A3921="","",'Ratings'!D250)</f>
        <v/>
      </c>
      <c r="E3921">
        <f>IF(AND('Ratings'!A250&lt;&gt;"",'Ratings'!T5&lt;&gt;""),'Ratings'!T5,"")</f>
        <v/>
      </c>
      <c r="F3921">
        <f>IF(OR(A3921="",'Ratings'!T250=""),"",'Ratings'!T250)</f>
        <v/>
      </c>
      <c r="G3921">
        <f>IF(A3921="","",'Employees'!D21)</f>
        <v/>
      </c>
    </row>
    <row r="3922">
      <c r="A3922">
        <f>IF(AND('Ratings'!A251&lt;&gt;"",'Ratings'!E5&lt;&gt;""),'Ratings'!A251,"")</f>
        <v/>
      </c>
      <c r="B3922">
        <f>IF(A3922="","",'Employees'!C21)</f>
        <v/>
      </c>
      <c r="C3922">
        <f>IF(A3922="","",'Ratings'!C251)</f>
        <v/>
      </c>
      <c r="D3922">
        <f>IF(A3922="","",'Ratings'!D251)</f>
        <v/>
      </c>
      <c r="E3922">
        <f>IF(AND('Ratings'!A251&lt;&gt;"",'Ratings'!E5&lt;&gt;""),'Ratings'!E5,"")</f>
        <v/>
      </c>
      <c r="F3922">
        <f>IF(OR(A3922="",'Ratings'!E251=""),"",'Ratings'!E251)</f>
        <v/>
      </c>
      <c r="G3922">
        <f>IF(A3922="","",'Employees'!D21)</f>
        <v/>
      </c>
    </row>
    <row r="3923">
      <c r="A3923">
        <f>IF(AND('Ratings'!A251&lt;&gt;"",'Ratings'!F5&lt;&gt;""),'Ratings'!A251,"")</f>
        <v/>
      </c>
      <c r="B3923">
        <f>IF(A3923="","",'Employees'!C21)</f>
        <v/>
      </c>
      <c r="C3923">
        <f>IF(A3923="","",'Ratings'!C251)</f>
        <v/>
      </c>
      <c r="D3923">
        <f>IF(A3923="","",'Ratings'!D251)</f>
        <v/>
      </c>
      <c r="E3923">
        <f>IF(AND('Ratings'!A251&lt;&gt;"",'Ratings'!F5&lt;&gt;""),'Ratings'!F5,"")</f>
        <v/>
      </c>
      <c r="F3923">
        <f>IF(OR(A3923="",'Ratings'!F251=""),"",'Ratings'!F251)</f>
        <v/>
      </c>
      <c r="G3923">
        <f>IF(A3923="","",'Employees'!D21)</f>
        <v/>
      </c>
    </row>
    <row r="3924">
      <c r="A3924">
        <f>IF(AND('Ratings'!A251&lt;&gt;"",'Ratings'!G5&lt;&gt;""),'Ratings'!A251,"")</f>
        <v/>
      </c>
      <c r="B3924">
        <f>IF(A3924="","",'Employees'!C21)</f>
        <v/>
      </c>
      <c r="C3924">
        <f>IF(A3924="","",'Ratings'!C251)</f>
        <v/>
      </c>
      <c r="D3924">
        <f>IF(A3924="","",'Ratings'!D251)</f>
        <v/>
      </c>
      <c r="E3924">
        <f>IF(AND('Ratings'!A251&lt;&gt;"",'Ratings'!G5&lt;&gt;""),'Ratings'!G5,"")</f>
        <v/>
      </c>
      <c r="F3924">
        <f>IF(OR(A3924="",'Ratings'!G251=""),"",'Ratings'!G251)</f>
        <v/>
      </c>
      <c r="G3924">
        <f>IF(A3924="","",'Employees'!D21)</f>
        <v/>
      </c>
    </row>
    <row r="3925">
      <c r="A3925">
        <f>IF(AND('Ratings'!A251&lt;&gt;"",'Ratings'!H5&lt;&gt;""),'Ratings'!A251,"")</f>
        <v/>
      </c>
      <c r="B3925">
        <f>IF(A3925="","",'Employees'!C21)</f>
        <v/>
      </c>
      <c r="C3925">
        <f>IF(A3925="","",'Ratings'!C251)</f>
        <v/>
      </c>
      <c r="D3925">
        <f>IF(A3925="","",'Ratings'!D251)</f>
        <v/>
      </c>
      <c r="E3925">
        <f>IF(AND('Ratings'!A251&lt;&gt;"",'Ratings'!H5&lt;&gt;""),'Ratings'!H5,"")</f>
        <v/>
      </c>
      <c r="F3925">
        <f>IF(OR(A3925="",'Ratings'!H251=""),"",'Ratings'!H251)</f>
        <v/>
      </c>
      <c r="G3925">
        <f>IF(A3925="","",'Employees'!D21)</f>
        <v/>
      </c>
    </row>
    <row r="3926">
      <c r="A3926">
        <f>IF(AND('Ratings'!A251&lt;&gt;"",'Ratings'!I5&lt;&gt;""),'Ratings'!A251,"")</f>
        <v/>
      </c>
      <c r="B3926">
        <f>IF(A3926="","",'Employees'!C21)</f>
        <v/>
      </c>
      <c r="C3926">
        <f>IF(A3926="","",'Ratings'!C251)</f>
        <v/>
      </c>
      <c r="D3926">
        <f>IF(A3926="","",'Ratings'!D251)</f>
        <v/>
      </c>
      <c r="E3926">
        <f>IF(AND('Ratings'!A251&lt;&gt;"",'Ratings'!I5&lt;&gt;""),'Ratings'!I5,"")</f>
        <v/>
      </c>
      <c r="F3926">
        <f>IF(OR(A3926="",'Ratings'!I251=""),"",'Ratings'!I251)</f>
        <v/>
      </c>
      <c r="G3926">
        <f>IF(A3926="","",'Employees'!D21)</f>
        <v/>
      </c>
    </row>
    <row r="3927">
      <c r="A3927">
        <f>IF(AND('Ratings'!A251&lt;&gt;"",'Ratings'!J5&lt;&gt;""),'Ratings'!A251,"")</f>
        <v/>
      </c>
      <c r="B3927">
        <f>IF(A3927="","",'Employees'!C21)</f>
        <v/>
      </c>
      <c r="C3927">
        <f>IF(A3927="","",'Ratings'!C251)</f>
        <v/>
      </c>
      <c r="D3927">
        <f>IF(A3927="","",'Ratings'!D251)</f>
        <v/>
      </c>
      <c r="E3927">
        <f>IF(AND('Ratings'!A251&lt;&gt;"",'Ratings'!J5&lt;&gt;""),'Ratings'!J5,"")</f>
        <v/>
      </c>
      <c r="F3927">
        <f>IF(OR(A3927="",'Ratings'!J251=""),"",'Ratings'!J251)</f>
        <v/>
      </c>
      <c r="G3927">
        <f>IF(A3927="","",'Employees'!D21)</f>
        <v/>
      </c>
    </row>
    <row r="3928">
      <c r="A3928">
        <f>IF(AND('Ratings'!A251&lt;&gt;"",'Ratings'!K5&lt;&gt;""),'Ratings'!A251,"")</f>
        <v/>
      </c>
      <c r="B3928">
        <f>IF(A3928="","",'Employees'!C21)</f>
        <v/>
      </c>
      <c r="C3928">
        <f>IF(A3928="","",'Ratings'!C251)</f>
        <v/>
      </c>
      <c r="D3928">
        <f>IF(A3928="","",'Ratings'!D251)</f>
        <v/>
      </c>
      <c r="E3928">
        <f>IF(AND('Ratings'!A251&lt;&gt;"",'Ratings'!K5&lt;&gt;""),'Ratings'!K5,"")</f>
        <v/>
      </c>
      <c r="F3928">
        <f>IF(OR(A3928="",'Ratings'!K251=""),"",'Ratings'!K251)</f>
        <v/>
      </c>
      <c r="G3928">
        <f>IF(A3928="","",'Employees'!D21)</f>
        <v/>
      </c>
    </row>
    <row r="3929">
      <c r="A3929">
        <f>IF(AND('Ratings'!A251&lt;&gt;"",'Ratings'!L5&lt;&gt;""),'Ratings'!A251,"")</f>
        <v/>
      </c>
      <c r="B3929">
        <f>IF(A3929="","",'Employees'!C21)</f>
        <v/>
      </c>
      <c r="C3929">
        <f>IF(A3929="","",'Ratings'!C251)</f>
        <v/>
      </c>
      <c r="D3929">
        <f>IF(A3929="","",'Ratings'!D251)</f>
        <v/>
      </c>
      <c r="E3929">
        <f>IF(AND('Ratings'!A251&lt;&gt;"",'Ratings'!L5&lt;&gt;""),'Ratings'!L5,"")</f>
        <v/>
      </c>
      <c r="F3929">
        <f>IF(OR(A3929="",'Ratings'!L251=""),"",'Ratings'!L251)</f>
        <v/>
      </c>
      <c r="G3929">
        <f>IF(A3929="","",'Employees'!D21)</f>
        <v/>
      </c>
    </row>
    <row r="3930">
      <c r="A3930">
        <f>IF(AND('Ratings'!A251&lt;&gt;"",'Ratings'!M5&lt;&gt;""),'Ratings'!A251,"")</f>
        <v/>
      </c>
      <c r="B3930">
        <f>IF(A3930="","",'Employees'!C21)</f>
        <v/>
      </c>
      <c r="C3930">
        <f>IF(A3930="","",'Ratings'!C251)</f>
        <v/>
      </c>
      <c r="D3930">
        <f>IF(A3930="","",'Ratings'!D251)</f>
        <v/>
      </c>
      <c r="E3930">
        <f>IF(AND('Ratings'!A251&lt;&gt;"",'Ratings'!M5&lt;&gt;""),'Ratings'!M5,"")</f>
        <v/>
      </c>
      <c r="F3930">
        <f>IF(OR(A3930="",'Ratings'!M251=""),"",'Ratings'!M251)</f>
        <v/>
      </c>
      <c r="G3930">
        <f>IF(A3930="","",'Employees'!D21)</f>
        <v/>
      </c>
    </row>
    <row r="3931">
      <c r="A3931">
        <f>IF(AND('Ratings'!A251&lt;&gt;"",'Ratings'!N5&lt;&gt;""),'Ratings'!A251,"")</f>
        <v/>
      </c>
      <c r="B3931">
        <f>IF(A3931="","",'Employees'!C21)</f>
        <v/>
      </c>
      <c r="C3931">
        <f>IF(A3931="","",'Ratings'!C251)</f>
        <v/>
      </c>
      <c r="D3931">
        <f>IF(A3931="","",'Ratings'!D251)</f>
        <v/>
      </c>
      <c r="E3931">
        <f>IF(AND('Ratings'!A251&lt;&gt;"",'Ratings'!N5&lt;&gt;""),'Ratings'!N5,"")</f>
        <v/>
      </c>
      <c r="F3931">
        <f>IF(OR(A3931="",'Ratings'!N251=""),"",'Ratings'!N251)</f>
        <v/>
      </c>
      <c r="G3931">
        <f>IF(A3931="","",'Employees'!D21)</f>
        <v/>
      </c>
    </row>
    <row r="3932">
      <c r="A3932">
        <f>IF(AND('Ratings'!A251&lt;&gt;"",'Ratings'!O5&lt;&gt;""),'Ratings'!A251,"")</f>
        <v/>
      </c>
      <c r="B3932">
        <f>IF(A3932="","",'Employees'!C21)</f>
        <v/>
      </c>
      <c r="C3932">
        <f>IF(A3932="","",'Ratings'!C251)</f>
        <v/>
      </c>
      <c r="D3932">
        <f>IF(A3932="","",'Ratings'!D251)</f>
        <v/>
      </c>
      <c r="E3932">
        <f>IF(AND('Ratings'!A251&lt;&gt;"",'Ratings'!O5&lt;&gt;""),'Ratings'!O5,"")</f>
        <v/>
      </c>
      <c r="F3932">
        <f>IF(OR(A3932="",'Ratings'!O251=""),"",'Ratings'!O251)</f>
        <v/>
      </c>
      <c r="G3932">
        <f>IF(A3932="","",'Employees'!D21)</f>
        <v/>
      </c>
    </row>
    <row r="3933">
      <c r="A3933">
        <f>IF(AND('Ratings'!A251&lt;&gt;"",'Ratings'!P5&lt;&gt;""),'Ratings'!A251,"")</f>
        <v/>
      </c>
      <c r="B3933">
        <f>IF(A3933="","",'Employees'!C21)</f>
        <v/>
      </c>
      <c r="C3933">
        <f>IF(A3933="","",'Ratings'!C251)</f>
        <v/>
      </c>
      <c r="D3933">
        <f>IF(A3933="","",'Ratings'!D251)</f>
        <v/>
      </c>
      <c r="E3933">
        <f>IF(AND('Ratings'!A251&lt;&gt;"",'Ratings'!P5&lt;&gt;""),'Ratings'!P5,"")</f>
        <v/>
      </c>
      <c r="F3933">
        <f>IF(OR(A3933="",'Ratings'!P251=""),"",'Ratings'!P251)</f>
        <v/>
      </c>
      <c r="G3933">
        <f>IF(A3933="","",'Employees'!D21)</f>
        <v/>
      </c>
    </row>
    <row r="3934">
      <c r="A3934">
        <f>IF(AND('Ratings'!A251&lt;&gt;"",'Ratings'!Q5&lt;&gt;""),'Ratings'!A251,"")</f>
        <v/>
      </c>
      <c r="B3934">
        <f>IF(A3934="","",'Employees'!C21)</f>
        <v/>
      </c>
      <c r="C3934">
        <f>IF(A3934="","",'Ratings'!C251)</f>
        <v/>
      </c>
      <c r="D3934">
        <f>IF(A3934="","",'Ratings'!D251)</f>
        <v/>
      </c>
      <c r="E3934">
        <f>IF(AND('Ratings'!A251&lt;&gt;"",'Ratings'!Q5&lt;&gt;""),'Ratings'!Q5,"")</f>
        <v/>
      </c>
      <c r="F3934">
        <f>IF(OR(A3934="",'Ratings'!Q251=""),"",'Ratings'!Q251)</f>
        <v/>
      </c>
      <c r="G3934">
        <f>IF(A3934="","",'Employees'!D21)</f>
        <v/>
      </c>
    </row>
    <row r="3935">
      <c r="A3935">
        <f>IF(AND('Ratings'!A251&lt;&gt;"",'Ratings'!R5&lt;&gt;""),'Ratings'!A251,"")</f>
        <v/>
      </c>
      <c r="B3935">
        <f>IF(A3935="","",'Employees'!C21)</f>
        <v/>
      </c>
      <c r="C3935">
        <f>IF(A3935="","",'Ratings'!C251)</f>
        <v/>
      </c>
      <c r="D3935">
        <f>IF(A3935="","",'Ratings'!D251)</f>
        <v/>
      </c>
      <c r="E3935">
        <f>IF(AND('Ratings'!A251&lt;&gt;"",'Ratings'!R5&lt;&gt;""),'Ratings'!R5,"")</f>
        <v/>
      </c>
      <c r="F3935">
        <f>IF(OR(A3935="",'Ratings'!R251=""),"",'Ratings'!R251)</f>
        <v/>
      </c>
      <c r="G3935">
        <f>IF(A3935="","",'Employees'!D21)</f>
        <v/>
      </c>
    </row>
    <row r="3936">
      <c r="A3936">
        <f>IF(AND('Ratings'!A251&lt;&gt;"",'Ratings'!S5&lt;&gt;""),'Ratings'!A251,"")</f>
        <v/>
      </c>
      <c r="B3936">
        <f>IF(A3936="","",'Employees'!C21)</f>
        <v/>
      </c>
      <c r="C3936">
        <f>IF(A3936="","",'Ratings'!C251)</f>
        <v/>
      </c>
      <c r="D3936">
        <f>IF(A3936="","",'Ratings'!D251)</f>
        <v/>
      </c>
      <c r="E3936">
        <f>IF(AND('Ratings'!A251&lt;&gt;"",'Ratings'!S5&lt;&gt;""),'Ratings'!S5,"")</f>
        <v/>
      </c>
      <c r="F3936">
        <f>IF(OR(A3936="",'Ratings'!S251=""),"",'Ratings'!S251)</f>
        <v/>
      </c>
      <c r="G3936">
        <f>IF(A3936="","",'Employees'!D21)</f>
        <v/>
      </c>
    </row>
    <row r="3937">
      <c r="A3937">
        <f>IF(AND('Ratings'!A251&lt;&gt;"",'Ratings'!T5&lt;&gt;""),'Ratings'!A251,"")</f>
        <v/>
      </c>
      <c r="B3937">
        <f>IF(A3937="","",'Employees'!C21)</f>
        <v/>
      </c>
      <c r="C3937">
        <f>IF(A3937="","",'Ratings'!C251)</f>
        <v/>
      </c>
      <c r="D3937">
        <f>IF(A3937="","",'Ratings'!D251)</f>
        <v/>
      </c>
      <c r="E3937">
        <f>IF(AND('Ratings'!A251&lt;&gt;"",'Ratings'!T5&lt;&gt;""),'Ratings'!T5,"")</f>
        <v/>
      </c>
      <c r="F3937">
        <f>IF(OR(A3937="",'Ratings'!T251=""),"",'Ratings'!T251)</f>
        <v/>
      </c>
      <c r="G3937">
        <f>IF(A3937="","",'Employees'!D21)</f>
        <v/>
      </c>
    </row>
    <row r="3938">
      <c r="A3938">
        <f>IF(AND('Ratings'!A252&lt;&gt;"",'Ratings'!E5&lt;&gt;""),'Ratings'!A252,"")</f>
        <v/>
      </c>
      <c r="B3938">
        <f>IF(A3938="","",'Employees'!C21)</f>
        <v/>
      </c>
      <c r="C3938">
        <f>IF(A3938="","",'Ratings'!C252)</f>
        <v/>
      </c>
      <c r="D3938">
        <f>IF(A3938="","",'Ratings'!D252)</f>
        <v/>
      </c>
      <c r="E3938">
        <f>IF(AND('Ratings'!A252&lt;&gt;"",'Ratings'!E5&lt;&gt;""),'Ratings'!E5,"")</f>
        <v/>
      </c>
      <c r="F3938">
        <f>IF(OR(A3938="",'Ratings'!E252=""),"",'Ratings'!E252)</f>
        <v/>
      </c>
      <c r="G3938">
        <f>IF(A3938="","",'Employees'!D21)</f>
        <v/>
      </c>
    </row>
    <row r="3939">
      <c r="A3939">
        <f>IF(AND('Ratings'!A252&lt;&gt;"",'Ratings'!F5&lt;&gt;""),'Ratings'!A252,"")</f>
        <v/>
      </c>
      <c r="B3939">
        <f>IF(A3939="","",'Employees'!C21)</f>
        <v/>
      </c>
      <c r="C3939">
        <f>IF(A3939="","",'Ratings'!C252)</f>
        <v/>
      </c>
      <c r="D3939">
        <f>IF(A3939="","",'Ratings'!D252)</f>
        <v/>
      </c>
      <c r="E3939">
        <f>IF(AND('Ratings'!A252&lt;&gt;"",'Ratings'!F5&lt;&gt;""),'Ratings'!F5,"")</f>
        <v/>
      </c>
      <c r="F3939">
        <f>IF(OR(A3939="",'Ratings'!F252=""),"",'Ratings'!F252)</f>
        <v/>
      </c>
      <c r="G3939">
        <f>IF(A3939="","",'Employees'!D21)</f>
        <v/>
      </c>
    </row>
    <row r="3940">
      <c r="A3940">
        <f>IF(AND('Ratings'!A252&lt;&gt;"",'Ratings'!G5&lt;&gt;""),'Ratings'!A252,"")</f>
        <v/>
      </c>
      <c r="B3940">
        <f>IF(A3940="","",'Employees'!C21)</f>
        <v/>
      </c>
      <c r="C3940">
        <f>IF(A3940="","",'Ratings'!C252)</f>
        <v/>
      </c>
      <c r="D3940">
        <f>IF(A3940="","",'Ratings'!D252)</f>
        <v/>
      </c>
      <c r="E3940">
        <f>IF(AND('Ratings'!A252&lt;&gt;"",'Ratings'!G5&lt;&gt;""),'Ratings'!G5,"")</f>
        <v/>
      </c>
      <c r="F3940">
        <f>IF(OR(A3940="",'Ratings'!G252=""),"",'Ratings'!G252)</f>
        <v/>
      </c>
      <c r="G3940">
        <f>IF(A3940="","",'Employees'!D21)</f>
        <v/>
      </c>
    </row>
    <row r="3941">
      <c r="A3941">
        <f>IF(AND('Ratings'!A252&lt;&gt;"",'Ratings'!H5&lt;&gt;""),'Ratings'!A252,"")</f>
        <v/>
      </c>
      <c r="B3941">
        <f>IF(A3941="","",'Employees'!C21)</f>
        <v/>
      </c>
      <c r="C3941">
        <f>IF(A3941="","",'Ratings'!C252)</f>
        <v/>
      </c>
      <c r="D3941">
        <f>IF(A3941="","",'Ratings'!D252)</f>
        <v/>
      </c>
      <c r="E3941">
        <f>IF(AND('Ratings'!A252&lt;&gt;"",'Ratings'!H5&lt;&gt;""),'Ratings'!H5,"")</f>
        <v/>
      </c>
      <c r="F3941">
        <f>IF(OR(A3941="",'Ratings'!H252=""),"",'Ratings'!H252)</f>
        <v/>
      </c>
      <c r="G3941">
        <f>IF(A3941="","",'Employees'!D21)</f>
        <v/>
      </c>
    </row>
    <row r="3942">
      <c r="A3942">
        <f>IF(AND('Ratings'!A252&lt;&gt;"",'Ratings'!I5&lt;&gt;""),'Ratings'!A252,"")</f>
        <v/>
      </c>
      <c r="B3942">
        <f>IF(A3942="","",'Employees'!C21)</f>
        <v/>
      </c>
      <c r="C3942">
        <f>IF(A3942="","",'Ratings'!C252)</f>
        <v/>
      </c>
      <c r="D3942">
        <f>IF(A3942="","",'Ratings'!D252)</f>
        <v/>
      </c>
      <c r="E3942">
        <f>IF(AND('Ratings'!A252&lt;&gt;"",'Ratings'!I5&lt;&gt;""),'Ratings'!I5,"")</f>
        <v/>
      </c>
      <c r="F3942">
        <f>IF(OR(A3942="",'Ratings'!I252=""),"",'Ratings'!I252)</f>
        <v/>
      </c>
      <c r="G3942">
        <f>IF(A3942="","",'Employees'!D21)</f>
        <v/>
      </c>
    </row>
    <row r="3943">
      <c r="A3943">
        <f>IF(AND('Ratings'!A252&lt;&gt;"",'Ratings'!J5&lt;&gt;""),'Ratings'!A252,"")</f>
        <v/>
      </c>
      <c r="B3943">
        <f>IF(A3943="","",'Employees'!C21)</f>
        <v/>
      </c>
      <c r="C3943">
        <f>IF(A3943="","",'Ratings'!C252)</f>
        <v/>
      </c>
      <c r="D3943">
        <f>IF(A3943="","",'Ratings'!D252)</f>
        <v/>
      </c>
      <c r="E3943">
        <f>IF(AND('Ratings'!A252&lt;&gt;"",'Ratings'!J5&lt;&gt;""),'Ratings'!J5,"")</f>
        <v/>
      </c>
      <c r="F3943">
        <f>IF(OR(A3943="",'Ratings'!J252=""),"",'Ratings'!J252)</f>
        <v/>
      </c>
      <c r="G3943">
        <f>IF(A3943="","",'Employees'!D21)</f>
        <v/>
      </c>
    </row>
    <row r="3944">
      <c r="A3944">
        <f>IF(AND('Ratings'!A252&lt;&gt;"",'Ratings'!K5&lt;&gt;""),'Ratings'!A252,"")</f>
        <v/>
      </c>
      <c r="B3944">
        <f>IF(A3944="","",'Employees'!C21)</f>
        <v/>
      </c>
      <c r="C3944">
        <f>IF(A3944="","",'Ratings'!C252)</f>
        <v/>
      </c>
      <c r="D3944">
        <f>IF(A3944="","",'Ratings'!D252)</f>
        <v/>
      </c>
      <c r="E3944">
        <f>IF(AND('Ratings'!A252&lt;&gt;"",'Ratings'!K5&lt;&gt;""),'Ratings'!K5,"")</f>
        <v/>
      </c>
      <c r="F3944">
        <f>IF(OR(A3944="",'Ratings'!K252=""),"",'Ratings'!K252)</f>
        <v/>
      </c>
      <c r="G3944">
        <f>IF(A3944="","",'Employees'!D21)</f>
        <v/>
      </c>
    </row>
    <row r="3945">
      <c r="A3945">
        <f>IF(AND('Ratings'!A252&lt;&gt;"",'Ratings'!L5&lt;&gt;""),'Ratings'!A252,"")</f>
        <v/>
      </c>
      <c r="B3945">
        <f>IF(A3945="","",'Employees'!C21)</f>
        <v/>
      </c>
      <c r="C3945">
        <f>IF(A3945="","",'Ratings'!C252)</f>
        <v/>
      </c>
      <c r="D3945">
        <f>IF(A3945="","",'Ratings'!D252)</f>
        <v/>
      </c>
      <c r="E3945">
        <f>IF(AND('Ratings'!A252&lt;&gt;"",'Ratings'!L5&lt;&gt;""),'Ratings'!L5,"")</f>
        <v/>
      </c>
      <c r="F3945">
        <f>IF(OR(A3945="",'Ratings'!L252=""),"",'Ratings'!L252)</f>
        <v/>
      </c>
      <c r="G3945">
        <f>IF(A3945="","",'Employees'!D21)</f>
        <v/>
      </c>
    </row>
    <row r="3946">
      <c r="A3946">
        <f>IF(AND('Ratings'!A252&lt;&gt;"",'Ratings'!M5&lt;&gt;""),'Ratings'!A252,"")</f>
        <v/>
      </c>
      <c r="B3946">
        <f>IF(A3946="","",'Employees'!C21)</f>
        <v/>
      </c>
      <c r="C3946">
        <f>IF(A3946="","",'Ratings'!C252)</f>
        <v/>
      </c>
      <c r="D3946">
        <f>IF(A3946="","",'Ratings'!D252)</f>
        <v/>
      </c>
      <c r="E3946">
        <f>IF(AND('Ratings'!A252&lt;&gt;"",'Ratings'!M5&lt;&gt;""),'Ratings'!M5,"")</f>
        <v/>
      </c>
      <c r="F3946">
        <f>IF(OR(A3946="",'Ratings'!M252=""),"",'Ratings'!M252)</f>
        <v/>
      </c>
      <c r="G3946">
        <f>IF(A3946="","",'Employees'!D21)</f>
        <v/>
      </c>
    </row>
    <row r="3947">
      <c r="A3947">
        <f>IF(AND('Ratings'!A252&lt;&gt;"",'Ratings'!N5&lt;&gt;""),'Ratings'!A252,"")</f>
        <v/>
      </c>
      <c r="B3947">
        <f>IF(A3947="","",'Employees'!C21)</f>
        <v/>
      </c>
      <c r="C3947">
        <f>IF(A3947="","",'Ratings'!C252)</f>
        <v/>
      </c>
      <c r="D3947">
        <f>IF(A3947="","",'Ratings'!D252)</f>
        <v/>
      </c>
      <c r="E3947">
        <f>IF(AND('Ratings'!A252&lt;&gt;"",'Ratings'!N5&lt;&gt;""),'Ratings'!N5,"")</f>
        <v/>
      </c>
      <c r="F3947">
        <f>IF(OR(A3947="",'Ratings'!N252=""),"",'Ratings'!N252)</f>
        <v/>
      </c>
      <c r="G3947">
        <f>IF(A3947="","",'Employees'!D21)</f>
        <v/>
      </c>
    </row>
    <row r="3948">
      <c r="A3948">
        <f>IF(AND('Ratings'!A252&lt;&gt;"",'Ratings'!O5&lt;&gt;""),'Ratings'!A252,"")</f>
        <v/>
      </c>
      <c r="B3948">
        <f>IF(A3948="","",'Employees'!C21)</f>
        <v/>
      </c>
      <c r="C3948">
        <f>IF(A3948="","",'Ratings'!C252)</f>
        <v/>
      </c>
      <c r="D3948">
        <f>IF(A3948="","",'Ratings'!D252)</f>
        <v/>
      </c>
      <c r="E3948">
        <f>IF(AND('Ratings'!A252&lt;&gt;"",'Ratings'!O5&lt;&gt;""),'Ratings'!O5,"")</f>
        <v/>
      </c>
      <c r="F3948">
        <f>IF(OR(A3948="",'Ratings'!O252=""),"",'Ratings'!O252)</f>
        <v/>
      </c>
      <c r="G3948">
        <f>IF(A3948="","",'Employees'!D21)</f>
        <v/>
      </c>
    </row>
    <row r="3949">
      <c r="A3949">
        <f>IF(AND('Ratings'!A252&lt;&gt;"",'Ratings'!P5&lt;&gt;""),'Ratings'!A252,"")</f>
        <v/>
      </c>
      <c r="B3949">
        <f>IF(A3949="","",'Employees'!C21)</f>
        <v/>
      </c>
      <c r="C3949">
        <f>IF(A3949="","",'Ratings'!C252)</f>
        <v/>
      </c>
      <c r="D3949">
        <f>IF(A3949="","",'Ratings'!D252)</f>
        <v/>
      </c>
      <c r="E3949">
        <f>IF(AND('Ratings'!A252&lt;&gt;"",'Ratings'!P5&lt;&gt;""),'Ratings'!P5,"")</f>
        <v/>
      </c>
      <c r="F3949">
        <f>IF(OR(A3949="",'Ratings'!P252=""),"",'Ratings'!P252)</f>
        <v/>
      </c>
      <c r="G3949">
        <f>IF(A3949="","",'Employees'!D21)</f>
        <v/>
      </c>
    </row>
    <row r="3950">
      <c r="A3950">
        <f>IF(AND('Ratings'!A252&lt;&gt;"",'Ratings'!Q5&lt;&gt;""),'Ratings'!A252,"")</f>
        <v/>
      </c>
      <c r="B3950">
        <f>IF(A3950="","",'Employees'!C21)</f>
        <v/>
      </c>
      <c r="C3950">
        <f>IF(A3950="","",'Ratings'!C252)</f>
        <v/>
      </c>
      <c r="D3950">
        <f>IF(A3950="","",'Ratings'!D252)</f>
        <v/>
      </c>
      <c r="E3950">
        <f>IF(AND('Ratings'!A252&lt;&gt;"",'Ratings'!Q5&lt;&gt;""),'Ratings'!Q5,"")</f>
        <v/>
      </c>
      <c r="F3950">
        <f>IF(OR(A3950="",'Ratings'!Q252=""),"",'Ratings'!Q252)</f>
        <v/>
      </c>
      <c r="G3950">
        <f>IF(A3950="","",'Employees'!D21)</f>
        <v/>
      </c>
    </row>
    <row r="3951">
      <c r="A3951">
        <f>IF(AND('Ratings'!A252&lt;&gt;"",'Ratings'!R5&lt;&gt;""),'Ratings'!A252,"")</f>
        <v/>
      </c>
      <c r="B3951">
        <f>IF(A3951="","",'Employees'!C21)</f>
        <v/>
      </c>
      <c r="C3951">
        <f>IF(A3951="","",'Ratings'!C252)</f>
        <v/>
      </c>
      <c r="D3951">
        <f>IF(A3951="","",'Ratings'!D252)</f>
        <v/>
      </c>
      <c r="E3951">
        <f>IF(AND('Ratings'!A252&lt;&gt;"",'Ratings'!R5&lt;&gt;""),'Ratings'!R5,"")</f>
        <v/>
      </c>
      <c r="F3951">
        <f>IF(OR(A3951="",'Ratings'!R252=""),"",'Ratings'!R252)</f>
        <v/>
      </c>
      <c r="G3951">
        <f>IF(A3951="","",'Employees'!D21)</f>
        <v/>
      </c>
    </row>
    <row r="3952">
      <c r="A3952">
        <f>IF(AND('Ratings'!A252&lt;&gt;"",'Ratings'!S5&lt;&gt;""),'Ratings'!A252,"")</f>
        <v/>
      </c>
      <c r="B3952">
        <f>IF(A3952="","",'Employees'!C21)</f>
        <v/>
      </c>
      <c r="C3952">
        <f>IF(A3952="","",'Ratings'!C252)</f>
        <v/>
      </c>
      <c r="D3952">
        <f>IF(A3952="","",'Ratings'!D252)</f>
        <v/>
      </c>
      <c r="E3952">
        <f>IF(AND('Ratings'!A252&lt;&gt;"",'Ratings'!S5&lt;&gt;""),'Ratings'!S5,"")</f>
        <v/>
      </c>
      <c r="F3952">
        <f>IF(OR(A3952="",'Ratings'!S252=""),"",'Ratings'!S252)</f>
        <v/>
      </c>
      <c r="G3952">
        <f>IF(A3952="","",'Employees'!D21)</f>
        <v/>
      </c>
    </row>
    <row r="3953">
      <c r="A3953">
        <f>IF(AND('Ratings'!A252&lt;&gt;"",'Ratings'!T5&lt;&gt;""),'Ratings'!A252,"")</f>
        <v/>
      </c>
      <c r="B3953">
        <f>IF(A3953="","",'Employees'!C21)</f>
        <v/>
      </c>
      <c r="C3953">
        <f>IF(A3953="","",'Ratings'!C252)</f>
        <v/>
      </c>
      <c r="D3953">
        <f>IF(A3953="","",'Ratings'!D252)</f>
        <v/>
      </c>
      <c r="E3953">
        <f>IF(AND('Ratings'!A252&lt;&gt;"",'Ratings'!T5&lt;&gt;""),'Ratings'!T5,"")</f>
        <v/>
      </c>
      <c r="F3953">
        <f>IF(OR(A3953="",'Ratings'!T252=""),"",'Ratings'!T252)</f>
        <v/>
      </c>
      <c r="G3953">
        <f>IF(A3953="","",'Employees'!D21)</f>
        <v/>
      </c>
    </row>
    <row r="3954">
      <c r="A3954">
        <f>IF(AND('Ratings'!A253&lt;&gt;"",'Ratings'!E5&lt;&gt;""),'Ratings'!A253,"")</f>
        <v/>
      </c>
      <c r="B3954">
        <f>IF(A3954="","",'Employees'!C21)</f>
        <v/>
      </c>
      <c r="C3954">
        <f>IF(A3954="","",'Ratings'!C253)</f>
        <v/>
      </c>
      <c r="D3954">
        <f>IF(A3954="","",'Ratings'!D253)</f>
        <v/>
      </c>
      <c r="E3954">
        <f>IF(AND('Ratings'!A253&lt;&gt;"",'Ratings'!E5&lt;&gt;""),'Ratings'!E5,"")</f>
        <v/>
      </c>
      <c r="F3954">
        <f>IF(OR(A3954="",'Ratings'!E253=""),"",'Ratings'!E253)</f>
        <v/>
      </c>
      <c r="G3954">
        <f>IF(A3954="","",'Employees'!D21)</f>
        <v/>
      </c>
    </row>
    <row r="3955">
      <c r="A3955">
        <f>IF(AND('Ratings'!A253&lt;&gt;"",'Ratings'!F5&lt;&gt;""),'Ratings'!A253,"")</f>
        <v/>
      </c>
      <c r="B3955">
        <f>IF(A3955="","",'Employees'!C21)</f>
        <v/>
      </c>
      <c r="C3955">
        <f>IF(A3955="","",'Ratings'!C253)</f>
        <v/>
      </c>
      <c r="D3955">
        <f>IF(A3955="","",'Ratings'!D253)</f>
        <v/>
      </c>
      <c r="E3955">
        <f>IF(AND('Ratings'!A253&lt;&gt;"",'Ratings'!F5&lt;&gt;""),'Ratings'!F5,"")</f>
        <v/>
      </c>
      <c r="F3955">
        <f>IF(OR(A3955="",'Ratings'!F253=""),"",'Ratings'!F253)</f>
        <v/>
      </c>
      <c r="G3955">
        <f>IF(A3955="","",'Employees'!D21)</f>
        <v/>
      </c>
    </row>
    <row r="3956">
      <c r="A3956">
        <f>IF(AND('Ratings'!A253&lt;&gt;"",'Ratings'!G5&lt;&gt;""),'Ratings'!A253,"")</f>
        <v/>
      </c>
      <c r="B3956">
        <f>IF(A3956="","",'Employees'!C21)</f>
        <v/>
      </c>
      <c r="C3956">
        <f>IF(A3956="","",'Ratings'!C253)</f>
        <v/>
      </c>
      <c r="D3956">
        <f>IF(A3956="","",'Ratings'!D253)</f>
        <v/>
      </c>
      <c r="E3956">
        <f>IF(AND('Ratings'!A253&lt;&gt;"",'Ratings'!G5&lt;&gt;""),'Ratings'!G5,"")</f>
        <v/>
      </c>
      <c r="F3956">
        <f>IF(OR(A3956="",'Ratings'!G253=""),"",'Ratings'!G253)</f>
        <v/>
      </c>
      <c r="G3956">
        <f>IF(A3956="","",'Employees'!D21)</f>
        <v/>
      </c>
    </row>
    <row r="3957">
      <c r="A3957">
        <f>IF(AND('Ratings'!A253&lt;&gt;"",'Ratings'!H5&lt;&gt;""),'Ratings'!A253,"")</f>
        <v/>
      </c>
      <c r="B3957">
        <f>IF(A3957="","",'Employees'!C21)</f>
        <v/>
      </c>
      <c r="C3957">
        <f>IF(A3957="","",'Ratings'!C253)</f>
        <v/>
      </c>
      <c r="D3957">
        <f>IF(A3957="","",'Ratings'!D253)</f>
        <v/>
      </c>
      <c r="E3957">
        <f>IF(AND('Ratings'!A253&lt;&gt;"",'Ratings'!H5&lt;&gt;""),'Ratings'!H5,"")</f>
        <v/>
      </c>
      <c r="F3957">
        <f>IF(OR(A3957="",'Ratings'!H253=""),"",'Ratings'!H253)</f>
        <v/>
      </c>
      <c r="G3957">
        <f>IF(A3957="","",'Employees'!D21)</f>
        <v/>
      </c>
    </row>
    <row r="3958">
      <c r="A3958">
        <f>IF(AND('Ratings'!A253&lt;&gt;"",'Ratings'!I5&lt;&gt;""),'Ratings'!A253,"")</f>
        <v/>
      </c>
      <c r="B3958">
        <f>IF(A3958="","",'Employees'!C21)</f>
        <v/>
      </c>
      <c r="C3958">
        <f>IF(A3958="","",'Ratings'!C253)</f>
        <v/>
      </c>
      <c r="D3958">
        <f>IF(A3958="","",'Ratings'!D253)</f>
        <v/>
      </c>
      <c r="E3958">
        <f>IF(AND('Ratings'!A253&lt;&gt;"",'Ratings'!I5&lt;&gt;""),'Ratings'!I5,"")</f>
        <v/>
      </c>
      <c r="F3958">
        <f>IF(OR(A3958="",'Ratings'!I253=""),"",'Ratings'!I253)</f>
        <v/>
      </c>
      <c r="G3958">
        <f>IF(A3958="","",'Employees'!D21)</f>
        <v/>
      </c>
    </row>
    <row r="3959">
      <c r="A3959">
        <f>IF(AND('Ratings'!A253&lt;&gt;"",'Ratings'!J5&lt;&gt;""),'Ratings'!A253,"")</f>
        <v/>
      </c>
      <c r="B3959">
        <f>IF(A3959="","",'Employees'!C21)</f>
        <v/>
      </c>
      <c r="C3959">
        <f>IF(A3959="","",'Ratings'!C253)</f>
        <v/>
      </c>
      <c r="D3959">
        <f>IF(A3959="","",'Ratings'!D253)</f>
        <v/>
      </c>
      <c r="E3959">
        <f>IF(AND('Ratings'!A253&lt;&gt;"",'Ratings'!J5&lt;&gt;""),'Ratings'!J5,"")</f>
        <v/>
      </c>
      <c r="F3959">
        <f>IF(OR(A3959="",'Ratings'!J253=""),"",'Ratings'!J253)</f>
        <v/>
      </c>
      <c r="G3959">
        <f>IF(A3959="","",'Employees'!D21)</f>
        <v/>
      </c>
    </row>
    <row r="3960">
      <c r="A3960">
        <f>IF(AND('Ratings'!A253&lt;&gt;"",'Ratings'!K5&lt;&gt;""),'Ratings'!A253,"")</f>
        <v/>
      </c>
      <c r="B3960">
        <f>IF(A3960="","",'Employees'!C21)</f>
        <v/>
      </c>
      <c r="C3960">
        <f>IF(A3960="","",'Ratings'!C253)</f>
        <v/>
      </c>
      <c r="D3960">
        <f>IF(A3960="","",'Ratings'!D253)</f>
        <v/>
      </c>
      <c r="E3960">
        <f>IF(AND('Ratings'!A253&lt;&gt;"",'Ratings'!K5&lt;&gt;""),'Ratings'!K5,"")</f>
        <v/>
      </c>
      <c r="F3960">
        <f>IF(OR(A3960="",'Ratings'!K253=""),"",'Ratings'!K253)</f>
        <v/>
      </c>
      <c r="G3960">
        <f>IF(A3960="","",'Employees'!D21)</f>
        <v/>
      </c>
    </row>
    <row r="3961">
      <c r="A3961">
        <f>IF(AND('Ratings'!A253&lt;&gt;"",'Ratings'!L5&lt;&gt;""),'Ratings'!A253,"")</f>
        <v/>
      </c>
      <c r="B3961">
        <f>IF(A3961="","",'Employees'!C21)</f>
        <v/>
      </c>
      <c r="C3961">
        <f>IF(A3961="","",'Ratings'!C253)</f>
        <v/>
      </c>
      <c r="D3961">
        <f>IF(A3961="","",'Ratings'!D253)</f>
        <v/>
      </c>
      <c r="E3961">
        <f>IF(AND('Ratings'!A253&lt;&gt;"",'Ratings'!L5&lt;&gt;""),'Ratings'!L5,"")</f>
        <v/>
      </c>
      <c r="F3961">
        <f>IF(OR(A3961="",'Ratings'!L253=""),"",'Ratings'!L253)</f>
        <v/>
      </c>
      <c r="G3961">
        <f>IF(A3961="","",'Employees'!D21)</f>
        <v/>
      </c>
    </row>
    <row r="3962">
      <c r="A3962">
        <f>IF(AND('Ratings'!A253&lt;&gt;"",'Ratings'!M5&lt;&gt;""),'Ratings'!A253,"")</f>
        <v/>
      </c>
      <c r="B3962">
        <f>IF(A3962="","",'Employees'!C21)</f>
        <v/>
      </c>
      <c r="C3962">
        <f>IF(A3962="","",'Ratings'!C253)</f>
        <v/>
      </c>
      <c r="D3962">
        <f>IF(A3962="","",'Ratings'!D253)</f>
        <v/>
      </c>
      <c r="E3962">
        <f>IF(AND('Ratings'!A253&lt;&gt;"",'Ratings'!M5&lt;&gt;""),'Ratings'!M5,"")</f>
        <v/>
      </c>
      <c r="F3962">
        <f>IF(OR(A3962="",'Ratings'!M253=""),"",'Ratings'!M253)</f>
        <v/>
      </c>
      <c r="G3962">
        <f>IF(A3962="","",'Employees'!D21)</f>
        <v/>
      </c>
    </row>
    <row r="3963">
      <c r="A3963">
        <f>IF(AND('Ratings'!A253&lt;&gt;"",'Ratings'!N5&lt;&gt;""),'Ratings'!A253,"")</f>
        <v/>
      </c>
      <c r="B3963">
        <f>IF(A3963="","",'Employees'!C21)</f>
        <v/>
      </c>
      <c r="C3963">
        <f>IF(A3963="","",'Ratings'!C253)</f>
        <v/>
      </c>
      <c r="D3963">
        <f>IF(A3963="","",'Ratings'!D253)</f>
        <v/>
      </c>
      <c r="E3963">
        <f>IF(AND('Ratings'!A253&lt;&gt;"",'Ratings'!N5&lt;&gt;""),'Ratings'!N5,"")</f>
        <v/>
      </c>
      <c r="F3963">
        <f>IF(OR(A3963="",'Ratings'!N253=""),"",'Ratings'!N253)</f>
        <v/>
      </c>
      <c r="G3963">
        <f>IF(A3963="","",'Employees'!D21)</f>
        <v/>
      </c>
    </row>
    <row r="3964">
      <c r="A3964">
        <f>IF(AND('Ratings'!A253&lt;&gt;"",'Ratings'!O5&lt;&gt;""),'Ratings'!A253,"")</f>
        <v/>
      </c>
      <c r="B3964">
        <f>IF(A3964="","",'Employees'!C21)</f>
        <v/>
      </c>
      <c r="C3964">
        <f>IF(A3964="","",'Ratings'!C253)</f>
        <v/>
      </c>
      <c r="D3964">
        <f>IF(A3964="","",'Ratings'!D253)</f>
        <v/>
      </c>
      <c r="E3964">
        <f>IF(AND('Ratings'!A253&lt;&gt;"",'Ratings'!O5&lt;&gt;""),'Ratings'!O5,"")</f>
        <v/>
      </c>
      <c r="F3964">
        <f>IF(OR(A3964="",'Ratings'!O253=""),"",'Ratings'!O253)</f>
        <v/>
      </c>
      <c r="G3964">
        <f>IF(A3964="","",'Employees'!D21)</f>
        <v/>
      </c>
    </row>
    <row r="3965">
      <c r="A3965">
        <f>IF(AND('Ratings'!A253&lt;&gt;"",'Ratings'!P5&lt;&gt;""),'Ratings'!A253,"")</f>
        <v/>
      </c>
      <c r="B3965">
        <f>IF(A3965="","",'Employees'!C21)</f>
        <v/>
      </c>
      <c r="C3965">
        <f>IF(A3965="","",'Ratings'!C253)</f>
        <v/>
      </c>
      <c r="D3965">
        <f>IF(A3965="","",'Ratings'!D253)</f>
        <v/>
      </c>
      <c r="E3965">
        <f>IF(AND('Ratings'!A253&lt;&gt;"",'Ratings'!P5&lt;&gt;""),'Ratings'!P5,"")</f>
        <v/>
      </c>
      <c r="F3965">
        <f>IF(OR(A3965="",'Ratings'!P253=""),"",'Ratings'!P253)</f>
        <v/>
      </c>
      <c r="G3965">
        <f>IF(A3965="","",'Employees'!D21)</f>
        <v/>
      </c>
    </row>
    <row r="3966">
      <c r="A3966">
        <f>IF(AND('Ratings'!A253&lt;&gt;"",'Ratings'!Q5&lt;&gt;""),'Ratings'!A253,"")</f>
        <v/>
      </c>
      <c r="B3966">
        <f>IF(A3966="","",'Employees'!C21)</f>
        <v/>
      </c>
      <c r="C3966">
        <f>IF(A3966="","",'Ratings'!C253)</f>
        <v/>
      </c>
      <c r="D3966">
        <f>IF(A3966="","",'Ratings'!D253)</f>
        <v/>
      </c>
      <c r="E3966">
        <f>IF(AND('Ratings'!A253&lt;&gt;"",'Ratings'!Q5&lt;&gt;""),'Ratings'!Q5,"")</f>
        <v/>
      </c>
      <c r="F3966">
        <f>IF(OR(A3966="",'Ratings'!Q253=""),"",'Ratings'!Q253)</f>
        <v/>
      </c>
      <c r="G3966">
        <f>IF(A3966="","",'Employees'!D21)</f>
        <v/>
      </c>
    </row>
    <row r="3967">
      <c r="A3967">
        <f>IF(AND('Ratings'!A253&lt;&gt;"",'Ratings'!R5&lt;&gt;""),'Ratings'!A253,"")</f>
        <v/>
      </c>
      <c r="B3967">
        <f>IF(A3967="","",'Employees'!C21)</f>
        <v/>
      </c>
      <c r="C3967">
        <f>IF(A3967="","",'Ratings'!C253)</f>
        <v/>
      </c>
      <c r="D3967">
        <f>IF(A3967="","",'Ratings'!D253)</f>
        <v/>
      </c>
      <c r="E3967">
        <f>IF(AND('Ratings'!A253&lt;&gt;"",'Ratings'!R5&lt;&gt;""),'Ratings'!R5,"")</f>
        <v/>
      </c>
      <c r="F3967">
        <f>IF(OR(A3967="",'Ratings'!R253=""),"",'Ratings'!R253)</f>
        <v/>
      </c>
      <c r="G3967">
        <f>IF(A3967="","",'Employees'!D21)</f>
        <v/>
      </c>
    </row>
    <row r="3968">
      <c r="A3968">
        <f>IF(AND('Ratings'!A253&lt;&gt;"",'Ratings'!S5&lt;&gt;""),'Ratings'!A253,"")</f>
        <v/>
      </c>
      <c r="B3968">
        <f>IF(A3968="","",'Employees'!C21)</f>
        <v/>
      </c>
      <c r="C3968">
        <f>IF(A3968="","",'Ratings'!C253)</f>
        <v/>
      </c>
      <c r="D3968">
        <f>IF(A3968="","",'Ratings'!D253)</f>
        <v/>
      </c>
      <c r="E3968">
        <f>IF(AND('Ratings'!A253&lt;&gt;"",'Ratings'!S5&lt;&gt;""),'Ratings'!S5,"")</f>
        <v/>
      </c>
      <c r="F3968">
        <f>IF(OR(A3968="",'Ratings'!S253=""),"",'Ratings'!S253)</f>
        <v/>
      </c>
      <c r="G3968">
        <f>IF(A3968="","",'Employees'!D21)</f>
        <v/>
      </c>
    </row>
    <row r="3969">
      <c r="A3969">
        <f>IF(AND('Ratings'!A253&lt;&gt;"",'Ratings'!T5&lt;&gt;""),'Ratings'!A253,"")</f>
        <v/>
      </c>
      <c r="B3969">
        <f>IF(A3969="","",'Employees'!C21)</f>
        <v/>
      </c>
      <c r="C3969">
        <f>IF(A3969="","",'Ratings'!C253)</f>
        <v/>
      </c>
      <c r="D3969">
        <f>IF(A3969="","",'Ratings'!D253)</f>
        <v/>
      </c>
      <c r="E3969">
        <f>IF(AND('Ratings'!A253&lt;&gt;"",'Ratings'!T5&lt;&gt;""),'Ratings'!T5,"")</f>
        <v/>
      </c>
      <c r="F3969">
        <f>IF(OR(A3969="",'Ratings'!T253=""),"",'Ratings'!T253)</f>
        <v/>
      </c>
      <c r="G3969">
        <f>IF(A3969="","",'Employees'!D21)</f>
        <v/>
      </c>
    </row>
    <row r="3970">
      <c r="A3970">
        <f>IF(AND('Ratings'!A254&lt;&gt;"",'Ratings'!E5&lt;&gt;""),'Ratings'!A254,"")</f>
        <v/>
      </c>
      <c r="B3970">
        <f>IF(A3970="","",'Employees'!C21)</f>
        <v/>
      </c>
      <c r="C3970">
        <f>IF(A3970="","",'Ratings'!C254)</f>
        <v/>
      </c>
      <c r="D3970">
        <f>IF(A3970="","",'Ratings'!D254)</f>
        <v/>
      </c>
      <c r="E3970">
        <f>IF(AND('Ratings'!A254&lt;&gt;"",'Ratings'!E5&lt;&gt;""),'Ratings'!E5,"")</f>
        <v/>
      </c>
      <c r="F3970">
        <f>IF(OR(A3970="",'Ratings'!E254=""),"",'Ratings'!E254)</f>
        <v/>
      </c>
      <c r="G3970">
        <f>IF(A3970="","",'Employees'!D21)</f>
        <v/>
      </c>
    </row>
    <row r="3971">
      <c r="A3971">
        <f>IF(AND('Ratings'!A254&lt;&gt;"",'Ratings'!F5&lt;&gt;""),'Ratings'!A254,"")</f>
        <v/>
      </c>
      <c r="B3971">
        <f>IF(A3971="","",'Employees'!C21)</f>
        <v/>
      </c>
      <c r="C3971">
        <f>IF(A3971="","",'Ratings'!C254)</f>
        <v/>
      </c>
      <c r="D3971">
        <f>IF(A3971="","",'Ratings'!D254)</f>
        <v/>
      </c>
      <c r="E3971">
        <f>IF(AND('Ratings'!A254&lt;&gt;"",'Ratings'!F5&lt;&gt;""),'Ratings'!F5,"")</f>
        <v/>
      </c>
      <c r="F3971">
        <f>IF(OR(A3971="",'Ratings'!F254=""),"",'Ratings'!F254)</f>
        <v/>
      </c>
      <c r="G3971">
        <f>IF(A3971="","",'Employees'!D21)</f>
        <v/>
      </c>
    </row>
    <row r="3972">
      <c r="A3972">
        <f>IF(AND('Ratings'!A254&lt;&gt;"",'Ratings'!G5&lt;&gt;""),'Ratings'!A254,"")</f>
        <v/>
      </c>
      <c r="B3972">
        <f>IF(A3972="","",'Employees'!C21)</f>
        <v/>
      </c>
      <c r="C3972">
        <f>IF(A3972="","",'Ratings'!C254)</f>
        <v/>
      </c>
      <c r="D3972">
        <f>IF(A3972="","",'Ratings'!D254)</f>
        <v/>
      </c>
      <c r="E3972">
        <f>IF(AND('Ratings'!A254&lt;&gt;"",'Ratings'!G5&lt;&gt;""),'Ratings'!G5,"")</f>
        <v/>
      </c>
      <c r="F3972">
        <f>IF(OR(A3972="",'Ratings'!G254=""),"",'Ratings'!G254)</f>
        <v/>
      </c>
      <c r="G3972">
        <f>IF(A3972="","",'Employees'!D21)</f>
        <v/>
      </c>
    </row>
    <row r="3973">
      <c r="A3973">
        <f>IF(AND('Ratings'!A254&lt;&gt;"",'Ratings'!H5&lt;&gt;""),'Ratings'!A254,"")</f>
        <v/>
      </c>
      <c r="B3973">
        <f>IF(A3973="","",'Employees'!C21)</f>
        <v/>
      </c>
      <c r="C3973">
        <f>IF(A3973="","",'Ratings'!C254)</f>
        <v/>
      </c>
      <c r="D3973">
        <f>IF(A3973="","",'Ratings'!D254)</f>
        <v/>
      </c>
      <c r="E3973">
        <f>IF(AND('Ratings'!A254&lt;&gt;"",'Ratings'!H5&lt;&gt;""),'Ratings'!H5,"")</f>
        <v/>
      </c>
      <c r="F3973">
        <f>IF(OR(A3973="",'Ratings'!H254=""),"",'Ratings'!H254)</f>
        <v/>
      </c>
      <c r="G3973">
        <f>IF(A3973="","",'Employees'!D21)</f>
        <v/>
      </c>
    </row>
    <row r="3974">
      <c r="A3974">
        <f>IF(AND('Ratings'!A254&lt;&gt;"",'Ratings'!I5&lt;&gt;""),'Ratings'!A254,"")</f>
        <v/>
      </c>
      <c r="B3974">
        <f>IF(A3974="","",'Employees'!C21)</f>
        <v/>
      </c>
      <c r="C3974">
        <f>IF(A3974="","",'Ratings'!C254)</f>
        <v/>
      </c>
      <c r="D3974">
        <f>IF(A3974="","",'Ratings'!D254)</f>
        <v/>
      </c>
      <c r="E3974">
        <f>IF(AND('Ratings'!A254&lt;&gt;"",'Ratings'!I5&lt;&gt;""),'Ratings'!I5,"")</f>
        <v/>
      </c>
      <c r="F3974">
        <f>IF(OR(A3974="",'Ratings'!I254=""),"",'Ratings'!I254)</f>
        <v/>
      </c>
      <c r="G3974">
        <f>IF(A3974="","",'Employees'!D21)</f>
        <v/>
      </c>
    </row>
    <row r="3975">
      <c r="A3975">
        <f>IF(AND('Ratings'!A254&lt;&gt;"",'Ratings'!J5&lt;&gt;""),'Ratings'!A254,"")</f>
        <v/>
      </c>
      <c r="B3975">
        <f>IF(A3975="","",'Employees'!C21)</f>
        <v/>
      </c>
      <c r="C3975">
        <f>IF(A3975="","",'Ratings'!C254)</f>
        <v/>
      </c>
      <c r="D3975">
        <f>IF(A3975="","",'Ratings'!D254)</f>
        <v/>
      </c>
      <c r="E3975">
        <f>IF(AND('Ratings'!A254&lt;&gt;"",'Ratings'!J5&lt;&gt;""),'Ratings'!J5,"")</f>
        <v/>
      </c>
      <c r="F3975">
        <f>IF(OR(A3975="",'Ratings'!J254=""),"",'Ratings'!J254)</f>
        <v/>
      </c>
      <c r="G3975">
        <f>IF(A3975="","",'Employees'!D21)</f>
        <v/>
      </c>
    </row>
    <row r="3976">
      <c r="A3976">
        <f>IF(AND('Ratings'!A254&lt;&gt;"",'Ratings'!K5&lt;&gt;""),'Ratings'!A254,"")</f>
        <v/>
      </c>
      <c r="B3976">
        <f>IF(A3976="","",'Employees'!C21)</f>
        <v/>
      </c>
      <c r="C3976">
        <f>IF(A3976="","",'Ratings'!C254)</f>
        <v/>
      </c>
      <c r="D3976">
        <f>IF(A3976="","",'Ratings'!D254)</f>
        <v/>
      </c>
      <c r="E3976">
        <f>IF(AND('Ratings'!A254&lt;&gt;"",'Ratings'!K5&lt;&gt;""),'Ratings'!K5,"")</f>
        <v/>
      </c>
      <c r="F3976">
        <f>IF(OR(A3976="",'Ratings'!K254=""),"",'Ratings'!K254)</f>
        <v/>
      </c>
      <c r="G3976">
        <f>IF(A3976="","",'Employees'!D21)</f>
        <v/>
      </c>
    </row>
    <row r="3977">
      <c r="A3977">
        <f>IF(AND('Ratings'!A254&lt;&gt;"",'Ratings'!L5&lt;&gt;""),'Ratings'!A254,"")</f>
        <v/>
      </c>
      <c r="B3977">
        <f>IF(A3977="","",'Employees'!C21)</f>
        <v/>
      </c>
      <c r="C3977">
        <f>IF(A3977="","",'Ratings'!C254)</f>
        <v/>
      </c>
      <c r="D3977">
        <f>IF(A3977="","",'Ratings'!D254)</f>
        <v/>
      </c>
      <c r="E3977">
        <f>IF(AND('Ratings'!A254&lt;&gt;"",'Ratings'!L5&lt;&gt;""),'Ratings'!L5,"")</f>
        <v/>
      </c>
      <c r="F3977">
        <f>IF(OR(A3977="",'Ratings'!L254=""),"",'Ratings'!L254)</f>
        <v/>
      </c>
      <c r="G3977">
        <f>IF(A3977="","",'Employees'!D21)</f>
        <v/>
      </c>
    </row>
    <row r="3978">
      <c r="A3978">
        <f>IF(AND('Ratings'!A254&lt;&gt;"",'Ratings'!M5&lt;&gt;""),'Ratings'!A254,"")</f>
        <v/>
      </c>
      <c r="B3978">
        <f>IF(A3978="","",'Employees'!C21)</f>
        <v/>
      </c>
      <c r="C3978">
        <f>IF(A3978="","",'Ratings'!C254)</f>
        <v/>
      </c>
      <c r="D3978">
        <f>IF(A3978="","",'Ratings'!D254)</f>
        <v/>
      </c>
      <c r="E3978">
        <f>IF(AND('Ratings'!A254&lt;&gt;"",'Ratings'!M5&lt;&gt;""),'Ratings'!M5,"")</f>
        <v/>
      </c>
      <c r="F3978">
        <f>IF(OR(A3978="",'Ratings'!M254=""),"",'Ratings'!M254)</f>
        <v/>
      </c>
      <c r="G3978">
        <f>IF(A3978="","",'Employees'!D21)</f>
        <v/>
      </c>
    </row>
    <row r="3979">
      <c r="A3979">
        <f>IF(AND('Ratings'!A254&lt;&gt;"",'Ratings'!N5&lt;&gt;""),'Ratings'!A254,"")</f>
        <v/>
      </c>
      <c r="B3979">
        <f>IF(A3979="","",'Employees'!C21)</f>
        <v/>
      </c>
      <c r="C3979">
        <f>IF(A3979="","",'Ratings'!C254)</f>
        <v/>
      </c>
      <c r="D3979">
        <f>IF(A3979="","",'Ratings'!D254)</f>
        <v/>
      </c>
      <c r="E3979">
        <f>IF(AND('Ratings'!A254&lt;&gt;"",'Ratings'!N5&lt;&gt;""),'Ratings'!N5,"")</f>
        <v/>
      </c>
      <c r="F3979">
        <f>IF(OR(A3979="",'Ratings'!N254=""),"",'Ratings'!N254)</f>
        <v/>
      </c>
      <c r="G3979">
        <f>IF(A3979="","",'Employees'!D21)</f>
        <v/>
      </c>
    </row>
    <row r="3980">
      <c r="A3980">
        <f>IF(AND('Ratings'!A254&lt;&gt;"",'Ratings'!O5&lt;&gt;""),'Ratings'!A254,"")</f>
        <v/>
      </c>
      <c r="B3980">
        <f>IF(A3980="","",'Employees'!C21)</f>
        <v/>
      </c>
      <c r="C3980">
        <f>IF(A3980="","",'Ratings'!C254)</f>
        <v/>
      </c>
      <c r="D3980">
        <f>IF(A3980="","",'Ratings'!D254)</f>
        <v/>
      </c>
      <c r="E3980">
        <f>IF(AND('Ratings'!A254&lt;&gt;"",'Ratings'!O5&lt;&gt;""),'Ratings'!O5,"")</f>
        <v/>
      </c>
      <c r="F3980">
        <f>IF(OR(A3980="",'Ratings'!O254=""),"",'Ratings'!O254)</f>
        <v/>
      </c>
      <c r="G3980">
        <f>IF(A3980="","",'Employees'!D21)</f>
        <v/>
      </c>
    </row>
    <row r="3981">
      <c r="A3981">
        <f>IF(AND('Ratings'!A254&lt;&gt;"",'Ratings'!P5&lt;&gt;""),'Ratings'!A254,"")</f>
        <v/>
      </c>
      <c r="B3981">
        <f>IF(A3981="","",'Employees'!C21)</f>
        <v/>
      </c>
      <c r="C3981">
        <f>IF(A3981="","",'Ratings'!C254)</f>
        <v/>
      </c>
      <c r="D3981">
        <f>IF(A3981="","",'Ratings'!D254)</f>
        <v/>
      </c>
      <c r="E3981">
        <f>IF(AND('Ratings'!A254&lt;&gt;"",'Ratings'!P5&lt;&gt;""),'Ratings'!P5,"")</f>
        <v/>
      </c>
      <c r="F3981">
        <f>IF(OR(A3981="",'Ratings'!P254=""),"",'Ratings'!P254)</f>
        <v/>
      </c>
      <c r="G3981">
        <f>IF(A3981="","",'Employees'!D21)</f>
        <v/>
      </c>
    </row>
    <row r="3982">
      <c r="A3982">
        <f>IF(AND('Ratings'!A254&lt;&gt;"",'Ratings'!Q5&lt;&gt;""),'Ratings'!A254,"")</f>
        <v/>
      </c>
      <c r="B3982">
        <f>IF(A3982="","",'Employees'!C21)</f>
        <v/>
      </c>
      <c r="C3982">
        <f>IF(A3982="","",'Ratings'!C254)</f>
        <v/>
      </c>
      <c r="D3982">
        <f>IF(A3982="","",'Ratings'!D254)</f>
        <v/>
      </c>
      <c r="E3982">
        <f>IF(AND('Ratings'!A254&lt;&gt;"",'Ratings'!Q5&lt;&gt;""),'Ratings'!Q5,"")</f>
        <v/>
      </c>
      <c r="F3982">
        <f>IF(OR(A3982="",'Ratings'!Q254=""),"",'Ratings'!Q254)</f>
        <v/>
      </c>
      <c r="G3982">
        <f>IF(A3982="","",'Employees'!D21)</f>
        <v/>
      </c>
    </row>
    <row r="3983">
      <c r="A3983">
        <f>IF(AND('Ratings'!A254&lt;&gt;"",'Ratings'!R5&lt;&gt;""),'Ratings'!A254,"")</f>
        <v/>
      </c>
      <c r="B3983">
        <f>IF(A3983="","",'Employees'!C21)</f>
        <v/>
      </c>
      <c r="C3983">
        <f>IF(A3983="","",'Ratings'!C254)</f>
        <v/>
      </c>
      <c r="D3983">
        <f>IF(A3983="","",'Ratings'!D254)</f>
        <v/>
      </c>
      <c r="E3983">
        <f>IF(AND('Ratings'!A254&lt;&gt;"",'Ratings'!R5&lt;&gt;""),'Ratings'!R5,"")</f>
        <v/>
      </c>
      <c r="F3983">
        <f>IF(OR(A3983="",'Ratings'!R254=""),"",'Ratings'!R254)</f>
        <v/>
      </c>
      <c r="G3983">
        <f>IF(A3983="","",'Employees'!D21)</f>
        <v/>
      </c>
    </row>
    <row r="3984">
      <c r="A3984">
        <f>IF(AND('Ratings'!A254&lt;&gt;"",'Ratings'!S5&lt;&gt;""),'Ratings'!A254,"")</f>
        <v/>
      </c>
      <c r="B3984">
        <f>IF(A3984="","",'Employees'!C21)</f>
        <v/>
      </c>
      <c r="C3984">
        <f>IF(A3984="","",'Ratings'!C254)</f>
        <v/>
      </c>
      <c r="D3984">
        <f>IF(A3984="","",'Ratings'!D254)</f>
        <v/>
      </c>
      <c r="E3984">
        <f>IF(AND('Ratings'!A254&lt;&gt;"",'Ratings'!S5&lt;&gt;""),'Ratings'!S5,"")</f>
        <v/>
      </c>
      <c r="F3984">
        <f>IF(OR(A3984="",'Ratings'!S254=""),"",'Ratings'!S254)</f>
        <v/>
      </c>
      <c r="G3984">
        <f>IF(A3984="","",'Employees'!D21)</f>
        <v/>
      </c>
    </row>
    <row r="3985">
      <c r="A3985">
        <f>IF(AND('Ratings'!A254&lt;&gt;"",'Ratings'!T5&lt;&gt;""),'Ratings'!A254,"")</f>
        <v/>
      </c>
      <c r="B3985">
        <f>IF(A3985="","",'Employees'!C21)</f>
        <v/>
      </c>
      <c r="C3985">
        <f>IF(A3985="","",'Ratings'!C254)</f>
        <v/>
      </c>
      <c r="D3985">
        <f>IF(A3985="","",'Ratings'!D254)</f>
        <v/>
      </c>
      <c r="E3985">
        <f>IF(AND('Ratings'!A254&lt;&gt;"",'Ratings'!T5&lt;&gt;""),'Ratings'!T5,"")</f>
        <v/>
      </c>
      <c r="F3985">
        <f>IF(OR(A3985="",'Ratings'!T254=""),"",'Ratings'!T254)</f>
        <v/>
      </c>
      <c r="G3985">
        <f>IF(A3985="","",'Employees'!D21)</f>
        <v/>
      </c>
    </row>
    <row r="3986">
      <c r="A3986">
        <f>IF(AND('Ratings'!A255&lt;&gt;"",'Ratings'!E5&lt;&gt;""),'Ratings'!A255,"")</f>
        <v/>
      </c>
      <c r="B3986">
        <f>IF(A3986="","",'Employees'!C21)</f>
        <v/>
      </c>
      <c r="C3986">
        <f>IF(A3986="","",'Ratings'!C255)</f>
        <v/>
      </c>
      <c r="D3986">
        <f>IF(A3986="","",'Ratings'!D255)</f>
        <v/>
      </c>
      <c r="E3986">
        <f>IF(AND('Ratings'!A255&lt;&gt;"",'Ratings'!E5&lt;&gt;""),'Ratings'!E5,"")</f>
        <v/>
      </c>
      <c r="F3986">
        <f>IF(OR(A3986="",'Ratings'!E255=""),"",'Ratings'!E255)</f>
        <v/>
      </c>
      <c r="G3986">
        <f>IF(A3986="","",'Employees'!D21)</f>
        <v/>
      </c>
    </row>
    <row r="3987">
      <c r="A3987">
        <f>IF(AND('Ratings'!A255&lt;&gt;"",'Ratings'!F5&lt;&gt;""),'Ratings'!A255,"")</f>
        <v/>
      </c>
      <c r="B3987">
        <f>IF(A3987="","",'Employees'!C21)</f>
        <v/>
      </c>
      <c r="C3987">
        <f>IF(A3987="","",'Ratings'!C255)</f>
        <v/>
      </c>
      <c r="D3987">
        <f>IF(A3987="","",'Ratings'!D255)</f>
        <v/>
      </c>
      <c r="E3987">
        <f>IF(AND('Ratings'!A255&lt;&gt;"",'Ratings'!F5&lt;&gt;""),'Ratings'!F5,"")</f>
        <v/>
      </c>
      <c r="F3987">
        <f>IF(OR(A3987="",'Ratings'!F255=""),"",'Ratings'!F255)</f>
        <v/>
      </c>
      <c r="G3987">
        <f>IF(A3987="","",'Employees'!D21)</f>
        <v/>
      </c>
    </row>
    <row r="3988">
      <c r="A3988">
        <f>IF(AND('Ratings'!A255&lt;&gt;"",'Ratings'!G5&lt;&gt;""),'Ratings'!A255,"")</f>
        <v/>
      </c>
      <c r="B3988">
        <f>IF(A3988="","",'Employees'!C21)</f>
        <v/>
      </c>
      <c r="C3988">
        <f>IF(A3988="","",'Ratings'!C255)</f>
        <v/>
      </c>
      <c r="D3988">
        <f>IF(A3988="","",'Ratings'!D255)</f>
        <v/>
      </c>
      <c r="E3988">
        <f>IF(AND('Ratings'!A255&lt;&gt;"",'Ratings'!G5&lt;&gt;""),'Ratings'!G5,"")</f>
        <v/>
      </c>
      <c r="F3988">
        <f>IF(OR(A3988="",'Ratings'!G255=""),"",'Ratings'!G255)</f>
        <v/>
      </c>
      <c r="G3988">
        <f>IF(A3988="","",'Employees'!D21)</f>
        <v/>
      </c>
    </row>
    <row r="3989">
      <c r="A3989">
        <f>IF(AND('Ratings'!A255&lt;&gt;"",'Ratings'!H5&lt;&gt;""),'Ratings'!A255,"")</f>
        <v/>
      </c>
      <c r="B3989">
        <f>IF(A3989="","",'Employees'!C21)</f>
        <v/>
      </c>
      <c r="C3989">
        <f>IF(A3989="","",'Ratings'!C255)</f>
        <v/>
      </c>
      <c r="D3989">
        <f>IF(A3989="","",'Ratings'!D255)</f>
        <v/>
      </c>
      <c r="E3989">
        <f>IF(AND('Ratings'!A255&lt;&gt;"",'Ratings'!H5&lt;&gt;""),'Ratings'!H5,"")</f>
        <v/>
      </c>
      <c r="F3989">
        <f>IF(OR(A3989="",'Ratings'!H255=""),"",'Ratings'!H255)</f>
        <v/>
      </c>
      <c r="G3989">
        <f>IF(A3989="","",'Employees'!D21)</f>
        <v/>
      </c>
    </row>
    <row r="3990">
      <c r="A3990">
        <f>IF(AND('Ratings'!A255&lt;&gt;"",'Ratings'!I5&lt;&gt;""),'Ratings'!A255,"")</f>
        <v/>
      </c>
      <c r="B3990">
        <f>IF(A3990="","",'Employees'!C21)</f>
        <v/>
      </c>
      <c r="C3990">
        <f>IF(A3990="","",'Ratings'!C255)</f>
        <v/>
      </c>
      <c r="D3990">
        <f>IF(A3990="","",'Ratings'!D255)</f>
        <v/>
      </c>
      <c r="E3990">
        <f>IF(AND('Ratings'!A255&lt;&gt;"",'Ratings'!I5&lt;&gt;""),'Ratings'!I5,"")</f>
        <v/>
      </c>
      <c r="F3990">
        <f>IF(OR(A3990="",'Ratings'!I255=""),"",'Ratings'!I255)</f>
        <v/>
      </c>
      <c r="G3990">
        <f>IF(A3990="","",'Employees'!D21)</f>
        <v/>
      </c>
    </row>
    <row r="3991">
      <c r="A3991">
        <f>IF(AND('Ratings'!A255&lt;&gt;"",'Ratings'!J5&lt;&gt;""),'Ratings'!A255,"")</f>
        <v/>
      </c>
      <c r="B3991">
        <f>IF(A3991="","",'Employees'!C21)</f>
        <v/>
      </c>
      <c r="C3991">
        <f>IF(A3991="","",'Ratings'!C255)</f>
        <v/>
      </c>
      <c r="D3991">
        <f>IF(A3991="","",'Ratings'!D255)</f>
        <v/>
      </c>
      <c r="E3991">
        <f>IF(AND('Ratings'!A255&lt;&gt;"",'Ratings'!J5&lt;&gt;""),'Ratings'!J5,"")</f>
        <v/>
      </c>
      <c r="F3991">
        <f>IF(OR(A3991="",'Ratings'!J255=""),"",'Ratings'!J255)</f>
        <v/>
      </c>
      <c r="G3991">
        <f>IF(A3991="","",'Employees'!D21)</f>
        <v/>
      </c>
    </row>
    <row r="3992">
      <c r="A3992">
        <f>IF(AND('Ratings'!A255&lt;&gt;"",'Ratings'!K5&lt;&gt;""),'Ratings'!A255,"")</f>
        <v/>
      </c>
      <c r="B3992">
        <f>IF(A3992="","",'Employees'!C21)</f>
        <v/>
      </c>
      <c r="C3992">
        <f>IF(A3992="","",'Ratings'!C255)</f>
        <v/>
      </c>
      <c r="D3992">
        <f>IF(A3992="","",'Ratings'!D255)</f>
        <v/>
      </c>
      <c r="E3992">
        <f>IF(AND('Ratings'!A255&lt;&gt;"",'Ratings'!K5&lt;&gt;""),'Ratings'!K5,"")</f>
        <v/>
      </c>
      <c r="F3992">
        <f>IF(OR(A3992="",'Ratings'!K255=""),"",'Ratings'!K255)</f>
        <v/>
      </c>
      <c r="G3992">
        <f>IF(A3992="","",'Employees'!D21)</f>
        <v/>
      </c>
    </row>
    <row r="3993">
      <c r="A3993">
        <f>IF(AND('Ratings'!A255&lt;&gt;"",'Ratings'!L5&lt;&gt;""),'Ratings'!A255,"")</f>
        <v/>
      </c>
      <c r="B3993">
        <f>IF(A3993="","",'Employees'!C21)</f>
        <v/>
      </c>
      <c r="C3993">
        <f>IF(A3993="","",'Ratings'!C255)</f>
        <v/>
      </c>
      <c r="D3993">
        <f>IF(A3993="","",'Ratings'!D255)</f>
        <v/>
      </c>
      <c r="E3993">
        <f>IF(AND('Ratings'!A255&lt;&gt;"",'Ratings'!L5&lt;&gt;""),'Ratings'!L5,"")</f>
        <v/>
      </c>
      <c r="F3993">
        <f>IF(OR(A3993="",'Ratings'!L255=""),"",'Ratings'!L255)</f>
        <v/>
      </c>
      <c r="G3993">
        <f>IF(A3993="","",'Employees'!D21)</f>
        <v/>
      </c>
    </row>
    <row r="3994">
      <c r="A3994">
        <f>IF(AND('Ratings'!A255&lt;&gt;"",'Ratings'!M5&lt;&gt;""),'Ratings'!A255,"")</f>
        <v/>
      </c>
      <c r="B3994">
        <f>IF(A3994="","",'Employees'!C21)</f>
        <v/>
      </c>
      <c r="C3994">
        <f>IF(A3994="","",'Ratings'!C255)</f>
        <v/>
      </c>
      <c r="D3994">
        <f>IF(A3994="","",'Ratings'!D255)</f>
        <v/>
      </c>
      <c r="E3994">
        <f>IF(AND('Ratings'!A255&lt;&gt;"",'Ratings'!M5&lt;&gt;""),'Ratings'!M5,"")</f>
        <v/>
      </c>
      <c r="F3994">
        <f>IF(OR(A3994="",'Ratings'!M255=""),"",'Ratings'!M255)</f>
        <v/>
      </c>
      <c r="G3994">
        <f>IF(A3994="","",'Employees'!D21)</f>
        <v/>
      </c>
    </row>
    <row r="3995">
      <c r="A3995">
        <f>IF(AND('Ratings'!A255&lt;&gt;"",'Ratings'!N5&lt;&gt;""),'Ratings'!A255,"")</f>
        <v/>
      </c>
      <c r="B3995">
        <f>IF(A3995="","",'Employees'!C21)</f>
        <v/>
      </c>
      <c r="C3995">
        <f>IF(A3995="","",'Ratings'!C255)</f>
        <v/>
      </c>
      <c r="D3995">
        <f>IF(A3995="","",'Ratings'!D255)</f>
        <v/>
      </c>
      <c r="E3995">
        <f>IF(AND('Ratings'!A255&lt;&gt;"",'Ratings'!N5&lt;&gt;""),'Ratings'!N5,"")</f>
        <v/>
      </c>
      <c r="F3995">
        <f>IF(OR(A3995="",'Ratings'!N255=""),"",'Ratings'!N255)</f>
        <v/>
      </c>
      <c r="G3995">
        <f>IF(A3995="","",'Employees'!D21)</f>
        <v/>
      </c>
    </row>
    <row r="3996">
      <c r="A3996">
        <f>IF(AND('Ratings'!A255&lt;&gt;"",'Ratings'!O5&lt;&gt;""),'Ratings'!A255,"")</f>
        <v/>
      </c>
      <c r="B3996">
        <f>IF(A3996="","",'Employees'!C21)</f>
        <v/>
      </c>
      <c r="C3996">
        <f>IF(A3996="","",'Ratings'!C255)</f>
        <v/>
      </c>
      <c r="D3996">
        <f>IF(A3996="","",'Ratings'!D255)</f>
        <v/>
      </c>
      <c r="E3996">
        <f>IF(AND('Ratings'!A255&lt;&gt;"",'Ratings'!O5&lt;&gt;""),'Ratings'!O5,"")</f>
        <v/>
      </c>
      <c r="F3996">
        <f>IF(OR(A3996="",'Ratings'!O255=""),"",'Ratings'!O255)</f>
        <v/>
      </c>
      <c r="G3996">
        <f>IF(A3996="","",'Employees'!D21)</f>
        <v/>
      </c>
    </row>
    <row r="3997">
      <c r="A3997">
        <f>IF(AND('Ratings'!A255&lt;&gt;"",'Ratings'!P5&lt;&gt;""),'Ratings'!A255,"")</f>
        <v/>
      </c>
      <c r="B3997">
        <f>IF(A3997="","",'Employees'!C21)</f>
        <v/>
      </c>
      <c r="C3997">
        <f>IF(A3997="","",'Ratings'!C255)</f>
        <v/>
      </c>
      <c r="D3997">
        <f>IF(A3997="","",'Ratings'!D255)</f>
        <v/>
      </c>
      <c r="E3997">
        <f>IF(AND('Ratings'!A255&lt;&gt;"",'Ratings'!P5&lt;&gt;""),'Ratings'!P5,"")</f>
        <v/>
      </c>
      <c r="F3997">
        <f>IF(OR(A3997="",'Ratings'!P255=""),"",'Ratings'!P255)</f>
        <v/>
      </c>
      <c r="G3997">
        <f>IF(A3997="","",'Employees'!D21)</f>
        <v/>
      </c>
    </row>
    <row r="3998">
      <c r="A3998">
        <f>IF(AND('Ratings'!A255&lt;&gt;"",'Ratings'!Q5&lt;&gt;""),'Ratings'!A255,"")</f>
        <v/>
      </c>
      <c r="B3998">
        <f>IF(A3998="","",'Employees'!C21)</f>
        <v/>
      </c>
      <c r="C3998">
        <f>IF(A3998="","",'Ratings'!C255)</f>
        <v/>
      </c>
      <c r="D3998">
        <f>IF(A3998="","",'Ratings'!D255)</f>
        <v/>
      </c>
      <c r="E3998">
        <f>IF(AND('Ratings'!A255&lt;&gt;"",'Ratings'!Q5&lt;&gt;""),'Ratings'!Q5,"")</f>
        <v/>
      </c>
      <c r="F3998">
        <f>IF(OR(A3998="",'Ratings'!Q255=""),"",'Ratings'!Q255)</f>
        <v/>
      </c>
      <c r="G3998">
        <f>IF(A3998="","",'Employees'!D21)</f>
        <v/>
      </c>
    </row>
    <row r="3999">
      <c r="A3999">
        <f>IF(AND('Ratings'!A255&lt;&gt;"",'Ratings'!R5&lt;&gt;""),'Ratings'!A255,"")</f>
        <v/>
      </c>
      <c r="B3999">
        <f>IF(A3999="","",'Employees'!C21)</f>
        <v/>
      </c>
      <c r="C3999">
        <f>IF(A3999="","",'Ratings'!C255)</f>
        <v/>
      </c>
      <c r="D3999">
        <f>IF(A3999="","",'Ratings'!D255)</f>
        <v/>
      </c>
      <c r="E3999">
        <f>IF(AND('Ratings'!A255&lt;&gt;"",'Ratings'!R5&lt;&gt;""),'Ratings'!R5,"")</f>
        <v/>
      </c>
      <c r="F3999">
        <f>IF(OR(A3999="",'Ratings'!R255=""),"",'Ratings'!R255)</f>
        <v/>
      </c>
      <c r="G3999">
        <f>IF(A3999="","",'Employees'!D21)</f>
        <v/>
      </c>
    </row>
    <row r="4000">
      <c r="A4000">
        <f>IF(AND('Ratings'!A255&lt;&gt;"",'Ratings'!S5&lt;&gt;""),'Ratings'!A255,"")</f>
        <v/>
      </c>
      <c r="B4000">
        <f>IF(A4000="","",'Employees'!C21)</f>
        <v/>
      </c>
      <c r="C4000">
        <f>IF(A4000="","",'Ratings'!C255)</f>
        <v/>
      </c>
      <c r="D4000">
        <f>IF(A4000="","",'Ratings'!D255)</f>
        <v/>
      </c>
      <c r="E4000">
        <f>IF(AND('Ratings'!A255&lt;&gt;"",'Ratings'!S5&lt;&gt;""),'Ratings'!S5,"")</f>
        <v/>
      </c>
      <c r="F4000">
        <f>IF(OR(A4000="",'Ratings'!S255=""),"",'Ratings'!S255)</f>
        <v/>
      </c>
      <c r="G4000">
        <f>IF(A4000="","",'Employees'!D21)</f>
        <v/>
      </c>
    </row>
    <row r="4001">
      <c r="A4001">
        <f>IF(AND('Ratings'!A255&lt;&gt;"",'Ratings'!T5&lt;&gt;""),'Ratings'!A255,"")</f>
        <v/>
      </c>
      <c r="B4001">
        <f>IF(A4001="","",'Employees'!C21)</f>
        <v/>
      </c>
      <c r="C4001">
        <f>IF(A4001="","",'Ratings'!C255)</f>
        <v/>
      </c>
      <c r="D4001">
        <f>IF(A4001="","",'Ratings'!D255)</f>
        <v/>
      </c>
      <c r="E4001">
        <f>IF(AND('Ratings'!A255&lt;&gt;"",'Ratings'!T5&lt;&gt;""),'Ratings'!T5,"")</f>
        <v/>
      </c>
      <c r="F4001">
        <f>IF(OR(A4001="",'Ratings'!T255=""),"",'Ratings'!T255)</f>
        <v/>
      </c>
      <c r="G4001">
        <f>IF(A4001="","",'Employees'!D21)</f>
        <v/>
      </c>
    </row>
    <row r="4002">
      <c r="A4002">
        <f>IF(AND('Ratings'!A256&lt;&gt;"",'Ratings'!E5&lt;&gt;""),'Ratings'!A256,"")</f>
        <v/>
      </c>
      <c r="B4002">
        <f>IF(A4002="","",'Employees'!C21)</f>
        <v/>
      </c>
      <c r="C4002">
        <f>IF(A4002="","",'Ratings'!C256)</f>
        <v/>
      </c>
      <c r="D4002">
        <f>IF(A4002="","",'Ratings'!D256)</f>
        <v/>
      </c>
      <c r="E4002">
        <f>IF(AND('Ratings'!A256&lt;&gt;"",'Ratings'!E5&lt;&gt;""),'Ratings'!E5,"")</f>
        <v/>
      </c>
      <c r="F4002">
        <f>IF(OR(A4002="",'Ratings'!E256=""),"",'Ratings'!E256)</f>
        <v/>
      </c>
      <c r="G4002">
        <f>IF(A4002="","",'Employees'!D21)</f>
        <v/>
      </c>
    </row>
    <row r="4003">
      <c r="A4003">
        <f>IF(AND('Ratings'!A256&lt;&gt;"",'Ratings'!F5&lt;&gt;""),'Ratings'!A256,"")</f>
        <v/>
      </c>
      <c r="B4003">
        <f>IF(A4003="","",'Employees'!C21)</f>
        <v/>
      </c>
      <c r="C4003">
        <f>IF(A4003="","",'Ratings'!C256)</f>
        <v/>
      </c>
      <c r="D4003">
        <f>IF(A4003="","",'Ratings'!D256)</f>
        <v/>
      </c>
      <c r="E4003">
        <f>IF(AND('Ratings'!A256&lt;&gt;"",'Ratings'!F5&lt;&gt;""),'Ratings'!F5,"")</f>
        <v/>
      </c>
      <c r="F4003">
        <f>IF(OR(A4003="",'Ratings'!F256=""),"",'Ratings'!F256)</f>
        <v/>
      </c>
      <c r="G4003">
        <f>IF(A4003="","",'Employees'!D21)</f>
        <v/>
      </c>
    </row>
    <row r="4004">
      <c r="A4004">
        <f>IF(AND('Ratings'!A256&lt;&gt;"",'Ratings'!G5&lt;&gt;""),'Ratings'!A256,"")</f>
        <v/>
      </c>
      <c r="B4004">
        <f>IF(A4004="","",'Employees'!C21)</f>
        <v/>
      </c>
      <c r="C4004">
        <f>IF(A4004="","",'Ratings'!C256)</f>
        <v/>
      </c>
      <c r="D4004">
        <f>IF(A4004="","",'Ratings'!D256)</f>
        <v/>
      </c>
      <c r="E4004">
        <f>IF(AND('Ratings'!A256&lt;&gt;"",'Ratings'!G5&lt;&gt;""),'Ratings'!G5,"")</f>
        <v/>
      </c>
      <c r="F4004">
        <f>IF(OR(A4004="",'Ratings'!G256=""),"",'Ratings'!G256)</f>
        <v/>
      </c>
      <c r="G4004">
        <f>IF(A4004="","",'Employees'!D21)</f>
        <v/>
      </c>
    </row>
    <row r="4005">
      <c r="A4005">
        <f>IF(AND('Ratings'!A256&lt;&gt;"",'Ratings'!H5&lt;&gt;""),'Ratings'!A256,"")</f>
        <v/>
      </c>
      <c r="B4005">
        <f>IF(A4005="","",'Employees'!C21)</f>
        <v/>
      </c>
      <c r="C4005">
        <f>IF(A4005="","",'Ratings'!C256)</f>
        <v/>
      </c>
      <c r="D4005">
        <f>IF(A4005="","",'Ratings'!D256)</f>
        <v/>
      </c>
      <c r="E4005">
        <f>IF(AND('Ratings'!A256&lt;&gt;"",'Ratings'!H5&lt;&gt;""),'Ratings'!H5,"")</f>
        <v/>
      </c>
      <c r="F4005">
        <f>IF(OR(A4005="",'Ratings'!H256=""),"",'Ratings'!H256)</f>
        <v/>
      </c>
      <c r="G4005">
        <f>IF(A4005="","",'Employees'!D21)</f>
        <v/>
      </c>
    </row>
    <row r="4006">
      <c r="A4006">
        <f>IF(AND('Ratings'!A256&lt;&gt;"",'Ratings'!I5&lt;&gt;""),'Ratings'!A256,"")</f>
        <v/>
      </c>
      <c r="B4006">
        <f>IF(A4006="","",'Employees'!C21)</f>
        <v/>
      </c>
      <c r="C4006">
        <f>IF(A4006="","",'Ratings'!C256)</f>
        <v/>
      </c>
      <c r="D4006">
        <f>IF(A4006="","",'Ratings'!D256)</f>
        <v/>
      </c>
      <c r="E4006">
        <f>IF(AND('Ratings'!A256&lt;&gt;"",'Ratings'!I5&lt;&gt;""),'Ratings'!I5,"")</f>
        <v/>
      </c>
      <c r="F4006">
        <f>IF(OR(A4006="",'Ratings'!I256=""),"",'Ratings'!I256)</f>
        <v/>
      </c>
      <c r="G4006">
        <f>IF(A4006="","",'Employees'!D21)</f>
        <v/>
      </c>
    </row>
    <row r="4007">
      <c r="A4007">
        <f>IF(AND('Ratings'!A256&lt;&gt;"",'Ratings'!J5&lt;&gt;""),'Ratings'!A256,"")</f>
        <v/>
      </c>
      <c r="B4007">
        <f>IF(A4007="","",'Employees'!C21)</f>
        <v/>
      </c>
      <c r="C4007">
        <f>IF(A4007="","",'Ratings'!C256)</f>
        <v/>
      </c>
      <c r="D4007">
        <f>IF(A4007="","",'Ratings'!D256)</f>
        <v/>
      </c>
      <c r="E4007">
        <f>IF(AND('Ratings'!A256&lt;&gt;"",'Ratings'!J5&lt;&gt;""),'Ratings'!J5,"")</f>
        <v/>
      </c>
      <c r="F4007">
        <f>IF(OR(A4007="",'Ratings'!J256=""),"",'Ratings'!J256)</f>
        <v/>
      </c>
      <c r="G4007">
        <f>IF(A4007="","",'Employees'!D21)</f>
        <v/>
      </c>
    </row>
    <row r="4008">
      <c r="A4008">
        <f>IF(AND('Ratings'!A256&lt;&gt;"",'Ratings'!K5&lt;&gt;""),'Ratings'!A256,"")</f>
        <v/>
      </c>
      <c r="B4008">
        <f>IF(A4008="","",'Employees'!C21)</f>
        <v/>
      </c>
      <c r="C4008">
        <f>IF(A4008="","",'Ratings'!C256)</f>
        <v/>
      </c>
      <c r="D4008">
        <f>IF(A4008="","",'Ratings'!D256)</f>
        <v/>
      </c>
      <c r="E4008">
        <f>IF(AND('Ratings'!A256&lt;&gt;"",'Ratings'!K5&lt;&gt;""),'Ratings'!K5,"")</f>
        <v/>
      </c>
      <c r="F4008">
        <f>IF(OR(A4008="",'Ratings'!K256=""),"",'Ratings'!K256)</f>
        <v/>
      </c>
      <c r="G4008">
        <f>IF(A4008="","",'Employees'!D21)</f>
        <v/>
      </c>
    </row>
    <row r="4009">
      <c r="A4009">
        <f>IF(AND('Ratings'!A256&lt;&gt;"",'Ratings'!L5&lt;&gt;""),'Ratings'!A256,"")</f>
        <v/>
      </c>
      <c r="B4009">
        <f>IF(A4009="","",'Employees'!C21)</f>
        <v/>
      </c>
      <c r="C4009">
        <f>IF(A4009="","",'Ratings'!C256)</f>
        <v/>
      </c>
      <c r="D4009">
        <f>IF(A4009="","",'Ratings'!D256)</f>
        <v/>
      </c>
      <c r="E4009">
        <f>IF(AND('Ratings'!A256&lt;&gt;"",'Ratings'!L5&lt;&gt;""),'Ratings'!L5,"")</f>
        <v/>
      </c>
      <c r="F4009">
        <f>IF(OR(A4009="",'Ratings'!L256=""),"",'Ratings'!L256)</f>
        <v/>
      </c>
      <c r="G4009">
        <f>IF(A4009="","",'Employees'!D21)</f>
        <v/>
      </c>
    </row>
    <row r="4010">
      <c r="A4010">
        <f>IF(AND('Ratings'!A256&lt;&gt;"",'Ratings'!M5&lt;&gt;""),'Ratings'!A256,"")</f>
        <v/>
      </c>
      <c r="B4010">
        <f>IF(A4010="","",'Employees'!C21)</f>
        <v/>
      </c>
      <c r="C4010">
        <f>IF(A4010="","",'Ratings'!C256)</f>
        <v/>
      </c>
      <c r="D4010">
        <f>IF(A4010="","",'Ratings'!D256)</f>
        <v/>
      </c>
      <c r="E4010">
        <f>IF(AND('Ratings'!A256&lt;&gt;"",'Ratings'!M5&lt;&gt;""),'Ratings'!M5,"")</f>
        <v/>
      </c>
      <c r="F4010">
        <f>IF(OR(A4010="",'Ratings'!M256=""),"",'Ratings'!M256)</f>
        <v/>
      </c>
      <c r="G4010">
        <f>IF(A4010="","",'Employees'!D21)</f>
        <v/>
      </c>
    </row>
    <row r="4011">
      <c r="A4011">
        <f>IF(AND('Ratings'!A256&lt;&gt;"",'Ratings'!N5&lt;&gt;""),'Ratings'!A256,"")</f>
        <v/>
      </c>
      <c r="B4011">
        <f>IF(A4011="","",'Employees'!C21)</f>
        <v/>
      </c>
      <c r="C4011">
        <f>IF(A4011="","",'Ratings'!C256)</f>
        <v/>
      </c>
      <c r="D4011">
        <f>IF(A4011="","",'Ratings'!D256)</f>
        <v/>
      </c>
      <c r="E4011">
        <f>IF(AND('Ratings'!A256&lt;&gt;"",'Ratings'!N5&lt;&gt;""),'Ratings'!N5,"")</f>
        <v/>
      </c>
      <c r="F4011">
        <f>IF(OR(A4011="",'Ratings'!N256=""),"",'Ratings'!N256)</f>
        <v/>
      </c>
      <c r="G4011">
        <f>IF(A4011="","",'Employees'!D21)</f>
        <v/>
      </c>
    </row>
    <row r="4012">
      <c r="A4012">
        <f>IF(AND('Ratings'!A256&lt;&gt;"",'Ratings'!O5&lt;&gt;""),'Ratings'!A256,"")</f>
        <v/>
      </c>
      <c r="B4012">
        <f>IF(A4012="","",'Employees'!C21)</f>
        <v/>
      </c>
      <c r="C4012">
        <f>IF(A4012="","",'Ratings'!C256)</f>
        <v/>
      </c>
      <c r="D4012">
        <f>IF(A4012="","",'Ratings'!D256)</f>
        <v/>
      </c>
      <c r="E4012">
        <f>IF(AND('Ratings'!A256&lt;&gt;"",'Ratings'!O5&lt;&gt;""),'Ratings'!O5,"")</f>
        <v/>
      </c>
      <c r="F4012">
        <f>IF(OR(A4012="",'Ratings'!O256=""),"",'Ratings'!O256)</f>
        <v/>
      </c>
      <c r="G4012">
        <f>IF(A4012="","",'Employees'!D21)</f>
        <v/>
      </c>
    </row>
    <row r="4013">
      <c r="A4013">
        <f>IF(AND('Ratings'!A256&lt;&gt;"",'Ratings'!P5&lt;&gt;""),'Ratings'!A256,"")</f>
        <v/>
      </c>
      <c r="B4013">
        <f>IF(A4013="","",'Employees'!C21)</f>
        <v/>
      </c>
      <c r="C4013">
        <f>IF(A4013="","",'Ratings'!C256)</f>
        <v/>
      </c>
      <c r="D4013">
        <f>IF(A4013="","",'Ratings'!D256)</f>
        <v/>
      </c>
      <c r="E4013">
        <f>IF(AND('Ratings'!A256&lt;&gt;"",'Ratings'!P5&lt;&gt;""),'Ratings'!P5,"")</f>
        <v/>
      </c>
      <c r="F4013">
        <f>IF(OR(A4013="",'Ratings'!P256=""),"",'Ratings'!P256)</f>
        <v/>
      </c>
      <c r="G4013">
        <f>IF(A4013="","",'Employees'!D21)</f>
        <v/>
      </c>
    </row>
    <row r="4014">
      <c r="A4014">
        <f>IF(AND('Ratings'!A256&lt;&gt;"",'Ratings'!Q5&lt;&gt;""),'Ratings'!A256,"")</f>
        <v/>
      </c>
      <c r="B4014">
        <f>IF(A4014="","",'Employees'!C21)</f>
        <v/>
      </c>
      <c r="C4014">
        <f>IF(A4014="","",'Ratings'!C256)</f>
        <v/>
      </c>
      <c r="D4014">
        <f>IF(A4014="","",'Ratings'!D256)</f>
        <v/>
      </c>
      <c r="E4014">
        <f>IF(AND('Ratings'!A256&lt;&gt;"",'Ratings'!Q5&lt;&gt;""),'Ratings'!Q5,"")</f>
        <v/>
      </c>
      <c r="F4014">
        <f>IF(OR(A4014="",'Ratings'!Q256=""),"",'Ratings'!Q256)</f>
        <v/>
      </c>
      <c r="G4014">
        <f>IF(A4014="","",'Employees'!D21)</f>
        <v/>
      </c>
    </row>
    <row r="4015">
      <c r="A4015">
        <f>IF(AND('Ratings'!A256&lt;&gt;"",'Ratings'!R5&lt;&gt;""),'Ratings'!A256,"")</f>
        <v/>
      </c>
      <c r="B4015">
        <f>IF(A4015="","",'Employees'!C21)</f>
        <v/>
      </c>
      <c r="C4015">
        <f>IF(A4015="","",'Ratings'!C256)</f>
        <v/>
      </c>
      <c r="D4015">
        <f>IF(A4015="","",'Ratings'!D256)</f>
        <v/>
      </c>
      <c r="E4015">
        <f>IF(AND('Ratings'!A256&lt;&gt;"",'Ratings'!R5&lt;&gt;""),'Ratings'!R5,"")</f>
        <v/>
      </c>
      <c r="F4015">
        <f>IF(OR(A4015="",'Ratings'!R256=""),"",'Ratings'!R256)</f>
        <v/>
      </c>
      <c r="G4015">
        <f>IF(A4015="","",'Employees'!D21)</f>
        <v/>
      </c>
    </row>
    <row r="4016">
      <c r="A4016">
        <f>IF(AND('Ratings'!A256&lt;&gt;"",'Ratings'!S5&lt;&gt;""),'Ratings'!A256,"")</f>
        <v/>
      </c>
      <c r="B4016">
        <f>IF(A4016="","",'Employees'!C21)</f>
        <v/>
      </c>
      <c r="C4016">
        <f>IF(A4016="","",'Ratings'!C256)</f>
        <v/>
      </c>
      <c r="D4016">
        <f>IF(A4016="","",'Ratings'!D256)</f>
        <v/>
      </c>
      <c r="E4016">
        <f>IF(AND('Ratings'!A256&lt;&gt;"",'Ratings'!S5&lt;&gt;""),'Ratings'!S5,"")</f>
        <v/>
      </c>
      <c r="F4016">
        <f>IF(OR(A4016="",'Ratings'!S256=""),"",'Ratings'!S256)</f>
        <v/>
      </c>
      <c r="G4016">
        <f>IF(A4016="","",'Employees'!D21)</f>
        <v/>
      </c>
    </row>
    <row r="4017">
      <c r="A4017">
        <f>IF(AND('Ratings'!A256&lt;&gt;"",'Ratings'!T5&lt;&gt;""),'Ratings'!A256,"")</f>
        <v/>
      </c>
      <c r="B4017">
        <f>IF(A4017="","",'Employees'!C21)</f>
        <v/>
      </c>
      <c r="C4017">
        <f>IF(A4017="","",'Ratings'!C256)</f>
        <v/>
      </c>
      <c r="D4017">
        <f>IF(A4017="","",'Ratings'!D256)</f>
        <v/>
      </c>
      <c r="E4017">
        <f>IF(AND('Ratings'!A256&lt;&gt;"",'Ratings'!T5&lt;&gt;""),'Ratings'!T5,"")</f>
        <v/>
      </c>
      <c r="F4017">
        <f>IF(OR(A4017="",'Ratings'!T256=""),"",'Ratings'!T256)</f>
        <v/>
      </c>
      <c r="G4017">
        <f>IF(A4017="","",'Employees'!D21)</f>
        <v/>
      </c>
    </row>
    <row r="4018">
      <c r="A4018">
        <f>IF(AND('Ratings'!A257&lt;&gt;"",'Ratings'!E5&lt;&gt;""),'Ratings'!A257,"")</f>
        <v/>
      </c>
      <c r="B4018">
        <f>IF(A4018="","",'Employees'!C21)</f>
        <v/>
      </c>
      <c r="C4018">
        <f>IF(A4018="","",'Ratings'!C257)</f>
        <v/>
      </c>
      <c r="D4018">
        <f>IF(A4018="","",'Ratings'!D257)</f>
        <v/>
      </c>
      <c r="E4018">
        <f>IF(AND('Ratings'!A257&lt;&gt;"",'Ratings'!E5&lt;&gt;""),'Ratings'!E5,"")</f>
        <v/>
      </c>
      <c r="F4018">
        <f>IF(OR(A4018="",'Ratings'!E257=""),"",'Ratings'!E257)</f>
        <v/>
      </c>
      <c r="G4018">
        <f>IF(A4018="","",'Employees'!D21)</f>
        <v/>
      </c>
    </row>
    <row r="4019">
      <c r="A4019">
        <f>IF(AND('Ratings'!A257&lt;&gt;"",'Ratings'!F5&lt;&gt;""),'Ratings'!A257,"")</f>
        <v/>
      </c>
      <c r="B4019">
        <f>IF(A4019="","",'Employees'!C21)</f>
        <v/>
      </c>
      <c r="C4019">
        <f>IF(A4019="","",'Ratings'!C257)</f>
        <v/>
      </c>
      <c r="D4019">
        <f>IF(A4019="","",'Ratings'!D257)</f>
        <v/>
      </c>
      <c r="E4019">
        <f>IF(AND('Ratings'!A257&lt;&gt;"",'Ratings'!F5&lt;&gt;""),'Ratings'!F5,"")</f>
        <v/>
      </c>
      <c r="F4019">
        <f>IF(OR(A4019="",'Ratings'!F257=""),"",'Ratings'!F257)</f>
        <v/>
      </c>
      <c r="G4019">
        <f>IF(A4019="","",'Employees'!D21)</f>
        <v/>
      </c>
    </row>
    <row r="4020">
      <c r="A4020">
        <f>IF(AND('Ratings'!A257&lt;&gt;"",'Ratings'!G5&lt;&gt;""),'Ratings'!A257,"")</f>
        <v/>
      </c>
      <c r="B4020">
        <f>IF(A4020="","",'Employees'!C21)</f>
        <v/>
      </c>
      <c r="C4020">
        <f>IF(A4020="","",'Ratings'!C257)</f>
        <v/>
      </c>
      <c r="D4020">
        <f>IF(A4020="","",'Ratings'!D257)</f>
        <v/>
      </c>
      <c r="E4020">
        <f>IF(AND('Ratings'!A257&lt;&gt;"",'Ratings'!G5&lt;&gt;""),'Ratings'!G5,"")</f>
        <v/>
      </c>
      <c r="F4020">
        <f>IF(OR(A4020="",'Ratings'!G257=""),"",'Ratings'!G257)</f>
        <v/>
      </c>
      <c r="G4020">
        <f>IF(A4020="","",'Employees'!D21)</f>
        <v/>
      </c>
    </row>
    <row r="4021">
      <c r="A4021">
        <f>IF(AND('Ratings'!A257&lt;&gt;"",'Ratings'!H5&lt;&gt;""),'Ratings'!A257,"")</f>
        <v/>
      </c>
      <c r="B4021">
        <f>IF(A4021="","",'Employees'!C21)</f>
        <v/>
      </c>
      <c r="C4021">
        <f>IF(A4021="","",'Ratings'!C257)</f>
        <v/>
      </c>
      <c r="D4021">
        <f>IF(A4021="","",'Ratings'!D257)</f>
        <v/>
      </c>
      <c r="E4021">
        <f>IF(AND('Ratings'!A257&lt;&gt;"",'Ratings'!H5&lt;&gt;""),'Ratings'!H5,"")</f>
        <v/>
      </c>
      <c r="F4021">
        <f>IF(OR(A4021="",'Ratings'!H257=""),"",'Ratings'!H257)</f>
        <v/>
      </c>
      <c r="G4021">
        <f>IF(A4021="","",'Employees'!D21)</f>
        <v/>
      </c>
    </row>
    <row r="4022">
      <c r="A4022">
        <f>IF(AND('Ratings'!A257&lt;&gt;"",'Ratings'!I5&lt;&gt;""),'Ratings'!A257,"")</f>
        <v/>
      </c>
      <c r="B4022">
        <f>IF(A4022="","",'Employees'!C21)</f>
        <v/>
      </c>
      <c r="C4022">
        <f>IF(A4022="","",'Ratings'!C257)</f>
        <v/>
      </c>
      <c r="D4022">
        <f>IF(A4022="","",'Ratings'!D257)</f>
        <v/>
      </c>
      <c r="E4022">
        <f>IF(AND('Ratings'!A257&lt;&gt;"",'Ratings'!I5&lt;&gt;""),'Ratings'!I5,"")</f>
        <v/>
      </c>
      <c r="F4022">
        <f>IF(OR(A4022="",'Ratings'!I257=""),"",'Ratings'!I257)</f>
        <v/>
      </c>
      <c r="G4022">
        <f>IF(A4022="","",'Employees'!D21)</f>
        <v/>
      </c>
    </row>
    <row r="4023">
      <c r="A4023">
        <f>IF(AND('Ratings'!A257&lt;&gt;"",'Ratings'!J5&lt;&gt;""),'Ratings'!A257,"")</f>
        <v/>
      </c>
      <c r="B4023">
        <f>IF(A4023="","",'Employees'!C21)</f>
        <v/>
      </c>
      <c r="C4023">
        <f>IF(A4023="","",'Ratings'!C257)</f>
        <v/>
      </c>
      <c r="D4023">
        <f>IF(A4023="","",'Ratings'!D257)</f>
        <v/>
      </c>
      <c r="E4023">
        <f>IF(AND('Ratings'!A257&lt;&gt;"",'Ratings'!J5&lt;&gt;""),'Ratings'!J5,"")</f>
        <v/>
      </c>
      <c r="F4023">
        <f>IF(OR(A4023="",'Ratings'!J257=""),"",'Ratings'!J257)</f>
        <v/>
      </c>
      <c r="G4023">
        <f>IF(A4023="","",'Employees'!D21)</f>
        <v/>
      </c>
    </row>
    <row r="4024">
      <c r="A4024">
        <f>IF(AND('Ratings'!A257&lt;&gt;"",'Ratings'!K5&lt;&gt;""),'Ratings'!A257,"")</f>
        <v/>
      </c>
      <c r="B4024">
        <f>IF(A4024="","",'Employees'!C21)</f>
        <v/>
      </c>
      <c r="C4024">
        <f>IF(A4024="","",'Ratings'!C257)</f>
        <v/>
      </c>
      <c r="D4024">
        <f>IF(A4024="","",'Ratings'!D257)</f>
        <v/>
      </c>
      <c r="E4024">
        <f>IF(AND('Ratings'!A257&lt;&gt;"",'Ratings'!K5&lt;&gt;""),'Ratings'!K5,"")</f>
        <v/>
      </c>
      <c r="F4024">
        <f>IF(OR(A4024="",'Ratings'!K257=""),"",'Ratings'!K257)</f>
        <v/>
      </c>
      <c r="G4024">
        <f>IF(A4024="","",'Employees'!D21)</f>
        <v/>
      </c>
    </row>
    <row r="4025">
      <c r="A4025">
        <f>IF(AND('Ratings'!A257&lt;&gt;"",'Ratings'!L5&lt;&gt;""),'Ratings'!A257,"")</f>
        <v/>
      </c>
      <c r="B4025">
        <f>IF(A4025="","",'Employees'!C21)</f>
        <v/>
      </c>
      <c r="C4025">
        <f>IF(A4025="","",'Ratings'!C257)</f>
        <v/>
      </c>
      <c r="D4025">
        <f>IF(A4025="","",'Ratings'!D257)</f>
        <v/>
      </c>
      <c r="E4025">
        <f>IF(AND('Ratings'!A257&lt;&gt;"",'Ratings'!L5&lt;&gt;""),'Ratings'!L5,"")</f>
        <v/>
      </c>
      <c r="F4025">
        <f>IF(OR(A4025="",'Ratings'!L257=""),"",'Ratings'!L257)</f>
        <v/>
      </c>
      <c r="G4025">
        <f>IF(A4025="","",'Employees'!D21)</f>
        <v/>
      </c>
    </row>
    <row r="4026">
      <c r="A4026">
        <f>IF(AND('Ratings'!A257&lt;&gt;"",'Ratings'!M5&lt;&gt;""),'Ratings'!A257,"")</f>
        <v/>
      </c>
      <c r="B4026">
        <f>IF(A4026="","",'Employees'!C21)</f>
        <v/>
      </c>
      <c r="C4026">
        <f>IF(A4026="","",'Ratings'!C257)</f>
        <v/>
      </c>
      <c r="D4026">
        <f>IF(A4026="","",'Ratings'!D257)</f>
        <v/>
      </c>
      <c r="E4026">
        <f>IF(AND('Ratings'!A257&lt;&gt;"",'Ratings'!M5&lt;&gt;""),'Ratings'!M5,"")</f>
        <v/>
      </c>
      <c r="F4026">
        <f>IF(OR(A4026="",'Ratings'!M257=""),"",'Ratings'!M257)</f>
        <v/>
      </c>
      <c r="G4026">
        <f>IF(A4026="","",'Employees'!D21)</f>
        <v/>
      </c>
    </row>
    <row r="4027">
      <c r="A4027">
        <f>IF(AND('Ratings'!A257&lt;&gt;"",'Ratings'!N5&lt;&gt;""),'Ratings'!A257,"")</f>
        <v/>
      </c>
      <c r="B4027">
        <f>IF(A4027="","",'Employees'!C21)</f>
        <v/>
      </c>
      <c r="C4027">
        <f>IF(A4027="","",'Ratings'!C257)</f>
        <v/>
      </c>
      <c r="D4027">
        <f>IF(A4027="","",'Ratings'!D257)</f>
        <v/>
      </c>
      <c r="E4027">
        <f>IF(AND('Ratings'!A257&lt;&gt;"",'Ratings'!N5&lt;&gt;""),'Ratings'!N5,"")</f>
        <v/>
      </c>
      <c r="F4027">
        <f>IF(OR(A4027="",'Ratings'!N257=""),"",'Ratings'!N257)</f>
        <v/>
      </c>
      <c r="G4027">
        <f>IF(A4027="","",'Employees'!D21)</f>
        <v/>
      </c>
    </row>
    <row r="4028">
      <c r="A4028">
        <f>IF(AND('Ratings'!A257&lt;&gt;"",'Ratings'!O5&lt;&gt;""),'Ratings'!A257,"")</f>
        <v/>
      </c>
      <c r="B4028">
        <f>IF(A4028="","",'Employees'!C21)</f>
        <v/>
      </c>
      <c r="C4028">
        <f>IF(A4028="","",'Ratings'!C257)</f>
        <v/>
      </c>
      <c r="D4028">
        <f>IF(A4028="","",'Ratings'!D257)</f>
        <v/>
      </c>
      <c r="E4028">
        <f>IF(AND('Ratings'!A257&lt;&gt;"",'Ratings'!O5&lt;&gt;""),'Ratings'!O5,"")</f>
        <v/>
      </c>
      <c r="F4028">
        <f>IF(OR(A4028="",'Ratings'!O257=""),"",'Ratings'!O257)</f>
        <v/>
      </c>
      <c r="G4028">
        <f>IF(A4028="","",'Employees'!D21)</f>
        <v/>
      </c>
    </row>
    <row r="4029">
      <c r="A4029">
        <f>IF(AND('Ratings'!A257&lt;&gt;"",'Ratings'!P5&lt;&gt;""),'Ratings'!A257,"")</f>
        <v/>
      </c>
      <c r="B4029">
        <f>IF(A4029="","",'Employees'!C21)</f>
        <v/>
      </c>
      <c r="C4029">
        <f>IF(A4029="","",'Ratings'!C257)</f>
        <v/>
      </c>
      <c r="D4029">
        <f>IF(A4029="","",'Ratings'!D257)</f>
        <v/>
      </c>
      <c r="E4029">
        <f>IF(AND('Ratings'!A257&lt;&gt;"",'Ratings'!P5&lt;&gt;""),'Ratings'!P5,"")</f>
        <v/>
      </c>
      <c r="F4029">
        <f>IF(OR(A4029="",'Ratings'!P257=""),"",'Ratings'!P257)</f>
        <v/>
      </c>
      <c r="G4029">
        <f>IF(A4029="","",'Employees'!D21)</f>
        <v/>
      </c>
    </row>
    <row r="4030">
      <c r="A4030">
        <f>IF(AND('Ratings'!A257&lt;&gt;"",'Ratings'!Q5&lt;&gt;""),'Ratings'!A257,"")</f>
        <v/>
      </c>
      <c r="B4030">
        <f>IF(A4030="","",'Employees'!C21)</f>
        <v/>
      </c>
      <c r="C4030">
        <f>IF(A4030="","",'Ratings'!C257)</f>
        <v/>
      </c>
      <c r="D4030">
        <f>IF(A4030="","",'Ratings'!D257)</f>
        <v/>
      </c>
      <c r="E4030">
        <f>IF(AND('Ratings'!A257&lt;&gt;"",'Ratings'!Q5&lt;&gt;""),'Ratings'!Q5,"")</f>
        <v/>
      </c>
      <c r="F4030">
        <f>IF(OR(A4030="",'Ratings'!Q257=""),"",'Ratings'!Q257)</f>
        <v/>
      </c>
      <c r="G4030">
        <f>IF(A4030="","",'Employees'!D21)</f>
        <v/>
      </c>
    </row>
    <row r="4031">
      <c r="A4031">
        <f>IF(AND('Ratings'!A257&lt;&gt;"",'Ratings'!R5&lt;&gt;""),'Ratings'!A257,"")</f>
        <v/>
      </c>
      <c r="B4031">
        <f>IF(A4031="","",'Employees'!C21)</f>
        <v/>
      </c>
      <c r="C4031">
        <f>IF(A4031="","",'Ratings'!C257)</f>
        <v/>
      </c>
      <c r="D4031">
        <f>IF(A4031="","",'Ratings'!D257)</f>
        <v/>
      </c>
      <c r="E4031">
        <f>IF(AND('Ratings'!A257&lt;&gt;"",'Ratings'!R5&lt;&gt;""),'Ratings'!R5,"")</f>
        <v/>
      </c>
      <c r="F4031">
        <f>IF(OR(A4031="",'Ratings'!R257=""),"",'Ratings'!R257)</f>
        <v/>
      </c>
      <c r="G4031">
        <f>IF(A4031="","",'Employees'!D21)</f>
        <v/>
      </c>
    </row>
    <row r="4032">
      <c r="A4032">
        <f>IF(AND('Ratings'!A257&lt;&gt;"",'Ratings'!S5&lt;&gt;""),'Ratings'!A257,"")</f>
        <v/>
      </c>
      <c r="B4032">
        <f>IF(A4032="","",'Employees'!C21)</f>
        <v/>
      </c>
      <c r="C4032">
        <f>IF(A4032="","",'Ratings'!C257)</f>
        <v/>
      </c>
      <c r="D4032">
        <f>IF(A4032="","",'Ratings'!D257)</f>
        <v/>
      </c>
      <c r="E4032">
        <f>IF(AND('Ratings'!A257&lt;&gt;"",'Ratings'!S5&lt;&gt;""),'Ratings'!S5,"")</f>
        <v/>
      </c>
      <c r="F4032">
        <f>IF(OR(A4032="",'Ratings'!S257=""),"",'Ratings'!S257)</f>
        <v/>
      </c>
      <c r="G4032">
        <f>IF(A4032="","",'Employees'!D21)</f>
        <v/>
      </c>
    </row>
    <row r="4033">
      <c r="A4033">
        <f>IF(AND('Ratings'!A257&lt;&gt;"",'Ratings'!T5&lt;&gt;""),'Ratings'!A257,"")</f>
        <v/>
      </c>
      <c r="B4033">
        <f>IF(A4033="","",'Employees'!C21)</f>
        <v/>
      </c>
      <c r="C4033">
        <f>IF(A4033="","",'Ratings'!C257)</f>
        <v/>
      </c>
      <c r="D4033">
        <f>IF(A4033="","",'Ratings'!D257)</f>
        <v/>
      </c>
      <c r="E4033">
        <f>IF(AND('Ratings'!A257&lt;&gt;"",'Ratings'!T5&lt;&gt;""),'Ratings'!T5,"")</f>
        <v/>
      </c>
      <c r="F4033">
        <f>IF(OR(A4033="",'Ratings'!T257=""),"",'Ratings'!T257)</f>
        <v/>
      </c>
      <c r="G4033">
        <f>IF(A4033="","",'Employees'!D21)</f>
        <v/>
      </c>
    </row>
    <row r="4034">
      <c r="A4034">
        <f>IF(AND('Ratings'!A258&lt;&gt;"",'Ratings'!E5&lt;&gt;""),'Ratings'!A258,"")</f>
        <v/>
      </c>
      <c r="B4034">
        <f>IF(A4034="","",'Employees'!C21)</f>
        <v/>
      </c>
      <c r="C4034">
        <f>IF(A4034="","",'Ratings'!C258)</f>
        <v/>
      </c>
      <c r="D4034">
        <f>IF(A4034="","",'Ratings'!D258)</f>
        <v/>
      </c>
      <c r="E4034">
        <f>IF(AND('Ratings'!A258&lt;&gt;"",'Ratings'!E5&lt;&gt;""),'Ratings'!E5,"")</f>
        <v/>
      </c>
      <c r="F4034">
        <f>IF(OR(A4034="",'Ratings'!E258=""),"",'Ratings'!E258)</f>
        <v/>
      </c>
      <c r="G4034">
        <f>IF(A4034="","",'Employees'!D21)</f>
        <v/>
      </c>
    </row>
    <row r="4035">
      <c r="A4035">
        <f>IF(AND('Ratings'!A258&lt;&gt;"",'Ratings'!F5&lt;&gt;""),'Ratings'!A258,"")</f>
        <v/>
      </c>
      <c r="B4035">
        <f>IF(A4035="","",'Employees'!C21)</f>
        <v/>
      </c>
      <c r="C4035">
        <f>IF(A4035="","",'Ratings'!C258)</f>
        <v/>
      </c>
      <c r="D4035">
        <f>IF(A4035="","",'Ratings'!D258)</f>
        <v/>
      </c>
      <c r="E4035">
        <f>IF(AND('Ratings'!A258&lt;&gt;"",'Ratings'!F5&lt;&gt;""),'Ratings'!F5,"")</f>
        <v/>
      </c>
      <c r="F4035">
        <f>IF(OR(A4035="",'Ratings'!F258=""),"",'Ratings'!F258)</f>
        <v/>
      </c>
      <c r="G4035">
        <f>IF(A4035="","",'Employees'!D21)</f>
        <v/>
      </c>
    </row>
    <row r="4036">
      <c r="A4036">
        <f>IF(AND('Ratings'!A258&lt;&gt;"",'Ratings'!G5&lt;&gt;""),'Ratings'!A258,"")</f>
        <v/>
      </c>
      <c r="B4036">
        <f>IF(A4036="","",'Employees'!C21)</f>
        <v/>
      </c>
      <c r="C4036">
        <f>IF(A4036="","",'Ratings'!C258)</f>
        <v/>
      </c>
      <c r="D4036">
        <f>IF(A4036="","",'Ratings'!D258)</f>
        <v/>
      </c>
      <c r="E4036">
        <f>IF(AND('Ratings'!A258&lt;&gt;"",'Ratings'!G5&lt;&gt;""),'Ratings'!G5,"")</f>
        <v/>
      </c>
      <c r="F4036">
        <f>IF(OR(A4036="",'Ratings'!G258=""),"",'Ratings'!G258)</f>
        <v/>
      </c>
      <c r="G4036">
        <f>IF(A4036="","",'Employees'!D21)</f>
        <v/>
      </c>
    </row>
    <row r="4037">
      <c r="A4037">
        <f>IF(AND('Ratings'!A258&lt;&gt;"",'Ratings'!H5&lt;&gt;""),'Ratings'!A258,"")</f>
        <v/>
      </c>
      <c r="B4037">
        <f>IF(A4037="","",'Employees'!C21)</f>
        <v/>
      </c>
      <c r="C4037">
        <f>IF(A4037="","",'Ratings'!C258)</f>
        <v/>
      </c>
      <c r="D4037">
        <f>IF(A4037="","",'Ratings'!D258)</f>
        <v/>
      </c>
      <c r="E4037">
        <f>IF(AND('Ratings'!A258&lt;&gt;"",'Ratings'!H5&lt;&gt;""),'Ratings'!H5,"")</f>
        <v/>
      </c>
      <c r="F4037">
        <f>IF(OR(A4037="",'Ratings'!H258=""),"",'Ratings'!H258)</f>
        <v/>
      </c>
      <c r="G4037">
        <f>IF(A4037="","",'Employees'!D21)</f>
        <v/>
      </c>
    </row>
    <row r="4038">
      <c r="A4038">
        <f>IF(AND('Ratings'!A258&lt;&gt;"",'Ratings'!I5&lt;&gt;""),'Ratings'!A258,"")</f>
        <v/>
      </c>
      <c r="B4038">
        <f>IF(A4038="","",'Employees'!C21)</f>
        <v/>
      </c>
      <c r="C4038">
        <f>IF(A4038="","",'Ratings'!C258)</f>
        <v/>
      </c>
      <c r="D4038">
        <f>IF(A4038="","",'Ratings'!D258)</f>
        <v/>
      </c>
      <c r="E4038">
        <f>IF(AND('Ratings'!A258&lt;&gt;"",'Ratings'!I5&lt;&gt;""),'Ratings'!I5,"")</f>
        <v/>
      </c>
      <c r="F4038">
        <f>IF(OR(A4038="",'Ratings'!I258=""),"",'Ratings'!I258)</f>
        <v/>
      </c>
      <c r="G4038">
        <f>IF(A4038="","",'Employees'!D21)</f>
        <v/>
      </c>
    </row>
    <row r="4039">
      <c r="A4039">
        <f>IF(AND('Ratings'!A258&lt;&gt;"",'Ratings'!J5&lt;&gt;""),'Ratings'!A258,"")</f>
        <v/>
      </c>
      <c r="B4039">
        <f>IF(A4039="","",'Employees'!C21)</f>
        <v/>
      </c>
      <c r="C4039">
        <f>IF(A4039="","",'Ratings'!C258)</f>
        <v/>
      </c>
      <c r="D4039">
        <f>IF(A4039="","",'Ratings'!D258)</f>
        <v/>
      </c>
      <c r="E4039">
        <f>IF(AND('Ratings'!A258&lt;&gt;"",'Ratings'!J5&lt;&gt;""),'Ratings'!J5,"")</f>
        <v/>
      </c>
      <c r="F4039">
        <f>IF(OR(A4039="",'Ratings'!J258=""),"",'Ratings'!J258)</f>
        <v/>
      </c>
      <c r="G4039">
        <f>IF(A4039="","",'Employees'!D21)</f>
        <v/>
      </c>
    </row>
    <row r="4040">
      <c r="A4040">
        <f>IF(AND('Ratings'!A258&lt;&gt;"",'Ratings'!K5&lt;&gt;""),'Ratings'!A258,"")</f>
        <v/>
      </c>
      <c r="B4040">
        <f>IF(A4040="","",'Employees'!C21)</f>
        <v/>
      </c>
      <c r="C4040">
        <f>IF(A4040="","",'Ratings'!C258)</f>
        <v/>
      </c>
      <c r="D4040">
        <f>IF(A4040="","",'Ratings'!D258)</f>
        <v/>
      </c>
      <c r="E4040">
        <f>IF(AND('Ratings'!A258&lt;&gt;"",'Ratings'!K5&lt;&gt;""),'Ratings'!K5,"")</f>
        <v/>
      </c>
      <c r="F4040">
        <f>IF(OR(A4040="",'Ratings'!K258=""),"",'Ratings'!K258)</f>
        <v/>
      </c>
      <c r="G4040">
        <f>IF(A4040="","",'Employees'!D21)</f>
        <v/>
      </c>
    </row>
    <row r="4041">
      <c r="A4041">
        <f>IF(AND('Ratings'!A258&lt;&gt;"",'Ratings'!L5&lt;&gt;""),'Ratings'!A258,"")</f>
        <v/>
      </c>
      <c r="B4041">
        <f>IF(A4041="","",'Employees'!C21)</f>
        <v/>
      </c>
      <c r="C4041">
        <f>IF(A4041="","",'Ratings'!C258)</f>
        <v/>
      </c>
      <c r="D4041">
        <f>IF(A4041="","",'Ratings'!D258)</f>
        <v/>
      </c>
      <c r="E4041">
        <f>IF(AND('Ratings'!A258&lt;&gt;"",'Ratings'!L5&lt;&gt;""),'Ratings'!L5,"")</f>
        <v/>
      </c>
      <c r="F4041">
        <f>IF(OR(A4041="",'Ratings'!L258=""),"",'Ratings'!L258)</f>
        <v/>
      </c>
      <c r="G4041">
        <f>IF(A4041="","",'Employees'!D21)</f>
        <v/>
      </c>
    </row>
    <row r="4042">
      <c r="A4042">
        <f>IF(AND('Ratings'!A258&lt;&gt;"",'Ratings'!M5&lt;&gt;""),'Ratings'!A258,"")</f>
        <v/>
      </c>
      <c r="B4042">
        <f>IF(A4042="","",'Employees'!C21)</f>
        <v/>
      </c>
      <c r="C4042">
        <f>IF(A4042="","",'Ratings'!C258)</f>
        <v/>
      </c>
      <c r="D4042">
        <f>IF(A4042="","",'Ratings'!D258)</f>
        <v/>
      </c>
      <c r="E4042">
        <f>IF(AND('Ratings'!A258&lt;&gt;"",'Ratings'!M5&lt;&gt;""),'Ratings'!M5,"")</f>
        <v/>
      </c>
      <c r="F4042">
        <f>IF(OR(A4042="",'Ratings'!M258=""),"",'Ratings'!M258)</f>
        <v/>
      </c>
      <c r="G4042">
        <f>IF(A4042="","",'Employees'!D21)</f>
        <v/>
      </c>
    </row>
    <row r="4043">
      <c r="A4043">
        <f>IF(AND('Ratings'!A258&lt;&gt;"",'Ratings'!N5&lt;&gt;""),'Ratings'!A258,"")</f>
        <v/>
      </c>
      <c r="B4043">
        <f>IF(A4043="","",'Employees'!C21)</f>
        <v/>
      </c>
      <c r="C4043">
        <f>IF(A4043="","",'Ratings'!C258)</f>
        <v/>
      </c>
      <c r="D4043">
        <f>IF(A4043="","",'Ratings'!D258)</f>
        <v/>
      </c>
      <c r="E4043">
        <f>IF(AND('Ratings'!A258&lt;&gt;"",'Ratings'!N5&lt;&gt;""),'Ratings'!N5,"")</f>
        <v/>
      </c>
      <c r="F4043">
        <f>IF(OR(A4043="",'Ratings'!N258=""),"",'Ratings'!N258)</f>
        <v/>
      </c>
      <c r="G4043">
        <f>IF(A4043="","",'Employees'!D21)</f>
        <v/>
      </c>
    </row>
    <row r="4044">
      <c r="A4044">
        <f>IF(AND('Ratings'!A258&lt;&gt;"",'Ratings'!O5&lt;&gt;""),'Ratings'!A258,"")</f>
        <v/>
      </c>
      <c r="B4044">
        <f>IF(A4044="","",'Employees'!C21)</f>
        <v/>
      </c>
      <c r="C4044">
        <f>IF(A4044="","",'Ratings'!C258)</f>
        <v/>
      </c>
      <c r="D4044">
        <f>IF(A4044="","",'Ratings'!D258)</f>
        <v/>
      </c>
      <c r="E4044">
        <f>IF(AND('Ratings'!A258&lt;&gt;"",'Ratings'!O5&lt;&gt;""),'Ratings'!O5,"")</f>
        <v/>
      </c>
      <c r="F4044">
        <f>IF(OR(A4044="",'Ratings'!O258=""),"",'Ratings'!O258)</f>
        <v/>
      </c>
      <c r="G4044">
        <f>IF(A4044="","",'Employees'!D21)</f>
        <v/>
      </c>
    </row>
    <row r="4045">
      <c r="A4045">
        <f>IF(AND('Ratings'!A258&lt;&gt;"",'Ratings'!P5&lt;&gt;""),'Ratings'!A258,"")</f>
        <v/>
      </c>
      <c r="B4045">
        <f>IF(A4045="","",'Employees'!C21)</f>
        <v/>
      </c>
      <c r="C4045">
        <f>IF(A4045="","",'Ratings'!C258)</f>
        <v/>
      </c>
      <c r="D4045">
        <f>IF(A4045="","",'Ratings'!D258)</f>
        <v/>
      </c>
      <c r="E4045">
        <f>IF(AND('Ratings'!A258&lt;&gt;"",'Ratings'!P5&lt;&gt;""),'Ratings'!P5,"")</f>
        <v/>
      </c>
      <c r="F4045">
        <f>IF(OR(A4045="",'Ratings'!P258=""),"",'Ratings'!P258)</f>
        <v/>
      </c>
      <c r="G4045">
        <f>IF(A4045="","",'Employees'!D21)</f>
        <v/>
      </c>
    </row>
    <row r="4046">
      <c r="A4046">
        <f>IF(AND('Ratings'!A258&lt;&gt;"",'Ratings'!Q5&lt;&gt;""),'Ratings'!A258,"")</f>
        <v/>
      </c>
      <c r="B4046">
        <f>IF(A4046="","",'Employees'!C21)</f>
        <v/>
      </c>
      <c r="C4046">
        <f>IF(A4046="","",'Ratings'!C258)</f>
        <v/>
      </c>
      <c r="D4046">
        <f>IF(A4046="","",'Ratings'!D258)</f>
        <v/>
      </c>
      <c r="E4046">
        <f>IF(AND('Ratings'!A258&lt;&gt;"",'Ratings'!Q5&lt;&gt;""),'Ratings'!Q5,"")</f>
        <v/>
      </c>
      <c r="F4046">
        <f>IF(OR(A4046="",'Ratings'!Q258=""),"",'Ratings'!Q258)</f>
        <v/>
      </c>
      <c r="G4046">
        <f>IF(A4046="","",'Employees'!D21)</f>
        <v/>
      </c>
    </row>
    <row r="4047">
      <c r="A4047">
        <f>IF(AND('Ratings'!A258&lt;&gt;"",'Ratings'!R5&lt;&gt;""),'Ratings'!A258,"")</f>
        <v/>
      </c>
      <c r="B4047">
        <f>IF(A4047="","",'Employees'!C21)</f>
        <v/>
      </c>
      <c r="C4047">
        <f>IF(A4047="","",'Ratings'!C258)</f>
        <v/>
      </c>
      <c r="D4047">
        <f>IF(A4047="","",'Ratings'!D258)</f>
        <v/>
      </c>
      <c r="E4047">
        <f>IF(AND('Ratings'!A258&lt;&gt;"",'Ratings'!R5&lt;&gt;""),'Ratings'!R5,"")</f>
        <v/>
      </c>
      <c r="F4047">
        <f>IF(OR(A4047="",'Ratings'!R258=""),"",'Ratings'!R258)</f>
        <v/>
      </c>
      <c r="G4047">
        <f>IF(A4047="","",'Employees'!D21)</f>
        <v/>
      </c>
    </row>
    <row r="4048">
      <c r="A4048">
        <f>IF(AND('Ratings'!A258&lt;&gt;"",'Ratings'!S5&lt;&gt;""),'Ratings'!A258,"")</f>
        <v/>
      </c>
      <c r="B4048">
        <f>IF(A4048="","",'Employees'!C21)</f>
        <v/>
      </c>
      <c r="C4048">
        <f>IF(A4048="","",'Ratings'!C258)</f>
        <v/>
      </c>
      <c r="D4048">
        <f>IF(A4048="","",'Ratings'!D258)</f>
        <v/>
      </c>
      <c r="E4048">
        <f>IF(AND('Ratings'!A258&lt;&gt;"",'Ratings'!S5&lt;&gt;""),'Ratings'!S5,"")</f>
        <v/>
      </c>
      <c r="F4048">
        <f>IF(OR(A4048="",'Ratings'!S258=""),"",'Ratings'!S258)</f>
        <v/>
      </c>
      <c r="G4048">
        <f>IF(A4048="","",'Employees'!D21)</f>
        <v/>
      </c>
    </row>
    <row r="4049">
      <c r="A4049">
        <f>IF(AND('Ratings'!A258&lt;&gt;"",'Ratings'!T5&lt;&gt;""),'Ratings'!A258,"")</f>
        <v/>
      </c>
      <c r="B4049">
        <f>IF(A4049="","",'Employees'!C21)</f>
        <v/>
      </c>
      <c r="C4049">
        <f>IF(A4049="","",'Ratings'!C258)</f>
        <v/>
      </c>
      <c r="D4049">
        <f>IF(A4049="","",'Ratings'!D258)</f>
        <v/>
      </c>
      <c r="E4049">
        <f>IF(AND('Ratings'!A258&lt;&gt;"",'Ratings'!T5&lt;&gt;""),'Ratings'!T5,"")</f>
        <v/>
      </c>
      <c r="F4049">
        <f>IF(OR(A4049="",'Ratings'!T258=""),"",'Ratings'!T258)</f>
        <v/>
      </c>
      <c r="G4049">
        <f>IF(A4049="","",'Employees'!D21)</f>
        <v/>
      </c>
    </row>
    <row r="4050">
      <c r="A4050">
        <f>IF(AND('Ratings'!A259&lt;&gt;"",'Ratings'!E5&lt;&gt;""),'Ratings'!A259,"")</f>
        <v/>
      </c>
      <c r="B4050">
        <f>IF(A4050="","",'Employees'!C21)</f>
        <v/>
      </c>
      <c r="C4050">
        <f>IF(A4050="","",'Ratings'!C259)</f>
        <v/>
      </c>
      <c r="D4050">
        <f>IF(A4050="","",'Ratings'!D259)</f>
        <v/>
      </c>
      <c r="E4050">
        <f>IF(AND('Ratings'!A259&lt;&gt;"",'Ratings'!E5&lt;&gt;""),'Ratings'!E5,"")</f>
        <v/>
      </c>
      <c r="F4050">
        <f>IF(OR(A4050="",'Ratings'!E259=""),"",'Ratings'!E259)</f>
        <v/>
      </c>
      <c r="G4050">
        <f>IF(A4050="","",'Employees'!D21)</f>
        <v/>
      </c>
    </row>
    <row r="4051">
      <c r="A4051">
        <f>IF(AND('Ratings'!A259&lt;&gt;"",'Ratings'!F5&lt;&gt;""),'Ratings'!A259,"")</f>
        <v/>
      </c>
      <c r="B4051">
        <f>IF(A4051="","",'Employees'!C21)</f>
        <v/>
      </c>
      <c r="C4051">
        <f>IF(A4051="","",'Ratings'!C259)</f>
        <v/>
      </c>
      <c r="D4051">
        <f>IF(A4051="","",'Ratings'!D259)</f>
        <v/>
      </c>
      <c r="E4051">
        <f>IF(AND('Ratings'!A259&lt;&gt;"",'Ratings'!F5&lt;&gt;""),'Ratings'!F5,"")</f>
        <v/>
      </c>
      <c r="F4051">
        <f>IF(OR(A4051="",'Ratings'!F259=""),"",'Ratings'!F259)</f>
        <v/>
      </c>
      <c r="G4051">
        <f>IF(A4051="","",'Employees'!D21)</f>
        <v/>
      </c>
    </row>
    <row r="4052">
      <c r="A4052">
        <f>IF(AND('Ratings'!A259&lt;&gt;"",'Ratings'!G5&lt;&gt;""),'Ratings'!A259,"")</f>
        <v/>
      </c>
      <c r="B4052">
        <f>IF(A4052="","",'Employees'!C21)</f>
        <v/>
      </c>
      <c r="C4052">
        <f>IF(A4052="","",'Ratings'!C259)</f>
        <v/>
      </c>
      <c r="D4052">
        <f>IF(A4052="","",'Ratings'!D259)</f>
        <v/>
      </c>
      <c r="E4052">
        <f>IF(AND('Ratings'!A259&lt;&gt;"",'Ratings'!G5&lt;&gt;""),'Ratings'!G5,"")</f>
        <v/>
      </c>
      <c r="F4052">
        <f>IF(OR(A4052="",'Ratings'!G259=""),"",'Ratings'!G259)</f>
        <v/>
      </c>
      <c r="G4052">
        <f>IF(A4052="","",'Employees'!D21)</f>
        <v/>
      </c>
    </row>
    <row r="4053">
      <c r="A4053">
        <f>IF(AND('Ratings'!A259&lt;&gt;"",'Ratings'!H5&lt;&gt;""),'Ratings'!A259,"")</f>
        <v/>
      </c>
      <c r="B4053">
        <f>IF(A4053="","",'Employees'!C21)</f>
        <v/>
      </c>
      <c r="C4053">
        <f>IF(A4053="","",'Ratings'!C259)</f>
        <v/>
      </c>
      <c r="D4053">
        <f>IF(A4053="","",'Ratings'!D259)</f>
        <v/>
      </c>
      <c r="E4053">
        <f>IF(AND('Ratings'!A259&lt;&gt;"",'Ratings'!H5&lt;&gt;""),'Ratings'!H5,"")</f>
        <v/>
      </c>
      <c r="F4053">
        <f>IF(OR(A4053="",'Ratings'!H259=""),"",'Ratings'!H259)</f>
        <v/>
      </c>
      <c r="G4053">
        <f>IF(A4053="","",'Employees'!D21)</f>
        <v/>
      </c>
    </row>
    <row r="4054">
      <c r="A4054">
        <f>IF(AND('Ratings'!A259&lt;&gt;"",'Ratings'!I5&lt;&gt;""),'Ratings'!A259,"")</f>
        <v/>
      </c>
      <c r="B4054">
        <f>IF(A4054="","",'Employees'!C21)</f>
        <v/>
      </c>
      <c r="C4054">
        <f>IF(A4054="","",'Ratings'!C259)</f>
        <v/>
      </c>
      <c r="D4054">
        <f>IF(A4054="","",'Ratings'!D259)</f>
        <v/>
      </c>
      <c r="E4054">
        <f>IF(AND('Ratings'!A259&lt;&gt;"",'Ratings'!I5&lt;&gt;""),'Ratings'!I5,"")</f>
        <v/>
      </c>
      <c r="F4054">
        <f>IF(OR(A4054="",'Ratings'!I259=""),"",'Ratings'!I259)</f>
        <v/>
      </c>
      <c r="G4054">
        <f>IF(A4054="","",'Employees'!D21)</f>
        <v/>
      </c>
    </row>
    <row r="4055">
      <c r="A4055">
        <f>IF(AND('Ratings'!A259&lt;&gt;"",'Ratings'!J5&lt;&gt;""),'Ratings'!A259,"")</f>
        <v/>
      </c>
      <c r="B4055">
        <f>IF(A4055="","",'Employees'!C21)</f>
        <v/>
      </c>
      <c r="C4055">
        <f>IF(A4055="","",'Ratings'!C259)</f>
        <v/>
      </c>
      <c r="D4055">
        <f>IF(A4055="","",'Ratings'!D259)</f>
        <v/>
      </c>
      <c r="E4055">
        <f>IF(AND('Ratings'!A259&lt;&gt;"",'Ratings'!J5&lt;&gt;""),'Ratings'!J5,"")</f>
        <v/>
      </c>
      <c r="F4055">
        <f>IF(OR(A4055="",'Ratings'!J259=""),"",'Ratings'!J259)</f>
        <v/>
      </c>
      <c r="G4055">
        <f>IF(A4055="","",'Employees'!D21)</f>
        <v/>
      </c>
    </row>
    <row r="4056">
      <c r="A4056">
        <f>IF(AND('Ratings'!A259&lt;&gt;"",'Ratings'!K5&lt;&gt;""),'Ratings'!A259,"")</f>
        <v/>
      </c>
      <c r="B4056">
        <f>IF(A4056="","",'Employees'!C21)</f>
        <v/>
      </c>
      <c r="C4056">
        <f>IF(A4056="","",'Ratings'!C259)</f>
        <v/>
      </c>
      <c r="D4056">
        <f>IF(A4056="","",'Ratings'!D259)</f>
        <v/>
      </c>
      <c r="E4056">
        <f>IF(AND('Ratings'!A259&lt;&gt;"",'Ratings'!K5&lt;&gt;""),'Ratings'!K5,"")</f>
        <v/>
      </c>
      <c r="F4056">
        <f>IF(OR(A4056="",'Ratings'!K259=""),"",'Ratings'!K259)</f>
        <v/>
      </c>
      <c r="G4056">
        <f>IF(A4056="","",'Employees'!D21)</f>
        <v/>
      </c>
    </row>
    <row r="4057">
      <c r="A4057">
        <f>IF(AND('Ratings'!A259&lt;&gt;"",'Ratings'!L5&lt;&gt;""),'Ratings'!A259,"")</f>
        <v/>
      </c>
      <c r="B4057">
        <f>IF(A4057="","",'Employees'!C21)</f>
        <v/>
      </c>
      <c r="C4057">
        <f>IF(A4057="","",'Ratings'!C259)</f>
        <v/>
      </c>
      <c r="D4057">
        <f>IF(A4057="","",'Ratings'!D259)</f>
        <v/>
      </c>
      <c r="E4057">
        <f>IF(AND('Ratings'!A259&lt;&gt;"",'Ratings'!L5&lt;&gt;""),'Ratings'!L5,"")</f>
        <v/>
      </c>
      <c r="F4057">
        <f>IF(OR(A4057="",'Ratings'!L259=""),"",'Ratings'!L259)</f>
        <v/>
      </c>
      <c r="G4057">
        <f>IF(A4057="","",'Employees'!D21)</f>
        <v/>
      </c>
    </row>
    <row r="4058">
      <c r="A4058">
        <f>IF(AND('Ratings'!A259&lt;&gt;"",'Ratings'!M5&lt;&gt;""),'Ratings'!A259,"")</f>
        <v/>
      </c>
      <c r="B4058">
        <f>IF(A4058="","",'Employees'!C21)</f>
        <v/>
      </c>
      <c r="C4058">
        <f>IF(A4058="","",'Ratings'!C259)</f>
        <v/>
      </c>
      <c r="D4058">
        <f>IF(A4058="","",'Ratings'!D259)</f>
        <v/>
      </c>
      <c r="E4058">
        <f>IF(AND('Ratings'!A259&lt;&gt;"",'Ratings'!M5&lt;&gt;""),'Ratings'!M5,"")</f>
        <v/>
      </c>
      <c r="F4058">
        <f>IF(OR(A4058="",'Ratings'!M259=""),"",'Ratings'!M259)</f>
        <v/>
      </c>
      <c r="G4058">
        <f>IF(A4058="","",'Employees'!D21)</f>
        <v/>
      </c>
    </row>
    <row r="4059">
      <c r="A4059">
        <f>IF(AND('Ratings'!A259&lt;&gt;"",'Ratings'!N5&lt;&gt;""),'Ratings'!A259,"")</f>
        <v/>
      </c>
      <c r="B4059">
        <f>IF(A4059="","",'Employees'!C21)</f>
        <v/>
      </c>
      <c r="C4059">
        <f>IF(A4059="","",'Ratings'!C259)</f>
        <v/>
      </c>
      <c r="D4059">
        <f>IF(A4059="","",'Ratings'!D259)</f>
        <v/>
      </c>
      <c r="E4059">
        <f>IF(AND('Ratings'!A259&lt;&gt;"",'Ratings'!N5&lt;&gt;""),'Ratings'!N5,"")</f>
        <v/>
      </c>
      <c r="F4059">
        <f>IF(OR(A4059="",'Ratings'!N259=""),"",'Ratings'!N259)</f>
        <v/>
      </c>
      <c r="G4059">
        <f>IF(A4059="","",'Employees'!D21)</f>
        <v/>
      </c>
    </row>
    <row r="4060">
      <c r="A4060">
        <f>IF(AND('Ratings'!A259&lt;&gt;"",'Ratings'!O5&lt;&gt;""),'Ratings'!A259,"")</f>
        <v/>
      </c>
      <c r="B4060">
        <f>IF(A4060="","",'Employees'!C21)</f>
        <v/>
      </c>
      <c r="C4060">
        <f>IF(A4060="","",'Ratings'!C259)</f>
        <v/>
      </c>
      <c r="D4060">
        <f>IF(A4060="","",'Ratings'!D259)</f>
        <v/>
      </c>
      <c r="E4060">
        <f>IF(AND('Ratings'!A259&lt;&gt;"",'Ratings'!O5&lt;&gt;""),'Ratings'!O5,"")</f>
        <v/>
      </c>
      <c r="F4060">
        <f>IF(OR(A4060="",'Ratings'!O259=""),"",'Ratings'!O259)</f>
        <v/>
      </c>
      <c r="G4060">
        <f>IF(A4060="","",'Employees'!D21)</f>
        <v/>
      </c>
    </row>
    <row r="4061">
      <c r="A4061">
        <f>IF(AND('Ratings'!A259&lt;&gt;"",'Ratings'!P5&lt;&gt;""),'Ratings'!A259,"")</f>
        <v/>
      </c>
      <c r="B4061">
        <f>IF(A4061="","",'Employees'!C21)</f>
        <v/>
      </c>
      <c r="C4061">
        <f>IF(A4061="","",'Ratings'!C259)</f>
        <v/>
      </c>
      <c r="D4061">
        <f>IF(A4061="","",'Ratings'!D259)</f>
        <v/>
      </c>
      <c r="E4061">
        <f>IF(AND('Ratings'!A259&lt;&gt;"",'Ratings'!P5&lt;&gt;""),'Ratings'!P5,"")</f>
        <v/>
      </c>
      <c r="F4061">
        <f>IF(OR(A4061="",'Ratings'!P259=""),"",'Ratings'!P259)</f>
        <v/>
      </c>
      <c r="G4061">
        <f>IF(A4061="","",'Employees'!D21)</f>
        <v/>
      </c>
    </row>
    <row r="4062">
      <c r="A4062">
        <f>IF(AND('Ratings'!A259&lt;&gt;"",'Ratings'!Q5&lt;&gt;""),'Ratings'!A259,"")</f>
        <v/>
      </c>
      <c r="B4062">
        <f>IF(A4062="","",'Employees'!C21)</f>
        <v/>
      </c>
      <c r="C4062">
        <f>IF(A4062="","",'Ratings'!C259)</f>
        <v/>
      </c>
      <c r="D4062">
        <f>IF(A4062="","",'Ratings'!D259)</f>
        <v/>
      </c>
      <c r="E4062">
        <f>IF(AND('Ratings'!A259&lt;&gt;"",'Ratings'!Q5&lt;&gt;""),'Ratings'!Q5,"")</f>
        <v/>
      </c>
      <c r="F4062">
        <f>IF(OR(A4062="",'Ratings'!Q259=""),"",'Ratings'!Q259)</f>
        <v/>
      </c>
      <c r="G4062">
        <f>IF(A4062="","",'Employees'!D21)</f>
        <v/>
      </c>
    </row>
    <row r="4063">
      <c r="A4063">
        <f>IF(AND('Ratings'!A259&lt;&gt;"",'Ratings'!R5&lt;&gt;""),'Ratings'!A259,"")</f>
        <v/>
      </c>
      <c r="B4063">
        <f>IF(A4063="","",'Employees'!C21)</f>
        <v/>
      </c>
      <c r="C4063">
        <f>IF(A4063="","",'Ratings'!C259)</f>
        <v/>
      </c>
      <c r="D4063">
        <f>IF(A4063="","",'Ratings'!D259)</f>
        <v/>
      </c>
      <c r="E4063">
        <f>IF(AND('Ratings'!A259&lt;&gt;"",'Ratings'!R5&lt;&gt;""),'Ratings'!R5,"")</f>
        <v/>
      </c>
      <c r="F4063">
        <f>IF(OR(A4063="",'Ratings'!R259=""),"",'Ratings'!R259)</f>
        <v/>
      </c>
      <c r="G4063">
        <f>IF(A4063="","",'Employees'!D21)</f>
        <v/>
      </c>
    </row>
    <row r="4064">
      <c r="A4064">
        <f>IF(AND('Ratings'!A259&lt;&gt;"",'Ratings'!S5&lt;&gt;""),'Ratings'!A259,"")</f>
        <v/>
      </c>
      <c r="B4064">
        <f>IF(A4064="","",'Employees'!C21)</f>
        <v/>
      </c>
      <c r="C4064">
        <f>IF(A4064="","",'Ratings'!C259)</f>
        <v/>
      </c>
      <c r="D4064">
        <f>IF(A4064="","",'Ratings'!D259)</f>
        <v/>
      </c>
      <c r="E4064">
        <f>IF(AND('Ratings'!A259&lt;&gt;"",'Ratings'!S5&lt;&gt;""),'Ratings'!S5,"")</f>
        <v/>
      </c>
      <c r="F4064">
        <f>IF(OR(A4064="",'Ratings'!S259=""),"",'Ratings'!S259)</f>
        <v/>
      </c>
      <c r="G4064">
        <f>IF(A4064="","",'Employees'!D21)</f>
        <v/>
      </c>
    </row>
    <row r="4065">
      <c r="A4065">
        <f>IF(AND('Ratings'!A259&lt;&gt;"",'Ratings'!T5&lt;&gt;""),'Ratings'!A259,"")</f>
        <v/>
      </c>
      <c r="B4065">
        <f>IF(A4065="","",'Employees'!C21)</f>
        <v/>
      </c>
      <c r="C4065">
        <f>IF(A4065="","",'Ratings'!C259)</f>
        <v/>
      </c>
      <c r="D4065">
        <f>IF(A4065="","",'Ratings'!D259)</f>
        <v/>
      </c>
      <c r="E4065">
        <f>IF(AND('Ratings'!A259&lt;&gt;"",'Ratings'!T5&lt;&gt;""),'Ratings'!T5,"")</f>
        <v/>
      </c>
      <c r="F4065">
        <f>IF(OR(A4065="",'Ratings'!T259=""),"",'Ratings'!T259)</f>
        <v/>
      </c>
      <c r="G4065">
        <f>IF(A4065="","",'Employees'!D21)</f>
        <v/>
      </c>
    </row>
    <row r="4066">
      <c r="A4066">
        <f>IF(AND('Ratings'!A260&lt;&gt;"",'Ratings'!E5&lt;&gt;""),'Ratings'!A260,"")</f>
        <v/>
      </c>
      <c r="B4066">
        <f>IF(A4066="","",'Employees'!C21)</f>
        <v/>
      </c>
      <c r="C4066">
        <f>IF(A4066="","",'Ratings'!C260)</f>
        <v/>
      </c>
      <c r="D4066">
        <f>IF(A4066="","",'Ratings'!D260)</f>
        <v/>
      </c>
      <c r="E4066">
        <f>IF(AND('Ratings'!A260&lt;&gt;"",'Ratings'!E5&lt;&gt;""),'Ratings'!E5,"")</f>
        <v/>
      </c>
      <c r="F4066">
        <f>IF(OR(A4066="",'Ratings'!E260=""),"",'Ratings'!E260)</f>
        <v/>
      </c>
      <c r="G4066">
        <f>IF(A4066="","",'Employees'!D21)</f>
        <v/>
      </c>
    </row>
    <row r="4067">
      <c r="A4067">
        <f>IF(AND('Ratings'!A260&lt;&gt;"",'Ratings'!F5&lt;&gt;""),'Ratings'!A260,"")</f>
        <v/>
      </c>
      <c r="B4067">
        <f>IF(A4067="","",'Employees'!C21)</f>
        <v/>
      </c>
      <c r="C4067">
        <f>IF(A4067="","",'Ratings'!C260)</f>
        <v/>
      </c>
      <c r="D4067">
        <f>IF(A4067="","",'Ratings'!D260)</f>
        <v/>
      </c>
      <c r="E4067">
        <f>IF(AND('Ratings'!A260&lt;&gt;"",'Ratings'!F5&lt;&gt;""),'Ratings'!F5,"")</f>
        <v/>
      </c>
      <c r="F4067">
        <f>IF(OR(A4067="",'Ratings'!F260=""),"",'Ratings'!F260)</f>
        <v/>
      </c>
      <c r="G4067">
        <f>IF(A4067="","",'Employees'!D21)</f>
        <v/>
      </c>
    </row>
    <row r="4068">
      <c r="A4068">
        <f>IF(AND('Ratings'!A260&lt;&gt;"",'Ratings'!G5&lt;&gt;""),'Ratings'!A260,"")</f>
        <v/>
      </c>
      <c r="B4068">
        <f>IF(A4068="","",'Employees'!C21)</f>
        <v/>
      </c>
      <c r="C4068">
        <f>IF(A4068="","",'Ratings'!C260)</f>
        <v/>
      </c>
      <c r="D4068">
        <f>IF(A4068="","",'Ratings'!D260)</f>
        <v/>
      </c>
      <c r="E4068">
        <f>IF(AND('Ratings'!A260&lt;&gt;"",'Ratings'!G5&lt;&gt;""),'Ratings'!G5,"")</f>
        <v/>
      </c>
      <c r="F4068">
        <f>IF(OR(A4068="",'Ratings'!G260=""),"",'Ratings'!G260)</f>
        <v/>
      </c>
      <c r="G4068">
        <f>IF(A4068="","",'Employees'!D21)</f>
        <v/>
      </c>
    </row>
    <row r="4069">
      <c r="A4069">
        <f>IF(AND('Ratings'!A260&lt;&gt;"",'Ratings'!H5&lt;&gt;""),'Ratings'!A260,"")</f>
        <v/>
      </c>
      <c r="B4069">
        <f>IF(A4069="","",'Employees'!C21)</f>
        <v/>
      </c>
      <c r="C4069">
        <f>IF(A4069="","",'Ratings'!C260)</f>
        <v/>
      </c>
      <c r="D4069">
        <f>IF(A4069="","",'Ratings'!D260)</f>
        <v/>
      </c>
      <c r="E4069">
        <f>IF(AND('Ratings'!A260&lt;&gt;"",'Ratings'!H5&lt;&gt;""),'Ratings'!H5,"")</f>
        <v/>
      </c>
      <c r="F4069">
        <f>IF(OR(A4069="",'Ratings'!H260=""),"",'Ratings'!H260)</f>
        <v/>
      </c>
      <c r="G4069">
        <f>IF(A4069="","",'Employees'!D21)</f>
        <v/>
      </c>
    </row>
    <row r="4070">
      <c r="A4070">
        <f>IF(AND('Ratings'!A260&lt;&gt;"",'Ratings'!I5&lt;&gt;""),'Ratings'!A260,"")</f>
        <v/>
      </c>
      <c r="B4070">
        <f>IF(A4070="","",'Employees'!C21)</f>
        <v/>
      </c>
      <c r="C4070">
        <f>IF(A4070="","",'Ratings'!C260)</f>
        <v/>
      </c>
      <c r="D4070">
        <f>IF(A4070="","",'Ratings'!D260)</f>
        <v/>
      </c>
      <c r="E4070">
        <f>IF(AND('Ratings'!A260&lt;&gt;"",'Ratings'!I5&lt;&gt;""),'Ratings'!I5,"")</f>
        <v/>
      </c>
      <c r="F4070">
        <f>IF(OR(A4070="",'Ratings'!I260=""),"",'Ratings'!I260)</f>
        <v/>
      </c>
      <c r="G4070">
        <f>IF(A4070="","",'Employees'!D21)</f>
        <v/>
      </c>
    </row>
    <row r="4071">
      <c r="A4071">
        <f>IF(AND('Ratings'!A260&lt;&gt;"",'Ratings'!J5&lt;&gt;""),'Ratings'!A260,"")</f>
        <v/>
      </c>
      <c r="B4071">
        <f>IF(A4071="","",'Employees'!C21)</f>
        <v/>
      </c>
      <c r="C4071">
        <f>IF(A4071="","",'Ratings'!C260)</f>
        <v/>
      </c>
      <c r="D4071">
        <f>IF(A4071="","",'Ratings'!D260)</f>
        <v/>
      </c>
      <c r="E4071">
        <f>IF(AND('Ratings'!A260&lt;&gt;"",'Ratings'!J5&lt;&gt;""),'Ratings'!J5,"")</f>
        <v/>
      </c>
      <c r="F4071">
        <f>IF(OR(A4071="",'Ratings'!J260=""),"",'Ratings'!J260)</f>
        <v/>
      </c>
      <c r="G4071">
        <f>IF(A4071="","",'Employees'!D21)</f>
        <v/>
      </c>
    </row>
    <row r="4072">
      <c r="A4072">
        <f>IF(AND('Ratings'!A260&lt;&gt;"",'Ratings'!K5&lt;&gt;""),'Ratings'!A260,"")</f>
        <v/>
      </c>
      <c r="B4072">
        <f>IF(A4072="","",'Employees'!C21)</f>
        <v/>
      </c>
      <c r="C4072">
        <f>IF(A4072="","",'Ratings'!C260)</f>
        <v/>
      </c>
      <c r="D4072">
        <f>IF(A4072="","",'Ratings'!D260)</f>
        <v/>
      </c>
      <c r="E4072">
        <f>IF(AND('Ratings'!A260&lt;&gt;"",'Ratings'!K5&lt;&gt;""),'Ratings'!K5,"")</f>
        <v/>
      </c>
      <c r="F4072">
        <f>IF(OR(A4072="",'Ratings'!K260=""),"",'Ratings'!K260)</f>
        <v/>
      </c>
      <c r="G4072">
        <f>IF(A4072="","",'Employees'!D21)</f>
        <v/>
      </c>
    </row>
    <row r="4073">
      <c r="A4073">
        <f>IF(AND('Ratings'!A260&lt;&gt;"",'Ratings'!L5&lt;&gt;""),'Ratings'!A260,"")</f>
        <v/>
      </c>
      <c r="B4073">
        <f>IF(A4073="","",'Employees'!C21)</f>
        <v/>
      </c>
      <c r="C4073">
        <f>IF(A4073="","",'Ratings'!C260)</f>
        <v/>
      </c>
      <c r="D4073">
        <f>IF(A4073="","",'Ratings'!D260)</f>
        <v/>
      </c>
      <c r="E4073">
        <f>IF(AND('Ratings'!A260&lt;&gt;"",'Ratings'!L5&lt;&gt;""),'Ratings'!L5,"")</f>
        <v/>
      </c>
      <c r="F4073">
        <f>IF(OR(A4073="",'Ratings'!L260=""),"",'Ratings'!L260)</f>
        <v/>
      </c>
      <c r="G4073">
        <f>IF(A4073="","",'Employees'!D21)</f>
        <v/>
      </c>
    </row>
    <row r="4074">
      <c r="A4074">
        <f>IF(AND('Ratings'!A260&lt;&gt;"",'Ratings'!M5&lt;&gt;""),'Ratings'!A260,"")</f>
        <v/>
      </c>
      <c r="B4074">
        <f>IF(A4074="","",'Employees'!C21)</f>
        <v/>
      </c>
      <c r="C4074">
        <f>IF(A4074="","",'Ratings'!C260)</f>
        <v/>
      </c>
      <c r="D4074">
        <f>IF(A4074="","",'Ratings'!D260)</f>
        <v/>
      </c>
      <c r="E4074">
        <f>IF(AND('Ratings'!A260&lt;&gt;"",'Ratings'!M5&lt;&gt;""),'Ratings'!M5,"")</f>
        <v/>
      </c>
      <c r="F4074">
        <f>IF(OR(A4074="",'Ratings'!M260=""),"",'Ratings'!M260)</f>
        <v/>
      </c>
      <c r="G4074">
        <f>IF(A4074="","",'Employees'!D21)</f>
        <v/>
      </c>
    </row>
    <row r="4075">
      <c r="A4075">
        <f>IF(AND('Ratings'!A260&lt;&gt;"",'Ratings'!N5&lt;&gt;""),'Ratings'!A260,"")</f>
        <v/>
      </c>
      <c r="B4075">
        <f>IF(A4075="","",'Employees'!C21)</f>
        <v/>
      </c>
      <c r="C4075">
        <f>IF(A4075="","",'Ratings'!C260)</f>
        <v/>
      </c>
      <c r="D4075">
        <f>IF(A4075="","",'Ratings'!D260)</f>
        <v/>
      </c>
      <c r="E4075">
        <f>IF(AND('Ratings'!A260&lt;&gt;"",'Ratings'!N5&lt;&gt;""),'Ratings'!N5,"")</f>
        <v/>
      </c>
      <c r="F4075">
        <f>IF(OR(A4075="",'Ratings'!N260=""),"",'Ratings'!N260)</f>
        <v/>
      </c>
      <c r="G4075">
        <f>IF(A4075="","",'Employees'!D21)</f>
        <v/>
      </c>
    </row>
    <row r="4076">
      <c r="A4076">
        <f>IF(AND('Ratings'!A260&lt;&gt;"",'Ratings'!O5&lt;&gt;""),'Ratings'!A260,"")</f>
        <v/>
      </c>
      <c r="B4076">
        <f>IF(A4076="","",'Employees'!C21)</f>
        <v/>
      </c>
      <c r="C4076">
        <f>IF(A4076="","",'Ratings'!C260)</f>
        <v/>
      </c>
      <c r="D4076">
        <f>IF(A4076="","",'Ratings'!D260)</f>
        <v/>
      </c>
      <c r="E4076">
        <f>IF(AND('Ratings'!A260&lt;&gt;"",'Ratings'!O5&lt;&gt;""),'Ratings'!O5,"")</f>
        <v/>
      </c>
      <c r="F4076">
        <f>IF(OR(A4076="",'Ratings'!O260=""),"",'Ratings'!O260)</f>
        <v/>
      </c>
      <c r="G4076">
        <f>IF(A4076="","",'Employees'!D21)</f>
        <v/>
      </c>
    </row>
    <row r="4077">
      <c r="A4077">
        <f>IF(AND('Ratings'!A260&lt;&gt;"",'Ratings'!P5&lt;&gt;""),'Ratings'!A260,"")</f>
        <v/>
      </c>
      <c r="B4077">
        <f>IF(A4077="","",'Employees'!C21)</f>
        <v/>
      </c>
      <c r="C4077">
        <f>IF(A4077="","",'Ratings'!C260)</f>
        <v/>
      </c>
      <c r="D4077">
        <f>IF(A4077="","",'Ratings'!D260)</f>
        <v/>
      </c>
      <c r="E4077">
        <f>IF(AND('Ratings'!A260&lt;&gt;"",'Ratings'!P5&lt;&gt;""),'Ratings'!P5,"")</f>
        <v/>
      </c>
      <c r="F4077">
        <f>IF(OR(A4077="",'Ratings'!P260=""),"",'Ratings'!P260)</f>
        <v/>
      </c>
      <c r="G4077">
        <f>IF(A4077="","",'Employees'!D21)</f>
        <v/>
      </c>
    </row>
    <row r="4078">
      <c r="A4078">
        <f>IF(AND('Ratings'!A260&lt;&gt;"",'Ratings'!Q5&lt;&gt;""),'Ratings'!A260,"")</f>
        <v/>
      </c>
      <c r="B4078">
        <f>IF(A4078="","",'Employees'!C21)</f>
        <v/>
      </c>
      <c r="C4078">
        <f>IF(A4078="","",'Ratings'!C260)</f>
        <v/>
      </c>
      <c r="D4078">
        <f>IF(A4078="","",'Ratings'!D260)</f>
        <v/>
      </c>
      <c r="E4078">
        <f>IF(AND('Ratings'!A260&lt;&gt;"",'Ratings'!Q5&lt;&gt;""),'Ratings'!Q5,"")</f>
        <v/>
      </c>
      <c r="F4078">
        <f>IF(OR(A4078="",'Ratings'!Q260=""),"",'Ratings'!Q260)</f>
        <v/>
      </c>
      <c r="G4078">
        <f>IF(A4078="","",'Employees'!D21)</f>
        <v/>
      </c>
    </row>
    <row r="4079">
      <c r="A4079">
        <f>IF(AND('Ratings'!A260&lt;&gt;"",'Ratings'!R5&lt;&gt;""),'Ratings'!A260,"")</f>
        <v/>
      </c>
      <c r="B4079">
        <f>IF(A4079="","",'Employees'!C21)</f>
        <v/>
      </c>
      <c r="C4079">
        <f>IF(A4079="","",'Ratings'!C260)</f>
        <v/>
      </c>
      <c r="D4079">
        <f>IF(A4079="","",'Ratings'!D260)</f>
        <v/>
      </c>
      <c r="E4079">
        <f>IF(AND('Ratings'!A260&lt;&gt;"",'Ratings'!R5&lt;&gt;""),'Ratings'!R5,"")</f>
        <v/>
      </c>
      <c r="F4079">
        <f>IF(OR(A4079="",'Ratings'!R260=""),"",'Ratings'!R260)</f>
        <v/>
      </c>
      <c r="G4079">
        <f>IF(A4079="","",'Employees'!D21)</f>
        <v/>
      </c>
    </row>
    <row r="4080">
      <c r="A4080">
        <f>IF(AND('Ratings'!A260&lt;&gt;"",'Ratings'!S5&lt;&gt;""),'Ratings'!A260,"")</f>
        <v/>
      </c>
      <c r="B4080">
        <f>IF(A4080="","",'Employees'!C21)</f>
        <v/>
      </c>
      <c r="C4080">
        <f>IF(A4080="","",'Ratings'!C260)</f>
        <v/>
      </c>
      <c r="D4080">
        <f>IF(A4080="","",'Ratings'!D260)</f>
        <v/>
      </c>
      <c r="E4080">
        <f>IF(AND('Ratings'!A260&lt;&gt;"",'Ratings'!S5&lt;&gt;""),'Ratings'!S5,"")</f>
        <v/>
      </c>
      <c r="F4080">
        <f>IF(OR(A4080="",'Ratings'!S260=""),"",'Ratings'!S260)</f>
        <v/>
      </c>
      <c r="G4080">
        <f>IF(A4080="","",'Employees'!D21)</f>
        <v/>
      </c>
    </row>
    <row r="4081">
      <c r="A4081">
        <f>IF(AND('Ratings'!A260&lt;&gt;"",'Ratings'!T5&lt;&gt;""),'Ratings'!A260,"")</f>
        <v/>
      </c>
      <c r="B4081">
        <f>IF(A4081="","",'Employees'!C21)</f>
        <v/>
      </c>
      <c r="C4081">
        <f>IF(A4081="","",'Ratings'!C260)</f>
        <v/>
      </c>
      <c r="D4081">
        <f>IF(A4081="","",'Ratings'!D260)</f>
        <v/>
      </c>
      <c r="E4081">
        <f>IF(AND('Ratings'!A260&lt;&gt;"",'Ratings'!T5&lt;&gt;""),'Ratings'!T5,"")</f>
        <v/>
      </c>
      <c r="F4081">
        <f>IF(OR(A4081="",'Ratings'!T260=""),"",'Ratings'!T260)</f>
        <v/>
      </c>
      <c r="G4081">
        <f>IF(A4081="","",'Employees'!D21)</f>
        <v/>
      </c>
    </row>
    <row r="4082">
      <c r="A4082">
        <f>IF(AND('Ratings'!A261&lt;&gt;"",'Ratings'!E5&lt;&gt;""),'Ratings'!A261,"")</f>
        <v/>
      </c>
      <c r="B4082">
        <f>IF(A4082="","",'Employees'!C21)</f>
        <v/>
      </c>
      <c r="C4082">
        <f>IF(A4082="","",'Ratings'!C261)</f>
        <v/>
      </c>
      <c r="D4082">
        <f>IF(A4082="","",'Ratings'!D261)</f>
        <v/>
      </c>
      <c r="E4082">
        <f>IF(AND('Ratings'!A261&lt;&gt;"",'Ratings'!E5&lt;&gt;""),'Ratings'!E5,"")</f>
        <v/>
      </c>
      <c r="F4082">
        <f>IF(OR(A4082="",'Ratings'!E261=""),"",'Ratings'!E261)</f>
        <v/>
      </c>
      <c r="G4082">
        <f>IF(A4082="","",'Employees'!D21)</f>
        <v/>
      </c>
    </row>
    <row r="4083">
      <c r="A4083">
        <f>IF(AND('Ratings'!A261&lt;&gt;"",'Ratings'!F5&lt;&gt;""),'Ratings'!A261,"")</f>
        <v/>
      </c>
      <c r="B4083">
        <f>IF(A4083="","",'Employees'!C21)</f>
        <v/>
      </c>
      <c r="C4083">
        <f>IF(A4083="","",'Ratings'!C261)</f>
        <v/>
      </c>
      <c r="D4083">
        <f>IF(A4083="","",'Ratings'!D261)</f>
        <v/>
      </c>
      <c r="E4083">
        <f>IF(AND('Ratings'!A261&lt;&gt;"",'Ratings'!F5&lt;&gt;""),'Ratings'!F5,"")</f>
        <v/>
      </c>
      <c r="F4083">
        <f>IF(OR(A4083="",'Ratings'!F261=""),"",'Ratings'!F261)</f>
        <v/>
      </c>
      <c r="G4083">
        <f>IF(A4083="","",'Employees'!D21)</f>
        <v/>
      </c>
    </row>
    <row r="4084">
      <c r="A4084">
        <f>IF(AND('Ratings'!A261&lt;&gt;"",'Ratings'!G5&lt;&gt;""),'Ratings'!A261,"")</f>
        <v/>
      </c>
      <c r="B4084">
        <f>IF(A4084="","",'Employees'!C21)</f>
        <v/>
      </c>
      <c r="C4084">
        <f>IF(A4084="","",'Ratings'!C261)</f>
        <v/>
      </c>
      <c r="D4084">
        <f>IF(A4084="","",'Ratings'!D261)</f>
        <v/>
      </c>
      <c r="E4084">
        <f>IF(AND('Ratings'!A261&lt;&gt;"",'Ratings'!G5&lt;&gt;""),'Ratings'!G5,"")</f>
        <v/>
      </c>
      <c r="F4084">
        <f>IF(OR(A4084="",'Ratings'!G261=""),"",'Ratings'!G261)</f>
        <v/>
      </c>
      <c r="G4084">
        <f>IF(A4084="","",'Employees'!D21)</f>
        <v/>
      </c>
    </row>
    <row r="4085">
      <c r="A4085">
        <f>IF(AND('Ratings'!A261&lt;&gt;"",'Ratings'!H5&lt;&gt;""),'Ratings'!A261,"")</f>
        <v/>
      </c>
      <c r="B4085">
        <f>IF(A4085="","",'Employees'!C21)</f>
        <v/>
      </c>
      <c r="C4085">
        <f>IF(A4085="","",'Ratings'!C261)</f>
        <v/>
      </c>
      <c r="D4085">
        <f>IF(A4085="","",'Ratings'!D261)</f>
        <v/>
      </c>
      <c r="E4085">
        <f>IF(AND('Ratings'!A261&lt;&gt;"",'Ratings'!H5&lt;&gt;""),'Ratings'!H5,"")</f>
        <v/>
      </c>
      <c r="F4085">
        <f>IF(OR(A4085="",'Ratings'!H261=""),"",'Ratings'!H261)</f>
        <v/>
      </c>
      <c r="G4085">
        <f>IF(A4085="","",'Employees'!D21)</f>
        <v/>
      </c>
    </row>
    <row r="4086">
      <c r="A4086">
        <f>IF(AND('Ratings'!A261&lt;&gt;"",'Ratings'!I5&lt;&gt;""),'Ratings'!A261,"")</f>
        <v/>
      </c>
      <c r="B4086">
        <f>IF(A4086="","",'Employees'!C21)</f>
        <v/>
      </c>
      <c r="C4086">
        <f>IF(A4086="","",'Ratings'!C261)</f>
        <v/>
      </c>
      <c r="D4086">
        <f>IF(A4086="","",'Ratings'!D261)</f>
        <v/>
      </c>
      <c r="E4086">
        <f>IF(AND('Ratings'!A261&lt;&gt;"",'Ratings'!I5&lt;&gt;""),'Ratings'!I5,"")</f>
        <v/>
      </c>
      <c r="F4086">
        <f>IF(OR(A4086="",'Ratings'!I261=""),"",'Ratings'!I261)</f>
        <v/>
      </c>
      <c r="G4086">
        <f>IF(A4086="","",'Employees'!D21)</f>
        <v/>
      </c>
    </row>
    <row r="4087">
      <c r="A4087">
        <f>IF(AND('Ratings'!A261&lt;&gt;"",'Ratings'!J5&lt;&gt;""),'Ratings'!A261,"")</f>
        <v/>
      </c>
      <c r="B4087">
        <f>IF(A4087="","",'Employees'!C21)</f>
        <v/>
      </c>
      <c r="C4087">
        <f>IF(A4087="","",'Ratings'!C261)</f>
        <v/>
      </c>
      <c r="D4087">
        <f>IF(A4087="","",'Ratings'!D261)</f>
        <v/>
      </c>
      <c r="E4087">
        <f>IF(AND('Ratings'!A261&lt;&gt;"",'Ratings'!J5&lt;&gt;""),'Ratings'!J5,"")</f>
        <v/>
      </c>
      <c r="F4087">
        <f>IF(OR(A4087="",'Ratings'!J261=""),"",'Ratings'!J261)</f>
        <v/>
      </c>
      <c r="G4087">
        <f>IF(A4087="","",'Employees'!D21)</f>
        <v/>
      </c>
    </row>
    <row r="4088">
      <c r="A4088">
        <f>IF(AND('Ratings'!A261&lt;&gt;"",'Ratings'!K5&lt;&gt;""),'Ratings'!A261,"")</f>
        <v/>
      </c>
      <c r="B4088">
        <f>IF(A4088="","",'Employees'!C21)</f>
        <v/>
      </c>
      <c r="C4088">
        <f>IF(A4088="","",'Ratings'!C261)</f>
        <v/>
      </c>
      <c r="D4088">
        <f>IF(A4088="","",'Ratings'!D261)</f>
        <v/>
      </c>
      <c r="E4088">
        <f>IF(AND('Ratings'!A261&lt;&gt;"",'Ratings'!K5&lt;&gt;""),'Ratings'!K5,"")</f>
        <v/>
      </c>
      <c r="F4088">
        <f>IF(OR(A4088="",'Ratings'!K261=""),"",'Ratings'!K261)</f>
        <v/>
      </c>
      <c r="G4088">
        <f>IF(A4088="","",'Employees'!D21)</f>
        <v/>
      </c>
    </row>
    <row r="4089">
      <c r="A4089">
        <f>IF(AND('Ratings'!A261&lt;&gt;"",'Ratings'!L5&lt;&gt;""),'Ratings'!A261,"")</f>
        <v/>
      </c>
      <c r="B4089">
        <f>IF(A4089="","",'Employees'!C21)</f>
        <v/>
      </c>
      <c r="C4089">
        <f>IF(A4089="","",'Ratings'!C261)</f>
        <v/>
      </c>
      <c r="D4089">
        <f>IF(A4089="","",'Ratings'!D261)</f>
        <v/>
      </c>
      <c r="E4089">
        <f>IF(AND('Ratings'!A261&lt;&gt;"",'Ratings'!L5&lt;&gt;""),'Ratings'!L5,"")</f>
        <v/>
      </c>
      <c r="F4089">
        <f>IF(OR(A4089="",'Ratings'!L261=""),"",'Ratings'!L261)</f>
        <v/>
      </c>
      <c r="G4089">
        <f>IF(A4089="","",'Employees'!D21)</f>
        <v/>
      </c>
    </row>
    <row r="4090">
      <c r="A4090">
        <f>IF(AND('Ratings'!A261&lt;&gt;"",'Ratings'!M5&lt;&gt;""),'Ratings'!A261,"")</f>
        <v/>
      </c>
      <c r="B4090">
        <f>IF(A4090="","",'Employees'!C21)</f>
        <v/>
      </c>
      <c r="C4090">
        <f>IF(A4090="","",'Ratings'!C261)</f>
        <v/>
      </c>
      <c r="D4090">
        <f>IF(A4090="","",'Ratings'!D261)</f>
        <v/>
      </c>
      <c r="E4090">
        <f>IF(AND('Ratings'!A261&lt;&gt;"",'Ratings'!M5&lt;&gt;""),'Ratings'!M5,"")</f>
        <v/>
      </c>
      <c r="F4090">
        <f>IF(OR(A4090="",'Ratings'!M261=""),"",'Ratings'!M261)</f>
        <v/>
      </c>
      <c r="G4090">
        <f>IF(A4090="","",'Employees'!D21)</f>
        <v/>
      </c>
    </row>
    <row r="4091">
      <c r="A4091">
        <f>IF(AND('Ratings'!A261&lt;&gt;"",'Ratings'!N5&lt;&gt;""),'Ratings'!A261,"")</f>
        <v/>
      </c>
      <c r="B4091">
        <f>IF(A4091="","",'Employees'!C21)</f>
        <v/>
      </c>
      <c r="C4091">
        <f>IF(A4091="","",'Ratings'!C261)</f>
        <v/>
      </c>
      <c r="D4091">
        <f>IF(A4091="","",'Ratings'!D261)</f>
        <v/>
      </c>
      <c r="E4091">
        <f>IF(AND('Ratings'!A261&lt;&gt;"",'Ratings'!N5&lt;&gt;""),'Ratings'!N5,"")</f>
        <v/>
      </c>
      <c r="F4091">
        <f>IF(OR(A4091="",'Ratings'!N261=""),"",'Ratings'!N261)</f>
        <v/>
      </c>
      <c r="G4091">
        <f>IF(A4091="","",'Employees'!D21)</f>
        <v/>
      </c>
    </row>
    <row r="4092">
      <c r="A4092">
        <f>IF(AND('Ratings'!A261&lt;&gt;"",'Ratings'!O5&lt;&gt;""),'Ratings'!A261,"")</f>
        <v/>
      </c>
      <c r="B4092">
        <f>IF(A4092="","",'Employees'!C21)</f>
        <v/>
      </c>
      <c r="C4092">
        <f>IF(A4092="","",'Ratings'!C261)</f>
        <v/>
      </c>
      <c r="D4092">
        <f>IF(A4092="","",'Ratings'!D261)</f>
        <v/>
      </c>
      <c r="E4092">
        <f>IF(AND('Ratings'!A261&lt;&gt;"",'Ratings'!O5&lt;&gt;""),'Ratings'!O5,"")</f>
        <v/>
      </c>
      <c r="F4092">
        <f>IF(OR(A4092="",'Ratings'!O261=""),"",'Ratings'!O261)</f>
        <v/>
      </c>
      <c r="G4092">
        <f>IF(A4092="","",'Employees'!D21)</f>
        <v/>
      </c>
    </row>
    <row r="4093">
      <c r="A4093">
        <f>IF(AND('Ratings'!A261&lt;&gt;"",'Ratings'!P5&lt;&gt;""),'Ratings'!A261,"")</f>
        <v/>
      </c>
      <c r="B4093">
        <f>IF(A4093="","",'Employees'!C21)</f>
        <v/>
      </c>
      <c r="C4093">
        <f>IF(A4093="","",'Ratings'!C261)</f>
        <v/>
      </c>
      <c r="D4093">
        <f>IF(A4093="","",'Ratings'!D261)</f>
        <v/>
      </c>
      <c r="E4093">
        <f>IF(AND('Ratings'!A261&lt;&gt;"",'Ratings'!P5&lt;&gt;""),'Ratings'!P5,"")</f>
        <v/>
      </c>
      <c r="F4093">
        <f>IF(OR(A4093="",'Ratings'!P261=""),"",'Ratings'!P261)</f>
        <v/>
      </c>
      <c r="G4093">
        <f>IF(A4093="","",'Employees'!D21)</f>
        <v/>
      </c>
    </row>
    <row r="4094">
      <c r="A4094">
        <f>IF(AND('Ratings'!A261&lt;&gt;"",'Ratings'!Q5&lt;&gt;""),'Ratings'!A261,"")</f>
        <v/>
      </c>
      <c r="B4094">
        <f>IF(A4094="","",'Employees'!C21)</f>
        <v/>
      </c>
      <c r="C4094">
        <f>IF(A4094="","",'Ratings'!C261)</f>
        <v/>
      </c>
      <c r="D4094">
        <f>IF(A4094="","",'Ratings'!D261)</f>
        <v/>
      </c>
      <c r="E4094">
        <f>IF(AND('Ratings'!A261&lt;&gt;"",'Ratings'!Q5&lt;&gt;""),'Ratings'!Q5,"")</f>
        <v/>
      </c>
      <c r="F4094">
        <f>IF(OR(A4094="",'Ratings'!Q261=""),"",'Ratings'!Q261)</f>
        <v/>
      </c>
      <c r="G4094">
        <f>IF(A4094="","",'Employees'!D21)</f>
        <v/>
      </c>
    </row>
    <row r="4095">
      <c r="A4095">
        <f>IF(AND('Ratings'!A261&lt;&gt;"",'Ratings'!R5&lt;&gt;""),'Ratings'!A261,"")</f>
        <v/>
      </c>
      <c r="B4095">
        <f>IF(A4095="","",'Employees'!C21)</f>
        <v/>
      </c>
      <c r="C4095">
        <f>IF(A4095="","",'Ratings'!C261)</f>
        <v/>
      </c>
      <c r="D4095">
        <f>IF(A4095="","",'Ratings'!D261)</f>
        <v/>
      </c>
      <c r="E4095">
        <f>IF(AND('Ratings'!A261&lt;&gt;"",'Ratings'!R5&lt;&gt;""),'Ratings'!R5,"")</f>
        <v/>
      </c>
      <c r="F4095">
        <f>IF(OR(A4095="",'Ratings'!R261=""),"",'Ratings'!R261)</f>
        <v/>
      </c>
      <c r="G4095">
        <f>IF(A4095="","",'Employees'!D21)</f>
        <v/>
      </c>
    </row>
    <row r="4096">
      <c r="A4096">
        <f>IF(AND('Ratings'!A261&lt;&gt;"",'Ratings'!S5&lt;&gt;""),'Ratings'!A261,"")</f>
        <v/>
      </c>
      <c r="B4096">
        <f>IF(A4096="","",'Employees'!C21)</f>
        <v/>
      </c>
      <c r="C4096">
        <f>IF(A4096="","",'Ratings'!C261)</f>
        <v/>
      </c>
      <c r="D4096">
        <f>IF(A4096="","",'Ratings'!D261)</f>
        <v/>
      </c>
      <c r="E4096">
        <f>IF(AND('Ratings'!A261&lt;&gt;"",'Ratings'!S5&lt;&gt;""),'Ratings'!S5,"")</f>
        <v/>
      </c>
      <c r="F4096">
        <f>IF(OR(A4096="",'Ratings'!S261=""),"",'Ratings'!S261)</f>
        <v/>
      </c>
      <c r="G4096">
        <f>IF(A4096="","",'Employees'!D21)</f>
        <v/>
      </c>
    </row>
    <row r="4097">
      <c r="A4097">
        <f>IF(AND('Ratings'!A261&lt;&gt;"",'Ratings'!T5&lt;&gt;""),'Ratings'!A261,"")</f>
        <v/>
      </c>
      <c r="B4097">
        <f>IF(A4097="","",'Employees'!C21)</f>
        <v/>
      </c>
      <c r="C4097">
        <f>IF(A4097="","",'Ratings'!C261)</f>
        <v/>
      </c>
      <c r="D4097">
        <f>IF(A4097="","",'Ratings'!D261)</f>
        <v/>
      </c>
      <c r="E4097">
        <f>IF(AND('Ratings'!A261&lt;&gt;"",'Ratings'!T5&lt;&gt;""),'Ratings'!T5,"")</f>
        <v/>
      </c>
      <c r="F4097">
        <f>IF(OR(A4097="",'Ratings'!T261=""),"",'Ratings'!T261)</f>
        <v/>
      </c>
      <c r="G4097">
        <f>IF(A4097="","",'Employees'!D21)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LatestYear</t>
        </is>
      </c>
      <c r="B1">
        <f>IFERROR(MAXIFS(DataYear,DataRating,"&gt;=1"),YEAR(TODAY()))</f>
        <v/>
      </c>
    </row>
    <row r="2">
      <c r="A2" t="inlineStr">
        <is>
          <t>PreviousYear</t>
        </is>
      </c>
      <c r="B2">
        <f>IFERROR(MAXIFS(DataYear,DataRating,"&gt;=1",DataYear,"&lt;"&amp;B1),"")</f>
        <v/>
      </c>
    </row>
    <row r="4">
      <c r="A4" t="inlineStr">
        <is>
          <t>Year</t>
        </is>
      </c>
      <c r="B4" t="inlineStr">
        <is>
          <t>TeamAvg</t>
        </is>
      </c>
      <c r="D4" t="inlineStr">
        <is>
          <t>Year</t>
        </is>
      </c>
      <c r="E4" t="inlineStr">
        <is>
          <t>EmpAvg</t>
        </is>
      </c>
      <c r="G4" t="inlineStr">
        <is>
          <t>Skill</t>
        </is>
      </c>
      <c r="H4" t="inlineStr">
        <is>
          <t>From</t>
        </is>
      </c>
      <c r="I4" t="inlineStr">
        <is>
          <t>To</t>
        </is>
      </c>
      <c r="AH4" t="inlineStr">
        <is>
          <t>ChartCat</t>
        </is>
      </c>
      <c r="AI4" t="inlineStr">
        <is>
          <t>ChartVal</t>
        </is>
      </c>
    </row>
    <row r="5">
      <c r="A5" s="111">
        <f>IF('Years'!B8="","",'Years'!B8)</f>
        <v/>
      </c>
      <c r="B5" s="112">
        <f>IF(A5="","",IFERROR(IF(DeptFilter="(All departments)",AVERAGEIFS(DataRating,DataYear,A5),AVERAGEIFS(DataRating,DataYear,A5,DataDept,DeptFilter)),NA()))</f>
        <v/>
      </c>
      <c r="D5">
        <f>A5</f>
        <v/>
      </c>
      <c r="E5" s="112">
        <f>IF(OR(D5="",EmpFilter=""),"",IFERROR(AVERAGEIFS(DataRating,DataYear,D5,DataEmployee,EmpFilter),NA()))</f>
        <v/>
      </c>
      <c r="G5">
        <f>IF('Skills'!B6="","",'Skills'!B6)</f>
        <v/>
      </c>
      <c r="H5">
        <f>IF(OR(G5="",EmpFilter="",DashFromYear=""),"",IF(COUNTIFS(DataEmployee,EmpFilter,DataSkill,G5,DataYear,DashFromYear,DataRating,"&gt;=1")=0,"",IFERROR(SUMIFS(DataRating,DataEmployee,EmpFilter,DataSkill,G5,DataYear,DashFromYear),"")))</f>
        <v/>
      </c>
      <c r="I5">
        <f>IF(OR(G5="",EmpFilter="",DashToYear=""),"",IF(COUNTIFS(DataEmployee,EmpFilter,DataSkill,G5,DataYear,DashToYear,DataRating,"&gt;=1")=0,"",IFERROR(SUMIFS(DataRating,DataEmployee,EmpFilter,DataSkill,G5,DataYear,DashToYear),"")))</f>
        <v/>
      </c>
      <c r="AH5" s="111">
        <f>IF(OR(ViewMode="Skillsets",A5=""),NA(),A5)</f>
        <v/>
      </c>
      <c r="AI5" s="112">
        <f>IF(ViewMode="Team",IF(OR(B5="",ISNA(B5)),NA(),B5),IF(ViewMode="Individual",IF(OR(E5="",ISNA(E5)),NA(),E5),NA()))</f>
        <v/>
      </c>
    </row>
    <row r="6">
      <c r="A6" s="111">
        <f>IF('Years'!B9="","",'Years'!B9)</f>
        <v/>
      </c>
      <c r="B6" s="112">
        <f>IF(A6="","",IFERROR(IF(DeptFilter="(All departments)",AVERAGEIFS(DataRating,DataYear,A6),AVERAGEIFS(DataRating,DataYear,A6,DataDept,DeptFilter)),NA()))</f>
        <v/>
      </c>
      <c r="D6">
        <f>A6</f>
        <v/>
      </c>
      <c r="E6" s="112">
        <f>IF(OR(D6="",EmpFilter=""),"",IFERROR(AVERAGEIFS(DataRating,DataYear,D6,DataEmployee,EmpFilter),NA()))</f>
        <v/>
      </c>
      <c r="G6">
        <f>IF('Skills'!B7="","",'Skills'!B7)</f>
        <v/>
      </c>
      <c r="H6">
        <f>IF(OR(G6="",EmpFilter="",DashFromYear=""),"",IF(COUNTIFS(DataEmployee,EmpFilter,DataSkill,G6,DataYear,DashFromYear,DataRating,"&gt;=1")=0,"",IFERROR(SUMIFS(DataRating,DataEmployee,EmpFilter,DataSkill,G6,DataYear,DashFromYear),"")))</f>
        <v/>
      </c>
      <c r="I6">
        <f>IF(OR(G6="",EmpFilter="",DashToYear=""),"",IF(COUNTIFS(DataEmployee,EmpFilter,DataSkill,G6,DataYear,DashToYear,DataRating,"&gt;=1")=0,"",IFERROR(SUMIFS(DataRating,DataEmployee,EmpFilter,DataSkill,G6,DataYear,DashToYear),"")))</f>
        <v/>
      </c>
      <c r="AH6" s="111">
        <f>IF(OR(ViewMode="Skillsets",A6=""),NA(),A6)</f>
        <v/>
      </c>
      <c r="AI6" s="112">
        <f>IF(ViewMode="Team",IF(OR(B6="",ISNA(B6)),NA(),B6),IF(ViewMode="Individual",IF(OR(E6="",ISNA(E6)),NA(),E6),NA()))</f>
        <v/>
      </c>
    </row>
    <row r="7">
      <c r="A7" s="111">
        <f>IF('Years'!B10="","",'Years'!B10)</f>
        <v/>
      </c>
      <c r="B7" s="112">
        <f>IF(A7="","",IFERROR(IF(DeptFilter="(All departments)",AVERAGEIFS(DataRating,DataYear,A7),AVERAGEIFS(DataRating,DataYear,A7,DataDept,DeptFilter)),NA()))</f>
        <v/>
      </c>
      <c r="D7">
        <f>A7</f>
        <v/>
      </c>
      <c r="E7" s="112">
        <f>IF(OR(D7="",EmpFilter=""),"",IFERROR(AVERAGEIFS(DataRating,DataYear,D7,DataEmployee,EmpFilter),NA()))</f>
        <v/>
      </c>
      <c r="G7">
        <f>IF('Skills'!B8="","",'Skills'!B8)</f>
        <v/>
      </c>
      <c r="H7">
        <f>IF(OR(G7="",EmpFilter="",DashFromYear=""),"",IF(COUNTIFS(DataEmployee,EmpFilter,DataSkill,G7,DataYear,DashFromYear,DataRating,"&gt;=1")=0,"",IFERROR(SUMIFS(DataRating,DataEmployee,EmpFilter,DataSkill,G7,DataYear,DashFromYear),"")))</f>
        <v/>
      </c>
      <c r="I7">
        <f>IF(OR(G7="",EmpFilter="",DashToYear=""),"",IF(COUNTIFS(DataEmployee,EmpFilter,DataSkill,G7,DataYear,DashToYear,DataRating,"&gt;=1")=0,"",IFERROR(SUMIFS(DataRating,DataEmployee,EmpFilter,DataSkill,G7,DataYear,DashToYear),"")))</f>
        <v/>
      </c>
      <c r="L7" t="inlineStr">
        <is>
          <t>Employee</t>
        </is>
      </c>
      <c r="M7" t="inlineStr">
        <is>
          <t>ToYear</t>
        </is>
      </c>
      <c r="N7" t="inlineStr">
        <is>
          <t>FromYear</t>
        </is>
      </c>
      <c r="Q7" t="inlineStr">
        <is>
          <t>Rank</t>
        </is>
      </c>
      <c r="S7" t="inlineStr">
        <is>
          <t>RankedEmployee</t>
        </is>
      </c>
      <c r="T7" t="inlineStr">
        <is>
          <t>RankedScore</t>
        </is>
      </c>
      <c r="AH7" s="111">
        <f>IF(OR(ViewMode="Skillsets",A7=""),NA(),A7)</f>
        <v/>
      </c>
      <c r="AI7" s="112">
        <f>IF(ViewMode="Team",IF(OR(B7="",ISNA(B7)),NA(),B7),IF(ViewMode="Individual",IF(OR(E7="",ISNA(E7)),NA(),E7),NA()))</f>
        <v/>
      </c>
    </row>
    <row r="8">
      <c r="A8" s="111">
        <f>IF('Years'!B11="","",'Years'!B11)</f>
        <v/>
      </c>
      <c r="B8" s="112">
        <f>IF(A8="","",IFERROR(IF(DeptFilter="(All departments)",AVERAGEIFS(DataRating,DataYear,A8),AVERAGEIFS(DataRating,DataYear,A8,DataDept,DeptFilter)),NA()))</f>
        <v/>
      </c>
      <c r="D8">
        <f>A8</f>
        <v/>
      </c>
      <c r="E8" s="112">
        <f>IF(OR(D8="",EmpFilter=""),"",IFERROR(AVERAGEIFS(DataRating,DataYear,D8,DataEmployee,EmpFilter),NA()))</f>
        <v/>
      </c>
      <c r="G8">
        <f>IF('Skills'!B9="","",'Skills'!B9)</f>
        <v/>
      </c>
      <c r="H8">
        <f>IF(OR(G8="",EmpFilter="",DashFromYear=""),"",IF(COUNTIFS(DataEmployee,EmpFilter,DataSkill,G8,DataYear,DashFromYear,DataRating,"&gt;=1")=0,"",IFERROR(SUMIFS(DataRating,DataEmployee,EmpFilter,DataSkill,G8,DataYear,DashFromYear),"")))</f>
        <v/>
      </c>
      <c r="I8">
        <f>IF(OR(G8="",EmpFilter="",DashToYear=""),"",IF(COUNTIFS(DataEmployee,EmpFilter,DataSkill,G8,DataYear,DashToYear,DataRating,"&gt;=1")=0,"",IFERROR(SUMIFS(DataRating,DataEmployee,EmpFilter,DataSkill,G8,DataYear,DashToYear),"")))</f>
        <v/>
      </c>
      <c r="L8">
        <f>IF('Employees'!B6="","",'Employees'!B6)</f>
        <v/>
      </c>
      <c r="M8" s="112">
        <f>IF(OR(L8="",SkillSetFilter="",DashToYear=""),"",IF(COUNTIFS(DataEmployee,L8,DataSkill,SkillSetFilter,DataYear,DashToYear,DataRating,"&gt;=1")=0,"",SUMIFS(DataRating,DataEmployee,L8,DataSkill,SkillSetFilter,DataYear,DashToYear)))</f>
        <v/>
      </c>
      <c r="N8" s="112">
        <f>IF(OR(L8="",SkillSetFilter="",DashFromYear=""),"",IF(COUNTIFS(DataEmployee,L8,DataSkill,SkillSetFilter,DataYear,DashFromYear,DataRating,"&gt;=1")=0,"",SUMIFS(DataRating,DataEmployee,L8,DataSkill,SkillSetFilter,DataYear,DashFromYear)))</f>
        <v/>
      </c>
      <c r="Q8">
        <f>IF(OR(L8="",M8=""),"",RANK(M8,$M$8:$M$23,0)+COUNTIF($M$8:M8,M8)-1)</f>
        <v/>
      </c>
      <c r="S8">
        <f>IFERROR(INDEX($L$8:$L$23,MATCH(1,$Q$8:$Q$23,0)),"")</f>
        <v/>
      </c>
      <c r="T8" s="112">
        <f>IFERROR(INDEX($M$8:$M$23,MATCH(1,$Q$8:$Q$23,0)),"")</f>
        <v/>
      </c>
      <c r="AH8" s="111">
        <f>IF(OR(ViewMode="Skillsets",A8=""),NA(),A8)</f>
        <v/>
      </c>
      <c r="AI8" s="112">
        <f>IF(ViewMode="Team",IF(OR(B8="",ISNA(B8)),NA(),B8),IF(ViewMode="Individual",IF(OR(E8="",ISNA(E8)),NA(),E8),NA()))</f>
        <v/>
      </c>
    </row>
    <row r="9">
      <c r="A9" s="111">
        <f>IF('Years'!B12="","",'Years'!B12)</f>
        <v/>
      </c>
      <c r="B9" s="112">
        <f>IF(A9="","",IFERROR(IF(DeptFilter="(All departments)",AVERAGEIFS(DataRating,DataYear,A9),AVERAGEIFS(DataRating,DataYear,A9,DataDept,DeptFilter)),NA()))</f>
        <v/>
      </c>
      <c r="D9">
        <f>A9</f>
        <v/>
      </c>
      <c r="E9" s="112">
        <f>IF(OR(D9="",EmpFilter=""),"",IFERROR(AVERAGEIFS(DataRating,DataYear,D9,DataEmployee,EmpFilter),NA()))</f>
        <v/>
      </c>
      <c r="G9">
        <f>IF('Skills'!B10="","",'Skills'!B10)</f>
        <v/>
      </c>
      <c r="H9">
        <f>IF(OR(G9="",EmpFilter="",DashFromYear=""),"",IF(COUNTIFS(DataEmployee,EmpFilter,DataSkill,G9,DataYear,DashFromYear,DataRating,"&gt;=1")=0,"",IFERROR(SUMIFS(DataRating,DataEmployee,EmpFilter,DataSkill,G9,DataYear,DashFromYear),"")))</f>
        <v/>
      </c>
      <c r="I9">
        <f>IF(OR(G9="",EmpFilter="",DashToYear=""),"",IF(COUNTIFS(DataEmployee,EmpFilter,DataSkill,G9,DataYear,DashToYear,DataRating,"&gt;=1")=0,"",IFERROR(SUMIFS(DataRating,DataEmployee,EmpFilter,DataSkill,G9,DataYear,DashToYear),"")))</f>
        <v/>
      </c>
      <c r="L9">
        <f>IF('Employees'!B7="","",'Employees'!B7)</f>
        <v/>
      </c>
      <c r="M9" s="112">
        <f>IF(OR(L9="",SkillSetFilter="",DashToYear=""),"",IF(COUNTIFS(DataEmployee,L9,DataSkill,SkillSetFilter,DataYear,DashToYear,DataRating,"&gt;=1")=0,"",SUMIFS(DataRating,DataEmployee,L9,DataSkill,SkillSetFilter,DataYear,DashToYear)))</f>
        <v/>
      </c>
      <c r="N9" s="112">
        <f>IF(OR(L9="",SkillSetFilter="",DashFromYear=""),"",IF(COUNTIFS(DataEmployee,L9,DataSkill,SkillSetFilter,DataYear,DashFromYear,DataRating,"&gt;=1")=0,"",SUMIFS(DataRating,DataEmployee,L9,DataSkill,SkillSetFilter,DataYear,DashFromYear)))</f>
        <v/>
      </c>
      <c r="Q9">
        <f>IF(OR(L9="",M9=""),"",RANK(M9,$M$8:$M$23,0)+COUNTIF($M$8:M9,M9)-1)</f>
        <v/>
      </c>
      <c r="S9">
        <f>IFERROR(INDEX($L$8:$L$23,MATCH(2,$Q$8:$Q$23,0)),"")</f>
        <v/>
      </c>
      <c r="T9" s="112">
        <f>IFERROR(INDEX($M$8:$M$23,MATCH(2,$Q$8:$Q$23,0)),"")</f>
        <v/>
      </c>
      <c r="AH9" s="111">
        <f>IF(OR(ViewMode="Skillsets",A9=""),NA(),A9)</f>
        <v/>
      </c>
      <c r="AI9" s="112">
        <f>IF(ViewMode="Team",IF(OR(B9="",ISNA(B9)),NA(),B9),IF(ViewMode="Individual",IF(OR(E9="",ISNA(E9)),NA(),E9),NA()))</f>
        <v/>
      </c>
    </row>
    <row r="10">
      <c r="A10" s="111">
        <f>IF('Years'!B13="","",'Years'!B13)</f>
        <v/>
      </c>
      <c r="B10" s="112">
        <f>IF(A10="","",IFERROR(IF(DeptFilter="(All departments)",AVERAGEIFS(DataRating,DataYear,A10),AVERAGEIFS(DataRating,DataYear,A10,DataDept,DeptFilter)),NA()))</f>
        <v/>
      </c>
      <c r="D10">
        <f>A10</f>
        <v/>
      </c>
      <c r="E10" s="112">
        <f>IF(OR(D10="",EmpFilter=""),"",IFERROR(AVERAGEIFS(DataRating,DataYear,D10,DataEmployee,EmpFilter),NA()))</f>
        <v/>
      </c>
      <c r="G10">
        <f>IF('Skills'!B11="","",'Skills'!B11)</f>
        <v/>
      </c>
      <c r="H10">
        <f>IF(OR(G10="",EmpFilter="",DashFromYear=""),"",IF(COUNTIFS(DataEmployee,EmpFilter,DataSkill,G10,DataYear,DashFromYear,DataRating,"&gt;=1")=0,"",IFERROR(SUMIFS(DataRating,DataEmployee,EmpFilter,DataSkill,G10,DataYear,DashFromYear),"")))</f>
        <v/>
      </c>
      <c r="I10">
        <f>IF(OR(G10="",EmpFilter="",DashToYear=""),"",IF(COUNTIFS(DataEmployee,EmpFilter,DataSkill,G10,DataYear,DashToYear,DataRating,"&gt;=1")=0,"",IFERROR(SUMIFS(DataRating,DataEmployee,EmpFilter,DataSkill,G10,DataYear,DashToYear),"")))</f>
        <v/>
      </c>
      <c r="L10">
        <f>IF('Employees'!B8="","",'Employees'!B8)</f>
        <v/>
      </c>
      <c r="M10" s="112">
        <f>IF(OR(L10="",SkillSetFilter="",DashToYear=""),"",IF(COUNTIFS(DataEmployee,L10,DataSkill,SkillSetFilter,DataYear,DashToYear,DataRating,"&gt;=1")=0,"",SUMIFS(DataRating,DataEmployee,L10,DataSkill,SkillSetFilter,DataYear,DashToYear)))</f>
        <v/>
      </c>
      <c r="N10" s="112">
        <f>IF(OR(L10="",SkillSetFilter="",DashFromYear=""),"",IF(COUNTIFS(DataEmployee,L10,DataSkill,SkillSetFilter,DataYear,DashFromYear,DataRating,"&gt;=1")=0,"",SUMIFS(DataRating,DataEmployee,L10,DataSkill,SkillSetFilter,DataYear,DashFromYear)))</f>
        <v/>
      </c>
      <c r="Q10">
        <f>IF(OR(L10="",M10=""),"",RANK(M10,$M$8:$M$23,0)+COUNTIF($M$8:M10,M10)-1)</f>
        <v/>
      </c>
      <c r="S10">
        <f>IFERROR(INDEX($L$8:$L$23,MATCH(3,$Q$8:$Q$23,0)),"")</f>
        <v/>
      </c>
      <c r="T10" s="112">
        <f>IFERROR(INDEX($M$8:$M$23,MATCH(3,$Q$8:$Q$23,0)),"")</f>
        <v/>
      </c>
      <c r="AH10" s="111">
        <f>IF(OR(ViewMode="Skillsets",A10=""),NA(),A10)</f>
        <v/>
      </c>
      <c r="AI10" s="112">
        <f>IF(ViewMode="Team",IF(OR(B10="",ISNA(B10)),NA(),B10),IF(ViewMode="Individual",IF(OR(E10="",ISNA(E10)),NA(),E10),NA()))</f>
        <v/>
      </c>
    </row>
    <row r="11">
      <c r="A11" s="111">
        <f>IF('Years'!B14="","",'Years'!B14)</f>
        <v/>
      </c>
      <c r="B11" s="112">
        <f>IF(A11="","",IFERROR(IF(DeptFilter="(All departments)",AVERAGEIFS(DataRating,DataYear,A11),AVERAGEIFS(DataRating,DataYear,A11,DataDept,DeptFilter)),NA()))</f>
        <v/>
      </c>
      <c r="D11">
        <f>A11</f>
        <v/>
      </c>
      <c r="E11" s="112">
        <f>IF(OR(D11="",EmpFilter=""),"",IFERROR(AVERAGEIFS(DataRating,DataYear,D11,DataEmployee,EmpFilter),NA()))</f>
        <v/>
      </c>
      <c r="G11">
        <f>IF('Skills'!B12="","",'Skills'!B12)</f>
        <v/>
      </c>
      <c r="H11">
        <f>IF(OR(G11="",EmpFilter="",DashFromYear=""),"",IF(COUNTIFS(DataEmployee,EmpFilter,DataSkill,G11,DataYear,DashFromYear,DataRating,"&gt;=1")=0,"",IFERROR(SUMIFS(DataRating,DataEmployee,EmpFilter,DataSkill,G11,DataYear,DashFromYear),"")))</f>
        <v/>
      </c>
      <c r="I11">
        <f>IF(OR(G11="",EmpFilter="",DashToYear=""),"",IF(COUNTIFS(DataEmployee,EmpFilter,DataSkill,G11,DataYear,DashToYear,DataRating,"&gt;=1")=0,"",IFERROR(SUMIFS(DataRating,DataEmployee,EmpFilter,DataSkill,G11,DataYear,DashToYear),"")))</f>
        <v/>
      </c>
      <c r="L11">
        <f>IF('Employees'!B9="","",'Employees'!B9)</f>
        <v/>
      </c>
      <c r="M11" s="112">
        <f>IF(OR(L11="",SkillSetFilter="",DashToYear=""),"",IF(COUNTIFS(DataEmployee,L11,DataSkill,SkillSetFilter,DataYear,DashToYear,DataRating,"&gt;=1")=0,"",SUMIFS(DataRating,DataEmployee,L11,DataSkill,SkillSetFilter,DataYear,DashToYear)))</f>
        <v/>
      </c>
      <c r="N11" s="112">
        <f>IF(OR(L11="",SkillSetFilter="",DashFromYear=""),"",IF(COUNTIFS(DataEmployee,L11,DataSkill,SkillSetFilter,DataYear,DashFromYear,DataRating,"&gt;=1")=0,"",SUMIFS(DataRating,DataEmployee,L11,DataSkill,SkillSetFilter,DataYear,DashFromYear)))</f>
        <v/>
      </c>
      <c r="Q11">
        <f>IF(OR(L11="",M11=""),"",RANK(M11,$M$8:$M$23,0)+COUNTIF($M$8:M11,M11)-1)</f>
        <v/>
      </c>
      <c r="S11">
        <f>IFERROR(INDEX($L$8:$L$23,MATCH(4,$Q$8:$Q$23,0)),"")</f>
        <v/>
      </c>
      <c r="T11" s="112">
        <f>IFERROR(INDEX($M$8:$M$23,MATCH(4,$Q$8:$Q$23,0)),"")</f>
        <v/>
      </c>
      <c r="AH11" s="111">
        <f>IF(OR(ViewMode="Skillsets",A11=""),NA(),A11)</f>
        <v/>
      </c>
      <c r="AI11" s="112">
        <f>IF(ViewMode="Team",IF(OR(B11="",ISNA(B11)),NA(),B11),IF(ViewMode="Individual",IF(OR(E11="",ISNA(E11)),NA(),E11),NA()))</f>
        <v/>
      </c>
    </row>
    <row r="12">
      <c r="A12" s="111">
        <f>IF('Years'!B15="","",'Years'!B15)</f>
        <v/>
      </c>
      <c r="B12" s="112">
        <f>IF(A12="","",IFERROR(IF(DeptFilter="(All departments)",AVERAGEIFS(DataRating,DataYear,A12),AVERAGEIFS(DataRating,DataYear,A12,DataDept,DeptFilter)),NA()))</f>
        <v/>
      </c>
      <c r="D12">
        <f>A12</f>
        <v/>
      </c>
      <c r="E12" s="112">
        <f>IF(OR(D12="",EmpFilter=""),"",IFERROR(AVERAGEIFS(DataRating,DataYear,D12,DataEmployee,EmpFilter),NA()))</f>
        <v/>
      </c>
      <c r="G12">
        <f>IF('Skills'!B13="","",'Skills'!B13)</f>
        <v/>
      </c>
      <c r="H12">
        <f>IF(OR(G12="",EmpFilter="",DashFromYear=""),"",IF(COUNTIFS(DataEmployee,EmpFilter,DataSkill,G12,DataYear,DashFromYear,DataRating,"&gt;=1")=0,"",IFERROR(SUMIFS(DataRating,DataEmployee,EmpFilter,DataSkill,G12,DataYear,DashFromYear),"")))</f>
        <v/>
      </c>
      <c r="I12">
        <f>IF(OR(G12="",EmpFilter="",DashToYear=""),"",IF(COUNTIFS(DataEmployee,EmpFilter,DataSkill,G12,DataYear,DashToYear,DataRating,"&gt;=1")=0,"",IFERROR(SUMIFS(DataRating,DataEmployee,EmpFilter,DataSkill,G12,DataYear,DashToYear),"")))</f>
        <v/>
      </c>
      <c r="L12">
        <f>IF('Employees'!B10="","",'Employees'!B10)</f>
        <v/>
      </c>
      <c r="M12" s="112">
        <f>IF(OR(L12="",SkillSetFilter="",DashToYear=""),"",IF(COUNTIFS(DataEmployee,L12,DataSkill,SkillSetFilter,DataYear,DashToYear,DataRating,"&gt;=1")=0,"",SUMIFS(DataRating,DataEmployee,L12,DataSkill,SkillSetFilter,DataYear,DashToYear)))</f>
        <v/>
      </c>
      <c r="N12" s="112">
        <f>IF(OR(L12="",SkillSetFilter="",DashFromYear=""),"",IF(COUNTIFS(DataEmployee,L12,DataSkill,SkillSetFilter,DataYear,DashFromYear,DataRating,"&gt;=1")=0,"",SUMIFS(DataRating,DataEmployee,L12,DataSkill,SkillSetFilter,DataYear,DashFromYear)))</f>
        <v/>
      </c>
      <c r="Q12">
        <f>IF(OR(L12="",M12=""),"",RANK(M12,$M$8:$M$23,0)+COUNTIF($M$8:M12,M12)-1)</f>
        <v/>
      </c>
      <c r="S12">
        <f>IFERROR(INDEX($L$8:$L$23,MATCH(5,$Q$8:$Q$23,0)),"")</f>
        <v/>
      </c>
      <c r="T12" s="112">
        <f>IFERROR(INDEX($M$8:$M$23,MATCH(5,$Q$8:$Q$23,0)),"")</f>
        <v/>
      </c>
      <c r="AH12" s="111">
        <f>IF(OR(ViewMode="Skillsets",A12=""),NA(),A12)</f>
        <v/>
      </c>
      <c r="AI12" s="112">
        <f>IF(ViewMode="Team",IF(OR(B12="",ISNA(B12)),NA(),B12),IF(ViewMode="Individual",IF(OR(E12="",ISNA(E12)),NA(),E12),NA()))</f>
        <v/>
      </c>
    </row>
    <row r="13">
      <c r="A13" s="111">
        <f>IF('Years'!B16="","",'Years'!B16)</f>
        <v/>
      </c>
      <c r="B13" s="112">
        <f>IF(A13="","",IFERROR(IF(DeptFilter="(All departments)",AVERAGEIFS(DataRating,DataYear,A13),AVERAGEIFS(DataRating,DataYear,A13,DataDept,DeptFilter)),NA()))</f>
        <v/>
      </c>
      <c r="D13">
        <f>A13</f>
        <v/>
      </c>
      <c r="E13" s="112">
        <f>IF(OR(D13="",EmpFilter=""),"",IFERROR(AVERAGEIFS(DataRating,DataYear,D13,DataEmployee,EmpFilter),NA()))</f>
        <v/>
      </c>
      <c r="G13">
        <f>IF('Skills'!B14="","",'Skills'!B14)</f>
        <v/>
      </c>
      <c r="H13">
        <f>IF(OR(G13="",EmpFilter="",DashFromYear=""),"",IF(COUNTIFS(DataEmployee,EmpFilter,DataSkill,G13,DataYear,DashFromYear,DataRating,"&gt;=1")=0,"",IFERROR(SUMIFS(DataRating,DataEmployee,EmpFilter,DataSkill,G13,DataYear,DashFromYear),"")))</f>
        <v/>
      </c>
      <c r="I13">
        <f>IF(OR(G13="",EmpFilter="",DashToYear=""),"",IF(COUNTIFS(DataEmployee,EmpFilter,DataSkill,G13,DataYear,DashToYear,DataRating,"&gt;=1")=0,"",IFERROR(SUMIFS(DataRating,DataEmployee,EmpFilter,DataSkill,G13,DataYear,DashToYear),"")))</f>
        <v/>
      </c>
      <c r="L13">
        <f>IF('Employees'!B11="","",'Employees'!B11)</f>
        <v/>
      </c>
      <c r="M13" s="112">
        <f>IF(OR(L13="",SkillSetFilter="",DashToYear=""),"",IF(COUNTIFS(DataEmployee,L13,DataSkill,SkillSetFilter,DataYear,DashToYear,DataRating,"&gt;=1")=0,"",SUMIFS(DataRating,DataEmployee,L13,DataSkill,SkillSetFilter,DataYear,DashToYear)))</f>
        <v/>
      </c>
      <c r="N13" s="112">
        <f>IF(OR(L13="",SkillSetFilter="",DashFromYear=""),"",IF(COUNTIFS(DataEmployee,L13,DataSkill,SkillSetFilter,DataYear,DashFromYear,DataRating,"&gt;=1")=0,"",SUMIFS(DataRating,DataEmployee,L13,DataSkill,SkillSetFilter,DataYear,DashFromYear)))</f>
        <v/>
      </c>
      <c r="Q13">
        <f>IF(OR(L13="",M13=""),"",RANK(M13,$M$8:$M$23,0)+COUNTIF($M$8:M13,M13)-1)</f>
        <v/>
      </c>
      <c r="S13">
        <f>IFERROR(INDEX($L$8:$L$23,MATCH(6,$Q$8:$Q$23,0)),"")</f>
        <v/>
      </c>
      <c r="T13" s="112">
        <f>IFERROR(INDEX($M$8:$M$23,MATCH(6,$Q$8:$Q$23,0)),"")</f>
        <v/>
      </c>
      <c r="AH13" s="111">
        <f>IF(OR(ViewMode="Skillsets",A13=""),NA(),A13)</f>
        <v/>
      </c>
      <c r="AI13" s="112">
        <f>IF(ViewMode="Team",IF(OR(B13="",ISNA(B13)),NA(),B13),IF(ViewMode="Individual",IF(OR(E13="",ISNA(E13)),NA(),E13),NA()))</f>
        <v/>
      </c>
    </row>
    <row r="14">
      <c r="A14" s="111">
        <f>IF('Years'!B17="","",'Years'!B17)</f>
        <v/>
      </c>
      <c r="B14" s="112">
        <f>IF(A14="","",IFERROR(IF(DeptFilter="(All departments)",AVERAGEIFS(DataRating,DataYear,A14),AVERAGEIFS(DataRating,DataYear,A14,DataDept,DeptFilter)),NA()))</f>
        <v/>
      </c>
      <c r="D14">
        <f>A14</f>
        <v/>
      </c>
      <c r="E14" s="112">
        <f>IF(OR(D14="",EmpFilter=""),"",IFERROR(AVERAGEIFS(DataRating,DataYear,D14,DataEmployee,EmpFilter),NA()))</f>
        <v/>
      </c>
      <c r="G14">
        <f>IF('Skills'!B15="","",'Skills'!B15)</f>
        <v/>
      </c>
      <c r="H14">
        <f>IF(OR(G14="",EmpFilter="",DashFromYear=""),"",IF(COUNTIFS(DataEmployee,EmpFilter,DataSkill,G14,DataYear,DashFromYear,DataRating,"&gt;=1")=0,"",IFERROR(SUMIFS(DataRating,DataEmployee,EmpFilter,DataSkill,G14,DataYear,DashFromYear),"")))</f>
        <v/>
      </c>
      <c r="I14">
        <f>IF(OR(G14="",EmpFilter="",DashToYear=""),"",IF(COUNTIFS(DataEmployee,EmpFilter,DataSkill,G14,DataYear,DashToYear,DataRating,"&gt;=1")=0,"",IFERROR(SUMIFS(DataRating,DataEmployee,EmpFilter,DataSkill,G14,DataYear,DashToYear),"")))</f>
        <v/>
      </c>
      <c r="L14">
        <f>IF('Employees'!B12="","",'Employees'!B12)</f>
        <v/>
      </c>
      <c r="M14" s="112">
        <f>IF(OR(L14="",SkillSetFilter="",DashToYear=""),"",IF(COUNTIFS(DataEmployee,L14,DataSkill,SkillSetFilter,DataYear,DashToYear,DataRating,"&gt;=1")=0,"",SUMIFS(DataRating,DataEmployee,L14,DataSkill,SkillSetFilter,DataYear,DashToYear)))</f>
        <v/>
      </c>
      <c r="N14" s="112">
        <f>IF(OR(L14="",SkillSetFilter="",DashFromYear=""),"",IF(COUNTIFS(DataEmployee,L14,DataSkill,SkillSetFilter,DataYear,DashFromYear,DataRating,"&gt;=1")=0,"",SUMIFS(DataRating,DataEmployee,L14,DataSkill,SkillSetFilter,DataYear,DashFromYear)))</f>
        <v/>
      </c>
      <c r="Q14">
        <f>IF(OR(L14="",M14=""),"",RANK(M14,$M$8:$M$23,0)+COUNTIF($M$8:M14,M14)-1)</f>
        <v/>
      </c>
      <c r="S14">
        <f>IFERROR(INDEX($L$8:$L$23,MATCH(7,$Q$8:$Q$23,0)),"")</f>
        <v/>
      </c>
      <c r="T14" s="112">
        <f>IFERROR(INDEX($M$8:$M$23,MATCH(7,$Q$8:$Q$23,0)),"")</f>
        <v/>
      </c>
      <c r="AH14" s="111">
        <f>IF(OR(ViewMode="Skillsets",A14=""),NA(),A14)</f>
        <v/>
      </c>
      <c r="AI14" s="112">
        <f>IF(ViewMode="Team",IF(OR(B14="",ISNA(B14)),NA(),B14),IF(ViewMode="Individual",IF(OR(E14="",ISNA(E14)),NA(),E14),NA()))</f>
        <v/>
      </c>
    </row>
    <row r="15">
      <c r="A15" s="111">
        <f>IF('Years'!B18="","",'Years'!B18)</f>
        <v/>
      </c>
      <c r="B15" s="112">
        <f>IF(A15="","",IFERROR(IF(DeptFilter="(All departments)",AVERAGEIFS(DataRating,DataYear,A15),AVERAGEIFS(DataRating,DataYear,A15,DataDept,DeptFilter)),NA()))</f>
        <v/>
      </c>
      <c r="D15">
        <f>A15</f>
        <v/>
      </c>
      <c r="E15" s="112">
        <f>IF(OR(D15="",EmpFilter=""),"",IFERROR(AVERAGEIFS(DataRating,DataYear,D15,DataEmployee,EmpFilter),NA()))</f>
        <v/>
      </c>
      <c r="G15">
        <f>IF('Skills'!B16="","",'Skills'!B16)</f>
        <v/>
      </c>
      <c r="H15">
        <f>IF(OR(G15="",EmpFilter="",DashFromYear=""),"",IF(COUNTIFS(DataEmployee,EmpFilter,DataSkill,G15,DataYear,DashFromYear,DataRating,"&gt;=1")=0,"",IFERROR(SUMIFS(DataRating,DataEmployee,EmpFilter,DataSkill,G15,DataYear,DashFromYear),"")))</f>
        <v/>
      </c>
      <c r="I15">
        <f>IF(OR(G15="",EmpFilter="",DashToYear=""),"",IF(COUNTIFS(DataEmployee,EmpFilter,DataSkill,G15,DataYear,DashToYear,DataRating,"&gt;=1")=0,"",IFERROR(SUMIFS(DataRating,DataEmployee,EmpFilter,DataSkill,G15,DataYear,DashToYear),"")))</f>
        <v/>
      </c>
      <c r="L15">
        <f>IF('Employees'!B13="","",'Employees'!B13)</f>
        <v/>
      </c>
      <c r="M15" s="112">
        <f>IF(OR(L15="",SkillSetFilter="",DashToYear=""),"",IF(COUNTIFS(DataEmployee,L15,DataSkill,SkillSetFilter,DataYear,DashToYear,DataRating,"&gt;=1")=0,"",SUMIFS(DataRating,DataEmployee,L15,DataSkill,SkillSetFilter,DataYear,DashToYear)))</f>
        <v/>
      </c>
      <c r="N15" s="112">
        <f>IF(OR(L15="",SkillSetFilter="",DashFromYear=""),"",IF(COUNTIFS(DataEmployee,L15,DataSkill,SkillSetFilter,DataYear,DashFromYear,DataRating,"&gt;=1")=0,"",SUMIFS(DataRating,DataEmployee,L15,DataSkill,SkillSetFilter,DataYear,DashFromYear)))</f>
        <v/>
      </c>
      <c r="Q15">
        <f>IF(OR(L15="",M15=""),"",RANK(M15,$M$8:$M$23,0)+COUNTIF($M$8:M15,M15)-1)</f>
        <v/>
      </c>
      <c r="S15">
        <f>IFERROR(INDEX($L$8:$L$23,MATCH(8,$Q$8:$Q$23,0)),"")</f>
        <v/>
      </c>
      <c r="T15" s="112">
        <f>IFERROR(INDEX($M$8:$M$23,MATCH(8,$Q$8:$Q$23,0)),"")</f>
        <v/>
      </c>
      <c r="AH15" s="111">
        <f>IF(OR(ViewMode="Skillsets",A15=""),NA(),A15)</f>
        <v/>
      </c>
      <c r="AI15" s="112">
        <f>IF(ViewMode="Team",IF(OR(B15="",ISNA(B15)),NA(),B15),IF(ViewMode="Individual",IF(OR(E15="",ISNA(E15)),NA(),E15),NA()))</f>
        <v/>
      </c>
    </row>
    <row r="16">
      <c r="A16" s="111">
        <f>IF('Years'!B19="","",'Years'!B19)</f>
        <v/>
      </c>
      <c r="B16" s="112">
        <f>IF(A16="","",IFERROR(IF(DeptFilter="(All departments)",AVERAGEIFS(DataRating,DataYear,A16),AVERAGEIFS(DataRating,DataYear,A16,DataDept,DeptFilter)),NA()))</f>
        <v/>
      </c>
      <c r="D16">
        <f>A16</f>
        <v/>
      </c>
      <c r="E16" s="112">
        <f>IF(OR(D16="",EmpFilter=""),"",IFERROR(AVERAGEIFS(DataRating,DataYear,D16,DataEmployee,EmpFilter),NA()))</f>
        <v/>
      </c>
      <c r="G16">
        <f>IF('Skills'!B17="","",'Skills'!B17)</f>
        <v/>
      </c>
      <c r="H16">
        <f>IF(OR(G16="",EmpFilter="",DashFromYear=""),"",IF(COUNTIFS(DataEmployee,EmpFilter,DataSkill,G16,DataYear,DashFromYear,DataRating,"&gt;=1")=0,"",IFERROR(SUMIFS(DataRating,DataEmployee,EmpFilter,DataSkill,G16,DataYear,DashFromYear),"")))</f>
        <v/>
      </c>
      <c r="I16">
        <f>IF(OR(G16="",EmpFilter="",DashToYear=""),"",IF(COUNTIFS(DataEmployee,EmpFilter,DataSkill,G16,DataYear,DashToYear,DataRating,"&gt;=1")=0,"",IFERROR(SUMIFS(DataRating,DataEmployee,EmpFilter,DataSkill,G16,DataYear,DashToYear),"")))</f>
        <v/>
      </c>
      <c r="L16">
        <f>IF('Employees'!B14="","",'Employees'!B14)</f>
        <v/>
      </c>
      <c r="M16" s="112">
        <f>IF(OR(L16="",SkillSetFilter="",DashToYear=""),"",IF(COUNTIFS(DataEmployee,L16,DataSkill,SkillSetFilter,DataYear,DashToYear,DataRating,"&gt;=1")=0,"",SUMIFS(DataRating,DataEmployee,L16,DataSkill,SkillSetFilter,DataYear,DashToYear)))</f>
        <v/>
      </c>
      <c r="N16" s="112">
        <f>IF(OR(L16="",SkillSetFilter="",DashFromYear=""),"",IF(COUNTIFS(DataEmployee,L16,DataSkill,SkillSetFilter,DataYear,DashFromYear,DataRating,"&gt;=1")=0,"",SUMIFS(DataRating,DataEmployee,L16,DataSkill,SkillSetFilter,DataYear,DashFromYear)))</f>
        <v/>
      </c>
      <c r="Q16">
        <f>IF(OR(L16="",M16=""),"",RANK(M16,$M$8:$M$23,0)+COUNTIF($M$8:M16,M16)-1)</f>
        <v/>
      </c>
      <c r="S16">
        <f>IFERROR(INDEX($L$8:$L$23,MATCH(9,$Q$8:$Q$23,0)),"")</f>
        <v/>
      </c>
      <c r="T16" s="112">
        <f>IFERROR(INDEX($M$8:$M$23,MATCH(9,$Q$8:$Q$23,0)),"")</f>
        <v/>
      </c>
      <c r="AH16" s="111">
        <f>IF(OR(ViewMode="Skillsets",A16=""),NA(),A16)</f>
        <v/>
      </c>
      <c r="AI16" s="112">
        <f>IF(ViewMode="Team",IF(OR(B16="",ISNA(B16)),NA(),B16),IF(ViewMode="Individual",IF(OR(E16="",ISNA(E16)),NA(),E16),NA()))</f>
        <v/>
      </c>
    </row>
    <row r="17">
      <c r="A17" s="111">
        <f>IF('Years'!B20="","",'Years'!B20)</f>
        <v/>
      </c>
      <c r="B17" s="112">
        <f>IF(A17="","",IFERROR(IF(DeptFilter="(All departments)",AVERAGEIFS(DataRating,DataYear,A17),AVERAGEIFS(DataRating,DataYear,A17,DataDept,DeptFilter)),NA()))</f>
        <v/>
      </c>
      <c r="D17">
        <f>A17</f>
        <v/>
      </c>
      <c r="E17" s="112">
        <f>IF(OR(D17="",EmpFilter=""),"",IFERROR(AVERAGEIFS(DataRating,DataYear,D17,DataEmployee,EmpFilter),NA()))</f>
        <v/>
      </c>
      <c r="G17">
        <f>IF('Skills'!B18="","",'Skills'!B18)</f>
        <v/>
      </c>
      <c r="H17">
        <f>IF(OR(G17="",EmpFilter="",DashFromYear=""),"",IF(COUNTIFS(DataEmployee,EmpFilter,DataSkill,G17,DataYear,DashFromYear,DataRating,"&gt;=1")=0,"",IFERROR(SUMIFS(DataRating,DataEmployee,EmpFilter,DataSkill,G17,DataYear,DashFromYear),"")))</f>
        <v/>
      </c>
      <c r="I17">
        <f>IF(OR(G17="",EmpFilter="",DashToYear=""),"",IF(COUNTIFS(DataEmployee,EmpFilter,DataSkill,G17,DataYear,DashToYear,DataRating,"&gt;=1")=0,"",IFERROR(SUMIFS(DataRating,DataEmployee,EmpFilter,DataSkill,G17,DataYear,DashToYear),"")))</f>
        <v/>
      </c>
      <c r="L17">
        <f>IF('Employees'!B15="","",'Employees'!B15)</f>
        <v/>
      </c>
      <c r="M17" s="112">
        <f>IF(OR(L17="",SkillSetFilter="",DashToYear=""),"",IF(COUNTIFS(DataEmployee,L17,DataSkill,SkillSetFilter,DataYear,DashToYear,DataRating,"&gt;=1")=0,"",SUMIFS(DataRating,DataEmployee,L17,DataSkill,SkillSetFilter,DataYear,DashToYear)))</f>
        <v/>
      </c>
      <c r="N17" s="112">
        <f>IF(OR(L17="",SkillSetFilter="",DashFromYear=""),"",IF(COUNTIFS(DataEmployee,L17,DataSkill,SkillSetFilter,DataYear,DashFromYear,DataRating,"&gt;=1")=0,"",SUMIFS(DataRating,DataEmployee,L17,DataSkill,SkillSetFilter,DataYear,DashFromYear)))</f>
        <v/>
      </c>
      <c r="Q17">
        <f>IF(OR(L17="",M17=""),"",RANK(M17,$M$8:$M$23,0)+COUNTIF($M$8:M17,M17)-1)</f>
        <v/>
      </c>
      <c r="S17">
        <f>IFERROR(INDEX($L$8:$L$23,MATCH(10,$Q$8:$Q$23,0)),"")</f>
        <v/>
      </c>
      <c r="T17" s="112">
        <f>IFERROR(INDEX($M$8:$M$23,MATCH(10,$Q$8:$Q$23,0)),"")</f>
        <v/>
      </c>
      <c r="AH17" s="111">
        <f>IF(OR(ViewMode="Skillsets",A17=""),NA(),A17)</f>
        <v/>
      </c>
      <c r="AI17" s="112">
        <f>IF(ViewMode="Team",IF(OR(B17="",ISNA(B17)),NA(),B17),IF(ViewMode="Individual",IF(OR(E17="",ISNA(E17)),NA(),E17),NA()))</f>
        <v/>
      </c>
    </row>
    <row r="18">
      <c r="A18" s="111">
        <f>IF('Years'!B21="","",'Years'!B21)</f>
        <v/>
      </c>
      <c r="B18" s="112">
        <f>IF(A18="","",IFERROR(IF(DeptFilter="(All departments)",AVERAGEIFS(DataRating,DataYear,A18),AVERAGEIFS(DataRating,DataYear,A18,DataDept,DeptFilter)),NA()))</f>
        <v/>
      </c>
      <c r="D18">
        <f>A18</f>
        <v/>
      </c>
      <c r="E18" s="112">
        <f>IF(OR(D18="",EmpFilter=""),"",IFERROR(AVERAGEIFS(DataRating,DataYear,D18,DataEmployee,EmpFilter),NA()))</f>
        <v/>
      </c>
      <c r="G18">
        <f>IF('Skills'!B19="","",'Skills'!B19)</f>
        <v/>
      </c>
      <c r="H18">
        <f>IF(OR(G18="",EmpFilter="",DashFromYear=""),"",IF(COUNTIFS(DataEmployee,EmpFilter,DataSkill,G18,DataYear,DashFromYear,DataRating,"&gt;=1")=0,"",IFERROR(SUMIFS(DataRating,DataEmployee,EmpFilter,DataSkill,G18,DataYear,DashFromYear),"")))</f>
        <v/>
      </c>
      <c r="I18">
        <f>IF(OR(G18="",EmpFilter="",DashToYear=""),"",IF(COUNTIFS(DataEmployee,EmpFilter,DataSkill,G18,DataYear,DashToYear,DataRating,"&gt;=1")=0,"",IFERROR(SUMIFS(DataRating,DataEmployee,EmpFilter,DataSkill,G18,DataYear,DashToYear),"")))</f>
        <v/>
      </c>
      <c r="L18">
        <f>IF('Employees'!B16="","",'Employees'!B16)</f>
        <v/>
      </c>
      <c r="M18" s="112">
        <f>IF(OR(L18="",SkillSetFilter="",DashToYear=""),"",IF(COUNTIFS(DataEmployee,L18,DataSkill,SkillSetFilter,DataYear,DashToYear,DataRating,"&gt;=1")=0,"",SUMIFS(DataRating,DataEmployee,L18,DataSkill,SkillSetFilter,DataYear,DashToYear)))</f>
        <v/>
      </c>
      <c r="N18" s="112">
        <f>IF(OR(L18="",SkillSetFilter="",DashFromYear=""),"",IF(COUNTIFS(DataEmployee,L18,DataSkill,SkillSetFilter,DataYear,DashFromYear,DataRating,"&gt;=1")=0,"",SUMIFS(DataRating,DataEmployee,L18,DataSkill,SkillSetFilter,DataYear,DashFromYear)))</f>
        <v/>
      </c>
      <c r="Q18">
        <f>IF(OR(L18="",M18=""),"",RANK(M18,$M$8:$M$23,0)+COUNTIF($M$8:M18,M18)-1)</f>
        <v/>
      </c>
      <c r="S18">
        <f>IFERROR(INDEX($L$8:$L$23,MATCH(11,$Q$8:$Q$23,0)),"")</f>
        <v/>
      </c>
      <c r="T18" s="112">
        <f>IFERROR(INDEX($M$8:$M$23,MATCH(11,$Q$8:$Q$23,0)),"")</f>
        <v/>
      </c>
      <c r="AH18" s="111">
        <f>IF(OR(ViewMode="Skillsets",A18=""),NA(),A18)</f>
        <v/>
      </c>
      <c r="AI18" s="112">
        <f>IF(ViewMode="Team",IF(OR(B18="",ISNA(B18)),NA(),B18),IF(ViewMode="Individual",IF(OR(E18="",ISNA(E18)),NA(),E18),NA()))</f>
        <v/>
      </c>
    </row>
    <row r="19">
      <c r="A19" s="111">
        <f>IF('Years'!B22="","",'Years'!B22)</f>
        <v/>
      </c>
      <c r="B19" s="112">
        <f>IF(A19="","",IFERROR(IF(DeptFilter="(All departments)",AVERAGEIFS(DataRating,DataYear,A19),AVERAGEIFS(DataRating,DataYear,A19,DataDept,DeptFilter)),NA()))</f>
        <v/>
      </c>
      <c r="D19">
        <f>A19</f>
        <v/>
      </c>
      <c r="E19" s="112">
        <f>IF(OR(D19="",EmpFilter=""),"",IFERROR(AVERAGEIFS(DataRating,DataYear,D19,DataEmployee,EmpFilter),NA()))</f>
        <v/>
      </c>
      <c r="G19">
        <f>IF('Skills'!B20="","",'Skills'!B20)</f>
        <v/>
      </c>
      <c r="H19">
        <f>IF(OR(G19="",EmpFilter="",DashFromYear=""),"",IF(COUNTIFS(DataEmployee,EmpFilter,DataSkill,G19,DataYear,DashFromYear,DataRating,"&gt;=1")=0,"",IFERROR(SUMIFS(DataRating,DataEmployee,EmpFilter,DataSkill,G19,DataYear,DashFromYear),"")))</f>
        <v/>
      </c>
      <c r="I19">
        <f>IF(OR(G19="",EmpFilter="",DashToYear=""),"",IF(COUNTIFS(DataEmployee,EmpFilter,DataSkill,G19,DataYear,DashToYear,DataRating,"&gt;=1")=0,"",IFERROR(SUMIFS(DataRating,DataEmployee,EmpFilter,DataSkill,G19,DataYear,DashToYear),"")))</f>
        <v/>
      </c>
      <c r="L19">
        <f>IF('Employees'!B17="","",'Employees'!B17)</f>
        <v/>
      </c>
      <c r="M19" s="112">
        <f>IF(OR(L19="",SkillSetFilter="",DashToYear=""),"",IF(COUNTIFS(DataEmployee,L19,DataSkill,SkillSetFilter,DataYear,DashToYear,DataRating,"&gt;=1")=0,"",SUMIFS(DataRating,DataEmployee,L19,DataSkill,SkillSetFilter,DataYear,DashToYear)))</f>
        <v/>
      </c>
      <c r="N19" s="112">
        <f>IF(OR(L19="",SkillSetFilter="",DashFromYear=""),"",IF(COUNTIFS(DataEmployee,L19,DataSkill,SkillSetFilter,DataYear,DashFromYear,DataRating,"&gt;=1")=0,"",SUMIFS(DataRating,DataEmployee,L19,DataSkill,SkillSetFilter,DataYear,DashFromYear)))</f>
        <v/>
      </c>
      <c r="Q19">
        <f>IF(OR(L19="",M19=""),"",RANK(M19,$M$8:$M$23,0)+COUNTIF($M$8:M19,M19)-1)</f>
        <v/>
      </c>
      <c r="S19">
        <f>IFERROR(INDEX($L$8:$L$23,MATCH(12,$Q$8:$Q$23,0)),"")</f>
        <v/>
      </c>
      <c r="T19" s="112">
        <f>IFERROR(INDEX($M$8:$M$23,MATCH(12,$Q$8:$Q$23,0)),"")</f>
        <v/>
      </c>
      <c r="AH19" s="111">
        <f>IF(OR(ViewMode="Skillsets",A19=""),NA(),A19)</f>
        <v/>
      </c>
      <c r="AI19" s="112">
        <f>IF(ViewMode="Team",IF(OR(B19="",ISNA(B19)),NA(),B19),IF(ViewMode="Individual",IF(OR(E19="",ISNA(E19)),NA(),E19),NA()))</f>
        <v/>
      </c>
    </row>
    <row r="20">
      <c r="A20" s="111">
        <f>IF('Years'!B23="","",'Years'!B23)</f>
        <v/>
      </c>
      <c r="B20" s="112">
        <f>IF(A20="","",IFERROR(IF(DeptFilter="(All departments)",AVERAGEIFS(DataRating,DataYear,A20),AVERAGEIFS(DataRating,DataYear,A20,DataDept,DeptFilter)),NA()))</f>
        <v/>
      </c>
      <c r="D20">
        <f>A20</f>
        <v/>
      </c>
      <c r="E20" s="112">
        <f>IF(OR(D20="",EmpFilter=""),"",IFERROR(AVERAGEIFS(DataRating,DataYear,D20,DataEmployee,EmpFilter),NA()))</f>
        <v/>
      </c>
      <c r="G20">
        <f>IF('Skills'!B21="","",'Skills'!B21)</f>
        <v/>
      </c>
      <c r="H20">
        <f>IF(OR(G20="",EmpFilter="",DashFromYear=""),"",IF(COUNTIFS(DataEmployee,EmpFilter,DataSkill,G20,DataYear,DashFromYear,DataRating,"&gt;=1")=0,"",IFERROR(SUMIFS(DataRating,DataEmployee,EmpFilter,DataSkill,G20,DataYear,DashFromYear),"")))</f>
        <v/>
      </c>
      <c r="I20">
        <f>IF(OR(G20="",EmpFilter="",DashToYear=""),"",IF(COUNTIFS(DataEmployee,EmpFilter,DataSkill,G20,DataYear,DashToYear,DataRating,"&gt;=1")=0,"",IFERROR(SUMIFS(DataRating,DataEmployee,EmpFilter,DataSkill,G20,DataYear,DashToYear),"")))</f>
        <v/>
      </c>
      <c r="L20">
        <f>IF('Employees'!B18="","",'Employees'!B18)</f>
        <v/>
      </c>
      <c r="M20" s="112">
        <f>IF(OR(L20="",SkillSetFilter="",DashToYear=""),"",IF(COUNTIFS(DataEmployee,L20,DataSkill,SkillSetFilter,DataYear,DashToYear,DataRating,"&gt;=1")=0,"",SUMIFS(DataRating,DataEmployee,L20,DataSkill,SkillSetFilter,DataYear,DashToYear)))</f>
        <v/>
      </c>
      <c r="N20" s="112">
        <f>IF(OR(L20="",SkillSetFilter="",DashFromYear=""),"",IF(COUNTIFS(DataEmployee,L20,DataSkill,SkillSetFilter,DataYear,DashFromYear,DataRating,"&gt;=1")=0,"",SUMIFS(DataRating,DataEmployee,L20,DataSkill,SkillSetFilter,DataYear,DashFromYear)))</f>
        <v/>
      </c>
      <c r="Q20">
        <f>IF(OR(L20="",M20=""),"",RANK(M20,$M$8:$M$23,0)+COUNTIF($M$8:M20,M20)-1)</f>
        <v/>
      </c>
      <c r="S20">
        <f>IFERROR(INDEX($L$8:$L$23,MATCH(13,$Q$8:$Q$23,0)),"")</f>
        <v/>
      </c>
      <c r="T20" s="112">
        <f>IFERROR(INDEX($M$8:$M$23,MATCH(13,$Q$8:$Q$23,0)),"")</f>
        <v/>
      </c>
      <c r="AH20" s="111">
        <f>IF(OR(ViewMode="Skillsets",A20=""),NA(),A20)</f>
        <v/>
      </c>
      <c r="AI20" s="112">
        <f>IF(ViewMode="Team",IF(OR(B20="",ISNA(B20)),NA(),B20),IF(ViewMode="Individual",IF(OR(E20="",ISNA(E20)),NA(),E20),NA()))</f>
        <v/>
      </c>
    </row>
    <row r="21">
      <c r="L21">
        <f>IF('Employees'!B19="","",'Employees'!B19)</f>
        <v/>
      </c>
      <c r="M21" s="112">
        <f>IF(OR(L21="",SkillSetFilter="",DashToYear=""),"",IF(COUNTIFS(DataEmployee,L21,DataSkill,SkillSetFilter,DataYear,DashToYear,DataRating,"&gt;=1")=0,"",SUMIFS(DataRating,DataEmployee,L21,DataSkill,SkillSetFilter,DataYear,DashToYear)))</f>
        <v/>
      </c>
      <c r="N21" s="112">
        <f>IF(OR(L21="",SkillSetFilter="",DashFromYear=""),"",IF(COUNTIFS(DataEmployee,L21,DataSkill,SkillSetFilter,DataYear,DashFromYear,DataRating,"&gt;=1")=0,"",SUMIFS(DataRating,DataEmployee,L21,DataSkill,SkillSetFilter,DataYear,DashFromYear)))</f>
        <v/>
      </c>
      <c r="Q21">
        <f>IF(OR(L21="",M21=""),"",RANK(M21,$M$8:$M$23,0)+COUNTIF($M$8:M21,M21)-1)</f>
        <v/>
      </c>
      <c r="S21">
        <f>IFERROR(INDEX($L$8:$L$23,MATCH(14,$Q$8:$Q$23,0)),"")</f>
        <v/>
      </c>
      <c r="T21" s="112">
        <f>IFERROR(INDEX($M$8:$M$23,MATCH(14,$Q$8:$Q$23,0)),"")</f>
        <v/>
      </c>
    </row>
    <row r="22">
      <c r="L22">
        <f>IF('Employees'!B20="","",'Employees'!B20)</f>
        <v/>
      </c>
      <c r="M22" s="112">
        <f>IF(OR(L22="",SkillSetFilter="",DashToYear=""),"",IF(COUNTIFS(DataEmployee,L22,DataSkill,SkillSetFilter,DataYear,DashToYear,DataRating,"&gt;=1")=0,"",SUMIFS(DataRating,DataEmployee,L22,DataSkill,SkillSetFilter,DataYear,DashToYear)))</f>
        <v/>
      </c>
      <c r="N22" s="112">
        <f>IF(OR(L22="",SkillSetFilter="",DashFromYear=""),"",IF(COUNTIFS(DataEmployee,L22,DataSkill,SkillSetFilter,DataYear,DashFromYear,DataRating,"&gt;=1")=0,"",SUMIFS(DataRating,DataEmployee,L22,DataSkill,SkillSetFilter,DataYear,DashFromYear)))</f>
        <v/>
      </c>
      <c r="Q22">
        <f>IF(OR(L22="",M22=""),"",RANK(M22,$M$8:$M$23,0)+COUNTIF($M$8:M22,M22)-1)</f>
        <v/>
      </c>
      <c r="S22">
        <f>IFERROR(INDEX($L$8:$L$23,MATCH(15,$Q$8:$Q$23,0)),"")</f>
        <v/>
      </c>
      <c r="T22" s="112">
        <f>IFERROR(INDEX($M$8:$M$23,MATCH(15,$Q$8:$Q$23,0)),"")</f>
        <v/>
      </c>
    </row>
    <row r="23">
      <c r="L23">
        <f>IF('Employees'!B21="","",'Employees'!B21)</f>
        <v/>
      </c>
      <c r="M23" s="112">
        <f>IF(OR(L23="",SkillSetFilter="",DashToYear=""),"",IF(COUNTIFS(DataEmployee,L23,DataSkill,SkillSetFilter,DataYear,DashToYear,DataRating,"&gt;=1")=0,"",SUMIFS(DataRating,DataEmployee,L23,DataSkill,SkillSetFilter,DataYear,DashToYear)))</f>
        <v/>
      </c>
      <c r="N23" s="112">
        <f>IF(OR(L23="",SkillSetFilter="",DashFromYear=""),"",IF(COUNTIFS(DataEmployee,L23,DataSkill,SkillSetFilter,DataYear,DashFromYear,DataRating,"&gt;=1")=0,"",SUMIFS(DataRating,DataEmployee,L23,DataSkill,SkillSetFilter,DataYear,DashFromYear)))</f>
        <v/>
      </c>
      <c r="Q23">
        <f>IF(OR(L23="",M23=""),"",RANK(M23,$M$8:$M$23,0)+COUNTIF($M$8:M23,M23)-1)</f>
        <v/>
      </c>
      <c r="S23">
        <f>IFERROR(INDEX($L$8:$L$23,MATCH(16,$Q$8:$Q$23,0)),"")</f>
        <v/>
      </c>
      <c r="T23" s="112">
        <f>IFERROR(INDEX($M$8:$M$23,MATCH(16,$Q$8:$Q$23,0)),"")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Skill Matrix</dc:creator>
  <dc:title>Employee Skill Matrix</dc:title>
  <dc:description>Rate skillsets 1-5 across multiple years, add people and skillsets later, and compare Team, Skillsets, or Individual on the dashboard.</dc:description>
  <dcterms:created xsi:type="dcterms:W3CDTF">2026-08-17T02:43:59Z</dcterms:created>
  <dcterms:modified xsi:type="dcterms:W3CDTF">2026-08-17T02:43:59Z</dcterms:modified>
</cp:coreProperties>
</file>