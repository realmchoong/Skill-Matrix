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6.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7.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worksheets/sheet8.xml" ContentType="application/vnd.openxmlformats-officedocument.spreadsheetml.worksheet+xml"/>
  <Override PartName="/xl/comments/comment5.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kill Matrix" sheetId="2" state="visible" r:id="rId2"/>
    <sheet name="Dashboard" sheetId="3" state="visible" r:id="rId3"/>
    <sheet name="Employees" sheetId="4" state="visible" r:id="rId4"/>
    <sheet name="Skills" sheetId="5" state="visible" r:id="rId5"/>
    <sheet name="Years" sheetId="6" state="visible" r:id="rId6"/>
    <sheet name="Lists" sheetId="7" state="visible" r:id="rId7"/>
    <sheet name="Skill Sets" sheetId="8" state="visible" r:id="rId8"/>
    <sheet name="Settings" sheetId="9" state="visible" r:id="rId9"/>
    <sheet name="Data" sheetId="10" state="hidden" r:id="rId10"/>
    <sheet name="Calc" sheetId="11" state="hidden" r:id="rId11"/>
  </sheets>
  <definedNames>
    <definedName name="EmployeeList">'Employees'!$B$6:INDEX('Employees'!$B$6:$B$21,COUNTA('Employees'!$B$6:$B$21))</definedName>
    <definedName name="SkillNameList">'Skills'!$B$6:INDEX('Skills'!$B$6:$B$21,COUNTA('Skills'!$B$6:$B$21))</definedName>
    <definedName name="YearList">'Years'!$B$8:INDEX('Years'!$B$8:$B$23,COUNTA('Years'!$B$8:$B$23))</definedName>
    <definedName name="DepartmentList">'Lists'!$A$6:INDEX('Lists'!$A$6:$A$21,COUNTA('Lists'!$A$6:$A$21))</definedName>
    <definedName name="JobTitleList">'Lists'!$C$6:INDEX('Lists'!$C$6:$C$21,COUNTA('Lists'!$C$6:$C$21))</definedName>
    <definedName name="DeptFilterList">'Lists'!$E$6:INDEX('Lists'!$E$6:$E$22,COUNTA('Lists'!$E$6:$E$22))</definedName>
    <definedName name="SkillSetList">'Skill Sets'!$E$6:INDEX('Skill Sets'!$E$6:$E$21,COUNTA('Skill Sets'!$E$6:$E$21))</definedName>
    <definedName name="TargetRating">'Settings'!$B$6</definedName>
    <definedName name="CalendarYear">'Settings'!$B$9</definedName>
    <definedName name="DataEmployee">'Data'!$A$2:$A$4097</definedName>
    <definedName name="DataDept">'Data'!$B$2:$B$4097</definedName>
    <definedName name="DataSkill">'Data'!$D$2:$D$4097</definedName>
    <definedName name="DataYear">'Data'!$F$2:$F$4097</definedName>
    <definedName name="DataRating">'Data'!$G$2:$G$4097</definedName>
    <definedName name="LatestYear">'Calc'!$B$1</definedName>
    <definedName name="PreviousYear">'Calc'!$B$2</definedName>
    <definedName name="EmpFilter">'Dashboard'!$C$5</definedName>
    <definedName name="SkillSetFilter">'Dashboard'!$F$5</definedName>
    <definedName name="DeptFilter">'Dashboard'!$I$5</definedName>
    <definedName name="_xlnm._FilterDatabase" localSheetId="1" hidden="1">'Skill Matrix'!$A$5:$Y$261</definedName>
    <definedName name="_xlnm.Print_Titles" localSheetId="1">'Skill Matrix'!$1:$5,'Skill Matrix'!$A:$D</definedName>
  </definedNames>
  <calcPr calcId="124519" fullCalcOnLoad="1"/>
</workbook>
</file>

<file path=xl/styles.xml><?xml version="1.0" encoding="utf-8"?>
<styleSheet xmlns="http://schemas.openxmlformats.org/spreadsheetml/2006/main">
  <numFmts count="4">
    <numFmt numFmtId="164" formatCode="+0;-0;0"/>
    <numFmt numFmtId="165" formatCode="+0.00;-0.00;0.00"/>
    <numFmt numFmtId="166" formatCode="yyyy-mm-dd"/>
    <numFmt numFmtId="167" formatCode="YYYY-MM-DD"/>
  </numFmts>
  <fonts count="29">
    <font>
      <name val="Calibri"/>
      <family val="2"/>
      <color theme="1"/>
      <sz val="11"/>
      <scheme val="minor"/>
    </font>
    <font>
      <name val="Calibri"/>
      <b val="1"/>
      <color rgb="00FFFFFF"/>
      <sz val="10"/>
      <u val="single"/>
    </font>
    <font>
      <name val="Calibri"/>
      <color rgb="00FFFFFF"/>
      <sz val="10"/>
      <u val="single"/>
    </font>
    <font>
      <name val="Calibri"/>
      <b val="1"/>
      <color rgb="001B365D"/>
      <sz val="22"/>
    </font>
    <font>
      <name val="Calibri"/>
      <color rgb="005E6C7A"/>
      <sz val="12"/>
    </font>
    <font>
      <name val="Calibri"/>
      <b val="1"/>
      <color rgb="00FFFFFF"/>
      <sz val="13"/>
    </font>
    <font>
      <name val="Calibri"/>
      <color rgb="001F2933"/>
      <sz val="11"/>
    </font>
    <font>
      <name val="Calibri"/>
      <b val="1"/>
      <color rgb="001B365D"/>
      <sz val="14"/>
    </font>
    <font>
      <name val="Calibri"/>
      <b val="1"/>
      <color rgb="001F2933"/>
      <sz val="12"/>
    </font>
    <font>
      <name val="Calibri"/>
      <color rgb="001F2933"/>
      <sz val="10"/>
    </font>
    <font>
      <name val="Calibri"/>
      <i val="1"/>
      <color rgb="005E6C7A"/>
      <sz val="10"/>
    </font>
    <font>
      <name val="Calibri"/>
      <color rgb="005E6C7A"/>
      <sz val="11"/>
    </font>
    <font>
      <name val="Calibri"/>
      <b val="1"/>
      <color rgb="00FFFFFF"/>
      <sz val="11"/>
    </font>
    <font>
      <name val="Calibri"/>
      <b val="1"/>
      <color rgb="00FFFFFF"/>
      <sz val="10"/>
    </font>
    <font>
      <name val="Calibri"/>
      <b val="1"/>
      <color rgb="001F2933"/>
      <sz val="11"/>
    </font>
    <font>
      <name val="Calibri"/>
      <color rgb="005E6C7A"/>
      <sz val="10"/>
    </font>
    <font>
      <name val="Calibri"/>
      <i val="1"/>
      <color rgb="005E6C7A"/>
      <sz val="11"/>
    </font>
    <font>
      <name val="Calibri"/>
      <i val="1"/>
      <color rgb="00FFFFFF"/>
      <sz val="10"/>
    </font>
    <font>
      <name val="Calibri"/>
      <b val="1"/>
      <color rgb="00FFFFFF"/>
      <sz val="11"/>
      <u val="single"/>
    </font>
    <font>
      <name val="Calibri"/>
      <b val="1"/>
      <color rgb="000E7C7B"/>
      <sz val="12"/>
    </font>
    <font>
      <name val="Calibri"/>
      <b val="1"/>
      <color rgb="001B365D"/>
      <sz val="12"/>
    </font>
    <font>
      <name val="Calibri"/>
      <b val="1"/>
      <color rgb="00FFFFFF"/>
      <sz val="22"/>
    </font>
    <font>
      <name val="Calibri"/>
      <b val="1"/>
      <color rgb="00FFFFFF"/>
      <sz val="9"/>
    </font>
    <font>
      <name val="Calibri"/>
      <b val="1"/>
      <color rgb="00FFFFFF"/>
      <sz val="20"/>
    </font>
    <font>
      <name val="Calibri"/>
      <b val="1"/>
      <color rgb="001B365D"/>
      <sz val="20"/>
    </font>
    <font>
      <name val="Calibri"/>
      <b val="1"/>
      <color rgb="00FFFFFF"/>
      <sz val="16"/>
    </font>
    <font>
      <name val="Calibri"/>
      <b val="1"/>
      <color rgb="00FFFFFF"/>
      <sz val="13"/>
      <u val="single"/>
    </font>
    <font>
      <name val="Calibri"/>
      <b val="1"/>
      <color rgb="000E7C7B"/>
      <sz val="14"/>
    </font>
    <font>
      <name val="Calibri"/>
      <b val="1"/>
      <color rgb="001F2933"/>
      <sz val="16"/>
    </font>
  </fonts>
  <fills count="20">
    <fill>
      <patternFill/>
    </fill>
    <fill>
      <patternFill patternType="gray125"/>
    </fill>
    <fill>
      <patternFill patternType="solid">
        <fgColor rgb="000E7C7B"/>
      </patternFill>
    </fill>
    <fill>
      <patternFill patternType="solid">
        <fgColor rgb="001B365D"/>
      </patternFill>
    </fill>
    <fill>
      <patternFill patternType="solid">
        <fgColor rgb="00F4F6F8"/>
      </patternFill>
    </fill>
    <fill>
      <patternFill patternType="solid">
        <fgColor rgb="003D5A80"/>
      </patternFill>
    </fill>
    <fill>
      <patternFill patternType="solid">
        <fgColor rgb="00C4A35A"/>
      </patternFill>
    </fill>
    <fill>
      <patternFill patternType="solid">
        <fgColor rgb="00F5D0D0"/>
      </patternFill>
    </fill>
    <fill>
      <patternFill patternType="solid">
        <fgColor rgb="00FAD9C4"/>
      </patternFill>
    </fill>
    <fill>
      <patternFill patternType="solid">
        <fgColor rgb="00FBF3D0"/>
      </patternFill>
    </fill>
    <fill>
      <patternFill patternType="solid">
        <fgColor rgb="00D4EDDA"/>
      </patternFill>
    </fill>
    <fill>
      <patternFill patternType="solid">
        <fgColor rgb="00A8D5BA"/>
      </patternFill>
    </fill>
    <fill>
      <patternFill patternType="solid">
        <fgColor rgb="005B8FB9"/>
      </patternFill>
    </fill>
    <fill>
      <patternFill patternType="solid">
        <fgColor rgb="008A8178"/>
      </patternFill>
    </fill>
    <fill>
      <patternFill patternType="solid">
        <fgColor rgb="00E8F1FA"/>
      </patternFill>
    </fill>
    <fill>
      <patternFill patternType="solid">
        <fgColor rgb="00E6F6F1"/>
      </patternFill>
    </fill>
    <fill>
      <patternFill patternType="solid">
        <fgColor rgb="00F7F5F2"/>
      </patternFill>
    </fill>
    <fill>
      <patternFill patternType="solid">
        <fgColor rgb="00FFF8E7"/>
      </patternFill>
    </fill>
    <fill>
      <patternFill patternType="solid">
        <fgColor rgb="006B5B95"/>
      </patternFill>
    </fill>
    <fill>
      <patternFill patternType="solid">
        <fgColor rgb="00B42318"/>
      </patternFill>
    </fill>
  </fills>
  <borders count="13">
    <border>
      <left/>
      <right/>
      <top/>
      <bottom/>
      <diagonal/>
    </border>
    <border>
      <left style="thin">
        <color rgb="000A3A5C"/>
      </left>
      <right style="thin">
        <color rgb="000A3A5C"/>
      </right>
    </border>
    <border>
      <left style="thin">
        <color rgb="00D0D7DE"/>
      </left>
      <right style="thin">
        <color rgb="00D0D7DE"/>
      </right>
      <top style="thin">
        <color rgb="00D0D7DE"/>
      </top>
      <bottom/>
    </border>
    <border>
      <left style="thin">
        <color rgb="00D0D7DE"/>
      </left>
      <right style="thin">
        <color rgb="00D0D7DE"/>
      </right>
      <top/>
      <bottom/>
    </border>
    <border>
      <left style="thin">
        <color rgb="00D0D7DE"/>
      </left>
      <right style="thin">
        <color rgb="00D0D7DE"/>
      </right>
      <top/>
      <bottom style="thin">
        <color rgb="00D0D7DE"/>
      </bottom>
    </border>
    <border>
      <left style="thin">
        <color rgb="00D0D7DE"/>
      </left>
      <right style="thin">
        <color rgb="00D0D7DE"/>
      </right>
      <top style="thin">
        <color rgb="00D0D7DE"/>
      </top>
      <bottom style="thin">
        <color rgb="00D0D7DE"/>
      </bottom>
    </border>
    <border>
      <left style="medium">
        <color rgb="001B365D"/>
      </left>
      <right style="medium">
        <color rgb="001B365D"/>
      </right>
      <top style="medium">
        <color rgb="001B365D"/>
      </top>
      <bottom style="medium">
        <color rgb="001B365D"/>
      </bottom>
    </border>
    <border>
      <left style="thin">
        <color rgb="00FFFFFF"/>
      </left>
      <right style="thin">
        <color rgb="00FFFFFF"/>
      </right>
    </border>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s>
  <cellStyleXfs count="1">
    <xf numFmtId="0" fontId="0" fillId="0" borderId="0"/>
  </cellStyleXfs>
  <cellXfs count="13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0" fillId="3" borderId="0" pivotButton="0" quotePrefix="0" xfId="0"/>
    <xf numFmtId="0" fontId="3" fillId="0" borderId="0" applyAlignment="1" pivotButton="0" quotePrefix="0" xfId="0">
      <alignment horizontal="left" vertical="center"/>
    </xf>
    <xf numFmtId="0" fontId="4" fillId="0" borderId="0" applyAlignment="1" pivotButton="0" quotePrefix="0" xfId="0">
      <alignment horizontal="left" vertical="center" wrapText="1"/>
    </xf>
    <xf numFmtId="0" fontId="5" fillId="3" borderId="0" applyAlignment="1" pivotButton="0" quotePrefix="0" xfId="0">
      <alignment horizontal="left" vertical="center"/>
    </xf>
    <xf numFmtId="0" fontId="5" fillId="2" borderId="0" applyAlignment="1" pivotButton="0" quotePrefix="0" xfId="0">
      <alignment horizontal="left" vertical="center"/>
    </xf>
    <xf numFmtId="0" fontId="0" fillId="2" borderId="0" pivotButton="0" quotePrefix="0" xfId="0"/>
    <xf numFmtId="0" fontId="6" fillId="4" borderId="2" applyAlignment="1" pivotButton="0" quotePrefix="0" xfId="0">
      <alignment horizontal="left" vertical="top" wrapText="1"/>
    </xf>
    <xf numFmtId="0" fontId="0" fillId="4" borderId="2" pivotButton="0" quotePrefix="0" xfId="0"/>
    <xf numFmtId="0" fontId="0" fillId="4" borderId="3" pivotButton="0" quotePrefix="0" xfId="0"/>
    <xf numFmtId="0" fontId="0" fillId="4" borderId="4" pivotButton="0" quotePrefix="0" xfId="0"/>
    <xf numFmtId="0" fontId="5" fillId="5" borderId="0" applyAlignment="1" pivotButton="0" quotePrefix="0" xfId="0">
      <alignment horizontal="left" vertical="center"/>
    </xf>
    <xf numFmtId="0" fontId="0" fillId="5" borderId="0" pivotButton="0" quotePrefix="0" xfId="0"/>
    <xf numFmtId="0" fontId="5" fillId="6" borderId="0" applyAlignment="1" pivotButton="0" quotePrefix="0" xfId="0">
      <alignment horizontal="left" vertical="center"/>
    </xf>
    <xf numFmtId="0" fontId="0" fillId="6" borderId="0" pivotButton="0" quotePrefix="0" xfId="0"/>
    <xf numFmtId="0" fontId="7" fillId="0" borderId="0" pivotButton="0" quotePrefix="0" xfId="0"/>
    <xf numFmtId="0" fontId="8" fillId="7" borderId="5" applyAlignment="1" pivotButton="0" quotePrefix="0" xfId="0">
      <alignment horizontal="center" vertical="center"/>
    </xf>
    <xf numFmtId="0" fontId="0" fillId="7" borderId="5" pivotButton="0" quotePrefix="0" xfId="0"/>
    <xf numFmtId="0" fontId="8" fillId="8" borderId="5" applyAlignment="1" pivotButton="0" quotePrefix="0" xfId="0">
      <alignment horizontal="center" vertical="center"/>
    </xf>
    <xf numFmtId="0" fontId="0" fillId="8" borderId="5" pivotButton="0" quotePrefix="0" xfId="0"/>
    <xf numFmtId="0" fontId="8" fillId="9" borderId="5" applyAlignment="1" pivotButton="0" quotePrefix="0" xfId="0">
      <alignment horizontal="center" vertical="center"/>
    </xf>
    <xf numFmtId="0" fontId="0" fillId="9" borderId="5" pivotButton="0" quotePrefix="0" xfId="0"/>
    <xf numFmtId="0" fontId="8" fillId="10" borderId="5" applyAlignment="1" pivotButton="0" quotePrefix="0" xfId="0">
      <alignment horizontal="center" vertical="center"/>
    </xf>
    <xf numFmtId="0" fontId="0" fillId="10" borderId="5" pivotButton="0" quotePrefix="0" xfId="0"/>
    <xf numFmtId="0" fontId="8" fillId="11" borderId="5" applyAlignment="1" pivotButton="0" quotePrefix="0" xfId="0">
      <alignment horizontal="center" vertical="center"/>
    </xf>
    <xf numFmtId="0" fontId="0" fillId="11" borderId="5" pivotButton="0" quotePrefix="0" xfId="0"/>
    <xf numFmtId="0" fontId="9" fillId="7" borderId="5" applyAlignment="1" pivotButton="0" quotePrefix="0" xfId="0">
      <alignment horizontal="center" vertical="top" wrapText="1"/>
    </xf>
    <xf numFmtId="0" fontId="9" fillId="8" borderId="5" applyAlignment="1" pivotButton="0" quotePrefix="0" xfId="0">
      <alignment horizontal="center" vertical="top" wrapText="1"/>
    </xf>
    <xf numFmtId="0" fontId="9" fillId="9" borderId="5" applyAlignment="1" pivotButton="0" quotePrefix="0" xfId="0">
      <alignment horizontal="center" vertical="top" wrapText="1"/>
    </xf>
    <xf numFmtId="0" fontId="9" fillId="10" borderId="5" applyAlignment="1" pivotButton="0" quotePrefix="0" xfId="0">
      <alignment horizontal="center" vertical="top" wrapText="1"/>
    </xf>
    <xf numFmtId="0" fontId="9" fillId="11" borderId="5" applyAlignment="1" pivotButton="0" quotePrefix="0" xfId="0">
      <alignment horizontal="center" vertical="top" wrapText="1"/>
    </xf>
    <xf numFmtId="0" fontId="10" fillId="0" borderId="0" applyAlignment="1" pivotButton="0" quotePrefix="0" xfId="0">
      <alignment horizontal="left" vertical="center" wrapText="1"/>
    </xf>
    <xf numFmtId="0" fontId="10" fillId="0" borderId="0" pivotButton="0" quotePrefix="0" xfId="0"/>
    <xf numFmtId="0" fontId="11" fillId="0" borderId="0" pivotButton="0" quotePrefix="0" xfId="0"/>
    <xf numFmtId="0" fontId="12" fillId="3" borderId="5" applyAlignment="1" pivotButton="0" quotePrefix="0" xfId="0">
      <alignment horizontal="center" vertical="center" wrapText="1"/>
    </xf>
    <xf numFmtId="1" fontId="12" fillId="12" borderId="5" applyAlignment="1" pivotButton="0" quotePrefix="0" xfId="0">
      <alignment horizontal="center" vertical="center"/>
    </xf>
    <xf numFmtId="0" fontId="13" fillId="13" borderId="5" applyAlignment="1" pivotButton="0" quotePrefix="0" xfId="0">
      <alignment horizontal="center" vertical="center" wrapText="1"/>
    </xf>
    <xf numFmtId="0" fontId="14" fillId="0" borderId="5" pivotButton="0" quotePrefix="0" xfId="0"/>
    <xf numFmtId="0" fontId="15" fillId="0" borderId="5" pivotButton="0" quotePrefix="0" xfId="0"/>
    <xf numFmtId="0" fontId="6" fillId="0" borderId="5" pivotButton="0" quotePrefix="0" xfId="0"/>
    <xf numFmtId="0" fontId="8" fillId="14" borderId="5" applyAlignment="1" pivotButton="0" quotePrefix="0" xfId="0">
      <alignment horizontal="center" vertical="center"/>
    </xf>
    <xf numFmtId="0" fontId="8" fillId="15" borderId="5" applyAlignment="1" pivotButton="0" quotePrefix="0" xfId="0">
      <alignment horizontal="center" vertical="center"/>
    </xf>
    <xf numFmtId="0" fontId="0" fillId="16" borderId="5" applyAlignment="1" pivotButton="0" quotePrefix="0" xfId="0">
      <alignment horizontal="center" vertical="center"/>
    </xf>
    <xf numFmtId="164" fontId="0" fillId="16" borderId="5" applyAlignment="1" pivotButton="0" quotePrefix="0" xfId="0">
      <alignment horizontal="center" vertical="center"/>
    </xf>
    <xf numFmtId="0" fontId="16" fillId="0" borderId="0" pivotButton="0" quotePrefix="0" xfId="0"/>
    <xf numFmtId="0" fontId="17" fillId="3" borderId="0" pivotButton="0" quotePrefix="0" xfId="0"/>
    <xf numFmtId="0" fontId="12" fillId="2" borderId="0" applyAlignment="1" pivotButton="0" quotePrefix="0" xfId="0">
      <alignment horizontal="center" vertical="center"/>
    </xf>
    <xf numFmtId="0" fontId="20" fillId="17" borderId="6" applyAlignment="1" pivotButton="0" quotePrefix="0" xfId="0">
      <alignment horizontal="center" vertical="center"/>
    </xf>
    <xf numFmtId="0" fontId="18" fillId="2" borderId="0" applyAlignment="1" pivotButton="0" quotePrefix="0" xfId="0">
      <alignment horizontal="center" vertical="center"/>
    </xf>
    <xf numFmtId="0" fontId="13" fillId="2" borderId="7" applyAlignment="1" pivotButton="0" quotePrefix="0" xfId="0">
      <alignment horizontal="center" vertical="center"/>
    </xf>
    <xf numFmtId="0" fontId="0" fillId="2" borderId="7" pivotButton="0" quotePrefix="0" xfId="0"/>
    <xf numFmtId="0" fontId="13" fillId="12" borderId="7" applyAlignment="1" pivotButton="0" quotePrefix="0" xfId="0">
      <alignment horizontal="center" vertical="center"/>
    </xf>
    <xf numFmtId="0" fontId="0" fillId="12" borderId="7" pivotButton="0" quotePrefix="0" xfId="0"/>
    <xf numFmtId="0" fontId="13" fillId="6" borderId="7" applyAlignment="1" pivotButton="0" quotePrefix="0" xfId="0">
      <alignment horizontal="center" vertical="center"/>
    </xf>
    <xf numFmtId="0" fontId="0" fillId="6" borderId="7" pivotButton="0" quotePrefix="0" xfId="0"/>
    <xf numFmtId="0" fontId="13" fillId="3" borderId="7" applyAlignment="1" pivotButton="0" quotePrefix="0" xfId="0">
      <alignment horizontal="center" vertical="center"/>
    </xf>
    <xf numFmtId="0" fontId="0" fillId="3" borderId="7" pivotButton="0" quotePrefix="0" xfId="0"/>
    <xf numFmtId="0" fontId="13" fillId="18" borderId="7" applyAlignment="1" pivotButton="0" quotePrefix="0" xfId="0">
      <alignment horizontal="center" vertical="center"/>
    </xf>
    <xf numFmtId="0" fontId="0" fillId="18" borderId="7" pivotButton="0" quotePrefix="0" xfId="0"/>
    <xf numFmtId="2" fontId="21" fillId="2" borderId="7" applyAlignment="1" pivotButton="0" quotePrefix="0" xfId="0">
      <alignment horizontal="center" vertical="center"/>
    </xf>
    <xf numFmtId="2" fontId="21" fillId="12" borderId="7" applyAlignment="1" pivotButton="0" quotePrefix="0" xfId="0">
      <alignment horizontal="center" vertical="center"/>
    </xf>
    <xf numFmtId="165" fontId="3" fillId="17" borderId="7" applyAlignment="1" pivotButton="0" quotePrefix="0" xfId="0">
      <alignment horizontal="center" vertical="center"/>
    </xf>
    <xf numFmtId="0" fontId="0" fillId="17" borderId="7" pivotButton="0" quotePrefix="0" xfId="0"/>
    <xf numFmtId="165" fontId="21" fillId="3" borderId="7" applyAlignment="1" pivotButton="0" quotePrefix="0" xfId="0">
      <alignment horizontal="center" vertical="center"/>
    </xf>
    <xf numFmtId="1" fontId="21" fillId="18" borderId="7" applyAlignment="1" pivotButton="0" quotePrefix="0" xfId="0">
      <alignment horizontal="center" vertical="center"/>
    </xf>
    <xf numFmtId="0" fontId="13" fillId="3" borderId="5" applyAlignment="1" pivotButton="0" quotePrefix="0" xfId="0">
      <alignment horizontal="center" vertical="center" wrapText="1"/>
    </xf>
    <xf numFmtId="0" fontId="9" fillId="0" borderId="5" pivotButton="0" quotePrefix="0" xfId="0"/>
    <xf numFmtId="2" fontId="9" fillId="0" borderId="5" applyAlignment="1" pivotButton="0" quotePrefix="0" xfId="0">
      <alignment horizontal="center" vertical="center"/>
    </xf>
    <xf numFmtId="165" fontId="9" fillId="0" borderId="5" applyAlignment="1" pivotButton="0" quotePrefix="0" xfId="0">
      <alignment horizontal="center" vertical="center"/>
    </xf>
    <xf numFmtId="0" fontId="22" fillId="2" borderId="7" applyAlignment="1" pivotButton="0" quotePrefix="0" xfId="0">
      <alignment horizontal="center" vertical="center" wrapText="1"/>
    </xf>
    <xf numFmtId="0" fontId="22" fillId="6" borderId="7" applyAlignment="1" pivotButton="0" quotePrefix="0" xfId="0">
      <alignment horizontal="center" vertical="center" wrapText="1"/>
    </xf>
    <xf numFmtId="0" fontId="22" fillId="3" borderId="7" applyAlignment="1" pivotButton="0" quotePrefix="0" xfId="0">
      <alignment horizontal="center" vertical="center" wrapText="1"/>
    </xf>
    <xf numFmtId="0" fontId="22" fillId="19" borderId="7" applyAlignment="1" pivotButton="0" quotePrefix="0" xfId="0">
      <alignment horizontal="center" vertical="center" wrapText="1"/>
    </xf>
    <xf numFmtId="0" fontId="0" fillId="19" borderId="7" pivotButton="0" quotePrefix="0" xfId="0"/>
    <xf numFmtId="0" fontId="22" fillId="18" borderId="7" applyAlignment="1" pivotButton="0" quotePrefix="0" xfId="0">
      <alignment horizontal="center" vertical="center" wrapText="1"/>
    </xf>
    <xf numFmtId="2" fontId="23" fillId="2" borderId="7" applyAlignment="1" pivotButton="0" quotePrefix="0" xfId="0">
      <alignment horizontal="center" vertical="center"/>
    </xf>
    <xf numFmtId="165" fontId="24" fillId="17" borderId="7" applyAlignment="1" pivotButton="0" quotePrefix="0" xfId="0">
      <alignment horizontal="center" vertical="center"/>
    </xf>
    <xf numFmtId="165" fontId="23" fillId="3" borderId="7" applyAlignment="1" pivotButton="0" quotePrefix="0" xfId="0">
      <alignment horizontal="center" vertical="center"/>
    </xf>
    <xf numFmtId="1" fontId="24" fillId="17" borderId="7" applyAlignment="1" pivotButton="0" quotePrefix="0" xfId="0">
      <alignment horizontal="center" vertical="center"/>
    </xf>
    <xf numFmtId="1" fontId="23" fillId="18" borderId="7" applyAlignment="1" pivotButton="0" quotePrefix="0" xfId="0">
      <alignment horizontal="center" vertical="center"/>
    </xf>
    <xf numFmtId="0" fontId="0" fillId="0" borderId="5" applyAlignment="1" pivotButton="0" quotePrefix="0" xfId="0">
      <alignment horizontal="left" vertical="center"/>
    </xf>
    <xf numFmtId="0" fontId="0" fillId="0" borderId="5" applyAlignment="1" pivotButton="0" quotePrefix="0" xfId="0">
      <alignment horizontal="center" vertical="center"/>
    </xf>
    <xf numFmtId="164" fontId="0" fillId="0" borderId="5" applyAlignment="1" pivotButton="0" quotePrefix="0" xfId="0">
      <alignment horizontal="center" vertical="center"/>
    </xf>
    <xf numFmtId="0" fontId="14" fillId="0" borderId="5" applyAlignment="1" pivotButton="0" quotePrefix="0" xfId="0">
      <alignment horizontal="left" vertical="center"/>
    </xf>
    <xf numFmtId="2" fontId="0" fillId="0" borderId="5" applyAlignment="1" pivotButton="0" quotePrefix="0" xfId="0">
      <alignment horizontal="center" vertical="center"/>
    </xf>
    <xf numFmtId="165" fontId="0" fillId="0" borderId="5" applyAlignment="1" pivotButton="0" quotePrefix="0" xfId="0">
      <alignment horizontal="center" vertical="center"/>
    </xf>
    <xf numFmtId="0" fontId="16" fillId="0" borderId="0" applyAlignment="1" pivotButton="0" quotePrefix="0" xfId="0">
      <alignment horizontal="left" vertical="center" wrapText="1"/>
    </xf>
    <xf numFmtId="0" fontId="12" fillId="3" borderId="0" applyAlignment="1" pivotButton="0" quotePrefix="0" xfId="0">
      <alignment horizontal="center" vertical="center"/>
    </xf>
    <xf numFmtId="0" fontId="6" fillId="0" borderId="5" applyAlignment="1" pivotButton="0" quotePrefix="0" xfId="0">
      <alignment horizontal="center" vertical="center"/>
    </xf>
    <xf numFmtId="167" fontId="6" fillId="0" borderId="5" pivotButton="0" quotePrefix="0" xfId="0"/>
    <xf numFmtId="0" fontId="6" fillId="17" borderId="5" applyAlignment="1" pivotButton="0" quotePrefix="0" xfId="0">
      <alignment horizontal="center" vertical="center"/>
    </xf>
    <xf numFmtId="0" fontId="6" fillId="17" borderId="5" pivotButton="0" quotePrefix="0" xfId="0"/>
    <xf numFmtId="167" fontId="6" fillId="17" borderId="5" pivotButton="0" quotePrefix="0" xfId="0"/>
    <xf numFmtId="0" fontId="6" fillId="0" borderId="5" applyAlignment="1" pivotButton="0" quotePrefix="0" xfId="0">
      <alignment horizontal="center" vertical="center" wrapText="1"/>
    </xf>
    <xf numFmtId="0" fontId="6" fillId="0" borderId="5" applyAlignment="1" pivotButton="0" quotePrefix="0" xfId="0">
      <alignment horizontal="left" vertical="center" wrapText="1"/>
    </xf>
    <xf numFmtId="0" fontId="6" fillId="17" borderId="5" applyAlignment="1" pivotButton="0" quotePrefix="0" xfId="0">
      <alignment horizontal="center" vertical="center" wrapText="1"/>
    </xf>
    <xf numFmtId="0" fontId="6" fillId="17" borderId="5" applyAlignment="1" pivotButton="0" quotePrefix="0" xfId="0">
      <alignment horizontal="left" vertical="center" wrapText="1"/>
    </xf>
    <xf numFmtId="0" fontId="25" fillId="2" borderId="6" applyAlignment="1" pivotButton="0" quotePrefix="0" xfId="0">
      <alignment horizontal="center" vertical="center" wrapText="1"/>
    </xf>
    <xf numFmtId="0" fontId="6" fillId="4" borderId="0" applyAlignment="1" pivotButton="0" quotePrefix="0" xfId="0">
      <alignment horizontal="left" vertical="top" wrapText="1"/>
    </xf>
    <xf numFmtId="0" fontId="26" fillId="3" borderId="0" applyAlignment="1" pivotButton="0" quotePrefix="0" xfId="0">
      <alignment horizontal="center" vertical="center"/>
    </xf>
    <xf numFmtId="1" fontId="6" fillId="0" borderId="5" applyAlignment="1" pivotButton="0" quotePrefix="0" xfId="0">
      <alignment horizontal="center" vertical="center"/>
    </xf>
    <xf numFmtId="1" fontId="6" fillId="17" borderId="5" applyAlignment="1" pivotButton="0" quotePrefix="0" xfId="0">
      <alignment horizontal="center" vertical="center"/>
    </xf>
    <xf numFmtId="0" fontId="0" fillId="0" borderId="8" pivotButton="0" quotePrefix="0" xfId="0"/>
    <xf numFmtId="0" fontId="12" fillId="3" borderId="0" pivotButton="0" quotePrefix="0" xfId="0"/>
    <xf numFmtId="0" fontId="0" fillId="0" borderId="5" pivotButton="0" quotePrefix="0" xfId="0"/>
    <xf numFmtId="0" fontId="0" fillId="17" borderId="5" pivotButton="0" quotePrefix="0" xfId="0"/>
    <xf numFmtId="0" fontId="14" fillId="4" borderId="5" pivotButton="0" quotePrefix="0" xfId="0"/>
    <xf numFmtId="0" fontId="19" fillId="17" borderId="6" applyAlignment="1" pivotButton="0" quotePrefix="0" xfId="0">
      <alignment horizontal="center" vertical="center"/>
    </xf>
    <xf numFmtId="0" fontId="27" fillId="0" borderId="5" applyAlignment="1" pivotButton="0" quotePrefix="0" xfId="0">
      <alignment horizontal="center" vertical="center"/>
    </xf>
    <xf numFmtId="0" fontId="28" fillId="7" borderId="5" applyAlignment="1" pivotButton="0" quotePrefix="0" xfId="0">
      <alignment horizontal="center" vertical="center" wrapText="1"/>
    </xf>
    <xf numFmtId="0" fontId="14" fillId="7" borderId="5" applyAlignment="1" pivotButton="0" quotePrefix="0" xfId="0">
      <alignment horizontal="center" vertical="center" wrapText="1"/>
    </xf>
    <xf numFmtId="0" fontId="6" fillId="7" borderId="5" applyAlignment="1" pivotButton="0" quotePrefix="0" xfId="0">
      <alignment horizontal="left" vertical="center" wrapText="1"/>
    </xf>
    <xf numFmtId="0" fontId="0" fillId="0" borderId="11" pivotButton="0" quotePrefix="0" xfId="0"/>
    <xf numFmtId="0" fontId="0" fillId="0" borderId="12" pivotButton="0" quotePrefix="0" xfId="0"/>
    <xf numFmtId="0" fontId="28" fillId="8" borderId="5" applyAlignment="1" pivotButton="0" quotePrefix="0" xfId="0">
      <alignment horizontal="center" vertical="center" wrapText="1"/>
    </xf>
    <xf numFmtId="0" fontId="14" fillId="8" borderId="5" applyAlignment="1" pivotButton="0" quotePrefix="0" xfId="0">
      <alignment horizontal="center" vertical="center" wrapText="1"/>
    </xf>
    <xf numFmtId="0" fontId="6" fillId="8" borderId="5" applyAlignment="1" pivotButton="0" quotePrefix="0" xfId="0">
      <alignment horizontal="left" vertical="center" wrapText="1"/>
    </xf>
    <xf numFmtId="0" fontId="28" fillId="9" borderId="5" applyAlignment="1" pivotButton="0" quotePrefix="0" xfId="0">
      <alignment horizontal="center" vertical="center" wrapText="1"/>
    </xf>
    <xf numFmtId="0" fontId="14" fillId="9" borderId="5" applyAlignment="1" pivotButton="0" quotePrefix="0" xfId="0">
      <alignment horizontal="center" vertical="center" wrapText="1"/>
    </xf>
    <xf numFmtId="0" fontId="6" fillId="9" borderId="5" applyAlignment="1" pivotButton="0" quotePrefix="0" xfId="0">
      <alignment horizontal="left" vertical="center" wrapText="1"/>
    </xf>
    <xf numFmtId="0" fontId="28" fillId="10" borderId="5" applyAlignment="1" pivotButton="0" quotePrefix="0" xfId="0">
      <alignment horizontal="center" vertical="center" wrapText="1"/>
    </xf>
    <xf numFmtId="0" fontId="14" fillId="10" borderId="5" applyAlignment="1" pivotButton="0" quotePrefix="0" xfId="0">
      <alignment horizontal="center" vertical="center" wrapText="1"/>
    </xf>
    <xf numFmtId="0" fontId="6" fillId="10" borderId="5" applyAlignment="1" pivotButton="0" quotePrefix="0" xfId="0">
      <alignment horizontal="left" vertical="center" wrapText="1"/>
    </xf>
    <xf numFmtId="0" fontId="28" fillId="11" borderId="5" applyAlignment="1" pivotButton="0" quotePrefix="0" xfId="0">
      <alignment horizontal="center" vertical="center" wrapText="1"/>
    </xf>
    <xf numFmtId="0" fontId="14" fillId="11" borderId="5" applyAlignment="1" pivotButton="0" quotePrefix="0" xfId="0">
      <alignment horizontal="center" vertical="center" wrapText="1"/>
    </xf>
    <xf numFmtId="0" fontId="6" fillId="11" borderId="5" applyAlignment="1" pivotButton="0" quotePrefix="0" xfId="0">
      <alignment horizontal="left" vertical="center" wrapText="1"/>
    </xf>
    <xf numFmtId="1" fontId="0" fillId="0" borderId="0" pivotButton="0" quotePrefix="0" xfId="0"/>
    <xf numFmtId="2" fontId="0" fillId="0" borderId="0" pivotButton="0" quotePrefix="0" xfId="0"/>
    <xf numFmtId="165" fontId="0" fillId="0" borderId="0" pivotButton="0" quotePrefix="0" xfId="0"/>
  </cellXfs>
  <cellStyles count="1">
    <cellStyle name="Normal" xfId="0" builtinId="0" hidden="0"/>
  </cellStyles>
  <dxfs count="11">
    <dxf>
      <font>
        <name val="Calibri"/>
        <b val="1"/>
        <color rgb="00FFFFFF"/>
        <sz val="11"/>
      </font>
      <fill>
        <patternFill patternType="solid">
          <fgColor rgb="000E7C7B"/>
        </patternFill>
      </fill>
    </dxf>
    <dxf>
      <font>
        <name val="Calibri"/>
        <b val="1"/>
        <color rgb="001F2933"/>
        <sz val="12"/>
      </font>
      <fill>
        <patternFill patternType="solid">
          <fgColor rgb="00F5D0D0"/>
        </patternFill>
      </fill>
    </dxf>
    <dxf>
      <font>
        <name val="Calibri"/>
        <b val="1"/>
        <color rgb="001F2933"/>
        <sz val="12"/>
      </font>
      <fill>
        <patternFill patternType="solid">
          <fgColor rgb="00FAD9C4"/>
        </patternFill>
      </fill>
    </dxf>
    <dxf>
      <font>
        <name val="Calibri"/>
        <b val="1"/>
        <color rgb="001F2933"/>
        <sz val="12"/>
      </font>
      <fill>
        <patternFill patternType="solid">
          <fgColor rgb="00FBF3D0"/>
        </patternFill>
      </fill>
    </dxf>
    <dxf>
      <font>
        <name val="Calibri"/>
        <b val="1"/>
        <color rgb="001F2933"/>
        <sz val="12"/>
      </font>
      <fill>
        <patternFill patternType="solid">
          <fgColor rgb="00D4EDDA"/>
        </patternFill>
      </fill>
    </dxf>
    <dxf>
      <font>
        <name val="Calibri"/>
        <b val="1"/>
        <color rgb="001F2933"/>
        <sz val="12"/>
      </font>
      <fill>
        <patternFill patternType="solid">
          <fgColor rgb="00A8D5BA"/>
        </patternFill>
      </fill>
    </dxf>
    <dxf>
      <fill>
        <patternFill patternType="solid">
          <fgColor rgb="00FFF8E7"/>
        </patternFill>
      </fill>
    </dxf>
    <dxf>
      <font>
        <name val="Calibri"/>
        <b val="1"/>
        <color rgb="001E7A46"/>
        <sz val="11"/>
      </font>
      <fill>
        <patternFill patternType="solid">
          <fgColor rgb="00D4EDDA"/>
        </patternFill>
      </fill>
    </dxf>
    <dxf>
      <font>
        <name val="Calibri"/>
        <b val="1"/>
        <color rgb="00B42318"/>
        <sz val="11"/>
      </font>
      <fill>
        <patternFill patternType="solid">
          <fgColor rgb="00F8D7DA"/>
        </patternFill>
      </fill>
    </dxf>
    <dxf>
      <font>
        <name val="Calibri"/>
        <color rgb="005E6C7A"/>
        <sz val="11"/>
      </font>
      <fill>
        <patternFill patternType="solid">
          <fgColor rgb="00E9ECEF"/>
        </patternFill>
      </fill>
    </dxf>
    <dxf>
      <font>
        <name val="Calibri"/>
        <b val="1"/>
        <color rgb="001F2933"/>
        <sz val="11"/>
      </font>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Team average — year on year</a:t>
            </a:r>
          </a:p>
        </rich>
      </tx>
    </title>
    <plotArea>
      <lineChart>
        <grouping val="standard"/>
        <ser>
          <idx val="0"/>
          <order val="0"/>
          <tx>
            <strRef>
              <f>'Calc'!B4</f>
            </strRef>
          </tx>
          <spPr>
            <a:ln w="25000">
              <a:solidFill>
                <a:srgbClr val="0E7C7B"/>
              </a:solidFill>
              <a:prstDash val="solid"/>
            </a:ln>
          </spPr>
          <marker>
            <symbol val="circle"/>
            <size val="8"/>
            <spPr>
              <a:ln>
                <a:prstDash val="solid"/>
              </a:ln>
            </spPr>
          </marker>
          <cat>
            <numRef>
              <f>'Calc'!$A$5:$A$20</f>
            </numRef>
          </cat>
          <val>
            <numRef>
              <f>'Calc'!$B$5:$B$20</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a:p>
                <a:pPr>
                  <a:defRPr/>
                </a:pPr>
                <a:r>
                  <a:t>Average (1–5)</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Each skill: last year vs latest</a:t>
            </a:r>
          </a:p>
        </rich>
      </tx>
    </title>
    <plotArea>
      <barChart>
        <barDir val="bar"/>
        <grouping val="clustered"/>
        <ser>
          <idx val="0"/>
          <order val="0"/>
          <tx>
            <strRef>
              <f>'Dashboard'!K11</f>
            </strRef>
          </tx>
          <spPr>
            <a:solidFill>
              <a:srgbClr val="5B8FB9"/>
            </a:solidFill>
            <a:ln>
              <a:prstDash val="solid"/>
            </a:ln>
          </spPr>
          <cat>
            <numRef>
              <f>'Dashboard'!$I$12:$I$18</f>
            </numRef>
          </cat>
          <val>
            <numRef>
              <f>'Dashboard'!$K$12:$K$18</f>
            </numRef>
          </val>
        </ser>
        <ser>
          <idx val="1"/>
          <order val="1"/>
          <tx>
            <strRef>
              <f>'Dashboard'!L11</f>
            </strRef>
          </tx>
          <spPr>
            <a:solidFill>
              <a:srgbClr val="0E7C7B"/>
            </a:solidFill>
            <a:ln>
              <a:prstDash val="solid"/>
            </a:ln>
          </spPr>
          <cat>
            <numRef>
              <f>'Dashboard'!$I$12:$I$18</f>
            </numRef>
          </cat>
          <val>
            <numRef>
              <f>'Dashboard'!$L$12:$L$18</f>
            </numRef>
          </val>
        </ser>
        <gapWidth val="150"/>
        <axId val="10"/>
        <axId val="100"/>
      </barChart>
      <catAx>
        <axId val="10"/>
        <scaling>
          <orientation val="minMax"/>
          <max val="5"/>
          <min val="1"/>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This person's average by year</a:t>
            </a:r>
          </a:p>
        </rich>
      </tx>
    </title>
    <plotArea>
      <lineChart>
        <grouping val="standard"/>
        <ser>
          <idx val="0"/>
          <order val="0"/>
          <tx>
            <strRef>
              <f>'Calc'!E4</f>
            </strRef>
          </tx>
          <spPr>
            <a:ln>
              <a:solidFill>
                <a:srgbClr val="1B365D"/>
              </a:solidFill>
              <a:prstDash val="solid"/>
            </a:ln>
          </spPr>
          <marker>
            <symbol val="circle"/>
            <size val="7"/>
            <spPr>
              <a:ln>
                <a:prstDash val="solid"/>
              </a:ln>
            </spPr>
          </marker>
          <cat>
            <numRef>
              <f>'Calc'!$D$5:$D$20</f>
            </numRef>
          </cat>
          <val>
            <numRef>
              <f>'Calc'!$E$5:$E$20</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a:p>
                <a:pPr>
                  <a:defRPr/>
                </a:pPr>
                <a:r>
                  <a:t>Average (1–5)</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Each skill: first vs last year vs latest</a:t>
            </a:r>
          </a:p>
        </rich>
      </tx>
    </title>
    <plotArea>
      <barChart>
        <barDir val="bar"/>
        <grouping val="clustered"/>
        <ser>
          <idx val="0"/>
          <order val="0"/>
          <tx>
            <strRef>
              <f>'Calc'!H4</f>
            </strRef>
          </tx>
          <spPr>
            <a:solidFill>
              <a:srgbClr val="8A8178"/>
            </a:solidFill>
            <a:ln>
              <a:prstDash val="solid"/>
            </a:ln>
          </spPr>
          <cat>
            <numRef>
              <f>'Calc'!$G$5:$G$11</f>
            </numRef>
          </cat>
          <val>
            <numRef>
              <f>'Calc'!$H$5:$H$11</f>
            </numRef>
          </val>
        </ser>
        <ser>
          <idx val="1"/>
          <order val="1"/>
          <tx>
            <strRef>
              <f>'Calc'!I4</f>
            </strRef>
          </tx>
          <spPr>
            <a:solidFill>
              <a:srgbClr val="5B8FB9"/>
            </a:solidFill>
            <a:ln>
              <a:prstDash val="solid"/>
            </a:ln>
          </spPr>
          <cat>
            <numRef>
              <f>'Calc'!$G$5:$G$11</f>
            </numRef>
          </cat>
          <val>
            <numRef>
              <f>'Calc'!$I$5:$I$11</f>
            </numRef>
          </val>
        </ser>
        <ser>
          <idx val="2"/>
          <order val="2"/>
          <tx>
            <strRef>
              <f>'Calc'!J4</f>
            </strRef>
          </tx>
          <spPr>
            <a:solidFill>
              <a:srgbClr val="0E7C7B"/>
            </a:solidFill>
            <a:ln>
              <a:prstDash val="solid"/>
            </a:ln>
          </spPr>
          <cat>
            <numRef>
              <f>'Calc'!$G$5:$G$11</f>
            </numRef>
          </cat>
          <val>
            <numRef>
              <f>'Calc'!$J$5:$J$11</f>
            </numRef>
          </val>
        </ser>
        <gapWidth val="150"/>
        <axId val="10"/>
        <axId val="100"/>
      </barChart>
      <catAx>
        <axId val="10"/>
        <scaling>
          <orientation val="minMax"/>
          <max val="5"/>
          <min val="1"/>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Best current fit for the selected skill set</a:t>
            </a:r>
          </a:p>
        </rich>
      </tx>
    </title>
    <plotArea>
      <barChart>
        <barDir val="bar"/>
        <grouping val="clustered"/>
        <ser>
          <idx val="0"/>
          <order val="0"/>
          <tx>
            <strRef>
              <f>'Calc'!T7</f>
            </strRef>
          </tx>
          <spPr>
            <a:solidFill>
              <a:srgbClr val="0E7C7B"/>
            </a:solidFill>
            <a:ln>
              <a:prstDash val="solid"/>
            </a:ln>
          </spPr>
          <cat>
            <numRef>
              <f>'Calc'!$S$8:$S$15</f>
            </numRef>
          </cat>
          <val>
            <numRef>
              <f>'Calc'!$T$8:$T$15</f>
            </numRef>
          </val>
        </ser>
        <gapWidth val="150"/>
        <axId val="10"/>
        <axId val="100"/>
      </barChart>
      <catAx>
        <axId val="10"/>
        <scaling>
          <orientation val="minMax"/>
          <max val="5"/>
          <min val="1"/>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Skill Matrix</author>
  </authors>
  <commentList>
    <comment ref="B14" authorId="0" shapeId="0">
      <text>
        <t>Type a new employee's name here, then pick Department and Job title from the dropdowns.</t>
      </text>
    </comment>
  </commentList>
</comments>
</file>

<file path=xl/comments/comment2.xml><?xml version="1.0" encoding="utf-8"?>
<comments xmlns="http://schemas.openxmlformats.org/spreadsheetml/2006/main">
  <authors>
    <author>Skill Matrix</author>
  </authors>
  <commentList>
    <comment ref="B13" authorId="0" shapeId="0">
      <text>
        <t>Type a new skill name here. It appears on the Skill Matrix for every employee.</t>
      </text>
    </comment>
  </commentList>
</comments>
</file>

<file path=xl/comments/comment3.xml><?xml version="1.0" encoding="utf-8"?>
<comments xmlns="http://schemas.openxmlformats.org/spreadsheetml/2006/main">
  <authors>
    <author>Skill Matrix</author>
  </authors>
  <commentList>
    <comment ref="B20" authorId="0" shapeId="0">
      <text>
        <t>Type a new year here (for example 2035). Keep years in order, oldest at the top. The Skill Matrix and Dashboard pick it up automatically.</t>
      </text>
    </comment>
  </commentList>
</comments>
</file>

<file path=xl/comments/comment4.xml><?xml version="1.0" encoding="utf-8"?>
<comments xmlns="http://schemas.openxmlformats.org/spreadsheetml/2006/main">
  <authors>
    <author>Skill Matrix</author>
  </authors>
  <commentList>
    <comment ref="A10" authorId="0" shapeId="0">
      <text>
        <t>Type a new department here. It will appear in the Department dropdown on Employees.</t>
      </text>
    </comment>
    <comment ref="C13" authorId="0" shapeId="0">
      <text>
        <t>Type a new job title here. It will appear in the Job Title dropdown on Employees.</t>
      </text>
    </comment>
  </commentList>
</comments>
</file>

<file path=xl/comments/comment5.xml><?xml version="1.0" encoding="utf-8"?>
<comments xmlns="http://schemas.openxmlformats.org/spreadsheetml/2006/main">
  <authors>
    <author>Skill Matrix</author>
  </authors>
  <commentList>
    <comment ref="A27" authorId="0" shapeId="0">
      <text>
        <t>Add another skill to a set (reuse the set name) or start a new set name here.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10</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10</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29</row>
      <rowOff>0</rowOff>
    </from>
    <ext cx="4320000" cy="288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29</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oneCellAnchor>
    <from>
      <col>9</col>
      <colOff>0</colOff>
      <row>51</row>
      <rowOff>0</rowOff>
    </from>
    <ext cx="5040000" cy="2880000"/>
    <graphicFrame>
      <nvGraphicFramePr>
        <cNvPr id="5" name="Chart 5"/>
        <cNvGraphicFramePr/>
      </nvGraphicFramePr>
      <xfrm/>
      <a:graphic>
        <a:graphicData uri="http://schemas.openxmlformats.org/drawingml/2006/chart">
          <c:chart r:id="rId5"/>
        </a:graphicData>
      </a:graphic>
    </graphicFrame>
    <clientData/>
  </oneCellAnchor>
</wsDr>
</file>

<file path=xl/tables/table1.xml><?xml version="1.0" encoding="utf-8"?>
<table xmlns="http://schemas.openxmlformats.org/spreadsheetml/2006/main" id="1" name="tblEmployees" displayName="tblEmployees" ref="A5:G21" headerRowCount="1">
  <autoFilter ref="A5:G21"/>
  <tableColumns count="7">
    <tableColumn id="1" name="Employee ID"/>
    <tableColumn id="2" name="Full Name"/>
    <tableColumn id="3" name="Department"/>
    <tableColumn id="4" name="Job Title"/>
    <tableColumn id="5" name="Manager"/>
    <tableColumn id="6" name="Hire Date"/>
    <tableColumn id="7" name="Status"/>
  </tableColumns>
  <tableStyleInfo name="TableStyleMedium2" showFirstColumn="0" showLastColumn="0" showRowStripes="1" showColumnStripes="0"/>
</table>
</file>

<file path=xl/tables/table2.xml><?xml version="1.0" encoding="utf-8"?>
<table xmlns="http://schemas.openxmlformats.org/spreadsheetml/2006/main" id="2" name="tblSkills" displayName="tblSkills" ref="A5:D21" headerRowCount="1">
  <autoFilter ref="A5:D21"/>
  <tableColumns count="4">
    <tableColumn id="1" name="Skill ID"/>
    <tableColumn id="2" name="Skill Name"/>
    <tableColumn id="3" name="Category"/>
    <tableColumn id="4" name="Description"/>
  </tableColumns>
  <tableStyleInfo name="TableStyleMedium2" showFirstColumn="0" showLastColumn="0" showRowStripes="1" showColumnStripes="0"/>
</table>
</file>

<file path=xl/tables/table3.xml><?xml version="1.0" encoding="utf-8"?>
<table xmlns="http://schemas.openxmlformats.org/spreadsheetml/2006/main" id="3" name="tblYears" displayName="tblYears" ref="A7:D23" headerRowCount="1">
  <autoFilter ref="A7:D23"/>
  <tableColumns count="4">
    <tableColumn id="1" name="#"/>
    <tableColumn id="2" name="Year"/>
    <tableColumn id="3" name="Label"/>
    <tableColumn id="4" name="Notes"/>
  </tableColumns>
  <tableStyleInfo name="TableStyleMedium2" showFirstColumn="0" showLastColumn="0" showRowStripes="1" showColumnStripes="0"/>
</table>
</file>

<file path=xl/tables/table4.xml><?xml version="1.0" encoding="utf-8"?>
<table xmlns="http://schemas.openxmlformats.org/spreadsheetml/2006/main" id="4" name="tblDepartments" displayName="tblDepartments" ref="A5:A21" headerRowCount="1">
  <autoFilter ref="A5:A21"/>
  <tableColumns count="1">
    <tableColumn id="1" name="Department"/>
  </tableColumns>
  <tableStyleInfo name="TableStyleMedium2" showFirstColumn="0" showLastColumn="0" showRowStripes="1" showColumnStripes="0"/>
</table>
</file>

<file path=xl/tables/table5.xml><?xml version="1.0" encoding="utf-8"?>
<table xmlns="http://schemas.openxmlformats.org/spreadsheetml/2006/main" id="5" name="tblJobTitles" displayName="tblJobTitles" ref="C5:C21" headerRowCount="1">
  <autoFilter ref="C5:C21"/>
  <tableColumns count="1">
    <tableColumn id="3" name="Job title"/>
  </tableColumns>
  <tableStyleInfo name="TableStyleMedium2" showFirstColumn="0" showLastColumn="0" showRowStripes="1" showColumnStripes="0"/>
</table>
</file>

<file path=xl/tables/table6.xml><?xml version="1.0" encoding="utf-8"?>
<table xmlns="http://schemas.openxmlformats.org/spreadsheetml/2006/main" id="6" name="tblSkillSetSkills" displayName="tblSkillSetSkills" ref="A5:C45" headerRowCount="1">
  <autoFilter ref="A5:C45"/>
  <tableColumns count="3">
    <tableColumn id="1" name="Skill set"/>
    <tableColumn id="2" name="Skill"/>
    <tableColumn id="3" name="Minimum rating"/>
  </tableColumns>
  <tableStyleInfo name="TableStyleMedium2" showFirstColumn="0" showLastColumn="0" showRowStripes="1" showColumnStripes="0"/>
</table>
</file>

<file path=xl/tables/table7.xml><?xml version="1.0" encoding="utf-8"?>
<table xmlns="http://schemas.openxmlformats.org/spreadsheetml/2006/main" id="7" name="tblSkillSetNames" displayName="tblSkillSetNames" ref="E5:F21" headerRowCount="1">
  <autoFilter ref="E5:F21"/>
  <tableColumns count="2">
    <tableColumn id="5" name="Skill set name"/>
    <tableColumn id="6"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s>
</file>

<file path=xl/worksheets/_rels/sheet2.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s>
</file>

<file path=xl/worksheets/_rels/sheet3.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 Type="http://schemas.openxmlformats.org/officeDocument/2006/relationships/drawing" Target="/xl/drawings/drawing1.xml" Id="rId10" /></Relationships>
</file>

<file path=xl/worksheets/_rels/sheet4.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 Type="http://schemas.openxmlformats.org/officeDocument/2006/relationships/table" Target="/xl/tables/table1.xml" Id="rId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 Type="http://schemas.openxmlformats.org/officeDocument/2006/relationships/table" Target="/xl/tables/table2.xml" Id="rId10"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 Type="http://schemas.openxmlformats.org/officeDocument/2006/relationships/table" Target="/xl/tables/table3.xml" Id="rId10"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 Type="http://schemas.openxmlformats.org/officeDocument/2006/relationships/table" Target="/xl/tables/table4.xml" Id="rId10" /><Relationship Type="http://schemas.openxmlformats.org/officeDocument/2006/relationships/table" Target="/xl/tables/table5.xml" Id="rId1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 Type="http://schemas.openxmlformats.org/officeDocument/2006/relationships/table" Target="/xl/tables/table6.xml" Id="rId10" /><Relationship Type="http://schemas.openxmlformats.org/officeDocument/2006/relationships/table" Target="/xl/tables/table7.xml" Id="rId11"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kill Sets'!A1" TargetMode="External" Id="rId8" /><Relationship Type="http://schemas.openxmlformats.org/officeDocument/2006/relationships/hyperlink" Target="#'Settings'!A1" TargetMode="External" Id="rId9" /></Relationships>
</file>

<file path=xl/worksheets/sheet1.xml><?xml version="1.0" encoding="utf-8"?>
<worksheet xmlns="http://schemas.openxmlformats.org/spreadsheetml/2006/main">
  <sheetPr>
    <tabColor rgb="000E7C7B"/>
    <outlinePr summaryBelow="1" summaryRight="1"/>
    <pageSetUpPr fitToPage="1"/>
  </sheetPr>
  <dimension ref="A1:L3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24" customHeight="1">
      <c r="A1" s="1" t="inlineStr">
        <is>
          <t>How to Use</t>
        </is>
      </c>
      <c r="B1" s="2" t="inlineStr">
        <is>
          <t>Skill Matrix</t>
        </is>
      </c>
      <c r="C1" s="2" t="inlineStr">
        <is>
          <t>Dashboard</t>
        </is>
      </c>
      <c r="D1" s="2" t="inlineStr">
        <is>
          <t>Employees</t>
        </is>
      </c>
      <c r="E1" s="2" t="inlineStr">
        <is>
          <t>Skills</t>
        </is>
      </c>
      <c r="F1" s="2" t="inlineStr">
        <is>
          <t>Years</t>
        </is>
      </c>
      <c r="G1" s="2" t="inlineStr">
        <is>
          <t>Lists</t>
        </is>
      </c>
      <c r="H1" s="2" t="inlineStr">
        <is>
          <t>Skill Sets</t>
        </is>
      </c>
      <c r="I1" s="2" t="inlineStr">
        <is>
          <t>Settings</t>
        </is>
      </c>
      <c r="J1" s="3" t="n"/>
      <c r="K1" s="3" t="n"/>
      <c r="L1" s="3" t="n"/>
    </row>
    <row r="2">
      <c r="A2" s="4" t="inlineStr">
        <is>
          <t>How to use this skill matrix</t>
        </is>
      </c>
    </row>
    <row r="3" ht="36" customHeight="1">
      <c r="A3" s="5" t="inlineStr">
        <is>
          <t>Rate skills from 1 to 5 for a live-event vision crew, keep every year you have rated, and use the Dashboard to look at the whole team, one operator over time, or who is strongest for a seat. Sample data is included — replace it with your crew.</t>
        </is>
      </c>
    </row>
    <row r="5">
      <c r="A5" s="6" t="inlineStr">
        <is>
          <t>1. Rate skills (1–5)</t>
        </is>
      </c>
      <c r="B5" s="3" t="n"/>
      <c r="C5" s="3" t="n"/>
      <c r="D5" s="3" t="n"/>
      <c r="E5" s="3" t="n"/>
      <c r="F5" s="3" t="n"/>
      <c r="G5" s="7" t="inlineStr">
        <is>
          <t>2. New year — automatic, or add one</t>
        </is>
      </c>
      <c r="H5" s="8" t="n"/>
      <c r="I5" s="8" t="n"/>
      <c r="J5" s="8" t="n"/>
      <c r="K5" s="8" t="n"/>
      <c r="L5" s="8" t="n"/>
    </row>
    <row r="6">
      <c r="A6" s="9" t="inlineStr">
        <is>
          <t>Open Skill Matrix. Each row is one person and one skill. Each column is a year.
Type 1–5 in the year you are reviewing. The current calendar year is highlighted.
Use the Employee filter (arrow on the Employee header) to rate one person at a time.
First, Latest, vs last year, and Since joined calculate automatically.</t>
        </is>
      </c>
      <c r="B6" s="10" t="n"/>
      <c r="C6" s="10" t="n"/>
      <c r="D6" s="10" t="n"/>
      <c r="E6" s="10" t="n"/>
      <c r="F6" s="10" t="n"/>
      <c r="G6" s="9" t="inlineStr">
        <is>
          <t>Years 2023–2034 are already columns. When a new year starts, open Skill Matrix and rate that column. You do not copy last year’s scores.
The Years sheet shows whether this calendar year is ready. Use Add / manage years on the Dashboard.
To add 2035 or later (or a missing older year): type it in the next yellow row on Years, oldest to newest. A new column appears. Charts include a year as soon as it has ratings.</t>
        </is>
      </c>
      <c r="H6" s="10" t="n"/>
      <c r="I6" s="10" t="n"/>
      <c r="J6" s="10" t="n"/>
      <c r="K6" s="10" t="n"/>
      <c r="L6" s="10" t="n"/>
    </row>
    <row r="7">
      <c r="A7" s="11" t="n"/>
      <c r="B7" s="11" t="n"/>
      <c r="C7" s="11" t="n"/>
      <c r="D7" s="11" t="n"/>
      <c r="E7" s="11" t="n"/>
      <c r="F7" s="11" t="n"/>
      <c r="G7" s="11" t="n"/>
      <c r="H7" s="11" t="n"/>
      <c r="I7" s="11" t="n"/>
      <c r="J7" s="11" t="n"/>
      <c r="K7" s="11" t="n"/>
      <c r="L7" s="11" t="n"/>
    </row>
    <row r="8">
      <c r="A8" s="11" t="n"/>
      <c r="B8" s="11" t="n"/>
      <c r="C8" s="11" t="n"/>
      <c r="D8" s="11" t="n"/>
      <c r="E8" s="11" t="n"/>
      <c r="F8" s="11" t="n"/>
      <c r="G8" s="11" t="n"/>
      <c r="H8" s="11" t="n"/>
      <c r="I8" s="11" t="n"/>
      <c r="J8" s="11" t="n"/>
      <c r="K8" s="11" t="n"/>
      <c r="L8" s="11" t="n"/>
    </row>
    <row r="9">
      <c r="A9" s="11" t="n"/>
      <c r="B9" s="11" t="n"/>
      <c r="C9" s="11" t="n"/>
      <c r="D9" s="11" t="n"/>
      <c r="E9" s="11" t="n"/>
      <c r="F9" s="11" t="n"/>
      <c r="G9" s="11" t="n"/>
      <c r="H9" s="11" t="n"/>
      <c r="I9" s="11" t="n"/>
      <c r="J9" s="11" t="n"/>
      <c r="K9" s="11" t="n"/>
      <c r="L9" s="11" t="n"/>
    </row>
    <row r="10">
      <c r="A10" s="11" t="n"/>
      <c r="B10" s="11" t="n"/>
      <c r="C10" s="11" t="n"/>
      <c r="D10" s="11" t="n"/>
      <c r="E10" s="11" t="n"/>
      <c r="F10" s="11" t="n"/>
      <c r="G10" s="11" t="n"/>
      <c r="H10" s="11" t="n"/>
      <c r="I10" s="11" t="n"/>
      <c r="J10" s="11" t="n"/>
      <c r="K10" s="11" t="n"/>
      <c r="L10" s="11" t="n"/>
    </row>
    <row r="11">
      <c r="A11" s="11" t="n"/>
      <c r="B11" s="11" t="n"/>
      <c r="C11" s="11" t="n"/>
      <c r="D11" s="11" t="n"/>
      <c r="E11" s="11" t="n"/>
      <c r="F11" s="11" t="n"/>
      <c r="G11" s="11" t="n"/>
      <c r="H11" s="11" t="n"/>
      <c r="I11" s="11" t="n"/>
      <c r="J11" s="11" t="n"/>
      <c r="K11" s="11" t="n"/>
      <c r="L11" s="11" t="n"/>
    </row>
    <row r="12">
      <c r="A12" s="11" t="n"/>
      <c r="B12" s="11" t="n"/>
      <c r="C12" s="11" t="n"/>
      <c r="D12" s="11" t="n"/>
      <c r="E12" s="11" t="n"/>
      <c r="F12" s="11" t="n"/>
      <c r="G12" s="11" t="n"/>
      <c r="H12" s="11" t="n"/>
      <c r="I12" s="11" t="n"/>
      <c r="J12" s="11" t="n"/>
      <c r="K12" s="11" t="n"/>
      <c r="L12" s="11" t="n"/>
    </row>
    <row r="13">
      <c r="A13" s="11" t="n"/>
      <c r="B13" s="11" t="n"/>
      <c r="C13" s="11" t="n"/>
      <c r="D13" s="11" t="n"/>
      <c r="E13" s="11" t="n"/>
      <c r="F13" s="11" t="n"/>
      <c r="G13" s="11" t="n"/>
      <c r="H13" s="11" t="n"/>
      <c r="I13" s="11" t="n"/>
      <c r="J13" s="11" t="n"/>
      <c r="K13" s="11" t="n"/>
      <c r="L13" s="11" t="n"/>
    </row>
    <row r="14">
      <c r="A14" s="12" t="n"/>
      <c r="B14" s="12" t="n"/>
      <c r="C14" s="12" t="n"/>
      <c r="D14" s="12" t="n"/>
      <c r="E14" s="12" t="n"/>
      <c r="F14" s="12" t="n"/>
      <c r="G14" s="12" t="n"/>
      <c r="H14" s="12" t="n"/>
      <c r="I14" s="12" t="n"/>
      <c r="J14" s="12" t="n"/>
      <c r="K14" s="12" t="n"/>
      <c r="L14" s="12" t="n"/>
    </row>
    <row r="16">
      <c r="A16" s="13" t="inlineStr">
        <is>
          <t>3. Add people, skills, departments, titles</t>
        </is>
      </c>
      <c r="B16" s="14" t="n"/>
      <c r="C16" s="14" t="n"/>
      <c r="D16" s="14" t="n"/>
      <c r="E16" s="14" t="n"/>
      <c r="F16" s="14" t="n"/>
      <c r="G16" s="15" t="inlineStr">
        <is>
          <t>4. Dashboard filters</t>
        </is>
      </c>
      <c r="H16" s="16" t="n"/>
      <c r="I16" s="16" t="n"/>
      <c r="J16" s="16" t="n"/>
      <c r="K16" s="16" t="n"/>
      <c r="L16" s="16" t="n"/>
    </row>
    <row r="17">
      <c r="A17" s="9" t="inlineStr">
        <is>
          <t>Employees — next yellow row. Pick Department and Job title from the dropdowns. Fill Hire date for “since they joined”.
Skills — next yellow row. Every person gets a row for the new skill.
Lists — add a department or job title in a yellow row. It shows up in the dropdowns. Add it here first, then choose it on Employees.</t>
        </is>
      </c>
      <c r="B17" s="10" t="n"/>
      <c r="C17" s="10" t="n"/>
      <c r="D17" s="10" t="n"/>
      <c r="E17" s="10" t="n"/>
      <c r="F17" s="10" t="n"/>
      <c r="G17" s="9" t="inlineStr">
        <is>
          <t>Employee — that person’s skills, last year vs latest, and since they joined (first recorded rating).
Skill set — ranks who currently looks strongest for that seat (Barco Vision Switching, Camera Switching, Content Operation, Systems Tech, Technical Setup, Live Streaming, or Troubleshooting).
Department — Vision, Content, Systems, Streaming, or All departments.
Line charts show year on year on year, not just two years.</t>
        </is>
      </c>
      <c r="H17" s="10" t="n"/>
      <c r="I17" s="10" t="n"/>
      <c r="J17" s="10" t="n"/>
      <c r="K17" s="10" t="n"/>
      <c r="L17" s="10" t="n"/>
    </row>
    <row r="18">
      <c r="A18" s="11" t="n"/>
      <c r="B18" s="11" t="n"/>
      <c r="C18" s="11" t="n"/>
      <c r="D18" s="11" t="n"/>
      <c r="E18" s="11" t="n"/>
      <c r="F18" s="11" t="n"/>
      <c r="G18" s="11" t="n"/>
      <c r="H18" s="11" t="n"/>
      <c r="I18" s="11" t="n"/>
      <c r="J18" s="11" t="n"/>
      <c r="K18" s="11" t="n"/>
      <c r="L18" s="11" t="n"/>
    </row>
    <row r="19">
      <c r="A19" s="11" t="n"/>
      <c r="B19" s="11" t="n"/>
      <c r="C19" s="11" t="n"/>
      <c r="D19" s="11" t="n"/>
      <c r="E19" s="11" t="n"/>
      <c r="F19" s="11" t="n"/>
      <c r="G19" s="11" t="n"/>
      <c r="H19" s="11" t="n"/>
      <c r="I19" s="11" t="n"/>
      <c r="J19" s="11" t="n"/>
      <c r="K19" s="11" t="n"/>
      <c r="L19" s="11" t="n"/>
    </row>
    <row r="20">
      <c r="A20" s="11" t="n"/>
      <c r="B20" s="11" t="n"/>
      <c r="C20" s="11" t="n"/>
      <c r="D20" s="11" t="n"/>
      <c r="E20" s="11" t="n"/>
      <c r="F20" s="11" t="n"/>
      <c r="G20" s="11" t="n"/>
      <c r="H20" s="11" t="n"/>
      <c r="I20" s="11" t="n"/>
      <c r="J20" s="11" t="n"/>
      <c r="K20" s="11" t="n"/>
      <c r="L20" s="11" t="n"/>
    </row>
    <row r="21">
      <c r="A21" s="11" t="n"/>
      <c r="B21" s="11" t="n"/>
      <c r="C21" s="11" t="n"/>
      <c r="D21" s="11" t="n"/>
      <c r="E21" s="11" t="n"/>
      <c r="F21" s="11" t="n"/>
      <c r="G21" s="11" t="n"/>
      <c r="H21" s="11" t="n"/>
      <c r="I21" s="11" t="n"/>
      <c r="J21" s="11" t="n"/>
      <c r="K21" s="11" t="n"/>
      <c r="L21" s="11" t="n"/>
    </row>
    <row r="22">
      <c r="A22" s="11" t="n"/>
      <c r="B22" s="11" t="n"/>
      <c r="C22" s="11" t="n"/>
      <c r="D22" s="11" t="n"/>
      <c r="E22" s="11" t="n"/>
      <c r="F22" s="11" t="n"/>
      <c r="G22" s="11" t="n"/>
      <c r="H22" s="11" t="n"/>
      <c r="I22" s="11" t="n"/>
      <c r="J22" s="11" t="n"/>
      <c r="K22" s="11" t="n"/>
      <c r="L22" s="11" t="n"/>
    </row>
    <row r="23">
      <c r="A23" s="11" t="n"/>
      <c r="B23" s="11" t="n"/>
      <c r="C23" s="11" t="n"/>
      <c r="D23" s="11" t="n"/>
      <c r="E23" s="11" t="n"/>
      <c r="F23" s="11" t="n"/>
      <c r="G23" s="11" t="n"/>
      <c r="H23" s="11" t="n"/>
      <c r="I23" s="11" t="n"/>
      <c r="J23" s="11" t="n"/>
      <c r="K23" s="11" t="n"/>
      <c r="L23" s="11" t="n"/>
    </row>
    <row r="24">
      <c r="A24" s="12" t="n"/>
      <c r="B24" s="12" t="n"/>
      <c r="C24" s="12" t="n"/>
      <c r="D24" s="12" t="n"/>
      <c r="E24" s="12" t="n"/>
      <c r="F24" s="12" t="n"/>
      <c r="G24" s="12" t="n"/>
      <c r="H24" s="12" t="n"/>
      <c r="I24" s="12" t="n"/>
      <c r="J24" s="12" t="n"/>
      <c r="K24" s="12" t="n"/>
      <c r="L24" s="12" t="n"/>
    </row>
    <row r="26">
      <c r="A26" s="17" t="inlineStr">
        <is>
          <t>Rating scale</t>
        </is>
      </c>
    </row>
    <row r="27">
      <c r="A27" s="18" t="inlineStr">
        <is>
          <t>1  Beginner</t>
        </is>
      </c>
      <c r="B27" s="19" t="n"/>
      <c r="C27" s="20" t="inlineStr">
        <is>
          <t>2  Basic</t>
        </is>
      </c>
      <c r="D27" s="21" t="n"/>
      <c r="E27" s="22" t="inlineStr">
        <is>
          <t>3  Competent</t>
        </is>
      </c>
      <c r="F27" s="23" t="n"/>
      <c r="G27" s="24" t="inlineStr">
        <is>
          <t>4  Proficient</t>
        </is>
      </c>
      <c r="H27" s="25" t="n"/>
      <c r="I27" s="26" t="inlineStr">
        <is>
          <t>5  Expert</t>
        </is>
      </c>
      <c r="J27" s="27" t="n"/>
    </row>
    <row r="28">
      <c r="A28" s="28" t="inlineStr">
        <is>
          <t>Little or no hands-on experience. Needs close guidance.</t>
        </is>
      </c>
      <c r="B28" s="19" t="n"/>
      <c r="C28" s="29" t="inlineStr">
        <is>
          <t>Can complete simple tasks with help or a checklist.</t>
        </is>
      </c>
      <c r="D28" s="21" t="n"/>
      <c r="E28" s="30" t="inlineStr">
        <is>
          <t>Works independently on standard tasks. Meets the target.</t>
        </is>
      </c>
      <c r="F28" s="23" t="n"/>
      <c r="G28" s="31" t="inlineStr">
        <is>
          <t>Handles complex work and can coach others.</t>
        </is>
      </c>
      <c r="H28" s="25" t="n"/>
      <c r="I28" s="32" t="inlineStr">
        <is>
          <t>Go-to specialist. Sets the standard for the team.</t>
        </is>
      </c>
      <c r="J28" s="27" t="n"/>
    </row>
    <row r="29" ht="32" customHeight="1">
      <c r="A29" s="19" t="n"/>
      <c r="B29" s="19" t="n"/>
      <c r="C29" s="21" t="n"/>
      <c r="D29" s="21" t="n"/>
      <c r="E29" s="23" t="n"/>
      <c r="F29" s="23" t="n"/>
      <c r="G29" s="25" t="n"/>
      <c r="H29" s="25" t="n"/>
      <c r="I29" s="27" t="n"/>
      <c r="J29" s="27" t="n"/>
    </row>
    <row r="31">
      <c r="A31" s="33" t="inlineStr">
        <is>
          <t>Microsoft 365 / Excel 2021+ is recommended (FILTER, MAXIFS, TEXTJOIN). A hidden Data/Calc pair powers the dashboard — you do not need to edit those sheets.</t>
        </is>
      </c>
    </row>
    <row r="32"/>
  </sheetData>
  <mergeCells count="22">
    <mergeCell ref="A16:F16"/>
    <mergeCell ref="E28:F29"/>
    <mergeCell ref="G28:H29"/>
    <mergeCell ref="G27:H27"/>
    <mergeCell ref="A17:F24"/>
    <mergeCell ref="I27:J27"/>
    <mergeCell ref="A3:L3"/>
    <mergeCell ref="A26:L26"/>
    <mergeCell ref="A2:L2"/>
    <mergeCell ref="G5:L5"/>
    <mergeCell ref="A6:F14"/>
    <mergeCell ref="A5:F5"/>
    <mergeCell ref="A31:L32"/>
    <mergeCell ref="A27:B27"/>
    <mergeCell ref="A28:B29"/>
    <mergeCell ref="G6:L14"/>
    <mergeCell ref="G16:L16"/>
    <mergeCell ref="C28:D29"/>
    <mergeCell ref="C27:D27"/>
    <mergeCell ref="E27:F27"/>
    <mergeCell ref="G17:L24"/>
    <mergeCell ref="I28:J29"/>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worksheet>
</file>

<file path=xl/worksheets/sheet2.xml><?xml version="1.0" encoding="utf-8"?>
<worksheet xmlns="http://schemas.openxmlformats.org/spreadsheetml/2006/main">
  <sheetPr>
    <tabColor rgb="001B365D"/>
    <outlinePr summaryBelow="1" summaryRight="1"/>
    <pageSetUpPr fitToPage="1"/>
  </sheetPr>
  <dimension ref="A1:Y261"/>
  <sheetViews>
    <sheetView showGridLines="0" zoomScale="90" workbookViewId="0">
      <pane xSplit="4" ySplit="5" topLeftCell="E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26" customWidth="1" min="3" max="3"/>
    <col width="14"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3" customWidth="1" min="21" max="21"/>
    <col width="13" customWidth="1" min="22" max="22"/>
    <col width="13" customWidth="1" min="23" max="23"/>
    <col width="13" customWidth="1" min="24" max="24"/>
    <col width="13" customWidth="1" min="25" max="25"/>
  </cols>
  <sheetData>
    <row r="1" ht="24" customHeight="1">
      <c r="A1" s="2" t="inlineStr">
        <is>
          <t>How to Use</t>
        </is>
      </c>
      <c r="B1" s="1" t="inlineStr">
        <is>
          <t>Skill Matrix</t>
        </is>
      </c>
      <c r="C1" s="2" t="inlineStr">
        <is>
          <t>Dashboard</t>
        </is>
      </c>
      <c r="D1" s="2" t="inlineStr">
        <is>
          <t>Employees</t>
        </is>
      </c>
      <c r="E1" s="2" t="inlineStr">
        <is>
          <t>Skills</t>
        </is>
      </c>
      <c r="F1" s="2" t="inlineStr">
        <is>
          <t>Years</t>
        </is>
      </c>
      <c r="G1" s="2" t="inlineStr">
        <is>
          <t>Lists</t>
        </is>
      </c>
      <c r="H1" s="2" t="inlineStr">
        <is>
          <t>Skill Sets</t>
        </is>
      </c>
      <c r="I1" s="2" t="inlineStr">
        <is>
          <t>Settings</t>
        </is>
      </c>
      <c r="J1" s="3" t="n"/>
      <c r="K1" s="3" t="n"/>
      <c r="L1" s="3" t="n"/>
      <c r="M1" s="3" t="n"/>
      <c r="N1" s="3" t="n"/>
      <c r="O1" s="3" t="n"/>
      <c r="P1" s="3" t="n"/>
      <c r="Q1" s="3" t="n"/>
      <c r="R1" s="3" t="n"/>
      <c r="S1" s="3" t="n"/>
      <c r="T1" s="3" t="n"/>
      <c r="U1" s="3" t="n"/>
      <c r="V1" s="3" t="n"/>
      <c r="W1" s="3" t="n"/>
      <c r="X1" s="3" t="n"/>
      <c r="Y1" s="3" t="n"/>
    </row>
    <row r="2" ht="28" customHeight="1">
      <c r="A2" s="4" t="inlineStr">
        <is>
          <t>Employee skill matrix</t>
        </is>
      </c>
      <c r="I2" s="34" t="inlineStr">
        <is>
          <t>One row per person per skill. Year columns come from the Years sheet. The current calendar year is highlighted. Filter by Employee to rate one person at a time.</t>
        </is>
      </c>
    </row>
    <row r="3">
      <c r="A3" s="35">
        <f>"Rating 1–5. Current calendar year: "&amp;CalendarYear&amp;". Latest year with ratings: "&amp;IF(LatestYear="","—",LatestYear)&amp;". Filter the Employee column to focus on one person."</f>
        <v/>
      </c>
    </row>
    <row r="5" ht="28" customHeight="1">
      <c r="A5" s="36" t="inlineStr">
        <is>
          <t>Employee</t>
        </is>
      </c>
      <c r="B5" s="36" t="inlineStr">
        <is>
          <t>Department</t>
        </is>
      </c>
      <c r="C5" s="36" t="inlineStr">
        <is>
          <t>Skill</t>
        </is>
      </c>
      <c r="D5" s="36" t="inlineStr">
        <is>
          <t>Category</t>
        </is>
      </c>
      <c r="E5" s="37">
        <f>IF('Years'!B8="","",'Years'!B8)</f>
        <v/>
      </c>
      <c r="F5" s="37">
        <f>IF('Years'!B9="","",'Years'!B9)</f>
        <v/>
      </c>
      <c r="G5" s="37">
        <f>IF('Years'!B10="","",'Years'!B10)</f>
        <v/>
      </c>
      <c r="H5" s="37">
        <f>IF('Years'!B11="","",'Years'!B11)</f>
        <v/>
      </c>
      <c r="I5" s="37">
        <f>IF('Years'!B12="","",'Years'!B12)</f>
        <v/>
      </c>
      <c r="J5" s="37">
        <f>IF('Years'!B13="","",'Years'!B13)</f>
        <v/>
      </c>
      <c r="K5" s="37">
        <f>IF('Years'!B14="","",'Years'!B14)</f>
        <v/>
      </c>
      <c r="L5" s="37">
        <f>IF('Years'!B15="","",'Years'!B15)</f>
        <v/>
      </c>
      <c r="M5" s="37">
        <f>IF('Years'!B16="","",'Years'!B16)</f>
        <v/>
      </c>
      <c r="N5" s="37">
        <f>IF('Years'!B17="","",'Years'!B17)</f>
        <v/>
      </c>
      <c r="O5" s="37">
        <f>IF('Years'!B18="","",'Years'!B18)</f>
        <v/>
      </c>
      <c r="P5" s="37">
        <f>IF('Years'!B19="","",'Years'!B19)</f>
        <v/>
      </c>
      <c r="Q5" s="37">
        <f>IF('Years'!B20="","",'Years'!B20)</f>
        <v/>
      </c>
      <c r="R5" s="37">
        <f>IF('Years'!B21="","",'Years'!B21)</f>
        <v/>
      </c>
      <c r="S5" s="37">
        <f>IF('Years'!B22="","",'Years'!B22)</f>
        <v/>
      </c>
      <c r="T5" s="37">
        <f>IF('Years'!B23="","",'Years'!B23)</f>
        <v/>
      </c>
      <c r="U5" s="38" t="inlineStr">
        <is>
          <t>First</t>
        </is>
      </c>
      <c r="V5" s="38" t="inlineStr">
        <is>
          <t>Latest</t>
        </is>
      </c>
      <c r="W5" s="38" t="inlineStr">
        <is>
          <t>vs last year</t>
        </is>
      </c>
      <c r="X5" s="38" t="inlineStr">
        <is>
          <t>Since joined</t>
        </is>
      </c>
      <c r="Y5" s="38" t="inlineStr">
        <is>
          <t>Years rated</t>
        </is>
      </c>
    </row>
    <row r="6">
      <c r="A6" s="39">
        <f>IF(AND('Employees'!B6&lt;&gt;"",'Skills'!B6&lt;&gt;""),'Employees'!B6,"")</f>
        <v/>
      </c>
      <c r="B6" s="40">
        <f>IF(A6="","",'Employees'!C6)</f>
        <v/>
      </c>
      <c r="C6" s="41">
        <f>IF(A6="","",'Skills'!B6)</f>
        <v/>
      </c>
      <c r="D6" s="40">
        <f>IF(A6="","",'Skills'!C6)</f>
        <v/>
      </c>
      <c r="E6" s="42" t="n">
        <v>2</v>
      </c>
      <c r="F6" s="42" t="n">
        <v>3</v>
      </c>
      <c r="G6" s="42" t="n">
        <v>4</v>
      </c>
      <c r="H6" s="43" t="n">
        <v>5</v>
      </c>
      <c r="I6" s="42" t="inlineStr"/>
      <c r="J6" s="42" t="inlineStr"/>
      <c r="K6" s="42" t="inlineStr"/>
      <c r="L6" s="42" t="inlineStr"/>
      <c r="M6" s="42" t="inlineStr"/>
      <c r="N6" s="42" t="inlineStr"/>
      <c r="O6" s="42" t="inlineStr"/>
      <c r="P6" s="42" t="inlineStr"/>
      <c r="Q6" s="42" t="inlineStr"/>
      <c r="R6" s="42" t="inlineStr"/>
      <c r="S6" s="42" t="inlineStr"/>
      <c r="T6" s="42" t="inlineStr"/>
      <c r="U6" s="44">
        <f>IF(A6="","",IFERROR(INDEX(E6:T6,MATCH(TRUE,INDEX(E6:T6&lt;&gt;"",0),0)),""))</f>
        <v/>
      </c>
      <c r="V6" s="44">
        <f>IF(A6="","",IFERROR(LOOKUP(2,1/(E6:T6&lt;&gt;""),E6:T6),""))</f>
        <v/>
      </c>
      <c r="W6" s="45">
        <f>IF(OR(A6="",PreviousYear=""),"",IFERROR(LOOKUP(2,1/(E6:T6&lt;&gt;""),E6:T6)-INDEX(E6:T6,MATCH(PreviousYear,$E$5:$T$5,0)),""))</f>
        <v/>
      </c>
      <c r="X6" s="45">
        <f>IF(OR(A6="",U6="",V6=""),"",V6-U6)</f>
        <v/>
      </c>
      <c r="Y6" s="44">
        <f>IF(A6="","",COUNT(E6:T6))</f>
        <v/>
      </c>
    </row>
    <row r="7">
      <c r="A7" s="39">
        <f>IF(AND('Employees'!B6&lt;&gt;"",'Skills'!B7&lt;&gt;""),'Employees'!B6,"")</f>
        <v/>
      </c>
      <c r="B7" s="40">
        <f>IF(A7="","",'Employees'!C6)</f>
        <v/>
      </c>
      <c r="C7" s="41">
        <f>IF(A7="","",'Skills'!B7)</f>
        <v/>
      </c>
      <c r="D7" s="40">
        <f>IF(A7="","",'Skills'!C7)</f>
        <v/>
      </c>
      <c r="E7" s="42" t="n">
        <v>3</v>
      </c>
      <c r="F7" s="42" t="n">
        <v>3</v>
      </c>
      <c r="G7" s="42" t="n">
        <v>3</v>
      </c>
      <c r="H7" s="43" t="n">
        <v>3</v>
      </c>
      <c r="I7" s="42" t="inlineStr"/>
      <c r="J7" s="42" t="inlineStr"/>
      <c r="K7" s="42" t="inlineStr"/>
      <c r="L7" s="42" t="inlineStr"/>
      <c r="M7" s="42" t="inlineStr"/>
      <c r="N7" s="42" t="inlineStr"/>
      <c r="O7" s="42" t="inlineStr"/>
      <c r="P7" s="42" t="inlineStr"/>
      <c r="Q7" s="42" t="inlineStr"/>
      <c r="R7" s="42" t="inlineStr"/>
      <c r="S7" s="42" t="inlineStr"/>
      <c r="T7" s="42" t="inlineStr"/>
      <c r="U7" s="44">
        <f>IF(A7="","",IFERROR(INDEX(E7:T7,MATCH(TRUE,INDEX(E7:T7&lt;&gt;"",0),0)),""))</f>
        <v/>
      </c>
      <c r="V7" s="44">
        <f>IF(A7="","",IFERROR(LOOKUP(2,1/(E7:T7&lt;&gt;""),E7:T7),""))</f>
        <v/>
      </c>
      <c r="W7" s="45">
        <f>IF(OR(A7="",PreviousYear=""),"",IFERROR(LOOKUP(2,1/(E7:T7&lt;&gt;""),E7:T7)-INDEX(E7:T7,MATCH(PreviousYear,$E$5:$T$5,0)),""))</f>
        <v/>
      </c>
      <c r="X7" s="45">
        <f>IF(OR(A7="",U7="",V7=""),"",V7-U7)</f>
        <v/>
      </c>
      <c r="Y7" s="44">
        <f>IF(A7="","",COUNT(E7:T7))</f>
        <v/>
      </c>
    </row>
    <row r="8">
      <c r="A8" s="39">
        <f>IF(AND('Employees'!B6&lt;&gt;"",'Skills'!B8&lt;&gt;""),'Employees'!B6,"")</f>
        <v/>
      </c>
      <c r="B8" s="40">
        <f>IF(A8="","",'Employees'!C6)</f>
        <v/>
      </c>
      <c r="C8" s="41">
        <f>IF(A8="","",'Skills'!B8)</f>
        <v/>
      </c>
      <c r="D8" s="40">
        <f>IF(A8="","",'Skills'!C8)</f>
        <v/>
      </c>
      <c r="E8" s="42" t="n">
        <v>1</v>
      </c>
      <c r="F8" s="42" t="n">
        <v>2</v>
      </c>
      <c r="G8" s="42" t="n">
        <v>2</v>
      </c>
      <c r="H8" s="43" t="n">
        <v>3</v>
      </c>
      <c r="I8" s="42" t="inlineStr"/>
      <c r="J8" s="42" t="inlineStr"/>
      <c r="K8" s="42" t="inlineStr"/>
      <c r="L8" s="42" t="inlineStr"/>
      <c r="M8" s="42" t="inlineStr"/>
      <c r="N8" s="42" t="inlineStr"/>
      <c r="O8" s="42" t="inlineStr"/>
      <c r="P8" s="42" t="inlineStr"/>
      <c r="Q8" s="42" t="inlineStr"/>
      <c r="R8" s="42" t="inlineStr"/>
      <c r="S8" s="42" t="inlineStr"/>
      <c r="T8" s="42" t="inlineStr"/>
      <c r="U8" s="44">
        <f>IF(A8="","",IFERROR(INDEX(E8:T8,MATCH(TRUE,INDEX(E8:T8&lt;&gt;"",0),0)),""))</f>
        <v/>
      </c>
      <c r="V8" s="44">
        <f>IF(A8="","",IFERROR(LOOKUP(2,1/(E8:T8&lt;&gt;""),E8:T8),""))</f>
        <v/>
      </c>
      <c r="W8" s="45">
        <f>IF(OR(A8="",PreviousYear=""),"",IFERROR(LOOKUP(2,1/(E8:T8&lt;&gt;""),E8:T8)-INDEX(E8:T8,MATCH(PreviousYear,$E$5:$T$5,0)),""))</f>
        <v/>
      </c>
      <c r="X8" s="45">
        <f>IF(OR(A8="",U8="",V8=""),"",V8-U8)</f>
        <v/>
      </c>
      <c r="Y8" s="44">
        <f>IF(A8="","",COUNT(E8:T8))</f>
        <v/>
      </c>
    </row>
    <row r="9">
      <c r="A9" s="39">
        <f>IF(AND('Employees'!B6&lt;&gt;"",'Skills'!B9&lt;&gt;""),'Employees'!B6,"")</f>
        <v/>
      </c>
      <c r="B9" s="40">
        <f>IF(A9="","",'Employees'!C6)</f>
        <v/>
      </c>
      <c r="C9" s="41">
        <f>IF(A9="","",'Skills'!B9)</f>
        <v/>
      </c>
      <c r="D9" s="40">
        <f>IF(A9="","",'Skills'!C9)</f>
        <v/>
      </c>
      <c r="E9" s="42" t="n">
        <v>2</v>
      </c>
      <c r="F9" s="42" t="n">
        <v>2</v>
      </c>
      <c r="G9" s="42" t="n">
        <v>3</v>
      </c>
      <c r="H9" s="43" t="n">
        <v>3</v>
      </c>
      <c r="I9" s="42" t="inlineStr"/>
      <c r="J9" s="42" t="inlineStr"/>
      <c r="K9" s="42" t="inlineStr"/>
      <c r="L9" s="42" t="inlineStr"/>
      <c r="M9" s="42" t="inlineStr"/>
      <c r="N9" s="42" t="inlineStr"/>
      <c r="O9" s="42" t="inlineStr"/>
      <c r="P9" s="42" t="inlineStr"/>
      <c r="Q9" s="42" t="inlineStr"/>
      <c r="R9" s="42" t="inlineStr"/>
      <c r="S9" s="42" t="inlineStr"/>
      <c r="T9" s="42" t="inlineStr"/>
      <c r="U9" s="44">
        <f>IF(A9="","",IFERROR(INDEX(E9:T9,MATCH(TRUE,INDEX(E9:T9&lt;&gt;"",0),0)),""))</f>
        <v/>
      </c>
      <c r="V9" s="44">
        <f>IF(A9="","",IFERROR(LOOKUP(2,1/(E9:T9&lt;&gt;""),E9:T9),""))</f>
        <v/>
      </c>
      <c r="W9" s="45">
        <f>IF(OR(A9="",PreviousYear=""),"",IFERROR(LOOKUP(2,1/(E9:T9&lt;&gt;""),E9:T9)-INDEX(E9:T9,MATCH(PreviousYear,$E$5:$T$5,0)),""))</f>
        <v/>
      </c>
      <c r="X9" s="45">
        <f>IF(OR(A9="",U9="",V9=""),"",V9-U9)</f>
        <v/>
      </c>
      <c r="Y9" s="44">
        <f>IF(A9="","",COUNT(E9:T9))</f>
        <v/>
      </c>
    </row>
    <row r="10">
      <c r="A10" s="39">
        <f>IF(AND('Employees'!B6&lt;&gt;"",'Skills'!B10&lt;&gt;""),'Employees'!B6,"")</f>
        <v/>
      </c>
      <c r="B10" s="40">
        <f>IF(A10="","",'Employees'!C6)</f>
        <v/>
      </c>
      <c r="C10" s="41">
        <f>IF(A10="","",'Skills'!B10)</f>
        <v/>
      </c>
      <c r="D10" s="40">
        <f>IF(A10="","",'Skills'!C10)</f>
        <v/>
      </c>
      <c r="E10" s="42" t="n">
        <v>2</v>
      </c>
      <c r="F10" s="42" t="n">
        <v>3</v>
      </c>
      <c r="G10" s="42" t="n">
        <v>3</v>
      </c>
      <c r="H10" s="43" t="n">
        <v>4</v>
      </c>
      <c r="I10" s="42" t="inlineStr"/>
      <c r="J10" s="42" t="inlineStr"/>
      <c r="K10" s="42" t="inlineStr"/>
      <c r="L10" s="42" t="inlineStr"/>
      <c r="M10" s="42" t="inlineStr"/>
      <c r="N10" s="42" t="inlineStr"/>
      <c r="O10" s="42" t="inlineStr"/>
      <c r="P10" s="42" t="inlineStr"/>
      <c r="Q10" s="42" t="inlineStr"/>
      <c r="R10" s="42" t="inlineStr"/>
      <c r="S10" s="42" t="inlineStr"/>
      <c r="T10" s="42" t="inlineStr"/>
      <c r="U10" s="44">
        <f>IF(A10="","",IFERROR(INDEX(E10:T10,MATCH(TRUE,INDEX(E10:T10&lt;&gt;"",0),0)),""))</f>
        <v/>
      </c>
      <c r="V10" s="44">
        <f>IF(A10="","",IFERROR(LOOKUP(2,1/(E10:T10&lt;&gt;""),E10:T10),""))</f>
        <v/>
      </c>
      <c r="W10" s="45">
        <f>IF(OR(A10="",PreviousYear=""),"",IFERROR(LOOKUP(2,1/(E10:T10&lt;&gt;""),E10:T10)-INDEX(E10:T10,MATCH(PreviousYear,$E$5:$T$5,0)),""))</f>
        <v/>
      </c>
      <c r="X10" s="45">
        <f>IF(OR(A10="",U10="",V10=""),"",V10-U10)</f>
        <v/>
      </c>
      <c r="Y10" s="44">
        <f>IF(A10="","",COUNT(E10:T10))</f>
        <v/>
      </c>
    </row>
    <row r="11">
      <c r="A11" s="39">
        <f>IF(AND('Employees'!B6&lt;&gt;"",'Skills'!B11&lt;&gt;""),'Employees'!B6,"")</f>
        <v/>
      </c>
      <c r="B11" s="40">
        <f>IF(A11="","",'Employees'!C6)</f>
        <v/>
      </c>
      <c r="C11" s="41">
        <f>IF(A11="","",'Skills'!B11)</f>
        <v/>
      </c>
      <c r="D11" s="40">
        <f>IF(A11="","",'Skills'!C11)</f>
        <v/>
      </c>
      <c r="E11" s="42" t="n">
        <v>2</v>
      </c>
      <c r="F11" s="42" t="n">
        <v>2</v>
      </c>
      <c r="G11" s="42" t="n">
        <v>2</v>
      </c>
      <c r="H11" s="43" t="n">
        <v>2</v>
      </c>
      <c r="I11" s="42" t="inlineStr"/>
      <c r="J11" s="42" t="inlineStr"/>
      <c r="K11" s="42" t="inlineStr"/>
      <c r="L11" s="42" t="inlineStr"/>
      <c r="M11" s="42" t="inlineStr"/>
      <c r="N11" s="42" t="inlineStr"/>
      <c r="O11" s="42" t="inlineStr"/>
      <c r="P11" s="42" t="inlineStr"/>
      <c r="Q11" s="42" t="inlineStr"/>
      <c r="R11" s="42" t="inlineStr"/>
      <c r="S11" s="42" t="inlineStr"/>
      <c r="T11" s="42" t="inlineStr"/>
      <c r="U11" s="44">
        <f>IF(A11="","",IFERROR(INDEX(E11:T11,MATCH(TRUE,INDEX(E11:T11&lt;&gt;"",0),0)),""))</f>
        <v/>
      </c>
      <c r="V11" s="44">
        <f>IF(A11="","",IFERROR(LOOKUP(2,1/(E11:T11&lt;&gt;""),E11:T11),""))</f>
        <v/>
      </c>
      <c r="W11" s="45">
        <f>IF(OR(A11="",PreviousYear=""),"",IFERROR(LOOKUP(2,1/(E11:T11&lt;&gt;""),E11:T11)-INDEX(E11:T11,MATCH(PreviousYear,$E$5:$T$5,0)),""))</f>
        <v/>
      </c>
      <c r="X11" s="45">
        <f>IF(OR(A11="",U11="",V11=""),"",V11-U11)</f>
        <v/>
      </c>
      <c r="Y11" s="44">
        <f>IF(A11="","",COUNT(E11:T11))</f>
        <v/>
      </c>
    </row>
    <row r="12">
      <c r="A12" s="39">
        <f>IF(AND('Employees'!B6&lt;&gt;"",'Skills'!B12&lt;&gt;""),'Employees'!B6,"")</f>
        <v/>
      </c>
      <c r="B12" s="40">
        <f>IF(A12="","",'Employees'!C6)</f>
        <v/>
      </c>
      <c r="C12" s="41">
        <f>IF(A12="","",'Skills'!B12)</f>
        <v/>
      </c>
      <c r="D12" s="40">
        <f>IF(A12="","",'Skills'!C12)</f>
        <v/>
      </c>
      <c r="E12" s="42" t="n">
        <v>1</v>
      </c>
      <c r="F12" s="42" t="n">
        <v>2</v>
      </c>
      <c r="G12" s="42" t="n">
        <v>3</v>
      </c>
      <c r="H12" s="43" t="n">
        <v>4</v>
      </c>
      <c r="I12" s="42" t="inlineStr"/>
      <c r="J12" s="42" t="inlineStr"/>
      <c r="K12" s="42" t="inlineStr"/>
      <c r="L12" s="42" t="inlineStr"/>
      <c r="M12" s="42" t="inlineStr"/>
      <c r="N12" s="42" t="inlineStr"/>
      <c r="O12" s="42" t="inlineStr"/>
      <c r="P12" s="42" t="inlineStr"/>
      <c r="Q12" s="42" t="inlineStr"/>
      <c r="R12" s="42" t="inlineStr"/>
      <c r="S12" s="42" t="inlineStr"/>
      <c r="T12" s="42" t="inlineStr"/>
      <c r="U12" s="44">
        <f>IF(A12="","",IFERROR(INDEX(E12:T12,MATCH(TRUE,INDEX(E12:T12&lt;&gt;"",0),0)),""))</f>
        <v/>
      </c>
      <c r="V12" s="44">
        <f>IF(A12="","",IFERROR(LOOKUP(2,1/(E12:T12&lt;&gt;""),E12:T12),""))</f>
        <v/>
      </c>
      <c r="W12" s="45">
        <f>IF(OR(A12="",PreviousYear=""),"",IFERROR(LOOKUP(2,1/(E12:T12&lt;&gt;""),E12:T12)-INDEX(E12:T12,MATCH(PreviousYear,$E$5:$T$5,0)),""))</f>
        <v/>
      </c>
      <c r="X12" s="45">
        <f>IF(OR(A12="",U12="",V12=""),"",V12-U12)</f>
        <v/>
      </c>
      <c r="Y12" s="44">
        <f>IF(A12="","",COUNT(E12:T12))</f>
        <v/>
      </c>
    </row>
    <row r="13">
      <c r="A13" s="39">
        <f>IF(AND('Employees'!B6&lt;&gt;"",'Skills'!B13&lt;&gt;""),'Employees'!B6,"")</f>
        <v/>
      </c>
      <c r="B13" s="40">
        <f>IF(A13="","",'Employees'!C6)</f>
        <v/>
      </c>
      <c r="C13" s="41">
        <f>IF(A13="","",'Skills'!B13)</f>
        <v/>
      </c>
      <c r="D13" s="40">
        <f>IF(A13="","",'Skills'!C13)</f>
        <v/>
      </c>
      <c r="E13" s="42" t="inlineStr"/>
      <c r="F13" s="42" t="inlineStr"/>
      <c r="G13" s="42" t="inlineStr"/>
      <c r="H13" s="43" t="inlineStr"/>
      <c r="I13" s="42" t="inlineStr"/>
      <c r="J13" s="42" t="inlineStr"/>
      <c r="K13" s="42" t="inlineStr"/>
      <c r="L13" s="42" t="inlineStr"/>
      <c r="M13" s="42" t="inlineStr"/>
      <c r="N13" s="42" t="inlineStr"/>
      <c r="O13" s="42" t="inlineStr"/>
      <c r="P13" s="42" t="inlineStr"/>
      <c r="Q13" s="42" t="inlineStr"/>
      <c r="R13" s="42" t="inlineStr"/>
      <c r="S13" s="42" t="inlineStr"/>
      <c r="T13" s="42" t="inlineStr"/>
      <c r="U13" s="44">
        <f>IF(A13="","",IFERROR(INDEX(E13:T13,MATCH(TRUE,INDEX(E13:T13&lt;&gt;"",0),0)),""))</f>
        <v/>
      </c>
      <c r="V13" s="44">
        <f>IF(A13="","",IFERROR(LOOKUP(2,1/(E13:T13&lt;&gt;""),E13:T13),""))</f>
        <v/>
      </c>
      <c r="W13" s="45">
        <f>IF(OR(A13="",PreviousYear=""),"",IFERROR(LOOKUP(2,1/(E13:T13&lt;&gt;""),E13:T13)-INDEX(E13:T13,MATCH(PreviousYear,$E$5:$T$5,0)),""))</f>
        <v/>
      </c>
      <c r="X13" s="45">
        <f>IF(OR(A13="",U13="",V13=""),"",V13-U13)</f>
        <v/>
      </c>
      <c r="Y13" s="44">
        <f>IF(A13="","",COUNT(E13:T13))</f>
        <v/>
      </c>
    </row>
    <row r="14">
      <c r="A14" s="39">
        <f>IF(AND('Employees'!B6&lt;&gt;"",'Skills'!B14&lt;&gt;""),'Employees'!B6,"")</f>
        <v/>
      </c>
      <c r="B14" s="40">
        <f>IF(A14="","",'Employees'!C6)</f>
        <v/>
      </c>
      <c r="C14" s="41">
        <f>IF(A14="","",'Skills'!B14)</f>
        <v/>
      </c>
      <c r="D14" s="40">
        <f>IF(A14="","",'Skills'!C14)</f>
        <v/>
      </c>
      <c r="E14" s="42" t="inlineStr"/>
      <c r="F14" s="42" t="inlineStr"/>
      <c r="G14" s="42" t="inlineStr"/>
      <c r="H14" s="43" t="inlineStr"/>
      <c r="I14" s="42" t="inlineStr"/>
      <c r="J14" s="42" t="inlineStr"/>
      <c r="K14" s="42" t="inlineStr"/>
      <c r="L14" s="42" t="inlineStr"/>
      <c r="M14" s="42" t="inlineStr"/>
      <c r="N14" s="42" t="inlineStr"/>
      <c r="O14" s="42" t="inlineStr"/>
      <c r="P14" s="42" t="inlineStr"/>
      <c r="Q14" s="42" t="inlineStr"/>
      <c r="R14" s="42" t="inlineStr"/>
      <c r="S14" s="42" t="inlineStr"/>
      <c r="T14" s="42" t="inlineStr"/>
      <c r="U14" s="44">
        <f>IF(A14="","",IFERROR(INDEX(E14:T14,MATCH(TRUE,INDEX(E14:T14&lt;&gt;"",0),0)),""))</f>
        <v/>
      </c>
      <c r="V14" s="44">
        <f>IF(A14="","",IFERROR(LOOKUP(2,1/(E14:T14&lt;&gt;""),E14:T14),""))</f>
        <v/>
      </c>
      <c r="W14" s="45">
        <f>IF(OR(A14="",PreviousYear=""),"",IFERROR(LOOKUP(2,1/(E14:T14&lt;&gt;""),E14:T14)-INDEX(E14:T14,MATCH(PreviousYear,$E$5:$T$5,0)),""))</f>
        <v/>
      </c>
      <c r="X14" s="45">
        <f>IF(OR(A14="",U14="",V14=""),"",V14-U14)</f>
        <v/>
      </c>
      <c r="Y14" s="44">
        <f>IF(A14="","",COUNT(E14:T14))</f>
        <v/>
      </c>
    </row>
    <row r="15">
      <c r="A15" s="39">
        <f>IF(AND('Employees'!B6&lt;&gt;"",'Skills'!B15&lt;&gt;""),'Employees'!B6,"")</f>
        <v/>
      </c>
      <c r="B15" s="40">
        <f>IF(A15="","",'Employees'!C6)</f>
        <v/>
      </c>
      <c r="C15" s="41">
        <f>IF(A15="","",'Skills'!B15)</f>
        <v/>
      </c>
      <c r="D15" s="40">
        <f>IF(A15="","",'Skills'!C15)</f>
        <v/>
      </c>
      <c r="E15" s="42" t="inlineStr"/>
      <c r="F15" s="42" t="inlineStr"/>
      <c r="G15" s="42" t="inlineStr"/>
      <c r="H15" s="43" t="inlineStr"/>
      <c r="I15" s="42" t="inlineStr"/>
      <c r="J15" s="42" t="inlineStr"/>
      <c r="K15" s="42" t="inlineStr"/>
      <c r="L15" s="42" t="inlineStr"/>
      <c r="M15" s="42" t="inlineStr"/>
      <c r="N15" s="42" t="inlineStr"/>
      <c r="O15" s="42" t="inlineStr"/>
      <c r="P15" s="42" t="inlineStr"/>
      <c r="Q15" s="42" t="inlineStr"/>
      <c r="R15" s="42" t="inlineStr"/>
      <c r="S15" s="42" t="inlineStr"/>
      <c r="T15" s="42" t="inlineStr"/>
      <c r="U15" s="44">
        <f>IF(A15="","",IFERROR(INDEX(E15:T15,MATCH(TRUE,INDEX(E15:T15&lt;&gt;"",0),0)),""))</f>
        <v/>
      </c>
      <c r="V15" s="44">
        <f>IF(A15="","",IFERROR(LOOKUP(2,1/(E15:T15&lt;&gt;""),E15:T15),""))</f>
        <v/>
      </c>
      <c r="W15" s="45">
        <f>IF(OR(A15="",PreviousYear=""),"",IFERROR(LOOKUP(2,1/(E15:T15&lt;&gt;""),E15:T15)-INDEX(E15:T15,MATCH(PreviousYear,$E$5:$T$5,0)),""))</f>
        <v/>
      </c>
      <c r="X15" s="45">
        <f>IF(OR(A15="",U15="",V15=""),"",V15-U15)</f>
        <v/>
      </c>
      <c r="Y15" s="44">
        <f>IF(A15="","",COUNT(E15:T15))</f>
        <v/>
      </c>
    </row>
    <row r="16">
      <c r="A16" s="39">
        <f>IF(AND('Employees'!B6&lt;&gt;"",'Skills'!B16&lt;&gt;""),'Employees'!B6,"")</f>
        <v/>
      </c>
      <c r="B16" s="40">
        <f>IF(A16="","",'Employees'!C6)</f>
        <v/>
      </c>
      <c r="C16" s="41">
        <f>IF(A16="","",'Skills'!B16)</f>
        <v/>
      </c>
      <c r="D16" s="40">
        <f>IF(A16="","",'Skills'!C16)</f>
        <v/>
      </c>
      <c r="E16" s="42" t="inlineStr"/>
      <c r="F16" s="42" t="inlineStr"/>
      <c r="G16" s="42" t="inlineStr"/>
      <c r="H16" s="43" t="inlineStr"/>
      <c r="I16" s="42" t="inlineStr"/>
      <c r="J16" s="42" t="inlineStr"/>
      <c r="K16" s="42" t="inlineStr"/>
      <c r="L16" s="42" t="inlineStr"/>
      <c r="M16" s="42" t="inlineStr"/>
      <c r="N16" s="42" t="inlineStr"/>
      <c r="O16" s="42" t="inlineStr"/>
      <c r="P16" s="42" t="inlineStr"/>
      <c r="Q16" s="42" t="inlineStr"/>
      <c r="R16" s="42" t="inlineStr"/>
      <c r="S16" s="42" t="inlineStr"/>
      <c r="T16" s="42" t="inlineStr"/>
      <c r="U16" s="44">
        <f>IF(A16="","",IFERROR(INDEX(E16:T16,MATCH(TRUE,INDEX(E16:T16&lt;&gt;"",0),0)),""))</f>
        <v/>
      </c>
      <c r="V16" s="44">
        <f>IF(A16="","",IFERROR(LOOKUP(2,1/(E16:T16&lt;&gt;""),E16:T16),""))</f>
        <v/>
      </c>
      <c r="W16" s="45">
        <f>IF(OR(A16="",PreviousYear=""),"",IFERROR(LOOKUP(2,1/(E16:T16&lt;&gt;""),E16:T16)-INDEX(E16:T16,MATCH(PreviousYear,$E$5:$T$5,0)),""))</f>
        <v/>
      </c>
      <c r="X16" s="45">
        <f>IF(OR(A16="",U16="",V16=""),"",V16-U16)</f>
        <v/>
      </c>
      <c r="Y16" s="44">
        <f>IF(A16="","",COUNT(E16:T16))</f>
        <v/>
      </c>
    </row>
    <row r="17">
      <c r="A17" s="39">
        <f>IF(AND('Employees'!B6&lt;&gt;"",'Skills'!B17&lt;&gt;""),'Employees'!B6,"")</f>
        <v/>
      </c>
      <c r="B17" s="40">
        <f>IF(A17="","",'Employees'!C6)</f>
        <v/>
      </c>
      <c r="C17" s="41">
        <f>IF(A17="","",'Skills'!B17)</f>
        <v/>
      </c>
      <c r="D17" s="40">
        <f>IF(A17="","",'Skills'!C17)</f>
        <v/>
      </c>
      <c r="E17" s="42" t="inlineStr"/>
      <c r="F17" s="42" t="inlineStr"/>
      <c r="G17" s="42" t="inlineStr"/>
      <c r="H17" s="43" t="inlineStr"/>
      <c r="I17" s="42" t="inlineStr"/>
      <c r="J17" s="42" t="inlineStr"/>
      <c r="K17" s="42" t="inlineStr"/>
      <c r="L17" s="42" t="inlineStr"/>
      <c r="M17" s="42" t="inlineStr"/>
      <c r="N17" s="42" t="inlineStr"/>
      <c r="O17" s="42" t="inlineStr"/>
      <c r="P17" s="42" t="inlineStr"/>
      <c r="Q17" s="42" t="inlineStr"/>
      <c r="R17" s="42" t="inlineStr"/>
      <c r="S17" s="42" t="inlineStr"/>
      <c r="T17" s="42" t="inlineStr"/>
      <c r="U17" s="44">
        <f>IF(A17="","",IFERROR(INDEX(E17:T17,MATCH(TRUE,INDEX(E17:T17&lt;&gt;"",0),0)),""))</f>
        <v/>
      </c>
      <c r="V17" s="44">
        <f>IF(A17="","",IFERROR(LOOKUP(2,1/(E17:T17&lt;&gt;""),E17:T17),""))</f>
        <v/>
      </c>
      <c r="W17" s="45">
        <f>IF(OR(A17="",PreviousYear=""),"",IFERROR(LOOKUP(2,1/(E17:T17&lt;&gt;""),E17:T17)-INDEX(E17:T17,MATCH(PreviousYear,$E$5:$T$5,0)),""))</f>
        <v/>
      </c>
      <c r="X17" s="45">
        <f>IF(OR(A17="",U17="",V17=""),"",V17-U17)</f>
        <v/>
      </c>
      <c r="Y17" s="44">
        <f>IF(A17="","",COUNT(E17:T17))</f>
        <v/>
      </c>
    </row>
    <row r="18">
      <c r="A18" s="39">
        <f>IF(AND('Employees'!B6&lt;&gt;"",'Skills'!B18&lt;&gt;""),'Employees'!B6,"")</f>
        <v/>
      </c>
      <c r="B18" s="40">
        <f>IF(A18="","",'Employees'!C6)</f>
        <v/>
      </c>
      <c r="C18" s="41">
        <f>IF(A18="","",'Skills'!B18)</f>
        <v/>
      </c>
      <c r="D18" s="40">
        <f>IF(A18="","",'Skills'!C18)</f>
        <v/>
      </c>
      <c r="E18" s="42" t="inlineStr"/>
      <c r="F18" s="42" t="inlineStr"/>
      <c r="G18" s="42" t="inlineStr"/>
      <c r="H18" s="43" t="inlineStr"/>
      <c r="I18" s="42" t="inlineStr"/>
      <c r="J18" s="42" t="inlineStr"/>
      <c r="K18" s="42" t="inlineStr"/>
      <c r="L18" s="42" t="inlineStr"/>
      <c r="M18" s="42" t="inlineStr"/>
      <c r="N18" s="42" t="inlineStr"/>
      <c r="O18" s="42" t="inlineStr"/>
      <c r="P18" s="42" t="inlineStr"/>
      <c r="Q18" s="42" t="inlineStr"/>
      <c r="R18" s="42" t="inlineStr"/>
      <c r="S18" s="42" t="inlineStr"/>
      <c r="T18" s="42" t="inlineStr"/>
      <c r="U18" s="44">
        <f>IF(A18="","",IFERROR(INDEX(E18:T18,MATCH(TRUE,INDEX(E18:T18&lt;&gt;"",0),0)),""))</f>
        <v/>
      </c>
      <c r="V18" s="44">
        <f>IF(A18="","",IFERROR(LOOKUP(2,1/(E18:T18&lt;&gt;""),E18:T18),""))</f>
        <v/>
      </c>
      <c r="W18" s="45">
        <f>IF(OR(A18="",PreviousYear=""),"",IFERROR(LOOKUP(2,1/(E18:T18&lt;&gt;""),E18:T18)-INDEX(E18:T18,MATCH(PreviousYear,$E$5:$T$5,0)),""))</f>
        <v/>
      </c>
      <c r="X18" s="45">
        <f>IF(OR(A18="",U18="",V18=""),"",V18-U18)</f>
        <v/>
      </c>
      <c r="Y18" s="44">
        <f>IF(A18="","",COUNT(E18:T18))</f>
        <v/>
      </c>
    </row>
    <row r="19">
      <c r="A19" s="39">
        <f>IF(AND('Employees'!B6&lt;&gt;"",'Skills'!B19&lt;&gt;""),'Employees'!B6,"")</f>
        <v/>
      </c>
      <c r="B19" s="40">
        <f>IF(A19="","",'Employees'!C6)</f>
        <v/>
      </c>
      <c r="C19" s="41">
        <f>IF(A19="","",'Skills'!B19)</f>
        <v/>
      </c>
      <c r="D19" s="40">
        <f>IF(A19="","",'Skills'!C19)</f>
        <v/>
      </c>
      <c r="E19" s="42" t="inlineStr"/>
      <c r="F19" s="42" t="inlineStr"/>
      <c r="G19" s="42" t="inlineStr"/>
      <c r="H19" s="43" t="inlineStr"/>
      <c r="I19" s="42" t="inlineStr"/>
      <c r="J19" s="42" t="inlineStr"/>
      <c r="K19" s="42" t="inlineStr"/>
      <c r="L19" s="42" t="inlineStr"/>
      <c r="M19" s="42" t="inlineStr"/>
      <c r="N19" s="42" t="inlineStr"/>
      <c r="O19" s="42" t="inlineStr"/>
      <c r="P19" s="42" t="inlineStr"/>
      <c r="Q19" s="42" t="inlineStr"/>
      <c r="R19" s="42" t="inlineStr"/>
      <c r="S19" s="42" t="inlineStr"/>
      <c r="T19" s="42" t="inlineStr"/>
      <c r="U19" s="44">
        <f>IF(A19="","",IFERROR(INDEX(E19:T19,MATCH(TRUE,INDEX(E19:T19&lt;&gt;"",0),0)),""))</f>
        <v/>
      </c>
      <c r="V19" s="44">
        <f>IF(A19="","",IFERROR(LOOKUP(2,1/(E19:T19&lt;&gt;""),E19:T19),""))</f>
        <v/>
      </c>
      <c r="W19" s="45">
        <f>IF(OR(A19="",PreviousYear=""),"",IFERROR(LOOKUP(2,1/(E19:T19&lt;&gt;""),E19:T19)-INDEX(E19:T19,MATCH(PreviousYear,$E$5:$T$5,0)),""))</f>
        <v/>
      </c>
      <c r="X19" s="45">
        <f>IF(OR(A19="",U19="",V19=""),"",V19-U19)</f>
        <v/>
      </c>
      <c r="Y19" s="44">
        <f>IF(A19="","",COUNT(E19:T19))</f>
        <v/>
      </c>
    </row>
    <row r="20">
      <c r="A20" s="39">
        <f>IF(AND('Employees'!B6&lt;&gt;"",'Skills'!B20&lt;&gt;""),'Employees'!B6,"")</f>
        <v/>
      </c>
      <c r="B20" s="40">
        <f>IF(A20="","",'Employees'!C6)</f>
        <v/>
      </c>
      <c r="C20" s="41">
        <f>IF(A20="","",'Skills'!B20)</f>
        <v/>
      </c>
      <c r="D20" s="40">
        <f>IF(A20="","",'Skills'!C20)</f>
        <v/>
      </c>
      <c r="E20" s="42" t="inlineStr"/>
      <c r="F20" s="42" t="inlineStr"/>
      <c r="G20" s="42" t="inlineStr"/>
      <c r="H20" s="43" t="inlineStr"/>
      <c r="I20" s="42" t="inlineStr"/>
      <c r="J20" s="42" t="inlineStr"/>
      <c r="K20" s="42" t="inlineStr"/>
      <c r="L20" s="42" t="inlineStr"/>
      <c r="M20" s="42" t="inlineStr"/>
      <c r="N20" s="42" t="inlineStr"/>
      <c r="O20" s="42" t="inlineStr"/>
      <c r="P20" s="42" t="inlineStr"/>
      <c r="Q20" s="42" t="inlineStr"/>
      <c r="R20" s="42" t="inlineStr"/>
      <c r="S20" s="42" t="inlineStr"/>
      <c r="T20" s="42" t="inlineStr"/>
      <c r="U20" s="44">
        <f>IF(A20="","",IFERROR(INDEX(E20:T20,MATCH(TRUE,INDEX(E20:T20&lt;&gt;"",0),0)),""))</f>
        <v/>
      </c>
      <c r="V20" s="44">
        <f>IF(A20="","",IFERROR(LOOKUP(2,1/(E20:T20&lt;&gt;""),E20:T20),""))</f>
        <v/>
      </c>
      <c r="W20" s="45">
        <f>IF(OR(A20="",PreviousYear=""),"",IFERROR(LOOKUP(2,1/(E20:T20&lt;&gt;""),E20:T20)-INDEX(E20:T20,MATCH(PreviousYear,$E$5:$T$5,0)),""))</f>
        <v/>
      </c>
      <c r="X20" s="45">
        <f>IF(OR(A20="",U20="",V20=""),"",V20-U20)</f>
        <v/>
      </c>
      <c r="Y20" s="44">
        <f>IF(A20="","",COUNT(E20:T20))</f>
        <v/>
      </c>
    </row>
    <row r="21">
      <c r="A21" s="39">
        <f>IF(AND('Employees'!B6&lt;&gt;"",'Skills'!B21&lt;&gt;""),'Employees'!B6,"")</f>
        <v/>
      </c>
      <c r="B21" s="40">
        <f>IF(A21="","",'Employees'!C6)</f>
        <v/>
      </c>
      <c r="C21" s="41">
        <f>IF(A21="","",'Skills'!B21)</f>
        <v/>
      </c>
      <c r="D21" s="40">
        <f>IF(A21="","",'Skills'!C21)</f>
        <v/>
      </c>
      <c r="E21" s="42" t="inlineStr"/>
      <c r="F21" s="42" t="inlineStr"/>
      <c r="G21" s="42" t="inlineStr"/>
      <c r="H21" s="43" t="inlineStr"/>
      <c r="I21" s="42" t="inlineStr"/>
      <c r="J21" s="42" t="inlineStr"/>
      <c r="K21" s="42" t="inlineStr"/>
      <c r="L21" s="42" t="inlineStr"/>
      <c r="M21" s="42" t="inlineStr"/>
      <c r="N21" s="42" t="inlineStr"/>
      <c r="O21" s="42" t="inlineStr"/>
      <c r="P21" s="42" t="inlineStr"/>
      <c r="Q21" s="42" t="inlineStr"/>
      <c r="R21" s="42" t="inlineStr"/>
      <c r="S21" s="42" t="inlineStr"/>
      <c r="T21" s="42" t="inlineStr"/>
      <c r="U21" s="44">
        <f>IF(A21="","",IFERROR(INDEX(E21:T21,MATCH(TRUE,INDEX(E21:T21&lt;&gt;"",0),0)),""))</f>
        <v/>
      </c>
      <c r="V21" s="44">
        <f>IF(A21="","",IFERROR(LOOKUP(2,1/(E21:T21&lt;&gt;""),E21:T21),""))</f>
        <v/>
      </c>
      <c r="W21" s="45">
        <f>IF(OR(A21="",PreviousYear=""),"",IFERROR(LOOKUP(2,1/(E21:T21&lt;&gt;""),E21:T21)-INDEX(E21:T21,MATCH(PreviousYear,$E$5:$T$5,0)),""))</f>
        <v/>
      </c>
      <c r="X21" s="45">
        <f>IF(OR(A21="",U21="",V21=""),"",V21-U21)</f>
        <v/>
      </c>
      <c r="Y21" s="44">
        <f>IF(A21="","",COUNT(E21:T21))</f>
        <v/>
      </c>
    </row>
    <row r="22">
      <c r="A22" s="39">
        <f>IF(AND('Employees'!B7&lt;&gt;"",'Skills'!B6&lt;&gt;""),'Employees'!B7,"")</f>
        <v/>
      </c>
      <c r="B22" s="40">
        <f>IF(A22="","",'Employees'!C7)</f>
        <v/>
      </c>
      <c r="C22" s="41">
        <f>IF(A22="","",'Skills'!B6)</f>
        <v/>
      </c>
      <c r="D22" s="40">
        <f>IF(A22="","",'Skills'!C6)</f>
        <v/>
      </c>
      <c r="E22" s="42" t="n">
        <v>3</v>
      </c>
      <c r="F22" s="42" t="n">
        <v>3</v>
      </c>
      <c r="G22" s="42" t="n">
        <v>3</v>
      </c>
      <c r="H22" s="43" t="n">
        <v>3</v>
      </c>
      <c r="I22" s="42" t="inlineStr"/>
      <c r="J22" s="42" t="inlineStr"/>
      <c r="K22" s="42" t="inlineStr"/>
      <c r="L22" s="42" t="inlineStr"/>
      <c r="M22" s="42" t="inlineStr"/>
      <c r="N22" s="42" t="inlineStr"/>
      <c r="O22" s="42" t="inlineStr"/>
      <c r="P22" s="42" t="inlineStr"/>
      <c r="Q22" s="42" t="inlineStr"/>
      <c r="R22" s="42" t="inlineStr"/>
      <c r="S22" s="42" t="inlineStr"/>
      <c r="T22" s="42" t="inlineStr"/>
      <c r="U22" s="44">
        <f>IF(A22="","",IFERROR(INDEX(E22:T22,MATCH(TRUE,INDEX(E22:T22&lt;&gt;"",0),0)),""))</f>
        <v/>
      </c>
      <c r="V22" s="44">
        <f>IF(A22="","",IFERROR(LOOKUP(2,1/(E22:T22&lt;&gt;""),E22:T22),""))</f>
        <v/>
      </c>
      <c r="W22" s="45">
        <f>IF(OR(A22="",PreviousYear=""),"",IFERROR(LOOKUP(2,1/(E22:T22&lt;&gt;""),E22:T22)-INDEX(E22:T22,MATCH(PreviousYear,$E$5:$T$5,0)),""))</f>
        <v/>
      </c>
      <c r="X22" s="45">
        <f>IF(OR(A22="",U22="",V22=""),"",V22-U22)</f>
        <v/>
      </c>
      <c r="Y22" s="44">
        <f>IF(A22="","",COUNT(E22:T22))</f>
        <v/>
      </c>
    </row>
    <row r="23">
      <c r="A23" s="39">
        <f>IF(AND('Employees'!B7&lt;&gt;"",'Skills'!B7&lt;&gt;""),'Employees'!B7,"")</f>
        <v/>
      </c>
      <c r="B23" s="40">
        <f>IF(A23="","",'Employees'!C7)</f>
        <v/>
      </c>
      <c r="C23" s="41">
        <f>IF(A23="","",'Skills'!B7)</f>
        <v/>
      </c>
      <c r="D23" s="40">
        <f>IF(A23="","",'Skills'!C7)</f>
        <v/>
      </c>
      <c r="E23" s="42" t="n">
        <v>4</v>
      </c>
      <c r="F23" s="42" t="n">
        <v>5</v>
      </c>
      <c r="G23" s="42" t="n">
        <v>5</v>
      </c>
      <c r="H23" s="43" t="n">
        <v>5</v>
      </c>
      <c r="I23" s="42" t="inlineStr"/>
      <c r="J23" s="42" t="inlineStr"/>
      <c r="K23" s="42" t="inlineStr"/>
      <c r="L23" s="42" t="inlineStr"/>
      <c r="M23" s="42" t="inlineStr"/>
      <c r="N23" s="42" t="inlineStr"/>
      <c r="O23" s="42" t="inlineStr"/>
      <c r="P23" s="42" t="inlineStr"/>
      <c r="Q23" s="42" t="inlineStr"/>
      <c r="R23" s="42" t="inlineStr"/>
      <c r="S23" s="42" t="inlineStr"/>
      <c r="T23" s="42" t="inlineStr"/>
      <c r="U23" s="44">
        <f>IF(A23="","",IFERROR(INDEX(E23:T23,MATCH(TRUE,INDEX(E23:T23&lt;&gt;"",0),0)),""))</f>
        <v/>
      </c>
      <c r="V23" s="44">
        <f>IF(A23="","",IFERROR(LOOKUP(2,1/(E23:T23&lt;&gt;""),E23:T23),""))</f>
        <v/>
      </c>
      <c r="W23" s="45">
        <f>IF(OR(A23="",PreviousYear=""),"",IFERROR(LOOKUP(2,1/(E23:T23&lt;&gt;""),E23:T23)-INDEX(E23:T23,MATCH(PreviousYear,$E$5:$T$5,0)),""))</f>
        <v/>
      </c>
      <c r="X23" s="45">
        <f>IF(OR(A23="",U23="",V23=""),"",V23-U23)</f>
        <v/>
      </c>
      <c r="Y23" s="44">
        <f>IF(A23="","",COUNT(E23:T23))</f>
        <v/>
      </c>
    </row>
    <row r="24">
      <c r="A24" s="39">
        <f>IF(AND('Employees'!B7&lt;&gt;"",'Skills'!B8&lt;&gt;""),'Employees'!B7,"")</f>
        <v/>
      </c>
      <c r="B24" s="40">
        <f>IF(A24="","",'Employees'!C7)</f>
        <v/>
      </c>
      <c r="C24" s="41">
        <f>IF(A24="","",'Skills'!B8)</f>
        <v/>
      </c>
      <c r="D24" s="40">
        <f>IF(A24="","",'Skills'!C8)</f>
        <v/>
      </c>
      <c r="E24" s="42" t="n">
        <v>1</v>
      </c>
      <c r="F24" s="42" t="n">
        <v>1</v>
      </c>
      <c r="G24" s="42" t="n">
        <v>2</v>
      </c>
      <c r="H24" s="43" t="n">
        <v>3</v>
      </c>
      <c r="I24" s="42" t="inlineStr"/>
      <c r="J24" s="42" t="inlineStr"/>
      <c r="K24" s="42" t="inlineStr"/>
      <c r="L24" s="42" t="inlineStr"/>
      <c r="M24" s="42" t="inlineStr"/>
      <c r="N24" s="42" t="inlineStr"/>
      <c r="O24" s="42" t="inlineStr"/>
      <c r="P24" s="42" t="inlineStr"/>
      <c r="Q24" s="42" t="inlineStr"/>
      <c r="R24" s="42" t="inlineStr"/>
      <c r="S24" s="42" t="inlineStr"/>
      <c r="T24" s="42" t="inlineStr"/>
      <c r="U24" s="44">
        <f>IF(A24="","",IFERROR(INDEX(E24:T24,MATCH(TRUE,INDEX(E24:T24&lt;&gt;"",0),0)),""))</f>
        <v/>
      </c>
      <c r="V24" s="44">
        <f>IF(A24="","",IFERROR(LOOKUP(2,1/(E24:T24&lt;&gt;""),E24:T24),""))</f>
        <v/>
      </c>
      <c r="W24" s="45">
        <f>IF(OR(A24="",PreviousYear=""),"",IFERROR(LOOKUP(2,1/(E24:T24&lt;&gt;""),E24:T24)-INDEX(E24:T24,MATCH(PreviousYear,$E$5:$T$5,0)),""))</f>
        <v/>
      </c>
      <c r="X24" s="45">
        <f>IF(OR(A24="",U24="",V24=""),"",V24-U24)</f>
        <v/>
      </c>
      <c r="Y24" s="44">
        <f>IF(A24="","",COUNT(E24:T24))</f>
        <v/>
      </c>
    </row>
    <row r="25">
      <c r="A25" s="39">
        <f>IF(AND('Employees'!B7&lt;&gt;"",'Skills'!B9&lt;&gt;""),'Employees'!B7,"")</f>
        <v/>
      </c>
      <c r="B25" s="40">
        <f>IF(A25="","",'Employees'!C7)</f>
        <v/>
      </c>
      <c r="C25" s="41">
        <f>IF(A25="","",'Skills'!B9)</f>
        <v/>
      </c>
      <c r="D25" s="40">
        <f>IF(A25="","",'Skills'!C9)</f>
        <v/>
      </c>
      <c r="E25" s="42" t="n">
        <v>1</v>
      </c>
      <c r="F25" s="42" t="n">
        <v>2</v>
      </c>
      <c r="G25" s="42" t="n">
        <v>2</v>
      </c>
      <c r="H25" s="43" t="n">
        <v>3</v>
      </c>
      <c r="I25" s="42" t="inlineStr"/>
      <c r="J25" s="42" t="inlineStr"/>
      <c r="K25" s="42" t="inlineStr"/>
      <c r="L25" s="42" t="inlineStr"/>
      <c r="M25" s="42" t="inlineStr"/>
      <c r="N25" s="42" t="inlineStr"/>
      <c r="O25" s="42" t="inlineStr"/>
      <c r="P25" s="42" t="inlineStr"/>
      <c r="Q25" s="42" t="inlineStr"/>
      <c r="R25" s="42" t="inlineStr"/>
      <c r="S25" s="42" t="inlineStr"/>
      <c r="T25" s="42" t="inlineStr"/>
      <c r="U25" s="44">
        <f>IF(A25="","",IFERROR(INDEX(E25:T25,MATCH(TRUE,INDEX(E25:T25&lt;&gt;"",0),0)),""))</f>
        <v/>
      </c>
      <c r="V25" s="44">
        <f>IF(A25="","",IFERROR(LOOKUP(2,1/(E25:T25&lt;&gt;""),E25:T25),""))</f>
        <v/>
      </c>
      <c r="W25" s="45">
        <f>IF(OR(A25="",PreviousYear=""),"",IFERROR(LOOKUP(2,1/(E25:T25&lt;&gt;""),E25:T25)-INDEX(E25:T25,MATCH(PreviousYear,$E$5:$T$5,0)),""))</f>
        <v/>
      </c>
      <c r="X25" s="45">
        <f>IF(OR(A25="",U25="",V25=""),"",V25-U25)</f>
        <v/>
      </c>
      <c r="Y25" s="44">
        <f>IF(A25="","",COUNT(E25:T25))</f>
        <v/>
      </c>
    </row>
    <row r="26">
      <c r="A26" s="39">
        <f>IF(AND('Employees'!B7&lt;&gt;"",'Skills'!B10&lt;&gt;""),'Employees'!B7,"")</f>
        <v/>
      </c>
      <c r="B26" s="40">
        <f>IF(A26="","",'Employees'!C7)</f>
        <v/>
      </c>
      <c r="C26" s="41">
        <f>IF(A26="","",'Skills'!B10)</f>
        <v/>
      </c>
      <c r="D26" s="40">
        <f>IF(A26="","",'Skills'!C10)</f>
        <v/>
      </c>
      <c r="E26" s="42" t="n">
        <v>3</v>
      </c>
      <c r="F26" s="42" t="n">
        <v>3</v>
      </c>
      <c r="G26" s="42" t="n">
        <v>3</v>
      </c>
      <c r="H26" s="43" t="n">
        <v>3</v>
      </c>
      <c r="I26" s="42" t="inlineStr"/>
      <c r="J26" s="42" t="inlineStr"/>
      <c r="K26" s="42" t="inlineStr"/>
      <c r="L26" s="42" t="inlineStr"/>
      <c r="M26" s="42" t="inlineStr"/>
      <c r="N26" s="42" t="inlineStr"/>
      <c r="O26" s="42" t="inlineStr"/>
      <c r="P26" s="42" t="inlineStr"/>
      <c r="Q26" s="42" t="inlineStr"/>
      <c r="R26" s="42" t="inlineStr"/>
      <c r="S26" s="42" t="inlineStr"/>
      <c r="T26" s="42" t="inlineStr"/>
      <c r="U26" s="44">
        <f>IF(A26="","",IFERROR(INDEX(E26:T26,MATCH(TRUE,INDEX(E26:T26&lt;&gt;"",0),0)),""))</f>
        <v/>
      </c>
      <c r="V26" s="44">
        <f>IF(A26="","",IFERROR(LOOKUP(2,1/(E26:T26&lt;&gt;""),E26:T26),""))</f>
        <v/>
      </c>
      <c r="W26" s="45">
        <f>IF(OR(A26="",PreviousYear=""),"",IFERROR(LOOKUP(2,1/(E26:T26&lt;&gt;""),E26:T26)-INDEX(E26:T26,MATCH(PreviousYear,$E$5:$T$5,0)),""))</f>
        <v/>
      </c>
      <c r="X26" s="45">
        <f>IF(OR(A26="",U26="",V26=""),"",V26-U26)</f>
        <v/>
      </c>
      <c r="Y26" s="44">
        <f>IF(A26="","",COUNT(E26:T26))</f>
        <v/>
      </c>
    </row>
    <row r="27">
      <c r="A27" s="39">
        <f>IF(AND('Employees'!B7&lt;&gt;"",'Skills'!B11&lt;&gt;""),'Employees'!B7,"")</f>
        <v/>
      </c>
      <c r="B27" s="40">
        <f>IF(A27="","",'Employees'!C7)</f>
        <v/>
      </c>
      <c r="C27" s="41">
        <f>IF(A27="","",'Skills'!B11)</f>
        <v/>
      </c>
      <c r="D27" s="40">
        <f>IF(A27="","",'Skills'!C11)</f>
        <v/>
      </c>
      <c r="E27" s="42" t="n">
        <v>1</v>
      </c>
      <c r="F27" s="42" t="n">
        <v>1</v>
      </c>
      <c r="G27" s="42" t="n">
        <v>2</v>
      </c>
      <c r="H27" s="43" t="n">
        <v>2</v>
      </c>
      <c r="I27" s="42" t="inlineStr"/>
      <c r="J27" s="42" t="inlineStr"/>
      <c r="K27" s="42" t="inlineStr"/>
      <c r="L27" s="42" t="inlineStr"/>
      <c r="M27" s="42" t="inlineStr"/>
      <c r="N27" s="42" t="inlineStr"/>
      <c r="O27" s="42" t="inlineStr"/>
      <c r="P27" s="42" t="inlineStr"/>
      <c r="Q27" s="42" t="inlineStr"/>
      <c r="R27" s="42" t="inlineStr"/>
      <c r="S27" s="42" t="inlineStr"/>
      <c r="T27" s="42" t="inlineStr"/>
      <c r="U27" s="44">
        <f>IF(A27="","",IFERROR(INDEX(E27:T27,MATCH(TRUE,INDEX(E27:T27&lt;&gt;"",0),0)),""))</f>
        <v/>
      </c>
      <c r="V27" s="44">
        <f>IF(A27="","",IFERROR(LOOKUP(2,1/(E27:T27&lt;&gt;""),E27:T27),""))</f>
        <v/>
      </c>
      <c r="W27" s="45">
        <f>IF(OR(A27="",PreviousYear=""),"",IFERROR(LOOKUP(2,1/(E27:T27&lt;&gt;""),E27:T27)-INDEX(E27:T27,MATCH(PreviousYear,$E$5:$T$5,0)),""))</f>
        <v/>
      </c>
      <c r="X27" s="45">
        <f>IF(OR(A27="",U27="",V27=""),"",V27-U27)</f>
        <v/>
      </c>
      <c r="Y27" s="44">
        <f>IF(A27="","",COUNT(E27:T27))</f>
        <v/>
      </c>
    </row>
    <row r="28">
      <c r="A28" s="39">
        <f>IF(AND('Employees'!B7&lt;&gt;"",'Skills'!B12&lt;&gt;""),'Employees'!B7,"")</f>
        <v/>
      </c>
      <c r="B28" s="40">
        <f>IF(A28="","",'Employees'!C7)</f>
        <v/>
      </c>
      <c r="C28" s="41">
        <f>IF(A28="","",'Skills'!B12)</f>
        <v/>
      </c>
      <c r="D28" s="40">
        <f>IF(A28="","",'Skills'!C12)</f>
        <v/>
      </c>
      <c r="E28" s="42" t="n">
        <v>4</v>
      </c>
      <c r="F28" s="42" t="n">
        <v>4</v>
      </c>
      <c r="G28" s="42" t="n">
        <v>4</v>
      </c>
      <c r="H28" s="43" t="n">
        <v>4</v>
      </c>
      <c r="I28" s="42" t="inlineStr"/>
      <c r="J28" s="42" t="inlineStr"/>
      <c r="K28" s="42" t="inlineStr"/>
      <c r="L28" s="42" t="inlineStr"/>
      <c r="M28" s="42" t="inlineStr"/>
      <c r="N28" s="42" t="inlineStr"/>
      <c r="O28" s="42" t="inlineStr"/>
      <c r="P28" s="42" t="inlineStr"/>
      <c r="Q28" s="42" t="inlineStr"/>
      <c r="R28" s="42" t="inlineStr"/>
      <c r="S28" s="42" t="inlineStr"/>
      <c r="T28" s="42" t="inlineStr"/>
      <c r="U28" s="44">
        <f>IF(A28="","",IFERROR(INDEX(E28:T28,MATCH(TRUE,INDEX(E28:T28&lt;&gt;"",0),0)),""))</f>
        <v/>
      </c>
      <c r="V28" s="44">
        <f>IF(A28="","",IFERROR(LOOKUP(2,1/(E28:T28&lt;&gt;""),E28:T28),""))</f>
        <v/>
      </c>
      <c r="W28" s="45">
        <f>IF(OR(A28="",PreviousYear=""),"",IFERROR(LOOKUP(2,1/(E28:T28&lt;&gt;""),E28:T28)-INDEX(E28:T28,MATCH(PreviousYear,$E$5:$T$5,0)),""))</f>
        <v/>
      </c>
      <c r="X28" s="45">
        <f>IF(OR(A28="",U28="",V28=""),"",V28-U28)</f>
        <v/>
      </c>
      <c r="Y28" s="44">
        <f>IF(A28="","",COUNT(E28:T28))</f>
        <v/>
      </c>
    </row>
    <row r="29">
      <c r="A29" s="39">
        <f>IF(AND('Employees'!B7&lt;&gt;"",'Skills'!B13&lt;&gt;""),'Employees'!B7,"")</f>
        <v/>
      </c>
      <c r="B29" s="40">
        <f>IF(A29="","",'Employees'!C7)</f>
        <v/>
      </c>
      <c r="C29" s="41">
        <f>IF(A29="","",'Skills'!B13)</f>
        <v/>
      </c>
      <c r="D29" s="40">
        <f>IF(A29="","",'Skills'!C13)</f>
        <v/>
      </c>
      <c r="E29" s="42" t="inlineStr"/>
      <c r="F29" s="42" t="inlineStr"/>
      <c r="G29" s="42" t="inlineStr"/>
      <c r="H29" s="43" t="inlineStr"/>
      <c r="I29" s="42" t="inlineStr"/>
      <c r="J29" s="42" t="inlineStr"/>
      <c r="K29" s="42" t="inlineStr"/>
      <c r="L29" s="42" t="inlineStr"/>
      <c r="M29" s="42" t="inlineStr"/>
      <c r="N29" s="42" t="inlineStr"/>
      <c r="O29" s="42" t="inlineStr"/>
      <c r="P29" s="42" t="inlineStr"/>
      <c r="Q29" s="42" t="inlineStr"/>
      <c r="R29" s="42" t="inlineStr"/>
      <c r="S29" s="42" t="inlineStr"/>
      <c r="T29" s="42" t="inlineStr"/>
      <c r="U29" s="44">
        <f>IF(A29="","",IFERROR(INDEX(E29:T29,MATCH(TRUE,INDEX(E29:T29&lt;&gt;"",0),0)),""))</f>
        <v/>
      </c>
      <c r="V29" s="44">
        <f>IF(A29="","",IFERROR(LOOKUP(2,1/(E29:T29&lt;&gt;""),E29:T29),""))</f>
        <v/>
      </c>
      <c r="W29" s="45">
        <f>IF(OR(A29="",PreviousYear=""),"",IFERROR(LOOKUP(2,1/(E29:T29&lt;&gt;""),E29:T29)-INDEX(E29:T29,MATCH(PreviousYear,$E$5:$T$5,0)),""))</f>
        <v/>
      </c>
      <c r="X29" s="45">
        <f>IF(OR(A29="",U29="",V29=""),"",V29-U29)</f>
        <v/>
      </c>
      <c r="Y29" s="44">
        <f>IF(A29="","",COUNT(E29:T29))</f>
        <v/>
      </c>
    </row>
    <row r="30">
      <c r="A30" s="39">
        <f>IF(AND('Employees'!B7&lt;&gt;"",'Skills'!B14&lt;&gt;""),'Employees'!B7,"")</f>
        <v/>
      </c>
      <c r="B30" s="40">
        <f>IF(A30="","",'Employees'!C7)</f>
        <v/>
      </c>
      <c r="C30" s="41">
        <f>IF(A30="","",'Skills'!B14)</f>
        <v/>
      </c>
      <c r="D30" s="40">
        <f>IF(A30="","",'Skills'!C14)</f>
        <v/>
      </c>
      <c r="E30" s="42" t="inlineStr"/>
      <c r="F30" s="42" t="inlineStr"/>
      <c r="G30" s="42" t="inlineStr"/>
      <c r="H30" s="43" t="inlineStr"/>
      <c r="I30" s="42" t="inlineStr"/>
      <c r="J30" s="42" t="inlineStr"/>
      <c r="K30" s="42" t="inlineStr"/>
      <c r="L30" s="42" t="inlineStr"/>
      <c r="M30" s="42" t="inlineStr"/>
      <c r="N30" s="42" t="inlineStr"/>
      <c r="O30" s="42" t="inlineStr"/>
      <c r="P30" s="42" t="inlineStr"/>
      <c r="Q30" s="42" t="inlineStr"/>
      <c r="R30" s="42" t="inlineStr"/>
      <c r="S30" s="42" t="inlineStr"/>
      <c r="T30" s="42" t="inlineStr"/>
      <c r="U30" s="44">
        <f>IF(A30="","",IFERROR(INDEX(E30:T30,MATCH(TRUE,INDEX(E30:T30&lt;&gt;"",0),0)),""))</f>
        <v/>
      </c>
      <c r="V30" s="44">
        <f>IF(A30="","",IFERROR(LOOKUP(2,1/(E30:T30&lt;&gt;""),E30:T30),""))</f>
        <v/>
      </c>
      <c r="W30" s="45">
        <f>IF(OR(A30="",PreviousYear=""),"",IFERROR(LOOKUP(2,1/(E30:T30&lt;&gt;""),E30:T30)-INDEX(E30:T30,MATCH(PreviousYear,$E$5:$T$5,0)),""))</f>
        <v/>
      </c>
      <c r="X30" s="45">
        <f>IF(OR(A30="",U30="",V30=""),"",V30-U30)</f>
        <v/>
      </c>
      <c r="Y30" s="44">
        <f>IF(A30="","",COUNT(E30:T30))</f>
        <v/>
      </c>
    </row>
    <row r="31">
      <c r="A31" s="39">
        <f>IF(AND('Employees'!B7&lt;&gt;"",'Skills'!B15&lt;&gt;""),'Employees'!B7,"")</f>
        <v/>
      </c>
      <c r="B31" s="40">
        <f>IF(A31="","",'Employees'!C7)</f>
        <v/>
      </c>
      <c r="C31" s="41">
        <f>IF(A31="","",'Skills'!B15)</f>
        <v/>
      </c>
      <c r="D31" s="40">
        <f>IF(A31="","",'Skills'!C15)</f>
        <v/>
      </c>
      <c r="E31" s="42" t="inlineStr"/>
      <c r="F31" s="42" t="inlineStr"/>
      <c r="G31" s="42" t="inlineStr"/>
      <c r="H31" s="43" t="inlineStr"/>
      <c r="I31" s="42" t="inlineStr"/>
      <c r="J31" s="42" t="inlineStr"/>
      <c r="K31" s="42" t="inlineStr"/>
      <c r="L31" s="42" t="inlineStr"/>
      <c r="M31" s="42" t="inlineStr"/>
      <c r="N31" s="42" t="inlineStr"/>
      <c r="O31" s="42" t="inlineStr"/>
      <c r="P31" s="42" t="inlineStr"/>
      <c r="Q31" s="42" t="inlineStr"/>
      <c r="R31" s="42" t="inlineStr"/>
      <c r="S31" s="42" t="inlineStr"/>
      <c r="T31" s="42" t="inlineStr"/>
      <c r="U31" s="44">
        <f>IF(A31="","",IFERROR(INDEX(E31:T31,MATCH(TRUE,INDEX(E31:T31&lt;&gt;"",0),0)),""))</f>
        <v/>
      </c>
      <c r="V31" s="44">
        <f>IF(A31="","",IFERROR(LOOKUP(2,1/(E31:T31&lt;&gt;""),E31:T31),""))</f>
        <v/>
      </c>
      <c r="W31" s="45">
        <f>IF(OR(A31="",PreviousYear=""),"",IFERROR(LOOKUP(2,1/(E31:T31&lt;&gt;""),E31:T31)-INDEX(E31:T31,MATCH(PreviousYear,$E$5:$T$5,0)),""))</f>
        <v/>
      </c>
      <c r="X31" s="45">
        <f>IF(OR(A31="",U31="",V31=""),"",V31-U31)</f>
        <v/>
      </c>
      <c r="Y31" s="44">
        <f>IF(A31="","",COUNT(E31:T31))</f>
        <v/>
      </c>
    </row>
    <row r="32">
      <c r="A32" s="39">
        <f>IF(AND('Employees'!B7&lt;&gt;"",'Skills'!B16&lt;&gt;""),'Employees'!B7,"")</f>
        <v/>
      </c>
      <c r="B32" s="40">
        <f>IF(A32="","",'Employees'!C7)</f>
        <v/>
      </c>
      <c r="C32" s="41">
        <f>IF(A32="","",'Skills'!B16)</f>
        <v/>
      </c>
      <c r="D32" s="40">
        <f>IF(A32="","",'Skills'!C16)</f>
        <v/>
      </c>
      <c r="E32" s="42" t="inlineStr"/>
      <c r="F32" s="42" t="inlineStr"/>
      <c r="G32" s="42" t="inlineStr"/>
      <c r="H32" s="43" t="inlineStr"/>
      <c r="I32" s="42" t="inlineStr"/>
      <c r="J32" s="42" t="inlineStr"/>
      <c r="K32" s="42" t="inlineStr"/>
      <c r="L32" s="42" t="inlineStr"/>
      <c r="M32" s="42" t="inlineStr"/>
      <c r="N32" s="42" t="inlineStr"/>
      <c r="O32" s="42" t="inlineStr"/>
      <c r="P32" s="42" t="inlineStr"/>
      <c r="Q32" s="42" t="inlineStr"/>
      <c r="R32" s="42" t="inlineStr"/>
      <c r="S32" s="42" t="inlineStr"/>
      <c r="T32" s="42" t="inlineStr"/>
      <c r="U32" s="44">
        <f>IF(A32="","",IFERROR(INDEX(E32:T32,MATCH(TRUE,INDEX(E32:T32&lt;&gt;"",0),0)),""))</f>
        <v/>
      </c>
      <c r="V32" s="44">
        <f>IF(A32="","",IFERROR(LOOKUP(2,1/(E32:T32&lt;&gt;""),E32:T32),""))</f>
        <v/>
      </c>
      <c r="W32" s="45">
        <f>IF(OR(A32="",PreviousYear=""),"",IFERROR(LOOKUP(2,1/(E32:T32&lt;&gt;""),E32:T32)-INDEX(E32:T32,MATCH(PreviousYear,$E$5:$T$5,0)),""))</f>
        <v/>
      </c>
      <c r="X32" s="45">
        <f>IF(OR(A32="",U32="",V32=""),"",V32-U32)</f>
        <v/>
      </c>
      <c r="Y32" s="44">
        <f>IF(A32="","",COUNT(E32:T32))</f>
        <v/>
      </c>
    </row>
    <row r="33">
      <c r="A33" s="39">
        <f>IF(AND('Employees'!B7&lt;&gt;"",'Skills'!B17&lt;&gt;""),'Employees'!B7,"")</f>
        <v/>
      </c>
      <c r="B33" s="40">
        <f>IF(A33="","",'Employees'!C7)</f>
        <v/>
      </c>
      <c r="C33" s="41">
        <f>IF(A33="","",'Skills'!B17)</f>
        <v/>
      </c>
      <c r="D33" s="40">
        <f>IF(A33="","",'Skills'!C17)</f>
        <v/>
      </c>
      <c r="E33" s="42" t="inlineStr"/>
      <c r="F33" s="42" t="inlineStr"/>
      <c r="G33" s="42" t="inlineStr"/>
      <c r="H33" s="43" t="inlineStr"/>
      <c r="I33" s="42" t="inlineStr"/>
      <c r="J33" s="42" t="inlineStr"/>
      <c r="K33" s="42" t="inlineStr"/>
      <c r="L33" s="42" t="inlineStr"/>
      <c r="M33" s="42" t="inlineStr"/>
      <c r="N33" s="42" t="inlineStr"/>
      <c r="O33" s="42" t="inlineStr"/>
      <c r="P33" s="42" t="inlineStr"/>
      <c r="Q33" s="42" t="inlineStr"/>
      <c r="R33" s="42" t="inlineStr"/>
      <c r="S33" s="42" t="inlineStr"/>
      <c r="T33" s="42" t="inlineStr"/>
      <c r="U33" s="44">
        <f>IF(A33="","",IFERROR(INDEX(E33:T33,MATCH(TRUE,INDEX(E33:T33&lt;&gt;"",0),0)),""))</f>
        <v/>
      </c>
      <c r="V33" s="44">
        <f>IF(A33="","",IFERROR(LOOKUP(2,1/(E33:T33&lt;&gt;""),E33:T33),""))</f>
        <v/>
      </c>
      <c r="W33" s="45">
        <f>IF(OR(A33="",PreviousYear=""),"",IFERROR(LOOKUP(2,1/(E33:T33&lt;&gt;""),E33:T33)-INDEX(E33:T33,MATCH(PreviousYear,$E$5:$T$5,0)),""))</f>
        <v/>
      </c>
      <c r="X33" s="45">
        <f>IF(OR(A33="",U33="",V33=""),"",V33-U33)</f>
        <v/>
      </c>
      <c r="Y33" s="44">
        <f>IF(A33="","",COUNT(E33:T33))</f>
        <v/>
      </c>
    </row>
    <row r="34">
      <c r="A34" s="39">
        <f>IF(AND('Employees'!B7&lt;&gt;"",'Skills'!B18&lt;&gt;""),'Employees'!B7,"")</f>
        <v/>
      </c>
      <c r="B34" s="40">
        <f>IF(A34="","",'Employees'!C7)</f>
        <v/>
      </c>
      <c r="C34" s="41">
        <f>IF(A34="","",'Skills'!B18)</f>
        <v/>
      </c>
      <c r="D34" s="40">
        <f>IF(A34="","",'Skills'!C18)</f>
        <v/>
      </c>
      <c r="E34" s="42" t="inlineStr"/>
      <c r="F34" s="42" t="inlineStr"/>
      <c r="G34" s="42" t="inlineStr"/>
      <c r="H34" s="43" t="inlineStr"/>
      <c r="I34" s="42" t="inlineStr"/>
      <c r="J34" s="42" t="inlineStr"/>
      <c r="K34" s="42" t="inlineStr"/>
      <c r="L34" s="42" t="inlineStr"/>
      <c r="M34" s="42" t="inlineStr"/>
      <c r="N34" s="42" t="inlineStr"/>
      <c r="O34" s="42" t="inlineStr"/>
      <c r="P34" s="42" t="inlineStr"/>
      <c r="Q34" s="42" t="inlineStr"/>
      <c r="R34" s="42" t="inlineStr"/>
      <c r="S34" s="42" t="inlineStr"/>
      <c r="T34" s="42" t="inlineStr"/>
      <c r="U34" s="44">
        <f>IF(A34="","",IFERROR(INDEX(E34:T34,MATCH(TRUE,INDEX(E34:T34&lt;&gt;"",0),0)),""))</f>
        <v/>
      </c>
      <c r="V34" s="44">
        <f>IF(A34="","",IFERROR(LOOKUP(2,1/(E34:T34&lt;&gt;""),E34:T34),""))</f>
        <v/>
      </c>
      <c r="W34" s="45">
        <f>IF(OR(A34="",PreviousYear=""),"",IFERROR(LOOKUP(2,1/(E34:T34&lt;&gt;""),E34:T34)-INDEX(E34:T34,MATCH(PreviousYear,$E$5:$T$5,0)),""))</f>
        <v/>
      </c>
      <c r="X34" s="45">
        <f>IF(OR(A34="",U34="",V34=""),"",V34-U34)</f>
        <v/>
      </c>
      <c r="Y34" s="44">
        <f>IF(A34="","",COUNT(E34:T34))</f>
        <v/>
      </c>
    </row>
    <row r="35">
      <c r="A35" s="39">
        <f>IF(AND('Employees'!B7&lt;&gt;"",'Skills'!B19&lt;&gt;""),'Employees'!B7,"")</f>
        <v/>
      </c>
      <c r="B35" s="40">
        <f>IF(A35="","",'Employees'!C7)</f>
        <v/>
      </c>
      <c r="C35" s="41">
        <f>IF(A35="","",'Skills'!B19)</f>
        <v/>
      </c>
      <c r="D35" s="40">
        <f>IF(A35="","",'Skills'!C19)</f>
        <v/>
      </c>
      <c r="E35" s="42" t="inlineStr"/>
      <c r="F35" s="42" t="inlineStr"/>
      <c r="G35" s="42" t="inlineStr"/>
      <c r="H35" s="43" t="inlineStr"/>
      <c r="I35" s="42" t="inlineStr"/>
      <c r="J35" s="42" t="inlineStr"/>
      <c r="K35" s="42" t="inlineStr"/>
      <c r="L35" s="42" t="inlineStr"/>
      <c r="M35" s="42" t="inlineStr"/>
      <c r="N35" s="42" t="inlineStr"/>
      <c r="O35" s="42" t="inlineStr"/>
      <c r="P35" s="42" t="inlineStr"/>
      <c r="Q35" s="42" t="inlineStr"/>
      <c r="R35" s="42" t="inlineStr"/>
      <c r="S35" s="42" t="inlineStr"/>
      <c r="T35" s="42" t="inlineStr"/>
      <c r="U35" s="44">
        <f>IF(A35="","",IFERROR(INDEX(E35:T35,MATCH(TRUE,INDEX(E35:T35&lt;&gt;"",0),0)),""))</f>
        <v/>
      </c>
      <c r="V35" s="44">
        <f>IF(A35="","",IFERROR(LOOKUP(2,1/(E35:T35&lt;&gt;""),E35:T35),""))</f>
        <v/>
      </c>
      <c r="W35" s="45">
        <f>IF(OR(A35="",PreviousYear=""),"",IFERROR(LOOKUP(2,1/(E35:T35&lt;&gt;""),E35:T35)-INDEX(E35:T35,MATCH(PreviousYear,$E$5:$T$5,0)),""))</f>
        <v/>
      </c>
      <c r="X35" s="45">
        <f>IF(OR(A35="",U35="",V35=""),"",V35-U35)</f>
        <v/>
      </c>
      <c r="Y35" s="44">
        <f>IF(A35="","",COUNT(E35:T35))</f>
        <v/>
      </c>
    </row>
    <row r="36">
      <c r="A36" s="39">
        <f>IF(AND('Employees'!B7&lt;&gt;"",'Skills'!B20&lt;&gt;""),'Employees'!B7,"")</f>
        <v/>
      </c>
      <c r="B36" s="40">
        <f>IF(A36="","",'Employees'!C7)</f>
        <v/>
      </c>
      <c r="C36" s="41">
        <f>IF(A36="","",'Skills'!B20)</f>
        <v/>
      </c>
      <c r="D36" s="40">
        <f>IF(A36="","",'Skills'!C20)</f>
        <v/>
      </c>
      <c r="E36" s="42" t="inlineStr"/>
      <c r="F36" s="42" t="inlineStr"/>
      <c r="G36" s="42" t="inlineStr"/>
      <c r="H36" s="43" t="inlineStr"/>
      <c r="I36" s="42" t="inlineStr"/>
      <c r="J36" s="42" t="inlineStr"/>
      <c r="K36" s="42" t="inlineStr"/>
      <c r="L36" s="42" t="inlineStr"/>
      <c r="M36" s="42" t="inlineStr"/>
      <c r="N36" s="42" t="inlineStr"/>
      <c r="O36" s="42" t="inlineStr"/>
      <c r="P36" s="42" t="inlineStr"/>
      <c r="Q36" s="42" t="inlineStr"/>
      <c r="R36" s="42" t="inlineStr"/>
      <c r="S36" s="42" t="inlineStr"/>
      <c r="T36" s="42" t="inlineStr"/>
      <c r="U36" s="44">
        <f>IF(A36="","",IFERROR(INDEX(E36:T36,MATCH(TRUE,INDEX(E36:T36&lt;&gt;"",0),0)),""))</f>
        <v/>
      </c>
      <c r="V36" s="44">
        <f>IF(A36="","",IFERROR(LOOKUP(2,1/(E36:T36&lt;&gt;""),E36:T36),""))</f>
        <v/>
      </c>
      <c r="W36" s="45">
        <f>IF(OR(A36="",PreviousYear=""),"",IFERROR(LOOKUP(2,1/(E36:T36&lt;&gt;""),E36:T36)-INDEX(E36:T36,MATCH(PreviousYear,$E$5:$T$5,0)),""))</f>
        <v/>
      </c>
      <c r="X36" s="45">
        <f>IF(OR(A36="",U36="",V36=""),"",V36-U36)</f>
        <v/>
      </c>
      <c r="Y36" s="44">
        <f>IF(A36="","",COUNT(E36:T36))</f>
        <v/>
      </c>
    </row>
    <row r="37">
      <c r="A37" s="39">
        <f>IF(AND('Employees'!B7&lt;&gt;"",'Skills'!B21&lt;&gt;""),'Employees'!B7,"")</f>
        <v/>
      </c>
      <c r="B37" s="40">
        <f>IF(A37="","",'Employees'!C7)</f>
        <v/>
      </c>
      <c r="C37" s="41">
        <f>IF(A37="","",'Skills'!B21)</f>
        <v/>
      </c>
      <c r="D37" s="40">
        <f>IF(A37="","",'Skills'!C21)</f>
        <v/>
      </c>
      <c r="E37" s="42" t="inlineStr"/>
      <c r="F37" s="42" t="inlineStr"/>
      <c r="G37" s="42" t="inlineStr"/>
      <c r="H37" s="43" t="inlineStr"/>
      <c r="I37" s="42" t="inlineStr"/>
      <c r="J37" s="42" t="inlineStr"/>
      <c r="K37" s="42" t="inlineStr"/>
      <c r="L37" s="42" t="inlineStr"/>
      <c r="M37" s="42" t="inlineStr"/>
      <c r="N37" s="42" t="inlineStr"/>
      <c r="O37" s="42" t="inlineStr"/>
      <c r="P37" s="42" t="inlineStr"/>
      <c r="Q37" s="42" t="inlineStr"/>
      <c r="R37" s="42" t="inlineStr"/>
      <c r="S37" s="42" t="inlineStr"/>
      <c r="T37" s="42" t="inlineStr"/>
      <c r="U37" s="44">
        <f>IF(A37="","",IFERROR(INDEX(E37:T37,MATCH(TRUE,INDEX(E37:T37&lt;&gt;"",0),0)),""))</f>
        <v/>
      </c>
      <c r="V37" s="44">
        <f>IF(A37="","",IFERROR(LOOKUP(2,1/(E37:T37&lt;&gt;""),E37:T37),""))</f>
        <v/>
      </c>
      <c r="W37" s="45">
        <f>IF(OR(A37="",PreviousYear=""),"",IFERROR(LOOKUP(2,1/(E37:T37&lt;&gt;""),E37:T37)-INDEX(E37:T37,MATCH(PreviousYear,$E$5:$T$5,0)),""))</f>
        <v/>
      </c>
      <c r="X37" s="45">
        <f>IF(OR(A37="",U37="",V37=""),"",V37-U37)</f>
        <v/>
      </c>
      <c r="Y37" s="44">
        <f>IF(A37="","",COUNT(E37:T37))</f>
        <v/>
      </c>
    </row>
    <row r="38">
      <c r="A38" s="39">
        <f>IF(AND('Employees'!B8&lt;&gt;"",'Skills'!B6&lt;&gt;""),'Employees'!B8,"")</f>
        <v/>
      </c>
      <c r="B38" s="40">
        <f>IF(A38="","",'Employees'!C8)</f>
        <v/>
      </c>
      <c r="C38" s="41">
        <f>IF(A38="","",'Skills'!B6)</f>
        <v/>
      </c>
      <c r="D38" s="40">
        <f>IF(A38="","",'Skills'!C6)</f>
        <v/>
      </c>
      <c r="E38" s="42" t="n">
        <v>1</v>
      </c>
      <c r="F38" s="42" t="n">
        <v>2</v>
      </c>
      <c r="G38" s="42" t="n">
        <v>2</v>
      </c>
      <c r="H38" s="43" t="n">
        <v>2</v>
      </c>
      <c r="I38" s="42" t="inlineStr"/>
      <c r="J38" s="42" t="inlineStr"/>
      <c r="K38" s="42" t="inlineStr"/>
      <c r="L38" s="42" t="inlineStr"/>
      <c r="M38" s="42" t="inlineStr"/>
      <c r="N38" s="42" t="inlineStr"/>
      <c r="O38" s="42" t="inlineStr"/>
      <c r="P38" s="42" t="inlineStr"/>
      <c r="Q38" s="42" t="inlineStr"/>
      <c r="R38" s="42" t="inlineStr"/>
      <c r="S38" s="42" t="inlineStr"/>
      <c r="T38" s="42" t="inlineStr"/>
      <c r="U38" s="44">
        <f>IF(A38="","",IFERROR(INDEX(E38:T38,MATCH(TRUE,INDEX(E38:T38&lt;&gt;"",0),0)),""))</f>
        <v/>
      </c>
      <c r="V38" s="44">
        <f>IF(A38="","",IFERROR(LOOKUP(2,1/(E38:T38&lt;&gt;""),E38:T38),""))</f>
        <v/>
      </c>
      <c r="W38" s="45">
        <f>IF(OR(A38="",PreviousYear=""),"",IFERROR(LOOKUP(2,1/(E38:T38&lt;&gt;""),E38:T38)-INDEX(E38:T38,MATCH(PreviousYear,$E$5:$T$5,0)),""))</f>
        <v/>
      </c>
      <c r="X38" s="45">
        <f>IF(OR(A38="",U38="",V38=""),"",V38-U38)</f>
        <v/>
      </c>
      <c r="Y38" s="44">
        <f>IF(A38="","",COUNT(E38:T38))</f>
        <v/>
      </c>
    </row>
    <row r="39">
      <c r="A39" s="39">
        <f>IF(AND('Employees'!B8&lt;&gt;"",'Skills'!B7&lt;&gt;""),'Employees'!B8,"")</f>
        <v/>
      </c>
      <c r="B39" s="40">
        <f>IF(A39="","",'Employees'!C8)</f>
        <v/>
      </c>
      <c r="C39" s="41">
        <f>IF(A39="","",'Skills'!B7)</f>
        <v/>
      </c>
      <c r="D39" s="40">
        <f>IF(A39="","",'Skills'!C7)</f>
        <v/>
      </c>
      <c r="E39" s="42" t="n">
        <v>1</v>
      </c>
      <c r="F39" s="42" t="n">
        <v>1</v>
      </c>
      <c r="G39" s="42" t="n">
        <v>2</v>
      </c>
      <c r="H39" s="43" t="n">
        <v>3</v>
      </c>
      <c r="I39" s="42" t="inlineStr"/>
      <c r="J39" s="42" t="inlineStr"/>
      <c r="K39" s="42" t="inlineStr"/>
      <c r="L39" s="42" t="inlineStr"/>
      <c r="M39" s="42" t="inlineStr"/>
      <c r="N39" s="42" t="inlineStr"/>
      <c r="O39" s="42" t="inlineStr"/>
      <c r="P39" s="42" t="inlineStr"/>
      <c r="Q39" s="42" t="inlineStr"/>
      <c r="R39" s="42" t="inlineStr"/>
      <c r="S39" s="42" t="inlineStr"/>
      <c r="T39" s="42" t="inlineStr"/>
      <c r="U39" s="44">
        <f>IF(A39="","",IFERROR(INDEX(E39:T39,MATCH(TRUE,INDEX(E39:T39&lt;&gt;"",0),0)),""))</f>
        <v/>
      </c>
      <c r="V39" s="44">
        <f>IF(A39="","",IFERROR(LOOKUP(2,1/(E39:T39&lt;&gt;""),E39:T39),""))</f>
        <v/>
      </c>
      <c r="W39" s="45">
        <f>IF(OR(A39="",PreviousYear=""),"",IFERROR(LOOKUP(2,1/(E39:T39&lt;&gt;""),E39:T39)-INDEX(E39:T39,MATCH(PreviousYear,$E$5:$T$5,0)),""))</f>
        <v/>
      </c>
      <c r="X39" s="45">
        <f>IF(OR(A39="",U39="",V39=""),"",V39-U39)</f>
        <v/>
      </c>
      <c r="Y39" s="44">
        <f>IF(A39="","",COUNT(E39:T39))</f>
        <v/>
      </c>
    </row>
    <row r="40">
      <c r="A40" s="39">
        <f>IF(AND('Employees'!B8&lt;&gt;"",'Skills'!B8&lt;&gt;""),'Employees'!B8,"")</f>
        <v/>
      </c>
      <c r="B40" s="40">
        <f>IF(A40="","",'Employees'!C8)</f>
        <v/>
      </c>
      <c r="C40" s="41">
        <f>IF(A40="","",'Skills'!B8)</f>
        <v/>
      </c>
      <c r="D40" s="40">
        <f>IF(A40="","",'Skills'!C8)</f>
        <v/>
      </c>
      <c r="E40" s="42" t="n">
        <v>3</v>
      </c>
      <c r="F40" s="42" t="n">
        <v>4</v>
      </c>
      <c r="G40" s="42" t="n">
        <v>4</v>
      </c>
      <c r="H40" s="43" t="n">
        <v>5</v>
      </c>
      <c r="I40" s="42" t="inlineStr"/>
      <c r="J40" s="42" t="inlineStr"/>
      <c r="K40" s="42" t="inlineStr"/>
      <c r="L40" s="42" t="inlineStr"/>
      <c r="M40" s="42" t="inlineStr"/>
      <c r="N40" s="42" t="inlineStr"/>
      <c r="O40" s="42" t="inlineStr"/>
      <c r="P40" s="42" t="inlineStr"/>
      <c r="Q40" s="42" t="inlineStr"/>
      <c r="R40" s="42" t="inlineStr"/>
      <c r="S40" s="42" t="inlineStr"/>
      <c r="T40" s="42" t="inlineStr"/>
      <c r="U40" s="44">
        <f>IF(A40="","",IFERROR(INDEX(E40:T40,MATCH(TRUE,INDEX(E40:T40&lt;&gt;"",0),0)),""))</f>
        <v/>
      </c>
      <c r="V40" s="44">
        <f>IF(A40="","",IFERROR(LOOKUP(2,1/(E40:T40&lt;&gt;""),E40:T40),""))</f>
        <v/>
      </c>
      <c r="W40" s="45">
        <f>IF(OR(A40="",PreviousYear=""),"",IFERROR(LOOKUP(2,1/(E40:T40&lt;&gt;""),E40:T40)-INDEX(E40:T40,MATCH(PreviousYear,$E$5:$T$5,0)),""))</f>
        <v/>
      </c>
      <c r="X40" s="45">
        <f>IF(OR(A40="",U40="",V40=""),"",V40-U40)</f>
        <v/>
      </c>
      <c r="Y40" s="44">
        <f>IF(A40="","",COUNT(E40:T40))</f>
        <v/>
      </c>
    </row>
    <row r="41">
      <c r="A41" s="39">
        <f>IF(AND('Employees'!B8&lt;&gt;"",'Skills'!B9&lt;&gt;""),'Employees'!B8,"")</f>
        <v/>
      </c>
      <c r="B41" s="40">
        <f>IF(A41="","",'Employees'!C8)</f>
        <v/>
      </c>
      <c r="C41" s="41">
        <f>IF(A41="","",'Skills'!B9)</f>
        <v/>
      </c>
      <c r="D41" s="40">
        <f>IF(A41="","",'Skills'!C9)</f>
        <v/>
      </c>
      <c r="E41" s="42" t="n">
        <v>2</v>
      </c>
      <c r="F41" s="42" t="n">
        <v>2</v>
      </c>
      <c r="G41" s="42" t="n">
        <v>2</v>
      </c>
      <c r="H41" s="43" t="n">
        <v>3</v>
      </c>
      <c r="I41" s="42" t="inlineStr"/>
      <c r="J41" s="42" t="inlineStr"/>
      <c r="K41" s="42" t="inlineStr"/>
      <c r="L41" s="42" t="inlineStr"/>
      <c r="M41" s="42" t="inlineStr"/>
      <c r="N41" s="42" t="inlineStr"/>
      <c r="O41" s="42" t="inlineStr"/>
      <c r="P41" s="42" t="inlineStr"/>
      <c r="Q41" s="42" t="inlineStr"/>
      <c r="R41" s="42" t="inlineStr"/>
      <c r="S41" s="42" t="inlineStr"/>
      <c r="T41" s="42" t="inlineStr"/>
      <c r="U41" s="44">
        <f>IF(A41="","",IFERROR(INDEX(E41:T41,MATCH(TRUE,INDEX(E41:T41&lt;&gt;"",0),0)),""))</f>
        <v/>
      </c>
      <c r="V41" s="44">
        <f>IF(A41="","",IFERROR(LOOKUP(2,1/(E41:T41&lt;&gt;""),E41:T41),""))</f>
        <v/>
      </c>
      <c r="W41" s="45">
        <f>IF(OR(A41="",PreviousYear=""),"",IFERROR(LOOKUP(2,1/(E41:T41&lt;&gt;""),E41:T41)-INDEX(E41:T41,MATCH(PreviousYear,$E$5:$T$5,0)),""))</f>
        <v/>
      </c>
      <c r="X41" s="45">
        <f>IF(OR(A41="",U41="",V41=""),"",V41-U41)</f>
        <v/>
      </c>
      <c r="Y41" s="44">
        <f>IF(A41="","",COUNT(E41:T41))</f>
        <v/>
      </c>
    </row>
    <row r="42">
      <c r="A42" s="39">
        <f>IF(AND('Employees'!B8&lt;&gt;"",'Skills'!B10&lt;&gt;""),'Employees'!B8,"")</f>
        <v/>
      </c>
      <c r="B42" s="40">
        <f>IF(A42="","",'Employees'!C8)</f>
        <v/>
      </c>
      <c r="C42" s="41">
        <f>IF(A42="","",'Skills'!B10)</f>
        <v/>
      </c>
      <c r="D42" s="40">
        <f>IF(A42="","",'Skills'!C10)</f>
        <v/>
      </c>
      <c r="E42" s="42" t="n">
        <v>1</v>
      </c>
      <c r="F42" s="42" t="n">
        <v>2</v>
      </c>
      <c r="G42" s="42" t="n">
        <v>3</v>
      </c>
      <c r="H42" s="43" t="n">
        <v>3</v>
      </c>
      <c r="I42" s="42" t="inlineStr"/>
      <c r="J42" s="42" t="inlineStr"/>
      <c r="K42" s="42" t="inlineStr"/>
      <c r="L42" s="42" t="inlineStr"/>
      <c r="M42" s="42" t="inlineStr"/>
      <c r="N42" s="42" t="inlineStr"/>
      <c r="O42" s="42" t="inlineStr"/>
      <c r="P42" s="42" t="inlineStr"/>
      <c r="Q42" s="42" t="inlineStr"/>
      <c r="R42" s="42" t="inlineStr"/>
      <c r="S42" s="42" t="inlineStr"/>
      <c r="T42" s="42" t="inlineStr"/>
      <c r="U42" s="44">
        <f>IF(A42="","",IFERROR(INDEX(E42:T42,MATCH(TRUE,INDEX(E42:T42&lt;&gt;"",0),0)),""))</f>
        <v/>
      </c>
      <c r="V42" s="44">
        <f>IF(A42="","",IFERROR(LOOKUP(2,1/(E42:T42&lt;&gt;""),E42:T42),""))</f>
        <v/>
      </c>
      <c r="W42" s="45">
        <f>IF(OR(A42="",PreviousYear=""),"",IFERROR(LOOKUP(2,1/(E42:T42&lt;&gt;""),E42:T42)-INDEX(E42:T42,MATCH(PreviousYear,$E$5:$T$5,0)),""))</f>
        <v/>
      </c>
      <c r="X42" s="45">
        <f>IF(OR(A42="",U42="",V42=""),"",V42-U42)</f>
        <v/>
      </c>
      <c r="Y42" s="44">
        <f>IF(A42="","",COUNT(E42:T42))</f>
        <v/>
      </c>
    </row>
    <row r="43">
      <c r="A43" s="39">
        <f>IF(AND('Employees'!B8&lt;&gt;"",'Skills'!B11&lt;&gt;""),'Employees'!B8,"")</f>
        <v/>
      </c>
      <c r="B43" s="40">
        <f>IF(A43="","",'Employees'!C8)</f>
        <v/>
      </c>
      <c r="C43" s="41">
        <f>IF(A43="","",'Skills'!B11)</f>
        <v/>
      </c>
      <c r="D43" s="40">
        <f>IF(A43="","",'Skills'!C11)</f>
        <v/>
      </c>
      <c r="E43" s="42" t="n">
        <v>4</v>
      </c>
      <c r="F43" s="42" t="n">
        <v>4</v>
      </c>
      <c r="G43" s="42" t="n">
        <v>4</v>
      </c>
      <c r="H43" s="43" t="n">
        <v>4</v>
      </c>
      <c r="I43" s="42" t="inlineStr"/>
      <c r="J43" s="42" t="inlineStr"/>
      <c r="K43" s="42" t="inlineStr"/>
      <c r="L43" s="42" t="inlineStr"/>
      <c r="M43" s="42" t="inlineStr"/>
      <c r="N43" s="42" t="inlineStr"/>
      <c r="O43" s="42" t="inlineStr"/>
      <c r="P43" s="42" t="inlineStr"/>
      <c r="Q43" s="42" t="inlineStr"/>
      <c r="R43" s="42" t="inlineStr"/>
      <c r="S43" s="42" t="inlineStr"/>
      <c r="T43" s="42" t="inlineStr"/>
      <c r="U43" s="44">
        <f>IF(A43="","",IFERROR(INDEX(E43:T43,MATCH(TRUE,INDEX(E43:T43&lt;&gt;"",0),0)),""))</f>
        <v/>
      </c>
      <c r="V43" s="44">
        <f>IF(A43="","",IFERROR(LOOKUP(2,1/(E43:T43&lt;&gt;""),E43:T43),""))</f>
        <v/>
      </c>
      <c r="W43" s="45">
        <f>IF(OR(A43="",PreviousYear=""),"",IFERROR(LOOKUP(2,1/(E43:T43&lt;&gt;""),E43:T43)-INDEX(E43:T43,MATCH(PreviousYear,$E$5:$T$5,0)),""))</f>
        <v/>
      </c>
      <c r="X43" s="45">
        <f>IF(OR(A43="",U43="",V43=""),"",V43-U43)</f>
        <v/>
      </c>
      <c r="Y43" s="44">
        <f>IF(A43="","",COUNT(E43:T43))</f>
        <v/>
      </c>
    </row>
    <row r="44">
      <c r="A44" s="39">
        <f>IF(AND('Employees'!B8&lt;&gt;"",'Skills'!B12&lt;&gt;""),'Employees'!B8,"")</f>
        <v/>
      </c>
      <c r="B44" s="40">
        <f>IF(A44="","",'Employees'!C8)</f>
        <v/>
      </c>
      <c r="C44" s="41">
        <f>IF(A44="","",'Skills'!B12)</f>
        <v/>
      </c>
      <c r="D44" s="40">
        <f>IF(A44="","",'Skills'!C12)</f>
        <v/>
      </c>
      <c r="E44" s="42" t="n">
        <v>2</v>
      </c>
      <c r="F44" s="42" t="n">
        <v>3</v>
      </c>
      <c r="G44" s="42" t="n">
        <v>3</v>
      </c>
      <c r="H44" s="43" t="n">
        <v>3</v>
      </c>
      <c r="I44" s="42" t="inlineStr"/>
      <c r="J44" s="42" t="inlineStr"/>
      <c r="K44" s="42" t="inlineStr"/>
      <c r="L44" s="42" t="inlineStr"/>
      <c r="M44" s="42" t="inlineStr"/>
      <c r="N44" s="42" t="inlineStr"/>
      <c r="O44" s="42" t="inlineStr"/>
      <c r="P44" s="42" t="inlineStr"/>
      <c r="Q44" s="42" t="inlineStr"/>
      <c r="R44" s="42" t="inlineStr"/>
      <c r="S44" s="42" t="inlineStr"/>
      <c r="T44" s="42" t="inlineStr"/>
      <c r="U44" s="44">
        <f>IF(A44="","",IFERROR(INDEX(E44:T44,MATCH(TRUE,INDEX(E44:T44&lt;&gt;"",0),0)),""))</f>
        <v/>
      </c>
      <c r="V44" s="44">
        <f>IF(A44="","",IFERROR(LOOKUP(2,1/(E44:T44&lt;&gt;""),E44:T44),""))</f>
        <v/>
      </c>
      <c r="W44" s="45">
        <f>IF(OR(A44="",PreviousYear=""),"",IFERROR(LOOKUP(2,1/(E44:T44&lt;&gt;""),E44:T44)-INDEX(E44:T44,MATCH(PreviousYear,$E$5:$T$5,0)),""))</f>
        <v/>
      </c>
      <c r="X44" s="45">
        <f>IF(OR(A44="",U44="",V44=""),"",V44-U44)</f>
        <v/>
      </c>
      <c r="Y44" s="44">
        <f>IF(A44="","",COUNT(E44:T44))</f>
        <v/>
      </c>
    </row>
    <row r="45">
      <c r="A45" s="39">
        <f>IF(AND('Employees'!B8&lt;&gt;"",'Skills'!B13&lt;&gt;""),'Employees'!B8,"")</f>
        <v/>
      </c>
      <c r="B45" s="40">
        <f>IF(A45="","",'Employees'!C8)</f>
        <v/>
      </c>
      <c r="C45" s="41">
        <f>IF(A45="","",'Skills'!B13)</f>
        <v/>
      </c>
      <c r="D45" s="40">
        <f>IF(A45="","",'Skills'!C13)</f>
        <v/>
      </c>
      <c r="E45" s="42" t="inlineStr"/>
      <c r="F45" s="42" t="inlineStr"/>
      <c r="G45" s="42" t="inlineStr"/>
      <c r="H45" s="43" t="inlineStr"/>
      <c r="I45" s="42" t="inlineStr"/>
      <c r="J45" s="42" t="inlineStr"/>
      <c r="K45" s="42" t="inlineStr"/>
      <c r="L45" s="42" t="inlineStr"/>
      <c r="M45" s="42" t="inlineStr"/>
      <c r="N45" s="42" t="inlineStr"/>
      <c r="O45" s="42" t="inlineStr"/>
      <c r="P45" s="42" t="inlineStr"/>
      <c r="Q45" s="42" t="inlineStr"/>
      <c r="R45" s="42" t="inlineStr"/>
      <c r="S45" s="42" t="inlineStr"/>
      <c r="T45" s="42" t="inlineStr"/>
      <c r="U45" s="44">
        <f>IF(A45="","",IFERROR(INDEX(E45:T45,MATCH(TRUE,INDEX(E45:T45&lt;&gt;"",0),0)),""))</f>
        <v/>
      </c>
      <c r="V45" s="44">
        <f>IF(A45="","",IFERROR(LOOKUP(2,1/(E45:T45&lt;&gt;""),E45:T45),""))</f>
        <v/>
      </c>
      <c r="W45" s="45">
        <f>IF(OR(A45="",PreviousYear=""),"",IFERROR(LOOKUP(2,1/(E45:T45&lt;&gt;""),E45:T45)-INDEX(E45:T45,MATCH(PreviousYear,$E$5:$T$5,0)),""))</f>
        <v/>
      </c>
      <c r="X45" s="45">
        <f>IF(OR(A45="",U45="",V45=""),"",V45-U45)</f>
        <v/>
      </c>
      <c r="Y45" s="44">
        <f>IF(A45="","",COUNT(E45:T45))</f>
        <v/>
      </c>
    </row>
    <row r="46">
      <c r="A46" s="39">
        <f>IF(AND('Employees'!B8&lt;&gt;"",'Skills'!B14&lt;&gt;""),'Employees'!B8,"")</f>
        <v/>
      </c>
      <c r="B46" s="40">
        <f>IF(A46="","",'Employees'!C8)</f>
        <v/>
      </c>
      <c r="C46" s="41">
        <f>IF(A46="","",'Skills'!B14)</f>
        <v/>
      </c>
      <c r="D46" s="40">
        <f>IF(A46="","",'Skills'!C14)</f>
        <v/>
      </c>
      <c r="E46" s="42" t="inlineStr"/>
      <c r="F46" s="42" t="inlineStr"/>
      <c r="G46" s="42" t="inlineStr"/>
      <c r="H46" s="43" t="inlineStr"/>
      <c r="I46" s="42" t="inlineStr"/>
      <c r="J46" s="42" t="inlineStr"/>
      <c r="K46" s="42" t="inlineStr"/>
      <c r="L46" s="42" t="inlineStr"/>
      <c r="M46" s="42" t="inlineStr"/>
      <c r="N46" s="42" t="inlineStr"/>
      <c r="O46" s="42" t="inlineStr"/>
      <c r="P46" s="42" t="inlineStr"/>
      <c r="Q46" s="42" t="inlineStr"/>
      <c r="R46" s="42" t="inlineStr"/>
      <c r="S46" s="42" t="inlineStr"/>
      <c r="T46" s="42" t="inlineStr"/>
      <c r="U46" s="44">
        <f>IF(A46="","",IFERROR(INDEX(E46:T46,MATCH(TRUE,INDEX(E46:T46&lt;&gt;"",0),0)),""))</f>
        <v/>
      </c>
      <c r="V46" s="44">
        <f>IF(A46="","",IFERROR(LOOKUP(2,1/(E46:T46&lt;&gt;""),E46:T46),""))</f>
        <v/>
      </c>
      <c r="W46" s="45">
        <f>IF(OR(A46="",PreviousYear=""),"",IFERROR(LOOKUP(2,1/(E46:T46&lt;&gt;""),E46:T46)-INDEX(E46:T46,MATCH(PreviousYear,$E$5:$T$5,0)),""))</f>
        <v/>
      </c>
      <c r="X46" s="45">
        <f>IF(OR(A46="",U46="",V46=""),"",V46-U46)</f>
        <v/>
      </c>
      <c r="Y46" s="44">
        <f>IF(A46="","",COUNT(E46:T46))</f>
        <v/>
      </c>
    </row>
    <row r="47">
      <c r="A47" s="39">
        <f>IF(AND('Employees'!B8&lt;&gt;"",'Skills'!B15&lt;&gt;""),'Employees'!B8,"")</f>
        <v/>
      </c>
      <c r="B47" s="40">
        <f>IF(A47="","",'Employees'!C8)</f>
        <v/>
      </c>
      <c r="C47" s="41">
        <f>IF(A47="","",'Skills'!B15)</f>
        <v/>
      </c>
      <c r="D47" s="40">
        <f>IF(A47="","",'Skills'!C15)</f>
        <v/>
      </c>
      <c r="E47" s="42" t="inlineStr"/>
      <c r="F47" s="42" t="inlineStr"/>
      <c r="G47" s="42" t="inlineStr"/>
      <c r="H47" s="43" t="inlineStr"/>
      <c r="I47" s="42" t="inlineStr"/>
      <c r="J47" s="42" t="inlineStr"/>
      <c r="K47" s="42" t="inlineStr"/>
      <c r="L47" s="42" t="inlineStr"/>
      <c r="M47" s="42" t="inlineStr"/>
      <c r="N47" s="42" t="inlineStr"/>
      <c r="O47" s="42" t="inlineStr"/>
      <c r="P47" s="42" t="inlineStr"/>
      <c r="Q47" s="42" t="inlineStr"/>
      <c r="R47" s="42" t="inlineStr"/>
      <c r="S47" s="42" t="inlineStr"/>
      <c r="T47" s="42" t="inlineStr"/>
      <c r="U47" s="44">
        <f>IF(A47="","",IFERROR(INDEX(E47:T47,MATCH(TRUE,INDEX(E47:T47&lt;&gt;"",0),0)),""))</f>
        <v/>
      </c>
      <c r="V47" s="44">
        <f>IF(A47="","",IFERROR(LOOKUP(2,1/(E47:T47&lt;&gt;""),E47:T47),""))</f>
        <v/>
      </c>
      <c r="W47" s="45">
        <f>IF(OR(A47="",PreviousYear=""),"",IFERROR(LOOKUP(2,1/(E47:T47&lt;&gt;""),E47:T47)-INDEX(E47:T47,MATCH(PreviousYear,$E$5:$T$5,0)),""))</f>
        <v/>
      </c>
      <c r="X47" s="45">
        <f>IF(OR(A47="",U47="",V47=""),"",V47-U47)</f>
        <v/>
      </c>
      <c r="Y47" s="44">
        <f>IF(A47="","",COUNT(E47:T47))</f>
        <v/>
      </c>
    </row>
    <row r="48">
      <c r="A48" s="39">
        <f>IF(AND('Employees'!B8&lt;&gt;"",'Skills'!B16&lt;&gt;""),'Employees'!B8,"")</f>
        <v/>
      </c>
      <c r="B48" s="40">
        <f>IF(A48="","",'Employees'!C8)</f>
        <v/>
      </c>
      <c r="C48" s="41">
        <f>IF(A48="","",'Skills'!B16)</f>
        <v/>
      </c>
      <c r="D48" s="40">
        <f>IF(A48="","",'Skills'!C16)</f>
        <v/>
      </c>
      <c r="E48" s="42" t="inlineStr"/>
      <c r="F48" s="42" t="inlineStr"/>
      <c r="G48" s="42" t="inlineStr"/>
      <c r="H48" s="43" t="inlineStr"/>
      <c r="I48" s="42" t="inlineStr"/>
      <c r="J48" s="42" t="inlineStr"/>
      <c r="K48" s="42" t="inlineStr"/>
      <c r="L48" s="42" t="inlineStr"/>
      <c r="M48" s="42" t="inlineStr"/>
      <c r="N48" s="42" t="inlineStr"/>
      <c r="O48" s="42" t="inlineStr"/>
      <c r="P48" s="42" t="inlineStr"/>
      <c r="Q48" s="42" t="inlineStr"/>
      <c r="R48" s="42" t="inlineStr"/>
      <c r="S48" s="42" t="inlineStr"/>
      <c r="T48" s="42" t="inlineStr"/>
      <c r="U48" s="44">
        <f>IF(A48="","",IFERROR(INDEX(E48:T48,MATCH(TRUE,INDEX(E48:T48&lt;&gt;"",0),0)),""))</f>
        <v/>
      </c>
      <c r="V48" s="44">
        <f>IF(A48="","",IFERROR(LOOKUP(2,1/(E48:T48&lt;&gt;""),E48:T48),""))</f>
        <v/>
      </c>
      <c r="W48" s="45">
        <f>IF(OR(A48="",PreviousYear=""),"",IFERROR(LOOKUP(2,1/(E48:T48&lt;&gt;""),E48:T48)-INDEX(E48:T48,MATCH(PreviousYear,$E$5:$T$5,0)),""))</f>
        <v/>
      </c>
      <c r="X48" s="45">
        <f>IF(OR(A48="",U48="",V48=""),"",V48-U48)</f>
        <v/>
      </c>
      <c r="Y48" s="44">
        <f>IF(A48="","",COUNT(E48:T48))</f>
        <v/>
      </c>
    </row>
    <row r="49">
      <c r="A49" s="39">
        <f>IF(AND('Employees'!B8&lt;&gt;"",'Skills'!B17&lt;&gt;""),'Employees'!B8,"")</f>
        <v/>
      </c>
      <c r="B49" s="40">
        <f>IF(A49="","",'Employees'!C8)</f>
        <v/>
      </c>
      <c r="C49" s="41">
        <f>IF(A49="","",'Skills'!B17)</f>
        <v/>
      </c>
      <c r="D49" s="40">
        <f>IF(A49="","",'Skills'!C17)</f>
        <v/>
      </c>
      <c r="E49" s="42" t="inlineStr"/>
      <c r="F49" s="42" t="inlineStr"/>
      <c r="G49" s="42" t="inlineStr"/>
      <c r="H49" s="43" t="inlineStr"/>
      <c r="I49" s="42" t="inlineStr"/>
      <c r="J49" s="42" t="inlineStr"/>
      <c r="K49" s="42" t="inlineStr"/>
      <c r="L49" s="42" t="inlineStr"/>
      <c r="M49" s="42" t="inlineStr"/>
      <c r="N49" s="42" t="inlineStr"/>
      <c r="O49" s="42" t="inlineStr"/>
      <c r="P49" s="42" t="inlineStr"/>
      <c r="Q49" s="42" t="inlineStr"/>
      <c r="R49" s="42" t="inlineStr"/>
      <c r="S49" s="42" t="inlineStr"/>
      <c r="T49" s="42" t="inlineStr"/>
      <c r="U49" s="44">
        <f>IF(A49="","",IFERROR(INDEX(E49:T49,MATCH(TRUE,INDEX(E49:T49&lt;&gt;"",0),0)),""))</f>
        <v/>
      </c>
      <c r="V49" s="44">
        <f>IF(A49="","",IFERROR(LOOKUP(2,1/(E49:T49&lt;&gt;""),E49:T49),""))</f>
        <v/>
      </c>
      <c r="W49" s="45">
        <f>IF(OR(A49="",PreviousYear=""),"",IFERROR(LOOKUP(2,1/(E49:T49&lt;&gt;""),E49:T49)-INDEX(E49:T49,MATCH(PreviousYear,$E$5:$T$5,0)),""))</f>
        <v/>
      </c>
      <c r="X49" s="45">
        <f>IF(OR(A49="",U49="",V49=""),"",V49-U49)</f>
        <v/>
      </c>
      <c r="Y49" s="44">
        <f>IF(A49="","",COUNT(E49:T49))</f>
        <v/>
      </c>
    </row>
    <row r="50">
      <c r="A50" s="39">
        <f>IF(AND('Employees'!B8&lt;&gt;"",'Skills'!B18&lt;&gt;""),'Employees'!B8,"")</f>
        <v/>
      </c>
      <c r="B50" s="40">
        <f>IF(A50="","",'Employees'!C8)</f>
        <v/>
      </c>
      <c r="C50" s="41">
        <f>IF(A50="","",'Skills'!B18)</f>
        <v/>
      </c>
      <c r="D50" s="40">
        <f>IF(A50="","",'Skills'!C18)</f>
        <v/>
      </c>
      <c r="E50" s="42" t="inlineStr"/>
      <c r="F50" s="42" t="inlineStr"/>
      <c r="G50" s="42" t="inlineStr"/>
      <c r="H50" s="43" t="inlineStr"/>
      <c r="I50" s="42" t="inlineStr"/>
      <c r="J50" s="42" t="inlineStr"/>
      <c r="K50" s="42" t="inlineStr"/>
      <c r="L50" s="42" t="inlineStr"/>
      <c r="M50" s="42" t="inlineStr"/>
      <c r="N50" s="42" t="inlineStr"/>
      <c r="O50" s="42" t="inlineStr"/>
      <c r="P50" s="42" t="inlineStr"/>
      <c r="Q50" s="42" t="inlineStr"/>
      <c r="R50" s="42" t="inlineStr"/>
      <c r="S50" s="42" t="inlineStr"/>
      <c r="T50" s="42" t="inlineStr"/>
      <c r="U50" s="44">
        <f>IF(A50="","",IFERROR(INDEX(E50:T50,MATCH(TRUE,INDEX(E50:T50&lt;&gt;"",0),0)),""))</f>
        <v/>
      </c>
      <c r="V50" s="44">
        <f>IF(A50="","",IFERROR(LOOKUP(2,1/(E50:T50&lt;&gt;""),E50:T50),""))</f>
        <v/>
      </c>
      <c r="W50" s="45">
        <f>IF(OR(A50="",PreviousYear=""),"",IFERROR(LOOKUP(2,1/(E50:T50&lt;&gt;""),E50:T50)-INDEX(E50:T50,MATCH(PreviousYear,$E$5:$T$5,0)),""))</f>
        <v/>
      </c>
      <c r="X50" s="45">
        <f>IF(OR(A50="",U50="",V50=""),"",V50-U50)</f>
        <v/>
      </c>
      <c r="Y50" s="44">
        <f>IF(A50="","",COUNT(E50:T50))</f>
        <v/>
      </c>
    </row>
    <row r="51">
      <c r="A51" s="39">
        <f>IF(AND('Employees'!B8&lt;&gt;"",'Skills'!B19&lt;&gt;""),'Employees'!B8,"")</f>
        <v/>
      </c>
      <c r="B51" s="40">
        <f>IF(A51="","",'Employees'!C8)</f>
        <v/>
      </c>
      <c r="C51" s="41">
        <f>IF(A51="","",'Skills'!B19)</f>
        <v/>
      </c>
      <c r="D51" s="40">
        <f>IF(A51="","",'Skills'!C19)</f>
        <v/>
      </c>
      <c r="E51" s="42" t="inlineStr"/>
      <c r="F51" s="42" t="inlineStr"/>
      <c r="G51" s="42" t="inlineStr"/>
      <c r="H51" s="43" t="inlineStr"/>
      <c r="I51" s="42" t="inlineStr"/>
      <c r="J51" s="42" t="inlineStr"/>
      <c r="K51" s="42" t="inlineStr"/>
      <c r="L51" s="42" t="inlineStr"/>
      <c r="M51" s="42" t="inlineStr"/>
      <c r="N51" s="42" t="inlineStr"/>
      <c r="O51" s="42" t="inlineStr"/>
      <c r="P51" s="42" t="inlineStr"/>
      <c r="Q51" s="42" t="inlineStr"/>
      <c r="R51" s="42" t="inlineStr"/>
      <c r="S51" s="42" t="inlineStr"/>
      <c r="T51" s="42" t="inlineStr"/>
      <c r="U51" s="44">
        <f>IF(A51="","",IFERROR(INDEX(E51:T51,MATCH(TRUE,INDEX(E51:T51&lt;&gt;"",0),0)),""))</f>
        <v/>
      </c>
      <c r="V51" s="44">
        <f>IF(A51="","",IFERROR(LOOKUP(2,1/(E51:T51&lt;&gt;""),E51:T51),""))</f>
        <v/>
      </c>
      <c r="W51" s="45">
        <f>IF(OR(A51="",PreviousYear=""),"",IFERROR(LOOKUP(2,1/(E51:T51&lt;&gt;""),E51:T51)-INDEX(E51:T51,MATCH(PreviousYear,$E$5:$T$5,0)),""))</f>
        <v/>
      </c>
      <c r="X51" s="45">
        <f>IF(OR(A51="",U51="",V51=""),"",V51-U51)</f>
        <v/>
      </c>
      <c r="Y51" s="44">
        <f>IF(A51="","",COUNT(E51:T51))</f>
        <v/>
      </c>
    </row>
    <row r="52">
      <c r="A52" s="39">
        <f>IF(AND('Employees'!B8&lt;&gt;"",'Skills'!B20&lt;&gt;""),'Employees'!B8,"")</f>
        <v/>
      </c>
      <c r="B52" s="40">
        <f>IF(A52="","",'Employees'!C8)</f>
        <v/>
      </c>
      <c r="C52" s="41">
        <f>IF(A52="","",'Skills'!B20)</f>
        <v/>
      </c>
      <c r="D52" s="40">
        <f>IF(A52="","",'Skills'!C20)</f>
        <v/>
      </c>
      <c r="E52" s="42" t="inlineStr"/>
      <c r="F52" s="42" t="inlineStr"/>
      <c r="G52" s="42" t="inlineStr"/>
      <c r="H52" s="43" t="inlineStr"/>
      <c r="I52" s="42" t="inlineStr"/>
      <c r="J52" s="42" t="inlineStr"/>
      <c r="K52" s="42" t="inlineStr"/>
      <c r="L52" s="42" t="inlineStr"/>
      <c r="M52" s="42" t="inlineStr"/>
      <c r="N52" s="42" t="inlineStr"/>
      <c r="O52" s="42" t="inlineStr"/>
      <c r="P52" s="42" t="inlineStr"/>
      <c r="Q52" s="42" t="inlineStr"/>
      <c r="R52" s="42" t="inlineStr"/>
      <c r="S52" s="42" t="inlineStr"/>
      <c r="T52" s="42" t="inlineStr"/>
      <c r="U52" s="44">
        <f>IF(A52="","",IFERROR(INDEX(E52:T52,MATCH(TRUE,INDEX(E52:T52&lt;&gt;"",0),0)),""))</f>
        <v/>
      </c>
      <c r="V52" s="44">
        <f>IF(A52="","",IFERROR(LOOKUP(2,1/(E52:T52&lt;&gt;""),E52:T52),""))</f>
        <v/>
      </c>
      <c r="W52" s="45">
        <f>IF(OR(A52="",PreviousYear=""),"",IFERROR(LOOKUP(2,1/(E52:T52&lt;&gt;""),E52:T52)-INDEX(E52:T52,MATCH(PreviousYear,$E$5:$T$5,0)),""))</f>
        <v/>
      </c>
      <c r="X52" s="45">
        <f>IF(OR(A52="",U52="",V52=""),"",V52-U52)</f>
        <v/>
      </c>
      <c r="Y52" s="44">
        <f>IF(A52="","",COUNT(E52:T52))</f>
        <v/>
      </c>
    </row>
    <row r="53">
      <c r="A53" s="39">
        <f>IF(AND('Employees'!B8&lt;&gt;"",'Skills'!B21&lt;&gt;""),'Employees'!B8,"")</f>
        <v/>
      </c>
      <c r="B53" s="40">
        <f>IF(A53="","",'Employees'!C8)</f>
        <v/>
      </c>
      <c r="C53" s="41">
        <f>IF(A53="","",'Skills'!B21)</f>
        <v/>
      </c>
      <c r="D53" s="40">
        <f>IF(A53="","",'Skills'!C21)</f>
        <v/>
      </c>
      <c r="E53" s="42" t="inlineStr"/>
      <c r="F53" s="42" t="inlineStr"/>
      <c r="G53" s="42" t="inlineStr"/>
      <c r="H53" s="43" t="inlineStr"/>
      <c r="I53" s="42" t="inlineStr"/>
      <c r="J53" s="42" t="inlineStr"/>
      <c r="K53" s="42" t="inlineStr"/>
      <c r="L53" s="42" t="inlineStr"/>
      <c r="M53" s="42" t="inlineStr"/>
      <c r="N53" s="42" t="inlineStr"/>
      <c r="O53" s="42" t="inlineStr"/>
      <c r="P53" s="42" t="inlineStr"/>
      <c r="Q53" s="42" t="inlineStr"/>
      <c r="R53" s="42" t="inlineStr"/>
      <c r="S53" s="42" t="inlineStr"/>
      <c r="T53" s="42" t="inlineStr"/>
      <c r="U53" s="44">
        <f>IF(A53="","",IFERROR(INDEX(E53:T53,MATCH(TRUE,INDEX(E53:T53&lt;&gt;"",0),0)),""))</f>
        <v/>
      </c>
      <c r="V53" s="44">
        <f>IF(A53="","",IFERROR(LOOKUP(2,1/(E53:T53&lt;&gt;""),E53:T53),""))</f>
        <v/>
      </c>
      <c r="W53" s="45">
        <f>IF(OR(A53="",PreviousYear=""),"",IFERROR(LOOKUP(2,1/(E53:T53&lt;&gt;""),E53:T53)-INDEX(E53:T53,MATCH(PreviousYear,$E$5:$T$5,0)),""))</f>
        <v/>
      </c>
      <c r="X53" s="45">
        <f>IF(OR(A53="",U53="",V53=""),"",V53-U53)</f>
        <v/>
      </c>
      <c r="Y53" s="44">
        <f>IF(A53="","",COUNT(E53:T53))</f>
        <v/>
      </c>
    </row>
    <row r="54">
      <c r="A54" s="39">
        <f>IF(AND('Employees'!B9&lt;&gt;"",'Skills'!B6&lt;&gt;""),'Employees'!B9,"")</f>
        <v/>
      </c>
      <c r="B54" s="40">
        <f>IF(A54="","",'Employees'!C9)</f>
        <v/>
      </c>
      <c r="C54" s="41">
        <f>IF(A54="","",'Skills'!B6)</f>
        <v/>
      </c>
      <c r="D54" s="40">
        <f>IF(A54="","",'Skills'!C6)</f>
        <v/>
      </c>
      <c r="E54" s="42" t="n">
        <v>1</v>
      </c>
      <c r="F54" s="42" t="n">
        <v>1</v>
      </c>
      <c r="G54" s="42" t="n">
        <v>2</v>
      </c>
      <c r="H54" s="43" t="n">
        <v>3</v>
      </c>
      <c r="I54" s="42" t="inlineStr"/>
      <c r="J54" s="42" t="inlineStr"/>
      <c r="K54" s="42" t="inlineStr"/>
      <c r="L54" s="42" t="inlineStr"/>
      <c r="M54" s="42" t="inlineStr"/>
      <c r="N54" s="42" t="inlineStr"/>
      <c r="O54" s="42" t="inlineStr"/>
      <c r="P54" s="42" t="inlineStr"/>
      <c r="Q54" s="42" t="inlineStr"/>
      <c r="R54" s="42" t="inlineStr"/>
      <c r="S54" s="42" t="inlineStr"/>
      <c r="T54" s="42" t="inlineStr"/>
      <c r="U54" s="44">
        <f>IF(A54="","",IFERROR(INDEX(E54:T54,MATCH(TRUE,INDEX(E54:T54&lt;&gt;"",0),0)),""))</f>
        <v/>
      </c>
      <c r="V54" s="44">
        <f>IF(A54="","",IFERROR(LOOKUP(2,1/(E54:T54&lt;&gt;""),E54:T54),""))</f>
        <v/>
      </c>
      <c r="W54" s="45">
        <f>IF(OR(A54="",PreviousYear=""),"",IFERROR(LOOKUP(2,1/(E54:T54&lt;&gt;""),E54:T54)-INDEX(E54:T54,MATCH(PreviousYear,$E$5:$T$5,0)),""))</f>
        <v/>
      </c>
      <c r="X54" s="45">
        <f>IF(OR(A54="",U54="",V54=""),"",V54-U54)</f>
        <v/>
      </c>
      <c r="Y54" s="44">
        <f>IF(A54="","",COUNT(E54:T54))</f>
        <v/>
      </c>
    </row>
    <row r="55">
      <c r="A55" s="39">
        <f>IF(AND('Employees'!B9&lt;&gt;"",'Skills'!B7&lt;&gt;""),'Employees'!B9,"")</f>
        <v/>
      </c>
      <c r="B55" s="40">
        <f>IF(A55="","",'Employees'!C9)</f>
        <v/>
      </c>
      <c r="C55" s="41">
        <f>IF(A55="","",'Skills'!B7)</f>
        <v/>
      </c>
      <c r="D55" s="40">
        <f>IF(A55="","",'Skills'!C7)</f>
        <v/>
      </c>
      <c r="E55" s="42" t="n">
        <v>1</v>
      </c>
      <c r="F55" s="42" t="n">
        <v>2</v>
      </c>
      <c r="G55" s="42" t="n">
        <v>2</v>
      </c>
      <c r="H55" s="43" t="n">
        <v>2</v>
      </c>
      <c r="I55" s="42" t="inlineStr"/>
      <c r="J55" s="42" t="inlineStr"/>
      <c r="K55" s="42" t="inlineStr"/>
      <c r="L55" s="42" t="inlineStr"/>
      <c r="M55" s="42" t="inlineStr"/>
      <c r="N55" s="42" t="inlineStr"/>
      <c r="O55" s="42" t="inlineStr"/>
      <c r="P55" s="42" t="inlineStr"/>
      <c r="Q55" s="42" t="inlineStr"/>
      <c r="R55" s="42" t="inlineStr"/>
      <c r="S55" s="42" t="inlineStr"/>
      <c r="T55" s="42" t="inlineStr"/>
      <c r="U55" s="44">
        <f>IF(A55="","",IFERROR(INDEX(E55:T55,MATCH(TRUE,INDEX(E55:T55&lt;&gt;"",0),0)),""))</f>
        <v/>
      </c>
      <c r="V55" s="44">
        <f>IF(A55="","",IFERROR(LOOKUP(2,1/(E55:T55&lt;&gt;""),E55:T55),""))</f>
        <v/>
      </c>
      <c r="W55" s="45">
        <f>IF(OR(A55="",PreviousYear=""),"",IFERROR(LOOKUP(2,1/(E55:T55&lt;&gt;""),E55:T55)-INDEX(E55:T55,MATCH(PreviousYear,$E$5:$T$5,0)),""))</f>
        <v/>
      </c>
      <c r="X55" s="45">
        <f>IF(OR(A55="",U55="",V55=""),"",V55-U55)</f>
        <v/>
      </c>
      <c r="Y55" s="44">
        <f>IF(A55="","",COUNT(E55:T55))</f>
        <v/>
      </c>
    </row>
    <row r="56">
      <c r="A56" s="39">
        <f>IF(AND('Employees'!B9&lt;&gt;"",'Skills'!B8&lt;&gt;""),'Employees'!B9,"")</f>
        <v/>
      </c>
      <c r="B56" s="40">
        <f>IF(A56="","",'Employees'!C9)</f>
        <v/>
      </c>
      <c r="C56" s="41">
        <f>IF(A56="","",'Skills'!B8)</f>
        <v/>
      </c>
      <c r="D56" s="40">
        <f>IF(A56="","",'Skills'!C8)</f>
        <v/>
      </c>
      <c r="E56" s="42" t="n">
        <v>3</v>
      </c>
      <c r="F56" s="42" t="n">
        <v>3</v>
      </c>
      <c r="G56" s="42" t="n">
        <v>3</v>
      </c>
      <c r="H56" s="43" t="n">
        <v>3</v>
      </c>
      <c r="I56" s="42" t="inlineStr"/>
      <c r="J56" s="42" t="inlineStr"/>
      <c r="K56" s="42" t="inlineStr"/>
      <c r="L56" s="42" t="inlineStr"/>
      <c r="M56" s="42" t="inlineStr"/>
      <c r="N56" s="42" t="inlineStr"/>
      <c r="O56" s="42" t="inlineStr"/>
      <c r="P56" s="42" t="inlineStr"/>
      <c r="Q56" s="42" t="inlineStr"/>
      <c r="R56" s="42" t="inlineStr"/>
      <c r="S56" s="42" t="inlineStr"/>
      <c r="T56" s="42" t="inlineStr"/>
      <c r="U56" s="44">
        <f>IF(A56="","",IFERROR(INDEX(E56:T56,MATCH(TRUE,INDEX(E56:T56&lt;&gt;"",0),0)),""))</f>
        <v/>
      </c>
      <c r="V56" s="44">
        <f>IF(A56="","",IFERROR(LOOKUP(2,1/(E56:T56&lt;&gt;""),E56:T56),""))</f>
        <v/>
      </c>
      <c r="W56" s="45">
        <f>IF(OR(A56="",PreviousYear=""),"",IFERROR(LOOKUP(2,1/(E56:T56&lt;&gt;""),E56:T56)-INDEX(E56:T56,MATCH(PreviousYear,$E$5:$T$5,0)),""))</f>
        <v/>
      </c>
      <c r="X56" s="45">
        <f>IF(OR(A56="",U56="",V56=""),"",V56-U56)</f>
        <v/>
      </c>
      <c r="Y56" s="44">
        <f>IF(A56="","",COUNT(E56:T56))</f>
        <v/>
      </c>
    </row>
    <row r="57">
      <c r="A57" s="39">
        <f>IF(AND('Employees'!B9&lt;&gt;"",'Skills'!B9&lt;&gt;""),'Employees'!B9,"")</f>
        <v/>
      </c>
      <c r="B57" s="40">
        <f>IF(A57="","",'Employees'!C9)</f>
        <v/>
      </c>
      <c r="C57" s="41">
        <f>IF(A57="","",'Skills'!B9)</f>
        <v/>
      </c>
      <c r="D57" s="40">
        <f>IF(A57="","",'Skills'!C9)</f>
        <v/>
      </c>
      <c r="E57" s="42" t="n">
        <v>3</v>
      </c>
      <c r="F57" s="42" t="n">
        <v>4</v>
      </c>
      <c r="G57" s="42" t="n">
        <v>5</v>
      </c>
      <c r="H57" s="43" t="n">
        <v>5</v>
      </c>
      <c r="I57" s="42" t="inlineStr"/>
      <c r="J57" s="42" t="inlineStr"/>
      <c r="K57" s="42" t="inlineStr"/>
      <c r="L57" s="42" t="inlineStr"/>
      <c r="M57" s="42" t="inlineStr"/>
      <c r="N57" s="42" t="inlineStr"/>
      <c r="O57" s="42" t="inlineStr"/>
      <c r="P57" s="42" t="inlineStr"/>
      <c r="Q57" s="42" t="inlineStr"/>
      <c r="R57" s="42" t="inlineStr"/>
      <c r="S57" s="42" t="inlineStr"/>
      <c r="T57" s="42" t="inlineStr"/>
      <c r="U57" s="44">
        <f>IF(A57="","",IFERROR(INDEX(E57:T57,MATCH(TRUE,INDEX(E57:T57&lt;&gt;"",0),0)),""))</f>
        <v/>
      </c>
      <c r="V57" s="44">
        <f>IF(A57="","",IFERROR(LOOKUP(2,1/(E57:T57&lt;&gt;""),E57:T57),""))</f>
        <v/>
      </c>
      <c r="W57" s="45">
        <f>IF(OR(A57="",PreviousYear=""),"",IFERROR(LOOKUP(2,1/(E57:T57&lt;&gt;""),E57:T57)-INDEX(E57:T57,MATCH(PreviousYear,$E$5:$T$5,0)),""))</f>
        <v/>
      </c>
      <c r="X57" s="45">
        <f>IF(OR(A57="",U57="",V57=""),"",V57-U57)</f>
        <v/>
      </c>
      <c r="Y57" s="44">
        <f>IF(A57="","",COUNT(E57:T57))</f>
        <v/>
      </c>
    </row>
    <row r="58">
      <c r="A58" s="39">
        <f>IF(AND('Employees'!B9&lt;&gt;"",'Skills'!B10&lt;&gt;""),'Employees'!B9,"")</f>
        <v/>
      </c>
      <c r="B58" s="40">
        <f>IF(A58="","",'Employees'!C9)</f>
        <v/>
      </c>
      <c r="C58" s="41">
        <f>IF(A58="","",'Skills'!B10)</f>
        <v/>
      </c>
      <c r="D58" s="40">
        <f>IF(A58="","",'Skills'!C10)</f>
        <v/>
      </c>
      <c r="E58" s="42" t="n">
        <v>4</v>
      </c>
      <c r="F58" s="42" t="n">
        <v>4</v>
      </c>
      <c r="G58" s="42" t="n">
        <v>4</v>
      </c>
      <c r="H58" s="43" t="n">
        <v>5</v>
      </c>
      <c r="I58" s="42" t="inlineStr"/>
      <c r="J58" s="42" t="inlineStr"/>
      <c r="K58" s="42" t="inlineStr"/>
      <c r="L58" s="42" t="inlineStr"/>
      <c r="M58" s="42" t="inlineStr"/>
      <c r="N58" s="42" t="inlineStr"/>
      <c r="O58" s="42" t="inlineStr"/>
      <c r="P58" s="42" t="inlineStr"/>
      <c r="Q58" s="42" t="inlineStr"/>
      <c r="R58" s="42" t="inlineStr"/>
      <c r="S58" s="42" t="inlineStr"/>
      <c r="T58" s="42" t="inlineStr"/>
      <c r="U58" s="44">
        <f>IF(A58="","",IFERROR(INDEX(E58:T58,MATCH(TRUE,INDEX(E58:T58&lt;&gt;"",0),0)),""))</f>
        <v/>
      </c>
      <c r="V58" s="44">
        <f>IF(A58="","",IFERROR(LOOKUP(2,1/(E58:T58&lt;&gt;""),E58:T58),""))</f>
        <v/>
      </c>
      <c r="W58" s="45">
        <f>IF(OR(A58="",PreviousYear=""),"",IFERROR(LOOKUP(2,1/(E58:T58&lt;&gt;""),E58:T58)-INDEX(E58:T58,MATCH(PreviousYear,$E$5:$T$5,0)),""))</f>
        <v/>
      </c>
      <c r="X58" s="45">
        <f>IF(OR(A58="",U58="",V58=""),"",V58-U58)</f>
        <v/>
      </c>
      <c r="Y58" s="44">
        <f>IF(A58="","",COUNT(E58:T58))</f>
        <v/>
      </c>
    </row>
    <row r="59">
      <c r="A59" s="39">
        <f>IF(AND('Employees'!B9&lt;&gt;"",'Skills'!B11&lt;&gt;""),'Employees'!B9,"")</f>
        <v/>
      </c>
      <c r="B59" s="40">
        <f>IF(A59="","",'Employees'!C9)</f>
        <v/>
      </c>
      <c r="C59" s="41">
        <f>IF(A59="","",'Skills'!B11)</f>
        <v/>
      </c>
      <c r="D59" s="40">
        <f>IF(A59="","",'Skills'!C11)</f>
        <v/>
      </c>
      <c r="E59" s="42" t="n">
        <v>2</v>
      </c>
      <c r="F59" s="42" t="n">
        <v>3</v>
      </c>
      <c r="G59" s="42" t="n">
        <v>3</v>
      </c>
      <c r="H59" s="43" t="n">
        <v>3</v>
      </c>
      <c r="I59" s="42" t="inlineStr"/>
      <c r="J59" s="42" t="inlineStr"/>
      <c r="K59" s="42" t="inlineStr"/>
      <c r="L59" s="42" t="inlineStr"/>
      <c r="M59" s="42" t="inlineStr"/>
      <c r="N59" s="42" t="inlineStr"/>
      <c r="O59" s="42" t="inlineStr"/>
      <c r="P59" s="42" t="inlineStr"/>
      <c r="Q59" s="42" t="inlineStr"/>
      <c r="R59" s="42" t="inlineStr"/>
      <c r="S59" s="42" t="inlineStr"/>
      <c r="T59" s="42" t="inlineStr"/>
      <c r="U59" s="44">
        <f>IF(A59="","",IFERROR(INDEX(E59:T59,MATCH(TRUE,INDEX(E59:T59&lt;&gt;"",0),0)),""))</f>
        <v/>
      </c>
      <c r="V59" s="44">
        <f>IF(A59="","",IFERROR(LOOKUP(2,1/(E59:T59&lt;&gt;""),E59:T59),""))</f>
        <v/>
      </c>
      <c r="W59" s="45">
        <f>IF(OR(A59="",PreviousYear=""),"",IFERROR(LOOKUP(2,1/(E59:T59&lt;&gt;""),E59:T59)-INDEX(E59:T59,MATCH(PreviousYear,$E$5:$T$5,0)),""))</f>
        <v/>
      </c>
      <c r="X59" s="45">
        <f>IF(OR(A59="",U59="",V59=""),"",V59-U59)</f>
        <v/>
      </c>
      <c r="Y59" s="44">
        <f>IF(A59="","",COUNT(E59:T59))</f>
        <v/>
      </c>
    </row>
    <row r="60">
      <c r="A60" s="39">
        <f>IF(AND('Employees'!B9&lt;&gt;"",'Skills'!B12&lt;&gt;""),'Employees'!B9,"")</f>
        <v/>
      </c>
      <c r="B60" s="40">
        <f>IF(A60="","",'Employees'!C9)</f>
        <v/>
      </c>
      <c r="C60" s="41">
        <f>IF(A60="","",'Skills'!B12)</f>
        <v/>
      </c>
      <c r="D60" s="40">
        <f>IF(A60="","",'Skills'!C12)</f>
        <v/>
      </c>
      <c r="E60" s="42" t="n">
        <v>3</v>
      </c>
      <c r="F60" s="42" t="n">
        <v>3</v>
      </c>
      <c r="G60" s="42" t="n">
        <v>4</v>
      </c>
      <c r="H60" s="43" t="n">
        <v>5</v>
      </c>
      <c r="I60" s="42" t="inlineStr"/>
      <c r="J60" s="42" t="inlineStr"/>
      <c r="K60" s="42" t="inlineStr"/>
      <c r="L60" s="42" t="inlineStr"/>
      <c r="M60" s="42" t="inlineStr"/>
      <c r="N60" s="42" t="inlineStr"/>
      <c r="O60" s="42" t="inlineStr"/>
      <c r="P60" s="42" t="inlineStr"/>
      <c r="Q60" s="42" t="inlineStr"/>
      <c r="R60" s="42" t="inlineStr"/>
      <c r="S60" s="42" t="inlineStr"/>
      <c r="T60" s="42" t="inlineStr"/>
      <c r="U60" s="44">
        <f>IF(A60="","",IFERROR(INDEX(E60:T60,MATCH(TRUE,INDEX(E60:T60&lt;&gt;"",0),0)),""))</f>
        <v/>
      </c>
      <c r="V60" s="44">
        <f>IF(A60="","",IFERROR(LOOKUP(2,1/(E60:T60&lt;&gt;""),E60:T60),""))</f>
        <v/>
      </c>
      <c r="W60" s="45">
        <f>IF(OR(A60="",PreviousYear=""),"",IFERROR(LOOKUP(2,1/(E60:T60&lt;&gt;""),E60:T60)-INDEX(E60:T60,MATCH(PreviousYear,$E$5:$T$5,0)),""))</f>
        <v/>
      </c>
      <c r="X60" s="45">
        <f>IF(OR(A60="",U60="",V60=""),"",V60-U60)</f>
        <v/>
      </c>
      <c r="Y60" s="44">
        <f>IF(A60="","",COUNT(E60:T60))</f>
        <v/>
      </c>
    </row>
    <row r="61">
      <c r="A61" s="39">
        <f>IF(AND('Employees'!B9&lt;&gt;"",'Skills'!B13&lt;&gt;""),'Employees'!B9,"")</f>
        <v/>
      </c>
      <c r="B61" s="40">
        <f>IF(A61="","",'Employees'!C9)</f>
        <v/>
      </c>
      <c r="C61" s="41">
        <f>IF(A61="","",'Skills'!B13)</f>
        <v/>
      </c>
      <c r="D61" s="40">
        <f>IF(A61="","",'Skills'!C13)</f>
        <v/>
      </c>
      <c r="E61" s="42" t="inlineStr"/>
      <c r="F61" s="42" t="inlineStr"/>
      <c r="G61" s="42" t="inlineStr"/>
      <c r="H61" s="43" t="inlineStr"/>
      <c r="I61" s="42" t="inlineStr"/>
      <c r="J61" s="42" t="inlineStr"/>
      <c r="K61" s="42" t="inlineStr"/>
      <c r="L61" s="42" t="inlineStr"/>
      <c r="M61" s="42" t="inlineStr"/>
      <c r="N61" s="42" t="inlineStr"/>
      <c r="O61" s="42" t="inlineStr"/>
      <c r="P61" s="42" t="inlineStr"/>
      <c r="Q61" s="42" t="inlineStr"/>
      <c r="R61" s="42" t="inlineStr"/>
      <c r="S61" s="42" t="inlineStr"/>
      <c r="T61" s="42" t="inlineStr"/>
      <c r="U61" s="44">
        <f>IF(A61="","",IFERROR(INDEX(E61:T61,MATCH(TRUE,INDEX(E61:T61&lt;&gt;"",0),0)),""))</f>
        <v/>
      </c>
      <c r="V61" s="44">
        <f>IF(A61="","",IFERROR(LOOKUP(2,1/(E61:T61&lt;&gt;""),E61:T61),""))</f>
        <v/>
      </c>
      <c r="W61" s="45">
        <f>IF(OR(A61="",PreviousYear=""),"",IFERROR(LOOKUP(2,1/(E61:T61&lt;&gt;""),E61:T61)-INDEX(E61:T61,MATCH(PreviousYear,$E$5:$T$5,0)),""))</f>
        <v/>
      </c>
      <c r="X61" s="45">
        <f>IF(OR(A61="",U61="",V61=""),"",V61-U61)</f>
        <v/>
      </c>
      <c r="Y61" s="44">
        <f>IF(A61="","",COUNT(E61:T61))</f>
        <v/>
      </c>
    </row>
    <row r="62">
      <c r="A62" s="39">
        <f>IF(AND('Employees'!B9&lt;&gt;"",'Skills'!B14&lt;&gt;""),'Employees'!B9,"")</f>
        <v/>
      </c>
      <c r="B62" s="40">
        <f>IF(A62="","",'Employees'!C9)</f>
        <v/>
      </c>
      <c r="C62" s="41">
        <f>IF(A62="","",'Skills'!B14)</f>
        <v/>
      </c>
      <c r="D62" s="40">
        <f>IF(A62="","",'Skills'!C14)</f>
        <v/>
      </c>
      <c r="E62" s="42" t="inlineStr"/>
      <c r="F62" s="42" t="inlineStr"/>
      <c r="G62" s="42" t="inlineStr"/>
      <c r="H62" s="43" t="inlineStr"/>
      <c r="I62" s="42" t="inlineStr"/>
      <c r="J62" s="42" t="inlineStr"/>
      <c r="K62" s="42" t="inlineStr"/>
      <c r="L62" s="42" t="inlineStr"/>
      <c r="M62" s="42" t="inlineStr"/>
      <c r="N62" s="42" t="inlineStr"/>
      <c r="O62" s="42" t="inlineStr"/>
      <c r="P62" s="42" t="inlineStr"/>
      <c r="Q62" s="42" t="inlineStr"/>
      <c r="R62" s="42" t="inlineStr"/>
      <c r="S62" s="42" t="inlineStr"/>
      <c r="T62" s="42" t="inlineStr"/>
      <c r="U62" s="44">
        <f>IF(A62="","",IFERROR(INDEX(E62:T62,MATCH(TRUE,INDEX(E62:T62&lt;&gt;"",0),0)),""))</f>
        <v/>
      </c>
      <c r="V62" s="44">
        <f>IF(A62="","",IFERROR(LOOKUP(2,1/(E62:T62&lt;&gt;""),E62:T62),""))</f>
        <v/>
      </c>
      <c r="W62" s="45">
        <f>IF(OR(A62="",PreviousYear=""),"",IFERROR(LOOKUP(2,1/(E62:T62&lt;&gt;""),E62:T62)-INDEX(E62:T62,MATCH(PreviousYear,$E$5:$T$5,0)),""))</f>
        <v/>
      </c>
      <c r="X62" s="45">
        <f>IF(OR(A62="",U62="",V62=""),"",V62-U62)</f>
        <v/>
      </c>
      <c r="Y62" s="44">
        <f>IF(A62="","",COUNT(E62:T62))</f>
        <v/>
      </c>
    </row>
    <row r="63">
      <c r="A63" s="39">
        <f>IF(AND('Employees'!B9&lt;&gt;"",'Skills'!B15&lt;&gt;""),'Employees'!B9,"")</f>
        <v/>
      </c>
      <c r="B63" s="40">
        <f>IF(A63="","",'Employees'!C9)</f>
        <v/>
      </c>
      <c r="C63" s="41">
        <f>IF(A63="","",'Skills'!B15)</f>
        <v/>
      </c>
      <c r="D63" s="40">
        <f>IF(A63="","",'Skills'!C15)</f>
        <v/>
      </c>
      <c r="E63" s="42" t="inlineStr"/>
      <c r="F63" s="42" t="inlineStr"/>
      <c r="G63" s="42" t="inlineStr"/>
      <c r="H63" s="43" t="inlineStr"/>
      <c r="I63" s="42" t="inlineStr"/>
      <c r="J63" s="42" t="inlineStr"/>
      <c r="K63" s="42" t="inlineStr"/>
      <c r="L63" s="42" t="inlineStr"/>
      <c r="M63" s="42" t="inlineStr"/>
      <c r="N63" s="42" t="inlineStr"/>
      <c r="O63" s="42" t="inlineStr"/>
      <c r="P63" s="42" t="inlineStr"/>
      <c r="Q63" s="42" t="inlineStr"/>
      <c r="R63" s="42" t="inlineStr"/>
      <c r="S63" s="42" t="inlineStr"/>
      <c r="T63" s="42" t="inlineStr"/>
      <c r="U63" s="44">
        <f>IF(A63="","",IFERROR(INDEX(E63:T63,MATCH(TRUE,INDEX(E63:T63&lt;&gt;"",0),0)),""))</f>
        <v/>
      </c>
      <c r="V63" s="44">
        <f>IF(A63="","",IFERROR(LOOKUP(2,1/(E63:T63&lt;&gt;""),E63:T63),""))</f>
        <v/>
      </c>
      <c r="W63" s="45">
        <f>IF(OR(A63="",PreviousYear=""),"",IFERROR(LOOKUP(2,1/(E63:T63&lt;&gt;""),E63:T63)-INDEX(E63:T63,MATCH(PreviousYear,$E$5:$T$5,0)),""))</f>
        <v/>
      </c>
      <c r="X63" s="45">
        <f>IF(OR(A63="",U63="",V63=""),"",V63-U63)</f>
        <v/>
      </c>
      <c r="Y63" s="44">
        <f>IF(A63="","",COUNT(E63:T63))</f>
        <v/>
      </c>
    </row>
    <row r="64">
      <c r="A64" s="39">
        <f>IF(AND('Employees'!B9&lt;&gt;"",'Skills'!B16&lt;&gt;""),'Employees'!B9,"")</f>
        <v/>
      </c>
      <c r="B64" s="40">
        <f>IF(A64="","",'Employees'!C9)</f>
        <v/>
      </c>
      <c r="C64" s="41">
        <f>IF(A64="","",'Skills'!B16)</f>
        <v/>
      </c>
      <c r="D64" s="40">
        <f>IF(A64="","",'Skills'!C16)</f>
        <v/>
      </c>
      <c r="E64" s="42" t="inlineStr"/>
      <c r="F64" s="42" t="inlineStr"/>
      <c r="G64" s="42" t="inlineStr"/>
      <c r="H64" s="43" t="inlineStr"/>
      <c r="I64" s="42" t="inlineStr"/>
      <c r="J64" s="42" t="inlineStr"/>
      <c r="K64" s="42" t="inlineStr"/>
      <c r="L64" s="42" t="inlineStr"/>
      <c r="M64" s="42" t="inlineStr"/>
      <c r="N64" s="42" t="inlineStr"/>
      <c r="O64" s="42" t="inlineStr"/>
      <c r="P64" s="42" t="inlineStr"/>
      <c r="Q64" s="42" t="inlineStr"/>
      <c r="R64" s="42" t="inlineStr"/>
      <c r="S64" s="42" t="inlineStr"/>
      <c r="T64" s="42" t="inlineStr"/>
      <c r="U64" s="44">
        <f>IF(A64="","",IFERROR(INDEX(E64:T64,MATCH(TRUE,INDEX(E64:T64&lt;&gt;"",0),0)),""))</f>
        <v/>
      </c>
      <c r="V64" s="44">
        <f>IF(A64="","",IFERROR(LOOKUP(2,1/(E64:T64&lt;&gt;""),E64:T64),""))</f>
        <v/>
      </c>
      <c r="W64" s="45">
        <f>IF(OR(A64="",PreviousYear=""),"",IFERROR(LOOKUP(2,1/(E64:T64&lt;&gt;""),E64:T64)-INDEX(E64:T64,MATCH(PreviousYear,$E$5:$T$5,0)),""))</f>
        <v/>
      </c>
      <c r="X64" s="45">
        <f>IF(OR(A64="",U64="",V64=""),"",V64-U64)</f>
        <v/>
      </c>
      <c r="Y64" s="44">
        <f>IF(A64="","",COUNT(E64:T64))</f>
        <v/>
      </c>
    </row>
    <row r="65">
      <c r="A65" s="39">
        <f>IF(AND('Employees'!B9&lt;&gt;"",'Skills'!B17&lt;&gt;""),'Employees'!B9,"")</f>
        <v/>
      </c>
      <c r="B65" s="40">
        <f>IF(A65="","",'Employees'!C9)</f>
        <v/>
      </c>
      <c r="C65" s="41">
        <f>IF(A65="","",'Skills'!B17)</f>
        <v/>
      </c>
      <c r="D65" s="40">
        <f>IF(A65="","",'Skills'!C17)</f>
        <v/>
      </c>
      <c r="E65" s="42" t="inlineStr"/>
      <c r="F65" s="42" t="inlineStr"/>
      <c r="G65" s="42" t="inlineStr"/>
      <c r="H65" s="43" t="inlineStr"/>
      <c r="I65" s="42" t="inlineStr"/>
      <c r="J65" s="42" t="inlineStr"/>
      <c r="K65" s="42" t="inlineStr"/>
      <c r="L65" s="42" t="inlineStr"/>
      <c r="M65" s="42" t="inlineStr"/>
      <c r="N65" s="42" t="inlineStr"/>
      <c r="O65" s="42" t="inlineStr"/>
      <c r="P65" s="42" t="inlineStr"/>
      <c r="Q65" s="42" t="inlineStr"/>
      <c r="R65" s="42" t="inlineStr"/>
      <c r="S65" s="42" t="inlineStr"/>
      <c r="T65" s="42" t="inlineStr"/>
      <c r="U65" s="44">
        <f>IF(A65="","",IFERROR(INDEX(E65:T65,MATCH(TRUE,INDEX(E65:T65&lt;&gt;"",0),0)),""))</f>
        <v/>
      </c>
      <c r="V65" s="44">
        <f>IF(A65="","",IFERROR(LOOKUP(2,1/(E65:T65&lt;&gt;""),E65:T65),""))</f>
        <v/>
      </c>
      <c r="W65" s="45">
        <f>IF(OR(A65="",PreviousYear=""),"",IFERROR(LOOKUP(2,1/(E65:T65&lt;&gt;""),E65:T65)-INDEX(E65:T65,MATCH(PreviousYear,$E$5:$T$5,0)),""))</f>
        <v/>
      </c>
      <c r="X65" s="45">
        <f>IF(OR(A65="",U65="",V65=""),"",V65-U65)</f>
        <v/>
      </c>
      <c r="Y65" s="44">
        <f>IF(A65="","",COUNT(E65:T65))</f>
        <v/>
      </c>
    </row>
    <row r="66">
      <c r="A66" s="39">
        <f>IF(AND('Employees'!B9&lt;&gt;"",'Skills'!B18&lt;&gt;""),'Employees'!B9,"")</f>
        <v/>
      </c>
      <c r="B66" s="40">
        <f>IF(A66="","",'Employees'!C9)</f>
        <v/>
      </c>
      <c r="C66" s="41">
        <f>IF(A66="","",'Skills'!B18)</f>
        <v/>
      </c>
      <c r="D66" s="40">
        <f>IF(A66="","",'Skills'!C18)</f>
        <v/>
      </c>
      <c r="E66" s="42" t="inlineStr"/>
      <c r="F66" s="42" t="inlineStr"/>
      <c r="G66" s="42" t="inlineStr"/>
      <c r="H66" s="43" t="inlineStr"/>
      <c r="I66" s="42" t="inlineStr"/>
      <c r="J66" s="42" t="inlineStr"/>
      <c r="K66" s="42" t="inlineStr"/>
      <c r="L66" s="42" t="inlineStr"/>
      <c r="M66" s="42" t="inlineStr"/>
      <c r="N66" s="42" t="inlineStr"/>
      <c r="O66" s="42" t="inlineStr"/>
      <c r="P66" s="42" t="inlineStr"/>
      <c r="Q66" s="42" t="inlineStr"/>
      <c r="R66" s="42" t="inlineStr"/>
      <c r="S66" s="42" t="inlineStr"/>
      <c r="T66" s="42" t="inlineStr"/>
      <c r="U66" s="44">
        <f>IF(A66="","",IFERROR(INDEX(E66:T66,MATCH(TRUE,INDEX(E66:T66&lt;&gt;"",0),0)),""))</f>
        <v/>
      </c>
      <c r="V66" s="44">
        <f>IF(A66="","",IFERROR(LOOKUP(2,1/(E66:T66&lt;&gt;""),E66:T66),""))</f>
        <v/>
      </c>
      <c r="W66" s="45">
        <f>IF(OR(A66="",PreviousYear=""),"",IFERROR(LOOKUP(2,1/(E66:T66&lt;&gt;""),E66:T66)-INDEX(E66:T66,MATCH(PreviousYear,$E$5:$T$5,0)),""))</f>
        <v/>
      </c>
      <c r="X66" s="45">
        <f>IF(OR(A66="",U66="",V66=""),"",V66-U66)</f>
        <v/>
      </c>
      <c r="Y66" s="44">
        <f>IF(A66="","",COUNT(E66:T66))</f>
        <v/>
      </c>
    </row>
    <row r="67">
      <c r="A67" s="39">
        <f>IF(AND('Employees'!B9&lt;&gt;"",'Skills'!B19&lt;&gt;""),'Employees'!B9,"")</f>
        <v/>
      </c>
      <c r="B67" s="40">
        <f>IF(A67="","",'Employees'!C9)</f>
        <v/>
      </c>
      <c r="C67" s="41">
        <f>IF(A67="","",'Skills'!B19)</f>
        <v/>
      </c>
      <c r="D67" s="40">
        <f>IF(A67="","",'Skills'!C19)</f>
        <v/>
      </c>
      <c r="E67" s="42" t="inlineStr"/>
      <c r="F67" s="42" t="inlineStr"/>
      <c r="G67" s="42" t="inlineStr"/>
      <c r="H67" s="43" t="inlineStr"/>
      <c r="I67" s="42" t="inlineStr"/>
      <c r="J67" s="42" t="inlineStr"/>
      <c r="K67" s="42" t="inlineStr"/>
      <c r="L67" s="42" t="inlineStr"/>
      <c r="M67" s="42" t="inlineStr"/>
      <c r="N67" s="42" t="inlineStr"/>
      <c r="O67" s="42" t="inlineStr"/>
      <c r="P67" s="42" t="inlineStr"/>
      <c r="Q67" s="42" t="inlineStr"/>
      <c r="R67" s="42" t="inlineStr"/>
      <c r="S67" s="42" t="inlineStr"/>
      <c r="T67" s="42" t="inlineStr"/>
      <c r="U67" s="44">
        <f>IF(A67="","",IFERROR(INDEX(E67:T67,MATCH(TRUE,INDEX(E67:T67&lt;&gt;"",0),0)),""))</f>
        <v/>
      </c>
      <c r="V67" s="44">
        <f>IF(A67="","",IFERROR(LOOKUP(2,1/(E67:T67&lt;&gt;""),E67:T67),""))</f>
        <v/>
      </c>
      <c r="W67" s="45">
        <f>IF(OR(A67="",PreviousYear=""),"",IFERROR(LOOKUP(2,1/(E67:T67&lt;&gt;""),E67:T67)-INDEX(E67:T67,MATCH(PreviousYear,$E$5:$T$5,0)),""))</f>
        <v/>
      </c>
      <c r="X67" s="45">
        <f>IF(OR(A67="",U67="",V67=""),"",V67-U67)</f>
        <v/>
      </c>
      <c r="Y67" s="44">
        <f>IF(A67="","",COUNT(E67:T67))</f>
        <v/>
      </c>
    </row>
    <row r="68">
      <c r="A68" s="39">
        <f>IF(AND('Employees'!B9&lt;&gt;"",'Skills'!B20&lt;&gt;""),'Employees'!B9,"")</f>
        <v/>
      </c>
      <c r="B68" s="40">
        <f>IF(A68="","",'Employees'!C9)</f>
        <v/>
      </c>
      <c r="C68" s="41">
        <f>IF(A68="","",'Skills'!B20)</f>
        <v/>
      </c>
      <c r="D68" s="40">
        <f>IF(A68="","",'Skills'!C20)</f>
        <v/>
      </c>
      <c r="E68" s="42" t="inlineStr"/>
      <c r="F68" s="42" t="inlineStr"/>
      <c r="G68" s="42" t="inlineStr"/>
      <c r="H68" s="43" t="inlineStr"/>
      <c r="I68" s="42" t="inlineStr"/>
      <c r="J68" s="42" t="inlineStr"/>
      <c r="K68" s="42" t="inlineStr"/>
      <c r="L68" s="42" t="inlineStr"/>
      <c r="M68" s="42" t="inlineStr"/>
      <c r="N68" s="42" t="inlineStr"/>
      <c r="O68" s="42" t="inlineStr"/>
      <c r="P68" s="42" t="inlineStr"/>
      <c r="Q68" s="42" t="inlineStr"/>
      <c r="R68" s="42" t="inlineStr"/>
      <c r="S68" s="42" t="inlineStr"/>
      <c r="T68" s="42" t="inlineStr"/>
      <c r="U68" s="44">
        <f>IF(A68="","",IFERROR(INDEX(E68:T68,MATCH(TRUE,INDEX(E68:T68&lt;&gt;"",0),0)),""))</f>
        <v/>
      </c>
      <c r="V68" s="44">
        <f>IF(A68="","",IFERROR(LOOKUP(2,1/(E68:T68&lt;&gt;""),E68:T68),""))</f>
        <v/>
      </c>
      <c r="W68" s="45">
        <f>IF(OR(A68="",PreviousYear=""),"",IFERROR(LOOKUP(2,1/(E68:T68&lt;&gt;""),E68:T68)-INDEX(E68:T68,MATCH(PreviousYear,$E$5:$T$5,0)),""))</f>
        <v/>
      </c>
      <c r="X68" s="45">
        <f>IF(OR(A68="",U68="",V68=""),"",V68-U68)</f>
        <v/>
      </c>
      <c r="Y68" s="44">
        <f>IF(A68="","",COUNT(E68:T68))</f>
        <v/>
      </c>
    </row>
    <row r="69">
      <c r="A69" s="39">
        <f>IF(AND('Employees'!B9&lt;&gt;"",'Skills'!B21&lt;&gt;""),'Employees'!B9,"")</f>
        <v/>
      </c>
      <c r="B69" s="40">
        <f>IF(A69="","",'Employees'!C9)</f>
        <v/>
      </c>
      <c r="C69" s="41">
        <f>IF(A69="","",'Skills'!B21)</f>
        <v/>
      </c>
      <c r="D69" s="40">
        <f>IF(A69="","",'Skills'!C21)</f>
        <v/>
      </c>
      <c r="E69" s="42" t="inlineStr"/>
      <c r="F69" s="42" t="inlineStr"/>
      <c r="G69" s="42" t="inlineStr"/>
      <c r="H69" s="43" t="inlineStr"/>
      <c r="I69" s="42" t="inlineStr"/>
      <c r="J69" s="42" t="inlineStr"/>
      <c r="K69" s="42" t="inlineStr"/>
      <c r="L69" s="42" t="inlineStr"/>
      <c r="M69" s="42" t="inlineStr"/>
      <c r="N69" s="42" t="inlineStr"/>
      <c r="O69" s="42" t="inlineStr"/>
      <c r="P69" s="42" t="inlineStr"/>
      <c r="Q69" s="42" t="inlineStr"/>
      <c r="R69" s="42" t="inlineStr"/>
      <c r="S69" s="42" t="inlineStr"/>
      <c r="T69" s="42" t="inlineStr"/>
      <c r="U69" s="44">
        <f>IF(A69="","",IFERROR(INDEX(E69:T69,MATCH(TRUE,INDEX(E69:T69&lt;&gt;"",0),0)),""))</f>
        <v/>
      </c>
      <c r="V69" s="44">
        <f>IF(A69="","",IFERROR(LOOKUP(2,1/(E69:T69&lt;&gt;""),E69:T69),""))</f>
        <v/>
      </c>
      <c r="W69" s="45">
        <f>IF(OR(A69="",PreviousYear=""),"",IFERROR(LOOKUP(2,1/(E69:T69&lt;&gt;""),E69:T69)-INDEX(E69:T69,MATCH(PreviousYear,$E$5:$T$5,0)),""))</f>
        <v/>
      </c>
      <c r="X69" s="45">
        <f>IF(OR(A69="",U69="",V69=""),"",V69-U69)</f>
        <v/>
      </c>
      <c r="Y69" s="44">
        <f>IF(A69="","",COUNT(E69:T69))</f>
        <v/>
      </c>
    </row>
    <row r="70">
      <c r="A70" s="39">
        <f>IF(AND('Employees'!B10&lt;&gt;"",'Skills'!B6&lt;&gt;""),'Employees'!B10,"")</f>
        <v/>
      </c>
      <c r="B70" s="40">
        <f>IF(A70="","",'Employees'!C10)</f>
        <v/>
      </c>
      <c r="C70" s="41">
        <f>IF(A70="","",'Skills'!B6)</f>
        <v/>
      </c>
      <c r="D70" s="40">
        <f>IF(A70="","",'Skills'!C6)</f>
        <v/>
      </c>
      <c r="E70" s="42" t="inlineStr"/>
      <c r="F70" s="42" t="n">
        <v>1</v>
      </c>
      <c r="G70" s="42" t="n">
        <v>1</v>
      </c>
      <c r="H70" s="43" t="n">
        <v>2</v>
      </c>
      <c r="I70" s="42" t="inlineStr"/>
      <c r="J70" s="42" t="inlineStr"/>
      <c r="K70" s="42" t="inlineStr"/>
      <c r="L70" s="42" t="inlineStr"/>
      <c r="M70" s="42" t="inlineStr"/>
      <c r="N70" s="42" t="inlineStr"/>
      <c r="O70" s="42" t="inlineStr"/>
      <c r="P70" s="42" t="inlineStr"/>
      <c r="Q70" s="42" t="inlineStr"/>
      <c r="R70" s="42" t="inlineStr"/>
      <c r="S70" s="42" t="inlineStr"/>
      <c r="T70" s="42" t="inlineStr"/>
      <c r="U70" s="44">
        <f>IF(A70="","",IFERROR(INDEX(E70:T70,MATCH(TRUE,INDEX(E70:T70&lt;&gt;"",0),0)),""))</f>
        <v/>
      </c>
      <c r="V70" s="44">
        <f>IF(A70="","",IFERROR(LOOKUP(2,1/(E70:T70&lt;&gt;""),E70:T70),""))</f>
        <v/>
      </c>
      <c r="W70" s="45">
        <f>IF(OR(A70="",PreviousYear=""),"",IFERROR(LOOKUP(2,1/(E70:T70&lt;&gt;""),E70:T70)-INDEX(E70:T70,MATCH(PreviousYear,$E$5:$T$5,0)),""))</f>
        <v/>
      </c>
      <c r="X70" s="45">
        <f>IF(OR(A70="",U70="",V70=""),"",V70-U70)</f>
        <v/>
      </c>
      <c r="Y70" s="44">
        <f>IF(A70="","",COUNT(E70:T70))</f>
        <v/>
      </c>
    </row>
    <row r="71">
      <c r="A71" s="39">
        <f>IF(AND('Employees'!B10&lt;&gt;"",'Skills'!B7&lt;&gt;""),'Employees'!B10,"")</f>
        <v/>
      </c>
      <c r="B71" s="40">
        <f>IF(A71="","",'Employees'!C10)</f>
        <v/>
      </c>
      <c r="C71" s="41">
        <f>IF(A71="","",'Skills'!B7)</f>
        <v/>
      </c>
      <c r="D71" s="40">
        <f>IF(A71="","",'Skills'!C7)</f>
        <v/>
      </c>
      <c r="E71" s="42" t="inlineStr"/>
      <c r="F71" s="42" t="n">
        <v>1</v>
      </c>
      <c r="G71" s="42" t="n">
        <v>1</v>
      </c>
      <c r="H71" s="43" t="n">
        <v>2</v>
      </c>
      <c r="I71" s="42" t="inlineStr"/>
      <c r="J71" s="42" t="inlineStr"/>
      <c r="K71" s="42" t="inlineStr"/>
      <c r="L71" s="42" t="inlineStr"/>
      <c r="M71" s="42" t="inlineStr"/>
      <c r="N71" s="42" t="inlineStr"/>
      <c r="O71" s="42" t="inlineStr"/>
      <c r="P71" s="42" t="inlineStr"/>
      <c r="Q71" s="42" t="inlineStr"/>
      <c r="R71" s="42" t="inlineStr"/>
      <c r="S71" s="42" t="inlineStr"/>
      <c r="T71" s="42" t="inlineStr"/>
      <c r="U71" s="44">
        <f>IF(A71="","",IFERROR(INDEX(E71:T71,MATCH(TRUE,INDEX(E71:T71&lt;&gt;"",0),0)),""))</f>
        <v/>
      </c>
      <c r="V71" s="44">
        <f>IF(A71="","",IFERROR(LOOKUP(2,1/(E71:T71&lt;&gt;""),E71:T71),""))</f>
        <v/>
      </c>
      <c r="W71" s="45">
        <f>IF(OR(A71="",PreviousYear=""),"",IFERROR(LOOKUP(2,1/(E71:T71&lt;&gt;""),E71:T71)-INDEX(E71:T71,MATCH(PreviousYear,$E$5:$T$5,0)),""))</f>
        <v/>
      </c>
      <c r="X71" s="45">
        <f>IF(OR(A71="",U71="",V71=""),"",V71-U71)</f>
        <v/>
      </c>
      <c r="Y71" s="44">
        <f>IF(A71="","",COUNT(E71:T71))</f>
        <v/>
      </c>
    </row>
    <row r="72">
      <c r="A72" s="39">
        <f>IF(AND('Employees'!B10&lt;&gt;"",'Skills'!B8&lt;&gt;""),'Employees'!B10,"")</f>
        <v/>
      </c>
      <c r="B72" s="40">
        <f>IF(A72="","",'Employees'!C10)</f>
        <v/>
      </c>
      <c r="C72" s="41">
        <f>IF(A72="","",'Skills'!B8)</f>
        <v/>
      </c>
      <c r="D72" s="40">
        <f>IF(A72="","",'Skills'!C8)</f>
        <v/>
      </c>
      <c r="E72" s="42" t="inlineStr"/>
      <c r="F72" s="42" t="n">
        <v>1</v>
      </c>
      <c r="G72" s="42" t="n">
        <v>2</v>
      </c>
      <c r="H72" s="43" t="n">
        <v>3</v>
      </c>
      <c r="I72" s="42" t="inlineStr"/>
      <c r="J72" s="42" t="inlineStr"/>
      <c r="K72" s="42" t="inlineStr"/>
      <c r="L72" s="42" t="inlineStr"/>
      <c r="M72" s="42" t="inlineStr"/>
      <c r="N72" s="42" t="inlineStr"/>
      <c r="O72" s="42" t="inlineStr"/>
      <c r="P72" s="42" t="inlineStr"/>
      <c r="Q72" s="42" t="inlineStr"/>
      <c r="R72" s="42" t="inlineStr"/>
      <c r="S72" s="42" t="inlineStr"/>
      <c r="T72" s="42" t="inlineStr"/>
      <c r="U72" s="44">
        <f>IF(A72="","",IFERROR(INDEX(E72:T72,MATCH(TRUE,INDEX(E72:T72&lt;&gt;"",0),0)),""))</f>
        <v/>
      </c>
      <c r="V72" s="44">
        <f>IF(A72="","",IFERROR(LOOKUP(2,1/(E72:T72&lt;&gt;""),E72:T72),""))</f>
        <v/>
      </c>
      <c r="W72" s="45">
        <f>IF(OR(A72="",PreviousYear=""),"",IFERROR(LOOKUP(2,1/(E72:T72&lt;&gt;""),E72:T72)-INDEX(E72:T72,MATCH(PreviousYear,$E$5:$T$5,0)),""))</f>
        <v/>
      </c>
      <c r="X72" s="45">
        <f>IF(OR(A72="",U72="",V72=""),"",V72-U72)</f>
        <v/>
      </c>
      <c r="Y72" s="44">
        <f>IF(A72="","",COUNT(E72:T72))</f>
        <v/>
      </c>
    </row>
    <row r="73">
      <c r="A73" s="39">
        <f>IF(AND('Employees'!B10&lt;&gt;"",'Skills'!B9&lt;&gt;""),'Employees'!B10,"")</f>
        <v/>
      </c>
      <c r="B73" s="40">
        <f>IF(A73="","",'Employees'!C10)</f>
        <v/>
      </c>
      <c r="C73" s="41">
        <f>IF(A73="","",'Skills'!B9)</f>
        <v/>
      </c>
      <c r="D73" s="40">
        <f>IF(A73="","",'Skills'!C9)</f>
        <v/>
      </c>
      <c r="E73" s="42" t="inlineStr"/>
      <c r="F73" s="42" t="n">
        <v>3</v>
      </c>
      <c r="G73" s="42" t="n">
        <v>3</v>
      </c>
      <c r="H73" s="43" t="n">
        <v>4</v>
      </c>
      <c r="I73" s="42" t="inlineStr"/>
      <c r="J73" s="42" t="inlineStr"/>
      <c r="K73" s="42" t="inlineStr"/>
      <c r="L73" s="42" t="inlineStr"/>
      <c r="M73" s="42" t="inlineStr"/>
      <c r="N73" s="42" t="inlineStr"/>
      <c r="O73" s="42" t="inlineStr"/>
      <c r="P73" s="42" t="inlineStr"/>
      <c r="Q73" s="42" t="inlineStr"/>
      <c r="R73" s="42" t="inlineStr"/>
      <c r="S73" s="42" t="inlineStr"/>
      <c r="T73" s="42" t="inlineStr"/>
      <c r="U73" s="44">
        <f>IF(A73="","",IFERROR(INDEX(E73:T73,MATCH(TRUE,INDEX(E73:T73&lt;&gt;"",0),0)),""))</f>
        <v/>
      </c>
      <c r="V73" s="44">
        <f>IF(A73="","",IFERROR(LOOKUP(2,1/(E73:T73&lt;&gt;""),E73:T73),""))</f>
        <v/>
      </c>
      <c r="W73" s="45">
        <f>IF(OR(A73="",PreviousYear=""),"",IFERROR(LOOKUP(2,1/(E73:T73&lt;&gt;""),E73:T73)-INDEX(E73:T73,MATCH(PreviousYear,$E$5:$T$5,0)),""))</f>
        <v/>
      </c>
      <c r="X73" s="45">
        <f>IF(OR(A73="",U73="",V73=""),"",V73-U73)</f>
        <v/>
      </c>
      <c r="Y73" s="44">
        <f>IF(A73="","",COUNT(E73:T73))</f>
        <v/>
      </c>
    </row>
    <row r="74">
      <c r="A74" s="39">
        <f>IF(AND('Employees'!B10&lt;&gt;"",'Skills'!B10&lt;&gt;""),'Employees'!B10,"")</f>
        <v/>
      </c>
      <c r="B74" s="40">
        <f>IF(A74="","",'Employees'!C10)</f>
        <v/>
      </c>
      <c r="C74" s="41">
        <f>IF(A74="","",'Skills'!B10)</f>
        <v/>
      </c>
      <c r="D74" s="40">
        <f>IF(A74="","",'Skills'!C10)</f>
        <v/>
      </c>
      <c r="E74" s="42" t="inlineStr"/>
      <c r="F74" s="42" t="n">
        <v>4</v>
      </c>
      <c r="G74" s="42" t="n">
        <v>4</v>
      </c>
      <c r="H74" s="43" t="n">
        <v>5</v>
      </c>
      <c r="I74" s="42" t="inlineStr"/>
      <c r="J74" s="42" t="inlineStr"/>
      <c r="K74" s="42" t="inlineStr"/>
      <c r="L74" s="42" t="inlineStr"/>
      <c r="M74" s="42" t="inlineStr"/>
      <c r="N74" s="42" t="inlineStr"/>
      <c r="O74" s="42" t="inlineStr"/>
      <c r="P74" s="42" t="inlineStr"/>
      <c r="Q74" s="42" t="inlineStr"/>
      <c r="R74" s="42" t="inlineStr"/>
      <c r="S74" s="42" t="inlineStr"/>
      <c r="T74" s="42" t="inlineStr"/>
      <c r="U74" s="44">
        <f>IF(A74="","",IFERROR(INDEX(E74:T74,MATCH(TRUE,INDEX(E74:T74&lt;&gt;"",0),0)),""))</f>
        <v/>
      </c>
      <c r="V74" s="44">
        <f>IF(A74="","",IFERROR(LOOKUP(2,1/(E74:T74&lt;&gt;""),E74:T74),""))</f>
        <v/>
      </c>
      <c r="W74" s="45">
        <f>IF(OR(A74="",PreviousYear=""),"",IFERROR(LOOKUP(2,1/(E74:T74&lt;&gt;""),E74:T74)-INDEX(E74:T74,MATCH(PreviousYear,$E$5:$T$5,0)),""))</f>
        <v/>
      </c>
      <c r="X74" s="45">
        <f>IF(OR(A74="",U74="",V74=""),"",V74-U74)</f>
        <v/>
      </c>
      <c r="Y74" s="44">
        <f>IF(A74="","",COUNT(E74:T74))</f>
        <v/>
      </c>
    </row>
    <row r="75">
      <c r="A75" s="39">
        <f>IF(AND('Employees'!B10&lt;&gt;"",'Skills'!B11&lt;&gt;""),'Employees'!B10,"")</f>
        <v/>
      </c>
      <c r="B75" s="40">
        <f>IF(A75="","",'Employees'!C10)</f>
        <v/>
      </c>
      <c r="C75" s="41">
        <f>IF(A75="","",'Skills'!B11)</f>
        <v/>
      </c>
      <c r="D75" s="40">
        <f>IF(A75="","",'Skills'!C11)</f>
        <v/>
      </c>
      <c r="E75" s="42" t="inlineStr"/>
      <c r="F75" s="42" t="n">
        <v>1</v>
      </c>
      <c r="G75" s="42" t="n">
        <v>2</v>
      </c>
      <c r="H75" s="43" t="n">
        <v>2</v>
      </c>
      <c r="I75" s="42" t="inlineStr"/>
      <c r="J75" s="42" t="inlineStr"/>
      <c r="K75" s="42" t="inlineStr"/>
      <c r="L75" s="42" t="inlineStr"/>
      <c r="M75" s="42" t="inlineStr"/>
      <c r="N75" s="42" t="inlineStr"/>
      <c r="O75" s="42" t="inlineStr"/>
      <c r="P75" s="42" t="inlineStr"/>
      <c r="Q75" s="42" t="inlineStr"/>
      <c r="R75" s="42" t="inlineStr"/>
      <c r="S75" s="42" t="inlineStr"/>
      <c r="T75" s="42" t="inlineStr"/>
      <c r="U75" s="44">
        <f>IF(A75="","",IFERROR(INDEX(E75:T75,MATCH(TRUE,INDEX(E75:T75&lt;&gt;"",0),0)),""))</f>
        <v/>
      </c>
      <c r="V75" s="44">
        <f>IF(A75="","",IFERROR(LOOKUP(2,1/(E75:T75&lt;&gt;""),E75:T75),""))</f>
        <v/>
      </c>
      <c r="W75" s="45">
        <f>IF(OR(A75="",PreviousYear=""),"",IFERROR(LOOKUP(2,1/(E75:T75&lt;&gt;""),E75:T75)-INDEX(E75:T75,MATCH(PreviousYear,$E$5:$T$5,0)),""))</f>
        <v/>
      </c>
      <c r="X75" s="45">
        <f>IF(OR(A75="",U75="",V75=""),"",V75-U75)</f>
        <v/>
      </c>
      <c r="Y75" s="44">
        <f>IF(A75="","",COUNT(E75:T75))</f>
        <v/>
      </c>
    </row>
    <row r="76">
      <c r="A76" s="39">
        <f>IF(AND('Employees'!B10&lt;&gt;"",'Skills'!B12&lt;&gt;""),'Employees'!B10,"")</f>
        <v/>
      </c>
      <c r="B76" s="40">
        <f>IF(A76="","",'Employees'!C10)</f>
        <v/>
      </c>
      <c r="C76" s="41">
        <f>IF(A76="","",'Skills'!B12)</f>
        <v/>
      </c>
      <c r="D76" s="40">
        <f>IF(A76="","",'Skills'!C12)</f>
        <v/>
      </c>
      <c r="E76" s="42" t="inlineStr"/>
      <c r="F76" s="42" t="n">
        <v>3</v>
      </c>
      <c r="G76" s="42" t="n">
        <v>3</v>
      </c>
      <c r="H76" s="43" t="n">
        <v>4</v>
      </c>
      <c r="I76" s="42" t="inlineStr"/>
      <c r="J76" s="42" t="inlineStr"/>
      <c r="K76" s="42" t="inlineStr"/>
      <c r="L76" s="42" t="inlineStr"/>
      <c r="M76" s="42" t="inlineStr"/>
      <c r="N76" s="42" t="inlineStr"/>
      <c r="O76" s="42" t="inlineStr"/>
      <c r="P76" s="42" t="inlineStr"/>
      <c r="Q76" s="42" t="inlineStr"/>
      <c r="R76" s="42" t="inlineStr"/>
      <c r="S76" s="42" t="inlineStr"/>
      <c r="T76" s="42" t="inlineStr"/>
      <c r="U76" s="44">
        <f>IF(A76="","",IFERROR(INDEX(E76:T76,MATCH(TRUE,INDEX(E76:T76&lt;&gt;"",0),0)),""))</f>
        <v/>
      </c>
      <c r="V76" s="44">
        <f>IF(A76="","",IFERROR(LOOKUP(2,1/(E76:T76&lt;&gt;""),E76:T76),""))</f>
        <v/>
      </c>
      <c r="W76" s="45">
        <f>IF(OR(A76="",PreviousYear=""),"",IFERROR(LOOKUP(2,1/(E76:T76&lt;&gt;""),E76:T76)-INDEX(E76:T76,MATCH(PreviousYear,$E$5:$T$5,0)),""))</f>
        <v/>
      </c>
      <c r="X76" s="45">
        <f>IF(OR(A76="",U76="",V76=""),"",V76-U76)</f>
        <v/>
      </c>
      <c r="Y76" s="44">
        <f>IF(A76="","",COUNT(E76:T76))</f>
        <v/>
      </c>
    </row>
    <row r="77">
      <c r="A77" s="39">
        <f>IF(AND('Employees'!B10&lt;&gt;"",'Skills'!B13&lt;&gt;""),'Employees'!B10,"")</f>
        <v/>
      </c>
      <c r="B77" s="40">
        <f>IF(A77="","",'Employees'!C10)</f>
        <v/>
      </c>
      <c r="C77" s="41">
        <f>IF(A77="","",'Skills'!B13)</f>
        <v/>
      </c>
      <c r="D77" s="40">
        <f>IF(A77="","",'Skills'!C13)</f>
        <v/>
      </c>
      <c r="E77" s="42" t="inlineStr"/>
      <c r="F77" s="42" t="inlineStr"/>
      <c r="G77" s="42" t="inlineStr"/>
      <c r="H77" s="43" t="inlineStr"/>
      <c r="I77" s="42" t="inlineStr"/>
      <c r="J77" s="42" t="inlineStr"/>
      <c r="K77" s="42" t="inlineStr"/>
      <c r="L77" s="42" t="inlineStr"/>
      <c r="M77" s="42" t="inlineStr"/>
      <c r="N77" s="42" t="inlineStr"/>
      <c r="O77" s="42" t="inlineStr"/>
      <c r="P77" s="42" t="inlineStr"/>
      <c r="Q77" s="42" t="inlineStr"/>
      <c r="R77" s="42" t="inlineStr"/>
      <c r="S77" s="42" t="inlineStr"/>
      <c r="T77" s="42" t="inlineStr"/>
      <c r="U77" s="44">
        <f>IF(A77="","",IFERROR(INDEX(E77:T77,MATCH(TRUE,INDEX(E77:T77&lt;&gt;"",0),0)),""))</f>
        <v/>
      </c>
      <c r="V77" s="44">
        <f>IF(A77="","",IFERROR(LOOKUP(2,1/(E77:T77&lt;&gt;""),E77:T77),""))</f>
        <v/>
      </c>
      <c r="W77" s="45">
        <f>IF(OR(A77="",PreviousYear=""),"",IFERROR(LOOKUP(2,1/(E77:T77&lt;&gt;""),E77:T77)-INDEX(E77:T77,MATCH(PreviousYear,$E$5:$T$5,0)),""))</f>
        <v/>
      </c>
      <c r="X77" s="45">
        <f>IF(OR(A77="",U77="",V77=""),"",V77-U77)</f>
        <v/>
      </c>
      <c r="Y77" s="44">
        <f>IF(A77="","",COUNT(E77:T77))</f>
        <v/>
      </c>
    </row>
    <row r="78">
      <c r="A78" s="39">
        <f>IF(AND('Employees'!B10&lt;&gt;"",'Skills'!B14&lt;&gt;""),'Employees'!B10,"")</f>
        <v/>
      </c>
      <c r="B78" s="40">
        <f>IF(A78="","",'Employees'!C10)</f>
        <v/>
      </c>
      <c r="C78" s="41">
        <f>IF(A78="","",'Skills'!B14)</f>
        <v/>
      </c>
      <c r="D78" s="40">
        <f>IF(A78="","",'Skills'!C14)</f>
        <v/>
      </c>
      <c r="E78" s="42" t="inlineStr"/>
      <c r="F78" s="42" t="inlineStr"/>
      <c r="G78" s="42" t="inlineStr"/>
      <c r="H78" s="43" t="inlineStr"/>
      <c r="I78" s="42" t="inlineStr"/>
      <c r="J78" s="42" t="inlineStr"/>
      <c r="K78" s="42" t="inlineStr"/>
      <c r="L78" s="42" t="inlineStr"/>
      <c r="M78" s="42" t="inlineStr"/>
      <c r="N78" s="42" t="inlineStr"/>
      <c r="O78" s="42" t="inlineStr"/>
      <c r="P78" s="42" t="inlineStr"/>
      <c r="Q78" s="42" t="inlineStr"/>
      <c r="R78" s="42" t="inlineStr"/>
      <c r="S78" s="42" t="inlineStr"/>
      <c r="T78" s="42" t="inlineStr"/>
      <c r="U78" s="44">
        <f>IF(A78="","",IFERROR(INDEX(E78:T78,MATCH(TRUE,INDEX(E78:T78&lt;&gt;"",0),0)),""))</f>
        <v/>
      </c>
      <c r="V78" s="44">
        <f>IF(A78="","",IFERROR(LOOKUP(2,1/(E78:T78&lt;&gt;""),E78:T78),""))</f>
        <v/>
      </c>
      <c r="W78" s="45">
        <f>IF(OR(A78="",PreviousYear=""),"",IFERROR(LOOKUP(2,1/(E78:T78&lt;&gt;""),E78:T78)-INDEX(E78:T78,MATCH(PreviousYear,$E$5:$T$5,0)),""))</f>
        <v/>
      </c>
      <c r="X78" s="45">
        <f>IF(OR(A78="",U78="",V78=""),"",V78-U78)</f>
        <v/>
      </c>
      <c r="Y78" s="44">
        <f>IF(A78="","",COUNT(E78:T78))</f>
        <v/>
      </c>
    </row>
    <row r="79">
      <c r="A79" s="39">
        <f>IF(AND('Employees'!B10&lt;&gt;"",'Skills'!B15&lt;&gt;""),'Employees'!B10,"")</f>
        <v/>
      </c>
      <c r="B79" s="40">
        <f>IF(A79="","",'Employees'!C10)</f>
        <v/>
      </c>
      <c r="C79" s="41">
        <f>IF(A79="","",'Skills'!B15)</f>
        <v/>
      </c>
      <c r="D79" s="40">
        <f>IF(A79="","",'Skills'!C15)</f>
        <v/>
      </c>
      <c r="E79" s="42" t="inlineStr"/>
      <c r="F79" s="42" t="inlineStr"/>
      <c r="G79" s="42" t="inlineStr"/>
      <c r="H79" s="43" t="inlineStr"/>
      <c r="I79" s="42" t="inlineStr"/>
      <c r="J79" s="42" t="inlineStr"/>
      <c r="K79" s="42" t="inlineStr"/>
      <c r="L79" s="42" t="inlineStr"/>
      <c r="M79" s="42" t="inlineStr"/>
      <c r="N79" s="42" t="inlineStr"/>
      <c r="O79" s="42" t="inlineStr"/>
      <c r="P79" s="42" t="inlineStr"/>
      <c r="Q79" s="42" t="inlineStr"/>
      <c r="R79" s="42" t="inlineStr"/>
      <c r="S79" s="42" t="inlineStr"/>
      <c r="T79" s="42" t="inlineStr"/>
      <c r="U79" s="44">
        <f>IF(A79="","",IFERROR(INDEX(E79:T79,MATCH(TRUE,INDEX(E79:T79&lt;&gt;"",0),0)),""))</f>
        <v/>
      </c>
      <c r="V79" s="44">
        <f>IF(A79="","",IFERROR(LOOKUP(2,1/(E79:T79&lt;&gt;""),E79:T79),""))</f>
        <v/>
      </c>
      <c r="W79" s="45">
        <f>IF(OR(A79="",PreviousYear=""),"",IFERROR(LOOKUP(2,1/(E79:T79&lt;&gt;""),E79:T79)-INDEX(E79:T79,MATCH(PreviousYear,$E$5:$T$5,0)),""))</f>
        <v/>
      </c>
      <c r="X79" s="45">
        <f>IF(OR(A79="",U79="",V79=""),"",V79-U79)</f>
        <v/>
      </c>
      <c r="Y79" s="44">
        <f>IF(A79="","",COUNT(E79:T79))</f>
        <v/>
      </c>
    </row>
    <row r="80">
      <c r="A80" s="39">
        <f>IF(AND('Employees'!B10&lt;&gt;"",'Skills'!B16&lt;&gt;""),'Employees'!B10,"")</f>
        <v/>
      </c>
      <c r="B80" s="40">
        <f>IF(A80="","",'Employees'!C10)</f>
        <v/>
      </c>
      <c r="C80" s="41">
        <f>IF(A80="","",'Skills'!B16)</f>
        <v/>
      </c>
      <c r="D80" s="40">
        <f>IF(A80="","",'Skills'!C16)</f>
        <v/>
      </c>
      <c r="E80" s="42" t="inlineStr"/>
      <c r="F80" s="42" t="inlineStr"/>
      <c r="G80" s="42" t="inlineStr"/>
      <c r="H80" s="43" t="inlineStr"/>
      <c r="I80" s="42" t="inlineStr"/>
      <c r="J80" s="42" t="inlineStr"/>
      <c r="K80" s="42" t="inlineStr"/>
      <c r="L80" s="42" t="inlineStr"/>
      <c r="M80" s="42" t="inlineStr"/>
      <c r="N80" s="42" t="inlineStr"/>
      <c r="O80" s="42" t="inlineStr"/>
      <c r="P80" s="42" t="inlineStr"/>
      <c r="Q80" s="42" t="inlineStr"/>
      <c r="R80" s="42" t="inlineStr"/>
      <c r="S80" s="42" t="inlineStr"/>
      <c r="T80" s="42" t="inlineStr"/>
      <c r="U80" s="44">
        <f>IF(A80="","",IFERROR(INDEX(E80:T80,MATCH(TRUE,INDEX(E80:T80&lt;&gt;"",0),0)),""))</f>
        <v/>
      </c>
      <c r="V80" s="44">
        <f>IF(A80="","",IFERROR(LOOKUP(2,1/(E80:T80&lt;&gt;""),E80:T80),""))</f>
        <v/>
      </c>
      <c r="W80" s="45">
        <f>IF(OR(A80="",PreviousYear=""),"",IFERROR(LOOKUP(2,1/(E80:T80&lt;&gt;""),E80:T80)-INDEX(E80:T80,MATCH(PreviousYear,$E$5:$T$5,0)),""))</f>
        <v/>
      </c>
      <c r="X80" s="45">
        <f>IF(OR(A80="",U80="",V80=""),"",V80-U80)</f>
        <v/>
      </c>
      <c r="Y80" s="44">
        <f>IF(A80="","",COUNT(E80:T80))</f>
        <v/>
      </c>
    </row>
    <row r="81">
      <c r="A81" s="39">
        <f>IF(AND('Employees'!B10&lt;&gt;"",'Skills'!B17&lt;&gt;""),'Employees'!B10,"")</f>
        <v/>
      </c>
      <c r="B81" s="40">
        <f>IF(A81="","",'Employees'!C10)</f>
        <v/>
      </c>
      <c r="C81" s="41">
        <f>IF(A81="","",'Skills'!B17)</f>
        <v/>
      </c>
      <c r="D81" s="40">
        <f>IF(A81="","",'Skills'!C17)</f>
        <v/>
      </c>
      <c r="E81" s="42" t="inlineStr"/>
      <c r="F81" s="42" t="inlineStr"/>
      <c r="G81" s="42" t="inlineStr"/>
      <c r="H81" s="43" t="inlineStr"/>
      <c r="I81" s="42" t="inlineStr"/>
      <c r="J81" s="42" t="inlineStr"/>
      <c r="K81" s="42" t="inlineStr"/>
      <c r="L81" s="42" t="inlineStr"/>
      <c r="M81" s="42" t="inlineStr"/>
      <c r="N81" s="42" t="inlineStr"/>
      <c r="O81" s="42" t="inlineStr"/>
      <c r="P81" s="42" t="inlineStr"/>
      <c r="Q81" s="42" t="inlineStr"/>
      <c r="R81" s="42" t="inlineStr"/>
      <c r="S81" s="42" t="inlineStr"/>
      <c r="T81" s="42" t="inlineStr"/>
      <c r="U81" s="44">
        <f>IF(A81="","",IFERROR(INDEX(E81:T81,MATCH(TRUE,INDEX(E81:T81&lt;&gt;"",0),0)),""))</f>
        <v/>
      </c>
      <c r="V81" s="44">
        <f>IF(A81="","",IFERROR(LOOKUP(2,1/(E81:T81&lt;&gt;""),E81:T81),""))</f>
        <v/>
      </c>
      <c r="W81" s="45">
        <f>IF(OR(A81="",PreviousYear=""),"",IFERROR(LOOKUP(2,1/(E81:T81&lt;&gt;""),E81:T81)-INDEX(E81:T81,MATCH(PreviousYear,$E$5:$T$5,0)),""))</f>
        <v/>
      </c>
      <c r="X81" s="45">
        <f>IF(OR(A81="",U81="",V81=""),"",V81-U81)</f>
        <v/>
      </c>
      <c r="Y81" s="44">
        <f>IF(A81="","",COUNT(E81:T81))</f>
        <v/>
      </c>
    </row>
    <row r="82">
      <c r="A82" s="39">
        <f>IF(AND('Employees'!B10&lt;&gt;"",'Skills'!B18&lt;&gt;""),'Employees'!B10,"")</f>
        <v/>
      </c>
      <c r="B82" s="40">
        <f>IF(A82="","",'Employees'!C10)</f>
        <v/>
      </c>
      <c r="C82" s="41">
        <f>IF(A82="","",'Skills'!B18)</f>
        <v/>
      </c>
      <c r="D82" s="40">
        <f>IF(A82="","",'Skills'!C18)</f>
        <v/>
      </c>
      <c r="E82" s="42" t="inlineStr"/>
      <c r="F82" s="42" t="inlineStr"/>
      <c r="G82" s="42" t="inlineStr"/>
      <c r="H82" s="43" t="inlineStr"/>
      <c r="I82" s="42" t="inlineStr"/>
      <c r="J82" s="42" t="inlineStr"/>
      <c r="K82" s="42" t="inlineStr"/>
      <c r="L82" s="42" t="inlineStr"/>
      <c r="M82" s="42" t="inlineStr"/>
      <c r="N82" s="42" t="inlineStr"/>
      <c r="O82" s="42" t="inlineStr"/>
      <c r="P82" s="42" t="inlineStr"/>
      <c r="Q82" s="42" t="inlineStr"/>
      <c r="R82" s="42" t="inlineStr"/>
      <c r="S82" s="42" t="inlineStr"/>
      <c r="T82" s="42" t="inlineStr"/>
      <c r="U82" s="44">
        <f>IF(A82="","",IFERROR(INDEX(E82:T82,MATCH(TRUE,INDEX(E82:T82&lt;&gt;"",0),0)),""))</f>
        <v/>
      </c>
      <c r="V82" s="44">
        <f>IF(A82="","",IFERROR(LOOKUP(2,1/(E82:T82&lt;&gt;""),E82:T82),""))</f>
        <v/>
      </c>
      <c r="W82" s="45">
        <f>IF(OR(A82="",PreviousYear=""),"",IFERROR(LOOKUP(2,1/(E82:T82&lt;&gt;""),E82:T82)-INDEX(E82:T82,MATCH(PreviousYear,$E$5:$T$5,0)),""))</f>
        <v/>
      </c>
      <c r="X82" s="45">
        <f>IF(OR(A82="",U82="",V82=""),"",V82-U82)</f>
        <v/>
      </c>
      <c r="Y82" s="44">
        <f>IF(A82="","",COUNT(E82:T82))</f>
        <v/>
      </c>
    </row>
    <row r="83">
      <c r="A83" s="39">
        <f>IF(AND('Employees'!B10&lt;&gt;"",'Skills'!B19&lt;&gt;""),'Employees'!B10,"")</f>
        <v/>
      </c>
      <c r="B83" s="40">
        <f>IF(A83="","",'Employees'!C10)</f>
        <v/>
      </c>
      <c r="C83" s="41">
        <f>IF(A83="","",'Skills'!B19)</f>
        <v/>
      </c>
      <c r="D83" s="40">
        <f>IF(A83="","",'Skills'!C19)</f>
        <v/>
      </c>
      <c r="E83" s="42" t="inlineStr"/>
      <c r="F83" s="42" t="inlineStr"/>
      <c r="G83" s="42" t="inlineStr"/>
      <c r="H83" s="43" t="inlineStr"/>
      <c r="I83" s="42" t="inlineStr"/>
      <c r="J83" s="42" t="inlineStr"/>
      <c r="K83" s="42" t="inlineStr"/>
      <c r="L83" s="42" t="inlineStr"/>
      <c r="M83" s="42" t="inlineStr"/>
      <c r="N83" s="42" t="inlineStr"/>
      <c r="O83" s="42" t="inlineStr"/>
      <c r="P83" s="42" t="inlineStr"/>
      <c r="Q83" s="42" t="inlineStr"/>
      <c r="R83" s="42" t="inlineStr"/>
      <c r="S83" s="42" t="inlineStr"/>
      <c r="T83" s="42" t="inlineStr"/>
      <c r="U83" s="44">
        <f>IF(A83="","",IFERROR(INDEX(E83:T83,MATCH(TRUE,INDEX(E83:T83&lt;&gt;"",0),0)),""))</f>
        <v/>
      </c>
      <c r="V83" s="44">
        <f>IF(A83="","",IFERROR(LOOKUP(2,1/(E83:T83&lt;&gt;""),E83:T83),""))</f>
        <v/>
      </c>
      <c r="W83" s="45">
        <f>IF(OR(A83="",PreviousYear=""),"",IFERROR(LOOKUP(2,1/(E83:T83&lt;&gt;""),E83:T83)-INDEX(E83:T83,MATCH(PreviousYear,$E$5:$T$5,0)),""))</f>
        <v/>
      </c>
      <c r="X83" s="45">
        <f>IF(OR(A83="",U83="",V83=""),"",V83-U83)</f>
        <v/>
      </c>
      <c r="Y83" s="44">
        <f>IF(A83="","",COUNT(E83:T83))</f>
        <v/>
      </c>
    </row>
    <row r="84">
      <c r="A84" s="39">
        <f>IF(AND('Employees'!B10&lt;&gt;"",'Skills'!B20&lt;&gt;""),'Employees'!B10,"")</f>
        <v/>
      </c>
      <c r="B84" s="40">
        <f>IF(A84="","",'Employees'!C10)</f>
        <v/>
      </c>
      <c r="C84" s="41">
        <f>IF(A84="","",'Skills'!B20)</f>
        <v/>
      </c>
      <c r="D84" s="40">
        <f>IF(A84="","",'Skills'!C20)</f>
        <v/>
      </c>
      <c r="E84" s="42" t="inlineStr"/>
      <c r="F84" s="42" t="inlineStr"/>
      <c r="G84" s="42" t="inlineStr"/>
      <c r="H84" s="43" t="inlineStr"/>
      <c r="I84" s="42" t="inlineStr"/>
      <c r="J84" s="42" t="inlineStr"/>
      <c r="K84" s="42" t="inlineStr"/>
      <c r="L84" s="42" t="inlineStr"/>
      <c r="M84" s="42" t="inlineStr"/>
      <c r="N84" s="42" t="inlineStr"/>
      <c r="O84" s="42" t="inlineStr"/>
      <c r="P84" s="42" t="inlineStr"/>
      <c r="Q84" s="42" t="inlineStr"/>
      <c r="R84" s="42" t="inlineStr"/>
      <c r="S84" s="42" t="inlineStr"/>
      <c r="T84" s="42" t="inlineStr"/>
      <c r="U84" s="44">
        <f>IF(A84="","",IFERROR(INDEX(E84:T84,MATCH(TRUE,INDEX(E84:T84&lt;&gt;"",0),0)),""))</f>
        <v/>
      </c>
      <c r="V84" s="44">
        <f>IF(A84="","",IFERROR(LOOKUP(2,1/(E84:T84&lt;&gt;""),E84:T84),""))</f>
        <v/>
      </c>
      <c r="W84" s="45">
        <f>IF(OR(A84="",PreviousYear=""),"",IFERROR(LOOKUP(2,1/(E84:T84&lt;&gt;""),E84:T84)-INDEX(E84:T84,MATCH(PreviousYear,$E$5:$T$5,0)),""))</f>
        <v/>
      </c>
      <c r="X84" s="45">
        <f>IF(OR(A84="",U84="",V84=""),"",V84-U84)</f>
        <v/>
      </c>
      <c r="Y84" s="44">
        <f>IF(A84="","",COUNT(E84:T84))</f>
        <v/>
      </c>
    </row>
    <row r="85">
      <c r="A85" s="39">
        <f>IF(AND('Employees'!B10&lt;&gt;"",'Skills'!B21&lt;&gt;""),'Employees'!B10,"")</f>
        <v/>
      </c>
      <c r="B85" s="40">
        <f>IF(A85="","",'Employees'!C10)</f>
        <v/>
      </c>
      <c r="C85" s="41">
        <f>IF(A85="","",'Skills'!B21)</f>
        <v/>
      </c>
      <c r="D85" s="40">
        <f>IF(A85="","",'Skills'!C21)</f>
        <v/>
      </c>
      <c r="E85" s="42" t="inlineStr"/>
      <c r="F85" s="42" t="inlineStr"/>
      <c r="G85" s="42" t="inlineStr"/>
      <c r="H85" s="43" t="inlineStr"/>
      <c r="I85" s="42" t="inlineStr"/>
      <c r="J85" s="42" t="inlineStr"/>
      <c r="K85" s="42" t="inlineStr"/>
      <c r="L85" s="42" t="inlineStr"/>
      <c r="M85" s="42" t="inlineStr"/>
      <c r="N85" s="42" t="inlineStr"/>
      <c r="O85" s="42" t="inlineStr"/>
      <c r="P85" s="42" t="inlineStr"/>
      <c r="Q85" s="42" t="inlineStr"/>
      <c r="R85" s="42" t="inlineStr"/>
      <c r="S85" s="42" t="inlineStr"/>
      <c r="T85" s="42" t="inlineStr"/>
      <c r="U85" s="44">
        <f>IF(A85="","",IFERROR(INDEX(E85:T85,MATCH(TRUE,INDEX(E85:T85&lt;&gt;"",0),0)),""))</f>
        <v/>
      </c>
      <c r="V85" s="44">
        <f>IF(A85="","",IFERROR(LOOKUP(2,1/(E85:T85&lt;&gt;""),E85:T85),""))</f>
        <v/>
      </c>
      <c r="W85" s="45">
        <f>IF(OR(A85="",PreviousYear=""),"",IFERROR(LOOKUP(2,1/(E85:T85&lt;&gt;""),E85:T85)-INDEX(E85:T85,MATCH(PreviousYear,$E$5:$T$5,0)),""))</f>
        <v/>
      </c>
      <c r="X85" s="45">
        <f>IF(OR(A85="",U85="",V85=""),"",V85-U85)</f>
        <v/>
      </c>
      <c r="Y85" s="44">
        <f>IF(A85="","",COUNT(E85:T85))</f>
        <v/>
      </c>
    </row>
    <row r="86">
      <c r="A86" s="39">
        <f>IF(AND('Employees'!B11&lt;&gt;"",'Skills'!B6&lt;&gt;""),'Employees'!B11,"")</f>
        <v/>
      </c>
      <c r="B86" s="40">
        <f>IF(A86="","",'Employees'!C11)</f>
        <v/>
      </c>
      <c r="C86" s="41">
        <f>IF(A86="","",'Skills'!B6)</f>
        <v/>
      </c>
      <c r="D86" s="40">
        <f>IF(A86="","",'Skills'!C6)</f>
        <v/>
      </c>
      <c r="E86" s="42" t="n">
        <v>1</v>
      </c>
      <c r="F86" s="42" t="n">
        <v>1</v>
      </c>
      <c r="G86" s="42" t="n">
        <v>1</v>
      </c>
      <c r="H86" s="43" t="n">
        <v>2</v>
      </c>
      <c r="I86" s="42" t="inlineStr"/>
      <c r="J86" s="42" t="inlineStr"/>
      <c r="K86" s="42" t="inlineStr"/>
      <c r="L86" s="42" t="inlineStr"/>
      <c r="M86" s="42" t="inlineStr"/>
      <c r="N86" s="42" t="inlineStr"/>
      <c r="O86" s="42" t="inlineStr"/>
      <c r="P86" s="42" t="inlineStr"/>
      <c r="Q86" s="42" t="inlineStr"/>
      <c r="R86" s="42" t="inlineStr"/>
      <c r="S86" s="42" t="inlineStr"/>
      <c r="T86" s="42" t="inlineStr"/>
      <c r="U86" s="44">
        <f>IF(A86="","",IFERROR(INDEX(E86:T86,MATCH(TRUE,INDEX(E86:T86&lt;&gt;"",0),0)),""))</f>
        <v/>
      </c>
      <c r="V86" s="44">
        <f>IF(A86="","",IFERROR(LOOKUP(2,1/(E86:T86&lt;&gt;""),E86:T86),""))</f>
        <v/>
      </c>
      <c r="W86" s="45">
        <f>IF(OR(A86="",PreviousYear=""),"",IFERROR(LOOKUP(2,1/(E86:T86&lt;&gt;""),E86:T86)-INDEX(E86:T86,MATCH(PreviousYear,$E$5:$T$5,0)),""))</f>
        <v/>
      </c>
      <c r="X86" s="45">
        <f>IF(OR(A86="",U86="",V86=""),"",V86-U86)</f>
        <v/>
      </c>
      <c r="Y86" s="44">
        <f>IF(A86="","",COUNT(E86:T86))</f>
        <v/>
      </c>
    </row>
    <row r="87">
      <c r="A87" s="39">
        <f>IF(AND('Employees'!B11&lt;&gt;"",'Skills'!B7&lt;&gt;""),'Employees'!B11,"")</f>
        <v/>
      </c>
      <c r="B87" s="40">
        <f>IF(A87="","",'Employees'!C11)</f>
        <v/>
      </c>
      <c r="C87" s="41">
        <f>IF(A87="","",'Skills'!B7)</f>
        <v/>
      </c>
      <c r="D87" s="40">
        <f>IF(A87="","",'Skills'!C7)</f>
        <v/>
      </c>
      <c r="E87" s="42" t="n">
        <v>1</v>
      </c>
      <c r="F87" s="42" t="n">
        <v>1</v>
      </c>
      <c r="G87" s="42" t="n">
        <v>2</v>
      </c>
      <c r="H87" s="43" t="n">
        <v>2</v>
      </c>
      <c r="I87" s="42" t="inlineStr"/>
      <c r="J87" s="42" t="inlineStr"/>
      <c r="K87" s="42" t="inlineStr"/>
      <c r="L87" s="42" t="inlineStr"/>
      <c r="M87" s="42" t="inlineStr"/>
      <c r="N87" s="42" t="inlineStr"/>
      <c r="O87" s="42" t="inlineStr"/>
      <c r="P87" s="42" t="inlineStr"/>
      <c r="Q87" s="42" t="inlineStr"/>
      <c r="R87" s="42" t="inlineStr"/>
      <c r="S87" s="42" t="inlineStr"/>
      <c r="T87" s="42" t="inlineStr"/>
      <c r="U87" s="44">
        <f>IF(A87="","",IFERROR(INDEX(E87:T87,MATCH(TRUE,INDEX(E87:T87&lt;&gt;"",0),0)),""))</f>
        <v/>
      </c>
      <c r="V87" s="44">
        <f>IF(A87="","",IFERROR(LOOKUP(2,1/(E87:T87&lt;&gt;""),E87:T87),""))</f>
        <v/>
      </c>
      <c r="W87" s="45">
        <f>IF(OR(A87="",PreviousYear=""),"",IFERROR(LOOKUP(2,1/(E87:T87&lt;&gt;""),E87:T87)-INDEX(E87:T87,MATCH(PreviousYear,$E$5:$T$5,0)),""))</f>
        <v/>
      </c>
      <c r="X87" s="45">
        <f>IF(OR(A87="",U87="",V87=""),"",V87-U87)</f>
        <v/>
      </c>
      <c r="Y87" s="44">
        <f>IF(A87="","",COUNT(E87:T87))</f>
        <v/>
      </c>
    </row>
    <row r="88">
      <c r="A88" s="39">
        <f>IF(AND('Employees'!B11&lt;&gt;"",'Skills'!B8&lt;&gt;""),'Employees'!B11,"")</f>
        <v/>
      </c>
      <c r="B88" s="40">
        <f>IF(A88="","",'Employees'!C11)</f>
        <v/>
      </c>
      <c r="C88" s="41">
        <f>IF(A88="","",'Skills'!B8)</f>
        <v/>
      </c>
      <c r="D88" s="40">
        <f>IF(A88="","",'Skills'!C8)</f>
        <v/>
      </c>
      <c r="E88" s="42" t="n">
        <v>3</v>
      </c>
      <c r="F88" s="42" t="n">
        <v>3</v>
      </c>
      <c r="G88" s="42" t="n">
        <v>3</v>
      </c>
      <c r="H88" s="43" t="n">
        <v>4</v>
      </c>
      <c r="I88" s="42" t="inlineStr"/>
      <c r="J88" s="42" t="inlineStr"/>
      <c r="K88" s="42" t="inlineStr"/>
      <c r="L88" s="42" t="inlineStr"/>
      <c r="M88" s="42" t="inlineStr"/>
      <c r="N88" s="42" t="inlineStr"/>
      <c r="O88" s="42" t="inlineStr"/>
      <c r="P88" s="42" t="inlineStr"/>
      <c r="Q88" s="42" t="inlineStr"/>
      <c r="R88" s="42" t="inlineStr"/>
      <c r="S88" s="42" t="inlineStr"/>
      <c r="T88" s="42" t="inlineStr"/>
      <c r="U88" s="44">
        <f>IF(A88="","",IFERROR(INDEX(E88:T88,MATCH(TRUE,INDEX(E88:T88&lt;&gt;"",0),0)),""))</f>
        <v/>
      </c>
      <c r="V88" s="44">
        <f>IF(A88="","",IFERROR(LOOKUP(2,1/(E88:T88&lt;&gt;""),E88:T88),""))</f>
        <v/>
      </c>
      <c r="W88" s="45">
        <f>IF(OR(A88="",PreviousYear=""),"",IFERROR(LOOKUP(2,1/(E88:T88&lt;&gt;""),E88:T88)-INDEX(E88:T88,MATCH(PreviousYear,$E$5:$T$5,0)),""))</f>
        <v/>
      </c>
      <c r="X88" s="45">
        <f>IF(OR(A88="",U88="",V88=""),"",V88-U88)</f>
        <v/>
      </c>
      <c r="Y88" s="44">
        <f>IF(A88="","",COUNT(E88:T88))</f>
        <v/>
      </c>
    </row>
    <row r="89">
      <c r="A89" s="39">
        <f>IF(AND('Employees'!B11&lt;&gt;"",'Skills'!B9&lt;&gt;""),'Employees'!B11,"")</f>
        <v/>
      </c>
      <c r="B89" s="40">
        <f>IF(A89="","",'Employees'!C11)</f>
        <v/>
      </c>
      <c r="C89" s="41">
        <f>IF(A89="","",'Skills'!B9)</f>
        <v/>
      </c>
      <c r="D89" s="40">
        <f>IF(A89="","",'Skills'!C9)</f>
        <v/>
      </c>
      <c r="E89" s="42" t="n">
        <v>2</v>
      </c>
      <c r="F89" s="42" t="n">
        <v>3</v>
      </c>
      <c r="G89" s="42" t="n">
        <v>3</v>
      </c>
      <c r="H89" s="43" t="n">
        <v>3</v>
      </c>
      <c r="I89" s="42" t="inlineStr"/>
      <c r="J89" s="42" t="inlineStr"/>
      <c r="K89" s="42" t="inlineStr"/>
      <c r="L89" s="42" t="inlineStr"/>
      <c r="M89" s="42" t="inlineStr"/>
      <c r="N89" s="42" t="inlineStr"/>
      <c r="O89" s="42" t="inlineStr"/>
      <c r="P89" s="42" t="inlineStr"/>
      <c r="Q89" s="42" t="inlineStr"/>
      <c r="R89" s="42" t="inlineStr"/>
      <c r="S89" s="42" t="inlineStr"/>
      <c r="T89" s="42" t="inlineStr"/>
      <c r="U89" s="44">
        <f>IF(A89="","",IFERROR(INDEX(E89:T89,MATCH(TRUE,INDEX(E89:T89&lt;&gt;"",0),0)),""))</f>
        <v/>
      </c>
      <c r="V89" s="44">
        <f>IF(A89="","",IFERROR(LOOKUP(2,1/(E89:T89&lt;&gt;""),E89:T89),""))</f>
        <v/>
      </c>
      <c r="W89" s="45">
        <f>IF(OR(A89="",PreviousYear=""),"",IFERROR(LOOKUP(2,1/(E89:T89&lt;&gt;""),E89:T89)-INDEX(E89:T89,MATCH(PreviousYear,$E$5:$T$5,0)),""))</f>
        <v/>
      </c>
      <c r="X89" s="45">
        <f>IF(OR(A89="",U89="",V89=""),"",V89-U89)</f>
        <v/>
      </c>
      <c r="Y89" s="44">
        <f>IF(A89="","",COUNT(E89:T89))</f>
        <v/>
      </c>
    </row>
    <row r="90">
      <c r="A90" s="39">
        <f>IF(AND('Employees'!B11&lt;&gt;"",'Skills'!B10&lt;&gt;""),'Employees'!B11,"")</f>
        <v/>
      </c>
      <c r="B90" s="40">
        <f>IF(A90="","",'Employees'!C11)</f>
        <v/>
      </c>
      <c r="C90" s="41">
        <f>IF(A90="","",'Skills'!B10)</f>
        <v/>
      </c>
      <c r="D90" s="40">
        <f>IF(A90="","",'Skills'!C10)</f>
        <v/>
      </c>
      <c r="E90" s="42" t="n">
        <v>2</v>
      </c>
      <c r="F90" s="42" t="n">
        <v>2</v>
      </c>
      <c r="G90" s="42" t="n">
        <v>3</v>
      </c>
      <c r="H90" s="43" t="n">
        <v>3</v>
      </c>
      <c r="I90" s="42" t="inlineStr"/>
      <c r="J90" s="42" t="inlineStr"/>
      <c r="K90" s="42" t="inlineStr"/>
      <c r="L90" s="42" t="inlineStr"/>
      <c r="M90" s="42" t="inlineStr"/>
      <c r="N90" s="42" t="inlineStr"/>
      <c r="O90" s="42" t="inlineStr"/>
      <c r="P90" s="42" t="inlineStr"/>
      <c r="Q90" s="42" t="inlineStr"/>
      <c r="R90" s="42" t="inlineStr"/>
      <c r="S90" s="42" t="inlineStr"/>
      <c r="T90" s="42" t="inlineStr"/>
      <c r="U90" s="44">
        <f>IF(A90="","",IFERROR(INDEX(E90:T90,MATCH(TRUE,INDEX(E90:T90&lt;&gt;"",0),0)),""))</f>
        <v/>
      </c>
      <c r="V90" s="44">
        <f>IF(A90="","",IFERROR(LOOKUP(2,1/(E90:T90&lt;&gt;""),E90:T90),""))</f>
        <v/>
      </c>
      <c r="W90" s="45">
        <f>IF(OR(A90="",PreviousYear=""),"",IFERROR(LOOKUP(2,1/(E90:T90&lt;&gt;""),E90:T90)-INDEX(E90:T90,MATCH(PreviousYear,$E$5:$T$5,0)),""))</f>
        <v/>
      </c>
      <c r="X90" s="45">
        <f>IF(OR(A90="",U90="",V90=""),"",V90-U90)</f>
        <v/>
      </c>
      <c r="Y90" s="44">
        <f>IF(A90="","",COUNT(E90:T90))</f>
        <v/>
      </c>
    </row>
    <row r="91">
      <c r="A91" s="39">
        <f>IF(AND('Employees'!B11&lt;&gt;"",'Skills'!B11&lt;&gt;""),'Employees'!B11,"")</f>
        <v/>
      </c>
      <c r="B91" s="40">
        <f>IF(A91="","",'Employees'!C11)</f>
        <v/>
      </c>
      <c r="C91" s="41">
        <f>IF(A91="","",'Skills'!B11)</f>
        <v/>
      </c>
      <c r="D91" s="40">
        <f>IF(A91="","",'Skills'!C11)</f>
        <v/>
      </c>
      <c r="E91" s="42" t="n">
        <v>3</v>
      </c>
      <c r="F91" s="42" t="n">
        <v>4</v>
      </c>
      <c r="G91" s="42" t="n">
        <v>4</v>
      </c>
      <c r="H91" s="43" t="n">
        <v>5</v>
      </c>
      <c r="I91" s="42" t="inlineStr"/>
      <c r="J91" s="42" t="inlineStr"/>
      <c r="K91" s="42" t="inlineStr"/>
      <c r="L91" s="42" t="inlineStr"/>
      <c r="M91" s="42" t="inlineStr"/>
      <c r="N91" s="42" t="inlineStr"/>
      <c r="O91" s="42" t="inlineStr"/>
      <c r="P91" s="42" t="inlineStr"/>
      <c r="Q91" s="42" t="inlineStr"/>
      <c r="R91" s="42" t="inlineStr"/>
      <c r="S91" s="42" t="inlineStr"/>
      <c r="T91" s="42" t="inlineStr"/>
      <c r="U91" s="44">
        <f>IF(A91="","",IFERROR(INDEX(E91:T91,MATCH(TRUE,INDEX(E91:T91&lt;&gt;"",0),0)),""))</f>
        <v/>
      </c>
      <c r="V91" s="44">
        <f>IF(A91="","",IFERROR(LOOKUP(2,1/(E91:T91&lt;&gt;""),E91:T91),""))</f>
        <v/>
      </c>
      <c r="W91" s="45">
        <f>IF(OR(A91="",PreviousYear=""),"",IFERROR(LOOKUP(2,1/(E91:T91&lt;&gt;""),E91:T91)-INDEX(E91:T91,MATCH(PreviousYear,$E$5:$T$5,0)),""))</f>
        <v/>
      </c>
      <c r="X91" s="45">
        <f>IF(OR(A91="",U91="",V91=""),"",V91-U91)</f>
        <v/>
      </c>
      <c r="Y91" s="44">
        <f>IF(A91="","",COUNT(E91:T91))</f>
        <v/>
      </c>
    </row>
    <row r="92">
      <c r="A92" s="39">
        <f>IF(AND('Employees'!B11&lt;&gt;"",'Skills'!B12&lt;&gt;""),'Employees'!B11,"")</f>
        <v/>
      </c>
      <c r="B92" s="40">
        <f>IF(A92="","",'Employees'!C11)</f>
        <v/>
      </c>
      <c r="C92" s="41">
        <f>IF(A92="","",'Skills'!B12)</f>
        <v/>
      </c>
      <c r="D92" s="40">
        <f>IF(A92="","",'Skills'!C12)</f>
        <v/>
      </c>
      <c r="E92" s="42" t="n">
        <v>3</v>
      </c>
      <c r="F92" s="42" t="n">
        <v>3</v>
      </c>
      <c r="G92" s="42" t="n">
        <v>3</v>
      </c>
      <c r="H92" s="43" t="n">
        <v>4</v>
      </c>
      <c r="I92" s="42" t="inlineStr"/>
      <c r="J92" s="42" t="inlineStr"/>
      <c r="K92" s="42" t="inlineStr"/>
      <c r="L92" s="42" t="inlineStr"/>
      <c r="M92" s="42" t="inlineStr"/>
      <c r="N92" s="42" t="inlineStr"/>
      <c r="O92" s="42" t="inlineStr"/>
      <c r="P92" s="42" t="inlineStr"/>
      <c r="Q92" s="42" t="inlineStr"/>
      <c r="R92" s="42" t="inlineStr"/>
      <c r="S92" s="42" t="inlineStr"/>
      <c r="T92" s="42" t="inlineStr"/>
      <c r="U92" s="44">
        <f>IF(A92="","",IFERROR(INDEX(E92:T92,MATCH(TRUE,INDEX(E92:T92&lt;&gt;"",0),0)),""))</f>
        <v/>
      </c>
      <c r="V92" s="44">
        <f>IF(A92="","",IFERROR(LOOKUP(2,1/(E92:T92&lt;&gt;""),E92:T92),""))</f>
        <v/>
      </c>
      <c r="W92" s="45">
        <f>IF(OR(A92="",PreviousYear=""),"",IFERROR(LOOKUP(2,1/(E92:T92&lt;&gt;""),E92:T92)-INDEX(E92:T92,MATCH(PreviousYear,$E$5:$T$5,0)),""))</f>
        <v/>
      </c>
      <c r="X92" s="45">
        <f>IF(OR(A92="",U92="",V92=""),"",V92-U92)</f>
        <v/>
      </c>
      <c r="Y92" s="44">
        <f>IF(A92="","",COUNT(E92:T92))</f>
        <v/>
      </c>
    </row>
    <row r="93">
      <c r="A93" s="39">
        <f>IF(AND('Employees'!B11&lt;&gt;"",'Skills'!B13&lt;&gt;""),'Employees'!B11,"")</f>
        <v/>
      </c>
      <c r="B93" s="40">
        <f>IF(A93="","",'Employees'!C11)</f>
        <v/>
      </c>
      <c r="C93" s="41">
        <f>IF(A93="","",'Skills'!B13)</f>
        <v/>
      </c>
      <c r="D93" s="40">
        <f>IF(A93="","",'Skills'!C13)</f>
        <v/>
      </c>
      <c r="E93" s="42" t="inlineStr"/>
      <c r="F93" s="42" t="inlineStr"/>
      <c r="G93" s="42" t="inlineStr"/>
      <c r="H93" s="43" t="inlineStr"/>
      <c r="I93" s="42" t="inlineStr"/>
      <c r="J93" s="42" t="inlineStr"/>
      <c r="K93" s="42" t="inlineStr"/>
      <c r="L93" s="42" t="inlineStr"/>
      <c r="M93" s="42" t="inlineStr"/>
      <c r="N93" s="42" t="inlineStr"/>
      <c r="O93" s="42" t="inlineStr"/>
      <c r="P93" s="42" t="inlineStr"/>
      <c r="Q93" s="42" t="inlineStr"/>
      <c r="R93" s="42" t="inlineStr"/>
      <c r="S93" s="42" t="inlineStr"/>
      <c r="T93" s="42" t="inlineStr"/>
      <c r="U93" s="44">
        <f>IF(A93="","",IFERROR(INDEX(E93:T93,MATCH(TRUE,INDEX(E93:T93&lt;&gt;"",0),0)),""))</f>
        <v/>
      </c>
      <c r="V93" s="44">
        <f>IF(A93="","",IFERROR(LOOKUP(2,1/(E93:T93&lt;&gt;""),E93:T93),""))</f>
        <v/>
      </c>
      <c r="W93" s="45">
        <f>IF(OR(A93="",PreviousYear=""),"",IFERROR(LOOKUP(2,1/(E93:T93&lt;&gt;""),E93:T93)-INDEX(E93:T93,MATCH(PreviousYear,$E$5:$T$5,0)),""))</f>
        <v/>
      </c>
      <c r="X93" s="45">
        <f>IF(OR(A93="",U93="",V93=""),"",V93-U93)</f>
        <v/>
      </c>
      <c r="Y93" s="44">
        <f>IF(A93="","",COUNT(E93:T93))</f>
        <v/>
      </c>
    </row>
    <row r="94">
      <c r="A94" s="39">
        <f>IF(AND('Employees'!B11&lt;&gt;"",'Skills'!B14&lt;&gt;""),'Employees'!B11,"")</f>
        <v/>
      </c>
      <c r="B94" s="40">
        <f>IF(A94="","",'Employees'!C11)</f>
        <v/>
      </c>
      <c r="C94" s="41">
        <f>IF(A94="","",'Skills'!B14)</f>
        <v/>
      </c>
      <c r="D94" s="40">
        <f>IF(A94="","",'Skills'!C14)</f>
        <v/>
      </c>
      <c r="E94" s="42" t="inlineStr"/>
      <c r="F94" s="42" t="inlineStr"/>
      <c r="G94" s="42" t="inlineStr"/>
      <c r="H94" s="43" t="inlineStr"/>
      <c r="I94" s="42" t="inlineStr"/>
      <c r="J94" s="42" t="inlineStr"/>
      <c r="K94" s="42" t="inlineStr"/>
      <c r="L94" s="42" t="inlineStr"/>
      <c r="M94" s="42" t="inlineStr"/>
      <c r="N94" s="42" t="inlineStr"/>
      <c r="O94" s="42" t="inlineStr"/>
      <c r="P94" s="42" t="inlineStr"/>
      <c r="Q94" s="42" t="inlineStr"/>
      <c r="R94" s="42" t="inlineStr"/>
      <c r="S94" s="42" t="inlineStr"/>
      <c r="T94" s="42" t="inlineStr"/>
      <c r="U94" s="44">
        <f>IF(A94="","",IFERROR(INDEX(E94:T94,MATCH(TRUE,INDEX(E94:T94&lt;&gt;"",0),0)),""))</f>
        <v/>
      </c>
      <c r="V94" s="44">
        <f>IF(A94="","",IFERROR(LOOKUP(2,1/(E94:T94&lt;&gt;""),E94:T94),""))</f>
        <v/>
      </c>
      <c r="W94" s="45">
        <f>IF(OR(A94="",PreviousYear=""),"",IFERROR(LOOKUP(2,1/(E94:T94&lt;&gt;""),E94:T94)-INDEX(E94:T94,MATCH(PreviousYear,$E$5:$T$5,0)),""))</f>
        <v/>
      </c>
      <c r="X94" s="45">
        <f>IF(OR(A94="",U94="",V94=""),"",V94-U94)</f>
        <v/>
      </c>
      <c r="Y94" s="44">
        <f>IF(A94="","",COUNT(E94:T94))</f>
        <v/>
      </c>
    </row>
    <row r="95">
      <c r="A95" s="39">
        <f>IF(AND('Employees'!B11&lt;&gt;"",'Skills'!B15&lt;&gt;""),'Employees'!B11,"")</f>
        <v/>
      </c>
      <c r="B95" s="40">
        <f>IF(A95="","",'Employees'!C11)</f>
        <v/>
      </c>
      <c r="C95" s="41">
        <f>IF(A95="","",'Skills'!B15)</f>
        <v/>
      </c>
      <c r="D95" s="40">
        <f>IF(A95="","",'Skills'!C15)</f>
        <v/>
      </c>
      <c r="E95" s="42" t="inlineStr"/>
      <c r="F95" s="42" t="inlineStr"/>
      <c r="G95" s="42" t="inlineStr"/>
      <c r="H95" s="43" t="inlineStr"/>
      <c r="I95" s="42" t="inlineStr"/>
      <c r="J95" s="42" t="inlineStr"/>
      <c r="K95" s="42" t="inlineStr"/>
      <c r="L95" s="42" t="inlineStr"/>
      <c r="M95" s="42" t="inlineStr"/>
      <c r="N95" s="42" t="inlineStr"/>
      <c r="O95" s="42" t="inlineStr"/>
      <c r="P95" s="42" t="inlineStr"/>
      <c r="Q95" s="42" t="inlineStr"/>
      <c r="R95" s="42" t="inlineStr"/>
      <c r="S95" s="42" t="inlineStr"/>
      <c r="T95" s="42" t="inlineStr"/>
      <c r="U95" s="44">
        <f>IF(A95="","",IFERROR(INDEX(E95:T95,MATCH(TRUE,INDEX(E95:T95&lt;&gt;"",0),0)),""))</f>
        <v/>
      </c>
      <c r="V95" s="44">
        <f>IF(A95="","",IFERROR(LOOKUP(2,1/(E95:T95&lt;&gt;""),E95:T95),""))</f>
        <v/>
      </c>
      <c r="W95" s="45">
        <f>IF(OR(A95="",PreviousYear=""),"",IFERROR(LOOKUP(2,1/(E95:T95&lt;&gt;""),E95:T95)-INDEX(E95:T95,MATCH(PreviousYear,$E$5:$T$5,0)),""))</f>
        <v/>
      </c>
      <c r="X95" s="45">
        <f>IF(OR(A95="",U95="",V95=""),"",V95-U95)</f>
        <v/>
      </c>
      <c r="Y95" s="44">
        <f>IF(A95="","",COUNT(E95:T95))</f>
        <v/>
      </c>
    </row>
    <row r="96">
      <c r="A96" s="39">
        <f>IF(AND('Employees'!B11&lt;&gt;"",'Skills'!B16&lt;&gt;""),'Employees'!B11,"")</f>
        <v/>
      </c>
      <c r="B96" s="40">
        <f>IF(A96="","",'Employees'!C11)</f>
        <v/>
      </c>
      <c r="C96" s="41">
        <f>IF(A96="","",'Skills'!B16)</f>
        <v/>
      </c>
      <c r="D96" s="40">
        <f>IF(A96="","",'Skills'!C16)</f>
        <v/>
      </c>
      <c r="E96" s="42" t="inlineStr"/>
      <c r="F96" s="42" t="inlineStr"/>
      <c r="G96" s="42" t="inlineStr"/>
      <c r="H96" s="43" t="inlineStr"/>
      <c r="I96" s="42" t="inlineStr"/>
      <c r="J96" s="42" t="inlineStr"/>
      <c r="K96" s="42" t="inlineStr"/>
      <c r="L96" s="42" t="inlineStr"/>
      <c r="M96" s="42" t="inlineStr"/>
      <c r="N96" s="42" t="inlineStr"/>
      <c r="O96" s="42" t="inlineStr"/>
      <c r="P96" s="42" t="inlineStr"/>
      <c r="Q96" s="42" t="inlineStr"/>
      <c r="R96" s="42" t="inlineStr"/>
      <c r="S96" s="42" t="inlineStr"/>
      <c r="T96" s="42" t="inlineStr"/>
      <c r="U96" s="44">
        <f>IF(A96="","",IFERROR(INDEX(E96:T96,MATCH(TRUE,INDEX(E96:T96&lt;&gt;"",0),0)),""))</f>
        <v/>
      </c>
      <c r="V96" s="44">
        <f>IF(A96="","",IFERROR(LOOKUP(2,1/(E96:T96&lt;&gt;""),E96:T96),""))</f>
        <v/>
      </c>
      <c r="W96" s="45">
        <f>IF(OR(A96="",PreviousYear=""),"",IFERROR(LOOKUP(2,1/(E96:T96&lt;&gt;""),E96:T96)-INDEX(E96:T96,MATCH(PreviousYear,$E$5:$T$5,0)),""))</f>
        <v/>
      </c>
      <c r="X96" s="45">
        <f>IF(OR(A96="",U96="",V96=""),"",V96-U96)</f>
        <v/>
      </c>
      <c r="Y96" s="44">
        <f>IF(A96="","",COUNT(E96:T96))</f>
        <v/>
      </c>
    </row>
    <row r="97">
      <c r="A97" s="39">
        <f>IF(AND('Employees'!B11&lt;&gt;"",'Skills'!B17&lt;&gt;""),'Employees'!B11,"")</f>
        <v/>
      </c>
      <c r="B97" s="40">
        <f>IF(A97="","",'Employees'!C11)</f>
        <v/>
      </c>
      <c r="C97" s="41">
        <f>IF(A97="","",'Skills'!B17)</f>
        <v/>
      </c>
      <c r="D97" s="40">
        <f>IF(A97="","",'Skills'!C17)</f>
        <v/>
      </c>
      <c r="E97" s="42" t="inlineStr"/>
      <c r="F97" s="42" t="inlineStr"/>
      <c r="G97" s="42" t="inlineStr"/>
      <c r="H97" s="43" t="inlineStr"/>
      <c r="I97" s="42" t="inlineStr"/>
      <c r="J97" s="42" t="inlineStr"/>
      <c r="K97" s="42" t="inlineStr"/>
      <c r="L97" s="42" t="inlineStr"/>
      <c r="M97" s="42" t="inlineStr"/>
      <c r="N97" s="42" t="inlineStr"/>
      <c r="O97" s="42" t="inlineStr"/>
      <c r="P97" s="42" t="inlineStr"/>
      <c r="Q97" s="42" t="inlineStr"/>
      <c r="R97" s="42" t="inlineStr"/>
      <c r="S97" s="42" t="inlineStr"/>
      <c r="T97" s="42" t="inlineStr"/>
      <c r="U97" s="44">
        <f>IF(A97="","",IFERROR(INDEX(E97:T97,MATCH(TRUE,INDEX(E97:T97&lt;&gt;"",0),0)),""))</f>
        <v/>
      </c>
      <c r="V97" s="44">
        <f>IF(A97="","",IFERROR(LOOKUP(2,1/(E97:T97&lt;&gt;""),E97:T97),""))</f>
        <v/>
      </c>
      <c r="W97" s="45">
        <f>IF(OR(A97="",PreviousYear=""),"",IFERROR(LOOKUP(2,1/(E97:T97&lt;&gt;""),E97:T97)-INDEX(E97:T97,MATCH(PreviousYear,$E$5:$T$5,0)),""))</f>
        <v/>
      </c>
      <c r="X97" s="45">
        <f>IF(OR(A97="",U97="",V97=""),"",V97-U97)</f>
        <v/>
      </c>
      <c r="Y97" s="44">
        <f>IF(A97="","",COUNT(E97:T97))</f>
        <v/>
      </c>
    </row>
    <row r="98">
      <c r="A98" s="39">
        <f>IF(AND('Employees'!B11&lt;&gt;"",'Skills'!B18&lt;&gt;""),'Employees'!B11,"")</f>
        <v/>
      </c>
      <c r="B98" s="40">
        <f>IF(A98="","",'Employees'!C11)</f>
        <v/>
      </c>
      <c r="C98" s="41">
        <f>IF(A98="","",'Skills'!B18)</f>
        <v/>
      </c>
      <c r="D98" s="40">
        <f>IF(A98="","",'Skills'!C18)</f>
        <v/>
      </c>
      <c r="E98" s="42" t="inlineStr"/>
      <c r="F98" s="42" t="inlineStr"/>
      <c r="G98" s="42" t="inlineStr"/>
      <c r="H98" s="43" t="inlineStr"/>
      <c r="I98" s="42" t="inlineStr"/>
      <c r="J98" s="42" t="inlineStr"/>
      <c r="K98" s="42" t="inlineStr"/>
      <c r="L98" s="42" t="inlineStr"/>
      <c r="M98" s="42" t="inlineStr"/>
      <c r="N98" s="42" t="inlineStr"/>
      <c r="O98" s="42" t="inlineStr"/>
      <c r="P98" s="42" t="inlineStr"/>
      <c r="Q98" s="42" t="inlineStr"/>
      <c r="R98" s="42" t="inlineStr"/>
      <c r="S98" s="42" t="inlineStr"/>
      <c r="T98" s="42" t="inlineStr"/>
      <c r="U98" s="44">
        <f>IF(A98="","",IFERROR(INDEX(E98:T98,MATCH(TRUE,INDEX(E98:T98&lt;&gt;"",0),0)),""))</f>
        <v/>
      </c>
      <c r="V98" s="44">
        <f>IF(A98="","",IFERROR(LOOKUP(2,1/(E98:T98&lt;&gt;""),E98:T98),""))</f>
        <v/>
      </c>
      <c r="W98" s="45">
        <f>IF(OR(A98="",PreviousYear=""),"",IFERROR(LOOKUP(2,1/(E98:T98&lt;&gt;""),E98:T98)-INDEX(E98:T98,MATCH(PreviousYear,$E$5:$T$5,0)),""))</f>
        <v/>
      </c>
      <c r="X98" s="45">
        <f>IF(OR(A98="",U98="",V98=""),"",V98-U98)</f>
        <v/>
      </c>
      <c r="Y98" s="44">
        <f>IF(A98="","",COUNT(E98:T98))</f>
        <v/>
      </c>
    </row>
    <row r="99">
      <c r="A99" s="39">
        <f>IF(AND('Employees'!B11&lt;&gt;"",'Skills'!B19&lt;&gt;""),'Employees'!B11,"")</f>
        <v/>
      </c>
      <c r="B99" s="40">
        <f>IF(A99="","",'Employees'!C11)</f>
        <v/>
      </c>
      <c r="C99" s="41">
        <f>IF(A99="","",'Skills'!B19)</f>
        <v/>
      </c>
      <c r="D99" s="40">
        <f>IF(A99="","",'Skills'!C19)</f>
        <v/>
      </c>
      <c r="E99" s="42" t="inlineStr"/>
      <c r="F99" s="42" t="inlineStr"/>
      <c r="G99" s="42" t="inlineStr"/>
      <c r="H99" s="43" t="inlineStr"/>
      <c r="I99" s="42" t="inlineStr"/>
      <c r="J99" s="42" t="inlineStr"/>
      <c r="K99" s="42" t="inlineStr"/>
      <c r="L99" s="42" t="inlineStr"/>
      <c r="M99" s="42" t="inlineStr"/>
      <c r="N99" s="42" t="inlineStr"/>
      <c r="O99" s="42" t="inlineStr"/>
      <c r="P99" s="42" t="inlineStr"/>
      <c r="Q99" s="42" t="inlineStr"/>
      <c r="R99" s="42" t="inlineStr"/>
      <c r="S99" s="42" t="inlineStr"/>
      <c r="T99" s="42" t="inlineStr"/>
      <c r="U99" s="44">
        <f>IF(A99="","",IFERROR(INDEX(E99:T99,MATCH(TRUE,INDEX(E99:T99&lt;&gt;"",0),0)),""))</f>
        <v/>
      </c>
      <c r="V99" s="44">
        <f>IF(A99="","",IFERROR(LOOKUP(2,1/(E99:T99&lt;&gt;""),E99:T99),""))</f>
        <v/>
      </c>
      <c r="W99" s="45">
        <f>IF(OR(A99="",PreviousYear=""),"",IFERROR(LOOKUP(2,1/(E99:T99&lt;&gt;""),E99:T99)-INDEX(E99:T99,MATCH(PreviousYear,$E$5:$T$5,0)),""))</f>
        <v/>
      </c>
      <c r="X99" s="45">
        <f>IF(OR(A99="",U99="",V99=""),"",V99-U99)</f>
        <v/>
      </c>
      <c r="Y99" s="44">
        <f>IF(A99="","",COUNT(E99:T99))</f>
        <v/>
      </c>
    </row>
    <row r="100">
      <c r="A100" s="39">
        <f>IF(AND('Employees'!B11&lt;&gt;"",'Skills'!B20&lt;&gt;""),'Employees'!B11,"")</f>
        <v/>
      </c>
      <c r="B100" s="40">
        <f>IF(A100="","",'Employees'!C11)</f>
        <v/>
      </c>
      <c r="C100" s="41">
        <f>IF(A100="","",'Skills'!B20)</f>
        <v/>
      </c>
      <c r="D100" s="40">
        <f>IF(A100="","",'Skills'!C20)</f>
        <v/>
      </c>
      <c r="E100" s="42" t="inlineStr"/>
      <c r="F100" s="42" t="inlineStr"/>
      <c r="G100" s="42" t="inlineStr"/>
      <c r="H100" s="43" t="inlineStr"/>
      <c r="I100" s="42" t="inlineStr"/>
      <c r="J100" s="42" t="inlineStr"/>
      <c r="K100" s="42" t="inlineStr"/>
      <c r="L100" s="42" t="inlineStr"/>
      <c r="M100" s="42" t="inlineStr"/>
      <c r="N100" s="42" t="inlineStr"/>
      <c r="O100" s="42" t="inlineStr"/>
      <c r="P100" s="42" t="inlineStr"/>
      <c r="Q100" s="42" t="inlineStr"/>
      <c r="R100" s="42" t="inlineStr"/>
      <c r="S100" s="42" t="inlineStr"/>
      <c r="T100" s="42" t="inlineStr"/>
      <c r="U100" s="44">
        <f>IF(A100="","",IFERROR(INDEX(E100:T100,MATCH(TRUE,INDEX(E100:T100&lt;&gt;"",0),0)),""))</f>
        <v/>
      </c>
      <c r="V100" s="44">
        <f>IF(A100="","",IFERROR(LOOKUP(2,1/(E100:T100&lt;&gt;""),E100:T100),""))</f>
        <v/>
      </c>
      <c r="W100" s="45">
        <f>IF(OR(A100="",PreviousYear=""),"",IFERROR(LOOKUP(2,1/(E100:T100&lt;&gt;""),E100:T100)-INDEX(E100:T100,MATCH(PreviousYear,$E$5:$T$5,0)),""))</f>
        <v/>
      </c>
      <c r="X100" s="45">
        <f>IF(OR(A100="",U100="",V100=""),"",V100-U100)</f>
        <v/>
      </c>
      <c r="Y100" s="44">
        <f>IF(A100="","",COUNT(E100:T100))</f>
        <v/>
      </c>
    </row>
    <row r="101">
      <c r="A101" s="39">
        <f>IF(AND('Employees'!B11&lt;&gt;"",'Skills'!B21&lt;&gt;""),'Employees'!B11,"")</f>
        <v/>
      </c>
      <c r="B101" s="40">
        <f>IF(A101="","",'Employees'!C11)</f>
        <v/>
      </c>
      <c r="C101" s="41">
        <f>IF(A101="","",'Skills'!B21)</f>
        <v/>
      </c>
      <c r="D101" s="40">
        <f>IF(A101="","",'Skills'!C21)</f>
        <v/>
      </c>
      <c r="E101" s="42" t="inlineStr"/>
      <c r="F101" s="42" t="inlineStr"/>
      <c r="G101" s="42" t="inlineStr"/>
      <c r="H101" s="43" t="inlineStr"/>
      <c r="I101" s="42" t="inlineStr"/>
      <c r="J101" s="42" t="inlineStr"/>
      <c r="K101" s="42" t="inlineStr"/>
      <c r="L101" s="42" t="inlineStr"/>
      <c r="M101" s="42" t="inlineStr"/>
      <c r="N101" s="42" t="inlineStr"/>
      <c r="O101" s="42" t="inlineStr"/>
      <c r="P101" s="42" t="inlineStr"/>
      <c r="Q101" s="42" t="inlineStr"/>
      <c r="R101" s="42" t="inlineStr"/>
      <c r="S101" s="42" t="inlineStr"/>
      <c r="T101" s="42" t="inlineStr"/>
      <c r="U101" s="44">
        <f>IF(A101="","",IFERROR(INDEX(E101:T101,MATCH(TRUE,INDEX(E101:T101&lt;&gt;"",0),0)),""))</f>
        <v/>
      </c>
      <c r="V101" s="44">
        <f>IF(A101="","",IFERROR(LOOKUP(2,1/(E101:T101&lt;&gt;""),E101:T101),""))</f>
        <v/>
      </c>
      <c r="W101" s="45">
        <f>IF(OR(A101="",PreviousYear=""),"",IFERROR(LOOKUP(2,1/(E101:T101&lt;&gt;""),E101:T101)-INDEX(E101:T101,MATCH(PreviousYear,$E$5:$T$5,0)),""))</f>
        <v/>
      </c>
      <c r="X101" s="45">
        <f>IF(OR(A101="",U101="",V101=""),"",V101-U101)</f>
        <v/>
      </c>
      <c r="Y101" s="44">
        <f>IF(A101="","",COUNT(E101:T101))</f>
        <v/>
      </c>
    </row>
    <row r="102">
      <c r="A102" s="39">
        <f>IF(AND('Employees'!B12&lt;&gt;"",'Skills'!B6&lt;&gt;""),'Employees'!B12,"")</f>
        <v/>
      </c>
      <c r="B102" s="40">
        <f>IF(A102="","",'Employees'!C12)</f>
        <v/>
      </c>
      <c r="C102" s="41">
        <f>IF(A102="","",'Skills'!B6)</f>
        <v/>
      </c>
      <c r="D102" s="40">
        <f>IF(A102="","",'Skills'!C6)</f>
        <v/>
      </c>
      <c r="E102" s="42" t="n">
        <v>2</v>
      </c>
      <c r="F102" s="42" t="n">
        <v>3</v>
      </c>
      <c r="G102" s="42" t="n">
        <v>4</v>
      </c>
      <c r="H102" s="43" t="n">
        <v>4</v>
      </c>
      <c r="I102" s="42" t="inlineStr"/>
      <c r="J102" s="42" t="inlineStr"/>
      <c r="K102" s="42" t="inlineStr"/>
      <c r="L102" s="42" t="inlineStr"/>
      <c r="M102" s="42" t="inlineStr"/>
      <c r="N102" s="42" t="inlineStr"/>
      <c r="O102" s="42" t="inlineStr"/>
      <c r="P102" s="42" t="inlineStr"/>
      <c r="Q102" s="42" t="inlineStr"/>
      <c r="R102" s="42" t="inlineStr"/>
      <c r="S102" s="42" t="inlineStr"/>
      <c r="T102" s="42" t="inlineStr"/>
      <c r="U102" s="44">
        <f>IF(A102="","",IFERROR(INDEX(E102:T102,MATCH(TRUE,INDEX(E102:T102&lt;&gt;"",0),0)),""))</f>
        <v/>
      </c>
      <c r="V102" s="44">
        <f>IF(A102="","",IFERROR(LOOKUP(2,1/(E102:T102&lt;&gt;""),E102:T102),""))</f>
        <v/>
      </c>
      <c r="W102" s="45">
        <f>IF(OR(A102="",PreviousYear=""),"",IFERROR(LOOKUP(2,1/(E102:T102&lt;&gt;""),E102:T102)-INDEX(E102:T102,MATCH(PreviousYear,$E$5:$T$5,0)),""))</f>
        <v/>
      </c>
      <c r="X102" s="45">
        <f>IF(OR(A102="",U102="",V102=""),"",V102-U102)</f>
        <v/>
      </c>
      <c r="Y102" s="44">
        <f>IF(A102="","",COUNT(E102:T102))</f>
        <v/>
      </c>
    </row>
    <row r="103">
      <c r="A103" s="39">
        <f>IF(AND('Employees'!B12&lt;&gt;"",'Skills'!B7&lt;&gt;""),'Employees'!B12,"")</f>
        <v/>
      </c>
      <c r="B103" s="40">
        <f>IF(A103="","",'Employees'!C12)</f>
        <v/>
      </c>
      <c r="C103" s="41">
        <f>IF(A103="","",'Skills'!B7)</f>
        <v/>
      </c>
      <c r="D103" s="40">
        <f>IF(A103="","",'Skills'!C7)</f>
        <v/>
      </c>
      <c r="E103" s="42" t="n">
        <v>4</v>
      </c>
      <c r="F103" s="42" t="n">
        <v>4</v>
      </c>
      <c r="G103" s="42" t="n">
        <v>4</v>
      </c>
      <c r="H103" s="43" t="n">
        <v>4</v>
      </c>
      <c r="I103" s="42" t="inlineStr"/>
      <c r="J103" s="42" t="inlineStr"/>
      <c r="K103" s="42" t="inlineStr"/>
      <c r="L103" s="42" t="inlineStr"/>
      <c r="M103" s="42" t="inlineStr"/>
      <c r="N103" s="42" t="inlineStr"/>
      <c r="O103" s="42" t="inlineStr"/>
      <c r="P103" s="42" t="inlineStr"/>
      <c r="Q103" s="42" t="inlineStr"/>
      <c r="R103" s="42" t="inlineStr"/>
      <c r="S103" s="42" t="inlineStr"/>
      <c r="T103" s="42" t="inlineStr"/>
      <c r="U103" s="44">
        <f>IF(A103="","",IFERROR(INDEX(E103:T103,MATCH(TRUE,INDEX(E103:T103&lt;&gt;"",0),0)),""))</f>
        <v/>
      </c>
      <c r="V103" s="44">
        <f>IF(A103="","",IFERROR(LOOKUP(2,1/(E103:T103&lt;&gt;""),E103:T103),""))</f>
        <v/>
      </c>
      <c r="W103" s="45">
        <f>IF(OR(A103="",PreviousYear=""),"",IFERROR(LOOKUP(2,1/(E103:T103&lt;&gt;""),E103:T103)-INDEX(E103:T103,MATCH(PreviousYear,$E$5:$T$5,0)),""))</f>
        <v/>
      </c>
      <c r="X103" s="45">
        <f>IF(OR(A103="",U103="",V103=""),"",V103-U103)</f>
        <v/>
      </c>
      <c r="Y103" s="44">
        <f>IF(A103="","",COUNT(E103:T103))</f>
        <v/>
      </c>
    </row>
    <row r="104">
      <c r="A104" s="39">
        <f>IF(AND('Employees'!B12&lt;&gt;"",'Skills'!B8&lt;&gt;""),'Employees'!B12,"")</f>
        <v/>
      </c>
      <c r="B104" s="40">
        <f>IF(A104="","",'Employees'!C12)</f>
        <v/>
      </c>
      <c r="C104" s="41">
        <f>IF(A104="","",'Skills'!B8)</f>
        <v/>
      </c>
      <c r="D104" s="40">
        <f>IF(A104="","",'Skills'!C8)</f>
        <v/>
      </c>
      <c r="E104" s="42" t="n">
        <v>2</v>
      </c>
      <c r="F104" s="42" t="n">
        <v>3</v>
      </c>
      <c r="G104" s="42" t="n">
        <v>3</v>
      </c>
      <c r="H104" s="43" t="n">
        <v>4</v>
      </c>
      <c r="I104" s="42" t="inlineStr"/>
      <c r="J104" s="42" t="inlineStr"/>
      <c r="K104" s="42" t="inlineStr"/>
      <c r="L104" s="42" t="inlineStr"/>
      <c r="M104" s="42" t="inlineStr"/>
      <c r="N104" s="42" t="inlineStr"/>
      <c r="O104" s="42" t="inlineStr"/>
      <c r="P104" s="42" t="inlineStr"/>
      <c r="Q104" s="42" t="inlineStr"/>
      <c r="R104" s="42" t="inlineStr"/>
      <c r="S104" s="42" t="inlineStr"/>
      <c r="T104" s="42" t="inlineStr"/>
      <c r="U104" s="44">
        <f>IF(A104="","",IFERROR(INDEX(E104:T104,MATCH(TRUE,INDEX(E104:T104&lt;&gt;"",0),0)),""))</f>
        <v/>
      </c>
      <c r="V104" s="44">
        <f>IF(A104="","",IFERROR(LOOKUP(2,1/(E104:T104&lt;&gt;""),E104:T104),""))</f>
        <v/>
      </c>
      <c r="W104" s="45">
        <f>IF(OR(A104="",PreviousYear=""),"",IFERROR(LOOKUP(2,1/(E104:T104&lt;&gt;""),E104:T104)-INDEX(E104:T104,MATCH(PreviousYear,$E$5:$T$5,0)),""))</f>
        <v/>
      </c>
      <c r="X104" s="45">
        <f>IF(OR(A104="",U104="",V104=""),"",V104-U104)</f>
        <v/>
      </c>
      <c r="Y104" s="44">
        <f>IF(A104="","",COUNT(E104:T104))</f>
        <v/>
      </c>
    </row>
    <row r="105">
      <c r="A105" s="39">
        <f>IF(AND('Employees'!B12&lt;&gt;"",'Skills'!B9&lt;&gt;""),'Employees'!B12,"")</f>
        <v/>
      </c>
      <c r="B105" s="40">
        <f>IF(A105="","",'Employees'!C12)</f>
        <v/>
      </c>
      <c r="C105" s="41">
        <f>IF(A105="","",'Skills'!B9)</f>
        <v/>
      </c>
      <c r="D105" s="40">
        <f>IF(A105="","",'Skills'!C9)</f>
        <v/>
      </c>
      <c r="E105" s="42" t="n">
        <v>3</v>
      </c>
      <c r="F105" s="42" t="n">
        <v>3</v>
      </c>
      <c r="G105" s="42" t="n">
        <v>4</v>
      </c>
      <c r="H105" s="43" t="n">
        <v>4</v>
      </c>
      <c r="I105" s="42" t="inlineStr"/>
      <c r="J105" s="42" t="inlineStr"/>
      <c r="K105" s="42" t="inlineStr"/>
      <c r="L105" s="42" t="inlineStr"/>
      <c r="M105" s="42" t="inlineStr"/>
      <c r="N105" s="42" t="inlineStr"/>
      <c r="O105" s="42" t="inlineStr"/>
      <c r="P105" s="42" t="inlineStr"/>
      <c r="Q105" s="42" t="inlineStr"/>
      <c r="R105" s="42" t="inlineStr"/>
      <c r="S105" s="42" t="inlineStr"/>
      <c r="T105" s="42" t="inlineStr"/>
      <c r="U105" s="44">
        <f>IF(A105="","",IFERROR(INDEX(E105:T105,MATCH(TRUE,INDEX(E105:T105&lt;&gt;"",0),0)),""))</f>
        <v/>
      </c>
      <c r="V105" s="44">
        <f>IF(A105="","",IFERROR(LOOKUP(2,1/(E105:T105&lt;&gt;""),E105:T105),""))</f>
        <v/>
      </c>
      <c r="W105" s="45">
        <f>IF(OR(A105="",PreviousYear=""),"",IFERROR(LOOKUP(2,1/(E105:T105&lt;&gt;""),E105:T105)-INDEX(E105:T105,MATCH(PreviousYear,$E$5:$T$5,0)),""))</f>
        <v/>
      </c>
      <c r="X105" s="45">
        <f>IF(OR(A105="",U105="",V105=""),"",V105-U105)</f>
        <v/>
      </c>
      <c r="Y105" s="44">
        <f>IF(A105="","",COUNT(E105:T105))</f>
        <v/>
      </c>
    </row>
    <row r="106">
      <c r="A106" s="39">
        <f>IF(AND('Employees'!B12&lt;&gt;"",'Skills'!B10&lt;&gt;""),'Employees'!B12,"")</f>
        <v/>
      </c>
      <c r="B106" s="40">
        <f>IF(A106="","",'Employees'!C12)</f>
        <v/>
      </c>
      <c r="C106" s="41">
        <f>IF(A106="","",'Skills'!B10)</f>
        <v/>
      </c>
      <c r="D106" s="40">
        <f>IF(A106="","",'Skills'!C10)</f>
        <v/>
      </c>
      <c r="E106" s="42" t="n">
        <v>3</v>
      </c>
      <c r="F106" s="42" t="n">
        <v>4</v>
      </c>
      <c r="G106" s="42" t="n">
        <v>4</v>
      </c>
      <c r="H106" s="43" t="n">
        <v>4</v>
      </c>
      <c r="I106" s="42" t="inlineStr"/>
      <c r="J106" s="42" t="inlineStr"/>
      <c r="K106" s="42" t="inlineStr"/>
      <c r="L106" s="42" t="inlineStr"/>
      <c r="M106" s="42" t="inlineStr"/>
      <c r="N106" s="42" t="inlineStr"/>
      <c r="O106" s="42" t="inlineStr"/>
      <c r="P106" s="42" t="inlineStr"/>
      <c r="Q106" s="42" t="inlineStr"/>
      <c r="R106" s="42" t="inlineStr"/>
      <c r="S106" s="42" t="inlineStr"/>
      <c r="T106" s="42" t="inlineStr"/>
      <c r="U106" s="44">
        <f>IF(A106="","",IFERROR(INDEX(E106:T106,MATCH(TRUE,INDEX(E106:T106&lt;&gt;"",0),0)),""))</f>
        <v/>
      </c>
      <c r="V106" s="44">
        <f>IF(A106="","",IFERROR(LOOKUP(2,1/(E106:T106&lt;&gt;""),E106:T106),""))</f>
        <v/>
      </c>
      <c r="W106" s="45">
        <f>IF(OR(A106="",PreviousYear=""),"",IFERROR(LOOKUP(2,1/(E106:T106&lt;&gt;""),E106:T106)-INDEX(E106:T106,MATCH(PreviousYear,$E$5:$T$5,0)),""))</f>
        <v/>
      </c>
      <c r="X106" s="45">
        <f>IF(OR(A106="",U106="",V106=""),"",V106-U106)</f>
        <v/>
      </c>
      <c r="Y106" s="44">
        <f>IF(A106="","",COUNT(E106:T106))</f>
        <v/>
      </c>
    </row>
    <row r="107">
      <c r="A107" s="39">
        <f>IF(AND('Employees'!B12&lt;&gt;"",'Skills'!B11&lt;&gt;""),'Employees'!B12,"")</f>
        <v/>
      </c>
      <c r="B107" s="40">
        <f>IF(A107="","",'Employees'!C12)</f>
        <v/>
      </c>
      <c r="C107" s="41">
        <f>IF(A107="","",'Skills'!B11)</f>
        <v/>
      </c>
      <c r="D107" s="40">
        <f>IF(A107="","",'Skills'!C11)</f>
        <v/>
      </c>
      <c r="E107" s="42" t="n">
        <v>3</v>
      </c>
      <c r="F107" s="42" t="n">
        <v>3</v>
      </c>
      <c r="G107" s="42" t="n">
        <v>3</v>
      </c>
      <c r="H107" s="43" t="n">
        <v>3</v>
      </c>
      <c r="I107" s="42" t="inlineStr"/>
      <c r="J107" s="42" t="inlineStr"/>
      <c r="K107" s="42" t="inlineStr"/>
      <c r="L107" s="42" t="inlineStr"/>
      <c r="M107" s="42" t="inlineStr"/>
      <c r="N107" s="42" t="inlineStr"/>
      <c r="O107" s="42" t="inlineStr"/>
      <c r="P107" s="42" t="inlineStr"/>
      <c r="Q107" s="42" t="inlineStr"/>
      <c r="R107" s="42" t="inlineStr"/>
      <c r="S107" s="42" t="inlineStr"/>
      <c r="T107" s="42" t="inlineStr"/>
      <c r="U107" s="44">
        <f>IF(A107="","",IFERROR(INDEX(E107:T107,MATCH(TRUE,INDEX(E107:T107&lt;&gt;"",0),0)),""))</f>
        <v/>
      </c>
      <c r="V107" s="44">
        <f>IF(A107="","",IFERROR(LOOKUP(2,1/(E107:T107&lt;&gt;""),E107:T107),""))</f>
        <v/>
      </c>
      <c r="W107" s="45">
        <f>IF(OR(A107="",PreviousYear=""),"",IFERROR(LOOKUP(2,1/(E107:T107&lt;&gt;""),E107:T107)-INDEX(E107:T107,MATCH(PreviousYear,$E$5:$T$5,0)),""))</f>
        <v/>
      </c>
      <c r="X107" s="45">
        <f>IF(OR(A107="",U107="",V107=""),"",V107-U107)</f>
        <v/>
      </c>
      <c r="Y107" s="44">
        <f>IF(A107="","",COUNT(E107:T107))</f>
        <v/>
      </c>
    </row>
    <row r="108">
      <c r="A108" s="39">
        <f>IF(AND('Employees'!B12&lt;&gt;"",'Skills'!B12&lt;&gt;""),'Employees'!B12,"")</f>
        <v/>
      </c>
      <c r="B108" s="40">
        <f>IF(A108="","",'Employees'!C12)</f>
        <v/>
      </c>
      <c r="C108" s="41">
        <f>IF(A108="","",'Skills'!B12)</f>
        <v/>
      </c>
      <c r="D108" s="40">
        <f>IF(A108="","",'Skills'!C12)</f>
        <v/>
      </c>
      <c r="E108" s="42" t="n">
        <v>3</v>
      </c>
      <c r="F108" s="42" t="n">
        <v>4</v>
      </c>
      <c r="G108" s="42" t="n">
        <v>5</v>
      </c>
      <c r="H108" s="43" t="n">
        <v>5</v>
      </c>
      <c r="I108" s="42" t="inlineStr"/>
      <c r="J108" s="42" t="inlineStr"/>
      <c r="K108" s="42" t="inlineStr"/>
      <c r="L108" s="42" t="inlineStr"/>
      <c r="M108" s="42" t="inlineStr"/>
      <c r="N108" s="42" t="inlineStr"/>
      <c r="O108" s="42" t="inlineStr"/>
      <c r="P108" s="42" t="inlineStr"/>
      <c r="Q108" s="42" t="inlineStr"/>
      <c r="R108" s="42" t="inlineStr"/>
      <c r="S108" s="42" t="inlineStr"/>
      <c r="T108" s="42" t="inlineStr"/>
      <c r="U108" s="44">
        <f>IF(A108="","",IFERROR(INDEX(E108:T108,MATCH(TRUE,INDEX(E108:T108&lt;&gt;"",0),0)),""))</f>
        <v/>
      </c>
      <c r="V108" s="44">
        <f>IF(A108="","",IFERROR(LOOKUP(2,1/(E108:T108&lt;&gt;""),E108:T108),""))</f>
        <v/>
      </c>
      <c r="W108" s="45">
        <f>IF(OR(A108="",PreviousYear=""),"",IFERROR(LOOKUP(2,1/(E108:T108&lt;&gt;""),E108:T108)-INDEX(E108:T108,MATCH(PreviousYear,$E$5:$T$5,0)),""))</f>
        <v/>
      </c>
      <c r="X108" s="45">
        <f>IF(OR(A108="",U108="",V108=""),"",V108-U108)</f>
        <v/>
      </c>
      <c r="Y108" s="44">
        <f>IF(A108="","",COUNT(E108:T108))</f>
        <v/>
      </c>
    </row>
    <row r="109">
      <c r="A109" s="39">
        <f>IF(AND('Employees'!B12&lt;&gt;"",'Skills'!B13&lt;&gt;""),'Employees'!B12,"")</f>
        <v/>
      </c>
      <c r="B109" s="40">
        <f>IF(A109="","",'Employees'!C12)</f>
        <v/>
      </c>
      <c r="C109" s="41">
        <f>IF(A109="","",'Skills'!B13)</f>
        <v/>
      </c>
      <c r="D109" s="40">
        <f>IF(A109="","",'Skills'!C13)</f>
        <v/>
      </c>
      <c r="E109" s="42" t="inlineStr"/>
      <c r="F109" s="42" t="inlineStr"/>
      <c r="G109" s="42" t="inlineStr"/>
      <c r="H109" s="43" t="inlineStr"/>
      <c r="I109" s="42" t="inlineStr"/>
      <c r="J109" s="42" t="inlineStr"/>
      <c r="K109" s="42" t="inlineStr"/>
      <c r="L109" s="42" t="inlineStr"/>
      <c r="M109" s="42" t="inlineStr"/>
      <c r="N109" s="42" t="inlineStr"/>
      <c r="O109" s="42" t="inlineStr"/>
      <c r="P109" s="42" t="inlineStr"/>
      <c r="Q109" s="42" t="inlineStr"/>
      <c r="R109" s="42" t="inlineStr"/>
      <c r="S109" s="42" t="inlineStr"/>
      <c r="T109" s="42" t="inlineStr"/>
      <c r="U109" s="44">
        <f>IF(A109="","",IFERROR(INDEX(E109:T109,MATCH(TRUE,INDEX(E109:T109&lt;&gt;"",0),0)),""))</f>
        <v/>
      </c>
      <c r="V109" s="44">
        <f>IF(A109="","",IFERROR(LOOKUP(2,1/(E109:T109&lt;&gt;""),E109:T109),""))</f>
        <v/>
      </c>
      <c r="W109" s="45">
        <f>IF(OR(A109="",PreviousYear=""),"",IFERROR(LOOKUP(2,1/(E109:T109&lt;&gt;""),E109:T109)-INDEX(E109:T109,MATCH(PreviousYear,$E$5:$T$5,0)),""))</f>
        <v/>
      </c>
      <c r="X109" s="45">
        <f>IF(OR(A109="",U109="",V109=""),"",V109-U109)</f>
        <v/>
      </c>
      <c r="Y109" s="44">
        <f>IF(A109="","",COUNT(E109:T109))</f>
        <v/>
      </c>
    </row>
    <row r="110">
      <c r="A110" s="39">
        <f>IF(AND('Employees'!B12&lt;&gt;"",'Skills'!B14&lt;&gt;""),'Employees'!B12,"")</f>
        <v/>
      </c>
      <c r="B110" s="40">
        <f>IF(A110="","",'Employees'!C12)</f>
        <v/>
      </c>
      <c r="C110" s="41">
        <f>IF(A110="","",'Skills'!B14)</f>
        <v/>
      </c>
      <c r="D110" s="40">
        <f>IF(A110="","",'Skills'!C14)</f>
        <v/>
      </c>
      <c r="E110" s="42" t="inlineStr"/>
      <c r="F110" s="42" t="inlineStr"/>
      <c r="G110" s="42" t="inlineStr"/>
      <c r="H110" s="43" t="inlineStr"/>
      <c r="I110" s="42" t="inlineStr"/>
      <c r="J110" s="42" t="inlineStr"/>
      <c r="K110" s="42" t="inlineStr"/>
      <c r="L110" s="42" t="inlineStr"/>
      <c r="M110" s="42" t="inlineStr"/>
      <c r="N110" s="42" t="inlineStr"/>
      <c r="O110" s="42" t="inlineStr"/>
      <c r="P110" s="42" t="inlineStr"/>
      <c r="Q110" s="42" t="inlineStr"/>
      <c r="R110" s="42" t="inlineStr"/>
      <c r="S110" s="42" t="inlineStr"/>
      <c r="T110" s="42" t="inlineStr"/>
      <c r="U110" s="44">
        <f>IF(A110="","",IFERROR(INDEX(E110:T110,MATCH(TRUE,INDEX(E110:T110&lt;&gt;"",0),0)),""))</f>
        <v/>
      </c>
      <c r="V110" s="44">
        <f>IF(A110="","",IFERROR(LOOKUP(2,1/(E110:T110&lt;&gt;""),E110:T110),""))</f>
        <v/>
      </c>
      <c r="W110" s="45">
        <f>IF(OR(A110="",PreviousYear=""),"",IFERROR(LOOKUP(2,1/(E110:T110&lt;&gt;""),E110:T110)-INDEX(E110:T110,MATCH(PreviousYear,$E$5:$T$5,0)),""))</f>
        <v/>
      </c>
      <c r="X110" s="45">
        <f>IF(OR(A110="",U110="",V110=""),"",V110-U110)</f>
        <v/>
      </c>
      <c r="Y110" s="44">
        <f>IF(A110="","",COUNT(E110:T110))</f>
        <v/>
      </c>
    </row>
    <row r="111">
      <c r="A111" s="39">
        <f>IF(AND('Employees'!B12&lt;&gt;"",'Skills'!B15&lt;&gt;""),'Employees'!B12,"")</f>
        <v/>
      </c>
      <c r="B111" s="40">
        <f>IF(A111="","",'Employees'!C12)</f>
        <v/>
      </c>
      <c r="C111" s="41">
        <f>IF(A111="","",'Skills'!B15)</f>
        <v/>
      </c>
      <c r="D111" s="40">
        <f>IF(A111="","",'Skills'!C15)</f>
        <v/>
      </c>
      <c r="E111" s="42" t="inlineStr"/>
      <c r="F111" s="42" t="inlineStr"/>
      <c r="G111" s="42" t="inlineStr"/>
      <c r="H111" s="43" t="inlineStr"/>
      <c r="I111" s="42" t="inlineStr"/>
      <c r="J111" s="42" t="inlineStr"/>
      <c r="K111" s="42" t="inlineStr"/>
      <c r="L111" s="42" t="inlineStr"/>
      <c r="M111" s="42" t="inlineStr"/>
      <c r="N111" s="42" t="inlineStr"/>
      <c r="O111" s="42" t="inlineStr"/>
      <c r="P111" s="42" t="inlineStr"/>
      <c r="Q111" s="42" t="inlineStr"/>
      <c r="R111" s="42" t="inlineStr"/>
      <c r="S111" s="42" t="inlineStr"/>
      <c r="T111" s="42" t="inlineStr"/>
      <c r="U111" s="44">
        <f>IF(A111="","",IFERROR(INDEX(E111:T111,MATCH(TRUE,INDEX(E111:T111&lt;&gt;"",0),0)),""))</f>
        <v/>
      </c>
      <c r="V111" s="44">
        <f>IF(A111="","",IFERROR(LOOKUP(2,1/(E111:T111&lt;&gt;""),E111:T111),""))</f>
        <v/>
      </c>
      <c r="W111" s="45">
        <f>IF(OR(A111="",PreviousYear=""),"",IFERROR(LOOKUP(2,1/(E111:T111&lt;&gt;""),E111:T111)-INDEX(E111:T111,MATCH(PreviousYear,$E$5:$T$5,0)),""))</f>
        <v/>
      </c>
      <c r="X111" s="45">
        <f>IF(OR(A111="",U111="",V111=""),"",V111-U111)</f>
        <v/>
      </c>
      <c r="Y111" s="44">
        <f>IF(A111="","",COUNT(E111:T111))</f>
        <v/>
      </c>
    </row>
    <row r="112">
      <c r="A112" s="39">
        <f>IF(AND('Employees'!B12&lt;&gt;"",'Skills'!B16&lt;&gt;""),'Employees'!B12,"")</f>
        <v/>
      </c>
      <c r="B112" s="40">
        <f>IF(A112="","",'Employees'!C12)</f>
        <v/>
      </c>
      <c r="C112" s="41">
        <f>IF(A112="","",'Skills'!B16)</f>
        <v/>
      </c>
      <c r="D112" s="40">
        <f>IF(A112="","",'Skills'!C16)</f>
        <v/>
      </c>
      <c r="E112" s="42" t="inlineStr"/>
      <c r="F112" s="42" t="inlineStr"/>
      <c r="G112" s="42" t="inlineStr"/>
      <c r="H112" s="43" t="inlineStr"/>
      <c r="I112" s="42" t="inlineStr"/>
      <c r="J112" s="42" t="inlineStr"/>
      <c r="K112" s="42" t="inlineStr"/>
      <c r="L112" s="42" t="inlineStr"/>
      <c r="M112" s="42" t="inlineStr"/>
      <c r="N112" s="42" t="inlineStr"/>
      <c r="O112" s="42" t="inlineStr"/>
      <c r="P112" s="42" t="inlineStr"/>
      <c r="Q112" s="42" t="inlineStr"/>
      <c r="R112" s="42" t="inlineStr"/>
      <c r="S112" s="42" t="inlineStr"/>
      <c r="T112" s="42" t="inlineStr"/>
      <c r="U112" s="44">
        <f>IF(A112="","",IFERROR(INDEX(E112:T112,MATCH(TRUE,INDEX(E112:T112&lt;&gt;"",0),0)),""))</f>
        <v/>
      </c>
      <c r="V112" s="44">
        <f>IF(A112="","",IFERROR(LOOKUP(2,1/(E112:T112&lt;&gt;""),E112:T112),""))</f>
        <v/>
      </c>
      <c r="W112" s="45">
        <f>IF(OR(A112="",PreviousYear=""),"",IFERROR(LOOKUP(2,1/(E112:T112&lt;&gt;""),E112:T112)-INDEX(E112:T112,MATCH(PreviousYear,$E$5:$T$5,0)),""))</f>
        <v/>
      </c>
      <c r="X112" s="45">
        <f>IF(OR(A112="",U112="",V112=""),"",V112-U112)</f>
        <v/>
      </c>
      <c r="Y112" s="44">
        <f>IF(A112="","",COUNT(E112:T112))</f>
        <v/>
      </c>
    </row>
    <row r="113">
      <c r="A113" s="39">
        <f>IF(AND('Employees'!B12&lt;&gt;"",'Skills'!B17&lt;&gt;""),'Employees'!B12,"")</f>
        <v/>
      </c>
      <c r="B113" s="40">
        <f>IF(A113="","",'Employees'!C12)</f>
        <v/>
      </c>
      <c r="C113" s="41">
        <f>IF(A113="","",'Skills'!B17)</f>
        <v/>
      </c>
      <c r="D113" s="40">
        <f>IF(A113="","",'Skills'!C17)</f>
        <v/>
      </c>
      <c r="E113" s="42" t="inlineStr"/>
      <c r="F113" s="42" t="inlineStr"/>
      <c r="G113" s="42" t="inlineStr"/>
      <c r="H113" s="43" t="inlineStr"/>
      <c r="I113" s="42" t="inlineStr"/>
      <c r="J113" s="42" t="inlineStr"/>
      <c r="K113" s="42" t="inlineStr"/>
      <c r="L113" s="42" t="inlineStr"/>
      <c r="M113" s="42" t="inlineStr"/>
      <c r="N113" s="42" t="inlineStr"/>
      <c r="O113" s="42" t="inlineStr"/>
      <c r="P113" s="42" t="inlineStr"/>
      <c r="Q113" s="42" t="inlineStr"/>
      <c r="R113" s="42" t="inlineStr"/>
      <c r="S113" s="42" t="inlineStr"/>
      <c r="T113" s="42" t="inlineStr"/>
      <c r="U113" s="44">
        <f>IF(A113="","",IFERROR(INDEX(E113:T113,MATCH(TRUE,INDEX(E113:T113&lt;&gt;"",0),0)),""))</f>
        <v/>
      </c>
      <c r="V113" s="44">
        <f>IF(A113="","",IFERROR(LOOKUP(2,1/(E113:T113&lt;&gt;""),E113:T113),""))</f>
        <v/>
      </c>
      <c r="W113" s="45">
        <f>IF(OR(A113="",PreviousYear=""),"",IFERROR(LOOKUP(2,1/(E113:T113&lt;&gt;""),E113:T113)-INDEX(E113:T113,MATCH(PreviousYear,$E$5:$T$5,0)),""))</f>
        <v/>
      </c>
      <c r="X113" s="45">
        <f>IF(OR(A113="",U113="",V113=""),"",V113-U113)</f>
        <v/>
      </c>
      <c r="Y113" s="44">
        <f>IF(A113="","",COUNT(E113:T113))</f>
        <v/>
      </c>
    </row>
    <row r="114">
      <c r="A114" s="39">
        <f>IF(AND('Employees'!B12&lt;&gt;"",'Skills'!B18&lt;&gt;""),'Employees'!B12,"")</f>
        <v/>
      </c>
      <c r="B114" s="40">
        <f>IF(A114="","",'Employees'!C12)</f>
        <v/>
      </c>
      <c r="C114" s="41">
        <f>IF(A114="","",'Skills'!B18)</f>
        <v/>
      </c>
      <c r="D114" s="40">
        <f>IF(A114="","",'Skills'!C18)</f>
        <v/>
      </c>
      <c r="E114" s="42" t="inlineStr"/>
      <c r="F114" s="42" t="inlineStr"/>
      <c r="G114" s="42" t="inlineStr"/>
      <c r="H114" s="43" t="inlineStr"/>
      <c r="I114" s="42" t="inlineStr"/>
      <c r="J114" s="42" t="inlineStr"/>
      <c r="K114" s="42" t="inlineStr"/>
      <c r="L114" s="42" t="inlineStr"/>
      <c r="M114" s="42" t="inlineStr"/>
      <c r="N114" s="42" t="inlineStr"/>
      <c r="O114" s="42" t="inlineStr"/>
      <c r="P114" s="42" t="inlineStr"/>
      <c r="Q114" s="42" t="inlineStr"/>
      <c r="R114" s="42" t="inlineStr"/>
      <c r="S114" s="42" t="inlineStr"/>
      <c r="T114" s="42" t="inlineStr"/>
      <c r="U114" s="44">
        <f>IF(A114="","",IFERROR(INDEX(E114:T114,MATCH(TRUE,INDEX(E114:T114&lt;&gt;"",0),0)),""))</f>
        <v/>
      </c>
      <c r="V114" s="44">
        <f>IF(A114="","",IFERROR(LOOKUP(2,1/(E114:T114&lt;&gt;""),E114:T114),""))</f>
        <v/>
      </c>
      <c r="W114" s="45">
        <f>IF(OR(A114="",PreviousYear=""),"",IFERROR(LOOKUP(2,1/(E114:T114&lt;&gt;""),E114:T114)-INDEX(E114:T114,MATCH(PreviousYear,$E$5:$T$5,0)),""))</f>
        <v/>
      </c>
      <c r="X114" s="45">
        <f>IF(OR(A114="",U114="",V114=""),"",V114-U114)</f>
        <v/>
      </c>
      <c r="Y114" s="44">
        <f>IF(A114="","",COUNT(E114:T114))</f>
        <v/>
      </c>
    </row>
    <row r="115">
      <c r="A115" s="39">
        <f>IF(AND('Employees'!B12&lt;&gt;"",'Skills'!B19&lt;&gt;""),'Employees'!B12,"")</f>
        <v/>
      </c>
      <c r="B115" s="40">
        <f>IF(A115="","",'Employees'!C12)</f>
        <v/>
      </c>
      <c r="C115" s="41">
        <f>IF(A115="","",'Skills'!B19)</f>
        <v/>
      </c>
      <c r="D115" s="40">
        <f>IF(A115="","",'Skills'!C19)</f>
        <v/>
      </c>
      <c r="E115" s="42" t="inlineStr"/>
      <c r="F115" s="42" t="inlineStr"/>
      <c r="G115" s="42" t="inlineStr"/>
      <c r="H115" s="43" t="inlineStr"/>
      <c r="I115" s="42" t="inlineStr"/>
      <c r="J115" s="42" t="inlineStr"/>
      <c r="K115" s="42" t="inlineStr"/>
      <c r="L115" s="42" t="inlineStr"/>
      <c r="M115" s="42" t="inlineStr"/>
      <c r="N115" s="42" t="inlineStr"/>
      <c r="O115" s="42" t="inlineStr"/>
      <c r="P115" s="42" t="inlineStr"/>
      <c r="Q115" s="42" t="inlineStr"/>
      <c r="R115" s="42" t="inlineStr"/>
      <c r="S115" s="42" t="inlineStr"/>
      <c r="T115" s="42" t="inlineStr"/>
      <c r="U115" s="44">
        <f>IF(A115="","",IFERROR(INDEX(E115:T115,MATCH(TRUE,INDEX(E115:T115&lt;&gt;"",0),0)),""))</f>
        <v/>
      </c>
      <c r="V115" s="44">
        <f>IF(A115="","",IFERROR(LOOKUP(2,1/(E115:T115&lt;&gt;""),E115:T115),""))</f>
        <v/>
      </c>
      <c r="W115" s="45">
        <f>IF(OR(A115="",PreviousYear=""),"",IFERROR(LOOKUP(2,1/(E115:T115&lt;&gt;""),E115:T115)-INDEX(E115:T115,MATCH(PreviousYear,$E$5:$T$5,0)),""))</f>
        <v/>
      </c>
      <c r="X115" s="45">
        <f>IF(OR(A115="",U115="",V115=""),"",V115-U115)</f>
        <v/>
      </c>
      <c r="Y115" s="44">
        <f>IF(A115="","",COUNT(E115:T115))</f>
        <v/>
      </c>
    </row>
    <row r="116">
      <c r="A116" s="39">
        <f>IF(AND('Employees'!B12&lt;&gt;"",'Skills'!B20&lt;&gt;""),'Employees'!B12,"")</f>
        <v/>
      </c>
      <c r="B116" s="40">
        <f>IF(A116="","",'Employees'!C12)</f>
        <v/>
      </c>
      <c r="C116" s="41">
        <f>IF(A116="","",'Skills'!B20)</f>
        <v/>
      </c>
      <c r="D116" s="40">
        <f>IF(A116="","",'Skills'!C20)</f>
        <v/>
      </c>
      <c r="E116" s="42" t="inlineStr"/>
      <c r="F116" s="42" t="inlineStr"/>
      <c r="G116" s="42" t="inlineStr"/>
      <c r="H116" s="43" t="inlineStr"/>
      <c r="I116" s="42" t="inlineStr"/>
      <c r="J116" s="42" t="inlineStr"/>
      <c r="K116" s="42" t="inlineStr"/>
      <c r="L116" s="42" t="inlineStr"/>
      <c r="M116" s="42" t="inlineStr"/>
      <c r="N116" s="42" t="inlineStr"/>
      <c r="O116" s="42" t="inlineStr"/>
      <c r="P116" s="42" t="inlineStr"/>
      <c r="Q116" s="42" t="inlineStr"/>
      <c r="R116" s="42" t="inlineStr"/>
      <c r="S116" s="42" t="inlineStr"/>
      <c r="T116" s="42" t="inlineStr"/>
      <c r="U116" s="44">
        <f>IF(A116="","",IFERROR(INDEX(E116:T116,MATCH(TRUE,INDEX(E116:T116&lt;&gt;"",0),0)),""))</f>
        <v/>
      </c>
      <c r="V116" s="44">
        <f>IF(A116="","",IFERROR(LOOKUP(2,1/(E116:T116&lt;&gt;""),E116:T116),""))</f>
        <v/>
      </c>
      <c r="W116" s="45">
        <f>IF(OR(A116="",PreviousYear=""),"",IFERROR(LOOKUP(2,1/(E116:T116&lt;&gt;""),E116:T116)-INDEX(E116:T116,MATCH(PreviousYear,$E$5:$T$5,0)),""))</f>
        <v/>
      </c>
      <c r="X116" s="45">
        <f>IF(OR(A116="",U116="",V116=""),"",V116-U116)</f>
        <v/>
      </c>
      <c r="Y116" s="44">
        <f>IF(A116="","",COUNT(E116:T116))</f>
        <v/>
      </c>
    </row>
    <row r="117">
      <c r="A117" s="39">
        <f>IF(AND('Employees'!B12&lt;&gt;"",'Skills'!B21&lt;&gt;""),'Employees'!B12,"")</f>
        <v/>
      </c>
      <c r="B117" s="40">
        <f>IF(A117="","",'Employees'!C12)</f>
        <v/>
      </c>
      <c r="C117" s="41">
        <f>IF(A117="","",'Skills'!B21)</f>
        <v/>
      </c>
      <c r="D117" s="40">
        <f>IF(A117="","",'Skills'!C21)</f>
        <v/>
      </c>
      <c r="E117" s="42" t="inlineStr"/>
      <c r="F117" s="42" t="inlineStr"/>
      <c r="G117" s="42" t="inlineStr"/>
      <c r="H117" s="43" t="inlineStr"/>
      <c r="I117" s="42" t="inlineStr"/>
      <c r="J117" s="42" t="inlineStr"/>
      <c r="K117" s="42" t="inlineStr"/>
      <c r="L117" s="42" t="inlineStr"/>
      <c r="M117" s="42" t="inlineStr"/>
      <c r="N117" s="42" t="inlineStr"/>
      <c r="O117" s="42" t="inlineStr"/>
      <c r="P117" s="42" t="inlineStr"/>
      <c r="Q117" s="42" t="inlineStr"/>
      <c r="R117" s="42" t="inlineStr"/>
      <c r="S117" s="42" t="inlineStr"/>
      <c r="T117" s="42" t="inlineStr"/>
      <c r="U117" s="44">
        <f>IF(A117="","",IFERROR(INDEX(E117:T117,MATCH(TRUE,INDEX(E117:T117&lt;&gt;"",0),0)),""))</f>
        <v/>
      </c>
      <c r="V117" s="44">
        <f>IF(A117="","",IFERROR(LOOKUP(2,1/(E117:T117&lt;&gt;""),E117:T117),""))</f>
        <v/>
      </c>
      <c r="W117" s="45">
        <f>IF(OR(A117="",PreviousYear=""),"",IFERROR(LOOKUP(2,1/(E117:T117&lt;&gt;""),E117:T117)-INDEX(E117:T117,MATCH(PreviousYear,$E$5:$T$5,0)),""))</f>
        <v/>
      </c>
      <c r="X117" s="45">
        <f>IF(OR(A117="",U117="",V117=""),"",V117-U117)</f>
        <v/>
      </c>
      <c r="Y117" s="44">
        <f>IF(A117="","",COUNT(E117:T117))</f>
        <v/>
      </c>
    </row>
    <row r="118">
      <c r="A118" s="39">
        <f>IF(AND('Employees'!B13&lt;&gt;"",'Skills'!B6&lt;&gt;""),'Employees'!B13,"")</f>
        <v/>
      </c>
      <c r="B118" s="40">
        <f>IF(A118="","",'Employees'!C13)</f>
        <v/>
      </c>
      <c r="C118" s="41">
        <f>IF(A118="","",'Skills'!B6)</f>
        <v/>
      </c>
      <c r="D118" s="40">
        <f>IF(A118="","",'Skills'!C6)</f>
        <v/>
      </c>
      <c r="E118" s="42" t="inlineStr"/>
      <c r="F118" s="42" t="n">
        <v>1</v>
      </c>
      <c r="G118" s="42" t="n">
        <v>1</v>
      </c>
      <c r="H118" s="43" t="n">
        <v>2</v>
      </c>
      <c r="I118" s="42" t="inlineStr"/>
      <c r="J118" s="42" t="inlineStr"/>
      <c r="K118" s="42" t="inlineStr"/>
      <c r="L118" s="42" t="inlineStr"/>
      <c r="M118" s="42" t="inlineStr"/>
      <c r="N118" s="42" t="inlineStr"/>
      <c r="O118" s="42" t="inlineStr"/>
      <c r="P118" s="42" t="inlineStr"/>
      <c r="Q118" s="42" t="inlineStr"/>
      <c r="R118" s="42" t="inlineStr"/>
      <c r="S118" s="42" t="inlineStr"/>
      <c r="T118" s="42" t="inlineStr"/>
      <c r="U118" s="44">
        <f>IF(A118="","",IFERROR(INDEX(E118:T118,MATCH(TRUE,INDEX(E118:T118&lt;&gt;"",0),0)),""))</f>
        <v/>
      </c>
      <c r="V118" s="44">
        <f>IF(A118="","",IFERROR(LOOKUP(2,1/(E118:T118&lt;&gt;""),E118:T118),""))</f>
        <v/>
      </c>
      <c r="W118" s="45">
        <f>IF(OR(A118="",PreviousYear=""),"",IFERROR(LOOKUP(2,1/(E118:T118&lt;&gt;""),E118:T118)-INDEX(E118:T118,MATCH(PreviousYear,$E$5:$T$5,0)),""))</f>
        <v/>
      </c>
      <c r="X118" s="45">
        <f>IF(OR(A118="",U118="",V118=""),"",V118-U118)</f>
        <v/>
      </c>
      <c r="Y118" s="44">
        <f>IF(A118="","",COUNT(E118:T118))</f>
        <v/>
      </c>
    </row>
    <row r="119">
      <c r="A119" s="39">
        <f>IF(AND('Employees'!B13&lt;&gt;"",'Skills'!B7&lt;&gt;""),'Employees'!B13,"")</f>
        <v/>
      </c>
      <c r="B119" s="40">
        <f>IF(A119="","",'Employees'!C13)</f>
        <v/>
      </c>
      <c r="C119" s="41">
        <f>IF(A119="","",'Skills'!B7)</f>
        <v/>
      </c>
      <c r="D119" s="40">
        <f>IF(A119="","",'Skills'!C7)</f>
        <v/>
      </c>
      <c r="E119" s="42" t="inlineStr"/>
      <c r="F119" s="42" t="n">
        <v>2</v>
      </c>
      <c r="G119" s="42" t="n">
        <v>2</v>
      </c>
      <c r="H119" s="43" t="n">
        <v>2</v>
      </c>
      <c r="I119" s="42" t="inlineStr"/>
      <c r="J119" s="42" t="inlineStr"/>
      <c r="K119" s="42" t="inlineStr"/>
      <c r="L119" s="42" t="inlineStr"/>
      <c r="M119" s="42" t="inlineStr"/>
      <c r="N119" s="42" t="inlineStr"/>
      <c r="O119" s="42" t="inlineStr"/>
      <c r="P119" s="42" t="inlineStr"/>
      <c r="Q119" s="42" t="inlineStr"/>
      <c r="R119" s="42" t="inlineStr"/>
      <c r="S119" s="42" t="inlineStr"/>
      <c r="T119" s="42" t="inlineStr"/>
      <c r="U119" s="44">
        <f>IF(A119="","",IFERROR(INDEX(E119:T119,MATCH(TRUE,INDEX(E119:T119&lt;&gt;"",0),0)),""))</f>
        <v/>
      </c>
      <c r="V119" s="44">
        <f>IF(A119="","",IFERROR(LOOKUP(2,1/(E119:T119&lt;&gt;""),E119:T119),""))</f>
        <v/>
      </c>
      <c r="W119" s="45">
        <f>IF(OR(A119="",PreviousYear=""),"",IFERROR(LOOKUP(2,1/(E119:T119&lt;&gt;""),E119:T119)-INDEX(E119:T119,MATCH(PreviousYear,$E$5:$T$5,0)),""))</f>
        <v/>
      </c>
      <c r="X119" s="45">
        <f>IF(OR(A119="",U119="",V119=""),"",V119-U119)</f>
        <v/>
      </c>
      <c r="Y119" s="44">
        <f>IF(A119="","",COUNT(E119:T119))</f>
        <v/>
      </c>
    </row>
    <row r="120">
      <c r="A120" s="39">
        <f>IF(AND('Employees'!B13&lt;&gt;"",'Skills'!B8&lt;&gt;""),'Employees'!B13,"")</f>
        <v/>
      </c>
      <c r="B120" s="40">
        <f>IF(A120="","",'Employees'!C13)</f>
        <v/>
      </c>
      <c r="C120" s="41">
        <f>IF(A120="","",'Skills'!B8)</f>
        <v/>
      </c>
      <c r="D120" s="40">
        <f>IF(A120="","",'Skills'!C8)</f>
        <v/>
      </c>
      <c r="E120" s="42" t="inlineStr"/>
      <c r="F120" s="42" t="n">
        <v>3</v>
      </c>
      <c r="G120" s="42" t="n">
        <v>4</v>
      </c>
      <c r="H120" s="43" t="n">
        <v>5</v>
      </c>
      <c r="I120" s="42" t="inlineStr"/>
      <c r="J120" s="42" t="inlineStr"/>
      <c r="K120" s="42" t="inlineStr"/>
      <c r="L120" s="42" t="inlineStr"/>
      <c r="M120" s="42" t="inlineStr"/>
      <c r="N120" s="42" t="inlineStr"/>
      <c r="O120" s="42" t="inlineStr"/>
      <c r="P120" s="42" t="inlineStr"/>
      <c r="Q120" s="42" t="inlineStr"/>
      <c r="R120" s="42" t="inlineStr"/>
      <c r="S120" s="42" t="inlineStr"/>
      <c r="T120" s="42" t="inlineStr"/>
      <c r="U120" s="44">
        <f>IF(A120="","",IFERROR(INDEX(E120:T120,MATCH(TRUE,INDEX(E120:T120&lt;&gt;"",0),0)),""))</f>
        <v/>
      </c>
      <c r="V120" s="44">
        <f>IF(A120="","",IFERROR(LOOKUP(2,1/(E120:T120&lt;&gt;""),E120:T120),""))</f>
        <v/>
      </c>
      <c r="W120" s="45">
        <f>IF(OR(A120="",PreviousYear=""),"",IFERROR(LOOKUP(2,1/(E120:T120&lt;&gt;""),E120:T120)-INDEX(E120:T120,MATCH(PreviousYear,$E$5:$T$5,0)),""))</f>
        <v/>
      </c>
      <c r="X120" s="45">
        <f>IF(OR(A120="",U120="",V120=""),"",V120-U120)</f>
        <v/>
      </c>
      <c r="Y120" s="44">
        <f>IF(A120="","",COUNT(E120:T120))</f>
        <v/>
      </c>
    </row>
    <row r="121">
      <c r="A121" s="39">
        <f>IF(AND('Employees'!B13&lt;&gt;"",'Skills'!B9&lt;&gt;""),'Employees'!B13,"")</f>
        <v/>
      </c>
      <c r="B121" s="40">
        <f>IF(A121="","",'Employees'!C13)</f>
        <v/>
      </c>
      <c r="C121" s="41">
        <f>IF(A121="","",'Skills'!B9)</f>
        <v/>
      </c>
      <c r="D121" s="40">
        <f>IF(A121="","",'Skills'!C9)</f>
        <v/>
      </c>
      <c r="E121" s="42" t="inlineStr"/>
      <c r="F121" s="42" t="n">
        <v>2</v>
      </c>
      <c r="G121" s="42" t="n">
        <v>2</v>
      </c>
      <c r="H121" s="43" t="n">
        <v>3</v>
      </c>
      <c r="I121" s="42" t="inlineStr"/>
      <c r="J121" s="42" t="inlineStr"/>
      <c r="K121" s="42" t="inlineStr"/>
      <c r="L121" s="42" t="inlineStr"/>
      <c r="M121" s="42" t="inlineStr"/>
      <c r="N121" s="42" t="inlineStr"/>
      <c r="O121" s="42" t="inlineStr"/>
      <c r="P121" s="42" t="inlineStr"/>
      <c r="Q121" s="42" t="inlineStr"/>
      <c r="R121" s="42" t="inlineStr"/>
      <c r="S121" s="42" t="inlineStr"/>
      <c r="T121" s="42" t="inlineStr"/>
      <c r="U121" s="44">
        <f>IF(A121="","",IFERROR(INDEX(E121:T121,MATCH(TRUE,INDEX(E121:T121&lt;&gt;"",0),0)),""))</f>
        <v/>
      </c>
      <c r="V121" s="44">
        <f>IF(A121="","",IFERROR(LOOKUP(2,1/(E121:T121&lt;&gt;""),E121:T121),""))</f>
        <v/>
      </c>
      <c r="W121" s="45">
        <f>IF(OR(A121="",PreviousYear=""),"",IFERROR(LOOKUP(2,1/(E121:T121&lt;&gt;""),E121:T121)-INDEX(E121:T121,MATCH(PreviousYear,$E$5:$T$5,0)),""))</f>
        <v/>
      </c>
      <c r="X121" s="45">
        <f>IF(OR(A121="",U121="",V121=""),"",V121-U121)</f>
        <v/>
      </c>
      <c r="Y121" s="44">
        <f>IF(A121="","",COUNT(E121:T121))</f>
        <v/>
      </c>
    </row>
    <row r="122">
      <c r="A122" s="39">
        <f>IF(AND('Employees'!B13&lt;&gt;"",'Skills'!B10&lt;&gt;""),'Employees'!B13,"")</f>
        <v/>
      </c>
      <c r="B122" s="40">
        <f>IF(A122="","",'Employees'!C13)</f>
        <v/>
      </c>
      <c r="C122" s="41">
        <f>IF(A122="","",'Skills'!B10)</f>
        <v/>
      </c>
      <c r="D122" s="40">
        <f>IF(A122="","",'Skills'!C10)</f>
        <v/>
      </c>
      <c r="E122" s="42" t="inlineStr"/>
      <c r="F122" s="42" t="n">
        <v>2</v>
      </c>
      <c r="G122" s="42" t="n">
        <v>2</v>
      </c>
      <c r="H122" s="43" t="n">
        <v>3</v>
      </c>
      <c r="I122" s="42" t="inlineStr"/>
      <c r="J122" s="42" t="inlineStr"/>
      <c r="K122" s="42" t="inlineStr"/>
      <c r="L122" s="42" t="inlineStr"/>
      <c r="M122" s="42" t="inlineStr"/>
      <c r="N122" s="42" t="inlineStr"/>
      <c r="O122" s="42" t="inlineStr"/>
      <c r="P122" s="42" t="inlineStr"/>
      <c r="Q122" s="42" t="inlineStr"/>
      <c r="R122" s="42" t="inlineStr"/>
      <c r="S122" s="42" t="inlineStr"/>
      <c r="T122" s="42" t="inlineStr"/>
      <c r="U122" s="44">
        <f>IF(A122="","",IFERROR(INDEX(E122:T122,MATCH(TRUE,INDEX(E122:T122&lt;&gt;"",0),0)),""))</f>
        <v/>
      </c>
      <c r="V122" s="44">
        <f>IF(A122="","",IFERROR(LOOKUP(2,1/(E122:T122&lt;&gt;""),E122:T122),""))</f>
        <v/>
      </c>
      <c r="W122" s="45">
        <f>IF(OR(A122="",PreviousYear=""),"",IFERROR(LOOKUP(2,1/(E122:T122&lt;&gt;""),E122:T122)-INDEX(E122:T122,MATCH(PreviousYear,$E$5:$T$5,0)),""))</f>
        <v/>
      </c>
      <c r="X122" s="45">
        <f>IF(OR(A122="",U122="",V122=""),"",V122-U122)</f>
        <v/>
      </c>
      <c r="Y122" s="44">
        <f>IF(A122="","",COUNT(E122:T122))</f>
        <v/>
      </c>
    </row>
    <row r="123">
      <c r="A123" s="39">
        <f>IF(AND('Employees'!B13&lt;&gt;"",'Skills'!B11&lt;&gt;""),'Employees'!B13,"")</f>
        <v/>
      </c>
      <c r="B123" s="40">
        <f>IF(A123="","",'Employees'!C13)</f>
        <v/>
      </c>
      <c r="C123" s="41">
        <f>IF(A123="","",'Skills'!B11)</f>
        <v/>
      </c>
      <c r="D123" s="40">
        <f>IF(A123="","",'Skills'!C11)</f>
        <v/>
      </c>
      <c r="E123" s="42" t="inlineStr"/>
      <c r="F123" s="42" t="n">
        <v>2</v>
      </c>
      <c r="G123" s="42" t="n">
        <v>3</v>
      </c>
      <c r="H123" s="43" t="n">
        <v>4</v>
      </c>
      <c r="I123" s="42" t="inlineStr"/>
      <c r="J123" s="42" t="inlineStr"/>
      <c r="K123" s="42" t="inlineStr"/>
      <c r="L123" s="42" t="inlineStr"/>
      <c r="M123" s="42" t="inlineStr"/>
      <c r="N123" s="42" t="inlineStr"/>
      <c r="O123" s="42" t="inlineStr"/>
      <c r="P123" s="42" t="inlineStr"/>
      <c r="Q123" s="42" t="inlineStr"/>
      <c r="R123" s="42" t="inlineStr"/>
      <c r="S123" s="42" t="inlineStr"/>
      <c r="T123" s="42" t="inlineStr"/>
      <c r="U123" s="44">
        <f>IF(A123="","",IFERROR(INDEX(E123:T123,MATCH(TRUE,INDEX(E123:T123&lt;&gt;"",0),0)),""))</f>
        <v/>
      </c>
      <c r="V123" s="44">
        <f>IF(A123="","",IFERROR(LOOKUP(2,1/(E123:T123&lt;&gt;""),E123:T123),""))</f>
        <v/>
      </c>
      <c r="W123" s="45">
        <f>IF(OR(A123="",PreviousYear=""),"",IFERROR(LOOKUP(2,1/(E123:T123&lt;&gt;""),E123:T123)-INDEX(E123:T123,MATCH(PreviousYear,$E$5:$T$5,0)),""))</f>
        <v/>
      </c>
      <c r="X123" s="45">
        <f>IF(OR(A123="",U123="",V123=""),"",V123-U123)</f>
        <v/>
      </c>
      <c r="Y123" s="44">
        <f>IF(A123="","",COUNT(E123:T123))</f>
        <v/>
      </c>
    </row>
    <row r="124">
      <c r="A124" s="39">
        <f>IF(AND('Employees'!B13&lt;&gt;"",'Skills'!B12&lt;&gt;""),'Employees'!B13,"")</f>
        <v/>
      </c>
      <c r="B124" s="40">
        <f>IF(A124="","",'Employees'!C13)</f>
        <v/>
      </c>
      <c r="C124" s="41">
        <f>IF(A124="","",'Skills'!B12)</f>
        <v/>
      </c>
      <c r="D124" s="40">
        <f>IF(A124="","",'Skills'!C12)</f>
        <v/>
      </c>
      <c r="E124" s="42" t="inlineStr"/>
      <c r="F124" s="42" t="n">
        <v>3</v>
      </c>
      <c r="G124" s="42" t="n">
        <v>3</v>
      </c>
      <c r="H124" s="43" t="n">
        <v>3</v>
      </c>
      <c r="I124" s="42" t="inlineStr"/>
      <c r="J124" s="42" t="inlineStr"/>
      <c r="K124" s="42" t="inlineStr"/>
      <c r="L124" s="42" t="inlineStr"/>
      <c r="M124" s="42" t="inlineStr"/>
      <c r="N124" s="42" t="inlineStr"/>
      <c r="O124" s="42" t="inlineStr"/>
      <c r="P124" s="42" t="inlineStr"/>
      <c r="Q124" s="42" t="inlineStr"/>
      <c r="R124" s="42" t="inlineStr"/>
      <c r="S124" s="42" t="inlineStr"/>
      <c r="T124" s="42" t="inlineStr"/>
      <c r="U124" s="44">
        <f>IF(A124="","",IFERROR(INDEX(E124:T124,MATCH(TRUE,INDEX(E124:T124&lt;&gt;"",0),0)),""))</f>
        <v/>
      </c>
      <c r="V124" s="44">
        <f>IF(A124="","",IFERROR(LOOKUP(2,1/(E124:T124&lt;&gt;""),E124:T124),""))</f>
        <v/>
      </c>
      <c r="W124" s="45">
        <f>IF(OR(A124="",PreviousYear=""),"",IFERROR(LOOKUP(2,1/(E124:T124&lt;&gt;""),E124:T124)-INDEX(E124:T124,MATCH(PreviousYear,$E$5:$T$5,0)),""))</f>
        <v/>
      </c>
      <c r="X124" s="45">
        <f>IF(OR(A124="",U124="",V124=""),"",V124-U124)</f>
        <v/>
      </c>
      <c r="Y124" s="44">
        <f>IF(A124="","",COUNT(E124:T124))</f>
        <v/>
      </c>
    </row>
    <row r="125">
      <c r="A125" s="39">
        <f>IF(AND('Employees'!B13&lt;&gt;"",'Skills'!B13&lt;&gt;""),'Employees'!B13,"")</f>
        <v/>
      </c>
      <c r="B125" s="40">
        <f>IF(A125="","",'Employees'!C13)</f>
        <v/>
      </c>
      <c r="C125" s="41">
        <f>IF(A125="","",'Skills'!B13)</f>
        <v/>
      </c>
      <c r="D125" s="40">
        <f>IF(A125="","",'Skills'!C13)</f>
        <v/>
      </c>
      <c r="E125" s="42" t="inlineStr"/>
      <c r="F125" s="42" t="inlineStr"/>
      <c r="G125" s="42" t="inlineStr"/>
      <c r="H125" s="43" t="inlineStr"/>
      <c r="I125" s="42" t="inlineStr"/>
      <c r="J125" s="42" t="inlineStr"/>
      <c r="K125" s="42" t="inlineStr"/>
      <c r="L125" s="42" t="inlineStr"/>
      <c r="M125" s="42" t="inlineStr"/>
      <c r="N125" s="42" t="inlineStr"/>
      <c r="O125" s="42" t="inlineStr"/>
      <c r="P125" s="42" t="inlineStr"/>
      <c r="Q125" s="42" t="inlineStr"/>
      <c r="R125" s="42" t="inlineStr"/>
      <c r="S125" s="42" t="inlineStr"/>
      <c r="T125" s="42" t="inlineStr"/>
      <c r="U125" s="44">
        <f>IF(A125="","",IFERROR(INDEX(E125:T125,MATCH(TRUE,INDEX(E125:T125&lt;&gt;"",0),0)),""))</f>
        <v/>
      </c>
      <c r="V125" s="44">
        <f>IF(A125="","",IFERROR(LOOKUP(2,1/(E125:T125&lt;&gt;""),E125:T125),""))</f>
        <v/>
      </c>
      <c r="W125" s="45">
        <f>IF(OR(A125="",PreviousYear=""),"",IFERROR(LOOKUP(2,1/(E125:T125&lt;&gt;""),E125:T125)-INDEX(E125:T125,MATCH(PreviousYear,$E$5:$T$5,0)),""))</f>
        <v/>
      </c>
      <c r="X125" s="45">
        <f>IF(OR(A125="",U125="",V125=""),"",V125-U125)</f>
        <v/>
      </c>
      <c r="Y125" s="44">
        <f>IF(A125="","",COUNT(E125:T125))</f>
        <v/>
      </c>
    </row>
    <row r="126">
      <c r="A126" s="39">
        <f>IF(AND('Employees'!B13&lt;&gt;"",'Skills'!B14&lt;&gt;""),'Employees'!B13,"")</f>
        <v/>
      </c>
      <c r="B126" s="40">
        <f>IF(A126="","",'Employees'!C13)</f>
        <v/>
      </c>
      <c r="C126" s="41">
        <f>IF(A126="","",'Skills'!B14)</f>
        <v/>
      </c>
      <c r="D126" s="40">
        <f>IF(A126="","",'Skills'!C14)</f>
        <v/>
      </c>
      <c r="E126" s="42" t="inlineStr"/>
      <c r="F126" s="42" t="inlineStr"/>
      <c r="G126" s="42" t="inlineStr"/>
      <c r="H126" s="43" t="inlineStr"/>
      <c r="I126" s="42" t="inlineStr"/>
      <c r="J126" s="42" t="inlineStr"/>
      <c r="K126" s="42" t="inlineStr"/>
      <c r="L126" s="42" t="inlineStr"/>
      <c r="M126" s="42" t="inlineStr"/>
      <c r="N126" s="42" t="inlineStr"/>
      <c r="O126" s="42" t="inlineStr"/>
      <c r="P126" s="42" t="inlineStr"/>
      <c r="Q126" s="42" t="inlineStr"/>
      <c r="R126" s="42" t="inlineStr"/>
      <c r="S126" s="42" t="inlineStr"/>
      <c r="T126" s="42" t="inlineStr"/>
      <c r="U126" s="44">
        <f>IF(A126="","",IFERROR(INDEX(E126:T126,MATCH(TRUE,INDEX(E126:T126&lt;&gt;"",0),0)),""))</f>
        <v/>
      </c>
      <c r="V126" s="44">
        <f>IF(A126="","",IFERROR(LOOKUP(2,1/(E126:T126&lt;&gt;""),E126:T126),""))</f>
        <v/>
      </c>
      <c r="W126" s="45">
        <f>IF(OR(A126="",PreviousYear=""),"",IFERROR(LOOKUP(2,1/(E126:T126&lt;&gt;""),E126:T126)-INDEX(E126:T126,MATCH(PreviousYear,$E$5:$T$5,0)),""))</f>
        <v/>
      </c>
      <c r="X126" s="45">
        <f>IF(OR(A126="",U126="",V126=""),"",V126-U126)</f>
        <v/>
      </c>
      <c r="Y126" s="44">
        <f>IF(A126="","",COUNT(E126:T126))</f>
        <v/>
      </c>
    </row>
    <row r="127">
      <c r="A127" s="39">
        <f>IF(AND('Employees'!B13&lt;&gt;"",'Skills'!B15&lt;&gt;""),'Employees'!B13,"")</f>
        <v/>
      </c>
      <c r="B127" s="40">
        <f>IF(A127="","",'Employees'!C13)</f>
        <v/>
      </c>
      <c r="C127" s="41">
        <f>IF(A127="","",'Skills'!B15)</f>
        <v/>
      </c>
      <c r="D127" s="40">
        <f>IF(A127="","",'Skills'!C15)</f>
        <v/>
      </c>
      <c r="E127" s="42" t="inlineStr"/>
      <c r="F127" s="42" t="inlineStr"/>
      <c r="G127" s="42" t="inlineStr"/>
      <c r="H127" s="43" t="inlineStr"/>
      <c r="I127" s="42" t="inlineStr"/>
      <c r="J127" s="42" t="inlineStr"/>
      <c r="K127" s="42" t="inlineStr"/>
      <c r="L127" s="42" t="inlineStr"/>
      <c r="M127" s="42" t="inlineStr"/>
      <c r="N127" s="42" t="inlineStr"/>
      <c r="O127" s="42" t="inlineStr"/>
      <c r="P127" s="42" t="inlineStr"/>
      <c r="Q127" s="42" t="inlineStr"/>
      <c r="R127" s="42" t="inlineStr"/>
      <c r="S127" s="42" t="inlineStr"/>
      <c r="T127" s="42" t="inlineStr"/>
      <c r="U127" s="44">
        <f>IF(A127="","",IFERROR(INDEX(E127:T127,MATCH(TRUE,INDEX(E127:T127&lt;&gt;"",0),0)),""))</f>
        <v/>
      </c>
      <c r="V127" s="44">
        <f>IF(A127="","",IFERROR(LOOKUP(2,1/(E127:T127&lt;&gt;""),E127:T127),""))</f>
        <v/>
      </c>
      <c r="W127" s="45">
        <f>IF(OR(A127="",PreviousYear=""),"",IFERROR(LOOKUP(2,1/(E127:T127&lt;&gt;""),E127:T127)-INDEX(E127:T127,MATCH(PreviousYear,$E$5:$T$5,0)),""))</f>
        <v/>
      </c>
      <c r="X127" s="45">
        <f>IF(OR(A127="",U127="",V127=""),"",V127-U127)</f>
        <v/>
      </c>
      <c r="Y127" s="44">
        <f>IF(A127="","",COUNT(E127:T127))</f>
        <v/>
      </c>
    </row>
    <row r="128">
      <c r="A128" s="39">
        <f>IF(AND('Employees'!B13&lt;&gt;"",'Skills'!B16&lt;&gt;""),'Employees'!B13,"")</f>
        <v/>
      </c>
      <c r="B128" s="40">
        <f>IF(A128="","",'Employees'!C13)</f>
        <v/>
      </c>
      <c r="C128" s="41">
        <f>IF(A128="","",'Skills'!B16)</f>
        <v/>
      </c>
      <c r="D128" s="40">
        <f>IF(A128="","",'Skills'!C16)</f>
        <v/>
      </c>
      <c r="E128" s="42" t="inlineStr"/>
      <c r="F128" s="42" t="inlineStr"/>
      <c r="G128" s="42" t="inlineStr"/>
      <c r="H128" s="43" t="inlineStr"/>
      <c r="I128" s="42" t="inlineStr"/>
      <c r="J128" s="42" t="inlineStr"/>
      <c r="K128" s="42" t="inlineStr"/>
      <c r="L128" s="42" t="inlineStr"/>
      <c r="M128" s="42" t="inlineStr"/>
      <c r="N128" s="42" t="inlineStr"/>
      <c r="O128" s="42" t="inlineStr"/>
      <c r="P128" s="42" t="inlineStr"/>
      <c r="Q128" s="42" t="inlineStr"/>
      <c r="R128" s="42" t="inlineStr"/>
      <c r="S128" s="42" t="inlineStr"/>
      <c r="T128" s="42" t="inlineStr"/>
      <c r="U128" s="44">
        <f>IF(A128="","",IFERROR(INDEX(E128:T128,MATCH(TRUE,INDEX(E128:T128&lt;&gt;"",0),0)),""))</f>
        <v/>
      </c>
      <c r="V128" s="44">
        <f>IF(A128="","",IFERROR(LOOKUP(2,1/(E128:T128&lt;&gt;""),E128:T128),""))</f>
        <v/>
      </c>
      <c r="W128" s="45">
        <f>IF(OR(A128="",PreviousYear=""),"",IFERROR(LOOKUP(2,1/(E128:T128&lt;&gt;""),E128:T128)-INDEX(E128:T128,MATCH(PreviousYear,$E$5:$T$5,0)),""))</f>
        <v/>
      </c>
      <c r="X128" s="45">
        <f>IF(OR(A128="",U128="",V128=""),"",V128-U128)</f>
        <v/>
      </c>
      <c r="Y128" s="44">
        <f>IF(A128="","",COUNT(E128:T128))</f>
        <v/>
      </c>
    </row>
    <row r="129">
      <c r="A129" s="39">
        <f>IF(AND('Employees'!B13&lt;&gt;"",'Skills'!B17&lt;&gt;""),'Employees'!B13,"")</f>
        <v/>
      </c>
      <c r="B129" s="40">
        <f>IF(A129="","",'Employees'!C13)</f>
        <v/>
      </c>
      <c r="C129" s="41">
        <f>IF(A129="","",'Skills'!B17)</f>
        <v/>
      </c>
      <c r="D129" s="40">
        <f>IF(A129="","",'Skills'!C17)</f>
        <v/>
      </c>
      <c r="E129" s="42" t="inlineStr"/>
      <c r="F129" s="42" t="inlineStr"/>
      <c r="G129" s="42" t="inlineStr"/>
      <c r="H129" s="43" t="inlineStr"/>
      <c r="I129" s="42" t="inlineStr"/>
      <c r="J129" s="42" t="inlineStr"/>
      <c r="K129" s="42" t="inlineStr"/>
      <c r="L129" s="42" t="inlineStr"/>
      <c r="M129" s="42" t="inlineStr"/>
      <c r="N129" s="42" t="inlineStr"/>
      <c r="O129" s="42" t="inlineStr"/>
      <c r="P129" s="42" t="inlineStr"/>
      <c r="Q129" s="42" t="inlineStr"/>
      <c r="R129" s="42" t="inlineStr"/>
      <c r="S129" s="42" t="inlineStr"/>
      <c r="T129" s="42" t="inlineStr"/>
      <c r="U129" s="44">
        <f>IF(A129="","",IFERROR(INDEX(E129:T129,MATCH(TRUE,INDEX(E129:T129&lt;&gt;"",0),0)),""))</f>
        <v/>
      </c>
      <c r="V129" s="44">
        <f>IF(A129="","",IFERROR(LOOKUP(2,1/(E129:T129&lt;&gt;""),E129:T129),""))</f>
        <v/>
      </c>
      <c r="W129" s="45">
        <f>IF(OR(A129="",PreviousYear=""),"",IFERROR(LOOKUP(2,1/(E129:T129&lt;&gt;""),E129:T129)-INDEX(E129:T129,MATCH(PreviousYear,$E$5:$T$5,0)),""))</f>
        <v/>
      </c>
      <c r="X129" s="45">
        <f>IF(OR(A129="",U129="",V129=""),"",V129-U129)</f>
        <v/>
      </c>
      <c r="Y129" s="44">
        <f>IF(A129="","",COUNT(E129:T129))</f>
        <v/>
      </c>
    </row>
    <row r="130">
      <c r="A130" s="39">
        <f>IF(AND('Employees'!B13&lt;&gt;"",'Skills'!B18&lt;&gt;""),'Employees'!B13,"")</f>
        <v/>
      </c>
      <c r="B130" s="40">
        <f>IF(A130="","",'Employees'!C13)</f>
        <v/>
      </c>
      <c r="C130" s="41">
        <f>IF(A130="","",'Skills'!B18)</f>
        <v/>
      </c>
      <c r="D130" s="40">
        <f>IF(A130="","",'Skills'!C18)</f>
        <v/>
      </c>
      <c r="E130" s="42" t="inlineStr"/>
      <c r="F130" s="42" t="inlineStr"/>
      <c r="G130" s="42" t="inlineStr"/>
      <c r="H130" s="43" t="inlineStr"/>
      <c r="I130" s="42" t="inlineStr"/>
      <c r="J130" s="42" t="inlineStr"/>
      <c r="K130" s="42" t="inlineStr"/>
      <c r="L130" s="42" t="inlineStr"/>
      <c r="M130" s="42" t="inlineStr"/>
      <c r="N130" s="42" t="inlineStr"/>
      <c r="O130" s="42" t="inlineStr"/>
      <c r="P130" s="42" t="inlineStr"/>
      <c r="Q130" s="42" t="inlineStr"/>
      <c r="R130" s="42" t="inlineStr"/>
      <c r="S130" s="42" t="inlineStr"/>
      <c r="T130" s="42" t="inlineStr"/>
      <c r="U130" s="44">
        <f>IF(A130="","",IFERROR(INDEX(E130:T130,MATCH(TRUE,INDEX(E130:T130&lt;&gt;"",0),0)),""))</f>
        <v/>
      </c>
      <c r="V130" s="44">
        <f>IF(A130="","",IFERROR(LOOKUP(2,1/(E130:T130&lt;&gt;""),E130:T130),""))</f>
        <v/>
      </c>
      <c r="W130" s="45">
        <f>IF(OR(A130="",PreviousYear=""),"",IFERROR(LOOKUP(2,1/(E130:T130&lt;&gt;""),E130:T130)-INDEX(E130:T130,MATCH(PreviousYear,$E$5:$T$5,0)),""))</f>
        <v/>
      </c>
      <c r="X130" s="45">
        <f>IF(OR(A130="",U130="",V130=""),"",V130-U130)</f>
        <v/>
      </c>
      <c r="Y130" s="44">
        <f>IF(A130="","",COUNT(E130:T130))</f>
        <v/>
      </c>
    </row>
    <row r="131">
      <c r="A131" s="39">
        <f>IF(AND('Employees'!B13&lt;&gt;"",'Skills'!B19&lt;&gt;""),'Employees'!B13,"")</f>
        <v/>
      </c>
      <c r="B131" s="40">
        <f>IF(A131="","",'Employees'!C13)</f>
        <v/>
      </c>
      <c r="C131" s="41">
        <f>IF(A131="","",'Skills'!B19)</f>
        <v/>
      </c>
      <c r="D131" s="40">
        <f>IF(A131="","",'Skills'!C19)</f>
        <v/>
      </c>
      <c r="E131" s="42" t="inlineStr"/>
      <c r="F131" s="42" t="inlineStr"/>
      <c r="G131" s="42" t="inlineStr"/>
      <c r="H131" s="43" t="inlineStr"/>
      <c r="I131" s="42" t="inlineStr"/>
      <c r="J131" s="42" t="inlineStr"/>
      <c r="K131" s="42" t="inlineStr"/>
      <c r="L131" s="42" t="inlineStr"/>
      <c r="M131" s="42" t="inlineStr"/>
      <c r="N131" s="42" t="inlineStr"/>
      <c r="O131" s="42" t="inlineStr"/>
      <c r="P131" s="42" t="inlineStr"/>
      <c r="Q131" s="42" t="inlineStr"/>
      <c r="R131" s="42" t="inlineStr"/>
      <c r="S131" s="42" t="inlineStr"/>
      <c r="T131" s="42" t="inlineStr"/>
      <c r="U131" s="44">
        <f>IF(A131="","",IFERROR(INDEX(E131:T131,MATCH(TRUE,INDEX(E131:T131&lt;&gt;"",0),0)),""))</f>
        <v/>
      </c>
      <c r="V131" s="44">
        <f>IF(A131="","",IFERROR(LOOKUP(2,1/(E131:T131&lt;&gt;""),E131:T131),""))</f>
        <v/>
      </c>
      <c r="W131" s="45">
        <f>IF(OR(A131="",PreviousYear=""),"",IFERROR(LOOKUP(2,1/(E131:T131&lt;&gt;""),E131:T131)-INDEX(E131:T131,MATCH(PreviousYear,$E$5:$T$5,0)),""))</f>
        <v/>
      </c>
      <c r="X131" s="45">
        <f>IF(OR(A131="",U131="",V131=""),"",V131-U131)</f>
        <v/>
      </c>
      <c r="Y131" s="44">
        <f>IF(A131="","",COUNT(E131:T131))</f>
        <v/>
      </c>
    </row>
    <row r="132">
      <c r="A132" s="39">
        <f>IF(AND('Employees'!B13&lt;&gt;"",'Skills'!B20&lt;&gt;""),'Employees'!B13,"")</f>
        <v/>
      </c>
      <c r="B132" s="40">
        <f>IF(A132="","",'Employees'!C13)</f>
        <v/>
      </c>
      <c r="C132" s="41">
        <f>IF(A132="","",'Skills'!B20)</f>
        <v/>
      </c>
      <c r="D132" s="40">
        <f>IF(A132="","",'Skills'!C20)</f>
        <v/>
      </c>
      <c r="E132" s="42" t="inlineStr"/>
      <c r="F132" s="42" t="inlineStr"/>
      <c r="G132" s="42" t="inlineStr"/>
      <c r="H132" s="43" t="inlineStr"/>
      <c r="I132" s="42" t="inlineStr"/>
      <c r="J132" s="42" t="inlineStr"/>
      <c r="K132" s="42" t="inlineStr"/>
      <c r="L132" s="42" t="inlineStr"/>
      <c r="M132" s="42" t="inlineStr"/>
      <c r="N132" s="42" t="inlineStr"/>
      <c r="O132" s="42" t="inlineStr"/>
      <c r="P132" s="42" t="inlineStr"/>
      <c r="Q132" s="42" t="inlineStr"/>
      <c r="R132" s="42" t="inlineStr"/>
      <c r="S132" s="42" t="inlineStr"/>
      <c r="T132" s="42" t="inlineStr"/>
      <c r="U132" s="44">
        <f>IF(A132="","",IFERROR(INDEX(E132:T132,MATCH(TRUE,INDEX(E132:T132&lt;&gt;"",0),0)),""))</f>
        <v/>
      </c>
      <c r="V132" s="44">
        <f>IF(A132="","",IFERROR(LOOKUP(2,1/(E132:T132&lt;&gt;""),E132:T132),""))</f>
        <v/>
      </c>
      <c r="W132" s="45">
        <f>IF(OR(A132="",PreviousYear=""),"",IFERROR(LOOKUP(2,1/(E132:T132&lt;&gt;""),E132:T132)-INDEX(E132:T132,MATCH(PreviousYear,$E$5:$T$5,0)),""))</f>
        <v/>
      </c>
      <c r="X132" s="45">
        <f>IF(OR(A132="",U132="",V132=""),"",V132-U132)</f>
        <v/>
      </c>
      <c r="Y132" s="44">
        <f>IF(A132="","",COUNT(E132:T132))</f>
        <v/>
      </c>
    </row>
    <row r="133">
      <c r="A133" s="39">
        <f>IF(AND('Employees'!B13&lt;&gt;"",'Skills'!B21&lt;&gt;""),'Employees'!B13,"")</f>
        <v/>
      </c>
      <c r="B133" s="40">
        <f>IF(A133="","",'Employees'!C13)</f>
        <v/>
      </c>
      <c r="C133" s="41">
        <f>IF(A133="","",'Skills'!B21)</f>
        <v/>
      </c>
      <c r="D133" s="40">
        <f>IF(A133="","",'Skills'!C21)</f>
        <v/>
      </c>
      <c r="E133" s="42" t="inlineStr"/>
      <c r="F133" s="42" t="inlineStr"/>
      <c r="G133" s="42" t="inlineStr"/>
      <c r="H133" s="43" t="inlineStr"/>
      <c r="I133" s="42" t="inlineStr"/>
      <c r="J133" s="42" t="inlineStr"/>
      <c r="K133" s="42" t="inlineStr"/>
      <c r="L133" s="42" t="inlineStr"/>
      <c r="M133" s="42" t="inlineStr"/>
      <c r="N133" s="42" t="inlineStr"/>
      <c r="O133" s="42" t="inlineStr"/>
      <c r="P133" s="42" t="inlineStr"/>
      <c r="Q133" s="42" t="inlineStr"/>
      <c r="R133" s="42" t="inlineStr"/>
      <c r="S133" s="42" t="inlineStr"/>
      <c r="T133" s="42" t="inlineStr"/>
      <c r="U133" s="44">
        <f>IF(A133="","",IFERROR(INDEX(E133:T133,MATCH(TRUE,INDEX(E133:T133&lt;&gt;"",0),0)),""))</f>
        <v/>
      </c>
      <c r="V133" s="44">
        <f>IF(A133="","",IFERROR(LOOKUP(2,1/(E133:T133&lt;&gt;""),E133:T133),""))</f>
        <v/>
      </c>
      <c r="W133" s="45">
        <f>IF(OR(A133="",PreviousYear=""),"",IFERROR(LOOKUP(2,1/(E133:T133&lt;&gt;""),E133:T133)-INDEX(E133:T133,MATCH(PreviousYear,$E$5:$T$5,0)),""))</f>
        <v/>
      </c>
      <c r="X133" s="45">
        <f>IF(OR(A133="",U133="",V133=""),"",V133-U133)</f>
        <v/>
      </c>
      <c r="Y133" s="44">
        <f>IF(A133="","",COUNT(E133:T133))</f>
        <v/>
      </c>
    </row>
    <row r="134">
      <c r="A134" s="39">
        <f>IF(AND('Employees'!B14&lt;&gt;"",'Skills'!B6&lt;&gt;""),'Employees'!B14,"")</f>
        <v/>
      </c>
      <c r="B134" s="40">
        <f>IF(A134="","",'Employees'!C14)</f>
        <v/>
      </c>
      <c r="C134" s="41">
        <f>IF(A134="","",'Skills'!B6)</f>
        <v/>
      </c>
      <c r="D134" s="40">
        <f>IF(A134="","",'Skills'!C6)</f>
        <v/>
      </c>
      <c r="E134" s="42" t="inlineStr"/>
      <c r="F134" s="42" t="inlineStr"/>
      <c r="G134" s="42" t="inlineStr"/>
      <c r="H134" s="43" t="inlineStr"/>
      <c r="I134" s="42" t="inlineStr"/>
      <c r="J134" s="42" t="inlineStr"/>
      <c r="K134" s="42" t="inlineStr"/>
      <c r="L134" s="42" t="inlineStr"/>
      <c r="M134" s="42" t="inlineStr"/>
      <c r="N134" s="42" t="inlineStr"/>
      <c r="O134" s="42" t="inlineStr"/>
      <c r="P134" s="42" t="inlineStr"/>
      <c r="Q134" s="42" t="inlineStr"/>
      <c r="R134" s="42" t="inlineStr"/>
      <c r="S134" s="42" t="inlineStr"/>
      <c r="T134" s="42" t="inlineStr"/>
      <c r="U134" s="44">
        <f>IF(A134="","",IFERROR(INDEX(E134:T134,MATCH(TRUE,INDEX(E134:T134&lt;&gt;"",0),0)),""))</f>
        <v/>
      </c>
      <c r="V134" s="44">
        <f>IF(A134="","",IFERROR(LOOKUP(2,1/(E134:T134&lt;&gt;""),E134:T134),""))</f>
        <v/>
      </c>
      <c r="W134" s="45">
        <f>IF(OR(A134="",PreviousYear=""),"",IFERROR(LOOKUP(2,1/(E134:T134&lt;&gt;""),E134:T134)-INDEX(E134:T134,MATCH(PreviousYear,$E$5:$T$5,0)),""))</f>
        <v/>
      </c>
      <c r="X134" s="45">
        <f>IF(OR(A134="",U134="",V134=""),"",V134-U134)</f>
        <v/>
      </c>
      <c r="Y134" s="44">
        <f>IF(A134="","",COUNT(E134:T134))</f>
        <v/>
      </c>
    </row>
    <row r="135">
      <c r="A135" s="39">
        <f>IF(AND('Employees'!B14&lt;&gt;"",'Skills'!B7&lt;&gt;""),'Employees'!B14,"")</f>
        <v/>
      </c>
      <c r="B135" s="40">
        <f>IF(A135="","",'Employees'!C14)</f>
        <v/>
      </c>
      <c r="C135" s="41">
        <f>IF(A135="","",'Skills'!B7)</f>
        <v/>
      </c>
      <c r="D135" s="40">
        <f>IF(A135="","",'Skills'!C7)</f>
        <v/>
      </c>
      <c r="E135" s="42" t="inlineStr"/>
      <c r="F135" s="42" t="inlineStr"/>
      <c r="G135" s="42" t="inlineStr"/>
      <c r="H135" s="43" t="inlineStr"/>
      <c r="I135" s="42" t="inlineStr"/>
      <c r="J135" s="42" t="inlineStr"/>
      <c r="K135" s="42" t="inlineStr"/>
      <c r="L135" s="42" t="inlineStr"/>
      <c r="M135" s="42" t="inlineStr"/>
      <c r="N135" s="42" t="inlineStr"/>
      <c r="O135" s="42" t="inlineStr"/>
      <c r="P135" s="42" t="inlineStr"/>
      <c r="Q135" s="42" t="inlineStr"/>
      <c r="R135" s="42" t="inlineStr"/>
      <c r="S135" s="42" t="inlineStr"/>
      <c r="T135" s="42" t="inlineStr"/>
      <c r="U135" s="44">
        <f>IF(A135="","",IFERROR(INDEX(E135:T135,MATCH(TRUE,INDEX(E135:T135&lt;&gt;"",0),0)),""))</f>
        <v/>
      </c>
      <c r="V135" s="44">
        <f>IF(A135="","",IFERROR(LOOKUP(2,1/(E135:T135&lt;&gt;""),E135:T135),""))</f>
        <v/>
      </c>
      <c r="W135" s="45">
        <f>IF(OR(A135="",PreviousYear=""),"",IFERROR(LOOKUP(2,1/(E135:T135&lt;&gt;""),E135:T135)-INDEX(E135:T135,MATCH(PreviousYear,$E$5:$T$5,0)),""))</f>
        <v/>
      </c>
      <c r="X135" s="45">
        <f>IF(OR(A135="",U135="",V135=""),"",V135-U135)</f>
        <v/>
      </c>
      <c r="Y135" s="44">
        <f>IF(A135="","",COUNT(E135:T135))</f>
        <v/>
      </c>
    </row>
    <row r="136">
      <c r="A136" s="39">
        <f>IF(AND('Employees'!B14&lt;&gt;"",'Skills'!B8&lt;&gt;""),'Employees'!B14,"")</f>
        <v/>
      </c>
      <c r="B136" s="40">
        <f>IF(A136="","",'Employees'!C14)</f>
        <v/>
      </c>
      <c r="C136" s="41">
        <f>IF(A136="","",'Skills'!B8)</f>
        <v/>
      </c>
      <c r="D136" s="40">
        <f>IF(A136="","",'Skills'!C8)</f>
        <v/>
      </c>
      <c r="E136" s="42" t="inlineStr"/>
      <c r="F136" s="42" t="inlineStr"/>
      <c r="G136" s="42" t="inlineStr"/>
      <c r="H136" s="43" t="inlineStr"/>
      <c r="I136" s="42" t="inlineStr"/>
      <c r="J136" s="42" t="inlineStr"/>
      <c r="K136" s="42" t="inlineStr"/>
      <c r="L136" s="42" t="inlineStr"/>
      <c r="M136" s="42" t="inlineStr"/>
      <c r="N136" s="42" t="inlineStr"/>
      <c r="O136" s="42" t="inlineStr"/>
      <c r="P136" s="42" t="inlineStr"/>
      <c r="Q136" s="42" t="inlineStr"/>
      <c r="R136" s="42" t="inlineStr"/>
      <c r="S136" s="42" t="inlineStr"/>
      <c r="T136" s="42" t="inlineStr"/>
      <c r="U136" s="44">
        <f>IF(A136="","",IFERROR(INDEX(E136:T136,MATCH(TRUE,INDEX(E136:T136&lt;&gt;"",0),0)),""))</f>
        <v/>
      </c>
      <c r="V136" s="44">
        <f>IF(A136="","",IFERROR(LOOKUP(2,1/(E136:T136&lt;&gt;""),E136:T136),""))</f>
        <v/>
      </c>
      <c r="W136" s="45">
        <f>IF(OR(A136="",PreviousYear=""),"",IFERROR(LOOKUP(2,1/(E136:T136&lt;&gt;""),E136:T136)-INDEX(E136:T136,MATCH(PreviousYear,$E$5:$T$5,0)),""))</f>
        <v/>
      </c>
      <c r="X136" s="45">
        <f>IF(OR(A136="",U136="",V136=""),"",V136-U136)</f>
        <v/>
      </c>
      <c r="Y136" s="44">
        <f>IF(A136="","",COUNT(E136:T136))</f>
        <v/>
      </c>
    </row>
    <row r="137">
      <c r="A137" s="39">
        <f>IF(AND('Employees'!B14&lt;&gt;"",'Skills'!B9&lt;&gt;""),'Employees'!B14,"")</f>
        <v/>
      </c>
      <c r="B137" s="40">
        <f>IF(A137="","",'Employees'!C14)</f>
        <v/>
      </c>
      <c r="C137" s="41">
        <f>IF(A137="","",'Skills'!B9)</f>
        <v/>
      </c>
      <c r="D137" s="40">
        <f>IF(A137="","",'Skills'!C9)</f>
        <v/>
      </c>
      <c r="E137" s="42" t="inlineStr"/>
      <c r="F137" s="42" t="inlineStr"/>
      <c r="G137" s="42" t="inlineStr"/>
      <c r="H137" s="43" t="inlineStr"/>
      <c r="I137" s="42" t="inlineStr"/>
      <c r="J137" s="42" t="inlineStr"/>
      <c r="K137" s="42" t="inlineStr"/>
      <c r="L137" s="42" t="inlineStr"/>
      <c r="M137" s="42" t="inlineStr"/>
      <c r="N137" s="42" t="inlineStr"/>
      <c r="O137" s="42" t="inlineStr"/>
      <c r="P137" s="42" t="inlineStr"/>
      <c r="Q137" s="42" t="inlineStr"/>
      <c r="R137" s="42" t="inlineStr"/>
      <c r="S137" s="42" t="inlineStr"/>
      <c r="T137" s="42" t="inlineStr"/>
      <c r="U137" s="44">
        <f>IF(A137="","",IFERROR(INDEX(E137:T137,MATCH(TRUE,INDEX(E137:T137&lt;&gt;"",0),0)),""))</f>
        <v/>
      </c>
      <c r="V137" s="44">
        <f>IF(A137="","",IFERROR(LOOKUP(2,1/(E137:T137&lt;&gt;""),E137:T137),""))</f>
        <v/>
      </c>
      <c r="W137" s="45">
        <f>IF(OR(A137="",PreviousYear=""),"",IFERROR(LOOKUP(2,1/(E137:T137&lt;&gt;""),E137:T137)-INDEX(E137:T137,MATCH(PreviousYear,$E$5:$T$5,0)),""))</f>
        <v/>
      </c>
      <c r="X137" s="45">
        <f>IF(OR(A137="",U137="",V137=""),"",V137-U137)</f>
        <v/>
      </c>
      <c r="Y137" s="44">
        <f>IF(A137="","",COUNT(E137:T137))</f>
        <v/>
      </c>
    </row>
    <row r="138">
      <c r="A138" s="39">
        <f>IF(AND('Employees'!B14&lt;&gt;"",'Skills'!B10&lt;&gt;""),'Employees'!B14,"")</f>
        <v/>
      </c>
      <c r="B138" s="40">
        <f>IF(A138="","",'Employees'!C14)</f>
        <v/>
      </c>
      <c r="C138" s="41">
        <f>IF(A138="","",'Skills'!B10)</f>
        <v/>
      </c>
      <c r="D138" s="40">
        <f>IF(A138="","",'Skills'!C10)</f>
        <v/>
      </c>
      <c r="E138" s="42" t="inlineStr"/>
      <c r="F138" s="42" t="inlineStr"/>
      <c r="G138" s="42" t="inlineStr"/>
      <c r="H138" s="43" t="inlineStr"/>
      <c r="I138" s="42" t="inlineStr"/>
      <c r="J138" s="42" t="inlineStr"/>
      <c r="K138" s="42" t="inlineStr"/>
      <c r="L138" s="42" t="inlineStr"/>
      <c r="M138" s="42" t="inlineStr"/>
      <c r="N138" s="42" t="inlineStr"/>
      <c r="O138" s="42" t="inlineStr"/>
      <c r="P138" s="42" t="inlineStr"/>
      <c r="Q138" s="42" t="inlineStr"/>
      <c r="R138" s="42" t="inlineStr"/>
      <c r="S138" s="42" t="inlineStr"/>
      <c r="T138" s="42" t="inlineStr"/>
      <c r="U138" s="44">
        <f>IF(A138="","",IFERROR(INDEX(E138:T138,MATCH(TRUE,INDEX(E138:T138&lt;&gt;"",0),0)),""))</f>
        <v/>
      </c>
      <c r="V138" s="44">
        <f>IF(A138="","",IFERROR(LOOKUP(2,1/(E138:T138&lt;&gt;""),E138:T138),""))</f>
        <v/>
      </c>
      <c r="W138" s="45">
        <f>IF(OR(A138="",PreviousYear=""),"",IFERROR(LOOKUP(2,1/(E138:T138&lt;&gt;""),E138:T138)-INDEX(E138:T138,MATCH(PreviousYear,$E$5:$T$5,0)),""))</f>
        <v/>
      </c>
      <c r="X138" s="45">
        <f>IF(OR(A138="",U138="",V138=""),"",V138-U138)</f>
        <v/>
      </c>
      <c r="Y138" s="44">
        <f>IF(A138="","",COUNT(E138:T138))</f>
        <v/>
      </c>
    </row>
    <row r="139">
      <c r="A139" s="39">
        <f>IF(AND('Employees'!B14&lt;&gt;"",'Skills'!B11&lt;&gt;""),'Employees'!B14,"")</f>
        <v/>
      </c>
      <c r="B139" s="40">
        <f>IF(A139="","",'Employees'!C14)</f>
        <v/>
      </c>
      <c r="C139" s="41">
        <f>IF(A139="","",'Skills'!B11)</f>
        <v/>
      </c>
      <c r="D139" s="40">
        <f>IF(A139="","",'Skills'!C11)</f>
        <v/>
      </c>
      <c r="E139" s="42" t="inlineStr"/>
      <c r="F139" s="42" t="inlineStr"/>
      <c r="G139" s="42" t="inlineStr"/>
      <c r="H139" s="43" t="inlineStr"/>
      <c r="I139" s="42" t="inlineStr"/>
      <c r="J139" s="42" t="inlineStr"/>
      <c r="K139" s="42" t="inlineStr"/>
      <c r="L139" s="42" t="inlineStr"/>
      <c r="M139" s="42" t="inlineStr"/>
      <c r="N139" s="42" t="inlineStr"/>
      <c r="O139" s="42" t="inlineStr"/>
      <c r="P139" s="42" t="inlineStr"/>
      <c r="Q139" s="42" t="inlineStr"/>
      <c r="R139" s="42" t="inlineStr"/>
      <c r="S139" s="42" t="inlineStr"/>
      <c r="T139" s="42" t="inlineStr"/>
      <c r="U139" s="44">
        <f>IF(A139="","",IFERROR(INDEX(E139:T139,MATCH(TRUE,INDEX(E139:T139&lt;&gt;"",0),0)),""))</f>
        <v/>
      </c>
      <c r="V139" s="44">
        <f>IF(A139="","",IFERROR(LOOKUP(2,1/(E139:T139&lt;&gt;""),E139:T139),""))</f>
        <v/>
      </c>
      <c r="W139" s="45">
        <f>IF(OR(A139="",PreviousYear=""),"",IFERROR(LOOKUP(2,1/(E139:T139&lt;&gt;""),E139:T139)-INDEX(E139:T139,MATCH(PreviousYear,$E$5:$T$5,0)),""))</f>
        <v/>
      </c>
      <c r="X139" s="45">
        <f>IF(OR(A139="",U139="",V139=""),"",V139-U139)</f>
        <v/>
      </c>
      <c r="Y139" s="44">
        <f>IF(A139="","",COUNT(E139:T139))</f>
        <v/>
      </c>
    </row>
    <row r="140">
      <c r="A140" s="39">
        <f>IF(AND('Employees'!B14&lt;&gt;"",'Skills'!B12&lt;&gt;""),'Employees'!B14,"")</f>
        <v/>
      </c>
      <c r="B140" s="40">
        <f>IF(A140="","",'Employees'!C14)</f>
        <v/>
      </c>
      <c r="C140" s="41">
        <f>IF(A140="","",'Skills'!B12)</f>
        <v/>
      </c>
      <c r="D140" s="40">
        <f>IF(A140="","",'Skills'!C12)</f>
        <v/>
      </c>
      <c r="E140" s="42" t="inlineStr"/>
      <c r="F140" s="42" t="inlineStr"/>
      <c r="G140" s="42" t="inlineStr"/>
      <c r="H140" s="43" t="inlineStr"/>
      <c r="I140" s="42" t="inlineStr"/>
      <c r="J140" s="42" t="inlineStr"/>
      <c r="K140" s="42" t="inlineStr"/>
      <c r="L140" s="42" t="inlineStr"/>
      <c r="M140" s="42" t="inlineStr"/>
      <c r="N140" s="42" t="inlineStr"/>
      <c r="O140" s="42" t="inlineStr"/>
      <c r="P140" s="42" t="inlineStr"/>
      <c r="Q140" s="42" t="inlineStr"/>
      <c r="R140" s="42" t="inlineStr"/>
      <c r="S140" s="42" t="inlineStr"/>
      <c r="T140" s="42" t="inlineStr"/>
      <c r="U140" s="44">
        <f>IF(A140="","",IFERROR(INDEX(E140:T140,MATCH(TRUE,INDEX(E140:T140&lt;&gt;"",0),0)),""))</f>
        <v/>
      </c>
      <c r="V140" s="44">
        <f>IF(A140="","",IFERROR(LOOKUP(2,1/(E140:T140&lt;&gt;""),E140:T140),""))</f>
        <v/>
      </c>
      <c r="W140" s="45">
        <f>IF(OR(A140="",PreviousYear=""),"",IFERROR(LOOKUP(2,1/(E140:T140&lt;&gt;""),E140:T140)-INDEX(E140:T140,MATCH(PreviousYear,$E$5:$T$5,0)),""))</f>
        <v/>
      </c>
      <c r="X140" s="45">
        <f>IF(OR(A140="",U140="",V140=""),"",V140-U140)</f>
        <v/>
      </c>
      <c r="Y140" s="44">
        <f>IF(A140="","",COUNT(E140:T140))</f>
        <v/>
      </c>
    </row>
    <row r="141">
      <c r="A141" s="39">
        <f>IF(AND('Employees'!B14&lt;&gt;"",'Skills'!B13&lt;&gt;""),'Employees'!B14,"")</f>
        <v/>
      </c>
      <c r="B141" s="40">
        <f>IF(A141="","",'Employees'!C14)</f>
        <v/>
      </c>
      <c r="C141" s="41">
        <f>IF(A141="","",'Skills'!B13)</f>
        <v/>
      </c>
      <c r="D141" s="40">
        <f>IF(A141="","",'Skills'!C13)</f>
        <v/>
      </c>
      <c r="E141" s="42" t="inlineStr"/>
      <c r="F141" s="42" t="inlineStr"/>
      <c r="G141" s="42" t="inlineStr"/>
      <c r="H141" s="43" t="inlineStr"/>
      <c r="I141" s="42" t="inlineStr"/>
      <c r="J141" s="42" t="inlineStr"/>
      <c r="K141" s="42" t="inlineStr"/>
      <c r="L141" s="42" t="inlineStr"/>
      <c r="M141" s="42" t="inlineStr"/>
      <c r="N141" s="42" t="inlineStr"/>
      <c r="O141" s="42" t="inlineStr"/>
      <c r="P141" s="42" t="inlineStr"/>
      <c r="Q141" s="42" t="inlineStr"/>
      <c r="R141" s="42" t="inlineStr"/>
      <c r="S141" s="42" t="inlineStr"/>
      <c r="T141" s="42" t="inlineStr"/>
      <c r="U141" s="44">
        <f>IF(A141="","",IFERROR(INDEX(E141:T141,MATCH(TRUE,INDEX(E141:T141&lt;&gt;"",0),0)),""))</f>
        <v/>
      </c>
      <c r="V141" s="44">
        <f>IF(A141="","",IFERROR(LOOKUP(2,1/(E141:T141&lt;&gt;""),E141:T141),""))</f>
        <v/>
      </c>
      <c r="W141" s="45">
        <f>IF(OR(A141="",PreviousYear=""),"",IFERROR(LOOKUP(2,1/(E141:T141&lt;&gt;""),E141:T141)-INDEX(E141:T141,MATCH(PreviousYear,$E$5:$T$5,0)),""))</f>
        <v/>
      </c>
      <c r="X141" s="45">
        <f>IF(OR(A141="",U141="",V141=""),"",V141-U141)</f>
        <v/>
      </c>
      <c r="Y141" s="44">
        <f>IF(A141="","",COUNT(E141:T141))</f>
        <v/>
      </c>
    </row>
    <row r="142">
      <c r="A142" s="39">
        <f>IF(AND('Employees'!B14&lt;&gt;"",'Skills'!B14&lt;&gt;""),'Employees'!B14,"")</f>
        <v/>
      </c>
      <c r="B142" s="40">
        <f>IF(A142="","",'Employees'!C14)</f>
        <v/>
      </c>
      <c r="C142" s="41">
        <f>IF(A142="","",'Skills'!B14)</f>
        <v/>
      </c>
      <c r="D142" s="40">
        <f>IF(A142="","",'Skills'!C14)</f>
        <v/>
      </c>
      <c r="E142" s="42" t="inlineStr"/>
      <c r="F142" s="42" t="inlineStr"/>
      <c r="G142" s="42" t="inlineStr"/>
      <c r="H142" s="43" t="inlineStr"/>
      <c r="I142" s="42" t="inlineStr"/>
      <c r="J142" s="42" t="inlineStr"/>
      <c r="K142" s="42" t="inlineStr"/>
      <c r="L142" s="42" t="inlineStr"/>
      <c r="M142" s="42" t="inlineStr"/>
      <c r="N142" s="42" t="inlineStr"/>
      <c r="O142" s="42" t="inlineStr"/>
      <c r="P142" s="42" t="inlineStr"/>
      <c r="Q142" s="42" t="inlineStr"/>
      <c r="R142" s="42" t="inlineStr"/>
      <c r="S142" s="42" t="inlineStr"/>
      <c r="T142" s="42" t="inlineStr"/>
      <c r="U142" s="44">
        <f>IF(A142="","",IFERROR(INDEX(E142:T142,MATCH(TRUE,INDEX(E142:T142&lt;&gt;"",0),0)),""))</f>
        <v/>
      </c>
      <c r="V142" s="44">
        <f>IF(A142="","",IFERROR(LOOKUP(2,1/(E142:T142&lt;&gt;""),E142:T142),""))</f>
        <v/>
      </c>
      <c r="W142" s="45">
        <f>IF(OR(A142="",PreviousYear=""),"",IFERROR(LOOKUP(2,1/(E142:T142&lt;&gt;""),E142:T142)-INDEX(E142:T142,MATCH(PreviousYear,$E$5:$T$5,0)),""))</f>
        <v/>
      </c>
      <c r="X142" s="45">
        <f>IF(OR(A142="",U142="",V142=""),"",V142-U142)</f>
        <v/>
      </c>
      <c r="Y142" s="44">
        <f>IF(A142="","",COUNT(E142:T142))</f>
        <v/>
      </c>
    </row>
    <row r="143">
      <c r="A143" s="39">
        <f>IF(AND('Employees'!B14&lt;&gt;"",'Skills'!B15&lt;&gt;""),'Employees'!B14,"")</f>
        <v/>
      </c>
      <c r="B143" s="40">
        <f>IF(A143="","",'Employees'!C14)</f>
        <v/>
      </c>
      <c r="C143" s="41">
        <f>IF(A143="","",'Skills'!B15)</f>
        <v/>
      </c>
      <c r="D143" s="40">
        <f>IF(A143="","",'Skills'!C15)</f>
        <v/>
      </c>
      <c r="E143" s="42" t="inlineStr"/>
      <c r="F143" s="42" t="inlineStr"/>
      <c r="G143" s="42" t="inlineStr"/>
      <c r="H143" s="43" t="inlineStr"/>
      <c r="I143" s="42" t="inlineStr"/>
      <c r="J143" s="42" t="inlineStr"/>
      <c r="K143" s="42" t="inlineStr"/>
      <c r="L143" s="42" t="inlineStr"/>
      <c r="M143" s="42" t="inlineStr"/>
      <c r="N143" s="42" t="inlineStr"/>
      <c r="O143" s="42" t="inlineStr"/>
      <c r="P143" s="42" t="inlineStr"/>
      <c r="Q143" s="42" t="inlineStr"/>
      <c r="R143" s="42" t="inlineStr"/>
      <c r="S143" s="42" t="inlineStr"/>
      <c r="T143" s="42" t="inlineStr"/>
      <c r="U143" s="44">
        <f>IF(A143="","",IFERROR(INDEX(E143:T143,MATCH(TRUE,INDEX(E143:T143&lt;&gt;"",0),0)),""))</f>
        <v/>
      </c>
      <c r="V143" s="44">
        <f>IF(A143="","",IFERROR(LOOKUP(2,1/(E143:T143&lt;&gt;""),E143:T143),""))</f>
        <v/>
      </c>
      <c r="W143" s="45">
        <f>IF(OR(A143="",PreviousYear=""),"",IFERROR(LOOKUP(2,1/(E143:T143&lt;&gt;""),E143:T143)-INDEX(E143:T143,MATCH(PreviousYear,$E$5:$T$5,0)),""))</f>
        <v/>
      </c>
      <c r="X143" s="45">
        <f>IF(OR(A143="",U143="",V143=""),"",V143-U143)</f>
        <v/>
      </c>
      <c r="Y143" s="44">
        <f>IF(A143="","",COUNT(E143:T143))</f>
        <v/>
      </c>
    </row>
    <row r="144">
      <c r="A144" s="39">
        <f>IF(AND('Employees'!B14&lt;&gt;"",'Skills'!B16&lt;&gt;""),'Employees'!B14,"")</f>
        <v/>
      </c>
      <c r="B144" s="40">
        <f>IF(A144="","",'Employees'!C14)</f>
        <v/>
      </c>
      <c r="C144" s="41">
        <f>IF(A144="","",'Skills'!B16)</f>
        <v/>
      </c>
      <c r="D144" s="40">
        <f>IF(A144="","",'Skills'!C16)</f>
        <v/>
      </c>
      <c r="E144" s="42" t="inlineStr"/>
      <c r="F144" s="42" t="inlineStr"/>
      <c r="G144" s="42" t="inlineStr"/>
      <c r="H144" s="43" t="inlineStr"/>
      <c r="I144" s="42" t="inlineStr"/>
      <c r="J144" s="42" t="inlineStr"/>
      <c r="K144" s="42" t="inlineStr"/>
      <c r="L144" s="42" t="inlineStr"/>
      <c r="M144" s="42" t="inlineStr"/>
      <c r="N144" s="42" t="inlineStr"/>
      <c r="O144" s="42" t="inlineStr"/>
      <c r="P144" s="42" t="inlineStr"/>
      <c r="Q144" s="42" t="inlineStr"/>
      <c r="R144" s="42" t="inlineStr"/>
      <c r="S144" s="42" t="inlineStr"/>
      <c r="T144" s="42" t="inlineStr"/>
      <c r="U144" s="44">
        <f>IF(A144="","",IFERROR(INDEX(E144:T144,MATCH(TRUE,INDEX(E144:T144&lt;&gt;"",0),0)),""))</f>
        <v/>
      </c>
      <c r="V144" s="44">
        <f>IF(A144="","",IFERROR(LOOKUP(2,1/(E144:T144&lt;&gt;""),E144:T144),""))</f>
        <v/>
      </c>
      <c r="W144" s="45">
        <f>IF(OR(A144="",PreviousYear=""),"",IFERROR(LOOKUP(2,1/(E144:T144&lt;&gt;""),E144:T144)-INDEX(E144:T144,MATCH(PreviousYear,$E$5:$T$5,0)),""))</f>
        <v/>
      </c>
      <c r="X144" s="45">
        <f>IF(OR(A144="",U144="",V144=""),"",V144-U144)</f>
        <v/>
      </c>
      <c r="Y144" s="44">
        <f>IF(A144="","",COUNT(E144:T144))</f>
        <v/>
      </c>
    </row>
    <row r="145">
      <c r="A145" s="39">
        <f>IF(AND('Employees'!B14&lt;&gt;"",'Skills'!B17&lt;&gt;""),'Employees'!B14,"")</f>
        <v/>
      </c>
      <c r="B145" s="40">
        <f>IF(A145="","",'Employees'!C14)</f>
        <v/>
      </c>
      <c r="C145" s="41">
        <f>IF(A145="","",'Skills'!B17)</f>
        <v/>
      </c>
      <c r="D145" s="40">
        <f>IF(A145="","",'Skills'!C17)</f>
        <v/>
      </c>
      <c r="E145" s="42" t="inlineStr"/>
      <c r="F145" s="42" t="inlineStr"/>
      <c r="G145" s="42" t="inlineStr"/>
      <c r="H145" s="43" t="inlineStr"/>
      <c r="I145" s="42" t="inlineStr"/>
      <c r="J145" s="42" t="inlineStr"/>
      <c r="K145" s="42" t="inlineStr"/>
      <c r="L145" s="42" t="inlineStr"/>
      <c r="M145" s="42" t="inlineStr"/>
      <c r="N145" s="42" t="inlineStr"/>
      <c r="O145" s="42" t="inlineStr"/>
      <c r="P145" s="42" t="inlineStr"/>
      <c r="Q145" s="42" t="inlineStr"/>
      <c r="R145" s="42" t="inlineStr"/>
      <c r="S145" s="42" t="inlineStr"/>
      <c r="T145" s="42" t="inlineStr"/>
      <c r="U145" s="44">
        <f>IF(A145="","",IFERROR(INDEX(E145:T145,MATCH(TRUE,INDEX(E145:T145&lt;&gt;"",0),0)),""))</f>
        <v/>
      </c>
      <c r="V145" s="44">
        <f>IF(A145="","",IFERROR(LOOKUP(2,1/(E145:T145&lt;&gt;""),E145:T145),""))</f>
        <v/>
      </c>
      <c r="W145" s="45">
        <f>IF(OR(A145="",PreviousYear=""),"",IFERROR(LOOKUP(2,1/(E145:T145&lt;&gt;""),E145:T145)-INDEX(E145:T145,MATCH(PreviousYear,$E$5:$T$5,0)),""))</f>
        <v/>
      </c>
      <c r="X145" s="45">
        <f>IF(OR(A145="",U145="",V145=""),"",V145-U145)</f>
        <v/>
      </c>
      <c r="Y145" s="44">
        <f>IF(A145="","",COUNT(E145:T145))</f>
        <v/>
      </c>
    </row>
    <row r="146">
      <c r="A146" s="39">
        <f>IF(AND('Employees'!B14&lt;&gt;"",'Skills'!B18&lt;&gt;""),'Employees'!B14,"")</f>
        <v/>
      </c>
      <c r="B146" s="40">
        <f>IF(A146="","",'Employees'!C14)</f>
        <v/>
      </c>
      <c r="C146" s="41">
        <f>IF(A146="","",'Skills'!B18)</f>
        <v/>
      </c>
      <c r="D146" s="40">
        <f>IF(A146="","",'Skills'!C18)</f>
        <v/>
      </c>
      <c r="E146" s="42" t="inlineStr"/>
      <c r="F146" s="42" t="inlineStr"/>
      <c r="G146" s="42" t="inlineStr"/>
      <c r="H146" s="43" t="inlineStr"/>
      <c r="I146" s="42" t="inlineStr"/>
      <c r="J146" s="42" t="inlineStr"/>
      <c r="K146" s="42" t="inlineStr"/>
      <c r="L146" s="42" t="inlineStr"/>
      <c r="M146" s="42" t="inlineStr"/>
      <c r="N146" s="42" t="inlineStr"/>
      <c r="O146" s="42" t="inlineStr"/>
      <c r="P146" s="42" t="inlineStr"/>
      <c r="Q146" s="42" t="inlineStr"/>
      <c r="R146" s="42" t="inlineStr"/>
      <c r="S146" s="42" t="inlineStr"/>
      <c r="T146" s="42" t="inlineStr"/>
      <c r="U146" s="44">
        <f>IF(A146="","",IFERROR(INDEX(E146:T146,MATCH(TRUE,INDEX(E146:T146&lt;&gt;"",0),0)),""))</f>
        <v/>
      </c>
      <c r="V146" s="44">
        <f>IF(A146="","",IFERROR(LOOKUP(2,1/(E146:T146&lt;&gt;""),E146:T146),""))</f>
        <v/>
      </c>
      <c r="W146" s="45">
        <f>IF(OR(A146="",PreviousYear=""),"",IFERROR(LOOKUP(2,1/(E146:T146&lt;&gt;""),E146:T146)-INDEX(E146:T146,MATCH(PreviousYear,$E$5:$T$5,0)),""))</f>
        <v/>
      </c>
      <c r="X146" s="45">
        <f>IF(OR(A146="",U146="",V146=""),"",V146-U146)</f>
        <v/>
      </c>
      <c r="Y146" s="44">
        <f>IF(A146="","",COUNT(E146:T146))</f>
        <v/>
      </c>
    </row>
    <row r="147">
      <c r="A147" s="39">
        <f>IF(AND('Employees'!B14&lt;&gt;"",'Skills'!B19&lt;&gt;""),'Employees'!B14,"")</f>
        <v/>
      </c>
      <c r="B147" s="40">
        <f>IF(A147="","",'Employees'!C14)</f>
        <v/>
      </c>
      <c r="C147" s="41">
        <f>IF(A147="","",'Skills'!B19)</f>
        <v/>
      </c>
      <c r="D147" s="40">
        <f>IF(A147="","",'Skills'!C19)</f>
        <v/>
      </c>
      <c r="E147" s="42" t="inlineStr"/>
      <c r="F147" s="42" t="inlineStr"/>
      <c r="G147" s="42" t="inlineStr"/>
      <c r="H147" s="43" t="inlineStr"/>
      <c r="I147" s="42" t="inlineStr"/>
      <c r="J147" s="42" t="inlineStr"/>
      <c r="K147" s="42" t="inlineStr"/>
      <c r="L147" s="42" t="inlineStr"/>
      <c r="M147" s="42" t="inlineStr"/>
      <c r="N147" s="42" t="inlineStr"/>
      <c r="O147" s="42" t="inlineStr"/>
      <c r="P147" s="42" t="inlineStr"/>
      <c r="Q147" s="42" t="inlineStr"/>
      <c r="R147" s="42" t="inlineStr"/>
      <c r="S147" s="42" t="inlineStr"/>
      <c r="T147" s="42" t="inlineStr"/>
      <c r="U147" s="44">
        <f>IF(A147="","",IFERROR(INDEX(E147:T147,MATCH(TRUE,INDEX(E147:T147&lt;&gt;"",0),0)),""))</f>
        <v/>
      </c>
      <c r="V147" s="44">
        <f>IF(A147="","",IFERROR(LOOKUP(2,1/(E147:T147&lt;&gt;""),E147:T147),""))</f>
        <v/>
      </c>
      <c r="W147" s="45">
        <f>IF(OR(A147="",PreviousYear=""),"",IFERROR(LOOKUP(2,1/(E147:T147&lt;&gt;""),E147:T147)-INDEX(E147:T147,MATCH(PreviousYear,$E$5:$T$5,0)),""))</f>
        <v/>
      </c>
      <c r="X147" s="45">
        <f>IF(OR(A147="",U147="",V147=""),"",V147-U147)</f>
        <v/>
      </c>
      <c r="Y147" s="44">
        <f>IF(A147="","",COUNT(E147:T147))</f>
        <v/>
      </c>
    </row>
    <row r="148">
      <c r="A148" s="39">
        <f>IF(AND('Employees'!B14&lt;&gt;"",'Skills'!B20&lt;&gt;""),'Employees'!B14,"")</f>
        <v/>
      </c>
      <c r="B148" s="40">
        <f>IF(A148="","",'Employees'!C14)</f>
        <v/>
      </c>
      <c r="C148" s="41">
        <f>IF(A148="","",'Skills'!B20)</f>
        <v/>
      </c>
      <c r="D148" s="40">
        <f>IF(A148="","",'Skills'!C20)</f>
        <v/>
      </c>
      <c r="E148" s="42" t="inlineStr"/>
      <c r="F148" s="42" t="inlineStr"/>
      <c r="G148" s="42" t="inlineStr"/>
      <c r="H148" s="43" t="inlineStr"/>
      <c r="I148" s="42" t="inlineStr"/>
      <c r="J148" s="42" t="inlineStr"/>
      <c r="K148" s="42" t="inlineStr"/>
      <c r="L148" s="42" t="inlineStr"/>
      <c r="M148" s="42" t="inlineStr"/>
      <c r="N148" s="42" t="inlineStr"/>
      <c r="O148" s="42" t="inlineStr"/>
      <c r="P148" s="42" t="inlineStr"/>
      <c r="Q148" s="42" t="inlineStr"/>
      <c r="R148" s="42" t="inlineStr"/>
      <c r="S148" s="42" t="inlineStr"/>
      <c r="T148" s="42" t="inlineStr"/>
      <c r="U148" s="44">
        <f>IF(A148="","",IFERROR(INDEX(E148:T148,MATCH(TRUE,INDEX(E148:T148&lt;&gt;"",0),0)),""))</f>
        <v/>
      </c>
      <c r="V148" s="44">
        <f>IF(A148="","",IFERROR(LOOKUP(2,1/(E148:T148&lt;&gt;""),E148:T148),""))</f>
        <v/>
      </c>
      <c r="W148" s="45">
        <f>IF(OR(A148="",PreviousYear=""),"",IFERROR(LOOKUP(2,1/(E148:T148&lt;&gt;""),E148:T148)-INDEX(E148:T148,MATCH(PreviousYear,$E$5:$T$5,0)),""))</f>
        <v/>
      </c>
      <c r="X148" s="45">
        <f>IF(OR(A148="",U148="",V148=""),"",V148-U148)</f>
        <v/>
      </c>
      <c r="Y148" s="44">
        <f>IF(A148="","",COUNT(E148:T148))</f>
        <v/>
      </c>
    </row>
    <row r="149">
      <c r="A149" s="39">
        <f>IF(AND('Employees'!B14&lt;&gt;"",'Skills'!B21&lt;&gt;""),'Employees'!B14,"")</f>
        <v/>
      </c>
      <c r="B149" s="40">
        <f>IF(A149="","",'Employees'!C14)</f>
        <v/>
      </c>
      <c r="C149" s="41">
        <f>IF(A149="","",'Skills'!B21)</f>
        <v/>
      </c>
      <c r="D149" s="40">
        <f>IF(A149="","",'Skills'!C21)</f>
        <v/>
      </c>
      <c r="E149" s="42" t="inlineStr"/>
      <c r="F149" s="42" t="inlineStr"/>
      <c r="G149" s="42" t="inlineStr"/>
      <c r="H149" s="43" t="inlineStr"/>
      <c r="I149" s="42" t="inlineStr"/>
      <c r="J149" s="42" t="inlineStr"/>
      <c r="K149" s="42" t="inlineStr"/>
      <c r="L149" s="42" t="inlineStr"/>
      <c r="M149" s="42" t="inlineStr"/>
      <c r="N149" s="42" t="inlineStr"/>
      <c r="O149" s="42" t="inlineStr"/>
      <c r="P149" s="42" t="inlineStr"/>
      <c r="Q149" s="42" t="inlineStr"/>
      <c r="R149" s="42" t="inlineStr"/>
      <c r="S149" s="42" t="inlineStr"/>
      <c r="T149" s="42" t="inlineStr"/>
      <c r="U149" s="44">
        <f>IF(A149="","",IFERROR(INDEX(E149:T149,MATCH(TRUE,INDEX(E149:T149&lt;&gt;"",0),0)),""))</f>
        <v/>
      </c>
      <c r="V149" s="44">
        <f>IF(A149="","",IFERROR(LOOKUP(2,1/(E149:T149&lt;&gt;""),E149:T149),""))</f>
        <v/>
      </c>
      <c r="W149" s="45">
        <f>IF(OR(A149="",PreviousYear=""),"",IFERROR(LOOKUP(2,1/(E149:T149&lt;&gt;""),E149:T149)-INDEX(E149:T149,MATCH(PreviousYear,$E$5:$T$5,0)),""))</f>
        <v/>
      </c>
      <c r="X149" s="45">
        <f>IF(OR(A149="",U149="",V149=""),"",V149-U149)</f>
        <v/>
      </c>
      <c r="Y149" s="44">
        <f>IF(A149="","",COUNT(E149:T149))</f>
        <v/>
      </c>
    </row>
    <row r="150">
      <c r="A150" s="39">
        <f>IF(AND('Employees'!B15&lt;&gt;"",'Skills'!B6&lt;&gt;""),'Employees'!B15,"")</f>
        <v/>
      </c>
      <c r="B150" s="40">
        <f>IF(A150="","",'Employees'!C15)</f>
        <v/>
      </c>
      <c r="C150" s="41">
        <f>IF(A150="","",'Skills'!B6)</f>
        <v/>
      </c>
      <c r="D150" s="40">
        <f>IF(A150="","",'Skills'!C6)</f>
        <v/>
      </c>
      <c r="E150" s="42" t="inlineStr"/>
      <c r="F150" s="42" t="inlineStr"/>
      <c r="G150" s="42" t="inlineStr"/>
      <c r="H150" s="43" t="inlineStr"/>
      <c r="I150" s="42" t="inlineStr"/>
      <c r="J150" s="42" t="inlineStr"/>
      <c r="K150" s="42" t="inlineStr"/>
      <c r="L150" s="42" t="inlineStr"/>
      <c r="M150" s="42" t="inlineStr"/>
      <c r="N150" s="42" t="inlineStr"/>
      <c r="O150" s="42" t="inlineStr"/>
      <c r="P150" s="42" t="inlineStr"/>
      <c r="Q150" s="42" t="inlineStr"/>
      <c r="R150" s="42" t="inlineStr"/>
      <c r="S150" s="42" t="inlineStr"/>
      <c r="T150" s="42" t="inlineStr"/>
      <c r="U150" s="44">
        <f>IF(A150="","",IFERROR(INDEX(E150:T150,MATCH(TRUE,INDEX(E150:T150&lt;&gt;"",0),0)),""))</f>
        <v/>
      </c>
      <c r="V150" s="44">
        <f>IF(A150="","",IFERROR(LOOKUP(2,1/(E150:T150&lt;&gt;""),E150:T150),""))</f>
        <v/>
      </c>
      <c r="W150" s="45">
        <f>IF(OR(A150="",PreviousYear=""),"",IFERROR(LOOKUP(2,1/(E150:T150&lt;&gt;""),E150:T150)-INDEX(E150:T150,MATCH(PreviousYear,$E$5:$T$5,0)),""))</f>
        <v/>
      </c>
      <c r="X150" s="45">
        <f>IF(OR(A150="",U150="",V150=""),"",V150-U150)</f>
        <v/>
      </c>
      <c r="Y150" s="44">
        <f>IF(A150="","",COUNT(E150:T150))</f>
        <v/>
      </c>
    </row>
    <row r="151">
      <c r="A151" s="39">
        <f>IF(AND('Employees'!B15&lt;&gt;"",'Skills'!B7&lt;&gt;""),'Employees'!B15,"")</f>
        <v/>
      </c>
      <c r="B151" s="40">
        <f>IF(A151="","",'Employees'!C15)</f>
        <v/>
      </c>
      <c r="C151" s="41">
        <f>IF(A151="","",'Skills'!B7)</f>
        <v/>
      </c>
      <c r="D151" s="40">
        <f>IF(A151="","",'Skills'!C7)</f>
        <v/>
      </c>
      <c r="E151" s="42" t="inlineStr"/>
      <c r="F151" s="42" t="inlineStr"/>
      <c r="G151" s="42" t="inlineStr"/>
      <c r="H151" s="43" t="inlineStr"/>
      <c r="I151" s="42" t="inlineStr"/>
      <c r="J151" s="42" t="inlineStr"/>
      <c r="K151" s="42" t="inlineStr"/>
      <c r="L151" s="42" t="inlineStr"/>
      <c r="M151" s="42" t="inlineStr"/>
      <c r="N151" s="42" t="inlineStr"/>
      <c r="O151" s="42" t="inlineStr"/>
      <c r="P151" s="42" t="inlineStr"/>
      <c r="Q151" s="42" t="inlineStr"/>
      <c r="R151" s="42" t="inlineStr"/>
      <c r="S151" s="42" t="inlineStr"/>
      <c r="T151" s="42" t="inlineStr"/>
      <c r="U151" s="44">
        <f>IF(A151="","",IFERROR(INDEX(E151:T151,MATCH(TRUE,INDEX(E151:T151&lt;&gt;"",0),0)),""))</f>
        <v/>
      </c>
      <c r="V151" s="44">
        <f>IF(A151="","",IFERROR(LOOKUP(2,1/(E151:T151&lt;&gt;""),E151:T151),""))</f>
        <v/>
      </c>
      <c r="W151" s="45">
        <f>IF(OR(A151="",PreviousYear=""),"",IFERROR(LOOKUP(2,1/(E151:T151&lt;&gt;""),E151:T151)-INDEX(E151:T151,MATCH(PreviousYear,$E$5:$T$5,0)),""))</f>
        <v/>
      </c>
      <c r="X151" s="45">
        <f>IF(OR(A151="",U151="",V151=""),"",V151-U151)</f>
        <v/>
      </c>
      <c r="Y151" s="44">
        <f>IF(A151="","",COUNT(E151:T151))</f>
        <v/>
      </c>
    </row>
    <row r="152">
      <c r="A152" s="39">
        <f>IF(AND('Employees'!B15&lt;&gt;"",'Skills'!B8&lt;&gt;""),'Employees'!B15,"")</f>
        <v/>
      </c>
      <c r="B152" s="40">
        <f>IF(A152="","",'Employees'!C15)</f>
        <v/>
      </c>
      <c r="C152" s="41">
        <f>IF(A152="","",'Skills'!B8)</f>
        <v/>
      </c>
      <c r="D152" s="40">
        <f>IF(A152="","",'Skills'!C8)</f>
        <v/>
      </c>
      <c r="E152" s="42" t="inlineStr"/>
      <c r="F152" s="42" t="inlineStr"/>
      <c r="G152" s="42" t="inlineStr"/>
      <c r="H152" s="43" t="inlineStr"/>
      <c r="I152" s="42" t="inlineStr"/>
      <c r="J152" s="42" t="inlineStr"/>
      <c r="K152" s="42" t="inlineStr"/>
      <c r="L152" s="42" t="inlineStr"/>
      <c r="M152" s="42" t="inlineStr"/>
      <c r="N152" s="42" t="inlineStr"/>
      <c r="O152" s="42" t="inlineStr"/>
      <c r="P152" s="42" t="inlineStr"/>
      <c r="Q152" s="42" t="inlineStr"/>
      <c r="R152" s="42" t="inlineStr"/>
      <c r="S152" s="42" t="inlineStr"/>
      <c r="T152" s="42" t="inlineStr"/>
      <c r="U152" s="44">
        <f>IF(A152="","",IFERROR(INDEX(E152:T152,MATCH(TRUE,INDEX(E152:T152&lt;&gt;"",0),0)),""))</f>
        <v/>
      </c>
      <c r="V152" s="44">
        <f>IF(A152="","",IFERROR(LOOKUP(2,1/(E152:T152&lt;&gt;""),E152:T152),""))</f>
        <v/>
      </c>
      <c r="W152" s="45">
        <f>IF(OR(A152="",PreviousYear=""),"",IFERROR(LOOKUP(2,1/(E152:T152&lt;&gt;""),E152:T152)-INDEX(E152:T152,MATCH(PreviousYear,$E$5:$T$5,0)),""))</f>
        <v/>
      </c>
      <c r="X152" s="45">
        <f>IF(OR(A152="",U152="",V152=""),"",V152-U152)</f>
        <v/>
      </c>
      <c r="Y152" s="44">
        <f>IF(A152="","",COUNT(E152:T152))</f>
        <v/>
      </c>
    </row>
    <row r="153">
      <c r="A153" s="39">
        <f>IF(AND('Employees'!B15&lt;&gt;"",'Skills'!B9&lt;&gt;""),'Employees'!B15,"")</f>
        <v/>
      </c>
      <c r="B153" s="40">
        <f>IF(A153="","",'Employees'!C15)</f>
        <v/>
      </c>
      <c r="C153" s="41">
        <f>IF(A153="","",'Skills'!B9)</f>
        <v/>
      </c>
      <c r="D153" s="40">
        <f>IF(A153="","",'Skills'!C9)</f>
        <v/>
      </c>
      <c r="E153" s="42" t="inlineStr"/>
      <c r="F153" s="42" t="inlineStr"/>
      <c r="G153" s="42" t="inlineStr"/>
      <c r="H153" s="43" t="inlineStr"/>
      <c r="I153" s="42" t="inlineStr"/>
      <c r="J153" s="42" t="inlineStr"/>
      <c r="K153" s="42" t="inlineStr"/>
      <c r="L153" s="42" t="inlineStr"/>
      <c r="M153" s="42" t="inlineStr"/>
      <c r="N153" s="42" t="inlineStr"/>
      <c r="O153" s="42" t="inlineStr"/>
      <c r="P153" s="42" t="inlineStr"/>
      <c r="Q153" s="42" t="inlineStr"/>
      <c r="R153" s="42" t="inlineStr"/>
      <c r="S153" s="42" t="inlineStr"/>
      <c r="T153" s="42" t="inlineStr"/>
      <c r="U153" s="44">
        <f>IF(A153="","",IFERROR(INDEX(E153:T153,MATCH(TRUE,INDEX(E153:T153&lt;&gt;"",0),0)),""))</f>
        <v/>
      </c>
      <c r="V153" s="44">
        <f>IF(A153="","",IFERROR(LOOKUP(2,1/(E153:T153&lt;&gt;""),E153:T153),""))</f>
        <v/>
      </c>
      <c r="W153" s="45">
        <f>IF(OR(A153="",PreviousYear=""),"",IFERROR(LOOKUP(2,1/(E153:T153&lt;&gt;""),E153:T153)-INDEX(E153:T153,MATCH(PreviousYear,$E$5:$T$5,0)),""))</f>
        <v/>
      </c>
      <c r="X153" s="45">
        <f>IF(OR(A153="",U153="",V153=""),"",V153-U153)</f>
        <v/>
      </c>
      <c r="Y153" s="44">
        <f>IF(A153="","",COUNT(E153:T153))</f>
        <v/>
      </c>
    </row>
    <row r="154">
      <c r="A154" s="39">
        <f>IF(AND('Employees'!B15&lt;&gt;"",'Skills'!B10&lt;&gt;""),'Employees'!B15,"")</f>
        <v/>
      </c>
      <c r="B154" s="40">
        <f>IF(A154="","",'Employees'!C15)</f>
        <v/>
      </c>
      <c r="C154" s="41">
        <f>IF(A154="","",'Skills'!B10)</f>
        <v/>
      </c>
      <c r="D154" s="40">
        <f>IF(A154="","",'Skills'!C10)</f>
        <v/>
      </c>
      <c r="E154" s="42" t="inlineStr"/>
      <c r="F154" s="42" t="inlineStr"/>
      <c r="G154" s="42" t="inlineStr"/>
      <c r="H154" s="43" t="inlineStr"/>
      <c r="I154" s="42" t="inlineStr"/>
      <c r="J154" s="42" t="inlineStr"/>
      <c r="K154" s="42" t="inlineStr"/>
      <c r="L154" s="42" t="inlineStr"/>
      <c r="M154" s="42" t="inlineStr"/>
      <c r="N154" s="42" t="inlineStr"/>
      <c r="O154" s="42" t="inlineStr"/>
      <c r="P154" s="42" t="inlineStr"/>
      <c r="Q154" s="42" t="inlineStr"/>
      <c r="R154" s="42" t="inlineStr"/>
      <c r="S154" s="42" t="inlineStr"/>
      <c r="T154" s="42" t="inlineStr"/>
      <c r="U154" s="44">
        <f>IF(A154="","",IFERROR(INDEX(E154:T154,MATCH(TRUE,INDEX(E154:T154&lt;&gt;"",0),0)),""))</f>
        <v/>
      </c>
      <c r="V154" s="44">
        <f>IF(A154="","",IFERROR(LOOKUP(2,1/(E154:T154&lt;&gt;""),E154:T154),""))</f>
        <v/>
      </c>
      <c r="W154" s="45">
        <f>IF(OR(A154="",PreviousYear=""),"",IFERROR(LOOKUP(2,1/(E154:T154&lt;&gt;""),E154:T154)-INDEX(E154:T154,MATCH(PreviousYear,$E$5:$T$5,0)),""))</f>
        <v/>
      </c>
      <c r="X154" s="45">
        <f>IF(OR(A154="",U154="",V154=""),"",V154-U154)</f>
        <v/>
      </c>
      <c r="Y154" s="44">
        <f>IF(A154="","",COUNT(E154:T154))</f>
        <v/>
      </c>
    </row>
    <row r="155">
      <c r="A155" s="39">
        <f>IF(AND('Employees'!B15&lt;&gt;"",'Skills'!B11&lt;&gt;""),'Employees'!B15,"")</f>
        <v/>
      </c>
      <c r="B155" s="40">
        <f>IF(A155="","",'Employees'!C15)</f>
        <v/>
      </c>
      <c r="C155" s="41">
        <f>IF(A155="","",'Skills'!B11)</f>
        <v/>
      </c>
      <c r="D155" s="40">
        <f>IF(A155="","",'Skills'!C11)</f>
        <v/>
      </c>
      <c r="E155" s="42" t="inlineStr"/>
      <c r="F155" s="42" t="inlineStr"/>
      <c r="G155" s="42" t="inlineStr"/>
      <c r="H155" s="43" t="inlineStr"/>
      <c r="I155" s="42" t="inlineStr"/>
      <c r="J155" s="42" t="inlineStr"/>
      <c r="K155" s="42" t="inlineStr"/>
      <c r="L155" s="42" t="inlineStr"/>
      <c r="M155" s="42" t="inlineStr"/>
      <c r="N155" s="42" t="inlineStr"/>
      <c r="O155" s="42" t="inlineStr"/>
      <c r="P155" s="42" t="inlineStr"/>
      <c r="Q155" s="42" t="inlineStr"/>
      <c r="R155" s="42" t="inlineStr"/>
      <c r="S155" s="42" t="inlineStr"/>
      <c r="T155" s="42" t="inlineStr"/>
      <c r="U155" s="44">
        <f>IF(A155="","",IFERROR(INDEX(E155:T155,MATCH(TRUE,INDEX(E155:T155&lt;&gt;"",0),0)),""))</f>
        <v/>
      </c>
      <c r="V155" s="44">
        <f>IF(A155="","",IFERROR(LOOKUP(2,1/(E155:T155&lt;&gt;""),E155:T155),""))</f>
        <v/>
      </c>
      <c r="W155" s="45">
        <f>IF(OR(A155="",PreviousYear=""),"",IFERROR(LOOKUP(2,1/(E155:T155&lt;&gt;""),E155:T155)-INDEX(E155:T155,MATCH(PreviousYear,$E$5:$T$5,0)),""))</f>
        <v/>
      </c>
      <c r="X155" s="45">
        <f>IF(OR(A155="",U155="",V155=""),"",V155-U155)</f>
        <v/>
      </c>
      <c r="Y155" s="44">
        <f>IF(A155="","",COUNT(E155:T155))</f>
        <v/>
      </c>
    </row>
    <row r="156">
      <c r="A156" s="39">
        <f>IF(AND('Employees'!B15&lt;&gt;"",'Skills'!B12&lt;&gt;""),'Employees'!B15,"")</f>
        <v/>
      </c>
      <c r="B156" s="40">
        <f>IF(A156="","",'Employees'!C15)</f>
        <v/>
      </c>
      <c r="C156" s="41">
        <f>IF(A156="","",'Skills'!B12)</f>
        <v/>
      </c>
      <c r="D156" s="40">
        <f>IF(A156="","",'Skills'!C12)</f>
        <v/>
      </c>
      <c r="E156" s="42" t="inlineStr"/>
      <c r="F156" s="42" t="inlineStr"/>
      <c r="G156" s="42" t="inlineStr"/>
      <c r="H156" s="43" t="inlineStr"/>
      <c r="I156" s="42" t="inlineStr"/>
      <c r="J156" s="42" t="inlineStr"/>
      <c r="K156" s="42" t="inlineStr"/>
      <c r="L156" s="42" t="inlineStr"/>
      <c r="M156" s="42" t="inlineStr"/>
      <c r="N156" s="42" t="inlineStr"/>
      <c r="O156" s="42" t="inlineStr"/>
      <c r="P156" s="42" t="inlineStr"/>
      <c r="Q156" s="42" t="inlineStr"/>
      <c r="R156" s="42" t="inlineStr"/>
      <c r="S156" s="42" t="inlineStr"/>
      <c r="T156" s="42" t="inlineStr"/>
      <c r="U156" s="44">
        <f>IF(A156="","",IFERROR(INDEX(E156:T156,MATCH(TRUE,INDEX(E156:T156&lt;&gt;"",0),0)),""))</f>
        <v/>
      </c>
      <c r="V156" s="44">
        <f>IF(A156="","",IFERROR(LOOKUP(2,1/(E156:T156&lt;&gt;""),E156:T156),""))</f>
        <v/>
      </c>
      <c r="W156" s="45">
        <f>IF(OR(A156="",PreviousYear=""),"",IFERROR(LOOKUP(2,1/(E156:T156&lt;&gt;""),E156:T156)-INDEX(E156:T156,MATCH(PreviousYear,$E$5:$T$5,0)),""))</f>
        <v/>
      </c>
      <c r="X156" s="45">
        <f>IF(OR(A156="",U156="",V156=""),"",V156-U156)</f>
        <v/>
      </c>
      <c r="Y156" s="44">
        <f>IF(A156="","",COUNT(E156:T156))</f>
        <v/>
      </c>
    </row>
    <row r="157">
      <c r="A157" s="39">
        <f>IF(AND('Employees'!B15&lt;&gt;"",'Skills'!B13&lt;&gt;""),'Employees'!B15,"")</f>
        <v/>
      </c>
      <c r="B157" s="40">
        <f>IF(A157="","",'Employees'!C15)</f>
        <v/>
      </c>
      <c r="C157" s="41">
        <f>IF(A157="","",'Skills'!B13)</f>
        <v/>
      </c>
      <c r="D157" s="40">
        <f>IF(A157="","",'Skills'!C13)</f>
        <v/>
      </c>
      <c r="E157" s="42" t="inlineStr"/>
      <c r="F157" s="42" t="inlineStr"/>
      <c r="G157" s="42" t="inlineStr"/>
      <c r="H157" s="43" t="inlineStr"/>
      <c r="I157" s="42" t="inlineStr"/>
      <c r="J157" s="42" t="inlineStr"/>
      <c r="K157" s="42" t="inlineStr"/>
      <c r="L157" s="42" t="inlineStr"/>
      <c r="M157" s="42" t="inlineStr"/>
      <c r="N157" s="42" t="inlineStr"/>
      <c r="O157" s="42" t="inlineStr"/>
      <c r="P157" s="42" t="inlineStr"/>
      <c r="Q157" s="42" t="inlineStr"/>
      <c r="R157" s="42" t="inlineStr"/>
      <c r="S157" s="42" t="inlineStr"/>
      <c r="T157" s="42" t="inlineStr"/>
      <c r="U157" s="44">
        <f>IF(A157="","",IFERROR(INDEX(E157:T157,MATCH(TRUE,INDEX(E157:T157&lt;&gt;"",0),0)),""))</f>
        <v/>
      </c>
      <c r="V157" s="44">
        <f>IF(A157="","",IFERROR(LOOKUP(2,1/(E157:T157&lt;&gt;""),E157:T157),""))</f>
        <v/>
      </c>
      <c r="W157" s="45">
        <f>IF(OR(A157="",PreviousYear=""),"",IFERROR(LOOKUP(2,1/(E157:T157&lt;&gt;""),E157:T157)-INDEX(E157:T157,MATCH(PreviousYear,$E$5:$T$5,0)),""))</f>
        <v/>
      </c>
      <c r="X157" s="45">
        <f>IF(OR(A157="",U157="",V157=""),"",V157-U157)</f>
        <v/>
      </c>
      <c r="Y157" s="44">
        <f>IF(A157="","",COUNT(E157:T157))</f>
        <v/>
      </c>
    </row>
    <row r="158">
      <c r="A158" s="39">
        <f>IF(AND('Employees'!B15&lt;&gt;"",'Skills'!B14&lt;&gt;""),'Employees'!B15,"")</f>
        <v/>
      </c>
      <c r="B158" s="40">
        <f>IF(A158="","",'Employees'!C15)</f>
        <v/>
      </c>
      <c r="C158" s="41">
        <f>IF(A158="","",'Skills'!B14)</f>
        <v/>
      </c>
      <c r="D158" s="40">
        <f>IF(A158="","",'Skills'!C14)</f>
        <v/>
      </c>
      <c r="E158" s="42" t="inlineStr"/>
      <c r="F158" s="42" t="inlineStr"/>
      <c r="G158" s="42" t="inlineStr"/>
      <c r="H158" s="43" t="inlineStr"/>
      <c r="I158" s="42" t="inlineStr"/>
      <c r="J158" s="42" t="inlineStr"/>
      <c r="K158" s="42" t="inlineStr"/>
      <c r="L158" s="42" t="inlineStr"/>
      <c r="M158" s="42" t="inlineStr"/>
      <c r="N158" s="42" t="inlineStr"/>
      <c r="O158" s="42" t="inlineStr"/>
      <c r="P158" s="42" t="inlineStr"/>
      <c r="Q158" s="42" t="inlineStr"/>
      <c r="R158" s="42" t="inlineStr"/>
      <c r="S158" s="42" t="inlineStr"/>
      <c r="T158" s="42" t="inlineStr"/>
      <c r="U158" s="44">
        <f>IF(A158="","",IFERROR(INDEX(E158:T158,MATCH(TRUE,INDEX(E158:T158&lt;&gt;"",0),0)),""))</f>
        <v/>
      </c>
      <c r="V158" s="44">
        <f>IF(A158="","",IFERROR(LOOKUP(2,1/(E158:T158&lt;&gt;""),E158:T158),""))</f>
        <v/>
      </c>
      <c r="W158" s="45">
        <f>IF(OR(A158="",PreviousYear=""),"",IFERROR(LOOKUP(2,1/(E158:T158&lt;&gt;""),E158:T158)-INDEX(E158:T158,MATCH(PreviousYear,$E$5:$T$5,0)),""))</f>
        <v/>
      </c>
      <c r="X158" s="45">
        <f>IF(OR(A158="",U158="",V158=""),"",V158-U158)</f>
        <v/>
      </c>
      <c r="Y158" s="44">
        <f>IF(A158="","",COUNT(E158:T158))</f>
        <v/>
      </c>
    </row>
    <row r="159">
      <c r="A159" s="39">
        <f>IF(AND('Employees'!B15&lt;&gt;"",'Skills'!B15&lt;&gt;""),'Employees'!B15,"")</f>
        <v/>
      </c>
      <c r="B159" s="40">
        <f>IF(A159="","",'Employees'!C15)</f>
        <v/>
      </c>
      <c r="C159" s="41">
        <f>IF(A159="","",'Skills'!B15)</f>
        <v/>
      </c>
      <c r="D159" s="40">
        <f>IF(A159="","",'Skills'!C15)</f>
        <v/>
      </c>
      <c r="E159" s="42" t="inlineStr"/>
      <c r="F159" s="42" t="inlineStr"/>
      <c r="G159" s="42" t="inlineStr"/>
      <c r="H159" s="43" t="inlineStr"/>
      <c r="I159" s="42" t="inlineStr"/>
      <c r="J159" s="42" t="inlineStr"/>
      <c r="K159" s="42" t="inlineStr"/>
      <c r="L159" s="42" t="inlineStr"/>
      <c r="M159" s="42" t="inlineStr"/>
      <c r="N159" s="42" t="inlineStr"/>
      <c r="O159" s="42" t="inlineStr"/>
      <c r="P159" s="42" t="inlineStr"/>
      <c r="Q159" s="42" t="inlineStr"/>
      <c r="R159" s="42" t="inlineStr"/>
      <c r="S159" s="42" t="inlineStr"/>
      <c r="T159" s="42" t="inlineStr"/>
      <c r="U159" s="44">
        <f>IF(A159="","",IFERROR(INDEX(E159:T159,MATCH(TRUE,INDEX(E159:T159&lt;&gt;"",0),0)),""))</f>
        <v/>
      </c>
      <c r="V159" s="44">
        <f>IF(A159="","",IFERROR(LOOKUP(2,1/(E159:T159&lt;&gt;""),E159:T159),""))</f>
        <v/>
      </c>
      <c r="W159" s="45">
        <f>IF(OR(A159="",PreviousYear=""),"",IFERROR(LOOKUP(2,1/(E159:T159&lt;&gt;""),E159:T159)-INDEX(E159:T159,MATCH(PreviousYear,$E$5:$T$5,0)),""))</f>
        <v/>
      </c>
      <c r="X159" s="45">
        <f>IF(OR(A159="",U159="",V159=""),"",V159-U159)</f>
        <v/>
      </c>
      <c r="Y159" s="44">
        <f>IF(A159="","",COUNT(E159:T159))</f>
        <v/>
      </c>
    </row>
    <row r="160">
      <c r="A160" s="39">
        <f>IF(AND('Employees'!B15&lt;&gt;"",'Skills'!B16&lt;&gt;""),'Employees'!B15,"")</f>
        <v/>
      </c>
      <c r="B160" s="40">
        <f>IF(A160="","",'Employees'!C15)</f>
        <v/>
      </c>
      <c r="C160" s="41">
        <f>IF(A160="","",'Skills'!B16)</f>
        <v/>
      </c>
      <c r="D160" s="40">
        <f>IF(A160="","",'Skills'!C16)</f>
        <v/>
      </c>
      <c r="E160" s="42" t="inlineStr"/>
      <c r="F160" s="42" t="inlineStr"/>
      <c r="G160" s="42" t="inlineStr"/>
      <c r="H160" s="43" t="inlineStr"/>
      <c r="I160" s="42" t="inlineStr"/>
      <c r="J160" s="42" t="inlineStr"/>
      <c r="K160" s="42" t="inlineStr"/>
      <c r="L160" s="42" t="inlineStr"/>
      <c r="M160" s="42" t="inlineStr"/>
      <c r="N160" s="42" t="inlineStr"/>
      <c r="O160" s="42" t="inlineStr"/>
      <c r="P160" s="42" t="inlineStr"/>
      <c r="Q160" s="42" t="inlineStr"/>
      <c r="R160" s="42" t="inlineStr"/>
      <c r="S160" s="42" t="inlineStr"/>
      <c r="T160" s="42" t="inlineStr"/>
      <c r="U160" s="44">
        <f>IF(A160="","",IFERROR(INDEX(E160:T160,MATCH(TRUE,INDEX(E160:T160&lt;&gt;"",0),0)),""))</f>
        <v/>
      </c>
      <c r="V160" s="44">
        <f>IF(A160="","",IFERROR(LOOKUP(2,1/(E160:T160&lt;&gt;""),E160:T160),""))</f>
        <v/>
      </c>
      <c r="W160" s="45">
        <f>IF(OR(A160="",PreviousYear=""),"",IFERROR(LOOKUP(2,1/(E160:T160&lt;&gt;""),E160:T160)-INDEX(E160:T160,MATCH(PreviousYear,$E$5:$T$5,0)),""))</f>
        <v/>
      </c>
      <c r="X160" s="45">
        <f>IF(OR(A160="",U160="",V160=""),"",V160-U160)</f>
        <v/>
      </c>
      <c r="Y160" s="44">
        <f>IF(A160="","",COUNT(E160:T160))</f>
        <v/>
      </c>
    </row>
    <row r="161">
      <c r="A161" s="39">
        <f>IF(AND('Employees'!B15&lt;&gt;"",'Skills'!B17&lt;&gt;""),'Employees'!B15,"")</f>
        <v/>
      </c>
      <c r="B161" s="40">
        <f>IF(A161="","",'Employees'!C15)</f>
        <v/>
      </c>
      <c r="C161" s="41">
        <f>IF(A161="","",'Skills'!B17)</f>
        <v/>
      </c>
      <c r="D161" s="40">
        <f>IF(A161="","",'Skills'!C17)</f>
        <v/>
      </c>
      <c r="E161" s="42" t="inlineStr"/>
      <c r="F161" s="42" t="inlineStr"/>
      <c r="G161" s="42" t="inlineStr"/>
      <c r="H161" s="43" t="inlineStr"/>
      <c r="I161" s="42" t="inlineStr"/>
      <c r="J161" s="42" t="inlineStr"/>
      <c r="K161" s="42" t="inlineStr"/>
      <c r="L161" s="42" t="inlineStr"/>
      <c r="M161" s="42" t="inlineStr"/>
      <c r="N161" s="42" t="inlineStr"/>
      <c r="O161" s="42" t="inlineStr"/>
      <c r="P161" s="42" t="inlineStr"/>
      <c r="Q161" s="42" t="inlineStr"/>
      <c r="R161" s="42" t="inlineStr"/>
      <c r="S161" s="42" t="inlineStr"/>
      <c r="T161" s="42" t="inlineStr"/>
      <c r="U161" s="44">
        <f>IF(A161="","",IFERROR(INDEX(E161:T161,MATCH(TRUE,INDEX(E161:T161&lt;&gt;"",0),0)),""))</f>
        <v/>
      </c>
      <c r="V161" s="44">
        <f>IF(A161="","",IFERROR(LOOKUP(2,1/(E161:T161&lt;&gt;""),E161:T161),""))</f>
        <v/>
      </c>
      <c r="W161" s="45">
        <f>IF(OR(A161="",PreviousYear=""),"",IFERROR(LOOKUP(2,1/(E161:T161&lt;&gt;""),E161:T161)-INDEX(E161:T161,MATCH(PreviousYear,$E$5:$T$5,0)),""))</f>
        <v/>
      </c>
      <c r="X161" s="45">
        <f>IF(OR(A161="",U161="",V161=""),"",V161-U161)</f>
        <v/>
      </c>
      <c r="Y161" s="44">
        <f>IF(A161="","",COUNT(E161:T161))</f>
        <v/>
      </c>
    </row>
    <row r="162">
      <c r="A162" s="39">
        <f>IF(AND('Employees'!B15&lt;&gt;"",'Skills'!B18&lt;&gt;""),'Employees'!B15,"")</f>
        <v/>
      </c>
      <c r="B162" s="40">
        <f>IF(A162="","",'Employees'!C15)</f>
        <v/>
      </c>
      <c r="C162" s="41">
        <f>IF(A162="","",'Skills'!B18)</f>
        <v/>
      </c>
      <c r="D162" s="40">
        <f>IF(A162="","",'Skills'!C18)</f>
        <v/>
      </c>
      <c r="E162" s="42" t="inlineStr"/>
      <c r="F162" s="42" t="inlineStr"/>
      <c r="G162" s="42" t="inlineStr"/>
      <c r="H162" s="43" t="inlineStr"/>
      <c r="I162" s="42" t="inlineStr"/>
      <c r="J162" s="42" t="inlineStr"/>
      <c r="K162" s="42" t="inlineStr"/>
      <c r="L162" s="42" t="inlineStr"/>
      <c r="M162" s="42" t="inlineStr"/>
      <c r="N162" s="42" t="inlineStr"/>
      <c r="O162" s="42" t="inlineStr"/>
      <c r="P162" s="42" t="inlineStr"/>
      <c r="Q162" s="42" t="inlineStr"/>
      <c r="R162" s="42" t="inlineStr"/>
      <c r="S162" s="42" t="inlineStr"/>
      <c r="T162" s="42" t="inlineStr"/>
      <c r="U162" s="44">
        <f>IF(A162="","",IFERROR(INDEX(E162:T162,MATCH(TRUE,INDEX(E162:T162&lt;&gt;"",0),0)),""))</f>
        <v/>
      </c>
      <c r="V162" s="44">
        <f>IF(A162="","",IFERROR(LOOKUP(2,1/(E162:T162&lt;&gt;""),E162:T162),""))</f>
        <v/>
      </c>
      <c r="W162" s="45">
        <f>IF(OR(A162="",PreviousYear=""),"",IFERROR(LOOKUP(2,1/(E162:T162&lt;&gt;""),E162:T162)-INDEX(E162:T162,MATCH(PreviousYear,$E$5:$T$5,0)),""))</f>
        <v/>
      </c>
      <c r="X162" s="45">
        <f>IF(OR(A162="",U162="",V162=""),"",V162-U162)</f>
        <v/>
      </c>
      <c r="Y162" s="44">
        <f>IF(A162="","",COUNT(E162:T162))</f>
        <v/>
      </c>
    </row>
    <row r="163">
      <c r="A163" s="39">
        <f>IF(AND('Employees'!B15&lt;&gt;"",'Skills'!B19&lt;&gt;""),'Employees'!B15,"")</f>
        <v/>
      </c>
      <c r="B163" s="40">
        <f>IF(A163="","",'Employees'!C15)</f>
        <v/>
      </c>
      <c r="C163" s="41">
        <f>IF(A163="","",'Skills'!B19)</f>
        <v/>
      </c>
      <c r="D163" s="40">
        <f>IF(A163="","",'Skills'!C19)</f>
        <v/>
      </c>
      <c r="E163" s="42" t="inlineStr"/>
      <c r="F163" s="42" t="inlineStr"/>
      <c r="G163" s="42" t="inlineStr"/>
      <c r="H163" s="43" t="inlineStr"/>
      <c r="I163" s="42" t="inlineStr"/>
      <c r="J163" s="42" t="inlineStr"/>
      <c r="K163" s="42" t="inlineStr"/>
      <c r="L163" s="42" t="inlineStr"/>
      <c r="M163" s="42" t="inlineStr"/>
      <c r="N163" s="42" t="inlineStr"/>
      <c r="O163" s="42" t="inlineStr"/>
      <c r="P163" s="42" t="inlineStr"/>
      <c r="Q163" s="42" t="inlineStr"/>
      <c r="R163" s="42" t="inlineStr"/>
      <c r="S163" s="42" t="inlineStr"/>
      <c r="T163" s="42" t="inlineStr"/>
      <c r="U163" s="44">
        <f>IF(A163="","",IFERROR(INDEX(E163:T163,MATCH(TRUE,INDEX(E163:T163&lt;&gt;"",0),0)),""))</f>
        <v/>
      </c>
      <c r="V163" s="44">
        <f>IF(A163="","",IFERROR(LOOKUP(2,1/(E163:T163&lt;&gt;""),E163:T163),""))</f>
        <v/>
      </c>
      <c r="W163" s="45">
        <f>IF(OR(A163="",PreviousYear=""),"",IFERROR(LOOKUP(2,1/(E163:T163&lt;&gt;""),E163:T163)-INDEX(E163:T163,MATCH(PreviousYear,$E$5:$T$5,0)),""))</f>
        <v/>
      </c>
      <c r="X163" s="45">
        <f>IF(OR(A163="",U163="",V163=""),"",V163-U163)</f>
        <v/>
      </c>
      <c r="Y163" s="44">
        <f>IF(A163="","",COUNT(E163:T163))</f>
        <v/>
      </c>
    </row>
    <row r="164">
      <c r="A164" s="39">
        <f>IF(AND('Employees'!B15&lt;&gt;"",'Skills'!B20&lt;&gt;""),'Employees'!B15,"")</f>
        <v/>
      </c>
      <c r="B164" s="40">
        <f>IF(A164="","",'Employees'!C15)</f>
        <v/>
      </c>
      <c r="C164" s="41">
        <f>IF(A164="","",'Skills'!B20)</f>
        <v/>
      </c>
      <c r="D164" s="40">
        <f>IF(A164="","",'Skills'!C20)</f>
        <v/>
      </c>
      <c r="E164" s="42" t="inlineStr"/>
      <c r="F164" s="42" t="inlineStr"/>
      <c r="G164" s="42" t="inlineStr"/>
      <c r="H164" s="43" t="inlineStr"/>
      <c r="I164" s="42" t="inlineStr"/>
      <c r="J164" s="42" t="inlineStr"/>
      <c r="K164" s="42" t="inlineStr"/>
      <c r="L164" s="42" t="inlineStr"/>
      <c r="M164" s="42" t="inlineStr"/>
      <c r="N164" s="42" t="inlineStr"/>
      <c r="O164" s="42" t="inlineStr"/>
      <c r="P164" s="42" t="inlineStr"/>
      <c r="Q164" s="42" t="inlineStr"/>
      <c r="R164" s="42" t="inlineStr"/>
      <c r="S164" s="42" t="inlineStr"/>
      <c r="T164" s="42" t="inlineStr"/>
      <c r="U164" s="44">
        <f>IF(A164="","",IFERROR(INDEX(E164:T164,MATCH(TRUE,INDEX(E164:T164&lt;&gt;"",0),0)),""))</f>
        <v/>
      </c>
      <c r="V164" s="44">
        <f>IF(A164="","",IFERROR(LOOKUP(2,1/(E164:T164&lt;&gt;""),E164:T164),""))</f>
        <v/>
      </c>
      <c r="W164" s="45">
        <f>IF(OR(A164="",PreviousYear=""),"",IFERROR(LOOKUP(2,1/(E164:T164&lt;&gt;""),E164:T164)-INDEX(E164:T164,MATCH(PreviousYear,$E$5:$T$5,0)),""))</f>
        <v/>
      </c>
      <c r="X164" s="45">
        <f>IF(OR(A164="",U164="",V164=""),"",V164-U164)</f>
        <v/>
      </c>
      <c r="Y164" s="44">
        <f>IF(A164="","",COUNT(E164:T164))</f>
        <v/>
      </c>
    </row>
    <row r="165">
      <c r="A165" s="39">
        <f>IF(AND('Employees'!B15&lt;&gt;"",'Skills'!B21&lt;&gt;""),'Employees'!B15,"")</f>
        <v/>
      </c>
      <c r="B165" s="40">
        <f>IF(A165="","",'Employees'!C15)</f>
        <v/>
      </c>
      <c r="C165" s="41">
        <f>IF(A165="","",'Skills'!B21)</f>
        <v/>
      </c>
      <c r="D165" s="40">
        <f>IF(A165="","",'Skills'!C21)</f>
        <v/>
      </c>
      <c r="E165" s="42" t="inlineStr"/>
      <c r="F165" s="42" t="inlineStr"/>
      <c r="G165" s="42" t="inlineStr"/>
      <c r="H165" s="43" t="inlineStr"/>
      <c r="I165" s="42" t="inlineStr"/>
      <c r="J165" s="42" t="inlineStr"/>
      <c r="K165" s="42" t="inlineStr"/>
      <c r="L165" s="42" t="inlineStr"/>
      <c r="M165" s="42" t="inlineStr"/>
      <c r="N165" s="42" t="inlineStr"/>
      <c r="O165" s="42" t="inlineStr"/>
      <c r="P165" s="42" t="inlineStr"/>
      <c r="Q165" s="42" t="inlineStr"/>
      <c r="R165" s="42" t="inlineStr"/>
      <c r="S165" s="42" t="inlineStr"/>
      <c r="T165" s="42" t="inlineStr"/>
      <c r="U165" s="44">
        <f>IF(A165="","",IFERROR(INDEX(E165:T165,MATCH(TRUE,INDEX(E165:T165&lt;&gt;"",0),0)),""))</f>
        <v/>
      </c>
      <c r="V165" s="44">
        <f>IF(A165="","",IFERROR(LOOKUP(2,1/(E165:T165&lt;&gt;""),E165:T165),""))</f>
        <v/>
      </c>
      <c r="W165" s="45">
        <f>IF(OR(A165="",PreviousYear=""),"",IFERROR(LOOKUP(2,1/(E165:T165&lt;&gt;""),E165:T165)-INDEX(E165:T165,MATCH(PreviousYear,$E$5:$T$5,0)),""))</f>
        <v/>
      </c>
      <c r="X165" s="45">
        <f>IF(OR(A165="",U165="",V165=""),"",V165-U165)</f>
        <v/>
      </c>
      <c r="Y165" s="44">
        <f>IF(A165="","",COUNT(E165:T165))</f>
        <v/>
      </c>
    </row>
    <row r="166">
      <c r="A166" s="39">
        <f>IF(AND('Employees'!B16&lt;&gt;"",'Skills'!B6&lt;&gt;""),'Employees'!B16,"")</f>
        <v/>
      </c>
      <c r="B166" s="40">
        <f>IF(A166="","",'Employees'!C16)</f>
        <v/>
      </c>
      <c r="C166" s="41">
        <f>IF(A166="","",'Skills'!B6)</f>
        <v/>
      </c>
      <c r="D166" s="40">
        <f>IF(A166="","",'Skills'!C6)</f>
        <v/>
      </c>
      <c r="E166" s="42" t="inlineStr"/>
      <c r="F166" s="42" t="inlineStr"/>
      <c r="G166" s="42" t="inlineStr"/>
      <c r="H166" s="43" t="inlineStr"/>
      <c r="I166" s="42" t="inlineStr"/>
      <c r="J166" s="42" t="inlineStr"/>
      <c r="K166" s="42" t="inlineStr"/>
      <c r="L166" s="42" t="inlineStr"/>
      <c r="M166" s="42" t="inlineStr"/>
      <c r="N166" s="42" t="inlineStr"/>
      <c r="O166" s="42" t="inlineStr"/>
      <c r="P166" s="42" t="inlineStr"/>
      <c r="Q166" s="42" t="inlineStr"/>
      <c r="R166" s="42" t="inlineStr"/>
      <c r="S166" s="42" t="inlineStr"/>
      <c r="T166" s="42" t="inlineStr"/>
      <c r="U166" s="44">
        <f>IF(A166="","",IFERROR(INDEX(E166:T166,MATCH(TRUE,INDEX(E166:T166&lt;&gt;"",0),0)),""))</f>
        <v/>
      </c>
      <c r="V166" s="44">
        <f>IF(A166="","",IFERROR(LOOKUP(2,1/(E166:T166&lt;&gt;""),E166:T166),""))</f>
        <v/>
      </c>
      <c r="W166" s="45">
        <f>IF(OR(A166="",PreviousYear=""),"",IFERROR(LOOKUP(2,1/(E166:T166&lt;&gt;""),E166:T166)-INDEX(E166:T166,MATCH(PreviousYear,$E$5:$T$5,0)),""))</f>
        <v/>
      </c>
      <c r="X166" s="45">
        <f>IF(OR(A166="",U166="",V166=""),"",V166-U166)</f>
        <v/>
      </c>
      <c r="Y166" s="44">
        <f>IF(A166="","",COUNT(E166:T166))</f>
        <v/>
      </c>
    </row>
    <row r="167">
      <c r="A167" s="39">
        <f>IF(AND('Employees'!B16&lt;&gt;"",'Skills'!B7&lt;&gt;""),'Employees'!B16,"")</f>
        <v/>
      </c>
      <c r="B167" s="40">
        <f>IF(A167="","",'Employees'!C16)</f>
        <v/>
      </c>
      <c r="C167" s="41">
        <f>IF(A167="","",'Skills'!B7)</f>
        <v/>
      </c>
      <c r="D167" s="40">
        <f>IF(A167="","",'Skills'!C7)</f>
        <v/>
      </c>
      <c r="E167" s="42" t="inlineStr"/>
      <c r="F167" s="42" t="inlineStr"/>
      <c r="G167" s="42" t="inlineStr"/>
      <c r="H167" s="43" t="inlineStr"/>
      <c r="I167" s="42" t="inlineStr"/>
      <c r="J167" s="42" t="inlineStr"/>
      <c r="K167" s="42" t="inlineStr"/>
      <c r="L167" s="42" t="inlineStr"/>
      <c r="M167" s="42" t="inlineStr"/>
      <c r="N167" s="42" t="inlineStr"/>
      <c r="O167" s="42" t="inlineStr"/>
      <c r="P167" s="42" t="inlineStr"/>
      <c r="Q167" s="42" t="inlineStr"/>
      <c r="R167" s="42" t="inlineStr"/>
      <c r="S167" s="42" t="inlineStr"/>
      <c r="T167" s="42" t="inlineStr"/>
      <c r="U167" s="44">
        <f>IF(A167="","",IFERROR(INDEX(E167:T167,MATCH(TRUE,INDEX(E167:T167&lt;&gt;"",0),0)),""))</f>
        <v/>
      </c>
      <c r="V167" s="44">
        <f>IF(A167="","",IFERROR(LOOKUP(2,1/(E167:T167&lt;&gt;""),E167:T167),""))</f>
        <v/>
      </c>
      <c r="W167" s="45">
        <f>IF(OR(A167="",PreviousYear=""),"",IFERROR(LOOKUP(2,1/(E167:T167&lt;&gt;""),E167:T167)-INDEX(E167:T167,MATCH(PreviousYear,$E$5:$T$5,0)),""))</f>
        <v/>
      </c>
      <c r="X167" s="45">
        <f>IF(OR(A167="",U167="",V167=""),"",V167-U167)</f>
        <v/>
      </c>
      <c r="Y167" s="44">
        <f>IF(A167="","",COUNT(E167:T167))</f>
        <v/>
      </c>
    </row>
    <row r="168">
      <c r="A168" s="39">
        <f>IF(AND('Employees'!B16&lt;&gt;"",'Skills'!B8&lt;&gt;""),'Employees'!B16,"")</f>
        <v/>
      </c>
      <c r="B168" s="40">
        <f>IF(A168="","",'Employees'!C16)</f>
        <v/>
      </c>
      <c r="C168" s="41">
        <f>IF(A168="","",'Skills'!B8)</f>
        <v/>
      </c>
      <c r="D168" s="40">
        <f>IF(A168="","",'Skills'!C8)</f>
        <v/>
      </c>
      <c r="E168" s="42" t="inlineStr"/>
      <c r="F168" s="42" t="inlineStr"/>
      <c r="G168" s="42" t="inlineStr"/>
      <c r="H168" s="43" t="inlineStr"/>
      <c r="I168" s="42" t="inlineStr"/>
      <c r="J168" s="42" t="inlineStr"/>
      <c r="K168" s="42" t="inlineStr"/>
      <c r="L168" s="42" t="inlineStr"/>
      <c r="M168" s="42" t="inlineStr"/>
      <c r="N168" s="42" t="inlineStr"/>
      <c r="O168" s="42" t="inlineStr"/>
      <c r="P168" s="42" t="inlineStr"/>
      <c r="Q168" s="42" t="inlineStr"/>
      <c r="R168" s="42" t="inlineStr"/>
      <c r="S168" s="42" t="inlineStr"/>
      <c r="T168" s="42" t="inlineStr"/>
      <c r="U168" s="44">
        <f>IF(A168="","",IFERROR(INDEX(E168:T168,MATCH(TRUE,INDEX(E168:T168&lt;&gt;"",0),0)),""))</f>
        <v/>
      </c>
      <c r="V168" s="44">
        <f>IF(A168="","",IFERROR(LOOKUP(2,1/(E168:T168&lt;&gt;""),E168:T168),""))</f>
        <v/>
      </c>
      <c r="W168" s="45">
        <f>IF(OR(A168="",PreviousYear=""),"",IFERROR(LOOKUP(2,1/(E168:T168&lt;&gt;""),E168:T168)-INDEX(E168:T168,MATCH(PreviousYear,$E$5:$T$5,0)),""))</f>
        <v/>
      </c>
      <c r="X168" s="45">
        <f>IF(OR(A168="",U168="",V168=""),"",V168-U168)</f>
        <v/>
      </c>
      <c r="Y168" s="44">
        <f>IF(A168="","",COUNT(E168:T168))</f>
        <v/>
      </c>
    </row>
    <row r="169">
      <c r="A169" s="39">
        <f>IF(AND('Employees'!B16&lt;&gt;"",'Skills'!B9&lt;&gt;""),'Employees'!B16,"")</f>
        <v/>
      </c>
      <c r="B169" s="40">
        <f>IF(A169="","",'Employees'!C16)</f>
        <v/>
      </c>
      <c r="C169" s="41">
        <f>IF(A169="","",'Skills'!B9)</f>
        <v/>
      </c>
      <c r="D169" s="40">
        <f>IF(A169="","",'Skills'!C9)</f>
        <v/>
      </c>
      <c r="E169" s="42" t="inlineStr"/>
      <c r="F169" s="42" t="inlineStr"/>
      <c r="G169" s="42" t="inlineStr"/>
      <c r="H169" s="43" t="inlineStr"/>
      <c r="I169" s="42" t="inlineStr"/>
      <c r="J169" s="42" t="inlineStr"/>
      <c r="K169" s="42" t="inlineStr"/>
      <c r="L169" s="42" t="inlineStr"/>
      <c r="M169" s="42" t="inlineStr"/>
      <c r="N169" s="42" t="inlineStr"/>
      <c r="O169" s="42" t="inlineStr"/>
      <c r="P169" s="42" t="inlineStr"/>
      <c r="Q169" s="42" t="inlineStr"/>
      <c r="R169" s="42" t="inlineStr"/>
      <c r="S169" s="42" t="inlineStr"/>
      <c r="T169" s="42" t="inlineStr"/>
      <c r="U169" s="44">
        <f>IF(A169="","",IFERROR(INDEX(E169:T169,MATCH(TRUE,INDEX(E169:T169&lt;&gt;"",0),0)),""))</f>
        <v/>
      </c>
      <c r="V169" s="44">
        <f>IF(A169="","",IFERROR(LOOKUP(2,1/(E169:T169&lt;&gt;""),E169:T169),""))</f>
        <v/>
      </c>
      <c r="W169" s="45">
        <f>IF(OR(A169="",PreviousYear=""),"",IFERROR(LOOKUP(2,1/(E169:T169&lt;&gt;""),E169:T169)-INDEX(E169:T169,MATCH(PreviousYear,$E$5:$T$5,0)),""))</f>
        <v/>
      </c>
      <c r="X169" s="45">
        <f>IF(OR(A169="",U169="",V169=""),"",V169-U169)</f>
        <v/>
      </c>
      <c r="Y169" s="44">
        <f>IF(A169="","",COUNT(E169:T169))</f>
        <v/>
      </c>
    </row>
    <row r="170">
      <c r="A170" s="39">
        <f>IF(AND('Employees'!B16&lt;&gt;"",'Skills'!B10&lt;&gt;""),'Employees'!B16,"")</f>
        <v/>
      </c>
      <c r="B170" s="40">
        <f>IF(A170="","",'Employees'!C16)</f>
        <v/>
      </c>
      <c r="C170" s="41">
        <f>IF(A170="","",'Skills'!B10)</f>
        <v/>
      </c>
      <c r="D170" s="40">
        <f>IF(A170="","",'Skills'!C10)</f>
        <v/>
      </c>
      <c r="E170" s="42" t="inlineStr"/>
      <c r="F170" s="42" t="inlineStr"/>
      <c r="G170" s="42" t="inlineStr"/>
      <c r="H170" s="43" t="inlineStr"/>
      <c r="I170" s="42" t="inlineStr"/>
      <c r="J170" s="42" t="inlineStr"/>
      <c r="K170" s="42" t="inlineStr"/>
      <c r="L170" s="42" t="inlineStr"/>
      <c r="M170" s="42" t="inlineStr"/>
      <c r="N170" s="42" t="inlineStr"/>
      <c r="O170" s="42" t="inlineStr"/>
      <c r="P170" s="42" t="inlineStr"/>
      <c r="Q170" s="42" t="inlineStr"/>
      <c r="R170" s="42" t="inlineStr"/>
      <c r="S170" s="42" t="inlineStr"/>
      <c r="T170" s="42" t="inlineStr"/>
      <c r="U170" s="44">
        <f>IF(A170="","",IFERROR(INDEX(E170:T170,MATCH(TRUE,INDEX(E170:T170&lt;&gt;"",0),0)),""))</f>
        <v/>
      </c>
      <c r="V170" s="44">
        <f>IF(A170="","",IFERROR(LOOKUP(2,1/(E170:T170&lt;&gt;""),E170:T170),""))</f>
        <v/>
      </c>
      <c r="W170" s="45">
        <f>IF(OR(A170="",PreviousYear=""),"",IFERROR(LOOKUP(2,1/(E170:T170&lt;&gt;""),E170:T170)-INDEX(E170:T170,MATCH(PreviousYear,$E$5:$T$5,0)),""))</f>
        <v/>
      </c>
      <c r="X170" s="45">
        <f>IF(OR(A170="",U170="",V170=""),"",V170-U170)</f>
        <v/>
      </c>
      <c r="Y170" s="44">
        <f>IF(A170="","",COUNT(E170:T170))</f>
        <v/>
      </c>
    </row>
    <row r="171">
      <c r="A171" s="39">
        <f>IF(AND('Employees'!B16&lt;&gt;"",'Skills'!B11&lt;&gt;""),'Employees'!B16,"")</f>
        <v/>
      </c>
      <c r="B171" s="40">
        <f>IF(A171="","",'Employees'!C16)</f>
        <v/>
      </c>
      <c r="C171" s="41">
        <f>IF(A171="","",'Skills'!B11)</f>
        <v/>
      </c>
      <c r="D171" s="40">
        <f>IF(A171="","",'Skills'!C11)</f>
        <v/>
      </c>
      <c r="E171" s="42" t="inlineStr"/>
      <c r="F171" s="42" t="inlineStr"/>
      <c r="G171" s="42" t="inlineStr"/>
      <c r="H171" s="43" t="inlineStr"/>
      <c r="I171" s="42" t="inlineStr"/>
      <c r="J171" s="42" t="inlineStr"/>
      <c r="K171" s="42" t="inlineStr"/>
      <c r="L171" s="42" t="inlineStr"/>
      <c r="M171" s="42" t="inlineStr"/>
      <c r="N171" s="42" t="inlineStr"/>
      <c r="O171" s="42" t="inlineStr"/>
      <c r="P171" s="42" t="inlineStr"/>
      <c r="Q171" s="42" t="inlineStr"/>
      <c r="R171" s="42" t="inlineStr"/>
      <c r="S171" s="42" t="inlineStr"/>
      <c r="T171" s="42" t="inlineStr"/>
      <c r="U171" s="44">
        <f>IF(A171="","",IFERROR(INDEX(E171:T171,MATCH(TRUE,INDEX(E171:T171&lt;&gt;"",0),0)),""))</f>
        <v/>
      </c>
      <c r="V171" s="44">
        <f>IF(A171="","",IFERROR(LOOKUP(2,1/(E171:T171&lt;&gt;""),E171:T171),""))</f>
        <v/>
      </c>
      <c r="W171" s="45">
        <f>IF(OR(A171="",PreviousYear=""),"",IFERROR(LOOKUP(2,1/(E171:T171&lt;&gt;""),E171:T171)-INDEX(E171:T171,MATCH(PreviousYear,$E$5:$T$5,0)),""))</f>
        <v/>
      </c>
      <c r="X171" s="45">
        <f>IF(OR(A171="",U171="",V171=""),"",V171-U171)</f>
        <v/>
      </c>
      <c r="Y171" s="44">
        <f>IF(A171="","",COUNT(E171:T171))</f>
        <v/>
      </c>
    </row>
    <row r="172">
      <c r="A172" s="39">
        <f>IF(AND('Employees'!B16&lt;&gt;"",'Skills'!B12&lt;&gt;""),'Employees'!B16,"")</f>
        <v/>
      </c>
      <c r="B172" s="40">
        <f>IF(A172="","",'Employees'!C16)</f>
        <v/>
      </c>
      <c r="C172" s="41">
        <f>IF(A172="","",'Skills'!B12)</f>
        <v/>
      </c>
      <c r="D172" s="40">
        <f>IF(A172="","",'Skills'!C12)</f>
        <v/>
      </c>
      <c r="E172" s="42" t="inlineStr"/>
      <c r="F172" s="42" t="inlineStr"/>
      <c r="G172" s="42" t="inlineStr"/>
      <c r="H172" s="43" t="inlineStr"/>
      <c r="I172" s="42" t="inlineStr"/>
      <c r="J172" s="42" t="inlineStr"/>
      <c r="K172" s="42" t="inlineStr"/>
      <c r="L172" s="42" t="inlineStr"/>
      <c r="M172" s="42" t="inlineStr"/>
      <c r="N172" s="42" t="inlineStr"/>
      <c r="O172" s="42" t="inlineStr"/>
      <c r="P172" s="42" t="inlineStr"/>
      <c r="Q172" s="42" t="inlineStr"/>
      <c r="R172" s="42" t="inlineStr"/>
      <c r="S172" s="42" t="inlineStr"/>
      <c r="T172" s="42" t="inlineStr"/>
      <c r="U172" s="44">
        <f>IF(A172="","",IFERROR(INDEX(E172:T172,MATCH(TRUE,INDEX(E172:T172&lt;&gt;"",0),0)),""))</f>
        <v/>
      </c>
      <c r="V172" s="44">
        <f>IF(A172="","",IFERROR(LOOKUP(2,1/(E172:T172&lt;&gt;""),E172:T172),""))</f>
        <v/>
      </c>
      <c r="W172" s="45">
        <f>IF(OR(A172="",PreviousYear=""),"",IFERROR(LOOKUP(2,1/(E172:T172&lt;&gt;""),E172:T172)-INDEX(E172:T172,MATCH(PreviousYear,$E$5:$T$5,0)),""))</f>
        <v/>
      </c>
      <c r="X172" s="45">
        <f>IF(OR(A172="",U172="",V172=""),"",V172-U172)</f>
        <v/>
      </c>
      <c r="Y172" s="44">
        <f>IF(A172="","",COUNT(E172:T172))</f>
        <v/>
      </c>
    </row>
    <row r="173">
      <c r="A173" s="39">
        <f>IF(AND('Employees'!B16&lt;&gt;"",'Skills'!B13&lt;&gt;""),'Employees'!B16,"")</f>
        <v/>
      </c>
      <c r="B173" s="40">
        <f>IF(A173="","",'Employees'!C16)</f>
        <v/>
      </c>
      <c r="C173" s="41">
        <f>IF(A173="","",'Skills'!B13)</f>
        <v/>
      </c>
      <c r="D173" s="40">
        <f>IF(A173="","",'Skills'!C13)</f>
        <v/>
      </c>
      <c r="E173" s="42" t="inlineStr"/>
      <c r="F173" s="42" t="inlineStr"/>
      <c r="G173" s="42" t="inlineStr"/>
      <c r="H173" s="43" t="inlineStr"/>
      <c r="I173" s="42" t="inlineStr"/>
      <c r="J173" s="42" t="inlineStr"/>
      <c r="K173" s="42" t="inlineStr"/>
      <c r="L173" s="42" t="inlineStr"/>
      <c r="M173" s="42" t="inlineStr"/>
      <c r="N173" s="42" t="inlineStr"/>
      <c r="O173" s="42" t="inlineStr"/>
      <c r="P173" s="42" t="inlineStr"/>
      <c r="Q173" s="42" t="inlineStr"/>
      <c r="R173" s="42" t="inlineStr"/>
      <c r="S173" s="42" t="inlineStr"/>
      <c r="T173" s="42" t="inlineStr"/>
      <c r="U173" s="44">
        <f>IF(A173="","",IFERROR(INDEX(E173:T173,MATCH(TRUE,INDEX(E173:T173&lt;&gt;"",0),0)),""))</f>
        <v/>
      </c>
      <c r="V173" s="44">
        <f>IF(A173="","",IFERROR(LOOKUP(2,1/(E173:T173&lt;&gt;""),E173:T173),""))</f>
        <v/>
      </c>
      <c r="W173" s="45">
        <f>IF(OR(A173="",PreviousYear=""),"",IFERROR(LOOKUP(2,1/(E173:T173&lt;&gt;""),E173:T173)-INDEX(E173:T173,MATCH(PreviousYear,$E$5:$T$5,0)),""))</f>
        <v/>
      </c>
      <c r="X173" s="45">
        <f>IF(OR(A173="",U173="",V173=""),"",V173-U173)</f>
        <v/>
      </c>
      <c r="Y173" s="44">
        <f>IF(A173="","",COUNT(E173:T173))</f>
        <v/>
      </c>
    </row>
    <row r="174">
      <c r="A174" s="39">
        <f>IF(AND('Employees'!B16&lt;&gt;"",'Skills'!B14&lt;&gt;""),'Employees'!B16,"")</f>
        <v/>
      </c>
      <c r="B174" s="40">
        <f>IF(A174="","",'Employees'!C16)</f>
        <v/>
      </c>
      <c r="C174" s="41">
        <f>IF(A174="","",'Skills'!B14)</f>
        <v/>
      </c>
      <c r="D174" s="40">
        <f>IF(A174="","",'Skills'!C14)</f>
        <v/>
      </c>
      <c r="E174" s="42" t="inlineStr"/>
      <c r="F174" s="42" t="inlineStr"/>
      <c r="G174" s="42" t="inlineStr"/>
      <c r="H174" s="43" t="inlineStr"/>
      <c r="I174" s="42" t="inlineStr"/>
      <c r="J174" s="42" t="inlineStr"/>
      <c r="K174" s="42" t="inlineStr"/>
      <c r="L174" s="42" t="inlineStr"/>
      <c r="M174" s="42" t="inlineStr"/>
      <c r="N174" s="42" t="inlineStr"/>
      <c r="O174" s="42" t="inlineStr"/>
      <c r="P174" s="42" t="inlineStr"/>
      <c r="Q174" s="42" t="inlineStr"/>
      <c r="R174" s="42" t="inlineStr"/>
      <c r="S174" s="42" t="inlineStr"/>
      <c r="T174" s="42" t="inlineStr"/>
      <c r="U174" s="44">
        <f>IF(A174="","",IFERROR(INDEX(E174:T174,MATCH(TRUE,INDEX(E174:T174&lt;&gt;"",0),0)),""))</f>
        <v/>
      </c>
      <c r="V174" s="44">
        <f>IF(A174="","",IFERROR(LOOKUP(2,1/(E174:T174&lt;&gt;""),E174:T174),""))</f>
        <v/>
      </c>
      <c r="W174" s="45">
        <f>IF(OR(A174="",PreviousYear=""),"",IFERROR(LOOKUP(2,1/(E174:T174&lt;&gt;""),E174:T174)-INDEX(E174:T174,MATCH(PreviousYear,$E$5:$T$5,0)),""))</f>
        <v/>
      </c>
      <c r="X174" s="45">
        <f>IF(OR(A174="",U174="",V174=""),"",V174-U174)</f>
        <v/>
      </c>
      <c r="Y174" s="44">
        <f>IF(A174="","",COUNT(E174:T174))</f>
        <v/>
      </c>
    </row>
    <row r="175">
      <c r="A175" s="39">
        <f>IF(AND('Employees'!B16&lt;&gt;"",'Skills'!B15&lt;&gt;""),'Employees'!B16,"")</f>
        <v/>
      </c>
      <c r="B175" s="40">
        <f>IF(A175="","",'Employees'!C16)</f>
        <v/>
      </c>
      <c r="C175" s="41">
        <f>IF(A175="","",'Skills'!B15)</f>
        <v/>
      </c>
      <c r="D175" s="40">
        <f>IF(A175="","",'Skills'!C15)</f>
        <v/>
      </c>
      <c r="E175" s="42" t="inlineStr"/>
      <c r="F175" s="42" t="inlineStr"/>
      <c r="G175" s="42" t="inlineStr"/>
      <c r="H175" s="43" t="inlineStr"/>
      <c r="I175" s="42" t="inlineStr"/>
      <c r="J175" s="42" t="inlineStr"/>
      <c r="K175" s="42" t="inlineStr"/>
      <c r="L175" s="42" t="inlineStr"/>
      <c r="M175" s="42" t="inlineStr"/>
      <c r="N175" s="42" t="inlineStr"/>
      <c r="O175" s="42" t="inlineStr"/>
      <c r="P175" s="42" t="inlineStr"/>
      <c r="Q175" s="42" t="inlineStr"/>
      <c r="R175" s="42" t="inlineStr"/>
      <c r="S175" s="42" t="inlineStr"/>
      <c r="T175" s="42" t="inlineStr"/>
      <c r="U175" s="44">
        <f>IF(A175="","",IFERROR(INDEX(E175:T175,MATCH(TRUE,INDEX(E175:T175&lt;&gt;"",0),0)),""))</f>
        <v/>
      </c>
      <c r="V175" s="44">
        <f>IF(A175="","",IFERROR(LOOKUP(2,1/(E175:T175&lt;&gt;""),E175:T175),""))</f>
        <v/>
      </c>
      <c r="W175" s="45">
        <f>IF(OR(A175="",PreviousYear=""),"",IFERROR(LOOKUP(2,1/(E175:T175&lt;&gt;""),E175:T175)-INDEX(E175:T175,MATCH(PreviousYear,$E$5:$T$5,0)),""))</f>
        <v/>
      </c>
      <c r="X175" s="45">
        <f>IF(OR(A175="",U175="",V175=""),"",V175-U175)</f>
        <v/>
      </c>
      <c r="Y175" s="44">
        <f>IF(A175="","",COUNT(E175:T175))</f>
        <v/>
      </c>
    </row>
    <row r="176">
      <c r="A176" s="39">
        <f>IF(AND('Employees'!B16&lt;&gt;"",'Skills'!B16&lt;&gt;""),'Employees'!B16,"")</f>
        <v/>
      </c>
      <c r="B176" s="40">
        <f>IF(A176="","",'Employees'!C16)</f>
        <v/>
      </c>
      <c r="C176" s="41">
        <f>IF(A176="","",'Skills'!B16)</f>
        <v/>
      </c>
      <c r="D176" s="40">
        <f>IF(A176="","",'Skills'!C16)</f>
        <v/>
      </c>
      <c r="E176" s="42" t="inlineStr"/>
      <c r="F176" s="42" t="inlineStr"/>
      <c r="G176" s="42" t="inlineStr"/>
      <c r="H176" s="43" t="inlineStr"/>
      <c r="I176" s="42" t="inlineStr"/>
      <c r="J176" s="42" t="inlineStr"/>
      <c r="K176" s="42" t="inlineStr"/>
      <c r="L176" s="42" t="inlineStr"/>
      <c r="M176" s="42" t="inlineStr"/>
      <c r="N176" s="42" t="inlineStr"/>
      <c r="O176" s="42" t="inlineStr"/>
      <c r="P176" s="42" t="inlineStr"/>
      <c r="Q176" s="42" t="inlineStr"/>
      <c r="R176" s="42" t="inlineStr"/>
      <c r="S176" s="42" t="inlineStr"/>
      <c r="T176" s="42" t="inlineStr"/>
      <c r="U176" s="44">
        <f>IF(A176="","",IFERROR(INDEX(E176:T176,MATCH(TRUE,INDEX(E176:T176&lt;&gt;"",0),0)),""))</f>
        <v/>
      </c>
      <c r="V176" s="44">
        <f>IF(A176="","",IFERROR(LOOKUP(2,1/(E176:T176&lt;&gt;""),E176:T176),""))</f>
        <v/>
      </c>
      <c r="W176" s="45">
        <f>IF(OR(A176="",PreviousYear=""),"",IFERROR(LOOKUP(2,1/(E176:T176&lt;&gt;""),E176:T176)-INDEX(E176:T176,MATCH(PreviousYear,$E$5:$T$5,0)),""))</f>
        <v/>
      </c>
      <c r="X176" s="45">
        <f>IF(OR(A176="",U176="",V176=""),"",V176-U176)</f>
        <v/>
      </c>
      <c r="Y176" s="44">
        <f>IF(A176="","",COUNT(E176:T176))</f>
        <v/>
      </c>
    </row>
    <row r="177">
      <c r="A177" s="39">
        <f>IF(AND('Employees'!B16&lt;&gt;"",'Skills'!B17&lt;&gt;""),'Employees'!B16,"")</f>
        <v/>
      </c>
      <c r="B177" s="40">
        <f>IF(A177="","",'Employees'!C16)</f>
        <v/>
      </c>
      <c r="C177" s="41">
        <f>IF(A177="","",'Skills'!B17)</f>
        <v/>
      </c>
      <c r="D177" s="40">
        <f>IF(A177="","",'Skills'!C17)</f>
        <v/>
      </c>
      <c r="E177" s="42" t="inlineStr"/>
      <c r="F177" s="42" t="inlineStr"/>
      <c r="G177" s="42" t="inlineStr"/>
      <c r="H177" s="43" t="inlineStr"/>
      <c r="I177" s="42" t="inlineStr"/>
      <c r="J177" s="42" t="inlineStr"/>
      <c r="K177" s="42" t="inlineStr"/>
      <c r="L177" s="42" t="inlineStr"/>
      <c r="M177" s="42" t="inlineStr"/>
      <c r="N177" s="42" t="inlineStr"/>
      <c r="O177" s="42" t="inlineStr"/>
      <c r="P177" s="42" t="inlineStr"/>
      <c r="Q177" s="42" t="inlineStr"/>
      <c r="R177" s="42" t="inlineStr"/>
      <c r="S177" s="42" t="inlineStr"/>
      <c r="T177" s="42" t="inlineStr"/>
      <c r="U177" s="44">
        <f>IF(A177="","",IFERROR(INDEX(E177:T177,MATCH(TRUE,INDEX(E177:T177&lt;&gt;"",0),0)),""))</f>
        <v/>
      </c>
      <c r="V177" s="44">
        <f>IF(A177="","",IFERROR(LOOKUP(2,1/(E177:T177&lt;&gt;""),E177:T177),""))</f>
        <v/>
      </c>
      <c r="W177" s="45">
        <f>IF(OR(A177="",PreviousYear=""),"",IFERROR(LOOKUP(2,1/(E177:T177&lt;&gt;""),E177:T177)-INDEX(E177:T177,MATCH(PreviousYear,$E$5:$T$5,0)),""))</f>
        <v/>
      </c>
      <c r="X177" s="45">
        <f>IF(OR(A177="",U177="",V177=""),"",V177-U177)</f>
        <v/>
      </c>
      <c r="Y177" s="44">
        <f>IF(A177="","",COUNT(E177:T177))</f>
        <v/>
      </c>
    </row>
    <row r="178">
      <c r="A178" s="39">
        <f>IF(AND('Employees'!B16&lt;&gt;"",'Skills'!B18&lt;&gt;""),'Employees'!B16,"")</f>
        <v/>
      </c>
      <c r="B178" s="40">
        <f>IF(A178="","",'Employees'!C16)</f>
        <v/>
      </c>
      <c r="C178" s="41">
        <f>IF(A178="","",'Skills'!B18)</f>
        <v/>
      </c>
      <c r="D178" s="40">
        <f>IF(A178="","",'Skills'!C18)</f>
        <v/>
      </c>
      <c r="E178" s="42" t="inlineStr"/>
      <c r="F178" s="42" t="inlineStr"/>
      <c r="G178" s="42" t="inlineStr"/>
      <c r="H178" s="43" t="inlineStr"/>
      <c r="I178" s="42" t="inlineStr"/>
      <c r="J178" s="42" t="inlineStr"/>
      <c r="K178" s="42" t="inlineStr"/>
      <c r="L178" s="42" t="inlineStr"/>
      <c r="M178" s="42" t="inlineStr"/>
      <c r="N178" s="42" t="inlineStr"/>
      <c r="O178" s="42" t="inlineStr"/>
      <c r="P178" s="42" t="inlineStr"/>
      <c r="Q178" s="42" t="inlineStr"/>
      <c r="R178" s="42" t="inlineStr"/>
      <c r="S178" s="42" t="inlineStr"/>
      <c r="T178" s="42" t="inlineStr"/>
      <c r="U178" s="44">
        <f>IF(A178="","",IFERROR(INDEX(E178:T178,MATCH(TRUE,INDEX(E178:T178&lt;&gt;"",0),0)),""))</f>
        <v/>
      </c>
      <c r="V178" s="44">
        <f>IF(A178="","",IFERROR(LOOKUP(2,1/(E178:T178&lt;&gt;""),E178:T178),""))</f>
        <v/>
      </c>
      <c r="W178" s="45">
        <f>IF(OR(A178="",PreviousYear=""),"",IFERROR(LOOKUP(2,1/(E178:T178&lt;&gt;""),E178:T178)-INDEX(E178:T178,MATCH(PreviousYear,$E$5:$T$5,0)),""))</f>
        <v/>
      </c>
      <c r="X178" s="45">
        <f>IF(OR(A178="",U178="",V178=""),"",V178-U178)</f>
        <v/>
      </c>
      <c r="Y178" s="44">
        <f>IF(A178="","",COUNT(E178:T178))</f>
        <v/>
      </c>
    </row>
    <row r="179">
      <c r="A179" s="39">
        <f>IF(AND('Employees'!B16&lt;&gt;"",'Skills'!B19&lt;&gt;""),'Employees'!B16,"")</f>
        <v/>
      </c>
      <c r="B179" s="40">
        <f>IF(A179="","",'Employees'!C16)</f>
        <v/>
      </c>
      <c r="C179" s="41">
        <f>IF(A179="","",'Skills'!B19)</f>
        <v/>
      </c>
      <c r="D179" s="40">
        <f>IF(A179="","",'Skills'!C19)</f>
        <v/>
      </c>
      <c r="E179" s="42" t="inlineStr"/>
      <c r="F179" s="42" t="inlineStr"/>
      <c r="G179" s="42" t="inlineStr"/>
      <c r="H179" s="43" t="inlineStr"/>
      <c r="I179" s="42" t="inlineStr"/>
      <c r="J179" s="42" t="inlineStr"/>
      <c r="K179" s="42" t="inlineStr"/>
      <c r="L179" s="42" t="inlineStr"/>
      <c r="M179" s="42" t="inlineStr"/>
      <c r="N179" s="42" t="inlineStr"/>
      <c r="O179" s="42" t="inlineStr"/>
      <c r="P179" s="42" t="inlineStr"/>
      <c r="Q179" s="42" t="inlineStr"/>
      <c r="R179" s="42" t="inlineStr"/>
      <c r="S179" s="42" t="inlineStr"/>
      <c r="T179" s="42" t="inlineStr"/>
      <c r="U179" s="44">
        <f>IF(A179="","",IFERROR(INDEX(E179:T179,MATCH(TRUE,INDEX(E179:T179&lt;&gt;"",0),0)),""))</f>
        <v/>
      </c>
      <c r="V179" s="44">
        <f>IF(A179="","",IFERROR(LOOKUP(2,1/(E179:T179&lt;&gt;""),E179:T179),""))</f>
        <v/>
      </c>
      <c r="W179" s="45">
        <f>IF(OR(A179="",PreviousYear=""),"",IFERROR(LOOKUP(2,1/(E179:T179&lt;&gt;""),E179:T179)-INDEX(E179:T179,MATCH(PreviousYear,$E$5:$T$5,0)),""))</f>
        <v/>
      </c>
      <c r="X179" s="45">
        <f>IF(OR(A179="",U179="",V179=""),"",V179-U179)</f>
        <v/>
      </c>
      <c r="Y179" s="44">
        <f>IF(A179="","",COUNT(E179:T179))</f>
        <v/>
      </c>
    </row>
    <row r="180">
      <c r="A180" s="39">
        <f>IF(AND('Employees'!B16&lt;&gt;"",'Skills'!B20&lt;&gt;""),'Employees'!B16,"")</f>
        <v/>
      </c>
      <c r="B180" s="40">
        <f>IF(A180="","",'Employees'!C16)</f>
        <v/>
      </c>
      <c r="C180" s="41">
        <f>IF(A180="","",'Skills'!B20)</f>
        <v/>
      </c>
      <c r="D180" s="40">
        <f>IF(A180="","",'Skills'!C20)</f>
        <v/>
      </c>
      <c r="E180" s="42" t="inlineStr"/>
      <c r="F180" s="42" t="inlineStr"/>
      <c r="G180" s="42" t="inlineStr"/>
      <c r="H180" s="43" t="inlineStr"/>
      <c r="I180" s="42" t="inlineStr"/>
      <c r="J180" s="42" t="inlineStr"/>
      <c r="K180" s="42" t="inlineStr"/>
      <c r="L180" s="42" t="inlineStr"/>
      <c r="M180" s="42" t="inlineStr"/>
      <c r="N180" s="42" t="inlineStr"/>
      <c r="O180" s="42" t="inlineStr"/>
      <c r="P180" s="42" t="inlineStr"/>
      <c r="Q180" s="42" t="inlineStr"/>
      <c r="R180" s="42" t="inlineStr"/>
      <c r="S180" s="42" t="inlineStr"/>
      <c r="T180" s="42" t="inlineStr"/>
      <c r="U180" s="44">
        <f>IF(A180="","",IFERROR(INDEX(E180:T180,MATCH(TRUE,INDEX(E180:T180&lt;&gt;"",0),0)),""))</f>
        <v/>
      </c>
      <c r="V180" s="44">
        <f>IF(A180="","",IFERROR(LOOKUP(2,1/(E180:T180&lt;&gt;""),E180:T180),""))</f>
        <v/>
      </c>
      <c r="W180" s="45">
        <f>IF(OR(A180="",PreviousYear=""),"",IFERROR(LOOKUP(2,1/(E180:T180&lt;&gt;""),E180:T180)-INDEX(E180:T180,MATCH(PreviousYear,$E$5:$T$5,0)),""))</f>
        <v/>
      </c>
      <c r="X180" s="45">
        <f>IF(OR(A180="",U180="",V180=""),"",V180-U180)</f>
        <v/>
      </c>
      <c r="Y180" s="44">
        <f>IF(A180="","",COUNT(E180:T180))</f>
        <v/>
      </c>
    </row>
    <row r="181">
      <c r="A181" s="39">
        <f>IF(AND('Employees'!B16&lt;&gt;"",'Skills'!B21&lt;&gt;""),'Employees'!B16,"")</f>
        <v/>
      </c>
      <c r="B181" s="40">
        <f>IF(A181="","",'Employees'!C16)</f>
        <v/>
      </c>
      <c r="C181" s="41">
        <f>IF(A181="","",'Skills'!B21)</f>
        <v/>
      </c>
      <c r="D181" s="40">
        <f>IF(A181="","",'Skills'!C21)</f>
        <v/>
      </c>
      <c r="E181" s="42" t="inlineStr"/>
      <c r="F181" s="42" t="inlineStr"/>
      <c r="G181" s="42" t="inlineStr"/>
      <c r="H181" s="43" t="inlineStr"/>
      <c r="I181" s="42" t="inlineStr"/>
      <c r="J181" s="42" t="inlineStr"/>
      <c r="K181" s="42" t="inlineStr"/>
      <c r="L181" s="42" t="inlineStr"/>
      <c r="M181" s="42" t="inlineStr"/>
      <c r="N181" s="42" t="inlineStr"/>
      <c r="O181" s="42" t="inlineStr"/>
      <c r="P181" s="42" t="inlineStr"/>
      <c r="Q181" s="42" t="inlineStr"/>
      <c r="R181" s="42" t="inlineStr"/>
      <c r="S181" s="42" t="inlineStr"/>
      <c r="T181" s="42" t="inlineStr"/>
      <c r="U181" s="44">
        <f>IF(A181="","",IFERROR(INDEX(E181:T181,MATCH(TRUE,INDEX(E181:T181&lt;&gt;"",0),0)),""))</f>
        <v/>
      </c>
      <c r="V181" s="44">
        <f>IF(A181="","",IFERROR(LOOKUP(2,1/(E181:T181&lt;&gt;""),E181:T181),""))</f>
        <v/>
      </c>
      <c r="W181" s="45">
        <f>IF(OR(A181="",PreviousYear=""),"",IFERROR(LOOKUP(2,1/(E181:T181&lt;&gt;""),E181:T181)-INDEX(E181:T181,MATCH(PreviousYear,$E$5:$T$5,0)),""))</f>
        <v/>
      </c>
      <c r="X181" s="45">
        <f>IF(OR(A181="",U181="",V181=""),"",V181-U181)</f>
        <v/>
      </c>
      <c r="Y181" s="44">
        <f>IF(A181="","",COUNT(E181:T181))</f>
        <v/>
      </c>
    </row>
    <row r="182">
      <c r="A182" s="39">
        <f>IF(AND('Employees'!B17&lt;&gt;"",'Skills'!B6&lt;&gt;""),'Employees'!B17,"")</f>
        <v/>
      </c>
      <c r="B182" s="40">
        <f>IF(A182="","",'Employees'!C17)</f>
        <v/>
      </c>
      <c r="C182" s="41">
        <f>IF(A182="","",'Skills'!B6)</f>
        <v/>
      </c>
      <c r="D182" s="40">
        <f>IF(A182="","",'Skills'!C6)</f>
        <v/>
      </c>
      <c r="E182" s="42" t="inlineStr"/>
      <c r="F182" s="42" t="inlineStr"/>
      <c r="G182" s="42" t="inlineStr"/>
      <c r="H182" s="43" t="inlineStr"/>
      <c r="I182" s="42" t="inlineStr"/>
      <c r="J182" s="42" t="inlineStr"/>
      <c r="K182" s="42" t="inlineStr"/>
      <c r="L182" s="42" t="inlineStr"/>
      <c r="M182" s="42" t="inlineStr"/>
      <c r="N182" s="42" t="inlineStr"/>
      <c r="O182" s="42" t="inlineStr"/>
      <c r="P182" s="42" t="inlineStr"/>
      <c r="Q182" s="42" t="inlineStr"/>
      <c r="R182" s="42" t="inlineStr"/>
      <c r="S182" s="42" t="inlineStr"/>
      <c r="T182" s="42" t="inlineStr"/>
      <c r="U182" s="44">
        <f>IF(A182="","",IFERROR(INDEX(E182:T182,MATCH(TRUE,INDEX(E182:T182&lt;&gt;"",0),0)),""))</f>
        <v/>
      </c>
      <c r="V182" s="44">
        <f>IF(A182="","",IFERROR(LOOKUP(2,1/(E182:T182&lt;&gt;""),E182:T182),""))</f>
        <v/>
      </c>
      <c r="W182" s="45">
        <f>IF(OR(A182="",PreviousYear=""),"",IFERROR(LOOKUP(2,1/(E182:T182&lt;&gt;""),E182:T182)-INDEX(E182:T182,MATCH(PreviousYear,$E$5:$T$5,0)),""))</f>
        <v/>
      </c>
      <c r="X182" s="45">
        <f>IF(OR(A182="",U182="",V182=""),"",V182-U182)</f>
        <v/>
      </c>
      <c r="Y182" s="44">
        <f>IF(A182="","",COUNT(E182:T182))</f>
        <v/>
      </c>
    </row>
    <row r="183">
      <c r="A183" s="39">
        <f>IF(AND('Employees'!B17&lt;&gt;"",'Skills'!B7&lt;&gt;""),'Employees'!B17,"")</f>
        <v/>
      </c>
      <c r="B183" s="40">
        <f>IF(A183="","",'Employees'!C17)</f>
        <v/>
      </c>
      <c r="C183" s="41">
        <f>IF(A183="","",'Skills'!B7)</f>
        <v/>
      </c>
      <c r="D183" s="40">
        <f>IF(A183="","",'Skills'!C7)</f>
        <v/>
      </c>
      <c r="E183" s="42" t="inlineStr"/>
      <c r="F183" s="42" t="inlineStr"/>
      <c r="G183" s="42" t="inlineStr"/>
      <c r="H183" s="43" t="inlineStr"/>
      <c r="I183" s="42" t="inlineStr"/>
      <c r="J183" s="42" t="inlineStr"/>
      <c r="K183" s="42" t="inlineStr"/>
      <c r="L183" s="42" t="inlineStr"/>
      <c r="M183" s="42" t="inlineStr"/>
      <c r="N183" s="42" t="inlineStr"/>
      <c r="O183" s="42" t="inlineStr"/>
      <c r="P183" s="42" t="inlineStr"/>
      <c r="Q183" s="42" t="inlineStr"/>
      <c r="R183" s="42" t="inlineStr"/>
      <c r="S183" s="42" t="inlineStr"/>
      <c r="T183" s="42" t="inlineStr"/>
      <c r="U183" s="44">
        <f>IF(A183="","",IFERROR(INDEX(E183:T183,MATCH(TRUE,INDEX(E183:T183&lt;&gt;"",0),0)),""))</f>
        <v/>
      </c>
      <c r="V183" s="44">
        <f>IF(A183="","",IFERROR(LOOKUP(2,1/(E183:T183&lt;&gt;""),E183:T183),""))</f>
        <v/>
      </c>
      <c r="W183" s="45">
        <f>IF(OR(A183="",PreviousYear=""),"",IFERROR(LOOKUP(2,1/(E183:T183&lt;&gt;""),E183:T183)-INDEX(E183:T183,MATCH(PreviousYear,$E$5:$T$5,0)),""))</f>
        <v/>
      </c>
      <c r="X183" s="45">
        <f>IF(OR(A183="",U183="",V183=""),"",V183-U183)</f>
        <v/>
      </c>
      <c r="Y183" s="44">
        <f>IF(A183="","",COUNT(E183:T183))</f>
        <v/>
      </c>
    </row>
    <row r="184">
      <c r="A184" s="39">
        <f>IF(AND('Employees'!B17&lt;&gt;"",'Skills'!B8&lt;&gt;""),'Employees'!B17,"")</f>
        <v/>
      </c>
      <c r="B184" s="40">
        <f>IF(A184="","",'Employees'!C17)</f>
        <v/>
      </c>
      <c r="C184" s="41">
        <f>IF(A184="","",'Skills'!B8)</f>
        <v/>
      </c>
      <c r="D184" s="40">
        <f>IF(A184="","",'Skills'!C8)</f>
        <v/>
      </c>
      <c r="E184" s="42" t="inlineStr"/>
      <c r="F184" s="42" t="inlineStr"/>
      <c r="G184" s="42" t="inlineStr"/>
      <c r="H184" s="43" t="inlineStr"/>
      <c r="I184" s="42" t="inlineStr"/>
      <c r="J184" s="42" t="inlineStr"/>
      <c r="K184" s="42" t="inlineStr"/>
      <c r="L184" s="42" t="inlineStr"/>
      <c r="M184" s="42" t="inlineStr"/>
      <c r="N184" s="42" t="inlineStr"/>
      <c r="O184" s="42" t="inlineStr"/>
      <c r="P184" s="42" t="inlineStr"/>
      <c r="Q184" s="42" t="inlineStr"/>
      <c r="R184" s="42" t="inlineStr"/>
      <c r="S184" s="42" t="inlineStr"/>
      <c r="T184" s="42" t="inlineStr"/>
      <c r="U184" s="44">
        <f>IF(A184="","",IFERROR(INDEX(E184:T184,MATCH(TRUE,INDEX(E184:T184&lt;&gt;"",0),0)),""))</f>
        <v/>
      </c>
      <c r="V184" s="44">
        <f>IF(A184="","",IFERROR(LOOKUP(2,1/(E184:T184&lt;&gt;""),E184:T184),""))</f>
        <v/>
      </c>
      <c r="W184" s="45">
        <f>IF(OR(A184="",PreviousYear=""),"",IFERROR(LOOKUP(2,1/(E184:T184&lt;&gt;""),E184:T184)-INDEX(E184:T184,MATCH(PreviousYear,$E$5:$T$5,0)),""))</f>
        <v/>
      </c>
      <c r="X184" s="45">
        <f>IF(OR(A184="",U184="",V184=""),"",V184-U184)</f>
        <v/>
      </c>
      <c r="Y184" s="44">
        <f>IF(A184="","",COUNT(E184:T184))</f>
        <v/>
      </c>
    </row>
    <row r="185">
      <c r="A185" s="39">
        <f>IF(AND('Employees'!B17&lt;&gt;"",'Skills'!B9&lt;&gt;""),'Employees'!B17,"")</f>
        <v/>
      </c>
      <c r="B185" s="40">
        <f>IF(A185="","",'Employees'!C17)</f>
        <v/>
      </c>
      <c r="C185" s="41">
        <f>IF(A185="","",'Skills'!B9)</f>
        <v/>
      </c>
      <c r="D185" s="40">
        <f>IF(A185="","",'Skills'!C9)</f>
        <v/>
      </c>
      <c r="E185" s="42" t="inlineStr"/>
      <c r="F185" s="42" t="inlineStr"/>
      <c r="G185" s="42" t="inlineStr"/>
      <c r="H185" s="43" t="inlineStr"/>
      <c r="I185" s="42" t="inlineStr"/>
      <c r="J185" s="42" t="inlineStr"/>
      <c r="K185" s="42" t="inlineStr"/>
      <c r="L185" s="42" t="inlineStr"/>
      <c r="M185" s="42" t="inlineStr"/>
      <c r="N185" s="42" t="inlineStr"/>
      <c r="O185" s="42" t="inlineStr"/>
      <c r="P185" s="42" t="inlineStr"/>
      <c r="Q185" s="42" t="inlineStr"/>
      <c r="R185" s="42" t="inlineStr"/>
      <c r="S185" s="42" t="inlineStr"/>
      <c r="T185" s="42" t="inlineStr"/>
      <c r="U185" s="44">
        <f>IF(A185="","",IFERROR(INDEX(E185:T185,MATCH(TRUE,INDEX(E185:T185&lt;&gt;"",0),0)),""))</f>
        <v/>
      </c>
      <c r="V185" s="44">
        <f>IF(A185="","",IFERROR(LOOKUP(2,1/(E185:T185&lt;&gt;""),E185:T185),""))</f>
        <v/>
      </c>
      <c r="W185" s="45">
        <f>IF(OR(A185="",PreviousYear=""),"",IFERROR(LOOKUP(2,1/(E185:T185&lt;&gt;""),E185:T185)-INDEX(E185:T185,MATCH(PreviousYear,$E$5:$T$5,0)),""))</f>
        <v/>
      </c>
      <c r="X185" s="45">
        <f>IF(OR(A185="",U185="",V185=""),"",V185-U185)</f>
        <v/>
      </c>
      <c r="Y185" s="44">
        <f>IF(A185="","",COUNT(E185:T185))</f>
        <v/>
      </c>
    </row>
    <row r="186">
      <c r="A186" s="39">
        <f>IF(AND('Employees'!B17&lt;&gt;"",'Skills'!B10&lt;&gt;""),'Employees'!B17,"")</f>
        <v/>
      </c>
      <c r="B186" s="40">
        <f>IF(A186="","",'Employees'!C17)</f>
        <v/>
      </c>
      <c r="C186" s="41">
        <f>IF(A186="","",'Skills'!B10)</f>
        <v/>
      </c>
      <c r="D186" s="40">
        <f>IF(A186="","",'Skills'!C10)</f>
        <v/>
      </c>
      <c r="E186" s="42" t="inlineStr"/>
      <c r="F186" s="42" t="inlineStr"/>
      <c r="G186" s="42" t="inlineStr"/>
      <c r="H186" s="43" t="inlineStr"/>
      <c r="I186" s="42" t="inlineStr"/>
      <c r="J186" s="42" t="inlineStr"/>
      <c r="K186" s="42" t="inlineStr"/>
      <c r="L186" s="42" t="inlineStr"/>
      <c r="M186" s="42" t="inlineStr"/>
      <c r="N186" s="42" t="inlineStr"/>
      <c r="O186" s="42" t="inlineStr"/>
      <c r="P186" s="42" t="inlineStr"/>
      <c r="Q186" s="42" t="inlineStr"/>
      <c r="R186" s="42" t="inlineStr"/>
      <c r="S186" s="42" t="inlineStr"/>
      <c r="T186" s="42" t="inlineStr"/>
      <c r="U186" s="44">
        <f>IF(A186="","",IFERROR(INDEX(E186:T186,MATCH(TRUE,INDEX(E186:T186&lt;&gt;"",0),0)),""))</f>
        <v/>
      </c>
      <c r="V186" s="44">
        <f>IF(A186="","",IFERROR(LOOKUP(2,1/(E186:T186&lt;&gt;""),E186:T186),""))</f>
        <v/>
      </c>
      <c r="W186" s="45">
        <f>IF(OR(A186="",PreviousYear=""),"",IFERROR(LOOKUP(2,1/(E186:T186&lt;&gt;""),E186:T186)-INDEX(E186:T186,MATCH(PreviousYear,$E$5:$T$5,0)),""))</f>
        <v/>
      </c>
      <c r="X186" s="45">
        <f>IF(OR(A186="",U186="",V186=""),"",V186-U186)</f>
        <v/>
      </c>
      <c r="Y186" s="44">
        <f>IF(A186="","",COUNT(E186:T186))</f>
        <v/>
      </c>
    </row>
    <row r="187">
      <c r="A187" s="39">
        <f>IF(AND('Employees'!B17&lt;&gt;"",'Skills'!B11&lt;&gt;""),'Employees'!B17,"")</f>
        <v/>
      </c>
      <c r="B187" s="40">
        <f>IF(A187="","",'Employees'!C17)</f>
        <v/>
      </c>
      <c r="C187" s="41">
        <f>IF(A187="","",'Skills'!B11)</f>
        <v/>
      </c>
      <c r="D187" s="40">
        <f>IF(A187="","",'Skills'!C11)</f>
        <v/>
      </c>
      <c r="E187" s="42" t="inlineStr"/>
      <c r="F187" s="42" t="inlineStr"/>
      <c r="G187" s="42" t="inlineStr"/>
      <c r="H187" s="43" t="inlineStr"/>
      <c r="I187" s="42" t="inlineStr"/>
      <c r="J187" s="42" t="inlineStr"/>
      <c r="K187" s="42" t="inlineStr"/>
      <c r="L187" s="42" t="inlineStr"/>
      <c r="M187" s="42" t="inlineStr"/>
      <c r="N187" s="42" t="inlineStr"/>
      <c r="O187" s="42" t="inlineStr"/>
      <c r="P187" s="42" t="inlineStr"/>
      <c r="Q187" s="42" t="inlineStr"/>
      <c r="R187" s="42" t="inlineStr"/>
      <c r="S187" s="42" t="inlineStr"/>
      <c r="T187" s="42" t="inlineStr"/>
      <c r="U187" s="44">
        <f>IF(A187="","",IFERROR(INDEX(E187:T187,MATCH(TRUE,INDEX(E187:T187&lt;&gt;"",0),0)),""))</f>
        <v/>
      </c>
      <c r="V187" s="44">
        <f>IF(A187="","",IFERROR(LOOKUP(2,1/(E187:T187&lt;&gt;""),E187:T187),""))</f>
        <v/>
      </c>
      <c r="W187" s="45">
        <f>IF(OR(A187="",PreviousYear=""),"",IFERROR(LOOKUP(2,1/(E187:T187&lt;&gt;""),E187:T187)-INDEX(E187:T187,MATCH(PreviousYear,$E$5:$T$5,0)),""))</f>
        <v/>
      </c>
      <c r="X187" s="45">
        <f>IF(OR(A187="",U187="",V187=""),"",V187-U187)</f>
        <v/>
      </c>
      <c r="Y187" s="44">
        <f>IF(A187="","",COUNT(E187:T187))</f>
        <v/>
      </c>
    </row>
    <row r="188">
      <c r="A188" s="39">
        <f>IF(AND('Employees'!B17&lt;&gt;"",'Skills'!B12&lt;&gt;""),'Employees'!B17,"")</f>
        <v/>
      </c>
      <c r="B188" s="40">
        <f>IF(A188="","",'Employees'!C17)</f>
        <v/>
      </c>
      <c r="C188" s="41">
        <f>IF(A188="","",'Skills'!B12)</f>
        <v/>
      </c>
      <c r="D188" s="40">
        <f>IF(A188="","",'Skills'!C12)</f>
        <v/>
      </c>
      <c r="E188" s="42" t="inlineStr"/>
      <c r="F188" s="42" t="inlineStr"/>
      <c r="G188" s="42" t="inlineStr"/>
      <c r="H188" s="43" t="inlineStr"/>
      <c r="I188" s="42" t="inlineStr"/>
      <c r="J188" s="42" t="inlineStr"/>
      <c r="K188" s="42" t="inlineStr"/>
      <c r="L188" s="42" t="inlineStr"/>
      <c r="M188" s="42" t="inlineStr"/>
      <c r="N188" s="42" t="inlineStr"/>
      <c r="O188" s="42" t="inlineStr"/>
      <c r="P188" s="42" t="inlineStr"/>
      <c r="Q188" s="42" t="inlineStr"/>
      <c r="R188" s="42" t="inlineStr"/>
      <c r="S188" s="42" t="inlineStr"/>
      <c r="T188" s="42" t="inlineStr"/>
      <c r="U188" s="44">
        <f>IF(A188="","",IFERROR(INDEX(E188:T188,MATCH(TRUE,INDEX(E188:T188&lt;&gt;"",0),0)),""))</f>
        <v/>
      </c>
      <c r="V188" s="44">
        <f>IF(A188="","",IFERROR(LOOKUP(2,1/(E188:T188&lt;&gt;""),E188:T188),""))</f>
        <v/>
      </c>
      <c r="W188" s="45">
        <f>IF(OR(A188="",PreviousYear=""),"",IFERROR(LOOKUP(2,1/(E188:T188&lt;&gt;""),E188:T188)-INDEX(E188:T188,MATCH(PreviousYear,$E$5:$T$5,0)),""))</f>
        <v/>
      </c>
      <c r="X188" s="45">
        <f>IF(OR(A188="",U188="",V188=""),"",V188-U188)</f>
        <v/>
      </c>
      <c r="Y188" s="44">
        <f>IF(A188="","",COUNT(E188:T188))</f>
        <v/>
      </c>
    </row>
    <row r="189">
      <c r="A189" s="39">
        <f>IF(AND('Employees'!B17&lt;&gt;"",'Skills'!B13&lt;&gt;""),'Employees'!B17,"")</f>
        <v/>
      </c>
      <c r="B189" s="40">
        <f>IF(A189="","",'Employees'!C17)</f>
        <v/>
      </c>
      <c r="C189" s="41">
        <f>IF(A189="","",'Skills'!B13)</f>
        <v/>
      </c>
      <c r="D189" s="40">
        <f>IF(A189="","",'Skills'!C13)</f>
        <v/>
      </c>
      <c r="E189" s="42" t="inlineStr"/>
      <c r="F189" s="42" t="inlineStr"/>
      <c r="G189" s="42" t="inlineStr"/>
      <c r="H189" s="43" t="inlineStr"/>
      <c r="I189" s="42" t="inlineStr"/>
      <c r="J189" s="42" t="inlineStr"/>
      <c r="K189" s="42" t="inlineStr"/>
      <c r="L189" s="42" t="inlineStr"/>
      <c r="M189" s="42" t="inlineStr"/>
      <c r="N189" s="42" t="inlineStr"/>
      <c r="O189" s="42" t="inlineStr"/>
      <c r="P189" s="42" t="inlineStr"/>
      <c r="Q189" s="42" t="inlineStr"/>
      <c r="R189" s="42" t="inlineStr"/>
      <c r="S189" s="42" t="inlineStr"/>
      <c r="T189" s="42" t="inlineStr"/>
      <c r="U189" s="44">
        <f>IF(A189="","",IFERROR(INDEX(E189:T189,MATCH(TRUE,INDEX(E189:T189&lt;&gt;"",0),0)),""))</f>
        <v/>
      </c>
      <c r="V189" s="44">
        <f>IF(A189="","",IFERROR(LOOKUP(2,1/(E189:T189&lt;&gt;""),E189:T189),""))</f>
        <v/>
      </c>
      <c r="W189" s="45">
        <f>IF(OR(A189="",PreviousYear=""),"",IFERROR(LOOKUP(2,1/(E189:T189&lt;&gt;""),E189:T189)-INDEX(E189:T189,MATCH(PreviousYear,$E$5:$T$5,0)),""))</f>
        <v/>
      </c>
      <c r="X189" s="45">
        <f>IF(OR(A189="",U189="",V189=""),"",V189-U189)</f>
        <v/>
      </c>
      <c r="Y189" s="44">
        <f>IF(A189="","",COUNT(E189:T189))</f>
        <v/>
      </c>
    </row>
    <row r="190">
      <c r="A190" s="39">
        <f>IF(AND('Employees'!B17&lt;&gt;"",'Skills'!B14&lt;&gt;""),'Employees'!B17,"")</f>
        <v/>
      </c>
      <c r="B190" s="40">
        <f>IF(A190="","",'Employees'!C17)</f>
        <v/>
      </c>
      <c r="C190" s="41">
        <f>IF(A190="","",'Skills'!B14)</f>
        <v/>
      </c>
      <c r="D190" s="40">
        <f>IF(A190="","",'Skills'!C14)</f>
        <v/>
      </c>
      <c r="E190" s="42" t="inlineStr"/>
      <c r="F190" s="42" t="inlineStr"/>
      <c r="G190" s="42" t="inlineStr"/>
      <c r="H190" s="43" t="inlineStr"/>
      <c r="I190" s="42" t="inlineStr"/>
      <c r="J190" s="42" t="inlineStr"/>
      <c r="K190" s="42" t="inlineStr"/>
      <c r="L190" s="42" t="inlineStr"/>
      <c r="M190" s="42" t="inlineStr"/>
      <c r="N190" s="42" t="inlineStr"/>
      <c r="O190" s="42" t="inlineStr"/>
      <c r="P190" s="42" t="inlineStr"/>
      <c r="Q190" s="42" t="inlineStr"/>
      <c r="R190" s="42" t="inlineStr"/>
      <c r="S190" s="42" t="inlineStr"/>
      <c r="T190" s="42" t="inlineStr"/>
      <c r="U190" s="44">
        <f>IF(A190="","",IFERROR(INDEX(E190:T190,MATCH(TRUE,INDEX(E190:T190&lt;&gt;"",0),0)),""))</f>
        <v/>
      </c>
      <c r="V190" s="44">
        <f>IF(A190="","",IFERROR(LOOKUP(2,1/(E190:T190&lt;&gt;""),E190:T190),""))</f>
        <v/>
      </c>
      <c r="W190" s="45">
        <f>IF(OR(A190="",PreviousYear=""),"",IFERROR(LOOKUP(2,1/(E190:T190&lt;&gt;""),E190:T190)-INDEX(E190:T190,MATCH(PreviousYear,$E$5:$T$5,0)),""))</f>
        <v/>
      </c>
      <c r="X190" s="45">
        <f>IF(OR(A190="",U190="",V190=""),"",V190-U190)</f>
        <v/>
      </c>
      <c r="Y190" s="44">
        <f>IF(A190="","",COUNT(E190:T190))</f>
        <v/>
      </c>
    </row>
    <row r="191">
      <c r="A191" s="39">
        <f>IF(AND('Employees'!B17&lt;&gt;"",'Skills'!B15&lt;&gt;""),'Employees'!B17,"")</f>
        <v/>
      </c>
      <c r="B191" s="40">
        <f>IF(A191="","",'Employees'!C17)</f>
        <v/>
      </c>
      <c r="C191" s="41">
        <f>IF(A191="","",'Skills'!B15)</f>
        <v/>
      </c>
      <c r="D191" s="40">
        <f>IF(A191="","",'Skills'!C15)</f>
        <v/>
      </c>
      <c r="E191" s="42" t="inlineStr"/>
      <c r="F191" s="42" t="inlineStr"/>
      <c r="G191" s="42" t="inlineStr"/>
      <c r="H191" s="43" t="inlineStr"/>
      <c r="I191" s="42" t="inlineStr"/>
      <c r="J191" s="42" t="inlineStr"/>
      <c r="K191" s="42" t="inlineStr"/>
      <c r="L191" s="42" t="inlineStr"/>
      <c r="M191" s="42" t="inlineStr"/>
      <c r="N191" s="42" t="inlineStr"/>
      <c r="O191" s="42" t="inlineStr"/>
      <c r="P191" s="42" t="inlineStr"/>
      <c r="Q191" s="42" t="inlineStr"/>
      <c r="R191" s="42" t="inlineStr"/>
      <c r="S191" s="42" t="inlineStr"/>
      <c r="T191" s="42" t="inlineStr"/>
      <c r="U191" s="44">
        <f>IF(A191="","",IFERROR(INDEX(E191:T191,MATCH(TRUE,INDEX(E191:T191&lt;&gt;"",0),0)),""))</f>
        <v/>
      </c>
      <c r="V191" s="44">
        <f>IF(A191="","",IFERROR(LOOKUP(2,1/(E191:T191&lt;&gt;""),E191:T191),""))</f>
        <v/>
      </c>
      <c r="W191" s="45">
        <f>IF(OR(A191="",PreviousYear=""),"",IFERROR(LOOKUP(2,1/(E191:T191&lt;&gt;""),E191:T191)-INDEX(E191:T191,MATCH(PreviousYear,$E$5:$T$5,0)),""))</f>
        <v/>
      </c>
      <c r="X191" s="45">
        <f>IF(OR(A191="",U191="",V191=""),"",V191-U191)</f>
        <v/>
      </c>
      <c r="Y191" s="44">
        <f>IF(A191="","",COUNT(E191:T191))</f>
        <v/>
      </c>
    </row>
    <row r="192">
      <c r="A192" s="39">
        <f>IF(AND('Employees'!B17&lt;&gt;"",'Skills'!B16&lt;&gt;""),'Employees'!B17,"")</f>
        <v/>
      </c>
      <c r="B192" s="40">
        <f>IF(A192="","",'Employees'!C17)</f>
        <v/>
      </c>
      <c r="C192" s="41">
        <f>IF(A192="","",'Skills'!B16)</f>
        <v/>
      </c>
      <c r="D192" s="40">
        <f>IF(A192="","",'Skills'!C16)</f>
        <v/>
      </c>
      <c r="E192" s="42" t="inlineStr"/>
      <c r="F192" s="42" t="inlineStr"/>
      <c r="G192" s="42" t="inlineStr"/>
      <c r="H192" s="43" t="inlineStr"/>
      <c r="I192" s="42" t="inlineStr"/>
      <c r="J192" s="42" t="inlineStr"/>
      <c r="K192" s="42" t="inlineStr"/>
      <c r="L192" s="42" t="inlineStr"/>
      <c r="M192" s="42" t="inlineStr"/>
      <c r="N192" s="42" t="inlineStr"/>
      <c r="O192" s="42" t="inlineStr"/>
      <c r="P192" s="42" t="inlineStr"/>
      <c r="Q192" s="42" t="inlineStr"/>
      <c r="R192" s="42" t="inlineStr"/>
      <c r="S192" s="42" t="inlineStr"/>
      <c r="T192" s="42" t="inlineStr"/>
      <c r="U192" s="44">
        <f>IF(A192="","",IFERROR(INDEX(E192:T192,MATCH(TRUE,INDEX(E192:T192&lt;&gt;"",0),0)),""))</f>
        <v/>
      </c>
      <c r="V192" s="44">
        <f>IF(A192="","",IFERROR(LOOKUP(2,1/(E192:T192&lt;&gt;""),E192:T192),""))</f>
        <v/>
      </c>
      <c r="W192" s="45">
        <f>IF(OR(A192="",PreviousYear=""),"",IFERROR(LOOKUP(2,1/(E192:T192&lt;&gt;""),E192:T192)-INDEX(E192:T192,MATCH(PreviousYear,$E$5:$T$5,0)),""))</f>
        <v/>
      </c>
      <c r="X192" s="45">
        <f>IF(OR(A192="",U192="",V192=""),"",V192-U192)</f>
        <v/>
      </c>
      <c r="Y192" s="44">
        <f>IF(A192="","",COUNT(E192:T192))</f>
        <v/>
      </c>
    </row>
    <row r="193">
      <c r="A193" s="39">
        <f>IF(AND('Employees'!B17&lt;&gt;"",'Skills'!B17&lt;&gt;""),'Employees'!B17,"")</f>
        <v/>
      </c>
      <c r="B193" s="40">
        <f>IF(A193="","",'Employees'!C17)</f>
        <v/>
      </c>
      <c r="C193" s="41">
        <f>IF(A193="","",'Skills'!B17)</f>
        <v/>
      </c>
      <c r="D193" s="40">
        <f>IF(A193="","",'Skills'!C17)</f>
        <v/>
      </c>
      <c r="E193" s="42" t="inlineStr"/>
      <c r="F193" s="42" t="inlineStr"/>
      <c r="G193" s="42" t="inlineStr"/>
      <c r="H193" s="43" t="inlineStr"/>
      <c r="I193" s="42" t="inlineStr"/>
      <c r="J193" s="42" t="inlineStr"/>
      <c r="K193" s="42" t="inlineStr"/>
      <c r="L193" s="42" t="inlineStr"/>
      <c r="M193" s="42" t="inlineStr"/>
      <c r="N193" s="42" t="inlineStr"/>
      <c r="O193" s="42" t="inlineStr"/>
      <c r="P193" s="42" t="inlineStr"/>
      <c r="Q193" s="42" t="inlineStr"/>
      <c r="R193" s="42" t="inlineStr"/>
      <c r="S193" s="42" t="inlineStr"/>
      <c r="T193" s="42" t="inlineStr"/>
      <c r="U193" s="44">
        <f>IF(A193="","",IFERROR(INDEX(E193:T193,MATCH(TRUE,INDEX(E193:T193&lt;&gt;"",0),0)),""))</f>
        <v/>
      </c>
      <c r="V193" s="44">
        <f>IF(A193="","",IFERROR(LOOKUP(2,1/(E193:T193&lt;&gt;""),E193:T193),""))</f>
        <v/>
      </c>
      <c r="W193" s="45">
        <f>IF(OR(A193="",PreviousYear=""),"",IFERROR(LOOKUP(2,1/(E193:T193&lt;&gt;""),E193:T193)-INDEX(E193:T193,MATCH(PreviousYear,$E$5:$T$5,0)),""))</f>
        <v/>
      </c>
      <c r="X193" s="45">
        <f>IF(OR(A193="",U193="",V193=""),"",V193-U193)</f>
        <v/>
      </c>
      <c r="Y193" s="44">
        <f>IF(A193="","",COUNT(E193:T193))</f>
        <v/>
      </c>
    </row>
    <row r="194">
      <c r="A194" s="39">
        <f>IF(AND('Employees'!B17&lt;&gt;"",'Skills'!B18&lt;&gt;""),'Employees'!B17,"")</f>
        <v/>
      </c>
      <c r="B194" s="40">
        <f>IF(A194="","",'Employees'!C17)</f>
        <v/>
      </c>
      <c r="C194" s="41">
        <f>IF(A194="","",'Skills'!B18)</f>
        <v/>
      </c>
      <c r="D194" s="40">
        <f>IF(A194="","",'Skills'!C18)</f>
        <v/>
      </c>
      <c r="E194" s="42" t="inlineStr"/>
      <c r="F194" s="42" t="inlineStr"/>
      <c r="G194" s="42" t="inlineStr"/>
      <c r="H194" s="43" t="inlineStr"/>
      <c r="I194" s="42" t="inlineStr"/>
      <c r="J194" s="42" t="inlineStr"/>
      <c r="K194" s="42" t="inlineStr"/>
      <c r="L194" s="42" t="inlineStr"/>
      <c r="M194" s="42" t="inlineStr"/>
      <c r="N194" s="42" t="inlineStr"/>
      <c r="O194" s="42" t="inlineStr"/>
      <c r="P194" s="42" t="inlineStr"/>
      <c r="Q194" s="42" t="inlineStr"/>
      <c r="R194" s="42" t="inlineStr"/>
      <c r="S194" s="42" t="inlineStr"/>
      <c r="T194" s="42" t="inlineStr"/>
      <c r="U194" s="44">
        <f>IF(A194="","",IFERROR(INDEX(E194:T194,MATCH(TRUE,INDEX(E194:T194&lt;&gt;"",0),0)),""))</f>
        <v/>
      </c>
      <c r="V194" s="44">
        <f>IF(A194="","",IFERROR(LOOKUP(2,1/(E194:T194&lt;&gt;""),E194:T194),""))</f>
        <v/>
      </c>
      <c r="W194" s="45">
        <f>IF(OR(A194="",PreviousYear=""),"",IFERROR(LOOKUP(2,1/(E194:T194&lt;&gt;""),E194:T194)-INDEX(E194:T194,MATCH(PreviousYear,$E$5:$T$5,0)),""))</f>
        <v/>
      </c>
      <c r="X194" s="45">
        <f>IF(OR(A194="",U194="",V194=""),"",V194-U194)</f>
        <v/>
      </c>
      <c r="Y194" s="44">
        <f>IF(A194="","",COUNT(E194:T194))</f>
        <v/>
      </c>
    </row>
    <row r="195">
      <c r="A195" s="39">
        <f>IF(AND('Employees'!B17&lt;&gt;"",'Skills'!B19&lt;&gt;""),'Employees'!B17,"")</f>
        <v/>
      </c>
      <c r="B195" s="40">
        <f>IF(A195="","",'Employees'!C17)</f>
        <v/>
      </c>
      <c r="C195" s="41">
        <f>IF(A195="","",'Skills'!B19)</f>
        <v/>
      </c>
      <c r="D195" s="40">
        <f>IF(A195="","",'Skills'!C19)</f>
        <v/>
      </c>
      <c r="E195" s="42" t="inlineStr"/>
      <c r="F195" s="42" t="inlineStr"/>
      <c r="G195" s="42" t="inlineStr"/>
      <c r="H195" s="43" t="inlineStr"/>
      <c r="I195" s="42" t="inlineStr"/>
      <c r="J195" s="42" t="inlineStr"/>
      <c r="K195" s="42" t="inlineStr"/>
      <c r="L195" s="42" t="inlineStr"/>
      <c r="M195" s="42" t="inlineStr"/>
      <c r="N195" s="42" t="inlineStr"/>
      <c r="O195" s="42" t="inlineStr"/>
      <c r="P195" s="42" t="inlineStr"/>
      <c r="Q195" s="42" t="inlineStr"/>
      <c r="R195" s="42" t="inlineStr"/>
      <c r="S195" s="42" t="inlineStr"/>
      <c r="T195" s="42" t="inlineStr"/>
      <c r="U195" s="44">
        <f>IF(A195="","",IFERROR(INDEX(E195:T195,MATCH(TRUE,INDEX(E195:T195&lt;&gt;"",0),0)),""))</f>
        <v/>
      </c>
      <c r="V195" s="44">
        <f>IF(A195="","",IFERROR(LOOKUP(2,1/(E195:T195&lt;&gt;""),E195:T195),""))</f>
        <v/>
      </c>
      <c r="W195" s="45">
        <f>IF(OR(A195="",PreviousYear=""),"",IFERROR(LOOKUP(2,1/(E195:T195&lt;&gt;""),E195:T195)-INDEX(E195:T195,MATCH(PreviousYear,$E$5:$T$5,0)),""))</f>
        <v/>
      </c>
      <c r="X195" s="45">
        <f>IF(OR(A195="",U195="",V195=""),"",V195-U195)</f>
        <v/>
      </c>
      <c r="Y195" s="44">
        <f>IF(A195="","",COUNT(E195:T195))</f>
        <v/>
      </c>
    </row>
    <row r="196">
      <c r="A196" s="39">
        <f>IF(AND('Employees'!B17&lt;&gt;"",'Skills'!B20&lt;&gt;""),'Employees'!B17,"")</f>
        <v/>
      </c>
      <c r="B196" s="40">
        <f>IF(A196="","",'Employees'!C17)</f>
        <v/>
      </c>
      <c r="C196" s="41">
        <f>IF(A196="","",'Skills'!B20)</f>
        <v/>
      </c>
      <c r="D196" s="40">
        <f>IF(A196="","",'Skills'!C20)</f>
        <v/>
      </c>
      <c r="E196" s="42" t="inlineStr"/>
      <c r="F196" s="42" t="inlineStr"/>
      <c r="G196" s="42" t="inlineStr"/>
      <c r="H196" s="43" t="inlineStr"/>
      <c r="I196" s="42" t="inlineStr"/>
      <c r="J196" s="42" t="inlineStr"/>
      <c r="K196" s="42" t="inlineStr"/>
      <c r="L196" s="42" t="inlineStr"/>
      <c r="M196" s="42" t="inlineStr"/>
      <c r="N196" s="42" t="inlineStr"/>
      <c r="O196" s="42" t="inlineStr"/>
      <c r="P196" s="42" t="inlineStr"/>
      <c r="Q196" s="42" t="inlineStr"/>
      <c r="R196" s="42" t="inlineStr"/>
      <c r="S196" s="42" t="inlineStr"/>
      <c r="T196" s="42" t="inlineStr"/>
      <c r="U196" s="44">
        <f>IF(A196="","",IFERROR(INDEX(E196:T196,MATCH(TRUE,INDEX(E196:T196&lt;&gt;"",0),0)),""))</f>
        <v/>
      </c>
      <c r="V196" s="44">
        <f>IF(A196="","",IFERROR(LOOKUP(2,1/(E196:T196&lt;&gt;""),E196:T196),""))</f>
        <v/>
      </c>
      <c r="W196" s="45">
        <f>IF(OR(A196="",PreviousYear=""),"",IFERROR(LOOKUP(2,1/(E196:T196&lt;&gt;""),E196:T196)-INDEX(E196:T196,MATCH(PreviousYear,$E$5:$T$5,0)),""))</f>
        <v/>
      </c>
      <c r="X196" s="45">
        <f>IF(OR(A196="",U196="",V196=""),"",V196-U196)</f>
        <v/>
      </c>
      <c r="Y196" s="44">
        <f>IF(A196="","",COUNT(E196:T196))</f>
        <v/>
      </c>
    </row>
    <row r="197">
      <c r="A197" s="39">
        <f>IF(AND('Employees'!B17&lt;&gt;"",'Skills'!B21&lt;&gt;""),'Employees'!B17,"")</f>
        <v/>
      </c>
      <c r="B197" s="40">
        <f>IF(A197="","",'Employees'!C17)</f>
        <v/>
      </c>
      <c r="C197" s="41">
        <f>IF(A197="","",'Skills'!B21)</f>
        <v/>
      </c>
      <c r="D197" s="40">
        <f>IF(A197="","",'Skills'!C21)</f>
        <v/>
      </c>
      <c r="E197" s="42" t="inlineStr"/>
      <c r="F197" s="42" t="inlineStr"/>
      <c r="G197" s="42" t="inlineStr"/>
      <c r="H197" s="43" t="inlineStr"/>
      <c r="I197" s="42" t="inlineStr"/>
      <c r="J197" s="42" t="inlineStr"/>
      <c r="K197" s="42" t="inlineStr"/>
      <c r="L197" s="42" t="inlineStr"/>
      <c r="M197" s="42" t="inlineStr"/>
      <c r="N197" s="42" t="inlineStr"/>
      <c r="O197" s="42" t="inlineStr"/>
      <c r="P197" s="42" t="inlineStr"/>
      <c r="Q197" s="42" t="inlineStr"/>
      <c r="R197" s="42" t="inlineStr"/>
      <c r="S197" s="42" t="inlineStr"/>
      <c r="T197" s="42" t="inlineStr"/>
      <c r="U197" s="44">
        <f>IF(A197="","",IFERROR(INDEX(E197:T197,MATCH(TRUE,INDEX(E197:T197&lt;&gt;"",0),0)),""))</f>
        <v/>
      </c>
      <c r="V197" s="44">
        <f>IF(A197="","",IFERROR(LOOKUP(2,1/(E197:T197&lt;&gt;""),E197:T197),""))</f>
        <v/>
      </c>
      <c r="W197" s="45">
        <f>IF(OR(A197="",PreviousYear=""),"",IFERROR(LOOKUP(2,1/(E197:T197&lt;&gt;""),E197:T197)-INDEX(E197:T197,MATCH(PreviousYear,$E$5:$T$5,0)),""))</f>
        <v/>
      </c>
      <c r="X197" s="45">
        <f>IF(OR(A197="",U197="",V197=""),"",V197-U197)</f>
        <v/>
      </c>
      <c r="Y197" s="44">
        <f>IF(A197="","",COUNT(E197:T197))</f>
        <v/>
      </c>
    </row>
    <row r="198">
      <c r="A198" s="39">
        <f>IF(AND('Employees'!B18&lt;&gt;"",'Skills'!B6&lt;&gt;""),'Employees'!B18,"")</f>
        <v/>
      </c>
      <c r="B198" s="40">
        <f>IF(A198="","",'Employees'!C18)</f>
        <v/>
      </c>
      <c r="C198" s="41">
        <f>IF(A198="","",'Skills'!B6)</f>
        <v/>
      </c>
      <c r="D198" s="40">
        <f>IF(A198="","",'Skills'!C6)</f>
        <v/>
      </c>
      <c r="E198" s="42" t="inlineStr"/>
      <c r="F198" s="42" t="inlineStr"/>
      <c r="G198" s="42" t="inlineStr"/>
      <c r="H198" s="43" t="inlineStr"/>
      <c r="I198" s="42" t="inlineStr"/>
      <c r="J198" s="42" t="inlineStr"/>
      <c r="K198" s="42" t="inlineStr"/>
      <c r="L198" s="42" t="inlineStr"/>
      <c r="M198" s="42" t="inlineStr"/>
      <c r="N198" s="42" t="inlineStr"/>
      <c r="O198" s="42" t="inlineStr"/>
      <c r="P198" s="42" t="inlineStr"/>
      <c r="Q198" s="42" t="inlineStr"/>
      <c r="R198" s="42" t="inlineStr"/>
      <c r="S198" s="42" t="inlineStr"/>
      <c r="T198" s="42" t="inlineStr"/>
      <c r="U198" s="44">
        <f>IF(A198="","",IFERROR(INDEX(E198:T198,MATCH(TRUE,INDEX(E198:T198&lt;&gt;"",0),0)),""))</f>
        <v/>
      </c>
      <c r="V198" s="44">
        <f>IF(A198="","",IFERROR(LOOKUP(2,1/(E198:T198&lt;&gt;""),E198:T198),""))</f>
        <v/>
      </c>
      <c r="W198" s="45">
        <f>IF(OR(A198="",PreviousYear=""),"",IFERROR(LOOKUP(2,1/(E198:T198&lt;&gt;""),E198:T198)-INDEX(E198:T198,MATCH(PreviousYear,$E$5:$T$5,0)),""))</f>
        <v/>
      </c>
      <c r="X198" s="45">
        <f>IF(OR(A198="",U198="",V198=""),"",V198-U198)</f>
        <v/>
      </c>
      <c r="Y198" s="44">
        <f>IF(A198="","",COUNT(E198:T198))</f>
        <v/>
      </c>
    </row>
    <row r="199">
      <c r="A199" s="39">
        <f>IF(AND('Employees'!B18&lt;&gt;"",'Skills'!B7&lt;&gt;""),'Employees'!B18,"")</f>
        <v/>
      </c>
      <c r="B199" s="40">
        <f>IF(A199="","",'Employees'!C18)</f>
        <v/>
      </c>
      <c r="C199" s="41">
        <f>IF(A199="","",'Skills'!B7)</f>
        <v/>
      </c>
      <c r="D199" s="40">
        <f>IF(A199="","",'Skills'!C7)</f>
        <v/>
      </c>
      <c r="E199" s="42" t="inlineStr"/>
      <c r="F199" s="42" t="inlineStr"/>
      <c r="G199" s="42" t="inlineStr"/>
      <c r="H199" s="43" t="inlineStr"/>
      <c r="I199" s="42" t="inlineStr"/>
      <c r="J199" s="42" t="inlineStr"/>
      <c r="K199" s="42" t="inlineStr"/>
      <c r="L199" s="42" t="inlineStr"/>
      <c r="M199" s="42" t="inlineStr"/>
      <c r="N199" s="42" t="inlineStr"/>
      <c r="O199" s="42" t="inlineStr"/>
      <c r="P199" s="42" t="inlineStr"/>
      <c r="Q199" s="42" t="inlineStr"/>
      <c r="R199" s="42" t="inlineStr"/>
      <c r="S199" s="42" t="inlineStr"/>
      <c r="T199" s="42" t="inlineStr"/>
      <c r="U199" s="44">
        <f>IF(A199="","",IFERROR(INDEX(E199:T199,MATCH(TRUE,INDEX(E199:T199&lt;&gt;"",0),0)),""))</f>
        <v/>
      </c>
      <c r="V199" s="44">
        <f>IF(A199="","",IFERROR(LOOKUP(2,1/(E199:T199&lt;&gt;""),E199:T199),""))</f>
        <v/>
      </c>
      <c r="W199" s="45">
        <f>IF(OR(A199="",PreviousYear=""),"",IFERROR(LOOKUP(2,1/(E199:T199&lt;&gt;""),E199:T199)-INDEX(E199:T199,MATCH(PreviousYear,$E$5:$T$5,0)),""))</f>
        <v/>
      </c>
      <c r="X199" s="45">
        <f>IF(OR(A199="",U199="",V199=""),"",V199-U199)</f>
        <v/>
      </c>
      <c r="Y199" s="44">
        <f>IF(A199="","",COUNT(E199:T199))</f>
        <v/>
      </c>
    </row>
    <row r="200">
      <c r="A200" s="39">
        <f>IF(AND('Employees'!B18&lt;&gt;"",'Skills'!B8&lt;&gt;""),'Employees'!B18,"")</f>
        <v/>
      </c>
      <c r="B200" s="40">
        <f>IF(A200="","",'Employees'!C18)</f>
        <v/>
      </c>
      <c r="C200" s="41">
        <f>IF(A200="","",'Skills'!B8)</f>
        <v/>
      </c>
      <c r="D200" s="40">
        <f>IF(A200="","",'Skills'!C8)</f>
        <v/>
      </c>
      <c r="E200" s="42" t="inlineStr"/>
      <c r="F200" s="42" t="inlineStr"/>
      <c r="G200" s="42" t="inlineStr"/>
      <c r="H200" s="43" t="inlineStr"/>
      <c r="I200" s="42" t="inlineStr"/>
      <c r="J200" s="42" t="inlineStr"/>
      <c r="K200" s="42" t="inlineStr"/>
      <c r="L200" s="42" t="inlineStr"/>
      <c r="M200" s="42" t="inlineStr"/>
      <c r="N200" s="42" t="inlineStr"/>
      <c r="O200" s="42" t="inlineStr"/>
      <c r="P200" s="42" t="inlineStr"/>
      <c r="Q200" s="42" t="inlineStr"/>
      <c r="R200" s="42" t="inlineStr"/>
      <c r="S200" s="42" t="inlineStr"/>
      <c r="T200" s="42" t="inlineStr"/>
      <c r="U200" s="44">
        <f>IF(A200="","",IFERROR(INDEX(E200:T200,MATCH(TRUE,INDEX(E200:T200&lt;&gt;"",0),0)),""))</f>
        <v/>
      </c>
      <c r="V200" s="44">
        <f>IF(A200="","",IFERROR(LOOKUP(2,1/(E200:T200&lt;&gt;""),E200:T200),""))</f>
        <v/>
      </c>
      <c r="W200" s="45">
        <f>IF(OR(A200="",PreviousYear=""),"",IFERROR(LOOKUP(2,1/(E200:T200&lt;&gt;""),E200:T200)-INDEX(E200:T200,MATCH(PreviousYear,$E$5:$T$5,0)),""))</f>
        <v/>
      </c>
      <c r="X200" s="45">
        <f>IF(OR(A200="",U200="",V200=""),"",V200-U200)</f>
        <v/>
      </c>
      <c r="Y200" s="44">
        <f>IF(A200="","",COUNT(E200:T200))</f>
        <v/>
      </c>
    </row>
    <row r="201">
      <c r="A201" s="39">
        <f>IF(AND('Employees'!B18&lt;&gt;"",'Skills'!B9&lt;&gt;""),'Employees'!B18,"")</f>
        <v/>
      </c>
      <c r="B201" s="40">
        <f>IF(A201="","",'Employees'!C18)</f>
        <v/>
      </c>
      <c r="C201" s="41">
        <f>IF(A201="","",'Skills'!B9)</f>
        <v/>
      </c>
      <c r="D201" s="40">
        <f>IF(A201="","",'Skills'!C9)</f>
        <v/>
      </c>
      <c r="E201" s="42" t="inlineStr"/>
      <c r="F201" s="42" t="inlineStr"/>
      <c r="G201" s="42" t="inlineStr"/>
      <c r="H201" s="43" t="inlineStr"/>
      <c r="I201" s="42" t="inlineStr"/>
      <c r="J201" s="42" t="inlineStr"/>
      <c r="K201" s="42" t="inlineStr"/>
      <c r="L201" s="42" t="inlineStr"/>
      <c r="M201" s="42" t="inlineStr"/>
      <c r="N201" s="42" t="inlineStr"/>
      <c r="O201" s="42" t="inlineStr"/>
      <c r="P201" s="42" t="inlineStr"/>
      <c r="Q201" s="42" t="inlineStr"/>
      <c r="R201" s="42" t="inlineStr"/>
      <c r="S201" s="42" t="inlineStr"/>
      <c r="T201" s="42" t="inlineStr"/>
      <c r="U201" s="44">
        <f>IF(A201="","",IFERROR(INDEX(E201:T201,MATCH(TRUE,INDEX(E201:T201&lt;&gt;"",0),0)),""))</f>
        <v/>
      </c>
      <c r="V201" s="44">
        <f>IF(A201="","",IFERROR(LOOKUP(2,1/(E201:T201&lt;&gt;""),E201:T201),""))</f>
        <v/>
      </c>
      <c r="W201" s="45">
        <f>IF(OR(A201="",PreviousYear=""),"",IFERROR(LOOKUP(2,1/(E201:T201&lt;&gt;""),E201:T201)-INDEX(E201:T201,MATCH(PreviousYear,$E$5:$T$5,0)),""))</f>
        <v/>
      </c>
      <c r="X201" s="45">
        <f>IF(OR(A201="",U201="",V201=""),"",V201-U201)</f>
        <v/>
      </c>
      <c r="Y201" s="44">
        <f>IF(A201="","",COUNT(E201:T201))</f>
        <v/>
      </c>
    </row>
    <row r="202">
      <c r="A202" s="39">
        <f>IF(AND('Employees'!B18&lt;&gt;"",'Skills'!B10&lt;&gt;""),'Employees'!B18,"")</f>
        <v/>
      </c>
      <c r="B202" s="40">
        <f>IF(A202="","",'Employees'!C18)</f>
        <v/>
      </c>
      <c r="C202" s="41">
        <f>IF(A202="","",'Skills'!B10)</f>
        <v/>
      </c>
      <c r="D202" s="40">
        <f>IF(A202="","",'Skills'!C10)</f>
        <v/>
      </c>
      <c r="E202" s="42" t="inlineStr"/>
      <c r="F202" s="42" t="inlineStr"/>
      <c r="G202" s="42" t="inlineStr"/>
      <c r="H202" s="43" t="inlineStr"/>
      <c r="I202" s="42" t="inlineStr"/>
      <c r="J202" s="42" t="inlineStr"/>
      <c r="K202" s="42" t="inlineStr"/>
      <c r="L202" s="42" t="inlineStr"/>
      <c r="M202" s="42" t="inlineStr"/>
      <c r="N202" s="42" t="inlineStr"/>
      <c r="O202" s="42" t="inlineStr"/>
      <c r="P202" s="42" t="inlineStr"/>
      <c r="Q202" s="42" t="inlineStr"/>
      <c r="R202" s="42" t="inlineStr"/>
      <c r="S202" s="42" t="inlineStr"/>
      <c r="T202" s="42" t="inlineStr"/>
      <c r="U202" s="44">
        <f>IF(A202="","",IFERROR(INDEX(E202:T202,MATCH(TRUE,INDEX(E202:T202&lt;&gt;"",0),0)),""))</f>
        <v/>
      </c>
      <c r="V202" s="44">
        <f>IF(A202="","",IFERROR(LOOKUP(2,1/(E202:T202&lt;&gt;""),E202:T202),""))</f>
        <v/>
      </c>
      <c r="W202" s="45">
        <f>IF(OR(A202="",PreviousYear=""),"",IFERROR(LOOKUP(2,1/(E202:T202&lt;&gt;""),E202:T202)-INDEX(E202:T202,MATCH(PreviousYear,$E$5:$T$5,0)),""))</f>
        <v/>
      </c>
      <c r="X202" s="45">
        <f>IF(OR(A202="",U202="",V202=""),"",V202-U202)</f>
        <v/>
      </c>
      <c r="Y202" s="44">
        <f>IF(A202="","",COUNT(E202:T202))</f>
        <v/>
      </c>
    </row>
    <row r="203">
      <c r="A203" s="39">
        <f>IF(AND('Employees'!B18&lt;&gt;"",'Skills'!B11&lt;&gt;""),'Employees'!B18,"")</f>
        <v/>
      </c>
      <c r="B203" s="40">
        <f>IF(A203="","",'Employees'!C18)</f>
        <v/>
      </c>
      <c r="C203" s="41">
        <f>IF(A203="","",'Skills'!B11)</f>
        <v/>
      </c>
      <c r="D203" s="40">
        <f>IF(A203="","",'Skills'!C11)</f>
        <v/>
      </c>
      <c r="E203" s="42" t="inlineStr"/>
      <c r="F203" s="42" t="inlineStr"/>
      <c r="G203" s="42" t="inlineStr"/>
      <c r="H203" s="43" t="inlineStr"/>
      <c r="I203" s="42" t="inlineStr"/>
      <c r="J203" s="42" t="inlineStr"/>
      <c r="K203" s="42" t="inlineStr"/>
      <c r="L203" s="42" t="inlineStr"/>
      <c r="M203" s="42" t="inlineStr"/>
      <c r="N203" s="42" t="inlineStr"/>
      <c r="O203" s="42" t="inlineStr"/>
      <c r="P203" s="42" t="inlineStr"/>
      <c r="Q203" s="42" t="inlineStr"/>
      <c r="R203" s="42" t="inlineStr"/>
      <c r="S203" s="42" t="inlineStr"/>
      <c r="T203" s="42" t="inlineStr"/>
      <c r="U203" s="44">
        <f>IF(A203="","",IFERROR(INDEX(E203:T203,MATCH(TRUE,INDEX(E203:T203&lt;&gt;"",0),0)),""))</f>
        <v/>
      </c>
      <c r="V203" s="44">
        <f>IF(A203="","",IFERROR(LOOKUP(2,1/(E203:T203&lt;&gt;""),E203:T203),""))</f>
        <v/>
      </c>
      <c r="W203" s="45">
        <f>IF(OR(A203="",PreviousYear=""),"",IFERROR(LOOKUP(2,1/(E203:T203&lt;&gt;""),E203:T203)-INDEX(E203:T203,MATCH(PreviousYear,$E$5:$T$5,0)),""))</f>
        <v/>
      </c>
      <c r="X203" s="45">
        <f>IF(OR(A203="",U203="",V203=""),"",V203-U203)</f>
        <v/>
      </c>
      <c r="Y203" s="44">
        <f>IF(A203="","",COUNT(E203:T203))</f>
        <v/>
      </c>
    </row>
    <row r="204">
      <c r="A204" s="39">
        <f>IF(AND('Employees'!B18&lt;&gt;"",'Skills'!B12&lt;&gt;""),'Employees'!B18,"")</f>
        <v/>
      </c>
      <c r="B204" s="40">
        <f>IF(A204="","",'Employees'!C18)</f>
        <v/>
      </c>
      <c r="C204" s="41">
        <f>IF(A204="","",'Skills'!B12)</f>
        <v/>
      </c>
      <c r="D204" s="40">
        <f>IF(A204="","",'Skills'!C12)</f>
        <v/>
      </c>
      <c r="E204" s="42" t="inlineStr"/>
      <c r="F204" s="42" t="inlineStr"/>
      <c r="G204" s="42" t="inlineStr"/>
      <c r="H204" s="43" t="inlineStr"/>
      <c r="I204" s="42" t="inlineStr"/>
      <c r="J204" s="42" t="inlineStr"/>
      <c r="K204" s="42" t="inlineStr"/>
      <c r="L204" s="42" t="inlineStr"/>
      <c r="M204" s="42" t="inlineStr"/>
      <c r="N204" s="42" t="inlineStr"/>
      <c r="O204" s="42" t="inlineStr"/>
      <c r="P204" s="42" t="inlineStr"/>
      <c r="Q204" s="42" t="inlineStr"/>
      <c r="R204" s="42" t="inlineStr"/>
      <c r="S204" s="42" t="inlineStr"/>
      <c r="T204" s="42" t="inlineStr"/>
      <c r="U204" s="44">
        <f>IF(A204="","",IFERROR(INDEX(E204:T204,MATCH(TRUE,INDEX(E204:T204&lt;&gt;"",0),0)),""))</f>
        <v/>
      </c>
      <c r="V204" s="44">
        <f>IF(A204="","",IFERROR(LOOKUP(2,1/(E204:T204&lt;&gt;""),E204:T204),""))</f>
        <v/>
      </c>
      <c r="W204" s="45">
        <f>IF(OR(A204="",PreviousYear=""),"",IFERROR(LOOKUP(2,1/(E204:T204&lt;&gt;""),E204:T204)-INDEX(E204:T204,MATCH(PreviousYear,$E$5:$T$5,0)),""))</f>
        <v/>
      </c>
      <c r="X204" s="45">
        <f>IF(OR(A204="",U204="",V204=""),"",V204-U204)</f>
        <v/>
      </c>
      <c r="Y204" s="44">
        <f>IF(A204="","",COUNT(E204:T204))</f>
        <v/>
      </c>
    </row>
    <row r="205">
      <c r="A205" s="39">
        <f>IF(AND('Employees'!B18&lt;&gt;"",'Skills'!B13&lt;&gt;""),'Employees'!B18,"")</f>
        <v/>
      </c>
      <c r="B205" s="40">
        <f>IF(A205="","",'Employees'!C18)</f>
        <v/>
      </c>
      <c r="C205" s="41">
        <f>IF(A205="","",'Skills'!B13)</f>
        <v/>
      </c>
      <c r="D205" s="40">
        <f>IF(A205="","",'Skills'!C13)</f>
        <v/>
      </c>
      <c r="E205" s="42" t="inlineStr"/>
      <c r="F205" s="42" t="inlineStr"/>
      <c r="G205" s="42" t="inlineStr"/>
      <c r="H205" s="43" t="inlineStr"/>
      <c r="I205" s="42" t="inlineStr"/>
      <c r="J205" s="42" t="inlineStr"/>
      <c r="K205" s="42" t="inlineStr"/>
      <c r="L205" s="42" t="inlineStr"/>
      <c r="M205" s="42" t="inlineStr"/>
      <c r="N205" s="42" t="inlineStr"/>
      <c r="O205" s="42" t="inlineStr"/>
      <c r="P205" s="42" t="inlineStr"/>
      <c r="Q205" s="42" t="inlineStr"/>
      <c r="R205" s="42" t="inlineStr"/>
      <c r="S205" s="42" t="inlineStr"/>
      <c r="T205" s="42" t="inlineStr"/>
      <c r="U205" s="44">
        <f>IF(A205="","",IFERROR(INDEX(E205:T205,MATCH(TRUE,INDEX(E205:T205&lt;&gt;"",0),0)),""))</f>
        <v/>
      </c>
      <c r="V205" s="44">
        <f>IF(A205="","",IFERROR(LOOKUP(2,1/(E205:T205&lt;&gt;""),E205:T205),""))</f>
        <v/>
      </c>
      <c r="W205" s="45">
        <f>IF(OR(A205="",PreviousYear=""),"",IFERROR(LOOKUP(2,1/(E205:T205&lt;&gt;""),E205:T205)-INDEX(E205:T205,MATCH(PreviousYear,$E$5:$T$5,0)),""))</f>
        <v/>
      </c>
      <c r="X205" s="45">
        <f>IF(OR(A205="",U205="",V205=""),"",V205-U205)</f>
        <v/>
      </c>
      <c r="Y205" s="44">
        <f>IF(A205="","",COUNT(E205:T205))</f>
        <v/>
      </c>
    </row>
    <row r="206">
      <c r="A206" s="39">
        <f>IF(AND('Employees'!B18&lt;&gt;"",'Skills'!B14&lt;&gt;""),'Employees'!B18,"")</f>
        <v/>
      </c>
      <c r="B206" s="40">
        <f>IF(A206="","",'Employees'!C18)</f>
        <v/>
      </c>
      <c r="C206" s="41">
        <f>IF(A206="","",'Skills'!B14)</f>
        <v/>
      </c>
      <c r="D206" s="40">
        <f>IF(A206="","",'Skills'!C14)</f>
        <v/>
      </c>
      <c r="E206" s="42" t="inlineStr"/>
      <c r="F206" s="42" t="inlineStr"/>
      <c r="G206" s="42" t="inlineStr"/>
      <c r="H206" s="43" t="inlineStr"/>
      <c r="I206" s="42" t="inlineStr"/>
      <c r="J206" s="42" t="inlineStr"/>
      <c r="K206" s="42" t="inlineStr"/>
      <c r="L206" s="42" t="inlineStr"/>
      <c r="M206" s="42" t="inlineStr"/>
      <c r="N206" s="42" t="inlineStr"/>
      <c r="O206" s="42" t="inlineStr"/>
      <c r="P206" s="42" t="inlineStr"/>
      <c r="Q206" s="42" t="inlineStr"/>
      <c r="R206" s="42" t="inlineStr"/>
      <c r="S206" s="42" t="inlineStr"/>
      <c r="T206" s="42" t="inlineStr"/>
      <c r="U206" s="44">
        <f>IF(A206="","",IFERROR(INDEX(E206:T206,MATCH(TRUE,INDEX(E206:T206&lt;&gt;"",0),0)),""))</f>
        <v/>
      </c>
      <c r="V206" s="44">
        <f>IF(A206="","",IFERROR(LOOKUP(2,1/(E206:T206&lt;&gt;""),E206:T206),""))</f>
        <v/>
      </c>
      <c r="W206" s="45">
        <f>IF(OR(A206="",PreviousYear=""),"",IFERROR(LOOKUP(2,1/(E206:T206&lt;&gt;""),E206:T206)-INDEX(E206:T206,MATCH(PreviousYear,$E$5:$T$5,0)),""))</f>
        <v/>
      </c>
      <c r="X206" s="45">
        <f>IF(OR(A206="",U206="",V206=""),"",V206-U206)</f>
        <v/>
      </c>
      <c r="Y206" s="44">
        <f>IF(A206="","",COUNT(E206:T206))</f>
        <v/>
      </c>
    </row>
    <row r="207">
      <c r="A207" s="39">
        <f>IF(AND('Employees'!B18&lt;&gt;"",'Skills'!B15&lt;&gt;""),'Employees'!B18,"")</f>
        <v/>
      </c>
      <c r="B207" s="40">
        <f>IF(A207="","",'Employees'!C18)</f>
        <v/>
      </c>
      <c r="C207" s="41">
        <f>IF(A207="","",'Skills'!B15)</f>
        <v/>
      </c>
      <c r="D207" s="40">
        <f>IF(A207="","",'Skills'!C15)</f>
        <v/>
      </c>
      <c r="E207" s="42" t="inlineStr"/>
      <c r="F207" s="42" t="inlineStr"/>
      <c r="G207" s="42" t="inlineStr"/>
      <c r="H207" s="43" t="inlineStr"/>
      <c r="I207" s="42" t="inlineStr"/>
      <c r="J207" s="42" t="inlineStr"/>
      <c r="K207" s="42" t="inlineStr"/>
      <c r="L207" s="42" t="inlineStr"/>
      <c r="M207" s="42" t="inlineStr"/>
      <c r="N207" s="42" t="inlineStr"/>
      <c r="O207" s="42" t="inlineStr"/>
      <c r="P207" s="42" t="inlineStr"/>
      <c r="Q207" s="42" t="inlineStr"/>
      <c r="R207" s="42" t="inlineStr"/>
      <c r="S207" s="42" t="inlineStr"/>
      <c r="T207" s="42" t="inlineStr"/>
      <c r="U207" s="44">
        <f>IF(A207="","",IFERROR(INDEX(E207:T207,MATCH(TRUE,INDEX(E207:T207&lt;&gt;"",0),0)),""))</f>
        <v/>
      </c>
      <c r="V207" s="44">
        <f>IF(A207="","",IFERROR(LOOKUP(2,1/(E207:T207&lt;&gt;""),E207:T207),""))</f>
        <v/>
      </c>
      <c r="W207" s="45">
        <f>IF(OR(A207="",PreviousYear=""),"",IFERROR(LOOKUP(2,1/(E207:T207&lt;&gt;""),E207:T207)-INDEX(E207:T207,MATCH(PreviousYear,$E$5:$T$5,0)),""))</f>
        <v/>
      </c>
      <c r="X207" s="45">
        <f>IF(OR(A207="",U207="",V207=""),"",V207-U207)</f>
        <v/>
      </c>
      <c r="Y207" s="44">
        <f>IF(A207="","",COUNT(E207:T207))</f>
        <v/>
      </c>
    </row>
    <row r="208">
      <c r="A208" s="39">
        <f>IF(AND('Employees'!B18&lt;&gt;"",'Skills'!B16&lt;&gt;""),'Employees'!B18,"")</f>
        <v/>
      </c>
      <c r="B208" s="40">
        <f>IF(A208="","",'Employees'!C18)</f>
        <v/>
      </c>
      <c r="C208" s="41">
        <f>IF(A208="","",'Skills'!B16)</f>
        <v/>
      </c>
      <c r="D208" s="40">
        <f>IF(A208="","",'Skills'!C16)</f>
        <v/>
      </c>
      <c r="E208" s="42" t="inlineStr"/>
      <c r="F208" s="42" t="inlineStr"/>
      <c r="G208" s="42" t="inlineStr"/>
      <c r="H208" s="43" t="inlineStr"/>
      <c r="I208" s="42" t="inlineStr"/>
      <c r="J208" s="42" t="inlineStr"/>
      <c r="K208" s="42" t="inlineStr"/>
      <c r="L208" s="42" t="inlineStr"/>
      <c r="M208" s="42" t="inlineStr"/>
      <c r="N208" s="42" t="inlineStr"/>
      <c r="O208" s="42" t="inlineStr"/>
      <c r="P208" s="42" t="inlineStr"/>
      <c r="Q208" s="42" t="inlineStr"/>
      <c r="R208" s="42" t="inlineStr"/>
      <c r="S208" s="42" t="inlineStr"/>
      <c r="T208" s="42" t="inlineStr"/>
      <c r="U208" s="44">
        <f>IF(A208="","",IFERROR(INDEX(E208:T208,MATCH(TRUE,INDEX(E208:T208&lt;&gt;"",0),0)),""))</f>
        <v/>
      </c>
      <c r="V208" s="44">
        <f>IF(A208="","",IFERROR(LOOKUP(2,1/(E208:T208&lt;&gt;""),E208:T208),""))</f>
        <v/>
      </c>
      <c r="W208" s="45">
        <f>IF(OR(A208="",PreviousYear=""),"",IFERROR(LOOKUP(2,1/(E208:T208&lt;&gt;""),E208:T208)-INDEX(E208:T208,MATCH(PreviousYear,$E$5:$T$5,0)),""))</f>
        <v/>
      </c>
      <c r="X208" s="45">
        <f>IF(OR(A208="",U208="",V208=""),"",V208-U208)</f>
        <v/>
      </c>
      <c r="Y208" s="44">
        <f>IF(A208="","",COUNT(E208:T208))</f>
        <v/>
      </c>
    </row>
    <row r="209">
      <c r="A209" s="39">
        <f>IF(AND('Employees'!B18&lt;&gt;"",'Skills'!B17&lt;&gt;""),'Employees'!B18,"")</f>
        <v/>
      </c>
      <c r="B209" s="40">
        <f>IF(A209="","",'Employees'!C18)</f>
        <v/>
      </c>
      <c r="C209" s="41">
        <f>IF(A209="","",'Skills'!B17)</f>
        <v/>
      </c>
      <c r="D209" s="40">
        <f>IF(A209="","",'Skills'!C17)</f>
        <v/>
      </c>
      <c r="E209" s="42" t="inlineStr"/>
      <c r="F209" s="42" t="inlineStr"/>
      <c r="G209" s="42" t="inlineStr"/>
      <c r="H209" s="43" t="inlineStr"/>
      <c r="I209" s="42" t="inlineStr"/>
      <c r="J209" s="42" t="inlineStr"/>
      <c r="K209" s="42" t="inlineStr"/>
      <c r="L209" s="42" t="inlineStr"/>
      <c r="M209" s="42" t="inlineStr"/>
      <c r="N209" s="42" t="inlineStr"/>
      <c r="O209" s="42" t="inlineStr"/>
      <c r="P209" s="42" t="inlineStr"/>
      <c r="Q209" s="42" t="inlineStr"/>
      <c r="R209" s="42" t="inlineStr"/>
      <c r="S209" s="42" t="inlineStr"/>
      <c r="T209" s="42" t="inlineStr"/>
      <c r="U209" s="44">
        <f>IF(A209="","",IFERROR(INDEX(E209:T209,MATCH(TRUE,INDEX(E209:T209&lt;&gt;"",0),0)),""))</f>
        <v/>
      </c>
      <c r="V209" s="44">
        <f>IF(A209="","",IFERROR(LOOKUP(2,1/(E209:T209&lt;&gt;""),E209:T209),""))</f>
        <v/>
      </c>
      <c r="W209" s="45">
        <f>IF(OR(A209="",PreviousYear=""),"",IFERROR(LOOKUP(2,1/(E209:T209&lt;&gt;""),E209:T209)-INDEX(E209:T209,MATCH(PreviousYear,$E$5:$T$5,0)),""))</f>
        <v/>
      </c>
      <c r="X209" s="45">
        <f>IF(OR(A209="",U209="",V209=""),"",V209-U209)</f>
        <v/>
      </c>
      <c r="Y209" s="44">
        <f>IF(A209="","",COUNT(E209:T209))</f>
        <v/>
      </c>
    </row>
    <row r="210">
      <c r="A210" s="39">
        <f>IF(AND('Employees'!B18&lt;&gt;"",'Skills'!B18&lt;&gt;""),'Employees'!B18,"")</f>
        <v/>
      </c>
      <c r="B210" s="40">
        <f>IF(A210="","",'Employees'!C18)</f>
        <v/>
      </c>
      <c r="C210" s="41">
        <f>IF(A210="","",'Skills'!B18)</f>
        <v/>
      </c>
      <c r="D210" s="40">
        <f>IF(A210="","",'Skills'!C18)</f>
        <v/>
      </c>
      <c r="E210" s="42" t="inlineStr"/>
      <c r="F210" s="42" t="inlineStr"/>
      <c r="G210" s="42" t="inlineStr"/>
      <c r="H210" s="43" t="inlineStr"/>
      <c r="I210" s="42" t="inlineStr"/>
      <c r="J210" s="42" t="inlineStr"/>
      <c r="K210" s="42" t="inlineStr"/>
      <c r="L210" s="42" t="inlineStr"/>
      <c r="M210" s="42" t="inlineStr"/>
      <c r="N210" s="42" t="inlineStr"/>
      <c r="O210" s="42" t="inlineStr"/>
      <c r="P210" s="42" t="inlineStr"/>
      <c r="Q210" s="42" t="inlineStr"/>
      <c r="R210" s="42" t="inlineStr"/>
      <c r="S210" s="42" t="inlineStr"/>
      <c r="T210" s="42" t="inlineStr"/>
      <c r="U210" s="44">
        <f>IF(A210="","",IFERROR(INDEX(E210:T210,MATCH(TRUE,INDEX(E210:T210&lt;&gt;"",0),0)),""))</f>
        <v/>
      </c>
      <c r="V210" s="44">
        <f>IF(A210="","",IFERROR(LOOKUP(2,1/(E210:T210&lt;&gt;""),E210:T210),""))</f>
        <v/>
      </c>
      <c r="W210" s="45">
        <f>IF(OR(A210="",PreviousYear=""),"",IFERROR(LOOKUP(2,1/(E210:T210&lt;&gt;""),E210:T210)-INDEX(E210:T210,MATCH(PreviousYear,$E$5:$T$5,0)),""))</f>
        <v/>
      </c>
      <c r="X210" s="45">
        <f>IF(OR(A210="",U210="",V210=""),"",V210-U210)</f>
        <v/>
      </c>
      <c r="Y210" s="44">
        <f>IF(A210="","",COUNT(E210:T210))</f>
        <v/>
      </c>
    </row>
    <row r="211">
      <c r="A211" s="39">
        <f>IF(AND('Employees'!B18&lt;&gt;"",'Skills'!B19&lt;&gt;""),'Employees'!B18,"")</f>
        <v/>
      </c>
      <c r="B211" s="40">
        <f>IF(A211="","",'Employees'!C18)</f>
        <v/>
      </c>
      <c r="C211" s="41">
        <f>IF(A211="","",'Skills'!B19)</f>
        <v/>
      </c>
      <c r="D211" s="40">
        <f>IF(A211="","",'Skills'!C19)</f>
        <v/>
      </c>
      <c r="E211" s="42" t="inlineStr"/>
      <c r="F211" s="42" t="inlineStr"/>
      <c r="G211" s="42" t="inlineStr"/>
      <c r="H211" s="43" t="inlineStr"/>
      <c r="I211" s="42" t="inlineStr"/>
      <c r="J211" s="42" t="inlineStr"/>
      <c r="K211" s="42" t="inlineStr"/>
      <c r="L211" s="42" t="inlineStr"/>
      <c r="M211" s="42" t="inlineStr"/>
      <c r="N211" s="42" t="inlineStr"/>
      <c r="O211" s="42" t="inlineStr"/>
      <c r="P211" s="42" t="inlineStr"/>
      <c r="Q211" s="42" t="inlineStr"/>
      <c r="R211" s="42" t="inlineStr"/>
      <c r="S211" s="42" t="inlineStr"/>
      <c r="T211" s="42" t="inlineStr"/>
      <c r="U211" s="44">
        <f>IF(A211="","",IFERROR(INDEX(E211:T211,MATCH(TRUE,INDEX(E211:T211&lt;&gt;"",0),0)),""))</f>
        <v/>
      </c>
      <c r="V211" s="44">
        <f>IF(A211="","",IFERROR(LOOKUP(2,1/(E211:T211&lt;&gt;""),E211:T211),""))</f>
        <v/>
      </c>
      <c r="W211" s="45">
        <f>IF(OR(A211="",PreviousYear=""),"",IFERROR(LOOKUP(2,1/(E211:T211&lt;&gt;""),E211:T211)-INDEX(E211:T211,MATCH(PreviousYear,$E$5:$T$5,0)),""))</f>
        <v/>
      </c>
      <c r="X211" s="45">
        <f>IF(OR(A211="",U211="",V211=""),"",V211-U211)</f>
        <v/>
      </c>
      <c r="Y211" s="44">
        <f>IF(A211="","",COUNT(E211:T211))</f>
        <v/>
      </c>
    </row>
    <row r="212">
      <c r="A212" s="39">
        <f>IF(AND('Employees'!B18&lt;&gt;"",'Skills'!B20&lt;&gt;""),'Employees'!B18,"")</f>
        <v/>
      </c>
      <c r="B212" s="40">
        <f>IF(A212="","",'Employees'!C18)</f>
        <v/>
      </c>
      <c r="C212" s="41">
        <f>IF(A212="","",'Skills'!B20)</f>
        <v/>
      </c>
      <c r="D212" s="40">
        <f>IF(A212="","",'Skills'!C20)</f>
        <v/>
      </c>
      <c r="E212" s="42" t="inlineStr"/>
      <c r="F212" s="42" t="inlineStr"/>
      <c r="G212" s="42" t="inlineStr"/>
      <c r="H212" s="43" t="inlineStr"/>
      <c r="I212" s="42" t="inlineStr"/>
      <c r="J212" s="42" t="inlineStr"/>
      <c r="K212" s="42" t="inlineStr"/>
      <c r="L212" s="42" t="inlineStr"/>
      <c r="M212" s="42" t="inlineStr"/>
      <c r="N212" s="42" t="inlineStr"/>
      <c r="O212" s="42" t="inlineStr"/>
      <c r="P212" s="42" t="inlineStr"/>
      <c r="Q212" s="42" t="inlineStr"/>
      <c r="R212" s="42" t="inlineStr"/>
      <c r="S212" s="42" t="inlineStr"/>
      <c r="T212" s="42" t="inlineStr"/>
      <c r="U212" s="44">
        <f>IF(A212="","",IFERROR(INDEX(E212:T212,MATCH(TRUE,INDEX(E212:T212&lt;&gt;"",0),0)),""))</f>
        <v/>
      </c>
      <c r="V212" s="44">
        <f>IF(A212="","",IFERROR(LOOKUP(2,1/(E212:T212&lt;&gt;""),E212:T212),""))</f>
        <v/>
      </c>
      <c r="W212" s="45">
        <f>IF(OR(A212="",PreviousYear=""),"",IFERROR(LOOKUP(2,1/(E212:T212&lt;&gt;""),E212:T212)-INDEX(E212:T212,MATCH(PreviousYear,$E$5:$T$5,0)),""))</f>
        <v/>
      </c>
      <c r="X212" s="45">
        <f>IF(OR(A212="",U212="",V212=""),"",V212-U212)</f>
        <v/>
      </c>
      <c r="Y212" s="44">
        <f>IF(A212="","",COUNT(E212:T212))</f>
        <v/>
      </c>
    </row>
    <row r="213">
      <c r="A213" s="39">
        <f>IF(AND('Employees'!B18&lt;&gt;"",'Skills'!B21&lt;&gt;""),'Employees'!B18,"")</f>
        <v/>
      </c>
      <c r="B213" s="40">
        <f>IF(A213="","",'Employees'!C18)</f>
        <v/>
      </c>
      <c r="C213" s="41">
        <f>IF(A213="","",'Skills'!B21)</f>
        <v/>
      </c>
      <c r="D213" s="40">
        <f>IF(A213="","",'Skills'!C21)</f>
        <v/>
      </c>
      <c r="E213" s="42" t="inlineStr"/>
      <c r="F213" s="42" t="inlineStr"/>
      <c r="G213" s="42" t="inlineStr"/>
      <c r="H213" s="43" t="inlineStr"/>
      <c r="I213" s="42" t="inlineStr"/>
      <c r="J213" s="42" t="inlineStr"/>
      <c r="K213" s="42" t="inlineStr"/>
      <c r="L213" s="42" t="inlineStr"/>
      <c r="M213" s="42" t="inlineStr"/>
      <c r="N213" s="42" t="inlineStr"/>
      <c r="O213" s="42" t="inlineStr"/>
      <c r="P213" s="42" t="inlineStr"/>
      <c r="Q213" s="42" t="inlineStr"/>
      <c r="R213" s="42" t="inlineStr"/>
      <c r="S213" s="42" t="inlineStr"/>
      <c r="T213" s="42" t="inlineStr"/>
      <c r="U213" s="44">
        <f>IF(A213="","",IFERROR(INDEX(E213:T213,MATCH(TRUE,INDEX(E213:T213&lt;&gt;"",0),0)),""))</f>
        <v/>
      </c>
      <c r="V213" s="44">
        <f>IF(A213="","",IFERROR(LOOKUP(2,1/(E213:T213&lt;&gt;""),E213:T213),""))</f>
        <v/>
      </c>
      <c r="W213" s="45">
        <f>IF(OR(A213="",PreviousYear=""),"",IFERROR(LOOKUP(2,1/(E213:T213&lt;&gt;""),E213:T213)-INDEX(E213:T213,MATCH(PreviousYear,$E$5:$T$5,0)),""))</f>
        <v/>
      </c>
      <c r="X213" s="45">
        <f>IF(OR(A213="",U213="",V213=""),"",V213-U213)</f>
        <v/>
      </c>
      <c r="Y213" s="44">
        <f>IF(A213="","",COUNT(E213:T213))</f>
        <v/>
      </c>
    </row>
    <row r="214">
      <c r="A214" s="39">
        <f>IF(AND('Employees'!B19&lt;&gt;"",'Skills'!B6&lt;&gt;""),'Employees'!B19,"")</f>
        <v/>
      </c>
      <c r="B214" s="40">
        <f>IF(A214="","",'Employees'!C19)</f>
        <v/>
      </c>
      <c r="C214" s="41">
        <f>IF(A214="","",'Skills'!B6)</f>
        <v/>
      </c>
      <c r="D214" s="40">
        <f>IF(A214="","",'Skills'!C6)</f>
        <v/>
      </c>
      <c r="E214" s="42" t="inlineStr"/>
      <c r="F214" s="42" t="inlineStr"/>
      <c r="G214" s="42" t="inlineStr"/>
      <c r="H214" s="43" t="inlineStr"/>
      <c r="I214" s="42" t="inlineStr"/>
      <c r="J214" s="42" t="inlineStr"/>
      <c r="K214" s="42" t="inlineStr"/>
      <c r="L214" s="42" t="inlineStr"/>
      <c r="M214" s="42" t="inlineStr"/>
      <c r="N214" s="42" t="inlineStr"/>
      <c r="O214" s="42" t="inlineStr"/>
      <c r="P214" s="42" t="inlineStr"/>
      <c r="Q214" s="42" t="inlineStr"/>
      <c r="R214" s="42" t="inlineStr"/>
      <c r="S214" s="42" t="inlineStr"/>
      <c r="T214" s="42" t="inlineStr"/>
      <c r="U214" s="44">
        <f>IF(A214="","",IFERROR(INDEX(E214:T214,MATCH(TRUE,INDEX(E214:T214&lt;&gt;"",0),0)),""))</f>
        <v/>
      </c>
      <c r="V214" s="44">
        <f>IF(A214="","",IFERROR(LOOKUP(2,1/(E214:T214&lt;&gt;""),E214:T214),""))</f>
        <v/>
      </c>
      <c r="W214" s="45">
        <f>IF(OR(A214="",PreviousYear=""),"",IFERROR(LOOKUP(2,1/(E214:T214&lt;&gt;""),E214:T214)-INDEX(E214:T214,MATCH(PreviousYear,$E$5:$T$5,0)),""))</f>
        <v/>
      </c>
      <c r="X214" s="45">
        <f>IF(OR(A214="",U214="",V214=""),"",V214-U214)</f>
        <v/>
      </c>
      <c r="Y214" s="44">
        <f>IF(A214="","",COUNT(E214:T214))</f>
        <v/>
      </c>
    </row>
    <row r="215">
      <c r="A215" s="39">
        <f>IF(AND('Employees'!B19&lt;&gt;"",'Skills'!B7&lt;&gt;""),'Employees'!B19,"")</f>
        <v/>
      </c>
      <c r="B215" s="40">
        <f>IF(A215="","",'Employees'!C19)</f>
        <v/>
      </c>
      <c r="C215" s="41">
        <f>IF(A215="","",'Skills'!B7)</f>
        <v/>
      </c>
      <c r="D215" s="40">
        <f>IF(A215="","",'Skills'!C7)</f>
        <v/>
      </c>
      <c r="E215" s="42" t="inlineStr"/>
      <c r="F215" s="42" t="inlineStr"/>
      <c r="G215" s="42" t="inlineStr"/>
      <c r="H215" s="43" t="inlineStr"/>
      <c r="I215" s="42" t="inlineStr"/>
      <c r="J215" s="42" t="inlineStr"/>
      <c r="K215" s="42" t="inlineStr"/>
      <c r="L215" s="42" t="inlineStr"/>
      <c r="M215" s="42" t="inlineStr"/>
      <c r="N215" s="42" t="inlineStr"/>
      <c r="O215" s="42" t="inlineStr"/>
      <c r="P215" s="42" t="inlineStr"/>
      <c r="Q215" s="42" t="inlineStr"/>
      <c r="R215" s="42" t="inlineStr"/>
      <c r="S215" s="42" t="inlineStr"/>
      <c r="T215" s="42" t="inlineStr"/>
      <c r="U215" s="44">
        <f>IF(A215="","",IFERROR(INDEX(E215:T215,MATCH(TRUE,INDEX(E215:T215&lt;&gt;"",0),0)),""))</f>
        <v/>
      </c>
      <c r="V215" s="44">
        <f>IF(A215="","",IFERROR(LOOKUP(2,1/(E215:T215&lt;&gt;""),E215:T215),""))</f>
        <v/>
      </c>
      <c r="W215" s="45">
        <f>IF(OR(A215="",PreviousYear=""),"",IFERROR(LOOKUP(2,1/(E215:T215&lt;&gt;""),E215:T215)-INDEX(E215:T215,MATCH(PreviousYear,$E$5:$T$5,0)),""))</f>
        <v/>
      </c>
      <c r="X215" s="45">
        <f>IF(OR(A215="",U215="",V215=""),"",V215-U215)</f>
        <v/>
      </c>
      <c r="Y215" s="44">
        <f>IF(A215="","",COUNT(E215:T215))</f>
        <v/>
      </c>
    </row>
    <row r="216">
      <c r="A216" s="39">
        <f>IF(AND('Employees'!B19&lt;&gt;"",'Skills'!B8&lt;&gt;""),'Employees'!B19,"")</f>
        <v/>
      </c>
      <c r="B216" s="40">
        <f>IF(A216="","",'Employees'!C19)</f>
        <v/>
      </c>
      <c r="C216" s="41">
        <f>IF(A216="","",'Skills'!B8)</f>
        <v/>
      </c>
      <c r="D216" s="40">
        <f>IF(A216="","",'Skills'!C8)</f>
        <v/>
      </c>
      <c r="E216" s="42" t="inlineStr"/>
      <c r="F216" s="42" t="inlineStr"/>
      <c r="G216" s="42" t="inlineStr"/>
      <c r="H216" s="43" t="inlineStr"/>
      <c r="I216" s="42" t="inlineStr"/>
      <c r="J216" s="42" t="inlineStr"/>
      <c r="K216" s="42" t="inlineStr"/>
      <c r="L216" s="42" t="inlineStr"/>
      <c r="M216" s="42" t="inlineStr"/>
      <c r="N216" s="42" t="inlineStr"/>
      <c r="O216" s="42" t="inlineStr"/>
      <c r="P216" s="42" t="inlineStr"/>
      <c r="Q216" s="42" t="inlineStr"/>
      <c r="R216" s="42" t="inlineStr"/>
      <c r="S216" s="42" t="inlineStr"/>
      <c r="T216" s="42" t="inlineStr"/>
      <c r="U216" s="44">
        <f>IF(A216="","",IFERROR(INDEX(E216:T216,MATCH(TRUE,INDEX(E216:T216&lt;&gt;"",0),0)),""))</f>
        <v/>
      </c>
      <c r="V216" s="44">
        <f>IF(A216="","",IFERROR(LOOKUP(2,1/(E216:T216&lt;&gt;""),E216:T216),""))</f>
        <v/>
      </c>
      <c r="W216" s="45">
        <f>IF(OR(A216="",PreviousYear=""),"",IFERROR(LOOKUP(2,1/(E216:T216&lt;&gt;""),E216:T216)-INDEX(E216:T216,MATCH(PreviousYear,$E$5:$T$5,0)),""))</f>
        <v/>
      </c>
      <c r="X216" s="45">
        <f>IF(OR(A216="",U216="",V216=""),"",V216-U216)</f>
        <v/>
      </c>
      <c r="Y216" s="44">
        <f>IF(A216="","",COUNT(E216:T216))</f>
        <v/>
      </c>
    </row>
    <row r="217">
      <c r="A217" s="39">
        <f>IF(AND('Employees'!B19&lt;&gt;"",'Skills'!B9&lt;&gt;""),'Employees'!B19,"")</f>
        <v/>
      </c>
      <c r="B217" s="40">
        <f>IF(A217="","",'Employees'!C19)</f>
        <v/>
      </c>
      <c r="C217" s="41">
        <f>IF(A217="","",'Skills'!B9)</f>
        <v/>
      </c>
      <c r="D217" s="40">
        <f>IF(A217="","",'Skills'!C9)</f>
        <v/>
      </c>
      <c r="E217" s="42" t="inlineStr"/>
      <c r="F217" s="42" t="inlineStr"/>
      <c r="G217" s="42" t="inlineStr"/>
      <c r="H217" s="43" t="inlineStr"/>
      <c r="I217" s="42" t="inlineStr"/>
      <c r="J217" s="42" t="inlineStr"/>
      <c r="K217" s="42" t="inlineStr"/>
      <c r="L217" s="42" t="inlineStr"/>
      <c r="M217" s="42" t="inlineStr"/>
      <c r="N217" s="42" t="inlineStr"/>
      <c r="O217" s="42" t="inlineStr"/>
      <c r="P217" s="42" t="inlineStr"/>
      <c r="Q217" s="42" t="inlineStr"/>
      <c r="R217" s="42" t="inlineStr"/>
      <c r="S217" s="42" t="inlineStr"/>
      <c r="T217" s="42" t="inlineStr"/>
      <c r="U217" s="44">
        <f>IF(A217="","",IFERROR(INDEX(E217:T217,MATCH(TRUE,INDEX(E217:T217&lt;&gt;"",0),0)),""))</f>
        <v/>
      </c>
      <c r="V217" s="44">
        <f>IF(A217="","",IFERROR(LOOKUP(2,1/(E217:T217&lt;&gt;""),E217:T217),""))</f>
        <v/>
      </c>
      <c r="W217" s="45">
        <f>IF(OR(A217="",PreviousYear=""),"",IFERROR(LOOKUP(2,1/(E217:T217&lt;&gt;""),E217:T217)-INDEX(E217:T217,MATCH(PreviousYear,$E$5:$T$5,0)),""))</f>
        <v/>
      </c>
      <c r="X217" s="45">
        <f>IF(OR(A217="",U217="",V217=""),"",V217-U217)</f>
        <v/>
      </c>
      <c r="Y217" s="44">
        <f>IF(A217="","",COUNT(E217:T217))</f>
        <v/>
      </c>
    </row>
    <row r="218">
      <c r="A218" s="39">
        <f>IF(AND('Employees'!B19&lt;&gt;"",'Skills'!B10&lt;&gt;""),'Employees'!B19,"")</f>
        <v/>
      </c>
      <c r="B218" s="40">
        <f>IF(A218="","",'Employees'!C19)</f>
        <v/>
      </c>
      <c r="C218" s="41">
        <f>IF(A218="","",'Skills'!B10)</f>
        <v/>
      </c>
      <c r="D218" s="40">
        <f>IF(A218="","",'Skills'!C10)</f>
        <v/>
      </c>
      <c r="E218" s="42" t="inlineStr"/>
      <c r="F218" s="42" t="inlineStr"/>
      <c r="G218" s="42" t="inlineStr"/>
      <c r="H218" s="43" t="inlineStr"/>
      <c r="I218" s="42" t="inlineStr"/>
      <c r="J218" s="42" t="inlineStr"/>
      <c r="K218" s="42" t="inlineStr"/>
      <c r="L218" s="42" t="inlineStr"/>
      <c r="M218" s="42" t="inlineStr"/>
      <c r="N218" s="42" t="inlineStr"/>
      <c r="O218" s="42" t="inlineStr"/>
      <c r="P218" s="42" t="inlineStr"/>
      <c r="Q218" s="42" t="inlineStr"/>
      <c r="R218" s="42" t="inlineStr"/>
      <c r="S218" s="42" t="inlineStr"/>
      <c r="T218" s="42" t="inlineStr"/>
      <c r="U218" s="44">
        <f>IF(A218="","",IFERROR(INDEX(E218:T218,MATCH(TRUE,INDEX(E218:T218&lt;&gt;"",0),0)),""))</f>
        <v/>
      </c>
      <c r="V218" s="44">
        <f>IF(A218="","",IFERROR(LOOKUP(2,1/(E218:T218&lt;&gt;""),E218:T218),""))</f>
        <v/>
      </c>
      <c r="W218" s="45">
        <f>IF(OR(A218="",PreviousYear=""),"",IFERROR(LOOKUP(2,1/(E218:T218&lt;&gt;""),E218:T218)-INDEX(E218:T218,MATCH(PreviousYear,$E$5:$T$5,0)),""))</f>
        <v/>
      </c>
      <c r="X218" s="45">
        <f>IF(OR(A218="",U218="",V218=""),"",V218-U218)</f>
        <v/>
      </c>
      <c r="Y218" s="44">
        <f>IF(A218="","",COUNT(E218:T218))</f>
        <v/>
      </c>
    </row>
    <row r="219">
      <c r="A219" s="39">
        <f>IF(AND('Employees'!B19&lt;&gt;"",'Skills'!B11&lt;&gt;""),'Employees'!B19,"")</f>
        <v/>
      </c>
      <c r="B219" s="40">
        <f>IF(A219="","",'Employees'!C19)</f>
        <v/>
      </c>
      <c r="C219" s="41">
        <f>IF(A219="","",'Skills'!B11)</f>
        <v/>
      </c>
      <c r="D219" s="40">
        <f>IF(A219="","",'Skills'!C11)</f>
        <v/>
      </c>
      <c r="E219" s="42" t="inlineStr"/>
      <c r="F219" s="42" t="inlineStr"/>
      <c r="G219" s="42" t="inlineStr"/>
      <c r="H219" s="43" t="inlineStr"/>
      <c r="I219" s="42" t="inlineStr"/>
      <c r="J219" s="42" t="inlineStr"/>
      <c r="K219" s="42" t="inlineStr"/>
      <c r="L219" s="42" t="inlineStr"/>
      <c r="M219" s="42" t="inlineStr"/>
      <c r="N219" s="42" t="inlineStr"/>
      <c r="O219" s="42" t="inlineStr"/>
      <c r="P219" s="42" t="inlineStr"/>
      <c r="Q219" s="42" t="inlineStr"/>
      <c r="R219" s="42" t="inlineStr"/>
      <c r="S219" s="42" t="inlineStr"/>
      <c r="T219" s="42" t="inlineStr"/>
      <c r="U219" s="44">
        <f>IF(A219="","",IFERROR(INDEX(E219:T219,MATCH(TRUE,INDEX(E219:T219&lt;&gt;"",0),0)),""))</f>
        <v/>
      </c>
      <c r="V219" s="44">
        <f>IF(A219="","",IFERROR(LOOKUP(2,1/(E219:T219&lt;&gt;""),E219:T219),""))</f>
        <v/>
      </c>
      <c r="W219" s="45">
        <f>IF(OR(A219="",PreviousYear=""),"",IFERROR(LOOKUP(2,1/(E219:T219&lt;&gt;""),E219:T219)-INDEX(E219:T219,MATCH(PreviousYear,$E$5:$T$5,0)),""))</f>
        <v/>
      </c>
      <c r="X219" s="45">
        <f>IF(OR(A219="",U219="",V219=""),"",V219-U219)</f>
        <v/>
      </c>
      <c r="Y219" s="44">
        <f>IF(A219="","",COUNT(E219:T219))</f>
        <v/>
      </c>
    </row>
    <row r="220">
      <c r="A220" s="39">
        <f>IF(AND('Employees'!B19&lt;&gt;"",'Skills'!B12&lt;&gt;""),'Employees'!B19,"")</f>
        <v/>
      </c>
      <c r="B220" s="40">
        <f>IF(A220="","",'Employees'!C19)</f>
        <v/>
      </c>
      <c r="C220" s="41">
        <f>IF(A220="","",'Skills'!B12)</f>
        <v/>
      </c>
      <c r="D220" s="40">
        <f>IF(A220="","",'Skills'!C12)</f>
        <v/>
      </c>
      <c r="E220" s="42" t="inlineStr"/>
      <c r="F220" s="42" t="inlineStr"/>
      <c r="G220" s="42" t="inlineStr"/>
      <c r="H220" s="43" t="inlineStr"/>
      <c r="I220" s="42" t="inlineStr"/>
      <c r="J220" s="42" t="inlineStr"/>
      <c r="K220" s="42" t="inlineStr"/>
      <c r="L220" s="42" t="inlineStr"/>
      <c r="M220" s="42" t="inlineStr"/>
      <c r="N220" s="42" t="inlineStr"/>
      <c r="O220" s="42" t="inlineStr"/>
      <c r="P220" s="42" t="inlineStr"/>
      <c r="Q220" s="42" t="inlineStr"/>
      <c r="R220" s="42" t="inlineStr"/>
      <c r="S220" s="42" t="inlineStr"/>
      <c r="T220" s="42" t="inlineStr"/>
      <c r="U220" s="44">
        <f>IF(A220="","",IFERROR(INDEX(E220:T220,MATCH(TRUE,INDEX(E220:T220&lt;&gt;"",0),0)),""))</f>
        <v/>
      </c>
      <c r="V220" s="44">
        <f>IF(A220="","",IFERROR(LOOKUP(2,1/(E220:T220&lt;&gt;""),E220:T220),""))</f>
        <v/>
      </c>
      <c r="W220" s="45">
        <f>IF(OR(A220="",PreviousYear=""),"",IFERROR(LOOKUP(2,1/(E220:T220&lt;&gt;""),E220:T220)-INDEX(E220:T220,MATCH(PreviousYear,$E$5:$T$5,0)),""))</f>
        <v/>
      </c>
      <c r="X220" s="45">
        <f>IF(OR(A220="",U220="",V220=""),"",V220-U220)</f>
        <v/>
      </c>
      <c r="Y220" s="44">
        <f>IF(A220="","",COUNT(E220:T220))</f>
        <v/>
      </c>
    </row>
    <row r="221">
      <c r="A221" s="39">
        <f>IF(AND('Employees'!B19&lt;&gt;"",'Skills'!B13&lt;&gt;""),'Employees'!B19,"")</f>
        <v/>
      </c>
      <c r="B221" s="40">
        <f>IF(A221="","",'Employees'!C19)</f>
        <v/>
      </c>
      <c r="C221" s="41">
        <f>IF(A221="","",'Skills'!B13)</f>
        <v/>
      </c>
      <c r="D221" s="40">
        <f>IF(A221="","",'Skills'!C13)</f>
        <v/>
      </c>
      <c r="E221" s="42" t="inlineStr"/>
      <c r="F221" s="42" t="inlineStr"/>
      <c r="G221" s="42" t="inlineStr"/>
      <c r="H221" s="43" t="inlineStr"/>
      <c r="I221" s="42" t="inlineStr"/>
      <c r="J221" s="42" t="inlineStr"/>
      <c r="K221" s="42" t="inlineStr"/>
      <c r="L221" s="42" t="inlineStr"/>
      <c r="M221" s="42" t="inlineStr"/>
      <c r="N221" s="42" t="inlineStr"/>
      <c r="O221" s="42" t="inlineStr"/>
      <c r="P221" s="42" t="inlineStr"/>
      <c r="Q221" s="42" t="inlineStr"/>
      <c r="R221" s="42" t="inlineStr"/>
      <c r="S221" s="42" t="inlineStr"/>
      <c r="T221" s="42" t="inlineStr"/>
      <c r="U221" s="44">
        <f>IF(A221="","",IFERROR(INDEX(E221:T221,MATCH(TRUE,INDEX(E221:T221&lt;&gt;"",0),0)),""))</f>
        <v/>
      </c>
      <c r="V221" s="44">
        <f>IF(A221="","",IFERROR(LOOKUP(2,1/(E221:T221&lt;&gt;""),E221:T221),""))</f>
        <v/>
      </c>
      <c r="W221" s="45">
        <f>IF(OR(A221="",PreviousYear=""),"",IFERROR(LOOKUP(2,1/(E221:T221&lt;&gt;""),E221:T221)-INDEX(E221:T221,MATCH(PreviousYear,$E$5:$T$5,0)),""))</f>
        <v/>
      </c>
      <c r="X221" s="45">
        <f>IF(OR(A221="",U221="",V221=""),"",V221-U221)</f>
        <v/>
      </c>
      <c r="Y221" s="44">
        <f>IF(A221="","",COUNT(E221:T221))</f>
        <v/>
      </c>
    </row>
    <row r="222">
      <c r="A222" s="39">
        <f>IF(AND('Employees'!B19&lt;&gt;"",'Skills'!B14&lt;&gt;""),'Employees'!B19,"")</f>
        <v/>
      </c>
      <c r="B222" s="40">
        <f>IF(A222="","",'Employees'!C19)</f>
        <v/>
      </c>
      <c r="C222" s="41">
        <f>IF(A222="","",'Skills'!B14)</f>
        <v/>
      </c>
      <c r="D222" s="40">
        <f>IF(A222="","",'Skills'!C14)</f>
        <v/>
      </c>
      <c r="E222" s="42" t="inlineStr"/>
      <c r="F222" s="42" t="inlineStr"/>
      <c r="G222" s="42" t="inlineStr"/>
      <c r="H222" s="43" t="inlineStr"/>
      <c r="I222" s="42" t="inlineStr"/>
      <c r="J222" s="42" t="inlineStr"/>
      <c r="K222" s="42" t="inlineStr"/>
      <c r="L222" s="42" t="inlineStr"/>
      <c r="M222" s="42" t="inlineStr"/>
      <c r="N222" s="42" t="inlineStr"/>
      <c r="O222" s="42" t="inlineStr"/>
      <c r="P222" s="42" t="inlineStr"/>
      <c r="Q222" s="42" t="inlineStr"/>
      <c r="R222" s="42" t="inlineStr"/>
      <c r="S222" s="42" t="inlineStr"/>
      <c r="T222" s="42" t="inlineStr"/>
      <c r="U222" s="44">
        <f>IF(A222="","",IFERROR(INDEX(E222:T222,MATCH(TRUE,INDEX(E222:T222&lt;&gt;"",0),0)),""))</f>
        <v/>
      </c>
      <c r="V222" s="44">
        <f>IF(A222="","",IFERROR(LOOKUP(2,1/(E222:T222&lt;&gt;""),E222:T222),""))</f>
        <v/>
      </c>
      <c r="W222" s="45">
        <f>IF(OR(A222="",PreviousYear=""),"",IFERROR(LOOKUP(2,1/(E222:T222&lt;&gt;""),E222:T222)-INDEX(E222:T222,MATCH(PreviousYear,$E$5:$T$5,0)),""))</f>
        <v/>
      </c>
      <c r="X222" s="45">
        <f>IF(OR(A222="",U222="",V222=""),"",V222-U222)</f>
        <v/>
      </c>
      <c r="Y222" s="44">
        <f>IF(A222="","",COUNT(E222:T222))</f>
        <v/>
      </c>
    </row>
    <row r="223">
      <c r="A223" s="39">
        <f>IF(AND('Employees'!B19&lt;&gt;"",'Skills'!B15&lt;&gt;""),'Employees'!B19,"")</f>
        <v/>
      </c>
      <c r="B223" s="40">
        <f>IF(A223="","",'Employees'!C19)</f>
        <v/>
      </c>
      <c r="C223" s="41">
        <f>IF(A223="","",'Skills'!B15)</f>
        <v/>
      </c>
      <c r="D223" s="40">
        <f>IF(A223="","",'Skills'!C15)</f>
        <v/>
      </c>
      <c r="E223" s="42" t="inlineStr"/>
      <c r="F223" s="42" t="inlineStr"/>
      <c r="G223" s="42" t="inlineStr"/>
      <c r="H223" s="43" t="inlineStr"/>
      <c r="I223" s="42" t="inlineStr"/>
      <c r="J223" s="42" t="inlineStr"/>
      <c r="K223" s="42" t="inlineStr"/>
      <c r="L223" s="42" t="inlineStr"/>
      <c r="M223" s="42" t="inlineStr"/>
      <c r="N223" s="42" t="inlineStr"/>
      <c r="O223" s="42" t="inlineStr"/>
      <c r="P223" s="42" t="inlineStr"/>
      <c r="Q223" s="42" t="inlineStr"/>
      <c r="R223" s="42" t="inlineStr"/>
      <c r="S223" s="42" t="inlineStr"/>
      <c r="T223" s="42" t="inlineStr"/>
      <c r="U223" s="44">
        <f>IF(A223="","",IFERROR(INDEX(E223:T223,MATCH(TRUE,INDEX(E223:T223&lt;&gt;"",0),0)),""))</f>
        <v/>
      </c>
      <c r="V223" s="44">
        <f>IF(A223="","",IFERROR(LOOKUP(2,1/(E223:T223&lt;&gt;""),E223:T223),""))</f>
        <v/>
      </c>
      <c r="W223" s="45">
        <f>IF(OR(A223="",PreviousYear=""),"",IFERROR(LOOKUP(2,1/(E223:T223&lt;&gt;""),E223:T223)-INDEX(E223:T223,MATCH(PreviousYear,$E$5:$T$5,0)),""))</f>
        <v/>
      </c>
      <c r="X223" s="45">
        <f>IF(OR(A223="",U223="",V223=""),"",V223-U223)</f>
        <v/>
      </c>
      <c r="Y223" s="44">
        <f>IF(A223="","",COUNT(E223:T223))</f>
        <v/>
      </c>
    </row>
    <row r="224">
      <c r="A224" s="39">
        <f>IF(AND('Employees'!B19&lt;&gt;"",'Skills'!B16&lt;&gt;""),'Employees'!B19,"")</f>
        <v/>
      </c>
      <c r="B224" s="40">
        <f>IF(A224="","",'Employees'!C19)</f>
        <v/>
      </c>
      <c r="C224" s="41">
        <f>IF(A224="","",'Skills'!B16)</f>
        <v/>
      </c>
      <c r="D224" s="40">
        <f>IF(A224="","",'Skills'!C16)</f>
        <v/>
      </c>
      <c r="E224" s="42" t="inlineStr"/>
      <c r="F224" s="42" t="inlineStr"/>
      <c r="G224" s="42" t="inlineStr"/>
      <c r="H224" s="43" t="inlineStr"/>
      <c r="I224" s="42" t="inlineStr"/>
      <c r="J224" s="42" t="inlineStr"/>
      <c r="K224" s="42" t="inlineStr"/>
      <c r="L224" s="42" t="inlineStr"/>
      <c r="M224" s="42" t="inlineStr"/>
      <c r="N224" s="42" t="inlineStr"/>
      <c r="O224" s="42" t="inlineStr"/>
      <c r="P224" s="42" t="inlineStr"/>
      <c r="Q224" s="42" t="inlineStr"/>
      <c r="R224" s="42" t="inlineStr"/>
      <c r="S224" s="42" t="inlineStr"/>
      <c r="T224" s="42" t="inlineStr"/>
      <c r="U224" s="44">
        <f>IF(A224="","",IFERROR(INDEX(E224:T224,MATCH(TRUE,INDEX(E224:T224&lt;&gt;"",0),0)),""))</f>
        <v/>
      </c>
      <c r="V224" s="44">
        <f>IF(A224="","",IFERROR(LOOKUP(2,1/(E224:T224&lt;&gt;""),E224:T224),""))</f>
        <v/>
      </c>
      <c r="W224" s="45">
        <f>IF(OR(A224="",PreviousYear=""),"",IFERROR(LOOKUP(2,1/(E224:T224&lt;&gt;""),E224:T224)-INDEX(E224:T224,MATCH(PreviousYear,$E$5:$T$5,0)),""))</f>
        <v/>
      </c>
      <c r="X224" s="45">
        <f>IF(OR(A224="",U224="",V224=""),"",V224-U224)</f>
        <v/>
      </c>
      <c r="Y224" s="44">
        <f>IF(A224="","",COUNT(E224:T224))</f>
        <v/>
      </c>
    </row>
    <row r="225">
      <c r="A225" s="39">
        <f>IF(AND('Employees'!B19&lt;&gt;"",'Skills'!B17&lt;&gt;""),'Employees'!B19,"")</f>
        <v/>
      </c>
      <c r="B225" s="40">
        <f>IF(A225="","",'Employees'!C19)</f>
        <v/>
      </c>
      <c r="C225" s="41">
        <f>IF(A225="","",'Skills'!B17)</f>
        <v/>
      </c>
      <c r="D225" s="40">
        <f>IF(A225="","",'Skills'!C17)</f>
        <v/>
      </c>
      <c r="E225" s="42" t="inlineStr"/>
      <c r="F225" s="42" t="inlineStr"/>
      <c r="G225" s="42" t="inlineStr"/>
      <c r="H225" s="43" t="inlineStr"/>
      <c r="I225" s="42" t="inlineStr"/>
      <c r="J225" s="42" t="inlineStr"/>
      <c r="K225" s="42" t="inlineStr"/>
      <c r="L225" s="42" t="inlineStr"/>
      <c r="M225" s="42" t="inlineStr"/>
      <c r="N225" s="42" t="inlineStr"/>
      <c r="O225" s="42" t="inlineStr"/>
      <c r="P225" s="42" t="inlineStr"/>
      <c r="Q225" s="42" t="inlineStr"/>
      <c r="R225" s="42" t="inlineStr"/>
      <c r="S225" s="42" t="inlineStr"/>
      <c r="T225" s="42" t="inlineStr"/>
      <c r="U225" s="44">
        <f>IF(A225="","",IFERROR(INDEX(E225:T225,MATCH(TRUE,INDEX(E225:T225&lt;&gt;"",0),0)),""))</f>
        <v/>
      </c>
      <c r="V225" s="44">
        <f>IF(A225="","",IFERROR(LOOKUP(2,1/(E225:T225&lt;&gt;""),E225:T225),""))</f>
        <v/>
      </c>
      <c r="W225" s="45">
        <f>IF(OR(A225="",PreviousYear=""),"",IFERROR(LOOKUP(2,1/(E225:T225&lt;&gt;""),E225:T225)-INDEX(E225:T225,MATCH(PreviousYear,$E$5:$T$5,0)),""))</f>
        <v/>
      </c>
      <c r="X225" s="45">
        <f>IF(OR(A225="",U225="",V225=""),"",V225-U225)</f>
        <v/>
      </c>
      <c r="Y225" s="44">
        <f>IF(A225="","",COUNT(E225:T225))</f>
        <v/>
      </c>
    </row>
    <row r="226">
      <c r="A226" s="39">
        <f>IF(AND('Employees'!B19&lt;&gt;"",'Skills'!B18&lt;&gt;""),'Employees'!B19,"")</f>
        <v/>
      </c>
      <c r="B226" s="40">
        <f>IF(A226="","",'Employees'!C19)</f>
        <v/>
      </c>
      <c r="C226" s="41">
        <f>IF(A226="","",'Skills'!B18)</f>
        <v/>
      </c>
      <c r="D226" s="40">
        <f>IF(A226="","",'Skills'!C18)</f>
        <v/>
      </c>
      <c r="E226" s="42" t="inlineStr"/>
      <c r="F226" s="42" t="inlineStr"/>
      <c r="G226" s="42" t="inlineStr"/>
      <c r="H226" s="43" t="inlineStr"/>
      <c r="I226" s="42" t="inlineStr"/>
      <c r="J226" s="42" t="inlineStr"/>
      <c r="K226" s="42" t="inlineStr"/>
      <c r="L226" s="42" t="inlineStr"/>
      <c r="M226" s="42" t="inlineStr"/>
      <c r="N226" s="42" t="inlineStr"/>
      <c r="O226" s="42" t="inlineStr"/>
      <c r="P226" s="42" t="inlineStr"/>
      <c r="Q226" s="42" t="inlineStr"/>
      <c r="R226" s="42" t="inlineStr"/>
      <c r="S226" s="42" t="inlineStr"/>
      <c r="T226" s="42" t="inlineStr"/>
      <c r="U226" s="44">
        <f>IF(A226="","",IFERROR(INDEX(E226:T226,MATCH(TRUE,INDEX(E226:T226&lt;&gt;"",0),0)),""))</f>
        <v/>
      </c>
      <c r="V226" s="44">
        <f>IF(A226="","",IFERROR(LOOKUP(2,1/(E226:T226&lt;&gt;""),E226:T226),""))</f>
        <v/>
      </c>
      <c r="W226" s="45">
        <f>IF(OR(A226="",PreviousYear=""),"",IFERROR(LOOKUP(2,1/(E226:T226&lt;&gt;""),E226:T226)-INDEX(E226:T226,MATCH(PreviousYear,$E$5:$T$5,0)),""))</f>
        <v/>
      </c>
      <c r="X226" s="45">
        <f>IF(OR(A226="",U226="",V226=""),"",V226-U226)</f>
        <v/>
      </c>
      <c r="Y226" s="44">
        <f>IF(A226="","",COUNT(E226:T226))</f>
        <v/>
      </c>
    </row>
    <row r="227">
      <c r="A227" s="39">
        <f>IF(AND('Employees'!B19&lt;&gt;"",'Skills'!B19&lt;&gt;""),'Employees'!B19,"")</f>
        <v/>
      </c>
      <c r="B227" s="40">
        <f>IF(A227="","",'Employees'!C19)</f>
        <v/>
      </c>
      <c r="C227" s="41">
        <f>IF(A227="","",'Skills'!B19)</f>
        <v/>
      </c>
      <c r="D227" s="40">
        <f>IF(A227="","",'Skills'!C19)</f>
        <v/>
      </c>
      <c r="E227" s="42" t="inlineStr"/>
      <c r="F227" s="42" t="inlineStr"/>
      <c r="G227" s="42" t="inlineStr"/>
      <c r="H227" s="43" t="inlineStr"/>
      <c r="I227" s="42" t="inlineStr"/>
      <c r="J227" s="42" t="inlineStr"/>
      <c r="K227" s="42" t="inlineStr"/>
      <c r="L227" s="42" t="inlineStr"/>
      <c r="M227" s="42" t="inlineStr"/>
      <c r="N227" s="42" t="inlineStr"/>
      <c r="O227" s="42" t="inlineStr"/>
      <c r="P227" s="42" t="inlineStr"/>
      <c r="Q227" s="42" t="inlineStr"/>
      <c r="R227" s="42" t="inlineStr"/>
      <c r="S227" s="42" t="inlineStr"/>
      <c r="T227" s="42" t="inlineStr"/>
      <c r="U227" s="44">
        <f>IF(A227="","",IFERROR(INDEX(E227:T227,MATCH(TRUE,INDEX(E227:T227&lt;&gt;"",0),0)),""))</f>
        <v/>
      </c>
      <c r="V227" s="44">
        <f>IF(A227="","",IFERROR(LOOKUP(2,1/(E227:T227&lt;&gt;""),E227:T227),""))</f>
        <v/>
      </c>
      <c r="W227" s="45">
        <f>IF(OR(A227="",PreviousYear=""),"",IFERROR(LOOKUP(2,1/(E227:T227&lt;&gt;""),E227:T227)-INDEX(E227:T227,MATCH(PreviousYear,$E$5:$T$5,0)),""))</f>
        <v/>
      </c>
      <c r="X227" s="45">
        <f>IF(OR(A227="",U227="",V227=""),"",V227-U227)</f>
        <v/>
      </c>
      <c r="Y227" s="44">
        <f>IF(A227="","",COUNT(E227:T227))</f>
        <v/>
      </c>
    </row>
    <row r="228">
      <c r="A228" s="39">
        <f>IF(AND('Employees'!B19&lt;&gt;"",'Skills'!B20&lt;&gt;""),'Employees'!B19,"")</f>
        <v/>
      </c>
      <c r="B228" s="40">
        <f>IF(A228="","",'Employees'!C19)</f>
        <v/>
      </c>
      <c r="C228" s="41">
        <f>IF(A228="","",'Skills'!B20)</f>
        <v/>
      </c>
      <c r="D228" s="40">
        <f>IF(A228="","",'Skills'!C20)</f>
        <v/>
      </c>
      <c r="E228" s="42" t="inlineStr"/>
      <c r="F228" s="42" t="inlineStr"/>
      <c r="G228" s="42" t="inlineStr"/>
      <c r="H228" s="43" t="inlineStr"/>
      <c r="I228" s="42" t="inlineStr"/>
      <c r="J228" s="42" t="inlineStr"/>
      <c r="K228" s="42" t="inlineStr"/>
      <c r="L228" s="42" t="inlineStr"/>
      <c r="M228" s="42" t="inlineStr"/>
      <c r="N228" s="42" t="inlineStr"/>
      <c r="O228" s="42" t="inlineStr"/>
      <c r="P228" s="42" t="inlineStr"/>
      <c r="Q228" s="42" t="inlineStr"/>
      <c r="R228" s="42" t="inlineStr"/>
      <c r="S228" s="42" t="inlineStr"/>
      <c r="T228" s="42" t="inlineStr"/>
      <c r="U228" s="44">
        <f>IF(A228="","",IFERROR(INDEX(E228:T228,MATCH(TRUE,INDEX(E228:T228&lt;&gt;"",0),0)),""))</f>
        <v/>
      </c>
      <c r="V228" s="44">
        <f>IF(A228="","",IFERROR(LOOKUP(2,1/(E228:T228&lt;&gt;""),E228:T228),""))</f>
        <v/>
      </c>
      <c r="W228" s="45">
        <f>IF(OR(A228="",PreviousYear=""),"",IFERROR(LOOKUP(2,1/(E228:T228&lt;&gt;""),E228:T228)-INDEX(E228:T228,MATCH(PreviousYear,$E$5:$T$5,0)),""))</f>
        <v/>
      </c>
      <c r="X228" s="45">
        <f>IF(OR(A228="",U228="",V228=""),"",V228-U228)</f>
        <v/>
      </c>
      <c r="Y228" s="44">
        <f>IF(A228="","",COUNT(E228:T228))</f>
        <v/>
      </c>
    </row>
    <row r="229">
      <c r="A229" s="39">
        <f>IF(AND('Employees'!B19&lt;&gt;"",'Skills'!B21&lt;&gt;""),'Employees'!B19,"")</f>
        <v/>
      </c>
      <c r="B229" s="40">
        <f>IF(A229="","",'Employees'!C19)</f>
        <v/>
      </c>
      <c r="C229" s="41">
        <f>IF(A229="","",'Skills'!B21)</f>
        <v/>
      </c>
      <c r="D229" s="40">
        <f>IF(A229="","",'Skills'!C21)</f>
        <v/>
      </c>
      <c r="E229" s="42" t="inlineStr"/>
      <c r="F229" s="42" t="inlineStr"/>
      <c r="G229" s="42" t="inlineStr"/>
      <c r="H229" s="43" t="inlineStr"/>
      <c r="I229" s="42" t="inlineStr"/>
      <c r="J229" s="42" t="inlineStr"/>
      <c r="K229" s="42" t="inlineStr"/>
      <c r="L229" s="42" t="inlineStr"/>
      <c r="M229" s="42" t="inlineStr"/>
      <c r="N229" s="42" t="inlineStr"/>
      <c r="O229" s="42" t="inlineStr"/>
      <c r="P229" s="42" t="inlineStr"/>
      <c r="Q229" s="42" t="inlineStr"/>
      <c r="R229" s="42" t="inlineStr"/>
      <c r="S229" s="42" t="inlineStr"/>
      <c r="T229" s="42" t="inlineStr"/>
      <c r="U229" s="44">
        <f>IF(A229="","",IFERROR(INDEX(E229:T229,MATCH(TRUE,INDEX(E229:T229&lt;&gt;"",0),0)),""))</f>
        <v/>
      </c>
      <c r="V229" s="44">
        <f>IF(A229="","",IFERROR(LOOKUP(2,1/(E229:T229&lt;&gt;""),E229:T229),""))</f>
        <v/>
      </c>
      <c r="W229" s="45">
        <f>IF(OR(A229="",PreviousYear=""),"",IFERROR(LOOKUP(2,1/(E229:T229&lt;&gt;""),E229:T229)-INDEX(E229:T229,MATCH(PreviousYear,$E$5:$T$5,0)),""))</f>
        <v/>
      </c>
      <c r="X229" s="45">
        <f>IF(OR(A229="",U229="",V229=""),"",V229-U229)</f>
        <v/>
      </c>
      <c r="Y229" s="44">
        <f>IF(A229="","",COUNT(E229:T229))</f>
        <v/>
      </c>
    </row>
    <row r="230">
      <c r="A230" s="39">
        <f>IF(AND('Employees'!B20&lt;&gt;"",'Skills'!B6&lt;&gt;""),'Employees'!B20,"")</f>
        <v/>
      </c>
      <c r="B230" s="40">
        <f>IF(A230="","",'Employees'!C20)</f>
        <v/>
      </c>
      <c r="C230" s="41">
        <f>IF(A230="","",'Skills'!B6)</f>
        <v/>
      </c>
      <c r="D230" s="40">
        <f>IF(A230="","",'Skills'!C6)</f>
        <v/>
      </c>
      <c r="E230" s="42" t="inlineStr"/>
      <c r="F230" s="42" t="inlineStr"/>
      <c r="G230" s="42" t="inlineStr"/>
      <c r="H230" s="43" t="inlineStr"/>
      <c r="I230" s="42" t="inlineStr"/>
      <c r="J230" s="42" t="inlineStr"/>
      <c r="K230" s="42" t="inlineStr"/>
      <c r="L230" s="42" t="inlineStr"/>
      <c r="M230" s="42" t="inlineStr"/>
      <c r="N230" s="42" t="inlineStr"/>
      <c r="O230" s="42" t="inlineStr"/>
      <c r="P230" s="42" t="inlineStr"/>
      <c r="Q230" s="42" t="inlineStr"/>
      <c r="R230" s="42" t="inlineStr"/>
      <c r="S230" s="42" t="inlineStr"/>
      <c r="T230" s="42" t="inlineStr"/>
      <c r="U230" s="44">
        <f>IF(A230="","",IFERROR(INDEX(E230:T230,MATCH(TRUE,INDEX(E230:T230&lt;&gt;"",0),0)),""))</f>
        <v/>
      </c>
      <c r="V230" s="44">
        <f>IF(A230="","",IFERROR(LOOKUP(2,1/(E230:T230&lt;&gt;""),E230:T230),""))</f>
        <v/>
      </c>
      <c r="W230" s="45">
        <f>IF(OR(A230="",PreviousYear=""),"",IFERROR(LOOKUP(2,1/(E230:T230&lt;&gt;""),E230:T230)-INDEX(E230:T230,MATCH(PreviousYear,$E$5:$T$5,0)),""))</f>
        <v/>
      </c>
      <c r="X230" s="45">
        <f>IF(OR(A230="",U230="",V230=""),"",V230-U230)</f>
        <v/>
      </c>
      <c r="Y230" s="44">
        <f>IF(A230="","",COUNT(E230:T230))</f>
        <v/>
      </c>
    </row>
    <row r="231">
      <c r="A231" s="39">
        <f>IF(AND('Employees'!B20&lt;&gt;"",'Skills'!B7&lt;&gt;""),'Employees'!B20,"")</f>
        <v/>
      </c>
      <c r="B231" s="40">
        <f>IF(A231="","",'Employees'!C20)</f>
        <v/>
      </c>
      <c r="C231" s="41">
        <f>IF(A231="","",'Skills'!B7)</f>
        <v/>
      </c>
      <c r="D231" s="40">
        <f>IF(A231="","",'Skills'!C7)</f>
        <v/>
      </c>
      <c r="E231" s="42" t="inlineStr"/>
      <c r="F231" s="42" t="inlineStr"/>
      <c r="G231" s="42" t="inlineStr"/>
      <c r="H231" s="43" t="inlineStr"/>
      <c r="I231" s="42" t="inlineStr"/>
      <c r="J231" s="42" t="inlineStr"/>
      <c r="K231" s="42" t="inlineStr"/>
      <c r="L231" s="42" t="inlineStr"/>
      <c r="M231" s="42" t="inlineStr"/>
      <c r="N231" s="42" t="inlineStr"/>
      <c r="O231" s="42" t="inlineStr"/>
      <c r="P231" s="42" t="inlineStr"/>
      <c r="Q231" s="42" t="inlineStr"/>
      <c r="R231" s="42" t="inlineStr"/>
      <c r="S231" s="42" t="inlineStr"/>
      <c r="T231" s="42" t="inlineStr"/>
      <c r="U231" s="44">
        <f>IF(A231="","",IFERROR(INDEX(E231:T231,MATCH(TRUE,INDEX(E231:T231&lt;&gt;"",0),0)),""))</f>
        <v/>
      </c>
      <c r="V231" s="44">
        <f>IF(A231="","",IFERROR(LOOKUP(2,1/(E231:T231&lt;&gt;""),E231:T231),""))</f>
        <v/>
      </c>
      <c r="W231" s="45">
        <f>IF(OR(A231="",PreviousYear=""),"",IFERROR(LOOKUP(2,1/(E231:T231&lt;&gt;""),E231:T231)-INDEX(E231:T231,MATCH(PreviousYear,$E$5:$T$5,0)),""))</f>
        <v/>
      </c>
      <c r="X231" s="45">
        <f>IF(OR(A231="",U231="",V231=""),"",V231-U231)</f>
        <v/>
      </c>
      <c r="Y231" s="44">
        <f>IF(A231="","",COUNT(E231:T231))</f>
        <v/>
      </c>
    </row>
    <row r="232">
      <c r="A232" s="39">
        <f>IF(AND('Employees'!B20&lt;&gt;"",'Skills'!B8&lt;&gt;""),'Employees'!B20,"")</f>
        <v/>
      </c>
      <c r="B232" s="40">
        <f>IF(A232="","",'Employees'!C20)</f>
        <v/>
      </c>
      <c r="C232" s="41">
        <f>IF(A232="","",'Skills'!B8)</f>
        <v/>
      </c>
      <c r="D232" s="40">
        <f>IF(A232="","",'Skills'!C8)</f>
        <v/>
      </c>
      <c r="E232" s="42" t="inlineStr"/>
      <c r="F232" s="42" t="inlineStr"/>
      <c r="G232" s="42" t="inlineStr"/>
      <c r="H232" s="43" t="inlineStr"/>
      <c r="I232" s="42" t="inlineStr"/>
      <c r="J232" s="42" t="inlineStr"/>
      <c r="K232" s="42" t="inlineStr"/>
      <c r="L232" s="42" t="inlineStr"/>
      <c r="M232" s="42" t="inlineStr"/>
      <c r="N232" s="42" t="inlineStr"/>
      <c r="O232" s="42" t="inlineStr"/>
      <c r="P232" s="42" t="inlineStr"/>
      <c r="Q232" s="42" t="inlineStr"/>
      <c r="R232" s="42" t="inlineStr"/>
      <c r="S232" s="42" t="inlineStr"/>
      <c r="T232" s="42" t="inlineStr"/>
      <c r="U232" s="44">
        <f>IF(A232="","",IFERROR(INDEX(E232:T232,MATCH(TRUE,INDEX(E232:T232&lt;&gt;"",0),0)),""))</f>
        <v/>
      </c>
      <c r="V232" s="44">
        <f>IF(A232="","",IFERROR(LOOKUP(2,1/(E232:T232&lt;&gt;""),E232:T232),""))</f>
        <v/>
      </c>
      <c r="W232" s="45">
        <f>IF(OR(A232="",PreviousYear=""),"",IFERROR(LOOKUP(2,1/(E232:T232&lt;&gt;""),E232:T232)-INDEX(E232:T232,MATCH(PreviousYear,$E$5:$T$5,0)),""))</f>
        <v/>
      </c>
      <c r="X232" s="45">
        <f>IF(OR(A232="",U232="",V232=""),"",V232-U232)</f>
        <v/>
      </c>
      <c r="Y232" s="44">
        <f>IF(A232="","",COUNT(E232:T232))</f>
        <v/>
      </c>
    </row>
    <row r="233">
      <c r="A233" s="39">
        <f>IF(AND('Employees'!B20&lt;&gt;"",'Skills'!B9&lt;&gt;""),'Employees'!B20,"")</f>
        <v/>
      </c>
      <c r="B233" s="40">
        <f>IF(A233="","",'Employees'!C20)</f>
        <v/>
      </c>
      <c r="C233" s="41">
        <f>IF(A233="","",'Skills'!B9)</f>
        <v/>
      </c>
      <c r="D233" s="40">
        <f>IF(A233="","",'Skills'!C9)</f>
        <v/>
      </c>
      <c r="E233" s="42" t="inlineStr"/>
      <c r="F233" s="42" t="inlineStr"/>
      <c r="G233" s="42" t="inlineStr"/>
      <c r="H233" s="43" t="inlineStr"/>
      <c r="I233" s="42" t="inlineStr"/>
      <c r="J233" s="42" t="inlineStr"/>
      <c r="K233" s="42" t="inlineStr"/>
      <c r="L233" s="42" t="inlineStr"/>
      <c r="M233" s="42" t="inlineStr"/>
      <c r="N233" s="42" t="inlineStr"/>
      <c r="O233" s="42" t="inlineStr"/>
      <c r="P233" s="42" t="inlineStr"/>
      <c r="Q233" s="42" t="inlineStr"/>
      <c r="R233" s="42" t="inlineStr"/>
      <c r="S233" s="42" t="inlineStr"/>
      <c r="T233" s="42" t="inlineStr"/>
      <c r="U233" s="44">
        <f>IF(A233="","",IFERROR(INDEX(E233:T233,MATCH(TRUE,INDEX(E233:T233&lt;&gt;"",0),0)),""))</f>
        <v/>
      </c>
      <c r="V233" s="44">
        <f>IF(A233="","",IFERROR(LOOKUP(2,1/(E233:T233&lt;&gt;""),E233:T233),""))</f>
        <v/>
      </c>
      <c r="W233" s="45">
        <f>IF(OR(A233="",PreviousYear=""),"",IFERROR(LOOKUP(2,1/(E233:T233&lt;&gt;""),E233:T233)-INDEX(E233:T233,MATCH(PreviousYear,$E$5:$T$5,0)),""))</f>
        <v/>
      </c>
      <c r="X233" s="45">
        <f>IF(OR(A233="",U233="",V233=""),"",V233-U233)</f>
        <v/>
      </c>
      <c r="Y233" s="44">
        <f>IF(A233="","",COUNT(E233:T233))</f>
        <v/>
      </c>
    </row>
    <row r="234">
      <c r="A234" s="39">
        <f>IF(AND('Employees'!B20&lt;&gt;"",'Skills'!B10&lt;&gt;""),'Employees'!B20,"")</f>
        <v/>
      </c>
      <c r="B234" s="40">
        <f>IF(A234="","",'Employees'!C20)</f>
        <v/>
      </c>
      <c r="C234" s="41">
        <f>IF(A234="","",'Skills'!B10)</f>
        <v/>
      </c>
      <c r="D234" s="40">
        <f>IF(A234="","",'Skills'!C10)</f>
        <v/>
      </c>
      <c r="E234" s="42" t="inlineStr"/>
      <c r="F234" s="42" t="inlineStr"/>
      <c r="G234" s="42" t="inlineStr"/>
      <c r="H234" s="43" t="inlineStr"/>
      <c r="I234" s="42" t="inlineStr"/>
      <c r="J234" s="42" t="inlineStr"/>
      <c r="K234" s="42" t="inlineStr"/>
      <c r="L234" s="42" t="inlineStr"/>
      <c r="M234" s="42" t="inlineStr"/>
      <c r="N234" s="42" t="inlineStr"/>
      <c r="O234" s="42" t="inlineStr"/>
      <c r="P234" s="42" t="inlineStr"/>
      <c r="Q234" s="42" t="inlineStr"/>
      <c r="R234" s="42" t="inlineStr"/>
      <c r="S234" s="42" t="inlineStr"/>
      <c r="T234" s="42" t="inlineStr"/>
      <c r="U234" s="44">
        <f>IF(A234="","",IFERROR(INDEX(E234:T234,MATCH(TRUE,INDEX(E234:T234&lt;&gt;"",0),0)),""))</f>
        <v/>
      </c>
      <c r="V234" s="44">
        <f>IF(A234="","",IFERROR(LOOKUP(2,1/(E234:T234&lt;&gt;""),E234:T234),""))</f>
        <v/>
      </c>
      <c r="W234" s="45">
        <f>IF(OR(A234="",PreviousYear=""),"",IFERROR(LOOKUP(2,1/(E234:T234&lt;&gt;""),E234:T234)-INDEX(E234:T234,MATCH(PreviousYear,$E$5:$T$5,0)),""))</f>
        <v/>
      </c>
      <c r="X234" s="45">
        <f>IF(OR(A234="",U234="",V234=""),"",V234-U234)</f>
        <v/>
      </c>
      <c r="Y234" s="44">
        <f>IF(A234="","",COUNT(E234:T234))</f>
        <v/>
      </c>
    </row>
    <row r="235">
      <c r="A235" s="39">
        <f>IF(AND('Employees'!B20&lt;&gt;"",'Skills'!B11&lt;&gt;""),'Employees'!B20,"")</f>
        <v/>
      </c>
      <c r="B235" s="40">
        <f>IF(A235="","",'Employees'!C20)</f>
        <v/>
      </c>
      <c r="C235" s="41">
        <f>IF(A235="","",'Skills'!B11)</f>
        <v/>
      </c>
      <c r="D235" s="40">
        <f>IF(A235="","",'Skills'!C11)</f>
        <v/>
      </c>
      <c r="E235" s="42" t="inlineStr"/>
      <c r="F235" s="42" t="inlineStr"/>
      <c r="G235" s="42" t="inlineStr"/>
      <c r="H235" s="43" t="inlineStr"/>
      <c r="I235" s="42" t="inlineStr"/>
      <c r="J235" s="42" t="inlineStr"/>
      <c r="K235" s="42" t="inlineStr"/>
      <c r="L235" s="42" t="inlineStr"/>
      <c r="M235" s="42" t="inlineStr"/>
      <c r="N235" s="42" t="inlineStr"/>
      <c r="O235" s="42" t="inlineStr"/>
      <c r="P235" s="42" t="inlineStr"/>
      <c r="Q235" s="42" t="inlineStr"/>
      <c r="R235" s="42" t="inlineStr"/>
      <c r="S235" s="42" t="inlineStr"/>
      <c r="T235" s="42" t="inlineStr"/>
      <c r="U235" s="44">
        <f>IF(A235="","",IFERROR(INDEX(E235:T235,MATCH(TRUE,INDEX(E235:T235&lt;&gt;"",0),0)),""))</f>
        <v/>
      </c>
      <c r="V235" s="44">
        <f>IF(A235="","",IFERROR(LOOKUP(2,1/(E235:T235&lt;&gt;""),E235:T235),""))</f>
        <v/>
      </c>
      <c r="W235" s="45">
        <f>IF(OR(A235="",PreviousYear=""),"",IFERROR(LOOKUP(2,1/(E235:T235&lt;&gt;""),E235:T235)-INDEX(E235:T235,MATCH(PreviousYear,$E$5:$T$5,0)),""))</f>
        <v/>
      </c>
      <c r="X235" s="45">
        <f>IF(OR(A235="",U235="",V235=""),"",V235-U235)</f>
        <v/>
      </c>
      <c r="Y235" s="44">
        <f>IF(A235="","",COUNT(E235:T235))</f>
        <v/>
      </c>
    </row>
    <row r="236">
      <c r="A236" s="39">
        <f>IF(AND('Employees'!B20&lt;&gt;"",'Skills'!B12&lt;&gt;""),'Employees'!B20,"")</f>
        <v/>
      </c>
      <c r="B236" s="40">
        <f>IF(A236="","",'Employees'!C20)</f>
        <v/>
      </c>
      <c r="C236" s="41">
        <f>IF(A236="","",'Skills'!B12)</f>
        <v/>
      </c>
      <c r="D236" s="40">
        <f>IF(A236="","",'Skills'!C12)</f>
        <v/>
      </c>
      <c r="E236" s="42" t="inlineStr"/>
      <c r="F236" s="42" t="inlineStr"/>
      <c r="G236" s="42" t="inlineStr"/>
      <c r="H236" s="43" t="inlineStr"/>
      <c r="I236" s="42" t="inlineStr"/>
      <c r="J236" s="42" t="inlineStr"/>
      <c r="K236" s="42" t="inlineStr"/>
      <c r="L236" s="42" t="inlineStr"/>
      <c r="M236" s="42" t="inlineStr"/>
      <c r="N236" s="42" t="inlineStr"/>
      <c r="O236" s="42" t="inlineStr"/>
      <c r="P236" s="42" t="inlineStr"/>
      <c r="Q236" s="42" t="inlineStr"/>
      <c r="R236" s="42" t="inlineStr"/>
      <c r="S236" s="42" t="inlineStr"/>
      <c r="T236" s="42" t="inlineStr"/>
      <c r="U236" s="44">
        <f>IF(A236="","",IFERROR(INDEX(E236:T236,MATCH(TRUE,INDEX(E236:T236&lt;&gt;"",0),0)),""))</f>
        <v/>
      </c>
      <c r="V236" s="44">
        <f>IF(A236="","",IFERROR(LOOKUP(2,1/(E236:T236&lt;&gt;""),E236:T236),""))</f>
        <v/>
      </c>
      <c r="W236" s="45">
        <f>IF(OR(A236="",PreviousYear=""),"",IFERROR(LOOKUP(2,1/(E236:T236&lt;&gt;""),E236:T236)-INDEX(E236:T236,MATCH(PreviousYear,$E$5:$T$5,0)),""))</f>
        <v/>
      </c>
      <c r="X236" s="45">
        <f>IF(OR(A236="",U236="",V236=""),"",V236-U236)</f>
        <v/>
      </c>
      <c r="Y236" s="44">
        <f>IF(A236="","",COUNT(E236:T236))</f>
        <v/>
      </c>
    </row>
    <row r="237">
      <c r="A237" s="39">
        <f>IF(AND('Employees'!B20&lt;&gt;"",'Skills'!B13&lt;&gt;""),'Employees'!B20,"")</f>
        <v/>
      </c>
      <c r="B237" s="40">
        <f>IF(A237="","",'Employees'!C20)</f>
        <v/>
      </c>
      <c r="C237" s="41">
        <f>IF(A237="","",'Skills'!B13)</f>
        <v/>
      </c>
      <c r="D237" s="40">
        <f>IF(A237="","",'Skills'!C13)</f>
        <v/>
      </c>
      <c r="E237" s="42" t="inlineStr"/>
      <c r="F237" s="42" t="inlineStr"/>
      <c r="G237" s="42" t="inlineStr"/>
      <c r="H237" s="43" t="inlineStr"/>
      <c r="I237" s="42" t="inlineStr"/>
      <c r="J237" s="42" t="inlineStr"/>
      <c r="K237" s="42" t="inlineStr"/>
      <c r="L237" s="42" t="inlineStr"/>
      <c r="M237" s="42" t="inlineStr"/>
      <c r="N237" s="42" t="inlineStr"/>
      <c r="O237" s="42" t="inlineStr"/>
      <c r="P237" s="42" t="inlineStr"/>
      <c r="Q237" s="42" t="inlineStr"/>
      <c r="R237" s="42" t="inlineStr"/>
      <c r="S237" s="42" t="inlineStr"/>
      <c r="T237" s="42" t="inlineStr"/>
      <c r="U237" s="44">
        <f>IF(A237="","",IFERROR(INDEX(E237:T237,MATCH(TRUE,INDEX(E237:T237&lt;&gt;"",0),0)),""))</f>
        <v/>
      </c>
      <c r="V237" s="44">
        <f>IF(A237="","",IFERROR(LOOKUP(2,1/(E237:T237&lt;&gt;""),E237:T237),""))</f>
        <v/>
      </c>
      <c r="W237" s="45">
        <f>IF(OR(A237="",PreviousYear=""),"",IFERROR(LOOKUP(2,1/(E237:T237&lt;&gt;""),E237:T237)-INDEX(E237:T237,MATCH(PreviousYear,$E$5:$T$5,0)),""))</f>
        <v/>
      </c>
      <c r="X237" s="45">
        <f>IF(OR(A237="",U237="",V237=""),"",V237-U237)</f>
        <v/>
      </c>
      <c r="Y237" s="44">
        <f>IF(A237="","",COUNT(E237:T237))</f>
        <v/>
      </c>
    </row>
    <row r="238">
      <c r="A238" s="39">
        <f>IF(AND('Employees'!B20&lt;&gt;"",'Skills'!B14&lt;&gt;""),'Employees'!B20,"")</f>
        <v/>
      </c>
      <c r="B238" s="40">
        <f>IF(A238="","",'Employees'!C20)</f>
        <v/>
      </c>
      <c r="C238" s="41">
        <f>IF(A238="","",'Skills'!B14)</f>
        <v/>
      </c>
      <c r="D238" s="40">
        <f>IF(A238="","",'Skills'!C14)</f>
        <v/>
      </c>
      <c r="E238" s="42" t="inlineStr"/>
      <c r="F238" s="42" t="inlineStr"/>
      <c r="G238" s="42" t="inlineStr"/>
      <c r="H238" s="43" t="inlineStr"/>
      <c r="I238" s="42" t="inlineStr"/>
      <c r="J238" s="42" t="inlineStr"/>
      <c r="K238" s="42" t="inlineStr"/>
      <c r="L238" s="42" t="inlineStr"/>
      <c r="M238" s="42" t="inlineStr"/>
      <c r="N238" s="42" t="inlineStr"/>
      <c r="O238" s="42" t="inlineStr"/>
      <c r="P238" s="42" t="inlineStr"/>
      <c r="Q238" s="42" t="inlineStr"/>
      <c r="R238" s="42" t="inlineStr"/>
      <c r="S238" s="42" t="inlineStr"/>
      <c r="T238" s="42" t="inlineStr"/>
      <c r="U238" s="44">
        <f>IF(A238="","",IFERROR(INDEX(E238:T238,MATCH(TRUE,INDEX(E238:T238&lt;&gt;"",0),0)),""))</f>
        <v/>
      </c>
      <c r="V238" s="44">
        <f>IF(A238="","",IFERROR(LOOKUP(2,1/(E238:T238&lt;&gt;""),E238:T238),""))</f>
        <v/>
      </c>
      <c r="W238" s="45">
        <f>IF(OR(A238="",PreviousYear=""),"",IFERROR(LOOKUP(2,1/(E238:T238&lt;&gt;""),E238:T238)-INDEX(E238:T238,MATCH(PreviousYear,$E$5:$T$5,0)),""))</f>
        <v/>
      </c>
      <c r="X238" s="45">
        <f>IF(OR(A238="",U238="",V238=""),"",V238-U238)</f>
        <v/>
      </c>
      <c r="Y238" s="44">
        <f>IF(A238="","",COUNT(E238:T238))</f>
        <v/>
      </c>
    </row>
    <row r="239">
      <c r="A239" s="39">
        <f>IF(AND('Employees'!B20&lt;&gt;"",'Skills'!B15&lt;&gt;""),'Employees'!B20,"")</f>
        <v/>
      </c>
      <c r="B239" s="40">
        <f>IF(A239="","",'Employees'!C20)</f>
        <v/>
      </c>
      <c r="C239" s="41">
        <f>IF(A239="","",'Skills'!B15)</f>
        <v/>
      </c>
      <c r="D239" s="40">
        <f>IF(A239="","",'Skills'!C15)</f>
        <v/>
      </c>
      <c r="E239" s="42" t="inlineStr"/>
      <c r="F239" s="42" t="inlineStr"/>
      <c r="G239" s="42" t="inlineStr"/>
      <c r="H239" s="43" t="inlineStr"/>
      <c r="I239" s="42" t="inlineStr"/>
      <c r="J239" s="42" t="inlineStr"/>
      <c r="K239" s="42" t="inlineStr"/>
      <c r="L239" s="42" t="inlineStr"/>
      <c r="M239" s="42" t="inlineStr"/>
      <c r="N239" s="42" t="inlineStr"/>
      <c r="O239" s="42" t="inlineStr"/>
      <c r="P239" s="42" t="inlineStr"/>
      <c r="Q239" s="42" t="inlineStr"/>
      <c r="R239" s="42" t="inlineStr"/>
      <c r="S239" s="42" t="inlineStr"/>
      <c r="T239" s="42" t="inlineStr"/>
      <c r="U239" s="44">
        <f>IF(A239="","",IFERROR(INDEX(E239:T239,MATCH(TRUE,INDEX(E239:T239&lt;&gt;"",0),0)),""))</f>
        <v/>
      </c>
      <c r="V239" s="44">
        <f>IF(A239="","",IFERROR(LOOKUP(2,1/(E239:T239&lt;&gt;""),E239:T239),""))</f>
        <v/>
      </c>
      <c r="W239" s="45">
        <f>IF(OR(A239="",PreviousYear=""),"",IFERROR(LOOKUP(2,1/(E239:T239&lt;&gt;""),E239:T239)-INDEX(E239:T239,MATCH(PreviousYear,$E$5:$T$5,0)),""))</f>
        <v/>
      </c>
      <c r="X239" s="45">
        <f>IF(OR(A239="",U239="",V239=""),"",V239-U239)</f>
        <v/>
      </c>
      <c r="Y239" s="44">
        <f>IF(A239="","",COUNT(E239:T239))</f>
        <v/>
      </c>
    </row>
    <row r="240">
      <c r="A240" s="39">
        <f>IF(AND('Employees'!B20&lt;&gt;"",'Skills'!B16&lt;&gt;""),'Employees'!B20,"")</f>
        <v/>
      </c>
      <c r="B240" s="40">
        <f>IF(A240="","",'Employees'!C20)</f>
        <v/>
      </c>
      <c r="C240" s="41">
        <f>IF(A240="","",'Skills'!B16)</f>
        <v/>
      </c>
      <c r="D240" s="40">
        <f>IF(A240="","",'Skills'!C16)</f>
        <v/>
      </c>
      <c r="E240" s="42" t="inlineStr"/>
      <c r="F240" s="42" t="inlineStr"/>
      <c r="G240" s="42" t="inlineStr"/>
      <c r="H240" s="43" t="inlineStr"/>
      <c r="I240" s="42" t="inlineStr"/>
      <c r="J240" s="42" t="inlineStr"/>
      <c r="K240" s="42" t="inlineStr"/>
      <c r="L240" s="42" t="inlineStr"/>
      <c r="M240" s="42" t="inlineStr"/>
      <c r="N240" s="42" t="inlineStr"/>
      <c r="O240" s="42" t="inlineStr"/>
      <c r="P240" s="42" t="inlineStr"/>
      <c r="Q240" s="42" t="inlineStr"/>
      <c r="R240" s="42" t="inlineStr"/>
      <c r="S240" s="42" t="inlineStr"/>
      <c r="T240" s="42" t="inlineStr"/>
      <c r="U240" s="44">
        <f>IF(A240="","",IFERROR(INDEX(E240:T240,MATCH(TRUE,INDEX(E240:T240&lt;&gt;"",0),0)),""))</f>
        <v/>
      </c>
      <c r="V240" s="44">
        <f>IF(A240="","",IFERROR(LOOKUP(2,1/(E240:T240&lt;&gt;""),E240:T240),""))</f>
        <v/>
      </c>
      <c r="W240" s="45">
        <f>IF(OR(A240="",PreviousYear=""),"",IFERROR(LOOKUP(2,1/(E240:T240&lt;&gt;""),E240:T240)-INDEX(E240:T240,MATCH(PreviousYear,$E$5:$T$5,0)),""))</f>
        <v/>
      </c>
      <c r="X240" s="45">
        <f>IF(OR(A240="",U240="",V240=""),"",V240-U240)</f>
        <v/>
      </c>
      <c r="Y240" s="44">
        <f>IF(A240="","",COUNT(E240:T240))</f>
        <v/>
      </c>
    </row>
    <row r="241">
      <c r="A241" s="39">
        <f>IF(AND('Employees'!B20&lt;&gt;"",'Skills'!B17&lt;&gt;""),'Employees'!B20,"")</f>
        <v/>
      </c>
      <c r="B241" s="40">
        <f>IF(A241="","",'Employees'!C20)</f>
        <v/>
      </c>
      <c r="C241" s="41">
        <f>IF(A241="","",'Skills'!B17)</f>
        <v/>
      </c>
      <c r="D241" s="40">
        <f>IF(A241="","",'Skills'!C17)</f>
        <v/>
      </c>
      <c r="E241" s="42" t="inlineStr"/>
      <c r="F241" s="42" t="inlineStr"/>
      <c r="G241" s="42" t="inlineStr"/>
      <c r="H241" s="43" t="inlineStr"/>
      <c r="I241" s="42" t="inlineStr"/>
      <c r="J241" s="42" t="inlineStr"/>
      <c r="K241" s="42" t="inlineStr"/>
      <c r="L241" s="42" t="inlineStr"/>
      <c r="M241" s="42" t="inlineStr"/>
      <c r="N241" s="42" t="inlineStr"/>
      <c r="O241" s="42" t="inlineStr"/>
      <c r="P241" s="42" t="inlineStr"/>
      <c r="Q241" s="42" t="inlineStr"/>
      <c r="R241" s="42" t="inlineStr"/>
      <c r="S241" s="42" t="inlineStr"/>
      <c r="T241" s="42" t="inlineStr"/>
      <c r="U241" s="44">
        <f>IF(A241="","",IFERROR(INDEX(E241:T241,MATCH(TRUE,INDEX(E241:T241&lt;&gt;"",0),0)),""))</f>
        <v/>
      </c>
      <c r="V241" s="44">
        <f>IF(A241="","",IFERROR(LOOKUP(2,1/(E241:T241&lt;&gt;""),E241:T241),""))</f>
        <v/>
      </c>
      <c r="W241" s="45">
        <f>IF(OR(A241="",PreviousYear=""),"",IFERROR(LOOKUP(2,1/(E241:T241&lt;&gt;""),E241:T241)-INDEX(E241:T241,MATCH(PreviousYear,$E$5:$T$5,0)),""))</f>
        <v/>
      </c>
      <c r="X241" s="45">
        <f>IF(OR(A241="",U241="",V241=""),"",V241-U241)</f>
        <v/>
      </c>
      <c r="Y241" s="44">
        <f>IF(A241="","",COUNT(E241:T241))</f>
        <v/>
      </c>
    </row>
    <row r="242">
      <c r="A242" s="39">
        <f>IF(AND('Employees'!B20&lt;&gt;"",'Skills'!B18&lt;&gt;""),'Employees'!B20,"")</f>
        <v/>
      </c>
      <c r="B242" s="40">
        <f>IF(A242="","",'Employees'!C20)</f>
        <v/>
      </c>
      <c r="C242" s="41">
        <f>IF(A242="","",'Skills'!B18)</f>
        <v/>
      </c>
      <c r="D242" s="40">
        <f>IF(A242="","",'Skills'!C18)</f>
        <v/>
      </c>
      <c r="E242" s="42" t="inlineStr"/>
      <c r="F242" s="42" t="inlineStr"/>
      <c r="G242" s="42" t="inlineStr"/>
      <c r="H242" s="43" t="inlineStr"/>
      <c r="I242" s="42" t="inlineStr"/>
      <c r="J242" s="42" t="inlineStr"/>
      <c r="K242" s="42" t="inlineStr"/>
      <c r="L242" s="42" t="inlineStr"/>
      <c r="M242" s="42" t="inlineStr"/>
      <c r="N242" s="42" t="inlineStr"/>
      <c r="O242" s="42" t="inlineStr"/>
      <c r="P242" s="42" t="inlineStr"/>
      <c r="Q242" s="42" t="inlineStr"/>
      <c r="R242" s="42" t="inlineStr"/>
      <c r="S242" s="42" t="inlineStr"/>
      <c r="T242" s="42" t="inlineStr"/>
      <c r="U242" s="44">
        <f>IF(A242="","",IFERROR(INDEX(E242:T242,MATCH(TRUE,INDEX(E242:T242&lt;&gt;"",0),0)),""))</f>
        <v/>
      </c>
      <c r="V242" s="44">
        <f>IF(A242="","",IFERROR(LOOKUP(2,1/(E242:T242&lt;&gt;""),E242:T242),""))</f>
        <v/>
      </c>
      <c r="W242" s="45">
        <f>IF(OR(A242="",PreviousYear=""),"",IFERROR(LOOKUP(2,1/(E242:T242&lt;&gt;""),E242:T242)-INDEX(E242:T242,MATCH(PreviousYear,$E$5:$T$5,0)),""))</f>
        <v/>
      </c>
      <c r="X242" s="45">
        <f>IF(OR(A242="",U242="",V242=""),"",V242-U242)</f>
        <v/>
      </c>
      <c r="Y242" s="44">
        <f>IF(A242="","",COUNT(E242:T242))</f>
        <v/>
      </c>
    </row>
    <row r="243">
      <c r="A243" s="39">
        <f>IF(AND('Employees'!B20&lt;&gt;"",'Skills'!B19&lt;&gt;""),'Employees'!B20,"")</f>
        <v/>
      </c>
      <c r="B243" s="40">
        <f>IF(A243="","",'Employees'!C20)</f>
        <v/>
      </c>
      <c r="C243" s="41">
        <f>IF(A243="","",'Skills'!B19)</f>
        <v/>
      </c>
      <c r="D243" s="40">
        <f>IF(A243="","",'Skills'!C19)</f>
        <v/>
      </c>
      <c r="E243" s="42" t="inlineStr"/>
      <c r="F243" s="42" t="inlineStr"/>
      <c r="G243" s="42" t="inlineStr"/>
      <c r="H243" s="43" t="inlineStr"/>
      <c r="I243" s="42" t="inlineStr"/>
      <c r="J243" s="42" t="inlineStr"/>
      <c r="K243" s="42" t="inlineStr"/>
      <c r="L243" s="42" t="inlineStr"/>
      <c r="M243" s="42" t="inlineStr"/>
      <c r="N243" s="42" t="inlineStr"/>
      <c r="O243" s="42" t="inlineStr"/>
      <c r="P243" s="42" t="inlineStr"/>
      <c r="Q243" s="42" t="inlineStr"/>
      <c r="R243" s="42" t="inlineStr"/>
      <c r="S243" s="42" t="inlineStr"/>
      <c r="T243" s="42" t="inlineStr"/>
      <c r="U243" s="44">
        <f>IF(A243="","",IFERROR(INDEX(E243:T243,MATCH(TRUE,INDEX(E243:T243&lt;&gt;"",0),0)),""))</f>
        <v/>
      </c>
      <c r="V243" s="44">
        <f>IF(A243="","",IFERROR(LOOKUP(2,1/(E243:T243&lt;&gt;""),E243:T243),""))</f>
        <v/>
      </c>
      <c r="W243" s="45">
        <f>IF(OR(A243="",PreviousYear=""),"",IFERROR(LOOKUP(2,1/(E243:T243&lt;&gt;""),E243:T243)-INDEX(E243:T243,MATCH(PreviousYear,$E$5:$T$5,0)),""))</f>
        <v/>
      </c>
      <c r="X243" s="45">
        <f>IF(OR(A243="",U243="",V243=""),"",V243-U243)</f>
        <v/>
      </c>
      <c r="Y243" s="44">
        <f>IF(A243="","",COUNT(E243:T243))</f>
        <v/>
      </c>
    </row>
    <row r="244">
      <c r="A244" s="39">
        <f>IF(AND('Employees'!B20&lt;&gt;"",'Skills'!B20&lt;&gt;""),'Employees'!B20,"")</f>
        <v/>
      </c>
      <c r="B244" s="40">
        <f>IF(A244="","",'Employees'!C20)</f>
        <v/>
      </c>
      <c r="C244" s="41">
        <f>IF(A244="","",'Skills'!B20)</f>
        <v/>
      </c>
      <c r="D244" s="40">
        <f>IF(A244="","",'Skills'!C20)</f>
        <v/>
      </c>
      <c r="E244" s="42" t="inlineStr"/>
      <c r="F244" s="42" t="inlineStr"/>
      <c r="G244" s="42" t="inlineStr"/>
      <c r="H244" s="43" t="inlineStr"/>
      <c r="I244" s="42" t="inlineStr"/>
      <c r="J244" s="42" t="inlineStr"/>
      <c r="K244" s="42" t="inlineStr"/>
      <c r="L244" s="42" t="inlineStr"/>
      <c r="M244" s="42" t="inlineStr"/>
      <c r="N244" s="42" t="inlineStr"/>
      <c r="O244" s="42" t="inlineStr"/>
      <c r="P244" s="42" t="inlineStr"/>
      <c r="Q244" s="42" t="inlineStr"/>
      <c r="R244" s="42" t="inlineStr"/>
      <c r="S244" s="42" t="inlineStr"/>
      <c r="T244" s="42" t="inlineStr"/>
      <c r="U244" s="44">
        <f>IF(A244="","",IFERROR(INDEX(E244:T244,MATCH(TRUE,INDEX(E244:T244&lt;&gt;"",0),0)),""))</f>
        <v/>
      </c>
      <c r="V244" s="44">
        <f>IF(A244="","",IFERROR(LOOKUP(2,1/(E244:T244&lt;&gt;""),E244:T244),""))</f>
        <v/>
      </c>
      <c r="W244" s="45">
        <f>IF(OR(A244="",PreviousYear=""),"",IFERROR(LOOKUP(2,1/(E244:T244&lt;&gt;""),E244:T244)-INDEX(E244:T244,MATCH(PreviousYear,$E$5:$T$5,0)),""))</f>
        <v/>
      </c>
      <c r="X244" s="45">
        <f>IF(OR(A244="",U244="",V244=""),"",V244-U244)</f>
        <v/>
      </c>
      <c r="Y244" s="44">
        <f>IF(A244="","",COUNT(E244:T244))</f>
        <v/>
      </c>
    </row>
    <row r="245">
      <c r="A245" s="39">
        <f>IF(AND('Employees'!B20&lt;&gt;"",'Skills'!B21&lt;&gt;""),'Employees'!B20,"")</f>
        <v/>
      </c>
      <c r="B245" s="40">
        <f>IF(A245="","",'Employees'!C20)</f>
        <v/>
      </c>
      <c r="C245" s="41">
        <f>IF(A245="","",'Skills'!B21)</f>
        <v/>
      </c>
      <c r="D245" s="40">
        <f>IF(A245="","",'Skills'!C21)</f>
        <v/>
      </c>
      <c r="E245" s="42" t="inlineStr"/>
      <c r="F245" s="42" t="inlineStr"/>
      <c r="G245" s="42" t="inlineStr"/>
      <c r="H245" s="43" t="inlineStr"/>
      <c r="I245" s="42" t="inlineStr"/>
      <c r="J245" s="42" t="inlineStr"/>
      <c r="K245" s="42" t="inlineStr"/>
      <c r="L245" s="42" t="inlineStr"/>
      <c r="M245" s="42" t="inlineStr"/>
      <c r="N245" s="42" t="inlineStr"/>
      <c r="O245" s="42" t="inlineStr"/>
      <c r="P245" s="42" t="inlineStr"/>
      <c r="Q245" s="42" t="inlineStr"/>
      <c r="R245" s="42" t="inlineStr"/>
      <c r="S245" s="42" t="inlineStr"/>
      <c r="T245" s="42" t="inlineStr"/>
      <c r="U245" s="44">
        <f>IF(A245="","",IFERROR(INDEX(E245:T245,MATCH(TRUE,INDEX(E245:T245&lt;&gt;"",0),0)),""))</f>
        <v/>
      </c>
      <c r="V245" s="44">
        <f>IF(A245="","",IFERROR(LOOKUP(2,1/(E245:T245&lt;&gt;""),E245:T245),""))</f>
        <v/>
      </c>
      <c r="W245" s="45">
        <f>IF(OR(A245="",PreviousYear=""),"",IFERROR(LOOKUP(2,1/(E245:T245&lt;&gt;""),E245:T245)-INDEX(E245:T245,MATCH(PreviousYear,$E$5:$T$5,0)),""))</f>
        <v/>
      </c>
      <c r="X245" s="45">
        <f>IF(OR(A245="",U245="",V245=""),"",V245-U245)</f>
        <v/>
      </c>
      <c r="Y245" s="44">
        <f>IF(A245="","",COUNT(E245:T245))</f>
        <v/>
      </c>
    </row>
    <row r="246">
      <c r="A246" s="39">
        <f>IF(AND('Employees'!B21&lt;&gt;"",'Skills'!B6&lt;&gt;""),'Employees'!B21,"")</f>
        <v/>
      </c>
      <c r="B246" s="40">
        <f>IF(A246="","",'Employees'!C21)</f>
        <v/>
      </c>
      <c r="C246" s="41">
        <f>IF(A246="","",'Skills'!B6)</f>
        <v/>
      </c>
      <c r="D246" s="40">
        <f>IF(A246="","",'Skills'!C6)</f>
        <v/>
      </c>
      <c r="E246" s="42" t="inlineStr"/>
      <c r="F246" s="42" t="inlineStr"/>
      <c r="G246" s="42" t="inlineStr"/>
      <c r="H246" s="43" t="inlineStr"/>
      <c r="I246" s="42" t="inlineStr"/>
      <c r="J246" s="42" t="inlineStr"/>
      <c r="K246" s="42" t="inlineStr"/>
      <c r="L246" s="42" t="inlineStr"/>
      <c r="M246" s="42" t="inlineStr"/>
      <c r="N246" s="42" t="inlineStr"/>
      <c r="O246" s="42" t="inlineStr"/>
      <c r="P246" s="42" t="inlineStr"/>
      <c r="Q246" s="42" t="inlineStr"/>
      <c r="R246" s="42" t="inlineStr"/>
      <c r="S246" s="42" t="inlineStr"/>
      <c r="T246" s="42" t="inlineStr"/>
      <c r="U246" s="44">
        <f>IF(A246="","",IFERROR(INDEX(E246:T246,MATCH(TRUE,INDEX(E246:T246&lt;&gt;"",0),0)),""))</f>
        <v/>
      </c>
      <c r="V246" s="44">
        <f>IF(A246="","",IFERROR(LOOKUP(2,1/(E246:T246&lt;&gt;""),E246:T246),""))</f>
        <v/>
      </c>
      <c r="W246" s="45">
        <f>IF(OR(A246="",PreviousYear=""),"",IFERROR(LOOKUP(2,1/(E246:T246&lt;&gt;""),E246:T246)-INDEX(E246:T246,MATCH(PreviousYear,$E$5:$T$5,0)),""))</f>
        <v/>
      </c>
      <c r="X246" s="45">
        <f>IF(OR(A246="",U246="",V246=""),"",V246-U246)</f>
        <v/>
      </c>
      <c r="Y246" s="44">
        <f>IF(A246="","",COUNT(E246:T246))</f>
        <v/>
      </c>
    </row>
    <row r="247">
      <c r="A247" s="39">
        <f>IF(AND('Employees'!B21&lt;&gt;"",'Skills'!B7&lt;&gt;""),'Employees'!B21,"")</f>
        <v/>
      </c>
      <c r="B247" s="40">
        <f>IF(A247="","",'Employees'!C21)</f>
        <v/>
      </c>
      <c r="C247" s="41">
        <f>IF(A247="","",'Skills'!B7)</f>
        <v/>
      </c>
      <c r="D247" s="40">
        <f>IF(A247="","",'Skills'!C7)</f>
        <v/>
      </c>
      <c r="E247" s="42" t="inlineStr"/>
      <c r="F247" s="42" t="inlineStr"/>
      <c r="G247" s="42" t="inlineStr"/>
      <c r="H247" s="43" t="inlineStr"/>
      <c r="I247" s="42" t="inlineStr"/>
      <c r="J247" s="42" t="inlineStr"/>
      <c r="K247" s="42" t="inlineStr"/>
      <c r="L247" s="42" t="inlineStr"/>
      <c r="M247" s="42" t="inlineStr"/>
      <c r="N247" s="42" t="inlineStr"/>
      <c r="O247" s="42" t="inlineStr"/>
      <c r="P247" s="42" t="inlineStr"/>
      <c r="Q247" s="42" t="inlineStr"/>
      <c r="R247" s="42" t="inlineStr"/>
      <c r="S247" s="42" t="inlineStr"/>
      <c r="T247" s="42" t="inlineStr"/>
      <c r="U247" s="44">
        <f>IF(A247="","",IFERROR(INDEX(E247:T247,MATCH(TRUE,INDEX(E247:T247&lt;&gt;"",0),0)),""))</f>
        <v/>
      </c>
      <c r="V247" s="44">
        <f>IF(A247="","",IFERROR(LOOKUP(2,1/(E247:T247&lt;&gt;""),E247:T247),""))</f>
        <v/>
      </c>
      <c r="W247" s="45">
        <f>IF(OR(A247="",PreviousYear=""),"",IFERROR(LOOKUP(2,1/(E247:T247&lt;&gt;""),E247:T247)-INDEX(E247:T247,MATCH(PreviousYear,$E$5:$T$5,0)),""))</f>
        <v/>
      </c>
      <c r="X247" s="45">
        <f>IF(OR(A247="",U247="",V247=""),"",V247-U247)</f>
        <v/>
      </c>
      <c r="Y247" s="44">
        <f>IF(A247="","",COUNT(E247:T247))</f>
        <v/>
      </c>
    </row>
    <row r="248">
      <c r="A248" s="39">
        <f>IF(AND('Employees'!B21&lt;&gt;"",'Skills'!B8&lt;&gt;""),'Employees'!B21,"")</f>
        <v/>
      </c>
      <c r="B248" s="40">
        <f>IF(A248="","",'Employees'!C21)</f>
        <v/>
      </c>
      <c r="C248" s="41">
        <f>IF(A248="","",'Skills'!B8)</f>
        <v/>
      </c>
      <c r="D248" s="40">
        <f>IF(A248="","",'Skills'!C8)</f>
        <v/>
      </c>
      <c r="E248" s="42" t="inlineStr"/>
      <c r="F248" s="42" t="inlineStr"/>
      <c r="G248" s="42" t="inlineStr"/>
      <c r="H248" s="43" t="inlineStr"/>
      <c r="I248" s="42" t="inlineStr"/>
      <c r="J248" s="42" t="inlineStr"/>
      <c r="K248" s="42" t="inlineStr"/>
      <c r="L248" s="42" t="inlineStr"/>
      <c r="M248" s="42" t="inlineStr"/>
      <c r="N248" s="42" t="inlineStr"/>
      <c r="O248" s="42" t="inlineStr"/>
      <c r="P248" s="42" t="inlineStr"/>
      <c r="Q248" s="42" t="inlineStr"/>
      <c r="R248" s="42" t="inlineStr"/>
      <c r="S248" s="42" t="inlineStr"/>
      <c r="T248" s="42" t="inlineStr"/>
      <c r="U248" s="44">
        <f>IF(A248="","",IFERROR(INDEX(E248:T248,MATCH(TRUE,INDEX(E248:T248&lt;&gt;"",0),0)),""))</f>
        <v/>
      </c>
      <c r="V248" s="44">
        <f>IF(A248="","",IFERROR(LOOKUP(2,1/(E248:T248&lt;&gt;""),E248:T248),""))</f>
        <v/>
      </c>
      <c r="W248" s="45">
        <f>IF(OR(A248="",PreviousYear=""),"",IFERROR(LOOKUP(2,1/(E248:T248&lt;&gt;""),E248:T248)-INDEX(E248:T248,MATCH(PreviousYear,$E$5:$T$5,0)),""))</f>
        <v/>
      </c>
      <c r="X248" s="45">
        <f>IF(OR(A248="",U248="",V248=""),"",V248-U248)</f>
        <v/>
      </c>
      <c r="Y248" s="44">
        <f>IF(A248="","",COUNT(E248:T248))</f>
        <v/>
      </c>
    </row>
    <row r="249">
      <c r="A249" s="39">
        <f>IF(AND('Employees'!B21&lt;&gt;"",'Skills'!B9&lt;&gt;""),'Employees'!B21,"")</f>
        <v/>
      </c>
      <c r="B249" s="40">
        <f>IF(A249="","",'Employees'!C21)</f>
        <v/>
      </c>
      <c r="C249" s="41">
        <f>IF(A249="","",'Skills'!B9)</f>
        <v/>
      </c>
      <c r="D249" s="40">
        <f>IF(A249="","",'Skills'!C9)</f>
        <v/>
      </c>
      <c r="E249" s="42" t="inlineStr"/>
      <c r="F249" s="42" t="inlineStr"/>
      <c r="G249" s="42" t="inlineStr"/>
      <c r="H249" s="43" t="inlineStr"/>
      <c r="I249" s="42" t="inlineStr"/>
      <c r="J249" s="42" t="inlineStr"/>
      <c r="K249" s="42" t="inlineStr"/>
      <c r="L249" s="42" t="inlineStr"/>
      <c r="M249" s="42" t="inlineStr"/>
      <c r="N249" s="42" t="inlineStr"/>
      <c r="O249" s="42" t="inlineStr"/>
      <c r="P249" s="42" t="inlineStr"/>
      <c r="Q249" s="42" t="inlineStr"/>
      <c r="R249" s="42" t="inlineStr"/>
      <c r="S249" s="42" t="inlineStr"/>
      <c r="T249" s="42" t="inlineStr"/>
      <c r="U249" s="44">
        <f>IF(A249="","",IFERROR(INDEX(E249:T249,MATCH(TRUE,INDEX(E249:T249&lt;&gt;"",0),0)),""))</f>
        <v/>
      </c>
      <c r="V249" s="44">
        <f>IF(A249="","",IFERROR(LOOKUP(2,1/(E249:T249&lt;&gt;""),E249:T249),""))</f>
        <v/>
      </c>
      <c r="W249" s="45">
        <f>IF(OR(A249="",PreviousYear=""),"",IFERROR(LOOKUP(2,1/(E249:T249&lt;&gt;""),E249:T249)-INDEX(E249:T249,MATCH(PreviousYear,$E$5:$T$5,0)),""))</f>
        <v/>
      </c>
      <c r="X249" s="45">
        <f>IF(OR(A249="",U249="",V249=""),"",V249-U249)</f>
        <v/>
      </c>
      <c r="Y249" s="44">
        <f>IF(A249="","",COUNT(E249:T249))</f>
        <v/>
      </c>
    </row>
    <row r="250">
      <c r="A250" s="39">
        <f>IF(AND('Employees'!B21&lt;&gt;"",'Skills'!B10&lt;&gt;""),'Employees'!B21,"")</f>
        <v/>
      </c>
      <c r="B250" s="40">
        <f>IF(A250="","",'Employees'!C21)</f>
        <v/>
      </c>
      <c r="C250" s="41">
        <f>IF(A250="","",'Skills'!B10)</f>
        <v/>
      </c>
      <c r="D250" s="40">
        <f>IF(A250="","",'Skills'!C10)</f>
        <v/>
      </c>
      <c r="E250" s="42" t="inlineStr"/>
      <c r="F250" s="42" t="inlineStr"/>
      <c r="G250" s="42" t="inlineStr"/>
      <c r="H250" s="43" t="inlineStr"/>
      <c r="I250" s="42" t="inlineStr"/>
      <c r="J250" s="42" t="inlineStr"/>
      <c r="K250" s="42" t="inlineStr"/>
      <c r="L250" s="42" t="inlineStr"/>
      <c r="M250" s="42" t="inlineStr"/>
      <c r="N250" s="42" t="inlineStr"/>
      <c r="O250" s="42" t="inlineStr"/>
      <c r="P250" s="42" t="inlineStr"/>
      <c r="Q250" s="42" t="inlineStr"/>
      <c r="R250" s="42" t="inlineStr"/>
      <c r="S250" s="42" t="inlineStr"/>
      <c r="T250" s="42" t="inlineStr"/>
      <c r="U250" s="44">
        <f>IF(A250="","",IFERROR(INDEX(E250:T250,MATCH(TRUE,INDEX(E250:T250&lt;&gt;"",0),0)),""))</f>
        <v/>
      </c>
      <c r="V250" s="44">
        <f>IF(A250="","",IFERROR(LOOKUP(2,1/(E250:T250&lt;&gt;""),E250:T250),""))</f>
        <v/>
      </c>
      <c r="W250" s="45">
        <f>IF(OR(A250="",PreviousYear=""),"",IFERROR(LOOKUP(2,1/(E250:T250&lt;&gt;""),E250:T250)-INDEX(E250:T250,MATCH(PreviousYear,$E$5:$T$5,0)),""))</f>
        <v/>
      </c>
      <c r="X250" s="45">
        <f>IF(OR(A250="",U250="",V250=""),"",V250-U250)</f>
        <v/>
      </c>
      <c r="Y250" s="44">
        <f>IF(A250="","",COUNT(E250:T250))</f>
        <v/>
      </c>
    </row>
    <row r="251">
      <c r="A251" s="39">
        <f>IF(AND('Employees'!B21&lt;&gt;"",'Skills'!B11&lt;&gt;""),'Employees'!B21,"")</f>
        <v/>
      </c>
      <c r="B251" s="40">
        <f>IF(A251="","",'Employees'!C21)</f>
        <v/>
      </c>
      <c r="C251" s="41">
        <f>IF(A251="","",'Skills'!B11)</f>
        <v/>
      </c>
      <c r="D251" s="40">
        <f>IF(A251="","",'Skills'!C11)</f>
        <v/>
      </c>
      <c r="E251" s="42" t="inlineStr"/>
      <c r="F251" s="42" t="inlineStr"/>
      <c r="G251" s="42" t="inlineStr"/>
      <c r="H251" s="43" t="inlineStr"/>
      <c r="I251" s="42" t="inlineStr"/>
      <c r="J251" s="42" t="inlineStr"/>
      <c r="K251" s="42" t="inlineStr"/>
      <c r="L251" s="42" t="inlineStr"/>
      <c r="M251" s="42" t="inlineStr"/>
      <c r="N251" s="42" t="inlineStr"/>
      <c r="O251" s="42" t="inlineStr"/>
      <c r="P251" s="42" t="inlineStr"/>
      <c r="Q251" s="42" t="inlineStr"/>
      <c r="R251" s="42" t="inlineStr"/>
      <c r="S251" s="42" t="inlineStr"/>
      <c r="T251" s="42" t="inlineStr"/>
      <c r="U251" s="44">
        <f>IF(A251="","",IFERROR(INDEX(E251:T251,MATCH(TRUE,INDEX(E251:T251&lt;&gt;"",0),0)),""))</f>
        <v/>
      </c>
      <c r="V251" s="44">
        <f>IF(A251="","",IFERROR(LOOKUP(2,1/(E251:T251&lt;&gt;""),E251:T251),""))</f>
        <v/>
      </c>
      <c r="W251" s="45">
        <f>IF(OR(A251="",PreviousYear=""),"",IFERROR(LOOKUP(2,1/(E251:T251&lt;&gt;""),E251:T251)-INDEX(E251:T251,MATCH(PreviousYear,$E$5:$T$5,0)),""))</f>
        <v/>
      </c>
      <c r="X251" s="45">
        <f>IF(OR(A251="",U251="",V251=""),"",V251-U251)</f>
        <v/>
      </c>
      <c r="Y251" s="44">
        <f>IF(A251="","",COUNT(E251:T251))</f>
        <v/>
      </c>
    </row>
    <row r="252">
      <c r="A252" s="39">
        <f>IF(AND('Employees'!B21&lt;&gt;"",'Skills'!B12&lt;&gt;""),'Employees'!B21,"")</f>
        <v/>
      </c>
      <c r="B252" s="40">
        <f>IF(A252="","",'Employees'!C21)</f>
        <v/>
      </c>
      <c r="C252" s="41">
        <f>IF(A252="","",'Skills'!B12)</f>
        <v/>
      </c>
      <c r="D252" s="40">
        <f>IF(A252="","",'Skills'!C12)</f>
        <v/>
      </c>
      <c r="E252" s="42" t="inlineStr"/>
      <c r="F252" s="42" t="inlineStr"/>
      <c r="G252" s="42" t="inlineStr"/>
      <c r="H252" s="43" t="inlineStr"/>
      <c r="I252" s="42" t="inlineStr"/>
      <c r="J252" s="42" t="inlineStr"/>
      <c r="K252" s="42" t="inlineStr"/>
      <c r="L252" s="42" t="inlineStr"/>
      <c r="M252" s="42" t="inlineStr"/>
      <c r="N252" s="42" t="inlineStr"/>
      <c r="O252" s="42" t="inlineStr"/>
      <c r="P252" s="42" t="inlineStr"/>
      <c r="Q252" s="42" t="inlineStr"/>
      <c r="R252" s="42" t="inlineStr"/>
      <c r="S252" s="42" t="inlineStr"/>
      <c r="T252" s="42" t="inlineStr"/>
      <c r="U252" s="44">
        <f>IF(A252="","",IFERROR(INDEX(E252:T252,MATCH(TRUE,INDEX(E252:T252&lt;&gt;"",0),0)),""))</f>
        <v/>
      </c>
      <c r="V252" s="44">
        <f>IF(A252="","",IFERROR(LOOKUP(2,1/(E252:T252&lt;&gt;""),E252:T252),""))</f>
        <v/>
      </c>
      <c r="W252" s="45">
        <f>IF(OR(A252="",PreviousYear=""),"",IFERROR(LOOKUP(2,1/(E252:T252&lt;&gt;""),E252:T252)-INDEX(E252:T252,MATCH(PreviousYear,$E$5:$T$5,0)),""))</f>
        <v/>
      </c>
      <c r="X252" s="45">
        <f>IF(OR(A252="",U252="",V252=""),"",V252-U252)</f>
        <v/>
      </c>
      <c r="Y252" s="44">
        <f>IF(A252="","",COUNT(E252:T252))</f>
        <v/>
      </c>
    </row>
    <row r="253">
      <c r="A253" s="39">
        <f>IF(AND('Employees'!B21&lt;&gt;"",'Skills'!B13&lt;&gt;""),'Employees'!B21,"")</f>
        <v/>
      </c>
      <c r="B253" s="40">
        <f>IF(A253="","",'Employees'!C21)</f>
        <v/>
      </c>
      <c r="C253" s="41">
        <f>IF(A253="","",'Skills'!B13)</f>
        <v/>
      </c>
      <c r="D253" s="40">
        <f>IF(A253="","",'Skills'!C13)</f>
        <v/>
      </c>
      <c r="E253" s="42" t="inlineStr"/>
      <c r="F253" s="42" t="inlineStr"/>
      <c r="G253" s="42" t="inlineStr"/>
      <c r="H253" s="43" t="inlineStr"/>
      <c r="I253" s="42" t="inlineStr"/>
      <c r="J253" s="42" t="inlineStr"/>
      <c r="K253" s="42" t="inlineStr"/>
      <c r="L253" s="42" t="inlineStr"/>
      <c r="M253" s="42" t="inlineStr"/>
      <c r="N253" s="42" t="inlineStr"/>
      <c r="O253" s="42" t="inlineStr"/>
      <c r="P253" s="42" t="inlineStr"/>
      <c r="Q253" s="42" t="inlineStr"/>
      <c r="R253" s="42" t="inlineStr"/>
      <c r="S253" s="42" t="inlineStr"/>
      <c r="T253" s="42" t="inlineStr"/>
      <c r="U253" s="44">
        <f>IF(A253="","",IFERROR(INDEX(E253:T253,MATCH(TRUE,INDEX(E253:T253&lt;&gt;"",0),0)),""))</f>
        <v/>
      </c>
      <c r="V253" s="44">
        <f>IF(A253="","",IFERROR(LOOKUP(2,1/(E253:T253&lt;&gt;""),E253:T253),""))</f>
        <v/>
      </c>
      <c r="W253" s="45">
        <f>IF(OR(A253="",PreviousYear=""),"",IFERROR(LOOKUP(2,1/(E253:T253&lt;&gt;""),E253:T253)-INDEX(E253:T253,MATCH(PreviousYear,$E$5:$T$5,0)),""))</f>
        <v/>
      </c>
      <c r="X253" s="45">
        <f>IF(OR(A253="",U253="",V253=""),"",V253-U253)</f>
        <v/>
      </c>
      <c r="Y253" s="44">
        <f>IF(A253="","",COUNT(E253:T253))</f>
        <v/>
      </c>
    </row>
    <row r="254">
      <c r="A254" s="39">
        <f>IF(AND('Employees'!B21&lt;&gt;"",'Skills'!B14&lt;&gt;""),'Employees'!B21,"")</f>
        <v/>
      </c>
      <c r="B254" s="40">
        <f>IF(A254="","",'Employees'!C21)</f>
        <v/>
      </c>
      <c r="C254" s="41">
        <f>IF(A254="","",'Skills'!B14)</f>
        <v/>
      </c>
      <c r="D254" s="40">
        <f>IF(A254="","",'Skills'!C14)</f>
        <v/>
      </c>
      <c r="E254" s="42" t="inlineStr"/>
      <c r="F254" s="42" t="inlineStr"/>
      <c r="G254" s="42" t="inlineStr"/>
      <c r="H254" s="43" t="inlineStr"/>
      <c r="I254" s="42" t="inlineStr"/>
      <c r="J254" s="42" t="inlineStr"/>
      <c r="K254" s="42" t="inlineStr"/>
      <c r="L254" s="42" t="inlineStr"/>
      <c r="M254" s="42" t="inlineStr"/>
      <c r="N254" s="42" t="inlineStr"/>
      <c r="O254" s="42" t="inlineStr"/>
      <c r="P254" s="42" t="inlineStr"/>
      <c r="Q254" s="42" t="inlineStr"/>
      <c r="R254" s="42" t="inlineStr"/>
      <c r="S254" s="42" t="inlineStr"/>
      <c r="T254" s="42" t="inlineStr"/>
      <c r="U254" s="44">
        <f>IF(A254="","",IFERROR(INDEX(E254:T254,MATCH(TRUE,INDEX(E254:T254&lt;&gt;"",0),0)),""))</f>
        <v/>
      </c>
      <c r="V254" s="44">
        <f>IF(A254="","",IFERROR(LOOKUP(2,1/(E254:T254&lt;&gt;""),E254:T254),""))</f>
        <v/>
      </c>
      <c r="W254" s="45">
        <f>IF(OR(A254="",PreviousYear=""),"",IFERROR(LOOKUP(2,1/(E254:T254&lt;&gt;""),E254:T254)-INDEX(E254:T254,MATCH(PreviousYear,$E$5:$T$5,0)),""))</f>
        <v/>
      </c>
      <c r="X254" s="45">
        <f>IF(OR(A254="",U254="",V254=""),"",V254-U254)</f>
        <v/>
      </c>
      <c r="Y254" s="44">
        <f>IF(A254="","",COUNT(E254:T254))</f>
        <v/>
      </c>
    </row>
    <row r="255">
      <c r="A255" s="39">
        <f>IF(AND('Employees'!B21&lt;&gt;"",'Skills'!B15&lt;&gt;""),'Employees'!B21,"")</f>
        <v/>
      </c>
      <c r="B255" s="40">
        <f>IF(A255="","",'Employees'!C21)</f>
        <v/>
      </c>
      <c r="C255" s="41">
        <f>IF(A255="","",'Skills'!B15)</f>
        <v/>
      </c>
      <c r="D255" s="40">
        <f>IF(A255="","",'Skills'!C15)</f>
        <v/>
      </c>
      <c r="E255" s="42" t="inlineStr"/>
      <c r="F255" s="42" t="inlineStr"/>
      <c r="G255" s="42" t="inlineStr"/>
      <c r="H255" s="43" t="inlineStr"/>
      <c r="I255" s="42" t="inlineStr"/>
      <c r="J255" s="42" t="inlineStr"/>
      <c r="K255" s="42" t="inlineStr"/>
      <c r="L255" s="42" t="inlineStr"/>
      <c r="M255" s="42" t="inlineStr"/>
      <c r="N255" s="42" t="inlineStr"/>
      <c r="O255" s="42" t="inlineStr"/>
      <c r="P255" s="42" t="inlineStr"/>
      <c r="Q255" s="42" t="inlineStr"/>
      <c r="R255" s="42" t="inlineStr"/>
      <c r="S255" s="42" t="inlineStr"/>
      <c r="T255" s="42" t="inlineStr"/>
      <c r="U255" s="44">
        <f>IF(A255="","",IFERROR(INDEX(E255:T255,MATCH(TRUE,INDEX(E255:T255&lt;&gt;"",0),0)),""))</f>
        <v/>
      </c>
      <c r="V255" s="44">
        <f>IF(A255="","",IFERROR(LOOKUP(2,1/(E255:T255&lt;&gt;""),E255:T255),""))</f>
        <v/>
      </c>
      <c r="W255" s="45">
        <f>IF(OR(A255="",PreviousYear=""),"",IFERROR(LOOKUP(2,1/(E255:T255&lt;&gt;""),E255:T255)-INDEX(E255:T255,MATCH(PreviousYear,$E$5:$T$5,0)),""))</f>
        <v/>
      </c>
      <c r="X255" s="45">
        <f>IF(OR(A255="",U255="",V255=""),"",V255-U255)</f>
        <v/>
      </c>
      <c r="Y255" s="44">
        <f>IF(A255="","",COUNT(E255:T255))</f>
        <v/>
      </c>
    </row>
    <row r="256">
      <c r="A256" s="39">
        <f>IF(AND('Employees'!B21&lt;&gt;"",'Skills'!B16&lt;&gt;""),'Employees'!B21,"")</f>
        <v/>
      </c>
      <c r="B256" s="40">
        <f>IF(A256="","",'Employees'!C21)</f>
        <v/>
      </c>
      <c r="C256" s="41">
        <f>IF(A256="","",'Skills'!B16)</f>
        <v/>
      </c>
      <c r="D256" s="40">
        <f>IF(A256="","",'Skills'!C16)</f>
        <v/>
      </c>
      <c r="E256" s="42" t="inlineStr"/>
      <c r="F256" s="42" t="inlineStr"/>
      <c r="G256" s="42" t="inlineStr"/>
      <c r="H256" s="43" t="inlineStr"/>
      <c r="I256" s="42" t="inlineStr"/>
      <c r="J256" s="42" t="inlineStr"/>
      <c r="K256" s="42" t="inlineStr"/>
      <c r="L256" s="42" t="inlineStr"/>
      <c r="M256" s="42" t="inlineStr"/>
      <c r="N256" s="42" t="inlineStr"/>
      <c r="O256" s="42" t="inlineStr"/>
      <c r="P256" s="42" t="inlineStr"/>
      <c r="Q256" s="42" t="inlineStr"/>
      <c r="R256" s="42" t="inlineStr"/>
      <c r="S256" s="42" t="inlineStr"/>
      <c r="T256" s="42" t="inlineStr"/>
      <c r="U256" s="44">
        <f>IF(A256="","",IFERROR(INDEX(E256:T256,MATCH(TRUE,INDEX(E256:T256&lt;&gt;"",0),0)),""))</f>
        <v/>
      </c>
      <c r="V256" s="44">
        <f>IF(A256="","",IFERROR(LOOKUP(2,1/(E256:T256&lt;&gt;""),E256:T256),""))</f>
        <v/>
      </c>
      <c r="W256" s="45">
        <f>IF(OR(A256="",PreviousYear=""),"",IFERROR(LOOKUP(2,1/(E256:T256&lt;&gt;""),E256:T256)-INDEX(E256:T256,MATCH(PreviousYear,$E$5:$T$5,0)),""))</f>
        <v/>
      </c>
      <c r="X256" s="45">
        <f>IF(OR(A256="",U256="",V256=""),"",V256-U256)</f>
        <v/>
      </c>
      <c r="Y256" s="44">
        <f>IF(A256="","",COUNT(E256:T256))</f>
        <v/>
      </c>
    </row>
    <row r="257">
      <c r="A257" s="39">
        <f>IF(AND('Employees'!B21&lt;&gt;"",'Skills'!B17&lt;&gt;""),'Employees'!B21,"")</f>
        <v/>
      </c>
      <c r="B257" s="40">
        <f>IF(A257="","",'Employees'!C21)</f>
        <v/>
      </c>
      <c r="C257" s="41">
        <f>IF(A257="","",'Skills'!B17)</f>
        <v/>
      </c>
      <c r="D257" s="40">
        <f>IF(A257="","",'Skills'!C17)</f>
        <v/>
      </c>
      <c r="E257" s="42" t="inlineStr"/>
      <c r="F257" s="42" t="inlineStr"/>
      <c r="G257" s="42" t="inlineStr"/>
      <c r="H257" s="43" t="inlineStr"/>
      <c r="I257" s="42" t="inlineStr"/>
      <c r="J257" s="42" t="inlineStr"/>
      <c r="K257" s="42" t="inlineStr"/>
      <c r="L257" s="42" t="inlineStr"/>
      <c r="M257" s="42" t="inlineStr"/>
      <c r="N257" s="42" t="inlineStr"/>
      <c r="O257" s="42" t="inlineStr"/>
      <c r="P257" s="42" t="inlineStr"/>
      <c r="Q257" s="42" t="inlineStr"/>
      <c r="R257" s="42" t="inlineStr"/>
      <c r="S257" s="42" t="inlineStr"/>
      <c r="T257" s="42" t="inlineStr"/>
      <c r="U257" s="44">
        <f>IF(A257="","",IFERROR(INDEX(E257:T257,MATCH(TRUE,INDEX(E257:T257&lt;&gt;"",0),0)),""))</f>
        <v/>
      </c>
      <c r="V257" s="44">
        <f>IF(A257="","",IFERROR(LOOKUP(2,1/(E257:T257&lt;&gt;""),E257:T257),""))</f>
        <v/>
      </c>
      <c r="W257" s="45">
        <f>IF(OR(A257="",PreviousYear=""),"",IFERROR(LOOKUP(2,1/(E257:T257&lt;&gt;""),E257:T257)-INDEX(E257:T257,MATCH(PreviousYear,$E$5:$T$5,0)),""))</f>
        <v/>
      </c>
      <c r="X257" s="45">
        <f>IF(OR(A257="",U257="",V257=""),"",V257-U257)</f>
        <v/>
      </c>
      <c r="Y257" s="44">
        <f>IF(A257="","",COUNT(E257:T257))</f>
        <v/>
      </c>
    </row>
    <row r="258">
      <c r="A258" s="39">
        <f>IF(AND('Employees'!B21&lt;&gt;"",'Skills'!B18&lt;&gt;""),'Employees'!B21,"")</f>
        <v/>
      </c>
      <c r="B258" s="40">
        <f>IF(A258="","",'Employees'!C21)</f>
        <v/>
      </c>
      <c r="C258" s="41">
        <f>IF(A258="","",'Skills'!B18)</f>
        <v/>
      </c>
      <c r="D258" s="40">
        <f>IF(A258="","",'Skills'!C18)</f>
        <v/>
      </c>
      <c r="E258" s="42" t="inlineStr"/>
      <c r="F258" s="42" t="inlineStr"/>
      <c r="G258" s="42" t="inlineStr"/>
      <c r="H258" s="43" t="inlineStr"/>
      <c r="I258" s="42" t="inlineStr"/>
      <c r="J258" s="42" t="inlineStr"/>
      <c r="K258" s="42" t="inlineStr"/>
      <c r="L258" s="42" t="inlineStr"/>
      <c r="M258" s="42" t="inlineStr"/>
      <c r="N258" s="42" t="inlineStr"/>
      <c r="O258" s="42" t="inlineStr"/>
      <c r="P258" s="42" t="inlineStr"/>
      <c r="Q258" s="42" t="inlineStr"/>
      <c r="R258" s="42" t="inlineStr"/>
      <c r="S258" s="42" t="inlineStr"/>
      <c r="T258" s="42" t="inlineStr"/>
      <c r="U258" s="44">
        <f>IF(A258="","",IFERROR(INDEX(E258:T258,MATCH(TRUE,INDEX(E258:T258&lt;&gt;"",0),0)),""))</f>
        <v/>
      </c>
      <c r="V258" s="44">
        <f>IF(A258="","",IFERROR(LOOKUP(2,1/(E258:T258&lt;&gt;""),E258:T258),""))</f>
        <v/>
      </c>
      <c r="W258" s="45">
        <f>IF(OR(A258="",PreviousYear=""),"",IFERROR(LOOKUP(2,1/(E258:T258&lt;&gt;""),E258:T258)-INDEX(E258:T258,MATCH(PreviousYear,$E$5:$T$5,0)),""))</f>
        <v/>
      </c>
      <c r="X258" s="45">
        <f>IF(OR(A258="",U258="",V258=""),"",V258-U258)</f>
        <v/>
      </c>
      <c r="Y258" s="44">
        <f>IF(A258="","",COUNT(E258:T258))</f>
        <v/>
      </c>
    </row>
    <row r="259">
      <c r="A259" s="39">
        <f>IF(AND('Employees'!B21&lt;&gt;"",'Skills'!B19&lt;&gt;""),'Employees'!B21,"")</f>
        <v/>
      </c>
      <c r="B259" s="40">
        <f>IF(A259="","",'Employees'!C21)</f>
        <v/>
      </c>
      <c r="C259" s="41">
        <f>IF(A259="","",'Skills'!B19)</f>
        <v/>
      </c>
      <c r="D259" s="40">
        <f>IF(A259="","",'Skills'!C19)</f>
        <v/>
      </c>
      <c r="E259" s="42" t="inlineStr"/>
      <c r="F259" s="42" t="inlineStr"/>
      <c r="G259" s="42" t="inlineStr"/>
      <c r="H259" s="43" t="inlineStr"/>
      <c r="I259" s="42" t="inlineStr"/>
      <c r="J259" s="42" t="inlineStr"/>
      <c r="K259" s="42" t="inlineStr"/>
      <c r="L259" s="42" t="inlineStr"/>
      <c r="M259" s="42" t="inlineStr"/>
      <c r="N259" s="42" t="inlineStr"/>
      <c r="O259" s="42" t="inlineStr"/>
      <c r="P259" s="42" t="inlineStr"/>
      <c r="Q259" s="42" t="inlineStr"/>
      <c r="R259" s="42" t="inlineStr"/>
      <c r="S259" s="42" t="inlineStr"/>
      <c r="T259" s="42" t="inlineStr"/>
      <c r="U259" s="44">
        <f>IF(A259="","",IFERROR(INDEX(E259:T259,MATCH(TRUE,INDEX(E259:T259&lt;&gt;"",0),0)),""))</f>
        <v/>
      </c>
      <c r="V259" s="44">
        <f>IF(A259="","",IFERROR(LOOKUP(2,1/(E259:T259&lt;&gt;""),E259:T259),""))</f>
        <v/>
      </c>
      <c r="W259" s="45">
        <f>IF(OR(A259="",PreviousYear=""),"",IFERROR(LOOKUP(2,1/(E259:T259&lt;&gt;""),E259:T259)-INDEX(E259:T259,MATCH(PreviousYear,$E$5:$T$5,0)),""))</f>
        <v/>
      </c>
      <c r="X259" s="45">
        <f>IF(OR(A259="",U259="",V259=""),"",V259-U259)</f>
        <v/>
      </c>
      <c r="Y259" s="44">
        <f>IF(A259="","",COUNT(E259:T259))</f>
        <v/>
      </c>
    </row>
    <row r="260">
      <c r="A260" s="39">
        <f>IF(AND('Employees'!B21&lt;&gt;"",'Skills'!B20&lt;&gt;""),'Employees'!B21,"")</f>
        <v/>
      </c>
      <c r="B260" s="40">
        <f>IF(A260="","",'Employees'!C21)</f>
        <v/>
      </c>
      <c r="C260" s="41">
        <f>IF(A260="","",'Skills'!B20)</f>
        <v/>
      </c>
      <c r="D260" s="40">
        <f>IF(A260="","",'Skills'!C20)</f>
        <v/>
      </c>
      <c r="E260" s="42" t="inlineStr"/>
      <c r="F260" s="42" t="inlineStr"/>
      <c r="G260" s="42" t="inlineStr"/>
      <c r="H260" s="43" t="inlineStr"/>
      <c r="I260" s="42" t="inlineStr"/>
      <c r="J260" s="42" t="inlineStr"/>
      <c r="K260" s="42" t="inlineStr"/>
      <c r="L260" s="42" t="inlineStr"/>
      <c r="M260" s="42" t="inlineStr"/>
      <c r="N260" s="42" t="inlineStr"/>
      <c r="O260" s="42" t="inlineStr"/>
      <c r="P260" s="42" t="inlineStr"/>
      <c r="Q260" s="42" t="inlineStr"/>
      <c r="R260" s="42" t="inlineStr"/>
      <c r="S260" s="42" t="inlineStr"/>
      <c r="T260" s="42" t="inlineStr"/>
      <c r="U260" s="44">
        <f>IF(A260="","",IFERROR(INDEX(E260:T260,MATCH(TRUE,INDEX(E260:T260&lt;&gt;"",0),0)),""))</f>
        <v/>
      </c>
      <c r="V260" s="44">
        <f>IF(A260="","",IFERROR(LOOKUP(2,1/(E260:T260&lt;&gt;""),E260:T260),""))</f>
        <v/>
      </c>
      <c r="W260" s="45">
        <f>IF(OR(A260="",PreviousYear=""),"",IFERROR(LOOKUP(2,1/(E260:T260&lt;&gt;""),E260:T260)-INDEX(E260:T260,MATCH(PreviousYear,$E$5:$T$5,0)),""))</f>
        <v/>
      </c>
      <c r="X260" s="45">
        <f>IF(OR(A260="",U260="",V260=""),"",V260-U260)</f>
        <v/>
      </c>
      <c r="Y260" s="44">
        <f>IF(A260="","",COUNT(E260:T260))</f>
        <v/>
      </c>
    </row>
    <row r="261">
      <c r="A261" s="39">
        <f>IF(AND('Employees'!B21&lt;&gt;"",'Skills'!B21&lt;&gt;""),'Employees'!B21,"")</f>
        <v/>
      </c>
      <c r="B261" s="40">
        <f>IF(A261="","",'Employees'!C21)</f>
        <v/>
      </c>
      <c r="C261" s="41">
        <f>IF(A261="","",'Skills'!B21)</f>
        <v/>
      </c>
      <c r="D261" s="40">
        <f>IF(A261="","",'Skills'!C21)</f>
        <v/>
      </c>
      <c r="E261" s="42" t="inlineStr"/>
      <c r="F261" s="42" t="inlineStr"/>
      <c r="G261" s="42" t="inlineStr"/>
      <c r="H261" s="43" t="inlineStr"/>
      <c r="I261" s="42" t="inlineStr"/>
      <c r="J261" s="42" t="inlineStr"/>
      <c r="K261" s="42" t="inlineStr"/>
      <c r="L261" s="42" t="inlineStr"/>
      <c r="M261" s="42" t="inlineStr"/>
      <c r="N261" s="42" t="inlineStr"/>
      <c r="O261" s="42" t="inlineStr"/>
      <c r="P261" s="42" t="inlineStr"/>
      <c r="Q261" s="42" t="inlineStr"/>
      <c r="R261" s="42" t="inlineStr"/>
      <c r="S261" s="42" t="inlineStr"/>
      <c r="T261" s="42" t="inlineStr"/>
      <c r="U261" s="44">
        <f>IF(A261="","",IFERROR(INDEX(E261:T261,MATCH(TRUE,INDEX(E261:T261&lt;&gt;"",0),0)),""))</f>
        <v/>
      </c>
      <c r="V261" s="44">
        <f>IF(A261="","",IFERROR(LOOKUP(2,1/(E261:T261&lt;&gt;""),E261:T261),""))</f>
        <v/>
      </c>
      <c r="W261" s="45">
        <f>IF(OR(A261="",PreviousYear=""),"",IFERROR(LOOKUP(2,1/(E261:T261&lt;&gt;""),E261:T261)-INDEX(E261:T261,MATCH(PreviousYear,$E$5:$T$5,0)),""))</f>
        <v/>
      </c>
      <c r="X261" s="45">
        <f>IF(OR(A261="",U261="",V261=""),"",V261-U261)</f>
        <v/>
      </c>
      <c r="Y261" s="44">
        <f>IF(A261="","",COUNT(E261:T261))</f>
        <v/>
      </c>
    </row>
  </sheetData>
  <autoFilter ref="A5:Y261"/>
  <mergeCells count="3">
    <mergeCell ref="I2:Y2"/>
    <mergeCell ref="A3:Y3"/>
    <mergeCell ref="A2:H2"/>
  </mergeCells>
  <conditionalFormatting sqref="E5:T5">
    <cfRule type="expression" priority="1" dxfId="0">
      <formula>E5=CalendarYear</formula>
    </cfRule>
  </conditionalFormatting>
  <conditionalFormatting sqref="E6:T261">
    <cfRule type="cellIs" priority="2" operator="equal" dxfId="1">
      <formula>1</formula>
    </cfRule>
    <cfRule type="cellIs" priority="3" operator="equal" dxfId="2">
      <formula>2</formula>
    </cfRule>
    <cfRule type="cellIs" priority="4" operator="equal" dxfId="3">
      <formula>3</formula>
    </cfRule>
    <cfRule type="cellIs" priority="5" operator="equal" dxfId="4">
      <formula>4</formula>
    </cfRule>
    <cfRule type="cellIs" priority="6" operator="equal" dxfId="5">
      <formula>5</formula>
    </cfRule>
    <cfRule type="expression" priority="10" dxfId="6">
      <formula>AND(E$5=CalendarYear,E6="")</formula>
    </cfRule>
  </conditionalFormatting>
  <conditionalFormatting sqref="W6:X261">
    <cfRule type="cellIs" priority="7" operator="greaterThan" dxfId="7">
      <formula>0</formula>
    </cfRule>
    <cfRule type="cellIs" priority="8" operator="lessThan" dxfId="8">
      <formula>0</formula>
    </cfRule>
    <cfRule type="cellIs" priority="9" operator="equal" dxfId="9">
      <formula>0</formula>
    </cfRule>
  </conditionalFormatting>
  <dataValidations count="1">
    <dataValidation sqref="E6:T261" showDropDown="0" showInputMessage="1" showErrorMessage="1" allowBlank="1" errorTitle="Rating must be 1–5" error="Enter a whole number from 1 (beginner) to 5 (expert), or leave blank." promptTitle="Skill rating" prompt="1 beginner · 2 basic · 3 competent · 4 proficient · 5 expert" type="whole" operator="between">
      <formula1>1</formula1>
      <formula2>5</formula2>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worksheet>
</file>

<file path=xl/worksheets/sheet3.xml><?xml version="1.0" encoding="utf-8"?>
<worksheet xmlns="http://schemas.openxmlformats.org/spreadsheetml/2006/main">
  <sheetPr>
    <tabColor rgb="00C4A35A"/>
    <outlinePr summaryBelow="1" summaryRight="1"/>
    <pageSetUpPr fitToPage="1"/>
  </sheetPr>
  <dimension ref="A1:R71"/>
  <sheetViews>
    <sheetView showGridLines="0" zoomScale="90" workbookViewId="0">
      <pane ySplit="5" topLeftCell="A6" activePane="bottomLeft" state="frozen"/>
      <selection pane="bottomLeft" activeCell="A1" sqref="A1"/>
    </sheetView>
  </sheetViews>
  <sheetFormatPr baseColWidth="8" defaultRowHeight="15"/>
  <cols>
    <col width="22" customWidth="1" min="1" max="1"/>
    <col width="16" customWidth="1" min="2" max="2"/>
    <col width="16" customWidth="1" min="3" max="3"/>
    <col width="16" customWidth="1" min="4" max="4"/>
    <col width="14" customWidth="1" min="5" max="5"/>
    <col width="14" customWidth="1" min="6" max="6"/>
    <col width="14"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s>
  <sheetData>
    <row r="1" ht="24" customHeight="1">
      <c r="A1" s="2" t="inlineStr">
        <is>
          <t>How to Use</t>
        </is>
      </c>
      <c r="B1" s="2" t="inlineStr">
        <is>
          <t>Skill Matrix</t>
        </is>
      </c>
      <c r="C1" s="1" t="inlineStr">
        <is>
          <t>Dashboard</t>
        </is>
      </c>
      <c r="D1" s="2" t="inlineStr">
        <is>
          <t>Employees</t>
        </is>
      </c>
      <c r="E1" s="2" t="inlineStr">
        <is>
          <t>Skills</t>
        </is>
      </c>
      <c r="F1" s="2" t="inlineStr">
        <is>
          <t>Years</t>
        </is>
      </c>
      <c r="G1" s="2" t="inlineStr">
        <is>
          <t>Lists</t>
        </is>
      </c>
      <c r="H1" s="2" t="inlineStr">
        <is>
          <t>Skill Sets</t>
        </is>
      </c>
      <c r="I1" s="2" t="inlineStr">
        <is>
          <t>Settings</t>
        </is>
      </c>
      <c r="J1" s="3" t="n"/>
      <c r="K1" s="3" t="n"/>
      <c r="L1" s="3" t="n"/>
      <c r="M1" s="3" t="n"/>
      <c r="N1" s="3" t="n"/>
      <c r="O1" s="3" t="n"/>
      <c r="P1" s="3" t="n"/>
      <c r="Q1" s="3" t="n"/>
      <c r="R1" s="3" t="n"/>
    </row>
    <row r="2">
      <c r="A2" s="4" t="inlineStr">
        <is>
          <t>Dashboard — year on year</t>
        </is>
      </c>
    </row>
    <row r="3">
      <c r="A3" s="46">
        <f>"Team view, one person, or a job profile. Latest year with ratings: "&amp;IF(LatestYear="","—",LatestYear)&amp;"  ·  Previous: "&amp;IF(PreviousYear="","—",PreviousYear)&amp;"  ·  Calendar: "&amp;CalendarYear</f>
        <v/>
      </c>
    </row>
    <row r="4">
      <c r="A4" s="47" t="inlineStr">
        <is>
          <t>Filters — pick an employee to explore their history, a skill set to see who can do that job, and a department to focus the team charts.</t>
        </is>
      </c>
      <c r="B4" s="3" t="n"/>
      <c r="C4" s="3" t="n"/>
      <c r="D4" s="3" t="n"/>
      <c r="E4" s="3" t="n"/>
      <c r="F4" s="3" t="n"/>
      <c r="G4" s="3" t="n"/>
      <c r="H4" s="3" t="n"/>
      <c r="I4" s="3" t="n"/>
      <c r="J4" s="3" t="n"/>
      <c r="K4" s="3" t="n"/>
      <c r="L4" s="3" t="n"/>
      <c r="M4" s="3" t="n"/>
      <c r="N4" s="3" t="n"/>
      <c r="O4" s="3" t="n"/>
      <c r="P4" s="3" t="n"/>
      <c r="Q4" s="3" t="n"/>
      <c r="R4" s="3" t="n"/>
    </row>
    <row r="5" ht="26" customHeight="1">
      <c r="A5" s="48" t="inlineStr">
        <is>
          <t>Employee</t>
        </is>
      </c>
      <c r="B5" s="48" t="inlineStr">
        <is>
          <t>→</t>
        </is>
      </c>
      <c r="C5" s="49" t="inlineStr">
        <is>
          <t>Alex Rivera</t>
        </is>
      </c>
      <c r="D5" s="48" t="inlineStr">
        <is>
          <t>Skill set</t>
        </is>
      </c>
      <c r="E5" s="48" t="inlineStr">
        <is>
          <t>→</t>
        </is>
      </c>
      <c r="F5" s="49" t="inlineStr">
        <is>
          <t>Barco Vision Switching</t>
        </is>
      </c>
      <c r="G5" s="48" t="inlineStr">
        <is>
          <t>Department</t>
        </is>
      </c>
      <c r="H5" s="48" t="inlineStr">
        <is>
          <t>→</t>
        </is>
      </c>
      <c r="I5" s="49" t="inlineStr">
        <is>
          <t>(All departments)</t>
        </is>
      </c>
      <c r="K5" s="50">
        <f>HYPERLINK("#'Years'!A1","Add / manage years →")</f>
        <v/>
      </c>
    </row>
    <row r="6">
      <c r="A6" s="17">
        <f>"Team overview"&amp;IF(DeptFilter="(All departments)",""," — "&amp;DeptFilter)</f>
        <v/>
      </c>
    </row>
    <row r="7">
      <c r="A7" s="51" t="inlineStr">
        <is>
          <t>Latest year average</t>
        </is>
      </c>
      <c r="B7" s="52" t="n"/>
      <c r="C7" s="52" t="n"/>
      <c r="D7" s="53" t="inlineStr">
        <is>
          <t>Previous year average</t>
        </is>
      </c>
      <c r="E7" s="54" t="n"/>
      <c r="F7" s="54" t="n"/>
      <c r="G7" s="55" t="inlineStr">
        <is>
          <t>Change vs last year</t>
        </is>
      </c>
      <c r="H7" s="56" t="n"/>
      <c r="I7" s="56" t="n"/>
      <c r="J7" s="57" t="inlineStr">
        <is>
          <t>Change vs first year</t>
        </is>
      </c>
      <c r="K7" s="58" t="n"/>
      <c r="L7" s="58" t="n"/>
      <c r="M7" s="59" t="inlineStr">
        <is>
          <t>Ratings in latest year</t>
        </is>
      </c>
      <c r="N7" s="60" t="n"/>
      <c r="O7" s="60" t="n"/>
    </row>
    <row r="8">
      <c r="A8" s="61">
        <f>IFERROR(ROUND(IF(DeptFilter="(All departments)",AVERAGEIFS(DataRating,DataYear,LatestYear),AVERAGEIFS(DataRating,DataYear,LatestYear,DataDept,DeptFilter)),2),"—")</f>
        <v/>
      </c>
      <c r="B8" s="52" t="n"/>
      <c r="C8" s="52" t="n"/>
      <c r="D8" s="62">
        <f>IFERROR(ROUND(IF(DeptFilter="(All departments)",AVERAGEIFS(DataRating,DataYear,PreviousYear),AVERAGEIFS(DataRating,DataYear,PreviousYear,DataDept,DeptFilter)),2),"—")</f>
        <v/>
      </c>
      <c r="E8" s="54" t="n"/>
      <c r="F8" s="54" t="n"/>
      <c r="G8" s="63">
        <f>IFERROR(ROUND(IF(DeptFilter="(All departments)",AVERAGEIFS(DataRating,DataYear,LatestYear),AVERAGEIFS(DataRating,DataYear,LatestYear,DataDept,DeptFilter))-IF(DeptFilter="(All departments)",AVERAGEIFS(DataRating,DataYear,PreviousYear),AVERAGEIFS(DataRating,DataYear,PreviousYear,DataDept,DeptFilter)),2),"—")</f>
        <v/>
      </c>
      <c r="H8" s="64" t="n"/>
      <c r="I8" s="64" t="n"/>
      <c r="J8" s="65">
        <f>IFERROR(ROUND(IF(DeptFilter="(All departments)",AVERAGEIFS(DataRating,DataYear,LatestYear),AVERAGEIFS(DataRating,DataYear,LatestYear,DataDept,DeptFilter))-IF(DeptFilter="(All departments)",AVERAGEIFS(DataRating,DataYear,MINIFS(DataYear,DataRating,"&gt;=1")),AVERAGEIFS(DataRating,DataYear,MINIFS(DataYear,DataRating,"&gt;=1",DataDept,DeptFilter),DataDept,DeptFilter)),2),"—")</f>
        <v/>
      </c>
      <c r="K8" s="58" t="n"/>
      <c r="L8" s="58" t="n"/>
      <c r="M8" s="66">
        <f>IF(DeptFilter="(All departments)",COUNTIFS(DataYear,LatestYear,DataRating,"&gt;=1"),COUNTIFS(DataYear,LatestYear,DataRating,"&gt;=1",DataDept,DeptFilter))</f>
        <v/>
      </c>
      <c r="N8" s="60" t="n"/>
      <c r="O8" s="60" t="n"/>
    </row>
    <row r="9">
      <c r="A9" s="52" t="n"/>
      <c r="B9" s="52" t="n"/>
      <c r="C9" s="52" t="n"/>
      <c r="D9" s="54" t="n"/>
      <c r="E9" s="54" t="n"/>
      <c r="F9" s="54" t="n"/>
      <c r="G9" s="64" t="n"/>
      <c r="H9" s="64" t="n"/>
      <c r="I9" s="64" t="n"/>
      <c r="J9" s="58" t="n"/>
      <c r="K9" s="58" t="n"/>
      <c r="L9" s="58" t="n"/>
      <c r="M9" s="60" t="n"/>
      <c r="N9" s="60" t="n"/>
      <c r="O9" s="60" t="n"/>
    </row>
    <row r="11">
      <c r="I11" s="67" t="inlineStr">
        <is>
          <t>Skill</t>
        </is>
      </c>
      <c r="J11" s="67" t="inlineStr">
        <is>
          <t>First year</t>
        </is>
      </c>
      <c r="K11" s="67" t="inlineStr">
        <is>
          <t>Last year</t>
        </is>
      </c>
      <c r="L11" s="67" t="inlineStr">
        <is>
          <t>Latest</t>
        </is>
      </c>
      <c r="M11" s="67" t="inlineStr">
        <is>
          <t>vs last year</t>
        </is>
      </c>
    </row>
    <row r="12">
      <c r="I12" s="68">
        <f>IF('Skills'!B6="","",'Skills'!B6)</f>
        <v/>
      </c>
      <c r="J12" s="69">
        <f>IF(I12="","",IFERROR(IF(DeptFilter="(All departments)",AVERAGEIFS(DataRating,DataSkill,I12,DataYear,MINIFS(DataYear,DataSkill,I12,DataRating,"&gt;=1")),AVERAGEIFS(DataRating,DataSkill,I12,DataYear,MINIFS(DataYear,DataSkill,I12,DataRating,"&gt;=1"),DataDept,DeptFilter)),""))</f>
        <v/>
      </c>
      <c r="K12" s="69">
        <f>IF(OR(I12="",PreviousYear=""),"",IFERROR(IF(DeptFilter="(All departments)",AVERAGEIFS(DataRating,DataSkill,I12,DataYear,PreviousYear),AVERAGEIFS(DataRating,DataSkill,I12,DataYear,PreviousYear,DataDept,DeptFilter)),""))</f>
        <v/>
      </c>
      <c r="L12" s="69">
        <f>IF(I12="","",IFERROR(IF(DeptFilter="(All departments)",AVERAGEIFS(DataRating,DataSkill,I12,DataYear,LatestYear),AVERAGEIFS(DataRating,DataSkill,I12,DataYear,LatestYear,DataDept,DeptFilter)),""))</f>
        <v/>
      </c>
      <c r="M12" s="70">
        <f>IF(OR(K12="",L12=""),"",ROUND(L12-K12,2))</f>
        <v/>
      </c>
    </row>
    <row r="13">
      <c r="I13" s="68">
        <f>IF('Skills'!B7="","",'Skills'!B7)</f>
        <v/>
      </c>
      <c r="J13" s="69">
        <f>IF(I13="","",IFERROR(IF(DeptFilter="(All departments)",AVERAGEIFS(DataRating,DataSkill,I13,DataYear,MINIFS(DataYear,DataSkill,I13,DataRating,"&gt;=1")),AVERAGEIFS(DataRating,DataSkill,I13,DataYear,MINIFS(DataYear,DataSkill,I13,DataRating,"&gt;=1"),DataDept,DeptFilter)),""))</f>
        <v/>
      </c>
      <c r="K13" s="69">
        <f>IF(OR(I13="",PreviousYear=""),"",IFERROR(IF(DeptFilter="(All departments)",AVERAGEIFS(DataRating,DataSkill,I13,DataYear,PreviousYear),AVERAGEIFS(DataRating,DataSkill,I13,DataYear,PreviousYear,DataDept,DeptFilter)),""))</f>
        <v/>
      </c>
      <c r="L13" s="69">
        <f>IF(I13="","",IFERROR(IF(DeptFilter="(All departments)",AVERAGEIFS(DataRating,DataSkill,I13,DataYear,LatestYear),AVERAGEIFS(DataRating,DataSkill,I13,DataYear,LatestYear,DataDept,DeptFilter)),""))</f>
        <v/>
      </c>
      <c r="M13" s="70">
        <f>IF(OR(K13="",L13=""),"",ROUND(L13-K13,2))</f>
        <v/>
      </c>
    </row>
    <row r="14">
      <c r="I14" s="68">
        <f>IF('Skills'!B8="","",'Skills'!B8)</f>
        <v/>
      </c>
      <c r="J14" s="69">
        <f>IF(I14="","",IFERROR(IF(DeptFilter="(All departments)",AVERAGEIFS(DataRating,DataSkill,I14,DataYear,MINIFS(DataYear,DataSkill,I14,DataRating,"&gt;=1")),AVERAGEIFS(DataRating,DataSkill,I14,DataYear,MINIFS(DataYear,DataSkill,I14,DataRating,"&gt;=1"),DataDept,DeptFilter)),""))</f>
        <v/>
      </c>
      <c r="K14" s="69">
        <f>IF(OR(I14="",PreviousYear=""),"",IFERROR(IF(DeptFilter="(All departments)",AVERAGEIFS(DataRating,DataSkill,I14,DataYear,PreviousYear),AVERAGEIFS(DataRating,DataSkill,I14,DataYear,PreviousYear,DataDept,DeptFilter)),""))</f>
        <v/>
      </c>
      <c r="L14" s="69">
        <f>IF(I14="","",IFERROR(IF(DeptFilter="(All departments)",AVERAGEIFS(DataRating,DataSkill,I14,DataYear,LatestYear),AVERAGEIFS(DataRating,DataSkill,I14,DataYear,LatestYear,DataDept,DeptFilter)),""))</f>
        <v/>
      </c>
      <c r="M14" s="70">
        <f>IF(OR(K14="",L14=""),"",ROUND(L14-K14,2))</f>
        <v/>
      </c>
    </row>
    <row r="15">
      <c r="I15" s="68">
        <f>IF('Skills'!B9="","",'Skills'!B9)</f>
        <v/>
      </c>
      <c r="J15" s="69">
        <f>IF(I15="","",IFERROR(IF(DeptFilter="(All departments)",AVERAGEIFS(DataRating,DataSkill,I15,DataYear,MINIFS(DataYear,DataSkill,I15,DataRating,"&gt;=1")),AVERAGEIFS(DataRating,DataSkill,I15,DataYear,MINIFS(DataYear,DataSkill,I15,DataRating,"&gt;=1"),DataDept,DeptFilter)),""))</f>
        <v/>
      </c>
      <c r="K15" s="69">
        <f>IF(OR(I15="",PreviousYear=""),"",IFERROR(IF(DeptFilter="(All departments)",AVERAGEIFS(DataRating,DataSkill,I15,DataYear,PreviousYear),AVERAGEIFS(DataRating,DataSkill,I15,DataYear,PreviousYear,DataDept,DeptFilter)),""))</f>
        <v/>
      </c>
      <c r="L15" s="69">
        <f>IF(I15="","",IFERROR(IF(DeptFilter="(All departments)",AVERAGEIFS(DataRating,DataSkill,I15,DataYear,LatestYear),AVERAGEIFS(DataRating,DataSkill,I15,DataYear,LatestYear,DataDept,DeptFilter)),""))</f>
        <v/>
      </c>
      <c r="M15" s="70">
        <f>IF(OR(K15="",L15=""),"",ROUND(L15-K15,2))</f>
        <v/>
      </c>
    </row>
    <row r="16">
      <c r="I16" s="68">
        <f>IF('Skills'!B10="","",'Skills'!B10)</f>
        <v/>
      </c>
      <c r="J16" s="69">
        <f>IF(I16="","",IFERROR(IF(DeptFilter="(All departments)",AVERAGEIFS(DataRating,DataSkill,I16,DataYear,MINIFS(DataYear,DataSkill,I16,DataRating,"&gt;=1")),AVERAGEIFS(DataRating,DataSkill,I16,DataYear,MINIFS(DataYear,DataSkill,I16,DataRating,"&gt;=1"),DataDept,DeptFilter)),""))</f>
        <v/>
      </c>
      <c r="K16" s="69">
        <f>IF(OR(I16="",PreviousYear=""),"",IFERROR(IF(DeptFilter="(All departments)",AVERAGEIFS(DataRating,DataSkill,I16,DataYear,PreviousYear),AVERAGEIFS(DataRating,DataSkill,I16,DataYear,PreviousYear,DataDept,DeptFilter)),""))</f>
        <v/>
      </c>
      <c r="L16" s="69">
        <f>IF(I16="","",IFERROR(IF(DeptFilter="(All departments)",AVERAGEIFS(DataRating,DataSkill,I16,DataYear,LatestYear),AVERAGEIFS(DataRating,DataSkill,I16,DataYear,LatestYear,DataDept,DeptFilter)),""))</f>
        <v/>
      </c>
      <c r="M16" s="70">
        <f>IF(OR(K16="",L16=""),"",ROUND(L16-K16,2))</f>
        <v/>
      </c>
    </row>
    <row r="17">
      <c r="I17" s="68">
        <f>IF('Skills'!B11="","",'Skills'!B11)</f>
        <v/>
      </c>
      <c r="J17" s="69">
        <f>IF(I17="","",IFERROR(IF(DeptFilter="(All departments)",AVERAGEIFS(DataRating,DataSkill,I17,DataYear,MINIFS(DataYear,DataSkill,I17,DataRating,"&gt;=1")),AVERAGEIFS(DataRating,DataSkill,I17,DataYear,MINIFS(DataYear,DataSkill,I17,DataRating,"&gt;=1"),DataDept,DeptFilter)),""))</f>
        <v/>
      </c>
      <c r="K17" s="69">
        <f>IF(OR(I17="",PreviousYear=""),"",IFERROR(IF(DeptFilter="(All departments)",AVERAGEIFS(DataRating,DataSkill,I17,DataYear,PreviousYear),AVERAGEIFS(DataRating,DataSkill,I17,DataYear,PreviousYear,DataDept,DeptFilter)),""))</f>
        <v/>
      </c>
      <c r="L17" s="69">
        <f>IF(I17="","",IFERROR(IF(DeptFilter="(All departments)",AVERAGEIFS(DataRating,DataSkill,I17,DataYear,LatestYear),AVERAGEIFS(DataRating,DataSkill,I17,DataYear,LatestYear,DataDept,DeptFilter)),""))</f>
        <v/>
      </c>
      <c r="M17" s="70">
        <f>IF(OR(K17="",L17=""),"",ROUND(L17-K17,2))</f>
        <v/>
      </c>
    </row>
    <row r="18">
      <c r="I18" s="68">
        <f>IF('Skills'!B12="","",'Skills'!B12)</f>
        <v/>
      </c>
      <c r="J18" s="69">
        <f>IF(I18="","",IFERROR(IF(DeptFilter="(All departments)",AVERAGEIFS(DataRating,DataSkill,I18,DataYear,MINIFS(DataYear,DataSkill,I18,DataRating,"&gt;=1")),AVERAGEIFS(DataRating,DataSkill,I18,DataYear,MINIFS(DataYear,DataSkill,I18,DataRating,"&gt;=1"),DataDept,DeptFilter)),""))</f>
        <v/>
      </c>
      <c r="K18" s="69">
        <f>IF(OR(I18="",PreviousYear=""),"",IFERROR(IF(DeptFilter="(All departments)",AVERAGEIFS(DataRating,DataSkill,I18,DataYear,PreviousYear),AVERAGEIFS(DataRating,DataSkill,I18,DataYear,PreviousYear,DataDept,DeptFilter)),""))</f>
        <v/>
      </c>
      <c r="L18" s="69">
        <f>IF(I18="","",IFERROR(IF(DeptFilter="(All departments)",AVERAGEIFS(DataRating,DataSkill,I18,DataYear,LatestYear),AVERAGEIFS(DataRating,DataSkill,I18,DataYear,LatestYear,DataDept,DeptFilter)),""))</f>
        <v/>
      </c>
      <c r="M18" s="70">
        <f>IF(OR(K18="",L18=""),"",ROUND(L18-K18,2))</f>
        <v/>
      </c>
    </row>
    <row r="24">
      <c r="A24" s="17">
        <f>IF(EmpFilter="","Select an employee in the filter above",EmpFilter&amp;" — skill overview since they joined")</f>
        <v/>
      </c>
    </row>
    <row r="25">
      <c r="A25" s="35">
        <f>IF(EmpFilter="","","Department: "&amp;IFERROR(INDEX(Employees!C6:C21,MATCH(EmpFilter,Employees!B6:B21,0)),"—")&amp;"   ·   Title: "&amp;IFERROR(INDEX(Employees!D6:D21,MATCH(EmpFilter,Employees!B6:B21,0)),"—")&amp;"   ·   Hired: "&amp;TEXT(IFERROR(INDEX(Employees!F6:F21,MATCH(EmpFilter,Employees!B6:B21,0)),""),"YYYY-MM-DD")&amp;"   ·   First ratings: "&amp;IFERROR(MINIFS(DataYear,DataEmployee,EmpFilter,DataRating,"&gt;=1"),"—")&amp;"   ·   Latest: "&amp;LatestYear)</f>
        <v/>
      </c>
    </row>
    <row r="26">
      <c r="A26" s="71" t="inlineStr">
        <is>
          <t>Latest average</t>
        </is>
      </c>
      <c r="B26" s="52" t="n"/>
      <c r="C26" s="52" t="n"/>
      <c r="D26" s="72" t="inlineStr">
        <is>
          <t>vs last year</t>
        </is>
      </c>
      <c r="E26" s="56" t="n"/>
      <c r="F26" s="56" t="n"/>
      <c r="G26" s="73" t="inlineStr">
        <is>
          <t>vs first year (since joined)</t>
        </is>
      </c>
      <c r="H26" s="58" t="n"/>
      <c r="I26" s="58" t="n"/>
      <c r="J26" s="74" t="inlineStr">
        <is>
          <t>Skills below target</t>
        </is>
      </c>
      <c r="K26" s="75" t="n"/>
      <c r="L26" s="75" t="n"/>
      <c r="M26" s="76" t="inlineStr">
        <is>
          <t>Skills rated this year</t>
        </is>
      </c>
      <c r="N26" s="60" t="n"/>
      <c r="O26" s="60" t="n"/>
    </row>
    <row r="27">
      <c r="A27" s="77">
        <f>IFERROR(ROUND(AVERAGEIFS(DataRating,DataEmployee,EmpFilter,DataYear,LatestYear),2),"—")</f>
        <v/>
      </c>
      <c r="B27" s="52" t="n"/>
      <c r="C27" s="52" t="n"/>
      <c r="D27" s="78">
        <f>IFERROR(ROUND(AVERAGEIFS(DataRating,DataEmployee,EmpFilter,DataYear,LatestYear)-AVERAGEIFS(DataRating,DataEmployee,EmpFilter,DataYear,PreviousYear),2),"—")</f>
        <v/>
      </c>
      <c r="E27" s="64" t="n"/>
      <c r="F27" s="64" t="n"/>
      <c r="G27" s="79">
        <f>IFERROR(ROUND(AVERAGEIFS(DataRating,DataEmployee,EmpFilter,DataYear,LatestYear)-AVERAGEIFS(DataRating,DataEmployee,EmpFilter,DataYear,MINIFS(DataYear,DataEmployee,EmpFilter,DataRating,"&gt;=1")),2),"—")</f>
        <v/>
      </c>
      <c r="H27" s="58" t="n"/>
      <c r="I27" s="58" t="n"/>
      <c r="J27" s="80">
        <f>COUNTIFS(Calc!G5:G20,"&lt;&gt;",Calc!J5:J20,"&lt;"&amp;TargetRating)</f>
        <v/>
      </c>
      <c r="K27" s="64" t="n"/>
      <c r="L27" s="64" t="n"/>
      <c r="M27" s="81">
        <f>COUNTIFS(DataEmployee,EmpFilter,DataYear,LatestYear,DataRating,"&gt;=1")</f>
        <v/>
      </c>
      <c r="N27" s="60" t="n"/>
      <c r="O27" s="60" t="n"/>
    </row>
    <row r="28">
      <c r="A28" s="52" t="n"/>
      <c r="B28" s="52" t="n"/>
      <c r="C28" s="52" t="n"/>
      <c r="D28" s="64" t="n"/>
      <c r="E28" s="64" t="n"/>
      <c r="F28" s="64" t="n"/>
      <c r="G28" s="58" t="n"/>
      <c r="H28" s="58" t="n"/>
      <c r="I28" s="58" t="n"/>
      <c r="J28" s="64" t="n"/>
      <c r="K28" s="64" t="n"/>
      <c r="L28" s="64" t="n"/>
      <c r="M28" s="60" t="n"/>
      <c r="N28" s="60" t="n"/>
      <c r="O28" s="60" t="n"/>
    </row>
    <row r="30">
      <c r="A30" s="67" t="inlineStr">
        <is>
          <t>Skill</t>
        </is>
      </c>
      <c r="B30" s="67" t="inlineStr">
        <is>
          <t>First (joined)</t>
        </is>
      </c>
      <c r="C30" s="67" t="inlineStr">
        <is>
          <t>Last year</t>
        </is>
      </c>
      <c r="D30" s="67" t="inlineStr">
        <is>
          <t>Latest</t>
        </is>
      </c>
      <c r="E30" s="67" t="inlineStr">
        <is>
          <t>vs last year</t>
        </is>
      </c>
      <c r="F30" s="67" t="inlineStr">
        <is>
          <t>Since joined</t>
        </is>
      </c>
    </row>
    <row r="31">
      <c r="A31" s="82">
        <f>IF(Calc!G5="","",Calc!G5)</f>
        <v/>
      </c>
      <c r="B31" s="83">
        <f>IF(A31="","",IF(Calc!H5=0,"",Calc!H5))</f>
        <v/>
      </c>
      <c r="C31" s="83">
        <f>IF(A31="","",IF(Calc!I5=0,"",Calc!I5))</f>
        <v/>
      </c>
      <c r="D31" s="83">
        <f>IF(A31="","",IF(Calc!J5=0,"",Calc!J5))</f>
        <v/>
      </c>
      <c r="E31" s="84">
        <f>IF(OR(C31="",D31=""),"",D31-C31)</f>
        <v/>
      </c>
      <c r="F31" s="84">
        <f>IF(OR(B31="",D31=""),"",D31-B31)</f>
        <v/>
      </c>
    </row>
    <row r="32">
      <c r="A32" s="82">
        <f>IF(Calc!G6="","",Calc!G6)</f>
        <v/>
      </c>
      <c r="B32" s="83">
        <f>IF(A32="","",IF(Calc!H6=0,"",Calc!H6))</f>
        <v/>
      </c>
      <c r="C32" s="83">
        <f>IF(A32="","",IF(Calc!I6=0,"",Calc!I6))</f>
        <v/>
      </c>
      <c r="D32" s="83">
        <f>IF(A32="","",IF(Calc!J6=0,"",Calc!J6))</f>
        <v/>
      </c>
      <c r="E32" s="84">
        <f>IF(OR(C32="",D32=""),"",D32-C32)</f>
        <v/>
      </c>
      <c r="F32" s="84">
        <f>IF(OR(B32="",D32=""),"",D32-B32)</f>
        <v/>
      </c>
    </row>
    <row r="33">
      <c r="A33" s="82">
        <f>IF(Calc!G7="","",Calc!G7)</f>
        <v/>
      </c>
      <c r="B33" s="83">
        <f>IF(A33="","",IF(Calc!H7=0,"",Calc!H7))</f>
        <v/>
      </c>
      <c r="C33" s="83">
        <f>IF(A33="","",IF(Calc!I7=0,"",Calc!I7))</f>
        <v/>
      </c>
      <c r="D33" s="83">
        <f>IF(A33="","",IF(Calc!J7=0,"",Calc!J7))</f>
        <v/>
      </c>
      <c r="E33" s="84">
        <f>IF(OR(C33="",D33=""),"",D33-C33)</f>
        <v/>
      </c>
      <c r="F33" s="84">
        <f>IF(OR(B33="",D33=""),"",D33-B33)</f>
        <v/>
      </c>
    </row>
    <row r="34">
      <c r="A34" s="82">
        <f>IF(Calc!G8="","",Calc!G8)</f>
        <v/>
      </c>
      <c r="B34" s="83">
        <f>IF(A34="","",IF(Calc!H8=0,"",Calc!H8))</f>
        <v/>
      </c>
      <c r="C34" s="83">
        <f>IF(A34="","",IF(Calc!I8=0,"",Calc!I8))</f>
        <v/>
      </c>
      <c r="D34" s="83">
        <f>IF(A34="","",IF(Calc!J8=0,"",Calc!J8))</f>
        <v/>
      </c>
      <c r="E34" s="84">
        <f>IF(OR(C34="",D34=""),"",D34-C34)</f>
        <v/>
      </c>
      <c r="F34" s="84">
        <f>IF(OR(B34="",D34=""),"",D34-B34)</f>
        <v/>
      </c>
    </row>
    <row r="35">
      <c r="A35" s="82">
        <f>IF(Calc!G9="","",Calc!G9)</f>
        <v/>
      </c>
      <c r="B35" s="83">
        <f>IF(A35="","",IF(Calc!H9=0,"",Calc!H9))</f>
        <v/>
      </c>
      <c r="C35" s="83">
        <f>IF(A35="","",IF(Calc!I9=0,"",Calc!I9))</f>
        <v/>
      </c>
      <c r="D35" s="83">
        <f>IF(A35="","",IF(Calc!J9=0,"",Calc!J9))</f>
        <v/>
      </c>
      <c r="E35" s="84">
        <f>IF(OR(C35="",D35=""),"",D35-C35)</f>
        <v/>
      </c>
      <c r="F35" s="84">
        <f>IF(OR(B35="",D35=""),"",D35-B35)</f>
        <v/>
      </c>
    </row>
    <row r="36">
      <c r="A36" s="82">
        <f>IF(Calc!G10="","",Calc!G10)</f>
        <v/>
      </c>
      <c r="B36" s="83">
        <f>IF(A36="","",IF(Calc!H10=0,"",Calc!H10))</f>
        <v/>
      </c>
      <c r="C36" s="83">
        <f>IF(A36="","",IF(Calc!I10=0,"",Calc!I10))</f>
        <v/>
      </c>
      <c r="D36" s="83">
        <f>IF(A36="","",IF(Calc!J10=0,"",Calc!J10))</f>
        <v/>
      </c>
      <c r="E36" s="84">
        <f>IF(OR(C36="",D36=""),"",D36-C36)</f>
        <v/>
      </c>
      <c r="F36" s="84">
        <f>IF(OR(B36="",D36=""),"",D36-B36)</f>
        <v/>
      </c>
    </row>
    <row r="37">
      <c r="A37" s="82">
        <f>IF(Calc!G11="","",Calc!G11)</f>
        <v/>
      </c>
      <c r="B37" s="83">
        <f>IF(A37="","",IF(Calc!H11=0,"",Calc!H11))</f>
        <v/>
      </c>
      <c r="C37" s="83">
        <f>IF(A37="","",IF(Calc!I11=0,"",Calc!I11))</f>
        <v/>
      </c>
      <c r="D37" s="83">
        <f>IF(A37="","",IF(Calc!J11=0,"",Calc!J11))</f>
        <v/>
      </c>
      <c r="E37" s="84">
        <f>IF(OR(C37="",D37=""),"",D37-C37)</f>
        <v/>
      </c>
      <c r="F37" s="84">
        <f>IF(OR(B37="",D37=""),"",D37-B37)</f>
        <v/>
      </c>
    </row>
    <row r="38">
      <c r="A38" s="82">
        <f>IF(Calc!G12="","",Calc!G12)</f>
        <v/>
      </c>
      <c r="B38" s="83">
        <f>IF(A38="","",IF(Calc!H12=0,"",Calc!H12))</f>
        <v/>
      </c>
      <c r="C38" s="83">
        <f>IF(A38="","",IF(Calc!I12=0,"",Calc!I12))</f>
        <v/>
      </c>
      <c r="D38" s="83">
        <f>IF(A38="","",IF(Calc!J12=0,"",Calc!J12))</f>
        <v/>
      </c>
      <c r="E38" s="84">
        <f>IF(OR(C38="",D38=""),"",D38-C38)</f>
        <v/>
      </c>
      <c r="F38" s="84">
        <f>IF(OR(B38="",D38=""),"",D38-B38)</f>
        <v/>
      </c>
    </row>
    <row r="39">
      <c r="A39" s="82">
        <f>IF(Calc!G13="","",Calc!G13)</f>
        <v/>
      </c>
      <c r="B39" s="83">
        <f>IF(A39="","",IF(Calc!H13=0,"",Calc!H13))</f>
        <v/>
      </c>
      <c r="C39" s="83">
        <f>IF(A39="","",IF(Calc!I13=0,"",Calc!I13))</f>
        <v/>
      </c>
      <c r="D39" s="83">
        <f>IF(A39="","",IF(Calc!J13=0,"",Calc!J13))</f>
        <v/>
      </c>
      <c r="E39" s="84">
        <f>IF(OR(C39="",D39=""),"",D39-C39)</f>
        <v/>
      </c>
      <c r="F39" s="84">
        <f>IF(OR(B39="",D39=""),"",D39-B39)</f>
        <v/>
      </c>
    </row>
    <row r="40">
      <c r="A40" s="82">
        <f>IF(Calc!G14="","",Calc!G14)</f>
        <v/>
      </c>
      <c r="B40" s="83">
        <f>IF(A40="","",IF(Calc!H14=0,"",Calc!H14))</f>
        <v/>
      </c>
      <c r="C40" s="83">
        <f>IF(A40="","",IF(Calc!I14=0,"",Calc!I14))</f>
        <v/>
      </c>
      <c r="D40" s="83">
        <f>IF(A40="","",IF(Calc!J14=0,"",Calc!J14))</f>
        <v/>
      </c>
      <c r="E40" s="84">
        <f>IF(OR(C40="",D40=""),"",D40-C40)</f>
        <v/>
      </c>
      <c r="F40" s="84">
        <f>IF(OR(B40="",D40=""),"",D40-B40)</f>
        <v/>
      </c>
    </row>
    <row r="41">
      <c r="A41" s="82">
        <f>IF(Calc!G15="","",Calc!G15)</f>
        <v/>
      </c>
      <c r="B41" s="83">
        <f>IF(A41="","",IF(Calc!H15=0,"",Calc!H15))</f>
        <v/>
      </c>
      <c r="C41" s="83">
        <f>IF(A41="","",IF(Calc!I15=0,"",Calc!I15))</f>
        <v/>
      </c>
      <c r="D41" s="83">
        <f>IF(A41="","",IF(Calc!J15=0,"",Calc!J15))</f>
        <v/>
      </c>
      <c r="E41" s="84">
        <f>IF(OR(C41="",D41=""),"",D41-C41)</f>
        <v/>
      </c>
      <c r="F41" s="84">
        <f>IF(OR(B41="",D41=""),"",D41-B41)</f>
        <v/>
      </c>
    </row>
    <row r="42">
      <c r="A42" s="82">
        <f>IF(Calc!G16="","",Calc!G16)</f>
        <v/>
      </c>
      <c r="B42" s="83">
        <f>IF(A42="","",IF(Calc!H16=0,"",Calc!H16))</f>
        <v/>
      </c>
      <c r="C42" s="83">
        <f>IF(A42="","",IF(Calc!I16=0,"",Calc!I16))</f>
        <v/>
      </c>
      <c r="D42" s="83">
        <f>IF(A42="","",IF(Calc!J16=0,"",Calc!J16))</f>
        <v/>
      </c>
      <c r="E42" s="84">
        <f>IF(OR(C42="",D42=""),"",D42-C42)</f>
        <v/>
      </c>
      <c r="F42" s="84">
        <f>IF(OR(B42="",D42=""),"",D42-B42)</f>
        <v/>
      </c>
    </row>
    <row r="43">
      <c r="A43" s="82">
        <f>IF(Calc!G17="","",Calc!G17)</f>
        <v/>
      </c>
      <c r="B43" s="83">
        <f>IF(A43="","",IF(Calc!H17=0,"",Calc!H17))</f>
        <v/>
      </c>
      <c r="C43" s="83">
        <f>IF(A43="","",IF(Calc!I17=0,"",Calc!I17))</f>
        <v/>
      </c>
      <c r="D43" s="83">
        <f>IF(A43="","",IF(Calc!J17=0,"",Calc!J17))</f>
        <v/>
      </c>
      <c r="E43" s="84">
        <f>IF(OR(C43="",D43=""),"",D43-C43)</f>
        <v/>
      </c>
      <c r="F43" s="84">
        <f>IF(OR(B43="",D43=""),"",D43-B43)</f>
        <v/>
      </c>
    </row>
    <row r="44">
      <c r="A44" s="82">
        <f>IF(Calc!G18="","",Calc!G18)</f>
        <v/>
      </c>
      <c r="B44" s="83">
        <f>IF(A44="","",IF(Calc!H18=0,"",Calc!H18))</f>
        <v/>
      </c>
      <c r="C44" s="83">
        <f>IF(A44="","",IF(Calc!I18=0,"",Calc!I18))</f>
        <v/>
      </c>
      <c r="D44" s="83">
        <f>IF(A44="","",IF(Calc!J18=0,"",Calc!J18))</f>
        <v/>
      </c>
      <c r="E44" s="84">
        <f>IF(OR(C44="",D44=""),"",D44-C44)</f>
        <v/>
      </c>
      <c r="F44" s="84">
        <f>IF(OR(B44="",D44=""),"",D44-B44)</f>
        <v/>
      </c>
    </row>
    <row r="45">
      <c r="A45" s="82">
        <f>IF(Calc!G19="","",Calc!G19)</f>
        <v/>
      </c>
      <c r="B45" s="83">
        <f>IF(A45="","",IF(Calc!H19=0,"",Calc!H19))</f>
        <v/>
      </c>
      <c r="C45" s="83">
        <f>IF(A45="","",IF(Calc!I19=0,"",Calc!I19))</f>
        <v/>
      </c>
      <c r="D45" s="83">
        <f>IF(A45="","",IF(Calc!J19=0,"",Calc!J19))</f>
        <v/>
      </c>
      <c r="E45" s="84">
        <f>IF(OR(C45="",D45=""),"",D45-C45)</f>
        <v/>
      </c>
      <c r="F45" s="84">
        <f>IF(OR(B45="",D45=""),"",D45-B45)</f>
        <v/>
      </c>
    </row>
    <row r="46">
      <c r="A46" s="82">
        <f>IF(Calc!G20="","",Calc!G20)</f>
        <v/>
      </c>
      <c r="B46" s="83">
        <f>IF(A46="","",IF(Calc!H20=0,"",Calc!H20))</f>
        <v/>
      </c>
      <c r="C46" s="83">
        <f>IF(A46="","",IF(Calc!I20=0,"",Calc!I20))</f>
        <v/>
      </c>
      <c r="D46" s="83">
        <f>IF(A46="","",IF(Calc!J20=0,"",Calc!J20))</f>
        <v/>
      </c>
      <c r="E46" s="84">
        <f>IF(OR(C46="",D46=""),"",D46-C46)</f>
        <v/>
      </c>
      <c r="F46" s="84">
        <f>IF(OR(B46="",D46=""),"",D46-B46)</f>
        <v/>
      </c>
    </row>
    <row r="50">
      <c r="A50" s="17">
        <f>IF(SkillSetFilter="","Select a skill set in the filter above","Who can do the job — "&amp;SkillSetFilter&amp;"  (ranked by latest-year average on the required skills)")</f>
        <v/>
      </c>
    </row>
    <row r="51">
      <c r="A51" s="35">
        <f>"Required skills: "&amp;TEXTJOIN(", ",TRUE,FILTER('Skill Sets'!B6:B45,'Skill Sets'!A6:A45=SkillSetFilter))&amp;"   ·   Minimums: "&amp;TEXTJOIN(", ",TRUE,FILTER('Skill Sets'!C6:C45,'Skill Sets'!A6:A45=SkillSetFilter))</f>
        <v/>
      </c>
    </row>
    <row r="52" ht="28" customHeight="1">
      <c r="A52" s="67" t="inlineStr">
        <is>
          <t>Rank</t>
        </is>
      </c>
      <c r="B52" s="67" t="inlineStr">
        <is>
          <t>Employee</t>
        </is>
      </c>
      <c r="C52" s="67" t="inlineStr">
        <is>
          <t>Department</t>
        </is>
      </c>
      <c r="D52" s="67" t="inlineStr">
        <is>
          <t>Job title</t>
        </is>
      </c>
      <c r="E52" s="67" t="inlineStr">
        <is>
          <t>Latest avg</t>
        </is>
      </c>
      <c r="F52" s="67" t="inlineStr">
        <is>
          <t>vs last year</t>
        </is>
      </c>
      <c r="G52" s="67" t="inlineStr">
        <is>
          <t>Skills rated</t>
        </is>
      </c>
      <c r="H52" s="67" t="inlineStr">
        <is>
          <t>At / above min</t>
        </is>
      </c>
    </row>
    <row r="53">
      <c r="A53" s="83">
        <f>IF(Calc!S8="","",1)</f>
        <v/>
      </c>
      <c r="B53" s="85">
        <f>IF(Calc!S8="","",Calc!S8)</f>
        <v/>
      </c>
      <c r="C53" s="83">
        <f>IF(B53="","",IFERROR(INDEX(Employees!C6:C21,MATCH(B53,Employees!B6:B21,0)),""))</f>
        <v/>
      </c>
      <c r="D53" s="82">
        <f>IF(B53="","",IFERROR(INDEX(Employees!D6:D21,MATCH(B53,Employees!B6:B21,0)),""))</f>
        <v/>
      </c>
      <c r="E53" s="86">
        <f>IF(B53="","",Calc!T8)</f>
        <v/>
      </c>
      <c r="F53" s="87">
        <f>IF(B53="","",IFERROR(INDEX(Calc!N8:N23,MATCH(B53,Calc!L8:L23,0)),""))</f>
        <v/>
      </c>
      <c r="G53" s="83">
        <f>IF(B53="","",IFERROR(INDEX(Calc!O8:O23,MATCH(B53,Calc!L8:L23,0)),""))</f>
        <v/>
      </c>
      <c r="H53" s="83">
        <f>IF(B53="","",IFERROR(INDEX(Calc!P8:P23,MATCH(B53,Calc!L8:L23,0)),""))</f>
        <v/>
      </c>
    </row>
    <row r="54">
      <c r="A54" s="83">
        <f>IF(Calc!S9="","",2)</f>
        <v/>
      </c>
      <c r="B54" s="85">
        <f>IF(Calc!S9="","",Calc!S9)</f>
        <v/>
      </c>
      <c r="C54" s="83">
        <f>IF(B54="","",IFERROR(INDEX(Employees!C6:C21,MATCH(B54,Employees!B6:B21,0)),""))</f>
        <v/>
      </c>
      <c r="D54" s="82">
        <f>IF(B54="","",IFERROR(INDEX(Employees!D6:D21,MATCH(B54,Employees!B6:B21,0)),""))</f>
        <v/>
      </c>
      <c r="E54" s="86">
        <f>IF(B54="","",Calc!T9)</f>
        <v/>
      </c>
      <c r="F54" s="87">
        <f>IF(B54="","",IFERROR(INDEX(Calc!N8:N23,MATCH(B54,Calc!L8:L23,0)),""))</f>
        <v/>
      </c>
      <c r="G54" s="83">
        <f>IF(B54="","",IFERROR(INDEX(Calc!O8:O23,MATCH(B54,Calc!L8:L23,0)),""))</f>
        <v/>
      </c>
      <c r="H54" s="83">
        <f>IF(B54="","",IFERROR(INDEX(Calc!P8:P23,MATCH(B54,Calc!L8:L23,0)),""))</f>
        <v/>
      </c>
    </row>
    <row r="55">
      <c r="A55" s="83">
        <f>IF(Calc!S10="","",3)</f>
        <v/>
      </c>
      <c r="B55" s="85">
        <f>IF(Calc!S10="","",Calc!S10)</f>
        <v/>
      </c>
      <c r="C55" s="83">
        <f>IF(B55="","",IFERROR(INDEX(Employees!C6:C21,MATCH(B55,Employees!B6:B21,0)),""))</f>
        <v/>
      </c>
      <c r="D55" s="82">
        <f>IF(B55="","",IFERROR(INDEX(Employees!D6:D21,MATCH(B55,Employees!B6:B21,0)),""))</f>
        <v/>
      </c>
      <c r="E55" s="86">
        <f>IF(B55="","",Calc!T10)</f>
        <v/>
      </c>
      <c r="F55" s="87">
        <f>IF(B55="","",IFERROR(INDEX(Calc!N8:N23,MATCH(B55,Calc!L8:L23,0)),""))</f>
        <v/>
      </c>
      <c r="G55" s="83">
        <f>IF(B55="","",IFERROR(INDEX(Calc!O8:O23,MATCH(B55,Calc!L8:L23,0)),""))</f>
        <v/>
      </c>
      <c r="H55" s="83">
        <f>IF(B55="","",IFERROR(INDEX(Calc!P8:P23,MATCH(B55,Calc!L8:L23,0)),""))</f>
        <v/>
      </c>
    </row>
    <row r="56">
      <c r="A56" s="83">
        <f>IF(Calc!S11="","",4)</f>
        <v/>
      </c>
      <c r="B56" s="85">
        <f>IF(Calc!S11="","",Calc!S11)</f>
        <v/>
      </c>
      <c r="C56" s="83">
        <f>IF(B56="","",IFERROR(INDEX(Employees!C6:C21,MATCH(B56,Employees!B6:B21,0)),""))</f>
        <v/>
      </c>
      <c r="D56" s="82">
        <f>IF(B56="","",IFERROR(INDEX(Employees!D6:D21,MATCH(B56,Employees!B6:B21,0)),""))</f>
        <v/>
      </c>
      <c r="E56" s="86">
        <f>IF(B56="","",Calc!T11)</f>
        <v/>
      </c>
      <c r="F56" s="87">
        <f>IF(B56="","",IFERROR(INDEX(Calc!N8:N23,MATCH(B56,Calc!L8:L23,0)),""))</f>
        <v/>
      </c>
      <c r="G56" s="83">
        <f>IF(B56="","",IFERROR(INDEX(Calc!O8:O23,MATCH(B56,Calc!L8:L23,0)),""))</f>
        <v/>
      </c>
      <c r="H56" s="83">
        <f>IF(B56="","",IFERROR(INDEX(Calc!P8:P23,MATCH(B56,Calc!L8:L23,0)),""))</f>
        <v/>
      </c>
    </row>
    <row r="57">
      <c r="A57" s="83">
        <f>IF(Calc!S12="","",5)</f>
        <v/>
      </c>
      <c r="B57" s="85">
        <f>IF(Calc!S12="","",Calc!S12)</f>
        <v/>
      </c>
      <c r="C57" s="83">
        <f>IF(B57="","",IFERROR(INDEX(Employees!C6:C21,MATCH(B57,Employees!B6:B21,0)),""))</f>
        <v/>
      </c>
      <c r="D57" s="82">
        <f>IF(B57="","",IFERROR(INDEX(Employees!D6:D21,MATCH(B57,Employees!B6:B21,0)),""))</f>
        <v/>
      </c>
      <c r="E57" s="86">
        <f>IF(B57="","",Calc!T12)</f>
        <v/>
      </c>
      <c r="F57" s="87">
        <f>IF(B57="","",IFERROR(INDEX(Calc!N8:N23,MATCH(B57,Calc!L8:L23,0)),""))</f>
        <v/>
      </c>
      <c r="G57" s="83">
        <f>IF(B57="","",IFERROR(INDEX(Calc!O8:O23,MATCH(B57,Calc!L8:L23,0)),""))</f>
        <v/>
      </c>
      <c r="H57" s="83">
        <f>IF(B57="","",IFERROR(INDEX(Calc!P8:P23,MATCH(B57,Calc!L8:L23,0)),""))</f>
        <v/>
      </c>
    </row>
    <row r="58">
      <c r="A58" s="83">
        <f>IF(Calc!S13="","",6)</f>
        <v/>
      </c>
      <c r="B58" s="85">
        <f>IF(Calc!S13="","",Calc!S13)</f>
        <v/>
      </c>
      <c r="C58" s="83">
        <f>IF(B58="","",IFERROR(INDEX(Employees!C6:C21,MATCH(B58,Employees!B6:B21,0)),""))</f>
        <v/>
      </c>
      <c r="D58" s="82">
        <f>IF(B58="","",IFERROR(INDEX(Employees!D6:D21,MATCH(B58,Employees!B6:B21,0)),""))</f>
        <v/>
      </c>
      <c r="E58" s="86">
        <f>IF(B58="","",Calc!T13)</f>
        <v/>
      </c>
      <c r="F58" s="87">
        <f>IF(B58="","",IFERROR(INDEX(Calc!N8:N23,MATCH(B58,Calc!L8:L23,0)),""))</f>
        <v/>
      </c>
      <c r="G58" s="83">
        <f>IF(B58="","",IFERROR(INDEX(Calc!O8:O23,MATCH(B58,Calc!L8:L23,0)),""))</f>
        <v/>
      </c>
      <c r="H58" s="83">
        <f>IF(B58="","",IFERROR(INDEX(Calc!P8:P23,MATCH(B58,Calc!L8:L23,0)),""))</f>
        <v/>
      </c>
    </row>
    <row r="59">
      <c r="A59" s="83">
        <f>IF(Calc!S14="","",7)</f>
        <v/>
      </c>
      <c r="B59" s="85">
        <f>IF(Calc!S14="","",Calc!S14)</f>
        <v/>
      </c>
      <c r="C59" s="83">
        <f>IF(B59="","",IFERROR(INDEX(Employees!C6:C21,MATCH(B59,Employees!B6:B21,0)),""))</f>
        <v/>
      </c>
      <c r="D59" s="82">
        <f>IF(B59="","",IFERROR(INDEX(Employees!D6:D21,MATCH(B59,Employees!B6:B21,0)),""))</f>
        <v/>
      </c>
      <c r="E59" s="86">
        <f>IF(B59="","",Calc!T14)</f>
        <v/>
      </c>
      <c r="F59" s="87">
        <f>IF(B59="","",IFERROR(INDEX(Calc!N8:N23,MATCH(B59,Calc!L8:L23,0)),""))</f>
        <v/>
      </c>
      <c r="G59" s="83">
        <f>IF(B59="","",IFERROR(INDEX(Calc!O8:O23,MATCH(B59,Calc!L8:L23,0)),""))</f>
        <v/>
      </c>
      <c r="H59" s="83">
        <f>IF(B59="","",IFERROR(INDEX(Calc!P8:P23,MATCH(B59,Calc!L8:L23,0)),""))</f>
        <v/>
      </c>
    </row>
    <row r="60">
      <c r="A60" s="83">
        <f>IF(Calc!S15="","",8)</f>
        <v/>
      </c>
      <c r="B60" s="85">
        <f>IF(Calc!S15="","",Calc!S15)</f>
        <v/>
      </c>
      <c r="C60" s="83">
        <f>IF(B60="","",IFERROR(INDEX(Employees!C6:C21,MATCH(B60,Employees!B6:B21,0)),""))</f>
        <v/>
      </c>
      <c r="D60" s="82">
        <f>IF(B60="","",IFERROR(INDEX(Employees!D6:D21,MATCH(B60,Employees!B6:B21,0)),""))</f>
        <v/>
      </c>
      <c r="E60" s="86">
        <f>IF(B60="","",Calc!T15)</f>
        <v/>
      </c>
      <c r="F60" s="87">
        <f>IF(B60="","",IFERROR(INDEX(Calc!N8:N23,MATCH(B60,Calc!L8:L23,0)),""))</f>
        <v/>
      </c>
      <c r="G60" s="83">
        <f>IF(B60="","",IFERROR(INDEX(Calc!O8:O23,MATCH(B60,Calc!L8:L23,0)),""))</f>
        <v/>
      </c>
      <c r="H60" s="83">
        <f>IF(B60="","",IFERROR(INDEX(Calc!P8:P23,MATCH(B60,Calc!L8:L23,0)),""))</f>
        <v/>
      </c>
    </row>
    <row r="61">
      <c r="A61" s="83">
        <f>IF(Calc!S16="","",9)</f>
        <v/>
      </c>
      <c r="B61" s="85">
        <f>IF(Calc!S16="","",Calc!S16)</f>
        <v/>
      </c>
      <c r="C61" s="83">
        <f>IF(B61="","",IFERROR(INDEX(Employees!C6:C21,MATCH(B61,Employees!B6:B21,0)),""))</f>
        <v/>
      </c>
      <c r="D61" s="82">
        <f>IF(B61="","",IFERROR(INDEX(Employees!D6:D21,MATCH(B61,Employees!B6:B21,0)),""))</f>
        <v/>
      </c>
      <c r="E61" s="86">
        <f>IF(B61="","",Calc!T16)</f>
        <v/>
      </c>
      <c r="F61" s="87">
        <f>IF(B61="","",IFERROR(INDEX(Calc!N8:N23,MATCH(B61,Calc!L8:L23,0)),""))</f>
        <v/>
      </c>
      <c r="G61" s="83">
        <f>IF(B61="","",IFERROR(INDEX(Calc!O8:O23,MATCH(B61,Calc!L8:L23,0)),""))</f>
        <v/>
      </c>
      <c r="H61" s="83">
        <f>IF(B61="","",IFERROR(INDEX(Calc!P8:P23,MATCH(B61,Calc!L8:L23,0)),""))</f>
        <v/>
      </c>
    </row>
    <row r="62">
      <c r="A62" s="83">
        <f>IF(Calc!S17="","",10)</f>
        <v/>
      </c>
      <c r="B62" s="85">
        <f>IF(Calc!S17="","",Calc!S17)</f>
        <v/>
      </c>
      <c r="C62" s="83">
        <f>IF(B62="","",IFERROR(INDEX(Employees!C6:C21,MATCH(B62,Employees!B6:B21,0)),""))</f>
        <v/>
      </c>
      <c r="D62" s="82">
        <f>IF(B62="","",IFERROR(INDEX(Employees!D6:D21,MATCH(B62,Employees!B6:B21,0)),""))</f>
        <v/>
      </c>
      <c r="E62" s="86">
        <f>IF(B62="","",Calc!T17)</f>
        <v/>
      </c>
      <c r="F62" s="87">
        <f>IF(B62="","",IFERROR(INDEX(Calc!N8:N23,MATCH(B62,Calc!L8:L23,0)),""))</f>
        <v/>
      </c>
      <c r="G62" s="83">
        <f>IF(B62="","",IFERROR(INDEX(Calc!O8:O23,MATCH(B62,Calc!L8:L23,0)),""))</f>
        <v/>
      </c>
      <c r="H62" s="83">
        <f>IF(B62="","",IFERROR(INDEX(Calc!P8:P23,MATCH(B62,Calc!L8:L23,0)),""))</f>
        <v/>
      </c>
    </row>
    <row r="63">
      <c r="A63" s="83">
        <f>IF(Calc!S18="","",11)</f>
        <v/>
      </c>
      <c r="B63" s="85">
        <f>IF(Calc!S18="","",Calc!S18)</f>
        <v/>
      </c>
      <c r="C63" s="83">
        <f>IF(B63="","",IFERROR(INDEX(Employees!C6:C21,MATCH(B63,Employees!B6:B21,0)),""))</f>
        <v/>
      </c>
      <c r="D63" s="82">
        <f>IF(B63="","",IFERROR(INDEX(Employees!D6:D21,MATCH(B63,Employees!B6:B21,0)),""))</f>
        <v/>
      </c>
      <c r="E63" s="86">
        <f>IF(B63="","",Calc!T18)</f>
        <v/>
      </c>
      <c r="F63" s="87">
        <f>IF(B63="","",IFERROR(INDEX(Calc!N8:N23,MATCH(B63,Calc!L8:L23,0)),""))</f>
        <v/>
      </c>
      <c r="G63" s="83">
        <f>IF(B63="","",IFERROR(INDEX(Calc!O8:O23,MATCH(B63,Calc!L8:L23,0)),""))</f>
        <v/>
      </c>
      <c r="H63" s="83">
        <f>IF(B63="","",IFERROR(INDEX(Calc!P8:P23,MATCH(B63,Calc!L8:L23,0)),""))</f>
        <v/>
      </c>
    </row>
    <row r="64">
      <c r="A64" s="83">
        <f>IF(Calc!S19="","",12)</f>
        <v/>
      </c>
      <c r="B64" s="85">
        <f>IF(Calc!S19="","",Calc!S19)</f>
        <v/>
      </c>
      <c r="C64" s="83">
        <f>IF(B64="","",IFERROR(INDEX(Employees!C6:C21,MATCH(B64,Employees!B6:B21,0)),""))</f>
        <v/>
      </c>
      <c r="D64" s="82">
        <f>IF(B64="","",IFERROR(INDEX(Employees!D6:D21,MATCH(B64,Employees!B6:B21,0)),""))</f>
        <v/>
      </c>
      <c r="E64" s="86">
        <f>IF(B64="","",Calc!T19)</f>
        <v/>
      </c>
      <c r="F64" s="87">
        <f>IF(B64="","",IFERROR(INDEX(Calc!N8:N23,MATCH(B64,Calc!L8:L23,0)),""))</f>
        <v/>
      </c>
      <c r="G64" s="83">
        <f>IF(B64="","",IFERROR(INDEX(Calc!O8:O23,MATCH(B64,Calc!L8:L23,0)),""))</f>
        <v/>
      </c>
      <c r="H64" s="83">
        <f>IF(B64="","",IFERROR(INDEX(Calc!P8:P23,MATCH(B64,Calc!L8:L23,0)),""))</f>
        <v/>
      </c>
    </row>
    <row r="65">
      <c r="A65" s="83">
        <f>IF(Calc!S20="","",13)</f>
        <v/>
      </c>
      <c r="B65" s="85">
        <f>IF(Calc!S20="","",Calc!S20)</f>
        <v/>
      </c>
      <c r="C65" s="83">
        <f>IF(B65="","",IFERROR(INDEX(Employees!C6:C21,MATCH(B65,Employees!B6:B21,0)),""))</f>
        <v/>
      </c>
      <c r="D65" s="82">
        <f>IF(B65="","",IFERROR(INDEX(Employees!D6:D21,MATCH(B65,Employees!B6:B21,0)),""))</f>
        <v/>
      </c>
      <c r="E65" s="86">
        <f>IF(B65="","",Calc!T20)</f>
        <v/>
      </c>
      <c r="F65" s="87">
        <f>IF(B65="","",IFERROR(INDEX(Calc!N8:N23,MATCH(B65,Calc!L8:L23,0)),""))</f>
        <v/>
      </c>
      <c r="G65" s="83">
        <f>IF(B65="","",IFERROR(INDEX(Calc!O8:O23,MATCH(B65,Calc!L8:L23,0)),""))</f>
        <v/>
      </c>
      <c r="H65" s="83">
        <f>IF(B65="","",IFERROR(INDEX(Calc!P8:P23,MATCH(B65,Calc!L8:L23,0)),""))</f>
        <v/>
      </c>
    </row>
    <row r="66">
      <c r="A66" s="83">
        <f>IF(Calc!S21="","",14)</f>
        <v/>
      </c>
      <c r="B66" s="85">
        <f>IF(Calc!S21="","",Calc!S21)</f>
        <v/>
      </c>
      <c r="C66" s="83">
        <f>IF(B66="","",IFERROR(INDEX(Employees!C6:C21,MATCH(B66,Employees!B6:B21,0)),""))</f>
        <v/>
      </c>
      <c r="D66" s="82">
        <f>IF(B66="","",IFERROR(INDEX(Employees!D6:D21,MATCH(B66,Employees!B6:B21,0)),""))</f>
        <v/>
      </c>
      <c r="E66" s="86">
        <f>IF(B66="","",Calc!T21)</f>
        <v/>
      </c>
      <c r="F66" s="87">
        <f>IF(B66="","",IFERROR(INDEX(Calc!N8:N23,MATCH(B66,Calc!L8:L23,0)),""))</f>
        <v/>
      </c>
      <c r="G66" s="83">
        <f>IF(B66="","",IFERROR(INDEX(Calc!O8:O23,MATCH(B66,Calc!L8:L23,0)),""))</f>
        <v/>
      </c>
      <c r="H66" s="83">
        <f>IF(B66="","",IFERROR(INDEX(Calc!P8:P23,MATCH(B66,Calc!L8:L23,0)),""))</f>
        <v/>
      </c>
    </row>
    <row r="67">
      <c r="A67" s="83">
        <f>IF(Calc!S22="","",15)</f>
        <v/>
      </c>
      <c r="B67" s="85">
        <f>IF(Calc!S22="","",Calc!S22)</f>
        <v/>
      </c>
      <c r="C67" s="83">
        <f>IF(B67="","",IFERROR(INDEX(Employees!C6:C21,MATCH(B67,Employees!B6:B21,0)),""))</f>
        <v/>
      </c>
      <c r="D67" s="82">
        <f>IF(B67="","",IFERROR(INDEX(Employees!D6:D21,MATCH(B67,Employees!B6:B21,0)),""))</f>
        <v/>
      </c>
      <c r="E67" s="86">
        <f>IF(B67="","",Calc!T22)</f>
        <v/>
      </c>
      <c r="F67" s="87">
        <f>IF(B67="","",IFERROR(INDEX(Calc!N8:N23,MATCH(B67,Calc!L8:L23,0)),""))</f>
        <v/>
      </c>
      <c r="G67" s="83">
        <f>IF(B67="","",IFERROR(INDEX(Calc!O8:O23,MATCH(B67,Calc!L8:L23,0)),""))</f>
        <v/>
      </c>
      <c r="H67" s="83">
        <f>IF(B67="","",IFERROR(INDEX(Calc!P8:P23,MATCH(B67,Calc!L8:L23,0)),""))</f>
        <v/>
      </c>
    </row>
    <row r="68">
      <c r="A68" s="83">
        <f>IF(Calc!S23="","",16)</f>
        <v/>
      </c>
      <c r="B68" s="85">
        <f>IF(Calc!S23="","",Calc!S23)</f>
        <v/>
      </c>
      <c r="C68" s="83">
        <f>IF(B68="","",IFERROR(INDEX(Employees!C6:C21,MATCH(B68,Employees!B6:B21,0)),""))</f>
        <v/>
      </c>
      <c r="D68" s="82">
        <f>IF(B68="","",IFERROR(INDEX(Employees!D6:D21,MATCH(B68,Employees!B6:B21,0)),""))</f>
        <v/>
      </c>
      <c r="E68" s="86">
        <f>IF(B68="","",Calc!T23)</f>
        <v/>
      </c>
      <c r="F68" s="87">
        <f>IF(B68="","",IFERROR(INDEX(Calc!N8:N23,MATCH(B68,Calc!L8:L23,0)),""))</f>
        <v/>
      </c>
      <c r="G68" s="83">
        <f>IF(B68="","",IFERROR(INDEX(Calc!O8:O23,MATCH(B68,Calc!L8:L23,0)),""))</f>
        <v/>
      </c>
      <c r="H68" s="83">
        <f>IF(B68="","",IFERROR(INDEX(Calc!P8:P23,MATCH(B68,Calc!L8:L23,0)),""))</f>
        <v/>
      </c>
    </row>
    <row r="70">
      <c r="A70" s="33" t="inlineStr">
        <is>
          <t>Tip: change Employee, Skill set, or Department in the yellow filter cells at the top — charts and tables update together. Add a year on the Years sheet (or just wait; 2023–2034 are already columns). Add departments and job titles on Lists, then pick them on Employees.</t>
        </is>
      </c>
    </row>
    <row r="71"/>
  </sheetData>
  <mergeCells count="30">
    <mergeCell ref="A25:R25"/>
    <mergeCell ref="G27:I28"/>
    <mergeCell ref="M7:O7"/>
    <mergeCell ref="J8:L9"/>
    <mergeCell ref="J26:L26"/>
    <mergeCell ref="D7:F7"/>
    <mergeCell ref="A26:C26"/>
    <mergeCell ref="A50:R50"/>
    <mergeCell ref="J7:L7"/>
    <mergeCell ref="A3:R3"/>
    <mergeCell ref="A2:R2"/>
    <mergeCell ref="D27:F28"/>
    <mergeCell ref="G8:I9"/>
    <mergeCell ref="G26:I26"/>
    <mergeCell ref="M26:O26"/>
    <mergeCell ref="A70:R71"/>
    <mergeCell ref="A4:R4"/>
    <mergeCell ref="J27:L28"/>
    <mergeCell ref="D26:F26"/>
    <mergeCell ref="A27:C28"/>
    <mergeCell ref="A24:R24"/>
    <mergeCell ref="M27:O28"/>
    <mergeCell ref="K5:M5"/>
    <mergeCell ref="A51:L51"/>
    <mergeCell ref="A8:C9"/>
    <mergeCell ref="M8:O9"/>
    <mergeCell ref="A7:C7"/>
    <mergeCell ref="G7:I7"/>
    <mergeCell ref="A6:R6"/>
    <mergeCell ref="D8:F9"/>
  </mergeCells>
  <conditionalFormatting sqref="M12">
    <cfRule type="cellIs" priority="1" operator="greaterThan" dxfId="7">
      <formula>0</formula>
    </cfRule>
    <cfRule type="cellIs" priority="2" operator="lessThan" dxfId="8">
      <formula>0</formula>
    </cfRule>
    <cfRule type="cellIs" priority="3" operator="equal" dxfId="9">
      <formula>0</formula>
    </cfRule>
  </conditionalFormatting>
  <conditionalFormatting sqref="M13">
    <cfRule type="cellIs" priority="4" operator="greaterThan" dxfId="7">
      <formula>0</formula>
    </cfRule>
    <cfRule type="cellIs" priority="5" operator="lessThan" dxfId="8">
      <formula>0</formula>
    </cfRule>
    <cfRule type="cellIs" priority="6" operator="equal" dxfId="9">
      <formula>0</formula>
    </cfRule>
  </conditionalFormatting>
  <conditionalFormatting sqref="M14">
    <cfRule type="cellIs" priority="7" operator="greaterThan" dxfId="7">
      <formula>0</formula>
    </cfRule>
    <cfRule type="cellIs" priority="8" operator="lessThan" dxfId="8">
      <formula>0</formula>
    </cfRule>
    <cfRule type="cellIs" priority="9" operator="equal" dxfId="9">
      <formula>0</formula>
    </cfRule>
  </conditionalFormatting>
  <conditionalFormatting sqref="M15">
    <cfRule type="cellIs" priority="10" operator="greaterThan" dxfId="7">
      <formula>0</formula>
    </cfRule>
    <cfRule type="cellIs" priority="11" operator="lessThan" dxfId="8">
      <formula>0</formula>
    </cfRule>
    <cfRule type="cellIs" priority="12" operator="equal" dxfId="9">
      <formula>0</formula>
    </cfRule>
  </conditionalFormatting>
  <conditionalFormatting sqref="M16">
    <cfRule type="cellIs" priority="13" operator="greaterThan" dxfId="7">
      <formula>0</formula>
    </cfRule>
    <cfRule type="cellIs" priority="14" operator="lessThan" dxfId="8">
      <formula>0</formula>
    </cfRule>
    <cfRule type="cellIs" priority="15" operator="equal" dxfId="9">
      <formula>0</formula>
    </cfRule>
  </conditionalFormatting>
  <conditionalFormatting sqref="M17">
    <cfRule type="cellIs" priority="16" operator="greaterThan" dxfId="7">
      <formula>0</formula>
    </cfRule>
    <cfRule type="cellIs" priority="17" operator="lessThan" dxfId="8">
      <formula>0</formula>
    </cfRule>
    <cfRule type="cellIs" priority="18" operator="equal" dxfId="9">
      <formula>0</formula>
    </cfRule>
  </conditionalFormatting>
  <conditionalFormatting sqref="M18">
    <cfRule type="cellIs" priority="19" operator="greaterThan" dxfId="7">
      <formula>0</formula>
    </cfRule>
    <cfRule type="cellIs" priority="20" operator="lessThan" dxfId="8">
      <formula>0</formula>
    </cfRule>
    <cfRule type="cellIs" priority="21" operator="equal" dxfId="9">
      <formula>0</formula>
    </cfRule>
  </conditionalFormatting>
  <conditionalFormatting sqref="B31:D46">
    <cfRule type="cellIs" priority="22" operator="equal" dxfId="1">
      <formula>1</formula>
    </cfRule>
    <cfRule type="cellIs" priority="23" operator="equal" dxfId="2">
      <formula>2</formula>
    </cfRule>
    <cfRule type="cellIs" priority="24" operator="equal" dxfId="3">
      <formula>3</formula>
    </cfRule>
    <cfRule type="cellIs" priority="25" operator="equal" dxfId="4">
      <formula>4</formula>
    </cfRule>
    <cfRule type="cellIs" priority="26" operator="equal" dxfId="5">
      <formula>5</formula>
    </cfRule>
  </conditionalFormatting>
  <conditionalFormatting sqref="E31:F46">
    <cfRule type="cellIs" priority="27" operator="greaterThan" dxfId="7">
      <formula>0</formula>
    </cfRule>
    <cfRule type="cellIs" priority="28" operator="lessThan" dxfId="8">
      <formula>0</formula>
    </cfRule>
    <cfRule type="cellIs" priority="29" operator="equal" dxfId="9">
      <formula>0</formula>
    </cfRule>
  </conditionalFormatting>
  <conditionalFormatting sqref="F53:F68">
    <cfRule type="cellIs" priority="30" operator="greaterThan" dxfId="7">
      <formula>0</formula>
    </cfRule>
    <cfRule type="cellIs" priority="31" operator="lessThan" dxfId="8">
      <formula>0</formula>
    </cfRule>
    <cfRule type="cellIs" priority="32" operator="equal" dxfId="9">
      <formula>0</formula>
    </cfRule>
  </conditionalFormatting>
  <conditionalFormatting sqref="A53:H53">
    <cfRule type="expression" priority="33" dxfId="10">
      <formula>$B53&lt;&gt;""</formula>
    </cfRule>
  </conditionalFormatting>
  <dataValidations count="3">
    <dataValidation sqref="C5" showDropDown="0" showInputMessage="0" showErrorMessage="0" allowBlank="0" promptTitle="Employee" prompt="Choose someone to see their skill history" type="list">
      <formula1>=EmployeeList</formula1>
    </dataValidation>
    <dataValidation sqref="F5" showDropDown="0" showInputMessage="0" showErrorMessage="0" allowBlank="0" promptTitle="Skill set" prompt="Choose a job profile to rank who can do it" type="list">
      <formula1>=SkillSetList</formula1>
    </dataValidation>
    <dataValidation sqref="I5" showDropDown="0" showInputMessage="0" showErrorMessage="0" allowBlank="0" promptTitle="Department" prompt="Limit the team overview to one department, or All" type="list">
      <formula1>=DeptFilterList</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drawing xmlns:r="http://schemas.openxmlformats.org/officeDocument/2006/relationships" r:id="rId10"/>
</worksheet>
</file>

<file path=xl/worksheets/sheet4.xml><?xml version="1.0" encoding="utf-8"?>
<worksheet xmlns="http://schemas.openxmlformats.org/spreadsheetml/2006/main">
  <sheetPr>
    <tabColor rgb="003D5A80"/>
    <outlinePr summaryBelow="1" summaryRight="1"/>
    <pageSetUpPr fitToPage="1"/>
  </sheetPr>
  <dimension ref="A1:I21"/>
  <sheetViews>
    <sheetView workbookViewId="0">
      <pane ySplit="5" topLeftCell="A6" activePane="bottomLeft" state="frozen"/>
      <selection pane="bottomLeft" activeCell="A1" sqref="A1"/>
    </sheetView>
  </sheetViews>
  <sheetFormatPr baseColWidth="8" defaultRowHeight="15"/>
  <cols>
    <col width="14" customWidth="1" min="1" max="1"/>
    <col width="22" customWidth="1" min="2" max="2"/>
    <col width="16" customWidth="1" min="3" max="3"/>
    <col width="22" customWidth="1" min="4" max="4"/>
    <col width="18" customWidth="1" min="5" max="5"/>
    <col width="14" customWidth="1" min="6" max="6"/>
    <col width="12" customWidth="1" min="7" max="7"/>
  </cols>
  <sheetData>
    <row r="1" ht="24" customHeight="1">
      <c r="A1" s="2" t="inlineStr">
        <is>
          <t>How to Use</t>
        </is>
      </c>
      <c r="B1" s="2" t="inlineStr">
        <is>
          <t>Skill Matrix</t>
        </is>
      </c>
      <c r="C1" s="2" t="inlineStr">
        <is>
          <t>Dashboard</t>
        </is>
      </c>
      <c r="D1" s="1" t="inlineStr">
        <is>
          <t>Employees</t>
        </is>
      </c>
      <c r="E1" s="2" t="inlineStr">
        <is>
          <t>Skills</t>
        </is>
      </c>
      <c r="F1" s="2" t="inlineStr">
        <is>
          <t>Years</t>
        </is>
      </c>
      <c r="G1" s="2" t="inlineStr">
        <is>
          <t>Lists</t>
        </is>
      </c>
      <c r="H1" s="2" t="inlineStr">
        <is>
          <t>Skill Sets</t>
        </is>
      </c>
      <c r="I1" s="2" t="inlineStr">
        <is>
          <t>Settings</t>
        </is>
      </c>
    </row>
    <row r="2">
      <c r="A2" s="4" t="inlineStr">
        <is>
          <t>Employees</t>
        </is>
      </c>
    </row>
    <row r="3" ht="36" customHeight="1">
      <c r="A3" s="88" t="inlineStr">
        <is>
          <t>Add a person in the next yellow row. Department and Job title must be chosen from the dropdowns (add new options on the Lists sheet first). Hire date is used for “since they joined” on the Dashboard.</t>
        </is>
      </c>
    </row>
    <row r="5">
      <c r="A5" s="89" t="inlineStr">
        <is>
          <t>Employee ID</t>
        </is>
      </c>
      <c r="B5" s="89" t="inlineStr">
        <is>
          <t>Full Name</t>
        </is>
      </c>
      <c r="C5" s="89" t="inlineStr">
        <is>
          <t>Department</t>
        </is>
      </c>
      <c r="D5" s="89" t="inlineStr">
        <is>
          <t>Job Title</t>
        </is>
      </c>
      <c r="E5" s="89" t="inlineStr">
        <is>
          <t>Manager</t>
        </is>
      </c>
      <c r="F5" s="89" t="inlineStr">
        <is>
          <t>Hire Date</t>
        </is>
      </c>
      <c r="G5" s="89" t="inlineStr">
        <is>
          <t>Status</t>
        </is>
      </c>
    </row>
    <row r="6">
      <c r="A6" s="90" t="inlineStr">
        <is>
          <t>EMP-001</t>
        </is>
      </c>
      <c r="B6" s="41" t="inlineStr">
        <is>
          <t>Alex Rivera</t>
        </is>
      </c>
      <c r="C6" s="41" t="inlineStr">
        <is>
          <t>Vision</t>
        </is>
      </c>
      <c r="D6" s="41" t="inlineStr">
        <is>
          <t>Vision Switcher</t>
        </is>
      </c>
      <c r="E6" s="41" t="inlineStr">
        <is>
          <t>Riley Thompson</t>
        </is>
      </c>
      <c r="F6" s="91" t="n">
        <v>44632</v>
      </c>
      <c r="G6" s="41" t="inlineStr">
        <is>
          <t>Active</t>
        </is>
      </c>
    </row>
    <row r="7">
      <c r="A7" s="90" t="inlineStr">
        <is>
          <t>EMP-002</t>
        </is>
      </c>
      <c r="B7" s="41" t="inlineStr">
        <is>
          <t>Jordan Chen</t>
        </is>
      </c>
      <c r="C7" s="41" t="inlineStr">
        <is>
          <t>Vision</t>
        </is>
      </c>
      <c r="D7" s="41" t="inlineStr">
        <is>
          <t>Camera Switcher</t>
        </is>
      </c>
      <c r="E7" s="41" t="inlineStr">
        <is>
          <t>Riley Thompson</t>
        </is>
      </c>
      <c r="F7" s="91" t="n">
        <v>44362</v>
      </c>
      <c r="G7" s="41" t="inlineStr">
        <is>
          <t>Active</t>
        </is>
      </c>
    </row>
    <row r="8">
      <c r="A8" s="90" t="inlineStr">
        <is>
          <t>EMP-003</t>
        </is>
      </c>
      <c r="B8" s="41" t="inlineStr">
        <is>
          <t>Sam Patel</t>
        </is>
      </c>
      <c r="C8" s="41" t="inlineStr">
        <is>
          <t>Content</t>
        </is>
      </c>
      <c r="D8" s="41" t="inlineStr">
        <is>
          <t>Content Operator</t>
        </is>
      </c>
      <c r="E8" s="41" t="inlineStr">
        <is>
          <t>Riley Thompson</t>
        </is>
      </c>
      <c r="F8" s="91" t="n">
        <v>44936</v>
      </c>
      <c r="G8" s="41" t="inlineStr">
        <is>
          <t>Active</t>
        </is>
      </c>
    </row>
    <row r="9">
      <c r="A9" s="90" t="inlineStr">
        <is>
          <t>EMP-004</t>
        </is>
      </c>
      <c r="B9" s="41" t="inlineStr">
        <is>
          <t>Taylor Brooks</t>
        </is>
      </c>
      <c r="C9" s="41" t="inlineStr">
        <is>
          <t>Systems</t>
        </is>
      </c>
      <c r="D9" s="41" t="inlineStr">
        <is>
          <t>Systems Technician</t>
        </is>
      </c>
      <c r="E9" s="41" t="inlineStr">
        <is>
          <t>Riley Thompson</t>
        </is>
      </c>
      <c r="F9" s="91" t="n">
        <v>44075</v>
      </c>
      <c r="G9" s="41" t="inlineStr">
        <is>
          <t>Active</t>
        </is>
      </c>
    </row>
    <row r="10">
      <c r="A10" s="90" t="inlineStr">
        <is>
          <t>EMP-005</t>
        </is>
      </c>
      <c r="B10" s="41" t="inlineStr">
        <is>
          <t>Morgan Lee</t>
        </is>
      </c>
      <c r="C10" s="41" t="inlineStr">
        <is>
          <t>Systems</t>
        </is>
      </c>
      <c r="D10" s="41" t="inlineStr">
        <is>
          <t>Setup Technician</t>
        </is>
      </c>
      <c r="E10" s="41" t="inlineStr">
        <is>
          <t>Riley Thompson</t>
        </is>
      </c>
      <c r="F10" s="91" t="n">
        <v>45342</v>
      </c>
      <c r="G10" s="41" t="inlineStr">
        <is>
          <t>Active</t>
        </is>
      </c>
    </row>
    <row r="11">
      <c r="A11" s="90" t="inlineStr">
        <is>
          <t>EMP-006</t>
        </is>
      </c>
      <c r="B11" s="41" t="inlineStr">
        <is>
          <t>Casey Nguyen</t>
        </is>
      </c>
      <c r="C11" s="41" t="inlineStr">
        <is>
          <t>Streaming</t>
        </is>
      </c>
      <c r="D11" s="41" t="inlineStr">
        <is>
          <t>Streaming Operator</t>
        </is>
      </c>
      <c r="E11" s="41" t="inlineStr">
        <is>
          <t>Riley Thompson</t>
        </is>
      </c>
      <c r="F11" s="91" t="n">
        <v>44869</v>
      </c>
      <c r="G11" s="41" t="inlineStr">
        <is>
          <t>Active</t>
        </is>
      </c>
    </row>
    <row r="12">
      <c r="A12" s="90" t="inlineStr">
        <is>
          <t>EMP-007</t>
        </is>
      </c>
      <c r="B12" s="41" t="inlineStr">
        <is>
          <t>Riley Thompson</t>
        </is>
      </c>
      <c r="C12" s="41" t="inlineStr">
        <is>
          <t>Vision</t>
        </is>
      </c>
      <c r="D12" s="41" t="inlineStr">
        <is>
          <t>Vision Supervisor</t>
        </is>
      </c>
      <c r="E12" s="41" t="inlineStr">
        <is>
          <t>Dana Wright</t>
        </is>
      </c>
      <c r="F12" s="91" t="n">
        <v>43563</v>
      </c>
      <c r="G12" s="41" t="inlineStr">
        <is>
          <t>Active</t>
        </is>
      </c>
    </row>
    <row r="13">
      <c r="A13" s="90" t="inlineStr">
        <is>
          <t>EMP-008</t>
        </is>
      </c>
      <c r="B13" s="41" t="inlineStr">
        <is>
          <t>Avery Kim</t>
        </is>
      </c>
      <c r="C13" s="41" t="inlineStr">
        <is>
          <t>Content</t>
        </is>
      </c>
      <c r="D13" s="41" t="inlineStr">
        <is>
          <t>Content Operator</t>
        </is>
      </c>
      <c r="E13" s="41" t="inlineStr">
        <is>
          <t>Riley Thompson</t>
        </is>
      </c>
      <c r="F13" s="91" t="n">
        <v>45522</v>
      </c>
      <c r="G13" s="41" t="inlineStr">
        <is>
          <t>Active</t>
        </is>
      </c>
    </row>
    <row r="14">
      <c r="A14" s="92" t="inlineStr">
        <is>
          <t>EMP-009</t>
        </is>
      </c>
      <c r="B14" s="93" t="inlineStr"/>
      <c r="C14" s="93" t="inlineStr"/>
      <c r="D14" s="93" t="inlineStr"/>
      <c r="E14" s="93" t="inlineStr"/>
      <c r="F14" s="94" t="n"/>
      <c r="G14" s="93" t="inlineStr"/>
    </row>
    <row r="15">
      <c r="A15" s="92" t="inlineStr">
        <is>
          <t>EMP-010</t>
        </is>
      </c>
      <c r="B15" s="93" t="inlineStr"/>
      <c r="C15" s="93" t="inlineStr"/>
      <c r="D15" s="93" t="inlineStr"/>
      <c r="E15" s="93" t="inlineStr"/>
      <c r="F15" s="94" t="n"/>
      <c r="G15" s="93" t="inlineStr"/>
    </row>
    <row r="16">
      <c r="A16" s="92" t="inlineStr">
        <is>
          <t>EMP-011</t>
        </is>
      </c>
      <c r="B16" s="93" t="inlineStr"/>
      <c r="C16" s="93" t="inlineStr"/>
      <c r="D16" s="93" t="inlineStr"/>
      <c r="E16" s="93" t="inlineStr"/>
      <c r="F16" s="94" t="n"/>
      <c r="G16" s="93" t="inlineStr"/>
    </row>
    <row r="17">
      <c r="A17" s="92" t="inlineStr">
        <is>
          <t>EMP-012</t>
        </is>
      </c>
      <c r="B17" s="93" t="inlineStr"/>
      <c r="C17" s="93" t="inlineStr"/>
      <c r="D17" s="93" t="inlineStr"/>
      <c r="E17" s="93" t="inlineStr"/>
      <c r="F17" s="94" t="n"/>
      <c r="G17" s="93" t="inlineStr"/>
    </row>
    <row r="18">
      <c r="A18" s="92" t="inlineStr">
        <is>
          <t>EMP-013</t>
        </is>
      </c>
      <c r="B18" s="93" t="inlineStr"/>
      <c r="C18" s="93" t="inlineStr"/>
      <c r="D18" s="93" t="inlineStr"/>
      <c r="E18" s="93" t="inlineStr"/>
      <c r="F18" s="94" t="n"/>
      <c r="G18" s="93" t="inlineStr"/>
    </row>
    <row r="19">
      <c r="A19" s="92" t="inlineStr">
        <is>
          <t>EMP-014</t>
        </is>
      </c>
      <c r="B19" s="93" t="inlineStr"/>
      <c r="C19" s="93" t="inlineStr"/>
      <c r="D19" s="93" t="inlineStr"/>
      <c r="E19" s="93" t="inlineStr"/>
      <c r="F19" s="94" t="n"/>
      <c r="G19" s="93" t="inlineStr"/>
    </row>
    <row r="20">
      <c r="A20" s="92" t="inlineStr">
        <is>
          <t>EMP-015</t>
        </is>
      </c>
      <c r="B20" s="93" t="inlineStr"/>
      <c r="C20" s="93" t="inlineStr"/>
      <c r="D20" s="93" t="inlineStr"/>
      <c r="E20" s="93" t="inlineStr"/>
      <c r="F20" s="94" t="n"/>
      <c r="G20" s="93" t="inlineStr"/>
    </row>
    <row r="21">
      <c r="A21" s="92" t="inlineStr">
        <is>
          <t>EMP-016</t>
        </is>
      </c>
      <c r="B21" s="93" t="inlineStr"/>
      <c r="C21" s="93" t="inlineStr"/>
      <c r="D21" s="93" t="inlineStr"/>
      <c r="E21" s="93" t="inlineStr"/>
      <c r="F21" s="94" t="n"/>
      <c r="G21" s="93" t="inlineStr"/>
    </row>
  </sheetData>
  <mergeCells count="2">
    <mergeCell ref="A3:G3"/>
    <mergeCell ref="A2:G2"/>
  </mergeCells>
  <dataValidations count="2">
    <dataValidation sqref="C6:C21" showDropDown="0" showInputMessage="0" showErrorMessage="1" allowBlank="1" errorTitle="Department not in list" error="Add this department on the Lists sheet first, then choose it here." promptTitle="Department" prompt="Choose from the list. Add new departments on the Lists sheet." type="list">
      <formula1>=DepartmentList</formula1>
    </dataValidation>
    <dataValidation sqref="D6:D21" showDropDown="0" showInputMessage="0" showErrorMessage="1" allowBlank="1" errorTitle="Job title not in list" error="Add this job title on the Lists sheet first, then choose it here." promptTitle="Job title" prompt="Choose from the list. Add new titles on the Lists sheet." type="list">
      <formula1>=JobTitleList</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10"/>
  </tableParts>
</worksheet>
</file>

<file path=xl/worksheets/sheet5.xml><?xml version="1.0" encoding="utf-8"?>
<worksheet xmlns="http://schemas.openxmlformats.org/spreadsheetml/2006/main">
  <sheetPr>
    <tabColor rgb="000E7C7B"/>
    <outlinePr summaryBelow="1" summaryRight="1"/>
    <pageSetUpPr fitToPage="1"/>
  </sheetPr>
  <dimension ref="A1:I21"/>
  <sheetViews>
    <sheetView workbookViewId="0">
      <pane ySplit="5" topLeftCell="A6" activePane="bottomLeft" state="frozen"/>
      <selection pane="bottomLeft" activeCell="A1" sqref="A1"/>
    </sheetView>
  </sheetViews>
  <sheetFormatPr baseColWidth="8" defaultRowHeight="15"/>
  <cols>
    <col width="12" customWidth="1" min="1" max="1"/>
    <col width="32" customWidth="1" min="2" max="2"/>
    <col width="16" customWidth="1" min="3" max="3"/>
    <col width="62" customWidth="1" min="4" max="4"/>
  </cols>
  <sheetData>
    <row r="1" ht="24" customHeight="1">
      <c r="A1" s="2" t="inlineStr">
        <is>
          <t>How to Use</t>
        </is>
      </c>
      <c r="B1" s="2" t="inlineStr">
        <is>
          <t>Skill Matrix</t>
        </is>
      </c>
      <c r="C1" s="2" t="inlineStr">
        <is>
          <t>Dashboard</t>
        </is>
      </c>
      <c r="D1" s="2" t="inlineStr">
        <is>
          <t>Employees</t>
        </is>
      </c>
      <c r="E1" s="1" t="inlineStr">
        <is>
          <t>Skills</t>
        </is>
      </c>
      <c r="F1" s="2" t="inlineStr">
        <is>
          <t>Years</t>
        </is>
      </c>
      <c r="G1" s="2" t="inlineStr">
        <is>
          <t>Lists</t>
        </is>
      </c>
      <c r="H1" s="2" t="inlineStr">
        <is>
          <t>Skill Sets</t>
        </is>
      </c>
      <c r="I1" s="2" t="inlineStr">
        <is>
          <t>Settings</t>
        </is>
      </c>
    </row>
    <row r="2">
      <c r="A2" s="4" t="inlineStr">
        <is>
          <t>Skills catalog</t>
        </is>
      </c>
    </row>
    <row r="3" ht="40" customHeight="1">
      <c r="A3" s="88" t="inlineStr">
        <is>
          <t>Add a skill in the next yellow row. Every employee gets a row for it on the Skill Matrix. Then add it to a skill set on the Skill Sets sheet if you want to find who can do that job.</t>
        </is>
      </c>
    </row>
    <row r="5">
      <c r="A5" s="89" t="inlineStr">
        <is>
          <t>Skill ID</t>
        </is>
      </c>
      <c r="B5" s="89" t="inlineStr">
        <is>
          <t>Skill Name</t>
        </is>
      </c>
      <c r="C5" s="89" t="inlineStr">
        <is>
          <t>Category</t>
        </is>
      </c>
      <c r="D5" s="89" t="inlineStr">
        <is>
          <t>Description</t>
        </is>
      </c>
    </row>
    <row r="6" ht="22" customHeight="1">
      <c r="A6" s="95" t="inlineStr">
        <is>
          <t>SK-001</t>
        </is>
      </c>
      <c r="B6" s="96" t="inlineStr">
        <is>
          <t>Barco Vision Switching</t>
        </is>
      </c>
      <c r="C6" s="96" t="inlineStr">
        <is>
          <t>Switching</t>
        </is>
      </c>
      <c r="D6" s="96" t="inlineStr">
        <is>
          <t>Operate Barco (or similar) processors and switch LED / IMAG / program during the show</t>
        </is>
      </c>
    </row>
    <row r="7" ht="22" customHeight="1">
      <c r="A7" s="95" t="inlineStr">
        <is>
          <t>SK-002</t>
        </is>
      </c>
      <c r="B7" s="96" t="inlineStr">
        <is>
          <t>Camera Switching</t>
        </is>
      </c>
      <c r="C7" s="96" t="inlineStr">
        <is>
          <t>Switching</t>
        </is>
      </c>
      <c r="D7" s="96" t="inlineStr">
        <is>
          <t>Cut cameras and direct the live picture</t>
        </is>
      </c>
    </row>
    <row r="8" ht="22" customHeight="1">
      <c r="A8" s="95" t="inlineStr">
        <is>
          <t>SK-003</t>
        </is>
      </c>
      <c r="B8" s="96" t="inlineStr">
        <is>
          <t>Content Operation</t>
        </is>
      </c>
      <c r="C8" s="96" t="inlineStr">
        <is>
          <t>Content</t>
        </is>
      </c>
      <c r="D8" s="96" t="inlineStr">
        <is>
          <t>Cue and play out show content — media servers, playback, and graphics</t>
        </is>
      </c>
    </row>
    <row r="9" ht="22" customHeight="1">
      <c r="A9" s="95" t="inlineStr">
        <is>
          <t>SK-004</t>
        </is>
      </c>
      <c r="B9" s="96" t="inlineStr">
        <is>
          <t>Systems Tech</t>
        </is>
      </c>
      <c r="C9" s="96" t="inlineStr">
        <is>
          <t>Systems</t>
        </is>
      </c>
      <c r="D9" s="96" t="inlineStr">
        <is>
          <t>Signal flow, routing, networking, and show systems</t>
        </is>
      </c>
    </row>
    <row r="10" ht="22" customHeight="1">
      <c r="A10" s="95" t="inlineStr">
        <is>
          <t>SK-005</t>
        </is>
      </c>
      <c r="B10" s="96" t="inlineStr">
        <is>
          <t>Technical Setup</t>
        </is>
      </c>
      <c r="C10" s="96" t="inlineStr">
        <is>
          <t>Systems</t>
        </is>
      </c>
      <c r="D10" s="96" t="inlineStr">
        <is>
          <t>Rig, patch, and line-check vision systems before doors</t>
        </is>
      </c>
    </row>
    <row r="11" ht="22" customHeight="1">
      <c r="A11" s="95" t="inlineStr">
        <is>
          <t>SK-006</t>
        </is>
      </c>
      <c r="B11" s="96" t="inlineStr">
        <is>
          <t>Live Streaming</t>
        </is>
      </c>
      <c r="C11" s="96" t="inlineStr">
        <is>
          <t>Streaming</t>
        </is>
      </c>
      <c r="D11" s="96" t="inlineStr">
        <is>
          <t>Encode, monitor, and deliver the live stream</t>
        </is>
      </c>
    </row>
    <row r="12" ht="22" customHeight="1">
      <c r="A12" s="95" t="inlineStr">
        <is>
          <t>SK-007</t>
        </is>
      </c>
      <c r="B12" s="96" t="inlineStr">
        <is>
          <t>Troubleshooting</t>
        </is>
      </c>
      <c r="C12" s="96" t="inlineStr">
        <is>
          <t>Support</t>
        </is>
      </c>
      <c r="D12" s="96" t="inlineStr">
        <is>
          <t>Diagnose and fix issues under show pressure</t>
        </is>
      </c>
    </row>
    <row r="13" ht="22" customHeight="1">
      <c r="A13" s="97" t="inlineStr">
        <is>
          <t>SK-008</t>
        </is>
      </c>
      <c r="B13" s="98" t="inlineStr"/>
      <c r="C13" s="98" t="inlineStr"/>
      <c r="D13" s="98" t="inlineStr"/>
    </row>
    <row r="14" ht="22" customHeight="1">
      <c r="A14" s="97" t="inlineStr">
        <is>
          <t>SK-009</t>
        </is>
      </c>
      <c r="B14" s="98" t="inlineStr"/>
      <c r="C14" s="98" t="inlineStr"/>
      <c r="D14" s="98" t="inlineStr"/>
    </row>
    <row r="15" ht="22" customHeight="1">
      <c r="A15" s="97" t="inlineStr">
        <is>
          <t>SK-010</t>
        </is>
      </c>
      <c r="B15" s="98" t="inlineStr"/>
      <c r="C15" s="98" t="inlineStr"/>
      <c r="D15" s="98" t="inlineStr"/>
    </row>
    <row r="16" ht="22" customHeight="1">
      <c r="A16" s="97" t="inlineStr">
        <is>
          <t>SK-011</t>
        </is>
      </c>
      <c r="B16" s="98" t="inlineStr"/>
      <c r="C16" s="98" t="inlineStr"/>
      <c r="D16" s="98" t="inlineStr"/>
    </row>
    <row r="17" ht="22" customHeight="1">
      <c r="A17" s="97" t="inlineStr">
        <is>
          <t>SK-012</t>
        </is>
      </c>
      <c r="B17" s="98" t="inlineStr"/>
      <c r="C17" s="98" t="inlineStr"/>
      <c r="D17" s="98" t="inlineStr"/>
    </row>
    <row r="18" ht="22" customHeight="1">
      <c r="A18" s="97" t="inlineStr">
        <is>
          <t>SK-013</t>
        </is>
      </c>
      <c r="B18" s="98" t="inlineStr"/>
      <c r="C18" s="98" t="inlineStr"/>
      <c r="D18" s="98" t="inlineStr"/>
    </row>
    <row r="19" ht="22" customHeight="1">
      <c r="A19" s="97" t="inlineStr">
        <is>
          <t>SK-014</t>
        </is>
      </c>
      <c r="B19" s="98" t="inlineStr"/>
      <c r="C19" s="98" t="inlineStr"/>
      <c r="D19" s="98" t="inlineStr"/>
    </row>
    <row r="20" ht="22" customHeight="1">
      <c r="A20" s="97" t="inlineStr">
        <is>
          <t>SK-015</t>
        </is>
      </c>
      <c r="B20" s="98" t="inlineStr"/>
      <c r="C20" s="98" t="inlineStr"/>
      <c r="D20" s="98" t="inlineStr"/>
    </row>
    <row r="21" ht="22" customHeight="1">
      <c r="A21" s="97" t="inlineStr">
        <is>
          <t>SK-016</t>
        </is>
      </c>
      <c r="B21" s="98" t="inlineStr"/>
      <c r="C21" s="98" t="inlineStr"/>
      <c r="D21" s="98" t="inlineStr"/>
    </row>
  </sheetData>
  <mergeCells count="2">
    <mergeCell ref="A3:D3"/>
    <mergeCell ref="A2:D2"/>
  </mergeCells>
  <dataValidations count="1">
    <dataValidation sqref="C6:C21" showDropDown="0" showInputMessage="0" showErrorMessage="0" allowBlank="1" promptTitle="Category" prompt="Optional grouping" type="list">
      <formula1>"Switching,Content,Systems,Streaming,Support"</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10"/>
  </tableParts>
</worksheet>
</file>

<file path=xl/worksheets/sheet6.xml><?xml version="1.0" encoding="utf-8"?>
<worksheet xmlns="http://schemas.openxmlformats.org/spreadsheetml/2006/main">
  <sheetPr>
    <tabColor rgb="000E7C7B"/>
    <outlinePr summaryBelow="1" summaryRight="1"/>
    <pageSetUpPr fitToPage="1"/>
  </sheetPr>
  <dimension ref="A1:I23"/>
  <sheetViews>
    <sheetView workbookViewId="0">
      <pane ySplit="7" topLeftCell="A8" activePane="bottomLeft" state="frozen"/>
      <selection pane="bottomLeft" activeCell="A1" sqref="A1"/>
    </sheetView>
  </sheetViews>
  <sheetFormatPr baseColWidth="8" defaultRowHeight="15"/>
  <cols>
    <col width="6" customWidth="1" min="1" max="1"/>
    <col width="12" customWidth="1" min="2" max="2"/>
    <col width="24" customWidth="1" min="3" max="3"/>
    <col width="36" customWidth="1" min="4" max="4"/>
    <col width="3" customWidth="1" min="5" max="5"/>
    <col width="16" customWidth="1" min="6" max="6"/>
    <col width="16" customWidth="1" min="7" max="7"/>
    <col width="16" customWidth="1" min="8" max="8"/>
  </cols>
  <sheetData>
    <row r="1" ht="24" customHeight="1">
      <c r="A1" s="2" t="inlineStr">
        <is>
          <t>How to Use</t>
        </is>
      </c>
      <c r="B1" s="2" t="inlineStr">
        <is>
          <t>Skill Matrix</t>
        </is>
      </c>
      <c r="C1" s="2" t="inlineStr">
        <is>
          <t>Dashboard</t>
        </is>
      </c>
      <c r="D1" s="2" t="inlineStr">
        <is>
          <t>Employees</t>
        </is>
      </c>
      <c r="E1" s="2" t="inlineStr">
        <is>
          <t>Skills</t>
        </is>
      </c>
      <c r="F1" s="1" t="inlineStr">
        <is>
          <t>Years</t>
        </is>
      </c>
      <c r="G1" s="2" t="inlineStr">
        <is>
          <t>Lists</t>
        </is>
      </c>
      <c r="H1" s="2" t="inlineStr">
        <is>
          <t>Skill Sets</t>
        </is>
      </c>
      <c r="I1" s="2" t="inlineStr">
        <is>
          <t>Settings</t>
        </is>
      </c>
    </row>
    <row r="2">
      <c r="A2" s="4" t="inlineStr">
        <is>
          <t>Years</t>
        </is>
      </c>
      <c r="F2" s="99">
        <f>IF(COUNTIF(B:B,YEAR(TODAY()))&gt;0,"CURRENT YEAR IS READY","ADD THIS YEAR")</f>
        <v/>
      </c>
      <c r="G2" s="99" t="n"/>
      <c r="H2" s="99" t="n"/>
    </row>
    <row r="3">
      <c r="A3" s="100">
        <f>IF(COUNTIF($B$8:$B$23,YEAR(TODAY()))&gt;0,"Calendar year "&amp;YEAR(TODAY())&amp;" is already a column on the Skill Matrix. Open Skill Matrix and enter this year's 1–5 ratings. Next years through 2034 are already waiting — when January arrives, just start rating that column. Nothing to copy from last year.","New calendar year "&amp;YEAR(TODAY())&amp;" is not in the list yet. Type "&amp;YEAR(TODAY())&amp;" in the next yellow row in the Year column, then rate people on the Skill Matrix.")</f>
        <v/>
      </c>
      <c r="F3" s="99" t="n"/>
      <c r="G3" s="99" t="n"/>
      <c r="H3" s="99" t="n"/>
    </row>
    <row r="4">
      <c r="F4" s="99" t="n"/>
      <c r="G4" s="99" t="n"/>
      <c r="H4" s="99" t="n"/>
    </row>
    <row r="5">
      <c r="A5" s="33" t="inlineStr">
        <is>
          <t>To add a year beyond 2034 (or a missing historical year): type it in the next yellow row, in order, oldest to newest. A new column appears on the Skill Matrix. Do not use a formula for a year that already has ratings.</t>
        </is>
      </c>
      <c r="F5" s="101">
        <f>IF(COUNTIF($B$8:$B$23,YEAR(TODAY()))&gt;0,HYPERLINK("#'Skill Matrix'!A1","Rate "&amp;YEAR(TODAY())&amp;" on the Skill Matrix →"),HYPERLINK("#Years!B20","Type "&amp;YEAR(TODAY())&amp;" in the yellow row →"))</f>
        <v/>
      </c>
      <c r="G5" s="3" t="n"/>
      <c r="H5" s="3" t="n"/>
    </row>
    <row r="6">
      <c r="F6" s="3" t="n"/>
      <c r="G6" s="3" t="n"/>
      <c r="H6" s="3" t="n"/>
    </row>
    <row r="7">
      <c r="A7" s="89" t="inlineStr">
        <is>
          <t>#</t>
        </is>
      </c>
      <c r="B7" s="89" t="inlineStr">
        <is>
          <t>Year</t>
        </is>
      </c>
      <c r="C7" s="89" t="inlineStr">
        <is>
          <t>Label</t>
        </is>
      </c>
      <c r="D7" s="89" t="inlineStr">
        <is>
          <t>Notes</t>
        </is>
      </c>
    </row>
    <row r="8">
      <c r="A8" s="83" t="n">
        <v>1</v>
      </c>
      <c r="B8" s="102" t="n">
        <v>2023</v>
      </c>
      <c r="C8" s="41" t="inlineStr">
        <is>
          <t>Three years back</t>
        </is>
      </c>
      <c r="D8" s="41" t="inlineStr">
        <is>
          <t>Column already on Skill Matrix</t>
        </is>
      </c>
    </row>
    <row r="9">
      <c r="A9" s="83" t="n">
        <v>2</v>
      </c>
      <c r="B9" s="102" t="n">
        <v>2024</v>
      </c>
      <c r="C9" s="41" t="inlineStr">
        <is>
          <t>Two years back</t>
        </is>
      </c>
      <c r="D9" s="41" t="inlineStr">
        <is>
          <t>Column already on Skill Matrix</t>
        </is>
      </c>
    </row>
    <row r="10">
      <c r="A10" s="83" t="n">
        <v>3</v>
      </c>
      <c r="B10" s="102" t="n">
        <v>2025</v>
      </c>
      <c r="C10" s="41" t="inlineStr">
        <is>
          <t>Last sample year</t>
        </is>
      </c>
      <c r="D10" s="41" t="inlineStr">
        <is>
          <t>Column already on Skill Matrix</t>
        </is>
      </c>
    </row>
    <row r="11">
      <c r="A11" s="83" t="n">
        <v>4</v>
      </c>
      <c r="B11" s="102" t="n">
        <v>2026</v>
      </c>
      <c r="C11" s="41" t="inlineStr">
        <is>
          <t>Current sample year</t>
        </is>
      </c>
      <c r="D11" s="41" t="inlineStr">
        <is>
          <t>Column already on Skill Matrix</t>
        </is>
      </c>
    </row>
    <row r="12">
      <c r="A12" s="83" t="n">
        <v>5</v>
      </c>
      <c r="B12" s="102" t="n">
        <v>2027</v>
      </c>
      <c r="C12" s="41" t="inlineStr">
        <is>
          <t>Ready for ratings</t>
        </is>
      </c>
      <c r="D12" s="41" t="inlineStr">
        <is>
          <t>Column already on Skill Matrix</t>
        </is>
      </c>
    </row>
    <row r="13">
      <c r="A13" s="83" t="n">
        <v>6</v>
      </c>
      <c r="B13" s="102" t="n">
        <v>2028</v>
      </c>
      <c r="C13" s="41" t="inlineStr">
        <is>
          <t>Ready for ratings</t>
        </is>
      </c>
      <c r="D13" s="41" t="inlineStr">
        <is>
          <t>Column already on Skill Matrix</t>
        </is>
      </c>
    </row>
    <row r="14">
      <c r="A14" s="83" t="n">
        <v>7</v>
      </c>
      <c r="B14" s="102" t="n">
        <v>2029</v>
      </c>
      <c r="C14" s="41" t="inlineStr">
        <is>
          <t>Ready for ratings</t>
        </is>
      </c>
      <c r="D14" s="41" t="inlineStr">
        <is>
          <t>Column already on Skill Matrix</t>
        </is>
      </c>
    </row>
    <row r="15">
      <c r="A15" s="83" t="n">
        <v>8</v>
      </c>
      <c r="B15" s="102" t="n">
        <v>2030</v>
      </c>
      <c r="C15" s="41" t="inlineStr">
        <is>
          <t>Ready for ratings</t>
        </is>
      </c>
      <c r="D15" s="41" t="inlineStr">
        <is>
          <t>Column already on Skill Matrix</t>
        </is>
      </c>
    </row>
    <row r="16">
      <c r="A16" s="83" t="n">
        <v>9</v>
      </c>
      <c r="B16" s="102" t="n">
        <v>2031</v>
      </c>
      <c r="C16" s="41" t="inlineStr">
        <is>
          <t>Ready for ratings</t>
        </is>
      </c>
      <c r="D16" s="41" t="inlineStr">
        <is>
          <t>Column already on Skill Matrix</t>
        </is>
      </c>
    </row>
    <row r="17">
      <c r="A17" s="83" t="n">
        <v>10</v>
      </c>
      <c r="B17" s="102" t="n">
        <v>2032</v>
      </c>
      <c r="C17" s="41" t="inlineStr">
        <is>
          <t>Ready for ratings</t>
        </is>
      </c>
      <c r="D17" s="41" t="inlineStr">
        <is>
          <t>Column already on Skill Matrix</t>
        </is>
      </c>
    </row>
    <row r="18">
      <c r="A18" s="83" t="n">
        <v>11</v>
      </c>
      <c r="B18" s="102" t="n">
        <v>2033</v>
      </c>
      <c r="C18" s="41" t="inlineStr">
        <is>
          <t>Ready for ratings</t>
        </is>
      </c>
      <c r="D18" s="41" t="inlineStr">
        <is>
          <t>Column already on Skill Matrix</t>
        </is>
      </c>
    </row>
    <row r="19">
      <c r="A19" s="83" t="n">
        <v>12</v>
      </c>
      <c r="B19" s="102" t="n">
        <v>2034</v>
      </c>
      <c r="C19" s="41" t="inlineStr">
        <is>
          <t>Ready for ratings</t>
        </is>
      </c>
      <c r="D19" s="41" t="inlineStr">
        <is>
          <t>Column already on Skill Matrix</t>
        </is>
      </c>
    </row>
    <row r="20">
      <c r="A20" s="83" t="n">
        <v>13</v>
      </c>
      <c r="B20" s="103" t="inlineStr"/>
      <c r="C20" s="93" t="inlineStr"/>
      <c r="D20" s="93" t="inlineStr">
        <is>
          <t>Type a year here to add a column</t>
        </is>
      </c>
    </row>
    <row r="21">
      <c r="A21" s="83" t="n">
        <v>14</v>
      </c>
      <c r="B21" s="103" t="inlineStr"/>
      <c r="C21" s="93" t="inlineStr"/>
      <c r="D21" s="93" t="inlineStr">
        <is>
          <t>Type a year here to add a column</t>
        </is>
      </c>
    </row>
    <row r="22">
      <c r="A22" s="83" t="n">
        <v>15</v>
      </c>
      <c r="B22" s="103" t="inlineStr"/>
      <c r="C22" s="93" t="inlineStr"/>
      <c r="D22" s="93" t="inlineStr">
        <is>
          <t>Type a year here to add a column</t>
        </is>
      </c>
    </row>
    <row r="23">
      <c r="A23" s="83" t="n">
        <v>16</v>
      </c>
      <c r="B23" s="103" t="inlineStr"/>
      <c r="C23" s="93" t="inlineStr"/>
      <c r="D23" s="93" t="inlineStr">
        <is>
          <t>Type a year here to add a column</t>
        </is>
      </c>
    </row>
  </sheetData>
  <mergeCells count="5">
    <mergeCell ref="A5:D6"/>
    <mergeCell ref="F5:H6"/>
    <mergeCell ref="A3:D4"/>
    <mergeCell ref="A2:D2"/>
    <mergeCell ref="F2:H4"/>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10"/>
  </tableParts>
</worksheet>
</file>

<file path=xl/worksheets/sheet7.xml><?xml version="1.0" encoding="utf-8"?>
<worksheet xmlns="http://schemas.openxmlformats.org/spreadsheetml/2006/main">
  <sheetPr>
    <tabColor rgb="003D5A80"/>
    <outlinePr summaryBelow="1" summaryRight="1"/>
    <pageSetUpPr fitToPage="1"/>
  </sheetPr>
  <dimension ref="A1:I22"/>
  <sheetViews>
    <sheetView workbookViewId="0">
      <pane ySplit="4" topLeftCell="A5" activePane="bottomLeft" state="frozen"/>
      <selection pane="bottomLeft" activeCell="A1" sqref="A1"/>
    </sheetView>
  </sheetViews>
  <sheetFormatPr baseColWidth="8" defaultRowHeight="15"/>
  <cols>
    <col width="28" customWidth="1" min="1" max="1"/>
    <col width="4" customWidth="1" min="2" max="2"/>
    <col width="28" customWidth="1" min="3" max="3"/>
    <col hidden="1" width="13" customWidth="1" min="5" max="5"/>
  </cols>
  <sheetData>
    <row r="1" ht="24" customHeight="1">
      <c r="A1" s="2" t="inlineStr">
        <is>
          <t>How to Use</t>
        </is>
      </c>
      <c r="B1" s="2" t="inlineStr">
        <is>
          <t>Skill Matrix</t>
        </is>
      </c>
      <c r="C1" s="2" t="inlineStr">
        <is>
          <t>Dashboard</t>
        </is>
      </c>
      <c r="D1" s="2" t="inlineStr">
        <is>
          <t>Employees</t>
        </is>
      </c>
      <c r="E1" s="2" t="inlineStr">
        <is>
          <t>Skills</t>
        </is>
      </c>
      <c r="F1" s="2" t="inlineStr">
        <is>
          <t>Years</t>
        </is>
      </c>
      <c r="G1" s="1" t="inlineStr">
        <is>
          <t>Lists</t>
        </is>
      </c>
      <c r="H1" s="2" t="inlineStr">
        <is>
          <t>Skill Sets</t>
        </is>
      </c>
      <c r="I1" s="2" t="inlineStr">
        <is>
          <t>Settings</t>
        </is>
      </c>
    </row>
    <row r="2">
      <c r="A2" s="4" t="inlineStr">
        <is>
          <t>Dropdown lists</t>
        </is>
      </c>
    </row>
    <row r="3" ht="36" customHeight="1">
      <c r="A3" s="88" t="inlineStr">
        <is>
          <t>Add a department or job title in the next yellow row. It appears in the Employees dropdowns automatically. Add it here first, then choose it on the Employees sheet.</t>
        </is>
      </c>
    </row>
    <row r="5">
      <c r="A5" s="89" t="inlineStr">
        <is>
          <t>Department</t>
        </is>
      </c>
      <c r="C5" s="89" t="inlineStr">
        <is>
          <t>Job title</t>
        </is>
      </c>
      <c r="E5" t="inlineStr">
        <is>
          <t>DeptFilter</t>
        </is>
      </c>
    </row>
    <row r="6">
      <c r="A6" s="41" t="inlineStr">
        <is>
          <t>Vision</t>
        </is>
      </c>
      <c r="B6" s="104" t="n"/>
      <c r="C6" s="41" t="inlineStr">
        <is>
          <t>Vision Switcher</t>
        </is>
      </c>
      <c r="E6" t="inlineStr">
        <is>
          <t>(All departments)</t>
        </is>
      </c>
    </row>
    <row r="7">
      <c r="A7" s="41" t="inlineStr">
        <is>
          <t>Content</t>
        </is>
      </c>
      <c r="B7" s="104" t="n"/>
      <c r="C7" s="41" t="inlineStr">
        <is>
          <t>Camera Switcher</t>
        </is>
      </c>
      <c r="E7">
        <f>IF(A6="","",A6)</f>
        <v/>
      </c>
    </row>
    <row r="8">
      <c r="A8" s="41" t="inlineStr">
        <is>
          <t>Systems</t>
        </is>
      </c>
      <c r="B8" s="104" t="n"/>
      <c r="C8" s="41" t="inlineStr">
        <is>
          <t>Content Operator</t>
        </is>
      </c>
      <c r="E8">
        <f>IF(A7="","",A7)</f>
        <v/>
      </c>
    </row>
    <row r="9">
      <c r="A9" s="41" t="inlineStr">
        <is>
          <t>Streaming</t>
        </is>
      </c>
      <c r="B9" s="104" t="n"/>
      <c r="C9" s="41" t="inlineStr">
        <is>
          <t>Systems Technician</t>
        </is>
      </c>
      <c r="E9">
        <f>IF(A8="","",A8)</f>
        <v/>
      </c>
    </row>
    <row r="10">
      <c r="A10" s="93" t="inlineStr"/>
      <c r="B10" s="104" t="n"/>
      <c r="C10" s="41" t="inlineStr">
        <is>
          <t>Setup Technician</t>
        </is>
      </c>
      <c r="E10">
        <f>IF(A9="","",A9)</f>
        <v/>
      </c>
    </row>
    <row r="11">
      <c r="A11" s="93" t="inlineStr"/>
      <c r="B11" s="104" t="n"/>
      <c r="C11" s="41" t="inlineStr">
        <is>
          <t>Streaming Operator</t>
        </is>
      </c>
      <c r="E11">
        <f>IF(A10="","",A10)</f>
        <v/>
      </c>
    </row>
    <row r="12">
      <c r="A12" s="93" t="inlineStr"/>
      <c r="B12" s="104" t="n"/>
      <c r="C12" s="41" t="inlineStr">
        <is>
          <t>Vision Supervisor</t>
        </is>
      </c>
      <c r="E12">
        <f>IF(A11="","",A11)</f>
        <v/>
      </c>
    </row>
    <row r="13">
      <c r="A13" s="93" t="inlineStr"/>
      <c r="B13" s="104" t="n"/>
      <c r="C13" s="93" t="inlineStr"/>
      <c r="E13">
        <f>IF(A12="","",A12)</f>
        <v/>
      </c>
    </row>
    <row r="14">
      <c r="A14" s="93" t="inlineStr"/>
      <c r="B14" s="104" t="n"/>
      <c r="C14" s="93" t="inlineStr"/>
      <c r="E14">
        <f>IF(A13="","",A13)</f>
        <v/>
      </c>
    </row>
    <row r="15">
      <c r="A15" s="93" t="inlineStr"/>
      <c r="B15" s="104" t="n"/>
      <c r="C15" s="93" t="inlineStr"/>
      <c r="E15">
        <f>IF(A14="","",A14)</f>
        <v/>
      </c>
    </row>
    <row r="16">
      <c r="A16" s="93" t="inlineStr"/>
      <c r="B16" s="104" t="n"/>
      <c r="C16" s="93" t="inlineStr"/>
      <c r="E16">
        <f>IF(A15="","",A15)</f>
        <v/>
      </c>
    </row>
    <row r="17">
      <c r="A17" s="93" t="inlineStr"/>
      <c r="B17" s="104" t="n"/>
      <c r="C17" s="93" t="inlineStr"/>
      <c r="E17">
        <f>IF(A16="","",A16)</f>
        <v/>
      </c>
    </row>
    <row r="18">
      <c r="A18" s="93" t="inlineStr"/>
      <c r="B18" s="104" t="n"/>
      <c r="C18" s="93" t="inlineStr"/>
      <c r="E18">
        <f>IF(A17="","",A17)</f>
        <v/>
      </c>
    </row>
    <row r="19">
      <c r="A19" s="93" t="inlineStr"/>
      <c r="B19" s="104" t="n"/>
      <c r="C19" s="93" t="inlineStr"/>
      <c r="E19">
        <f>IF(A18="","",A18)</f>
        <v/>
      </c>
    </row>
    <row r="20">
      <c r="A20" s="93" t="inlineStr"/>
      <c r="B20" s="104" t="n"/>
      <c r="C20" s="93" t="inlineStr"/>
      <c r="E20">
        <f>IF(A19="","",A19)</f>
        <v/>
      </c>
    </row>
    <row r="21">
      <c r="A21" s="93" t="inlineStr"/>
      <c r="B21" s="104" t="n"/>
      <c r="C21" s="93" t="inlineStr"/>
      <c r="E21">
        <f>IF(A20="","",A20)</f>
        <v/>
      </c>
    </row>
    <row r="22">
      <c r="E22">
        <f>IF(A21="","",A21)</f>
        <v/>
      </c>
    </row>
  </sheetData>
  <mergeCells count="2">
    <mergeCell ref="A3:H3"/>
    <mergeCell ref="A2:H2"/>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2">
    <tablePart xmlns:r="http://schemas.openxmlformats.org/officeDocument/2006/relationships" r:id="rId10"/>
    <tablePart xmlns:r="http://schemas.openxmlformats.org/officeDocument/2006/relationships" r:id="rId11"/>
  </tableParts>
</worksheet>
</file>

<file path=xl/worksheets/sheet8.xml><?xml version="1.0" encoding="utf-8"?>
<worksheet xmlns="http://schemas.openxmlformats.org/spreadsheetml/2006/main">
  <sheetPr>
    <tabColor rgb="00C4A35A"/>
    <outlinePr summaryBelow="1" summaryRight="1"/>
    <pageSetUpPr fitToPage="1"/>
  </sheetPr>
  <dimension ref="A1:I45"/>
  <sheetViews>
    <sheetView workbookViewId="0">
      <pane ySplit="5" topLeftCell="A6" activePane="bottomLeft" state="frozen"/>
      <selection pane="bottomLeft" activeCell="A1" sqref="A1"/>
    </sheetView>
  </sheetViews>
  <sheetFormatPr baseColWidth="8" defaultRowHeight="15"/>
  <cols>
    <col width="26" customWidth="1" min="1" max="1"/>
    <col width="28" customWidth="1" min="2" max="2"/>
    <col width="18" customWidth="1" min="3" max="3"/>
    <col width="4" customWidth="1" min="4" max="4"/>
    <col width="22" customWidth="1" min="5" max="5"/>
    <col width="40" customWidth="1" min="6" max="6"/>
  </cols>
  <sheetData>
    <row r="1" ht="24" customHeight="1">
      <c r="A1" s="2" t="inlineStr">
        <is>
          <t>How to Use</t>
        </is>
      </c>
      <c r="B1" s="2" t="inlineStr">
        <is>
          <t>Skill Matrix</t>
        </is>
      </c>
      <c r="C1" s="2" t="inlineStr">
        <is>
          <t>Dashboard</t>
        </is>
      </c>
      <c r="D1" s="2" t="inlineStr">
        <is>
          <t>Employees</t>
        </is>
      </c>
      <c r="E1" s="2" t="inlineStr">
        <is>
          <t>Skills</t>
        </is>
      </c>
      <c r="F1" s="2" t="inlineStr">
        <is>
          <t>Years</t>
        </is>
      </c>
      <c r="G1" s="2" t="inlineStr">
        <is>
          <t>Lists</t>
        </is>
      </c>
      <c r="H1" s="1" t="inlineStr">
        <is>
          <t>Skill Sets</t>
        </is>
      </c>
      <c r="I1" s="2" t="inlineStr">
        <is>
          <t>Settings</t>
        </is>
      </c>
    </row>
    <row r="2">
      <c r="A2" s="4" t="inlineStr">
        <is>
          <t>Skill sets (job profiles)</t>
        </is>
      </c>
    </row>
    <row r="3" ht="40" customHeight="1">
      <c r="A3" s="88" t="inlineStr">
        <is>
          <t>A skill set is the mix of skills needed for a job. Add rows with the same set name and one skill per row. On the Dashboard, pick a set to see who currently rates highest.</t>
        </is>
      </c>
    </row>
    <row r="5">
      <c r="A5" s="89" t="inlineStr">
        <is>
          <t>Skill set</t>
        </is>
      </c>
      <c r="B5" s="89" t="inlineStr">
        <is>
          <t>Skill</t>
        </is>
      </c>
      <c r="C5" s="89" t="inlineStr">
        <is>
          <t>Minimum rating</t>
        </is>
      </c>
      <c r="E5" s="105" t="inlineStr">
        <is>
          <t>Skill set name</t>
        </is>
      </c>
      <c r="F5" s="105" t="inlineStr">
        <is>
          <t>Description</t>
        </is>
      </c>
    </row>
    <row r="6">
      <c r="A6" s="106" t="inlineStr">
        <is>
          <t>Barco Vision Switching</t>
        </is>
      </c>
      <c r="B6" s="106" t="inlineStr">
        <is>
          <t>Barco Vision Switching</t>
        </is>
      </c>
      <c r="C6" s="83" t="n">
        <v>4</v>
      </c>
      <c r="E6" s="106" t="inlineStr">
        <is>
          <t>Barco Vision Switching</t>
        </is>
      </c>
      <c r="F6" s="106" t="inlineStr">
        <is>
          <t>Lead Barco / LED / program switching on a live event</t>
        </is>
      </c>
    </row>
    <row r="7">
      <c r="A7" s="106" t="inlineStr">
        <is>
          <t>Barco Vision Switching</t>
        </is>
      </c>
      <c r="B7" s="106" t="inlineStr">
        <is>
          <t>Technical Setup</t>
        </is>
      </c>
      <c r="C7" s="83" t="n">
        <v>3</v>
      </c>
      <c r="E7" s="106" t="inlineStr">
        <is>
          <t>Camera Switching</t>
        </is>
      </c>
      <c r="F7" s="106" t="inlineStr">
        <is>
          <t>Cut cameras and own the live picture</t>
        </is>
      </c>
    </row>
    <row r="8">
      <c r="A8" s="106" t="inlineStr">
        <is>
          <t>Barco Vision Switching</t>
        </is>
      </c>
      <c r="B8" s="106" t="inlineStr">
        <is>
          <t>Troubleshooting</t>
        </is>
      </c>
      <c r="C8" s="83" t="n">
        <v>3</v>
      </c>
      <c r="E8" s="106" t="inlineStr">
        <is>
          <t>Content Operation</t>
        </is>
      </c>
      <c r="F8" s="106" t="inlineStr">
        <is>
          <t>Cue and play out show content</t>
        </is>
      </c>
    </row>
    <row r="9">
      <c r="A9" s="106" t="inlineStr">
        <is>
          <t>Camera Switching</t>
        </is>
      </c>
      <c r="B9" s="106" t="inlineStr">
        <is>
          <t>Camera Switching</t>
        </is>
      </c>
      <c r="C9" s="83" t="n">
        <v>4</v>
      </c>
      <c r="E9" s="106" t="inlineStr">
        <is>
          <t>Systems Tech</t>
        </is>
      </c>
      <c r="F9" s="106" t="inlineStr">
        <is>
          <t>Own signal flow, routing, and show systems</t>
        </is>
      </c>
    </row>
    <row r="10">
      <c r="A10" s="106" t="inlineStr">
        <is>
          <t>Camera Switching</t>
        </is>
      </c>
      <c r="B10" s="106" t="inlineStr">
        <is>
          <t>Technical Setup</t>
        </is>
      </c>
      <c r="C10" s="83" t="n">
        <v>3</v>
      </c>
      <c r="E10" s="106" t="inlineStr">
        <is>
          <t>Technical Setup</t>
        </is>
      </c>
      <c r="F10" s="106" t="inlineStr">
        <is>
          <t>Rig, patch, and line-check before doors</t>
        </is>
      </c>
    </row>
    <row r="11">
      <c r="A11" s="106" t="inlineStr">
        <is>
          <t>Camera Switching</t>
        </is>
      </c>
      <c r="B11" s="106" t="inlineStr">
        <is>
          <t>Troubleshooting</t>
        </is>
      </c>
      <c r="C11" s="83" t="n">
        <v>3</v>
      </c>
      <c r="E11" s="106" t="inlineStr">
        <is>
          <t>Live Streaming</t>
        </is>
      </c>
      <c r="F11" s="106" t="inlineStr">
        <is>
          <t>Encode, monitor, and deliver the live stream</t>
        </is>
      </c>
    </row>
    <row r="12">
      <c r="A12" s="106" t="inlineStr">
        <is>
          <t>Content Operation</t>
        </is>
      </c>
      <c r="B12" s="106" t="inlineStr">
        <is>
          <t>Content Operation</t>
        </is>
      </c>
      <c r="C12" s="83" t="n">
        <v>4</v>
      </c>
      <c r="E12" s="106" t="inlineStr">
        <is>
          <t>Troubleshooting</t>
        </is>
      </c>
      <c r="F12" s="106" t="inlineStr">
        <is>
          <t>Diagnose and fix issues under show pressure</t>
        </is>
      </c>
    </row>
    <row r="13">
      <c r="A13" s="106" t="inlineStr">
        <is>
          <t>Content Operation</t>
        </is>
      </c>
      <c r="B13" s="106" t="inlineStr">
        <is>
          <t>Live Streaming</t>
        </is>
      </c>
      <c r="C13" s="83" t="n">
        <v>3</v>
      </c>
      <c r="E13" s="107" t="inlineStr"/>
      <c r="F13" s="107" t="inlineStr"/>
    </row>
    <row r="14">
      <c r="A14" s="106" t="inlineStr">
        <is>
          <t>Content Operation</t>
        </is>
      </c>
      <c r="B14" s="106" t="inlineStr">
        <is>
          <t>Troubleshooting</t>
        </is>
      </c>
      <c r="C14" s="83" t="n">
        <v>3</v>
      </c>
      <c r="E14" s="107" t="inlineStr"/>
      <c r="F14" s="107" t="inlineStr"/>
    </row>
    <row r="15">
      <c r="A15" s="106" t="inlineStr">
        <is>
          <t>Systems Tech</t>
        </is>
      </c>
      <c r="B15" s="106" t="inlineStr">
        <is>
          <t>Systems Tech</t>
        </is>
      </c>
      <c r="C15" s="83" t="n">
        <v>4</v>
      </c>
      <c r="E15" s="107" t="inlineStr"/>
      <c r="F15" s="107" t="inlineStr"/>
    </row>
    <row r="16">
      <c r="A16" s="106" t="inlineStr">
        <is>
          <t>Systems Tech</t>
        </is>
      </c>
      <c r="B16" s="106" t="inlineStr">
        <is>
          <t>Technical Setup</t>
        </is>
      </c>
      <c r="C16" s="83" t="n">
        <v>4</v>
      </c>
      <c r="E16" s="107" t="inlineStr"/>
      <c r="F16" s="107" t="inlineStr"/>
    </row>
    <row r="17">
      <c r="A17" s="106" t="inlineStr">
        <is>
          <t>Systems Tech</t>
        </is>
      </c>
      <c r="B17" s="106" t="inlineStr">
        <is>
          <t>Troubleshooting</t>
        </is>
      </c>
      <c r="C17" s="83" t="n">
        <v>4</v>
      </c>
      <c r="E17" s="107" t="inlineStr"/>
      <c r="F17" s="107" t="inlineStr"/>
    </row>
    <row r="18">
      <c r="A18" s="106" t="inlineStr">
        <is>
          <t>Technical Setup</t>
        </is>
      </c>
      <c r="B18" s="106" t="inlineStr">
        <is>
          <t>Technical Setup</t>
        </is>
      </c>
      <c r="C18" s="83" t="n">
        <v>4</v>
      </c>
      <c r="E18" s="107" t="inlineStr"/>
      <c r="F18" s="107" t="inlineStr"/>
    </row>
    <row r="19">
      <c r="A19" s="106" t="inlineStr">
        <is>
          <t>Technical Setup</t>
        </is>
      </c>
      <c r="B19" s="106" t="inlineStr">
        <is>
          <t>Systems Tech</t>
        </is>
      </c>
      <c r="C19" s="83" t="n">
        <v>3</v>
      </c>
      <c r="E19" s="107" t="inlineStr"/>
      <c r="F19" s="107" t="inlineStr"/>
    </row>
    <row r="20">
      <c r="A20" s="106" t="inlineStr">
        <is>
          <t>Technical Setup</t>
        </is>
      </c>
      <c r="B20" s="106" t="inlineStr">
        <is>
          <t>Troubleshooting</t>
        </is>
      </c>
      <c r="C20" s="83" t="n">
        <v>3</v>
      </c>
      <c r="E20" s="107" t="inlineStr"/>
      <c r="F20" s="107" t="inlineStr"/>
    </row>
    <row r="21">
      <c r="A21" s="106" t="inlineStr">
        <is>
          <t>Live Streaming</t>
        </is>
      </c>
      <c r="B21" s="106" t="inlineStr">
        <is>
          <t>Live Streaming</t>
        </is>
      </c>
      <c r="C21" s="83" t="n">
        <v>4</v>
      </c>
      <c r="E21" s="107" t="inlineStr"/>
      <c r="F21" s="107" t="inlineStr"/>
    </row>
    <row r="22">
      <c r="A22" s="106" t="inlineStr">
        <is>
          <t>Live Streaming</t>
        </is>
      </c>
      <c r="B22" s="106" t="inlineStr">
        <is>
          <t>Content Operation</t>
        </is>
      </c>
      <c r="C22" s="83" t="n">
        <v>3</v>
      </c>
    </row>
    <row r="23">
      <c r="A23" s="106" t="inlineStr">
        <is>
          <t>Live Streaming</t>
        </is>
      </c>
      <c r="B23" s="106" t="inlineStr">
        <is>
          <t>Troubleshooting</t>
        </is>
      </c>
      <c r="C23" s="83" t="n">
        <v>3</v>
      </c>
    </row>
    <row r="24">
      <c r="A24" s="106" t="inlineStr">
        <is>
          <t>Troubleshooting</t>
        </is>
      </c>
      <c r="B24" s="106" t="inlineStr">
        <is>
          <t>Troubleshooting</t>
        </is>
      </c>
      <c r="C24" s="83" t="n">
        <v>4</v>
      </c>
    </row>
    <row r="25">
      <c r="A25" s="106" t="inlineStr">
        <is>
          <t>Troubleshooting</t>
        </is>
      </c>
      <c r="B25" s="106" t="inlineStr">
        <is>
          <t>Systems Tech</t>
        </is>
      </c>
      <c r="C25" s="83" t="n">
        <v>3</v>
      </c>
    </row>
    <row r="26">
      <c r="A26" s="106" t="inlineStr">
        <is>
          <t>Troubleshooting</t>
        </is>
      </c>
      <c r="B26" s="106" t="inlineStr">
        <is>
          <t>Technical Setup</t>
        </is>
      </c>
      <c r="C26" s="83" t="n">
        <v>3</v>
      </c>
    </row>
    <row r="27">
      <c r="A27" s="107" t="inlineStr"/>
      <c r="B27" s="107" t="inlineStr"/>
      <c r="C27" s="107" t="inlineStr"/>
    </row>
    <row r="28">
      <c r="A28" s="107" t="inlineStr"/>
      <c r="B28" s="107" t="inlineStr"/>
      <c r="C28" s="107" t="inlineStr"/>
    </row>
    <row r="29">
      <c r="A29" s="107" t="inlineStr"/>
      <c r="B29" s="107" t="inlineStr"/>
      <c r="C29" s="107" t="inlineStr"/>
    </row>
    <row r="30">
      <c r="A30" s="107" t="inlineStr"/>
      <c r="B30" s="107" t="inlineStr"/>
      <c r="C30" s="107" t="inlineStr"/>
    </row>
    <row r="31">
      <c r="A31" s="107" t="inlineStr"/>
      <c r="B31" s="107" t="inlineStr"/>
      <c r="C31" s="107" t="inlineStr"/>
    </row>
    <row r="32">
      <c r="A32" s="107" t="inlineStr"/>
      <c r="B32" s="107" t="inlineStr"/>
      <c r="C32" s="107" t="inlineStr"/>
    </row>
    <row r="33">
      <c r="A33" s="107" t="inlineStr"/>
      <c r="B33" s="107" t="inlineStr"/>
      <c r="C33" s="107" t="inlineStr"/>
    </row>
    <row r="34">
      <c r="A34" s="107" t="inlineStr"/>
      <c r="B34" s="107" t="inlineStr"/>
      <c r="C34" s="107" t="inlineStr"/>
    </row>
    <row r="35">
      <c r="A35" s="107" t="inlineStr"/>
      <c r="B35" s="107" t="inlineStr"/>
      <c r="C35" s="107" t="inlineStr"/>
    </row>
    <row r="36">
      <c r="A36" s="107" t="inlineStr"/>
      <c r="B36" s="107" t="inlineStr"/>
      <c r="C36" s="107" t="inlineStr"/>
    </row>
    <row r="37">
      <c r="A37" s="107" t="inlineStr"/>
      <c r="B37" s="107" t="inlineStr"/>
      <c r="C37" s="107" t="inlineStr"/>
    </row>
    <row r="38">
      <c r="A38" s="107" t="inlineStr"/>
      <c r="B38" s="107" t="inlineStr"/>
      <c r="C38" s="107" t="inlineStr"/>
    </row>
    <row r="39">
      <c r="A39" s="107" t="inlineStr"/>
      <c r="B39" s="107" t="inlineStr"/>
      <c r="C39" s="107" t="inlineStr"/>
    </row>
    <row r="40">
      <c r="A40" s="107" t="inlineStr"/>
      <c r="B40" s="107" t="inlineStr"/>
      <c r="C40" s="107" t="inlineStr"/>
    </row>
    <row r="41">
      <c r="A41" s="107" t="inlineStr"/>
      <c r="B41" s="107" t="inlineStr"/>
      <c r="C41" s="107" t="inlineStr"/>
    </row>
    <row r="42">
      <c r="A42" s="107" t="inlineStr"/>
      <c r="B42" s="107" t="inlineStr"/>
      <c r="C42" s="107" t="inlineStr"/>
    </row>
    <row r="43">
      <c r="A43" s="107" t="inlineStr"/>
      <c r="B43" s="107" t="inlineStr"/>
      <c r="C43" s="107" t="inlineStr"/>
    </row>
    <row r="44">
      <c r="A44" s="107" t="inlineStr"/>
      <c r="B44" s="107" t="inlineStr"/>
      <c r="C44" s="107" t="inlineStr"/>
    </row>
    <row r="45">
      <c r="A45" s="107" t="inlineStr"/>
      <c r="B45" s="107" t="inlineStr"/>
      <c r="C45" s="107" t="inlineStr"/>
    </row>
  </sheetData>
  <mergeCells count="2">
    <mergeCell ref="A3:H3"/>
    <mergeCell ref="A2:H2"/>
  </mergeCells>
  <dataValidations count="2">
    <dataValidation sqref="B6:B45" showDropDown="0" showInputMessage="0" showErrorMessage="0" allowBlank="1" promptTitle="Skill" prompt="Choose a skill from the Skills catalog" type="list">
      <formula1>=SkillNameList</formula1>
    </dataValidation>
    <dataValidation sqref="C6:C45" showDropDown="0" showInputMessage="0" showErrorMessage="0" allowBlank="1" type="whole" operator="between">
      <formula1>1</formula1>
      <formula2>5</formula2>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2">
    <tablePart xmlns:r="http://schemas.openxmlformats.org/officeDocument/2006/relationships" r:id="rId10"/>
    <tablePart xmlns:r="http://schemas.openxmlformats.org/officeDocument/2006/relationships" r:id="rId11"/>
  </tableParts>
</worksheet>
</file>

<file path=xl/worksheets/sheet9.xml><?xml version="1.0" encoding="utf-8"?>
<worksheet xmlns="http://schemas.openxmlformats.org/spreadsheetml/2006/main">
  <sheetPr>
    <tabColor rgb="00C4A35A"/>
    <outlinePr summaryBelow="1" summaryRight="1"/>
    <pageSetUpPr fitToPage="1"/>
  </sheetPr>
  <dimension ref="A1:I19"/>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16" customWidth="1" min="3" max="3"/>
    <col width="16" customWidth="1" min="4" max="4"/>
    <col width="16" customWidth="1" min="5" max="5"/>
    <col width="16" customWidth="1" min="6" max="6"/>
    <col width="16" customWidth="1" min="7" max="7"/>
    <col width="16" customWidth="1" min="8" max="8"/>
  </cols>
  <sheetData>
    <row r="1" ht="24" customHeight="1">
      <c r="A1" s="2" t="inlineStr">
        <is>
          <t>How to Use</t>
        </is>
      </c>
      <c r="B1" s="2" t="inlineStr">
        <is>
          <t>Skill Matrix</t>
        </is>
      </c>
      <c r="C1" s="2" t="inlineStr">
        <is>
          <t>Dashboard</t>
        </is>
      </c>
      <c r="D1" s="2" t="inlineStr">
        <is>
          <t>Employees</t>
        </is>
      </c>
      <c r="E1" s="2" t="inlineStr">
        <is>
          <t>Skills</t>
        </is>
      </c>
      <c r="F1" s="2" t="inlineStr">
        <is>
          <t>Years</t>
        </is>
      </c>
      <c r="G1" s="2" t="inlineStr">
        <is>
          <t>Lists</t>
        </is>
      </c>
      <c r="H1" s="2" t="inlineStr">
        <is>
          <t>Skill Sets</t>
        </is>
      </c>
      <c r="I1" s="1" t="inlineStr">
        <is>
          <t>Settings</t>
        </is>
      </c>
    </row>
    <row r="2">
      <c r="A2" s="4" t="inlineStr">
        <is>
          <t>Settings</t>
        </is>
      </c>
    </row>
    <row r="3">
      <c r="A3" s="46" t="inlineStr">
        <is>
          <t>Target rating is the only number you usually need to change. Years are managed on the Years sheet.</t>
        </is>
      </c>
    </row>
    <row r="5">
      <c r="A5" s="89" t="inlineStr">
        <is>
          <t>Setting</t>
        </is>
      </c>
      <c r="B5" s="89" t="inlineStr">
        <is>
          <t>Value</t>
        </is>
      </c>
      <c r="C5" s="89" t="inlineStr">
        <is>
          <t>What it controls</t>
        </is>
      </c>
    </row>
    <row r="6">
      <c r="A6" s="108" t="inlineStr">
        <is>
          <t>Target rating</t>
        </is>
      </c>
      <c r="B6" s="109" t="n">
        <v>3</v>
      </c>
      <c r="C6" s="35" t="inlineStr">
        <is>
          <t>Latest scores below this are flagged as development needs on the Dashboard.</t>
        </is>
      </c>
    </row>
    <row r="8">
      <c r="A8" s="17" t="inlineStr">
        <is>
          <t>Read-only (calculated)</t>
        </is>
      </c>
    </row>
    <row r="9">
      <c r="A9" s="108" t="inlineStr">
        <is>
          <t>Calendar year</t>
        </is>
      </c>
      <c r="B9" s="110">
        <f>YEAR(TODAY())</f>
        <v/>
      </c>
      <c r="C9" s="35" t="inlineStr">
        <is>
          <t>Today's calendar year. Used to highlight the current column and prompt for a new year.</t>
        </is>
      </c>
    </row>
    <row r="10">
      <c r="A10" s="108" t="inlineStr">
        <is>
          <t>Latest year with ratings</t>
        </is>
      </c>
      <c r="B10" s="110">
        <f>LatestYear</f>
        <v/>
      </c>
      <c r="C10" s="35" t="inlineStr">
        <is>
          <t>Most recent year that has at least one rating entered.</t>
        </is>
      </c>
    </row>
    <row r="11">
      <c r="A11" s="108" t="inlineStr">
        <is>
          <t>Previous year with ratings</t>
        </is>
      </c>
      <c r="B11" s="110">
        <f>PreviousYear</f>
        <v/>
      </c>
      <c r="C11" s="35" t="inlineStr">
        <is>
          <t>The year before that — used for last-year comparison.</t>
        </is>
      </c>
    </row>
    <row r="13">
      <c r="A13" s="17" t="inlineStr">
        <is>
          <t>Rating scale (1–5)</t>
        </is>
      </c>
    </row>
    <row r="14">
      <c r="A14" s="89" t="inlineStr">
        <is>
          <t>Rating</t>
        </is>
      </c>
      <c r="B14" s="89" t="inlineStr">
        <is>
          <t>Level</t>
        </is>
      </c>
      <c r="C14" s="89" t="inlineStr">
        <is>
          <t>Meaning</t>
        </is>
      </c>
    </row>
    <row r="15" ht="28" customHeight="1">
      <c r="A15" s="111" t="n">
        <v>1</v>
      </c>
      <c r="B15" s="112" t="inlineStr">
        <is>
          <t>Beginner</t>
        </is>
      </c>
      <c r="C15" s="113" t="inlineStr">
        <is>
          <t>Little or no hands-on experience. Needs close guidance.</t>
        </is>
      </c>
      <c r="D15" s="114" t="n"/>
      <c r="E15" s="114" t="n"/>
      <c r="F15" s="114" t="n"/>
      <c r="G15" s="114" t="n"/>
      <c r="H15" s="115" t="n"/>
    </row>
    <row r="16" ht="28" customHeight="1">
      <c r="A16" s="116" t="n">
        <v>2</v>
      </c>
      <c r="B16" s="117" t="inlineStr">
        <is>
          <t>Basic</t>
        </is>
      </c>
      <c r="C16" s="118" t="inlineStr">
        <is>
          <t>Can complete simple tasks with help or a checklist.</t>
        </is>
      </c>
      <c r="D16" s="114" t="n"/>
      <c r="E16" s="114" t="n"/>
      <c r="F16" s="114" t="n"/>
      <c r="G16" s="114" t="n"/>
      <c r="H16" s="115" t="n"/>
    </row>
    <row r="17" ht="28" customHeight="1">
      <c r="A17" s="119" t="n">
        <v>3</v>
      </c>
      <c r="B17" s="120" t="inlineStr">
        <is>
          <t>Competent</t>
        </is>
      </c>
      <c r="C17" s="121" t="inlineStr">
        <is>
          <t>Works independently on standard tasks. Meets the target.</t>
        </is>
      </c>
      <c r="D17" s="114" t="n"/>
      <c r="E17" s="114" t="n"/>
      <c r="F17" s="114" t="n"/>
      <c r="G17" s="114" t="n"/>
      <c r="H17" s="115" t="n"/>
    </row>
    <row r="18" ht="28" customHeight="1">
      <c r="A18" s="122" t="n">
        <v>4</v>
      </c>
      <c r="B18" s="123" t="inlineStr">
        <is>
          <t>Proficient</t>
        </is>
      </c>
      <c r="C18" s="124" t="inlineStr">
        <is>
          <t>Handles complex work and can coach others.</t>
        </is>
      </c>
      <c r="D18" s="114" t="n"/>
      <c r="E18" s="114" t="n"/>
      <c r="F18" s="114" t="n"/>
      <c r="G18" s="114" t="n"/>
      <c r="H18" s="115" t="n"/>
    </row>
    <row r="19" ht="28" customHeight="1">
      <c r="A19" s="125" t="n">
        <v>5</v>
      </c>
      <c r="B19" s="126" t="inlineStr">
        <is>
          <t>Expert</t>
        </is>
      </c>
      <c r="C19" s="127" t="inlineStr">
        <is>
          <t>Go-to specialist. Sets the standard for the team.</t>
        </is>
      </c>
      <c r="D19" s="114" t="n"/>
      <c r="E19" s="114" t="n"/>
      <c r="F19" s="114" t="n"/>
      <c r="G19" s="114" t="n"/>
      <c r="H19" s="115" t="n"/>
    </row>
  </sheetData>
  <mergeCells count="12">
    <mergeCell ref="C11:H11"/>
    <mergeCell ref="C6:H6"/>
    <mergeCell ref="A3:H3"/>
    <mergeCell ref="C10:H10"/>
    <mergeCell ref="C16:H16"/>
    <mergeCell ref="C19:H19"/>
    <mergeCell ref="A8:C8"/>
    <mergeCell ref="A2:H2"/>
    <mergeCell ref="C9:H9"/>
    <mergeCell ref="C18:H18"/>
    <mergeCell ref="C17:H17"/>
    <mergeCell ref="C15:H15"/>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H4097"/>
  <sheetViews>
    <sheetView workbookViewId="0">
      <selection activeCell="A1" sqref="A1"/>
    </sheetView>
  </sheetViews>
  <sheetFormatPr baseColWidth="8" defaultRowHeight="15"/>
  <cols>
    <col width="20" customWidth="1" min="1" max="1"/>
    <col width="14" customWidth="1" min="2" max="2"/>
    <col width="20" customWidth="1" min="3" max="3"/>
    <col width="22" customWidth="1" min="4" max="4"/>
    <col width="14" customWidth="1" min="5" max="5"/>
    <col width="10" customWidth="1" min="6" max="6"/>
    <col width="10" customWidth="1" min="7" max="7"/>
    <col width="12" customWidth="1" min="8" max="8"/>
  </cols>
  <sheetData>
    <row r="1">
      <c r="A1" s="105" t="inlineStr">
        <is>
          <t>Employee</t>
        </is>
      </c>
      <c r="B1" s="105" t="inlineStr">
        <is>
          <t>Department</t>
        </is>
      </c>
      <c r="C1" s="105" t="inlineStr">
        <is>
          <t>Job Title</t>
        </is>
      </c>
      <c r="D1" s="105" t="inlineStr">
        <is>
          <t>Skill</t>
        </is>
      </c>
      <c r="E1" s="105" t="inlineStr">
        <is>
          <t>Category</t>
        </is>
      </c>
      <c r="F1" s="105" t="inlineStr">
        <is>
          <t>Year</t>
        </is>
      </c>
      <c r="G1" s="105" t="inlineStr">
        <is>
          <t>Rating</t>
        </is>
      </c>
      <c r="H1" s="105" t="inlineStr">
        <is>
          <t>HireDate</t>
        </is>
      </c>
    </row>
    <row r="2">
      <c r="A2">
        <f>IF(AND('Skill Matrix'!A6&lt;&gt;"",'Skill Matrix'!E5&lt;&gt;""),'Skill Matrix'!A6,"")</f>
        <v/>
      </c>
      <c r="B2">
        <f>IF(A2="","",'Employees'!C6)</f>
        <v/>
      </c>
      <c r="C2">
        <f>IF(A2="","",'Employees'!D6)</f>
        <v/>
      </c>
      <c r="D2">
        <f>IF(A2="","",'Skill Matrix'!C6)</f>
        <v/>
      </c>
      <c r="E2">
        <f>IF(A2="","",'Skill Matrix'!D6)</f>
        <v/>
      </c>
      <c r="F2">
        <f>IF(AND('Skill Matrix'!A6&lt;&gt;"",'Skill Matrix'!E5&lt;&gt;""),'Skill Matrix'!E5,"")</f>
        <v/>
      </c>
      <c r="G2">
        <f>IF(OR(A2="",'Skill Matrix'!E6=""),"",'Skill Matrix'!E6)</f>
        <v/>
      </c>
      <c r="H2">
        <f>IF(A2="","",'Employees'!F6)</f>
        <v/>
      </c>
    </row>
    <row r="3">
      <c r="A3">
        <f>IF(AND('Skill Matrix'!A6&lt;&gt;"",'Skill Matrix'!F5&lt;&gt;""),'Skill Matrix'!A6,"")</f>
        <v/>
      </c>
      <c r="B3">
        <f>IF(A3="","",'Employees'!C6)</f>
        <v/>
      </c>
      <c r="C3">
        <f>IF(A3="","",'Employees'!D6)</f>
        <v/>
      </c>
      <c r="D3">
        <f>IF(A3="","",'Skill Matrix'!C6)</f>
        <v/>
      </c>
      <c r="E3">
        <f>IF(A3="","",'Skill Matrix'!D6)</f>
        <v/>
      </c>
      <c r="F3">
        <f>IF(AND('Skill Matrix'!A6&lt;&gt;"",'Skill Matrix'!F5&lt;&gt;""),'Skill Matrix'!F5,"")</f>
        <v/>
      </c>
      <c r="G3">
        <f>IF(OR(A3="",'Skill Matrix'!F6=""),"",'Skill Matrix'!F6)</f>
        <v/>
      </c>
      <c r="H3">
        <f>IF(A3="","",'Employees'!F6)</f>
        <v/>
      </c>
    </row>
    <row r="4">
      <c r="A4">
        <f>IF(AND('Skill Matrix'!A6&lt;&gt;"",'Skill Matrix'!G5&lt;&gt;""),'Skill Matrix'!A6,"")</f>
        <v/>
      </c>
      <c r="B4">
        <f>IF(A4="","",'Employees'!C6)</f>
        <v/>
      </c>
      <c r="C4">
        <f>IF(A4="","",'Employees'!D6)</f>
        <v/>
      </c>
      <c r="D4">
        <f>IF(A4="","",'Skill Matrix'!C6)</f>
        <v/>
      </c>
      <c r="E4">
        <f>IF(A4="","",'Skill Matrix'!D6)</f>
        <v/>
      </c>
      <c r="F4">
        <f>IF(AND('Skill Matrix'!A6&lt;&gt;"",'Skill Matrix'!G5&lt;&gt;""),'Skill Matrix'!G5,"")</f>
        <v/>
      </c>
      <c r="G4">
        <f>IF(OR(A4="",'Skill Matrix'!G6=""),"",'Skill Matrix'!G6)</f>
        <v/>
      </c>
      <c r="H4">
        <f>IF(A4="","",'Employees'!F6)</f>
        <v/>
      </c>
    </row>
    <row r="5">
      <c r="A5">
        <f>IF(AND('Skill Matrix'!A6&lt;&gt;"",'Skill Matrix'!H5&lt;&gt;""),'Skill Matrix'!A6,"")</f>
        <v/>
      </c>
      <c r="B5">
        <f>IF(A5="","",'Employees'!C6)</f>
        <v/>
      </c>
      <c r="C5">
        <f>IF(A5="","",'Employees'!D6)</f>
        <v/>
      </c>
      <c r="D5">
        <f>IF(A5="","",'Skill Matrix'!C6)</f>
        <v/>
      </c>
      <c r="E5">
        <f>IF(A5="","",'Skill Matrix'!D6)</f>
        <v/>
      </c>
      <c r="F5">
        <f>IF(AND('Skill Matrix'!A6&lt;&gt;"",'Skill Matrix'!H5&lt;&gt;""),'Skill Matrix'!H5,"")</f>
        <v/>
      </c>
      <c r="G5">
        <f>IF(OR(A5="",'Skill Matrix'!H6=""),"",'Skill Matrix'!H6)</f>
        <v/>
      </c>
      <c r="H5">
        <f>IF(A5="","",'Employees'!F6)</f>
        <v/>
      </c>
    </row>
    <row r="6">
      <c r="A6">
        <f>IF(AND('Skill Matrix'!A6&lt;&gt;"",'Skill Matrix'!I5&lt;&gt;""),'Skill Matrix'!A6,"")</f>
        <v/>
      </c>
      <c r="B6">
        <f>IF(A6="","",'Employees'!C6)</f>
        <v/>
      </c>
      <c r="C6">
        <f>IF(A6="","",'Employees'!D6)</f>
        <v/>
      </c>
      <c r="D6">
        <f>IF(A6="","",'Skill Matrix'!C6)</f>
        <v/>
      </c>
      <c r="E6">
        <f>IF(A6="","",'Skill Matrix'!D6)</f>
        <v/>
      </c>
      <c r="F6">
        <f>IF(AND('Skill Matrix'!A6&lt;&gt;"",'Skill Matrix'!I5&lt;&gt;""),'Skill Matrix'!I5,"")</f>
        <v/>
      </c>
      <c r="G6">
        <f>IF(OR(A6="",'Skill Matrix'!I6=""),"",'Skill Matrix'!I6)</f>
        <v/>
      </c>
      <c r="H6">
        <f>IF(A6="","",'Employees'!F6)</f>
        <v/>
      </c>
    </row>
    <row r="7">
      <c r="A7">
        <f>IF(AND('Skill Matrix'!A6&lt;&gt;"",'Skill Matrix'!J5&lt;&gt;""),'Skill Matrix'!A6,"")</f>
        <v/>
      </c>
      <c r="B7">
        <f>IF(A7="","",'Employees'!C6)</f>
        <v/>
      </c>
      <c r="C7">
        <f>IF(A7="","",'Employees'!D6)</f>
        <v/>
      </c>
      <c r="D7">
        <f>IF(A7="","",'Skill Matrix'!C6)</f>
        <v/>
      </c>
      <c r="E7">
        <f>IF(A7="","",'Skill Matrix'!D6)</f>
        <v/>
      </c>
      <c r="F7">
        <f>IF(AND('Skill Matrix'!A6&lt;&gt;"",'Skill Matrix'!J5&lt;&gt;""),'Skill Matrix'!J5,"")</f>
        <v/>
      </c>
      <c r="G7">
        <f>IF(OR(A7="",'Skill Matrix'!J6=""),"",'Skill Matrix'!J6)</f>
        <v/>
      </c>
      <c r="H7">
        <f>IF(A7="","",'Employees'!F6)</f>
        <v/>
      </c>
    </row>
    <row r="8">
      <c r="A8">
        <f>IF(AND('Skill Matrix'!A6&lt;&gt;"",'Skill Matrix'!K5&lt;&gt;""),'Skill Matrix'!A6,"")</f>
        <v/>
      </c>
      <c r="B8">
        <f>IF(A8="","",'Employees'!C6)</f>
        <v/>
      </c>
      <c r="C8">
        <f>IF(A8="","",'Employees'!D6)</f>
        <v/>
      </c>
      <c r="D8">
        <f>IF(A8="","",'Skill Matrix'!C6)</f>
        <v/>
      </c>
      <c r="E8">
        <f>IF(A8="","",'Skill Matrix'!D6)</f>
        <v/>
      </c>
      <c r="F8">
        <f>IF(AND('Skill Matrix'!A6&lt;&gt;"",'Skill Matrix'!K5&lt;&gt;""),'Skill Matrix'!K5,"")</f>
        <v/>
      </c>
      <c r="G8">
        <f>IF(OR(A8="",'Skill Matrix'!K6=""),"",'Skill Matrix'!K6)</f>
        <v/>
      </c>
      <c r="H8">
        <f>IF(A8="","",'Employees'!F6)</f>
        <v/>
      </c>
    </row>
    <row r="9">
      <c r="A9">
        <f>IF(AND('Skill Matrix'!A6&lt;&gt;"",'Skill Matrix'!L5&lt;&gt;""),'Skill Matrix'!A6,"")</f>
        <v/>
      </c>
      <c r="B9">
        <f>IF(A9="","",'Employees'!C6)</f>
        <v/>
      </c>
      <c r="C9">
        <f>IF(A9="","",'Employees'!D6)</f>
        <v/>
      </c>
      <c r="D9">
        <f>IF(A9="","",'Skill Matrix'!C6)</f>
        <v/>
      </c>
      <c r="E9">
        <f>IF(A9="","",'Skill Matrix'!D6)</f>
        <v/>
      </c>
      <c r="F9">
        <f>IF(AND('Skill Matrix'!A6&lt;&gt;"",'Skill Matrix'!L5&lt;&gt;""),'Skill Matrix'!L5,"")</f>
        <v/>
      </c>
      <c r="G9">
        <f>IF(OR(A9="",'Skill Matrix'!L6=""),"",'Skill Matrix'!L6)</f>
        <v/>
      </c>
      <c r="H9">
        <f>IF(A9="","",'Employees'!F6)</f>
        <v/>
      </c>
    </row>
    <row r="10">
      <c r="A10">
        <f>IF(AND('Skill Matrix'!A6&lt;&gt;"",'Skill Matrix'!M5&lt;&gt;""),'Skill Matrix'!A6,"")</f>
        <v/>
      </c>
      <c r="B10">
        <f>IF(A10="","",'Employees'!C6)</f>
        <v/>
      </c>
      <c r="C10">
        <f>IF(A10="","",'Employees'!D6)</f>
        <v/>
      </c>
      <c r="D10">
        <f>IF(A10="","",'Skill Matrix'!C6)</f>
        <v/>
      </c>
      <c r="E10">
        <f>IF(A10="","",'Skill Matrix'!D6)</f>
        <v/>
      </c>
      <c r="F10">
        <f>IF(AND('Skill Matrix'!A6&lt;&gt;"",'Skill Matrix'!M5&lt;&gt;""),'Skill Matrix'!M5,"")</f>
        <v/>
      </c>
      <c r="G10">
        <f>IF(OR(A10="",'Skill Matrix'!M6=""),"",'Skill Matrix'!M6)</f>
        <v/>
      </c>
      <c r="H10">
        <f>IF(A10="","",'Employees'!F6)</f>
        <v/>
      </c>
    </row>
    <row r="11">
      <c r="A11">
        <f>IF(AND('Skill Matrix'!A6&lt;&gt;"",'Skill Matrix'!N5&lt;&gt;""),'Skill Matrix'!A6,"")</f>
        <v/>
      </c>
      <c r="B11">
        <f>IF(A11="","",'Employees'!C6)</f>
        <v/>
      </c>
      <c r="C11">
        <f>IF(A11="","",'Employees'!D6)</f>
        <v/>
      </c>
      <c r="D11">
        <f>IF(A11="","",'Skill Matrix'!C6)</f>
        <v/>
      </c>
      <c r="E11">
        <f>IF(A11="","",'Skill Matrix'!D6)</f>
        <v/>
      </c>
      <c r="F11">
        <f>IF(AND('Skill Matrix'!A6&lt;&gt;"",'Skill Matrix'!N5&lt;&gt;""),'Skill Matrix'!N5,"")</f>
        <v/>
      </c>
      <c r="G11">
        <f>IF(OR(A11="",'Skill Matrix'!N6=""),"",'Skill Matrix'!N6)</f>
        <v/>
      </c>
      <c r="H11">
        <f>IF(A11="","",'Employees'!F6)</f>
        <v/>
      </c>
    </row>
    <row r="12">
      <c r="A12">
        <f>IF(AND('Skill Matrix'!A6&lt;&gt;"",'Skill Matrix'!O5&lt;&gt;""),'Skill Matrix'!A6,"")</f>
        <v/>
      </c>
      <c r="B12">
        <f>IF(A12="","",'Employees'!C6)</f>
        <v/>
      </c>
      <c r="C12">
        <f>IF(A12="","",'Employees'!D6)</f>
        <v/>
      </c>
      <c r="D12">
        <f>IF(A12="","",'Skill Matrix'!C6)</f>
        <v/>
      </c>
      <c r="E12">
        <f>IF(A12="","",'Skill Matrix'!D6)</f>
        <v/>
      </c>
      <c r="F12">
        <f>IF(AND('Skill Matrix'!A6&lt;&gt;"",'Skill Matrix'!O5&lt;&gt;""),'Skill Matrix'!O5,"")</f>
        <v/>
      </c>
      <c r="G12">
        <f>IF(OR(A12="",'Skill Matrix'!O6=""),"",'Skill Matrix'!O6)</f>
        <v/>
      </c>
      <c r="H12">
        <f>IF(A12="","",'Employees'!F6)</f>
        <v/>
      </c>
    </row>
    <row r="13">
      <c r="A13">
        <f>IF(AND('Skill Matrix'!A6&lt;&gt;"",'Skill Matrix'!P5&lt;&gt;""),'Skill Matrix'!A6,"")</f>
        <v/>
      </c>
      <c r="B13">
        <f>IF(A13="","",'Employees'!C6)</f>
        <v/>
      </c>
      <c r="C13">
        <f>IF(A13="","",'Employees'!D6)</f>
        <v/>
      </c>
      <c r="D13">
        <f>IF(A13="","",'Skill Matrix'!C6)</f>
        <v/>
      </c>
      <c r="E13">
        <f>IF(A13="","",'Skill Matrix'!D6)</f>
        <v/>
      </c>
      <c r="F13">
        <f>IF(AND('Skill Matrix'!A6&lt;&gt;"",'Skill Matrix'!P5&lt;&gt;""),'Skill Matrix'!P5,"")</f>
        <v/>
      </c>
      <c r="G13">
        <f>IF(OR(A13="",'Skill Matrix'!P6=""),"",'Skill Matrix'!P6)</f>
        <v/>
      </c>
      <c r="H13">
        <f>IF(A13="","",'Employees'!F6)</f>
        <v/>
      </c>
    </row>
    <row r="14">
      <c r="A14">
        <f>IF(AND('Skill Matrix'!A6&lt;&gt;"",'Skill Matrix'!Q5&lt;&gt;""),'Skill Matrix'!A6,"")</f>
        <v/>
      </c>
      <c r="B14">
        <f>IF(A14="","",'Employees'!C6)</f>
        <v/>
      </c>
      <c r="C14">
        <f>IF(A14="","",'Employees'!D6)</f>
        <v/>
      </c>
      <c r="D14">
        <f>IF(A14="","",'Skill Matrix'!C6)</f>
        <v/>
      </c>
      <c r="E14">
        <f>IF(A14="","",'Skill Matrix'!D6)</f>
        <v/>
      </c>
      <c r="F14">
        <f>IF(AND('Skill Matrix'!A6&lt;&gt;"",'Skill Matrix'!Q5&lt;&gt;""),'Skill Matrix'!Q5,"")</f>
        <v/>
      </c>
      <c r="G14">
        <f>IF(OR(A14="",'Skill Matrix'!Q6=""),"",'Skill Matrix'!Q6)</f>
        <v/>
      </c>
      <c r="H14">
        <f>IF(A14="","",'Employees'!F6)</f>
        <v/>
      </c>
    </row>
    <row r="15">
      <c r="A15">
        <f>IF(AND('Skill Matrix'!A6&lt;&gt;"",'Skill Matrix'!R5&lt;&gt;""),'Skill Matrix'!A6,"")</f>
        <v/>
      </c>
      <c r="B15">
        <f>IF(A15="","",'Employees'!C6)</f>
        <v/>
      </c>
      <c r="C15">
        <f>IF(A15="","",'Employees'!D6)</f>
        <v/>
      </c>
      <c r="D15">
        <f>IF(A15="","",'Skill Matrix'!C6)</f>
        <v/>
      </c>
      <c r="E15">
        <f>IF(A15="","",'Skill Matrix'!D6)</f>
        <v/>
      </c>
      <c r="F15">
        <f>IF(AND('Skill Matrix'!A6&lt;&gt;"",'Skill Matrix'!R5&lt;&gt;""),'Skill Matrix'!R5,"")</f>
        <v/>
      </c>
      <c r="G15">
        <f>IF(OR(A15="",'Skill Matrix'!R6=""),"",'Skill Matrix'!R6)</f>
        <v/>
      </c>
      <c r="H15">
        <f>IF(A15="","",'Employees'!F6)</f>
        <v/>
      </c>
    </row>
    <row r="16">
      <c r="A16">
        <f>IF(AND('Skill Matrix'!A6&lt;&gt;"",'Skill Matrix'!S5&lt;&gt;""),'Skill Matrix'!A6,"")</f>
        <v/>
      </c>
      <c r="B16">
        <f>IF(A16="","",'Employees'!C6)</f>
        <v/>
      </c>
      <c r="C16">
        <f>IF(A16="","",'Employees'!D6)</f>
        <v/>
      </c>
      <c r="D16">
        <f>IF(A16="","",'Skill Matrix'!C6)</f>
        <v/>
      </c>
      <c r="E16">
        <f>IF(A16="","",'Skill Matrix'!D6)</f>
        <v/>
      </c>
      <c r="F16">
        <f>IF(AND('Skill Matrix'!A6&lt;&gt;"",'Skill Matrix'!S5&lt;&gt;""),'Skill Matrix'!S5,"")</f>
        <v/>
      </c>
      <c r="G16">
        <f>IF(OR(A16="",'Skill Matrix'!S6=""),"",'Skill Matrix'!S6)</f>
        <v/>
      </c>
      <c r="H16">
        <f>IF(A16="","",'Employees'!F6)</f>
        <v/>
      </c>
    </row>
    <row r="17">
      <c r="A17">
        <f>IF(AND('Skill Matrix'!A6&lt;&gt;"",'Skill Matrix'!T5&lt;&gt;""),'Skill Matrix'!A6,"")</f>
        <v/>
      </c>
      <c r="B17">
        <f>IF(A17="","",'Employees'!C6)</f>
        <v/>
      </c>
      <c r="C17">
        <f>IF(A17="","",'Employees'!D6)</f>
        <v/>
      </c>
      <c r="D17">
        <f>IF(A17="","",'Skill Matrix'!C6)</f>
        <v/>
      </c>
      <c r="E17">
        <f>IF(A17="","",'Skill Matrix'!D6)</f>
        <v/>
      </c>
      <c r="F17">
        <f>IF(AND('Skill Matrix'!A6&lt;&gt;"",'Skill Matrix'!T5&lt;&gt;""),'Skill Matrix'!T5,"")</f>
        <v/>
      </c>
      <c r="G17">
        <f>IF(OR(A17="",'Skill Matrix'!T6=""),"",'Skill Matrix'!T6)</f>
        <v/>
      </c>
      <c r="H17">
        <f>IF(A17="","",'Employees'!F6)</f>
        <v/>
      </c>
    </row>
    <row r="18">
      <c r="A18">
        <f>IF(AND('Skill Matrix'!A7&lt;&gt;"",'Skill Matrix'!E5&lt;&gt;""),'Skill Matrix'!A7,"")</f>
        <v/>
      </c>
      <c r="B18">
        <f>IF(A18="","",'Employees'!C6)</f>
        <v/>
      </c>
      <c r="C18">
        <f>IF(A18="","",'Employees'!D6)</f>
        <v/>
      </c>
      <c r="D18">
        <f>IF(A18="","",'Skill Matrix'!C7)</f>
        <v/>
      </c>
      <c r="E18">
        <f>IF(A18="","",'Skill Matrix'!D7)</f>
        <v/>
      </c>
      <c r="F18">
        <f>IF(AND('Skill Matrix'!A7&lt;&gt;"",'Skill Matrix'!E5&lt;&gt;""),'Skill Matrix'!E5,"")</f>
        <v/>
      </c>
      <c r="G18">
        <f>IF(OR(A18="",'Skill Matrix'!E7=""),"",'Skill Matrix'!E7)</f>
        <v/>
      </c>
      <c r="H18">
        <f>IF(A18="","",'Employees'!F6)</f>
        <v/>
      </c>
    </row>
    <row r="19">
      <c r="A19">
        <f>IF(AND('Skill Matrix'!A7&lt;&gt;"",'Skill Matrix'!F5&lt;&gt;""),'Skill Matrix'!A7,"")</f>
        <v/>
      </c>
      <c r="B19">
        <f>IF(A19="","",'Employees'!C6)</f>
        <v/>
      </c>
      <c r="C19">
        <f>IF(A19="","",'Employees'!D6)</f>
        <v/>
      </c>
      <c r="D19">
        <f>IF(A19="","",'Skill Matrix'!C7)</f>
        <v/>
      </c>
      <c r="E19">
        <f>IF(A19="","",'Skill Matrix'!D7)</f>
        <v/>
      </c>
      <c r="F19">
        <f>IF(AND('Skill Matrix'!A7&lt;&gt;"",'Skill Matrix'!F5&lt;&gt;""),'Skill Matrix'!F5,"")</f>
        <v/>
      </c>
      <c r="G19">
        <f>IF(OR(A19="",'Skill Matrix'!F7=""),"",'Skill Matrix'!F7)</f>
        <v/>
      </c>
      <c r="H19">
        <f>IF(A19="","",'Employees'!F6)</f>
        <v/>
      </c>
    </row>
    <row r="20">
      <c r="A20">
        <f>IF(AND('Skill Matrix'!A7&lt;&gt;"",'Skill Matrix'!G5&lt;&gt;""),'Skill Matrix'!A7,"")</f>
        <v/>
      </c>
      <c r="B20">
        <f>IF(A20="","",'Employees'!C6)</f>
        <v/>
      </c>
      <c r="C20">
        <f>IF(A20="","",'Employees'!D6)</f>
        <v/>
      </c>
      <c r="D20">
        <f>IF(A20="","",'Skill Matrix'!C7)</f>
        <v/>
      </c>
      <c r="E20">
        <f>IF(A20="","",'Skill Matrix'!D7)</f>
        <v/>
      </c>
      <c r="F20">
        <f>IF(AND('Skill Matrix'!A7&lt;&gt;"",'Skill Matrix'!G5&lt;&gt;""),'Skill Matrix'!G5,"")</f>
        <v/>
      </c>
      <c r="G20">
        <f>IF(OR(A20="",'Skill Matrix'!G7=""),"",'Skill Matrix'!G7)</f>
        <v/>
      </c>
      <c r="H20">
        <f>IF(A20="","",'Employees'!F6)</f>
        <v/>
      </c>
    </row>
    <row r="21">
      <c r="A21">
        <f>IF(AND('Skill Matrix'!A7&lt;&gt;"",'Skill Matrix'!H5&lt;&gt;""),'Skill Matrix'!A7,"")</f>
        <v/>
      </c>
      <c r="B21">
        <f>IF(A21="","",'Employees'!C6)</f>
        <v/>
      </c>
      <c r="C21">
        <f>IF(A21="","",'Employees'!D6)</f>
        <v/>
      </c>
      <c r="D21">
        <f>IF(A21="","",'Skill Matrix'!C7)</f>
        <v/>
      </c>
      <c r="E21">
        <f>IF(A21="","",'Skill Matrix'!D7)</f>
        <v/>
      </c>
      <c r="F21">
        <f>IF(AND('Skill Matrix'!A7&lt;&gt;"",'Skill Matrix'!H5&lt;&gt;""),'Skill Matrix'!H5,"")</f>
        <v/>
      </c>
      <c r="G21">
        <f>IF(OR(A21="",'Skill Matrix'!H7=""),"",'Skill Matrix'!H7)</f>
        <v/>
      </c>
      <c r="H21">
        <f>IF(A21="","",'Employees'!F6)</f>
        <v/>
      </c>
    </row>
    <row r="22">
      <c r="A22">
        <f>IF(AND('Skill Matrix'!A7&lt;&gt;"",'Skill Matrix'!I5&lt;&gt;""),'Skill Matrix'!A7,"")</f>
        <v/>
      </c>
      <c r="B22">
        <f>IF(A22="","",'Employees'!C6)</f>
        <v/>
      </c>
      <c r="C22">
        <f>IF(A22="","",'Employees'!D6)</f>
        <v/>
      </c>
      <c r="D22">
        <f>IF(A22="","",'Skill Matrix'!C7)</f>
        <v/>
      </c>
      <c r="E22">
        <f>IF(A22="","",'Skill Matrix'!D7)</f>
        <v/>
      </c>
      <c r="F22">
        <f>IF(AND('Skill Matrix'!A7&lt;&gt;"",'Skill Matrix'!I5&lt;&gt;""),'Skill Matrix'!I5,"")</f>
        <v/>
      </c>
      <c r="G22">
        <f>IF(OR(A22="",'Skill Matrix'!I7=""),"",'Skill Matrix'!I7)</f>
        <v/>
      </c>
      <c r="H22">
        <f>IF(A22="","",'Employees'!F6)</f>
        <v/>
      </c>
    </row>
    <row r="23">
      <c r="A23">
        <f>IF(AND('Skill Matrix'!A7&lt;&gt;"",'Skill Matrix'!J5&lt;&gt;""),'Skill Matrix'!A7,"")</f>
        <v/>
      </c>
      <c r="B23">
        <f>IF(A23="","",'Employees'!C6)</f>
        <v/>
      </c>
      <c r="C23">
        <f>IF(A23="","",'Employees'!D6)</f>
        <v/>
      </c>
      <c r="D23">
        <f>IF(A23="","",'Skill Matrix'!C7)</f>
        <v/>
      </c>
      <c r="E23">
        <f>IF(A23="","",'Skill Matrix'!D7)</f>
        <v/>
      </c>
      <c r="F23">
        <f>IF(AND('Skill Matrix'!A7&lt;&gt;"",'Skill Matrix'!J5&lt;&gt;""),'Skill Matrix'!J5,"")</f>
        <v/>
      </c>
      <c r="G23">
        <f>IF(OR(A23="",'Skill Matrix'!J7=""),"",'Skill Matrix'!J7)</f>
        <v/>
      </c>
      <c r="H23">
        <f>IF(A23="","",'Employees'!F6)</f>
        <v/>
      </c>
    </row>
    <row r="24">
      <c r="A24">
        <f>IF(AND('Skill Matrix'!A7&lt;&gt;"",'Skill Matrix'!K5&lt;&gt;""),'Skill Matrix'!A7,"")</f>
        <v/>
      </c>
      <c r="B24">
        <f>IF(A24="","",'Employees'!C6)</f>
        <v/>
      </c>
      <c r="C24">
        <f>IF(A24="","",'Employees'!D6)</f>
        <v/>
      </c>
      <c r="D24">
        <f>IF(A24="","",'Skill Matrix'!C7)</f>
        <v/>
      </c>
      <c r="E24">
        <f>IF(A24="","",'Skill Matrix'!D7)</f>
        <v/>
      </c>
      <c r="F24">
        <f>IF(AND('Skill Matrix'!A7&lt;&gt;"",'Skill Matrix'!K5&lt;&gt;""),'Skill Matrix'!K5,"")</f>
        <v/>
      </c>
      <c r="G24">
        <f>IF(OR(A24="",'Skill Matrix'!K7=""),"",'Skill Matrix'!K7)</f>
        <v/>
      </c>
      <c r="H24">
        <f>IF(A24="","",'Employees'!F6)</f>
        <v/>
      </c>
    </row>
    <row r="25">
      <c r="A25">
        <f>IF(AND('Skill Matrix'!A7&lt;&gt;"",'Skill Matrix'!L5&lt;&gt;""),'Skill Matrix'!A7,"")</f>
        <v/>
      </c>
      <c r="B25">
        <f>IF(A25="","",'Employees'!C6)</f>
        <v/>
      </c>
      <c r="C25">
        <f>IF(A25="","",'Employees'!D6)</f>
        <v/>
      </c>
      <c r="D25">
        <f>IF(A25="","",'Skill Matrix'!C7)</f>
        <v/>
      </c>
      <c r="E25">
        <f>IF(A25="","",'Skill Matrix'!D7)</f>
        <v/>
      </c>
      <c r="F25">
        <f>IF(AND('Skill Matrix'!A7&lt;&gt;"",'Skill Matrix'!L5&lt;&gt;""),'Skill Matrix'!L5,"")</f>
        <v/>
      </c>
      <c r="G25">
        <f>IF(OR(A25="",'Skill Matrix'!L7=""),"",'Skill Matrix'!L7)</f>
        <v/>
      </c>
      <c r="H25">
        <f>IF(A25="","",'Employees'!F6)</f>
        <v/>
      </c>
    </row>
    <row r="26">
      <c r="A26">
        <f>IF(AND('Skill Matrix'!A7&lt;&gt;"",'Skill Matrix'!M5&lt;&gt;""),'Skill Matrix'!A7,"")</f>
        <v/>
      </c>
      <c r="B26">
        <f>IF(A26="","",'Employees'!C6)</f>
        <v/>
      </c>
      <c r="C26">
        <f>IF(A26="","",'Employees'!D6)</f>
        <v/>
      </c>
      <c r="D26">
        <f>IF(A26="","",'Skill Matrix'!C7)</f>
        <v/>
      </c>
      <c r="E26">
        <f>IF(A26="","",'Skill Matrix'!D7)</f>
        <v/>
      </c>
      <c r="F26">
        <f>IF(AND('Skill Matrix'!A7&lt;&gt;"",'Skill Matrix'!M5&lt;&gt;""),'Skill Matrix'!M5,"")</f>
        <v/>
      </c>
      <c r="G26">
        <f>IF(OR(A26="",'Skill Matrix'!M7=""),"",'Skill Matrix'!M7)</f>
        <v/>
      </c>
      <c r="H26">
        <f>IF(A26="","",'Employees'!F6)</f>
        <v/>
      </c>
    </row>
    <row r="27">
      <c r="A27">
        <f>IF(AND('Skill Matrix'!A7&lt;&gt;"",'Skill Matrix'!N5&lt;&gt;""),'Skill Matrix'!A7,"")</f>
        <v/>
      </c>
      <c r="B27">
        <f>IF(A27="","",'Employees'!C6)</f>
        <v/>
      </c>
      <c r="C27">
        <f>IF(A27="","",'Employees'!D6)</f>
        <v/>
      </c>
      <c r="D27">
        <f>IF(A27="","",'Skill Matrix'!C7)</f>
        <v/>
      </c>
      <c r="E27">
        <f>IF(A27="","",'Skill Matrix'!D7)</f>
        <v/>
      </c>
      <c r="F27">
        <f>IF(AND('Skill Matrix'!A7&lt;&gt;"",'Skill Matrix'!N5&lt;&gt;""),'Skill Matrix'!N5,"")</f>
        <v/>
      </c>
      <c r="G27">
        <f>IF(OR(A27="",'Skill Matrix'!N7=""),"",'Skill Matrix'!N7)</f>
        <v/>
      </c>
      <c r="H27">
        <f>IF(A27="","",'Employees'!F6)</f>
        <v/>
      </c>
    </row>
    <row r="28">
      <c r="A28">
        <f>IF(AND('Skill Matrix'!A7&lt;&gt;"",'Skill Matrix'!O5&lt;&gt;""),'Skill Matrix'!A7,"")</f>
        <v/>
      </c>
      <c r="B28">
        <f>IF(A28="","",'Employees'!C6)</f>
        <v/>
      </c>
      <c r="C28">
        <f>IF(A28="","",'Employees'!D6)</f>
        <v/>
      </c>
      <c r="D28">
        <f>IF(A28="","",'Skill Matrix'!C7)</f>
        <v/>
      </c>
      <c r="E28">
        <f>IF(A28="","",'Skill Matrix'!D7)</f>
        <v/>
      </c>
      <c r="F28">
        <f>IF(AND('Skill Matrix'!A7&lt;&gt;"",'Skill Matrix'!O5&lt;&gt;""),'Skill Matrix'!O5,"")</f>
        <v/>
      </c>
      <c r="G28">
        <f>IF(OR(A28="",'Skill Matrix'!O7=""),"",'Skill Matrix'!O7)</f>
        <v/>
      </c>
      <c r="H28">
        <f>IF(A28="","",'Employees'!F6)</f>
        <v/>
      </c>
    </row>
    <row r="29">
      <c r="A29">
        <f>IF(AND('Skill Matrix'!A7&lt;&gt;"",'Skill Matrix'!P5&lt;&gt;""),'Skill Matrix'!A7,"")</f>
        <v/>
      </c>
      <c r="B29">
        <f>IF(A29="","",'Employees'!C6)</f>
        <v/>
      </c>
      <c r="C29">
        <f>IF(A29="","",'Employees'!D6)</f>
        <v/>
      </c>
      <c r="D29">
        <f>IF(A29="","",'Skill Matrix'!C7)</f>
        <v/>
      </c>
      <c r="E29">
        <f>IF(A29="","",'Skill Matrix'!D7)</f>
        <v/>
      </c>
      <c r="F29">
        <f>IF(AND('Skill Matrix'!A7&lt;&gt;"",'Skill Matrix'!P5&lt;&gt;""),'Skill Matrix'!P5,"")</f>
        <v/>
      </c>
      <c r="G29">
        <f>IF(OR(A29="",'Skill Matrix'!P7=""),"",'Skill Matrix'!P7)</f>
        <v/>
      </c>
      <c r="H29">
        <f>IF(A29="","",'Employees'!F6)</f>
        <v/>
      </c>
    </row>
    <row r="30">
      <c r="A30">
        <f>IF(AND('Skill Matrix'!A7&lt;&gt;"",'Skill Matrix'!Q5&lt;&gt;""),'Skill Matrix'!A7,"")</f>
        <v/>
      </c>
      <c r="B30">
        <f>IF(A30="","",'Employees'!C6)</f>
        <v/>
      </c>
      <c r="C30">
        <f>IF(A30="","",'Employees'!D6)</f>
        <v/>
      </c>
      <c r="D30">
        <f>IF(A30="","",'Skill Matrix'!C7)</f>
        <v/>
      </c>
      <c r="E30">
        <f>IF(A30="","",'Skill Matrix'!D7)</f>
        <v/>
      </c>
      <c r="F30">
        <f>IF(AND('Skill Matrix'!A7&lt;&gt;"",'Skill Matrix'!Q5&lt;&gt;""),'Skill Matrix'!Q5,"")</f>
        <v/>
      </c>
      <c r="G30">
        <f>IF(OR(A30="",'Skill Matrix'!Q7=""),"",'Skill Matrix'!Q7)</f>
        <v/>
      </c>
      <c r="H30">
        <f>IF(A30="","",'Employees'!F6)</f>
        <v/>
      </c>
    </row>
    <row r="31">
      <c r="A31">
        <f>IF(AND('Skill Matrix'!A7&lt;&gt;"",'Skill Matrix'!R5&lt;&gt;""),'Skill Matrix'!A7,"")</f>
        <v/>
      </c>
      <c r="B31">
        <f>IF(A31="","",'Employees'!C6)</f>
        <v/>
      </c>
      <c r="C31">
        <f>IF(A31="","",'Employees'!D6)</f>
        <v/>
      </c>
      <c r="D31">
        <f>IF(A31="","",'Skill Matrix'!C7)</f>
        <v/>
      </c>
      <c r="E31">
        <f>IF(A31="","",'Skill Matrix'!D7)</f>
        <v/>
      </c>
      <c r="F31">
        <f>IF(AND('Skill Matrix'!A7&lt;&gt;"",'Skill Matrix'!R5&lt;&gt;""),'Skill Matrix'!R5,"")</f>
        <v/>
      </c>
      <c r="G31">
        <f>IF(OR(A31="",'Skill Matrix'!R7=""),"",'Skill Matrix'!R7)</f>
        <v/>
      </c>
      <c r="H31">
        <f>IF(A31="","",'Employees'!F6)</f>
        <v/>
      </c>
    </row>
    <row r="32">
      <c r="A32">
        <f>IF(AND('Skill Matrix'!A7&lt;&gt;"",'Skill Matrix'!S5&lt;&gt;""),'Skill Matrix'!A7,"")</f>
        <v/>
      </c>
      <c r="B32">
        <f>IF(A32="","",'Employees'!C6)</f>
        <v/>
      </c>
      <c r="C32">
        <f>IF(A32="","",'Employees'!D6)</f>
        <v/>
      </c>
      <c r="D32">
        <f>IF(A32="","",'Skill Matrix'!C7)</f>
        <v/>
      </c>
      <c r="E32">
        <f>IF(A32="","",'Skill Matrix'!D7)</f>
        <v/>
      </c>
      <c r="F32">
        <f>IF(AND('Skill Matrix'!A7&lt;&gt;"",'Skill Matrix'!S5&lt;&gt;""),'Skill Matrix'!S5,"")</f>
        <v/>
      </c>
      <c r="G32">
        <f>IF(OR(A32="",'Skill Matrix'!S7=""),"",'Skill Matrix'!S7)</f>
        <v/>
      </c>
      <c r="H32">
        <f>IF(A32="","",'Employees'!F6)</f>
        <v/>
      </c>
    </row>
    <row r="33">
      <c r="A33">
        <f>IF(AND('Skill Matrix'!A7&lt;&gt;"",'Skill Matrix'!T5&lt;&gt;""),'Skill Matrix'!A7,"")</f>
        <v/>
      </c>
      <c r="B33">
        <f>IF(A33="","",'Employees'!C6)</f>
        <v/>
      </c>
      <c r="C33">
        <f>IF(A33="","",'Employees'!D6)</f>
        <v/>
      </c>
      <c r="D33">
        <f>IF(A33="","",'Skill Matrix'!C7)</f>
        <v/>
      </c>
      <c r="E33">
        <f>IF(A33="","",'Skill Matrix'!D7)</f>
        <v/>
      </c>
      <c r="F33">
        <f>IF(AND('Skill Matrix'!A7&lt;&gt;"",'Skill Matrix'!T5&lt;&gt;""),'Skill Matrix'!T5,"")</f>
        <v/>
      </c>
      <c r="G33">
        <f>IF(OR(A33="",'Skill Matrix'!T7=""),"",'Skill Matrix'!T7)</f>
        <v/>
      </c>
      <c r="H33">
        <f>IF(A33="","",'Employees'!F6)</f>
        <v/>
      </c>
    </row>
    <row r="34">
      <c r="A34">
        <f>IF(AND('Skill Matrix'!A8&lt;&gt;"",'Skill Matrix'!E5&lt;&gt;""),'Skill Matrix'!A8,"")</f>
        <v/>
      </c>
      <c r="B34">
        <f>IF(A34="","",'Employees'!C6)</f>
        <v/>
      </c>
      <c r="C34">
        <f>IF(A34="","",'Employees'!D6)</f>
        <v/>
      </c>
      <c r="D34">
        <f>IF(A34="","",'Skill Matrix'!C8)</f>
        <v/>
      </c>
      <c r="E34">
        <f>IF(A34="","",'Skill Matrix'!D8)</f>
        <v/>
      </c>
      <c r="F34">
        <f>IF(AND('Skill Matrix'!A8&lt;&gt;"",'Skill Matrix'!E5&lt;&gt;""),'Skill Matrix'!E5,"")</f>
        <v/>
      </c>
      <c r="G34">
        <f>IF(OR(A34="",'Skill Matrix'!E8=""),"",'Skill Matrix'!E8)</f>
        <v/>
      </c>
      <c r="H34">
        <f>IF(A34="","",'Employees'!F6)</f>
        <v/>
      </c>
    </row>
    <row r="35">
      <c r="A35">
        <f>IF(AND('Skill Matrix'!A8&lt;&gt;"",'Skill Matrix'!F5&lt;&gt;""),'Skill Matrix'!A8,"")</f>
        <v/>
      </c>
      <c r="B35">
        <f>IF(A35="","",'Employees'!C6)</f>
        <v/>
      </c>
      <c r="C35">
        <f>IF(A35="","",'Employees'!D6)</f>
        <v/>
      </c>
      <c r="D35">
        <f>IF(A35="","",'Skill Matrix'!C8)</f>
        <v/>
      </c>
      <c r="E35">
        <f>IF(A35="","",'Skill Matrix'!D8)</f>
        <v/>
      </c>
      <c r="F35">
        <f>IF(AND('Skill Matrix'!A8&lt;&gt;"",'Skill Matrix'!F5&lt;&gt;""),'Skill Matrix'!F5,"")</f>
        <v/>
      </c>
      <c r="G35">
        <f>IF(OR(A35="",'Skill Matrix'!F8=""),"",'Skill Matrix'!F8)</f>
        <v/>
      </c>
      <c r="H35">
        <f>IF(A35="","",'Employees'!F6)</f>
        <v/>
      </c>
    </row>
    <row r="36">
      <c r="A36">
        <f>IF(AND('Skill Matrix'!A8&lt;&gt;"",'Skill Matrix'!G5&lt;&gt;""),'Skill Matrix'!A8,"")</f>
        <v/>
      </c>
      <c r="B36">
        <f>IF(A36="","",'Employees'!C6)</f>
        <v/>
      </c>
      <c r="C36">
        <f>IF(A36="","",'Employees'!D6)</f>
        <v/>
      </c>
      <c r="D36">
        <f>IF(A36="","",'Skill Matrix'!C8)</f>
        <v/>
      </c>
      <c r="E36">
        <f>IF(A36="","",'Skill Matrix'!D8)</f>
        <v/>
      </c>
      <c r="F36">
        <f>IF(AND('Skill Matrix'!A8&lt;&gt;"",'Skill Matrix'!G5&lt;&gt;""),'Skill Matrix'!G5,"")</f>
        <v/>
      </c>
      <c r="G36">
        <f>IF(OR(A36="",'Skill Matrix'!G8=""),"",'Skill Matrix'!G8)</f>
        <v/>
      </c>
      <c r="H36">
        <f>IF(A36="","",'Employees'!F6)</f>
        <v/>
      </c>
    </row>
    <row r="37">
      <c r="A37">
        <f>IF(AND('Skill Matrix'!A8&lt;&gt;"",'Skill Matrix'!H5&lt;&gt;""),'Skill Matrix'!A8,"")</f>
        <v/>
      </c>
      <c r="B37">
        <f>IF(A37="","",'Employees'!C6)</f>
        <v/>
      </c>
      <c r="C37">
        <f>IF(A37="","",'Employees'!D6)</f>
        <v/>
      </c>
      <c r="D37">
        <f>IF(A37="","",'Skill Matrix'!C8)</f>
        <v/>
      </c>
      <c r="E37">
        <f>IF(A37="","",'Skill Matrix'!D8)</f>
        <v/>
      </c>
      <c r="F37">
        <f>IF(AND('Skill Matrix'!A8&lt;&gt;"",'Skill Matrix'!H5&lt;&gt;""),'Skill Matrix'!H5,"")</f>
        <v/>
      </c>
      <c r="G37">
        <f>IF(OR(A37="",'Skill Matrix'!H8=""),"",'Skill Matrix'!H8)</f>
        <v/>
      </c>
      <c r="H37">
        <f>IF(A37="","",'Employees'!F6)</f>
        <v/>
      </c>
    </row>
    <row r="38">
      <c r="A38">
        <f>IF(AND('Skill Matrix'!A8&lt;&gt;"",'Skill Matrix'!I5&lt;&gt;""),'Skill Matrix'!A8,"")</f>
        <v/>
      </c>
      <c r="B38">
        <f>IF(A38="","",'Employees'!C6)</f>
        <v/>
      </c>
      <c r="C38">
        <f>IF(A38="","",'Employees'!D6)</f>
        <v/>
      </c>
      <c r="D38">
        <f>IF(A38="","",'Skill Matrix'!C8)</f>
        <v/>
      </c>
      <c r="E38">
        <f>IF(A38="","",'Skill Matrix'!D8)</f>
        <v/>
      </c>
      <c r="F38">
        <f>IF(AND('Skill Matrix'!A8&lt;&gt;"",'Skill Matrix'!I5&lt;&gt;""),'Skill Matrix'!I5,"")</f>
        <v/>
      </c>
      <c r="G38">
        <f>IF(OR(A38="",'Skill Matrix'!I8=""),"",'Skill Matrix'!I8)</f>
        <v/>
      </c>
      <c r="H38">
        <f>IF(A38="","",'Employees'!F6)</f>
        <v/>
      </c>
    </row>
    <row r="39">
      <c r="A39">
        <f>IF(AND('Skill Matrix'!A8&lt;&gt;"",'Skill Matrix'!J5&lt;&gt;""),'Skill Matrix'!A8,"")</f>
        <v/>
      </c>
      <c r="B39">
        <f>IF(A39="","",'Employees'!C6)</f>
        <v/>
      </c>
      <c r="C39">
        <f>IF(A39="","",'Employees'!D6)</f>
        <v/>
      </c>
      <c r="D39">
        <f>IF(A39="","",'Skill Matrix'!C8)</f>
        <v/>
      </c>
      <c r="E39">
        <f>IF(A39="","",'Skill Matrix'!D8)</f>
        <v/>
      </c>
      <c r="F39">
        <f>IF(AND('Skill Matrix'!A8&lt;&gt;"",'Skill Matrix'!J5&lt;&gt;""),'Skill Matrix'!J5,"")</f>
        <v/>
      </c>
      <c r="G39">
        <f>IF(OR(A39="",'Skill Matrix'!J8=""),"",'Skill Matrix'!J8)</f>
        <v/>
      </c>
      <c r="H39">
        <f>IF(A39="","",'Employees'!F6)</f>
        <v/>
      </c>
    </row>
    <row r="40">
      <c r="A40">
        <f>IF(AND('Skill Matrix'!A8&lt;&gt;"",'Skill Matrix'!K5&lt;&gt;""),'Skill Matrix'!A8,"")</f>
        <v/>
      </c>
      <c r="B40">
        <f>IF(A40="","",'Employees'!C6)</f>
        <v/>
      </c>
      <c r="C40">
        <f>IF(A40="","",'Employees'!D6)</f>
        <v/>
      </c>
      <c r="D40">
        <f>IF(A40="","",'Skill Matrix'!C8)</f>
        <v/>
      </c>
      <c r="E40">
        <f>IF(A40="","",'Skill Matrix'!D8)</f>
        <v/>
      </c>
      <c r="F40">
        <f>IF(AND('Skill Matrix'!A8&lt;&gt;"",'Skill Matrix'!K5&lt;&gt;""),'Skill Matrix'!K5,"")</f>
        <v/>
      </c>
      <c r="G40">
        <f>IF(OR(A40="",'Skill Matrix'!K8=""),"",'Skill Matrix'!K8)</f>
        <v/>
      </c>
      <c r="H40">
        <f>IF(A40="","",'Employees'!F6)</f>
        <v/>
      </c>
    </row>
    <row r="41">
      <c r="A41">
        <f>IF(AND('Skill Matrix'!A8&lt;&gt;"",'Skill Matrix'!L5&lt;&gt;""),'Skill Matrix'!A8,"")</f>
        <v/>
      </c>
      <c r="B41">
        <f>IF(A41="","",'Employees'!C6)</f>
        <v/>
      </c>
      <c r="C41">
        <f>IF(A41="","",'Employees'!D6)</f>
        <v/>
      </c>
      <c r="D41">
        <f>IF(A41="","",'Skill Matrix'!C8)</f>
        <v/>
      </c>
      <c r="E41">
        <f>IF(A41="","",'Skill Matrix'!D8)</f>
        <v/>
      </c>
      <c r="F41">
        <f>IF(AND('Skill Matrix'!A8&lt;&gt;"",'Skill Matrix'!L5&lt;&gt;""),'Skill Matrix'!L5,"")</f>
        <v/>
      </c>
      <c r="G41">
        <f>IF(OR(A41="",'Skill Matrix'!L8=""),"",'Skill Matrix'!L8)</f>
        <v/>
      </c>
      <c r="H41">
        <f>IF(A41="","",'Employees'!F6)</f>
        <v/>
      </c>
    </row>
    <row r="42">
      <c r="A42">
        <f>IF(AND('Skill Matrix'!A8&lt;&gt;"",'Skill Matrix'!M5&lt;&gt;""),'Skill Matrix'!A8,"")</f>
        <v/>
      </c>
      <c r="B42">
        <f>IF(A42="","",'Employees'!C6)</f>
        <v/>
      </c>
      <c r="C42">
        <f>IF(A42="","",'Employees'!D6)</f>
        <v/>
      </c>
      <c r="D42">
        <f>IF(A42="","",'Skill Matrix'!C8)</f>
        <v/>
      </c>
      <c r="E42">
        <f>IF(A42="","",'Skill Matrix'!D8)</f>
        <v/>
      </c>
      <c r="F42">
        <f>IF(AND('Skill Matrix'!A8&lt;&gt;"",'Skill Matrix'!M5&lt;&gt;""),'Skill Matrix'!M5,"")</f>
        <v/>
      </c>
      <c r="G42">
        <f>IF(OR(A42="",'Skill Matrix'!M8=""),"",'Skill Matrix'!M8)</f>
        <v/>
      </c>
      <c r="H42">
        <f>IF(A42="","",'Employees'!F6)</f>
        <v/>
      </c>
    </row>
    <row r="43">
      <c r="A43">
        <f>IF(AND('Skill Matrix'!A8&lt;&gt;"",'Skill Matrix'!N5&lt;&gt;""),'Skill Matrix'!A8,"")</f>
        <v/>
      </c>
      <c r="B43">
        <f>IF(A43="","",'Employees'!C6)</f>
        <v/>
      </c>
      <c r="C43">
        <f>IF(A43="","",'Employees'!D6)</f>
        <v/>
      </c>
      <c r="D43">
        <f>IF(A43="","",'Skill Matrix'!C8)</f>
        <v/>
      </c>
      <c r="E43">
        <f>IF(A43="","",'Skill Matrix'!D8)</f>
        <v/>
      </c>
      <c r="F43">
        <f>IF(AND('Skill Matrix'!A8&lt;&gt;"",'Skill Matrix'!N5&lt;&gt;""),'Skill Matrix'!N5,"")</f>
        <v/>
      </c>
      <c r="G43">
        <f>IF(OR(A43="",'Skill Matrix'!N8=""),"",'Skill Matrix'!N8)</f>
        <v/>
      </c>
      <c r="H43">
        <f>IF(A43="","",'Employees'!F6)</f>
        <v/>
      </c>
    </row>
    <row r="44">
      <c r="A44">
        <f>IF(AND('Skill Matrix'!A8&lt;&gt;"",'Skill Matrix'!O5&lt;&gt;""),'Skill Matrix'!A8,"")</f>
        <v/>
      </c>
      <c r="B44">
        <f>IF(A44="","",'Employees'!C6)</f>
        <v/>
      </c>
      <c r="C44">
        <f>IF(A44="","",'Employees'!D6)</f>
        <v/>
      </c>
      <c r="D44">
        <f>IF(A44="","",'Skill Matrix'!C8)</f>
        <v/>
      </c>
      <c r="E44">
        <f>IF(A44="","",'Skill Matrix'!D8)</f>
        <v/>
      </c>
      <c r="F44">
        <f>IF(AND('Skill Matrix'!A8&lt;&gt;"",'Skill Matrix'!O5&lt;&gt;""),'Skill Matrix'!O5,"")</f>
        <v/>
      </c>
      <c r="G44">
        <f>IF(OR(A44="",'Skill Matrix'!O8=""),"",'Skill Matrix'!O8)</f>
        <v/>
      </c>
      <c r="H44">
        <f>IF(A44="","",'Employees'!F6)</f>
        <v/>
      </c>
    </row>
    <row r="45">
      <c r="A45">
        <f>IF(AND('Skill Matrix'!A8&lt;&gt;"",'Skill Matrix'!P5&lt;&gt;""),'Skill Matrix'!A8,"")</f>
        <v/>
      </c>
      <c r="B45">
        <f>IF(A45="","",'Employees'!C6)</f>
        <v/>
      </c>
      <c r="C45">
        <f>IF(A45="","",'Employees'!D6)</f>
        <v/>
      </c>
      <c r="D45">
        <f>IF(A45="","",'Skill Matrix'!C8)</f>
        <v/>
      </c>
      <c r="E45">
        <f>IF(A45="","",'Skill Matrix'!D8)</f>
        <v/>
      </c>
      <c r="F45">
        <f>IF(AND('Skill Matrix'!A8&lt;&gt;"",'Skill Matrix'!P5&lt;&gt;""),'Skill Matrix'!P5,"")</f>
        <v/>
      </c>
      <c r="G45">
        <f>IF(OR(A45="",'Skill Matrix'!P8=""),"",'Skill Matrix'!P8)</f>
        <v/>
      </c>
      <c r="H45">
        <f>IF(A45="","",'Employees'!F6)</f>
        <v/>
      </c>
    </row>
    <row r="46">
      <c r="A46">
        <f>IF(AND('Skill Matrix'!A8&lt;&gt;"",'Skill Matrix'!Q5&lt;&gt;""),'Skill Matrix'!A8,"")</f>
        <v/>
      </c>
      <c r="B46">
        <f>IF(A46="","",'Employees'!C6)</f>
        <v/>
      </c>
      <c r="C46">
        <f>IF(A46="","",'Employees'!D6)</f>
        <v/>
      </c>
      <c r="D46">
        <f>IF(A46="","",'Skill Matrix'!C8)</f>
        <v/>
      </c>
      <c r="E46">
        <f>IF(A46="","",'Skill Matrix'!D8)</f>
        <v/>
      </c>
      <c r="F46">
        <f>IF(AND('Skill Matrix'!A8&lt;&gt;"",'Skill Matrix'!Q5&lt;&gt;""),'Skill Matrix'!Q5,"")</f>
        <v/>
      </c>
      <c r="G46">
        <f>IF(OR(A46="",'Skill Matrix'!Q8=""),"",'Skill Matrix'!Q8)</f>
        <v/>
      </c>
      <c r="H46">
        <f>IF(A46="","",'Employees'!F6)</f>
        <v/>
      </c>
    </row>
    <row r="47">
      <c r="A47">
        <f>IF(AND('Skill Matrix'!A8&lt;&gt;"",'Skill Matrix'!R5&lt;&gt;""),'Skill Matrix'!A8,"")</f>
        <v/>
      </c>
      <c r="B47">
        <f>IF(A47="","",'Employees'!C6)</f>
        <v/>
      </c>
      <c r="C47">
        <f>IF(A47="","",'Employees'!D6)</f>
        <v/>
      </c>
      <c r="D47">
        <f>IF(A47="","",'Skill Matrix'!C8)</f>
        <v/>
      </c>
      <c r="E47">
        <f>IF(A47="","",'Skill Matrix'!D8)</f>
        <v/>
      </c>
      <c r="F47">
        <f>IF(AND('Skill Matrix'!A8&lt;&gt;"",'Skill Matrix'!R5&lt;&gt;""),'Skill Matrix'!R5,"")</f>
        <v/>
      </c>
      <c r="G47">
        <f>IF(OR(A47="",'Skill Matrix'!R8=""),"",'Skill Matrix'!R8)</f>
        <v/>
      </c>
      <c r="H47">
        <f>IF(A47="","",'Employees'!F6)</f>
        <v/>
      </c>
    </row>
    <row r="48">
      <c r="A48">
        <f>IF(AND('Skill Matrix'!A8&lt;&gt;"",'Skill Matrix'!S5&lt;&gt;""),'Skill Matrix'!A8,"")</f>
        <v/>
      </c>
      <c r="B48">
        <f>IF(A48="","",'Employees'!C6)</f>
        <v/>
      </c>
      <c r="C48">
        <f>IF(A48="","",'Employees'!D6)</f>
        <v/>
      </c>
      <c r="D48">
        <f>IF(A48="","",'Skill Matrix'!C8)</f>
        <v/>
      </c>
      <c r="E48">
        <f>IF(A48="","",'Skill Matrix'!D8)</f>
        <v/>
      </c>
      <c r="F48">
        <f>IF(AND('Skill Matrix'!A8&lt;&gt;"",'Skill Matrix'!S5&lt;&gt;""),'Skill Matrix'!S5,"")</f>
        <v/>
      </c>
      <c r="G48">
        <f>IF(OR(A48="",'Skill Matrix'!S8=""),"",'Skill Matrix'!S8)</f>
        <v/>
      </c>
      <c r="H48">
        <f>IF(A48="","",'Employees'!F6)</f>
        <v/>
      </c>
    </row>
    <row r="49">
      <c r="A49">
        <f>IF(AND('Skill Matrix'!A8&lt;&gt;"",'Skill Matrix'!T5&lt;&gt;""),'Skill Matrix'!A8,"")</f>
        <v/>
      </c>
      <c r="B49">
        <f>IF(A49="","",'Employees'!C6)</f>
        <v/>
      </c>
      <c r="C49">
        <f>IF(A49="","",'Employees'!D6)</f>
        <v/>
      </c>
      <c r="D49">
        <f>IF(A49="","",'Skill Matrix'!C8)</f>
        <v/>
      </c>
      <c r="E49">
        <f>IF(A49="","",'Skill Matrix'!D8)</f>
        <v/>
      </c>
      <c r="F49">
        <f>IF(AND('Skill Matrix'!A8&lt;&gt;"",'Skill Matrix'!T5&lt;&gt;""),'Skill Matrix'!T5,"")</f>
        <v/>
      </c>
      <c r="G49">
        <f>IF(OR(A49="",'Skill Matrix'!T8=""),"",'Skill Matrix'!T8)</f>
        <v/>
      </c>
      <c r="H49">
        <f>IF(A49="","",'Employees'!F6)</f>
        <v/>
      </c>
    </row>
    <row r="50">
      <c r="A50">
        <f>IF(AND('Skill Matrix'!A9&lt;&gt;"",'Skill Matrix'!E5&lt;&gt;""),'Skill Matrix'!A9,"")</f>
        <v/>
      </c>
      <c r="B50">
        <f>IF(A50="","",'Employees'!C6)</f>
        <v/>
      </c>
      <c r="C50">
        <f>IF(A50="","",'Employees'!D6)</f>
        <v/>
      </c>
      <c r="D50">
        <f>IF(A50="","",'Skill Matrix'!C9)</f>
        <v/>
      </c>
      <c r="E50">
        <f>IF(A50="","",'Skill Matrix'!D9)</f>
        <v/>
      </c>
      <c r="F50">
        <f>IF(AND('Skill Matrix'!A9&lt;&gt;"",'Skill Matrix'!E5&lt;&gt;""),'Skill Matrix'!E5,"")</f>
        <v/>
      </c>
      <c r="G50">
        <f>IF(OR(A50="",'Skill Matrix'!E9=""),"",'Skill Matrix'!E9)</f>
        <v/>
      </c>
      <c r="H50">
        <f>IF(A50="","",'Employees'!F6)</f>
        <v/>
      </c>
    </row>
    <row r="51">
      <c r="A51">
        <f>IF(AND('Skill Matrix'!A9&lt;&gt;"",'Skill Matrix'!F5&lt;&gt;""),'Skill Matrix'!A9,"")</f>
        <v/>
      </c>
      <c r="B51">
        <f>IF(A51="","",'Employees'!C6)</f>
        <v/>
      </c>
      <c r="C51">
        <f>IF(A51="","",'Employees'!D6)</f>
        <v/>
      </c>
      <c r="D51">
        <f>IF(A51="","",'Skill Matrix'!C9)</f>
        <v/>
      </c>
      <c r="E51">
        <f>IF(A51="","",'Skill Matrix'!D9)</f>
        <v/>
      </c>
      <c r="F51">
        <f>IF(AND('Skill Matrix'!A9&lt;&gt;"",'Skill Matrix'!F5&lt;&gt;""),'Skill Matrix'!F5,"")</f>
        <v/>
      </c>
      <c r="G51">
        <f>IF(OR(A51="",'Skill Matrix'!F9=""),"",'Skill Matrix'!F9)</f>
        <v/>
      </c>
      <c r="H51">
        <f>IF(A51="","",'Employees'!F6)</f>
        <v/>
      </c>
    </row>
    <row r="52">
      <c r="A52">
        <f>IF(AND('Skill Matrix'!A9&lt;&gt;"",'Skill Matrix'!G5&lt;&gt;""),'Skill Matrix'!A9,"")</f>
        <v/>
      </c>
      <c r="B52">
        <f>IF(A52="","",'Employees'!C6)</f>
        <v/>
      </c>
      <c r="C52">
        <f>IF(A52="","",'Employees'!D6)</f>
        <v/>
      </c>
      <c r="D52">
        <f>IF(A52="","",'Skill Matrix'!C9)</f>
        <v/>
      </c>
      <c r="E52">
        <f>IF(A52="","",'Skill Matrix'!D9)</f>
        <v/>
      </c>
      <c r="F52">
        <f>IF(AND('Skill Matrix'!A9&lt;&gt;"",'Skill Matrix'!G5&lt;&gt;""),'Skill Matrix'!G5,"")</f>
        <v/>
      </c>
      <c r="G52">
        <f>IF(OR(A52="",'Skill Matrix'!G9=""),"",'Skill Matrix'!G9)</f>
        <v/>
      </c>
      <c r="H52">
        <f>IF(A52="","",'Employees'!F6)</f>
        <v/>
      </c>
    </row>
    <row r="53">
      <c r="A53">
        <f>IF(AND('Skill Matrix'!A9&lt;&gt;"",'Skill Matrix'!H5&lt;&gt;""),'Skill Matrix'!A9,"")</f>
        <v/>
      </c>
      <c r="B53">
        <f>IF(A53="","",'Employees'!C6)</f>
        <v/>
      </c>
      <c r="C53">
        <f>IF(A53="","",'Employees'!D6)</f>
        <v/>
      </c>
      <c r="D53">
        <f>IF(A53="","",'Skill Matrix'!C9)</f>
        <v/>
      </c>
      <c r="E53">
        <f>IF(A53="","",'Skill Matrix'!D9)</f>
        <v/>
      </c>
      <c r="F53">
        <f>IF(AND('Skill Matrix'!A9&lt;&gt;"",'Skill Matrix'!H5&lt;&gt;""),'Skill Matrix'!H5,"")</f>
        <v/>
      </c>
      <c r="G53">
        <f>IF(OR(A53="",'Skill Matrix'!H9=""),"",'Skill Matrix'!H9)</f>
        <v/>
      </c>
      <c r="H53">
        <f>IF(A53="","",'Employees'!F6)</f>
        <v/>
      </c>
    </row>
    <row r="54">
      <c r="A54">
        <f>IF(AND('Skill Matrix'!A9&lt;&gt;"",'Skill Matrix'!I5&lt;&gt;""),'Skill Matrix'!A9,"")</f>
        <v/>
      </c>
      <c r="B54">
        <f>IF(A54="","",'Employees'!C6)</f>
        <v/>
      </c>
      <c r="C54">
        <f>IF(A54="","",'Employees'!D6)</f>
        <v/>
      </c>
      <c r="D54">
        <f>IF(A54="","",'Skill Matrix'!C9)</f>
        <v/>
      </c>
      <c r="E54">
        <f>IF(A54="","",'Skill Matrix'!D9)</f>
        <v/>
      </c>
      <c r="F54">
        <f>IF(AND('Skill Matrix'!A9&lt;&gt;"",'Skill Matrix'!I5&lt;&gt;""),'Skill Matrix'!I5,"")</f>
        <v/>
      </c>
      <c r="G54">
        <f>IF(OR(A54="",'Skill Matrix'!I9=""),"",'Skill Matrix'!I9)</f>
        <v/>
      </c>
      <c r="H54">
        <f>IF(A54="","",'Employees'!F6)</f>
        <v/>
      </c>
    </row>
    <row r="55">
      <c r="A55">
        <f>IF(AND('Skill Matrix'!A9&lt;&gt;"",'Skill Matrix'!J5&lt;&gt;""),'Skill Matrix'!A9,"")</f>
        <v/>
      </c>
      <c r="B55">
        <f>IF(A55="","",'Employees'!C6)</f>
        <v/>
      </c>
      <c r="C55">
        <f>IF(A55="","",'Employees'!D6)</f>
        <v/>
      </c>
      <c r="D55">
        <f>IF(A55="","",'Skill Matrix'!C9)</f>
        <v/>
      </c>
      <c r="E55">
        <f>IF(A55="","",'Skill Matrix'!D9)</f>
        <v/>
      </c>
      <c r="F55">
        <f>IF(AND('Skill Matrix'!A9&lt;&gt;"",'Skill Matrix'!J5&lt;&gt;""),'Skill Matrix'!J5,"")</f>
        <v/>
      </c>
      <c r="G55">
        <f>IF(OR(A55="",'Skill Matrix'!J9=""),"",'Skill Matrix'!J9)</f>
        <v/>
      </c>
      <c r="H55">
        <f>IF(A55="","",'Employees'!F6)</f>
        <v/>
      </c>
    </row>
    <row r="56">
      <c r="A56">
        <f>IF(AND('Skill Matrix'!A9&lt;&gt;"",'Skill Matrix'!K5&lt;&gt;""),'Skill Matrix'!A9,"")</f>
        <v/>
      </c>
      <c r="B56">
        <f>IF(A56="","",'Employees'!C6)</f>
        <v/>
      </c>
      <c r="C56">
        <f>IF(A56="","",'Employees'!D6)</f>
        <v/>
      </c>
      <c r="D56">
        <f>IF(A56="","",'Skill Matrix'!C9)</f>
        <v/>
      </c>
      <c r="E56">
        <f>IF(A56="","",'Skill Matrix'!D9)</f>
        <v/>
      </c>
      <c r="F56">
        <f>IF(AND('Skill Matrix'!A9&lt;&gt;"",'Skill Matrix'!K5&lt;&gt;""),'Skill Matrix'!K5,"")</f>
        <v/>
      </c>
      <c r="G56">
        <f>IF(OR(A56="",'Skill Matrix'!K9=""),"",'Skill Matrix'!K9)</f>
        <v/>
      </c>
      <c r="H56">
        <f>IF(A56="","",'Employees'!F6)</f>
        <v/>
      </c>
    </row>
    <row r="57">
      <c r="A57">
        <f>IF(AND('Skill Matrix'!A9&lt;&gt;"",'Skill Matrix'!L5&lt;&gt;""),'Skill Matrix'!A9,"")</f>
        <v/>
      </c>
      <c r="B57">
        <f>IF(A57="","",'Employees'!C6)</f>
        <v/>
      </c>
      <c r="C57">
        <f>IF(A57="","",'Employees'!D6)</f>
        <v/>
      </c>
      <c r="D57">
        <f>IF(A57="","",'Skill Matrix'!C9)</f>
        <v/>
      </c>
      <c r="E57">
        <f>IF(A57="","",'Skill Matrix'!D9)</f>
        <v/>
      </c>
      <c r="F57">
        <f>IF(AND('Skill Matrix'!A9&lt;&gt;"",'Skill Matrix'!L5&lt;&gt;""),'Skill Matrix'!L5,"")</f>
        <v/>
      </c>
      <c r="G57">
        <f>IF(OR(A57="",'Skill Matrix'!L9=""),"",'Skill Matrix'!L9)</f>
        <v/>
      </c>
      <c r="H57">
        <f>IF(A57="","",'Employees'!F6)</f>
        <v/>
      </c>
    </row>
    <row r="58">
      <c r="A58">
        <f>IF(AND('Skill Matrix'!A9&lt;&gt;"",'Skill Matrix'!M5&lt;&gt;""),'Skill Matrix'!A9,"")</f>
        <v/>
      </c>
      <c r="B58">
        <f>IF(A58="","",'Employees'!C6)</f>
        <v/>
      </c>
      <c r="C58">
        <f>IF(A58="","",'Employees'!D6)</f>
        <v/>
      </c>
      <c r="D58">
        <f>IF(A58="","",'Skill Matrix'!C9)</f>
        <v/>
      </c>
      <c r="E58">
        <f>IF(A58="","",'Skill Matrix'!D9)</f>
        <v/>
      </c>
      <c r="F58">
        <f>IF(AND('Skill Matrix'!A9&lt;&gt;"",'Skill Matrix'!M5&lt;&gt;""),'Skill Matrix'!M5,"")</f>
        <v/>
      </c>
      <c r="G58">
        <f>IF(OR(A58="",'Skill Matrix'!M9=""),"",'Skill Matrix'!M9)</f>
        <v/>
      </c>
      <c r="H58">
        <f>IF(A58="","",'Employees'!F6)</f>
        <v/>
      </c>
    </row>
    <row r="59">
      <c r="A59">
        <f>IF(AND('Skill Matrix'!A9&lt;&gt;"",'Skill Matrix'!N5&lt;&gt;""),'Skill Matrix'!A9,"")</f>
        <v/>
      </c>
      <c r="B59">
        <f>IF(A59="","",'Employees'!C6)</f>
        <v/>
      </c>
      <c r="C59">
        <f>IF(A59="","",'Employees'!D6)</f>
        <v/>
      </c>
      <c r="D59">
        <f>IF(A59="","",'Skill Matrix'!C9)</f>
        <v/>
      </c>
      <c r="E59">
        <f>IF(A59="","",'Skill Matrix'!D9)</f>
        <v/>
      </c>
      <c r="F59">
        <f>IF(AND('Skill Matrix'!A9&lt;&gt;"",'Skill Matrix'!N5&lt;&gt;""),'Skill Matrix'!N5,"")</f>
        <v/>
      </c>
      <c r="G59">
        <f>IF(OR(A59="",'Skill Matrix'!N9=""),"",'Skill Matrix'!N9)</f>
        <v/>
      </c>
      <c r="H59">
        <f>IF(A59="","",'Employees'!F6)</f>
        <v/>
      </c>
    </row>
    <row r="60">
      <c r="A60">
        <f>IF(AND('Skill Matrix'!A9&lt;&gt;"",'Skill Matrix'!O5&lt;&gt;""),'Skill Matrix'!A9,"")</f>
        <v/>
      </c>
      <c r="B60">
        <f>IF(A60="","",'Employees'!C6)</f>
        <v/>
      </c>
      <c r="C60">
        <f>IF(A60="","",'Employees'!D6)</f>
        <v/>
      </c>
      <c r="D60">
        <f>IF(A60="","",'Skill Matrix'!C9)</f>
        <v/>
      </c>
      <c r="E60">
        <f>IF(A60="","",'Skill Matrix'!D9)</f>
        <v/>
      </c>
      <c r="F60">
        <f>IF(AND('Skill Matrix'!A9&lt;&gt;"",'Skill Matrix'!O5&lt;&gt;""),'Skill Matrix'!O5,"")</f>
        <v/>
      </c>
      <c r="G60">
        <f>IF(OR(A60="",'Skill Matrix'!O9=""),"",'Skill Matrix'!O9)</f>
        <v/>
      </c>
      <c r="H60">
        <f>IF(A60="","",'Employees'!F6)</f>
        <v/>
      </c>
    </row>
    <row r="61">
      <c r="A61">
        <f>IF(AND('Skill Matrix'!A9&lt;&gt;"",'Skill Matrix'!P5&lt;&gt;""),'Skill Matrix'!A9,"")</f>
        <v/>
      </c>
      <c r="B61">
        <f>IF(A61="","",'Employees'!C6)</f>
        <v/>
      </c>
      <c r="C61">
        <f>IF(A61="","",'Employees'!D6)</f>
        <v/>
      </c>
      <c r="D61">
        <f>IF(A61="","",'Skill Matrix'!C9)</f>
        <v/>
      </c>
      <c r="E61">
        <f>IF(A61="","",'Skill Matrix'!D9)</f>
        <v/>
      </c>
      <c r="F61">
        <f>IF(AND('Skill Matrix'!A9&lt;&gt;"",'Skill Matrix'!P5&lt;&gt;""),'Skill Matrix'!P5,"")</f>
        <v/>
      </c>
      <c r="G61">
        <f>IF(OR(A61="",'Skill Matrix'!P9=""),"",'Skill Matrix'!P9)</f>
        <v/>
      </c>
      <c r="H61">
        <f>IF(A61="","",'Employees'!F6)</f>
        <v/>
      </c>
    </row>
    <row r="62">
      <c r="A62">
        <f>IF(AND('Skill Matrix'!A9&lt;&gt;"",'Skill Matrix'!Q5&lt;&gt;""),'Skill Matrix'!A9,"")</f>
        <v/>
      </c>
      <c r="B62">
        <f>IF(A62="","",'Employees'!C6)</f>
        <v/>
      </c>
      <c r="C62">
        <f>IF(A62="","",'Employees'!D6)</f>
        <v/>
      </c>
      <c r="D62">
        <f>IF(A62="","",'Skill Matrix'!C9)</f>
        <v/>
      </c>
      <c r="E62">
        <f>IF(A62="","",'Skill Matrix'!D9)</f>
        <v/>
      </c>
      <c r="F62">
        <f>IF(AND('Skill Matrix'!A9&lt;&gt;"",'Skill Matrix'!Q5&lt;&gt;""),'Skill Matrix'!Q5,"")</f>
        <v/>
      </c>
      <c r="G62">
        <f>IF(OR(A62="",'Skill Matrix'!Q9=""),"",'Skill Matrix'!Q9)</f>
        <v/>
      </c>
      <c r="H62">
        <f>IF(A62="","",'Employees'!F6)</f>
        <v/>
      </c>
    </row>
    <row r="63">
      <c r="A63">
        <f>IF(AND('Skill Matrix'!A9&lt;&gt;"",'Skill Matrix'!R5&lt;&gt;""),'Skill Matrix'!A9,"")</f>
        <v/>
      </c>
      <c r="B63">
        <f>IF(A63="","",'Employees'!C6)</f>
        <v/>
      </c>
      <c r="C63">
        <f>IF(A63="","",'Employees'!D6)</f>
        <v/>
      </c>
      <c r="D63">
        <f>IF(A63="","",'Skill Matrix'!C9)</f>
        <v/>
      </c>
      <c r="E63">
        <f>IF(A63="","",'Skill Matrix'!D9)</f>
        <v/>
      </c>
      <c r="F63">
        <f>IF(AND('Skill Matrix'!A9&lt;&gt;"",'Skill Matrix'!R5&lt;&gt;""),'Skill Matrix'!R5,"")</f>
        <v/>
      </c>
      <c r="G63">
        <f>IF(OR(A63="",'Skill Matrix'!R9=""),"",'Skill Matrix'!R9)</f>
        <v/>
      </c>
      <c r="H63">
        <f>IF(A63="","",'Employees'!F6)</f>
        <v/>
      </c>
    </row>
    <row r="64">
      <c r="A64">
        <f>IF(AND('Skill Matrix'!A9&lt;&gt;"",'Skill Matrix'!S5&lt;&gt;""),'Skill Matrix'!A9,"")</f>
        <v/>
      </c>
      <c r="B64">
        <f>IF(A64="","",'Employees'!C6)</f>
        <v/>
      </c>
      <c r="C64">
        <f>IF(A64="","",'Employees'!D6)</f>
        <v/>
      </c>
      <c r="D64">
        <f>IF(A64="","",'Skill Matrix'!C9)</f>
        <v/>
      </c>
      <c r="E64">
        <f>IF(A64="","",'Skill Matrix'!D9)</f>
        <v/>
      </c>
      <c r="F64">
        <f>IF(AND('Skill Matrix'!A9&lt;&gt;"",'Skill Matrix'!S5&lt;&gt;""),'Skill Matrix'!S5,"")</f>
        <v/>
      </c>
      <c r="G64">
        <f>IF(OR(A64="",'Skill Matrix'!S9=""),"",'Skill Matrix'!S9)</f>
        <v/>
      </c>
      <c r="H64">
        <f>IF(A64="","",'Employees'!F6)</f>
        <v/>
      </c>
    </row>
    <row r="65">
      <c r="A65">
        <f>IF(AND('Skill Matrix'!A9&lt;&gt;"",'Skill Matrix'!T5&lt;&gt;""),'Skill Matrix'!A9,"")</f>
        <v/>
      </c>
      <c r="B65">
        <f>IF(A65="","",'Employees'!C6)</f>
        <v/>
      </c>
      <c r="C65">
        <f>IF(A65="","",'Employees'!D6)</f>
        <v/>
      </c>
      <c r="D65">
        <f>IF(A65="","",'Skill Matrix'!C9)</f>
        <v/>
      </c>
      <c r="E65">
        <f>IF(A65="","",'Skill Matrix'!D9)</f>
        <v/>
      </c>
      <c r="F65">
        <f>IF(AND('Skill Matrix'!A9&lt;&gt;"",'Skill Matrix'!T5&lt;&gt;""),'Skill Matrix'!T5,"")</f>
        <v/>
      </c>
      <c r="G65">
        <f>IF(OR(A65="",'Skill Matrix'!T9=""),"",'Skill Matrix'!T9)</f>
        <v/>
      </c>
      <c r="H65">
        <f>IF(A65="","",'Employees'!F6)</f>
        <v/>
      </c>
    </row>
    <row r="66">
      <c r="A66">
        <f>IF(AND('Skill Matrix'!A10&lt;&gt;"",'Skill Matrix'!E5&lt;&gt;""),'Skill Matrix'!A10,"")</f>
        <v/>
      </c>
      <c r="B66">
        <f>IF(A66="","",'Employees'!C6)</f>
        <v/>
      </c>
      <c r="C66">
        <f>IF(A66="","",'Employees'!D6)</f>
        <v/>
      </c>
      <c r="D66">
        <f>IF(A66="","",'Skill Matrix'!C10)</f>
        <v/>
      </c>
      <c r="E66">
        <f>IF(A66="","",'Skill Matrix'!D10)</f>
        <v/>
      </c>
      <c r="F66">
        <f>IF(AND('Skill Matrix'!A10&lt;&gt;"",'Skill Matrix'!E5&lt;&gt;""),'Skill Matrix'!E5,"")</f>
        <v/>
      </c>
      <c r="G66">
        <f>IF(OR(A66="",'Skill Matrix'!E10=""),"",'Skill Matrix'!E10)</f>
        <v/>
      </c>
      <c r="H66">
        <f>IF(A66="","",'Employees'!F6)</f>
        <v/>
      </c>
    </row>
    <row r="67">
      <c r="A67">
        <f>IF(AND('Skill Matrix'!A10&lt;&gt;"",'Skill Matrix'!F5&lt;&gt;""),'Skill Matrix'!A10,"")</f>
        <v/>
      </c>
      <c r="B67">
        <f>IF(A67="","",'Employees'!C6)</f>
        <v/>
      </c>
      <c r="C67">
        <f>IF(A67="","",'Employees'!D6)</f>
        <v/>
      </c>
      <c r="D67">
        <f>IF(A67="","",'Skill Matrix'!C10)</f>
        <v/>
      </c>
      <c r="E67">
        <f>IF(A67="","",'Skill Matrix'!D10)</f>
        <v/>
      </c>
      <c r="F67">
        <f>IF(AND('Skill Matrix'!A10&lt;&gt;"",'Skill Matrix'!F5&lt;&gt;""),'Skill Matrix'!F5,"")</f>
        <v/>
      </c>
      <c r="G67">
        <f>IF(OR(A67="",'Skill Matrix'!F10=""),"",'Skill Matrix'!F10)</f>
        <v/>
      </c>
      <c r="H67">
        <f>IF(A67="","",'Employees'!F6)</f>
        <v/>
      </c>
    </row>
    <row r="68">
      <c r="A68">
        <f>IF(AND('Skill Matrix'!A10&lt;&gt;"",'Skill Matrix'!G5&lt;&gt;""),'Skill Matrix'!A10,"")</f>
        <v/>
      </c>
      <c r="B68">
        <f>IF(A68="","",'Employees'!C6)</f>
        <v/>
      </c>
      <c r="C68">
        <f>IF(A68="","",'Employees'!D6)</f>
        <v/>
      </c>
      <c r="D68">
        <f>IF(A68="","",'Skill Matrix'!C10)</f>
        <v/>
      </c>
      <c r="E68">
        <f>IF(A68="","",'Skill Matrix'!D10)</f>
        <v/>
      </c>
      <c r="F68">
        <f>IF(AND('Skill Matrix'!A10&lt;&gt;"",'Skill Matrix'!G5&lt;&gt;""),'Skill Matrix'!G5,"")</f>
        <v/>
      </c>
      <c r="G68">
        <f>IF(OR(A68="",'Skill Matrix'!G10=""),"",'Skill Matrix'!G10)</f>
        <v/>
      </c>
      <c r="H68">
        <f>IF(A68="","",'Employees'!F6)</f>
        <v/>
      </c>
    </row>
    <row r="69">
      <c r="A69">
        <f>IF(AND('Skill Matrix'!A10&lt;&gt;"",'Skill Matrix'!H5&lt;&gt;""),'Skill Matrix'!A10,"")</f>
        <v/>
      </c>
      <c r="B69">
        <f>IF(A69="","",'Employees'!C6)</f>
        <v/>
      </c>
      <c r="C69">
        <f>IF(A69="","",'Employees'!D6)</f>
        <v/>
      </c>
      <c r="D69">
        <f>IF(A69="","",'Skill Matrix'!C10)</f>
        <v/>
      </c>
      <c r="E69">
        <f>IF(A69="","",'Skill Matrix'!D10)</f>
        <v/>
      </c>
      <c r="F69">
        <f>IF(AND('Skill Matrix'!A10&lt;&gt;"",'Skill Matrix'!H5&lt;&gt;""),'Skill Matrix'!H5,"")</f>
        <v/>
      </c>
      <c r="G69">
        <f>IF(OR(A69="",'Skill Matrix'!H10=""),"",'Skill Matrix'!H10)</f>
        <v/>
      </c>
      <c r="H69">
        <f>IF(A69="","",'Employees'!F6)</f>
        <v/>
      </c>
    </row>
    <row r="70">
      <c r="A70">
        <f>IF(AND('Skill Matrix'!A10&lt;&gt;"",'Skill Matrix'!I5&lt;&gt;""),'Skill Matrix'!A10,"")</f>
        <v/>
      </c>
      <c r="B70">
        <f>IF(A70="","",'Employees'!C6)</f>
        <v/>
      </c>
      <c r="C70">
        <f>IF(A70="","",'Employees'!D6)</f>
        <v/>
      </c>
      <c r="D70">
        <f>IF(A70="","",'Skill Matrix'!C10)</f>
        <v/>
      </c>
      <c r="E70">
        <f>IF(A70="","",'Skill Matrix'!D10)</f>
        <v/>
      </c>
      <c r="F70">
        <f>IF(AND('Skill Matrix'!A10&lt;&gt;"",'Skill Matrix'!I5&lt;&gt;""),'Skill Matrix'!I5,"")</f>
        <v/>
      </c>
      <c r="G70">
        <f>IF(OR(A70="",'Skill Matrix'!I10=""),"",'Skill Matrix'!I10)</f>
        <v/>
      </c>
      <c r="H70">
        <f>IF(A70="","",'Employees'!F6)</f>
        <v/>
      </c>
    </row>
    <row r="71">
      <c r="A71">
        <f>IF(AND('Skill Matrix'!A10&lt;&gt;"",'Skill Matrix'!J5&lt;&gt;""),'Skill Matrix'!A10,"")</f>
        <v/>
      </c>
      <c r="B71">
        <f>IF(A71="","",'Employees'!C6)</f>
        <v/>
      </c>
      <c r="C71">
        <f>IF(A71="","",'Employees'!D6)</f>
        <v/>
      </c>
      <c r="D71">
        <f>IF(A71="","",'Skill Matrix'!C10)</f>
        <v/>
      </c>
      <c r="E71">
        <f>IF(A71="","",'Skill Matrix'!D10)</f>
        <v/>
      </c>
      <c r="F71">
        <f>IF(AND('Skill Matrix'!A10&lt;&gt;"",'Skill Matrix'!J5&lt;&gt;""),'Skill Matrix'!J5,"")</f>
        <v/>
      </c>
      <c r="G71">
        <f>IF(OR(A71="",'Skill Matrix'!J10=""),"",'Skill Matrix'!J10)</f>
        <v/>
      </c>
      <c r="H71">
        <f>IF(A71="","",'Employees'!F6)</f>
        <v/>
      </c>
    </row>
    <row r="72">
      <c r="A72">
        <f>IF(AND('Skill Matrix'!A10&lt;&gt;"",'Skill Matrix'!K5&lt;&gt;""),'Skill Matrix'!A10,"")</f>
        <v/>
      </c>
      <c r="B72">
        <f>IF(A72="","",'Employees'!C6)</f>
        <v/>
      </c>
      <c r="C72">
        <f>IF(A72="","",'Employees'!D6)</f>
        <v/>
      </c>
      <c r="D72">
        <f>IF(A72="","",'Skill Matrix'!C10)</f>
        <v/>
      </c>
      <c r="E72">
        <f>IF(A72="","",'Skill Matrix'!D10)</f>
        <v/>
      </c>
      <c r="F72">
        <f>IF(AND('Skill Matrix'!A10&lt;&gt;"",'Skill Matrix'!K5&lt;&gt;""),'Skill Matrix'!K5,"")</f>
        <v/>
      </c>
      <c r="G72">
        <f>IF(OR(A72="",'Skill Matrix'!K10=""),"",'Skill Matrix'!K10)</f>
        <v/>
      </c>
      <c r="H72">
        <f>IF(A72="","",'Employees'!F6)</f>
        <v/>
      </c>
    </row>
    <row r="73">
      <c r="A73">
        <f>IF(AND('Skill Matrix'!A10&lt;&gt;"",'Skill Matrix'!L5&lt;&gt;""),'Skill Matrix'!A10,"")</f>
        <v/>
      </c>
      <c r="B73">
        <f>IF(A73="","",'Employees'!C6)</f>
        <v/>
      </c>
      <c r="C73">
        <f>IF(A73="","",'Employees'!D6)</f>
        <v/>
      </c>
      <c r="D73">
        <f>IF(A73="","",'Skill Matrix'!C10)</f>
        <v/>
      </c>
      <c r="E73">
        <f>IF(A73="","",'Skill Matrix'!D10)</f>
        <v/>
      </c>
      <c r="F73">
        <f>IF(AND('Skill Matrix'!A10&lt;&gt;"",'Skill Matrix'!L5&lt;&gt;""),'Skill Matrix'!L5,"")</f>
        <v/>
      </c>
      <c r="G73">
        <f>IF(OR(A73="",'Skill Matrix'!L10=""),"",'Skill Matrix'!L10)</f>
        <v/>
      </c>
      <c r="H73">
        <f>IF(A73="","",'Employees'!F6)</f>
        <v/>
      </c>
    </row>
    <row r="74">
      <c r="A74">
        <f>IF(AND('Skill Matrix'!A10&lt;&gt;"",'Skill Matrix'!M5&lt;&gt;""),'Skill Matrix'!A10,"")</f>
        <v/>
      </c>
      <c r="B74">
        <f>IF(A74="","",'Employees'!C6)</f>
        <v/>
      </c>
      <c r="C74">
        <f>IF(A74="","",'Employees'!D6)</f>
        <v/>
      </c>
      <c r="D74">
        <f>IF(A74="","",'Skill Matrix'!C10)</f>
        <v/>
      </c>
      <c r="E74">
        <f>IF(A74="","",'Skill Matrix'!D10)</f>
        <v/>
      </c>
      <c r="F74">
        <f>IF(AND('Skill Matrix'!A10&lt;&gt;"",'Skill Matrix'!M5&lt;&gt;""),'Skill Matrix'!M5,"")</f>
        <v/>
      </c>
      <c r="G74">
        <f>IF(OR(A74="",'Skill Matrix'!M10=""),"",'Skill Matrix'!M10)</f>
        <v/>
      </c>
      <c r="H74">
        <f>IF(A74="","",'Employees'!F6)</f>
        <v/>
      </c>
    </row>
    <row r="75">
      <c r="A75">
        <f>IF(AND('Skill Matrix'!A10&lt;&gt;"",'Skill Matrix'!N5&lt;&gt;""),'Skill Matrix'!A10,"")</f>
        <v/>
      </c>
      <c r="B75">
        <f>IF(A75="","",'Employees'!C6)</f>
        <v/>
      </c>
      <c r="C75">
        <f>IF(A75="","",'Employees'!D6)</f>
        <v/>
      </c>
      <c r="D75">
        <f>IF(A75="","",'Skill Matrix'!C10)</f>
        <v/>
      </c>
      <c r="E75">
        <f>IF(A75="","",'Skill Matrix'!D10)</f>
        <v/>
      </c>
      <c r="F75">
        <f>IF(AND('Skill Matrix'!A10&lt;&gt;"",'Skill Matrix'!N5&lt;&gt;""),'Skill Matrix'!N5,"")</f>
        <v/>
      </c>
      <c r="G75">
        <f>IF(OR(A75="",'Skill Matrix'!N10=""),"",'Skill Matrix'!N10)</f>
        <v/>
      </c>
      <c r="H75">
        <f>IF(A75="","",'Employees'!F6)</f>
        <v/>
      </c>
    </row>
    <row r="76">
      <c r="A76">
        <f>IF(AND('Skill Matrix'!A10&lt;&gt;"",'Skill Matrix'!O5&lt;&gt;""),'Skill Matrix'!A10,"")</f>
        <v/>
      </c>
      <c r="B76">
        <f>IF(A76="","",'Employees'!C6)</f>
        <v/>
      </c>
      <c r="C76">
        <f>IF(A76="","",'Employees'!D6)</f>
        <v/>
      </c>
      <c r="D76">
        <f>IF(A76="","",'Skill Matrix'!C10)</f>
        <v/>
      </c>
      <c r="E76">
        <f>IF(A76="","",'Skill Matrix'!D10)</f>
        <v/>
      </c>
      <c r="F76">
        <f>IF(AND('Skill Matrix'!A10&lt;&gt;"",'Skill Matrix'!O5&lt;&gt;""),'Skill Matrix'!O5,"")</f>
        <v/>
      </c>
      <c r="G76">
        <f>IF(OR(A76="",'Skill Matrix'!O10=""),"",'Skill Matrix'!O10)</f>
        <v/>
      </c>
      <c r="H76">
        <f>IF(A76="","",'Employees'!F6)</f>
        <v/>
      </c>
    </row>
    <row r="77">
      <c r="A77">
        <f>IF(AND('Skill Matrix'!A10&lt;&gt;"",'Skill Matrix'!P5&lt;&gt;""),'Skill Matrix'!A10,"")</f>
        <v/>
      </c>
      <c r="B77">
        <f>IF(A77="","",'Employees'!C6)</f>
        <v/>
      </c>
      <c r="C77">
        <f>IF(A77="","",'Employees'!D6)</f>
        <v/>
      </c>
      <c r="D77">
        <f>IF(A77="","",'Skill Matrix'!C10)</f>
        <v/>
      </c>
      <c r="E77">
        <f>IF(A77="","",'Skill Matrix'!D10)</f>
        <v/>
      </c>
      <c r="F77">
        <f>IF(AND('Skill Matrix'!A10&lt;&gt;"",'Skill Matrix'!P5&lt;&gt;""),'Skill Matrix'!P5,"")</f>
        <v/>
      </c>
      <c r="G77">
        <f>IF(OR(A77="",'Skill Matrix'!P10=""),"",'Skill Matrix'!P10)</f>
        <v/>
      </c>
      <c r="H77">
        <f>IF(A77="","",'Employees'!F6)</f>
        <v/>
      </c>
    </row>
    <row r="78">
      <c r="A78">
        <f>IF(AND('Skill Matrix'!A10&lt;&gt;"",'Skill Matrix'!Q5&lt;&gt;""),'Skill Matrix'!A10,"")</f>
        <v/>
      </c>
      <c r="B78">
        <f>IF(A78="","",'Employees'!C6)</f>
        <v/>
      </c>
      <c r="C78">
        <f>IF(A78="","",'Employees'!D6)</f>
        <v/>
      </c>
      <c r="D78">
        <f>IF(A78="","",'Skill Matrix'!C10)</f>
        <v/>
      </c>
      <c r="E78">
        <f>IF(A78="","",'Skill Matrix'!D10)</f>
        <v/>
      </c>
      <c r="F78">
        <f>IF(AND('Skill Matrix'!A10&lt;&gt;"",'Skill Matrix'!Q5&lt;&gt;""),'Skill Matrix'!Q5,"")</f>
        <v/>
      </c>
      <c r="G78">
        <f>IF(OR(A78="",'Skill Matrix'!Q10=""),"",'Skill Matrix'!Q10)</f>
        <v/>
      </c>
      <c r="H78">
        <f>IF(A78="","",'Employees'!F6)</f>
        <v/>
      </c>
    </row>
    <row r="79">
      <c r="A79">
        <f>IF(AND('Skill Matrix'!A10&lt;&gt;"",'Skill Matrix'!R5&lt;&gt;""),'Skill Matrix'!A10,"")</f>
        <v/>
      </c>
      <c r="B79">
        <f>IF(A79="","",'Employees'!C6)</f>
        <v/>
      </c>
      <c r="C79">
        <f>IF(A79="","",'Employees'!D6)</f>
        <v/>
      </c>
      <c r="D79">
        <f>IF(A79="","",'Skill Matrix'!C10)</f>
        <v/>
      </c>
      <c r="E79">
        <f>IF(A79="","",'Skill Matrix'!D10)</f>
        <v/>
      </c>
      <c r="F79">
        <f>IF(AND('Skill Matrix'!A10&lt;&gt;"",'Skill Matrix'!R5&lt;&gt;""),'Skill Matrix'!R5,"")</f>
        <v/>
      </c>
      <c r="G79">
        <f>IF(OR(A79="",'Skill Matrix'!R10=""),"",'Skill Matrix'!R10)</f>
        <v/>
      </c>
      <c r="H79">
        <f>IF(A79="","",'Employees'!F6)</f>
        <v/>
      </c>
    </row>
    <row r="80">
      <c r="A80">
        <f>IF(AND('Skill Matrix'!A10&lt;&gt;"",'Skill Matrix'!S5&lt;&gt;""),'Skill Matrix'!A10,"")</f>
        <v/>
      </c>
      <c r="B80">
        <f>IF(A80="","",'Employees'!C6)</f>
        <v/>
      </c>
      <c r="C80">
        <f>IF(A80="","",'Employees'!D6)</f>
        <v/>
      </c>
      <c r="D80">
        <f>IF(A80="","",'Skill Matrix'!C10)</f>
        <v/>
      </c>
      <c r="E80">
        <f>IF(A80="","",'Skill Matrix'!D10)</f>
        <v/>
      </c>
      <c r="F80">
        <f>IF(AND('Skill Matrix'!A10&lt;&gt;"",'Skill Matrix'!S5&lt;&gt;""),'Skill Matrix'!S5,"")</f>
        <v/>
      </c>
      <c r="G80">
        <f>IF(OR(A80="",'Skill Matrix'!S10=""),"",'Skill Matrix'!S10)</f>
        <v/>
      </c>
      <c r="H80">
        <f>IF(A80="","",'Employees'!F6)</f>
        <v/>
      </c>
    </row>
    <row r="81">
      <c r="A81">
        <f>IF(AND('Skill Matrix'!A10&lt;&gt;"",'Skill Matrix'!T5&lt;&gt;""),'Skill Matrix'!A10,"")</f>
        <v/>
      </c>
      <c r="B81">
        <f>IF(A81="","",'Employees'!C6)</f>
        <v/>
      </c>
      <c r="C81">
        <f>IF(A81="","",'Employees'!D6)</f>
        <v/>
      </c>
      <c r="D81">
        <f>IF(A81="","",'Skill Matrix'!C10)</f>
        <v/>
      </c>
      <c r="E81">
        <f>IF(A81="","",'Skill Matrix'!D10)</f>
        <v/>
      </c>
      <c r="F81">
        <f>IF(AND('Skill Matrix'!A10&lt;&gt;"",'Skill Matrix'!T5&lt;&gt;""),'Skill Matrix'!T5,"")</f>
        <v/>
      </c>
      <c r="G81">
        <f>IF(OR(A81="",'Skill Matrix'!T10=""),"",'Skill Matrix'!T10)</f>
        <v/>
      </c>
      <c r="H81">
        <f>IF(A81="","",'Employees'!F6)</f>
        <v/>
      </c>
    </row>
    <row r="82">
      <c r="A82">
        <f>IF(AND('Skill Matrix'!A11&lt;&gt;"",'Skill Matrix'!E5&lt;&gt;""),'Skill Matrix'!A11,"")</f>
        <v/>
      </c>
      <c r="B82">
        <f>IF(A82="","",'Employees'!C6)</f>
        <v/>
      </c>
      <c r="C82">
        <f>IF(A82="","",'Employees'!D6)</f>
        <v/>
      </c>
      <c r="D82">
        <f>IF(A82="","",'Skill Matrix'!C11)</f>
        <v/>
      </c>
      <c r="E82">
        <f>IF(A82="","",'Skill Matrix'!D11)</f>
        <v/>
      </c>
      <c r="F82">
        <f>IF(AND('Skill Matrix'!A11&lt;&gt;"",'Skill Matrix'!E5&lt;&gt;""),'Skill Matrix'!E5,"")</f>
        <v/>
      </c>
      <c r="G82">
        <f>IF(OR(A82="",'Skill Matrix'!E11=""),"",'Skill Matrix'!E11)</f>
        <v/>
      </c>
      <c r="H82">
        <f>IF(A82="","",'Employees'!F6)</f>
        <v/>
      </c>
    </row>
    <row r="83">
      <c r="A83">
        <f>IF(AND('Skill Matrix'!A11&lt;&gt;"",'Skill Matrix'!F5&lt;&gt;""),'Skill Matrix'!A11,"")</f>
        <v/>
      </c>
      <c r="B83">
        <f>IF(A83="","",'Employees'!C6)</f>
        <v/>
      </c>
      <c r="C83">
        <f>IF(A83="","",'Employees'!D6)</f>
        <v/>
      </c>
      <c r="D83">
        <f>IF(A83="","",'Skill Matrix'!C11)</f>
        <v/>
      </c>
      <c r="E83">
        <f>IF(A83="","",'Skill Matrix'!D11)</f>
        <v/>
      </c>
      <c r="F83">
        <f>IF(AND('Skill Matrix'!A11&lt;&gt;"",'Skill Matrix'!F5&lt;&gt;""),'Skill Matrix'!F5,"")</f>
        <v/>
      </c>
      <c r="G83">
        <f>IF(OR(A83="",'Skill Matrix'!F11=""),"",'Skill Matrix'!F11)</f>
        <v/>
      </c>
      <c r="H83">
        <f>IF(A83="","",'Employees'!F6)</f>
        <v/>
      </c>
    </row>
    <row r="84">
      <c r="A84">
        <f>IF(AND('Skill Matrix'!A11&lt;&gt;"",'Skill Matrix'!G5&lt;&gt;""),'Skill Matrix'!A11,"")</f>
        <v/>
      </c>
      <c r="B84">
        <f>IF(A84="","",'Employees'!C6)</f>
        <v/>
      </c>
      <c r="C84">
        <f>IF(A84="","",'Employees'!D6)</f>
        <v/>
      </c>
      <c r="D84">
        <f>IF(A84="","",'Skill Matrix'!C11)</f>
        <v/>
      </c>
      <c r="E84">
        <f>IF(A84="","",'Skill Matrix'!D11)</f>
        <v/>
      </c>
      <c r="F84">
        <f>IF(AND('Skill Matrix'!A11&lt;&gt;"",'Skill Matrix'!G5&lt;&gt;""),'Skill Matrix'!G5,"")</f>
        <v/>
      </c>
      <c r="G84">
        <f>IF(OR(A84="",'Skill Matrix'!G11=""),"",'Skill Matrix'!G11)</f>
        <v/>
      </c>
      <c r="H84">
        <f>IF(A84="","",'Employees'!F6)</f>
        <v/>
      </c>
    </row>
    <row r="85">
      <c r="A85">
        <f>IF(AND('Skill Matrix'!A11&lt;&gt;"",'Skill Matrix'!H5&lt;&gt;""),'Skill Matrix'!A11,"")</f>
        <v/>
      </c>
      <c r="B85">
        <f>IF(A85="","",'Employees'!C6)</f>
        <v/>
      </c>
      <c r="C85">
        <f>IF(A85="","",'Employees'!D6)</f>
        <v/>
      </c>
      <c r="D85">
        <f>IF(A85="","",'Skill Matrix'!C11)</f>
        <v/>
      </c>
      <c r="E85">
        <f>IF(A85="","",'Skill Matrix'!D11)</f>
        <v/>
      </c>
      <c r="F85">
        <f>IF(AND('Skill Matrix'!A11&lt;&gt;"",'Skill Matrix'!H5&lt;&gt;""),'Skill Matrix'!H5,"")</f>
        <v/>
      </c>
      <c r="G85">
        <f>IF(OR(A85="",'Skill Matrix'!H11=""),"",'Skill Matrix'!H11)</f>
        <v/>
      </c>
      <c r="H85">
        <f>IF(A85="","",'Employees'!F6)</f>
        <v/>
      </c>
    </row>
    <row r="86">
      <c r="A86">
        <f>IF(AND('Skill Matrix'!A11&lt;&gt;"",'Skill Matrix'!I5&lt;&gt;""),'Skill Matrix'!A11,"")</f>
        <v/>
      </c>
      <c r="B86">
        <f>IF(A86="","",'Employees'!C6)</f>
        <v/>
      </c>
      <c r="C86">
        <f>IF(A86="","",'Employees'!D6)</f>
        <v/>
      </c>
      <c r="D86">
        <f>IF(A86="","",'Skill Matrix'!C11)</f>
        <v/>
      </c>
      <c r="E86">
        <f>IF(A86="","",'Skill Matrix'!D11)</f>
        <v/>
      </c>
      <c r="F86">
        <f>IF(AND('Skill Matrix'!A11&lt;&gt;"",'Skill Matrix'!I5&lt;&gt;""),'Skill Matrix'!I5,"")</f>
        <v/>
      </c>
      <c r="G86">
        <f>IF(OR(A86="",'Skill Matrix'!I11=""),"",'Skill Matrix'!I11)</f>
        <v/>
      </c>
      <c r="H86">
        <f>IF(A86="","",'Employees'!F6)</f>
        <v/>
      </c>
    </row>
    <row r="87">
      <c r="A87">
        <f>IF(AND('Skill Matrix'!A11&lt;&gt;"",'Skill Matrix'!J5&lt;&gt;""),'Skill Matrix'!A11,"")</f>
        <v/>
      </c>
      <c r="B87">
        <f>IF(A87="","",'Employees'!C6)</f>
        <v/>
      </c>
      <c r="C87">
        <f>IF(A87="","",'Employees'!D6)</f>
        <v/>
      </c>
      <c r="D87">
        <f>IF(A87="","",'Skill Matrix'!C11)</f>
        <v/>
      </c>
      <c r="E87">
        <f>IF(A87="","",'Skill Matrix'!D11)</f>
        <v/>
      </c>
      <c r="F87">
        <f>IF(AND('Skill Matrix'!A11&lt;&gt;"",'Skill Matrix'!J5&lt;&gt;""),'Skill Matrix'!J5,"")</f>
        <v/>
      </c>
      <c r="G87">
        <f>IF(OR(A87="",'Skill Matrix'!J11=""),"",'Skill Matrix'!J11)</f>
        <v/>
      </c>
      <c r="H87">
        <f>IF(A87="","",'Employees'!F6)</f>
        <v/>
      </c>
    </row>
    <row r="88">
      <c r="A88">
        <f>IF(AND('Skill Matrix'!A11&lt;&gt;"",'Skill Matrix'!K5&lt;&gt;""),'Skill Matrix'!A11,"")</f>
        <v/>
      </c>
      <c r="B88">
        <f>IF(A88="","",'Employees'!C6)</f>
        <v/>
      </c>
      <c r="C88">
        <f>IF(A88="","",'Employees'!D6)</f>
        <v/>
      </c>
      <c r="D88">
        <f>IF(A88="","",'Skill Matrix'!C11)</f>
        <v/>
      </c>
      <c r="E88">
        <f>IF(A88="","",'Skill Matrix'!D11)</f>
        <v/>
      </c>
      <c r="F88">
        <f>IF(AND('Skill Matrix'!A11&lt;&gt;"",'Skill Matrix'!K5&lt;&gt;""),'Skill Matrix'!K5,"")</f>
        <v/>
      </c>
      <c r="G88">
        <f>IF(OR(A88="",'Skill Matrix'!K11=""),"",'Skill Matrix'!K11)</f>
        <v/>
      </c>
      <c r="H88">
        <f>IF(A88="","",'Employees'!F6)</f>
        <v/>
      </c>
    </row>
    <row r="89">
      <c r="A89">
        <f>IF(AND('Skill Matrix'!A11&lt;&gt;"",'Skill Matrix'!L5&lt;&gt;""),'Skill Matrix'!A11,"")</f>
        <v/>
      </c>
      <c r="B89">
        <f>IF(A89="","",'Employees'!C6)</f>
        <v/>
      </c>
      <c r="C89">
        <f>IF(A89="","",'Employees'!D6)</f>
        <v/>
      </c>
      <c r="D89">
        <f>IF(A89="","",'Skill Matrix'!C11)</f>
        <v/>
      </c>
      <c r="E89">
        <f>IF(A89="","",'Skill Matrix'!D11)</f>
        <v/>
      </c>
      <c r="F89">
        <f>IF(AND('Skill Matrix'!A11&lt;&gt;"",'Skill Matrix'!L5&lt;&gt;""),'Skill Matrix'!L5,"")</f>
        <v/>
      </c>
      <c r="G89">
        <f>IF(OR(A89="",'Skill Matrix'!L11=""),"",'Skill Matrix'!L11)</f>
        <v/>
      </c>
      <c r="H89">
        <f>IF(A89="","",'Employees'!F6)</f>
        <v/>
      </c>
    </row>
    <row r="90">
      <c r="A90">
        <f>IF(AND('Skill Matrix'!A11&lt;&gt;"",'Skill Matrix'!M5&lt;&gt;""),'Skill Matrix'!A11,"")</f>
        <v/>
      </c>
      <c r="B90">
        <f>IF(A90="","",'Employees'!C6)</f>
        <v/>
      </c>
      <c r="C90">
        <f>IF(A90="","",'Employees'!D6)</f>
        <v/>
      </c>
      <c r="D90">
        <f>IF(A90="","",'Skill Matrix'!C11)</f>
        <v/>
      </c>
      <c r="E90">
        <f>IF(A90="","",'Skill Matrix'!D11)</f>
        <v/>
      </c>
      <c r="F90">
        <f>IF(AND('Skill Matrix'!A11&lt;&gt;"",'Skill Matrix'!M5&lt;&gt;""),'Skill Matrix'!M5,"")</f>
        <v/>
      </c>
      <c r="G90">
        <f>IF(OR(A90="",'Skill Matrix'!M11=""),"",'Skill Matrix'!M11)</f>
        <v/>
      </c>
      <c r="H90">
        <f>IF(A90="","",'Employees'!F6)</f>
        <v/>
      </c>
    </row>
    <row r="91">
      <c r="A91">
        <f>IF(AND('Skill Matrix'!A11&lt;&gt;"",'Skill Matrix'!N5&lt;&gt;""),'Skill Matrix'!A11,"")</f>
        <v/>
      </c>
      <c r="B91">
        <f>IF(A91="","",'Employees'!C6)</f>
        <v/>
      </c>
      <c r="C91">
        <f>IF(A91="","",'Employees'!D6)</f>
        <v/>
      </c>
      <c r="D91">
        <f>IF(A91="","",'Skill Matrix'!C11)</f>
        <v/>
      </c>
      <c r="E91">
        <f>IF(A91="","",'Skill Matrix'!D11)</f>
        <v/>
      </c>
      <c r="F91">
        <f>IF(AND('Skill Matrix'!A11&lt;&gt;"",'Skill Matrix'!N5&lt;&gt;""),'Skill Matrix'!N5,"")</f>
        <v/>
      </c>
      <c r="G91">
        <f>IF(OR(A91="",'Skill Matrix'!N11=""),"",'Skill Matrix'!N11)</f>
        <v/>
      </c>
      <c r="H91">
        <f>IF(A91="","",'Employees'!F6)</f>
        <v/>
      </c>
    </row>
    <row r="92">
      <c r="A92">
        <f>IF(AND('Skill Matrix'!A11&lt;&gt;"",'Skill Matrix'!O5&lt;&gt;""),'Skill Matrix'!A11,"")</f>
        <v/>
      </c>
      <c r="B92">
        <f>IF(A92="","",'Employees'!C6)</f>
        <v/>
      </c>
      <c r="C92">
        <f>IF(A92="","",'Employees'!D6)</f>
        <v/>
      </c>
      <c r="D92">
        <f>IF(A92="","",'Skill Matrix'!C11)</f>
        <v/>
      </c>
      <c r="E92">
        <f>IF(A92="","",'Skill Matrix'!D11)</f>
        <v/>
      </c>
      <c r="F92">
        <f>IF(AND('Skill Matrix'!A11&lt;&gt;"",'Skill Matrix'!O5&lt;&gt;""),'Skill Matrix'!O5,"")</f>
        <v/>
      </c>
      <c r="G92">
        <f>IF(OR(A92="",'Skill Matrix'!O11=""),"",'Skill Matrix'!O11)</f>
        <v/>
      </c>
      <c r="H92">
        <f>IF(A92="","",'Employees'!F6)</f>
        <v/>
      </c>
    </row>
    <row r="93">
      <c r="A93">
        <f>IF(AND('Skill Matrix'!A11&lt;&gt;"",'Skill Matrix'!P5&lt;&gt;""),'Skill Matrix'!A11,"")</f>
        <v/>
      </c>
      <c r="B93">
        <f>IF(A93="","",'Employees'!C6)</f>
        <v/>
      </c>
      <c r="C93">
        <f>IF(A93="","",'Employees'!D6)</f>
        <v/>
      </c>
      <c r="D93">
        <f>IF(A93="","",'Skill Matrix'!C11)</f>
        <v/>
      </c>
      <c r="E93">
        <f>IF(A93="","",'Skill Matrix'!D11)</f>
        <v/>
      </c>
      <c r="F93">
        <f>IF(AND('Skill Matrix'!A11&lt;&gt;"",'Skill Matrix'!P5&lt;&gt;""),'Skill Matrix'!P5,"")</f>
        <v/>
      </c>
      <c r="G93">
        <f>IF(OR(A93="",'Skill Matrix'!P11=""),"",'Skill Matrix'!P11)</f>
        <v/>
      </c>
      <c r="H93">
        <f>IF(A93="","",'Employees'!F6)</f>
        <v/>
      </c>
    </row>
    <row r="94">
      <c r="A94">
        <f>IF(AND('Skill Matrix'!A11&lt;&gt;"",'Skill Matrix'!Q5&lt;&gt;""),'Skill Matrix'!A11,"")</f>
        <v/>
      </c>
      <c r="B94">
        <f>IF(A94="","",'Employees'!C6)</f>
        <v/>
      </c>
      <c r="C94">
        <f>IF(A94="","",'Employees'!D6)</f>
        <v/>
      </c>
      <c r="D94">
        <f>IF(A94="","",'Skill Matrix'!C11)</f>
        <v/>
      </c>
      <c r="E94">
        <f>IF(A94="","",'Skill Matrix'!D11)</f>
        <v/>
      </c>
      <c r="F94">
        <f>IF(AND('Skill Matrix'!A11&lt;&gt;"",'Skill Matrix'!Q5&lt;&gt;""),'Skill Matrix'!Q5,"")</f>
        <v/>
      </c>
      <c r="G94">
        <f>IF(OR(A94="",'Skill Matrix'!Q11=""),"",'Skill Matrix'!Q11)</f>
        <v/>
      </c>
      <c r="H94">
        <f>IF(A94="","",'Employees'!F6)</f>
        <v/>
      </c>
    </row>
    <row r="95">
      <c r="A95">
        <f>IF(AND('Skill Matrix'!A11&lt;&gt;"",'Skill Matrix'!R5&lt;&gt;""),'Skill Matrix'!A11,"")</f>
        <v/>
      </c>
      <c r="B95">
        <f>IF(A95="","",'Employees'!C6)</f>
        <v/>
      </c>
      <c r="C95">
        <f>IF(A95="","",'Employees'!D6)</f>
        <v/>
      </c>
      <c r="D95">
        <f>IF(A95="","",'Skill Matrix'!C11)</f>
        <v/>
      </c>
      <c r="E95">
        <f>IF(A95="","",'Skill Matrix'!D11)</f>
        <v/>
      </c>
      <c r="F95">
        <f>IF(AND('Skill Matrix'!A11&lt;&gt;"",'Skill Matrix'!R5&lt;&gt;""),'Skill Matrix'!R5,"")</f>
        <v/>
      </c>
      <c r="G95">
        <f>IF(OR(A95="",'Skill Matrix'!R11=""),"",'Skill Matrix'!R11)</f>
        <v/>
      </c>
      <c r="H95">
        <f>IF(A95="","",'Employees'!F6)</f>
        <v/>
      </c>
    </row>
    <row r="96">
      <c r="A96">
        <f>IF(AND('Skill Matrix'!A11&lt;&gt;"",'Skill Matrix'!S5&lt;&gt;""),'Skill Matrix'!A11,"")</f>
        <v/>
      </c>
      <c r="B96">
        <f>IF(A96="","",'Employees'!C6)</f>
        <v/>
      </c>
      <c r="C96">
        <f>IF(A96="","",'Employees'!D6)</f>
        <v/>
      </c>
      <c r="D96">
        <f>IF(A96="","",'Skill Matrix'!C11)</f>
        <v/>
      </c>
      <c r="E96">
        <f>IF(A96="","",'Skill Matrix'!D11)</f>
        <v/>
      </c>
      <c r="F96">
        <f>IF(AND('Skill Matrix'!A11&lt;&gt;"",'Skill Matrix'!S5&lt;&gt;""),'Skill Matrix'!S5,"")</f>
        <v/>
      </c>
      <c r="G96">
        <f>IF(OR(A96="",'Skill Matrix'!S11=""),"",'Skill Matrix'!S11)</f>
        <v/>
      </c>
      <c r="H96">
        <f>IF(A96="","",'Employees'!F6)</f>
        <v/>
      </c>
    </row>
    <row r="97">
      <c r="A97">
        <f>IF(AND('Skill Matrix'!A11&lt;&gt;"",'Skill Matrix'!T5&lt;&gt;""),'Skill Matrix'!A11,"")</f>
        <v/>
      </c>
      <c r="B97">
        <f>IF(A97="","",'Employees'!C6)</f>
        <v/>
      </c>
      <c r="C97">
        <f>IF(A97="","",'Employees'!D6)</f>
        <v/>
      </c>
      <c r="D97">
        <f>IF(A97="","",'Skill Matrix'!C11)</f>
        <v/>
      </c>
      <c r="E97">
        <f>IF(A97="","",'Skill Matrix'!D11)</f>
        <v/>
      </c>
      <c r="F97">
        <f>IF(AND('Skill Matrix'!A11&lt;&gt;"",'Skill Matrix'!T5&lt;&gt;""),'Skill Matrix'!T5,"")</f>
        <v/>
      </c>
      <c r="G97">
        <f>IF(OR(A97="",'Skill Matrix'!T11=""),"",'Skill Matrix'!T11)</f>
        <v/>
      </c>
      <c r="H97">
        <f>IF(A97="","",'Employees'!F6)</f>
        <v/>
      </c>
    </row>
    <row r="98">
      <c r="A98">
        <f>IF(AND('Skill Matrix'!A12&lt;&gt;"",'Skill Matrix'!E5&lt;&gt;""),'Skill Matrix'!A12,"")</f>
        <v/>
      </c>
      <c r="B98">
        <f>IF(A98="","",'Employees'!C6)</f>
        <v/>
      </c>
      <c r="C98">
        <f>IF(A98="","",'Employees'!D6)</f>
        <v/>
      </c>
      <c r="D98">
        <f>IF(A98="","",'Skill Matrix'!C12)</f>
        <v/>
      </c>
      <c r="E98">
        <f>IF(A98="","",'Skill Matrix'!D12)</f>
        <v/>
      </c>
      <c r="F98">
        <f>IF(AND('Skill Matrix'!A12&lt;&gt;"",'Skill Matrix'!E5&lt;&gt;""),'Skill Matrix'!E5,"")</f>
        <v/>
      </c>
      <c r="G98">
        <f>IF(OR(A98="",'Skill Matrix'!E12=""),"",'Skill Matrix'!E12)</f>
        <v/>
      </c>
      <c r="H98">
        <f>IF(A98="","",'Employees'!F6)</f>
        <v/>
      </c>
    </row>
    <row r="99">
      <c r="A99">
        <f>IF(AND('Skill Matrix'!A12&lt;&gt;"",'Skill Matrix'!F5&lt;&gt;""),'Skill Matrix'!A12,"")</f>
        <v/>
      </c>
      <c r="B99">
        <f>IF(A99="","",'Employees'!C6)</f>
        <v/>
      </c>
      <c r="C99">
        <f>IF(A99="","",'Employees'!D6)</f>
        <v/>
      </c>
      <c r="D99">
        <f>IF(A99="","",'Skill Matrix'!C12)</f>
        <v/>
      </c>
      <c r="E99">
        <f>IF(A99="","",'Skill Matrix'!D12)</f>
        <v/>
      </c>
      <c r="F99">
        <f>IF(AND('Skill Matrix'!A12&lt;&gt;"",'Skill Matrix'!F5&lt;&gt;""),'Skill Matrix'!F5,"")</f>
        <v/>
      </c>
      <c r="G99">
        <f>IF(OR(A99="",'Skill Matrix'!F12=""),"",'Skill Matrix'!F12)</f>
        <v/>
      </c>
      <c r="H99">
        <f>IF(A99="","",'Employees'!F6)</f>
        <v/>
      </c>
    </row>
    <row r="100">
      <c r="A100">
        <f>IF(AND('Skill Matrix'!A12&lt;&gt;"",'Skill Matrix'!G5&lt;&gt;""),'Skill Matrix'!A12,"")</f>
        <v/>
      </c>
      <c r="B100">
        <f>IF(A100="","",'Employees'!C6)</f>
        <v/>
      </c>
      <c r="C100">
        <f>IF(A100="","",'Employees'!D6)</f>
        <v/>
      </c>
      <c r="D100">
        <f>IF(A100="","",'Skill Matrix'!C12)</f>
        <v/>
      </c>
      <c r="E100">
        <f>IF(A100="","",'Skill Matrix'!D12)</f>
        <v/>
      </c>
      <c r="F100">
        <f>IF(AND('Skill Matrix'!A12&lt;&gt;"",'Skill Matrix'!G5&lt;&gt;""),'Skill Matrix'!G5,"")</f>
        <v/>
      </c>
      <c r="G100">
        <f>IF(OR(A100="",'Skill Matrix'!G12=""),"",'Skill Matrix'!G12)</f>
        <v/>
      </c>
      <c r="H100">
        <f>IF(A100="","",'Employees'!F6)</f>
        <v/>
      </c>
    </row>
    <row r="101">
      <c r="A101">
        <f>IF(AND('Skill Matrix'!A12&lt;&gt;"",'Skill Matrix'!H5&lt;&gt;""),'Skill Matrix'!A12,"")</f>
        <v/>
      </c>
      <c r="B101">
        <f>IF(A101="","",'Employees'!C6)</f>
        <v/>
      </c>
      <c r="C101">
        <f>IF(A101="","",'Employees'!D6)</f>
        <v/>
      </c>
      <c r="D101">
        <f>IF(A101="","",'Skill Matrix'!C12)</f>
        <v/>
      </c>
      <c r="E101">
        <f>IF(A101="","",'Skill Matrix'!D12)</f>
        <v/>
      </c>
      <c r="F101">
        <f>IF(AND('Skill Matrix'!A12&lt;&gt;"",'Skill Matrix'!H5&lt;&gt;""),'Skill Matrix'!H5,"")</f>
        <v/>
      </c>
      <c r="G101">
        <f>IF(OR(A101="",'Skill Matrix'!H12=""),"",'Skill Matrix'!H12)</f>
        <v/>
      </c>
      <c r="H101">
        <f>IF(A101="","",'Employees'!F6)</f>
        <v/>
      </c>
    </row>
    <row r="102">
      <c r="A102">
        <f>IF(AND('Skill Matrix'!A12&lt;&gt;"",'Skill Matrix'!I5&lt;&gt;""),'Skill Matrix'!A12,"")</f>
        <v/>
      </c>
      <c r="B102">
        <f>IF(A102="","",'Employees'!C6)</f>
        <v/>
      </c>
      <c r="C102">
        <f>IF(A102="","",'Employees'!D6)</f>
        <v/>
      </c>
      <c r="D102">
        <f>IF(A102="","",'Skill Matrix'!C12)</f>
        <v/>
      </c>
      <c r="E102">
        <f>IF(A102="","",'Skill Matrix'!D12)</f>
        <v/>
      </c>
      <c r="F102">
        <f>IF(AND('Skill Matrix'!A12&lt;&gt;"",'Skill Matrix'!I5&lt;&gt;""),'Skill Matrix'!I5,"")</f>
        <v/>
      </c>
      <c r="G102">
        <f>IF(OR(A102="",'Skill Matrix'!I12=""),"",'Skill Matrix'!I12)</f>
        <v/>
      </c>
      <c r="H102">
        <f>IF(A102="","",'Employees'!F6)</f>
        <v/>
      </c>
    </row>
    <row r="103">
      <c r="A103">
        <f>IF(AND('Skill Matrix'!A12&lt;&gt;"",'Skill Matrix'!J5&lt;&gt;""),'Skill Matrix'!A12,"")</f>
        <v/>
      </c>
      <c r="B103">
        <f>IF(A103="","",'Employees'!C6)</f>
        <v/>
      </c>
      <c r="C103">
        <f>IF(A103="","",'Employees'!D6)</f>
        <v/>
      </c>
      <c r="D103">
        <f>IF(A103="","",'Skill Matrix'!C12)</f>
        <v/>
      </c>
      <c r="E103">
        <f>IF(A103="","",'Skill Matrix'!D12)</f>
        <v/>
      </c>
      <c r="F103">
        <f>IF(AND('Skill Matrix'!A12&lt;&gt;"",'Skill Matrix'!J5&lt;&gt;""),'Skill Matrix'!J5,"")</f>
        <v/>
      </c>
      <c r="G103">
        <f>IF(OR(A103="",'Skill Matrix'!J12=""),"",'Skill Matrix'!J12)</f>
        <v/>
      </c>
      <c r="H103">
        <f>IF(A103="","",'Employees'!F6)</f>
        <v/>
      </c>
    </row>
    <row r="104">
      <c r="A104">
        <f>IF(AND('Skill Matrix'!A12&lt;&gt;"",'Skill Matrix'!K5&lt;&gt;""),'Skill Matrix'!A12,"")</f>
        <v/>
      </c>
      <c r="B104">
        <f>IF(A104="","",'Employees'!C6)</f>
        <v/>
      </c>
      <c r="C104">
        <f>IF(A104="","",'Employees'!D6)</f>
        <v/>
      </c>
      <c r="D104">
        <f>IF(A104="","",'Skill Matrix'!C12)</f>
        <v/>
      </c>
      <c r="E104">
        <f>IF(A104="","",'Skill Matrix'!D12)</f>
        <v/>
      </c>
      <c r="F104">
        <f>IF(AND('Skill Matrix'!A12&lt;&gt;"",'Skill Matrix'!K5&lt;&gt;""),'Skill Matrix'!K5,"")</f>
        <v/>
      </c>
      <c r="G104">
        <f>IF(OR(A104="",'Skill Matrix'!K12=""),"",'Skill Matrix'!K12)</f>
        <v/>
      </c>
      <c r="H104">
        <f>IF(A104="","",'Employees'!F6)</f>
        <v/>
      </c>
    </row>
    <row r="105">
      <c r="A105">
        <f>IF(AND('Skill Matrix'!A12&lt;&gt;"",'Skill Matrix'!L5&lt;&gt;""),'Skill Matrix'!A12,"")</f>
        <v/>
      </c>
      <c r="B105">
        <f>IF(A105="","",'Employees'!C6)</f>
        <v/>
      </c>
      <c r="C105">
        <f>IF(A105="","",'Employees'!D6)</f>
        <v/>
      </c>
      <c r="D105">
        <f>IF(A105="","",'Skill Matrix'!C12)</f>
        <v/>
      </c>
      <c r="E105">
        <f>IF(A105="","",'Skill Matrix'!D12)</f>
        <v/>
      </c>
      <c r="F105">
        <f>IF(AND('Skill Matrix'!A12&lt;&gt;"",'Skill Matrix'!L5&lt;&gt;""),'Skill Matrix'!L5,"")</f>
        <v/>
      </c>
      <c r="G105">
        <f>IF(OR(A105="",'Skill Matrix'!L12=""),"",'Skill Matrix'!L12)</f>
        <v/>
      </c>
      <c r="H105">
        <f>IF(A105="","",'Employees'!F6)</f>
        <v/>
      </c>
    </row>
    <row r="106">
      <c r="A106">
        <f>IF(AND('Skill Matrix'!A12&lt;&gt;"",'Skill Matrix'!M5&lt;&gt;""),'Skill Matrix'!A12,"")</f>
        <v/>
      </c>
      <c r="B106">
        <f>IF(A106="","",'Employees'!C6)</f>
        <v/>
      </c>
      <c r="C106">
        <f>IF(A106="","",'Employees'!D6)</f>
        <v/>
      </c>
      <c r="D106">
        <f>IF(A106="","",'Skill Matrix'!C12)</f>
        <v/>
      </c>
      <c r="E106">
        <f>IF(A106="","",'Skill Matrix'!D12)</f>
        <v/>
      </c>
      <c r="F106">
        <f>IF(AND('Skill Matrix'!A12&lt;&gt;"",'Skill Matrix'!M5&lt;&gt;""),'Skill Matrix'!M5,"")</f>
        <v/>
      </c>
      <c r="G106">
        <f>IF(OR(A106="",'Skill Matrix'!M12=""),"",'Skill Matrix'!M12)</f>
        <v/>
      </c>
      <c r="H106">
        <f>IF(A106="","",'Employees'!F6)</f>
        <v/>
      </c>
    </row>
    <row r="107">
      <c r="A107">
        <f>IF(AND('Skill Matrix'!A12&lt;&gt;"",'Skill Matrix'!N5&lt;&gt;""),'Skill Matrix'!A12,"")</f>
        <v/>
      </c>
      <c r="B107">
        <f>IF(A107="","",'Employees'!C6)</f>
        <v/>
      </c>
      <c r="C107">
        <f>IF(A107="","",'Employees'!D6)</f>
        <v/>
      </c>
      <c r="D107">
        <f>IF(A107="","",'Skill Matrix'!C12)</f>
        <v/>
      </c>
      <c r="E107">
        <f>IF(A107="","",'Skill Matrix'!D12)</f>
        <v/>
      </c>
      <c r="F107">
        <f>IF(AND('Skill Matrix'!A12&lt;&gt;"",'Skill Matrix'!N5&lt;&gt;""),'Skill Matrix'!N5,"")</f>
        <v/>
      </c>
      <c r="G107">
        <f>IF(OR(A107="",'Skill Matrix'!N12=""),"",'Skill Matrix'!N12)</f>
        <v/>
      </c>
      <c r="H107">
        <f>IF(A107="","",'Employees'!F6)</f>
        <v/>
      </c>
    </row>
    <row r="108">
      <c r="A108">
        <f>IF(AND('Skill Matrix'!A12&lt;&gt;"",'Skill Matrix'!O5&lt;&gt;""),'Skill Matrix'!A12,"")</f>
        <v/>
      </c>
      <c r="B108">
        <f>IF(A108="","",'Employees'!C6)</f>
        <v/>
      </c>
      <c r="C108">
        <f>IF(A108="","",'Employees'!D6)</f>
        <v/>
      </c>
      <c r="D108">
        <f>IF(A108="","",'Skill Matrix'!C12)</f>
        <v/>
      </c>
      <c r="E108">
        <f>IF(A108="","",'Skill Matrix'!D12)</f>
        <v/>
      </c>
      <c r="F108">
        <f>IF(AND('Skill Matrix'!A12&lt;&gt;"",'Skill Matrix'!O5&lt;&gt;""),'Skill Matrix'!O5,"")</f>
        <v/>
      </c>
      <c r="G108">
        <f>IF(OR(A108="",'Skill Matrix'!O12=""),"",'Skill Matrix'!O12)</f>
        <v/>
      </c>
      <c r="H108">
        <f>IF(A108="","",'Employees'!F6)</f>
        <v/>
      </c>
    </row>
    <row r="109">
      <c r="A109">
        <f>IF(AND('Skill Matrix'!A12&lt;&gt;"",'Skill Matrix'!P5&lt;&gt;""),'Skill Matrix'!A12,"")</f>
        <v/>
      </c>
      <c r="B109">
        <f>IF(A109="","",'Employees'!C6)</f>
        <v/>
      </c>
      <c r="C109">
        <f>IF(A109="","",'Employees'!D6)</f>
        <v/>
      </c>
      <c r="D109">
        <f>IF(A109="","",'Skill Matrix'!C12)</f>
        <v/>
      </c>
      <c r="E109">
        <f>IF(A109="","",'Skill Matrix'!D12)</f>
        <v/>
      </c>
      <c r="F109">
        <f>IF(AND('Skill Matrix'!A12&lt;&gt;"",'Skill Matrix'!P5&lt;&gt;""),'Skill Matrix'!P5,"")</f>
        <v/>
      </c>
      <c r="G109">
        <f>IF(OR(A109="",'Skill Matrix'!P12=""),"",'Skill Matrix'!P12)</f>
        <v/>
      </c>
      <c r="H109">
        <f>IF(A109="","",'Employees'!F6)</f>
        <v/>
      </c>
    </row>
    <row r="110">
      <c r="A110">
        <f>IF(AND('Skill Matrix'!A12&lt;&gt;"",'Skill Matrix'!Q5&lt;&gt;""),'Skill Matrix'!A12,"")</f>
        <v/>
      </c>
      <c r="B110">
        <f>IF(A110="","",'Employees'!C6)</f>
        <v/>
      </c>
      <c r="C110">
        <f>IF(A110="","",'Employees'!D6)</f>
        <v/>
      </c>
      <c r="D110">
        <f>IF(A110="","",'Skill Matrix'!C12)</f>
        <v/>
      </c>
      <c r="E110">
        <f>IF(A110="","",'Skill Matrix'!D12)</f>
        <v/>
      </c>
      <c r="F110">
        <f>IF(AND('Skill Matrix'!A12&lt;&gt;"",'Skill Matrix'!Q5&lt;&gt;""),'Skill Matrix'!Q5,"")</f>
        <v/>
      </c>
      <c r="G110">
        <f>IF(OR(A110="",'Skill Matrix'!Q12=""),"",'Skill Matrix'!Q12)</f>
        <v/>
      </c>
      <c r="H110">
        <f>IF(A110="","",'Employees'!F6)</f>
        <v/>
      </c>
    </row>
    <row r="111">
      <c r="A111">
        <f>IF(AND('Skill Matrix'!A12&lt;&gt;"",'Skill Matrix'!R5&lt;&gt;""),'Skill Matrix'!A12,"")</f>
        <v/>
      </c>
      <c r="B111">
        <f>IF(A111="","",'Employees'!C6)</f>
        <v/>
      </c>
      <c r="C111">
        <f>IF(A111="","",'Employees'!D6)</f>
        <v/>
      </c>
      <c r="D111">
        <f>IF(A111="","",'Skill Matrix'!C12)</f>
        <v/>
      </c>
      <c r="E111">
        <f>IF(A111="","",'Skill Matrix'!D12)</f>
        <v/>
      </c>
      <c r="F111">
        <f>IF(AND('Skill Matrix'!A12&lt;&gt;"",'Skill Matrix'!R5&lt;&gt;""),'Skill Matrix'!R5,"")</f>
        <v/>
      </c>
      <c r="G111">
        <f>IF(OR(A111="",'Skill Matrix'!R12=""),"",'Skill Matrix'!R12)</f>
        <v/>
      </c>
      <c r="H111">
        <f>IF(A111="","",'Employees'!F6)</f>
        <v/>
      </c>
    </row>
    <row r="112">
      <c r="A112">
        <f>IF(AND('Skill Matrix'!A12&lt;&gt;"",'Skill Matrix'!S5&lt;&gt;""),'Skill Matrix'!A12,"")</f>
        <v/>
      </c>
      <c r="B112">
        <f>IF(A112="","",'Employees'!C6)</f>
        <v/>
      </c>
      <c r="C112">
        <f>IF(A112="","",'Employees'!D6)</f>
        <v/>
      </c>
      <c r="D112">
        <f>IF(A112="","",'Skill Matrix'!C12)</f>
        <v/>
      </c>
      <c r="E112">
        <f>IF(A112="","",'Skill Matrix'!D12)</f>
        <v/>
      </c>
      <c r="F112">
        <f>IF(AND('Skill Matrix'!A12&lt;&gt;"",'Skill Matrix'!S5&lt;&gt;""),'Skill Matrix'!S5,"")</f>
        <v/>
      </c>
      <c r="G112">
        <f>IF(OR(A112="",'Skill Matrix'!S12=""),"",'Skill Matrix'!S12)</f>
        <v/>
      </c>
      <c r="H112">
        <f>IF(A112="","",'Employees'!F6)</f>
        <v/>
      </c>
    </row>
    <row r="113">
      <c r="A113">
        <f>IF(AND('Skill Matrix'!A12&lt;&gt;"",'Skill Matrix'!T5&lt;&gt;""),'Skill Matrix'!A12,"")</f>
        <v/>
      </c>
      <c r="B113">
        <f>IF(A113="","",'Employees'!C6)</f>
        <v/>
      </c>
      <c r="C113">
        <f>IF(A113="","",'Employees'!D6)</f>
        <v/>
      </c>
      <c r="D113">
        <f>IF(A113="","",'Skill Matrix'!C12)</f>
        <v/>
      </c>
      <c r="E113">
        <f>IF(A113="","",'Skill Matrix'!D12)</f>
        <v/>
      </c>
      <c r="F113">
        <f>IF(AND('Skill Matrix'!A12&lt;&gt;"",'Skill Matrix'!T5&lt;&gt;""),'Skill Matrix'!T5,"")</f>
        <v/>
      </c>
      <c r="G113">
        <f>IF(OR(A113="",'Skill Matrix'!T12=""),"",'Skill Matrix'!T12)</f>
        <v/>
      </c>
      <c r="H113">
        <f>IF(A113="","",'Employees'!F6)</f>
        <v/>
      </c>
    </row>
    <row r="114">
      <c r="A114">
        <f>IF(AND('Skill Matrix'!A13&lt;&gt;"",'Skill Matrix'!E5&lt;&gt;""),'Skill Matrix'!A13,"")</f>
        <v/>
      </c>
      <c r="B114">
        <f>IF(A114="","",'Employees'!C6)</f>
        <v/>
      </c>
      <c r="C114">
        <f>IF(A114="","",'Employees'!D6)</f>
        <v/>
      </c>
      <c r="D114">
        <f>IF(A114="","",'Skill Matrix'!C13)</f>
        <v/>
      </c>
      <c r="E114">
        <f>IF(A114="","",'Skill Matrix'!D13)</f>
        <v/>
      </c>
      <c r="F114">
        <f>IF(AND('Skill Matrix'!A13&lt;&gt;"",'Skill Matrix'!E5&lt;&gt;""),'Skill Matrix'!E5,"")</f>
        <v/>
      </c>
      <c r="G114">
        <f>IF(OR(A114="",'Skill Matrix'!E13=""),"",'Skill Matrix'!E13)</f>
        <v/>
      </c>
      <c r="H114">
        <f>IF(A114="","",'Employees'!F6)</f>
        <v/>
      </c>
    </row>
    <row r="115">
      <c r="A115">
        <f>IF(AND('Skill Matrix'!A13&lt;&gt;"",'Skill Matrix'!F5&lt;&gt;""),'Skill Matrix'!A13,"")</f>
        <v/>
      </c>
      <c r="B115">
        <f>IF(A115="","",'Employees'!C6)</f>
        <v/>
      </c>
      <c r="C115">
        <f>IF(A115="","",'Employees'!D6)</f>
        <v/>
      </c>
      <c r="D115">
        <f>IF(A115="","",'Skill Matrix'!C13)</f>
        <v/>
      </c>
      <c r="E115">
        <f>IF(A115="","",'Skill Matrix'!D13)</f>
        <v/>
      </c>
      <c r="F115">
        <f>IF(AND('Skill Matrix'!A13&lt;&gt;"",'Skill Matrix'!F5&lt;&gt;""),'Skill Matrix'!F5,"")</f>
        <v/>
      </c>
      <c r="G115">
        <f>IF(OR(A115="",'Skill Matrix'!F13=""),"",'Skill Matrix'!F13)</f>
        <v/>
      </c>
      <c r="H115">
        <f>IF(A115="","",'Employees'!F6)</f>
        <v/>
      </c>
    </row>
    <row r="116">
      <c r="A116">
        <f>IF(AND('Skill Matrix'!A13&lt;&gt;"",'Skill Matrix'!G5&lt;&gt;""),'Skill Matrix'!A13,"")</f>
        <v/>
      </c>
      <c r="B116">
        <f>IF(A116="","",'Employees'!C6)</f>
        <v/>
      </c>
      <c r="C116">
        <f>IF(A116="","",'Employees'!D6)</f>
        <v/>
      </c>
      <c r="D116">
        <f>IF(A116="","",'Skill Matrix'!C13)</f>
        <v/>
      </c>
      <c r="E116">
        <f>IF(A116="","",'Skill Matrix'!D13)</f>
        <v/>
      </c>
      <c r="F116">
        <f>IF(AND('Skill Matrix'!A13&lt;&gt;"",'Skill Matrix'!G5&lt;&gt;""),'Skill Matrix'!G5,"")</f>
        <v/>
      </c>
      <c r="G116">
        <f>IF(OR(A116="",'Skill Matrix'!G13=""),"",'Skill Matrix'!G13)</f>
        <v/>
      </c>
      <c r="H116">
        <f>IF(A116="","",'Employees'!F6)</f>
        <v/>
      </c>
    </row>
    <row r="117">
      <c r="A117">
        <f>IF(AND('Skill Matrix'!A13&lt;&gt;"",'Skill Matrix'!H5&lt;&gt;""),'Skill Matrix'!A13,"")</f>
        <v/>
      </c>
      <c r="B117">
        <f>IF(A117="","",'Employees'!C6)</f>
        <v/>
      </c>
      <c r="C117">
        <f>IF(A117="","",'Employees'!D6)</f>
        <v/>
      </c>
      <c r="D117">
        <f>IF(A117="","",'Skill Matrix'!C13)</f>
        <v/>
      </c>
      <c r="E117">
        <f>IF(A117="","",'Skill Matrix'!D13)</f>
        <v/>
      </c>
      <c r="F117">
        <f>IF(AND('Skill Matrix'!A13&lt;&gt;"",'Skill Matrix'!H5&lt;&gt;""),'Skill Matrix'!H5,"")</f>
        <v/>
      </c>
      <c r="G117">
        <f>IF(OR(A117="",'Skill Matrix'!H13=""),"",'Skill Matrix'!H13)</f>
        <v/>
      </c>
      <c r="H117">
        <f>IF(A117="","",'Employees'!F6)</f>
        <v/>
      </c>
    </row>
    <row r="118">
      <c r="A118">
        <f>IF(AND('Skill Matrix'!A13&lt;&gt;"",'Skill Matrix'!I5&lt;&gt;""),'Skill Matrix'!A13,"")</f>
        <v/>
      </c>
      <c r="B118">
        <f>IF(A118="","",'Employees'!C6)</f>
        <v/>
      </c>
      <c r="C118">
        <f>IF(A118="","",'Employees'!D6)</f>
        <v/>
      </c>
      <c r="D118">
        <f>IF(A118="","",'Skill Matrix'!C13)</f>
        <v/>
      </c>
      <c r="E118">
        <f>IF(A118="","",'Skill Matrix'!D13)</f>
        <v/>
      </c>
      <c r="F118">
        <f>IF(AND('Skill Matrix'!A13&lt;&gt;"",'Skill Matrix'!I5&lt;&gt;""),'Skill Matrix'!I5,"")</f>
        <v/>
      </c>
      <c r="G118">
        <f>IF(OR(A118="",'Skill Matrix'!I13=""),"",'Skill Matrix'!I13)</f>
        <v/>
      </c>
      <c r="H118">
        <f>IF(A118="","",'Employees'!F6)</f>
        <v/>
      </c>
    </row>
    <row r="119">
      <c r="A119">
        <f>IF(AND('Skill Matrix'!A13&lt;&gt;"",'Skill Matrix'!J5&lt;&gt;""),'Skill Matrix'!A13,"")</f>
        <v/>
      </c>
      <c r="B119">
        <f>IF(A119="","",'Employees'!C6)</f>
        <v/>
      </c>
      <c r="C119">
        <f>IF(A119="","",'Employees'!D6)</f>
        <v/>
      </c>
      <c r="D119">
        <f>IF(A119="","",'Skill Matrix'!C13)</f>
        <v/>
      </c>
      <c r="E119">
        <f>IF(A119="","",'Skill Matrix'!D13)</f>
        <v/>
      </c>
      <c r="F119">
        <f>IF(AND('Skill Matrix'!A13&lt;&gt;"",'Skill Matrix'!J5&lt;&gt;""),'Skill Matrix'!J5,"")</f>
        <v/>
      </c>
      <c r="G119">
        <f>IF(OR(A119="",'Skill Matrix'!J13=""),"",'Skill Matrix'!J13)</f>
        <v/>
      </c>
      <c r="H119">
        <f>IF(A119="","",'Employees'!F6)</f>
        <v/>
      </c>
    </row>
    <row r="120">
      <c r="A120">
        <f>IF(AND('Skill Matrix'!A13&lt;&gt;"",'Skill Matrix'!K5&lt;&gt;""),'Skill Matrix'!A13,"")</f>
        <v/>
      </c>
      <c r="B120">
        <f>IF(A120="","",'Employees'!C6)</f>
        <v/>
      </c>
      <c r="C120">
        <f>IF(A120="","",'Employees'!D6)</f>
        <v/>
      </c>
      <c r="D120">
        <f>IF(A120="","",'Skill Matrix'!C13)</f>
        <v/>
      </c>
      <c r="E120">
        <f>IF(A120="","",'Skill Matrix'!D13)</f>
        <v/>
      </c>
      <c r="F120">
        <f>IF(AND('Skill Matrix'!A13&lt;&gt;"",'Skill Matrix'!K5&lt;&gt;""),'Skill Matrix'!K5,"")</f>
        <v/>
      </c>
      <c r="G120">
        <f>IF(OR(A120="",'Skill Matrix'!K13=""),"",'Skill Matrix'!K13)</f>
        <v/>
      </c>
      <c r="H120">
        <f>IF(A120="","",'Employees'!F6)</f>
        <v/>
      </c>
    </row>
    <row r="121">
      <c r="A121">
        <f>IF(AND('Skill Matrix'!A13&lt;&gt;"",'Skill Matrix'!L5&lt;&gt;""),'Skill Matrix'!A13,"")</f>
        <v/>
      </c>
      <c r="B121">
        <f>IF(A121="","",'Employees'!C6)</f>
        <v/>
      </c>
      <c r="C121">
        <f>IF(A121="","",'Employees'!D6)</f>
        <v/>
      </c>
      <c r="D121">
        <f>IF(A121="","",'Skill Matrix'!C13)</f>
        <v/>
      </c>
      <c r="E121">
        <f>IF(A121="","",'Skill Matrix'!D13)</f>
        <v/>
      </c>
      <c r="F121">
        <f>IF(AND('Skill Matrix'!A13&lt;&gt;"",'Skill Matrix'!L5&lt;&gt;""),'Skill Matrix'!L5,"")</f>
        <v/>
      </c>
      <c r="G121">
        <f>IF(OR(A121="",'Skill Matrix'!L13=""),"",'Skill Matrix'!L13)</f>
        <v/>
      </c>
      <c r="H121">
        <f>IF(A121="","",'Employees'!F6)</f>
        <v/>
      </c>
    </row>
    <row r="122">
      <c r="A122">
        <f>IF(AND('Skill Matrix'!A13&lt;&gt;"",'Skill Matrix'!M5&lt;&gt;""),'Skill Matrix'!A13,"")</f>
        <v/>
      </c>
      <c r="B122">
        <f>IF(A122="","",'Employees'!C6)</f>
        <v/>
      </c>
      <c r="C122">
        <f>IF(A122="","",'Employees'!D6)</f>
        <v/>
      </c>
      <c r="D122">
        <f>IF(A122="","",'Skill Matrix'!C13)</f>
        <v/>
      </c>
      <c r="E122">
        <f>IF(A122="","",'Skill Matrix'!D13)</f>
        <v/>
      </c>
      <c r="F122">
        <f>IF(AND('Skill Matrix'!A13&lt;&gt;"",'Skill Matrix'!M5&lt;&gt;""),'Skill Matrix'!M5,"")</f>
        <v/>
      </c>
      <c r="G122">
        <f>IF(OR(A122="",'Skill Matrix'!M13=""),"",'Skill Matrix'!M13)</f>
        <v/>
      </c>
      <c r="H122">
        <f>IF(A122="","",'Employees'!F6)</f>
        <v/>
      </c>
    </row>
    <row r="123">
      <c r="A123">
        <f>IF(AND('Skill Matrix'!A13&lt;&gt;"",'Skill Matrix'!N5&lt;&gt;""),'Skill Matrix'!A13,"")</f>
        <v/>
      </c>
      <c r="B123">
        <f>IF(A123="","",'Employees'!C6)</f>
        <v/>
      </c>
      <c r="C123">
        <f>IF(A123="","",'Employees'!D6)</f>
        <v/>
      </c>
      <c r="D123">
        <f>IF(A123="","",'Skill Matrix'!C13)</f>
        <v/>
      </c>
      <c r="E123">
        <f>IF(A123="","",'Skill Matrix'!D13)</f>
        <v/>
      </c>
      <c r="F123">
        <f>IF(AND('Skill Matrix'!A13&lt;&gt;"",'Skill Matrix'!N5&lt;&gt;""),'Skill Matrix'!N5,"")</f>
        <v/>
      </c>
      <c r="G123">
        <f>IF(OR(A123="",'Skill Matrix'!N13=""),"",'Skill Matrix'!N13)</f>
        <v/>
      </c>
      <c r="H123">
        <f>IF(A123="","",'Employees'!F6)</f>
        <v/>
      </c>
    </row>
    <row r="124">
      <c r="A124">
        <f>IF(AND('Skill Matrix'!A13&lt;&gt;"",'Skill Matrix'!O5&lt;&gt;""),'Skill Matrix'!A13,"")</f>
        <v/>
      </c>
      <c r="B124">
        <f>IF(A124="","",'Employees'!C6)</f>
        <v/>
      </c>
      <c r="C124">
        <f>IF(A124="","",'Employees'!D6)</f>
        <v/>
      </c>
      <c r="D124">
        <f>IF(A124="","",'Skill Matrix'!C13)</f>
        <v/>
      </c>
      <c r="E124">
        <f>IF(A124="","",'Skill Matrix'!D13)</f>
        <v/>
      </c>
      <c r="F124">
        <f>IF(AND('Skill Matrix'!A13&lt;&gt;"",'Skill Matrix'!O5&lt;&gt;""),'Skill Matrix'!O5,"")</f>
        <v/>
      </c>
      <c r="G124">
        <f>IF(OR(A124="",'Skill Matrix'!O13=""),"",'Skill Matrix'!O13)</f>
        <v/>
      </c>
      <c r="H124">
        <f>IF(A124="","",'Employees'!F6)</f>
        <v/>
      </c>
    </row>
    <row r="125">
      <c r="A125">
        <f>IF(AND('Skill Matrix'!A13&lt;&gt;"",'Skill Matrix'!P5&lt;&gt;""),'Skill Matrix'!A13,"")</f>
        <v/>
      </c>
      <c r="B125">
        <f>IF(A125="","",'Employees'!C6)</f>
        <v/>
      </c>
      <c r="C125">
        <f>IF(A125="","",'Employees'!D6)</f>
        <v/>
      </c>
      <c r="D125">
        <f>IF(A125="","",'Skill Matrix'!C13)</f>
        <v/>
      </c>
      <c r="E125">
        <f>IF(A125="","",'Skill Matrix'!D13)</f>
        <v/>
      </c>
      <c r="F125">
        <f>IF(AND('Skill Matrix'!A13&lt;&gt;"",'Skill Matrix'!P5&lt;&gt;""),'Skill Matrix'!P5,"")</f>
        <v/>
      </c>
      <c r="G125">
        <f>IF(OR(A125="",'Skill Matrix'!P13=""),"",'Skill Matrix'!P13)</f>
        <v/>
      </c>
      <c r="H125">
        <f>IF(A125="","",'Employees'!F6)</f>
        <v/>
      </c>
    </row>
    <row r="126">
      <c r="A126">
        <f>IF(AND('Skill Matrix'!A13&lt;&gt;"",'Skill Matrix'!Q5&lt;&gt;""),'Skill Matrix'!A13,"")</f>
        <v/>
      </c>
      <c r="B126">
        <f>IF(A126="","",'Employees'!C6)</f>
        <v/>
      </c>
      <c r="C126">
        <f>IF(A126="","",'Employees'!D6)</f>
        <v/>
      </c>
      <c r="D126">
        <f>IF(A126="","",'Skill Matrix'!C13)</f>
        <v/>
      </c>
      <c r="E126">
        <f>IF(A126="","",'Skill Matrix'!D13)</f>
        <v/>
      </c>
      <c r="F126">
        <f>IF(AND('Skill Matrix'!A13&lt;&gt;"",'Skill Matrix'!Q5&lt;&gt;""),'Skill Matrix'!Q5,"")</f>
        <v/>
      </c>
      <c r="G126">
        <f>IF(OR(A126="",'Skill Matrix'!Q13=""),"",'Skill Matrix'!Q13)</f>
        <v/>
      </c>
      <c r="H126">
        <f>IF(A126="","",'Employees'!F6)</f>
        <v/>
      </c>
    </row>
    <row r="127">
      <c r="A127">
        <f>IF(AND('Skill Matrix'!A13&lt;&gt;"",'Skill Matrix'!R5&lt;&gt;""),'Skill Matrix'!A13,"")</f>
        <v/>
      </c>
      <c r="B127">
        <f>IF(A127="","",'Employees'!C6)</f>
        <v/>
      </c>
      <c r="C127">
        <f>IF(A127="","",'Employees'!D6)</f>
        <v/>
      </c>
      <c r="D127">
        <f>IF(A127="","",'Skill Matrix'!C13)</f>
        <v/>
      </c>
      <c r="E127">
        <f>IF(A127="","",'Skill Matrix'!D13)</f>
        <v/>
      </c>
      <c r="F127">
        <f>IF(AND('Skill Matrix'!A13&lt;&gt;"",'Skill Matrix'!R5&lt;&gt;""),'Skill Matrix'!R5,"")</f>
        <v/>
      </c>
      <c r="G127">
        <f>IF(OR(A127="",'Skill Matrix'!R13=""),"",'Skill Matrix'!R13)</f>
        <v/>
      </c>
      <c r="H127">
        <f>IF(A127="","",'Employees'!F6)</f>
        <v/>
      </c>
    </row>
    <row r="128">
      <c r="A128">
        <f>IF(AND('Skill Matrix'!A13&lt;&gt;"",'Skill Matrix'!S5&lt;&gt;""),'Skill Matrix'!A13,"")</f>
        <v/>
      </c>
      <c r="B128">
        <f>IF(A128="","",'Employees'!C6)</f>
        <v/>
      </c>
      <c r="C128">
        <f>IF(A128="","",'Employees'!D6)</f>
        <v/>
      </c>
      <c r="D128">
        <f>IF(A128="","",'Skill Matrix'!C13)</f>
        <v/>
      </c>
      <c r="E128">
        <f>IF(A128="","",'Skill Matrix'!D13)</f>
        <v/>
      </c>
      <c r="F128">
        <f>IF(AND('Skill Matrix'!A13&lt;&gt;"",'Skill Matrix'!S5&lt;&gt;""),'Skill Matrix'!S5,"")</f>
        <v/>
      </c>
      <c r="G128">
        <f>IF(OR(A128="",'Skill Matrix'!S13=""),"",'Skill Matrix'!S13)</f>
        <v/>
      </c>
      <c r="H128">
        <f>IF(A128="","",'Employees'!F6)</f>
        <v/>
      </c>
    </row>
    <row r="129">
      <c r="A129">
        <f>IF(AND('Skill Matrix'!A13&lt;&gt;"",'Skill Matrix'!T5&lt;&gt;""),'Skill Matrix'!A13,"")</f>
        <v/>
      </c>
      <c r="B129">
        <f>IF(A129="","",'Employees'!C6)</f>
        <v/>
      </c>
      <c r="C129">
        <f>IF(A129="","",'Employees'!D6)</f>
        <v/>
      </c>
      <c r="D129">
        <f>IF(A129="","",'Skill Matrix'!C13)</f>
        <v/>
      </c>
      <c r="E129">
        <f>IF(A129="","",'Skill Matrix'!D13)</f>
        <v/>
      </c>
      <c r="F129">
        <f>IF(AND('Skill Matrix'!A13&lt;&gt;"",'Skill Matrix'!T5&lt;&gt;""),'Skill Matrix'!T5,"")</f>
        <v/>
      </c>
      <c r="G129">
        <f>IF(OR(A129="",'Skill Matrix'!T13=""),"",'Skill Matrix'!T13)</f>
        <v/>
      </c>
      <c r="H129">
        <f>IF(A129="","",'Employees'!F6)</f>
        <v/>
      </c>
    </row>
    <row r="130">
      <c r="A130">
        <f>IF(AND('Skill Matrix'!A14&lt;&gt;"",'Skill Matrix'!E5&lt;&gt;""),'Skill Matrix'!A14,"")</f>
        <v/>
      </c>
      <c r="B130">
        <f>IF(A130="","",'Employees'!C6)</f>
        <v/>
      </c>
      <c r="C130">
        <f>IF(A130="","",'Employees'!D6)</f>
        <v/>
      </c>
      <c r="D130">
        <f>IF(A130="","",'Skill Matrix'!C14)</f>
        <v/>
      </c>
      <c r="E130">
        <f>IF(A130="","",'Skill Matrix'!D14)</f>
        <v/>
      </c>
      <c r="F130">
        <f>IF(AND('Skill Matrix'!A14&lt;&gt;"",'Skill Matrix'!E5&lt;&gt;""),'Skill Matrix'!E5,"")</f>
        <v/>
      </c>
      <c r="G130">
        <f>IF(OR(A130="",'Skill Matrix'!E14=""),"",'Skill Matrix'!E14)</f>
        <v/>
      </c>
      <c r="H130">
        <f>IF(A130="","",'Employees'!F6)</f>
        <v/>
      </c>
    </row>
    <row r="131">
      <c r="A131">
        <f>IF(AND('Skill Matrix'!A14&lt;&gt;"",'Skill Matrix'!F5&lt;&gt;""),'Skill Matrix'!A14,"")</f>
        <v/>
      </c>
      <c r="B131">
        <f>IF(A131="","",'Employees'!C6)</f>
        <v/>
      </c>
      <c r="C131">
        <f>IF(A131="","",'Employees'!D6)</f>
        <v/>
      </c>
      <c r="D131">
        <f>IF(A131="","",'Skill Matrix'!C14)</f>
        <v/>
      </c>
      <c r="E131">
        <f>IF(A131="","",'Skill Matrix'!D14)</f>
        <v/>
      </c>
      <c r="F131">
        <f>IF(AND('Skill Matrix'!A14&lt;&gt;"",'Skill Matrix'!F5&lt;&gt;""),'Skill Matrix'!F5,"")</f>
        <v/>
      </c>
      <c r="G131">
        <f>IF(OR(A131="",'Skill Matrix'!F14=""),"",'Skill Matrix'!F14)</f>
        <v/>
      </c>
      <c r="H131">
        <f>IF(A131="","",'Employees'!F6)</f>
        <v/>
      </c>
    </row>
    <row r="132">
      <c r="A132">
        <f>IF(AND('Skill Matrix'!A14&lt;&gt;"",'Skill Matrix'!G5&lt;&gt;""),'Skill Matrix'!A14,"")</f>
        <v/>
      </c>
      <c r="B132">
        <f>IF(A132="","",'Employees'!C6)</f>
        <v/>
      </c>
      <c r="C132">
        <f>IF(A132="","",'Employees'!D6)</f>
        <v/>
      </c>
      <c r="D132">
        <f>IF(A132="","",'Skill Matrix'!C14)</f>
        <v/>
      </c>
      <c r="E132">
        <f>IF(A132="","",'Skill Matrix'!D14)</f>
        <v/>
      </c>
      <c r="F132">
        <f>IF(AND('Skill Matrix'!A14&lt;&gt;"",'Skill Matrix'!G5&lt;&gt;""),'Skill Matrix'!G5,"")</f>
        <v/>
      </c>
      <c r="G132">
        <f>IF(OR(A132="",'Skill Matrix'!G14=""),"",'Skill Matrix'!G14)</f>
        <v/>
      </c>
      <c r="H132">
        <f>IF(A132="","",'Employees'!F6)</f>
        <v/>
      </c>
    </row>
    <row r="133">
      <c r="A133">
        <f>IF(AND('Skill Matrix'!A14&lt;&gt;"",'Skill Matrix'!H5&lt;&gt;""),'Skill Matrix'!A14,"")</f>
        <v/>
      </c>
      <c r="B133">
        <f>IF(A133="","",'Employees'!C6)</f>
        <v/>
      </c>
      <c r="C133">
        <f>IF(A133="","",'Employees'!D6)</f>
        <v/>
      </c>
      <c r="D133">
        <f>IF(A133="","",'Skill Matrix'!C14)</f>
        <v/>
      </c>
      <c r="E133">
        <f>IF(A133="","",'Skill Matrix'!D14)</f>
        <v/>
      </c>
      <c r="F133">
        <f>IF(AND('Skill Matrix'!A14&lt;&gt;"",'Skill Matrix'!H5&lt;&gt;""),'Skill Matrix'!H5,"")</f>
        <v/>
      </c>
      <c r="G133">
        <f>IF(OR(A133="",'Skill Matrix'!H14=""),"",'Skill Matrix'!H14)</f>
        <v/>
      </c>
      <c r="H133">
        <f>IF(A133="","",'Employees'!F6)</f>
        <v/>
      </c>
    </row>
    <row r="134">
      <c r="A134">
        <f>IF(AND('Skill Matrix'!A14&lt;&gt;"",'Skill Matrix'!I5&lt;&gt;""),'Skill Matrix'!A14,"")</f>
        <v/>
      </c>
      <c r="B134">
        <f>IF(A134="","",'Employees'!C6)</f>
        <v/>
      </c>
      <c r="C134">
        <f>IF(A134="","",'Employees'!D6)</f>
        <v/>
      </c>
      <c r="D134">
        <f>IF(A134="","",'Skill Matrix'!C14)</f>
        <v/>
      </c>
      <c r="E134">
        <f>IF(A134="","",'Skill Matrix'!D14)</f>
        <v/>
      </c>
      <c r="F134">
        <f>IF(AND('Skill Matrix'!A14&lt;&gt;"",'Skill Matrix'!I5&lt;&gt;""),'Skill Matrix'!I5,"")</f>
        <v/>
      </c>
      <c r="G134">
        <f>IF(OR(A134="",'Skill Matrix'!I14=""),"",'Skill Matrix'!I14)</f>
        <v/>
      </c>
      <c r="H134">
        <f>IF(A134="","",'Employees'!F6)</f>
        <v/>
      </c>
    </row>
    <row r="135">
      <c r="A135">
        <f>IF(AND('Skill Matrix'!A14&lt;&gt;"",'Skill Matrix'!J5&lt;&gt;""),'Skill Matrix'!A14,"")</f>
        <v/>
      </c>
      <c r="B135">
        <f>IF(A135="","",'Employees'!C6)</f>
        <v/>
      </c>
      <c r="C135">
        <f>IF(A135="","",'Employees'!D6)</f>
        <v/>
      </c>
      <c r="D135">
        <f>IF(A135="","",'Skill Matrix'!C14)</f>
        <v/>
      </c>
      <c r="E135">
        <f>IF(A135="","",'Skill Matrix'!D14)</f>
        <v/>
      </c>
      <c r="F135">
        <f>IF(AND('Skill Matrix'!A14&lt;&gt;"",'Skill Matrix'!J5&lt;&gt;""),'Skill Matrix'!J5,"")</f>
        <v/>
      </c>
      <c r="G135">
        <f>IF(OR(A135="",'Skill Matrix'!J14=""),"",'Skill Matrix'!J14)</f>
        <v/>
      </c>
      <c r="H135">
        <f>IF(A135="","",'Employees'!F6)</f>
        <v/>
      </c>
    </row>
    <row r="136">
      <c r="A136">
        <f>IF(AND('Skill Matrix'!A14&lt;&gt;"",'Skill Matrix'!K5&lt;&gt;""),'Skill Matrix'!A14,"")</f>
        <v/>
      </c>
      <c r="B136">
        <f>IF(A136="","",'Employees'!C6)</f>
        <v/>
      </c>
      <c r="C136">
        <f>IF(A136="","",'Employees'!D6)</f>
        <v/>
      </c>
      <c r="D136">
        <f>IF(A136="","",'Skill Matrix'!C14)</f>
        <v/>
      </c>
      <c r="E136">
        <f>IF(A136="","",'Skill Matrix'!D14)</f>
        <v/>
      </c>
      <c r="F136">
        <f>IF(AND('Skill Matrix'!A14&lt;&gt;"",'Skill Matrix'!K5&lt;&gt;""),'Skill Matrix'!K5,"")</f>
        <v/>
      </c>
      <c r="G136">
        <f>IF(OR(A136="",'Skill Matrix'!K14=""),"",'Skill Matrix'!K14)</f>
        <v/>
      </c>
      <c r="H136">
        <f>IF(A136="","",'Employees'!F6)</f>
        <v/>
      </c>
    </row>
    <row r="137">
      <c r="A137">
        <f>IF(AND('Skill Matrix'!A14&lt;&gt;"",'Skill Matrix'!L5&lt;&gt;""),'Skill Matrix'!A14,"")</f>
        <v/>
      </c>
      <c r="B137">
        <f>IF(A137="","",'Employees'!C6)</f>
        <v/>
      </c>
      <c r="C137">
        <f>IF(A137="","",'Employees'!D6)</f>
        <v/>
      </c>
      <c r="D137">
        <f>IF(A137="","",'Skill Matrix'!C14)</f>
        <v/>
      </c>
      <c r="E137">
        <f>IF(A137="","",'Skill Matrix'!D14)</f>
        <v/>
      </c>
      <c r="F137">
        <f>IF(AND('Skill Matrix'!A14&lt;&gt;"",'Skill Matrix'!L5&lt;&gt;""),'Skill Matrix'!L5,"")</f>
        <v/>
      </c>
      <c r="G137">
        <f>IF(OR(A137="",'Skill Matrix'!L14=""),"",'Skill Matrix'!L14)</f>
        <v/>
      </c>
      <c r="H137">
        <f>IF(A137="","",'Employees'!F6)</f>
        <v/>
      </c>
    </row>
    <row r="138">
      <c r="A138">
        <f>IF(AND('Skill Matrix'!A14&lt;&gt;"",'Skill Matrix'!M5&lt;&gt;""),'Skill Matrix'!A14,"")</f>
        <v/>
      </c>
      <c r="B138">
        <f>IF(A138="","",'Employees'!C6)</f>
        <v/>
      </c>
      <c r="C138">
        <f>IF(A138="","",'Employees'!D6)</f>
        <v/>
      </c>
      <c r="D138">
        <f>IF(A138="","",'Skill Matrix'!C14)</f>
        <v/>
      </c>
      <c r="E138">
        <f>IF(A138="","",'Skill Matrix'!D14)</f>
        <v/>
      </c>
      <c r="F138">
        <f>IF(AND('Skill Matrix'!A14&lt;&gt;"",'Skill Matrix'!M5&lt;&gt;""),'Skill Matrix'!M5,"")</f>
        <v/>
      </c>
      <c r="G138">
        <f>IF(OR(A138="",'Skill Matrix'!M14=""),"",'Skill Matrix'!M14)</f>
        <v/>
      </c>
      <c r="H138">
        <f>IF(A138="","",'Employees'!F6)</f>
        <v/>
      </c>
    </row>
    <row r="139">
      <c r="A139">
        <f>IF(AND('Skill Matrix'!A14&lt;&gt;"",'Skill Matrix'!N5&lt;&gt;""),'Skill Matrix'!A14,"")</f>
        <v/>
      </c>
      <c r="B139">
        <f>IF(A139="","",'Employees'!C6)</f>
        <v/>
      </c>
      <c r="C139">
        <f>IF(A139="","",'Employees'!D6)</f>
        <v/>
      </c>
      <c r="D139">
        <f>IF(A139="","",'Skill Matrix'!C14)</f>
        <v/>
      </c>
      <c r="E139">
        <f>IF(A139="","",'Skill Matrix'!D14)</f>
        <v/>
      </c>
      <c r="F139">
        <f>IF(AND('Skill Matrix'!A14&lt;&gt;"",'Skill Matrix'!N5&lt;&gt;""),'Skill Matrix'!N5,"")</f>
        <v/>
      </c>
      <c r="G139">
        <f>IF(OR(A139="",'Skill Matrix'!N14=""),"",'Skill Matrix'!N14)</f>
        <v/>
      </c>
      <c r="H139">
        <f>IF(A139="","",'Employees'!F6)</f>
        <v/>
      </c>
    </row>
    <row r="140">
      <c r="A140">
        <f>IF(AND('Skill Matrix'!A14&lt;&gt;"",'Skill Matrix'!O5&lt;&gt;""),'Skill Matrix'!A14,"")</f>
        <v/>
      </c>
      <c r="B140">
        <f>IF(A140="","",'Employees'!C6)</f>
        <v/>
      </c>
      <c r="C140">
        <f>IF(A140="","",'Employees'!D6)</f>
        <v/>
      </c>
      <c r="D140">
        <f>IF(A140="","",'Skill Matrix'!C14)</f>
        <v/>
      </c>
      <c r="E140">
        <f>IF(A140="","",'Skill Matrix'!D14)</f>
        <v/>
      </c>
      <c r="F140">
        <f>IF(AND('Skill Matrix'!A14&lt;&gt;"",'Skill Matrix'!O5&lt;&gt;""),'Skill Matrix'!O5,"")</f>
        <v/>
      </c>
      <c r="G140">
        <f>IF(OR(A140="",'Skill Matrix'!O14=""),"",'Skill Matrix'!O14)</f>
        <v/>
      </c>
      <c r="H140">
        <f>IF(A140="","",'Employees'!F6)</f>
        <v/>
      </c>
    </row>
    <row r="141">
      <c r="A141">
        <f>IF(AND('Skill Matrix'!A14&lt;&gt;"",'Skill Matrix'!P5&lt;&gt;""),'Skill Matrix'!A14,"")</f>
        <v/>
      </c>
      <c r="B141">
        <f>IF(A141="","",'Employees'!C6)</f>
        <v/>
      </c>
      <c r="C141">
        <f>IF(A141="","",'Employees'!D6)</f>
        <v/>
      </c>
      <c r="D141">
        <f>IF(A141="","",'Skill Matrix'!C14)</f>
        <v/>
      </c>
      <c r="E141">
        <f>IF(A141="","",'Skill Matrix'!D14)</f>
        <v/>
      </c>
      <c r="F141">
        <f>IF(AND('Skill Matrix'!A14&lt;&gt;"",'Skill Matrix'!P5&lt;&gt;""),'Skill Matrix'!P5,"")</f>
        <v/>
      </c>
      <c r="G141">
        <f>IF(OR(A141="",'Skill Matrix'!P14=""),"",'Skill Matrix'!P14)</f>
        <v/>
      </c>
      <c r="H141">
        <f>IF(A141="","",'Employees'!F6)</f>
        <v/>
      </c>
    </row>
    <row r="142">
      <c r="A142">
        <f>IF(AND('Skill Matrix'!A14&lt;&gt;"",'Skill Matrix'!Q5&lt;&gt;""),'Skill Matrix'!A14,"")</f>
        <v/>
      </c>
      <c r="B142">
        <f>IF(A142="","",'Employees'!C6)</f>
        <v/>
      </c>
      <c r="C142">
        <f>IF(A142="","",'Employees'!D6)</f>
        <v/>
      </c>
      <c r="D142">
        <f>IF(A142="","",'Skill Matrix'!C14)</f>
        <v/>
      </c>
      <c r="E142">
        <f>IF(A142="","",'Skill Matrix'!D14)</f>
        <v/>
      </c>
      <c r="F142">
        <f>IF(AND('Skill Matrix'!A14&lt;&gt;"",'Skill Matrix'!Q5&lt;&gt;""),'Skill Matrix'!Q5,"")</f>
        <v/>
      </c>
      <c r="G142">
        <f>IF(OR(A142="",'Skill Matrix'!Q14=""),"",'Skill Matrix'!Q14)</f>
        <v/>
      </c>
      <c r="H142">
        <f>IF(A142="","",'Employees'!F6)</f>
        <v/>
      </c>
    </row>
    <row r="143">
      <c r="A143">
        <f>IF(AND('Skill Matrix'!A14&lt;&gt;"",'Skill Matrix'!R5&lt;&gt;""),'Skill Matrix'!A14,"")</f>
        <v/>
      </c>
      <c r="B143">
        <f>IF(A143="","",'Employees'!C6)</f>
        <v/>
      </c>
      <c r="C143">
        <f>IF(A143="","",'Employees'!D6)</f>
        <v/>
      </c>
      <c r="D143">
        <f>IF(A143="","",'Skill Matrix'!C14)</f>
        <v/>
      </c>
      <c r="E143">
        <f>IF(A143="","",'Skill Matrix'!D14)</f>
        <v/>
      </c>
      <c r="F143">
        <f>IF(AND('Skill Matrix'!A14&lt;&gt;"",'Skill Matrix'!R5&lt;&gt;""),'Skill Matrix'!R5,"")</f>
        <v/>
      </c>
      <c r="G143">
        <f>IF(OR(A143="",'Skill Matrix'!R14=""),"",'Skill Matrix'!R14)</f>
        <v/>
      </c>
      <c r="H143">
        <f>IF(A143="","",'Employees'!F6)</f>
        <v/>
      </c>
    </row>
    <row r="144">
      <c r="A144">
        <f>IF(AND('Skill Matrix'!A14&lt;&gt;"",'Skill Matrix'!S5&lt;&gt;""),'Skill Matrix'!A14,"")</f>
        <v/>
      </c>
      <c r="B144">
        <f>IF(A144="","",'Employees'!C6)</f>
        <v/>
      </c>
      <c r="C144">
        <f>IF(A144="","",'Employees'!D6)</f>
        <v/>
      </c>
      <c r="D144">
        <f>IF(A144="","",'Skill Matrix'!C14)</f>
        <v/>
      </c>
      <c r="E144">
        <f>IF(A144="","",'Skill Matrix'!D14)</f>
        <v/>
      </c>
      <c r="F144">
        <f>IF(AND('Skill Matrix'!A14&lt;&gt;"",'Skill Matrix'!S5&lt;&gt;""),'Skill Matrix'!S5,"")</f>
        <v/>
      </c>
      <c r="G144">
        <f>IF(OR(A144="",'Skill Matrix'!S14=""),"",'Skill Matrix'!S14)</f>
        <v/>
      </c>
      <c r="H144">
        <f>IF(A144="","",'Employees'!F6)</f>
        <v/>
      </c>
    </row>
    <row r="145">
      <c r="A145">
        <f>IF(AND('Skill Matrix'!A14&lt;&gt;"",'Skill Matrix'!T5&lt;&gt;""),'Skill Matrix'!A14,"")</f>
        <v/>
      </c>
      <c r="B145">
        <f>IF(A145="","",'Employees'!C6)</f>
        <v/>
      </c>
      <c r="C145">
        <f>IF(A145="","",'Employees'!D6)</f>
        <v/>
      </c>
      <c r="D145">
        <f>IF(A145="","",'Skill Matrix'!C14)</f>
        <v/>
      </c>
      <c r="E145">
        <f>IF(A145="","",'Skill Matrix'!D14)</f>
        <v/>
      </c>
      <c r="F145">
        <f>IF(AND('Skill Matrix'!A14&lt;&gt;"",'Skill Matrix'!T5&lt;&gt;""),'Skill Matrix'!T5,"")</f>
        <v/>
      </c>
      <c r="G145">
        <f>IF(OR(A145="",'Skill Matrix'!T14=""),"",'Skill Matrix'!T14)</f>
        <v/>
      </c>
      <c r="H145">
        <f>IF(A145="","",'Employees'!F6)</f>
        <v/>
      </c>
    </row>
    <row r="146">
      <c r="A146">
        <f>IF(AND('Skill Matrix'!A15&lt;&gt;"",'Skill Matrix'!E5&lt;&gt;""),'Skill Matrix'!A15,"")</f>
        <v/>
      </c>
      <c r="B146">
        <f>IF(A146="","",'Employees'!C6)</f>
        <v/>
      </c>
      <c r="C146">
        <f>IF(A146="","",'Employees'!D6)</f>
        <v/>
      </c>
      <c r="D146">
        <f>IF(A146="","",'Skill Matrix'!C15)</f>
        <v/>
      </c>
      <c r="E146">
        <f>IF(A146="","",'Skill Matrix'!D15)</f>
        <v/>
      </c>
      <c r="F146">
        <f>IF(AND('Skill Matrix'!A15&lt;&gt;"",'Skill Matrix'!E5&lt;&gt;""),'Skill Matrix'!E5,"")</f>
        <v/>
      </c>
      <c r="G146">
        <f>IF(OR(A146="",'Skill Matrix'!E15=""),"",'Skill Matrix'!E15)</f>
        <v/>
      </c>
      <c r="H146">
        <f>IF(A146="","",'Employees'!F6)</f>
        <v/>
      </c>
    </row>
    <row r="147">
      <c r="A147">
        <f>IF(AND('Skill Matrix'!A15&lt;&gt;"",'Skill Matrix'!F5&lt;&gt;""),'Skill Matrix'!A15,"")</f>
        <v/>
      </c>
      <c r="B147">
        <f>IF(A147="","",'Employees'!C6)</f>
        <v/>
      </c>
      <c r="C147">
        <f>IF(A147="","",'Employees'!D6)</f>
        <v/>
      </c>
      <c r="D147">
        <f>IF(A147="","",'Skill Matrix'!C15)</f>
        <v/>
      </c>
      <c r="E147">
        <f>IF(A147="","",'Skill Matrix'!D15)</f>
        <v/>
      </c>
      <c r="F147">
        <f>IF(AND('Skill Matrix'!A15&lt;&gt;"",'Skill Matrix'!F5&lt;&gt;""),'Skill Matrix'!F5,"")</f>
        <v/>
      </c>
      <c r="G147">
        <f>IF(OR(A147="",'Skill Matrix'!F15=""),"",'Skill Matrix'!F15)</f>
        <v/>
      </c>
      <c r="H147">
        <f>IF(A147="","",'Employees'!F6)</f>
        <v/>
      </c>
    </row>
    <row r="148">
      <c r="A148">
        <f>IF(AND('Skill Matrix'!A15&lt;&gt;"",'Skill Matrix'!G5&lt;&gt;""),'Skill Matrix'!A15,"")</f>
        <v/>
      </c>
      <c r="B148">
        <f>IF(A148="","",'Employees'!C6)</f>
        <v/>
      </c>
      <c r="C148">
        <f>IF(A148="","",'Employees'!D6)</f>
        <v/>
      </c>
      <c r="D148">
        <f>IF(A148="","",'Skill Matrix'!C15)</f>
        <v/>
      </c>
      <c r="E148">
        <f>IF(A148="","",'Skill Matrix'!D15)</f>
        <v/>
      </c>
      <c r="F148">
        <f>IF(AND('Skill Matrix'!A15&lt;&gt;"",'Skill Matrix'!G5&lt;&gt;""),'Skill Matrix'!G5,"")</f>
        <v/>
      </c>
      <c r="G148">
        <f>IF(OR(A148="",'Skill Matrix'!G15=""),"",'Skill Matrix'!G15)</f>
        <v/>
      </c>
      <c r="H148">
        <f>IF(A148="","",'Employees'!F6)</f>
        <v/>
      </c>
    </row>
    <row r="149">
      <c r="A149">
        <f>IF(AND('Skill Matrix'!A15&lt;&gt;"",'Skill Matrix'!H5&lt;&gt;""),'Skill Matrix'!A15,"")</f>
        <v/>
      </c>
      <c r="B149">
        <f>IF(A149="","",'Employees'!C6)</f>
        <v/>
      </c>
      <c r="C149">
        <f>IF(A149="","",'Employees'!D6)</f>
        <v/>
      </c>
      <c r="D149">
        <f>IF(A149="","",'Skill Matrix'!C15)</f>
        <v/>
      </c>
      <c r="E149">
        <f>IF(A149="","",'Skill Matrix'!D15)</f>
        <v/>
      </c>
      <c r="F149">
        <f>IF(AND('Skill Matrix'!A15&lt;&gt;"",'Skill Matrix'!H5&lt;&gt;""),'Skill Matrix'!H5,"")</f>
        <v/>
      </c>
      <c r="G149">
        <f>IF(OR(A149="",'Skill Matrix'!H15=""),"",'Skill Matrix'!H15)</f>
        <v/>
      </c>
      <c r="H149">
        <f>IF(A149="","",'Employees'!F6)</f>
        <v/>
      </c>
    </row>
    <row r="150">
      <c r="A150">
        <f>IF(AND('Skill Matrix'!A15&lt;&gt;"",'Skill Matrix'!I5&lt;&gt;""),'Skill Matrix'!A15,"")</f>
        <v/>
      </c>
      <c r="B150">
        <f>IF(A150="","",'Employees'!C6)</f>
        <v/>
      </c>
      <c r="C150">
        <f>IF(A150="","",'Employees'!D6)</f>
        <v/>
      </c>
      <c r="D150">
        <f>IF(A150="","",'Skill Matrix'!C15)</f>
        <v/>
      </c>
      <c r="E150">
        <f>IF(A150="","",'Skill Matrix'!D15)</f>
        <v/>
      </c>
      <c r="F150">
        <f>IF(AND('Skill Matrix'!A15&lt;&gt;"",'Skill Matrix'!I5&lt;&gt;""),'Skill Matrix'!I5,"")</f>
        <v/>
      </c>
      <c r="G150">
        <f>IF(OR(A150="",'Skill Matrix'!I15=""),"",'Skill Matrix'!I15)</f>
        <v/>
      </c>
      <c r="H150">
        <f>IF(A150="","",'Employees'!F6)</f>
        <v/>
      </c>
    </row>
    <row r="151">
      <c r="A151">
        <f>IF(AND('Skill Matrix'!A15&lt;&gt;"",'Skill Matrix'!J5&lt;&gt;""),'Skill Matrix'!A15,"")</f>
        <v/>
      </c>
      <c r="B151">
        <f>IF(A151="","",'Employees'!C6)</f>
        <v/>
      </c>
      <c r="C151">
        <f>IF(A151="","",'Employees'!D6)</f>
        <v/>
      </c>
      <c r="D151">
        <f>IF(A151="","",'Skill Matrix'!C15)</f>
        <v/>
      </c>
      <c r="E151">
        <f>IF(A151="","",'Skill Matrix'!D15)</f>
        <v/>
      </c>
      <c r="F151">
        <f>IF(AND('Skill Matrix'!A15&lt;&gt;"",'Skill Matrix'!J5&lt;&gt;""),'Skill Matrix'!J5,"")</f>
        <v/>
      </c>
      <c r="G151">
        <f>IF(OR(A151="",'Skill Matrix'!J15=""),"",'Skill Matrix'!J15)</f>
        <v/>
      </c>
      <c r="H151">
        <f>IF(A151="","",'Employees'!F6)</f>
        <v/>
      </c>
    </row>
    <row r="152">
      <c r="A152">
        <f>IF(AND('Skill Matrix'!A15&lt;&gt;"",'Skill Matrix'!K5&lt;&gt;""),'Skill Matrix'!A15,"")</f>
        <v/>
      </c>
      <c r="B152">
        <f>IF(A152="","",'Employees'!C6)</f>
        <v/>
      </c>
      <c r="C152">
        <f>IF(A152="","",'Employees'!D6)</f>
        <v/>
      </c>
      <c r="D152">
        <f>IF(A152="","",'Skill Matrix'!C15)</f>
        <v/>
      </c>
      <c r="E152">
        <f>IF(A152="","",'Skill Matrix'!D15)</f>
        <v/>
      </c>
      <c r="F152">
        <f>IF(AND('Skill Matrix'!A15&lt;&gt;"",'Skill Matrix'!K5&lt;&gt;""),'Skill Matrix'!K5,"")</f>
        <v/>
      </c>
      <c r="G152">
        <f>IF(OR(A152="",'Skill Matrix'!K15=""),"",'Skill Matrix'!K15)</f>
        <v/>
      </c>
      <c r="H152">
        <f>IF(A152="","",'Employees'!F6)</f>
        <v/>
      </c>
    </row>
    <row r="153">
      <c r="A153">
        <f>IF(AND('Skill Matrix'!A15&lt;&gt;"",'Skill Matrix'!L5&lt;&gt;""),'Skill Matrix'!A15,"")</f>
        <v/>
      </c>
      <c r="B153">
        <f>IF(A153="","",'Employees'!C6)</f>
        <v/>
      </c>
      <c r="C153">
        <f>IF(A153="","",'Employees'!D6)</f>
        <v/>
      </c>
      <c r="D153">
        <f>IF(A153="","",'Skill Matrix'!C15)</f>
        <v/>
      </c>
      <c r="E153">
        <f>IF(A153="","",'Skill Matrix'!D15)</f>
        <v/>
      </c>
      <c r="F153">
        <f>IF(AND('Skill Matrix'!A15&lt;&gt;"",'Skill Matrix'!L5&lt;&gt;""),'Skill Matrix'!L5,"")</f>
        <v/>
      </c>
      <c r="G153">
        <f>IF(OR(A153="",'Skill Matrix'!L15=""),"",'Skill Matrix'!L15)</f>
        <v/>
      </c>
      <c r="H153">
        <f>IF(A153="","",'Employees'!F6)</f>
        <v/>
      </c>
    </row>
    <row r="154">
      <c r="A154">
        <f>IF(AND('Skill Matrix'!A15&lt;&gt;"",'Skill Matrix'!M5&lt;&gt;""),'Skill Matrix'!A15,"")</f>
        <v/>
      </c>
      <c r="B154">
        <f>IF(A154="","",'Employees'!C6)</f>
        <v/>
      </c>
      <c r="C154">
        <f>IF(A154="","",'Employees'!D6)</f>
        <v/>
      </c>
      <c r="D154">
        <f>IF(A154="","",'Skill Matrix'!C15)</f>
        <v/>
      </c>
      <c r="E154">
        <f>IF(A154="","",'Skill Matrix'!D15)</f>
        <v/>
      </c>
      <c r="F154">
        <f>IF(AND('Skill Matrix'!A15&lt;&gt;"",'Skill Matrix'!M5&lt;&gt;""),'Skill Matrix'!M5,"")</f>
        <v/>
      </c>
      <c r="G154">
        <f>IF(OR(A154="",'Skill Matrix'!M15=""),"",'Skill Matrix'!M15)</f>
        <v/>
      </c>
      <c r="H154">
        <f>IF(A154="","",'Employees'!F6)</f>
        <v/>
      </c>
    </row>
    <row r="155">
      <c r="A155">
        <f>IF(AND('Skill Matrix'!A15&lt;&gt;"",'Skill Matrix'!N5&lt;&gt;""),'Skill Matrix'!A15,"")</f>
        <v/>
      </c>
      <c r="B155">
        <f>IF(A155="","",'Employees'!C6)</f>
        <v/>
      </c>
      <c r="C155">
        <f>IF(A155="","",'Employees'!D6)</f>
        <v/>
      </c>
      <c r="D155">
        <f>IF(A155="","",'Skill Matrix'!C15)</f>
        <v/>
      </c>
      <c r="E155">
        <f>IF(A155="","",'Skill Matrix'!D15)</f>
        <v/>
      </c>
      <c r="F155">
        <f>IF(AND('Skill Matrix'!A15&lt;&gt;"",'Skill Matrix'!N5&lt;&gt;""),'Skill Matrix'!N5,"")</f>
        <v/>
      </c>
      <c r="G155">
        <f>IF(OR(A155="",'Skill Matrix'!N15=""),"",'Skill Matrix'!N15)</f>
        <v/>
      </c>
      <c r="H155">
        <f>IF(A155="","",'Employees'!F6)</f>
        <v/>
      </c>
    </row>
    <row r="156">
      <c r="A156">
        <f>IF(AND('Skill Matrix'!A15&lt;&gt;"",'Skill Matrix'!O5&lt;&gt;""),'Skill Matrix'!A15,"")</f>
        <v/>
      </c>
      <c r="B156">
        <f>IF(A156="","",'Employees'!C6)</f>
        <v/>
      </c>
      <c r="C156">
        <f>IF(A156="","",'Employees'!D6)</f>
        <v/>
      </c>
      <c r="D156">
        <f>IF(A156="","",'Skill Matrix'!C15)</f>
        <v/>
      </c>
      <c r="E156">
        <f>IF(A156="","",'Skill Matrix'!D15)</f>
        <v/>
      </c>
      <c r="F156">
        <f>IF(AND('Skill Matrix'!A15&lt;&gt;"",'Skill Matrix'!O5&lt;&gt;""),'Skill Matrix'!O5,"")</f>
        <v/>
      </c>
      <c r="G156">
        <f>IF(OR(A156="",'Skill Matrix'!O15=""),"",'Skill Matrix'!O15)</f>
        <v/>
      </c>
      <c r="H156">
        <f>IF(A156="","",'Employees'!F6)</f>
        <v/>
      </c>
    </row>
    <row r="157">
      <c r="A157">
        <f>IF(AND('Skill Matrix'!A15&lt;&gt;"",'Skill Matrix'!P5&lt;&gt;""),'Skill Matrix'!A15,"")</f>
        <v/>
      </c>
      <c r="B157">
        <f>IF(A157="","",'Employees'!C6)</f>
        <v/>
      </c>
      <c r="C157">
        <f>IF(A157="","",'Employees'!D6)</f>
        <v/>
      </c>
      <c r="D157">
        <f>IF(A157="","",'Skill Matrix'!C15)</f>
        <v/>
      </c>
      <c r="E157">
        <f>IF(A157="","",'Skill Matrix'!D15)</f>
        <v/>
      </c>
      <c r="F157">
        <f>IF(AND('Skill Matrix'!A15&lt;&gt;"",'Skill Matrix'!P5&lt;&gt;""),'Skill Matrix'!P5,"")</f>
        <v/>
      </c>
      <c r="G157">
        <f>IF(OR(A157="",'Skill Matrix'!P15=""),"",'Skill Matrix'!P15)</f>
        <v/>
      </c>
      <c r="H157">
        <f>IF(A157="","",'Employees'!F6)</f>
        <v/>
      </c>
    </row>
    <row r="158">
      <c r="A158">
        <f>IF(AND('Skill Matrix'!A15&lt;&gt;"",'Skill Matrix'!Q5&lt;&gt;""),'Skill Matrix'!A15,"")</f>
        <v/>
      </c>
      <c r="B158">
        <f>IF(A158="","",'Employees'!C6)</f>
        <v/>
      </c>
      <c r="C158">
        <f>IF(A158="","",'Employees'!D6)</f>
        <v/>
      </c>
      <c r="D158">
        <f>IF(A158="","",'Skill Matrix'!C15)</f>
        <v/>
      </c>
      <c r="E158">
        <f>IF(A158="","",'Skill Matrix'!D15)</f>
        <v/>
      </c>
      <c r="F158">
        <f>IF(AND('Skill Matrix'!A15&lt;&gt;"",'Skill Matrix'!Q5&lt;&gt;""),'Skill Matrix'!Q5,"")</f>
        <v/>
      </c>
      <c r="G158">
        <f>IF(OR(A158="",'Skill Matrix'!Q15=""),"",'Skill Matrix'!Q15)</f>
        <v/>
      </c>
      <c r="H158">
        <f>IF(A158="","",'Employees'!F6)</f>
        <v/>
      </c>
    </row>
    <row r="159">
      <c r="A159">
        <f>IF(AND('Skill Matrix'!A15&lt;&gt;"",'Skill Matrix'!R5&lt;&gt;""),'Skill Matrix'!A15,"")</f>
        <v/>
      </c>
      <c r="B159">
        <f>IF(A159="","",'Employees'!C6)</f>
        <v/>
      </c>
      <c r="C159">
        <f>IF(A159="","",'Employees'!D6)</f>
        <v/>
      </c>
      <c r="D159">
        <f>IF(A159="","",'Skill Matrix'!C15)</f>
        <v/>
      </c>
      <c r="E159">
        <f>IF(A159="","",'Skill Matrix'!D15)</f>
        <v/>
      </c>
      <c r="F159">
        <f>IF(AND('Skill Matrix'!A15&lt;&gt;"",'Skill Matrix'!R5&lt;&gt;""),'Skill Matrix'!R5,"")</f>
        <v/>
      </c>
      <c r="G159">
        <f>IF(OR(A159="",'Skill Matrix'!R15=""),"",'Skill Matrix'!R15)</f>
        <v/>
      </c>
      <c r="H159">
        <f>IF(A159="","",'Employees'!F6)</f>
        <v/>
      </c>
    </row>
    <row r="160">
      <c r="A160">
        <f>IF(AND('Skill Matrix'!A15&lt;&gt;"",'Skill Matrix'!S5&lt;&gt;""),'Skill Matrix'!A15,"")</f>
        <v/>
      </c>
      <c r="B160">
        <f>IF(A160="","",'Employees'!C6)</f>
        <v/>
      </c>
      <c r="C160">
        <f>IF(A160="","",'Employees'!D6)</f>
        <v/>
      </c>
      <c r="D160">
        <f>IF(A160="","",'Skill Matrix'!C15)</f>
        <v/>
      </c>
      <c r="E160">
        <f>IF(A160="","",'Skill Matrix'!D15)</f>
        <v/>
      </c>
      <c r="F160">
        <f>IF(AND('Skill Matrix'!A15&lt;&gt;"",'Skill Matrix'!S5&lt;&gt;""),'Skill Matrix'!S5,"")</f>
        <v/>
      </c>
      <c r="G160">
        <f>IF(OR(A160="",'Skill Matrix'!S15=""),"",'Skill Matrix'!S15)</f>
        <v/>
      </c>
      <c r="H160">
        <f>IF(A160="","",'Employees'!F6)</f>
        <v/>
      </c>
    </row>
    <row r="161">
      <c r="A161">
        <f>IF(AND('Skill Matrix'!A15&lt;&gt;"",'Skill Matrix'!T5&lt;&gt;""),'Skill Matrix'!A15,"")</f>
        <v/>
      </c>
      <c r="B161">
        <f>IF(A161="","",'Employees'!C6)</f>
        <v/>
      </c>
      <c r="C161">
        <f>IF(A161="","",'Employees'!D6)</f>
        <v/>
      </c>
      <c r="D161">
        <f>IF(A161="","",'Skill Matrix'!C15)</f>
        <v/>
      </c>
      <c r="E161">
        <f>IF(A161="","",'Skill Matrix'!D15)</f>
        <v/>
      </c>
      <c r="F161">
        <f>IF(AND('Skill Matrix'!A15&lt;&gt;"",'Skill Matrix'!T5&lt;&gt;""),'Skill Matrix'!T5,"")</f>
        <v/>
      </c>
      <c r="G161">
        <f>IF(OR(A161="",'Skill Matrix'!T15=""),"",'Skill Matrix'!T15)</f>
        <v/>
      </c>
      <c r="H161">
        <f>IF(A161="","",'Employees'!F6)</f>
        <v/>
      </c>
    </row>
    <row r="162">
      <c r="A162">
        <f>IF(AND('Skill Matrix'!A16&lt;&gt;"",'Skill Matrix'!E5&lt;&gt;""),'Skill Matrix'!A16,"")</f>
        <v/>
      </c>
      <c r="B162">
        <f>IF(A162="","",'Employees'!C6)</f>
        <v/>
      </c>
      <c r="C162">
        <f>IF(A162="","",'Employees'!D6)</f>
        <v/>
      </c>
      <c r="D162">
        <f>IF(A162="","",'Skill Matrix'!C16)</f>
        <v/>
      </c>
      <c r="E162">
        <f>IF(A162="","",'Skill Matrix'!D16)</f>
        <v/>
      </c>
      <c r="F162">
        <f>IF(AND('Skill Matrix'!A16&lt;&gt;"",'Skill Matrix'!E5&lt;&gt;""),'Skill Matrix'!E5,"")</f>
        <v/>
      </c>
      <c r="G162">
        <f>IF(OR(A162="",'Skill Matrix'!E16=""),"",'Skill Matrix'!E16)</f>
        <v/>
      </c>
      <c r="H162">
        <f>IF(A162="","",'Employees'!F6)</f>
        <v/>
      </c>
    </row>
    <row r="163">
      <c r="A163">
        <f>IF(AND('Skill Matrix'!A16&lt;&gt;"",'Skill Matrix'!F5&lt;&gt;""),'Skill Matrix'!A16,"")</f>
        <v/>
      </c>
      <c r="B163">
        <f>IF(A163="","",'Employees'!C6)</f>
        <v/>
      </c>
      <c r="C163">
        <f>IF(A163="","",'Employees'!D6)</f>
        <v/>
      </c>
      <c r="D163">
        <f>IF(A163="","",'Skill Matrix'!C16)</f>
        <v/>
      </c>
      <c r="E163">
        <f>IF(A163="","",'Skill Matrix'!D16)</f>
        <v/>
      </c>
      <c r="F163">
        <f>IF(AND('Skill Matrix'!A16&lt;&gt;"",'Skill Matrix'!F5&lt;&gt;""),'Skill Matrix'!F5,"")</f>
        <v/>
      </c>
      <c r="G163">
        <f>IF(OR(A163="",'Skill Matrix'!F16=""),"",'Skill Matrix'!F16)</f>
        <v/>
      </c>
      <c r="H163">
        <f>IF(A163="","",'Employees'!F6)</f>
        <v/>
      </c>
    </row>
    <row r="164">
      <c r="A164">
        <f>IF(AND('Skill Matrix'!A16&lt;&gt;"",'Skill Matrix'!G5&lt;&gt;""),'Skill Matrix'!A16,"")</f>
        <v/>
      </c>
      <c r="B164">
        <f>IF(A164="","",'Employees'!C6)</f>
        <v/>
      </c>
      <c r="C164">
        <f>IF(A164="","",'Employees'!D6)</f>
        <v/>
      </c>
      <c r="D164">
        <f>IF(A164="","",'Skill Matrix'!C16)</f>
        <v/>
      </c>
      <c r="E164">
        <f>IF(A164="","",'Skill Matrix'!D16)</f>
        <v/>
      </c>
      <c r="F164">
        <f>IF(AND('Skill Matrix'!A16&lt;&gt;"",'Skill Matrix'!G5&lt;&gt;""),'Skill Matrix'!G5,"")</f>
        <v/>
      </c>
      <c r="G164">
        <f>IF(OR(A164="",'Skill Matrix'!G16=""),"",'Skill Matrix'!G16)</f>
        <v/>
      </c>
      <c r="H164">
        <f>IF(A164="","",'Employees'!F6)</f>
        <v/>
      </c>
    </row>
    <row r="165">
      <c r="A165">
        <f>IF(AND('Skill Matrix'!A16&lt;&gt;"",'Skill Matrix'!H5&lt;&gt;""),'Skill Matrix'!A16,"")</f>
        <v/>
      </c>
      <c r="B165">
        <f>IF(A165="","",'Employees'!C6)</f>
        <v/>
      </c>
      <c r="C165">
        <f>IF(A165="","",'Employees'!D6)</f>
        <v/>
      </c>
      <c r="D165">
        <f>IF(A165="","",'Skill Matrix'!C16)</f>
        <v/>
      </c>
      <c r="E165">
        <f>IF(A165="","",'Skill Matrix'!D16)</f>
        <v/>
      </c>
      <c r="F165">
        <f>IF(AND('Skill Matrix'!A16&lt;&gt;"",'Skill Matrix'!H5&lt;&gt;""),'Skill Matrix'!H5,"")</f>
        <v/>
      </c>
      <c r="G165">
        <f>IF(OR(A165="",'Skill Matrix'!H16=""),"",'Skill Matrix'!H16)</f>
        <v/>
      </c>
      <c r="H165">
        <f>IF(A165="","",'Employees'!F6)</f>
        <v/>
      </c>
    </row>
    <row r="166">
      <c r="A166">
        <f>IF(AND('Skill Matrix'!A16&lt;&gt;"",'Skill Matrix'!I5&lt;&gt;""),'Skill Matrix'!A16,"")</f>
        <v/>
      </c>
      <c r="B166">
        <f>IF(A166="","",'Employees'!C6)</f>
        <v/>
      </c>
      <c r="C166">
        <f>IF(A166="","",'Employees'!D6)</f>
        <v/>
      </c>
      <c r="D166">
        <f>IF(A166="","",'Skill Matrix'!C16)</f>
        <v/>
      </c>
      <c r="E166">
        <f>IF(A166="","",'Skill Matrix'!D16)</f>
        <v/>
      </c>
      <c r="F166">
        <f>IF(AND('Skill Matrix'!A16&lt;&gt;"",'Skill Matrix'!I5&lt;&gt;""),'Skill Matrix'!I5,"")</f>
        <v/>
      </c>
      <c r="G166">
        <f>IF(OR(A166="",'Skill Matrix'!I16=""),"",'Skill Matrix'!I16)</f>
        <v/>
      </c>
      <c r="H166">
        <f>IF(A166="","",'Employees'!F6)</f>
        <v/>
      </c>
    </row>
    <row r="167">
      <c r="A167">
        <f>IF(AND('Skill Matrix'!A16&lt;&gt;"",'Skill Matrix'!J5&lt;&gt;""),'Skill Matrix'!A16,"")</f>
        <v/>
      </c>
      <c r="B167">
        <f>IF(A167="","",'Employees'!C6)</f>
        <v/>
      </c>
      <c r="C167">
        <f>IF(A167="","",'Employees'!D6)</f>
        <v/>
      </c>
      <c r="D167">
        <f>IF(A167="","",'Skill Matrix'!C16)</f>
        <v/>
      </c>
      <c r="E167">
        <f>IF(A167="","",'Skill Matrix'!D16)</f>
        <v/>
      </c>
      <c r="F167">
        <f>IF(AND('Skill Matrix'!A16&lt;&gt;"",'Skill Matrix'!J5&lt;&gt;""),'Skill Matrix'!J5,"")</f>
        <v/>
      </c>
      <c r="G167">
        <f>IF(OR(A167="",'Skill Matrix'!J16=""),"",'Skill Matrix'!J16)</f>
        <v/>
      </c>
      <c r="H167">
        <f>IF(A167="","",'Employees'!F6)</f>
        <v/>
      </c>
    </row>
    <row r="168">
      <c r="A168">
        <f>IF(AND('Skill Matrix'!A16&lt;&gt;"",'Skill Matrix'!K5&lt;&gt;""),'Skill Matrix'!A16,"")</f>
        <v/>
      </c>
      <c r="B168">
        <f>IF(A168="","",'Employees'!C6)</f>
        <v/>
      </c>
      <c r="C168">
        <f>IF(A168="","",'Employees'!D6)</f>
        <v/>
      </c>
      <c r="D168">
        <f>IF(A168="","",'Skill Matrix'!C16)</f>
        <v/>
      </c>
      <c r="E168">
        <f>IF(A168="","",'Skill Matrix'!D16)</f>
        <v/>
      </c>
      <c r="F168">
        <f>IF(AND('Skill Matrix'!A16&lt;&gt;"",'Skill Matrix'!K5&lt;&gt;""),'Skill Matrix'!K5,"")</f>
        <v/>
      </c>
      <c r="G168">
        <f>IF(OR(A168="",'Skill Matrix'!K16=""),"",'Skill Matrix'!K16)</f>
        <v/>
      </c>
      <c r="H168">
        <f>IF(A168="","",'Employees'!F6)</f>
        <v/>
      </c>
    </row>
    <row r="169">
      <c r="A169">
        <f>IF(AND('Skill Matrix'!A16&lt;&gt;"",'Skill Matrix'!L5&lt;&gt;""),'Skill Matrix'!A16,"")</f>
        <v/>
      </c>
      <c r="B169">
        <f>IF(A169="","",'Employees'!C6)</f>
        <v/>
      </c>
      <c r="C169">
        <f>IF(A169="","",'Employees'!D6)</f>
        <v/>
      </c>
      <c r="D169">
        <f>IF(A169="","",'Skill Matrix'!C16)</f>
        <v/>
      </c>
      <c r="E169">
        <f>IF(A169="","",'Skill Matrix'!D16)</f>
        <v/>
      </c>
      <c r="F169">
        <f>IF(AND('Skill Matrix'!A16&lt;&gt;"",'Skill Matrix'!L5&lt;&gt;""),'Skill Matrix'!L5,"")</f>
        <v/>
      </c>
      <c r="G169">
        <f>IF(OR(A169="",'Skill Matrix'!L16=""),"",'Skill Matrix'!L16)</f>
        <v/>
      </c>
      <c r="H169">
        <f>IF(A169="","",'Employees'!F6)</f>
        <v/>
      </c>
    </row>
    <row r="170">
      <c r="A170">
        <f>IF(AND('Skill Matrix'!A16&lt;&gt;"",'Skill Matrix'!M5&lt;&gt;""),'Skill Matrix'!A16,"")</f>
        <v/>
      </c>
      <c r="B170">
        <f>IF(A170="","",'Employees'!C6)</f>
        <v/>
      </c>
      <c r="C170">
        <f>IF(A170="","",'Employees'!D6)</f>
        <v/>
      </c>
      <c r="D170">
        <f>IF(A170="","",'Skill Matrix'!C16)</f>
        <v/>
      </c>
      <c r="E170">
        <f>IF(A170="","",'Skill Matrix'!D16)</f>
        <v/>
      </c>
      <c r="F170">
        <f>IF(AND('Skill Matrix'!A16&lt;&gt;"",'Skill Matrix'!M5&lt;&gt;""),'Skill Matrix'!M5,"")</f>
        <v/>
      </c>
      <c r="G170">
        <f>IF(OR(A170="",'Skill Matrix'!M16=""),"",'Skill Matrix'!M16)</f>
        <v/>
      </c>
      <c r="H170">
        <f>IF(A170="","",'Employees'!F6)</f>
        <v/>
      </c>
    </row>
    <row r="171">
      <c r="A171">
        <f>IF(AND('Skill Matrix'!A16&lt;&gt;"",'Skill Matrix'!N5&lt;&gt;""),'Skill Matrix'!A16,"")</f>
        <v/>
      </c>
      <c r="B171">
        <f>IF(A171="","",'Employees'!C6)</f>
        <v/>
      </c>
      <c r="C171">
        <f>IF(A171="","",'Employees'!D6)</f>
        <v/>
      </c>
      <c r="D171">
        <f>IF(A171="","",'Skill Matrix'!C16)</f>
        <v/>
      </c>
      <c r="E171">
        <f>IF(A171="","",'Skill Matrix'!D16)</f>
        <v/>
      </c>
      <c r="F171">
        <f>IF(AND('Skill Matrix'!A16&lt;&gt;"",'Skill Matrix'!N5&lt;&gt;""),'Skill Matrix'!N5,"")</f>
        <v/>
      </c>
      <c r="G171">
        <f>IF(OR(A171="",'Skill Matrix'!N16=""),"",'Skill Matrix'!N16)</f>
        <v/>
      </c>
      <c r="H171">
        <f>IF(A171="","",'Employees'!F6)</f>
        <v/>
      </c>
    </row>
    <row r="172">
      <c r="A172">
        <f>IF(AND('Skill Matrix'!A16&lt;&gt;"",'Skill Matrix'!O5&lt;&gt;""),'Skill Matrix'!A16,"")</f>
        <v/>
      </c>
      <c r="B172">
        <f>IF(A172="","",'Employees'!C6)</f>
        <v/>
      </c>
      <c r="C172">
        <f>IF(A172="","",'Employees'!D6)</f>
        <v/>
      </c>
      <c r="D172">
        <f>IF(A172="","",'Skill Matrix'!C16)</f>
        <v/>
      </c>
      <c r="E172">
        <f>IF(A172="","",'Skill Matrix'!D16)</f>
        <v/>
      </c>
      <c r="F172">
        <f>IF(AND('Skill Matrix'!A16&lt;&gt;"",'Skill Matrix'!O5&lt;&gt;""),'Skill Matrix'!O5,"")</f>
        <v/>
      </c>
      <c r="G172">
        <f>IF(OR(A172="",'Skill Matrix'!O16=""),"",'Skill Matrix'!O16)</f>
        <v/>
      </c>
      <c r="H172">
        <f>IF(A172="","",'Employees'!F6)</f>
        <v/>
      </c>
    </row>
    <row r="173">
      <c r="A173">
        <f>IF(AND('Skill Matrix'!A16&lt;&gt;"",'Skill Matrix'!P5&lt;&gt;""),'Skill Matrix'!A16,"")</f>
        <v/>
      </c>
      <c r="B173">
        <f>IF(A173="","",'Employees'!C6)</f>
        <v/>
      </c>
      <c r="C173">
        <f>IF(A173="","",'Employees'!D6)</f>
        <v/>
      </c>
      <c r="D173">
        <f>IF(A173="","",'Skill Matrix'!C16)</f>
        <v/>
      </c>
      <c r="E173">
        <f>IF(A173="","",'Skill Matrix'!D16)</f>
        <v/>
      </c>
      <c r="F173">
        <f>IF(AND('Skill Matrix'!A16&lt;&gt;"",'Skill Matrix'!P5&lt;&gt;""),'Skill Matrix'!P5,"")</f>
        <v/>
      </c>
      <c r="G173">
        <f>IF(OR(A173="",'Skill Matrix'!P16=""),"",'Skill Matrix'!P16)</f>
        <v/>
      </c>
      <c r="H173">
        <f>IF(A173="","",'Employees'!F6)</f>
        <v/>
      </c>
    </row>
    <row r="174">
      <c r="A174">
        <f>IF(AND('Skill Matrix'!A16&lt;&gt;"",'Skill Matrix'!Q5&lt;&gt;""),'Skill Matrix'!A16,"")</f>
        <v/>
      </c>
      <c r="B174">
        <f>IF(A174="","",'Employees'!C6)</f>
        <v/>
      </c>
      <c r="C174">
        <f>IF(A174="","",'Employees'!D6)</f>
        <v/>
      </c>
      <c r="D174">
        <f>IF(A174="","",'Skill Matrix'!C16)</f>
        <v/>
      </c>
      <c r="E174">
        <f>IF(A174="","",'Skill Matrix'!D16)</f>
        <v/>
      </c>
      <c r="F174">
        <f>IF(AND('Skill Matrix'!A16&lt;&gt;"",'Skill Matrix'!Q5&lt;&gt;""),'Skill Matrix'!Q5,"")</f>
        <v/>
      </c>
      <c r="G174">
        <f>IF(OR(A174="",'Skill Matrix'!Q16=""),"",'Skill Matrix'!Q16)</f>
        <v/>
      </c>
      <c r="H174">
        <f>IF(A174="","",'Employees'!F6)</f>
        <v/>
      </c>
    </row>
    <row r="175">
      <c r="A175">
        <f>IF(AND('Skill Matrix'!A16&lt;&gt;"",'Skill Matrix'!R5&lt;&gt;""),'Skill Matrix'!A16,"")</f>
        <v/>
      </c>
      <c r="B175">
        <f>IF(A175="","",'Employees'!C6)</f>
        <v/>
      </c>
      <c r="C175">
        <f>IF(A175="","",'Employees'!D6)</f>
        <v/>
      </c>
      <c r="D175">
        <f>IF(A175="","",'Skill Matrix'!C16)</f>
        <v/>
      </c>
      <c r="E175">
        <f>IF(A175="","",'Skill Matrix'!D16)</f>
        <v/>
      </c>
      <c r="F175">
        <f>IF(AND('Skill Matrix'!A16&lt;&gt;"",'Skill Matrix'!R5&lt;&gt;""),'Skill Matrix'!R5,"")</f>
        <v/>
      </c>
      <c r="G175">
        <f>IF(OR(A175="",'Skill Matrix'!R16=""),"",'Skill Matrix'!R16)</f>
        <v/>
      </c>
      <c r="H175">
        <f>IF(A175="","",'Employees'!F6)</f>
        <v/>
      </c>
    </row>
    <row r="176">
      <c r="A176">
        <f>IF(AND('Skill Matrix'!A16&lt;&gt;"",'Skill Matrix'!S5&lt;&gt;""),'Skill Matrix'!A16,"")</f>
        <v/>
      </c>
      <c r="B176">
        <f>IF(A176="","",'Employees'!C6)</f>
        <v/>
      </c>
      <c r="C176">
        <f>IF(A176="","",'Employees'!D6)</f>
        <v/>
      </c>
      <c r="D176">
        <f>IF(A176="","",'Skill Matrix'!C16)</f>
        <v/>
      </c>
      <c r="E176">
        <f>IF(A176="","",'Skill Matrix'!D16)</f>
        <v/>
      </c>
      <c r="F176">
        <f>IF(AND('Skill Matrix'!A16&lt;&gt;"",'Skill Matrix'!S5&lt;&gt;""),'Skill Matrix'!S5,"")</f>
        <v/>
      </c>
      <c r="G176">
        <f>IF(OR(A176="",'Skill Matrix'!S16=""),"",'Skill Matrix'!S16)</f>
        <v/>
      </c>
      <c r="H176">
        <f>IF(A176="","",'Employees'!F6)</f>
        <v/>
      </c>
    </row>
    <row r="177">
      <c r="A177">
        <f>IF(AND('Skill Matrix'!A16&lt;&gt;"",'Skill Matrix'!T5&lt;&gt;""),'Skill Matrix'!A16,"")</f>
        <v/>
      </c>
      <c r="B177">
        <f>IF(A177="","",'Employees'!C6)</f>
        <v/>
      </c>
      <c r="C177">
        <f>IF(A177="","",'Employees'!D6)</f>
        <v/>
      </c>
      <c r="D177">
        <f>IF(A177="","",'Skill Matrix'!C16)</f>
        <v/>
      </c>
      <c r="E177">
        <f>IF(A177="","",'Skill Matrix'!D16)</f>
        <v/>
      </c>
      <c r="F177">
        <f>IF(AND('Skill Matrix'!A16&lt;&gt;"",'Skill Matrix'!T5&lt;&gt;""),'Skill Matrix'!T5,"")</f>
        <v/>
      </c>
      <c r="G177">
        <f>IF(OR(A177="",'Skill Matrix'!T16=""),"",'Skill Matrix'!T16)</f>
        <v/>
      </c>
      <c r="H177">
        <f>IF(A177="","",'Employees'!F6)</f>
        <v/>
      </c>
    </row>
    <row r="178">
      <c r="A178">
        <f>IF(AND('Skill Matrix'!A17&lt;&gt;"",'Skill Matrix'!E5&lt;&gt;""),'Skill Matrix'!A17,"")</f>
        <v/>
      </c>
      <c r="B178">
        <f>IF(A178="","",'Employees'!C6)</f>
        <v/>
      </c>
      <c r="C178">
        <f>IF(A178="","",'Employees'!D6)</f>
        <v/>
      </c>
      <c r="D178">
        <f>IF(A178="","",'Skill Matrix'!C17)</f>
        <v/>
      </c>
      <c r="E178">
        <f>IF(A178="","",'Skill Matrix'!D17)</f>
        <v/>
      </c>
      <c r="F178">
        <f>IF(AND('Skill Matrix'!A17&lt;&gt;"",'Skill Matrix'!E5&lt;&gt;""),'Skill Matrix'!E5,"")</f>
        <v/>
      </c>
      <c r="G178">
        <f>IF(OR(A178="",'Skill Matrix'!E17=""),"",'Skill Matrix'!E17)</f>
        <v/>
      </c>
      <c r="H178">
        <f>IF(A178="","",'Employees'!F6)</f>
        <v/>
      </c>
    </row>
    <row r="179">
      <c r="A179">
        <f>IF(AND('Skill Matrix'!A17&lt;&gt;"",'Skill Matrix'!F5&lt;&gt;""),'Skill Matrix'!A17,"")</f>
        <v/>
      </c>
      <c r="B179">
        <f>IF(A179="","",'Employees'!C6)</f>
        <v/>
      </c>
      <c r="C179">
        <f>IF(A179="","",'Employees'!D6)</f>
        <v/>
      </c>
      <c r="D179">
        <f>IF(A179="","",'Skill Matrix'!C17)</f>
        <v/>
      </c>
      <c r="E179">
        <f>IF(A179="","",'Skill Matrix'!D17)</f>
        <v/>
      </c>
      <c r="F179">
        <f>IF(AND('Skill Matrix'!A17&lt;&gt;"",'Skill Matrix'!F5&lt;&gt;""),'Skill Matrix'!F5,"")</f>
        <v/>
      </c>
      <c r="G179">
        <f>IF(OR(A179="",'Skill Matrix'!F17=""),"",'Skill Matrix'!F17)</f>
        <v/>
      </c>
      <c r="H179">
        <f>IF(A179="","",'Employees'!F6)</f>
        <v/>
      </c>
    </row>
    <row r="180">
      <c r="A180">
        <f>IF(AND('Skill Matrix'!A17&lt;&gt;"",'Skill Matrix'!G5&lt;&gt;""),'Skill Matrix'!A17,"")</f>
        <v/>
      </c>
      <c r="B180">
        <f>IF(A180="","",'Employees'!C6)</f>
        <v/>
      </c>
      <c r="C180">
        <f>IF(A180="","",'Employees'!D6)</f>
        <v/>
      </c>
      <c r="D180">
        <f>IF(A180="","",'Skill Matrix'!C17)</f>
        <v/>
      </c>
      <c r="E180">
        <f>IF(A180="","",'Skill Matrix'!D17)</f>
        <v/>
      </c>
      <c r="F180">
        <f>IF(AND('Skill Matrix'!A17&lt;&gt;"",'Skill Matrix'!G5&lt;&gt;""),'Skill Matrix'!G5,"")</f>
        <v/>
      </c>
      <c r="G180">
        <f>IF(OR(A180="",'Skill Matrix'!G17=""),"",'Skill Matrix'!G17)</f>
        <v/>
      </c>
      <c r="H180">
        <f>IF(A180="","",'Employees'!F6)</f>
        <v/>
      </c>
    </row>
    <row r="181">
      <c r="A181">
        <f>IF(AND('Skill Matrix'!A17&lt;&gt;"",'Skill Matrix'!H5&lt;&gt;""),'Skill Matrix'!A17,"")</f>
        <v/>
      </c>
      <c r="B181">
        <f>IF(A181="","",'Employees'!C6)</f>
        <v/>
      </c>
      <c r="C181">
        <f>IF(A181="","",'Employees'!D6)</f>
        <v/>
      </c>
      <c r="D181">
        <f>IF(A181="","",'Skill Matrix'!C17)</f>
        <v/>
      </c>
      <c r="E181">
        <f>IF(A181="","",'Skill Matrix'!D17)</f>
        <v/>
      </c>
      <c r="F181">
        <f>IF(AND('Skill Matrix'!A17&lt;&gt;"",'Skill Matrix'!H5&lt;&gt;""),'Skill Matrix'!H5,"")</f>
        <v/>
      </c>
      <c r="G181">
        <f>IF(OR(A181="",'Skill Matrix'!H17=""),"",'Skill Matrix'!H17)</f>
        <v/>
      </c>
      <c r="H181">
        <f>IF(A181="","",'Employees'!F6)</f>
        <v/>
      </c>
    </row>
    <row r="182">
      <c r="A182">
        <f>IF(AND('Skill Matrix'!A17&lt;&gt;"",'Skill Matrix'!I5&lt;&gt;""),'Skill Matrix'!A17,"")</f>
        <v/>
      </c>
      <c r="B182">
        <f>IF(A182="","",'Employees'!C6)</f>
        <v/>
      </c>
      <c r="C182">
        <f>IF(A182="","",'Employees'!D6)</f>
        <v/>
      </c>
      <c r="D182">
        <f>IF(A182="","",'Skill Matrix'!C17)</f>
        <v/>
      </c>
      <c r="E182">
        <f>IF(A182="","",'Skill Matrix'!D17)</f>
        <v/>
      </c>
      <c r="F182">
        <f>IF(AND('Skill Matrix'!A17&lt;&gt;"",'Skill Matrix'!I5&lt;&gt;""),'Skill Matrix'!I5,"")</f>
        <v/>
      </c>
      <c r="G182">
        <f>IF(OR(A182="",'Skill Matrix'!I17=""),"",'Skill Matrix'!I17)</f>
        <v/>
      </c>
      <c r="H182">
        <f>IF(A182="","",'Employees'!F6)</f>
        <v/>
      </c>
    </row>
    <row r="183">
      <c r="A183">
        <f>IF(AND('Skill Matrix'!A17&lt;&gt;"",'Skill Matrix'!J5&lt;&gt;""),'Skill Matrix'!A17,"")</f>
        <v/>
      </c>
      <c r="B183">
        <f>IF(A183="","",'Employees'!C6)</f>
        <v/>
      </c>
      <c r="C183">
        <f>IF(A183="","",'Employees'!D6)</f>
        <v/>
      </c>
      <c r="D183">
        <f>IF(A183="","",'Skill Matrix'!C17)</f>
        <v/>
      </c>
      <c r="E183">
        <f>IF(A183="","",'Skill Matrix'!D17)</f>
        <v/>
      </c>
      <c r="F183">
        <f>IF(AND('Skill Matrix'!A17&lt;&gt;"",'Skill Matrix'!J5&lt;&gt;""),'Skill Matrix'!J5,"")</f>
        <v/>
      </c>
      <c r="G183">
        <f>IF(OR(A183="",'Skill Matrix'!J17=""),"",'Skill Matrix'!J17)</f>
        <v/>
      </c>
      <c r="H183">
        <f>IF(A183="","",'Employees'!F6)</f>
        <v/>
      </c>
    </row>
    <row r="184">
      <c r="A184">
        <f>IF(AND('Skill Matrix'!A17&lt;&gt;"",'Skill Matrix'!K5&lt;&gt;""),'Skill Matrix'!A17,"")</f>
        <v/>
      </c>
      <c r="B184">
        <f>IF(A184="","",'Employees'!C6)</f>
        <v/>
      </c>
      <c r="C184">
        <f>IF(A184="","",'Employees'!D6)</f>
        <v/>
      </c>
      <c r="D184">
        <f>IF(A184="","",'Skill Matrix'!C17)</f>
        <v/>
      </c>
      <c r="E184">
        <f>IF(A184="","",'Skill Matrix'!D17)</f>
        <v/>
      </c>
      <c r="F184">
        <f>IF(AND('Skill Matrix'!A17&lt;&gt;"",'Skill Matrix'!K5&lt;&gt;""),'Skill Matrix'!K5,"")</f>
        <v/>
      </c>
      <c r="G184">
        <f>IF(OR(A184="",'Skill Matrix'!K17=""),"",'Skill Matrix'!K17)</f>
        <v/>
      </c>
      <c r="H184">
        <f>IF(A184="","",'Employees'!F6)</f>
        <v/>
      </c>
    </row>
    <row r="185">
      <c r="A185">
        <f>IF(AND('Skill Matrix'!A17&lt;&gt;"",'Skill Matrix'!L5&lt;&gt;""),'Skill Matrix'!A17,"")</f>
        <v/>
      </c>
      <c r="B185">
        <f>IF(A185="","",'Employees'!C6)</f>
        <v/>
      </c>
      <c r="C185">
        <f>IF(A185="","",'Employees'!D6)</f>
        <v/>
      </c>
      <c r="D185">
        <f>IF(A185="","",'Skill Matrix'!C17)</f>
        <v/>
      </c>
      <c r="E185">
        <f>IF(A185="","",'Skill Matrix'!D17)</f>
        <v/>
      </c>
      <c r="F185">
        <f>IF(AND('Skill Matrix'!A17&lt;&gt;"",'Skill Matrix'!L5&lt;&gt;""),'Skill Matrix'!L5,"")</f>
        <v/>
      </c>
      <c r="G185">
        <f>IF(OR(A185="",'Skill Matrix'!L17=""),"",'Skill Matrix'!L17)</f>
        <v/>
      </c>
      <c r="H185">
        <f>IF(A185="","",'Employees'!F6)</f>
        <v/>
      </c>
    </row>
    <row r="186">
      <c r="A186">
        <f>IF(AND('Skill Matrix'!A17&lt;&gt;"",'Skill Matrix'!M5&lt;&gt;""),'Skill Matrix'!A17,"")</f>
        <v/>
      </c>
      <c r="B186">
        <f>IF(A186="","",'Employees'!C6)</f>
        <v/>
      </c>
      <c r="C186">
        <f>IF(A186="","",'Employees'!D6)</f>
        <v/>
      </c>
      <c r="D186">
        <f>IF(A186="","",'Skill Matrix'!C17)</f>
        <v/>
      </c>
      <c r="E186">
        <f>IF(A186="","",'Skill Matrix'!D17)</f>
        <v/>
      </c>
      <c r="F186">
        <f>IF(AND('Skill Matrix'!A17&lt;&gt;"",'Skill Matrix'!M5&lt;&gt;""),'Skill Matrix'!M5,"")</f>
        <v/>
      </c>
      <c r="G186">
        <f>IF(OR(A186="",'Skill Matrix'!M17=""),"",'Skill Matrix'!M17)</f>
        <v/>
      </c>
      <c r="H186">
        <f>IF(A186="","",'Employees'!F6)</f>
        <v/>
      </c>
    </row>
    <row r="187">
      <c r="A187">
        <f>IF(AND('Skill Matrix'!A17&lt;&gt;"",'Skill Matrix'!N5&lt;&gt;""),'Skill Matrix'!A17,"")</f>
        <v/>
      </c>
      <c r="B187">
        <f>IF(A187="","",'Employees'!C6)</f>
        <v/>
      </c>
      <c r="C187">
        <f>IF(A187="","",'Employees'!D6)</f>
        <v/>
      </c>
      <c r="D187">
        <f>IF(A187="","",'Skill Matrix'!C17)</f>
        <v/>
      </c>
      <c r="E187">
        <f>IF(A187="","",'Skill Matrix'!D17)</f>
        <v/>
      </c>
      <c r="F187">
        <f>IF(AND('Skill Matrix'!A17&lt;&gt;"",'Skill Matrix'!N5&lt;&gt;""),'Skill Matrix'!N5,"")</f>
        <v/>
      </c>
      <c r="G187">
        <f>IF(OR(A187="",'Skill Matrix'!N17=""),"",'Skill Matrix'!N17)</f>
        <v/>
      </c>
      <c r="H187">
        <f>IF(A187="","",'Employees'!F6)</f>
        <v/>
      </c>
    </row>
    <row r="188">
      <c r="A188">
        <f>IF(AND('Skill Matrix'!A17&lt;&gt;"",'Skill Matrix'!O5&lt;&gt;""),'Skill Matrix'!A17,"")</f>
        <v/>
      </c>
      <c r="B188">
        <f>IF(A188="","",'Employees'!C6)</f>
        <v/>
      </c>
      <c r="C188">
        <f>IF(A188="","",'Employees'!D6)</f>
        <v/>
      </c>
      <c r="D188">
        <f>IF(A188="","",'Skill Matrix'!C17)</f>
        <v/>
      </c>
      <c r="E188">
        <f>IF(A188="","",'Skill Matrix'!D17)</f>
        <v/>
      </c>
      <c r="F188">
        <f>IF(AND('Skill Matrix'!A17&lt;&gt;"",'Skill Matrix'!O5&lt;&gt;""),'Skill Matrix'!O5,"")</f>
        <v/>
      </c>
      <c r="G188">
        <f>IF(OR(A188="",'Skill Matrix'!O17=""),"",'Skill Matrix'!O17)</f>
        <v/>
      </c>
      <c r="H188">
        <f>IF(A188="","",'Employees'!F6)</f>
        <v/>
      </c>
    </row>
    <row r="189">
      <c r="A189">
        <f>IF(AND('Skill Matrix'!A17&lt;&gt;"",'Skill Matrix'!P5&lt;&gt;""),'Skill Matrix'!A17,"")</f>
        <v/>
      </c>
      <c r="B189">
        <f>IF(A189="","",'Employees'!C6)</f>
        <v/>
      </c>
      <c r="C189">
        <f>IF(A189="","",'Employees'!D6)</f>
        <v/>
      </c>
      <c r="D189">
        <f>IF(A189="","",'Skill Matrix'!C17)</f>
        <v/>
      </c>
      <c r="E189">
        <f>IF(A189="","",'Skill Matrix'!D17)</f>
        <v/>
      </c>
      <c r="F189">
        <f>IF(AND('Skill Matrix'!A17&lt;&gt;"",'Skill Matrix'!P5&lt;&gt;""),'Skill Matrix'!P5,"")</f>
        <v/>
      </c>
      <c r="G189">
        <f>IF(OR(A189="",'Skill Matrix'!P17=""),"",'Skill Matrix'!P17)</f>
        <v/>
      </c>
      <c r="H189">
        <f>IF(A189="","",'Employees'!F6)</f>
        <v/>
      </c>
    </row>
    <row r="190">
      <c r="A190">
        <f>IF(AND('Skill Matrix'!A17&lt;&gt;"",'Skill Matrix'!Q5&lt;&gt;""),'Skill Matrix'!A17,"")</f>
        <v/>
      </c>
      <c r="B190">
        <f>IF(A190="","",'Employees'!C6)</f>
        <v/>
      </c>
      <c r="C190">
        <f>IF(A190="","",'Employees'!D6)</f>
        <v/>
      </c>
      <c r="D190">
        <f>IF(A190="","",'Skill Matrix'!C17)</f>
        <v/>
      </c>
      <c r="E190">
        <f>IF(A190="","",'Skill Matrix'!D17)</f>
        <v/>
      </c>
      <c r="F190">
        <f>IF(AND('Skill Matrix'!A17&lt;&gt;"",'Skill Matrix'!Q5&lt;&gt;""),'Skill Matrix'!Q5,"")</f>
        <v/>
      </c>
      <c r="G190">
        <f>IF(OR(A190="",'Skill Matrix'!Q17=""),"",'Skill Matrix'!Q17)</f>
        <v/>
      </c>
      <c r="H190">
        <f>IF(A190="","",'Employees'!F6)</f>
        <v/>
      </c>
    </row>
    <row r="191">
      <c r="A191">
        <f>IF(AND('Skill Matrix'!A17&lt;&gt;"",'Skill Matrix'!R5&lt;&gt;""),'Skill Matrix'!A17,"")</f>
        <v/>
      </c>
      <c r="B191">
        <f>IF(A191="","",'Employees'!C6)</f>
        <v/>
      </c>
      <c r="C191">
        <f>IF(A191="","",'Employees'!D6)</f>
        <v/>
      </c>
      <c r="D191">
        <f>IF(A191="","",'Skill Matrix'!C17)</f>
        <v/>
      </c>
      <c r="E191">
        <f>IF(A191="","",'Skill Matrix'!D17)</f>
        <v/>
      </c>
      <c r="F191">
        <f>IF(AND('Skill Matrix'!A17&lt;&gt;"",'Skill Matrix'!R5&lt;&gt;""),'Skill Matrix'!R5,"")</f>
        <v/>
      </c>
      <c r="G191">
        <f>IF(OR(A191="",'Skill Matrix'!R17=""),"",'Skill Matrix'!R17)</f>
        <v/>
      </c>
      <c r="H191">
        <f>IF(A191="","",'Employees'!F6)</f>
        <v/>
      </c>
    </row>
    <row r="192">
      <c r="A192">
        <f>IF(AND('Skill Matrix'!A17&lt;&gt;"",'Skill Matrix'!S5&lt;&gt;""),'Skill Matrix'!A17,"")</f>
        <v/>
      </c>
      <c r="B192">
        <f>IF(A192="","",'Employees'!C6)</f>
        <v/>
      </c>
      <c r="C192">
        <f>IF(A192="","",'Employees'!D6)</f>
        <v/>
      </c>
      <c r="D192">
        <f>IF(A192="","",'Skill Matrix'!C17)</f>
        <v/>
      </c>
      <c r="E192">
        <f>IF(A192="","",'Skill Matrix'!D17)</f>
        <v/>
      </c>
      <c r="F192">
        <f>IF(AND('Skill Matrix'!A17&lt;&gt;"",'Skill Matrix'!S5&lt;&gt;""),'Skill Matrix'!S5,"")</f>
        <v/>
      </c>
      <c r="G192">
        <f>IF(OR(A192="",'Skill Matrix'!S17=""),"",'Skill Matrix'!S17)</f>
        <v/>
      </c>
      <c r="H192">
        <f>IF(A192="","",'Employees'!F6)</f>
        <v/>
      </c>
    </row>
    <row r="193">
      <c r="A193">
        <f>IF(AND('Skill Matrix'!A17&lt;&gt;"",'Skill Matrix'!T5&lt;&gt;""),'Skill Matrix'!A17,"")</f>
        <v/>
      </c>
      <c r="B193">
        <f>IF(A193="","",'Employees'!C6)</f>
        <v/>
      </c>
      <c r="C193">
        <f>IF(A193="","",'Employees'!D6)</f>
        <v/>
      </c>
      <c r="D193">
        <f>IF(A193="","",'Skill Matrix'!C17)</f>
        <v/>
      </c>
      <c r="E193">
        <f>IF(A193="","",'Skill Matrix'!D17)</f>
        <v/>
      </c>
      <c r="F193">
        <f>IF(AND('Skill Matrix'!A17&lt;&gt;"",'Skill Matrix'!T5&lt;&gt;""),'Skill Matrix'!T5,"")</f>
        <v/>
      </c>
      <c r="G193">
        <f>IF(OR(A193="",'Skill Matrix'!T17=""),"",'Skill Matrix'!T17)</f>
        <v/>
      </c>
      <c r="H193">
        <f>IF(A193="","",'Employees'!F6)</f>
        <v/>
      </c>
    </row>
    <row r="194">
      <c r="A194">
        <f>IF(AND('Skill Matrix'!A18&lt;&gt;"",'Skill Matrix'!E5&lt;&gt;""),'Skill Matrix'!A18,"")</f>
        <v/>
      </c>
      <c r="B194">
        <f>IF(A194="","",'Employees'!C6)</f>
        <v/>
      </c>
      <c r="C194">
        <f>IF(A194="","",'Employees'!D6)</f>
        <v/>
      </c>
      <c r="D194">
        <f>IF(A194="","",'Skill Matrix'!C18)</f>
        <v/>
      </c>
      <c r="E194">
        <f>IF(A194="","",'Skill Matrix'!D18)</f>
        <v/>
      </c>
      <c r="F194">
        <f>IF(AND('Skill Matrix'!A18&lt;&gt;"",'Skill Matrix'!E5&lt;&gt;""),'Skill Matrix'!E5,"")</f>
        <v/>
      </c>
      <c r="G194">
        <f>IF(OR(A194="",'Skill Matrix'!E18=""),"",'Skill Matrix'!E18)</f>
        <v/>
      </c>
      <c r="H194">
        <f>IF(A194="","",'Employees'!F6)</f>
        <v/>
      </c>
    </row>
    <row r="195">
      <c r="A195">
        <f>IF(AND('Skill Matrix'!A18&lt;&gt;"",'Skill Matrix'!F5&lt;&gt;""),'Skill Matrix'!A18,"")</f>
        <v/>
      </c>
      <c r="B195">
        <f>IF(A195="","",'Employees'!C6)</f>
        <v/>
      </c>
      <c r="C195">
        <f>IF(A195="","",'Employees'!D6)</f>
        <v/>
      </c>
      <c r="D195">
        <f>IF(A195="","",'Skill Matrix'!C18)</f>
        <v/>
      </c>
      <c r="E195">
        <f>IF(A195="","",'Skill Matrix'!D18)</f>
        <v/>
      </c>
      <c r="F195">
        <f>IF(AND('Skill Matrix'!A18&lt;&gt;"",'Skill Matrix'!F5&lt;&gt;""),'Skill Matrix'!F5,"")</f>
        <v/>
      </c>
      <c r="G195">
        <f>IF(OR(A195="",'Skill Matrix'!F18=""),"",'Skill Matrix'!F18)</f>
        <v/>
      </c>
      <c r="H195">
        <f>IF(A195="","",'Employees'!F6)</f>
        <v/>
      </c>
    </row>
    <row r="196">
      <c r="A196">
        <f>IF(AND('Skill Matrix'!A18&lt;&gt;"",'Skill Matrix'!G5&lt;&gt;""),'Skill Matrix'!A18,"")</f>
        <v/>
      </c>
      <c r="B196">
        <f>IF(A196="","",'Employees'!C6)</f>
        <v/>
      </c>
      <c r="C196">
        <f>IF(A196="","",'Employees'!D6)</f>
        <v/>
      </c>
      <c r="D196">
        <f>IF(A196="","",'Skill Matrix'!C18)</f>
        <v/>
      </c>
      <c r="E196">
        <f>IF(A196="","",'Skill Matrix'!D18)</f>
        <v/>
      </c>
      <c r="F196">
        <f>IF(AND('Skill Matrix'!A18&lt;&gt;"",'Skill Matrix'!G5&lt;&gt;""),'Skill Matrix'!G5,"")</f>
        <v/>
      </c>
      <c r="G196">
        <f>IF(OR(A196="",'Skill Matrix'!G18=""),"",'Skill Matrix'!G18)</f>
        <v/>
      </c>
      <c r="H196">
        <f>IF(A196="","",'Employees'!F6)</f>
        <v/>
      </c>
    </row>
    <row r="197">
      <c r="A197">
        <f>IF(AND('Skill Matrix'!A18&lt;&gt;"",'Skill Matrix'!H5&lt;&gt;""),'Skill Matrix'!A18,"")</f>
        <v/>
      </c>
      <c r="B197">
        <f>IF(A197="","",'Employees'!C6)</f>
        <v/>
      </c>
      <c r="C197">
        <f>IF(A197="","",'Employees'!D6)</f>
        <v/>
      </c>
      <c r="D197">
        <f>IF(A197="","",'Skill Matrix'!C18)</f>
        <v/>
      </c>
      <c r="E197">
        <f>IF(A197="","",'Skill Matrix'!D18)</f>
        <v/>
      </c>
      <c r="F197">
        <f>IF(AND('Skill Matrix'!A18&lt;&gt;"",'Skill Matrix'!H5&lt;&gt;""),'Skill Matrix'!H5,"")</f>
        <v/>
      </c>
      <c r="G197">
        <f>IF(OR(A197="",'Skill Matrix'!H18=""),"",'Skill Matrix'!H18)</f>
        <v/>
      </c>
      <c r="H197">
        <f>IF(A197="","",'Employees'!F6)</f>
        <v/>
      </c>
    </row>
    <row r="198">
      <c r="A198">
        <f>IF(AND('Skill Matrix'!A18&lt;&gt;"",'Skill Matrix'!I5&lt;&gt;""),'Skill Matrix'!A18,"")</f>
        <v/>
      </c>
      <c r="B198">
        <f>IF(A198="","",'Employees'!C6)</f>
        <v/>
      </c>
      <c r="C198">
        <f>IF(A198="","",'Employees'!D6)</f>
        <v/>
      </c>
      <c r="D198">
        <f>IF(A198="","",'Skill Matrix'!C18)</f>
        <v/>
      </c>
      <c r="E198">
        <f>IF(A198="","",'Skill Matrix'!D18)</f>
        <v/>
      </c>
      <c r="F198">
        <f>IF(AND('Skill Matrix'!A18&lt;&gt;"",'Skill Matrix'!I5&lt;&gt;""),'Skill Matrix'!I5,"")</f>
        <v/>
      </c>
      <c r="G198">
        <f>IF(OR(A198="",'Skill Matrix'!I18=""),"",'Skill Matrix'!I18)</f>
        <v/>
      </c>
      <c r="H198">
        <f>IF(A198="","",'Employees'!F6)</f>
        <v/>
      </c>
    </row>
    <row r="199">
      <c r="A199">
        <f>IF(AND('Skill Matrix'!A18&lt;&gt;"",'Skill Matrix'!J5&lt;&gt;""),'Skill Matrix'!A18,"")</f>
        <v/>
      </c>
      <c r="B199">
        <f>IF(A199="","",'Employees'!C6)</f>
        <v/>
      </c>
      <c r="C199">
        <f>IF(A199="","",'Employees'!D6)</f>
        <v/>
      </c>
      <c r="D199">
        <f>IF(A199="","",'Skill Matrix'!C18)</f>
        <v/>
      </c>
      <c r="E199">
        <f>IF(A199="","",'Skill Matrix'!D18)</f>
        <v/>
      </c>
      <c r="F199">
        <f>IF(AND('Skill Matrix'!A18&lt;&gt;"",'Skill Matrix'!J5&lt;&gt;""),'Skill Matrix'!J5,"")</f>
        <v/>
      </c>
      <c r="G199">
        <f>IF(OR(A199="",'Skill Matrix'!J18=""),"",'Skill Matrix'!J18)</f>
        <v/>
      </c>
      <c r="H199">
        <f>IF(A199="","",'Employees'!F6)</f>
        <v/>
      </c>
    </row>
    <row r="200">
      <c r="A200">
        <f>IF(AND('Skill Matrix'!A18&lt;&gt;"",'Skill Matrix'!K5&lt;&gt;""),'Skill Matrix'!A18,"")</f>
        <v/>
      </c>
      <c r="B200">
        <f>IF(A200="","",'Employees'!C6)</f>
        <v/>
      </c>
      <c r="C200">
        <f>IF(A200="","",'Employees'!D6)</f>
        <v/>
      </c>
      <c r="D200">
        <f>IF(A200="","",'Skill Matrix'!C18)</f>
        <v/>
      </c>
      <c r="E200">
        <f>IF(A200="","",'Skill Matrix'!D18)</f>
        <v/>
      </c>
      <c r="F200">
        <f>IF(AND('Skill Matrix'!A18&lt;&gt;"",'Skill Matrix'!K5&lt;&gt;""),'Skill Matrix'!K5,"")</f>
        <v/>
      </c>
      <c r="G200">
        <f>IF(OR(A200="",'Skill Matrix'!K18=""),"",'Skill Matrix'!K18)</f>
        <v/>
      </c>
      <c r="H200">
        <f>IF(A200="","",'Employees'!F6)</f>
        <v/>
      </c>
    </row>
    <row r="201">
      <c r="A201">
        <f>IF(AND('Skill Matrix'!A18&lt;&gt;"",'Skill Matrix'!L5&lt;&gt;""),'Skill Matrix'!A18,"")</f>
        <v/>
      </c>
      <c r="B201">
        <f>IF(A201="","",'Employees'!C6)</f>
        <v/>
      </c>
      <c r="C201">
        <f>IF(A201="","",'Employees'!D6)</f>
        <v/>
      </c>
      <c r="D201">
        <f>IF(A201="","",'Skill Matrix'!C18)</f>
        <v/>
      </c>
      <c r="E201">
        <f>IF(A201="","",'Skill Matrix'!D18)</f>
        <v/>
      </c>
      <c r="F201">
        <f>IF(AND('Skill Matrix'!A18&lt;&gt;"",'Skill Matrix'!L5&lt;&gt;""),'Skill Matrix'!L5,"")</f>
        <v/>
      </c>
      <c r="G201">
        <f>IF(OR(A201="",'Skill Matrix'!L18=""),"",'Skill Matrix'!L18)</f>
        <v/>
      </c>
      <c r="H201">
        <f>IF(A201="","",'Employees'!F6)</f>
        <v/>
      </c>
    </row>
    <row r="202">
      <c r="A202">
        <f>IF(AND('Skill Matrix'!A18&lt;&gt;"",'Skill Matrix'!M5&lt;&gt;""),'Skill Matrix'!A18,"")</f>
        <v/>
      </c>
      <c r="B202">
        <f>IF(A202="","",'Employees'!C6)</f>
        <v/>
      </c>
      <c r="C202">
        <f>IF(A202="","",'Employees'!D6)</f>
        <v/>
      </c>
      <c r="D202">
        <f>IF(A202="","",'Skill Matrix'!C18)</f>
        <v/>
      </c>
      <c r="E202">
        <f>IF(A202="","",'Skill Matrix'!D18)</f>
        <v/>
      </c>
      <c r="F202">
        <f>IF(AND('Skill Matrix'!A18&lt;&gt;"",'Skill Matrix'!M5&lt;&gt;""),'Skill Matrix'!M5,"")</f>
        <v/>
      </c>
      <c r="G202">
        <f>IF(OR(A202="",'Skill Matrix'!M18=""),"",'Skill Matrix'!M18)</f>
        <v/>
      </c>
      <c r="H202">
        <f>IF(A202="","",'Employees'!F6)</f>
        <v/>
      </c>
    </row>
    <row r="203">
      <c r="A203">
        <f>IF(AND('Skill Matrix'!A18&lt;&gt;"",'Skill Matrix'!N5&lt;&gt;""),'Skill Matrix'!A18,"")</f>
        <v/>
      </c>
      <c r="B203">
        <f>IF(A203="","",'Employees'!C6)</f>
        <v/>
      </c>
      <c r="C203">
        <f>IF(A203="","",'Employees'!D6)</f>
        <v/>
      </c>
      <c r="D203">
        <f>IF(A203="","",'Skill Matrix'!C18)</f>
        <v/>
      </c>
      <c r="E203">
        <f>IF(A203="","",'Skill Matrix'!D18)</f>
        <v/>
      </c>
      <c r="F203">
        <f>IF(AND('Skill Matrix'!A18&lt;&gt;"",'Skill Matrix'!N5&lt;&gt;""),'Skill Matrix'!N5,"")</f>
        <v/>
      </c>
      <c r="G203">
        <f>IF(OR(A203="",'Skill Matrix'!N18=""),"",'Skill Matrix'!N18)</f>
        <v/>
      </c>
      <c r="H203">
        <f>IF(A203="","",'Employees'!F6)</f>
        <v/>
      </c>
    </row>
    <row r="204">
      <c r="A204">
        <f>IF(AND('Skill Matrix'!A18&lt;&gt;"",'Skill Matrix'!O5&lt;&gt;""),'Skill Matrix'!A18,"")</f>
        <v/>
      </c>
      <c r="B204">
        <f>IF(A204="","",'Employees'!C6)</f>
        <v/>
      </c>
      <c r="C204">
        <f>IF(A204="","",'Employees'!D6)</f>
        <v/>
      </c>
      <c r="D204">
        <f>IF(A204="","",'Skill Matrix'!C18)</f>
        <v/>
      </c>
      <c r="E204">
        <f>IF(A204="","",'Skill Matrix'!D18)</f>
        <v/>
      </c>
      <c r="F204">
        <f>IF(AND('Skill Matrix'!A18&lt;&gt;"",'Skill Matrix'!O5&lt;&gt;""),'Skill Matrix'!O5,"")</f>
        <v/>
      </c>
      <c r="G204">
        <f>IF(OR(A204="",'Skill Matrix'!O18=""),"",'Skill Matrix'!O18)</f>
        <v/>
      </c>
      <c r="H204">
        <f>IF(A204="","",'Employees'!F6)</f>
        <v/>
      </c>
    </row>
    <row r="205">
      <c r="A205">
        <f>IF(AND('Skill Matrix'!A18&lt;&gt;"",'Skill Matrix'!P5&lt;&gt;""),'Skill Matrix'!A18,"")</f>
        <v/>
      </c>
      <c r="B205">
        <f>IF(A205="","",'Employees'!C6)</f>
        <v/>
      </c>
      <c r="C205">
        <f>IF(A205="","",'Employees'!D6)</f>
        <v/>
      </c>
      <c r="D205">
        <f>IF(A205="","",'Skill Matrix'!C18)</f>
        <v/>
      </c>
      <c r="E205">
        <f>IF(A205="","",'Skill Matrix'!D18)</f>
        <v/>
      </c>
      <c r="F205">
        <f>IF(AND('Skill Matrix'!A18&lt;&gt;"",'Skill Matrix'!P5&lt;&gt;""),'Skill Matrix'!P5,"")</f>
        <v/>
      </c>
      <c r="G205">
        <f>IF(OR(A205="",'Skill Matrix'!P18=""),"",'Skill Matrix'!P18)</f>
        <v/>
      </c>
      <c r="H205">
        <f>IF(A205="","",'Employees'!F6)</f>
        <v/>
      </c>
    </row>
    <row r="206">
      <c r="A206">
        <f>IF(AND('Skill Matrix'!A18&lt;&gt;"",'Skill Matrix'!Q5&lt;&gt;""),'Skill Matrix'!A18,"")</f>
        <v/>
      </c>
      <c r="B206">
        <f>IF(A206="","",'Employees'!C6)</f>
        <v/>
      </c>
      <c r="C206">
        <f>IF(A206="","",'Employees'!D6)</f>
        <v/>
      </c>
      <c r="D206">
        <f>IF(A206="","",'Skill Matrix'!C18)</f>
        <v/>
      </c>
      <c r="E206">
        <f>IF(A206="","",'Skill Matrix'!D18)</f>
        <v/>
      </c>
      <c r="F206">
        <f>IF(AND('Skill Matrix'!A18&lt;&gt;"",'Skill Matrix'!Q5&lt;&gt;""),'Skill Matrix'!Q5,"")</f>
        <v/>
      </c>
      <c r="G206">
        <f>IF(OR(A206="",'Skill Matrix'!Q18=""),"",'Skill Matrix'!Q18)</f>
        <v/>
      </c>
      <c r="H206">
        <f>IF(A206="","",'Employees'!F6)</f>
        <v/>
      </c>
    </row>
    <row r="207">
      <c r="A207">
        <f>IF(AND('Skill Matrix'!A18&lt;&gt;"",'Skill Matrix'!R5&lt;&gt;""),'Skill Matrix'!A18,"")</f>
        <v/>
      </c>
      <c r="B207">
        <f>IF(A207="","",'Employees'!C6)</f>
        <v/>
      </c>
      <c r="C207">
        <f>IF(A207="","",'Employees'!D6)</f>
        <v/>
      </c>
      <c r="D207">
        <f>IF(A207="","",'Skill Matrix'!C18)</f>
        <v/>
      </c>
      <c r="E207">
        <f>IF(A207="","",'Skill Matrix'!D18)</f>
        <v/>
      </c>
      <c r="F207">
        <f>IF(AND('Skill Matrix'!A18&lt;&gt;"",'Skill Matrix'!R5&lt;&gt;""),'Skill Matrix'!R5,"")</f>
        <v/>
      </c>
      <c r="G207">
        <f>IF(OR(A207="",'Skill Matrix'!R18=""),"",'Skill Matrix'!R18)</f>
        <v/>
      </c>
      <c r="H207">
        <f>IF(A207="","",'Employees'!F6)</f>
        <v/>
      </c>
    </row>
    <row r="208">
      <c r="A208">
        <f>IF(AND('Skill Matrix'!A18&lt;&gt;"",'Skill Matrix'!S5&lt;&gt;""),'Skill Matrix'!A18,"")</f>
        <v/>
      </c>
      <c r="B208">
        <f>IF(A208="","",'Employees'!C6)</f>
        <v/>
      </c>
      <c r="C208">
        <f>IF(A208="","",'Employees'!D6)</f>
        <v/>
      </c>
      <c r="D208">
        <f>IF(A208="","",'Skill Matrix'!C18)</f>
        <v/>
      </c>
      <c r="E208">
        <f>IF(A208="","",'Skill Matrix'!D18)</f>
        <v/>
      </c>
      <c r="F208">
        <f>IF(AND('Skill Matrix'!A18&lt;&gt;"",'Skill Matrix'!S5&lt;&gt;""),'Skill Matrix'!S5,"")</f>
        <v/>
      </c>
      <c r="G208">
        <f>IF(OR(A208="",'Skill Matrix'!S18=""),"",'Skill Matrix'!S18)</f>
        <v/>
      </c>
      <c r="H208">
        <f>IF(A208="","",'Employees'!F6)</f>
        <v/>
      </c>
    </row>
    <row r="209">
      <c r="A209">
        <f>IF(AND('Skill Matrix'!A18&lt;&gt;"",'Skill Matrix'!T5&lt;&gt;""),'Skill Matrix'!A18,"")</f>
        <v/>
      </c>
      <c r="B209">
        <f>IF(A209="","",'Employees'!C6)</f>
        <v/>
      </c>
      <c r="C209">
        <f>IF(A209="","",'Employees'!D6)</f>
        <v/>
      </c>
      <c r="D209">
        <f>IF(A209="","",'Skill Matrix'!C18)</f>
        <v/>
      </c>
      <c r="E209">
        <f>IF(A209="","",'Skill Matrix'!D18)</f>
        <v/>
      </c>
      <c r="F209">
        <f>IF(AND('Skill Matrix'!A18&lt;&gt;"",'Skill Matrix'!T5&lt;&gt;""),'Skill Matrix'!T5,"")</f>
        <v/>
      </c>
      <c r="G209">
        <f>IF(OR(A209="",'Skill Matrix'!T18=""),"",'Skill Matrix'!T18)</f>
        <v/>
      </c>
      <c r="H209">
        <f>IF(A209="","",'Employees'!F6)</f>
        <v/>
      </c>
    </row>
    <row r="210">
      <c r="A210">
        <f>IF(AND('Skill Matrix'!A19&lt;&gt;"",'Skill Matrix'!E5&lt;&gt;""),'Skill Matrix'!A19,"")</f>
        <v/>
      </c>
      <c r="B210">
        <f>IF(A210="","",'Employees'!C6)</f>
        <v/>
      </c>
      <c r="C210">
        <f>IF(A210="","",'Employees'!D6)</f>
        <v/>
      </c>
      <c r="D210">
        <f>IF(A210="","",'Skill Matrix'!C19)</f>
        <v/>
      </c>
      <c r="E210">
        <f>IF(A210="","",'Skill Matrix'!D19)</f>
        <v/>
      </c>
      <c r="F210">
        <f>IF(AND('Skill Matrix'!A19&lt;&gt;"",'Skill Matrix'!E5&lt;&gt;""),'Skill Matrix'!E5,"")</f>
        <v/>
      </c>
      <c r="G210">
        <f>IF(OR(A210="",'Skill Matrix'!E19=""),"",'Skill Matrix'!E19)</f>
        <v/>
      </c>
      <c r="H210">
        <f>IF(A210="","",'Employees'!F6)</f>
        <v/>
      </c>
    </row>
    <row r="211">
      <c r="A211">
        <f>IF(AND('Skill Matrix'!A19&lt;&gt;"",'Skill Matrix'!F5&lt;&gt;""),'Skill Matrix'!A19,"")</f>
        <v/>
      </c>
      <c r="B211">
        <f>IF(A211="","",'Employees'!C6)</f>
        <v/>
      </c>
      <c r="C211">
        <f>IF(A211="","",'Employees'!D6)</f>
        <v/>
      </c>
      <c r="D211">
        <f>IF(A211="","",'Skill Matrix'!C19)</f>
        <v/>
      </c>
      <c r="E211">
        <f>IF(A211="","",'Skill Matrix'!D19)</f>
        <v/>
      </c>
      <c r="F211">
        <f>IF(AND('Skill Matrix'!A19&lt;&gt;"",'Skill Matrix'!F5&lt;&gt;""),'Skill Matrix'!F5,"")</f>
        <v/>
      </c>
      <c r="G211">
        <f>IF(OR(A211="",'Skill Matrix'!F19=""),"",'Skill Matrix'!F19)</f>
        <v/>
      </c>
      <c r="H211">
        <f>IF(A211="","",'Employees'!F6)</f>
        <v/>
      </c>
    </row>
    <row r="212">
      <c r="A212">
        <f>IF(AND('Skill Matrix'!A19&lt;&gt;"",'Skill Matrix'!G5&lt;&gt;""),'Skill Matrix'!A19,"")</f>
        <v/>
      </c>
      <c r="B212">
        <f>IF(A212="","",'Employees'!C6)</f>
        <v/>
      </c>
      <c r="C212">
        <f>IF(A212="","",'Employees'!D6)</f>
        <v/>
      </c>
      <c r="D212">
        <f>IF(A212="","",'Skill Matrix'!C19)</f>
        <v/>
      </c>
      <c r="E212">
        <f>IF(A212="","",'Skill Matrix'!D19)</f>
        <v/>
      </c>
      <c r="F212">
        <f>IF(AND('Skill Matrix'!A19&lt;&gt;"",'Skill Matrix'!G5&lt;&gt;""),'Skill Matrix'!G5,"")</f>
        <v/>
      </c>
      <c r="G212">
        <f>IF(OR(A212="",'Skill Matrix'!G19=""),"",'Skill Matrix'!G19)</f>
        <v/>
      </c>
      <c r="H212">
        <f>IF(A212="","",'Employees'!F6)</f>
        <v/>
      </c>
    </row>
    <row r="213">
      <c r="A213">
        <f>IF(AND('Skill Matrix'!A19&lt;&gt;"",'Skill Matrix'!H5&lt;&gt;""),'Skill Matrix'!A19,"")</f>
        <v/>
      </c>
      <c r="B213">
        <f>IF(A213="","",'Employees'!C6)</f>
        <v/>
      </c>
      <c r="C213">
        <f>IF(A213="","",'Employees'!D6)</f>
        <v/>
      </c>
      <c r="D213">
        <f>IF(A213="","",'Skill Matrix'!C19)</f>
        <v/>
      </c>
      <c r="E213">
        <f>IF(A213="","",'Skill Matrix'!D19)</f>
        <v/>
      </c>
      <c r="F213">
        <f>IF(AND('Skill Matrix'!A19&lt;&gt;"",'Skill Matrix'!H5&lt;&gt;""),'Skill Matrix'!H5,"")</f>
        <v/>
      </c>
      <c r="G213">
        <f>IF(OR(A213="",'Skill Matrix'!H19=""),"",'Skill Matrix'!H19)</f>
        <v/>
      </c>
      <c r="H213">
        <f>IF(A213="","",'Employees'!F6)</f>
        <v/>
      </c>
    </row>
    <row r="214">
      <c r="A214">
        <f>IF(AND('Skill Matrix'!A19&lt;&gt;"",'Skill Matrix'!I5&lt;&gt;""),'Skill Matrix'!A19,"")</f>
        <v/>
      </c>
      <c r="B214">
        <f>IF(A214="","",'Employees'!C6)</f>
        <v/>
      </c>
      <c r="C214">
        <f>IF(A214="","",'Employees'!D6)</f>
        <v/>
      </c>
      <c r="D214">
        <f>IF(A214="","",'Skill Matrix'!C19)</f>
        <v/>
      </c>
      <c r="E214">
        <f>IF(A214="","",'Skill Matrix'!D19)</f>
        <v/>
      </c>
      <c r="F214">
        <f>IF(AND('Skill Matrix'!A19&lt;&gt;"",'Skill Matrix'!I5&lt;&gt;""),'Skill Matrix'!I5,"")</f>
        <v/>
      </c>
      <c r="G214">
        <f>IF(OR(A214="",'Skill Matrix'!I19=""),"",'Skill Matrix'!I19)</f>
        <v/>
      </c>
      <c r="H214">
        <f>IF(A214="","",'Employees'!F6)</f>
        <v/>
      </c>
    </row>
    <row r="215">
      <c r="A215">
        <f>IF(AND('Skill Matrix'!A19&lt;&gt;"",'Skill Matrix'!J5&lt;&gt;""),'Skill Matrix'!A19,"")</f>
        <v/>
      </c>
      <c r="B215">
        <f>IF(A215="","",'Employees'!C6)</f>
        <v/>
      </c>
      <c r="C215">
        <f>IF(A215="","",'Employees'!D6)</f>
        <v/>
      </c>
      <c r="D215">
        <f>IF(A215="","",'Skill Matrix'!C19)</f>
        <v/>
      </c>
      <c r="E215">
        <f>IF(A215="","",'Skill Matrix'!D19)</f>
        <v/>
      </c>
      <c r="F215">
        <f>IF(AND('Skill Matrix'!A19&lt;&gt;"",'Skill Matrix'!J5&lt;&gt;""),'Skill Matrix'!J5,"")</f>
        <v/>
      </c>
      <c r="G215">
        <f>IF(OR(A215="",'Skill Matrix'!J19=""),"",'Skill Matrix'!J19)</f>
        <v/>
      </c>
      <c r="H215">
        <f>IF(A215="","",'Employees'!F6)</f>
        <v/>
      </c>
    </row>
    <row r="216">
      <c r="A216">
        <f>IF(AND('Skill Matrix'!A19&lt;&gt;"",'Skill Matrix'!K5&lt;&gt;""),'Skill Matrix'!A19,"")</f>
        <v/>
      </c>
      <c r="B216">
        <f>IF(A216="","",'Employees'!C6)</f>
        <v/>
      </c>
      <c r="C216">
        <f>IF(A216="","",'Employees'!D6)</f>
        <v/>
      </c>
      <c r="D216">
        <f>IF(A216="","",'Skill Matrix'!C19)</f>
        <v/>
      </c>
      <c r="E216">
        <f>IF(A216="","",'Skill Matrix'!D19)</f>
        <v/>
      </c>
      <c r="F216">
        <f>IF(AND('Skill Matrix'!A19&lt;&gt;"",'Skill Matrix'!K5&lt;&gt;""),'Skill Matrix'!K5,"")</f>
        <v/>
      </c>
      <c r="G216">
        <f>IF(OR(A216="",'Skill Matrix'!K19=""),"",'Skill Matrix'!K19)</f>
        <v/>
      </c>
      <c r="H216">
        <f>IF(A216="","",'Employees'!F6)</f>
        <v/>
      </c>
    </row>
    <row r="217">
      <c r="A217">
        <f>IF(AND('Skill Matrix'!A19&lt;&gt;"",'Skill Matrix'!L5&lt;&gt;""),'Skill Matrix'!A19,"")</f>
        <v/>
      </c>
      <c r="B217">
        <f>IF(A217="","",'Employees'!C6)</f>
        <v/>
      </c>
      <c r="C217">
        <f>IF(A217="","",'Employees'!D6)</f>
        <v/>
      </c>
      <c r="D217">
        <f>IF(A217="","",'Skill Matrix'!C19)</f>
        <v/>
      </c>
      <c r="E217">
        <f>IF(A217="","",'Skill Matrix'!D19)</f>
        <v/>
      </c>
      <c r="F217">
        <f>IF(AND('Skill Matrix'!A19&lt;&gt;"",'Skill Matrix'!L5&lt;&gt;""),'Skill Matrix'!L5,"")</f>
        <v/>
      </c>
      <c r="G217">
        <f>IF(OR(A217="",'Skill Matrix'!L19=""),"",'Skill Matrix'!L19)</f>
        <v/>
      </c>
      <c r="H217">
        <f>IF(A217="","",'Employees'!F6)</f>
        <v/>
      </c>
    </row>
    <row r="218">
      <c r="A218">
        <f>IF(AND('Skill Matrix'!A19&lt;&gt;"",'Skill Matrix'!M5&lt;&gt;""),'Skill Matrix'!A19,"")</f>
        <v/>
      </c>
      <c r="B218">
        <f>IF(A218="","",'Employees'!C6)</f>
        <v/>
      </c>
      <c r="C218">
        <f>IF(A218="","",'Employees'!D6)</f>
        <v/>
      </c>
      <c r="D218">
        <f>IF(A218="","",'Skill Matrix'!C19)</f>
        <v/>
      </c>
      <c r="E218">
        <f>IF(A218="","",'Skill Matrix'!D19)</f>
        <v/>
      </c>
      <c r="F218">
        <f>IF(AND('Skill Matrix'!A19&lt;&gt;"",'Skill Matrix'!M5&lt;&gt;""),'Skill Matrix'!M5,"")</f>
        <v/>
      </c>
      <c r="G218">
        <f>IF(OR(A218="",'Skill Matrix'!M19=""),"",'Skill Matrix'!M19)</f>
        <v/>
      </c>
      <c r="H218">
        <f>IF(A218="","",'Employees'!F6)</f>
        <v/>
      </c>
    </row>
    <row r="219">
      <c r="A219">
        <f>IF(AND('Skill Matrix'!A19&lt;&gt;"",'Skill Matrix'!N5&lt;&gt;""),'Skill Matrix'!A19,"")</f>
        <v/>
      </c>
      <c r="B219">
        <f>IF(A219="","",'Employees'!C6)</f>
        <v/>
      </c>
      <c r="C219">
        <f>IF(A219="","",'Employees'!D6)</f>
        <v/>
      </c>
      <c r="D219">
        <f>IF(A219="","",'Skill Matrix'!C19)</f>
        <v/>
      </c>
      <c r="E219">
        <f>IF(A219="","",'Skill Matrix'!D19)</f>
        <v/>
      </c>
      <c r="F219">
        <f>IF(AND('Skill Matrix'!A19&lt;&gt;"",'Skill Matrix'!N5&lt;&gt;""),'Skill Matrix'!N5,"")</f>
        <v/>
      </c>
      <c r="G219">
        <f>IF(OR(A219="",'Skill Matrix'!N19=""),"",'Skill Matrix'!N19)</f>
        <v/>
      </c>
      <c r="H219">
        <f>IF(A219="","",'Employees'!F6)</f>
        <v/>
      </c>
    </row>
    <row r="220">
      <c r="A220">
        <f>IF(AND('Skill Matrix'!A19&lt;&gt;"",'Skill Matrix'!O5&lt;&gt;""),'Skill Matrix'!A19,"")</f>
        <v/>
      </c>
      <c r="B220">
        <f>IF(A220="","",'Employees'!C6)</f>
        <v/>
      </c>
      <c r="C220">
        <f>IF(A220="","",'Employees'!D6)</f>
        <v/>
      </c>
      <c r="D220">
        <f>IF(A220="","",'Skill Matrix'!C19)</f>
        <v/>
      </c>
      <c r="E220">
        <f>IF(A220="","",'Skill Matrix'!D19)</f>
        <v/>
      </c>
      <c r="F220">
        <f>IF(AND('Skill Matrix'!A19&lt;&gt;"",'Skill Matrix'!O5&lt;&gt;""),'Skill Matrix'!O5,"")</f>
        <v/>
      </c>
      <c r="G220">
        <f>IF(OR(A220="",'Skill Matrix'!O19=""),"",'Skill Matrix'!O19)</f>
        <v/>
      </c>
      <c r="H220">
        <f>IF(A220="","",'Employees'!F6)</f>
        <v/>
      </c>
    </row>
    <row r="221">
      <c r="A221">
        <f>IF(AND('Skill Matrix'!A19&lt;&gt;"",'Skill Matrix'!P5&lt;&gt;""),'Skill Matrix'!A19,"")</f>
        <v/>
      </c>
      <c r="B221">
        <f>IF(A221="","",'Employees'!C6)</f>
        <v/>
      </c>
      <c r="C221">
        <f>IF(A221="","",'Employees'!D6)</f>
        <v/>
      </c>
      <c r="D221">
        <f>IF(A221="","",'Skill Matrix'!C19)</f>
        <v/>
      </c>
      <c r="E221">
        <f>IF(A221="","",'Skill Matrix'!D19)</f>
        <v/>
      </c>
      <c r="F221">
        <f>IF(AND('Skill Matrix'!A19&lt;&gt;"",'Skill Matrix'!P5&lt;&gt;""),'Skill Matrix'!P5,"")</f>
        <v/>
      </c>
      <c r="G221">
        <f>IF(OR(A221="",'Skill Matrix'!P19=""),"",'Skill Matrix'!P19)</f>
        <v/>
      </c>
      <c r="H221">
        <f>IF(A221="","",'Employees'!F6)</f>
        <v/>
      </c>
    </row>
    <row r="222">
      <c r="A222">
        <f>IF(AND('Skill Matrix'!A19&lt;&gt;"",'Skill Matrix'!Q5&lt;&gt;""),'Skill Matrix'!A19,"")</f>
        <v/>
      </c>
      <c r="B222">
        <f>IF(A222="","",'Employees'!C6)</f>
        <v/>
      </c>
      <c r="C222">
        <f>IF(A222="","",'Employees'!D6)</f>
        <v/>
      </c>
      <c r="D222">
        <f>IF(A222="","",'Skill Matrix'!C19)</f>
        <v/>
      </c>
      <c r="E222">
        <f>IF(A222="","",'Skill Matrix'!D19)</f>
        <v/>
      </c>
      <c r="F222">
        <f>IF(AND('Skill Matrix'!A19&lt;&gt;"",'Skill Matrix'!Q5&lt;&gt;""),'Skill Matrix'!Q5,"")</f>
        <v/>
      </c>
      <c r="G222">
        <f>IF(OR(A222="",'Skill Matrix'!Q19=""),"",'Skill Matrix'!Q19)</f>
        <v/>
      </c>
      <c r="H222">
        <f>IF(A222="","",'Employees'!F6)</f>
        <v/>
      </c>
    </row>
    <row r="223">
      <c r="A223">
        <f>IF(AND('Skill Matrix'!A19&lt;&gt;"",'Skill Matrix'!R5&lt;&gt;""),'Skill Matrix'!A19,"")</f>
        <v/>
      </c>
      <c r="B223">
        <f>IF(A223="","",'Employees'!C6)</f>
        <v/>
      </c>
      <c r="C223">
        <f>IF(A223="","",'Employees'!D6)</f>
        <v/>
      </c>
      <c r="D223">
        <f>IF(A223="","",'Skill Matrix'!C19)</f>
        <v/>
      </c>
      <c r="E223">
        <f>IF(A223="","",'Skill Matrix'!D19)</f>
        <v/>
      </c>
      <c r="F223">
        <f>IF(AND('Skill Matrix'!A19&lt;&gt;"",'Skill Matrix'!R5&lt;&gt;""),'Skill Matrix'!R5,"")</f>
        <v/>
      </c>
      <c r="G223">
        <f>IF(OR(A223="",'Skill Matrix'!R19=""),"",'Skill Matrix'!R19)</f>
        <v/>
      </c>
      <c r="H223">
        <f>IF(A223="","",'Employees'!F6)</f>
        <v/>
      </c>
    </row>
    <row r="224">
      <c r="A224">
        <f>IF(AND('Skill Matrix'!A19&lt;&gt;"",'Skill Matrix'!S5&lt;&gt;""),'Skill Matrix'!A19,"")</f>
        <v/>
      </c>
      <c r="B224">
        <f>IF(A224="","",'Employees'!C6)</f>
        <v/>
      </c>
      <c r="C224">
        <f>IF(A224="","",'Employees'!D6)</f>
        <v/>
      </c>
      <c r="D224">
        <f>IF(A224="","",'Skill Matrix'!C19)</f>
        <v/>
      </c>
      <c r="E224">
        <f>IF(A224="","",'Skill Matrix'!D19)</f>
        <v/>
      </c>
      <c r="F224">
        <f>IF(AND('Skill Matrix'!A19&lt;&gt;"",'Skill Matrix'!S5&lt;&gt;""),'Skill Matrix'!S5,"")</f>
        <v/>
      </c>
      <c r="G224">
        <f>IF(OR(A224="",'Skill Matrix'!S19=""),"",'Skill Matrix'!S19)</f>
        <v/>
      </c>
      <c r="H224">
        <f>IF(A224="","",'Employees'!F6)</f>
        <v/>
      </c>
    </row>
    <row r="225">
      <c r="A225">
        <f>IF(AND('Skill Matrix'!A19&lt;&gt;"",'Skill Matrix'!T5&lt;&gt;""),'Skill Matrix'!A19,"")</f>
        <v/>
      </c>
      <c r="B225">
        <f>IF(A225="","",'Employees'!C6)</f>
        <v/>
      </c>
      <c r="C225">
        <f>IF(A225="","",'Employees'!D6)</f>
        <v/>
      </c>
      <c r="D225">
        <f>IF(A225="","",'Skill Matrix'!C19)</f>
        <v/>
      </c>
      <c r="E225">
        <f>IF(A225="","",'Skill Matrix'!D19)</f>
        <v/>
      </c>
      <c r="F225">
        <f>IF(AND('Skill Matrix'!A19&lt;&gt;"",'Skill Matrix'!T5&lt;&gt;""),'Skill Matrix'!T5,"")</f>
        <v/>
      </c>
      <c r="G225">
        <f>IF(OR(A225="",'Skill Matrix'!T19=""),"",'Skill Matrix'!T19)</f>
        <v/>
      </c>
      <c r="H225">
        <f>IF(A225="","",'Employees'!F6)</f>
        <v/>
      </c>
    </row>
    <row r="226">
      <c r="A226">
        <f>IF(AND('Skill Matrix'!A20&lt;&gt;"",'Skill Matrix'!E5&lt;&gt;""),'Skill Matrix'!A20,"")</f>
        <v/>
      </c>
      <c r="B226">
        <f>IF(A226="","",'Employees'!C6)</f>
        <v/>
      </c>
      <c r="C226">
        <f>IF(A226="","",'Employees'!D6)</f>
        <v/>
      </c>
      <c r="D226">
        <f>IF(A226="","",'Skill Matrix'!C20)</f>
        <v/>
      </c>
      <c r="E226">
        <f>IF(A226="","",'Skill Matrix'!D20)</f>
        <v/>
      </c>
      <c r="F226">
        <f>IF(AND('Skill Matrix'!A20&lt;&gt;"",'Skill Matrix'!E5&lt;&gt;""),'Skill Matrix'!E5,"")</f>
        <v/>
      </c>
      <c r="G226">
        <f>IF(OR(A226="",'Skill Matrix'!E20=""),"",'Skill Matrix'!E20)</f>
        <v/>
      </c>
      <c r="H226">
        <f>IF(A226="","",'Employees'!F6)</f>
        <v/>
      </c>
    </row>
    <row r="227">
      <c r="A227">
        <f>IF(AND('Skill Matrix'!A20&lt;&gt;"",'Skill Matrix'!F5&lt;&gt;""),'Skill Matrix'!A20,"")</f>
        <v/>
      </c>
      <c r="B227">
        <f>IF(A227="","",'Employees'!C6)</f>
        <v/>
      </c>
      <c r="C227">
        <f>IF(A227="","",'Employees'!D6)</f>
        <v/>
      </c>
      <c r="D227">
        <f>IF(A227="","",'Skill Matrix'!C20)</f>
        <v/>
      </c>
      <c r="E227">
        <f>IF(A227="","",'Skill Matrix'!D20)</f>
        <v/>
      </c>
      <c r="F227">
        <f>IF(AND('Skill Matrix'!A20&lt;&gt;"",'Skill Matrix'!F5&lt;&gt;""),'Skill Matrix'!F5,"")</f>
        <v/>
      </c>
      <c r="G227">
        <f>IF(OR(A227="",'Skill Matrix'!F20=""),"",'Skill Matrix'!F20)</f>
        <v/>
      </c>
      <c r="H227">
        <f>IF(A227="","",'Employees'!F6)</f>
        <v/>
      </c>
    </row>
    <row r="228">
      <c r="A228">
        <f>IF(AND('Skill Matrix'!A20&lt;&gt;"",'Skill Matrix'!G5&lt;&gt;""),'Skill Matrix'!A20,"")</f>
        <v/>
      </c>
      <c r="B228">
        <f>IF(A228="","",'Employees'!C6)</f>
        <v/>
      </c>
      <c r="C228">
        <f>IF(A228="","",'Employees'!D6)</f>
        <v/>
      </c>
      <c r="D228">
        <f>IF(A228="","",'Skill Matrix'!C20)</f>
        <v/>
      </c>
      <c r="E228">
        <f>IF(A228="","",'Skill Matrix'!D20)</f>
        <v/>
      </c>
      <c r="F228">
        <f>IF(AND('Skill Matrix'!A20&lt;&gt;"",'Skill Matrix'!G5&lt;&gt;""),'Skill Matrix'!G5,"")</f>
        <v/>
      </c>
      <c r="G228">
        <f>IF(OR(A228="",'Skill Matrix'!G20=""),"",'Skill Matrix'!G20)</f>
        <v/>
      </c>
      <c r="H228">
        <f>IF(A228="","",'Employees'!F6)</f>
        <v/>
      </c>
    </row>
    <row r="229">
      <c r="A229">
        <f>IF(AND('Skill Matrix'!A20&lt;&gt;"",'Skill Matrix'!H5&lt;&gt;""),'Skill Matrix'!A20,"")</f>
        <v/>
      </c>
      <c r="B229">
        <f>IF(A229="","",'Employees'!C6)</f>
        <v/>
      </c>
      <c r="C229">
        <f>IF(A229="","",'Employees'!D6)</f>
        <v/>
      </c>
      <c r="D229">
        <f>IF(A229="","",'Skill Matrix'!C20)</f>
        <v/>
      </c>
      <c r="E229">
        <f>IF(A229="","",'Skill Matrix'!D20)</f>
        <v/>
      </c>
      <c r="F229">
        <f>IF(AND('Skill Matrix'!A20&lt;&gt;"",'Skill Matrix'!H5&lt;&gt;""),'Skill Matrix'!H5,"")</f>
        <v/>
      </c>
      <c r="G229">
        <f>IF(OR(A229="",'Skill Matrix'!H20=""),"",'Skill Matrix'!H20)</f>
        <v/>
      </c>
      <c r="H229">
        <f>IF(A229="","",'Employees'!F6)</f>
        <v/>
      </c>
    </row>
    <row r="230">
      <c r="A230">
        <f>IF(AND('Skill Matrix'!A20&lt;&gt;"",'Skill Matrix'!I5&lt;&gt;""),'Skill Matrix'!A20,"")</f>
        <v/>
      </c>
      <c r="B230">
        <f>IF(A230="","",'Employees'!C6)</f>
        <v/>
      </c>
      <c r="C230">
        <f>IF(A230="","",'Employees'!D6)</f>
        <v/>
      </c>
      <c r="D230">
        <f>IF(A230="","",'Skill Matrix'!C20)</f>
        <v/>
      </c>
      <c r="E230">
        <f>IF(A230="","",'Skill Matrix'!D20)</f>
        <v/>
      </c>
      <c r="F230">
        <f>IF(AND('Skill Matrix'!A20&lt;&gt;"",'Skill Matrix'!I5&lt;&gt;""),'Skill Matrix'!I5,"")</f>
        <v/>
      </c>
      <c r="G230">
        <f>IF(OR(A230="",'Skill Matrix'!I20=""),"",'Skill Matrix'!I20)</f>
        <v/>
      </c>
      <c r="H230">
        <f>IF(A230="","",'Employees'!F6)</f>
        <v/>
      </c>
    </row>
    <row r="231">
      <c r="A231">
        <f>IF(AND('Skill Matrix'!A20&lt;&gt;"",'Skill Matrix'!J5&lt;&gt;""),'Skill Matrix'!A20,"")</f>
        <v/>
      </c>
      <c r="B231">
        <f>IF(A231="","",'Employees'!C6)</f>
        <v/>
      </c>
      <c r="C231">
        <f>IF(A231="","",'Employees'!D6)</f>
        <v/>
      </c>
      <c r="D231">
        <f>IF(A231="","",'Skill Matrix'!C20)</f>
        <v/>
      </c>
      <c r="E231">
        <f>IF(A231="","",'Skill Matrix'!D20)</f>
        <v/>
      </c>
      <c r="F231">
        <f>IF(AND('Skill Matrix'!A20&lt;&gt;"",'Skill Matrix'!J5&lt;&gt;""),'Skill Matrix'!J5,"")</f>
        <v/>
      </c>
      <c r="G231">
        <f>IF(OR(A231="",'Skill Matrix'!J20=""),"",'Skill Matrix'!J20)</f>
        <v/>
      </c>
      <c r="H231">
        <f>IF(A231="","",'Employees'!F6)</f>
        <v/>
      </c>
    </row>
    <row r="232">
      <c r="A232">
        <f>IF(AND('Skill Matrix'!A20&lt;&gt;"",'Skill Matrix'!K5&lt;&gt;""),'Skill Matrix'!A20,"")</f>
        <v/>
      </c>
      <c r="B232">
        <f>IF(A232="","",'Employees'!C6)</f>
        <v/>
      </c>
      <c r="C232">
        <f>IF(A232="","",'Employees'!D6)</f>
        <v/>
      </c>
      <c r="D232">
        <f>IF(A232="","",'Skill Matrix'!C20)</f>
        <v/>
      </c>
      <c r="E232">
        <f>IF(A232="","",'Skill Matrix'!D20)</f>
        <v/>
      </c>
      <c r="F232">
        <f>IF(AND('Skill Matrix'!A20&lt;&gt;"",'Skill Matrix'!K5&lt;&gt;""),'Skill Matrix'!K5,"")</f>
        <v/>
      </c>
      <c r="G232">
        <f>IF(OR(A232="",'Skill Matrix'!K20=""),"",'Skill Matrix'!K20)</f>
        <v/>
      </c>
      <c r="H232">
        <f>IF(A232="","",'Employees'!F6)</f>
        <v/>
      </c>
    </row>
    <row r="233">
      <c r="A233">
        <f>IF(AND('Skill Matrix'!A20&lt;&gt;"",'Skill Matrix'!L5&lt;&gt;""),'Skill Matrix'!A20,"")</f>
        <v/>
      </c>
      <c r="B233">
        <f>IF(A233="","",'Employees'!C6)</f>
        <v/>
      </c>
      <c r="C233">
        <f>IF(A233="","",'Employees'!D6)</f>
        <v/>
      </c>
      <c r="D233">
        <f>IF(A233="","",'Skill Matrix'!C20)</f>
        <v/>
      </c>
      <c r="E233">
        <f>IF(A233="","",'Skill Matrix'!D20)</f>
        <v/>
      </c>
      <c r="F233">
        <f>IF(AND('Skill Matrix'!A20&lt;&gt;"",'Skill Matrix'!L5&lt;&gt;""),'Skill Matrix'!L5,"")</f>
        <v/>
      </c>
      <c r="G233">
        <f>IF(OR(A233="",'Skill Matrix'!L20=""),"",'Skill Matrix'!L20)</f>
        <v/>
      </c>
      <c r="H233">
        <f>IF(A233="","",'Employees'!F6)</f>
        <v/>
      </c>
    </row>
    <row r="234">
      <c r="A234">
        <f>IF(AND('Skill Matrix'!A20&lt;&gt;"",'Skill Matrix'!M5&lt;&gt;""),'Skill Matrix'!A20,"")</f>
        <v/>
      </c>
      <c r="B234">
        <f>IF(A234="","",'Employees'!C6)</f>
        <v/>
      </c>
      <c r="C234">
        <f>IF(A234="","",'Employees'!D6)</f>
        <v/>
      </c>
      <c r="D234">
        <f>IF(A234="","",'Skill Matrix'!C20)</f>
        <v/>
      </c>
      <c r="E234">
        <f>IF(A234="","",'Skill Matrix'!D20)</f>
        <v/>
      </c>
      <c r="F234">
        <f>IF(AND('Skill Matrix'!A20&lt;&gt;"",'Skill Matrix'!M5&lt;&gt;""),'Skill Matrix'!M5,"")</f>
        <v/>
      </c>
      <c r="G234">
        <f>IF(OR(A234="",'Skill Matrix'!M20=""),"",'Skill Matrix'!M20)</f>
        <v/>
      </c>
      <c r="H234">
        <f>IF(A234="","",'Employees'!F6)</f>
        <v/>
      </c>
    </row>
    <row r="235">
      <c r="A235">
        <f>IF(AND('Skill Matrix'!A20&lt;&gt;"",'Skill Matrix'!N5&lt;&gt;""),'Skill Matrix'!A20,"")</f>
        <v/>
      </c>
      <c r="B235">
        <f>IF(A235="","",'Employees'!C6)</f>
        <v/>
      </c>
      <c r="C235">
        <f>IF(A235="","",'Employees'!D6)</f>
        <v/>
      </c>
      <c r="D235">
        <f>IF(A235="","",'Skill Matrix'!C20)</f>
        <v/>
      </c>
      <c r="E235">
        <f>IF(A235="","",'Skill Matrix'!D20)</f>
        <v/>
      </c>
      <c r="F235">
        <f>IF(AND('Skill Matrix'!A20&lt;&gt;"",'Skill Matrix'!N5&lt;&gt;""),'Skill Matrix'!N5,"")</f>
        <v/>
      </c>
      <c r="G235">
        <f>IF(OR(A235="",'Skill Matrix'!N20=""),"",'Skill Matrix'!N20)</f>
        <v/>
      </c>
      <c r="H235">
        <f>IF(A235="","",'Employees'!F6)</f>
        <v/>
      </c>
    </row>
    <row r="236">
      <c r="A236">
        <f>IF(AND('Skill Matrix'!A20&lt;&gt;"",'Skill Matrix'!O5&lt;&gt;""),'Skill Matrix'!A20,"")</f>
        <v/>
      </c>
      <c r="B236">
        <f>IF(A236="","",'Employees'!C6)</f>
        <v/>
      </c>
      <c r="C236">
        <f>IF(A236="","",'Employees'!D6)</f>
        <v/>
      </c>
      <c r="D236">
        <f>IF(A236="","",'Skill Matrix'!C20)</f>
        <v/>
      </c>
      <c r="E236">
        <f>IF(A236="","",'Skill Matrix'!D20)</f>
        <v/>
      </c>
      <c r="F236">
        <f>IF(AND('Skill Matrix'!A20&lt;&gt;"",'Skill Matrix'!O5&lt;&gt;""),'Skill Matrix'!O5,"")</f>
        <v/>
      </c>
      <c r="G236">
        <f>IF(OR(A236="",'Skill Matrix'!O20=""),"",'Skill Matrix'!O20)</f>
        <v/>
      </c>
      <c r="H236">
        <f>IF(A236="","",'Employees'!F6)</f>
        <v/>
      </c>
    </row>
    <row r="237">
      <c r="A237">
        <f>IF(AND('Skill Matrix'!A20&lt;&gt;"",'Skill Matrix'!P5&lt;&gt;""),'Skill Matrix'!A20,"")</f>
        <v/>
      </c>
      <c r="B237">
        <f>IF(A237="","",'Employees'!C6)</f>
        <v/>
      </c>
      <c r="C237">
        <f>IF(A237="","",'Employees'!D6)</f>
        <v/>
      </c>
      <c r="D237">
        <f>IF(A237="","",'Skill Matrix'!C20)</f>
        <v/>
      </c>
      <c r="E237">
        <f>IF(A237="","",'Skill Matrix'!D20)</f>
        <v/>
      </c>
      <c r="F237">
        <f>IF(AND('Skill Matrix'!A20&lt;&gt;"",'Skill Matrix'!P5&lt;&gt;""),'Skill Matrix'!P5,"")</f>
        <v/>
      </c>
      <c r="G237">
        <f>IF(OR(A237="",'Skill Matrix'!P20=""),"",'Skill Matrix'!P20)</f>
        <v/>
      </c>
      <c r="H237">
        <f>IF(A237="","",'Employees'!F6)</f>
        <v/>
      </c>
    </row>
    <row r="238">
      <c r="A238">
        <f>IF(AND('Skill Matrix'!A20&lt;&gt;"",'Skill Matrix'!Q5&lt;&gt;""),'Skill Matrix'!A20,"")</f>
        <v/>
      </c>
      <c r="B238">
        <f>IF(A238="","",'Employees'!C6)</f>
        <v/>
      </c>
      <c r="C238">
        <f>IF(A238="","",'Employees'!D6)</f>
        <v/>
      </c>
      <c r="D238">
        <f>IF(A238="","",'Skill Matrix'!C20)</f>
        <v/>
      </c>
      <c r="E238">
        <f>IF(A238="","",'Skill Matrix'!D20)</f>
        <v/>
      </c>
      <c r="F238">
        <f>IF(AND('Skill Matrix'!A20&lt;&gt;"",'Skill Matrix'!Q5&lt;&gt;""),'Skill Matrix'!Q5,"")</f>
        <v/>
      </c>
      <c r="G238">
        <f>IF(OR(A238="",'Skill Matrix'!Q20=""),"",'Skill Matrix'!Q20)</f>
        <v/>
      </c>
      <c r="H238">
        <f>IF(A238="","",'Employees'!F6)</f>
        <v/>
      </c>
    </row>
    <row r="239">
      <c r="A239">
        <f>IF(AND('Skill Matrix'!A20&lt;&gt;"",'Skill Matrix'!R5&lt;&gt;""),'Skill Matrix'!A20,"")</f>
        <v/>
      </c>
      <c r="B239">
        <f>IF(A239="","",'Employees'!C6)</f>
        <v/>
      </c>
      <c r="C239">
        <f>IF(A239="","",'Employees'!D6)</f>
        <v/>
      </c>
      <c r="D239">
        <f>IF(A239="","",'Skill Matrix'!C20)</f>
        <v/>
      </c>
      <c r="E239">
        <f>IF(A239="","",'Skill Matrix'!D20)</f>
        <v/>
      </c>
      <c r="F239">
        <f>IF(AND('Skill Matrix'!A20&lt;&gt;"",'Skill Matrix'!R5&lt;&gt;""),'Skill Matrix'!R5,"")</f>
        <v/>
      </c>
      <c r="G239">
        <f>IF(OR(A239="",'Skill Matrix'!R20=""),"",'Skill Matrix'!R20)</f>
        <v/>
      </c>
      <c r="H239">
        <f>IF(A239="","",'Employees'!F6)</f>
        <v/>
      </c>
    </row>
    <row r="240">
      <c r="A240">
        <f>IF(AND('Skill Matrix'!A20&lt;&gt;"",'Skill Matrix'!S5&lt;&gt;""),'Skill Matrix'!A20,"")</f>
        <v/>
      </c>
      <c r="B240">
        <f>IF(A240="","",'Employees'!C6)</f>
        <v/>
      </c>
      <c r="C240">
        <f>IF(A240="","",'Employees'!D6)</f>
        <v/>
      </c>
      <c r="D240">
        <f>IF(A240="","",'Skill Matrix'!C20)</f>
        <v/>
      </c>
      <c r="E240">
        <f>IF(A240="","",'Skill Matrix'!D20)</f>
        <v/>
      </c>
      <c r="F240">
        <f>IF(AND('Skill Matrix'!A20&lt;&gt;"",'Skill Matrix'!S5&lt;&gt;""),'Skill Matrix'!S5,"")</f>
        <v/>
      </c>
      <c r="G240">
        <f>IF(OR(A240="",'Skill Matrix'!S20=""),"",'Skill Matrix'!S20)</f>
        <v/>
      </c>
      <c r="H240">
        <f>IF(A240="","",'Employees'!F6)</f>
        <v/>
      </c>
    </row>
    <row r="241">
      <c r="A241">
        <f>IF(AND('Skill Matrix'!A20&lt;&gt;"",'Skill Matrix'!T5&lt;&gt;""),'Skill Matrix'!A20,"")</f>
        <v/>
      </c>
      <c r="B241">
        <f>IF(A241="","",'Employees'!C6)</f>
        <v/>
      </c>
      <c r="C241">
        <f>IF(A241="","",'Employees'!D6)</f>
        <v/>
      </c>
      <c r="D241">
        <f>IF(A241="","",'Skill Matrix'!C20)</f>
        <v/>
      </c>
      <c r="E241">
        <f>IF(A241="","",'Skill Matrix'!D20)</f>
        <v/>
      </c>
      <c r="F241">
        <f>IF(AND('Skill Matrix'!A20&lt;&gt;"",'Skill Matrix'!T5&lt;&gt;""),'Skill Matrix'!T5,"")</f>
        <v/>
      </c>
      <c r="G241">
        <f>IF(OR(A241="",'Skill Matrix'!T20=""),"",'Skill Matrix'!T20)</f>
        <v/>
      </c>
      <c r="H241">
        <f>IF(A241="","",'Employees'!F6)</f>
        <v/>
      </c>
    </row>
    <row r="242">
      <c r="A242">
        <f>IF(AND('Skill Matrix'!A21&lt;&gt;"",'Skill Matrix'!E5&lt;&gt;""),'Skill Matrix'!A21,"")</f>
        <v/>
      </c>
      <c r="B242">
        <f>IF(A242="","",'Employees'!C6)</f>
        <v/>
      </c>
      <c r="C242">
        <f>IF(A242="","",'Employees'!D6)</f>
        <v/>
      </c>
      <c r="D242">
        <f>IF(A242="","",'Skill Matrix'!C21)</f>
        <v/>
      </c>
      <c r="E242">
        <f>IF(A242="","",'Skill Matrix'!D21)</f>
        <v/>
      </c>
      <c r="F242">
        <f>IF(AND('Skill Matrix'!A21&lt;&gt;"",'Skill Matrix'!E5&lt;&gt;""),'Skill Matrix'!E5,"")</f>
        <v/>
      </c>
      <c r="G242">
        <f>IF(OR(A242="",'Skill Matrix'!E21=""),"",'Skill Matrix'!E21)</f>
        <v/>
      </c>
      <c r="H242">
        <f>IF(A242="","",'Employees'!F6)</f>
        <v/>
      </c>
    </row>
    <row r="243">
      <c r="A243">
        <f>IF(AND('Skill Matrix'!A21&lt;&gt;"",'Skill Matrix'!F5&lt;&gt;""),'Skill Matrix'!A21,"")</f>
        <v/>
      </c>
      <c r="B243">
        <f>IF(A243="","",'Employees'!C6)</f>
        <v/>
      </c>
      <c r="C243">
        <f>IF(A243="","",'Employees'!D6)</f>
        <v/>
      </c>
      <c r="D243">
        <f>IF(A243="","",'Skill Matrix'!C21)</f>
        <v/>
      </c>
      <c r="E243">
        <f>IF(A243="","",'Skill Matrix'!D21)</f>
        <v/>
      </c>
      <c r="F243">
        <f>IF(AND('Skill Matrix'!A21&lt;&gt;"",'Skill Matrix'!F5&lt;&gt;""),'Skill Matrix'!F5,"")</f>
        <v/>
      </c>
      <c r="G243">
        <f>IF(OR(A243="",'Skill Matrix'!F21=""),"",'Skill Matrix'!F21)</f>
        <v/>
      </c>
      <c r="H243">
        <f>IF(A243="","",'Employees'!F6)</f>
        <v/>
      </c>
    </row>
    <row r="244">
      <c r="A244">
        <f>IF(AND('Skill Matrix'!A21&lt;&gt;"",'Skill Matrix'!G5&lt;&gt;""),'Skill Matrix'!A21,"")</f>
        <v/>
      </c>
      <c r="B244">
        <f>IF(A244="","",'Employees'!C6)</f>
        <v/>
      </c>
      <c r="C244">
        <f>IF(A244="","",'Employees'!D6)</f>
        <v/>
      </c>
      <c r="D244">
        <f>IF(A244="","",'Skill Matrix'!C21)</f>
        <v/>
      </c>
      <c r="E244">
        <f>IF(A244="","",'Skill Matrix'!D21)</f>
        <v/>
      </c>
      <c r="F244">
        <f>IF(AND('Skill Matrix'!A21&lt;&gt;"",'Skill Matrix'!G5&lt;&gt;""),'Skill Matrix'!G5,"")</f>
        <v/>
      </c>
      <c r="G244">
        <f>IF(OR(A244="",'Skill Matrix'!G21=""),"",'Skill Matrix'!G21)</f>
        <v/>
      </c>
      <c r="H244">
        <f>IF(A244="","",'Employees'!F6)</f>
        <v/>
      </c>
    </row>
    <row r="245">
      <c r="A245">
        <f>IF(AND('Skill Matrix'!A21&lt;&gt;"",'Skill Matrix'!H5&lt;&gt;""),'Skill Matrix'!A21,"")</f>
        <v/>
      </c>
      <c r="B245">
        <f>IF(A245="","",'Employees'!C6)</f>
        <v/>
      </c>
      <c r="C245">
        <f>IF(A245="","",'Employees'!D6)</f>
        <v/>
      </c>
      <c r="D245">
        <f>IF(A245="","",'Skill Matrix'!C21)</f>
        <v/>
      </c>
      <c r="E245">
        <f>IF(A245="","",'Skill Matrix'!D21)</f>
        <v/>
      </c>
      <c r="F245">
        <f>IF(AND('Skill Matrix'!A21&lt;&gt;"",'Skill Matrix'!H5&lt;&gt;""),'Skill Matrix'!H5,"")</f>
        <v/>
      </c>
      <c r="G245">
        <f>IF(OR(A245="",'Skill Matrix'!H21=""),"",'Skill Matrix'!H21)</f>
        <v/>
      </c>
      <c r="H245">
        <f>IF(A245="","",'Employees'!F6)</f>
        <v/>
      </c>
    </row>
    <row r="246">
      <c r="A246">
        <f>IF(AND('Skill Matrix'!A21&lt;&gt;"",'Skill Matrix'!I5&lt;&gt;""),'Skill Matrix'!A21,"")</f>
        <v/>
      </c>
      <c r="B246">
        <f>IF(A246="","",'Employees'!C6)</f>
        <v/>
      </c>
      <c r="C246">
        <f>IF(A246="","",'Employees'!D6)</f>
        <v/>
      </c>
      <c r="D246">
        <f>IF(A246="","",'Skill Matrix'!C21)</f>
        <v/>
      </c>
      <c r="E246">
        <f>IF(A246="","",'Skill Matrix'!D21)</f>
        <v/>
      </c>
      <c r="F246">
        <f>IF(AND('Skill Matrix'!A21&lt;&gt;"",'Skill Matrix'!I5&lt;&gt;""),'Skill Matrix'!I5,"")</f>
        <v/>
      </c>
      <c r="G246">
        <f>IF(OR(A246="",'Skill Matrix'!I21=""),"",'Skill Matrix'!I21)</f>
        <v/>
      </c>
      <c r="H246">
        <f>IF(A246="","",'Employees'!F6)</f>
        <v/>
      </c>
    </row>
    <row r="247">
      <c r="A247">
        <f>IF(AND('Skill Matrix'!A21&lt;&gt;"",'Skill Matrix'!J5&lt;&gt;""),'Skill Matrix'!A21,"")</f>
        <v/>
      </c>
      <c r="B247">
        <f>IF(A247="","",'Employees'!C6)</f>
        <v/>
      </c>
      <c r="C247">
        <f>IF(A247="","",'Employees'!D6)</f>
        <v/>
      </c>
      <c r="D247">
        <f>IF(A247="","",'Skill Matrix'!C21)</f>
        <v/>
      </c>
      <c r="E247">
        <f>IF(A247="","",'Skill Matrix'!D21)</f>
        <v/>
      </c>
      <c r="F247">
        <f>IF(AND('Skill Matrix'!A21&lt;&gt;"",'Skill Matrix'!J5&lt;&gt;""),'Skill Matrix'!J5,"")</f>
        <v/>
      </c>
      <c r="G247">
        <f>IF(OR(A247="",'Skill Matrix'!J21=""),"",'Skill Matrix'!J21)</f>
        <v/>
      </c>
      <c r="H247">
        <f>IF(A247="","",'Employees'!F6)</f>
        <v/>
      </c>
    </row>
    <row r="248">
      <c r="A248">
        <f>IF(AND('Skill Matrix'!A21&lt;&gt;"",'Skill Matrix'!K5&lt;&gt;""),'Skill Matrix'!A21,"")</f>
        <v/>
      </c>
      <c r="B248">
        <f>IF(A248="","",'Employees'!C6)</f>
        <v/>
      </c>
      <c r="C248">
        <f>IF(A248="","",'Employees'!D6)</f>
        <v/>
      </c>
      <c r="D248">
        <f>IF(A248="","",'Skill Matrix'!C21)</f>
        <v/>
      </c>
      <c r="E248">
        <f>IF(A248="","",'Skill Matrix'!D21)</f>
        <v/>
      </c>
      <c r="F248">
        <f>IF(AND('Skill Matrix'!A21&lt;&gt;"",'Skill Matrix'!K5&lt;&gt;""),'Skill Matrix'!K5,"")</f>
        <v/>
      </c>
      <c r="G248">
        <f>IF(OR(A248="",'Skill Matrix'!K21=""),"",'Skill Matrix'!K21)</f>
        <v/>
      </c>
      <c r="H248">
        <f>IF(A248="","",'Employees'!F6)</f>
        <v/>
      </c>
    </row>
    <row r="249">
      <c r="A249">
        <f>IF(AND('Skill Matrix'!A21&lt;&gt;"",'Skill Matrix'!L5&lt;&gt;""),'Skill Matrix'!A21,"")</f>
        <v/>
      </c>
      <c r="B249">
        <f>IF(A249="","",'Employees'!C6)</f>
        <v/>
      </c>
      <c r="C249">
        <f>IF(A249="","",'Employees'!D6)</f>
        <v/>
      </c>
      <c r="D249">
        <f>IF(A249="","",'Skill Matrix'!C21)</f>
        <v/>
      </c>
      <c r="E249">
        <f>IF(A249="","",'Skill Matrix'!D21)</f>
        <v/>
      </c>
      <c r="F249">
        <f>IF(AND('Skill Matrix'!A21&lt;&gt;"",'Skill Matrix'!L5&lt;&gt;""),'Skill Matrix'!L5,"")</f>
        <v/>
      </c>
      <c r="G249">
        <f>IF(OR(A249="",'Skill Matrix'!L21=""),"",'Skill Matrix'!L21)</f>
        <v/>
      </c>
      <c r="H249">
        <f>IF(A249="","",'Employees'!F6)</f>
        <v/>
      </c>
    </row>
    <row r="250">
      <c r="A250">
        <f>IF(AND('Skill Matrix'!A21&lt;&gt;"",'Skill Matrix'!M5&lt;&gt;""),'Skill Matrix'!A21,"")</f>
        <v/>
      </c>
      <c r="B250">
        <f>IF(A250="","",'Employees'!C6)</f>
        <v/>
      </c>
      <c r="C250">
        <f>IF(A250="","",'Employees'!D6)</f>
        <v/>
      </c>
      <c r="D250">
        <f>IF(A250="","",'Skill Matrix'!C21)</f>
        <v/>
      </c>
      <c r="E250">
        <f>IF(A250="","",'Skill Matrix'!D21)</f>
        <v/>
      </c>
      <c r="F250">
        <f>IF(AND('Skill Matrix'!A21&lt;&gt;"",'Skill Matrix'!M5&lt;&gt;""),'Skill Matrix'!M5,"")</f>
        <v/>
      </c>
      <c r="G250">
        <f>IF(OR(A250="",'Skill Matrix'!M21=""),"",'Skill Matrix'!M21)</f>
        <v/>
      </c>
      <c r="H250">
        <f>IF(A250="","",'Employees'!F6)</f>
        <v/>
      </c>
    </row>
    <row r="251">
      <c r="A251">
        <f>IF(AND('Skill Matrix'!A21&lt;&gt;"",'Skill Matrix'!N5&lt;&gt;""),'Skill Matrix'!A21,"")</f>
        <v/>
      </c>
      <c r="B251">
        <f>IF(A251="","",'Employees'!C6)</f>
        <v/>
      </c>
      <c r="C251">
        <f>IF(A251="","",'Employees'!D6)</f>
        <v/>
      </c>
      <c r="D251">
        <f>IF(A251="","",'Skill Matrix'!C21)</f>
        <v/>
      </c>
      <c r="E251">
        <f>IF(A251="","",'Skill Matrix'!D21)</f>
        <v/>
      </c>
      <c r="F251">
        <f>IF(AND('Skill Matrix'!A21&lt;&gt;"",'Skill Matrix'!N5&lt;&gt;""),'Skill Matrix'!N5,"")</f>
        <v/>
      </c>
      <c r="G251">
        <f>IF(OR(A251="",'Skill Matrix'!N21=""),"",'Skill Matrix'!N21)</f>
        <v/>
      </c>
      <c r="H251">
        <f>IF(A251="","",'Employees'!F6)</f>
        <v/>
      </c>
    </row>
    <row r="252">
      <c r="A252">
        <f>IF(AND('Skill Matrix'!A21&lt;&gt;"",'Skill Matrix'!O5&lt;&gt;""),'Skill Matrix'!A21,"")</f>
        <v/>
      </c>
      <c r="B252">
        <f>IF(A252="","",'Employees'!C6)</f>
        <v/>
      </c>
      <c r="C252">
        <f>IF(A252="","",'Employees'!D6)</f>
        <v/>
      </c>
      <c r="D252">
        <f>IF(A252="","",'Skill Matrix'!C21)</f>
        <v/>
      </c>
      <c r="E252">
        <f>IF(A252="","",'Skill Matrix'!D21)</f>
        <v/>
      </c>
      <c r="F252">
        <f>IF(AND('Skill Matrix'!A21&lt;&gt;"",'Skill Matrix'!O5&lt;&gt;""),'Skill Matrix'!O5,"")</f>
        <v/>
      </c>
      <c r="G252">
        <f>IF(OR(A252="",'Skill Matrix'!O21=""),"",'Skill Matrix'!O21)</f>
        <v/>
      </c>
      <c r="H252">
        <f>IF(A252="","",'Employees'!F6)</f>
        <v/>
      </c>
    </row>
    <row r="253">
      <c r="A253">
        <f>IF(AND('Skill Matrix'!A21&lt;&gt;"",'Skill Matrix'!P5&lt;&gt;""),'Skill Matrix'!A21,"")</f>
        <v/>
      </c>
      <c r="B253">
        <f>IF(A253="","",'Employees'!C6)</f>
        <v/>
      </c>
      <c r="C253">
        <f>IF(A253="","",'Employees'!D6)</f>
        <v/>
      </c>
      <c r="D253">
        <f>IF(A253="","",'Skill Matrix'!C21)</f>
        <v/>
      </c>
      <c r="E253">
        <f>IF(A253="","",'Skill Matrix'!D21)</f>
        <v/>
      </c>
      <c r="F253">
        <f>IF(AND('Skill Matrix'!A21&lt;&gt;"",'Skill Matrix'!P5&lt;&gt;""),'Skill Matrix'!P5,"")</f>
        <v/>
      </c>
      <c r="G253">
        <f>IF(OR(A253="",'Skill Matrix'!P21=""),"",'Skill Matrix'!P21)</f>
        <v/>
      </c>
      <c r="H253">
        <f>IF(A253="","",'Employees'!F6)</f>
        <v/>
      </c>
    </row>
    <row r="254">
      <c r="A254">
        <f>IF(AND('Skill Matrix'!A21&lt;&gt;"",'Skill Matrix'!Q5&lt;&gt;""),'Skill Matrix'!A21,"")</f>
        <v/>
      </c>
      <c r="B254">
        <f>IF(A254="","",'Employees'!C6)</f>
        <v/>
      </c>
      <c r="C254">
        <f>IF(A254="","",'Employees'!D6)</f>
        <v/>
      </c>
      <c r="D254">
        <f>IF(A254="","",'Skill Matrix'!C21)</f>
        <v/>
      </c>
      <c r="E254">
        <f>IF(A254="","",'Skill Matrix'!D21)</f>
        <v/>
      </c>
      <c r="F254">
        <f>IF(AND('Skill Matrix'!A21&lt;&gt;"",'Skill Matrix'!Q5&lt;&gt;""),'Skill Matrix'!Q5,"")</f>
        <v/>
      </c>
      <c r="G254">
        <f>IF(OR(A254="",'Skill Matrix'!Q21=""),"",'Skill Matrix'!Q21)</f>
        <v/>
      </c>
      <c r="H254">
        <f>IF(A254="","",'Employees'!F6)</f>
        <v/>
      </c>
    </row>
    <row r="255">
      <c r="A255">
        <f>IF(AND('Skill Matrix'!A21&lt;&gt;"",'Skill Matrix'!R5&lt;&gt;""),'Skill Matrix'!A21,"")</f>
        <v/>
      </c>
      <c r="B255">
        <f>IF(A255="","",'Employees'!C6)</f>
        <v/>
      </c>
      <c r="C255">
        <f>IF(A255="","",'Employees'!D6)</f>
        <v/>
      </c>
      <c r="D255">
        <f>IF(A255="","",'Skill Matrix'!C21)</f>
        <v/>
      </c>
      <c r="E255">
        <f>IF(A255="","",'Skill Matrix'!D21)</f>
        <v/>
      </c>
      <c r="F255">
        <f>IF(AND('Skill Matrix'!A21&lt;&gt;"",'Skill Matrix'!R5&lt;&gt;""),'Skill Matrix'!R5,"")</f>
        <v/>
      </c>
      <c r="G255">
        <f>IF(OR(A255="",'Skill Matrix'!R21=""),"",'Skill Matrix'!R21)</f>
        <v/>
      </c>
      <c r="H255">
        <f>IF(A255="","",'Employees'!F6)</f>
        <v/>
      </c>
    </row>
    <row r="256">
      <c r="A256">
        <f>IF(AND('Skill Matrix'!A21&lt;&gt;"",'Skill Matrix'!S5&lt;&gt;""),'Skill Matrix'!A21,"")</f>
        <v/>
      </c>
      <c r="B256">
        <f>IF(A256="","",'Employees'!C6)</f>
        <v/>
      </c>
      <c r="C256">
        <f>IF(A256="","",'Employees'!D6)</f>
        <v/>
      </c>
      <c r="D256">
        <f>IF(A256="","",'Skill Matrix'!C21)</f>
        <v/>
      </c>
      <c r="E256">
        <f>IF(A256="","",'Skill Matrix'!D21)</f>
        <v/>
      </c>
      <c r="F256">
        <f>IF(AND('Skill Matrix'!A21&lt;&gt;"",'Skill Matrix'!S5&lt;&gt;""),'Skill Matrix'!S5,"")</f>
        <v/>
      </c>
      <c r="G256">
        <f>IF(OR(A256="",'Skill Matrix'!S21=""),"",'Skill Matrix'!S21)</f>
        <v/>
      </c>
      <c r="H256">
        <f>IF(A256="","",'Employees'!F6)</f>
        <v/>
      </c>
    </row>
    <row r="257">
      <c r="A257">
        <f>IF(AND('Skill Matrix'!A21&lt;&gt;"",'Skill Matrix'!T5&lt;&gt;""),'Skill Matrix'!A21,"")</f>
        <v/>
      </c>
      <c r="B257">
        <f>IF(A257="","",'Employees'!C6)</f>
        <v/>
      </c>
      <c r="C257">
        <f>IF(A257="","",'Employees'!D6)</f>
        <v/>
      </c>
      <c r="D257">
        <f>IF(A257="","",'Skill Matrix'!C21)</f>
        <v/>
      </c>
      <c r="E257">
        <f>IF(A257="","",'Skill Matrix'!D21)</f>
        <v/>
      </c>
      <c r="F257">
        <f>IF(AND('Skill Matrix'!A21&lt;&gt;"",'Skill Matrix'!T5&lt;&gt;""),'Skill Matrix'!T5,"")</f>
        <v/>
      </c>
      <c r="G257">
        <f>IF(OR(A257="",'Skill Matrix'!T21=""),"",'Skill Matrix'!T21)</f>
        <v/>
      </c>
      <c r="H257">
        <f>IF(A257="","",'Employees'!F6)</f>
        <v/>
      </c>
    </row>
    <row r="258">
      <c r="A258">
        <f>IF(AND('Skill Matrix'!A22&lt;&gt;"",'Skill Matrix'!E5&lt;&gt;""),'Skill Matrix'!A22,"")</f>
        <v/>
      </c>
      <c r="B258">
        <f>IF(A258="","",'Employees'!C7)</f>
        <v/>
      </c>
      <c r="C258">
        <f>IF(A258="","",'Employees'!D7)</f>
        <v/>
      </c>
      <c r="D258">
        <f>IF(A258="","",'Skill Matrix'!C22)</f>
        <v/>
      </c>
      <c r="E258">
        <f>IF(A258="","",'Skill Matrix'!D22)</f>
        <v/>
      </c>
      <c r="F258">
        <f>IF(AND('Skill Matrix'!A22&lt;&gt;"",'Skill Matrix'!E5&lt;&gt;""),'Skill Matrix'!E5,"")</f>
        <v/>
      </c>
      <c r="G258">
        <f>IF(OR(A258="",'Skill Matrix'!E22=""),"",'Skill Matrix'!E22)</f>
        <v/>
      </c>
      <c r="H258">
        <f>IF(A258="","",'Employees'!F7)</f>
        <v/>
      </c>
    </row>
    <row r="259">
      <c r="A259">
        <f>IF(AND('Skill Matrix'!A22&lt;&gt;"",'Skill Matrix'!F5&lt;&gt;""),'Skill Matrix'!A22,"")</f>
        <v/>
      </c>
      <c r="B259">
        <f>IF(A259="","",'Employees'!C7)</f>
        <v/>
      </c>
      <c r="C259">
        <f>IF(A259="","",'Employees'!D7)</f>
        <v/>
      </c>
      <c r="D259">
        <f>IF(A259="","",'Skill Matrix'!C22)</f>
        <v/>
      </c>
      <c r="E259">
        <f>IF(A259="","",'Skill Matrix'!D22)</f>
        <v/>
      </c>
      <c r="F259">
        <f>IF(AND('Skill Matrix'!A22&lt;&gt;"",'Skill Matrix'!F5&lt;&gt;""),'Skill Matrix'!F5,"")</f>
        <v/>
      </c>
      <c r="G259">
        <f>IF(OR(A259="",'Skill Matrix'!F22=""),"",'Skill Matrix'!F22)</f>
        <v/>
      </c>
      <c r="H259">
        <f>IF(A259="","",'Employees'!F7)</f>
        <v/>
      </c>
    </row>
    <row r="260">
      <c r="A260">
        <f>IF(AND('Skill Matrix'!A22&lt;&gt;"",'Skill Matrix'!G5&lt;&gt;""),'Skill Matrix'!A22,"")</f>
        <v/>
      </c>
      <c r="B260">
        <f>IF(A260="","",'Employees'!C7)</f>
        <v/>
      </c>
      <c r="C260">
        <f>IF(A260="","",'Employees'!D7)</f>
        <v/>
      </c>
      <c r="D260">
        <f>IF(A260="","",'Skill Matrix'!C22)</f>
        <v/>
      </c>
      <c r="E260">
        <f>IF(A260="","",'Skill Matrix'!D22)</f>
        <v/>
      </c>
      <c r="F260">
        <f>IF(AND('Skill Matrix'!A22&lt;&gt;"",'Skill Matrix'!G5&lt;&gt;""),'Skill Matrix'!G5,"")</f>
        <v/>
      </c>
      <c r="G260">
        <f>IF(OR(A260="",'Skill Matrix'!G22=""),"",'Skill Matrix'!G22)</f>
        <v/>
      </c>
      <c r="H260">
        <f>IF(A260="","",'Employees'!F7)</f>
        <v/>
      </c>
    </row>
    <row r="261">
      <c r="A261">
        <f>IF(AND('Skill Matrix'!A22&lt;&gt;"",'Skill Matrix'!H5&lt;&gt;""),'Skill Matrix'!A22,"")</f>
        <v/>
      </c>
      <c r="B261">
        <f>IF(A261="","",'Employees'!C7)</f>
        <v/>
      </c>
      <c r="C261">
        <f>IF(A261="","",'Employees'!D7)</f>
        <v/>
      </c>
      <c r="D261">
        <f>IF(A261="","",'Skill Matrix'!C22)</f>
        <v/>
      </c>
      <c r="E261">
        <f>IF(A261="","",'Skill Matrix'!D22)</f>
        <v/>
      </c>
      <c r="F261">
        <f>IF(AND('Skill Matrix'!A22&lt;&gt;"",'Skill Matrix'!H5&lt;&gt;""),'Skill Matrix'!H5,"")</f>
        <v/>
      </c>
      <c r="G261">
        <f>IF(OR(A261="",'Skill Matrix'!H22=""),"",'Skill Matrix'!H22)</f>
        <v/>
      </c>
      <c r="H261">
        <f>IF(A261="","",'Employees'!F7)</f>
        <v/>
      </c>
    </row>
    <row r="262">
      <c r="A262">
        <f>IF(AND('Skill Matrix'!A22&lt;&gt;"",'Skill Matrix'!I5&lt;&gt;""),'Skill Matrix'!A22,"")</f>
        <v/>
      </c>
      <c r="B262">
        <f>IF(A262="","",'Employees'!C7)</f>
        <v/>
      </c>
      <c r="C262">
        <f>IF(A262="","",'Employees'!D7)</f>
        <v/>
      </c>
      <c r="D262">
        <f>IF(A262="","",'Skill Matrix'!C22)</f>
        <v/>
      </c>
      <c r="E262">
        <f>IF(A262="","",'Skill Matrix'!D22)</f>
        <v/>
      </c>
      <c r="F262">
        <f>IF(AND('Skill Matrix'!A22&lt;&gt;"",'Skill Matrix'!I5&lt;&gt;""),'Skill Matrix'!I5,"")</f>
        <v/>
      </c>
      <c r="G262">
        <f>IF(OR(A262="",'Skill Matrix'!I22=""),"",'Skill Matrix'!I22)</f>
        <v/>
      </c>
      <c r="H262">
        <f>IF(A262="","",'Employees'!F7)</f>
        <v/>
      </c>
    </row>
    <row r="263">
      <c r="A263">
        <f>IF(AND('Skill Matrix'!A22&lt;&gt;"",'Skill Matrix'!J5&lt;&gt;""),'Skill Matrix'!A22,"")</f>
        <v/>
      </c>
      <c r="B263">
        <f>IF(A263="","",'Employees'!C7)</f>
        <v/>
      </c>
      <c r="C263">
        <f>IF(A263="","",'Employees'!D7)</f>
        <v/>
      </c>
      <c r="D263">
        <f>IF(A263="","",'Skill Matrix'!C22)</f>
        <v/>
      </c>
      <c r="E263">
        <f>IF(A263="","",'Skill Matrix'!D22)</f>
        <v/>
      </c>
      <c r="F263">
        <f>IF(AND('Skill Matrix'!A22&lt;&gt;"",'Skill Matrix'!J5&lt;&gt;""),'Skill Matrix'!J5,"")</f>
        <v/>
      </c>
      <c r="G263">
        <f>IF(OR(A263="",'Skill Matrix'!J22=""),"",'Skill Matrix'!J22)</f>
        <v/>
      </c>
      <c r="H263">
        <f>IF(A263="","",'Employees'!F7)</f>
        <v/>
      </c>
    </row>
    <row r="264">
      <c r="A264">
        <f>IF(AND('Skill Matrix'!A22&lt;&gt;"",'Skill Matrix'!K5&lt;&gt;""),'Skill Matrix'!A22,"")</f>
        <v/>
      </c>
      <c r="B264">
        <f>IF(A264="","",'Employees'!C7)</f>
        <v/>
      </c>
      <c r="C264">
        <f>IF(A264="","",'Employees'!D7)</f>
        <v/>
      </c>
      <c r="D264">
        <f>IF(A264="","",'Skill Matrix'!C22)</f>
        <v/>
      </c>
      <c r="E264">
        <f>IF(A264="","",'Skill Matrix'!D22)</f>
        <v/>
      </c>
      <c r="F264">
        <f>IF(AND('Skill Matrix'!A22&lt;&gt;"",'Skill Matrix'!K5&lt;&gt;""),'Skill Matrix'!K5,"")</f>
        <v/>
      </c>
      <c r="G264">
        <f>IF(OR(A264="",'Skill Matrix'!K22=""),"",'Skill Matrix'!K22)</f>
        <v/>
      </c>
      <c r="H264">
        <f>IF(A264="","",'Employees'!F7)</f>
        <v/>
      </c>
    </row>
    <row r="265">
      <c r="A265">
        <f>IF(AND('Skill Matrix'!A22&lt;&gt;"",'Skill Matrix'!L5&lt;&gt;""),'Skill Matrix'!A22,"")</f>
        <v/>
      </c>
      <c r="B265">
        <f>IF(A265="","",'Employees'!C7)</f>
        <v/>
      </c>
      <c r="C265">
        <f>IF(A265="","",'Employees'!D7)</f>
        <v/>
      </c>
      <c r="D265">
        <f>IF(A265="","",'Skill Matrix'!C22)</f>
        <v/>
      </c>
      <c r="E265">
        <f>IF(A265="","",'Skill Matrix'!D22)</f>
        <v/>
      </c>
      <c r="F265">
        <f>IF(AND('Skill Matrix'!A22&lt;&gt;"",'Skill Matrix'!L5&lt;&gt;""),'Skill Matrix'!L5,"")</f>
        <v/>
      </c>
      <c r="G265">
        <f>IF(OR(A265="",'Skill Matrix'!L22=""),"",'Skill Matrix'!L22)</f>
        <v/>
      </c>
      <c r="H265">
        <f>IF(A265="","",'Employees'!F7)</f>
        <v/>
      </c>
    </row>
    <row r="266">
      <c r="A266">
        <f>IF(AND('Skill Matrix'!A22&lt;&gt;"",'Skill Matrix'!M5&lt;&gt;""),'Skill Matrix'!A22,"")</f>
        <v/>
      </c>
      <c r="B266">
        <f>IF(A266="","",'Employees'!C7)</f>
        <v/>
      </c>
      <c r="C266">
        <f>IF(A266="","",'Employees'!D7)</f>
        <v/>
      </c>
      <c r="D266">
        <f>IF(A266="","",'Skill Matrix'!C22)</f>
        <v/>
      </c>
      <c r="E266">
        <f>IF(A266="","",'Skill Matrix'!D22)</f>
        <v/>
      </c>
      <c r="F266">
        <f>IF(AND('Skill Matrix'!A22&lt;&gt;"",'Skill Matrix'!M5&lt;&gt;""),'Skill Matrix'!M5,"")</f>
        <v/>
      </c>
      <c r="G266">
        <f>IF(OR(A266="",'Skill Matrix'!M22=""),"",'Skill Matrix'!M22)</f>
        <v/>
      </c>
      <c r="H266">
        <f>IF(A266="","",'Employees'!F7)</f>
        <v/>
      </c>
    </row>
    <row r="267">
      <c r="A267">
        <f>IF(AND('Skill Matrix'!A22&lt;&gt;"",'Skill Matrix'!N5&lt;&gt;""),'Skill Matrix'!A22,"")</f>
        <v/>
      </c>
      <c r="B267">
        <f>IF(A267="","",'Employees'!C7)</f>
        <v/>
      </c>
      <c r="C267">
        <f>IF(A267="","",'Employees'!D7)</f>
        <v/>
      </c>
      <c r="D267">
        <f>IF(A267="","",'Skill Matrix'!C22)</f>
        <v/>
      </c>
      <c r="E267">
        <f>IF(A267="","",'Skill Matrix'!D22)</f>
        <v/>
      </c>
      <c r="F267">
        <f>IF(AND('Skill Matrix'!A22&lt;&gt;"",'Skill Matrix'!N5&lt;&gt;""),'Skill Matrix'!N5,"")</f>
        <v/>
      </c>
      <c r="G267">
        <f>IF(OR(A267="",'Skill Matrix'!N22=""),"",'Skill Matrix'!N22)</f>
        <v/>
      </c>
      <c r="H267">
        <f>IF(A267="","",'Employees'!F7)</f>
        <v/>
      </c>
    </row>
    <row r="268">
      <c r="A268">
        <f>IF(AND('Skill Matrix'!A22&lt;&gt;"",'Skill Matrix'!O5&lt;&gt;""),'Skill Matrix'!A22,"")</f>
        <v/>
      </c>
      <c r="B268">
        <f>IF(A268="","",'Employees'!C7)</f>
        <v/>
      </c>
      <c r="C268">
        <f>IF(A268="","",'Employees'!D7)</f>
        <v/>
      </c>
      <c r="D268">
        <f>IF(A268="","",'Skill Matrix'!C22)</f>
        <v/>
      </c>
      <c r="E268">
        <f>IF(A268="","",'Skill Matrix'!D22)</f>
        <v/>
      </c>
      <c r="F268">
        <f>IF(AND('Skill Matrix'!A22&lt;&gt;"",'Skill Matrix'!O5&lt;&gt;""),'Skill Matrix'!O5,"")</f>
        <v/>
      </c>
      <c r="G268">
        <f>IF(OR(A268="",'Skill Matrix'!O22=""),"",'Skill Matrix'!O22)</f>
        <v/>
      </c>
      <c r="H268">
        <f>IF(A268="","",'Employees'!F7)</f>
        <v/>
      </c>
    </row>
    <row r="269">
      <c r="A269">
        <f>IF(AND('Skill Matrix'!A22&lt;&gt;"",'Skill Matrix'!P5&lt;&gt;""),'Skill Matrix'!A22,"")</f>
        <v/>
      </c>
      <c r="B269">
        <f>IF(A269="","",'Employees'!C7)</f>
        <v/>
      </c>
      <c r="C269">
        <f>IF(A269="","",'Employees'!D7)</f>
        <v/>
      </c>
      <c r="D269">
        <f>IF(A269="","",'Skill Matrix'!C22)</f>
        <v/>
      </c>
      <c r="E269">
        <f>IF(A269="","",'Skill Matrix'!D22)</f>
        <v/>
      </c>
      <c r="F269">
        <f>IF(AND('Skill Matrix'!A22&lt;&gt;"",'Skill Matrix'!P5&lt;&gt;""),'Skill Matrix'!P5,"")</f>
        <v/>
      </c>
      <c r="G269">
        <f>IF(OR(A269="",'Skill Matrix'!P22=""),"",'Skill Matrix'!P22)</f>
        <v/>
      </c>
      <c r="H269">
        <f>IF(A269="","",'Employees'!F7)</f>
        <v/>
      </c>
    </row>
    <row r="270">
      <c r="A270">
        <f>IF(AND('Skill Matrix'!A22&lt;&gt;"",'Skill Matrix'!Q5&lt;&gt;""),'Skill Matrix'!A22,"")</f>
        <v/>
      </c>
      <c r="B270">
        <f>IF(A270="","",'Employees'!C7)</f>
        <v/>
      </c>
      <c r="C270">
        <f>IF(A270="","",'Employees'!D7)</f>
        <v/>
      </c>
      <c r="D270">
        <f>IF(A270="","",'Skill Matrix'!C22)</f>
        <v/>
      </c>
      <c r="E270">
        <f>IF(A270="","",'Skill Matrix'!D22)</f>
        <v/>
      </c>
      <c r="F270">
        <f>IF(AND('Skill Matrix'!A22&lt;&gt;"",'Skill Matrix'!Q5&lt;&gt;""),'Skill Matrix'!Q5,"")</f>
        <v/>
      </c>
      <c r="G270">
        <f>IF(OR(A270="",'Skill Matrix'!Q22=""),"",'Skill Matrix'!Q22)</f>
        <v/>
      </c>
      <c r="H270">
        <f>IF(A270="","",'Employees'!F7)</f>
        <v/>
      </c>
    </row>
    <row r="271">
      <c r="A271">
        <f>IF(AND('Skill Matrix'!A22&lt;&gt;"",'Skill Matrix'!R5&lt;&gt;""),'Skill Matrix'!A22,"")</f>
        <v/>
      </c>
      <c r="B271">
        <f>IF(A271="","",'Employees'!C7)</f>
        <v/>
      </c>
      <c r="C271">
        <f>IF(A271="","",'Employees'!D7)</f>
        <v/>
      </c>
      <c r="D271">
        <f>IF(A271="","",'Skill Matrix'!C22)</f>
        <v/>
      </c>
      <c r="E271">
        <f>IF(A271="","",'Skill Matrix'!D22)</f>
        <v/>
      </c>
      <c r="F271">
        <f>IF(AND('Skill Matrix'!A22&lt;&gt;"",'Skill Matrix'!R5&lt;&gt;""),'Skill Matrix'!R5,"")</f>
        <v/>
      </c>
      <c r="G271">
        <f>IF(OR(A271="",'Skill Matrix'!R22=""),"",'Skill Matrix'!R22)</f>
        <v/>
      </c>
      <c r="H271">
        <f>IF(A271="","",'Employees'!F7)</f>
        <v/>
      </c>
    </row>
    <row r="272">
      <c r="A272">
        <f>IF(AND('Skill Matrix'!A22&lt;&gt;"",'Skill Matrix'!S5&lt;&gt;""),'Skill Matrix'!A22,"")</f>
        <v/>
      </c>
      <c r="B272">
        <f>IF(A272="","",'Employees'!C7)</f>
        <v/>
      </c>
      <c r="C272">
        <f>IF(A272="","",'Employees'!D7)</f>
        <v/>
      </c>
      <c r="D272">
        <f>IF(A272="","",'Skill Matrix'!C22)</f>
        <v/>
      </c>
      <c r="E272">
        <f>IF(A272="","",'Skill Matrix'!D22)</f>
        <v/>
      </c>
      <c r="F272">
        <f>IF(AND('Skill Matrix'!A22&lt;&gt;"",'Skill Matrix'!S5&lt;&gt;""),'Skill Matrix'!S5,"")</f>
        <v/>
      </c>
      <c r="G272">
        <f>IF(OR(A272="",'Skill Matrix'!S22=""),"",'Skill Matrix'!S22)</f>
        <v/>
      </c>
      <c r="H272">
        <f>IF(A272="","",'Employees'!F7)</f>
        <v/>
      </c>
    </row>
    <row r="273">
      <c r="A273">
        <f>IF(AND('Skill Matrix'!A22&lt;&gt;"",'Skill Matrix'!T5&lt;&gt;""),'Skill Matrix'!A22,"")</f>
        <v/>
      </c>
      <c r="B273">
        <f>IF(A273="","",'Employees'!C7)</f>
        <v/>
      </c>
      <c r="C273">
        <f>IF(A273="","",'Employees'!D7)</f>
        <v/>
      </c>
      <c r="D273">
        <f>IF(A273="","",'Skill Matrix'!C22)</f>
        <v/>
      </c>
      <c r="E273">
        <f>IF(A273="","",'Skill Matrix'!D22)</f>
        <v/>
      </c>
      <c r="F273">
        <f>IF(AND('Skill Matrix'!A22&lt;&gt;"",'Skill Matrix'!T5&lt;&gt;""),'Skill Matrix'!T5,"")</f>
        <v/>
      </c>
      <c r="G273">
        <f>IF(OR(A273="",'Skill Matrix'!T22=""),"",'Skill Matrix'!T22)</f>
        <v/>
      </c>
      <c r="H273">
        <f>IF(A273="","",'Employees'!F7)</f>
        <v/>
      </c>
    </row>
    <row r="274">
      <c r="A274">
        <f>IF(AND('Skill Matrix'!A23&lt;&gt;"",'Skill Matrix'!E5&lt;&gt;""),'Skill Matrix'!A23,"")</f>
        <v/>
      </c>
      <c r="B274">
        <f>IF(A274="","",'Employees'!C7)</f>
        <v/>
      </c>
      <c r="C274">
        <f>IF(A274="","",'Employees'!D7)</f>
        <v/>
      </c>
      <c r="D274">
        <f>IF(A274="","",'Skill Matrix'!C23)</f>
        <v/>
      </c>
      <c r="E274">
        <f>IF(A274="","",'Skill Matrix'!D23)</f>
        <v/>
      </c>
      <c r="F274">
        <f>IF(AND('Skill Matrix'!A23&lt;&gt;"",'Skill Matrix'!E5&lt;&gt;""),'Skill Matrix'!E5,"")</f>
        <v/>
      </c>
      <c r="G274">
        <f>IF(OR(A274="",'Skill Matrix'!E23=""),"",'Skill Matrix'!E23)</f>
        <v/>
      </c>
      <c r="H274">
        <f>IF(A274="","",'Employees'!F7)</f>
        <v/>
      </c>
    </row>
    <row r="275">
      <c r="A275">
        <f>IF(AND('Skill Matrix'!A23&lt;&gt;"",'Skill Matrix'!F5&lt;&gt;""),'Skill Matrix'!A23,"")</f>
        <v/>
      </c>
      <c r="B275">
        <f>IF(A275="","",'Employees'!C7)</f>
        <v/>
      </c>
      <c r="C275">
        <f>IF(A275="","",'Employees'!D7)</f>
        <v/>
      </c>
      <c r="D275">
        <f>IF(A275="","",'Skill Matrix'!C23)</f>
        <v/>
      </c>
      <c r="E275">
        <f>IF(A275="","",'Skill Matrix'!D23)</f>
        <v/>
      </c>
      <c r="F275">
        <f>IF(AND('Skill Matrix'!A23&lt;&gt;"",'Skill Matrix'!F5&lt;&gt;""),'Skill Matrix'!F5,"")</f>
        <v/>
      </c>
      <c r="G275">
        <f>IF(OR(A275="",'Skill Matrix'!F23=""),"",'Skill Matrix'!F23)</f>
        <v/>
      </c>
      <c r="H275">
        <f>IF(A275="","",'Employees'!F7)</f>
        <v/>
      </c>
    </row>
    <row r="276">
      <c r="A276">
        <f>IF(AND('Skill Matrix'!A23&lt;&gt;"",'Skill Matrix'!G5&lt;&gt;""),'Skill Matrix'!A23,"")</f>
        <v/>
      </c>
      <c r="B276">
        <f>IF(A276="","",'Employees'!C7)</f>
        <v/>
      </c>
      <c r="C276">
        <f>IF(A276="","",'Employees'!D7)</f>
        <v/>
      </c>
      <c r="D276">
        <f>IF(A276="","",'Skill Matrix'!C23)</f>
        <v/>
      </c>
      <c r="E276">
        <f>IF(A276="","",'Skill Matrix'!D23)</f>
        <v/>
      </c>
      <c r="F276">
        <f>IF(AND('Skill Matrix'!A23&lt;&gt;"",'Skill Matrix'!G5&lt;&gt;""),'Skill Matrix'!G5,"")</f>
        <v/>
      </c>
      <c r="G276">
        <f>IF(OR(A276="",'Skill Matrix'!G23=""),"",'Skill Matrix'!G23)</f>
        <v/>
      </c>
      <c r="H276">
        <f>IF(A276="","",'Employees'!F7)</f>
        <v/>
      </c>
    </row>
    <row r="277">
      <c r="A277">
        <f>IF(AND('Skill Matrix'!A23&lt;&gt;"",'Skill Matrix'!H5&lt;&gt;""),'Skill Matrix'!A23,"")</f>
        <v/>
      </c>
      <c r="B277">
        <f>IF(A277="","",'Employees'!C7)</f>
        <v/>
      </c>
      <c r="C277">
        <f>IF(A277="","",'Employees'!D7)</f>
        <v/>
      </c>
      <c r="D277">
        <f>IF(A277="","",'Skill Matrix'!C23)</f>
        <v/>
      </c>
      <c r="E277">
        <f>IF(A277="","",'Skill Matrix'!D23)</f>
        <v/>
      </c>
      <c r="F277">
        <f>IF(AND('Skill Matrix'!A23&lt;&gt;"",'Skill Matrix'!H5&lt;&gt;""),'Skill Matrix'!H5,"")</f>
        <v/>
      </c>
      <c r="G277">
        <f>IF(OR(A277="",'Skill Matrix'!H23=""),"",'Skill Matrix'!H23)</f>
        <v/>
      </c>
      <c r="H277">
        <f>IF(A277="","",'Employees'!F7)</f>
        <v/>
      </c>
    </row>
    <row r="278">
      <c r="A278">
        <f>IF(AND('Skill Matrix'!A23&lt;&gt;"",'Skill Matrix'!I5&lt;&gt;""),'Skill Matrix'!A23,"")</f>
        <v/>
      </c>
      <c r="B278">
        <f>IF(A278="","",'Employees'!C7)</f>
        <v/>
      </c>
      <c r="C278">
        <f>IF(A278="","",'Employees'!D7)</f>
        <v/>
      </c>
      <c r="D278">
        <f>IF(A278="","",'Skill Matrix'!C23)</f>
        <v/>
      </c>
      <c r="E278">
        <f>IF(A278="","",'Skill Matrix'!D23)</f>
        <v/>
      </c>
      <c r="F278">
        <f>IF(AND('Skill Matrix'!A23&lt;&gt;"",'Skill Matrix'!I5&lt;&gt;""),'Skill Matrix'!I5,"")</f>
        <v/>
      </c>
      <c r="G278">
        <f>IF(OR(A278="",'Skill Matrix'!I23=""),"",'Skill Matrix'!I23)</f>
        <v/>
      </c>
      <c r="H278">
        <f>IF(A278="","",'Employees'!F7)</f>
        <v/>
      </c>
    </row>
    <row r="279">
      <c r="A279">
        <f>IF(AND('Skill Matrix'!A23&lt;&gt;"",'Skill Matrix'!J5&lt;&gt;""),'Skill Matrix'!A23,"")</f>
        <v/>
      </c>
      <c r="B279">
        <f>IF(A279="","",'Employees'!C7)</f>
        <v/>
      </c>
      <c r="C279">
        <f>IF(A279="","",'Employees'!D7)</f>
        <v/>
      </c>
      <c r="D279">
        <f>IF(A279="","",'Skill Matrix'!C23)</f>
        <v/>
      </c>
      <c r="E279">
        <f>IF(A279="","",'Skill Matrix'!D23)</f>
        <v/>
      </c>
      <c r="F279">
        <f>IF(AND('Skill Matrix'!A23&lt;&gt;"",'Skill Matrix'!J5&lt;&gt;""),'Skill Matrix'!J5,"")</f>
        <v/>
      </c>
      <c r="G279">
        <f>IF(OR(A279="",'Skill Matrix'!J23=""),"",'Skill Matrix'!J23)</f>
        <v/>
      </c>
      <c r="H279">
        <f>IF(A279="","",'Employees'!F7)</f>
        <v/>
      </c>
    </row>
    <row r="280">
      <c r="A280">
        <f>IF(AND('Skill Matrix'!A23&lt;&gt;"",'Skill Matrix'!K5&lt;&gt;""),'Skill Matrix'!A23,"")</f>
        <v/>
      </c>
      <c r="B280">
        <f>IF(A280="","",'Employees'!C7)</f>
        <v/>
      </c>
      <c r="C280">
        <f>IF(A280="","",'Employees'!D7)</f>
        <v/>
      </c>
      <c r="D280">
        <f>IF(A280="","",'Skill Matrix'!C23)</f>
        <v/>
      </c>
      <c r="E280">
        <f>IF(A280="","",'Skill Matrix'!D23)</f>
        <v/>
      </c>
      <c r="F280">
        <f>IF(AND('Skill Matrix'!A23&lt;&gt;"",'Skill Matrix'!K5&lt;&gt;""),'Skill Matrix'!K5,"")</f>
        <v/>
      </c>
      <c r="G280">
        <f>IF(OR(A280="",'Skill Matrix'!K23=""),"",'Skill Matrix'!K23)</f>
        <v/>
      </c>
      <c r="H280">
        <f>IF(A280="","",'Employees'!F7)</f>
        <v/>
      </c>
    </row>
    <row r="281">
      <c r="A281">
        <f>IF(AND('Skill Matrix'!A23&lt;&gt;"",'Skill Matrix'!L5&lt;&gt;""),'Skill Matrix'!A23,"")</f>
        <v/>
      </c>
      <c r="B281">
        <f>IF(A281="","",'Employees'!C7)</f>
        <v/>
      </c>
      <c r="C281">
        <f>IF(A281="","",'Employees'!D7)</f>
        <v/>
      </c>
      <c r="D281">
        <f>IF(A281="","",'Skill Matrix'!C23)</f>
        <v/>
      </c>
      <c r="E281">
        <f>IF(A281="","",'Skill Matrix'!D23)</f>
        <v/>
      </c>
      <c r="F281">
        <f>IF(AND('Skill Matrix'!A23&lt;&gt;"",'Skill Matrix'!L5&lt;&gt;""),'Skill Matrix'!L5,"")</f>
        <v/>
      </c>
      <c r="G281">
        <f>IF(OR(A281="",'Skill Matrix'!L23=""),"",'Skill Matrix'!L23)</f>
        <v/>
      </c>
      <c r="H281">
        <f>IF(A281="","",'Employees'!F7)</f>
        <v/>
      </c>
    </row>
    <row r="282">
      <c r="A282">
        <f>IF(AND('Skill Matrix'!A23&lt;&gt;"",'Skill Matrix'!M5&lt;&gt;""),'Skill Matrix'!A23,"")</f>
        <v/>
      </c>
      <c r="B282">
        <f>IF(A282="","",'Employees'!C7)</f>
        <v/>
      </c>
      <c r="C282">
        <f>IF(A282="","",'Employees'!D7)</f>
        <v/>
      </c>
      <c r="D282">
        <f>IF(A282="","",'Skill Matrix'!C23)</f>
        <v/>
      </c>
      <c r="E282">
        <f>IF(A282="","",'Skill Matrix'!D23)</f>
        <v/>
      </c>
      <c r="F282">
        <f>IF(AND('Skill Matrix'!A23&lt;&gt;"",'Skill Matrix'!M5&lt;&gt;""),'Skill Matrix'!M5,"")</f>
        <v/>
      </c>
      <c r="G282">
        <f>IF(OR(A282="",'Skill Matrix'!M23=""),"",'Skill Matrix'!M23)</f>
        <v/>
      </c>
      <c r="H282">
        <f>IF(A282="","",'Employees'!F7)</f>
        <v/>
      </c>
    </row>
    <row r="283">
      <c r="A283">
        <f>IF(AND('Skill Matrix'!A23&lt;&gt;"",'Skill Matrix'!N5&lt;&gt;""),'Skill Matrix'!A23,"")</f>
        <v/>
      </c>
      <c r="B283">
        <f>IF(A283="","",'Employees'!C7)</f>
        <v/>
      </c>
      <c r="C283">
        <f>IF(A283="","",'Employees'!D7)</f>
        <v/>
      </c>
      <c r="D283">
        <f>IF(A283="","",'Skill Matrix'!C23)</f>
        <v/>
      </c>
      <c r="E283">
        <f>IF(A283="","",'Skill Matrix'!D23)</f>
        <v/>
      </c>
      <c r="F283">
        <f>IF(AND('Skill Matrix'!A23&lt;&gt;"",'Skill Matrix'!N5&lt;&gt;""),'Skill Matrix'!N5,"")</f>
        <v/>
      </c>
      <c r="G283">
        <f>IF(OR(A283="",'Skill Matrix'!N23=""),"",'Skill Matrix'!N23)</f>
        <v/>
      </c>
      <c r="H283">
        <f>IF(A283="","",'Employees'!F7)</f>
        <v/>
      </c>
    </row>
    <row r="284">
      <c r="A284">
        <f>IF(AND('Skill Matrix'!A23&lt;&gt;"",'Skill Matrix'!O5&lt;&gt;""),'Skill Matrix'!A23,"")</f>
        <v/>
      </c>
      <c r="B284">
        <f>IF(A284="","",'Employees'!C7)</f>
        <v/>
      </c>
      <c r="C284">
        <f>IF(A284="","",'Employees'!D7)</f>
        <v/>
      </c>
      <c r="D284">
        <f>IF(A284="","",'Skill Matrix'!C23)</f>
        <v/>
      </c>
      <c r="E284">
        <f>IF(A284="","",'Skill Matrix'!D23)</f>
        <v/>
      </c>
      <c r="F284">
        <f>IF(AND('Skill Matrix'!A23&lt;&gt;"",'Skill Matrix'!O5&lt;&gt;""),'Skill Matrix'!O5,"")</f>
        <v/>
      </c>
      <c r="G284">
        <f>IF(OR(A284="",'Skill Matrix'!O23=""),"",'Skill Matrix'!O23)</f>
        <v/>
      </c>
      <c r="H284">
        <f>IF(A284="","",'Employees'!F7)</f>
        <v/>
      </c>
    </row>
    <row r="285">
      <c r="A285">
        <f>IF(AND('Skill Matrix'!A23&lt;&gt;"",'Skill Matrix'!P5&lt;&gt;""),'Skill Matrix'!A23,"")</f>
        <v/>
      </c>
      <c r="B285">
        <f>IF(A285="","",'Employees'!C7)</f>
        <v/>
      </c>
      <c r="C285">
        <f>IF(A285="","",'Employees'!D7)</f>
        <v/>
      </c>
      <c r="D285">
        <f>IF(A285="","",'Skill Matrix'!C23)</f>
        <v/>
      </c>
      <c r="E285">
        <f>IF(A285="","",'Skill Matrix'!D23)</f>
        <v/>
      </c>
      <c r="F285">
        <f>IF(AND('Skill Matrix'!A23&lt;&gt;"",'Skill Matrix'!P5&lt;&gt;""),'Skill Matrix'!P5,"")</f>
        <v/>
      </c>
      <c r="G285">
        <f>IF(OR(A285="",'Skill Matrix'!P23=""),"",'Skill Matrix'!P23)</f>
        <v/>
      </c>
      <c r="H285">
        <f>IF(A285="","",'Employees'!F7)</f>
        <v/>
      </c>
    </row>
    <row r="286">
      <c r="A286">
        <f>IF(AND('Skill Matrix'!A23&lt;&gt;"",'Skill Matrix'!Q5&lt;&gt;""),'Skill Matrix'!A23,"")</f>
        <v/>
      </c>
      <c r="B286">
        <f>IF(A286="","",'Employees'!C7)</f>
        <v/>
      </c>
      <c r="C286">
        <f>IF(A286="","",'Employees'!D7)</f>
        <v/>
      </c>
      <c r="D286">
        <f>IF(A286="","",'Skill Matrix'!C23)</f>
        <v/>
      </c>
      <c r="E286">
        <f>IF(A286="","",'Skill Matrix'!D23)</f>
        <v/>
      </c>
      <c r="F286">
        <f>IF(AND('Skill Matrix'!A23&lt;&gt;"",'Skill Matrix'!Q5&lt;&gt;""),'Skill Matrix'!Q5,"")</f>
        <v/>
      </c>
      <c r="G286">
        <f>IF(OR(A286="",'Skill Matrix'!Q23=""),"",'Skill Matrix'!Q23)</f>
        <v/>
      </c>
      <c r="H286">
        <f>IF(A286="","",'Employees'!F7)</f>
        <v/>
      </c>
    </row>
    <row r="287">
      <c r="A287">
        <f>IF(AND('Skill Matrix'!A23&lt;&gt;"",'Skill Matrix'!R5&lt;&gt;""),'Skill Matrix'!A23,"")</f>
        <v/>
      </c>
      <c r="B287">
        <f>IF(A287="","",'Employees'!C7)</f>
        <v/>
      </c>
      <c r="C287">
        <f>IF(A287="","",'Employees'!D7)</f>
        <v/>
      </c>
      <c r="D287">
        <f>IF(A287="","",'Skill Matrix'!C23)</f>
        <v/>
      </c>
      <c r="E287">
        <f>IF(A287="","",'Skill Matrix'!D23)</f>
        <v/>
      </c>
      <c r="F287">
        <f>IF(AND('Skill Matrix'!A23&lt;&gt;"",'Skill Matrix'!R5&lt;&gt;""),'Skill Matrix'!R5,"")</f>
        <v/>
      </c>
      <c r="G287">
        <f>IF(OR(A287="",'Skill Matrix'!R23=""),"",'Skill Matrix'!R23)</f>
        <v/>
      </c>
      <c r="H287">
        <f>IF(A287="","",'Employees'!F7)</f>
        <v/>
      </c>
    </row>
    <row r="288">
      <c r="A288">
        <f>IF(AND('Skill Matrix'!A23&lt;&gt;"",'Skill Matrix'!S5&lt;&gt;""),'Skill Matrix'!A23,"")</f>
        <v/>
      </c>
      <c r="B288">
        <f>IF(A288="","",'Employees'!C7)</f>
        <v/>
      </c>
      <c r="C288">
        <f>IF(A288="","",'Employees'!D7)</f>
        <v/>
      </c>
      <c r="D288">
        <f>IF(A288="","",'Skill Matrix'!C23)</f>
        <v/>
      </c>
      <c r="E288">
        <f>IF(A288="","",'Skill Matrix'!D23)</f>
        <v/>
      </c>
      <c r="F288">
        <f>IF(AND('Skill Matrix'!A23&lt;&gt;"",'Skill Matrix'!S5&lt;&gt;""),'Skill Matrix'!S5,"")</f>
        <v/>
      </c>
      <c r="G288">
        <f>IF(OR(A288="",'Skill Matrix'!S23=""),"",'Skill Matrix'!S23)</f>
        <v/>
      </c>
      <c r="H288">
        <f>IF(A288="","",'Employees'!F7)</f>
        <v/>
      </c>
    </row>
    <row r="289">
      <c r="A289">
        <f>IF(AND('Skill Matrix'!A23&lt;&gt;"",'Skill Matrix'!T5&lt;&gt;""),'Skill Matrix'!A23,"")</f>
        <v/>
      </c>
      <c r="B289">
        <f>IF(A289="","",'Employees'!C7)</f>
        <v/>
      </c>
      <c r="C289">
        <f>IF(A289="","",'Employees'!D7)</f>
        <v/>
      </c>
      <c r="D289">
        <f>IF(A289="","",'Skill Matrix'!C23)</f>
        <v/>
      </c>
      <c r="E289">
        <f>IF(A289="","",'Skill Matrix'!D23)</f>
        <v/>
      </c>
      <c r="F289">
        <f>IF(AND('Skill Matrix'!A23&lt;&gt;"",'Skill Matrix'!T5&lt;&gt;""),'Skill Matrix'!T5,"")</f>
        <v/>
      </c>
      <c r="G289">
        <f>IF(OR(A289="",'Skill Matrix'!T23=""),"",'Skill Matrix'!T23)</f>
        <v/>
      </c>
      <c r="H289">
        <f>IF(A289="","",'Employees'!F7)</f>
        <v/>
      </c>
    </row>
    <row r="290">
      <c r="A290">
        <f>IF(AND('Skill Matrix'!A24&lt;&gt;"",'Skill Matrix'!E5&lt;&gt;""),'Skill Matrix'!A24,"")</f>
        <v/>
      </c>
      <c r="B290">
        <f>IF(A290="","",'Employees'!C7)</f>
        <v/>
      </c>
      <c r="C290">
        <f>IF(A290="","",'Employees'!D7)</f>
        <v/>
      </c>
      <c r="D290">
        <f>IF(A290="","",'Skill Matrix'!C24)</f>
        <v/>
      </c>
      <c r="E290">
        <f>IF(A290="","",'Skill Matrix'!D24)</f>
        <v/>
      </c>
      <c r="F290">
        <f>IF(AND('Skill Matrix'!A24&lt;&gt;"",'Skill Matrix'!E5&lt;&gt;""),'Skill Matrix'!E5,"")</f>
        <v/>
      </c>
      <c r="G290">
        <f>IF(OR(A290="",'Skill Matrix'!E24=""),"",'Skill Matrix'!E24)</f>
        <v/>
      </c>
      <c r="H290">
        <f>IF(A290="","",'Employees'!F7)</f>
        <v/>
      </c>
    </row>
    <row r="291">
      <c r="A291">
        <f>IF(AND('Skill Matrix'!A24&lt;&gt;"",'Skill Matrix'!F5&lt;&gt;""),'Skill Matrix'!A24,"")</f>
        <v/>
      </c>
      <c r="B291">
        <f>IF(A291="","",'Employees'!C7)</f>
        <v/>
      </c>
      <c r="C291">
        <f>IF(A291="","",'Employees'!D7)</f>
        <v/>
      </c>
      <c r="D291">
        <f>IF(A291="","",'Skill Matrix'!C24)</f>
        <v/>
      </c>
      <c r="E291">
        <f>IF(A291="","",'Skill Matrix'!D24)</f>
        <v/>
      </c>
      <c r="F291">
        <f>IF(AND('Skill Matrix'!A24&lt;&gt;"",'Skill Matrix'!F5&lt;&gt;""),'Skill Matrix'!F5,"")</f>
        <v/>
      </c>
      <c r="G291">
        <f>IF(OR(A291="",'Skill Matrix'!F24=""),"",'Skill Matrix'!F24)</f>
        <v/>
      </c>
      <c r="H291">
        <f>IF(A291="","",'Employees'!F7)</f>
        <v/>
      </c>
    </row>
    <row r="292">
      <c r="A292">
        <f>IF(AND('Skill Matrix'!A24&lt;&gt;"",'Skill Matrix'!G5&lt;&gt;""),'Skill Matrix'!A24,"")</f>
        <v/>
      </c>
      <c r="B292">
        <f>IF(A292="","",'Employees'!C7)</f>
        <v/>
      </c>
      <c r="C292">
        <f>IF(A292="","",'Employees'!D7)</f>
        <v/>
      </c>
      <c r="D292">
        <f>IF(A292="","",'Skill Matrix'!C24)</f>
        <v/>
      </c>
      <c r="E292">
        <f>IF(A292="","",'Skill Matrix'!D24)</f>
        <v/>
      </c>
      <c r="F292">
        <f>IF(AND('Skill Matrix'!A24&lt;&gt;"",'Skill Matrix'!G5&lt;&gt;""),'Skill Matrix'!G5,"")</f>
        <v/>
      </c>
      <c r="G292">
        <f>IF(OR(A292="",'Skill Matrix'!G24=""),"",'Skill Matrix'!G24)</f>
        <v/>
      </c>
      <c r="H292">
        <f>IF(A292="","",'Employees'!F7)</f>
        <v/>
      </c>
    </row>
    <row r="293">
      <c r="A293">
        <f>IF(AND('Skill Matrix'!A24&lt;&gt;"",'Skill Matrix'!H5&lt;&gt;""),'Skill Matrix'!A24,"")</f>
        <v/>
      </c>
      <c r="B293">
        <f>IF(A293="","",'Employees'!C7)</f>
        <v/>
      </c>
      <c r="C293">
        <f>IF(A293="","",'Employees'!D7)</f>
        <v/>
      </c>
      <c r="D293">
        <f>IF(A293="","",'Skill Matrix'!C24)</f>
        <v/>
      </c>
      <c r="E293">
        <f>IF(A293="","",'Skill Matrix'!D24)</f>
        <v/>
      </c>
      <c r="F293">
        <f>IF(AND('Skill Matrix'!A24&lt;&gt;"",'Skill Matrix'!H5&lt;&gt;""),'Skill Matrix'!H5,"")</f>
        <v/>
      </c>
      <c r="G293">
        <f>IF(OR(A293="",'Skill Matrix'!H24=""),"",'Skill Matrix'!H24)</f>
        <v/>
      </c>
      <c r="H293">
        <f>IF(A293="","",'Employees'!F7)</f>
        <v/>
      </c>
    </row>
    <row r="294">
      <c r="A294">
        <f>IF(AND('Skill Matrix'!A24&lt;&gt;"",'Skill Matrix'!I5&lt;&gt;""),'Skill Matrix'!A24,"")</f>
        <v/>
      </c>
      <c r="B294">
        <f>IF(A294="","",'Employees'!C7)</f>
        <v/>
      </c>
      <c r="C294">
        <f>IF(A294="","",'Employees'!D7)</f>
        <v/>
      </c>
      <c r="D294">
        <f>IF(A294="","",'Skill Matrix'!C24)</f>
        <v/>
      </c>
      <c r="E294">
        <f>IF(A294="","",'Skill Matrix'!D24)</f>
        <v/>
      </c>
      <c r="F294">
        <f>IF(AND('Skill Matrix'!A24&lt;&gt;"",'Skill Matrix'!I5&lt;&gt;""),'Skill Matrix'!I5,"")</f>
        <v/>
      </c>
      <c r="G294">
        <f>IF(OR(A294="",'Skill Matrix'!I24=""),"",'Skill Matrix'!I24)</f>
        <v/>
      </c>
      <c r="H294">
        <f>IF(A294="","",'Employees'!F7)</f>
        <v/>
      </c>
    </row>
    <row r="295">
      <c r="A295">
        <f>IF(AND('Skill Matrix'!A24&lt;&gt;"",'Skill Matrix'!J5&lt;&gt;""),'Skill Matrix'!A24,"")</f>
        <v/>
      </c>
      <c r="B295">
        <f>IF(A295="","",'Employees'!C7)</f>
        <v/>
      </c>
      <c r="C295">
        <f>IF(A295="","",'Employees'!D7)</f>
        <v/>
      </c>
      <c r="D295">
        <f>IF(A295="","",'Skill Matrix'!C24)</f>
        <v/>
      </c>
      <c r="E295">
        <f>IF(A295="","",'Skill Matrix'!D24)</f>
        <v/>
      </c>
      <c r="F295">
        <f>IF(AND('Skill Matrix'!A24&lt;&gt;"",'Skill Matrix'!J5&lt;&gt;""),'Skill Matrix'!J5,"")</f>
        <v/>
      </c>
      <c r="G295">
        <f>IF(OR(A295="",'Skill Matrix'!J24=""),"",'Skill Matrix'!J24)</f>
        <v/>
      </c>
      <c r="H295">
        <f>IF(A295="","",'Employees'!F7)</f>
        <v/>
      </c>
    </row>
    <row r="296">
      <c r="A296">
        <f>IF(AND('Skill Matrix'!A24&lt;&gt;"",'Skill Matrix'!K5&lt;&gt;""),'Skill Matrix'!A24,"")</f>
        <v/>
      </c>
      <c r="B296">
        <f>IF(A296="","",'Employees'!C7)</f>
        <v/>
      </c>
      <c r="C296">
        <f>IF(A296="","",'Employees'!D7)</f>
        <v/>
      </c>
      <c r="D296">
        <f>IF(A296="","",'Skill Matrix'!C24)</f>
        <v/>
      </c>
      <c r="E296">
        <f>IF(A296="","",'Skill Matrix'!D24)</f>
        <v/>
      </c>
      <c r="F296">
        <f>IF(AND('Skill Matrix'!A24&lt;&gt;"",'Skill Matrix'!K5&lt;&gt;""),'Skill Matrix'!K5,"")</f>
        <v/>
      </c>
      <c r="G296">
        <f>IF(OR(A296="",'Skill Matrix'!K24=""),"",'Skill Matrix'!K24)</f>
        <v/>
      </c>
      <c r="H296">
        <f>IF(A296="","",'Employees'!F7)</f>
        <v/>
      </c>
    </row>
    <row r="297">
      <c r="A297">
        <f>IF(AND('Skill Matrix'!A24&lt;&gt;"",'Skill Matrix'!L5&lt;&gt;""),'Skill Matrix'!A24,"")</f>
        <v/>
      </c>
      <c r="B297">
        <f>IF(A297="","",'Employees'!C7)</f>
        <v/>
      </c>
      <c r="C297">
        <f>IF(A297="","",'Employees'!D7)</f>
        <v/>
      </c>
      <c r="D297">
        <f>IF(A297="","",'Skill Matrix'!C24)</f>
        <v/>
      </c>
      <c r="E297">
        <f>IF(A297="","",'Skill Matrix'!D24)</f>
        <v/>
      </c>
      <c r="F297">
        <f>IF(AND('Skill Matrix'!A24&lt;&gt;"",'Skill Matrix'!L5&lt;&gt;""),'Skill Matrix'!L5,"")</f>
        <v/>
      </c>
      <c r="G297">
        <f>IF(OR(A297="",'Skill Matrix'!L24=""),"",'Skill Matrix'!L24)</f>
        <v/>
      </c>
      <c r="H297">
        <f>IF(A297="","",'Employees'!F7)</f>
        <v/>
      </c>
    </row>
    <row r="298">
      <c r="A298">
        <f>IF(AND('Skill Matrix'!A24&lt;&gt;"",'Skill Matrix'!M5&lt;&gt;""),'Skill Matrix'!A24,"")</f>
        <v/>
      </c>
      <c r="B298">
        <f>IF(A298="","",'Employees'!C7)</f>
        <v/>
      </c>
      <c r="C298">
        <f>IF(A298="","",'Employees'!D7)</f>
        <v/>
      </c>
      <c r="D298">
        <f>IF(A298="","",'Skill Matrix'!C24)</f>
        <v/>
      </c>
      <c r="E298">
        <f>IF(A298="","",'Skill Matrix'!D24)</f>
        <v/>
      </c>
      <c r="F298">
        <f>IF(AND('Skill Matrix'!A24&lt;&gt;"",'Skill Matrix'!M5&lt;&gt;""),'Skill Matrix'!M5,"")</f>
        <v/>
      </c>
      <c r="G298">
        <f>IF(OR(A298="",'Skill Matrix'!M24=""),"",'Skill Matrix'!M24)</f>
        <v/>
      </c>
      <c r="H298">
        <f>IF(A298="","",'Employees'!F7)</f>
        <v/>
      </c>
    </row>
    <row r="299">
      <c r="A299">
        <f>IF(AND('Skill Matrix'!A24&lt;&gt;"",'Skill Matrix'!N5&lt;&gt;""),'Skill Matrix'!A24,"")</f>
        <v/>
      </c>
      <c r="B299">
        <f>IF(A299="","",'Employees'!C7)</f>
        <v/>
      </c>
      <c r="C299">
        <f>IF(A299="","",'Employees'!D7)</f>
        <v/>
      </c>
      <c r="D299">
        <f>IF(A299="","",'Skill Matrix'!C24)</f>
        <v/>
      </c>
      <c r="E299">
        <f>IF(A299="","",'Skill Matrix'!D24)</f>
        <v/>
      </c>
      <c r="F299">
        <f>IF(AND('Skill Matrix'!A24&lt;&gt;"",'Skill Matrix'!N5&lt;&gt;""),'Skill Matrix'!N5,"")</f>
        <v/>
      </c>
      <c r="G299">
        <f>IF(OR(A299="",'Skill Matrix'!N24=""),"",'Skill Matrix'!N24)</f>
        <v/>
      </c>
      <c r="H299">
        <f>IF(A299="","",'Employees'!F7)</f>
        <v/>
      </c>
    </row>
    <row r="300">
      <c r="A300">
        <f>IF(AND('Skill Matrix'!A24&lt;&gt;"",'Skill Matrix'!O5&lt;&gt;""),'Skill Matrix'!A24,"")</f>
        <v/>
      </c>
      <c r="B300">
        <f>IF(A300="","",'Employees'!C7)</f>
        <v/>
      </c>
      <c r="C300">
        <f>IF(A300="","",'Employees'!D7)</f>
        <v/>
      </c>
      <c r="D300">
        <f>IF(A300="","",'Skill Matrix'!C24)</f>
        <v/>
      </c>
      <c r="E300">
        <f>IF(A300="","",'Skill Matrix'!D24)</f>
        <v/>
      </c>
      <c r="F300">
        <f>IF(AND('Skill Matrix'!A24&lt;&gt;"",'Skill Matrix'!O5&lt;&gt;""),'Skill Matrix'!O5,"")</f>
        <v/>
      </c>
      <c r="G300">
        <f>IF(OR(A300="",'Skill Matrix'!O24=""),"",'Skill Matrix'!O24)</f>
        <v/>
      </c>
      <c r="H300">
        <f>IF(A300="","",'Employees'!F7)</f>
        <v/>
      </c>
    </row>
    <row r="301">
      <c r="A301">
        <f>IF(AND('Skill Matrix'!A24&lt;&gt;"",'Skill Matrix'!P5&lt;&gt;""),'Skill Matrix'!A24,"")</f>
        <v/>
      </c>
      <c r="B301">
        <f>IF(A301="","",'Employees'!C7)</f>
        <v/>
      </c>
      <c r="C301">
        <f>IF(A301="","",'Employees'!D7)</f>
        <v/>
      </c>
      <c r="D301">
        <f>IF(A301="","",'Skill Matrix'!C24)</f>
        <v/>
      </c>
      <c r="E301">
        <f>IF(A301="","",'Skill Matrix'!D24)</f>
        <v/>
      </c>
      <c r="F301">
        <f>IF(AND('Skill Matrix'!A24&lt;&gt;"",'Skill Matrix'!P5&lt;&gt;""),'Skill Matrix'!P5,"")</f>
        <v/>
      </c>
      <c r="G301">
        <f>IF(OR(A301="",'Skill Matrix'!P24=""),"",'Skill Matrix'!P24)</f>
        <v/>
      </c>
      <c r="H301">
        <f>IF(A301="","",'Employees'!F7)</f>
        <v/>
      </c>
    </row>
    <row r="302">
      <c r="A302">
        <f>IF(AND('Skill Matrix'!A24&lt;&gt;"",'Skill Matrix'!Q5&lt;&gt;""),'Skill Matrix'!A24,"")</f>
        <v/>
      </c>
      <c r="B302">
        <f>IF(A302="","",'Employees'!C7)</f>
        <v/>
      </c>
      <c r="C302">
        <f>IF(A302="","",'Employees'!D7)</f>
        <v/>
      </c>
      <c r="D302">
        <f>IF(A302="","",'Skill Matrix'!C24)</f>
        <v/>
      </c>
      <c r="E302">
        <f>IF(A302="","",'Skill Matrix'!D24)</f>
        <v/>
      </c>
      <c r="F302">
        <f>IF(AND('Skill Matrix'!A24&lt;&gt;"",'Skill Matrix'!Q5&lt;&gt;""),'Skill Matrix'!Q5,"")</f>
        <v/>
      </c>
      <c r="G302">
        <f>IF(OR(A302="",'Skill Matrix'!Q24=""),"",'Skill Matrix'!Q24)</f>
        <v/>
      </c>
      <c r="H302">
        <f>IF(A302="","",'Employees'!F7)</f>
        <v/>
      </c>
    </row>
    <row r="303">
      <c r="A303">
        <f>IF(AND('Skill Matrix'!A24&lt;&gt;"",'Skill Matrix'!R5&lt;&gt;""),'Skill Matrix'!A24,"")</f>
        <v/>
      </c>
      <c r="B303">
        <f>IF(A303="","",'Employees'!C7)</f>
        <v/>
      </c>
      <c r="C303">
        <f>IF(A303="","",'Employees'!D7)</f>
        <v/>
      </c>
      <c r="D303">
        <f>IF(A303="","",'Skill Matrix'!C24)</f>
        <v/>
      </c>
      <c r="E303">
        <f>IF(A303="","",'Skill Matrix'!D24)</f>
        <v/>
      </c>
      <c r="F303">
        <f>IF(AND('Skill Matrix'!A24&lt;&gt;"",'Skill Matrix'!R5&lt;&gt;""),'Skill Matrix'!R5,"")</f>
        <v/>
      </c>
      <c r="G303">
        <f>IF(OR(A303="",'Skill Matrix'!R24=""),"",'Skill Matrix'!R24)</f>
        <v/>
      </c>
      <c r="H303">
        <f>IF(A303="","",'Employees'!F7)</f>
        <v/>
      </c>
    </row>
    <row r="304">
      <c r="A304">
        <f>IF(AND('Skill Matrix'!A24&lt;&gt;"",'Skill Matrix'!S5&lt;&gt;""),'Skill Matrix'!A24,"")</f>
        <v/>
      </c>
      <c r="B304">
        <f>IF(A304="","",'Employees'!C7)</f>
        <v/>
      </c>
      <c r="C304">
        <f>IF(A304="","",'Employees'!D7)</f>
        <v/>
      </c>
      <c r="D304">
        <f>IF(A304="","",'Skill Matrix'!C24)</f>
        <v/>
      </c>
      <c r="E304">
        <f>IF(A304="","",'Skill Matrix'!D24)</f>
        <v/>
      </c>
      <c r="F304">
        <f>IF(AND('Skill Matrix'!A24&lt;&gt;"",'Skill Matrix'!S5&lt;&gt;""),'Skill Matrix'!S5,"")</f>
        <v/>
      </c>
      <c r="G304">
        <f>IF(OR(A304="",'Skill Matrix'!S24=""),"",'Skill Matrix'!S24)</f>
        <v/>
      </c>
      <c r="H304">
        <f>IF(A304="","",'Employees'!F7)</f>
        <v/>
      </c>
    </row>
    <row r="305">
      <c r="A305">
        <f>IF(AND('Skill Matrix'!A24&lt;&gt;"",'Skill Matrix'!T5&lt;&gt;""),'Skill Matrix'!A24,"")</f>
        <v/>
      </c>
      <c r="B305">
        <f>IF(A305="","",'Employees'!C7)</f>
        <v/>
      </c>
      <c r="C305">
        <f>IF(A305="","",'Employees'!D7)</f>
        <v/>
      </c>
      <c r="D305">
        <f>IF(A305="","",'Skill Matrix'!C24)</f>
        <v/>
      </c>
      <c r="E305">
        <f>IF(A305="","",'Skill Matrix'!D24)</f>
        <v/>
      </c>
      <c r="F305">
        <f>IF(AND('Skill Matrix'!A24&lt;&gt;"",'Skill Matrix'!T5&lt;&gt;""),'Skill Matrix'!T5,"")</f>
        <v/>
      </c>
      <c r="G305">
        <f>IF(OR(A305="",'Skill Matrix'!T24=""),"",'Skill Matrix'!T24)</f>
        <v/>
      </c>
      <c r="H305">
        <f>IF(A305="","",'Employees'!F7)</f>
        <v/>
      </c>
    </row>
    <row r="306">
      <c r="A306">
        <f>IF(AND('Skill Matrix'!A25&lt;&gt;"",'Skill Matrix'!E5&lt;&gt;""),'Skill Matrix'!A25,"")</f>
        <v/>
      </c>
      <c r="B306">
        <f>IF(A306="","",'Employees'!C7)</f>
        <v/>
      </c>
      <c r="C306">
        <f>IF(A306="","",'Employees'!D7)</f>
        <v/>
      </c>
      <c r="D306">
        <f>IF(A306="","",'Skill Matrix'!C25)</f>
        <v/>
      </c>
      <c r="E306">
        <f>IF(A306="","",'Skill Matrix'!D25)</f>
        <v/>
      </c>
      <c r="F306">
        <f>IF(AND('Skill Matrix'!A25&lt;&gt;"",'Skill Matrix'!E5&lt;&gt;""),'Skill Matrix'!E5,"")</f>
        <v/>
      </c>
      <c r="G306">
        <f>IF(OR(A306="",'Skill Matrix'!E25=""),"",'Skill Matrix'!E25)</f>
        <v/>
      </c>
      <c r="H306">
        <f>IF(A306="","",'Employees'!F7)</f>
        <v/>
      </c>
    </row>
    <row r="307">
      <c r="A307">
        <f>IF(AND('Skill Matrix'!A25&lt;&gt;"",'Skill Matrix'!F5&lt;&gt;""),'Skill Matrix'!A25,"")</f>
        <v/>
      </c>
      <c r="B307">
        <f>IF(A307="","",'Employees'!C7)</f>
        <v/>
      </c>
      <c r="C307">
        <f>IF(A307="","",'Employees'!D7)</f>
        <v/>
      </c>
      <c r="D307">
        <f>IF(A307="","",'Skill Matrix'!C25)</f>
        <v/>
      </c>
      <c r="E307">
        <f>IF(A307="","",'Skill Matrix'!D25)</f>
        <v/>
      </c>
      <c r="F307">
        <f>IF(AND('Skill Matrix'!A25&lt;&gt;"",'Skill Matrix'!F5&lt;&gt;""),'Skill Matrix'!F5,"")</f>
        <v/>
      </c>
      <c r="G307">
        <f>IF(OR(A307="",'Skill Matrix'!F25=""),"",'Skill Matrix'!F25)</f>
        <v/>
      </c>
      <c r="H307">
        <f>IF(A307="","",'Employees'!F7)</f>
        <v/>
      </c>
    </row>
    <row r="308">
      <c r="A308">
        <f>IF(AND('Skill Matrix'!A25&lt;&gt;"",'Skill Matrix'!G5&lt;&gt;""),'Skill Matrix'!A25,"")</f>
        <v/>
      </c>
      <c r="B308">
        <f>IF(A308="","",'Employees'!C7)</f>
        <v/>
      </c>
      <c r="C308">
        <f>IF(A308="","",'Employees'!D7)</f>
        <v/>
      </c>
      <c r="D308">
        <f>IF(A308="","",'Skill Matrix'!C25)</f>
        <v/>
      </c>
      <c r="E308">
        <f>IF(A308="","",'Skill Matrix'!D25)</f>
        <v/>
      </c>
      <c r="F308">
        <f>IF(AND('Skill Matrix'!A25&lt;&gt;"",'Skill Matrix'!G5&lt;&gt;""),'Skill Matrix'!G5,"")</f>
        <v/>
      </c>
      <c r="G308">
        <f>IF(OR(A308="",'Skill Matrix'!G25=""),"",'Skill Matrix'!G25)</f>
        <v/>
      </c>
      <c r="H308">
        <f>IF(A308="","",'Employees'!F7)</f>
        <v/>
      </c>
    </row>
    <row r="309">
      <c r="A309">
        <f>IF(AND('Skill Matrix'!A25&lt;&gt;"",'Skill Matrix'!H5&lt;&gt;""),'Skill Matrix'!A25,"")</f>
        <v/>
      </c>
      <c r="B309">
        <f>IF(A309="","",'Employees'!C7)</f>
        <v/>
      </c>
      <c r="C309">
        <f>IF(A309="","",'Employees'!D7)</f>
        <v/>
      </c>
      <c r="D309">
        <f>IF(A309="","",'Skill Matrix'!C25)</f>
        <v/>
      </c>
      <c r="E309">
        <f>IF(A309="","",'Skill Matrix'!D25)</f>
        <v/>
      </c>
      <c r="F309">
        <f>IF(AND('Skill Matrix'!A25&lt;&gt;"",'Skill Matrix'!H5&lt;&gt;""),'Skill Matrix'!H5,"")</f>
        <v/>
      </c>
      <c r="G309">
        <f>IF(OR(A309="",'Skill Matrix'!H25=""),"",'Skill Matrix'!H25)</f>
        <v/>
      </c>
      <c r="H309">
        <f>IF(A309="","",'Employees'!F7)</f>
        <v/>
      </c>
    </row>
    <row r="310">
      <c r="A310">
        <f>IF(AND('Skill Matrix'!A25&lt;&gt;"",'Skill Matrix'!I5&lt;&gt;""),'Skill Matrix'!A25,"")</f>
        <v/>
      </c>
      <c r="B310">
        <f>IF(A310="","",'Employees'!C7)</f>
        <v/>
      </c>
      <c r="C310">
        <f>IF(A310="","",'Employees'!D7)</f>
        <v/>
      </c>
      <c r="D310">
        <f>IF(A310="","",'Skill Matrix'!C25)</f>
        <v/>
      </c>
      <c r="E310">
        <f>IF(A310="","",'Skill Matrix'!D25)</f>
        <v/>
      </c>
      <c r="F310">
        <f>IF(AND('Skill Matrix'!A25&lt;&gt;"",'Skill Matrix'!I5&lt;&gt;""),'Skill Matrix'!I5,"")</f>
        <v/>
      </c>
      <c r="G310">
        <f>IF(OR(A310="",'Skill Matrix'!I25=""),"",'Skill Matrix'!I25)</f>
        <v/>
      </c>
      <c r="H310">
        <f>IF(A310="","",'Employees'!F7)</f>
        <v/>
      </c>
    </row>
    <row r="311">
      <c r="A311">
        <f>IF(AND('Skill Matrix'!A25&lt;&gt;"",'Skill Matrix'!J5&lt;&gt;""),'Skill Matrix'!A25,"")</f>
        <v/>
      </c>
      <c r="B311">
        <f>IF(A311="","",'Employees'!C7)</f>
        <v/>
      </c>
      <c r="C311">
        <f>IF(A311="","",'Employees'!D7)</f>
        <v/>
      </c>
      <c r="D311">
        <f>IF(A311="","",'Skill Matrix'!C25)</f>
        <v/>
      </c>
      <c r="E311">
        <f>IF(A311="","",'Skill Matrix'!D25)</f>
        <v/>
      </c>
      <c r="F311">
        <f>IF(AND('Skill Matrix'!A25&lt;&gt;"",'Skill Matrix'!J5&lt;&gt;""),'Skill Matrix'!J5,"")</f>
        <v/>
      </c>
      <c r="G311">
        <f>IF(OR(A311="",'Skill Matrix'!J25=""),"",'Skill Matrix'!J25)</f>
        <v/>
      </c>
      <c r="H311">
        <f>IF(A311="","",'Employees'!F7)</f>
        <v/>
      </c>
    </row>
    <row r="312">
      <c r="A312">
        <f>IF(AND('Skill Matrix'!A25&lt;&gt;"",'Skill Matrix'!K5&lt;&gt;""),'Skill Matrix'!A25,"")</f>
        <v/>
      </c>
      <c r="B312">
        <f>IF(A312="","",'Employees'!C7)</f>
        <v/>
      </c>
      <c r="C312">
        <f>IF(A312="","",'Employees'!D7)</f>
        <v/>
      </c>
      <c r="D312">
        <f>IF(A312="","",'Skill Matrix'!C25)</f>
        <v/>
      </c>
      <c r="E312">
        <f>IF(A312="","",'Skill Matrix'!D25)</f>
        <v/>
      </c>
      <c r="F312">
        <f>IF(AND('Skill Matrix'!A25&lt;&gt;"",'Skill Matrix'!K5&lt;&gt;""),'Skill Matrix'!K5,"")</f>
        <v/>
      </c>
      <c r="G312">
        <f>IF(OR(A312="",'Skill Matrix'!K25=""),"",'Skill Matrix'!K25)</f>
        <v/>
      </c>
      <c r="H312">
        <f>IF(A312="","",'Employees'!F7)</f>
        <v/>
      </c>
    </row>
    <row r="313">
      <c r="A313">
        <f>IF(AND('Skill Matrix'!A25&lt;&gt;"",'Skill Matrix'!L5&lt;&gt;""),'Skill Matrix'!A25,"")</f>
        <v/>
      </c>
      <c r="B313">
        <f>IF(A313="","",'Employees'!C7)</f>
        <v/>
      </c>
      <c r="C313">
        <f>IF(A313="","",'Employees'!D7)</f>
        <v/>
      </c>
      <c r="D313">
        <f>IF(A313="","",'Skill Matrix'!C25)</f>
        <v/>
      </c>
      <c r="E313">
        <f>IF(A313="","",'Skill Matrix'!D25)</f>
        <v/>
      </c>
      <c r="F313">
        <f>IF(AND('Skill Matrix'!A25&lt;&gt;"",'Skill Matrix'!L5&lt;&gt;""),'Skill Matrix'!L5,"")</f>
        <v/>
      </c>
      <c r="G313">
        <f>IF(OR(A313="",'Skill Matrix'!L25=""),"",'Skill Matrix'!L25)</f>
        <v/>
      </c>
      <c r="H313">
        <f>IF(A313="","",'Employees'!F7)</f>
        <v/>
      </c>
    </row>
    <row r="314">
      <c r="A314">
        <f>IF(AND('Skill Matrix'!A25&lt;&gt;"",'Skill Matrix'!M5&lt;&gt;""),'Skill Matrix'!A25,"")</f>
        <v/>
      </c>
      <c r="B314">
        <f>IF(A314="","",'Employees'!C7)</f>
        <v/>
      </c>
      <c r="C314">
        <f>IF(A314="","",'Employees'!D7)</f>
        <v/>
      </c>
      <c r="D314">
        <f>IF(A314="","",'Skill Matrix'!C25)</f>
        <v/>
      </c>
      <c r="E314">
        <f>IF(A314="","",'Skill Matrix'!D25)</f>
        <v/>
      </c>
      <c r="F314">
        <f>IF(AND('Skill Matrix'!A25&lt;&gt;"",'Skill Matrix'!M5&lt;&gt;""),'Skill Matrix'!M5,"")</f>
        <v/>
      </c>
      <c r="G314">
        <f>IF(OR(A314="",'Skill Matrix'!M25=""),"",'Skill Matrix'!M25)</f>
        <v/>
      </c>
      <c r="H314">
        <f>IF(A314="","",'Employees'!F7)</f>
        <v/>
      </c>
    </row>
    <row r="315">
      <c r="A315">
        <f>IF(AND('Skill Matrix'!A25&lt;&gt;"",'Skill Matrix'!N5&lt;&gt;""),'Skill Matrix'!A25,"")</f>
        <v/>
      </c>
      <c r="B315">
        <f>IF(A315="","",'Employees'!C7)</f>
        <v/>
      </c>
      <c r="C315">
        <f>IF(A315="","",'Employees'!D7)</f>
        <v/>
      </c>
      <c r="D315">
        <f>IF(A315="","",'Skill Matrix'!C25)</f>
        <v/>
      </c>
      <c r="E315">
        <f>IF(A315="","",'Skill Matrix'!D25)</f>
        <v/>
      </c>
      <c r="F315">
        <f>IF(AND('Skill Matrix'!A25&lt;&gt;"",'Skill Matrix'!N5&lt;&gt;""),'Skill Matrix'!N5,"")</f>
        <v/>
      </c>
      <c r="G315">
        <f>IF(OR(A315="",'Skill Matrix'!N25=""),"",'Skill Matrix'!N25)</f>
        <v/>
      </c>
      <c r="H315">
        <f>IF(A315="","",'Employees'!F7)</f>
        <v/>
      </c>
    </row>
    <row r="316">
      <c r="A316">
        <f>IF(AND('Skill Matrix'!A25&lt;&gt;"",'Skill Matrix'!O5&lt;&gt;""),'Skill Matrix'!A25,"")</f>
        <v/>
      </c>
      <c r="B316">
        <f>IF(A316="","",'Employees'!C7)</f>
        <v/>
      </c>
      <c r="C316">
        <f>IF(A316="","",'Employees'!D7)</f>
        <v/>
      </c>
      <c r="D316">
        <f>IF(A316="","",'Skill Matrix'!C25)</f>
        <v/>
      </c>
      <c r="E316">
        <f>IF(A316="","",'Skill Matrix'!D25)</f>
        <v/>
      </c>
      <c r="F316">
        <f>IF(AND('Skill Matrix'!A25&lt;&gt;"",'Skill Matrix'!O5&lt;&gt;""),'Skill Matrix'!O5,"")</f>
        <v/>
      </c>
      <c r="G316">
        <f>IF(OR(A316="",'Skill Matrix'!O25=""),"",'Skill Matrix'!O25)</f>
        <v/>
      </c>
      <c r="H316">
        <f>IF(A316="","",'Employees'!F7)</f>
        <v/>
      </c>
    </row>
    <row r="317">
      <c r="A317">
        <f>IF(AND('Skill Matrix'!A25&lt;&gt;"",'Skill Matrix'!P5&lt;&gt;""),'Skill Matrix'!A25,"")</f>
        <v/>
      </c>
      <c r="B317">
        <f>IF(A317="","",'Employees'!C7)</f>
        <v/>
      </c>
      <c r="C317">
        <f>IF(A317="","",'Employees'!D7)</f>
        <v/>
      </c>
      <c r="D317">
        <f>IF(A317="","",'Skill Matrix'!C25)</f>
        <v/>
      </c>
      <c r="E317">
        <f>IF(A317="","",'Skill Matrix'!D25)</f>
        <v/>
      </c>
      <c r="F317">
        <f>IF(AND('Skill Matrix'!A25&lt;&gt;"",'Skill Matrix'!P5&lt;&gt;""),'Skill Matrix'!P5,"")</f>
        <v/>
      </c>
      <c r="G317">
        <f>IF(OR(A317="",'Skill Matrix'!P25=""),"",'Skill Matrix'!P25)</f>
        <v/>
      </c>
      <c r="H317">
        <f>IF(A317="","",'Employees'!F7)</f>
        <v/>
      </c>
    </row>
    <row r="318">
      <c r="A318">
        <f>IF(AND('Skill Matrix'!A25&lt;&gt;"",'Skill Matrix'!Q5&lt;&gt;""),'Skill Matrix'!A25,"")</f>
        <v/>
      </c>
      <c r="B318">
        <f>IF(A318="","",'Employees'!C7)</f>
        <v/>
      </c>
      <c r="C318">
        <f>IF(A318="","",'Employees'!D7)</f>
        <v/>
      </c>
      <c r="D318">
        <f>IF(A318="","",'Skill Matrix'!C25)</f>
        <v/>
      </c>
      <c r="E318">
        <f>IF(A318="","",'Skill Matrix'!D25)</f>
        <v/>
      </c>
      <c r="F318">
        <f>IF(AND('Skill Matrix'!A25&lt;&gt;"",'Skill Matrix'!Q5&lt;&gt;""),'Skill Matrix'!Q5,"")</f>
        <v/>
      </c>
      <c r="G318">
        <f>IF(OR(A318="",'Skill Matrix'!Q25=""),"",'Skill Matrix'!Q25)</f>
        <v/>
      </c>
      <c r="H318">
        <f>IF(A318="","",'Employees'!F7)</f>
        <v/>
      </c>
    </row>
    <row r="319">
      <c r="A319">
        <f>IF(AND('Skill Matrix'!A25&lt;&gt;"",'Skill Matrix'!R5&lt;&gt;""),'Skill Matrix'!A25,"")</f>
        <v/>
      </c>
      <c r="B319">
        <f>IF(A319="","",'Employees'!C7)</f>
        <v/>
      </c>
      <c r="C319">
        <f>IF(A319="","",'Employees'!D7)</f>
        <v/>
      </c>
      <c r="D319">
        <f>IF(A319="","",'Skill Matrix'!C25)</f>
        <v/>
      </c>
      <c r="E319">
        <f>IF(A319="","",'Skill Matrix'!D25)</f>
        <v/>
      </c>
      <c r="F319">
        <f>IF(AND('Skill Matrix'!A25&lt;&gt;"",'Skill Matrix'!R5&lt;&gt;""),'Skill Matrix'!R5,"")</f>
        <v/>
      </c>
      <c r="G319">
        <f>IF(OR(A319="",'Skill Matrix'!R25=""),"",'Skill Matrix'!R25)</f>
        <v/>
      </c>
      <c r="H319">
        <f>IF(A319="","",'Employees'!F7)</f>
        <v/>
      </c>
    </row>
    <row r="320">
      <c r="A320">
        <f>IF(AND('Skill Matrix'!A25&lt;&gt;"",'Skill Matrix'!S5&lt;&gt;""),'Skill Matrix'!A25,"")</f>
        <v/>
      </c>
      <c r="B320">
        <f>IF(A320="","",'Employees'!C7)</f>
        <v/>
      </c>
      <c r="C320">
        <f>IF(A320="","",'Employees'!D7)</f>
        <v/>
      </c>
      <c r="D320">
        <f>IF(A320="","",'Skill Matrix'!C25)</f>
        <v/>
      </c>
      <c r="E320">
        <f>IF(A320="","",'Skill Matrix'!D25)</f>
        <v/>
      </c>
      <c r="F320">
        <f>IF(AND('Skill Matrix'!A25&lt;&gt;"",'Skill Matrix'!S5&lt;&gt;""),'Skill Matrix'!S5,"")</f>
        <v/>
      </c>
      <c r="G320">
        <f>IF(OR(A320="",'Skill Matrix'!S25=""),"",'Skill Matrix'!S25)</f>
        <v/>
      </c>
      <c r="H320">
        <f>IF(A320="","",'Employees'!F7)</f>
        <v/>
      </c>
    </row>
    <row r="321">
      <c r="A321">
        <f>IF(AND('Skill Matrix'!A25&lt;&gt;"",'Skill Matrix'!T5&lt;&gt;""),'Skill Matrix'!A25,"")</f>
        <v/>
      </c>
      <c r="B321">
        <f>IF(A321="","",'Employees'!C7)</f>
        <v/>
      </c>
      <c r="C321">
        <f>IF(A321="","",'Employees'!D7)</f>
        <v/>
      </c>
      <c r="D321">
        <f>IF(A321="","",'Skill Matrix'!C25)</f>
        <v/>
      </c>
      <c r="E321">
        <f>IF(A321="","",'Skill Matrix'!D25)</f>
        <v/>
      </c>
      <c r="F321">
        <f>IF(AND('Skill Matrix'!A25&lt;&gt;"",'Skill Matrix'!T5&lt;&gt;""),'Skill Matrix'!T5,"")</f>
        <v/>
      </c>
      <c r="G321">
        <f>IF(OR(A321="",'Skill Matrix'!T25=""),"",'Skill Matrix'!T25)</f>
        <v/>
      </c>
      <c r="H321">
        <f>IF(A321="","",'Employees'!F7)</f>
        <v/>
      </c>
    </row>
    <row r="322">
      <c r="A322">
        <f>IF(AND('Skill Matrix'!A26&lt;&gt;"",'Skill Matrix'!E5&lt;&gt;""),'Skill Matrix'!A26,"")</f>
        <v/>
      </c>
      <c r="B322">
        <f>IF(A322="","",'Employees'!C7)</f>
        <v/>
      </c>
      <c r="C322">
        <f>IF(A322="","",'Employees'!D7)</f>
        <v/>
      </c>
      <c r="D322">
        <f>IF(A322="","",'Skill Matrix'!C26)</f>
        <v/>
      </c>
      <c r="E322">
        <f>IF(A322="","",'Skill Matrix'!D26)</f>
        <v/>
      </c>
      <c r="F322">
        <f>IF(AND('Skill Matrix'!A26&lt;&gt;"",'Skill Matrix'!E5&lt;&gt;""),'Skill Matrix'!E5,"")</f>
        <v/>
      </c>
      <c r="G322">
        <f>IF(OR(A322="",'Skill Matrix'!E26=""),"",'Skill Matrix'!E26)</f>
        <v/>
      </c>
      <c r="H322">
        <f>IF(A322="","",'Employees'!F7)</f>
        <v/>
      </c>
    </row>
    <row r="323">
      <c r="A323">
        <f>IF(AND('Skill Matrix'!A26&lt;&gt;"",'Skill Matrix'!F5&lt;&gt;""),'Skill Matrix'!A26,"")</f>
        <v/>
      </c>
      <c r="B323">
        <f>IF(A323="","",'Employees'!C7)</f>
        <v/>
      </c>
      <c r="C323">
        <f>IF(A323="","",'Employees'!D7)</f>
        <v/>
      </c>
      <c r="D323">
        <f>IF(A323="","",'Skill Matrix'!C26)</f>
        <v/>
      </c>
      <c r="E323">
        <f>IF(A323="","",'Skill Matrix'!D26)</f>
        <v/>
      </c>
      <c r="F323">
        <f>IF(AND('Skill Matrix'!A26&lt;&gt;"",'Skill Matrix'!F5&lt;&gt;""),'Skill Matrix'!F5,"")</f>
        <v/>
      </c>
      <c r="G323">
        <f>IF(OR(A323="",'Skill Matrix'!F26=""),"",'Skill Matrix'!F26)</f>
        <v/>
      </c>
      <c r="H323">
        <f>IF(A323="","",'Employees'!F7)</f>
        <v/>
      </c>
    </row>
    <row r="324">
      <c r="A324">
        <f>IF(AND('Skill Matrix'!A26&lt;&gt;"",'Skill Matrix'!G5&lt;&gt;""),'Skill Matrix'!A26,"")</f>
        <v/>
      </c>
      <c r="B324">
        <f>IF(A324="","",'Employees'!C7)</f>
        <v/>
      </c>
      <c r="C324">
        <f>IF(A324="","",'Employees'!D7)</f>
        <v/>
      </c>
      <c r="D324">
        <f>IF(A324="","",'Skill Matrix'!C26)</f>
        <v/>
      </c>
      <c r="E324">
        <f>IF(A324="","",'Skill Matrix'!D26)</f>
        <v/>
      </c>
      <c r="F324">
        <f>IF(AND('Skill Matrix'!A26&lt;&gt;"",'Skill Matrix'!G5&lt;&gt;""),'Skill Matrix'!G5,"")</f>
        <v/>
      </c>
      <c r="G324">
        <f>IF(OR(A324="",'Skill Matrix'!G26=""),"",'Skill Matrix'!G26)</f>
        <v/>
      </c>
      <c r="H324">
        <f>IF(A324="","",'Employees'!F7)</f>
        <v/>
      </c>
    </row>
    <row r="325">
      <c r="A325">
        <f>IF(AND('Skill Matrix'!A26&lt;&gt;"",'Skill Matrix'!H5&lt;&gt;""),'Skill Matrix'!A26,"")</f>
        <v/>
      </c>
      <c r="B325">
        <f>IF(A325="","",'Employees'!C7)</f>
        <v/>
      </c>
      <c r="C325">
        <f>IF(A325="","",'Employees'!D7)</f>
        <v/>
      </c>
      <c r="D325">
        <f>IF(A325="","",'Skill Matrix'!C26)</f>
        <v/>
      </c>
      <c r="E325">
        <f>IF(A325="","",'Skill Matrix'!D26)</f>
        <v/>
      </c>
      <c r="F325">
        <f>IF(AND('Skill Matrix'!A26&lt;&gt;"",'Skill Matrix'!H5&lt;&gt;""),'Skill Matrix'!H5,"")</f>
        <v/>
      </c>
      <c r="G325">
        <f>IF(OR(A325="",'Skill Matrix'!H26=""),"",'Skill Matrix'!H26)</f>
        <v/>
      </c>
      <c r="H325">
        <f>IF(A325="","",'Employees'!F7)</f>
        <v/>
      </c>
    </row>
    <row r="326">
      <c r="A326">
        <f>IF(AND('Skill Matrix'!A26&lt;&gt;"",'Skill Matrix'!I5&lt;&gt;""),'Skill Matrix'!A26,"")</f>
        <v/>
      </c>
      <c r="B326">
        <f>IF(A326="","",'Employees'!C7)</f>
        <v/>
      </c>
      <c r="C326">
        <f>IF(A326="","",'Employees'!D7)</f>
        <v/>
      </c>
      <c r="D326">
        <f>IF(A326="","",'Skill Matrix'!C26)</f>
        <v/>
      </c>
      <c r="E326">
        <f>IF(A326="","",'Skill Matrix'!D26)</f>
        <v/>
      </c>
      <c r="F326">
        <f>IF(AND('Skill Matrix'!A26&lt;&gt;"",'Skill Matrix'!I5&lt;&gt;""),'Skill Matrix'!I5,"")</f>
        <v/>
      </c>
      <c r="G326">
        <f>IF(OR(A326="",'Skill Matrix'!I26=""),"",'Skill Matrix'!I26)</f>
        <v/>
      </c>
      <c r="H326">
        <f>IF(A326="","",'Employees'!F7)</f>
        <v/>
      </c>
    </row>
    <row r="327">
      <c r="A327">
        <f>IF(AND('Skill Matrix'!A26&lt;&gt;"",'Skill Matrix'!J5&lt;&gt;""),'Skill Matrix'!A26,"")</f>
        <v/>
      </c>
      <c r="B327">
        <f>IF(A327="","",'Employees'!C7)</f>
        <v/>
      </c>
      <c r="C327">
        <f>IF(A327="","",'Employees'!D7)</f>
        <v/>
      </c>
      <c r="D327">
        <f>IF(A327="","",'Skill Matrix'!C26)</f>
        <v/>
      </c>
      <c r="E327">
        <f>IF(A327="","",'Skill Matrix'!D26)</f>
        <v/>
      </c>
      <c r="F327">
        <f>IF(AND('Skill Matrix'!A26&lt;&gt;"",'Skill Matrix'!J5&lt;&gt;""),'Skill Matrix'!J5,"")</f>
        <v/>
      </c>
      <c r="G327">
        <f>IF(OR(A327="",'Skill Matrix'!J26=""),"",'Skill Matrix'!J26)</f>
        <v/>
      </c>
      <c r="H327">
        <f>IF(A327="","",'Employees'!F7)</f>
        <v/>
      </c>
    </row>
    <row r="328">
      <c r="A328">
        <f>IF(AND('Skill Matrix'!A26&lt;&gt;"",'Skill Matrix'!K5&lt;&gt;""),'Skill Matrix'!A26,"")</f>
        <v/>
      </c>
      <c r="B328">
        <f>IF(A328="","",'Employees'!C7)</f>
        <v/>
      </c>
      <c r="C328">
        <f>IF(A328="","",'Employees'!D7)</f>
        <v/>
      </c>
      <c r="D328">
        <f>IF(A328="","",'Skill Matrix'!C26)</f>
        <v/>
      </c>
      <c r="E328">
        <f>IF(A328="","",'Skill Matrix'!D26)</f>
        <v/>
      </c>
      <c r="F328">
        <f>IF(AND('Skill Matrix'!A26&lt;&gt;"",'Skill Matrix'!K5&lt;&gt;""),'Skill Matrix'!K5,"")</f>
        <v/>
      </c>
      <c r="G328">
        <f>IF(OR(A328="",'Skill Matrix'!K26=""),"",'Skill Matrix'!K26)</f>
        <v/>
      </c>
      <c r="H328">
        <f>IF(A328="","",'Employees'!F7)</f>
        <v/>
      </c>
    </row>
    <row r="329">
      <c r="A329">
        <f>IF(AND('Skill Matrix'!A26&lt;&gt;"",'Skill Matrix'!L5&lt;&gt;""),'Skill Matrix'!A26,"")</f>
        <v/>
      </c>
      <c r="B329">
        <f>IF(A329="","",'Employees'!C7)</f>
        <v/>
      </c>
      <c r="C329">
        <f>IF(A329="","",'Employees'!D7)</f>
        <v/>
      </c>
      <c r="D329">
        <f>IF(A329="","",'Skill Matrix'!C26)</f>
        <v/>
      </c>
      <c r="E329">
        <f>IF(A329="","",'Skill Matrix'!D26)</f>
        <v/>
      </c>
      <c r="F329">
        <f>IF(AND('Skill Matrix'!A26&lt;&gt;"",'Skill Matrix'!L5&lt;&gt;""),'Skill Matrix'!L5,"")</f>
        <v/>
      </c>
      <c r="G329">
        <f>IF(OR(A329="",'Skill Matrix'!L26=""),"",'Skill Matrix'!L26)</f>
        <v/>
      </c>
      <c r="H329">
        <f>IF(A329="","",'Employees'!F7)</f>
        <v/>
      </c>
    </row>
    <row r="330">
      <c r="A330">
        <f>IF(AND('Skill Matrix'!A26&lt;&gt;"",'Skill Matrix'!M5&lt;&gt;""),'Skill Matrix'!A26,"")</f>
        <v/>
      </c>
      <c r="B330">
        <f>IF(A330="","",'Employees'!C7)</f>
        <v/>
      </c>
      <c r="C330">
        <f>IF(A330="","",'Employees'!D7)</f>
        <v/>
      </c>
      <c r="D330">
        <f>IF(A330="","",'Skill Matrix'!C26)</f>
        <v/>
      </c>
      <c r="E330">
        <f>IF(A330="","",'Skill Matrix'!D26)</f>
        <v/>
      </c>
      <c r="F330">
        <f>IF(AND('Skill Matrix'!A26&lt;&gt;"",'Skill Matrix'!M5&lt;&gt;""),'Skill Matrix'!M5,"")</f>
        <v/>
      </c>
      <c r="G330">
        <f>IF(OR(A330="",'Skill Matrix'!M26=""),"",'Skill Matrix'!M26)</f>
        <v/>
      </c>
      <c r="H330">
        <f>IF(A330="","",'Employees'!F7)</f>
        <v/>
      </c>
    </row>
    <row r="331">
      <c r="A331">
        <f>IF(AND('Skill Matrix'!A26&lt;&gt;"",'Skill Matrix'!N5&lt;&gt;""),'Skill Matrix'!A26,"")</f>
        <v/>
      </c>
      <c r="B331">
        <f>IF(A331="","",'Employees'!C7)</f>
        <v/>
      </c>
      <c r="C331">
        <f>IF(A331="","",'Employees'!D7)</f>
        <v/>
      </c>
      <c r="D331">
        <f>IF(A331="","",'Skill Matrix'!C26)</f>
        <v/>
      </c>
      <c r="E331">
        <f>IF(A331="","",'Skill Matrix'!D26)</f>
        <v/>
      </c>
      <c r="F331">
        <f>IF(AND('Skill Matrix'!A26&lt;&gt;"",'Skill Matrix'!N5&lt;&gt;""),'Skill Matrix'!N5,"")</f>
        <v/>
      </c>
      <c r="G331">
        <f>IF(OR(A331="",'Skill Matrix'!N26=""),"",'Skill Matrix'!N26)</f>
        <v/>
      </c>
      <c r="H331">
        <f>IF(A331="","",'Employees'!F7)</f>
        <v/>
      </c>
    </row>
    <row r="332">
      <c r="A332">
        <f>IF(AND('Skill Matrix'!A26&lt;&gt;"",'Skill Matrix'!O5&lt;&gt;""),'Skill Matrix'!A26,"")</f>
        <v/>
      </c>
      <c r="B332">
        <f>IF(A332="","",'Employees'!C7)</f>
        <v/>
      </c>
      <c r="C332">
        <f>IF(A332="","",'Employees'!D7)</f>
        <v/>
      </c>
      <c r="D332">
        <f>IF(A332="","",'Skill Matrix'!C26)</f>
        <v/>
      </c>
      <c r="E332">
        <f>IF(A332="","",'Skill Matrix'!D26)</f>
        <v/>
      </c>
      <c r="F332">
        <f>IF(AND('Skill Matrix'!A26&lt;&gt;"",'Skill Matrix'!O5&lt;&gt;""),'Skill Matrix'!O5,"")</f>
        <v/>
      </c>
      <c r="G332">
        <f>IF(OR(A332="",'Skill Matrix'!O26=""),"",'Skill Matrix'!O26)</f>
        <v/>
      </c>
      <c r="H332">
        <f>IF(A332="","",'Employees'!F7)</f>
        <v/>
      </c>
    </row>
    <row r="333">
      <c r="A333">
        <f>IF(AND('Skill Matrix'!A26&lt;&gt;"",'Skill Matrix'!P5&lt;&gt;""),'Skill Matrix'!A26,"")</f>
        <v/>
      </c>
      <c r="B333">
        <f>IF(A333="","",'Employees'!C7)</f>
        <v/>
      </c>
      <c r="C333">
        <f>IF(A333="","",'Employees'!D7)</f>
        <v/>
      </c>
      <c r="D333">
        <f>IF(A333="","",'Skill Matrix'!C26)</f>
        <v/>
      </c>
      <c r="E333">
        <f>IF(A333="","",'Skill Matrix'!D26)</f>
        <v/>
      </c>
      <c r="F333">
        <f>IF(AND('Skill Matrix'!A26&lt;&gt;"",'Skill Matrix'!P5&lt;&gt;""),'Skill Matrix'!P5,"")</f>
        <v/>
      </c>
      <c r="G333">
        <f>IF(OR(A333="",'Skill Matrix'!P26=""),"",'Skill Matrix'!P26)</f>
        <v/>
      </c>
      <c r="H333">
        <f>IF(A333="","",'Employees'!F7)</f>
        <v/>
      </c>
    </row>
    <row r="334">
      <c r="A334">
        <f>IF(AND('Skill Matrix'!A26&lt;&gt;"",'Skill Matrix'!Q5&lt;&gt;""),'Skill Matrix'!A26,"")</f>
        <v/>
      </c>
      <c r="B334">
        <f>IF(A334="","",'Employees'!C7)</f>
        <v/>
      </c>
      <c r="C334">
        <f>IF(A334="","",'Employees'!D7)</f>
        <v/>
      </c>
      <c r="D334">
        <f>IF(A334="","",'Skill Matrix'!C26)</f>
        <v/>
      </c>
      <c r="E334">
        <f>IF(A334="","",'Skill Matrix'!D26)</f>
        <v/>
      </c>
      <c r="F334">
        <f>IF(AND('Skill Matrix'!A26&lt;&gt;"",'Skill Matrix'!Q5&lt;&gt;""),'Skill Matrix'!Q5,"")</f>
        <v/>
      </c>
      <c r="G334">
        <f>IF(OR(A334="",'Skill Matrix'!Q26=""),"",'Skill Matrix'!Q26)</f>
        <v/>
      </c>
      <c r="H334">
        <f>IF(A334="","",'Employees'!F7)</f>
        <v/>
      </c>
    </row>
    <row r="335">
      <c r="A335">
        <f>IF(AND('Skill Matrix'!A26&lt;&gt;"",'Skill Matrix'!R5&lt;&gt;""),'Skill Matrix'!A26,"")</f>
        <v/>
      </c>
      <c r="B335">
        <f>IF(A335="","",'Employees'!C7)</f>
        <v/>
      </c>
      <c r="C335">
        <f>IF(A335="","",'Employees'!D7)</f>
        <v/>
      </c>
      <c r="D335">
        <f>IF(A335="","",'Skill Matrix'!C26)</f>
        <v/>
      </c>
      <c r="E335">
        <f>IF(A335="","",'Skill Matrix'!D26)</f>
        <v/>
      </c>
      <c r="F335">
        <f>IF(AND('Skill Matrix'!A26&lt;&gt;"",'Skill Matrix'!R5&lt;&gt;""),'Skill Matrix'!R5,"")</f>
        <v/>
      </c>
      <c r="G335">
        <f>IF(OR(A335="",'Skill Matrix'!R26=""),"",'Skill Matrix'!R26)</f>
        <v/>
      </c>
      <c r="H335">
        <f>IF(A335="","",'Employees'!F7)</f>
        <v/>
      </c>
    </row>
    <row r="336">
      <c r="A336">
        <f>IF(AND('Skill Matrix'!A26&lt;&gt;"",'Skill Matrix'!S5&lt;&gt;""),'Skill Matrix'!A26,"")</f>
        <v/>
      </c>
      <c r="B336">
        <f>IF(A336="","",'Employees'!C7)</f>
        <v/>
      </c>
      <c r="C336">
        <f>IF(A336="","",'Employees'!D7)</f>
        <v/>
      </c>
      <c r="D336">
        <f>IF(A336="","",'Skill Matrix'!C26)</f>
        <v/>
      </c>
      <c r="E336">
        <f>IF(A336="","",'Skill Matrix'!D26)</f>
        <v/>
      </c>
      <c r="F336">
        <f>IF(AND('Skill Matrix'!A26&lt;&gt;"",'Skill Matrix'!S5&lt;&gt;""),'Skill Matrix'!S5,"")</f>
        <v/>
      </c>
      <c r="G336">
        <f>IF(OR(A336="",'Skill Matrix'!S26=""),"",'Skill Matrix'!S26)</f>
        <v/>
      </c>
      <c r="H336">
        <f>IF(A336="","",'Employees'!F7)</f>
        <v/>
      </c>
    </row>
    <row r="337">
      <c r="A337">
        <f>IF(AND('Skill Matrix'!A26&lt;&gt;"",'Skill Matrix'!T5&lt;&gt;""),'Skill Matrix'!A26,"")</f>
        <v/>
      </c>
      <c r="B337">
        <f>IF(A337="","",'Employees'!C7)</f>
        <v/>
      </c>
      <c r="C337">
        <f>IF(A337="","",'Employees'!D7)</f>
        <v/>
      </c>
      <c r="D337">
        <f>IF(A337="","",'Skill Matrix'!C26)</f>
        <v/>
      </c>
      <c r="E337">
        <f>IF(A337="","",'Skill Matrix'!D26)</f>
        <v/>
      </c>
      <c r="F337">
        <f>IF(AND('Skill Matrix'!A26&lt;&gt;"",'Skill Matrix'!T5&lt;&gt;""),'Skill Matrix'!T5,"")</f>
        <v/>
      </c>
      <c r="G337">
        <f>IF(OR(A337="",'Skill Matrix'!T26=""),"",'Skill Matrix'!T26)</f>
        <v/>
      </c>
      <c r="H337">
        <f>IF(A337="","",'Employees'!F7)</f>
        <v/>
      </c>
    </row>
    <row r="338">
      <c r="A338">
        <f>IF(AND('Skill Matrix'!A27&lt;&gt;"",'Skill Matrix'!E5&lt;&gt;""),'Skill Matrix'!A27,"")</f>
        <v/>
      </c>
      <c r="B338">
        <f>IF(A338="","",'Employees'!C7)</f>
        <v/>
      </c>
      <c r="C338">
        <f>IF(A338="","",'Employees'!D7)</f>
        <v/>
      </c>
      <c r="D338">
        <f>IF(A338="","",'Skill Matrix'!C27)</f>
        <v/>
      </c>
      <c r="E338">
        <f>IF(A338="","",'Skill Matrix'!D27)</f>
        <v/>
      </c>
      <c r="F338">
        <f>IF(AND('Skill Matrix'!A27&lt;&gt;"",'Skill Matrix'!E5&lt;&gt;""),'Skill Matrix'!E5,"")</f>
        <v/>
      </c>
      <c r="G338">
        <f>IF(OR(A338="",'Skill Matrix'!E27=""),"",'Skill Matrix'!E27)</f>
        <v/>
      </c>
      <c r="H338">
        <f>IF(A338="","",'Employees'!F7)</f>
        <v/>
      </c>
    </row>
    <row r="339">
      <c r="A339">
        <f>IF(AND('Skill Matrix'!A27&lt;&gt;"",'Skill Matrix'!F5&lt;&gt;""),'Skill Matrix'!A27,"")</f>
        <v/>
      </c>
      <c r="B339">
        <f>IF(A339="","",'Employees'!C7)</f>
        <v/>
      </c>
      <c r="C339">
        <f>IF(A339="","",'Employees'!D7)</f>
        <v/>
      </c>
      <c r="D339">
        <f>IF(A339="","",'Skill Matrix'!C27)</f>
        <v/>
      </c>
      <c r="E339">
        <f>IF(A339="","",'Skill Matrix'!D27)</f>
        <v/>
      </c>
      <c r="F339">
        <f>IF(AND('Skill Matrix'!A27&lt;&gt;"",'Skill Matrix'!F5&lt;&gt;""),'Skill Matrix'!F5,"")</f>
        <v/>
      </c>
      <c r="G339">
        <f>IF(OR(A339="",'Skill Matrix'!F27=""),"",'Skill Matrix'!F27)</f>
        <v/>
      </c>
      <c r="H339">
        <f>IF(A339="","",'Employees'!F7)</f>
        <v/>
      </c>
    </row>
    <row r="340">
      <c r="A340">
        <f>IF(AND('Skill Matrix'!A27&lt;&gt;"",'Skill Matrix'!G5&lt;&gt;""),'Skill Matrix'!A27,"")</f>
        <v/>
      </c>
      <c r="B340">
        <f>IF(A340="","",'Employees'!C7)</f>
        <v/>
      </c>
      <c r="C340">
        <f>IF(A340="","",'Employees'!D7)</f>
        <v/>
      </c>
      <c r="D340">
        <f>IF(A340="","",'Skill Matrix'!C27)</f>
        <v/>
      </c>
      <c r="E340">
        <f>IF(A340="","",'Skill Matrix'!D27)</f>
        <v/>
      </c>
      <c r="F340">
        <f>IF(AND('Skill Matrix'!A27&lt;&gt;"",'Skill Matrix'!G5&lt;&gt;""),'Skill Matrix'!G5,"")</f>
        <v/>
      </c>
      <c r="G340">
        <f>IF(OR(A340="",'Skill Matrix'!G27=""),"",'Skill Matrix'!G27)</f>
        <v/>
      </c>
      <c r="H340">
        <f>IF(A340="","",'Employees'!F7)</f>
        <v/>
      </c>
    </row>
    <row r="341">
      <c r="A341">
        <f>IF(AND('Skill Matrix'!A27&lt;&gt;"",'Skill Matrix'!H5&lt;&gt;""),'Skill Matrix'!A27,"")</f>
        <v/>
      </c>
      <c r="B341">
        <f>IF(A341="","",'Employees'!C7)</f>
        <v/>
      </c>
      <c r="C341">
        <f>IF(A341="","",'Employees'!D7)</f>
        <v/>
      </c>
      <c r="D341">
        <f>IF(A341="","",'Skill Matrix'!C27)</f>
        <v/>
      </c>
      <c r="E341">
        <f>IF(A341="","",'Skill Matrix'!D27)</f>
        <v/>
      </c>
      <c r="F341">
        <f>IF(AND('Skill Matrix'!A27&lt;&gt;"",'Skill Matrix'!H5&lt;&gt;""),'Skill Matrix'!H5,"")</f>
        <v/>
      </c>
      <c r="G341">
        <f>IF(OR(A341="",'Skill Matrix'!H27=""),"",'Skill Matrix'!H27)</f>
        <v/>
      </c>
      <c r="H341">
        <f>IF(A341="","",'Employees'!F7)</f>
        <v/>
      </c>
    </row>
    <row r="342">
      <c r="A342">
        <f>IF(AND('Skill Matrix'!A27&lt;&gt;"",'Skill Matrix'!I5&lt;&gt;""),'Skill Matrix'!A27,"")</f>
        <v/>
      </c>
      <c r="B342">
        <f>IF(A342="","",'Employees'!C7)</f>
        <v/>
      </c>
      <c r="C342">
        <f>IF(A342="","",'Employees'!D7)</f>
        <v/>
      </c>
      <c r="D342">
        <f>IF(A342="","",'Skill Matrix'!C27)</f>
        <v/>
      </c>
      <c r="E342">
        <f>IF(A342="","",'Skill Matrix'!D27)</f>
        <v/>
      </c>
      <c r="F342">
        <f>IF(AND('Skill Matrix'!A27&lt;&gt;"",'Skill Matrix'!I5&lt;&gt;""),'Skill Matrix'!I5,"")</f>
        <v/>
      </c>
      <c r="G342">
        <f>IF(OR(A342="",'Skill Matrix'!I27=""),"",'Skill Matrix'!I27)</f>
        <v/>
      </c>
      <c r="H342">
        <f>IF(A342="","",'Employees'!F7)</f>
        <v/>
      </c>
    </row>
    <row r="343">
      <c r="A343">
        <f>IF(AND('Skill Matrix'!A27&lt;&gt;"",'Skill Matrix'!J5&lt;&gt;""),'Skill Matrix'!A27,"")</f>
        <v/>
      </c>
      <c r="B343">
        <f>IF(A343="","",'Employees'!C7)</f>
        <v/>
      </c>
      <c r="C343">
        <f>IF(A343="","",'Employees'!D7)</f>
        <v/>
      </c>
      <c r="D343">
        <f>IF(A343="","",'Skill Matrix'!C27)</f>
        <v/>
      </c>
      <c r="E343">
        <f>IF(A343="","",'Skill Matrix'!D27)</f>
        <v/>
      </c>
      <c r="F343">
        <f>IF(AND('Skill Matrix'!A27&lt;&gt;"",'Skill Matrix'!J5&lt;&gt;""),'Skill Matrix'!J5,"")</f>
        <v/>
      </c>
      <c r="G343">
        <f>IF(OR(A343="",'Skill Matrix'!J27=""),"",'Skill Matrix'!J27)</f>
        <v/>
      </c>
      <c r="H343">
        <f>IF(A343="","",'Employees'!F7)</f>
        <v/>
      </c>
    </row>
    <row r="344">
      <c r="A344">
        <f>IF(AND('Skill Matrix'!A27&lt;&gt;"",'Skill Matrix'!K5&lt;&gt;""),'Skill Matrix'!A27,"")</f>
        <v/>
      </c>
      <c r="B344">
        <f>IF(A344="","",'Employees'!C7)</f>
        <v/>
      </c>
      <c r="C344">
        <f>IF(A344="","",'Employees'!D7)</f>
        <v/>
      </c>
      <c r="D344">
        <f>IF(A344="","",'Skill Matrix'!C27)</f>
        <v/>
      </c>
      <c r="E344">
        <f>IF(A344="","",'Skill Matrix'!D27)</f>
        <v/>
      </c>
      <c r="F344">
        <f>IF(AND('Skill Matrix'!A27&lt;&gt;"",'Skill Matrix'!K5&lt;&gt;""),'Skill Matrix'!K5,"")</f>
        <v/>
      </c>
      <c r="G344">
        <f>IF(OR(A344="",'Skill Matrix'!K27=""),"",'Skill Matrix'!K27)</f>
        <v/>
      </c>
      <c r="H344">
        <f>IF(A344="","",'Employees'!F7)</f>
        <v/>
      </c>
    </row>
    <row r="345">
      <c r="A345">
        <f>IF(AND('Skill Matrix'!A27&lt;&gt;"",'Skill Matrix'!L5&lt;&gt;""),'Skill Matrix'!A27,"")</f>
        <v/>
      </c>
      <c r="B345">
        <f>IF(A345="","",'Employees'!C7)</f>
        <v/>
      </c>
      <c r="C345">
        <f>IF(A345="","",'Employees'!D7)</f>
        <v/>
      </c>
      <c r="D345">
        <f>IF(A345="","",'Skill Matrix'!C27)</f>
        <v/>
      </c>
      <c r="E345">
        <f>IF(A345="","",'Skill Matrix'!D27)</f>
        <v/>
      </c>
      <c r="F345">
        <f>IF(AND('Skill Matrix'!A27&lt;&gt;"",'Skill Matrix'!L5&lt;&gt;""),'Skill Matrix'!L5,"")</f>
        <v/>
      </c>
      <c r="G345">
        <f>IF(OR(A345="",'Skill Matrix'!L27=""),"",'Skill Matrix'!L27)</f>
        <v/>
      </c>
      <c r="H345">
        <f>IF(A345="","",'Employees'!F7)</f>
        <v/>
      </c>
    </row>
    <row r="346">
      <c r="A346">
        <f>IF(AND('Skill Matrix'!A27&lt;&gt;"",'Skill Matrix'!M5&lt;&gt;""),'Skill Matrix'!A27,"")</f>
        <v/>
      </c>
      <c r="B346">
        <f>IF(A346="","",'Employees'!C7)</f>
        <v/>
      </c>
      <c r="C346">
        <f>IF(A346="","",'Employees'!D7)</f>
        <v/>
      </c>
      <c r="D346">
        <f>IF(A346="","",'Skill Matrix'!C27)</f>
        <v/>
      </c>
      <c r="E346">
        <f>IF(A346="","",'Skill Matrix'!D27)</f>
        <v/>
      </c>
      <c r="F346">
        <f>IF(AND('Skill Matrix'!A27&lt;&gt;"",'Skill Matrix'!M5&lt;&gt;""),'Skill Matrix'!M5,"")</f>
        <v/>
      </c>
      <c r="G346">
        <f>IF(OR(A346="",'Skill Matrix'!M27=""),"",'Skill Matrix'!M27)</f>
        <v/>
      </c>
      <c r="H346">
        <f>IF(A346="","",'Employees'!F7)</f>
        <v/>
      </c>
    </row>
    <row r="347">
      <c r="A347">
        <f>IF(AND('Skill Matrix'!A27&lt;&gt;"",'Skill Matrix'!N5&lt;&gt;""),'Skill Matrix'!A27,"")</f>
        <v/>
      </c>
      <c r="B347">
        <f>IF(A347="","",'Employees'!C7)</f>
        <v/>
      </c>
      <c r="C347">
        <f>IF(A347="","",'Employees'!D7)</f>
        <v/>
      </c>
      <c r="D347">
        <f>IF(A347="","",'Skill Matrix'!C27)</f>
        <v/>
      </c>
      <c r="E347">
        <f>IF(A347="","",'Skill Matrix'!D27)</f>
        <v/>
      </c>
      <c r="F347">
        <f>IF(AND('Skill Matrix'!A27&lt;&gt;"",'Skill Matrix'!N5&lt;&gt;""),'Skill Matrix'!N5,"")</f>
        <v/>
      </c>
      <c r="G347">
        <f>IF(OR(A347="",'Skill Matrix'!N27=""),"",'Skill Matrix'!N27)</f>
        <v/>
      </c>
      <c r="H347">
        <f>IF(A347="","",'Employees'!F7)</f>
        <v/>
      </c>
    </row>
    <row r="348">
      <c r="A348">
        <f>IF(AND('Skill Matrix'!A27&lt;&gt;"",'Skill Matrix'!O5&lt;&gt;""),'Skill Matrix'!A27,"")</f>
        <v/>
      </c>
      <c r="B348">
        <f>IF(A348="","",'Employees'!C7)</f>
        <v/>
      </c>
      <c r="C348">
        <f>IF(A348="","",'Employees'!D7)</f>
        <v/>
      </c>
      <c r="D348">
        <f>IF(A348="","",'Skill Matrix'!C27)</f>
        <v/>
      </c>
      <c r="E348">
        <f>IF(A348="","",'Skill Matrix'!D27)</f>
        <v/>
      </c>
      <c r="F348">
        <f>IF(AND('Skill Matrix'!A27&lt;&gt;"",'Skill Matrix'!O5&lt;&gt;""),'Skill Matrix'!O5,"")</f>
        <v/>
      </c>
      <c r="G348">
        <f>IF(OR(A348="",'Skill Matrix'!O27=""),"",'Skill Matrix'!O27)</f>
        <v/>
      </c>
      <c r="H348">
        <f>IF(A348="","",'Employees'!F7)</f>
        <v/>
      </c>
    </row>
    <row r="349">
      <c r="A349">
        <f>IF(AND('Skill Matrix'!A27&lt;&gt;"",'Skill Matrix'!P5&lt;&gt;""),'Skill Matrix'!A27,"")</f>
        <v/>
      </c>
      <c r="B349">
        <f>IF(A349="","",'Employees'!C7)</f>
        <v/>
      </c>
      <c r="C349">
        <f>IF(A349="","",'Employees'!D7)</f>
        <v/>
      </c>
      <c r="D349">
        <f>IF(A349="","",'Skill Matrix'!C27)</f>
        <v/>
      </c>
      <c r="E349">
        <f>IF(A349="","",'Skill Matrix'!D27)</f>
        <v/>
      </c>
      <c r="F349">
        <f>IF(AND('Skill Matrix'!A27&lt;&gt;"",'Skill Matrix'!P5&lt;&gt;""),'Skill Matrix'!P5,"")</f>
        <v/>
      </c>
      <c r="G349">
        <f>IF(OR(A349="",'Skill Matrix'!P27=""),"",'Skill Matrix'!P27)</f>
        <v/>
      </c>
      <c r="H349">
        <f>IF(A349="","",'Employees'!F7)</f>
        <v/>
      </c>
    </row>
    <row r="350">
      <c r="A350">
        <f>IF(AND('Skill Matrix'!A27&lt;&gt;"",'Skill Matrix'!Q5&lt;&gt;""),'Skill Matrix'!A27,"")</f>
        <v/>
      </c>
      <c r="B350">
        <f>IF(A350="","",'Employees'!C7)</f>
        <v/>
      </c>
      <c r="C350">
        <f>IF(A350="","",'Employees'!D7)</f>
        <v/>
      </c>
      <c r="D350">
        <f>IF(A350="","",'Skill Matrix'!C27)</f>
        <v/>
      </c>
      <c r="E350">
        <f>IF(A350="","",'Skill Matrix'!D27)</f>
        <v/>
      </c>
      <c r="F350">
        <f>IF(AND('Skill Matrix'!A27&lt;&gt;"",'Skill Matrix'!Q5&lt;&gt;""),'Skill Matrix'!Q5,"")</f>
        <v/>
      </c>
      <c r="G350">
        <f>IF(OR(A350="",'Skill Matrix'!Q27=""),"",'Skill Matrix'!Q27)</f>
        <v/>
      </c>
      <c r="H350">
        <f>IF(A350="","",'Employees'!F7)</f>
        <v/>
      </c>
    </row>
    <row r="351">
      <c r="A351">
        <f>IF(AND('Skill Matrix'!A27&lt;&gt;"",'Skill Matrix'!R5&lt;&gt;""),'Skill Matrix'!A27,"")</f>
        <v/>
      </c>
      <c r="B351">
        <f>IF(A351="","",'Employees'!C7)</f>
        <v/>
      </c>
      <c r="C351">
        <f>IF(A351="","",'Employees'!D7)</f>
        <v/>
      </c>
      <c r="D351">
        <f>IF(A351="","",'Skill Matrix'!C27)</f>
        <v/>
      </c>
      <c r="E351">
        <f>IF(A351="","",'Skill Matrix'!D27)</f>
        <v/>
      </c>
      <c r="F351">
        <f>IF(AND('Skill Matrix'!A27&lt;&gt;"",'Skill Matrix'!R5&lt;&gt;""),'Skill Matrix'!R5,"")</f>
        <v/>
      </c>
      <c r="G351">
        <f>IF(OR(A351="",'Skill Matrix'!R27=""),"",'Skill Matrix'!R27)</f>
        <v/>
      </c>
      <c r="H351">
        <f>IF(A351="","",'Employees'!F7)</f>
        <v/>
      </c>
    </row>
    <row r="352">
      <c r="A352">
        <f>IF(AND('Skill Matrix'!A27&lt;&gt;"",'Skill Matrix'!S5&lt;&gt;""),'Skill Matrix'!A27,"")</f>
        <v/>
      </c>
      <c r="B352">
        <f>IF(A352="","",'Employees'!C7)</f>
        <v/>
      </c>
      <c r="C352">
        <f>IF(A352="","",'Employees'!D7)</f>
        <v/>
      </c>
      <c r="D352">
        <f>IF(A352="","",'Skill Matrix'!C27)</f>
        <v/>
      </c>
      <c r="E352">
        <f>IF(A352="","",'Skill Matrix'!D27)</f>
        <v/>
      </c>
      <c r="F352">
        <f>IF(AND('Skill Matrix'!A27&lt;&gt;"",'Skill Matrix'!S5&lt;&gt;""),'Skill Matrix'!S5,"")</f>
        <v/>
      </c>
      <c r="G352">
        <f>IF(OR(A352="",'Skill Matrix'!S27=""),"",'Skill Matrix'!S27)</f>
        <v/>
      </c>
      <c r="H352">
        <f>IF(A352="","",'Employees'!F7)</f>
        <v/>
      </c>
    </row>
    <row r="353">
      <c r="A353">
        <f>IF(AND('Skill Matrix'!A27&lt;&gt;"",'Skill Matrix'!T5&lt;&gt;""),'Skill Matrix'!A27,"")</f>
        <v/>
      </c>
      <c r="B353">
        <f>IF(A353="","",'Employees'!C7)</f>
        <v/>
      </c>
      <c r="C353">
        <f>IF(A353="","",'Employees'!D7)</f>
        <v/>
      </c>
      <c r="D353">
        <f>IF(A353="","",'Skill Matrix'!C27)</f>
        <v/>
      </c>
      <c r="E353">
        <f>IF(A353="","",'Skill Matrix'!D27)</f>
        <v/>
      </c>
      <c r="F353">
        <f>IF(AND('Skill Matrix'!A27&lt;&gt;"",'Skill Matrix'!T5&lt;&gt;""),'Skill Matrix'!T5,"")</f>
        <v/>
      </c>
      <c r="G353">
        <f>IF(OR(A353="",'Skill Matrix'!T27=""),"",'Skill Matrix'!T27)</f>
        <v/>
      </c>
      <c r="H353">
        <f>IF(A353="","",'Employees'!F7)</f>
        <v/>
      </c>
    </row>
    <row r="354">
      <c r="A354">
        <f>IF(AND('Skill Matrix'!A28&lt;&gt;"",'Skill Matrix'!E5&lt;&gt;""),'Skill Matrix'!A28,"")</f>
        <v/>
      </c>
      <c r="B354">
        <f>IF(A354="","",'Employees'!C7)</f>
        <v/>
      </c>
      <c r="C354">
        <f>IF(A354="","",'Employees'!D7)</f>
        <v/>
      </c>
      <c r="D354">
        <f>IF(A354="","",'Skill Matrix'!C28)</f>
        <v/>
      </c>
      <c r="E354">
        <f>IF(A354="","",'Skill Matrix'!D28)</f>
        <v/>
      </c>
      <c r="F354">
        <f>IF(AND('Skill Matrix'!A28&lt;&gt;"",'Skill Matrix'!E5&lt;&gt;""),'Skill Matrix'!E5,"")</f>
        <v/>
      </c>
      <c r="G354">
        <f>IF(OR(A354="",'Skill Matrix'!E28=""),"",'Skill Matrix'!E28)</f>
        <v/>
      </c>
      <c r="H354">
        <f>IF(A354="","",'Employees'!F7)</f>
        <v/>
      </c>
    </row>
    <row r="355">
      <c r="A355">
        <f>IF(AND('Skill Matrix'!A28&lt;&gt;"",'Skill Matrix'!F5&lt;&gt;""),'Skill Matrix'!A28,"")</f>
        <v/>
      </c>
      <c r="B355">
        <f>IF(A355="","",'Employees'!C7)</f>
        <v/>
      </c>
      <c r="C355">
        <f>IF(A355="","",'Employees'!D7)</f>
        <v/>
      </c>
      <c r="D355">
        <f>IF(A355="","",'Skill Matrix'!C28)</f>
        <v/>
      </c>
      <c r="E355">
        <f>IF(A355="","",'Skill Matrix'!D28)</f>
        <v/>
      </c>
      <c r="F355">
        <f>IF(AND('Skill Matrix'!A28&lt;&gt;"",'Skill Matrix'!F5&lt;&gt;""),'Skill Matrix'!F5,"")</f>
        <v/>
      </c>
      <c r="G355">
        <f>IF(OR(A355="",'Skill Matrix'!F28=""),"",'Skill Matrix'!F28)</f>
        <v/>
      </c>
      <c r="H355">
        <f>IF(A355="","",'Employees'!F7)</f>
        <v/>
      </c>
    </row>
    <row r="356">
      <c r="A356">
        <f>IF(AND('Skill Matrix'!A28&lt;&gt;"",'Skill Matrix'!G5&lt;&gt;""),'Skill Matrix'!A28,"")</f>
        <v/>
      </c>
      <c r="B356">
        <f>IF(A356="","",'Employees'!C7)</f>
        <v/>
      </c>
      <c r="C356">
        <f>IF(A356="","",'Employees'!D7)</f>
        <v/>
      </c>
      <c r="D356">
        <f>IF(A356="","",'Skill Matrix'!C28)</f>
        <v/>
      </c>
      <c r="E356">
        <f>IF(A356="","",'Skill Matrix'!D28)</f>
        <v/>
      </c>
      <c r="F356">
        <f>IF(AND('Skill Matrix'!A28&lt;&gt;"",'Skill Matrix'!G5&lt;&gt;""),'Skill Matrix'!G5,"")</f>
        <v/>
      </c>
      <c r="G356">
        <f>IF(OR(A356="",'Skill Matrix'!G28=""),"",'Skill Matrix'!G28)</f>
        <v/>
      </c>
      <c r="H356">
        <f>IF(A356="","",'Employees'!F7)</f>
        <v/>
      </c>
    </row>
    <row r="357">
      <c r="A357">
        <f>IF(AND('Skill Matrix'!A28&lt;&gt;"",'Skill Matrix'!H5&lt;&gt;""),'Skill Matrix'!A28,"")</f>
        <v/>
      </c>
      <c r="B357">
        <f>IF(A357="","",'Employees'!C7)</f>
        <v/>
      </c>
      <c r="C357">
        <f>IF(A357="","",'Employees'!D7)</f>
        <v/>
      </c>
      <c r="D357">
        <f>IF(A357="","",'Skill Matrix'!C28)</f>
        <v/>
      </c>
      <c r="E357">
        <f>IF(A357="","",'Skill Matrix'!D28)</f>
        <v/>
      </c>
      <c r="F357">
        <f>IF(AND('Skill Matrix'!A28&lt;&gt;"",'Skill Matrix'!H5&lt;&gt;""),'Skill Matrix'!H5,"")</f>
        <v/>
      </c>
      <c r="G357">
        <f>IF(OR(A357="",'Skill Matrix'!H28=""),"",'Skill Matrix'!H28)</f>
        <v/>
      </c>
      <c r="H357">
        <f>IF(A357="","",'Employees'!F7)</f>
        <v/>
      </c>
    </row>
    <row r="358">
      <c r="A358">
        <f>IF(AND('Skill Matrix'!A28&lt;&gt;"",'Skill Matrix'!I5&lt;&gt;""),'Skill Matrix'!A28,"")</f>
        <v/>
      </c>
      <c r="B358">
        <f>IF(A358="","",'Employees'!C7)</f>
        <v/>
      </c>
      <c r="C358">
        <f>IF(A358="","",'Employees'!D7)</f>
        <v/>
      </c>
      <c r="D358">
        <f>IF(A358="","",'Skill Matrix'!C28)</f>
        <v/>
      </c>
      <c r="E358">
        <f>IF(A358="","",'Skill Matrix'!D28)</f>
        <v/>
      </c>
      <c r="F358">
        <f>IF(AND('Skill Matrix'!A28&lt;&gt;"",'Skill Matrix'!I5&lt;&gt;""),'Skill Matrix'!I5,"")</f>
        <v/>
      </c>
      <c r="G358">
        <f>IF(OR(A358="",'Skill Matrix'!I28=""),"",'Skill Matrix'!I28)</f>
        <v/>
      </c>
      <c r="H358">
        <f>IF(A358="","",'Employees'!F7)</f>
        <v/>
      </c>
    </row>
    <row r="359">
      <c r="A359">
        <f>IF(AND('Skill Matrix'!A28&lt;&gt;"",'Skill Matrix'!J5&lt;&gt;""),'Skill Matrix'!A28,"")</f>
        <v/>
      </c>
      <c r="B359">
        <f>IF(A359="","",'Employees'!C7)</f>
        <v/>
      </c>
      <c r="C359">
        <f>IF(A359="","",'Employees'!D7)</f>
        <v/>
      </c>
      <c r="D359">
        <f>IF(A359="","",'Skill Matrix'!C28)</f>
        <v/>
      </c>
      <c r="E359">
        <f>IF(A359="","",'Skill Matrix'!D28)</f>
        <v/>
      </c>
      <c r="F359">
        <f>IF(AND('Skill Matrix'!A28&lt;&gt;"",'Skill Matrix'!J5&lt;&gt;""),'Skill Matrix'!J5,"")</f>
        <v/>
      </c>
      <c r="G359">
        <f>IF(OR(A359="",'Skill Matrix'!J28=""),"",'Skill Matrix'!J28)</f>
        <v/>
      </c>
      <c r="H359">
        <f>IF(A359="","",'Employees'!F7)</f>
        <v/>
      </c>
    </row>
    <row r="360">
      <c r="A360">
        <f>IF(AND('Skill Matrix'!A28&lt;&gt;"",'Skill Matrix'!K5&lt;&gt;""),'Skill Matrix'!A28,"")</f>
        <v/>
      </c>
      <c r="B360">
        <f>IF(A360="","",'Employees'!C7)</f>
        <v/>
      </c>
      <c r="C360">
        <f>IF(A360="","",'Employees'!D7)</f>
        <v/>
      </c>
      <c r="D360">
        <f>IF(A360="","",'Skill Matrix'!C28)</f>
        <v/>
      </c>
      <c r="E360">
        <f>IF(A360="","",'Skill Matrix'!D28)</f>
        <v/>
      </c>
      <c r="F360">
        <f>IF(AND('Skill Matrix'!A28&lt;&gt;"",'Skill Matrix'!K5&lt;&gt;""),'Skill Matrix'!K5,"")</f>
        <v/>
      </c>
      <c r="G360">
        <f>IF(OR(A360="",'Skill Matrix'!K28=""),"",'Skill Matrix'!K28)</f>
        <v/>
      </c>
      <c r="H360">
        <f>IF(A360="","",'Employees'!F7)</f>
        <v/>
      </c>
    </row>
    <row r="361">
      <c r="A361">
        <f>IF(AND('Skill Matrix'!A28&lt;&gt;"",'Skill Matrix'!L5&lt;&gt;""),'Skill Matrix'!A28,"")</f>
        <v/>
      </c>
      <c r="B361">
        <f>IF(A361="","",'Employees'!C7)</f>
        <v/>
      </c>
      <c r="C361">
        <f>IF(A361="","",'Employees'!D7)</f>
        <v/>
      </c>
      <c r="D361">
        <f>IF(A361="","",'Skill Matrix'!C28)</f>
        <v/>
      </c>
      <c r="E361">
        <f>IF(A361="","",'Skill Matrix'!D28)</f>
        <v/>
      </c>
      <c r="F361">
        <f>IF(AND('Skill Matrix'!A28&lt;&gt;"",'Skill Matrix'!L5&lt;&gt;""),'Skill Matrix'!L5,"")</f>
        <v/>
      </c>
      <c r="G361">
        <f>IF(OR(A361="",'Skill Matrix'!L28=""),"",'Skill Matrix'!L28)</f>
        <v/>
      </c>
      <c r="H361">
        <f>IF(A361="","",'Employees'!F7)</f>
        <v/>
      </c>
    </row>
    <row r="362">
      <c r="A362">
        <f>IF(AND('Skill Matrix'!A28&lt;&gt;"",'Skill Matrix'!M5&lt;&gt;""),'Skill Matrix'!A28,"")</f>
        <v/>
      </c>
      <c r="B362">
        <f>IF(A362="","",'Employees'!C7)</f>
        <v/>
      </c>
      <c r="C362">
        <f>IF(A362="","",'Employees'!D7)</f>
        <v/>
      </c>
      <c r="D362">
        <f>IF(A362="","",'Skill Matrix'!C28)</f>
        <v/>
      </c>
      <c r="E362">
        <f>IF(A362="","",'Skill Matrix'!D28)</f>
        <v/>
      </c>
      <c r="F362">
        <f>IF(AND('Skill Matrix'!A28&lt;&gt;"",'Skill Matrix'!M5&lt;&gt;""),'Skill Matrix'!M5,"")</f>
        <v/>
      </c>
      <c r="G362">
        <f>IF(OR(A362="",'Skill Matrix'!M28=""),"",'Skill Matrix'!M28)</f>
        <v/>
      </c>
      <c r="H362">
        <f>IF(A362="","",'Employees'!F7)</f>
        <v/>
      </c>
    </row>
    <row r="363">
      <c r="A363">
        <f>IF(AND('Skill Matrix'!A28&lt;&gt;"",'Skill Matrix'!N5&lt;&gt;""),'Skill Matrix'!A28,"")</f>
        <v/>
      </c>
      <c r="B363">
        <f>IF(A363="","",'Employees'!C7)</f>
        <v/>
      </c>
      <c r="C363">
        <f>IF(A363="","",'Employees'!D7)</f>
        <v/>
      </c>
      <c r="D363">
        <f>IF(A363="","",'Skill Matrix'!C28)</f>
        <v/>
      </c>
      <c r="E363">
        <f>IF(A363="","",'Skill Matrix'!D28)</f>
        <v/>
      </c>
      <c r="F363">
        <f>IF(AND('Skill Matrix'!A28&lt;&gt;"",'Skill Matrix'!N5&lt;&gt;""),'Skill Matrix'!N5,"")</f>
        <v/>
      </c>
      <c r="G363">
        <f>IF(OR(A363="",'Skill Matrix'!N28=""),"",'Skill Matrix'!N28)</f>
        <v/>
      </c>
      <c r="H363">
        <f>IF(A363="","",'Employees'!F7)</f>
        <v/>
      </c>
    </row>
    <row r="364">
      <c r="A364">
        <f>IF(AND('Skill Matrix'!A28&lt;&gt;"",'Skill Matrix'!O5&lt;&gt;""),'Skill Matrix'!A28,"")</f>
        <v/>
      </c>
      <c r="B364">
        <f>IF(A364="","",'Employees'!C7)</f>
        <v/>
      </c>
      <c r="C364">
        <f>IF(A364="","",'Employees'!D7)</f>
        <v/>
      </c>
      <c r="D364">
        <f>IF(A364="","",'Skill Matrix'!C28)</f>
        <v/>
      </c>
      <c r="E364">
        <f>IF(A364="","",'Skill Matrix'!D28)</f>
        <v/>
      </c>
      <c r="F364">
        <f>IF(AND('Skill Matrix'!A28&lt;&gt;"",'Skill Matrix'!O5&lt;&gt;""),'Skill Matrix'!O5,"")</f>
        <v/>
      </c>
      <c r="G364">
        <f>IF(OR(A364="",'Skill Matrix'!O28=""),"",'Skill Matrix'!O28)</f>
        <v/>
      </c>
      <c r="H364">
        <f>IF(A364="","",'Employees'!F7)</f>
        <v/>
      </c>
    </row>
    <row r="365">
      <c r="A365">
        <f>IF(AND('Skill Matrix'!A28&lt;&gt;"",'Skill Matrix'!P5&lt;&gt;""),'Skill Matrix'!A28,"")</f>
        <v/>
      </c>
      <c r="B365">
        <f>IF(A365="","",'Employees'!C7)</f>
        <v/>
      </c>
      <c r="C365">
        <f>IF(A365="","",'Employees'!D7)</f>
        <v/>
      </c>
      <c r="D365">
        <f>IF(A365="","",'Skill Matrix'!C28)</f>
        <v/>
      </c>
      <c r="E365">
        <f>IF(A365="","",'Skill Matrix'!D28)</f>
        <v/>
      </c>
      <c r="F365">
        <f>IF(AND('Skill Matrix'!A28&lt;&gt;"",'Skill Matrix'!P5&lt;&gt;""),'Skill Matrix'!P5,"")</f>
        <v/>
      </c>
      <c r="G365">
        <f>IF(OR(A365="",'Skill Matrix'!P28=""),"",'Skill Matrix'!P28)</f>
        <v/>
      </c>
      <c r="H365">
        <f>IF(A365="","",'Employees'!F7)</f>
        <v/>
      </c>
    </row>
    <row r="366">
      <c r="A366">
        <f>IF(AND('Skill Matrix'!A28&lt;&gt;"",'Skill Matrix'!Q5&lt;&gt;""),'Skill Matrix'!A28,"")</f>
        <v/>
      </c>
      <c r="B366">
        <f>IF(A366="","",'Employees'!C7)</f>
        <v/>
      </c>
      <c r="C366">
        <f>IF(A366="","",'Employees'!D7)</f>
        <v/>
      </c>
      <c r="D366">
        <f>IF(A366="","",'Skill Matrix'!C28)</f>
        <v/>
      </c>
      <c r="E366">
        <f>IF(A366="","",'Skill Matrix'!D28)</f>
        <v/>
      </c>
      <c r="F366">
        <f>IF(AND('Skill Matrix'!A28&lt;&gt;"",'Skill Matrix'!Q5&lt;&gt;""),'Skill Matrix'!Q5,"")</f>
        <v/>
      </c>
      <c r="G366">
        <f>IF(OR(A366="",'Skill Matrix'!Q28=""),"",'Skill Matrix'!Q28)</f>
        <v/>
      </c>
      <c r="H366">
        <f>IF(A366="","",'Employees'!F7)</f>
        <v/>
      </c>
    </row>
    <row r="367">
      <c r="A367">
        <f>IF(AND('Skill Matrix'!A28&lt;&gt;"",'Skill Matrix'!R5&lt;&gt;""),'Skill Matrix'!A28,"")</f>
        <v/>
      </c>
      <c r="B367">
        <f>IF(A367="","",'Employees'!C7)</f>
        <v/>
      </c>
      <c r="C367">
        <f>IF(A367="","",'Employees'!D7)</f>
        <v/>
      </c>
      <c r="D367">
        <f>IF(A367="","",'Skill Matrix'!C28)</f>
        <v/>
      </c>
      <c r="E367">
        <f>IF(A367="","",'Skill Matrix'!D28)</f>
        <v/>
      </c>
      <c r="F367">
        <f>IF(AND('Skill Matrix'!A28&lt;&gt;"",'Skill Matrix'!R5&lt;&gt;""),'Skill Matrix'!R5,"")</f>
        <v/>
      </c>
      <c r="G367">
        <f>IF(OR(A367="",'Skill Matrix'!R28=""),"",'Skill Matrix'!R28)</f>
        <v/>
      </c>
      <c r="H367">
        <f>IF(A367="","",'Employees'!F7)</f>
        <v/>
      </c>
    </row>
    <row r="368">
      <c r="A368">
        <f>IF(AND('Skill Matrix'!A28&lt;&gt;"",'Skill Matrix'!S5&lt;&gt;""),'Skill Matrix'!A28,"")</f>
        <v/>
      </c>
      <c r="B368">
        <f>IF(A368="","",'Employees'!C7)</f>
        <v/>
      </c>
      <c r="C368">
        <f>IF(A368="","",'Employees'!D7)</f>
        <v/>
      </c>
      <c r="D368">
        <f>IF(A368="","",'Skill Matrix'!C28)</f>
        <v/>
      </c>
      <c r="E368">
        <f>IF(A368="","",'Skill Matrix'!D28)</f>
        <v/>
      </c>
      <c r="F368">
        <f>IF(AND('Skill Matrix'!A28&lt;&gt;"",'Skill Matrix'!S5&lt;&gt;""),'Skill Matrix'!S5,"")</f>
        <v/>
      </c>
      <c r="G368">
        <f>IF(OR(A368="",'Skill Matrix'!S28=""),"",'Skill Matrix'!S28)</f>
        <v/>
      </c>
      <c r="H368">
        <f>IF(A368="","",'Employees'!F7)</f>
        <v/>
      </c>
    </row>
    <row r="369">
      <c r="A369">
        <f>IF(AND('Skill Matrix'!A28&lt;&gt;"",'Skill Matrix'!T5&lt;&gt;""),'Skill Matrix'!A28,"")</f>
        <v/>
      </c>
      <c r="B369">
        <f>IF(A369="","",'Employees'!C7)</f>
        <v/>
      </c>
      <c r="C369">
        <f>IF(A369="","",'Employees'!D7)</f>
        <v/>
      </c>
      <c r="D369">
        <f>IF(A369="","",'Skill Matrix'!C28)</f>
        <v/>
      </c>
      <c r="E369">
        <f>IF(A369="","",'Skill Matrix'!D28)</f>
        <v/>
      </c>
      <c r="F369">
        <f>IF(AND('Skill Matrix'!A28&lt;&gt;"",'Skill Matrix'!T5&lt;&gt;""),'Skill Matrix'!T5,"")</f>
        <v/>
      </c>
      <c r="G369">
        <f>IF(OR(A369="",'Skill Matrix'!T28=""),"",'Skill Matrix'!T28)</f>
        <v/>
      </c>
      <c r="H369">
        <f>IF(A369="","",'Employees'!F7)</f>
        <v/>
      </c>
    </row>
    <row r="370">
      <c r="A370">
        <f>IF(AND('Skill Matrix'!A29&lt;&gt;"",'Skill Matrix'!E5&lt;&gt;""),'Skill Matrix'!A29,"")</f>
        <v/>
      </c>
      <c r="B370">
        <f>IF(A370="","",'Employees'!C7)</f>
        <v/>
      </c>
      <c r="C370">
        <f>IF(A370="","",'Employees'!D7)</f>
        <v/>
      </c>
      <c r="D370">
        <f>IF(A370="","",'Skill Matrix'!C29)</f>
        <v/>
      </c>
      <c r="E370">
        <f>IF(A370="","",'Skill Matrix'!D29)</f>
        <v/>
      </c>
      <c r="F370">
        <f>IF(AND('Skill Matrix'!A29&lt;&gt;"",'Skill Matrix'!E5&lt;&gt;""),'Skill Matrix'!E5,"")</f>
        <v/>
      </c>
      <c r="G370">
        <f>IF(OR(A370="",'Skill Matrix'!E29=""),"",'Skill Matrix'!E29)</f>
        <v/>
      </c>
      <c r="H370">
        <f>IF(A370="","",'Employees'!F7)</f>
        <v/>
      </c>
    </row>
    <row r="371">
      <c r="A371">
        <f>IF(AND('Skill Matrix'!A29&lt;&gt;"",'Skill Matrix'!F5&lt;&gt;""),'Skill Matrix'!A29,"")</f>
        <v/>
      </c>
      <c r="B371">
        <f>IF(A371="","",'Employees'!C7)</f>
        <v/>
      </c>
      <c r="C371">
        <f>IF(A371="","",'Employees'!D7)</f>
        <v/>
      </c>
      <c r="D371">
        <f>IF(A371="","",'Skill Matrix'!C29)</f>
        <v/>
      </c>
      <c r="E371">
        <f>IF(A371="","",'Skill Matrix'!D29)</f>
        <v/>
      </c>
      <c r="F371">
        <f>IF(AND('Skill Matrix'!A29&lt;&gt;"",'Skill Matrix'!F5&lt;&gt;""),'Skill Matrix'!F5,"")</f>
        <v/>
      </c>
      <c r="G371">
        <f>IF(OR(A371="",'Skill Matrix'!F29=""),"",'Skill Matrix'!F29)</f>
        <v/>
      </c>
      <c r="H371">
        <f>IF(A371="","",'Employees'!F7)</f>
        <v/>
      </c>
    </row>
    <row r="372">
      <c r="A372">
        <f>IF(AND('Skill Matrix'!A29&lt;&gt;"",'Skill Matrix'!G5&lt;&gt;""),'Skill Matrix'!A29,"")</f>
        <v/>
      </c>
      <c r="B372">
        <f>IF(A372="","",'Employees'!C7)</f>
        <v/>
      </c>
      <c r="C372">
        <f>IF(A372="","",'Employees'!D7)</f>
        <v/>
      </c>
      <c r="D372">
        <f>IF(A372="","",'Skill Matrix'!C29)</f>
        <v/>
      </c>
      <c r="E372">
        <f>IF(A372="","",'Skill Matrix'!D29)</f>
        <v/>
      </c>
      <c r="F372">
        <f>IF(AND('Skill Matrix'!A29&lt;&gt;"",'Skill Matrix'!G5&lt;&gt;""),'Skill Matrix'!G5,"")</f>
        <v/>
      </c>
      <c r="G372">
        <f>IF(OR(A372="",'Skill Matrix'!G29=""),"",'Skill Matrix'!G29)</f>
        <v/>
      </c>
      <c r="H372">
        <f>IF(A372="","",'Employees'!F7)</f>
        <v/>
      </c>
    </row>
    <row r="373">
      <c r="A373">
        <f>IF(AND('Skill Matrix'!A29&lt;&gt;"",'Skill Matrix'!H5&lt;&gt;""),'Skill Matrix'!A29,"")</f>
        <v/>
      </c>
      <c r="B373">
        <f>IF(A373="","",'Employees'!C7)</f>
        <v/>
      </c>
      <c r="C373">
        <f>IF(A373="","",'Employees'!D7)</f>
        <v/>
      </c>
      <c r="D373">
        <f>IF(A373="","",'Skill Matrix'!C29)</f>
        <v/>
      </c>
      <c r="E373">
        <f>IF(A373="","",'Skill Matrix'!D29)</f>
        <v/>
      </c>
      <c r="F373">
        <f>IF(AND('Skill Matrix'!A29&lt;&gt;"",'Skill Matrix'!H5&lt;&gt;""),'Skill Matrix'!H5,"")</f>
        <v/>
      </c>
      <c r="G373">
        <f>IF(OR(A373="",'Skill Matrix'!H29=""),"",'Skill Matrix'!H29)</f>
        <v/>
      </c>
      <c r="H373">
        <f>IF(A373="","",'Employees'!F7)</f>
        <v/>
      </c>
    </row>
    <row r="374">
      <c r="A374">
        <f>IF(AND('Skill Matrix'!A29&lt;&gt;"",'Skill Matrix'!I5&lt;&gt;""),'Skill Matrix'!A29,"")</f>
        <v/>
      </c>
      <c r="B374">
        <f>IF(A374="","",'Employees'!C7)</f>
        <v/>
      </c>
      <c r="C374">
        <f>IF(A374="","",'Employees'!D7)</f>
        <v/>
      </c>
      <c r="D374">
        <f>IF(A374="","",'Skill Matrix'!C29)</f>
        <v/>
      </c>
      <c r="E374">
        <f>IF(A374="","",'Skill Matrix'!D29)</f>
        <v/>
      </c>
      <c r="F374">
        <f>IF(AND('Skill Matrix'!A29&lt;&gt;"",'Skill Matrix'!I5&lt;&gt;""),'Skill Matrix'!I5,"")</f>
        <v/>
      </c>
      <c r="G374">
        <f>IF(OR(A374="",'Skill Matrix'!I29=""),"",'Skill Matrix'!I29)</f>
        <v/>
      </c>
      <c r="H374">
        <f>IF(A374="","",'Employees'!F7)</f>
        <v/>
      </c>
    </row>
    <row r="375">
      <c r="A375">
        <f>IF(AND('Skill Matrix'!A29&lt;&gt;"",'Skill Matrix'!J5&lt;&gt;""),'Skill Matrix'!A29,"")</f>
        <v/>
      </c>
      <c r="B375">
        <f>IF(A375="","",'Employees'!C7)</f>
        <v/>
      </c>
      <c r="C375">
        <f>IF(A375="","",'Employees'!D7)</f>
        <v/>
      </c>
      <c r="D375">
        <f>IF(A375="","",'Skill Matrix'!C29)</f>
        <v/>
      </c>
      <c r="E375">
        <f>IF(A375="","",'Skill Matrix'!D29)</f>
        <v/>
      </c>
      <c r="F375">
        <f>IF(AND('Skill Matrix'!A29&lt;&gt;"",'Skill Matrix'!J5&lt;&gt;""),'Skill Matrix'!J5,"")</f>
        <v/>
      </c>
      <c r="G375">
        <f>IF(OR(A375="",'Skill Matrix'!J29=""),"",'Skill Matrix'!J29)</f>
        <v/>
      </c>
      <c r="H375">
        <f>IF(A375="","",'Employees'!F7)</f>
        <v/>
      </c>
    </row>
    <row r="376">
      <c r="A376">
        <f>IF(AND('Skill Matrix'!A29&lt;&gt;"",'Skill Matrix'!K5&lt;&gt;""),'Skill Matrix'!A29,"")</f>
        <v/>
      </c>
      <c r="B376">
        <f>IF(A376="","",'Employees'!C7)</f>
        <v/>
      </c>
      <c r="C376">
        <f>IF(A376="","",'Employees'!D7)</f>
        <v/>
      </c>
      <c r="D376">
        <f>IF(A376="","",'Skill Matrix'!C29)</f>
        <v/>
      </c>
      <c r="E376">
        <f>IF(A376="","",'Skill Matrix'!D29)</f>
        <v/>
      </c>
      <c r="F376">
        <f>IF(AND('Skill Matrix'!A29&lt;&gt;"",'Skill Matrix'!K5&lt;&gt;""),'Skill Matrix'!K5,"")</f>
        <v/>
      </c>
      <c r="G376">
        <f>IF(OR(A376="",'Skill Matrix'!K29=""),"",'Skill Matrix'!K29)</f>
        <v/>
      </c>
      <c r="H376">
        <f>IF(A376="","",'Employees'!F7)</f>
        <v/>
      </c>
    </row>
    <row r="377">
      <c r="A377">
        <f>IF(AND('Skill Matrix'!A29&lt;&gt;"",'Skill Matrix'!L5&lt;&gt;""),'Skill Matrix'!A29,"")</f>
        <v/>
      </c>
      <c r="B377">
        <f>IF(A377="","",'Employees'!C7)</f>
        <v/>
      </c>
      <c r="C377">
        <f>IF(A377="","",'Employees'!D7)</f>
        <v/>
      </c>
      <c r="D377">
        <f>IF(A377="","",'Skill Matrix'!C29)</f>
        <v/>
      </c>
      <c r="E377">
        <f>IF(A377="","",'Skill Matrix'!D29)</f>
        <v/>
      </c>
      <c r="F377">
        <f>IF(AND('Skill Matrix'!A29&lt;&gt;"",'Skill Matrix'!L5&lt;&gt;""),'Skill Matrix'!L5,"")</f>
        <v/>
      </c>
      <c r="G377">
        <f>IF(OR(A377="",'Skill Matrix'!L29=""),"",'Skill Matrix'!L29)</f>
        <v/>
      </c>
      <c r="H377">
        <f>IF(A377="","",'Employees'!F7)</f>
        <v/>
      </c>
    </row>
    <row r="378">
      <c r="A378">
        <f>IF(AND('Skill Matrix'!A29&lt;&gt;"",'Skill Matrix'!M5&lt;&gt;""),'Skill Matrix'!A29,"")</f>
        <v/>
      </c>
      <c r="B378">
        <f>IF(A378="","",'Employees'!C7)</f>
        <v/>
      </c>
      <c r="C378">
        <f>IF(A378="","",'Employees'!D7)</f>
        <v/>
      </c>
      <c r="D378">
        <f>IF(A378="","",'Skill Matrix'!C29)</f>
        <v/>
      </c>
      <c r="E378">
        <f>IF(A378="","",'Skill Matrix'!D29)</f>
        <v/>
      </c>
      <c r="F378">
        <f>IF(AND('Skill Matrix'!A29&lt;&gt;"",'Skill Matrix'!M5&lt;&gt;""),'Skill Matrix'!M5,"")</f>
        <v/>
      </c>
      <c r="G378">
        <f>IF(OR(A378="",'Skill Matrix'!M29=""),"",'Skill Matrix'!M29)</f>
        <v/>
      </c>
      <c r="H378">
        <f>IF(A378="","",'Employees'!F7)</f>
        <v/>
      </c>
    </row>
    <row r="379">
      <c r="A379">
        <f>IF(AND('Skill Matrix'!A29&lt;&gt;"",'Skill Matrix'!N5&lt;&gt;""),'Skill Matrix'!A29,"")</f>
        <v/>
      </c>
      <c r="B379">
        <f>IF(A379="","",'Employees'!C7)</f>
        <v/>
      </c>
      <c r="C379">
        <f>IF(A379="","",'Employees'!D7)</f>
        <v/>
      </c>
      <c r="D379">
        <f>IF(A379="","",'Skill Matrix'!C29)</f>
        <v/>
      </c>
      <c r="E379">
        <f>IF(A379="","",'Skill Matrix'!D29)</f>
        <v/>
      </c>
      <c r="F379">
        <f>IF(AND('Skill Matrix'!A29&lt;&gt;"",'Skill Matrix'!N5&lt;&gt;""),'Skill Matrix'!N5,"")</f>
        <v/>
      </c>
      <c r="G379">
        <f>IF(OR(A379="",'Skill Matrix'!N29=""),"",'Skill Matrix'!N29)</f>
        <v/>
      </c>
      <c r="H379">
        <f>IF(A379="","",'Employees'!F7)</f>
        <v/>
      </c>
    </row>
    <row r="380">
      <c r="A380">
        <f>IF(AND('Skill Matrix'!A29&lt;&gt;"",'Skill Matrix'!O5&lt;&gt;""),'Skill Matrix'!A29,"")</f>
        <v/>
      </c>
      <c r="B380">
        <f>IF(A380="","",'Employees'!C7)</f>
        <v/>
      </c>
      <c r="C380">
        <f>IF(A380="","",'Employees'!D7)</f>
        <v/>
      </c>
      <c r="D380">
        <f>IF(A380="","",'Skill Matrix'!C29)</f>
        <v/>
      </c>
      <c r="E380">
        <f>IF(A380="","",'Skill Matrix'!D29)</f>
        <v/>
      </c>
      <c r="F380">
        <f>IF(AND('Skill Matrix'!A29&lt;&gt;"",'Skill Matrix'!O5&lt;&gt;""),'Skill Matrix'!O5,"")</f>
        <v/>
      </c>
      <c r="G380">
        <f>IF(OR(A380="",'Skill Matrix'!O29=""),"",'Skill Matrix'!O29)</f>
        <v/>
      </c>
      <c r="H380">
        <f>IF(A380="","",'Employees'!F7)</f>
        <v/>
      </c>
    </row>
    <row r="381">
      <c r="A381">
        <f>IF(AND('Skill Matrix'!A29&lt;&gt;"",'Skill Matrix'!P5&lt;&gt;""),'Skill Matrix'!A29,"")</f>
        <v/>
      </c>
      <c r="B381">
        <f>IF(A381="","",'Employees'!C7)</f>
        <v/>
      </c>
      <c r="C381">
        <f>IF(A381="","",'Employees'!D7)</f>
        <v/>
      </c>
      <c r="D381">
        <f>IF(A381="","",'Skill Matrix'!C29)</f>
        <v/>
      </c>
      <c r="E381">
        <f>IF(A381="","",'Skill Matrix'!D29)</f>
        <v/>
      </c>
      <c r="F381">
        <f>IF(AND('Skill Matrix'!A29&lt;&gt;"",'Skill Matrix'!P5&lt;&gt;""),'Skill Matrix'!P5,"")</f>
        <v/>
      </c>
      <c r="G381">
        <f>IF(OR(A381="",'Skill Matrix'!P29=""),"",'Skill Matrix'!P29)</f>
        <v/>
      </c>
      <c r="H381">
        <f>IF(A381="","",'Employees'!F7)</f>
        <v/>
      </c>
    </row>
    <row r="382">
      <c r="A382">
        <f>IF(AND('Skill Matrix'!A29&lt;&gt;"",'Skill Matrix'!Q5&lt;&gt;""),'Skill Matrix'!A29,"")</f>
        <v/>
      </c>
      <c r="B382">
        <f>IF(A382="","",'Employees'!C7)</f>
        <v/>
      </c>
      <c r="C382">
        <f>IF(A382="","",'Employees'!D7)</f>
        <v/>
      </c>
      <c r="D382">
        <f>IF(A382="","",'Skill Matrix'!C29)</f>
        <v/>
      </c>
      <c r="E382">
        <f>IF(A382="","",'Skill Matrix'!D29)</f>
        <v/>
      </c>
      <c r="F382">
        <f>IF(AND('Skill Matrix'!A29&lt;&gt;"",'Skill Matrix'!Q5&lt;&gt;""),'Skill Matrix'!Q5,"")</f>
        <v/>
      </c>
      <c r="G382">
        <f>IF(OR(A382="",'Skill Matrix'!Q29=""),"",'Skill Matrix'!Q29)</f>
        <v/>
      </c>
      <c r="H382">
        <f>IF(A382="","",'Employees'!F7)</f>
        <v/>
      </c>
    </row>
    <row r="383">
      <c r="A383">
        <f>IF(AND('Skill Matrix'!A29&lt;&gt;"",'Skill Matrix'!R5&lt;&gt;""),'Skill Matrix'!A29,"")</f>
        <v/>
      </c>
      <c r="B383">
        <f>IF(A383="","",'Employees'!C7)</f>
        <v/>
      </c>
      <c r="C383">
        <f>IF(A383="","",'Employees'!D7)</f>
        <v/>
      </c>
      <c r="D383">
        <f>IF(A383="","",'Skill Matrix'!C29)</f>
        <v/>
      </c>
      <c r="E383">
        <f>IF(A383="","",'Skill Matrix'!D29)</f>
        <v/>
      </c>
      <c r="F383">
        <f>IF(AND('Skill Matrix'!A29&lt;&gt;"",'Skill Matrix'!R5&lt;&gt;""),'Skill Matrix'!R5,"")</f>
        <v/>
      </c>
      <c r="G383">
        <f>IF(OR(A383="",'Skill Matrix'!R29=""),"",'Skill Matrix'!R29)</f>
        <v/>
      </c>
      <c r="H383">
        <f>IF(A383="","",'Employees'!F7)</f>
        <v/>
      </c>
    </row>
    <row r="384">
      <c r="A384">
        <f>IF(AND('Skill Matrix'!A29&lt;&gt;"",'Skill Matrix'!S5&lt;&gt;""),'Skill Matrix'!A29,"")</f>
        <v/>
      </c>
      <c r="B384">
        <f>IF(A384="","",'Employees'!C7)</f>
        <v/>
      </c>
      <c r="C384">
        <f>IF(A384="","",'Employees'!D7)</f>
        <v/>
      </c>
      <c r="D384">
        <f>IF(A384="","",'Skill Matrix'!C29)</f>
        <v/>
      </c>
      <c r="E384">
        <f>IF(A384="","",'Skill Matrix'!D29)</f>
        <v/>
      </c>
      <c r="F384">
        <f>IF(AND('Skill Matrix'!A29&lt;&gt;"",'Skill Matrix'!S5&lt;&gt;""),'Skill Matrix'!S5,"")</f>
        <v/>
      </c>
      <c r="G384">
        <f>IF(OR(A384="",'Skill Matrix'!S29=""),"",'Skill Matrix'!S29)</f>
        <v/>
      </c>
      <c r="H384">
        <f>IF(A384="","",'Employees'!F7)</f>
        <v/>
      </c>
    </row>
    <row r="385">
      <c r="A385">
        <f>IF(AND('Skill Matrix'!A29&lt;&gt;"",'Skill Matrix'!T5&lt;&gt;""),'Skill Matrix'!A29,"")</f>
        <v/>
      </c>
      <c r="B385">
        <f>IF(A385="","",'Employees'!C7)</f>
        <v/>
      </c>
      <c r="C385">
        <f>IF(A385="","",'Employees'!D7)</f>
        <v/>
      </c>
      <c r="D385">
        <f>IF(A385="","",'Skill Matrix'!C29)</f>
        <v/>
      </c>
      <c r="E385">
        <f>IF(A385="","",'Skill Matrix'!D29)</f>
        <v/>
      </c>
      <c r="F385">
        <f>IF(AND('Skill Matrix'!A29&lt;&gt;"",'Skill Matrix'!T5&lt;&gt;""),'Skill Matrix'!T5,"")</f>
        <v/>
      </c>
      <c r="G385">
        <f>IF(OR(A385="",'Skill Matrix'!T29=""),"",'Skill Matrix'!T29)</f>
        <v/>
      </c>
      <c r="H385">
        <f>IF(A385="","",'Employees'!F7)</f>
        <v/>
      </c>
    </row>
    <row r="386">
      <c r="A386">
        <f>IF(AND('Skill Matrix'!A30&lt;&gt;"",'Skill Matrix'!E5&lt;&gt;""),'Skill Matrix'!A30,"")</f>
        <v/>
      </c>
      <c r="B386">
        <f>IF(A386="","",'Employees'!C7)</f>
        <v/>
      </c>
      <c r="C386">
        <f>IF(A386="","",'Employees'!D7)</f>
        <v/>
      </c>
      <c r="D386">
        <f>IF(A386="","",'Skill Matrix'!C30)</f>
        <v/>
      </c>
      <c r="E386">
        <f>IF(A386="","",'Skill Matrix'!D30)</f>
        <v/>
      </c>
      <c r="F386">
        <f>IF(AND('Skill Matrix'!A30&lt;&gt;"",'Skill Matrix'!E5&lt;&gt;""),'Skill Matrix'!E5,"")</f>
        <v/>
      </c>
      <c r="G386">
        <f>IF(OR(A386="",'Skill Matrix'!E30=""),"",'Skill Matrix'!E30)</f>
        <v/>
      </c>
      <c r="H386">
        <f>IF(A386="","",'Employees'!F7)</f>
        <v/>
      </c>
    </row>
    <row r="387">
      <c r="A387">
        <f>IF(AND('Skill Matrix'!A30&lt;&gt;"",'Skill Matrix'!F5&lt;&gt;""),'Skill Matrix'!A30,"")</f>
        <v/>
      </c>
      <c r="B387">
        <f>IF(A387="","",'Employees'!C7)</f>
        <v/>
      </c>
      <c r="C387">
        <f>IF(A387="","",'Employees'!D7)</f>
        <v/>
      </c>
      <c r="D387">
        <f>IF(A387="","",'Skill Matrix'!C30)</f>
        <v/>
      </c>
      <c r="E387">
        <f>IF(A387="","",'Skill Matrix'!D30)</f>
        <v/>
      </c>
      <c r="F387">
        <f>IF(AND('Skill Matrix'!A30&lt;&gt;"",'Skill Matrix'!F5&lt;&gt;""),'Skill Matrix'!F5,"")</f>
        <v/>
      </c>
      <c r="G387">
        <f>IF(OR(A387="",'Skill Matrix'!F30=""),"",'Skill Matrix'!F30)</f>
        <v/>
      </c>
      <c r="H387">
        <f>IF(A387="","",'Employees'!F7)</f>
        <v/>
      </c>
    </row>
    <row r="388">
      <c r="A388">
        <f>IF(AND('Skill Matrix'!A30&lt;&gt;"",'Skill Matrix'!G5&lt;&gt;""),'Skill Matrix'!A30,"")</f>
        <v/>
      </c>
      <c r="B388">
        <f>IF(A388="","",'Employees'!C7)</f>
        <v/>
      </c>
      <c r="C388">
        <f>IF(A388="","",'Employees'!D7)</f>
        <v/>
      </c>
      <c r="D388">
        <f>IF(A388="","",'Skill Matrix'!C30)</f>
        <v/>
      </c>
      <c r="E388">
        <f>IF(A388="","",'Skill Matrix'!D30)</f>
        <v/>
      </c>
      <c r="F388">
        <f>IF(AND('Skill Matrix'!A30&lt;&gt;"",'Skill Matrix'!G5&lt;&gt;""),'Skill Matrix'!G5,"")</f>
        <v/>
      </c>
      <c r="G388">
        <f>IF(OR(A388="",'Skill Matrix'!G30=""),"",'Skill Matrix'!G30)</f>
        <v/>
      </c>
      <c r="H388">
        <f>IF(A388="","",'Employees'!F7)</f>
        <v/>
      </c>
    </row>
    <row r="389">
      <c r="A389">
        <f>IF(AND('Skill Matrix'!A30&lt;&gt;"",'Skill Matrix'!H5&lt;&gt;""),'Skill Matrix'!A30,"")</f>
        <v/>
      </c>
      <c r="B389">
        <f>IF(A389="","",'Employees'!C7)</f>
        <v/>
      </c>
      <c r="C389">
        <f>IF(A389="","",'Employees'!D7)</f>
        <v/>
      </c>
      <c r="D389">
        <f>IF(A389="","",'Skill Matrix'!C30)</f>
        <v/>
      </c>
      <c r="E389">
        <f>IF(A389="","",'Skill Matrix'!D30)</f>
        <v/>
      </c>
      <c r="F389">
        <f>IF(AND('Skill Matrix'!A30&lt;&gt;"",'Skill Matrix'!H5&lt;&gt;""),'Skill Matrix'!H5,"")</f>
        <v/>
      </c>
      <c r="G389">
        <f>IF(OR(A389="",'Skill Matrix'!H30=""),"",'Skill Matrix'!H30)</f>
        <v/>
      </c>
      <c r="H389">
        <f>IF(A389="","",'Employees'!F7)</f>
        <v/>
      </c>
    </row>
    <row r="390">
      <c r="A390">
        <f>IF(AND('Skill Matrix'!A30&lt;&gt;"",'Skill Matrix'!I5&lt;&gt;""),'Skill Matrix'!A30,"")</f>
        <v/>
      </c>
      <c r="B390">
        <f>IF(A390="","",'Employees'!C7)</f>
        <v/>
      </c>
      <c r="C390">
        <f>IF(A390="","",'Employees'!D7)</f>
        <v/>
      </c>
      <c r="D390">
        <f>IF(A390="","",'Skill Matrix'!C30)</f>
        <v/>
      </c>
      <c r="E390">
        <f>IF(A390="","",'Skill Matrix'!D30)</f>
        <v/>
      </c>
      <c r="F390">
        <f>IF(AND('Skill Matrix'!A30&lt;&gt;"",'Skill Matrix'!I5&lt;&gt;""),'Skill Matrix'!I5,"")</f>
        <v/>
      </c>
      <c r="G390">
        <f>IF(OR(A390="",'Skill Matrix'!I30=""),"",'Skill Matrix'!I30)</f>
        <v/>
      </c>
      <c r="H390">
        <f>IF(A390="","",'Employees'!F7)</f>
        <v/>
      </c>
    </row>
    <row r="391">
      <c r="A391">
        <f>IF(AND('Skill Matrix'!A30&lt;&gt;"",'Skill Matrix'!J5&lt;&gt;""),'Skill Matrix'!A30,"")</f>
        <v/>
      </c>
      <c r="B391">
        <f>IF(A391="","",'Employees'!C7)</f>
        <v/>
      </c>
      <c r="C391">
        <f>IF(A391="","",'Employees'!D7)</f>
        <v/>
      </c>
      <c r="D391">
        <f>IF(A391="","",'Skill Matrix'!C30)</f>
        <v/>
      </c>
      <c r="E391">
        <f>IF(A391="","",'Skill Matrix'!D30)</f>
        <v/>
      </c>
      <c r="F391">
        <f>IF(AND('Skill Matrix'!A30&lt;&gt;"",'Skill Matrix'!J5&lt;&gt;""),'Skill Matrix'!J5,"")</f>
        <v/>
      </c>
      <c r="G391">
        <f>IF(OR(A391="",'Skill Matrix'!J30=""),"",'Skill Matrix'!J30)</f>
        <v/>
      </c>
      <c r="H391">
        <f>IF(A391="","",'Employees'!F7)</f>
        <v/>
      </c>
    </row>
    <row r="392">
      <c r="A392">
        <f>IF(AND('Skill Matrix'!A30&lt;&gt;"",'Skill Matrix'!K5&lt;&gt;""),'Skill Matrix'!A30,"")</f>
        <v/>
      </c>
      <c r="B392">
        <f>IF(A392="","",'Employees'!C7)</f>
        <v/>
      </c>
      <c r="C392">
        <f>IF(A392="","",'Employees'!D7)</f>
        <v/>
      </c>
      <c r="D392">
        <f>IF(A392="","",'Skill Matrix'!C30)</f>
        <v/>
      </c>
      <c r="E392">
        <f>IF(A392="","",'Skill Matrix'!D30)</f>
        <v/>
      </c>
      <c r="F392">
        <f>IF(AND('Skill Matrix'!A30&lt;&gt;"",'Skill Matrix'!K5&lt;&gt;""),'Skill Matrix'!K5,"")</f>
        <v/>
      </c>
      <c r="G392">
        <f>IF(OR(A392="",'Skill Matrix'!K30=""),"",'Skill Matrix'!K30)</f>
        <v/>
      </c>
      <c r="H392">
        <f>IF(A392="","",'Employees'!F7)</f>
        <v/>
      </c>
    </row>
    <row r="393">
      <c r="A393">
        <f>IF(AND('Skill Matrix'!A30&lt;&gt;"",'Skill Matrix'!L5&lt;&gt;""),'Skill Matrix'!A30,"")</f>
        <v/>
      </c>
      <c r="B393">
        <f>IF(A393="","",'Employees'!C7)</f>
        <v/>
      </c>
      <c r="C393">
        <f>IF(A393="","",'Employees'!D7)</f>
        <v/>
      </c>
      <c r="D393">
        <f>IF(A393="","",'Skill Matrix'!C30)</f>
        <v/>
      </c>
      <c r="E393">
        <f>IF(A393="","",'Skill Matrix'!D30)</f>
        <v/>
      </c>
      <c r="F393">
        <f>IF(AND('Skill Matrix'!A30&lt;&gt;"",'Skill Matrix'!L5&lt;&gt;""),'Skill Matrix'!L5,"")</f>
        <v/>
      </c>
      <c r="G393">
        <f>IF(OR(A393="",'Skill Matrix'!L30=""),"",'Skill Matrix'!L30)</f>
        <v/>
      </c>
      <c r="H393">
        <f>IF(A393="","",'Employees'!F7)</f>
        <v/>
      </c>
    </row>
    <row r="394">
      <c r="A394">
        <f>IF(AND('Skill Matrix'!A30&lt;&gt;"",'Skill Matrix'!M5&lt;&gt;""),'Skill Matrix'!A30,"")</f>
        <v/>
      </c>
      <c r="B394">
        <f>IF(A394="","",'Employees'!C7)</f>
        <v/>
      </c>
      <c r="C394">
        <f>IF(A394="","",'Employees'!D7)</f>
        <v/>
      </c>
      <c r="D394">
        <f>IF(A394="","",'Skill Matrix'!C30)</f>
        <v/>
      </c>
      <c r="E394">
        <f>IF(A394="","",'Skill Matrix'!D30)</f>
        <v/>
      </c>
      <c r="F394">
        <f>IF(AND('Skill Matrix'!A30&lt;&gt;"",'Skill Matrix'!M5&lt;&gt;""),'Skill Matrix'!M5,"")</f>
        <v/>
      </c>
      <c r="G394">
        <f>IF(OR(A394="",'Skill Matrix'!M30=""),"",'Skill Matrix'!M30)</f>
        <v/>
      </c>
      <c r="H394">
        <f>IF(A394="","",'Employees'!F7)</f>
        <v/>
      </c>
    </row>
    <row r="395">
      <c r="A395">
        <f>IF(AND('Skill Matrix'!A30&lt;&gt;"",'Skill Matrix'!N5&lt;&gt;""),'Skill Matrix'!A30,"")</f>
        <v/>
      </c>
      <c r="B395">
        <f>IF(A395="","",'Employees'!C7)</f>
        <v/>
      </c>
      <c r="C395">
        <f>IF(A395="","",'Employees'!D7)</f>
        <v/>
      </c>
      <c r="D395">
        <f>IF(A395="","",'Skill Matrix'!C30)</f>
        <v/>
      </c>
      <c r="E395">
        <f>IF(A395="","",'Skill Matrix'!D30)</f>
        <v/>
      </c>
      <c r="F395">
        <f>IF(AND('Skill Matrix'!A30&lt;&gt;"",'Skill Matrix'!N5&lt;&gt;""),'Skill Matrix'!N5,"")</f>
        <v/>
      </c>
      <c r="G395">
        <f>IF(OR(A395="",'Skill Matrix'!N30=""),"",'Skill Matrix'!N30)</f>
        <v/>
      </c>
      <c r="H395">
        <f>IF(A395="","",'Employees'!F7)</f>
        <v/>
      </c>
    </row>
    <row r="396">
      <c r="A396">
        <f>IF(AND('Skill Matrix'!A30&lt;&gt;"",'Skill Matrix'!O5&lt;&gt;""),'Skill Matrix'!A30,"")</f>
        <v/>
      </c>
      <c r="B396">
        <f>IF(A396="","",'Employees'!C7)</f>
        <v/>
      </c>
      <c r="C396">
        <f>IF(A396="","",'Employees'!D7)</f>
        <v/>
      </c>
      <c r="D396">
        <f>IF(A396="","",'Skill Matrix'!C30)</f>
        <v/>
      </c>
      <c r="E396">
        <f>IF(A396="","",'Skill Matrix'!D30)</f>
        <v/>
      </c>
      <c r="F396">
        <f>IF(AND('Skill Matrix'!A30&lt;&gt;"",'Skill Matrix'!O5&lt;&gt;""),'Skill Matrix'!O5,"")</f>
        <v/>
      </c>
      <c r="G396">
        <f>IF(OR(A396="",'Skill Matrix'!O30=""),"",'Skill Matrix'!O30)</f>
        <v/>
      </c>
      <c r="H396">
        <f>IF(A396="","",'Employees'!F7)</f>
        <v/>
      </c>
    </row>
    <row r="397">
      <c r="A397">
        <f>IF(AND('Skill Matrix'!A30&lt;&gt;"",'Skill Matrix'!P5&lt;&gt;""),'Skill Matrix'!A30,"")</f>
        <v/>
      </c>
      <c r="B397">
        <f>IF(A397="","",'Employees'!C7)</f>
        <v/>
      </c>
      <c r="C397">
        <f>IF(A397="","",'Employees'!D7)</f>
        <v/>
      </c>
      <c r="D397">
        <f>IF(A397="","",'Skill Matrix'!C30)</f>
        <v/>
      </c>
      <c r="E397">
        <f>IF(A397="","",'Skill Matrix'!D30)</f>
        <v/>
      </c>
      <c r="F397">
        <f>IF(AND('Skill Matrix'!A30&lt;&gt;"",'Skill Matrix'!P5&lt;&gt;""),'Skill Matrix'!P5,"")</f>
        <v/>
      </c>
      <c r="G397">
        <f>IF(OR(A397="",'Skill Matrix'!P30=""),"",'Skill Matrix'!P30)</f>
        <v/>
      </c>
      <c r="H397">
        <f>IF(A397="","",'Employees'!F7)</f>
        <v/>
      </c>
    </row>
    <row r="398">
      <c r="A398">
        <f>IF(AND('Skill Matrix'!A30&lt;&gt;"",'Skill Matrix'!Q5&lt;&gt;""),'Skill Matrix'!A30,"")</f>
        <v/>
      </c>
      <c r="B398">
        <f>IF(A398="","",'Employees'!C7)</f>
        <v/>
      </c>
      <c r="C398">
        <f>IF(A398="","",'Employees'!D7)</f>
        <v/>
      </c>
      <c r="D398">
        <f>IF(A398="","",'Skill Matrix'!C30)</f>
        <v/>
      </c>
      <c r="E398">
        <f>IF(A398="","",'Skill Matrix'!D30)</f>
        <v/>
      </c>
      <c r="F398">
        <f>IF(AND('Skill Matrix'!A30&lt;&gt;"",'Skill Matrix'!Q5&lt;&gt;""),'Skill Matrix'!Q5,"")</f>
        <v/>
      </c>
      <c r="G398">
        <f>IF(OR(A398="",'Skill Matrix'!Q30=""),"",'Skill Matrix'!Q30)</f>
        <v/>
      </c>
      <c r="H398">
        <f>IF(A398="","",'Employees'!F7)</f>
        <v/>
      </c>
    </row>
    <row r="399">
      <c r="A399">
        <f>IF(AND('Skill Matrix'!A30&lt;&gt;"",'Skill Matrix'!R5&lt;&gt;""),'Skill Matrix'!A30,"")</f>
        <v/>
      </c>
      <c r="B399">
        <f>IF(A399="","",'Employees'!C7)</f>
        <v/>
      </c>
      <c r="C399">
        <f>IF(A399="","",'Employees'!D7)</f>
        <v/>
      </c>
      <c r="D399">
        <f>IF(A399="","",'Skill Matrix'!C30)</f>
        <v/>
      </c>
      <c r="E399">
        <f>IF(A399="","",'Skill Matrix'!D30)</f>
        <v/>
      </c>
      <c r="F399">
        <f>IF(AND('Skill Matrix'!A30&lt;&gt;"",'Skill Matrix'!R5&lt;&gt;""),'Skill Matrix'!R5,"")</f>
        <v/>
      </c>
      <c r="G399">
        <f>IF(OR(A399="",'Skill Matrix'!R30=""),"",'Skill Matrix'!R30)</f>
        <v/>
      </c>
      <c r="H399">
        <f>IF(A399="","",'Employees'!F7)</f>
        <v/>
      </c>
    </row>
    <row r="400">
      <c r="A400">
        <f>IF(AND('Skill Matrix'!A30&lt;&gt;"",'Skill Matrix'!S5&lt;&gt;""),'Skill Matrix'!A30,"")</f>
        <v/>
      </c>
      <c r="B400">
        <f>IF(A400="","",'Employees'!C7)</f>
        <v/>
      </c>
      <c r="C400">
        <f>IF(A400="","",'Employees'!D7)</f>
        <v/>
      </c>
      <c r="D400">
        <f>IF(A400="","",'Skill Matrix'!C30)</f>
        <v/>
      </c>
      <c r="E400">
        <f>IF(A400="","",'Skill Matrix'!D30)</f>
        <v/>
      </c>
      <c r="F400">
        <f>IF(AND('Skill Matrix'!A30&lt;&gt;"",'Skill Matrix'!S5&lt;&gt;""),'Skill Matrix'!S5,"")</f>
        <v/>
      </c>
      <c r="G400">
        <f>IF(OR(A400="",'Skill Matrix'!S30=""),"",'Skill Matrix'!S30)</f>
        <v/>
      </c>
      <c r="H400">
        <f>IF(A400="","",'Employees'!F7)</f>
        <v/>
      </c>
    </row>
    <row r="401">
      <c r="A401">
        <f>IF(AND('Skill Matrix'!A30&lt;&gt;"",'Skill Matrix'!T5&lt;&gt;""),'Skill Matrix'!A30,"")</f>
        <v/>
      </c>
      <c r="B401">
        <f>IF(A401="","",'Employees'!C7)</f>
        <v/>
      </c>
      <c r="C401">
        <f>IF(A401="","",'Employees'!D7)</f>
        <v/>
      </c>
      <c r="D401">
        <f>IF(A401="","",'Skill Matrix'!C30)</f>
        <v/>
      </c>
      <c r="E401">
        <f>IF(A401="","",'Skill Matrix'!D30)</f>
        <v/>
      </c>
      <c r="F401">
        <f>IF(AND('Skill Matrix'!A30&lt;&gt;"",'Skill Matrix'!T5&lt;&gt;""),'Skill Matrix'!T5,"")</f>
        <v/>
      </c>
      <c r="G401">
        <f>IF(OR(A401="",'Skill Matrix'!T30=""),"",'Skill Matrix'!T30)</f>
        <v/>
      </c>
      <c r="H401">
        <f>IF(A401="","",'Employees'!F7)</f>
        <v/>
      </c>
    </row>
    <row r="402">
      <c r="A402">
        <f>IF(AND('Skill Matrix'!A31&lt;&gt;"",'Skill Matrix'!E5&lt;&gt;""),'Skill Matrix'!A31,"")</f>
        <v/>
      </c>
      <c r="B402">
        <f>IF(A402="","",'Employees'!C7)</f>
        <v/>
      </c>
      <c r="C402">
        <f>IF(A402="","",'Employees'!D7)</f>
        <v/>
      </c>
      <c r="D402">
        <f>IF(A402="","",'Skill Matrix'!C31)</f>
        <v/>
      </c>
      <c r="E402">
        <f>IF(A402="","",'Skill Matrix'!D31)</f>
        <v/>
      </c>
      <c r="F402">
        <f>IF(AND('Skill Matrix'!A31&lt;&gt;"",'Skill Matrix'!E5&lt;&gt;""),'Skill Matrix'!E5,"")</f>
        <v/>
      </c>
      <c r="G402">
        <f>IF(OR(A402="",'Skill Matrix'!E31=""),"",'Skill Matrix'!E31)</f>
        <v/>
      </c>
      <c r="H402">
        <f>IF(A402="","",'Employees'!F7)</f>
        <v/>
      </c>
    </row>
    <row r="403">
      <c r="A403">
        <f>IF(AND('Skill Matrix'!A31&lt;&gt;"",'Skill Matrix'!F5&lt;&gt;""),'Skill Matrix'!A31,"")</f>
        <v/>
      </c>
      <c r="B403">
        <f>IF(A403="","",'Employees'!C7)</f>
        <v/>
      </c>
      <c r="C403">
        <f>IF(A403="","",'Employees'!D7)</f>
        <v/>
      </c>
      <c r="D403">
        <f>IF(A403="","",'Skill Matrix'!C31)</f>
        <v/>
      </c>
      <c r="E403">
        <f>IF(A403="","",'Skill Matrix'!D31)</f>
        <v/>
      </c>
      <c r="F403">
        <f>IF(AND('Skill Matrix'!A31&lt;&gt;"",'Skill Matrix'!F5&lt;&gt;""),'Skill Matrix'!F5,"")</f>
        <v/>
      </c>
      <c r="G403">
        <f>IF(OR(A403="",'Skill Matrix'!F31=""),"",'Skill Matrix'!F31)</f>
        <v/>
      </c>
      <c r="H403">
        <f>IF(A403="","",'Employees'!F7)</f>
        <v/>
      </c>
    </row>
    <row r="404">
      <c r="A404">
        <f>IF(AND('Skill Matrix'!A31&lt;&gt;"",'Skill Matrix'!G5&lt;&gt;""),'Skill Matrix'!A31,"")</f>
        <v/>
      </c>
      <c r="B404">
        <f>IF(A404="","",'Employees'!C7)</f>
        <v/>
      </c>
      <c r="C404">
        <f>IF(A404="","",'Employees'!D7)</f>
        <v/>
      </c>
      <c r="D404">
        <f>IF(A404="","",'Skill Matrix'!C31)</f>
        <v/>
      </c>
      <c r="E404">
        <f>IF(A404="","",'Skill Matrix'!D31)</f>
        <v/>
      </c>
      <c r="F404">
        <f>IF(AND('Skill Matrix'!A31&lt;&gt;"",'Skill Matrix'!G5&lt;&gt;""),'Skill Matrix'!G5,"")</f>
        <v/>
      </c>
      <c r="G404">
        <f>IF(OR(A404="",'Skill Matrix'!G31=""),"",'Skill Matrix'!G31)</f>
        <v/>
      </c>
      <c r="H404">
        <f>IF(A404="","",'Employees'!F7)</f>
        <v/>
      </c>
    </row>
    <row r="405">
      <c r="A405">
        <f>IF(AND('Skill Matrix'!A31&lt;&gt;"",'Skill Matrix'!H5&lt;&gt;""),'Skill Matrix'!A31,"")</f>
        <v/>
      </c>
      <c r="B405">
        <f>IF(A405="","",'Employees'!C7)</f>
        <v/>
      </c>
      <c r="C405">
        <f>IF(A405="","",'Employees'!D7)</f>
        <v/>
      </c>
      <c r="D405">
        <f>IF(A405="","",'Skill Matrix'!C31)</f>
        <v/>
      </c>
      <c r="E405">
        <f>IF(A405="","",'Skill Matrix'!D31)</f>
        <v/>
      </c>
      <c r="F405">
        <f>IF(AND('Skill Matrix'!A31&lt;&gt;"",'Skill Matrix'!H5&lt;&gt;""),'Skill Matrix'!H5,"")</f>
        <v/>
      </c>
      <c r="G405">
        <f>IF(OR(A405="",'Skill Matrix'!H31=""),"",'Skill Matrix'!H31)</f>
        <v/>
      </c>
      <c r="H405">
        <f>IF(A405="","",'Employees'!F7)</f>
        <v/>
      </c>
    </row>
    <row r="406">
      <c r="A406">
        <f>IF(AND('Skill Matrix'!A31&lt;&gt;"",'Skill Matrix'!I5&lt;&gt;""),'Skill Matrix'!A31,"")</f>
        <v/>
      </c>
      <c r="B406">
        <f>IF(A406="","",'Employees'!C7)</f>
        <v/>
      </c>
      <c r="C406">
        <f>IF(A406="","",'Employees'!D7)</f>
        <v/>
      </c>
      <c r="D406">
        <f>IF(A406="","",'Skill Matrix'!C31)</f>
        <v/>
      </c>
      <c r="E406">
        <f>IF(A406="","",'Skill Matrix'!D31)</f>
        <v/>
      </c>
      <c r="F406">
        <f>IF(AND('Skill Matrix'!A31&lt;&gt;"",'Skill Matrix'!I5&lt;&gt;""),'Skill Matrix'!I5,"")</f>
        <v/>
      </c>
      <c r="G406">
        <f>IF(OR(A406="",'Skill Matrix'!I31=""),"",'Skill Matrix'!I31)</f>
        <v/>
      </c>
      <c r="H406">
        <f>IF(A406="","",'Employees'!F7)</f>
        <v/>
      </c>
    </row>
    <row r="407">
      <c r="A407">
        <f>IF(AND('Skill Matrix'!A31&lt;&gt;"",'Skill Matrix'!J5&lt;&gt;""),'Skill Matrix'!A31,"")</f>
        <v/>
      </c>
      <c r="B407">
        <f>IF(A407="","",'Employees'!C7)</f>
        <v/>
      </c>
      <c r="C407">
        <f>IF(A407="","",'Employees'!D7)</f>
        <v/>
      </c>
      <c r="D407">
        <f>IF(A407="","",'Skill Matrix'!C31)</f>
        <v/>
      </c>
      <c r="E407">
        <f>IF(A407="","",'Skill Matrix'!D31)</f>
        <v/>
      </c>
      <c r="F407">
        <f>IF(AND('Skill Matrix'!A31&lt;&gt;"",'Skill Matrix'!J5&lt;&gt;""),'Skill Matrix'!J5,"")</f>
        <v/>
      </c>
      <c r="G407">
        <f>IF(OR(A407="",'Skill Matrix'!J31=""),"",'Skill Matrix'!J31)</f>
        <v/>
      </c>
      <c r="H407">
        <f>IF(A407="","",'Employees'!F7)</f>
        <v/>
      </c>
    </row>
    <row r="408">
      <c r="A408">
        <f>IF(AND('Skill Matrix'!A31&lt;&gt;"",'Skill Matrix'!K5&lt;&gt;""),'Skill Matrix'!A31,"")</f>
        <v/>
      </c>
      <c r="B408">
        <f>IF(A408="","",'Employees'!C7)</f>
        <v/>
      </c>
      <c r="C408">
        <f>IF(A408="","",'Employees'!D7)</f>
        <v/>
      </c>
      <c r="D408">
        <f>IF(A408="","",'Skill Matrix'!C31)</f>
        <v/>
      </c>
      <c r="E408">
        <f>IF(A408="","",'Skill Matrix'!D31)</f>
        <v/>
      </c>
      <c r="F408">
        <f>IF(AND('Skill Matrix'!A31&lt;&gt;"",'Skill Matrix'!K5&lt;&gt;""),'Skill Matrix'!K5,"")</f>
        <v/>
      </c>
      <c r="G408">
        <f>IF(OR(A408="",'Skill Matrix'!K31=""),"",'Skill Matrix'!K31)</f>
        <v/>
      </c>
      <c r="H408">
        <f>IF(A408="","",'Employees'!F7)</f>
        <v/>
      </c>
    </row>
    <row r="409">
      <c r="A409">
        <f>IF(AND('Skill Matrix'!A31&lt;&gt;"",'Skill Matrix'!L5&lt;&gt;""),'Skill Matrix'!A31,"")</f>
        <v/>
      </c>
      <c r="B409">
        <f>IF(A409="","",'Employees'!C7)</f>
        <v/>
      </c>
      <c r="C409">
        <f>IF(A409="","",'Employees'!D7)</f>
        <v/>
      </c>
      <c r="D409">
        <f>IF(A409="","",'Skill Matrix'!C31)</f>
        <v/>
      </c>
      <c r="E409">
        <f>IF(A409="","",'Skill Matrix'!D31)</f>
        <v/>
      </c>
      <c r="F409">
        <f>IF(AND('Skill Matrix'!A31&lt;&gt;"",'Skill Matrix'!L5&lt;&gt;""),'Skill Matrix'!L5,"")</f>
        <v/>
      </c>
      <c r="G409">
        <f>IF(OR(A409="",'Skill Matrix'!L31=""),"",'Skill Matrix'!L31)</f>
        <v/>
      </c>
      <c r="H409">
        <f>IF(A409="","",'Employees'!F7)</f>
        <v/>
      </c>
    </row>
    <row r="410">
      <c r="A410">
        <f>IF(AND('Skill Matrix'!A31&lt;&gt;"",'Skill Matrix'!M5&lt;&gt;""),'Skill Matrix'!A31,"")</f>
        <v/>
      </c>
      <c r="B410">
        <f>IF(A410="","",'Employees'!C7)</f>
        <v/>
      </c>
      <c r="C410">
        <f>IF(A410="","",'Employees'!D7)</f>
        <v/>
      </c>
      <c r="D410">
        <f>IF(A410="","",'Skill Matrix'!C31)</f>
        <v/>
      </c>
      <c r="E410">
        <f>IF(A410="","",'Skill Matrix'!D31)</f>
        <v/>
      </c>
      <c r="F410">
        <f>IF(AND('Skill Matrix'!A31&lt;&gt;"",'Skill Matrix'!M5&lt;&gt;""),'Skill Matrix'!M5,"")</f>
        <v/>
      </c>
      <c r="G410">
        <f>IF(OR(A410="",'Skill Matrix'!M31=""),"",'Skill Matrix'!M31)</f>
        <v/>
      </c>
      <c r="H410">
        <f>IF(A410="","",'Employees'!F7)</f>
        <v/>
      </c>
    </row>
    <row r="411">
      <c r="A411">
        <f>IF(AND('Skill Matrix'!A31&lt;&gt;"",'Skill Matrix'!N5&lt;&gt;""),'Skill Matrix'!A31,"")</f>
        <v/>
      </c>
      <c r="B411">
        <f>IF(A411="","",'Employees'!C7)</f>
        <v/>
      </c>
      <c r="C411">
        <f>IF(A411="","",'Employees'!D7)</f>
        <v/>
      </c>
      <c r="D411">
        <f>IF(A411="","",'Skill Matrix'!C31)</f>
        <v/>
      </c>
      <c r="E411">
        <f>IF(A411="","",'Skill Matrix'!D31)</f>
        <v/>
      </c>
      <c r="F411">
        <f>IF(AND('Skill Matrix'!A31&lt;&gt;"",'Skill Matrix'!N5&lt;&gt;""),'Skill Matrix'!N5,"")</f>
        <v/>
      </c>
      <c r="G411">
        <f>IF(OR(A411="",'Skill Matrix'!N31=""),"",'Skill Matrix'!N31)</f>
        <v/>
      </c>
      <c r="H411">
        <f>IF(A411="","",'Employees'!F7)</f>
        <v/>
      </c>
    </row>
    <row r="412">
      <c r="A412">
        <f>IF(AND('Skill Matrix'!A31&lt;&gt;"",'Skill Matrix'!O5&lt;&gt;""),'Skill Matrix'!A31,"")</f>
        <v/>
      </c>
      <c r="B412">
        <f>IF(A412="","",'Employees'!C7)</f>
        <v/>
      </c>
      <c r="C412">
        <f>IF(A412="","",'Employees'!D7)</f>
        <v/>
      </c>
      <c r="D412">
        <f>IF(A412="","",'Skill Matrix'!C31)</f>
        <v/>
      </c>
      <c r="E412">
        <f>IF(A412="","",'Skill Matrix'!D31)</f>
        <v/>
      </c>
      <c r="F412">
        <f>IF(AND('Skill Matrix'!A31&lt;&gt;"",'Skill Matrix'!O5&lt;&gt;""),'Skill Matrix'!O5,"")</f>
        <v/>
      </c>
      <c r="G412">
        <f>IF(OR(A412="",'Skill Matrix'!O31=""),"",'Skill Matrix'!O31)</f>
        <v/>
      </c>
      <c r="H412">
        <f>IF(A412="","",'Employees'!F7)</f>
        <v/>
      </c>
    </row>
    <row r="413">
      <c r="A413">
        <f>IF(AND('Skill Matrix'!A31&lt;&gt;"",'Skill Matrix'!P5&lt;&gt;""),'Skill Matrix'!A31,"")</f>
        <v/>
      </c>
      <c r="B413">
        <f>IF(A413="","",'Employees'!C7)</f>
        <v/>
      </c>
      <c r="C413">
        <f>IF(A413="","",'Employees'!D7)</f>
        <v/>
      </c>
      <c r="D413">
        <f>IF(A413="","",'Skill Matrix'!C31)</f>
        <v/>
      </c>
      <c r="E413">
        <f>IF(A413="","",'Skill Matrix'!D31)</f>
        <v/>
      </c>
      <c r="F413">
        <f>IF(AND('Skill Matrix'!A31&lt;&gt;"",'Skill Matrix'!P5&lt;&gt;""),'Skill Matrix'!P5,"")</f>
        <v/>
      </c>
      <c r="G413">
        <f>IF(OR(A413="",'Skill Matrix'!P31=""),"",'Skill Matrix'!P31)</f>
        <v/>
      </c>
      <c r="H413">
        <f>IF(A413="","",'Employees'!F7)</f>
        <v/>
      </c>
    </row>
    <row r="414">
      <c r="A414">
        <f>IF(AND('Skill Matrix'!A31&lt;&gt;"",'Skill Matrix'!Q5&lt;&gt;""),'Skill Matrix'!A31,"")</f>
        <v/>
      </c>
      <c r="B414">
        <f>IF(A414="","",'Employees'!C7)</f>
        <v/>
      </c>
      <c r="C414">
        <f>IF(A414="","",'Employees'!D7)</f>
        <v/>
      </c>
      <c r="D414">
        <f>IF(A414="","",'Skill Matrix'!C31)</f>
        <v/>
      </c>
      <c r="E414">
        <f>IF(A414="","",'Skill Matrix'!D31)</f>
        <v/>
      </c>
      <c r="F414">
        <f>IF(AND('Skill Matrix'!A31&lt;&gt;"",'Skill Matrix'!Q5&lt;&gt;""),'Skill Matrix'!Q5,"")</f>
        <v/>
      </c>
      <c r="G414">
        <f>IF(OR(A414="",'Skill Matrix'!Q31=""),"",'Skill Matrix'!Q31)</f>
        <v/>
      </c>
      <c r="H414">
        <f>IF(A414="","",'Employees'!F7)</f>
        <v/>
      </c>
    </row>
    <row r="415">
      <c r="A415">
        <f>IF(AND('Skill Matrix'!A31&lt;&gt;"",'Skill Matrix'!R5&lt;&gt;""),'Skill Matrix'!A31,"")</f>
        <v/>
      </c>
      <c r="B415">
        <f>IF(A415="","",'Employees'!C7)</f>
        <v/>
      </c>
      <c r="C415">
        <f>IF(A415="","",'Employees'!D7)</f>
        <v/>
      </c>
      <c r="D415">
        <f>IF(A415="","",'Skill Matrix'!C31)</f>
        <v/>
      </c>
      <c r="E415">
        <f>IF(A415="","",'Skill Matrix'!D31)</f>
        <v/>
      </c>
      <c r="F415">
        <f>IF(AND('Skill Matrix'!A31&lt;&gt;"",'Skill Matrix'!R5&lt;&gt;""),'Skill Matrix'!R5,"")</f>
        <v/>
      </c>
      <c r="G415">
        <f>IF(OR(A415="",'Skill Matrix'!R31=""),"",'Skill Matrix'!R31)</f>
        <v/>
      </c>
      <c r="H415">
        <f>IF(A415="","",'Employees'!F7)</f>
        <v/>
      </c>
    </row>
    <row r="416">
      <c r="A416">
        <f>IF(AND('Skill Matrix'!A31&lt;&gt;"",'Skill Matrix'!S5&lt;&gt;""),'Skill Matrix'!A31,"")</f>
        <v/>
      </c>
      <c r="B416">
        <f>IF(A416="","",'Employees'!C7)</f>
        <v/>
      </c>
      <c r="C416">
        <f>IF(A416="","",'Employees'!D7)</f>
        <v/>
      </c>
      <c r="D416">
        <f>IF(A416="","",'Skill Matrix'!C31)</f>
        <v/>
      </c>
      <c r="E416">
        <f>IF(A416="","",'Skill Matrix'!D31)</f>
        <v/>
      </c>
      <c r="F416">
        <f>IF(AND('Skill Matrix'!A31&lt;&gt;"",'Skill Matrix'!S5&lt;&gt;""),'Skill Matrix'!S5,"")</f>
        <v/>
      </c>
      <c r="G416">
        <f>IF(OR(A416="",'Skill Matrix'!S31=""),"",'Skill Matrix'!S31)</f>
        <v/>
      </c>
      <c r="H416">
        <f>IF(A416="","",'Employees'!F7)</f>
        <v/>
      </c>
    </row>
    <row r="417">
      <c r="A417">
        <f>IF(AND('Skill Matrix'!A31&lt;&gt;"",'Skill Matrix'!T5&lt;&gt;""),'Skill Matrix'!A31,"")</f>
        <v/>
      </c>
      <c r="B417">
        <f>IF(A417="","",'Employees'!C7)</f>
        <v/>
      </c>
      <c r="C417">
        <f>IF(A417="","",'Employees'!D7)</f>
        <v/>
      </c>
      <c r="D417">
        <f>IF(A417="","",'Skill Matrix'!C31)</f>
        <v/>
      </c>
      <c r="E417">
        <f>IF(A417="","",'Skill Matrix'!D31)</f>
        <v/>
      </c>
      <c r="F417">
        <f>IF(AND('Skill Matrix'!A31&lt;&gt;"",'Skill Matrix'!T5&lt;&gt;""),'Skill Matrix'!T5,"")</f>
        <v/>
      </c>
      <c r="G417">
        <f>IF(OR(A417="",'Skill Matrix'!T31=""),"",'Skill Matrix'!T31)</f>
        <v/>
      </c>
      <c r="H417">
        <f>IF(A417="","",'Employees'!F7)</f>
        <v/>
      </c>
    </row>
    <row r="418">
      <c r="A418">
        <f>IF(AND('Skill Matrix'!A32&lt;&gt;"",'Skill Matrix'!E5&lt;&gt;""),'Skill Matrix'!A32,"")</f>
        <v/>
      </c>
      <c r="B418">
        <f>IF(A418="","",'Employees'!C7)</f>
        <v/>
      </c>
      <c r="C418">
        <f>IF(A418="","",'Employees'!D7)</f>
        <v/>
      </c>
      <c r="D418">
        <f>IF(A418="","",'Skill Matrix'!C32)</f>
        <v/>
      </c>
      <c r="E418">
        <f>IF(A418="","",'Skill Matrix'!D32)</f>
        <v/>
      </c>
      <c r="F418">
        <f>IF(AND('Skill Matrix'!A32&lt;&gt;"",'Skill Matrix'!E5&lt;&gt;""),'Skill Matrix'!E5,"")</f>
        <v/>
      </c>
      <c r="G418">
        <f>IF(OR(A418="",'Skill Matrix'!E32=""),"",'Skill Matrix'!E32)</f>
        <v/>
      </c>
      <c r="H418">
        <f>IF(A418="","",'Employees'!F7)</f>
        <v/>
      </c>
    </row>
    <row r="419">
      <c r="A419">
        <f>IF(AND('Skill Matrix'!A32&lt;&gt;"",'Skill Matrix'!F5&lt;&gt;""),'Skill Matrix'!A32,"")</f>
        <v/>
      </c>
      <c r="B419">
        <f>IF(A419="","",'Employees'!C7)</f>
        <v/>
      </c>
      <c r="C419">
        <f>IF(A419="","",'Employees'!D7)</f>
        <v/>
      </c>
      <c r="D419">
        <f>IF(A419="","",'Skill Matrix'!C32)</f>
        <v/>
      </c>
      <c r="E419">
        <f>IF(A419="","",'Skill Matrix'!D32)</f>
        <v/>
      </c>
      <c r="F419">
        <f>IF(AND('Skill Matrix'!A32&lt;&gt;"",'Skill Matrix'!F5&lt;&gt;""),'Skill Matrix'!F5,"")</f>
        <v/>
      </c>
      <c r="G419">
        <f>IF(OR(A419="",'Skill Matrix'!F32=""),"",'Skill Matrix'!F32)</f>
        <v/>
      </c>
      <c r="H419">
        <f>IF(A419="","",'Employees'!F7)</f>
        <v/>
      </c>
    </row>
    <row r="420">
      <c r="A420">
        <f>IF(AND('Skill Matrix'!A32&lt;&gt;"",'Skill Matrix'!G5&lt;&gt;""),'Skill Matrix'!A32,"")</f>
        <v/>
      </c>
      <c r="B420">
        <f>IF(A420="","",'Employees'!C7)</f>
        <v/>
      </c>
      <c r="C420">
        <f>IF(A420="","",'Employees'!D7)</f>
        <v/>
      </c>
      <c r="D420">
        <f>IF(A420="","",'Skill Matrix'!C32)</f>
        <v/>
      </c>
      <c r="E420">
        <f>IF(A420="","",'Skill Matrix'!D32)</f>
        <v/>
      </c>
      <c r="F420">
        <f>IF(AND('Skill Matrix'!A32&lt;&gt;"",'Skill Matrix'!G5&lt;&gt;""),'Skill Matrix'!G5,"")</f>
        <v/>
      </c>
      <c r="G420">
        <f>IF(OR(A420="",'Skill Matrix'!G32=""),"",'Skill Matrix'!G32)</f>
        <v/>
      </c>
      <c r="H420">
        <f>IF(A420="","",'Employees'!F7)</f>
        <v/>
      </c>
    </row>
    <row r="421">
      <c r="A421">
        <f>IF(AND('Skill Matrix'!A32&lt;&gt;"",'Skill Matrix'!H5&lt;&gt;""),'Skill Matrix'!A32,"")</f>
        <v/>
      </c>
      <c r="B421">
        <f>IF(A421="","",'Employees'!C7)</f>
        <v/>
      </c>
      <c r="C421">
        <f>IF(A421="","",'Employees'!D7)</f>
        <v/>
      </c>
      <c r="D421">
        <f>IF(A421="","",'Skill Matrix'!C32)</f>
        <v/>
      </c>
      <c r="E421">
        <f>IF(A421="","",'Skill Matrix'!D32)</f>
        <v/>
      </c>
      <c r="F421">
        <f>IF(AND('Skill Matrix'!A32&lt;&gt;"",'Skill Matrix'!H5&lt;&gt;""),'Skill Matrix'!H5,"")</f>
        <v/>
      </c>
      <c r="G421">
        <f>IF(OR(A421="",'Skill Matrix'!H32=""),"",'Skill Matrix'!H32)</f>
        <v/>
      </c>
      <c r="H421">
        <f>IF(A421="","",'Employees'!F7)</f>
        <v/>
      </c>
    </row>
    <row r="422">
      <c r="A422">
        <f>IF(AND('Skill Matrix'!A32&lt;&gt;"",'Skill Matrix'!I5&lt;&gt;""),'Skill Matrix'!A32,"")</f>
        <v/>
      </c>
      <c r="B422">
        <f>IF(A422="","",'Employees'!C7)</f>
        <v/>
      </c>
      <c r="C422">
        <f>IF(A422="","",'Employees'!D7)</f>
        <v/>
      </c>
      <c r="D422">
        <f>IF(A422="","",'Skill Matrix'!C32)</f>
        <v/>
      </c>
      <c r="E422">
        <f>IF(A422="","",'Skill Matrix'!D32)</f>
        <v/>
      </c>
      <c r="F422">
        <f>IF(AND('Skill Matrix'!A32&lt;&gt;"",'Skill Matrix'!I5&lt;&gt;""),'Skill Matrix'!I5,"")</f>
        <v/>
      </c>
      <c r="G422">
        <f>IF(OR(A422="",'Skill Matrix'!I32=""),"",'Skill Matrix'!I32)</f>
        <v/>
      </c>
      <c r="H422">
        <f>IF(A422="","",'Employees'!F7)</f>
        <v/>
      </c>
    </row>
    <row r="423">
      <c r="A423">
        <f>IF(AND('Skill Matrix'!A32&lt;&gt;"",'Skill Matrix'!J5&lt;&gt;""),'Skill Matrix'!A32,"")</f>
        <v/>
      </c>
      <c r="B423">
        <f>IF(A423="","",'Employees'!C7)</f>
        <v/>
      </c>
      <c r="C423">
        <f>IF(A423="","",'Employees'!D7)</f>
        <v/>
      </c>
      <c r="D423">
        <f>IF(A423="","",'Skill Matrix'!C32)</f>
        <v/>
      </c>
      <c r="E423">
        <f>IF(A423="","",'Skill Matrix'!D32)</f>
        <v/>
      </c>
      <c r="F423">
        <f>IF(AND('Skill Matrix'!A32&lt;&gt;"",'Skill Matrix'!J5&lt;&gt;""),'Skill Matrix'!J5,"")</f>
        <v/>
      </c>
      <c r="G423">
        <f>IF(OR(A423="",'Skill Matrix'!J32=""),"",'Skill Matrix'!J32)</f>
        <v/>
      </c>
      <c r="H423">
        <f>IF(A423="","",'Employees'!F7)</f>
        <v/>
      </c>
    </row>
    <row r="424">
      <c r="A424">
        <f>IF(AND('Skill Matrix'!A32&lt;&gt;"",'Skill Matrix'!K5&lt;&gt;""),'Skill Matrix'!A32,"")</f>
        <v/>
      </c>
      <c r="B424">
        <f>IF(A424="","",'Employees'!C7)</f>
        <v/>
      </c>
      <c r="C424">
        <f>IF(A424="","",'Employees'!D7)</f>
        <v/>
      </c>
      <c r="D424">
        <f>IF(A424="","",'Skill Matrix'!C32)</f>
        <v/>
      </c>
      <c r="E424">
        <f>IF(A424="","",'Skill Matrix'!D32)</f>
        <v/>
      </c>
      <c r="F424">
        <f>IF(AND('Skill Matrix'!A32&lt;&gt;"",'Skill Matrix'!K5&lt;&gt;""),'Skill Matrix'!K5,"")</f>
        <v/>
      </c>
      <c r="G424">
        <f>IF(OR(A424="",'Skill Matrix'!K32=""),"",'Skill Matrix'!K32)</f>
        <v/>
      </c>
      <c r="H424">
        <f>IF(A424="","",'Employees'!F7)</f>
        <v/>
      </c>
    </row>
    <row r="425">
      <c r="A425">
        <f>IF(AND('Skill Matrix'!A32&lt;&gt;"",'Skill Matrix'!L5&lt;&gt;""),'Skill Matrix'!A32,"")</f>
        <v/>
      </c>
      <c r="B425">
        <f>IF(A425="","",'Employees'!C7)</f>
        <v/>
      </c>
      <c r="C425">
        <f>IF(A425="","",'Employees'!D7)</f>
        <v/>
      </c>
      <c r="D425">
        <f>IF(A425="","",'Skill Matrix'!C32)</f>
        <v/>
      </c>
      <c r="E425">
        <f>IF(A425="","",'Skill Matrix'!D32)</f>
        <v/>
      </c>
      <c r="F425">
        <f>IF(AND('Skill Matrix'!A32&lt;&gt;"",'Skill Matrix'!L5&lt;&gt;""),'Skill Matrix'!L5,"")</f>
        <v/>
      </c>
      <c r="G425">
        <f>IF(OR(A425="",'Skill Matrix'!L32=""),"",'Skill Matrix'!L32)</f>
        <v/>
      </c>
      <c r="H425">
        <f>IF(A425="","",'Employees'!F7)</f>
        <v/>
      </c>
    </row>
    <row r="426">
      <c r="A426">
        <f>IF(AND('Skill Matrix'!A32&lt;&gt;"",'Skill Matrix'!M5&lt;&gt;""),'Skill Matrix'!A32,"")</f>
        <v/>
      </c>
      <c r="B426">
        <f>IF(A426="","",'Employees'!C7)</f>
        <v/>
      </c>
      <c r="C426">
        <f>IF(A426="","",'Employees'!D7)</f>
        <v/>
      </c>
      <c r="D426">
        <f>IF(A426="","",'Skill Matrix'!C32)</f>
        <v/>
      </c>
      <c r="E426">
        <f>IF(A426="","",'Skill Matrix'!D32)</f>
        <v/>
      </c>
      <c r="F426">
        <f>IF(AND('Skill Matrix'!A32&lt;&gt;"",'Skill Matrix'!M5&lt;&gt;""),'Skill Matrix'!M5,"")</f>
        <v/>
      </c>
      <c r="G426">
        <f>IF(OR(A426="",'Skill Matrix'!M32=""),"",'Skill Matrix'!M32)</f>
        <v/>
      </c>
      <c r="H426">
        <f>IF(A426="","",'Employees'!F7)</f>
        <v/>
      </c>
    </row>
    <row r="427">
      <c r="A427">
        <f>IF(AND('Skill Matrix'!A32&lt;&gt;"",'Skill Matrix'!N5&lt;&gt;""),'Skill Matrix'!A32,"")</f>
        <v/>
      </c>
      <c r="B427">
        <f>IF(A427="","",'Employees'!C7)</f>
        <v/>
      </c>
      <c r="C427">
        <f>IF(A427="","",'Employees'!D7)</f>
        <v/>
      </c>
      <c r="D427">
        <f>IF(A427="","",'Skill Matrix'!C32)</f>
        <v/>
      </c>
      <c r="E427">
        <f>IF(A427="","",'Skill Matrix'!D32)</f>
        <v/>
      </c>
      <c r="F427">
        <f>IF(AND('Skill Matrix'!A32&lt;&gt;"",'Skill Matrix'!N5&lt;&gt;""),'Skill Matrix'!N5,"")</f>
        <v/>
      </c>
      <c r="G427">
        <f>IF(OR(A427="",'Skill Matrix'!N32=""),"",'Skill Matrix'!N32)</f>
        <v/>
      </c>
      <c r="H427">
        <f>IF(A427="","",'Employees'!F7)</f>
        <v/>
      </c>
    </row>
    <row r="428">
      <c r="A428">
        <f>IF(AND('Skill Matrix'!A32&lt;&gt;"",'Skill Matrix'!O5&lt;&gt;""),'Skill Matrix'!A32,"")</f>
        <v/>
      </c>
      <c r="B428">
        <f>IF(A428="","",'Employees'!C7)</f>
        <v/>
      </c>
      <c r="C428">
        <f>IF(A428="","",'Employees'!D7)</f>
        <v/>
      </c>
      <c r="D428">
        <f>IF(A428="","",'Skill Matrix'!C32)</f>
        <v/>
      </c>
      <c r="E428">
        <f>IF(A428="","",'Skill Matrix'!D32)</f>
        <v/>
      </c>
      <c r="F428">
        <f>IF(AND('Skill Matrix'!A32&lt;&gt;"",'Skill Matrix'!O5&lt;&gt;""),'Skill Matrix'!O5,"")</f>
        <v/>
      </c>
      <c r="G428">
        <f>IF(OR(A428="",'Skill Matrix'!O32=""),"",'Skill Matrix'!O32)</f>
        <v/>
      </c>
      <c r="H428">
        <f>IF(A428="","",'Employees'!F7)</f>
        <v/>
      </c>
    </row>
    <row r="429">
      <c r="A429">
        <f>IF(AND('Skill Matrix'!A32&lt;&gt;"",'Skill Matrix'!P5&lt;&gt;""),'Skill Matrix'!A32,"")</f>
        <v/>
      </c>
      <c r="B429">
        <f>IF(A429="","",'Employees'!C7)</f>
        <v/>
      </c>
      <c r="C429">
        <f>IF(A429="","",'Employees'!D7)</f>
        <v/>
      </c>
      <c r="D429">
        <f>IF(A429="","",'Skill Matrix'!C32)</f>
        <v/>
      </c>
      <c r="E429">
        <f>IF(A429="","",'Skill Matrix'!D32)</f>
        <v/>
      </c>
      <c r="F429">
        <f>IF(AND('Skill Matrix'!A32&lt;&gt;"",'Skill Matrix'!P5&lt;&gt;""),'Skill Matrix'!P5,"")</f>
        <v/>
      </c>
      <c r="G429">
        <f>IF(OR(A429="",'Skill Matrix'!P32=""),"",'Skill Matrix'!P32)</f>
        <v/>
      </c>
      <c r="H429">
        <f>IF(A429="","",'Employees'!F7)</f>
        <v/>
      </c>
    </row>
    <row r="430">
      <c r="A430">
        <f>IF(AND('Skill Matrix'!A32&lt;&gt;"",'Skill Matrix'!Q5&lt;&gt;""),'Skill Matrix'!A32,"")</f>
        <v/>
      </c>
      <c r="B430">
        <f>IF(A430="","",'Employees'!C7)</f>
        <v/>
      </c>
      <c r="C430">
        <f>IF(A430="","",'Employees'!D7)</f>
        <v/>
      </c>
      <c r="D430">
        <f>IF(A430="","",'Skill Matrix'!C32)</f>
        <v/>
      </c>
      <c r="E430">
        <f>IF(A430="","",'Skill Matrix'!D32)</f>
        <v/>
      </c>
      <c r="F430">
        <f>IF(AND('Skill Matrix'!A32&lt;&gt;"",'Skill Matrix'!Q5&lt;&gt;""),'Skill Matrix'!Q5,"")</f>
        <v/>
      </c>
      <c r="G430">
        <f>IF(OR(A430="",'Skill Matrix'!Q32=""),"",'Skill Matrix'!Q32)</f>
        <v/>
      </c>
      <c r="H430">
        <f>IF(A430="","",'Employees'!F7)</f>
        <v/>
      </c>
    </row>
    <row r="431">
      <c r="A431">
        <f>IF(AND('Skill Matrix'!A32&lt;&gt;"",'Skill Matrix'!R5&lt;&gt;""),'Skill Matrix'!A32,"")</f>
        <v/>
      </c>
      <c r="B431">
        <f>IF(A431="","",'Employees'!C7)</f>
        <v/>
      </c>
      <c r="C431">
        <f>IF(A431="","",'Employees'!D7)</f>
        <v/>
      </c>
      <c r="D431">
        <f>IF(A431="","",'Skill Matrix'!C32)</f>
        <v/>
      </c>
      <c r="E431">
        <f>IF(A431="","",'Skill Matrix'!D32)</f>
        <v/>
      </c>
      <c r="F431">
        <f>IF(AND('Skill Matrix'!A32&lt;&gt;"",'Skill Matrix'!R5&lt;&gt;""),'Skill Matrix'!R5,"")</f>
        <v/>
      </c>
      <c r="G431">
        <f>IF(OR(A431="",'Skill Matrix'!R32=""),"",'Skill Matrix'!R32)</f>
        <v/>
      </c>
      <c r="H431">
        <f>IF(A431="","",'Employees'!F7)</f>
        <v/>
      </c>
    </row>
    <row r="432">
      <c r="A432">
        <f>IF(AND('Skill Matrix'!A32&lt;&gt;"",'Skill Matrix'!S5&lt;&gt;""),'Skill Matrix'!A32,"")</f>
        <v/>
      </c>
      <c r="B432">
        <f>IF(A432="","",'Employees'!C7)</f>
        <v/>
      </c>
      <c r="C432">
        <f>IF(A432="","",'Employees'!D7)</f>
        <v/>
      </c>
      <c r="D432">
        <f>IF(A432="","",'Skill Matrix'!C32)</f>
        <v/>
      </c>
      <c r="E432">
        <f>IF(A432="","",'Skill Matrix'!D32)</f>
        <v/>
      </c>
      <c r="F432">
        <f>IF(AND('Skill Matrix'!A32&lt;&gt;"",'Skill Matrix'!S5&lt;&gt;""),'Skill Matrix'!S5,"")</f>
        <v/>
      </c>
      <c r="G432">
        <f>IF(OR(A432="",'Skill Matrix'!S32=""),"",'Skill Matrix'!S32)</f>
        <v/>
      </c>
      <c r="H432">
        <f>IF(A432="","",'Employees'!F7)</f>
        <v/>
      </c>
    </row>
    <row r="433">
      <c r="A433">
        <f>IF(AND('Skill Matrix'!A32&lt;&gt;"",'Skill Matrix'!T5&lt;&gt;""),'Skill Matrix'!A32,"")</f>
        <v/>
      </c>
      <c r="B433">
        <f>IF(A433="","",'Employees'!C7)</f>
        <v/>
      </c>
      <c r="C433">
        <f>IF(A433="","",'Employees'!D7)</f>
        <v/>
      </c>
      <c r="D433">
        <f>IF(A433="","",'Skill Matrix'!C32)</f>
        <v/>
      </c>
      <c r="E433">
        <f>IF(A433="","",'Skill Matrix'!D32)</f>
        <v/>
      </c>
      <c r="F433">
        <f>IF(AND('Skill Matrix'!A32&lt;&gt;"",'Skill Matrix'!T5&lt;&gt;""),'Skill Matrix'!T5,"")</f>
        <v/>
      </c>
      <c r="G433">
        <f>IF(OR(A433="",'Skill Matrix'!T32=""),"",'Skill Matrix'!T32)</f>
        <v/>
      </c>
      <c r="H433">
        <f>IF(A433="","",'Employees'!F7)</f>
        <v/>
      </c>
    </row>
    <row r="434">
      <c r="A434">
        <f>IF(AND('Skill Matrix'!A33&lt;&gt;"",'Skill Matrix'!E5&lt;&gt;""),'Skill Matrix'!A33,"")</f>
        <v/>
      </c>
      <c r="B434">
        <f>IF(A434="","",'Employees'!C7)</f>
        <v/>
      </c>
      <c r="C434">
        <f>IF(A434="","",'Employees'!D7)</f>
        <v/>
      </c>
      <c r="D434">
        <f>IF(A434="","",'Skill Matrix'!C33)</f>
        <v/>
      </c>
      <c r="E434">
        <f>IF(A434="","",'Skill Matrix'!D33)</f>
        <v/>
      </c>
      <c r="F434">
        <f>IF(AND('Skill Matrix'!A33&lt;&gt;"",'Skill Matrix'!E5&lt;&gt;""),'Skill Matrix'!E5,"")</f>
        <v/>
      </c>
      <c r="G434">
        <f>IF(OR(A434="",'Skill Matrix'!E33=""),"",'Skill Matrix'!E33)</f>
        <v/>
      </c>
      <c r="H434">
        <f>IF(A434="","",'Employees'!F7)</f>
        <v/>
      </c>
    </row>
    <row r="435">
      <c r="A435">
        <f>IF(AND('Skill Matrix'!A33&lt;&gt;"",'Skill Matrix'!F5&lt;&gt;""),'Skill Matrix'!A33,"")</f>
        <v/>
      </c>
      <c r="B435">
        <f>IF(A435="","",'Employees'!C7)</f>
        <v/>
      </c>
      <c r="C435">
        <f>IF(A435="","",'Employees'!D7)</f>
        <v/>
      </c>
      <c r="D435">
        <f>IF(A435="","",'Skill Matrix'!C33)</f>
        <v/>
      </c>
      <c r="E435">
        <f>IF(A435="","",'Skill Matrix'!D33)</f>
        <v/>
      </c>
      <c r="F435">
        <f>IF(AND('Skill Matrix'!A33&lt;&gt;"",'Skill Matrix'!F5&lt;&gt;""),'Skill Matrix'!F5,"")</f>
        <v/>
      </c>
      <c r="G435">
        <f>IF(OR(A435="",'Skill Matrix'!F33=""),"",'Skill Matrix'!F33)</f>
        <v/>
      </c>
      <c r="H435">
        <f>IF(A435="","",'Employees'!F7)</f>
        <v/>
      </c>
    </row>
    <row r="436">
      <c r="A436">
        <f>IF(AND('Skill Matrix'!A33&lt;&gt;"",'Skill Matrix'!G5&lt;&gt;""),'Skill Matrix'!A33,"")</f>
        <v/>
      </c>
      <c r="B436">
        <f>IF(A436="","",'Employees'!C7)</f>
        <v/>
      </c>
      <c r="C436">
        <f>IF(A436="","",'Employees'!D7)</f>
        <v/>
      </c>
      <c r="D436">
        <f>IF(A436="","",'Skill Matrix'!C33)</f>
        <v/>
      </c>
      <c r="E436">
        <f>IF(A436="","",'Skill Matrix'!D33)</f>
        <v/>
      </c>
      <c r="F436">
        <f>IF(AND('Skill Matrix'!A33&lt;&gt;"",'Skill Matrix'!G5&lt;&gt;""),'Skill Matrix'!G5,"")</f>
        <v/>
      </c>
      <c r="G436">
        <f>IF(OR(A436="",'Skill Matrix'!G33=""),"",'Skill Matrix'!G33)</f>
        <v/>
      </c>
      <c r="H436">
        <f>IF(A436="","",'Employees'!F7)</f>
        <v/>
      </c>
    </row>
    <row r="437">
      <c r="A437">
        <f>IF(AND('Skill Matrix'!A33&lt;&gt;"",'Skill Matrix'!H5&lt;&gt;""),'Skill Matrix'!A33,"")</f>
        <v/>
      </c>
      <c r="B437">
        <f>IF(A437="","",'Employees'!C7)</f>
        <v/>
      </c>
      <c r="C437">
        <f>IF(A437="","",'Employees'!D7)</f>
        <v/>
      </c>
      <c r="D437">
        <f>IF(A437="","",'Skill Matrix'!C33)</f>
        <v/>
      </c>
      <c r="E437">
        <f>IF(A437="","",'Skill Matrix'!D33)</f>
        <v/>
      </c>
      <c r="F437">
        <f>IF(AND('Skill Matrix'!A33&lt;&gt;"",'Skill Matrix'!H5&lt;&gt;""),'Skill Matrix'!H5,"")</f>
        <v/>
      </c>
      <c r="G437">
        <f>IF(OR(A437="",'Skill Matrix'!H33=""),"",'Skill Matrix'!H33)</f>
        <v/>
      </c>
      <c r="H437">
        <f>IF(A437="","",'Employees'!F7)</f>
        <v/>
      </c>
    </row>
    <row r="438">
      <c r="A438">
        <f>IF(AND('Skill Matrix'!A33&lt;&gt;"",'Skill Matrix'!I5&lt;&gt;""),'Skill Matrix'!A33,"")</f>
        <v/>
      </c>
      <c r="B438">
        <f>IF(A438="","",'Employees'!C7)</f>
        <v/>
      </c>
      <c r="C438">
        <f>IF(A438="","",'Employees'!D7)</f>
        <v/>
      </c>
      <c r="D438">
        <f>IF(A438="","",'Skill Matrix'!C33)</f>
        <v/>
      </c>
      <c r="E438">
        <f>IF(A438="","",'Skill Matrix'!D33)</f>
        <v/>
      </c>
      <c r="F438">
        <f>IF(AND('Skill Matrix'!A33&lt;&gt;"",'Skill Matrix'!I5&lt;&gt;""),'Skill Matrix'!I5,"")</f>
        <v/>
      </c>
      <c r="G438">
        <f>IF(OR(A438="",'Skill Matrix'!I33=""),"",'Skill Matrix'!I33)</f>
        <v/>
      </c>
      <c r="H438">
        <f>IF(A438="","",'Employees'!F7)</f>
        <v/>
      </c>
    </row>
    <row r="439">
      <c r="A439">
        <f>IF(AND('Skill Matrix'!A33&lt;&gt;"",'Skill Matrix'!J5&lt;&gt;""),'Skill Matrix'!A33,"")</f>
        <v/>
      </c>
      <c r="B439">
        <f>IF(A439="","",'Employees'!C7)</f>
        <v/>
      </c>
      <c r="C439">
        <f>IF(A439="","",'Employees'!D7)</f>
        <v/>
      </c>
      <c r="D439">
        <f>IF(A439="","",'Skill Matrix'!C33)</f>
        <v/>
      </c>
      <c r="E439">
        <f>IF(A439="","",'Skill Matrix'!D33)</f>
        <v/>
      </c>
      <c r="F439">
        <f>IF(AND('Skill Matrix'!A33&lt;&gt;"",'Skill Matrix'!J5&lt;&gt;""),'Skill Matrix'!J5,"")</f>
        <v/>
      </c>
      <c r="G439">
        <f>IF(OR(A439="",'Skill Matrix'!J33=""),"",'Skill Matrix'!J33)</f>
        <v/>
      </c>
      <c r="H439">
        <f>IF(A439="","",'Employees'!F7)</f>
        <v/>
      </c>
    </row>
    <row r="440">
      <c r="A440">
        <f>IF(AND('Skill Matrix'!A33&lt;&gt;"",'Skill Matrix'!K5&lt;&gt;""),'Skill Matrix'!A33,"")</f>
        <v/>
      </c>
      <c r="B440">
        <f>IF(A440="","",'Employees'!C7)</f>
        <v/>
      </c>
      <c r="C440">
        <f>IF(A440="","",'Employees'!D7)</f>
        <v/>
      </c>
      <c r="D440">
        <f>IF(A440="","",'Skill Matrix'!C33)</f>
        <v/>
      </c>
      <c r="E440">
        <f>IF(A440="","",'Skill Matrix'!D33)</f>
        <v/>
      </c>
      <c r="F440">
        <f>IF(AND('Skill Matrix'!A33&lt;&gt;"",'Skill Matrix'!K5&lt;&gt;""),'Skill Matrix'!K5,"")</f>
        <v/>
      </c>
      <c r="G440">
        <f>IF(OR(A440="",'Skill Matrix'!K33=""),"",'Skill Matrix'!K33)</f>
        <v/>
      </c>
      <c r="H440">
        <f>IF(A440="","",'Employees'!F7)</f>
        <v/>
      </c>
    </row>
    <row r="441">
      <c r="A441">
        <f>IF(AND('Skill Matrix'!A33&lt;&gt;"",'Skill Matrix'!L5&lt;&gt;""),'Skill Matrix'!A33,"")</f>
        <v/>
      </c>
      <c r="B441">
        <f>IF(A441="","",'Employees'!C7)</f>
        <v/>
      </c>
      <c r="C441">
        <f>IF(A441="","",'Employees'!D7)</f>
        <v/>
      </c>
      <c r="D441">
        <f>IF(A441="","",'Skill Matrix'!C33)</f>
        <v/>
      </c>
      <c r="E441">
        <f>IF(A441="","",'Skill Matrix'!D33)</f>
        <v/>
      </c>
      <c r="F441">
        <f>IF(AND('Skill Matrix'!A33&lt;&gt;"",'Skill Matrix'!L5&lt;&gt;""),'Skill Matrix'!L5,"")</f>
        <v/>
      </c>
      <c r="G441">
        <f>IF(OR(A441="",'Skill Matrix'!L33=""),"",'Skill Matrix'!L33)</f>
        <v/>
      </c>
      <c r="H441">
        <f>IF(A441="","",'Employees'!F7)</f>
        <v/>
      </c>
    </row>
    <row r="442">
      <c r="A442">
        <f>IF(AND('Skill Matrix'!A33&lt;&gt;"",'Skill Matrix'!M5&lt;&gt;""),'Skill Matrix'!A33,"")</f>
        <v/>
      </c>
      <c r="B442">
        <f>IF(A442="","",'Employees'!C7)</f>
        <v/>
      </c>
      <c r="C442">
        <f>IF(A442="","",'Employees'!D7)</f>
        <v/>
      </c>
      <c r="D442">
        <f>IF(A442="","",'Skill Matrix'!C33)</f>
        <v/>
      </c>
      <c r="E442">
        <f>IF(A442="","",'Skill Matrix'!D33)</f>
        <v/>
      </c>
      <c r="F442">
        <f>IF(AND('Skill Matrix'!A33&lt;&gt;"",'Skill Matrix'!M5&lt;&gt;""),'Skill Matrix'!M5,"")</f>
        <v/>
      </c>
      <c r="G442">
        <f>IF(OR(A442="",'Skill Matrix'!M33=""),"",'Skill Matrix'!M33)</f>
        <v/>
      </c>
      <c r="H442">
        <f>IF(A442="","",'Employees'!F7)</f>
        <v/>
      </c>
    </row>
    <row r="443">
      <c r="A443">
        <f>IF(AND('Skill Matrix'!A33&lt;&gt;"",'Skill Matrix'!N5&lt;&gt;""),'Skill Matrix'!A33,"")</f>
        <v/>
      </c>
      <c r="B443">
        <f>IF(A443="","",'Employees'!C7)</f>
        <v/>
      </c>
      <c r="C443">
        <f>IF(A443="","",'Employees'!D7)</f>
        <v/>
      </c>
      <c r="D443">
        <f>IF(A443="","",'Skill Matrix'!C33)</f>
        <v/>
      </c>
      <c r="E443">
        <f>IF(A443="","",'Skill Matrix'!D33)</f>
        <v/>
      </c>
      <c r="F443">
        <f>IF(AND('Skill Matrix'!A33&lt;&gt;"",'Skill Matrix'!N5&lt;&gt;""),'Skill Matrix'!N5,"")</f>
        <v/>
      </c>
      <c r="G443">
        <f>IF(OR(A443="",'Skill Matrix'!N33=""),"",'Skill Matrix'!N33)</f>
        <v/>
      </c>
      <c r="H443">
        <f>IF(A443="","",'Employees'!F7)</f>
        <v/>
      </c>
    </row>
    <row r="444">
      <c r="A444">
        <f>IF(AND('Skill Matrix'!A33&lt;&gt;"",'Skill Matrix'!O5&lt;&gt;""),'Skill Matrix'!A33,"")</f>
        <v/>
      </c>
      <c r="B444">
        <f>IF(A444="","",'Employees'!C7)</f>
        <v/>
      </c>
      <c r="C444">
        <f>IF(A444="","",'Employees'!D7)</f>
        <v/>
      </c>
      <c r="D444">
        <f>IF(A444="","",'Skill Matrix'!C33)</f>
        <v/>
      </c>
      <c r="E444">
        <f>IF(A444="","",'Skill Matrix'!D33)</f>
        <v/>
      </c>
      <c r="F444">
        <f>IF(AND('Skill Matrix'!A33&lt;&gt;"",'Skill Matrix'!O5&lt;&gt;""),'Skill Matrix'!O5,"")</f>
        <v/>
      </c>
      <c r="G444">
        <f>IF(OR(A444="",'Skill Matrix'!O33=""),"",'Skill Matrix'!O33)</f>
        <v/>
      </c>
      <c r="H444">
        <f>IF(A444="","",'Employees'!F7)</f>
        <v/>
      </c>
    </row>
    <row r="445">
      <c r="A445">
        <f>IF(AND('Skill Matrix'!A33&lt;&gt;"",'Skill Matrix'!P5&lt;&gt;""),'Skill Matrix'!A33,"")</f>
        <v/>
      </c>
      <c r="B445">
        <f>IF(A445="","",'Employees'!C7)</f>
        <v/>
      </c>
      <c r="C445">
        <f>IF(A445="","",'Employees'!D7)</f>
        <v/>
      </c>
      <c r="D445">
        <f>IF(A445="","",'Skill Matrix'!C33)</f>
        <v/>
      </c>
      <c r="E445">
        <f>IF(A445="","",'Skill Matrix'!D33)</f>
        <v/>
      </c>
      <c r="F445">
        <f>IF(AND('Skill Matrix'!A33&lt;&gt;"",'Skill Matrix'!P5&lt;&gt;""),'Skill Matrix'!P5,"")</f>
        <v/>
      </c>
      <c r="G445">
        <f>IF(OR(A445="",'Skill Matrix'!P33=""),"",'Skill Matrix'!P33)</f>
        <v/>
      </c>
      <c r="H445">
        <f>IF(A445="","",'Employees'!F7)</f>
        <v/>
      </c>
    </row>
    <row r="446">
      <c r="A446">
        <f>IF(AND('Skill Matrix'!A33&lt;&gt;"",'Skill Matrix'!Q5&lt;&gt;""),'Skill Matrix'!A33,"")</f>
        <v/>
      </c>
      <c r="B446">
        <f>IF(A446="","",'Employees'!C7)</f>
        <v/>
      </c>
      <c r="C446">
        <f>IF(A446="","",'Employees'!D7)</f>
        <v/>
      </c>
      <c r="D446">
        <f>IF(A446="","",'Skill Matrix'!C33)</f>
        <v/>
      </c>
      <c r="E446">
        <f>IF(A446="","",'Skill Matrix'!D33)</f>
        <v/>
      </c>
      <c r="F446">
        <f>IF(AND('Skill Matrix'!A33&lt;&gt;"",'Skill Matrix'!Q5&lt;&gt;""),'Skill Matrix'!Q5,"")</f>
        <v/>
      </c>
      <c r="G446">
        <f>IF(OR(A446="",'Skill Matrix'!Q33=""),"",'Skill Matrix'!Q33)</f>
        <v/>
      </c>
      <c r="H446">
        <f>IF(A446="","",'Employees'!F7)</f>
        <v/>
      </c>
    </row>
    <row r="447">
      <c r="A447">
        <f>IF(AND('Skill Matrix'!A33&lt;&gt;"",'Skill Matrix'!R5&lt;&gt;""),'Skill Matrix'!A33,"")</f>
        <v/>
      </c>
      <c r="B447">
        <f>IF(A447="","",'Employees'!C7)</f>
        <v/>
      </c>
      <c r="C447">
        <f>IF(A447="","",'Employees'!D7)</f>
        <v/>
      </c>
      <c r="D447">
        <f>IF(A447="","",'Skill Matrix'!C33)</f>
        <v/>
      </c>
      <c r="E447">
        <f>IF(A447="","",'Skill Matrix'!D33)</f>
        <v/>
      </c>
      <c r="F447">
        <f>IF(AND('Skill Matrix'!A33&lt;&gt;"",'Skill Matrix'!R5&lt;&gt;""),'Skill Matrix'!R5,"")</f>
        <v/>
      </c>
      <c r="G447">
        <f>IF(OR(A447="",'Skill Matrix'!R33=""),"",'Skill Matrix'!R33)</f>
        <v/>
      </c>
      <c r="H447">
        <f>IF(A447="","",'Employees'!F7)</f>
        <v/>
      </c>
    </row>
    <row r="448">
      <c r="A448">
        <f>IF(AND('Skill Matrix'!A33&lt;&gt;"",'Skill Matrix'!S5&lt;&gt;""),'Skill Matrix'!A33,"")</f>
        <v/>
      </c>
      <c r="B448">
        <f>IF(A448="","",'Employees'!C7)</f>
        <v/>
      </c>
      <c r="C448">
        <f>IF(A448="","",'Employees'!D7)</f>
        <v/>
      </c>
      <c r="D448">
        <f>IF(A448="","",'Skill Matrix'!C33)</f>
        <v/>
      </c>
      <c r="E448">
        <f>IF(A448="","",'Skill Matrix'!D33)</f>
        <v/>
      </c>
      <c r="F448">
        <f>IF(AND('Skill Matrix'!A33&lt;&gt;"",'Skill Matrix'!S5&lt;&gt;""),'Skill Matrix'!S5,"")</f>
        <v/>
      </c>
      <c r="G448">
        <f>IF(OR(A448="",'Skill Matrix'!S33=""),"",'Skill Matrix'!S33)</f>
        <v/>
      </c>
      <c r="H448">
        <f>IF(A448="","",'Employees'!F7)</f>
        <v/>
      </c>
    </row>
    <row r="449">
      <c r="A449">
        <f>IF(AND('Skill Matrix'!A33&lt;&gt;"",'Skill Matrix'!T5&lt;&gt;""),'Skill Matrix'!A33,"")</f>
        <v/>
      </c>
      <c r="B449">
        <f>IF(A449="","",'Employees'!C7)</f>
        <v/>
      </c>
      <c r="C449">
        <f>IF(A449="","",'Employees'!D7)</f>
        <v/>
      </c>
      <c r="D449">
        <f>IF(A449="","",'Skill Matrix'!C33)</f>
        <v/>
      </c>
      <c r="E449">
        <f>IF(A449="","",'Skill Matrix'!D33)</f>
        <v/>
      </c>
      <c r="F449">
        <f>IF(AND('Skill Matrix'!A33&lt;&gt;"",'Skill Matrix'!T5&lt;&gt;""),'Skill Matrix'!T5,"")</f>
        <v/>
      </c>
      <c r="G449">
        <f>IF(OR(A449="",'Skill Matrix'!T33=""),"",'Skill Matrix'!T33)</f>
        <v/>
      </c>
      <c r="H449">
        <f>IF(A449="","",'Employees'!F7)</f>
        <v/>
      </c>
    </row>
    <row r="450">
      <c r="A450">
        <f>IF(AND('Skill Matrix'!A34&lt;&gt;"",'Skill Matrix'!E5&lt;&gt;""),'Skill Matrix'!A34,"")</f>
        <v/>
      </c>
      <c r="B450">
        <f>IF(A450="","",'Employees'!C7)</f>
        <v/>
      </c>
      <c r="C450">
        <f>IF(A450="","",'Employees'!D7)</f>
        <v/>
      </c>
      <c r="D450">
        <f>IF(A450="","",'Skill Matrix'!C34)</f>
        <v/>
      </c>
      <c r="E450">
        <f>IF(A450="","",'Skill Matrix'!D34)</f>
        <v/>
      </c>
      <c r="F450">
        <f>IF(AND('Skill Matrix'!A34&lt;&gt;"",'Skill Matrix'!E5&lt;&gt;""),'Skill Matrix'!E5,"")</f>
        <v/>
      </c>
      <c r="G450">
        <f>IF(OR(A450="",'Skill Matrix'!E34=""),"",'Skill Matrix'!E34)</f>
        <v/>
      </c>
      <c r="H450">
        <f>IF(A450="","",'Employees'!F7)</f>
        <v/>
      </c>
    </row>
    <row r="451">
      <c r="A451">
        <f>IF(AND('Skill Matrix'!A34&lt;&gt;"",'Skill Matrix'!F5&lt;&gt;""),'Skill Matrix'!A34,"")</f>
        <v/>
      </c>
      <c r="B451">
        <f>IF(A451="","",'Employees'!C7)</f>
        <v/>
      </c>
      <c r="C451">
        <f>IF(A451="","",'Employees'!D7)</f>
        <v/>
      </c>
      <c r="D451">
        <f>IF(A451="","",'Skill Matrix'!C34)</f>
        <v/>
      </c>
      <c r="E451">
        <f>IF(A451="","",'Skill Matrix'!D34)</f>
        <v/>
      </c>
      <c r="F451">
        <f>IF(AND('Skill Matrix'!A34&lt;&gt;"",'Skill Matrix'!F5&lt;&gt;""),'Skill Matrix'!F5,"")</f>
        <v/>
      </c>
      <c r="G451">
        <f>IF(OR(A451="",'Skill Matrix'!F34=""),"",'Skill Matrix'!F34)</f>
        <v/>
      </c>
      <c r="H451">
        <f>IF(A451="","",'Employees'!F7)</f>
        <v/>
      </c>
    </row>
    <row r="452">
      <c r="A452">
        <f>IF(AND('Skill Matrix'!A34&lt;&gt;"",'Skill Matrix'!G5&lt;&gt;""),'Skill Matrix'!A34,"")</f>
        <v/>
      </c>
      <c r="B452">
        <f>IF(A452="","",'Employees'!C7)</f>
        <v/>
      </c>
      <c r="C452">
        <f>IF(A452="","",'Employees'!D7)</f>
        <v/>
      </c>
      <c r="D452">
        <f>IF(A452="","",'Skill Matrix'!C34)</f>
        <v/>
      </c>
      <c r="E452">
        <f>IF(A452="","",'Skill Matrix'!D34)</f>
        <v/>
      </c>
      <c r="F452">
        <f>IF(AND('Skill Matrix'!A34&lt;&gt;"",'Skill Matrix'!G5&lt;&gt;""),'Skill Matrix'!G5,"")</f>
        <v/>
      </c>
      <c r="G452">
        <f>IF(OR(A452="",'Skill Matrix'!G34=""),"",'Skill Matrix'!G34)</f>
        <v/>
      </c>
      <c r="H452">
        <f>IF(A452="","",'Employees'!F7)</f>
        <v/>
      </c>
    </row>
    <row r="453">
      <c r="A453">
        <f>IF(AND('Skill Matrix'!A34&lt;&gt;"",'Skill Matrix'!H5&lt;&gt;""),'Skill Matrix'!A34,"")</f>
        <v/>
      </c>
      <c r="B453">
        <f>IF(A453="","",'Employees'!C7)</f>
        <v/>
      </c>
      <c r="C453">
        <f>IF(A453="","",'Employees'!D7)</f>
        <v/>
      </c>
      <c r="D453">
        <f>IF(A453="","",'Skill Matrix'!C34)</f>
        <v/>
      </c>
      <c r="E453">
        <f>IF(A453="","",'Skill Matrix'!D34)</f>
        <v/>
      </c>
      <c r="F453">
        <f>IF(AND('Skill Matrix'!A34&lt;&gt;"",'Skill Matrix'!H5&lt;&gt;""),'Skill Matrix'!H5,"")</f>
        <v/>
      </c>
      <c r="G453">
        <f>IF(OR(A453="",'Skill Matrix'!H34=""),"",'Skill Matrix'!H34)</f>
        <v/>
      </c>
      <c r="H453">
        <f>IF(A453="","",'Employees'!F7)</f>
        <v/>
      </c>
    </row>
    <row r="454">
      <c r="A454">
        <f>IF(AND('Skill Matrix'!A34&lt;&gt;"",'Skill Matrix'!I5&lt;&gt;""),'Skill Matrix'!A34,"")</f>
        <v/>
      </c>
      <c r="B454">
        <f>IF(A454="","",'Employees'!C7)</f>
        <v/>
      </c>
      <c r="C454">
        <f>IF(A454="","",'Employees'!D7)</f>
        <v/>
      </c>
      <c r="D454">
        <f>IF(A454="","",'Skill Matrix'!C34)</f>
        <v/>
      </c>
      <c r="E454">
        <f>IF(A454="","",'Skill Matrix'!D34)</f>
        <v/>
      </c>
      <c r="F454">
        <f>IF(AND('Skill Matrix'!A34&lt;&gt;"",'Skill Matrix'!I5&lt;&gt;""),'Skill Matrix'!I5,"")</f>
        <v/>
      </c>
      <c r="G454">
        <f>IF(OR(A454="",'Skill Matrix'!I34=""),"",'Skill Matrix'!I34)</f>
        <v/>
      </c>
      <c r="H454">
        <f>IF(A454="","",'Employees'!F7)</f>
        <v/>
      </c>
    </row>
    <row r="455">
      <c r="A455">
        <f>IF(AND('Skill Matrix'!A34&lt;&gt;"",'Skill Matrix'!J5&lt;&gt;""),'Skill Matrix'!A34,"")</f>
        <v/>
      </c>
      <c r="B455">
        <f>IF(A455="","",'Employees'!C7)</f>
        <v/>
      </c>
      <c r="C455">
        <f>IF(A455="","",'Employees'!D7)</f>
        <v/>
      </c>
      <c r="D455">
        <f>IF(A455="","",'Skill Matrix'!C34)</f>
        <v/>
      </c>
      <c r="E455">
        <f>IF(A455="","",'Skill Matrix'!D34)</f>
        <v/>
      </c>
      <c r="F455">
        <f>IF(AND('Skill Matrix'!A34&lt;&gt;"",'Skill Matrix'!J5&lt;&gt;""),'Skill Matrix'!J5,"")</f>
        <v/>
      </c>
      <c r="G455">
        <f>IF(OR(A455="",'Skill Matrix'!J34=""),"",'Skill Matrix'!J34)</f>
        <v/>
      </c>
      <c r="H455">
        <f>IF(A455="","",'Employees'!F7)</f>
        <v/>
      </c>
    </row>
    <row r="456">
      <c r="A456">
        <f>IF(AND('Skill Matrix'!A34&lt;&gt;"",'Skill Matrix'!K5&lt;&gt;""),'Skill Matrix'!A34,"")</f>
        <v/>
      </c>
      <c r="B456">
        <f>IF(A456="","",'Employees'!C7)</f>
        <v/>
      </c>
      <c r="C456">
        <f>IF(A456="","",'Employees'!D7)</f>
        <v/>
      </c>
      <c r="D456">
        <f>IF(A456="","",'Skill Matrix'!C34)</f>
        <v/>
      </c>
      <c r="E456">
        <f>IF(A456="","",'Skill Matrix'!D34)</f>
        <v/>
      </c>
      <c r="F456">
        <f>IF(AND('Skill Matrix'!A34&lt;&gt;"",'Skill Matrix'!K5&lt;&gt;""),'Skill Matrix'!K5,"")</f>
        <v/>
      </c>
      <c r="G456">
        <f>IF(OR(A456="",'Skill Matrix'!K34=""),"",'Skill Matrix'!K34)</f>
        <v/>
      </c>
      <c r="H456">
        <f>IF(A456="","",'Employees'!F7)</f>
        <v/>
      </c>
    </row>
    <row r="457">
      <c r="A457">
        <f>IF(AND('Skill Matrix'!A34&lt;&gt;"",'Skill Matrix'!L5&lt;&gt;""),'Skill Matrix'!A34,"")</f>
        <v/>
      </c>
      <c r="B457">
        <f>IF(A457="","",'Employees'!C7)</f>
        <v/>
      </c>
      <c r="C457">
        <f>IF(A457="","",'Employees'!D7)</f>
        <v/>
      </c>
      <c r="D457">
        <f>IF(A457="","",'Skill Matrix'!C34)</f>
        <v/>
      </c>
      <c r="E457">
        <f>IF(A457="","",'Skill Matrix'!D34)</f>
        <v/>
      </c>
      <c r="F457">
        <f>IF(AND('Skill Matrix'!A34&lt;&gt;"",'Skill Matrix'!L5&lt;&gt;""),'Skill Matrix'!L5,"")</f>
        <v/>
      </c>
      <c r="G457">
        <f>IF(OR(A457="",'Skill Matrix'!L34=""),"",'Skill Matrix'!L34)</f>
        <v/>
      </c>
      <c r="H457">
        <f>IF(A457="","",'Employees'!F7)</f>
        <v/>
      </c>
    </row>
    <row r="458">
      <c r="A458">
        <f>IF(AND('Skill Matrix'!A34&lt;&gt;"",'Skill Matrix'!M5&lt;&gt;""),'Skill Matrix'!A34,"")</f>
        <v/>
      </c>
      <c r="B458">
        <f>IF(A458="","",'Employees'!C7)</f>
        <v/>
      </c>
      <c r="C458">
        <f>IF(A458="","",'Employees'!D7)</f>
        <v/>
      </c>
      <c r="D458">
        <f>IF(A458="","",'Skill Matrix'!C34)</f>
        <v/>
      </c>
      <c r="E458">
        <f>IF(A458="","",'Skill Matrix'!D34)</f>
        <v/>
      </c>
      <c r="F458">
        <f>IF(AND('Skill Matrix'!A34&lt;&gt;"",'Skill Matrix'!M5&lt;&gt;""),'Skill Matrix'!M5,"")</f>
        <v/>
      </c>
      <c r="G458">
        <f>IF(OR(A458="",'Skill Matrix'!M34=""),"",'Skill Matrix'!M34)</f>
        <v/>
      </c>
      <c r="H458">
        <f>IF(A458="","",'Employees'!F7)</f>
        <v/>
      </c>
    </row>
    <row r="459">
      <c r="A459">
        <f>IF(AND('Skill Matrix'!A34&lt;&gt;"",'Skill Matrix'!N5&lt;&gt;""),'Skill Matrix'!A34,"")</f>
        <v/>
      </c>
      <c r="B459">
        <f>IF(A459="","",'Employees'!C7)</f>
        <v/>
      </c>
      <c r="C459">
        <f>IF(A459="","",'Employees'!D7)</f>
        <v/>
      </c>
      <c r="D459">
        <f>IF(A459="","",'Skill Matrix'!C34)</f>
        <v/>
      </c>
      <c r="E459">
        <f>IF(A459="","",'Skill Matrix'!D34)</f>
        <v/>
      </c>
      <c r="F459">
        <f>IF(AND('Skill Matrix'!A34&lt;&gt;"",'Skill Matrix'!N5&lt;&gt;""),'Skill Matrix'!N5,"")</f>
        <v/>
      </c>
      <c r="G459">
        <f>IF(OR(A459="",'Skill Matrix'!N34=""),"",'Skill Matrix'!N34)</f>
        <v/>
      </c>
      <c r="H459">
        <f>IF(A459="","",'Employees'!F7)</f>
        <v/>
      </c>
    </row>
    <row r="460">
      <c r="A460">
        <f>IF(AND('Skill Matrix'!A34&lt;&gt;"",'Skill Matrix'!O5&lt;&gt;""),'Skill Matrix'!A34,"")</f>
        <v/>
      </c>
      <c r="B460">
        <f>IF(A460="","",'Employees'!C7)</f>
        <v/>
      </c>
      <c r="C460">
        <f>IF(A460="","",'Employees'!D7)</f>
        <v/>
      </c>
      <c r="D460">
        <f>IF(A460="","",'Skill Matrix'!C34)</f>
        <v/>
      </c>
      <c r="E460">
        <f>IF(A460="","",'Skill Matrix'!D34)</f>
        <v/>
      </c>
      <c r="F460">
        <f>IF(AND('Skill Matrix'!A34&lt;&gt;"",'Skill Matrix'!O5&lt;&gt;""),'Skill Matrix'!O5,"")</f>
        <v/>
      </c>
      <c r="G460">
        <f>IF(OR(A460="",'Skill Matrix'!O34=""),"",'Skill Matrix'!O34)</f>
        <v/>
      </c>
      <c r="H460">
        <f>IF(A460="","",'Employees'!F7)</f>
        <v/>
      </c>
    </row>
    <row r="461">
      <c r="A461">
        <f>IF(AND('Skill Matrix'!A34&lt;&gt;"",'Skill Matrix'!P5&lt;&gt;""),'Skill Matrix'!A34,"")</f>
        <v/>
      </c>
      <c r="B461">
        <f>IF(A461="","",'Employees'!C7)</f>
        <v/>
      </c>
      <c r="C461">
        <f>IF(A461="","",'Employees'!D7)</f>
        <v/>
      </c>
      <c r="D461">
        <f>IF(A461="","",'Skill Matrix'!C34)</f>
        <v/>
      </c>
      <c r="E461">
        <f>IF(A461="","",'Skill Matrix'!D34)</f>
        <v/>
      </c>
      <c r="F461">
        <f>IF(AND('Skill Matrix'!A34&lt;&gt;"",'Skill Matrix'!P5&lt;&gt;""),'Skill Matrix'!P5,"")</f>
        <v/>
      </c>
      <c r="G461">
        <f>IF(OR(A461="",'Skill Matrix'!P34=""),"",'Skill Matrix'!P34)</f>
        <v/>
      </c>
      <c r="H461">
        <f>IF(A461="","",'Employees'!F7)</f>
        <v/>
      </c>
    </row>
    <row r="462">
      <c r="A462">
        <f>IF(AND('Skill Matrix'!A34&lt;&gt;"",'Skill Matrix'!Q5&lt;&gt;""),'Skill Matrix'!A34,"")</f>
        <v/>
      </c>
      <c r="B462">
        <f>IF(A462="","",'Employees'!C7)</f>
        <v/>
      </c>
      <c r="C462">
        <f>IF(A462="","",'Employees'!D7)</f>
        <v/>
      </c>
      <c r="D462">
        <f>IF(A462="","",'Skill Matrix'!C34)</f>
        <v/>
      </c>
      <c r="E462">
        <f>IF(A462="","",'Skill Matrix'!D34)</f>
        <v/>
      </c>
      <c r="F462">
        <f>IF(AND('Skill Matrix'!A34&lt;&gt;"",'Skill Matrix'!Q5&lt;&gt;""),'Skill Matrix'!Q5,"")</f>
        <v/>
      </c>
      <c r="G462">
        <f>IF(OR(A462="",'Skill Matrix'!Q34=""),"",'Skill Matrix'!Q34)</f>
        <v/>
      </c>
      <c r="H462">
        <f>IF(A462="","",'Employees'!F7)</f>
        <v/>
      </c>
    </row>
    <row r="463">
      <c r="A463">
        <f>IF(AND('Skill Matrix'!A34&lt;&gt;"",'Skill Matrix'!R5&lt;&gt;""),'Skill Matrix'!A34,"")</f>
        <v/>
      </c>
      <c r="B463">
        <f>IF(A463="","",'Employees'!C7)</f>
        <v/>
      </c>
      <c r="C463">
        <f>IF(A463="","",'Employees'!D7)</f>
        <v/>
      </c>
      <c r="D463">
        <f>IF(A463="","",'Skill Matrix'!C34)</f>
        <v/>
      </c>
      <c r="E463">
        <f>IF(A463="","",'Skill Matrix'!D34)</f>
        <v/>
      </c>
      <c r="F463">
        <f>IF(AND('Skill Matrix'!A34&lt;&gt;"",'Skill Matrix'!R5&lt;&gt;""),'Skill Matrix'!R5,"")</f>
        <v/>
      </c>
      <c r="G463">
        <f>IF(OR(A463="",'Skill Matrix'!R34=""),"",'Skill Matrix'!R34)</f>
        <v/>
      </c>
      <c r="H463">
        <f>IF(A463="","",'Employees'!F7)</f>
        <v/>
      </c>
    </row>
    <row r="464">
      <c r="A464">
        <f>IF(AND('Skill Matrix'!A34&lt;&gt;"",'Skill Matrix'!S5&lt;&gt;""),'Skill Matrix'!A34,"")</f>
        <v/>
      </c>
      <c r="B464">
        <f>IF(A464="","",'Employees'!C7)</f>
        <v/>
      </c>
      <c r="C464">
        <f>IF(A464="","",'Employees'!D7)</f>
        <v/>
      </c>
      <c r="D464">
        <f>IF(A464="","",'Skill Matrix'!C34)</f>
        <v/>
      </c>
      <c r="E464">
        <f>IF(A464="","",'Skill Matrix'!D34)</f>
        <v/>
      </c>
      <c r="F464">
        <f>IF(AND('Skill Matrix'!A34&lt;&gt;"",'Skill Matrix'!S5&lt;&gt;""),'Skill Matrix'!S5,"")</f>
        <v/>
      </c>
      <c r="G464">
        <f>IF(OR(A464="",'Skill Matrix'!S34=""),"",'Skill Matrix'!S34)</f>
        <v/>
      </c>
      <c r="H464">
        <f>IF(A464="","",'Employees'!F7)</f>
        <v/>
      </c>
    </row>
    <row r="465">
      <c r="A465">
        <f>IF(AND('Skill Matrix'!A34&lt;&gt;"",'Skill Matrix'!T5&lt;&gt;""),'Skill Matrix'!A34,"")</f>
        <v/>
      </c>
      <c r="B465">
        <f>IF(A465="","",'Employees'!C7)</f>
        <v/>
      </c>
      <c r="C465">
        <f>IF(A465="","",'Employees'!D7)</f>
        <v/>
      </c>
      <c r="D465">
        <f>IF(A465="","",'Skill Matrix'!C34)</f>
        <v/>
      </c>
      <c r="E465">
        <f>IF(A465="","",'Skill Matrix'!D34)</f>
        <v/>
      </c>
      <c r="F465">
        <f>IF(AND('Skill Matrix'!A34&lt;&gt;"",'Skill Matrix'!T5&lt;&gt;""),'Skill Matrix'!T5,"")</f>
        <v/>
      </c>
      <c r="G465">
        <f>IF(OR(A465="",'Skill Matrix'!T34=""),"",'Skill Matrix'!T34)</f>
        <v/>
      </c>
      <c r="H465">
        <f>IF(A465="","",'Employees'!F7)</f>
        <v/>
      </c>
    </row>
    <row r="466">
      <c r="A466">
        <f>IF(AND('Skill Matrix'!A35&lt;&gt;"",'Skill Matrix'!E5&lt;&gt;""),'Skill Matrix'!A35,"")</f>
        <v/>
      </c>
      <c r="B466">
        <f>IF(A466="","",'Employees'!C7)</f>
        <v/>
      </c>
      <c r="C466">
        <f>IF(A466="","",'Employees'!D7)</f>
        <v/>
      </c>
      <c r="D466">
        <f>IF(A466="","",'Skill Matrix'!C35)</f>
        <v/>
      </c>
      <c r="E466">
        <f>IF(A466="","",'Skill Matrix'!D35)</f>
        <v/>
      </c>
      <c r="F466">
        <f>IF(AND('Skill Matrix'!A35&lt;&gt;"",'Skill Matrix'!E5&lt;&gt;""),'Skill Matrix'!E5,"")</f>
        <v/>
      </c>
      <c r="G466">
        <f>IF(OR(A466="",'Skill Matrix'!E35=""),"",'Skill Matrix'!E35)</f>
        <v/>
      </c>
      <c r="H466">
        <f>IF(A466="","",'Employees'!F7)</f>
        <v/>
      </c>
    </row>
    <row r="467">
      <c r="A467">
        <f>IF(AND('Skill Matrix'!A35&lt;&gt;"",'Skill Matrix'!F5&lt;&gt;""),'Skill Matrix'!A35,"")</f>
        <v/>
      </c>
      <c r="B467">
        <f>IF(A467="","",'Employees'!C7)</f>
        <v/>
      </c>
      <c r="C467">
        <f>IF(A467="","",'Employees'!D7)</f>
        <v/>
      </c>
      <c r="D467">
        <f>IF(A467="","",'Skill Matrix'!C35)</f>
        <v/>
      </c>
      <c r="E467">
        <f>IF(A467="","",'Skill Matrix'!D35)</f>
        <v/>
      </c>
      <c r="F467">
        <f>IF(AND('Skill Matrix'!A35&lt;&gt;"",'Skill Matrix'!F5&lt;&gt;""),'Skill Matrix'!F5,"")</f>
        <v/>
      </c>
      <c r="G467">
        <f>IF(OR(A467="",'Skill Matrix'!F35=""),"",'Skill Matrix'!F35)</f>
        <v/>
      </c>
      <c r="H467">
        <f>IF(A467="","",'Employees'!F7)</f>
        <v/>
      </c>
    </row>
    <row r="468">
      <c r="A468">
        <f>IF(AND('Skill Matrix'!A35&lt;&gt;"",'Skill Matrix'!G5&lt;&gt;""),'Skill Matrix'!A35,"")</f>
        <v/>
      </c>
      <c r="B468">
        <f>IF(A468="","",'Employees'!C7)</f>
        <v/>
      </c>
      <c r="C468">
        <f>IF(A468="","",'Employees'!D7)</f>
        <v/>
      </c>
      <c r="D468">
        <f>IF(A468="","",'Skill Matrix'!C35)</f>
        <v/>
      </c>
      <c r="E468">
        <f>IF(A468="","",'Skill Matrix'!D35)</f>
        <v/>
      </c>
      <c r="F468">
        <f>IF(AND('Skill Matrix'!A35&lt;&gt;"",'Skill Matrix'!G5&lt;&gt;""),'Skill Matrix'!G5,"")</f>
        <v/>
      </c>
      <c r="G468">
        <f>IF(OR(A468="",'Skill Matrix'!G35=""),"",'Skill Matrix'!G35)</f>
        <v/>
      </c>
      <c r="H468">
        <f>IF(A468="","",'Employees'!F7)</f>
        <v/>
      </c>
    </row>
    <row r="469">
      <c r="A469">
        <f>IF(AND('Skill Matrix'!A35&lt;&gt;"",'Skill Matrix'!H5&lt;&gt;""),'Skill Matrix'!A35,"")</f>
        <v/>
      </c>
      <c r="B469">
        <f>IF(A469="","",'Employees'!C7)</f>
        <v/>
      </c>
      <c r="C469">
        <f>IF(A469="","",'Employees'!D7)</f>
        <v/>
      </c>
      <c r="D469">
        <f>IF(A469="","",'Skill Matrix'!C35)</f>
        <v/>
      </c>
      <c r="E469">
        <f>IF(A469="","",'Skill Matrix'!D35)</f>
        <v/>
      </c>
      <c r="F469">
        <f>IF(AND('Skill Matrix'!A35&lt;&gt;"",'Skill Matrix'!H5&lt;&gt;""),'Skill Matrix'!H5,"")</f>
        <v/>
      </c>
      <c r="G469">
        <f>IF(OR(A469="",'Skill Matrix'!H35=""),"",'Skill Matrix'!H35)</f>
        <v/>
      </c>
      <c r="H469">
        <f>IF(A469="","",'Employees'!F7)</f>
        <v/>
      </c>
    </row>
    <row r="470">
      <c r="A470">
        <f>IF(AND('Skill Matrix'!A35&lt;&gt;"",'Skill Matrix'!I5&lt;&gt;""),'Skill Matrix'!A35,"")</f>
        <v/>
      </c>
      <c r="B470">
        <f>IF(A470="","",'Employees'!C7)</f>
        <v/>
      </c>
      <c r="C470">
        <f>IF(A470="","",'Employees'!D7)</f>
        <v/>
      </c>
      <c r="D470">
        <f>IF(A470="","",'Skill Matrix'!C35)</f>
        <v/>
      </c>
      <c r="E470">
        <f>IF(A470="","",'Skill Matrix'!D35)</f>
        <v/>
      </c>
      <c r="F470">
        <f>IF(AND('Skill Matrix'!A35&lt;&gt;"",'Skill Matrix'!I5&lt;&gt;""),'Skill Matrix'!I5,"")</f>
        <v/>
      </c>
      <c r="G470">
        <f>IF(OR(A470="",'Skill Matrix'!I35=""),"",'Skill Matrix'!I35)</f>
        <v/>
      </c>
      <c r="H470">
        <f>IF(A470="","",'Employees'!F7)</f>
        <v/>
      </c>
    </row>
    <row r="471">
      <c r="A471">
        <f>IF(AND('Skill Matrix'!A35&lt;&gt;"",'Skill Matrix'!J5&lt;&gt;""),'Skill Matrix'!A35,"")</f>
        <v/>
      </c>
      <c r="B471">
        <f>IF(A471="","",'Employees'!C7)</f>
        <v/>
      </c>
      <c r="C471">
        <f>IF(A471="","",'Employees'!D7)</f>
        <v/>
      </c>
      <c r="D471">
        <f>IF(A471="","",'Skill Matrix'!C35)</f>
        <v/>
      </c>
      <c r="E471">
        <f>IF(A471="","",'Skill Matrix'!D35)</f>
        <v/>
      </c>
      <c r="F471">
        <f>IF(AND('Skill Matrix'!A35&lt;&gt;"",'Skill Matrix'!J5&lt;&gt;""),'Skill Matrix'!J5,"")</f>
        <v/>
      </c>
      <c r="G471">
        <f>IF(OR(A471="",'Skill Matrix'!J35=""),"",'Skill Matrix'!J35)</f>
        <v/>
      </c>
      <c r="H471">
        <f>IF(A471="","",'Employees'!F7)</f>
        <v/>
      </c>
    </row>
    <row r="472">
      <c r="A472">
        <f>IF(AND('Skill Matrix'!A35&lt;&gt;"",'Skill Matrix'!K5&lt;&gt;""),'Skill Matrix'!A35,"")</f>
        <v/>
      </c>
      <c r="B472">
        <f>IF(A472="","",'Employees'!C7)</f>
        <v/>
      </c>
      <c r="C472">
        <f>IF(A472="","",'Employees'!D7)</f>
        <v/>
      </c>
      <c r="D472">
        <f>IF(A472="","",'Skill Matrix'!C35)</f>
        <v/>
      </c>
      <c r="E472">
        <f>IF(A472="","",'Skill Matrix'!D35)</f>
        <v/>
      </c>
      <c r="F472">
        <f>IF(AND('Skill Matrix'!A35&lt;&gt;"",'Skill Matrix'!K5&lt;&gt;""),'Skill Matrix'!K5,"")</f>
        <v/>
      </c>
      <c r="G472">
        <f>IF(OR(A472="",'Skill Matrix'!K35=""),"",'Skill Matrix'!K35)</f>
        <v/>
      </c>
      <c r="H472">
        <f>IF(A472="","",'Employees'!F7)</f>
        <v/>
      </c>
    </row>
    <row r="473">
      <c r="A473">
        <f>IF(AND('Skill Matrix'!A35&lt;&gt;"",'Skill Matrix'!L5&lt;&gt;""),'Skill Matrix'!A35,"")</f>
        <v/>
      </c>
      <c r="B473">
        <f>IF(A473="","",'Employees'!C7)</f>
        <v/>
      </c>
      <c r="C473">
        <f>IF(A473="","",'Employees'!D7)</f>
        <v/>
      </c>
      <c r="D473">
        <f>IF(A473="","",'Skill Matrix'!C35)</f>
        <v/>
      </c>
      <c r="E473">
        <f>IF(A473="","",'Skill Matrix'!D35)</f>
        <v/>
      </c>
      <c r="F473">
        <f>IF(AND('Skill Matrix'!A35&lt;&gt;"",'Skill Matrix'!L5&lt;&gt;""),'Skill Matrix'!L5,"")</f>
        <v/>
      </c>
      <c r="G473">
        <f>IF(OR(A473="",'Skill Matrix'!L35=""),"",'Skill Matrix'!L35)</f>
        <v/>
      </c>
      <c r="H473">
        <f>IF(A473="","",'Employees'!F7)</f>
        <v/>
      </c>
    </row>
    <row r="474">
      <c r="A474">
        <f>IF(AND('Skill Matrix'!A35&lt;&gt;"",'Skill Matrix'!M5&lt;&gt;""),'Skill Matrix'!A35,"")</f>
        <v/>
      </c>
      <c r="B474">
        <f>IF(A474="","",'Employees'!C7)</f>
        <v/>
      </c>
      <c r="C474">
        <f>IF(A474="","",'Employees'!D7)</f>
        <v/>
      </c>
      <c r="D474">
        <f>IF(A474="","",'Skill Matrix'!C35)</f>
        <v/>
      </c>
      <c r="E474">
        <f>IF(A474="","",'Skill Matrix'!D35)</f>
        <v/>
      </c>
      <c r="F474">
        <f>IF(AND('Skill Matrix'!A35&lt;&gt;"",'Skill Matrix'!M5&lt;&gt;""),'Skill Matrix'!M5,"")</f>
        <v/>
      </c>
      <c r="G474">
        <f>IF(OR(A474="",'Skill Matrix'!M35=""),"",'Skill Matrix'!M35)</f>
        <v/>
      </c>
      <c r="H474">
        <f>IF(A474="","",'Employees'!F7)</f>
        <v/>
      </c>
    </row>
    <row r="475">
      <c r="A475">
        <f>IF(AND('Skill Matrix'!A35&lt;&gt;"",'Skill Matrix'!N5&lt;&gt;""),'Skill Matrix'!A35,"")</f>
        <v/>
      </c>
      <c r="B475">
        <f>IF(A475="","",'Employees'!C7)</f>
        <v/>
      </c>
      <c r="C475">
        <f>IF(A475="","",'Employees'!D7)</f>
        <v/>
      </c>
      <c r="D475">
        <f>IF(A475="","",'Skill Matrix'!C35)</f>
        <v/>
      </c>
      <c r="E475">
        <f>IF(A475="","",'Skill Matrix'!D35)</f>
        <v/>
      </c>
      <c r="F475">
        <f>IF(AND('Skill Matrix'!A35&lt;&gt;"",'Skill Matrix'!N5&lt;&gt;""),'Skill Matrix'!N5,"")</f>
        <v/>
      </c>
      <c r="G475">
        <f>IF(OR(A475="",'Skill Matrix'!N35=""),"",'Skill Matrix'!N35)</f>
        <v/>
      </c>
      <c r="H475">
        <f>IF(A475="","",'Employees'!F7)</f>
        <v/>
      </c>
    </row>
    <row r="476">
      <c r="A476">
        <f>IF(AND('Skill Matrix'!A35&lt;&gt;"",'Skill Matrix'!O5&lt;&gt;""),'Skill Matrix'!A35,"")</f>
        <v/>
      </c>
      <c r="B476">
        <f>IF(A476="","",'Employees'!C7)</f>
        <v/>
      </c>
      <c r="C476">
        <f>IF(A476="","",'Employees'!D7)</f>
        <v/>
      </c>
      <c r="D476">
        <f>IF(A476="","",'Skill Matrix'!C35)</f>
        <v/>
      </c>
      <c r="E476">
        <f>IF(A476="","",'Skill Matrix'!D35)</f>
        <v/>
      </c>
      <c r="F476">
        <f>IF(AND('Skill Matrix'!A35&lt;&gt;"",'Skill Matrix'!O5&lt;&gt;""),'Skill Matrix'!O5,"")</f>
        <v/>
      </c>
      <c r="G476">
        <f>IF(OR(A476="",'Skill Matrix'!O35=""),"",'Skill Matrix'!O35)</f>
        <v/>
      </c>
      <c r="H476">
        <f>IF(A476="","",'Employees'!F7)</f>
        <v/>
      </c>
    </row>
    <row r="477">
      <c r="A477">
        <f>IF(AND('Skill Matrix'!A35&lt;&gt;"",'Skill Matrix'!P5&lt;&gt;""),'Skill Matrix'!A35,"")</f>
        <v/>
      </c>
      <c r="B477">
        <f>IF(A477="","",'Employees'!C7)</f>
        <v/>
      </c>
      <c r="C477">
        <f>IF(A477="","",'Employees'!D7)</f>
        <v/>
      </c>
      <c r="D477">
        <f>IF(A477="","",'Skill Matrix'!C35)</f>
        <v/>
      </c>
      <c r="E477">
        <f>IF(A477="","",'Skill Matrix'!D35)</f>
        <v/>
      </c>
      <c r="F477">
        <f>IF(AND('Skill Matrix'!A35&lt;&gt;"",'Skill Matrix'!P5&lt;&gt;""),'Skill Matrix'!P5,"")</f>
        <v/>
      </c>
      <c r="G477">
        <f>IF(OR(A477="",'Skill Matrix'!P35=""),"",'Skill Matrix'!P35)</f>
        <v/>
      </c>
      <c r="H477">
        <f>IF(A477="","",'Employees'!F7)</f>
        <v/>
      </c>
    </row>
    <row r="478">
      <c r="A478">
        <f>IF(AND('Skill Matrix'!A35&lt;&gt;"",'Skill Matrix'!Q5&lt;&gt;""),'Skill Matrix'!A35,"")</f>
        <v/>
      </c>
      <c r="B478">
        <f>IF(A478="","",'Employees'!C7)</f>
        <v/>
      </c>
      <c r="C478">
        <f>IF(A478="","",'Employees'!D7)</f>
        <v/>
      </c>
      <c r="D478">
        <f>IF(A478="","",'Skill Matrix'!C35)</f>
        <v/>
      </c>
      <c r="E478">
        <f>IF(A478="","",'Skill Matrix'!D35)</f>
        <v/>
      </c>
      <c r="F478">
        <f>IF(AND('Skill Matrix'!A35&lt;&gt;"",'Skill Matrix'!Q5&lt;&gt;""),'Skill Matrix'!Q5,"")</f>
        <v/>
      </c>
      <c r="G478">
        <f>IF(OR(A478="",'Skill Matrix'!Q35=""),"",'Skill Matrix'!Q35)</f>
        <v/>
      </c>
      <c r="H478">
        <f>IF(A478="","",'Employees'!F7)</f>
        <v/>
      </c>
    </row>
    <row r="479">
      <c r="A479">
        <f>IF(AND('Skill Matrix'!A35&lt;&gt;"",'Skill Matrix'!R5&lt;&gt;""),'Skill Matrix'!A35,"")</f>
        <v/>
      </c>
      <c r="B479">
        <f>IF(A479="","",'Employees'!C7)</f>
        <v/>
      </c>
      <c r="C479">
        <f>IF(A479="","",'Employees'!D7)</f>
        <v/>
      </c>
      <c r="D479">
        <f>IF(A479="","",'Skill Matrix'!C35)</f>
        <v/>
      </c>
      <c r="E479">
        <f>IF(A479="","",'Skill Matrix'!D35)</f>
        <v/>
      </c>
      <c r="F479">
        <f>IF(AND('Skill Matrix'!A35&lt;&gt;"",'Skill Matrix'!R5&lt;&gt;""),'Skill Matrix'!R5,"")</f>
        <v/>
      </c>
      <c r="G479">
        <f>IF(OR(A479="",'Skill Matrix'!R35=""),"",'Skill Matrix'!R35)</f>
        <v/>
      </c>
      <c r="H479">
        <f>IF(A479="","",'Employees'!F7)</f>
        <v/>
      </c>
    </row>
    <row r="480">
      <c r="A480">
        <f>IF(AND('Skill Matrix'!A35&lt;&gt;"",'Skill Matrix'!S5&lt;&gt;""),'Skill Matrix'!A35,"")</f>
        <v/>
      </c>
      <c r="B480">
        <f>IF(A480="","",'Employees'!C7)</f>
        <v/>
      </c>
      <c r="C480">
        <f>IF(A480="","",'Employees'!D7)</f>
        <v/>
      </c>
      <c r="D480">
        <f>IF(A480="","",'Skill Matrix'!C35)</f>
        <v/>
      </c>
      <c r="E480">
        <f>IF(A480="","",'Skill Matrix'!D35)</f>
        <v/>
      </c>
      <c r="F480">
        <f>IF(AND('Skill Matrix'!A35&lt;&gt;"",'Skill Matrix'!S5&lt;&gt;""),'Skill Matrix'!S5,"")</f>
        <v/>
      </c>
      <c r="G480">
        <f>IF(OR(A480="",'Skill Matrix'!S35=""),"",'Skill Matrix'!S35)</f>
        <v/>
      </c>
      <c r="H480">
        <f>IF(A480="","",'Employees'!F7)</f>
        <v/>
      </c>
    </row>
    <row r="481">
      <c r="A481">
        <f>IF(AND('Skill Matrix'!A35&lt;&gt;"",'Skill Matrix'!T5&lt;&gt;""),'Skill Matrix'!A35,"")</f>
        <v/>
      </c>
      <c r="B481">
        <f>IF(A481="","",'Employees'!C7)</f>
        <v/>
      </c>
      <c r="C481">
        <f>IF(A481="","",'Employees'!D7)</f>
        <v/>
      </c>
      <c r="D481">
        <f>IF(A481="","",'Skill Matrix'!C35)</f>
        <v/>
      </c>
      <c r="E481">
        <f>IF(A481="","",'Skill Matrix'!D35)</f>
        <v/>
      </c>
      <c r="F481">
        <f>IF(AND('Skill Matrix'!A35&lt;&gt;"",'Skill Matrix'!T5&lt;&gt;""),'Skill Matrix'!T5,"")</f>
        <v/>
      </c>
      <c r="G481">
        <f>IF(OR(A481="",'Skill Matrix'!T35=""),"",'Skill Matrix'!T35)</f>
        <v/>
      </c>
      <c r="H481">
        <f>IF(A481="","",'Employees'!F7)</f>
        <v/>
      </c>
    </row>
    <row r="482">
      <c r="A482">
        <f>IF(AND('Skill Matrix'!A36&lt;&gt;"",'Skill Matrix'!E5&lt;&gt;""),'Skill Matrix'!A36,"")</f>
        <v/>
      </c>
      <c r="B482">
        <f>IF(A482="","",'Employees'!C7)</f>
        <v/>
      </c>
      <c r="C482">
        <f>IF(A482="","",'Employees'!D7)</f>
        <v/>
      </c>
      <c r="D482">
        <f>IF(A482="","",'Skill Matrix'!C36)</f>
        <v/>
      </c>
      <c r="E482">
        <f>IF(A482="","",'Skill Matrix'!D36)</f>
        <v/>
      </c>
      <c r="F482">
        <f>IF(AND('Skill Matrix'!A36&lt;&gt;"",'Skill Matrix'!E5&lt;&gt;""),'Skill Matrix'!E5,"")</f>
        <v/>
      </c>
      <c r="G482">
        <f>IF(OR(A482="",'Skill Matrix'!E36=""),"",'Skill Matrix'!E36)</f>
        <v/>
      </c>
      <c r="H482">
        <f>IF(A482="","",'Employees'!F7)</f>
        <v/>
      </c>
    </row>
    <row r="483">
      <c r="A483">
        <f>IF(AND('Skill Matrix'!A36&lt;&gt;"",'Skill Matrix'!F5&lt;&gt;""),'Skill Matrix'!A36,"")</f>
        <v/>
      </c>
      <c r="B483">
        <f>IF(A483="","",'Employees'!C7)</f>
        <v/>
      </c>
      <c r="C483">
        <f>IF(A483="","",'Employees'!D7)</f>
        <v/>
      </c>
      <c r="D483">
        <f>IF(A483="","",'Skill Matrix'!C36)</f>
        <v/>
      </c>
      <c r="E483">
        <f>IF(A483="","",'Skill Matrix'!D36)</f>
        <v/>
      </c>
      <c r="F483">
        <f>IF(AND('Skill Matrix'!A36&lt;&gt;"",'Skill Matrix'!F5&lt;&gt;""),'Skill Matrix'!F5,"")</f>
        <v/>
      </c>
      <c r="G483">
        <f>IF(OR(A483="",'Skill Matrix'!F36=""),"",'Skill Matrix'!F36)</f>
        <v/>
      </c>
      <c r="H483">
        <f>IF(A483="","",'Employees'!F7)</f>
        <v/>
      </c>
    </row>
    <row r="484">
      <c r="A484">
        <f>IF(AND('Skill Matrix'!A36&lt;&gt;"",'Skill Matrix'!G5&lt;&gt;""),'Skill Matrix'!A36,"")</f>
        <v/>
      </c>
      <c r="B484">
        <f>IF(A484="","",'Employees'!C7)</f>
        <v/>
      </c>
      <c r="C484">
        <f>IF(A484="","",'Employees'!D7)</f>
        <v/>
      </c>
      <c r="D484">
        <f>IF(A484="","",'Skill Matrix'!C36)</f>
        <v/>
      </c>
      <c r="E484">
        <f>IF(A484="","",'Skill Matrix'!D36)</f>
        <v/>
      </c>
      <c r="F484">
        <f>IF(AND('Skill Matrix'!A36&lt;&gt;"",'Skill Matrix'!G5&lt;&gt;""),'Skill Matrix'!G5,"")</f>
        <v/>
      </c>
      <c r="G484">
        <f>IF(OR(A484="",'Skill Matrix'!G36=""),"",'Skill Matrix'!G36)</f>
        <v/>
      </c>
      <c r="H484">
        <f>IF(A484="","",'Employees'!F7)</f>
        <v/>
      </c>
    </row>
    <row r="485">
      <c r="A485">
        <f>IF(AND('Skill Matrix'!A36&lt;&gt;"",'Skill Matrix'!H5&lt;&gt;""),'Skill Matrix'!A36,"")</f>
        <v/>
      </c>
      <c r="B485">
        <f>IF(A485="","",'Employees'!C7)</f>
        <v/>
      </c>
      <c r="C485">
        <f>IF(A485="","",'Employees'!D7)</f>
        <v/>
      </c>
      <c r="D485">
        <f>IF(A485="","",'Skill Matrix'!C36)</f>
        <v/>
      </c>
      <c r="E485">
        <f>IF(A485="","",'Skill Matrix'!D36)</f>
        <v/>
      </c>
      <c r="F485">
        <f>IF(AND('Skill Matrix'!A36&lt;&gt;"",'Skill Matrix'!H5&lt;&gt;""),'Skill Matrix'!H5,"")</f>
        <v/>
      </c>
      <c r="G485">
        <f>IF(OR(A485="",'Skill Matrix'!H36=""),"",'Skill Matrix'!H36)</f>
        <v/>
      </c>
      <c r="H485">
        <f>IF(A485="","",'Employees'!F7)</f>
        <v/>
      </c>
    </row>
    <row r="486">
      <c r="A486">
        <f>IF(AND('Skill Matrix'!A36&lt;&gt;"",'Skill Matrix'!I5&lt;&gt;""),'Skill Matrix'!A36,"")</f>
        <v/>
      </c>
      <c r="B486">
        <f>IF(A486="","",'Employees'!C7)</f>
        <v/>
      </c>
      <c r="C486">
        <f>IF(A486="","",'Employees'!D7)</f>
        <v/>
      </c>
      <c r="D486">
        <f>IF(A486="","",'Skill Matrix'!C36)</f>
        <v/>
      </c>
      <c r="E486">
        <f>IF(A486="","",'Skill Matrix'!D36)</f>
        <v/>
      </c>
      <c r="F486">
        <f>IF(AND('Skill Matrix'!A36&lt;&gt;"",'Skill Matrix'!I5&lt;&gt;""),'Skill Matrix'!I5,"")</f>
        <v/>
      </c>
      <c r="G486">
        <f>IF(OR(A486="",'Skill Matrix'!I36=""),"",'Skill Matrix'!I36)</f>
        <v/>
      </c>
      <c r="H486">
        <f>IF(A486="","",'Employees'!F7)</f>
        <v/>
      </c>
    </row>
    <row r="487">
      <c r="A487">
        <f>IF(AND('Skill Matrix'!A36&lt;&gt;"",'Skill Matrix'!J5&lt;&gt;""),'Skill Matrix'!A36,"")</f>
        <v/>
      </c>
      <c r="B487">
        <f>IF(A487="","",'Employees'!C7)</f>
        <v/>
      </c>
      <c r="C487">
        <f>IF(A487="","",'Employees'!D7)</f>
        <v/>
      </c>
      <c r="D487">
        <f>IF(A487="","",'Skill Matrix'!C36)</f>
        <v/>
      </c>
      <c r="E487">
        <f>IF(A487="","",'Skill Matrix'!D36)</f>
        <v/>
      </c>
      <c r="F487">
        <f>IF(AND('Skill Matrix'!A36&lt;&gt;"",'Skill Matrix'!J5&lt;&gt;""),'Skill Matrix'!J5,"")</f>
        <v/>
      </c>
      <c r="G487">
        <f>IF(OR(A487="",'Skill Matrix'!J36=""),"",'Skill Matrix'!J36)</f>
        <v/>
      </c>
      <c r="H487">
        <f>IF(A487="","",'Employees'!F7)</f>
        <v/>
      </c>
    </row>
    <row r="488">
      <c r="A488">
        <f>IF(AND('Skill Matrix'!A36&lt;&gt;"",'Skill Matrix'!K5&lt;&gt;""),'Skill Matrix'!A36,"")</f>
        <v/>
      </c>
      <c r="B488">
        <f>IF(A488="","",'Employees'!C7)</f>
        <v/>
      </c>
      <c r="C488">
        <f>IF(A488="","",'Employees'!D7)</f>
        <v/>
      </c>
      <c r="D488">
        <f>IF(A488="","",'Skill Matrix'!C36)</f>
        <v/>
      </c>
      <c r="E488">
        <f>IF(A488="","",'Skill Matrix'!D36)</f>
        <v/>
      </c>
      <c r="F488">
        <f>IF(AND('Skill Matrix'!A36&lt;&gt;"",'Skill Matrix'!K5&lt;&gt;""),'Skill Matrix'!K5,"")</f>
        <v/>
      </c>
      <c r="G488">
        <f>IF(OR(A488="",'Skill Matrix'!K36=""),"",'Skill Matrix'!K36)</f>
        <v/>
      </c>
      <c r="H488">
        <f>IF(A488="","",'Employees'!F7)</f>
        <v/>
      </c>
    </row>
    <row r="489">
      <c r="A489">
        <f>IF(AND('Skill Matrix'!A36&lt;&gt;"",'Skill Matrix'!L5&lt;&gt;""),'Skill Matrix'!A36,"")</f>
        <v/>
      </c>
      <c r="B489">
        <f>IF(A489="","",'Employees'!C7)</f>
        <v/>
      </c>
      <c r="C489">
        <f>IF(A489="","",'Employees'!D7)</f>
        <v/>
      </c>
      <c r="D489">
        <f>IF(A489="","",'Skill Matrix'!C36)</f>
        <v/>
      </c>
      <c r="E489">
        <f>IF(A489="","",'Skill Matrix'!D36)</f>
        <v/>
      </c>
      <c r="F489">
        <f>IF(AND('Skill Matrix'!A36&lt;&gt;"",'Skill Matrix'!L5&lt;&gt;""),'Skill Matrix'!L5,"")</f>
        <v/>
      </c>
      <c r="G489">
        <f>IF(OR(A489="",'Skill Matrix'!L36=""),"",'Skill Matrix'!L36)</f>
        <v/>
      </c>
      <c r="H489">
        <f>IF(A489="","",'Employees'!F7)</f>
        <v/>
      </c>
    </row>
    <row r="490">
      <c r="A490">
        <f>IF(AND('Skill Matrix'!A36&lt;&gt;"",'Skill Matrix'!M5&lt;&gt;""),'Skill Matrix'!A36,"")</f>
        <v/>
      </c>
      <c r="B490">
        <f>IF(A490="","",'Employees'!C7)</f>
        <v/>
      </c>
      <c r="C490">
        <f>IF(A490="","",'Employees'!D7)</f>
        <v/>
      </c>
      <c r="D490">
        <f>IF(A490="","",'Skill Matrix'!C36)</f>
        <v/>
      </c>
      <c r="E490">
        <f>IF(A490="","",'Skill Matrix'!D36)</f>
        <v/>
      </c>
      <c r="F490">
        <f>IF(AND('Skill Matrix'!A36&lt;&gt;"",'Skill Matrix'!M5&lt;&gt;""),'Skill Matrix'!M5,"")</f>
        <v/>
      </c>
      <c r="G490">
        <f>IF(OR(A490="",'Skill Matrix'!M36=""),"",'Skill Matrix'!M36)</f>
        <v/>
      </c>
      <c r="H490">
        <f>IF(A490="","",'Employees'!F7)</f>
        <v/>
      </c>
    </row>
    <row r="491">
      <c r="A491">
        <f>IF(AND('Skill Matrix'!A36&lt;&gt;"",'Skill Matrix'!N5&lt;&gt;""),'Skill Matrix'!A36,"")</f>
        <v/>
      </c>
      <c r="B491">
        <f>IF(A491="","",'Employees'!C7)</f>
        <v/>
      </c>
      <c r="C491">
        <f>IF(A491="","",'Employees'!D7)</f>
        <v/>
      </c>
      <c r="D491">
        <f>IF(A491="","",'Skill Matrix'!C36)</f>
        <v/>
      </c>
      <c r="E491">
        <f>IF(A491="","",'Skill Matrix'!D36)</f>
        <v/>
      </c>
      <c r="F491">
        <f>IF(AND('Skill Matrix'!A36&lt;&gt;"",'Skill Matrix'!N5&lt;&gt;""),'Skill Matrix'!N5,"")</f>
        <v/>
      </c>
      <c r="G491">
        <f>IF(OR(A491="",'Skill Matrix'!N36=""),"",'Skill Matrix'!N36)</f>
        <v/>
      </c>
      <c r="H491">
        <f>IF(A491="","",'Employees'!F7)</f>
        <v/>
      </c>
    </row>
    <row r="492">
      <c r="A492">
        <f>IF(AND('Skill Matrix'!A36&lt;&gt;"",'Skill Matrix'!O5&lt;&gt;""),'Skill Matrix'!A36,"")</f>
        <v/>
      </c>
      <c r="B492">
        <f>IF(A492="","",'Employees'!C7)</f>
        <v/>
      </c>
      <c r="C492">
        <f>IF(A492="","",'Employees'!D7)</f>
        <v/>
      </c>
      <c r="D492">
        <f>IF(A492="","",'Skill Matrix'!C36)</f>
        <v/>
      </c>
      <c r="E492">
        <f>IF(A492="","",'Skill Matrix'!D36)</f>
        <v/>
      </c>
      <c r="F492">
        <f>IF(AND('Skill Matrix'!A36&lt;&gt;"",'Skill Matrix'!O5&lt;&gt;""),'Skill Matrix'!O5,"")</f>
        <v/>
      </c>
      <c r="G492">
        <f>IF(OR(A492="",'Skill Matrix'!O36=""),"",'Skill Matrix'!O36)</f>
        <v/>
      </c>
      <c r="H492">
        <f>IF(A492="","",'Employees'!F7)</f>
        <v/>
      </c>
    </row>
    <row r="493">
      <c r="A493">
        <f>IF(AND('Skill Matrix'!A36&lt;&gt;"",'Skill Matrix'!P5&lt;&gt;""),'Skill Matrix'!A36,"")</f>
        <v/>
      </c>
      <c r="B493">
        <f>IF(A493="","",'Employees'!C7)</f>
        <v/>
      </c>
      <c r="C493">
        <f>IF(A493="","",'Employees'!D7)</f>
        <v/>
      </c>
      <c r="D493">
        <f>IF(A493="","",'Skill Matrix'!C36)</f>
        <v/>
      </c>
      <c r="E493">
        <f>IF(A493="","",'Skill Matrix'!D36)</f>
        <v/>
      </c>
      <c r="F493">
        <f>IF(AND('Skill Matrix'!A36&lt;&gt;"",'Skill Matrix'!P5&lt;&gt;""),'Skill Matrix'!P5,"")</f>
        <v/>
      </c>
      <c r="G493">
        <f>IF(OR(A493="",'Skill Matrix'!P36=""),"",'Skill Matrix'!P36)</f>
        <v/>
      </c>
      <c r="H493">
        <f>IF(A493="","",'Employees'!F7)</f>
        <v/>
      </c>
    </row>
    <row r="494">
      <c r="A494">
        <f>IF(AND('Skill Matrix'!A36&lt;&gt;"",'Skill Matrix'!Q5&lt;&gt;""),'Skill Matrix'!A36,"")</f>
        <v/>
      </c>
      <c r="B494">
        <f>IF(A494="","",'Employees'!C7)</f>
        <v/>
      </c>
      <c r="C494">
        <f>IF(A494="","",'Employees'!D7)</f>
        <v/>
      </c>
      <c r="D494">
        <f>IF(A494="","",'Skill Matrix'!C36)</f>
        <v/>
      </c>
      <c r="E494">
        <f>IF(A494="","",'Skill Matrix'!D36)</f>
        <v/>
      </c>
      <c r="F494">
        <f>IF(AND('Skill Matrix'!A36&lt;&gt;"",'Skill Matrix'!Q5&lt;&gt;""),'Skill Matrix'!Q5,"")</f>
        <v/>
      </c>
      <c r="G494">
        <f>IF(OR(A494="",'Skill Matrix'!Q36=""),"",'Skill Matrix'!Q36)</f>
        <v/>
      </c>
      <c r="H494">
        <f>IF(A494="","",'Employees'!F7)</f>
        <v/>
      </c>
    </row>
    <row r="495">
      <c r="A495">
        <f>IF(AND('Skill Matrix'!A36&lt;&gt;"",'Skill Matrix'!R5&lt;&gt;""),'Skill Matrix'!A36,"")</f>
        <v/>
      </c>
      <c r="B495">
        <f>IF(A495="","",'Employees'!C7)</f>
        <v/>
      </c>
      <c r="C495">
        <f>IF(A495="","",'Employees'!D7)</f>
        <v/>
      </c>
      <c r="D495">
        <f>IF(A495="","",'Skill Matrix'!C36)</f>
        <v/>
      </c>
      <c r="E495">
        <f>IF(A495="","",'Skill Matrix'!D36)</f>
        <v/>
      </c>
      <c r="F495">
        <f>IF(AND('Skill Matrix'!A36&lt;&gt;"",'Skill Matrix'!R5&lt;&gt;""),'Skill Matrix'!R5,"")</f>
        <v/>
      </c>
      <c r="G495">
        <f>IF(OR(A495="",'Skill Matrix'!R36=""),"",'Skill Matrix'!R36)</f>
        <v/>
      </c>
      <c r="H495">
        <f>IF(A495="","",'Employees'!F7)</f>
        <v/>
      </c>
    </row>
    <row r="496">
      <c r="A496">
        <f>IF(AND('Skill Matrix'!A36&lt;&gt;"",'Skill Matrix'!S5&lt;&gt;""),'Skill Matrix'!A36,"")</f>
        <v/>
      </c>
      <c r="B496">
        <f>IF(A496="","",'Employees'!C7)</f>
        <v/>
      </c>
      <c r="C496">
        <f>IF(A496="","",'Employees'!D7)</f>
        <v/>
      </c>
      <c r="D496">
        <f>IF(A496="","",'Skill Matrix'!C36)</f>
        <v/>
      </c>
      <c r="E496">
        <f>IF(A496="","",'Skill Matrix'!D36)</f>
        <v/>
      </c>
      <c r="F496">
        <f>IF(AND('Skill Matrix'!A36&lt;&gt;"",'Skill Matrix'!S5&lt;&gt;""),'Skill Matrix'!S5,"")</f>
        <v/>
      </c>
      <c r="G496">
        <f>IF(OR(A496="",'Skill Matrix'!S36=""),"",'Skill Matrix'!S36)</f>
        <v/>
      </c>
      <c r="H496">
        <f>IF(A496="","",'Employees'!F7)</f>
        <v/>
      </c>
    </row>
    <row r="497">
      <c r="A497">
        <f>IF(AND('Skill Matrix'!A36&lt;&gt;"",'Skill Matrix'!T5&lt;&gt;""),'Skill Matrix'!A36,"")</f>
        <v/>
      </c>
      <c r="B497">
        <f>IF(A497="","",'Employees'!C7)</f>
        <v/>
      </c>
      <c r="C497">
        <f>IF(A497="","",'Employees'!D7)</f>
        <v/>
      </c>
      <c r="D497">
        <f>IF(A497="","",'Skill Matrix'!C36)</f>
        <v/>
      </c>
      <c r="E497">
        <f>IF(A497="","",'Skill Matrix'!D36)</f>
        <v/>
      </c>
      <c r="F497">
        <f>IF(AND('Skill Matrix'!A36&lt;&gt;"",'Skill Matrix'!T5&lt;&gt;""),'Skill Matrix'!T5,"")</f>
        <v/>
      </c>
      <c r="G497">
        <f>IF(OR(A497="",'Skill Matrix'!T36=""),"",'Skill Matrix'!T36)</f>
        <v/>
      </c>
      <c r="H497">
        <f>IF(A497="","",'Employees'!F7)</f>
        <v/>
      </c>
    </row>
    <row r="498">
      <c r="A498">
        <f>IF(AND('Skill Matrix'!A37&lt;&gt;"",'Skill Matrix'!E5&lt;&gt;""),'Skill Matrix'!A37,"")</f>
        <v/>
      </c>
      <c r="B498">
        <f>IF(A498="","",'Employees'!C7)</f>
        <v/>
      </c>
      <c r="C498">
        <f>IF(A498="","",'Employees'!D7)</f>
        <v/>
      </c>
      <c r="D498">
        <f>IF(A498="","",'Skill Matrix'!C37)</f>
        <v/>
      </c>
      <c r="E498">
        <f>IF(A498="","",'Skill Matrix'!D37)</f>
        <v/>
      </c>
      <c r="F498">
        <f>IF(AND('Skill Matrix'!A37&lt;&gt;"",'Skill Matrix'!E5&lt;&gt;""),'Skill Matrix'!E5,"")</f>
        <v/>
      </c>
      <c r="G498">
        <f>IF(OR(A498="",'Skill Matrix'!E37=""),"",'Skill Matrix'!E37)</f>
        <v/>
      </c>
      <c r="H498">
        <f>IF(A498="","",'Employees'!F7)</f>
        <v/>
      </c>
    </row>
    <row r="499">
      <c r="A499">
        <f>IF(AND('Skill Matrix'!A37&lt;&gt;"",'Skill Matrix'!F5&lt;&gt;""),'Skill Matrix'!A37,"")</f>
        <v/>
      </c>
      <c r="B499">
        <f>IF(A499="","",'Employees'!C7)</f>
        <v/>
      </c>
      <c r="C499">
        <f>IF(A499="","",'Employees'!D7)</f>
        <v/>
      </c>
      <c r="D499">
        <f>IF(A499="","",'Skill Matrix'!C37)</f>
        <v/>
      </c>
      <c r="E499">
        <f>IF(A499="","",'Skill Matrix'!D37)</f>
        <v/>
      </c>
      <c r="F499">
        <f>IF(AND('Skill Matrix'!A37&lt;&gt;"",'Skill Matrix'!F5&lt;&gt;""),'Skill Matrix'!F5,"")</f>
        <v/>
      </c>
      <c r="G499">
        <f>IF(OR(A499="",'Skill Matrix'!F37=""),"",'Skill Matrix'!F37)</f>
        <v/>
      </c>
      <c r="H499">
        <f>IF(A499="","",'Employees'!F7)</f>
        <v/>
      </c>
    </row>
    <row r="500">
      <c r="A500">
        <f>IF(AND('Skill Matrix'!A37&lt;&gt;"",'Skill Matrix'!G5&lt;&gt;""),'Skill Matrix'!A37,"")</f>
        <v/>
      </c>
      <c r="B500">
        <f>IF(A500="","",'Employees'!C7)</f>
        <v/>
      </c>
      <c r="C500">
        <f>IF(A500="","",'Employees'!D7)</f>
        <v/>
      </c>
      <c r="D500">
        <f>IF(A500="","",'Skill Matrix'!C37)</f>
        <v/>
      </c>
      <c r="E500">
        <f>IF(A500="","",'Skill Matrix'!D37)</f>
        <v/>
      </c>
      <c r="F500">
        <f>IF(AND('Skill Matrix'!A37&lt;&gt;"",'Skill Matrix'!G5&lt;&gt;""),'Skill Matrix'!G5,"")</f>
        <v/>
      </c>
      <c r="G500">
        <f>IF(OR(A500="",'Skill Matrix'!G37=""),"",'Skill Matrix'!G37)</f>
        <v/>
      </c>
      <c r="H500">
        <f>IF(A500="","",'Employees'!F7)</f>
        <v/>
      </c>
    </row>
    <row r="501">
      <c r="A501">
        <f>IF(AND('Skill Matrix'!A37&lt;&gt;"",'Skill Matrix'!H5&lt;&gt;""),'Skill Matrix'!A37,"")</f>
        <v/>
      </c>
      <c r="B501">
        <f>IF(A501="","",'Employees'!C7)</f>
        <v/>
      </c>
      <c r="C501">
        <f>IF(A501="","",'Employees'!D7)</f>
        <v/>
      </c>
      <c r="D501">
        <f>IF(A501="","",'Skill Matrix'!C37)</f>
        <v/>
      </c>
      <c r="E501">
        <f>IF(A501="","",'Skill Matrix'!D37)</f>
        <v/>
      </c>
      <c r="F501">
        <f>IF(AND('Skill Matrix'!A37&lt;&gt;"",'Skill Matrix'!H5&lt;&gt;""),'Skill Matrix'!H5,"")</f>
        <v/>
      </c>
      <c r="G501">
        <f>IF(OR(A501="",'Skill Matrix'!H37=""),"",'Skill Matrix'!H37)</f>
        <v/>
      </c>
      <c r="H501">
        <f>IF(A501="","",'Employees'!F7)</f>
        <v/>
      </c>
    </row>
    <row r="502">
      <c r="A502">
        <f>IF(AND('Skill Matrix'!A37&lt;&gt;"",'Skill Matrix'!I5&lt;&gt;""),'Skill Matrix'!A37,"")</f>
        <v/>
      </c>
      <c r="B502">
        <f>IF(A502="","",'Employees'!C7)</f>
        <v/>
      </c>
      <c r="C502">
        <f>IF(A502="","",'Employees'!D7)</f>
        <v/>
      </c>
      <c r="D502">
        <f>IF(A502="","",'Skill Matrix'!C37)</f>
        <v/>
      </c>
      <c r="E502">
        <f>IF(A502="","",'Skill Matrix'!D37)</f>
        <v/>
      </c>
      <c r="F502">
        <f>IF(AND('Skill Matrix'!A37&lt;&gt;"",'Skill Matrix'!I5&lt;&gt;""),'Skill Matrix'!I5,"")</f>
        <v/>
      </c>
      <c r="G502">
        <f>IF(OR(A502="",'Skill Matrix'!I37=""),"",'Skill Matrix'!I37)</f>
        <v/>
      </c>
      <c r="H502">
        <f>IF(A502="","",'Employees'!F7)</f>
        <v/>
      </c>
    </row>
    <row r="503">
      <c r="A503">
        <f>IF(AND('Skill Matrix'!A37&lt;&gt;"",'Skill Matrix'!J5&lt;&gt;""),'Skill Matrix'!A37,"")</f>
        <v/>
      </c>
      <c r="B503">
        <f>IF(A503="","",'Employees'!C7)</f>
        <v/>
      </c>
      <c r="C503">
        <f>IF(A503="","",'Employees'!D7)</f>
        <v/>
      </c>
      <c r="D503">
        <f>IF(A503="","",'Skill Matrix'!C37)</f>
        <v/>
      </c>
      <c r="E503">
        <f>IF(A503="","",'Skill Matrix'!D37)</f>
        <v/>
      </c>
      <c r="F503">
        <f>IF(AND('Skill Matrix'!A37&lt;&gt;"",'Skill Matrix'!J5&lt;&gt;""),'Skill Matrix'!J5,"")</f>
        <v/>
      </c>
      <c r="G503">
        <f>IF(OR(A503="",'Skill Matrix'!J37=""),"",'Skill Matrix'!J37)</f>
        <v/>
      </c>
      <c r="H503">
        <f>IF(A503="","",'Employees'!F7)</f>
        <v/>
      </c>
    </row>
    <row r="504">
      <c r="A504">
        <f>IF(AND('Skill Matrix'!A37&lt;&gt;"",'Skill Matrix'!K5&lt;&gt;""),'Skill Matrix'!A37,"")</f>
        <v/>
      </c>
      <c r="B504">
        <f>IF(A504="","",'Employees'!C7)</f>
        <v/>
      </c>
      <c r="C504">
        <f>IF(A504="","",'Employees'!D7)</f>
        <v/>
      </c>
      <c r="D504">
        <f>IF(A504="","",'Skill Matrix'!C37)</f>
        <v/>
      </c>
      <c r="E504">
        <f>IF(A504="","",'Skill Matrix'!D37)</f>
        <v/>
      </c>
      <c r="F504">
        <f>IF(AND('Skill Matrix'!A37&lt;&gt;"",'Skill Matrix'!K5&lt;&gt;""),'Skill Matrix'!K5,"")</f>
        <v/>
      </c>
      <c r="G504">
        <f>IF(OR(A504="",'Skill Matrix'!K37=""),"",'Skill Matrix'!K37)</f>
        <v/>
      </c>
      <c r="H504">
        <f>IF(A504="","",'Employees'!F7)</f>
        <v/>
      </c>
    </row>
    <row r="505">
      <c r="A505">
        <f>IF(AND('Skill Matrix'!A37&lt;&gt;"",'Skill Matrix'!L5&lt;&gt;""),'Skill Matrix'!A37,"")</f>
        <v/>
      </c>
      <c r="B505">
        <f>IF(A505="","",'Employees'!C7)</f>
        <v/>
      </c>
      <c r="C505">
        <f>IF(A505="","",'Employees'!D7)</f>
        <v/>
      </c>
      <c r="D505">
        <f>IF(A505="","",'Skill Matrix'!C37)</f>
        <v/>
      </c>
      <c r="E505">
        <f>IF(A505="","",'Skill Matrix'!D37)</f>
        <v/>
      </c>
      <c r="F505">
        <f>IF(AND('Skill Matrix'!A37&lt;&gt;"",'Skill Matrix'!L5&lt;&gt;""),'Skill Matrix'!L5,"")</f>
        <v/>
      </c>
      <c r="G505">
        <f>IF(OR(A505="",'Skill Matrix'!L37=""),"",'Skill Matrix'!L37)</f>
        <v/>
      </c>
      <c r="H505">
        <f>IF(A505="","",'Employees'!F7)</f>
        <v/>
      </c>
    </row>
    <row r="506">
      <c r="A506">
        <f>IF(AND('Skill Matrix'!A37&lt;&gt;"",'Skill Matrix'!M5&lt;&gt;""),'Skill Matrix'!A37,"")</f>
        <v/>
      </c>
      <c r="B506">
        <f>IF(A506="","",'Employees'!C7)</f>
        <v/>
      </c>
      <c r="C506">
        <f>IF(A506="","",'Employees'!D7)</f>
        <v/>
      </c>
      <c r="D506">
        <f>IF(A506="","",'Skill Matrix'!C37)</f>
        <v/>
      </c>
      <c r="E506">
        <f>IF(A506="","",'Skill Matrix'!D37)</f>
        <v/>
      </c>
      <c r="F506">
        <f>IF(AND('Skill Matrix'!A37&lt;&gt;"",'Skill Matrix'!M5&lt;&gt;""),'Skill Matrix'!M5,"")</f>
        <v/>
      </c>
      <c r="G506">
        <f>IF(OR(A506="",'Skill Matrix'!M37=""),"",'Skill Matrix'!M37)</f>
        <v/>
      </c>
      <c r="H506">
        <f>IF(A506="","",'Employees'!F7)</f>
        <v/>
      </c>
    </row>
    <row r="507">
      <c r="A507">
        <f>IF(AND('Skill Matrix'!A37&lt;&gt;"",'Skill Matrix'!N5&lt;&gt;""),'Skill Matrix'!A37,"")</f>
        <v/>
      </c>
      <c r="B507">
        <f>IF(A507="","",'Employees'!C7)</f>
        <v/>
      </c>
      <c r="C507">
        <f>IF(A507="","",'Employees'!D7)</f>
        <v/>
      </c>
      <c r="D507">
        <f>IF(A507="","",'Skill Matrix'!C37)</f>
        <v/>
      </c>
      <c r="E507">
        <f>IF(A507="","",'Skill Matrix'!D37)</f>
        <v/>
      </c>
      <c r="F507">
        <f>IF(AND('Skill Matrix'!A37&lt;&gt;"",'Skill Matrix'!N5&lt;&gt;""),'Skill Matrix'!N5,"")</f>
        <v/>
      </c>
      <c r="G507">
        <f>IF(OR(A507="",'Skill Matrix'!N37=""),"",'Skill Matrix'!N37)</f>
        <v/>
      </c>
      <c r="H507">
        <f>IF(A507="","",'Employees'!F7)</f>
        <v/>
      </c>
    </row>
    <row r="508">
      <c r="A508">
        <f>IF(AND('Skill Matrix'!A37&lt;&gt;"",'Skill Matrix'!O5&lt;&gt;""),'Skill Matrix'!A37,"")</f>
        <v/>
      </c>
      <c r="B508">
        <f>IF(A508="","",'Employees'!C7)</f>
        <v/>
      </c>
      <c r="C508">
        <f>IF(A508="","",'Employees'!D7)</f>
        <v/>
      </c>
      <c r="D508">
        <f>IF(A508="","",'Skill Matrix'!C37)</f>
        <v/>
      </c>
      <c r="E508">
        <f>IF(A508="","",'Skill Matrix'!D37)</f>
        <v/>
      </c>
      <c r="F508">
        <f>IF(AND('Skill Matrix'!A37&lt;&gt;"",'Skill Matrix'!O5&lt;&gt;""),'Skill Matrix'!O5,"")</f>
        <v/>
      </c>
      <c r="G508">
        <f>IF(OR(A508="",'Skill Matrix'!O37=""),"",'Skill Matrix'!O37)</f>
        <v/>
      </c>
      <c r="H508">
        <f>IF(A508="","",'Employees'!F7)</f>
        <v/>
      </c>
    </row>
    <row r="509">
      <c r="A509">
        <f>IF(AND('Skill Matrix'!A37&lt;&gt;"",'Skill Matrix'!P5&lt;&gt;""),'Skill Matrix'!A37,"")</f>
        <v/>
      </c>
      <c r="B509">
        <f>IF(A509="","",'Employees'!C7)</f>
        <v/>
      </c>
      <c r="C509">
        <f>IF(A509="","",'Employees'!D7)</f>
        <v/>
      </c>
      <c r="D509">
        <f>IF(A509="","",'Skill Matrix'!C37)</f>
        <v/>
      </c>
      <c r="E509">
        <f>IF(A509="","",'Skill Matrix'!D37)</f>
        <v/>
      </c>
      <c r="F509">
        <f>IF(AND('Skill Matrix'!A37&lt;&gt;"",'Skill Matrix'!P5&lt;&gt;""),'Skill Matrix'!P5,"")</f>
        <v/>
      </c>
      <c r="G509">
        <f>IF(OR(A509="",'Skill Matrix'!P37=""),"",'Skill Matrix'!P37)</f>
        <v/>
      </c>
      <c r="H509">
        <f>IF(A509="","",'Employees'!F7)</f>
        <v/>
      </c>
    </row>
    <row r="510">
      <c r="A510">
        <f>IF(AND('Skill Matrix'!A37&lt;&gt;"",'Skill Matrix'!Q5&lt;&gt;""),'Skill Matrix'!A37,"")</f>
        <v/>
      </c>
      <c r="B510">
        <f>IF(A510="","",'Employees'!C7)</f>
        <v/>
      </c>
      <c r="C510">
        <f>IF(A510="","",'Employees'!D7)</f>
        <v/>
      </c>
      <c r="D510">
        <f>IF(A510="","",'Skill Matrix'!C37)</f>
        <v/>
      </c>
      <c r="E510">
        <f>IF(A510="","",'Skill Matrix'!D37)</f>
        <v/>
      </c>
      <c r="F510">
        <f>IF(AND('Skill Matrix'!A37&lt;&gt;"",'Skill Matrix'!Q5&lt;&gt;""),'Skill Matrix'!Q5,"")</f>
        <v/>
      </c>
      <c r="G510">
        <f>IF(OR(A510="",'Skill Matrix'!Q37=""),"",'Skill Matrix'!Q37)</f>
        <v/>
      </c>
      <c r="H510">
        <f>IF(A510="","",'Employees'!F7)</f>
        <v/>
      </c>
    </row>
    <row r="511">
      <c r="A511">
        <f>IF(AND('Skill Matrix'!A37&lt;&gt;"",'Skill Matrix'!R5&lt;&gt;""),'Skill Matrix'!A37,"")</f>
        <v/>
      </c>
      <c r="B511">
        <f>IF(A511="","",'Employees'!C7)</f>
        <v/>
      </c>
      <c r="C511">
        <f>IF(A511="","",'Employees'!D7)</f>
        <v/>
      </c>
      <c r="D511">
        <f>IF(A511="","",'Skill Matrix'!C37)</f>
        <v/>
      </c>
      <c r="E511">
        <f>IF(A511="","",'Skill Matrix'!D37)</f>
        <v/>
      </c>
      <c r="F511">
        <f>IF(AND('Skill Matrix'!A37&lt;&gt;"",'Skill Matrix'!R5&lt;&gt;""),'Skill Matrix'!R5,"")</f>
        <v/>
      </c>
      <c r="G511">
        <f>IF(OR(A511="",'Skill Matrix'!R37=""),"",'Skill Matrix'!R37)</f>
        <v/>
      </c>
      <c r="H511">
        <f>IF(A511="","",'Employees'!F7)</f>
        <v/>
      </c>
    </row>
    <row r="512">
      <c r="A512">
        <f>IF(AND('Skill Matrix'!A37&lt;&gt;"",'Skill Matrix'!S5&lt;&gt;""),'Skill Matrix'!A37,"")</f>
        <v/>
      </c>
      <c r="B512">
        <f>IF(A512="","",'Employees'!C7)</f>
        <v/>
      </c>
      <c r="C512">
        <f>IF(A512="","",'Employees'!D7)</f>
        <v/>
      </c>
      <c r="D512">
        <f>IF(A512="","",'Skill Matrix'!C37)</f>
        <v/>
      </c>
      <c r="E512">
        <f>IF(A512="","",'Skill Matrix'!D37)</f>
        <v/>
      </c>
      <c r="F512">
        <f>IF(AND('Skill Matrix'!A37&lt;&gt;"",'Skill Matrix'!S5&lt;&gt;""),'Skill Matrix'!S5,"")</f>
        <v/>
      </c>
      <c r="G512">
        <f>IF(OR(A512="",'Skill Matrix'!S37=""),"",'Skill Matrix'!S37)</f>
        <v/>
      </c>
      <c r="H512">
        <f>IF(A512="","",'Employees'!F7)</f>
        <v/>
      </c>
    </row>
    <row r="513">
      <c r="A513">
        <f>IF(AND('Skill Matrix'!A37&lt;&gt;"",'Skill Matrix'!T5&lt;&gt;""),'Skill Matrix'!A37,"")</f>
        <v/>
      </c>
      <c r="B513">
        <f>IF(A513="","",'Employees'!C7)</f>
        <v/>
      </c>
      <c r="C513">
        <f>IF(A513="","",'Employees'!D7)</f>
        <v/>
      </c>
      <c r="D513">
        <f>IF(A513="","",'Skill Matrix'!C37)</f>
        <v/>
      </c>
      <c r="E513">
        <f>IF(A513="","",'Skill Matrix'!D37)</f>
        <v/>
      </c>
      <c r="F513">
        <f>IF(AND('Skill Matrix'!A37&lt;&gt;"",'Skill Matrix'!T5&lt;&gt;""),'Skill Matrix'!T5,"")</f>
        <v/>
      </c>
      <c r="G513">
        <f>IF(OR(A513="",'Skill Matrix'!T37=""),"",'Skill Matrix'!T37)</f>
        <v/>
      </c>
      <c r="H513">
        <f>IF(A513="","",'Employees'!F7)</f>
        <v/>
      </c>
    </row>
    <row r="514">
      <c r="A514">
        <f>IF(AND('Skill Matrix'!A38&lt;&gt;"",'Skill Matrix'!E5&lt;&gt;""),'Skill Matrix'!A38,"")</f>
        <v/>
      </c>
      <c r="B514">
        <f>IF(A514="","",'Employees'!C8)</f>
        <v/>
      </c>
      <c r="C514">
        <f>IF(A514="","",'Employees'!D8)</f>
        <v/>
      </c>
      <c r="D514">
        <f>IF(A514="","",'Skill Matrix'!C38)</f>
        <v/>
      </c>
      <c r="E514">
        <f>IF(A514="","",'Skill Matrix'!D38)</f>
        <v/>
      </c>
      <c r="F514">
        <f>IF(AND('Skill Matrix'!A38&lt;&gt;"",'Skill Matrix'!E5&lt;&gt;""),'Skill Matrix'!E5,"")</f>
        <v/>
      </c>
      <c r="G514">
        <f>IF(OR(A514="",'Skill Matrix'!E38=""),"",'Skill Matrix'!E38)</f>
        <v/>
      </c>
      <c r="H514">
        <f>IF(A514="","",'Employees'!F8)</f>
        <v/>
      </c>
    </row>
    <row r="515">
      <c r="A515">
        <f>IF(AND('Skill Matrix'!A38&lt;&gt;"",'Skill Matrix'!F5&lt;&gt;""),'Skill Matrix'!A38,"")</f>
        <v/>
      </c>
      <c r="B515">
        <f>IF(A515="","",'Employees'!C8)</f>
        <v/>
      </c>
      <c r="C515">
        <f>IF(A515="","",'Employees'!D8)</f>
        <v/>
      </c>
      <c r="D515">
        <f>IF(A515="","",'Skill Matrix'!C38)</f>
        <v/>
      </c>
      <c r="E515">
        <f>IF(A515="","",'Skill Matrix'!D38)</f>
        <v/>
      </c>
      <c r="F515">
        <f>IF(AND('Skill Matrix'!A38&lt;&gt;"",'Skill Matrix'!F5&lt;&gt;""),'Skill Matrix'!F5,"")</f>
        <v/>
      </c>
      <c r="G515">
        <f>IF(OR(A515="",'Skill Matrix'!F38=""),"",'Skill Matrix'!F38)</f>
        <v/>
      </c>
      <c r="H515">
        <f>IF(A515="","",'Employees'!F8)</f>
        <v/>
      </c>
    </row>
    <row r="516">
      <c r="A516">
        <f>IF(AND('Skill Matrix'!A38&lt;&gt;"",'Skill Matrix'!G5&lt;&gt;""),'Skill Matrix'!A38,"")</f>
        <v/>
      </c>
      <c r="B516">
        <f>IF(A516="","",'Employees'!C8)</f>
        <v/>
      </c>
      <c r="C516">
        <f>IF(A516="","",'Employees'!D8)</f>
        <v/>
      </c>
      <c r="D516">
        <f>IF(A516="","",'Skill Matrix'!C38)</f>
        <v/>
      </c>
      <c r="E516">
        <f>IF(A516="","",'Skill Matrix'!D38)</f>
        <v/>
      </c>
      <c r="F516">
        <f>IF(AND('Skill Matrix'!A38&lt;&gt;"",'Skill Matrix'!G5&lt;&gt;""),'Skill Matrix'!G5,"")</f>
        <v/>
      </c>
      <c r="G516">
        <f>IF(OR(A516="",'Skill Matrix'!G38=""),"",'Skill Matrix'!G38)</f>
        <v/>
      </c>
      <c r="H516">
        <f>IF(A516="","",'Employees'!F8)</f>
        <v/>
      </c>
    </row>
    <row r="517">
      <c r="A517">
        <f>IF(AND('Skill Matrix'!A38&lt;&gt;"",'Skill Matrix'!H5&lt;&gt;""),'Skill Matrix'!A38,"")</f>
        <v/>
      </c>
      <c r="B517">
        <f>IF(A517="","",'Employees'!C8)</f>
        <v/>
      </c>
      <c r="C517">
        <f>IF(A517="","",'Employees'!D8)</f>
        <v/>
      </c>
      <c r="D517">
        <f>IF(A517="","",'Skill Matrix'!C38)</f>
        <v/>
      </c>
      <c r="E517">
        <f>IF(A517="","",'Skill Matrix'!D38)</f>
        <v/>
      </c>
      <c r="F517">
        <f>IF(AND('Skill Matrix'!A38&lt;&gt;"",'Skill Matrix'!H5&lt;&gt;""),'Skill Matrix'!H5,"")</f>
        <v/>
      </c>
      <c r="G517">
        <f>IF(OR(A517="",'Skill Matrix'!H38=""),"",'Skill Matrix'!H38)</f>
        <v/>
      </c>
      <c r="H517">
        <f>IF(A517="","",'Employees'!F8)</f>
        <v/>
      </c>
    </row>
    <row r="518">
      <c r="A518">
        <f>IF(AND('Skill Matrix'!A38&lt;&gt;"",'Skill Matrix'!I5&lt;&gt;""),'Skill Matrix'!A38,"")</f>
        <v/>
      </c>
      <c r="B518">
        <f>IF(A518="","",'Employees'!C8)</f>
        <v/>
      </c>
      <c r="C518">
        <f>IF(A518="","",'Employees'!D8)</f>
        <v/>
      </c>
      <c r="D518">
        <f>IF(A518="","",'Skill Matrix'!C38)</f>
        <v/>
      </c>
      <c r="E518">
        <f>IF(A518="","",'Skill Matrix'!D38)</f>
        <v/>
      </c>
      <c r="F518">
        <f>IF(AND('Skill Matrix'!A38&lt;&gt;"",'Skill Matrix'!I5&lt;&gt;""),'Skill Matrix'!I5,"")</f>
        <v/>
      </c>
      <c r="G518">
        <f>IF(OR(A518="",'Skill Matrix'!I38=""),"",'Skill Matrix'!I38)</f>
        <v/>
      </c>
      <c r="H518">
        <f>IF(A518="","",'Employees'!F8)</f>
        <v/>
      </c>
    </row>
    <row r="519">
      <c r="A519">
        <f>IF(AND('Skill Matrix'!A38&lt;&gt;"",'Skill Matrix'!J5&lt;&gt;""),'Skill Matrix'!A38,"")</f>
        <v/>
      </c>
      <c r="B519">
        <f>IF(A519="","",'Employees'!C8)</f>
        <v/>
      </c>
      <c r="C519">
        <f>IF(A519="","",'Employees'!D8)</f>
        <v/>
      </c>
      <c r="D519">
        <f>IF(A519="","",'Skill Matrix'!C38)</f>
        <v/>
      </c>
      <c r="E519">
        <f>IF(A519="","",'Skill Matrix'!D38)</f>
        <v/>
      </c>
      <c r="F519">
        <f>IF(AND('Skill Matrix'!A38&lt;&gt;"",'Skill Matrix'!J5&lt;&gt;""),'Skill Matrix'!J5,"")</f>
        <v/>
      </c>
      <c r="G519">
        <f>IF(OR(A519="",'Skill Matrix'!J38=""),"",'Skill Matrix'!J38)</f>
        <v/>
      </c>
      <c r="H519">
        <f>IF(A519="","",'Employees'!F8)</f>
        <v/>
      </c>
    </row>
    <row r="520">
      <c r="A520">
        <f>IF(AND('Skill Matrix'!A38&lt;&gt;"",'Skill Matrix'!K5&lt;&gt;""),'Skill Matrix'!A38,"")</f>
        <v/>
      </c>
      <c r="B520">
        <f>IF(A520="","",'Employees'!C8)</f>
        <v/>
      </c>
      <c r="C520">
        <f>IF(A520="","",'Employees'!D8)</f>
        <v/>
      </c>
      <c r="D520">
        <f>IF(A520="","",'Skill Matrix'!C38)</f>
        <v/>
      </c>
      <c r="E520">
        <f>IF(A520="","",'Skill Matrix'!D38)</f>
        <v/>
      </c>
      <c r="F520">
        <f>IF(AND('Skill Matrix'!A38&lt;&gt;"",'Skill Matrix'!K5&lt;&gt;""),'Skill Matrix'!K5,"")</f>
        <v/>
      </c>
      <c r="G520">
        <f>IF(OR(A520="",'Skill Matrix'!K38=""),"",'Skill Matrix'!K38)</f>
        <v/>
      </c>
      <c r="H520">
        <f>IF(A520="","",'Employees'!F8)</f>
        <v/>
      </c>
    </row>
    <row r="521">
      <c r="A521">
        <f>IF(AND('Skill Matrix'!A38&lt;&gt;"",'Skill Matrix'!L5&lt;&gt;""),'Skill Matrix'!A38,"")</f>
        <v/>
      </c>
      <c r="B521">
        <f>IF(A521="","",'Employees'!C8)</f>
        <v/>
      </c>
      <c r="C521">
        <f>IF(A521="","",'Employees'!D8)</f>
        <v/>
      </c>
      <c r="D521">
        <f>IF(A521="","",'Skill Matrix'!C38)</f>
        <v/>
      </c>
      <c r="E521">
        <f>IF(A521="","",'Skill Matrix'!D38)</f>
        <v/>
      </c>
      <c r="F521">
        <f>IF(AND('Skill Matrix'!A38&lt;&gt;"",'Skill Matrix'!L5&lt;&gt;""),'Skill Matrix'!L5,"")</f>
        <v/>
      </c>
      <c r="G521">
        <f>IF(OR(A521="",'Skill Matrix'!L38=""),"",'Skill Matrix'!L38)</f>
        <v/>
      </c>
      <c r="H521">
        <f>IF(A521="","",'Employees'!F8)</f>
        <v/>
      </c>
    </row>
    <row r="522">
      <c r="A522">
        <f>IF(AND('Skill Matrix'!A38&lt;&gt;"",'Skill Matrix'!M5&lt;&gt;""),'Skill Matrix'!A38,"")</f>
        <v/>
      </c>
      <c r="B522">
        <f>IF(A522="","",'Employees'!C8)</f>
        <v/>
      </c>
      <c r="C522">
        <f>IF(A522="","",'Employees'!D8)</f>
        <v/>
      </c>
      <c r="D522">
        <f>IF(A522="","",'Skill Matrix'!C38)</f>
        <v/>
      </c>
      <c r="E522">
        <f>IF(A522="","",'Skill Matrix'!D38)</f>
        <v/>
      </c>
      <c r="F522">
        <f>IF(AND('Skill Matrix'!A38&lt;&gt;"",'Skill Matrix'!M5&lt;&gt;""),'Skill Matrix'!M5,"")</f>
        <v/>
      </c>
      <c r="G522">
        <f>IF(OR(A522="",'Skill Matrix'!M38=""),"",'Skill Matrix'!M38)</f>
        <v/>
      </c>
      <c r="H522">
        <f>IF(A522="","",'Employees'!F8)</f>
        <v/>
      </c>
    </row>
    <row r="523">
      <c r="A523">
        <f>IF(AND('Skill Matrix'!A38&lt;&gt;"",'Skill Matrix'!N5&lt;&gt;""),'Skill Matrix'!A38,"")</f>
        <v/>
      </c>
      <c r="B523">
        <f>IF(A523="","",'Employees'!C8)</f>
        <v/>
      </c>
      <c r="C523">
        <f>IF(A523="","",'Employees'!D8)</f>
        <v/>
      </c>
      <c r="D523">
        <f>IF(A523="","",'Skill Matrix'!C38)</f>
        <v/>
      </c>
      <c r="E523">
        <f>IF(A523="","",'Skill Matrix'!D38)</f>
        <v/>
      </c>
      <c r="F523">
        <f>IF(AND('Skill Matrix'!A38&lt;&gt;"",'Skill Matrix'!N5&lt;&gt;""),'Skill Matrix'!N5,"")</f>
        <v/>
      </c>
      <c r="G523">
        <f>IF(OR(A523="",'Skill Matrix'!N38=""),"",'Skill Matrix'!N38)</f>
        <v/>
      </c>
      <c r="H523">
        <f>IF(A523="","",'Employees'!F8)</f>
        <v/>
      </c>
    </row>
    <row r="524">
      <c r="A524">
        <f>IF(AND('Skill Matrix'!A38&lt;&gt;"",'Skill Matrix'!O5&lt;&gt;""),'Skill Matrix'!A38,"")</f>
        <v/>
      </c>
      <c r="B524">
        <f>IF(A524="","",'Employees'!C8)</f>
        <v/>
      </c>
      <c r="C524">
        <f>IF(A524="","",'Employees'!D8)</f>
        <v/>
      </c>
      <c r="D524">
        <f>IF(A524="","",'Skill Matrix'!C38)</f>
        <v/>
      </c>
      <c r="E524">
        <f>IF(A524="","",'Skill Matrix'!D38)</f>
        <v/>
      </c>
      <c r="F524">
        <f>IF(AND('Skill Matrix'!A38&lt;&gt;"",'Skill Matrix'!O5&lt;&gt;""),'Skill Matrix'!O5,"")</f>
        <v/>
      </c>
      <c r="G524">
        <f>IF(OR(A524="",'Skill Matrix'!O38=""),"",'Skill Matrix'!O38)</f>
        <v/>
      </c>
      <c r="H524">
        <f>IF(A524="","",'Employees'!F8)</f>
        <v/>
      </c>
    </row>
    <row r="525">
      <c r="A525">
        <f>IF(AND('Skill Matrix'!A38&lt;&gt;"",'Skill Matrix'!P5&lt;&gt;""),'Skill Matrix'!A38,"")</f>
        <v/>
      </c>
      <c r="B525">
        <f>IF(A525="","",'Employees'!C8)</f>
        <v/>
      </c>
      <c r="C525">
        <f>IF(A525="","",'Employees'!D8)</f>
        <v/>
      </c>
      <c r="D525">
        <f>IF(A525="","",'Skill Matrix'!C38)</f>
        <v/>
      </c>
      <c r="E525">
        <f>IF(A525="","",'Skill Matrix'!D38)</f>
        <v/>
      </c>
      <c r="F525">
        <f>IF(AND('Skill Matrix'!A38&lt;&gt;"",'Skill Matrix'!P5&lt;&gt;""),'Skill Matrix'!P5,"")</f>
        <v/>
      </c>
      <c r="G525">
        <f>IF(OR(A525="",'Skill Matrix'!P38=""),"",'Skill Matrix'!P38)</f>
        <v/>
      </c>
      <c r="H525">
        <f>IF(A525="","",'Employees'!F8)</f>
        <v/>
      </c>
    </row>
    <row r="526">
      <c r="A526">
        <f>IF(AND('Skill Matrix'!A38&lt;&gt;"",'Skill Matrix'!Q5&lt;&gt;""),'Skill Matrix'!A38,"")</f>
        <v/>
      </c>
      <c r="B526">
        <f>IF(A526="","",'Employees'!C8)</f>
        <v/>
      </c>
      <c r="C526">
        <f>IF(A526="","",'Employees'!D8)</f>
        <v/>
      </c>
      <c r="D526">
        <f>IF(A526="","",'Skill Matrix'!C38)</f>
        <v/>
      </c>
      <c r="E526">
        <f>IF(A526="","",'Skill Matrix'!D38)</f>
        <v/>
      </c>
      <c r="F526">
        <f>IF(AND('Skill Matrix'!A38&lt;&gt;"",'Skill Matrix'!Q5&lt;&gt;""),'Skill Matrix'!Q5,"")</f>
        <v/>
      </c>
      <c r="G526">
        <f>IF(OR(A526="",'Skill Matrix'!Q38=""),"",'Skill Matrix'!Q38)</f>
        <v/>
      </c>
      <c r="H526">
        <f>IF(A526="","",'Employees'!F8)</f>
        <v/>
      </c>
    </row>
    <row r="527">
      <c r="A527">
        <f>IF(AND('Skill Matrix'!A38&lt;&gt;"",'Skill Matrix'!R5&lt;&gt;""),'Skill Matrix'!A38,"")</f>
        <v/>
      </c>
      <c r="B527">
        <f>IF(A527="","",'Employees'!C8)</f>
        <v/>
      </c>
      <c r="C527">
        <f>IF(A527="","",'Employees'!D8)</f>
        <v/>
      </c>
      <c r="D527">
        <f>IF(A527="","",'Skill Matrix'!C38)</f>
        <v/>
      </c>
      <c r="E527">
        <f>IF(A527="","",'Skill Matrix'!D38)</f>
        <v/>
      </c>
      <c r="F527">
        <f>IF(AND('Skill Matrix'!A38&lt;&gt;"",'Skill Matrix'!R5&lt;&gt;""),'Skill Matrix'!R5,"")</f>
        <v/>
      </c>
      <c r="G527">
        <f>IF(OR(A527="",'Skill Matrix'!R38=""),"",'Skill Matrix'!R38)</f>
        <v/>
      </c>
      <c r="H527">
        <f>IF(A527="","",'Employees'!F8)</f>
        <v/>
      </c>
    </row>
    <row r="528">
      <c r="A528">
        <f>IF(AND('Skill Matrix'!A38&lt;&gt;"",'Skill Matrix'!S5&lt;&gt;""),'Skill Matrix'!A38,"")</f>
        <v/>
      </c>
      <c r="B528">
        <f>IF(A528="","",'Employees'!C8)</f>
        <v/>
      </c>
      <c r="C528">
        <f>IF(A528="","",'Employees'!D8)</f>
        <v/>
      </c>
      <c r="D528">
        <f>IF(A528="","",'Skill Matrix'!C38)</f>
        <v/>
      </c>
      <c r="E528">
        <f>IF(A528="","",'Skill Matrix'!D38)</f>
        <v/>
      </c>
      <c r="F528">
        <f>IF(AND('Skill Matrix'!A38&lt;&gt;"",'Skill Matrix'!S5&lt;&gt;""),'Skill Matrix'!S5,"")</f>
        <v/>
      </c>
      <c r="G528">
        <f>IF(OR(A528="",'Skill Matrix'!S38=""),"",'Skill Matrix'!S38)</f>
        <v/>
      </c>
      <c r="H528">
        <f>IF(A528="","",'Employees'!F8)</f>
        <v/>
      </c>
    </row>
    <row r="529">
      <c r="A529">
        <f>IF(AND('Skill Matrix'!A38&lt;&gt;"",'Skill Matrix'!T5&lt;&gt;""),'Skill Matrix'!A38,"")</f>
        <v/>
      </c>
      <c r="B529">
        <f>IF(A529="","",'Employees'!C8)</f>
        <v/>
      </c>
      <c r="C529">
        <f>IF(A529="","",'Employees'!D8)</f>
        <v/>
      </c>
      <c r="D529">
        <f>IF(A529="","",'Skill Matrix'!C38)</f>
        <v/>
      </c>
      <c r="E529">
        <f>IF(A529="","",'Skill Matrix'!D38)</f>
        <v/>
      </c>
      <c r="F529">
        <f>IF(AND('Skill Matrix'!A38&lt;&gt;"",'Skill Matrix'!T5&lt;&gt;""),'Skill Matrix'!T5,"")</f>
        <v/>
      </c>
      <c r="G529">
        <f>IF(OR(A529="",'Skill Matrix'!T38=""),"",'Skill Matrix'!T38)</f>
        <v/>
      </c>
      <c r="H529">
        <f>IF(A529="","",'Employees'!F8)</f>
        <v/>
      </c>
    </row>
    <row r="530">
      <c r="A530">
        <f>IF(AND('Skill Matrix'!A39&lt;&gt;"",'Skill Matrix'!E5&lt;&gt;""),'Skill Matrix'!A39,"")</f>
        <v/>
      </c>
      <c r="B530">
        <f>IF(A530="","",'Employees'!C8)</f>
        <v/>
      </c>
      <c r="C530">
        <f>IF(A530="","",'Employees'!D8)</f>
        <v/>
      </c>
      <c r="D530">
        <f>IF(A530="","",'Skill Matrix'!C39)</f>
        <v/>
      </c>
      <c r="E530">
        <f>IF(A530="","",'Skill Matrix'!D39)</f>
        <v/>
      </c>
      <c r="F530">
        <f>IF(AND('Skill Matrix'!A39&lt;&gt;"",'Skill Matrix'!E5&lt;&gt;""),'Skill Matrix'!E5,"")</f>
        <v/>
      </c>
      <c r="G530">
        <f>IF(OR(A530="",'Skill Matrix'!E39=""),"",'Skill Matrix'!E39)</f>
        <v/>
      </c>
      <c r="H530">
        <f>IF(A530="","",'Employees'!F8)</f>
        <v/>
      </c>
    </row>
    <row r="531">
      <c r="A531">
        <f>IF(AND('Skill Matrix'!A39&lt;&gt;"",'Skill Matrix'!F5&lt;&gt;""),'Skill Matrix'!A39,"")</f>
        <v/>
      </c>
      <c r="B531">
        <f>IF(A531="","",'Employees'!C8)</f>
        <v/>
      </c>
      <c r="C531">
        <f>IF(A531="","",'Employees'!D8)</f>
        <v/>
      </c>
      <c r="D531">
        <f>IF(A531="","",'Skill Matrix'!C39)</f>
        <v/>
      </c>
      <c r="E531">
        <f>IF(A531="","",'Skill Matrix'!D39)</f>
        <v/>
      </c>
      <c r="F531">
        <f>IF(AND('Skill Matrix'!A39&lt;&gt;"",'Skill Matrix'!F5&lt;&gt;""),'Skill Matrix'!F5,"")</f>
        <v/>
      </c>
      <c r="G531">
        <f>IF(OR(A531="",'Skill Matrix'!F39=""),"",'Skill Matrix'!F39)</f>
        <v/>
      </c>
      <c r="H531">
        <f>IF(A531="","",'Employees'!F8)</f>
        <v/>
      </c>
    </row>
    <row r="532">
      <c r="A532">
        <f>IF(AND('Skill Matrix'!A39&lt;&gt;"",'Skill Matrix'!G5&lt;&gt;""),'Skill Matrix'!A39,"")</f>
        <v/>
      </c>
      <c r="B532">
        <f>IF(A532="","",'Employees'!C8)</f>
        <v/>
      </c>
      <c r="C532">
        <f>IF(A532="","",'Employees'!D8)</f>
        <v/>
      </c>
      <c r="D532">
        <f>IF(A532="","",'Skill Matrix'!C39)</f>
        <v/>
      </c>
      <c r="E532">
        <f>IF(A532="","",'Skill Matrix'!D39)</f>
        <v/>
      </c>
      <c r="F532">
        <f>IF(AND('Skill Matrix'!A39&lt;&gt;"",'Skill Matrix'!G5&lt;&gt;""),'Skill Matrix'!G5,"")</f>
        <v/>
      </c>
      <c r="G532">
        <f>IF(OR(A532="",'Skill Matrix'!G39=""),"",'Skill Matrix'!G39)</f>
        <v/>
      </c>
      <c r="H532">
        <f>IF(A532="","",'Employees'!F8)</f>
        <v/>
      </c>
    </row>
    <row r="533">
      <c r="A533">
        <f>IF(AND('Skill Matrix'!A39&lt;&gt;"",'Skill Matrix'!H5&lt;&gt;""),'Skill Matrix'!A39,"")</f>
        <v/>
      </c>
      <c r="B533">
        <f>IF(A533="","",'Employees'!C8)</f>
        <v/>
      </c>
      <c r="C533">
        <f>IF(A533="","",'Employees'!D8)</f>
        <v/>
      </c>
      <c r="D533">
        <f>IF(A533="","",'Skill Matrix'!C39)</f>
        <v/>
      </c>
      <c r="E533">
        <f>IF(A533="","",'Skill Matrix'!D39)</f>
        <v/>
      </c>
      <c r="F533">
        <f>IF(AND('Skill Matrix'!A39&lt;&gt;"",'Skill Matrix'!H5&lt;&gt;""),'Skill Matrix'!H5,"")</f>
        <v/>
      </c>
      <c r="G533">
        <f>IF(OR(A533="",'Skill Matrix'!H39=""),"",'Skill Matrix'!H39)</f>
        <v/>
      </c>
      <c r="H533">
        <f>IF(A533="","",'Employees'!F8)</f>
        <v/>
      </c>
    </row>
    <row r="534">
      <c r="A534">
        <f>IF(AND('Skill Matrix'!A39&lt;&gt;"",'Skill Matrix'!I5&lt;&gt;""),'Skill Matrix'!A39,"")</f>
        <v/>
      </c>
      <c r="B534">
        <f>IF(A534="","",'Employees'!C8)</f>
        <v/>
      </c>
      <c r="C534">
        <f>IF(A534="","",'Employees'!D8)</f>
        <v/>
      </c>
      <c r="D534">
        <f>IF(A534="","",'Skill Matrix'!C39)</f>
        <v/>
      </c>
      <c r="E534">
        <f>IF(A534="","",'Skill Matrix'!D39)</f>
        <v/>
      </c>
      <c r="F534">
        <f>IF(AND('Skill Matrix'!A39&lt;&gt;"",'Skill Matrix'!I5&lt;&gt;""),'Skill Matrix'!I5,"")</f>
        <v/>
      </c>
      <c r="G534">
        <f>IF(OR(A534="",'Skill Matrix'!I39=""),"",'Skill Matrix'!I39)</f>
        <v/>
      </c>
      <c r="H534">
        <f>IF(A534="","",'Employees'!F8)</f>
        <v/>
      </c>
    </row>
    <row r="535">
      <c r="A535">
        <f>IF(AND('Skill Matrix'!A39&lt;&gt;"",'Skill Matrix'!J5&lt;&gt;""),'Skill Matrix'!A39,"")</f>
        <v/>
      </c>
      <c r="B535">
        <f>IF(A535="","",'Employees'!C8)</f>
        <v/>
      </c>
      <c r="C535">
        <f>IF(A535="","",'Employees'!D8)</f>
        <v/>
      </c>
      <c r="D535">
        <f>IF(A535="","",'Skill Matrix'!C39)</f>
        <v/>
      </c>
      <c r="E535">
        <f>IF(A535="","",'Skill Matrix'!D39)</f>
        <v/>
      </c>
      <c r="F535">
        <f>IF(AND('Skill Matrix'!A39&lt;&gt;"",'Skill Matrix'!J5&lt;&gt;""),'Skill Matrix'!J5,"")</f>
        <v/>
      </c>
      <c r="G535">
        <f>IF(OR(A535="",'Skill Matrix'!J39=""),"",'Skill Matrix'!J39)</f>
        <v/>
      </c>
      <c r="H535">
        <f>IF(A535="","",'Employees'!F8)</f>
        <v/>
      </c>
    </row>
    <row r="536">
      <c r="A536">
        <f>IF(AND('Skill Matrix'!A39&lt;&gt;"",'Skill Matrix'!K5&lt;&gt;""),'Skill Matrix'!A39,"")</f>
        <v/>
      </c>
      <c r="B536">
        <f>IF(A536="","",'Employees'!C8)</f>
        <v/>
      </c>
      <c r="C536">
        <f>IF(A536="","",'Employees'!D8)</f>
        <v/>
      </c>
      <c r="D536">
        <f>IF(A536="","",'Skill Matrix'!C39)</f>
        <v/>
      </c>
      <c r="E536">
        <f>IF(A536="","",'Skill Matrix'!D39)</f>
        <v/>
      </c>
      <c r="F536">
        <f>IF(AND('Skill Matrix'!A39&lt;&gt;"",'Skill Matrix'!K5&lt;&gt;""),'Skill Matrix'!K5,"")</f>
        <v/>
      </c>
      <c r="G536">
        <f>IF(OR(A536="",'Skill Matrix'!K39=""),"",'Skill Matrix'!K39)</f>
        <v/>
      </c>
      <c r="H536">
        <f>IF(A536="","",'Employees'!F8)</f>
        <v/>
      </c>
    </row>
    <row r="537">
      <c r="A537">
        <f>IF(AND('Skill Matrix'!A39&lt;&gt;"",'Skill Matrix'!L5&lt;&gt;""),'Skill Matrix'!A39,"")</f>
        <v/>
      </c>
      <c r="B537">
        <f>IF(A537="","",'Employees'!C8)</f>
        <v/>
      </c>
      <c r="C537">
        <f>IF(A537="","",'Employees'!D8)</f>
        <v/>
      </c>
      <c r="D537">
        <f>IF(A537="","",'Skill Matrix'!C39)</f>
        <v/>
      </c>
      <c r="E537">
        <f>IF(A537="","",'Skill Matrix'!D39)</f>
        <v/>
      </c>
      <c r="F537">
        <f>IF(AND('Skill Matrix'!A39&lt;&gt;"",'Skill Matrix'!L5&lt;&gt;""),'Skill Matrix'!L5,"")</f>
        <v/>
      </c>
      <c r="G537">
        <f>IF(OR(A537="",'Skill Matrix'!L39=""),"",'Skill Matrix'!L39)</f>
        <v/>
      </c>
      <c r="H537">
        <f>IF(A537="","",'Employees'!F8)</f>
        <v/>
      </c>
    </row>
    <row r="538">
      <c r="A538">
        <f>IF(AND('Skill Matrix'!A39&lt;&gt;"",'Skill Matrix'!M5&lt;&gt;""),'Skill Matrix'!A39,"")</f>
        <v/>
      </c>
      <c r="B538">
        <f>IF(A538="","",'Employees'!C8)</f>
        <v/>
      </c>
      <c r="C538">
        <f>IF(A538="","",'Employees'!D8)</f>
        <v/>
      </c>
      <c r="D538">
        <f>IF(A538="","",'Skill Matrix'!C39)</f>
        <v/>
      </c>
      <c r="E538">
        <f>IF(A538="","",'Skill Matrix'!D39)</f>
        <v/>
      </c>
      <c r="F538">
        <f>IF(AND('Skill Matrix'!A39&lt;&gt;"",'Skill Matrix'!M5&lt;&gt;""),'Skill Matrix'!M5,"")</f>
        <v/>
      </c>
      <c r="G538">
        <f>IF(OR(A538="",'Skill Matrix'!M39=""),"",'Skill Matrix'!M39)</f>
        <v/>
      </c>
      <c r="H538">
        <f>IF(A538="","",'Employees'!F8)</f>
        <v/>
      </c>
    </row>
    <row r="539">
      <c r="A539">
        <f>IF(AND('Skill Matrix'!A39&lt;&gt;"",'Skill Matrix'!N5&lt;&gt;""),'Skill Matrix'!A39,"")</f>
        <v/>
      </c>
      <c r="B539">
        <f>IF(A539="","",'Employees'!C8)</f>
        <v/>
      </c>
      <c r="C539">
        <f>IF(A539="","",'Employees'!D8)</f>
        <v/>
      </c>
      <c r="D539">
        <f>IF(A539="","",'Skill Matrix'!C39)</f>
        <v/>
      </c>
      <c r="E539">
        <f>IF(A539="","",'Skill Matrix'!D39)</f>
        <v/>
      </c>
      <c r="F539">
        <f>IF(AND('Skill Matrix'!A39&lt;&gt;"",'Skill Matrix'!N5&lt;&gt;""),'Skill Matrix'!N5,"")</f>
        <v/>
      </c>
      <c r="G539">
        <f>IF(OR(A539="",'Skill Matrix'!N39=""),"",'Skill Matrix'!N39)</f>
        <v/>
      </c>
      <c r="H539">
        <f>IF(A539="","",'Employees'!F8)</f>
        <v/>
      </c>
    </row>
    <row r="540">
      <c r="A540">
        <f>IF(AND('Skill Matrix'!A39&lt;&gt;"",'Skill Matrix'!O5&lt;&gt;""),'Skill Matrix'!A39,"")</f>
        <v/>
      </c>
      <c r="B540">
        <f>IF(A540="","",'Employees'!C8)</f>
        <v/>
      </c>
      <c r="C540">
        <f>IF(A540="","",'Employees'!D8)</f>
        <v/>
      </c>
      <c r="D540">
        <f>IF(A540="","",'Skill Matrix'!C39)</f>
        <v/>
      </c>
      <c r="E540">
        <f>IF(A540="","",'Skill Matrix'!D39)</f>
        <v/>
      </c>
      <c r="F540">
        <f>IF(AND('Skill Matrix'!A39&lt;&gt;"",'Skill Matrix'!O5&lt;&gt;""),'Skill Matrix'!O5,"")</f>
        <v/>
      </c>
      <c r="G540">
        <f>IF(OR(A540="",'Skill Matrix'!O39=""),"",'Skill Matrix'!O39)</f>
        <v/>
      </c>
      <c r="H540">
        <f>IF(A540="","",'Employees'!F8)</f>
        <v/>
      </c>
    </row>
    <row r="541">
      <c r="A541">
        <f>IF(AND('Skill Matrix'!A39&lt;&gt;"",'Skill Matrix'!P5&lt;&gt;""),'Skill Matrix'!A39,"")</f>
        <v/>
      </c>
      <c r="B541">
        <f>IF(A541="","",'Employees'!C8)</f>
        <v/>
      </c>
      <c r="C541">
        <f>IF(A541="","",'Employees'!D8)</f>
        <v/>
      </c>
      <c r="D541">
        <f>IF(A541="","",'Skill Matrix'!C39)</f>
        <v/>
      </c>
      <c r="E541">
        <f>IF(A541="","",'Skill Matrix'!D39)</f>
        <v/>
      </c>
      <c r="F541">
        <f>IF(AND('Skill Matrix'!A39&lt;&gt;"",'Skill Matrix'!P5&lt;&gt;""),'Skill Matrix'!P5,"")</f>
        <v/>
      </c>
      <c r="G541">
        <f>IF(OR(A541="",'Skill Matrix'!P39=""),"",'Skill Matrix'!P39)</f>
        <v/>
      </c>
      <c r="H541">
        <f>IF(A541="","",'Employees'!F8)</f>
        <v/>
      </c>
    </row>
    <row r="542">
      <c r="A542">
        <f>IF(AND('Skill Matrix'!A39&lt;&gt;"",'Skill Matrix'!Q5&lt;&gt;""),'Skill Matrix'!A39,"")</f>
        <v/>
      </c>
      <c r="B542">
        <f>IF(A542="","",'Employees'!C8)</f>
        <v/>
      </c>
      <c r="C542">
        <f>IF(A542="","",'Employees'!D8)</f>
        <v/>
      </c>
      <c r="D542">
        <f>IF(A542="","",'Skill Matrix'!C39)</f>
        <v/>
      </c>
      <c r="E542">
        <f>IF(A542="","",'Skill Matrix'!D39)</f>
        <v/>
      </c>
      <c r="F542">
        <f>IF(AND('Skill Matrix'!A39&lt;&gt;"",'Skill Matrix'!Q5&lt;&gt;""),'Skill Matrix'!Q5,"")</f>
        <v/>
      </c>
      <c r="G542">
        <f>IF(OR(A542="",'Skill Matrix'!Q39=""),"",'Skill Matrix'!Q39)</f>
        <v/>
      </c>
      <c r="H542">
        <f>IF(A542="","",'Employees'!F8)</f>
        <v/>
      </c>
    </row>
    <row r="543">
      <c r="A543">
        <f>IF(AND('Skill Matrix'!A39&lt;&gt;"",'Skill Matrix'!R5&lt;&gt;""),'Skill Matrix'!A39,"")</f>
        <v/>
      </c>
      <c r="B543">
        <f>IF(A543="","",'Employees'!C8)</f>
        <v/>
      </c>
      <c r="C543">
        <f>IF(A543="","",'Employees'!D8)</f>
        <v/>
      </c>
      <c r="D543">
        <f>IF(A543="","",'Skill Matrix'!C39)</f>
        <v/>
      </c>
      <c r="E543">
        <f>IF(A543="","",'Skill Matrix'!D39)</f>
        <v/>
      </c>
      <c r="F543">
        <f>IF(AND('Skill Matrix'!A39&lt;&gt;"",'Skill Matrix'!R5&lt;&gt;""),'Skill Matrix'!R5,"")</f>
        <v/>
      </c>
      <c r="G543">
        <f>IF(OR(A543="",'Skill Matrix'!R39=""),"",'Skill Matrix'!R39)</f>
        <v/>
      </c>
      <c r="H543">
        <f>IF(A543="","",'Employees'!F8)</f>
        <v/>
      </c>
    </row>
    <row r="544">
      <c r="A544">
        <f>IF(AND('Skill Matrix'!A39&lt;&gt;"",'Skill Matrix'!S5&lt;&gt;""),'Skill Matrix'!A39,"")</f>
        <v/>
      </c>
      <c r="B544">
        <f>IF(A544="","",'Employees'!C8)</f>
        <v/>
      </c>
      <c r="C544">
        <f>IF(A544="","",'Employees'!D8)</f>
        <v/>
      </c>
      <c r="D544">
        <f>IF(A544="","",'Skill Matrix'!C39)</f>
        <v/>
      </c>
      <c r="E544">
        <f>IF(A544="","",'Skill Matrix'!D39)</f>
        <v/>
      </c>
      <c r="F544">
        <f>IF(AND('Skill Matrix'!A39&lt;&gt;"",'Skill Matrix'!S5&lt;&gt;""),'Skill Matrix'!S5,"")</f>
        <v/>
      </c>
      <c r="G544">
        <f>IF(OR(A544="",'Skill Matrix'!S39=""),"",'Skill Matrix'!S39)</f>
        <v/>
      </c>
      <c r="H544">
        <f>IF(A544="","",'Employees'!F8)</f>
        <v/>
      </c>
    </row>
    <row r="545">
      <c r="A545">
        <f>IF(AND('Skill Matrix'!A39&lt;&gt;"",'Skill Matrix'!T5&lt;&gt;""),'Skill Matrix'!A39,"")</f>
        <v/>
      </c>
      <c r="B545">
        <f>IF(A545="","",'Employees'!C8)</f>
        <v/>
      </c>
      <c r="C545">
        <f>IF(A545="","",'Employees'!D8)</f>
        <v/>
      </c>
      <c r="D545">
        <f>IF(A545="","",'Skill Matrix'!C39)</f>
        <v/>
      </c>
      <c r="E545">
        <f>IF(A545="","",'Skill Matrix'!D39)</f>
        <v/>
      </c>
      <c r="F545">
        <f>IF(AND('Skill Matrix'!A39&lt;&gt;"",'Skill Matrix'!T5&lt;&gt;""),'Skill Matrix'!T5,"")</f>
        <v/>
      </c>
      <c r="G545">
        <f>IF(OR(A545="",'Skill Matrix'!T39=""),"",'Skill Matrix'!T39)</f>
        <v/>
      </c>
      <c r="H545">
        <f>IF(A545="","",'Employees'!F8)</f>
        <v/>
      </c>
    </row>
    <row r="546">
      <c r="A546">
        <f>IF(AND('Skill Matrix'!A40&lt;&gt;"",'Skill Matrix'!E5&lt;&gt;""),'Skill Matrix'!A40,"")</f>
        <v/>
      </c>
      <c r="B546">
        <f>IF(A546="","",'Employees'!C8)</f>
        <v/>
      </c>
      <c r="C546">
        <f>IF(A546="","",'Employees'!D8)</f>
        <v/>
      </c>
      <c r="D546">
        <f>IF(A546="","",'Skill Matrix'!C40)</f>
        <v/>
      </c>
      <c r="E546">
        <f>IF(A546="","",'Skill Matrix'!D40)</f>
        <v/>
      </c>
      <c r="F546">
        <f>IF(AND('Skill Matrix'!A40&lt;&gt;"",'Skill Matrix'!E5&lt;&gt;""),'Skill Matrix'!E5,"")</f>
        <v/>
      </c>
      <c r="G546">
        <f>IF(OR(A546="",'Skill Matrix'!E40=""),"",'Skill Matrix'!E40)</f>
        <v/>
      </c>
      <c r="H546">
        <f>IF(A546="","",'Employees'!F8)</f>
        <v/>
      </c>
    </row>
    <row r="547">
      <c r="A547">
        <f>IF(AND('Skill Matrix'!A40&lt;&gt;"",'Skill Matrix'!F5&lt;&gt;""),'Skill Matrix'!A40,"")</f>
        <v/>
      </c>
      <c r="B547">
        <f>IF(A547="","",'Employees'!C8)</f>
        <v/>
      </c>
      <c r="C547">
        <f>IF(A547="","",'Employees'!D8)</f>
        <v/>
      </c>
      <c r="D547">
        <f>IF(A547="","",'Skill Matrix'!C40)</f>
        <v/>
      </c>
      <c r="E547">
        <f>IF(A547="","",'Skill Matrix'!D40)</f>
        <v/>
      </c>
      <c r="F547">
        <f>IF(AND('Skill Matrix'!A40&lt;&gt;"",'Skill Matrix'!F5&lt;&gt;""),'Skill Matrix'!F5,"")</f>
        <v/>
      </c>
      <c r="G547">
        <f>IF(OR(A547="",'Skill Matrix'!F40=""),"",'Skill Matrix'!F40)</f>
        <v/>
      </c>
      <c r="H547">
        <f>IF(A547="","",'Employees'!F8)</f>
        <v/>
      </c>
    </row>
    <row r="548">
      <c r="A548">
        <f>IF(AND('Skill Matrix'!A40&lt;&gt;"",'Skill Matrix'!G5&lt;&gt;""),'Skill Matrix'!A40,"")</f>
        <v/>
      </c>
      <c r="B548">
        <f>IF(A548="","",'Employees'!C8)</f>
        <v/>
      </c>
      <c r="C548">
        <f>IF(A548="","",'Employees'!D8)</f>
        <v/>
      </c>
      <c r="D548">
        <f>IF(A548="","",'Skill Matrix'!C40)</f>
        <v/>
      </c>
      <c r="E548">
        <f>IF(A548="","",'Skill Matrix'!D40)</f>
        <v/>
      </c>
      <c r="F548">
        <f>IF(AND('Skill Matrix'!A40&lt;&gt;"",'Skill Matrix'!G5&lt;&gt;""),'Skill Matrix'!G5,"")</f>
        <v/>
      </c>
      <c r="G548">
        <f>IF(OR(A548="",'Skill Matrix'!G40=""),"",'Skill Matrix'!G40)</f>
        <v/>
      </c>
      <c r="H548">
        <f>IF(A548="","",'Employees'!F8)</f>
        <v/>
      </c>
    </row>
    <row r="549">
      <c r="A549">
        <f>IF(AND('Skill Matrix'!A40&lt;&gt;"",'Skill Matrix'!H5&lt;&gt;""),'Skill Matrix'!A40,"")</f>
        <v/>
      </c>
      <c r="B549">
        <f>IF(A549="","",'Employees'!C8)</f>
        <v/>
      </c>
      <c r="C549">
        <f>IF(A549="","",'Employees'!D8)</f>
        <v/>
      </c>
      <c r="D549">
        <f>IF(A549="","",'Skill Matrix'!C40)</f>
        <v/>
      </c>
      <c r="E549">
        <f>IF(A549="","",'Skill Matrix'!D40)</f>
        <v/>
      </c>
      <c r="F549">
        <f>IF(AND('Skill Matrix'!A40&lt;&gt;"",'Skill Matrix'!H5&lt;&gt;""),'Skill Matrix'!H5,"")</f>
        <v/>
      </c>
      <c r="G549">
        <f>IF(OR(A549="",'Skill Matrix'!H40=""),"",'Skill Matrix'!H40)</f>
        <v/>
      </c>
      <c r="H549">
        <f>IF(A549="","",'Employees'!F8)</f>
        <v/>
      </c>
    </row>
    <row r="550">
      <c r="A550">
        <f>IF(AND('Skill Matrix'!A40&lt;&gt;"",'Skill Matrix'!I5&lt;&gt;""),'Skill Matrix'!A40,"")</f>
        <v/>
      </c>
      <c r="B550">
        <f>IF(A550="","",'Employees'!C8)</f>
        <v/>
      </c>
      <c r="C550">
        <f>IF(A550="","",'Employees'!D8)</f>
        <v/>
      </c>
      <c r="D550">
        <f>IF(A550="","",'Skill Matrix'!C40)</f>
        <v/>
      </c>
      <c r="E550">
        <f>IF(A550="","",'Skill Matrix'!D40)</f>
        <v/>
      </c>
      <c r="F550">
        <f>IF(AND('Skill Matrix'!A40&lt;&gt;"",'Skill Matrix'!I5&lt;&gt;""),'Skill Matrix'!I5,"")</f>
        <v/>
      </c>
      <c r="G550">
        <f>IF(OR(A550="",'Skill Matrix'!I40=""),"",'Skill Matrix'!I40)</f>
        <v/>
      </c>
      <c r="H550">
        <f>IF(A550="","",'Employees'!F8)</f>
        <v/>
      </c>
    </row>
    <row r="551">
      <c r="A551">
        <f>IF(AND('Skill Matrix'!A40&lt;&gt;"",'Skill Matrix'!J5&lt;&gt;""),'Skill Matrix'!A40,"")</f>
        <v/>
      </c>
      <c r="B551">
        <f>IF(A551="","",'Employees'!C8)</f>
        <v/>
      </c>
      <c r="C551">
        <f>IF(A551="","",'Employees'!D8)</f>
        <v/>
      </c>
      <c r="D551">
        <f>IF(A551="","",'Skill Matrix'!C40)</f>
        <v/>
      </c>
      <c r="E551">
        <f>IF(A551="","",'Skill Matrix'!D40)</f>
        <v/>
      </c>
      <c r="F551">
        <f>IF(AND('Skill Matrix'!A40&lt;&gt;"",'Skill Matrix'!J5&lt;&gt;""),'Skill Matrix'!J5,"")</f>
        <v/>
      </c>
      <c r="G551">
        <f>IF(OR(A551="",'Skill Matrix'!J40=""),"",'Skill Matrix'!J40)</f>
        <v/>
      </c>
      <c r="H551">
        <f>IF(A551="","",'Employees'!F8)</f>
        <v/>
      </c>
    </row>
    <row r="552">
      <c r="A552">
        <f>IF(AND('Skill Matrix'!A40&lt;&gt;"",'Skill Matrix'!K5&lt;&gt;""),'Skill Matrix'!A40,"")</f>
        <v/>
      </c>
      <c r="B552">
        <f>IF(A552="","",'Employees'!C8)</f>
        <v/>
      </c>
      <c r="C552">
        <f>IF(A552="","",'Employees'!D8)</f>
        <v/>
      </c>
      <c r="D552">
        <f>IF(A552="","",'Skill Matrix'!C40)</f>
        <v/>
      </c>
      <c r="E552">
        <f>IF(A552="","",'Skill Matrix'!D40)</f>
        <v/>
      </c>
      <c r="F552">
        <f>IF(AND('Skill Matrix'!A40&lt;&gt;"",'Skill Matrix'!K5&lt;&gt;""),'Skill Matrix'!K5,"")</f>
        <v/>
      </c>
      <c r="G552">
        <f>IF(OR(A552="",'Skill Matrix'!K40=""),"",'Skill Matrix'!K40)</f>
        <v/>
      </c>
      <c r="H552">
        <f>IF(A552="","",'Employees'!F8)</f>
        <v/>
      </c>
    </row>
    <row r="553">
      <c r="A553">
        <f>IF(AND('Skill Matrix'!A40&lt;&gt;"",'Skill Matrix'!L5&lt;&gt;""),'Skill Matrix'!A40,"")</f>
        <v/>
      </c>
      <c r="B553">
        <f>IF(A553="","",'Employees'!C8)</f>
        <v/>
      </c>
      <c r="C553">
        <f>IF(A553="","",'Employees'!D8)</f>
        <v/>
      </c>
      <c r="D553">
        <f>IF(A553="","",'Skill Matrix'!C40)</f>
        <v/>
      </c>
      <c r="E553">
        <f>IF(A553="","",'Skill Matrix'!D40)</f>
        <v/>
      </c>
      <c r="F553">
        <f>IF(AND('Skill Matrix'!A40&lt;&gt;"",'Skill Matrix'!L5&lt;&gt;""),'Skill Matrix'!L5,"")</f>
        <v/>
      </c>
      <c r="G553">
        <f>IF(OR(A553="",'Skill Matrix'!L40=""),"",'Skill Matrix'!L40)</f>
        <v/>
      </c>
      <c r="H553">
        <f>IF(A553="","",'Employees'!F8)</f>
        <v/>
      </c>
    </row>
    <row r="554">
      <c r="A554">
        <f>IF(AND('Skill Matrix'!A40&lt;&gt;"",'Skill Matrix'!M5&lt;&gt;""),'Skill Matrix'!A40,"")</f>
        <v/>
      </c>
      <c r="B554">
        <f>IF(A554="","",'Employees'!C8)</f>
        <v/>
      </c>
      <c r="C554">
        <f>IF(A554="","",'Employees'!D8)</f>
        <v/>
      </c>
      <c r="D554">
        <f>IF(A554="","",'Skill Matrix'!C40)</f>
        <v/>
      </c>
      <c r="E554">
        <f>IF(A554="","",'Skill Matrix'!D40)</f>
        <v/>
      </c>
      <c r="F554">
        <f>IF(AND('Skill Matrix'!A40&lt;&gt;"",'Skill Matrix'!M5&lt;&gt;""),'Skill Matrix'!M5,"")</f>
        <v/>
      </c>
      <c r="G554">
        <f>IF(OR(A554="",'Skill Matrix'!M40=""),"",'Skill Matrix'!M40)</f>
        <v/>
      </c>
      <c r="H554">
        <f>IF(A554="","",'Employees'!F8)</f>
        <v/>
      </c>
    </row>
    <row r="555">
      <c r="A555">
        <f>IF(AND('Skill Matrix'!A40&lt;&gt;"",'Skill Matrix'!N5&lt;&gt;""),'Skill Matrix'!A40,"")</f>
        <v/>
      </c>
      <c r="B555">
        <f>IF(A555="","",'Employees'!C8)</f>
        <v/>
      </c>
      <c r="C555">
        <f>IF(A555="","",'Employees'!D8)</f>
        <v/>
      </c>
      <c r="D555">
        <f>IF(A555="","",'Skill Matrix'!C40)</f>
        <v/>
      </c>
      <c r="E555">
        <f>IF(A555="","",'Skill Matrix'!D40)</f>
        <v/>
      </c>
      <c r="F555">
        <f>IF(AND('Skill Matrix'!A40&lt;&gt;"",'Skill Matrix'!N5&lt;&gt;""),'Skill Matrix'!N5,"")</f>
        <v/>
      </c>
      <c r="G555">
        <f>IF(OR(A555="",'Skill Matrix'!N40=""),"",'Skill Matrix'!N40)</f>
        <v/>
      </c>
      <c r="H555">
        <f>IF(A555="","",'Employees'!F8)</f>
        <v/>
      </c>
    </row>
    <row r="556">
      <c r="A556">
        <f>IF(AND('Skill Matrix'!A40&lt;&gt;"",'Skill Matrix'!O5&lt;&gt;""),'Skill Matrix'!A40,"")</f>
        <v/>
      </c>
      <c r="B556">
        <f>IF(A556="","",'Employees'!C8)</f>
        <v/>
      </c>
      <c r="C556">
        <f>IF(A556="","",'Employees'!D8)</f>
        <v/>
      </c>
      <c r="D556">
        <f>IF(A556="","",'Skill Matrix'!C40)</f>
        <v/>
      </c>
      <c r="E556">
        <f>IF(A556="","",'Skill Matrix'!D40)</f>
        <v/>
      </c>
      <c r="F556">
        <f>IF(AND('Skill Matrix'!A40&lt;&gt;"",'Skill Matrix'!O5&lt;&gt;""),'Skill Matrix'!O5,"")</f>
        <v/>
      </c>
      <c r="G556">
        <f>IF(OR(A556="",'Skill Matrix'!O40=""),"",'Skill Matrix'!O40)</f>
        <v/>
      </c>
      <c r="H556">
        <f>IF(A556="","",'Employees'!F8)</f>
        <v/>
      </c>
    </row>
    <row r="557">
      <c r="A557">
        <f>IF(AND('Skill Matrix'!A40&lt;&gt;"",'Skill Matrix'!P5&lt;&gt;""),'Skill Matrix'!A40,"")</f>
        <v/>
      </c>
      <c r="B557">
        <f>IF(A557="","",'Employees'!C8)</f>
        <v/>
      </c>
      <c r="C557">
        <f>IF(A557="","",'Employees'!D8)</f>
        <v/>
      </c>
      <c r="D557">
        <f>IF(A557="","",'Skill Matrix'!C40)</f>
        <v/>
      </c>
      <c r="E557">
        <f>IF(A557="","",'Skill Matrix'!D40)</f>
        <v/>
      </c>
      <c r="F557">
        <f>IF(AND('Skill Matrix'!A40&lt;&gt;"",'Skill Matrix'!P5&lt;&gt;""),'Skill Matrix'!P5,"")</f>
        <v/>
      </c>
      <c r="G557">
        <f>IF(OR(A557="",'Skill Matrix'!P40=""),"",'Skill Matrix'!P40)</f>
        <v/>
      </c>
      <c r="H557">
        <f>IF(A557="","",'Employees'!F8)</f>
        <v/>
      </c>
    </row>
    <row r="558">
      <c r="A558">
        <f>IF(AND('Skill Matrix'!A40&lt;&gt;"",'Skill Matrix'!Q5&lt;&gt;""),'Skill Matrix'!A40,"")</f>
        <v/>
      </c>
      <c r="B558">
        <f>IF(A558="","",'Employees'!C8)</f>
        <v/>
      </c>
      <c r="C558">
        <f>IF(A558="","",'Employees'!D8)</f>
        <v/>
      </c>
      <c r="D558">
        <f>IF(A558="","",'Skill Matrix'!C40)</f>
        <v/>
      </c>
      <c r="E558">
        <f>IF(A558="","",'Skill Matrix'!D40)</f>
        <v/>
      </c>
      <c r="F558">
        <f>IF(AND('Skill Matrix'!A40&lt;&gt;"",'Skill Matrix'!Q5&lt;&gt;""),'Skill Matrix'!Q5,"")</f>
        <v/>
      </c>
      <c r="G558">
        <f>IF(OR(A558="",'Skill Matrix'!Q40=""),"",'Skill Matrix'!Q40)</f>
        <v/>
      </c>
      <c r="H558">
        <f>IF(A558="","",'Employees'!F8)</f>
        <v/>
      </c>
    </row>
    <row r="559">
      <c r="A559">
        <f>IF(AND('Skill Matrix'!A40&lt;&gt;"",'Skill Matrix'!R5&lt;&gt;""),'Skill Matrix'!A40,"")</f>
        <v/>
      </c>
      <c r="B559">
        <f>IF(A559="","",'Employees'!C8)</f>
        <v/>
      </c>
      <c r="C559">
        <f>IF(A559="","",'Employees'!D8)</f>
        <v/>
      </c>
      <c r="D559">
        <f>IF(A559="","",'Skill Matrix'!C40)</f>
        <v/>
      </c>
      <c r="E559">
        <f>IF(A559="","",'Skill Matrix'!D40)</f>
        <v/>
      </c>
      <c r="F559">
        <f>IF(AND('Skill Matrix'!A40&lt;&gt;"",'Skill Matrix'!R5&lt;&gt;""),'Skill Matrix'!R5,"")</f>
        <v/>
      </c>
      <c r="G559">
        <f>IF(OR(A559="",'Skill Matrix'!R40=""),"",'Skill Matrix'!R40)</f>
        <v/>
      </c>
      <c r="H559">
        <f>IF(A559="","",'Employees'!F8)</f>
        <v/>
      </c>
    </row>
    <row r="560">
      <c r="A560">
        <f>IF(AND('Skill Matrix'!A40&lt;&gt;"",'Skill Matrix'!S5&lt;&gt;""),'Skill Matrix'!A40,"")</f>
        <v/>
      </c>
      <c r="B560">
        <f>IF(A560="","",'Employees'!C8)</f>
        <v/>
      </c>
      <c r="C560">
        <f>IF(A560="","",'Employees'!D8)</f>
        <v/>
      </c>
      <c r="D560">
        <f>IF(A560="","",'Skill Matrix'!C40)</f>
        <v/>
      </c>
      <c r="E560">
        <f>IF(A560="","",'Skill Matrix'!D40)</f>
        <v/>
      </c>
      <c r="F560">
        <f>IF(AND('Skill Matrix'!A40&lt;&gt;"",'Skill Matrix'!S5&lt;&gt;""),'Skill Matrix'!S5,"")</f>
        <v/>
      </c>
      <c r="G560">
        <f>IF(OR(A560="",'Skill Matrix'!S40=""),"",'Skill Matrix'!S40)</f>
        <v/>
      </c>
      <c r="H560">
        <f>IF(A560="","",'Employees'!F8)</f>
        <v/>
      </c>
    </row>
    <row r="561">
      <c r="A561">
        <f>IF(AND('Skill Matrix'!A40&lt;&gt;"",'Skill Matrix'!T5&lt;&gt;""),'Skill Matrix'!A40,"")</f>
        <v/>
      </c>
      <c r="B561">
        <f>IF(A561="","",'Employees'!C8)</f>
        <v/>
      </c>
      <c r="C561">
        <f>IF(A561="","",'Employees'!D8)</f>
        <v/>
      </c>
      <c r="D561">
        <f>IF(A561="","",'Skill Matrix'!C40)</f>
        <v/>
      </c>
      <c r="E561">
        <f>IF(A561="","",'Skill Matrix'!D40)</f>
        <v/>
      </c>
      <c r="F561">
        <f>IF(AND('Skill Matrix'!A40&lt;&gt;"",'Skill Matrix'!T5&lt;&gt;""),'Skill Matrix'!T5,"")</f>
        <v/>
      </c>
      <c r="G561">
        <f>IF(OR(A561="",'Skill Matrix'!T40=""),"",'Skill Matrix'!T40)</f>
        <v/>
      </c>
      <c r="H561">
        <f>IF(A561="","",'Employees'!F8)</f>
        <v/>
      </c>
    </row>
    <row r="562">
      <c r="A562">
        <f>IF(AND('Skill Matrix'!A41&lt;&gt;"",'Skill Matrix'!E5&lt;&gt;""),'Skill Matrix'!A41,"")</f>
        <v/>
      </c>
      <c r="B562">
        <f>IF(A562="","",'Employees'!C8)</f>
        <v/>
      </c>
      <c r="C562">
        <f>IF(A562="","",'Employees'!D8)</f>
        <v/>
      </c>
      <c r="D562">
        <f>IF(A562="","",'Skill Matrix'!C41)</f>
        <v/>
      </c>
      <c r="E562">
        <f>IF(A562="","",'Skill Matrix'!D41)</f>
        <v/>
      </c>
      <c r="F562">
        <f>IF(AND('Skill Matrix'!A41&lt;&gt;"",'Skill Matrix'!E5&lt;&gt;""),'Skill Matrix'!E5,"")</f>
        <v/>
      </c>
      <c r="G562">
        <f>IF(OR(A562="",'Skill Matrix'!E41=""),"",'Skill Matrix'!E41)</f>
        <v/>
      </c>
      <c r="H562">
        <f>IF(A562="","",'Employees'!F8)</f>
        <v/>
      </c>
    </row>
    <row r="563">
      <c r="A563">
        <f>IF(AND('Skill Matrix'!A41&lt;&gt;"",'Skill Matrix'!F5&lt;&gt;""),'Skill Matrix'!A41,"")</f>
        <v/>
      </c>
      <c r="B563">
        <f>IF(A563="","",'Employees'!C8)</f>
        <v/>
      </c>
      <c r="C563">
        <f>IF(A563="","",'Employees'!D8)</f>
        <v/>
      </c>
      <c r="D563">
        <f>IF(A563="","",'Skill Matrix'!C41)</f>
        <v/>
      </c>
      <c r="E563">
        <f>IF(A563="","",'Skill Matrix'!D41)</f>
        <v/>
      </c>
      <c r="F563">
        <f>IF(AND('Skill Matrix'!A41&lt;&gt;"",'Skill Matrix'!F5&lt;&gt;""),'Skill Matrix'!F5,"")</f>
        <v/>
      </c>
      <c r="G563">
        <f>IF(OR(A563="",'Skill Matrix'!F41=""),"",'Skill Matrix'!F41)</f>
        <v/>
      </c>
      <c r="H563">
        <f>IF(A563="","",'Employees'!F8)</f>
        <v/>
      </c>
    </row>
    <row r="564">
      <c r="A564">
        <f>IF(AND('Skill Matrix'!A41&lt;&gt;"",'Skill Matrix'!G5&lt;&gt;""),'Skill Matrix'!A41,"")</f>
        <v/>
      </c>
      <c r="B564">
        <f>IF(A564="","",'Employees'!C8)</f>
        <v/>
      </c>
      <c r="C564">
        <f>IF(A564="","",'Employees'!D8)</f>
        <v/>
      </c>
      <c r="D564">
        <f>IF(A564="","",'Skill Matrix'!C41)</f>
        <v/>
      </c>
      <c r="E564">
        <f>IF(A564="","",'Skill Matrix'!D41)</f>
        <v/>
      </c>
      <c r="F564">
        <f>IF(AND('Skill Matrix'!A41&lt;&gt;"",'Skill Matrix'!G5&lt;&gt;""),'Skill Matrix'!G5,"")</f>
        <v/>
      </c>
      <c r="G564">
        <f>IF(OR(A564="",'Skill Matrix'!G41=""),"",'Skill Matrix'!G41)</f>
        <v/>
      </c>
      <c r="H564">
        <f>IF(A564="","",'Employees'!F8)</f>
        <v/>
      </c>
    </row>
    <row r="565">
      <c r="A565">
        <f>IF(AND('Skill Matrix'!A41&lt;&gt;"",'Skill Matrix'!H5&lt;&gt;""),'Skill Matrix'!A41,"")</f>
        <v/>
      </c>
      <c r="B565">
        <f>IF(A565="","",'Employees'!C8)</f>
        <v/>
      </c>
      <c r="C565">
        <f>IF(A565="","",'Employees'!D8)</f>
        <v/>
      </c>
      <c r="D565">
        <f>IF(A565="","",'Skill Matrix'!C41)</f>
        <v/>
      </c>
      <c r="E565">
        <f>IF(A565="","",'Skill Matrix'!D41)</f>
        <v/>
      </c>
      <c r="F565">
        <f>IF(AND('Skill Matrix'!A41&lt;&gt;"",'Skill Matrix'!H5&lt;&gt;""),'Skill Matrix'!H5,"")</f>
        <v/>
      </c>
      <c r="G565">
        <f>IF(OR(A565="",'Skill Matrix'!H41=""),"",'Skill Matrix'!H41)</f>
        <v/>
      </c>
      <c r="H565">
        <f>IF(A565="","",'Employees'!F8)</f>
        <v/>
      </c>
    </row>
    <row r="566">
      <c r="A566">
        <f>IF(AND('Skill Matrix'!A41&lt;&gt;"",'Skill Matrix'!I5&lt;&gt;""),'Skill Matrix'!A41,"")</f>
        <v/>
      </c>
      <c r="B566">
        <f>IF(A566="","",'Employees'!C8)</f>
        <v/>
      </c>
      <c r="C566">
        <f>IF(A566="","",'Employees'!D8)</f>
        <v/>
      </c>
      <c r="D566">
        <f>IF(A566="","",'Skill Matrix'!C41)</f>
        <v/>
      </c>
      <c r="E566">
        <f>IF(A566="","",'Skill Matrix'!D41)</f>
        <v/>
      </c>
      <c r="F566">
        <f>IF(AND('Skill Matrix'!A41&lt;&gt;"",'Skill Matrix'!I5&lt;&gt;""),'Skill Matrix'!I5,"")</f>
        <v/>
      </c>
      <c r="G566">
        <f>IF(OR(A566="",'Skill Matrix'!I41=""),"",'Skill Matrix'!I41)</f>
        <v/>
      </c>
      <c r="H566">
        <f>IF(A566="","",'Employees'!F8)</f>
        <v/>
      </c>
    </row>
    <row r="567">
      <c r="A567">
        <f>IF(AND('Skill Matrix'!A41&lt;&gt;"",'Skill Matrix'!J5&lt;&gt;""),'Skill Matrix'!A41,"")</f>
        <v/>
      </c>
      <c r="B567">
        <f>IF(A567="","",'Employees'!C8)</f>
        <v/>
      </c>
      <c r="C567">
        <f>IF(A567="","",'Employees'!D8)</f>
        <v/>
      </c>
      <c r="D567">
        <f>IF(A567="","",'Skill Matrix'!C41)</f>
        <v/>
      </c>
      <c r="E567">
        <f>IF(A567="","",'Skill Matrix'!D41)</f>
        <v/>
      </c>
      <c r="F567">
        <f>IF(AND('Skill Matrix'!A41&lt;&gt;"",'Skill Matrix'!J5&lt;&gt;""),'Skill Matrix'!J5,"")</f>
        <v/>
      </c>
      <c r="G567">
        <f>IF(OR(A567="",'Skill Matrix'!J41=""),"",'Skill Matrix'!J41)</f>
        <v/>
      </c>
      <c r="H567">
        <f>IF(A567="","",'Employees'!F8)</f>
        <v/>
      </c>
    </row>
    <row r="568">
      <c r="A568">
        <f>IF(AND('Skill Matrix'!A41&lt;&gt;"",'Skill Matrix'!K5&lt;&gt;""),'Skill Matrix'!A41,"")</f>
        <v/>
      </c>
      <c r="B568">
        <f>IF(A568="","",'Employees'!C8)</f>
        <v/>
      </c>
      <c r="C568">
        <f>IF(A568="","",'Employees'!D8)</f>
        <v/>
      </c>
      <c r="D568">
        <f>IF(A568="","",'Skill Matrix'!C41)</f>
        <v/>
      </c>
      <c r="E568">
        <f>IF(A568="","",'Skill Matrix'!D41)</f>
        <v/>
      </c>
      <c r="F568">
        <f>IF(AND('Skill Matrix'!A41&lt;&gt;"",'Skill Matrix'!K5&lt;&gt;""),'Skill Matrix'!K5,"")</f>
        <v/>
      </c>
      <c r="G568">
        <f>IF(OR(A568="",'Skill Matrix'!K41=""),"",'Skill Matrix'!K41)</f>
        <v/>
      </c>
      <c r="H568">
        <f>IF(A568="","",'Employees'!F8)</f>
        <v/>
      </c>
    </row>
    <row r="569">
      <c r="A569">
        <f>IF(AND('Skill Matrix'!A41&lt;&gt;"",'Skill Matrix'!L5&lt;&gt;""),'Skill Matrix'!A41,"")</f>
        <v/>
      </c>
      <c r="B569">
        <f>IF(A569="","",'Employees'!C8)</f>
        <v/>
      </c>
      <c r="C569">
        <f>IF(A569="","",'Employees'!D8)</f>
        <v/>
      </c>
      <c r="D569">
        <f>IF(A569="","",'Skill Matrix'!C41)</f>
        <v/>
      </c>
      <c r="E569">
        <f>IF(A569="","",'Skill Matrix'!D41)</f>
        <v/>
      </c>
      <c r="F569">
        <f>IF(AND('Skill Matrix'!A41&lt;&gt;"",'Skill Matrix'!L5&lt;&gt;""),'Skill Matrix'!L5,"")</f>
        <v/>
      </c>
      <c r="G569">
        <f>IF(OR(A569="",'Skill Matrix'!L41=""),"",'Skill Matrix'!L41)</f>
        <v/>
      </c>
      <c r="H569">
        <f>IF(A569="","",'Employees'!F8)</f>
        <v/>
      </c>
    </row>
    <row r="570">
      <c r="A570">
        <f>IF(AND('Skill Matrix'!A41&lt;&gt;"",'Skill Matrix'!M5&lt;&gt;""),'Skill Matrix'!A41,"")</f>
        <v/>
      </c>
      <c r="B570">
        <f>IF(A570="","",'Employees'!C8)</f>
        <v/>
      </c>
      <c r="C570">
        <f>IF(A570="","",'Employees'!D8)</f>
        <v/>
      </c>
      <c r="D570">
        <f>IF(A570="","",'Skill Matrix'!C41)</f>
        <v/>
      </c>
      <c r="E570">
        <f>IF(A570="","",'Skill Matrix'!D41)</f>
        <v/>
      </c>
      <c r="F570">
        <f>IF(AND('Skill Matrix'!A41&lt;&gt;"",'Skill Matrix'!M5&lt;&gt;""),'Skill Matrix'!M5,"")</f>
        <v/>
      </c>
      <c r="G570">
        <f>IF(OR(A570="",'Skill Matrix'!M41=""),"",'Skill Matrix'!M41)</f>
        <v/>
      </c>
      <c r="H570">
        <f>IF(A570="","",'Employees'!F8)</f>
        <v/>
      </c>
    </row>
    <row r="571">
      <c r="A571">
        <f>IF(AND('Skill Matrix'!A41&lt;&gt;"",'Skill Matrix'!N5&lt;&gt;""),'Skill Matrix'!A41,"")</f>
        <v/>
      </c>
      <c r="B571">
        <f>IF(A571="","",'Employees'!C8)</f>
        <v/>
      </c>
      <c r="C571">
        <f>IF(A571="","",'Employees'!D8)</f>
        <v/>
      </c>
      <c r="D571">
        <f>IF(A571="","",'Skill Matrix'!C41)</f>
        <v/>
      </c>
      <c r="E571">
        <f>IF(A571="","",'Skill Matrix'!D41)</f>
        <v/>
      </c>
      <c r="F571">
        <f>IF(AND('Skill Matrix'!A41&lt;&gt;"",'Skill Matrix'!N5&lt;&gt;""),'Skill Matrix'!N5,"")</f>
        <v/>
      </c>
      <c r="G571">
        <f>IF(OR(A571="",'Skill Matrix'!N41=""),"",'Skill Matrix'!N41)</f>
        <v/>
      </c>
      <c r="H571">
        <f>IF(A571="","",'Employees'!F8)</f>
        <v/>
      </c>
    </row>
    <row r="572">
      <c r="A572">
        <f>IF(AND('Skill Matrix'!A41&lt;&gt;"",'Skill Matrix'!O5&lt;&gt;""),'Skill Matrix'!A41,"")</f>
        <v/>
      </c>
      <c r="B572">
        <f>IF(A572="","",'Employees'!C8)</f>
        <v/>
      </c>
      <c r="C572">
        <f>IF(A572="","",'Employees'!D8)</f>
        <v/>
      </c>
      <c r="D572">
        <f>IF(A572="","",'Skill Matrix'!C41)</f>
        <v/>
      </c>
      <c r="E572">
        <f>IF(A572="","",'Skill Matrix'!D41)</f>
        <v/>
      </c>
      <c r="F572">
        <f>IF(AND('Skill Matrix'!A41&lt;&gt;"",'Skill Matrix'!O5&lt;&gt;""),'Skill Matrix'!O5,"")</f>
        <v/>
      </c>
      <c r="G572">
        <f>IF(OR(A572="",'Skill Matrix'!O41=""),"",'Skill Matrix'!O41)</f>
        <v/>
      </c>
      <c r="H572">
        <f>IF(A572="","",'Employees'!F8)</f>
        <v/>
      </c>
    </row>
    <row r="573">
      <c r="A573">
        <f>IF(AND('Skill Matrix'!A41&lt;&gt;"",'Skill Matrix'!P5&lt;&gt;""),'Skill Matrix'!A41,"")</f>
        <v/>
      </c>
      <c r="B573">
        <f>IF(A573="","",'Employees'!C8)</f>
        <v/>
      </c>
      <c r="C573">
        <f>IF(A573="","",'Employees'!D8)</f>
        <v/>
      </c>
      <c r="D573">
        <f>IF(A573="","",'Skill Matrix'!C41)</f>
        <v/>
      </c>
      <c r="E573">
        <f>IF(A573="","",'Skill Matrix'!D41)</f>
        <v/>
      </c>
      <c r="F573">
        <f>IF(AND('Skill Matrix'!A41&lt;&gt;"",'Skill Matrix'!P5&lt;&gt;""),'Skill Matrix'!P5,"")</f>
        <v/>
      </c>
      <c r="G573">
        <f>IF(OR(A573="",'Skill Matrix'!P41=""),"",'Skill Matrix'!P41)</f>
        <v/>
      </c>
      <c r="H573">
        <f>IF(A573="","",'Employees'!F8)</f>
        <v/>
      </c>
    </row>
    <row r="574">
      <c r="A574">
        <f>IF(AND('Skill Matrix'!A41&lt;&gt;"",'Skill Matrix'!Q5&lt;&gt;""),'Skill Matrix'!A41,"")</f>
        <v/>
      </c>
      <c r="B574">
        <f>IF(A574="","",'Employees'!C8)</f>
        <v/>
      </c>
      <c r="C574">
        <f>IF(A574="","",'Employees'!D8)</f>
        <v/>
      </c>
      <c r="D574">
        <f>IF(A574="","",'Skill Matrix'!C41)</f>
        <v/>
      </c>
      <c r="E574">
        <f>IF(A574="","",'Skill Matrix'!D41)</f>
        <v/>
      </c>
      <c r="F574">
        <f>IF(AND('Skill Matrix'!A41&lt;&gt;"",'Skill Matrix'!Q5&lt;&gt;""),'Skill Matrix'!Q5,"")</f>
        <v/>
      </c>
      <c r="G574">
        <f>IF(OR(A574="",'Skill Matrix'!Q41=""),"",'Skill Matrix'!Q41)</f>
        <v/>
      </c>
      <c r="H574">
        <f>IF(A574="","",'Employees'!F8)</f>
        <v/>
      </c>
    </row>
    <row r="575">
      <c r="A575">
        <f>IF(AND('Skill Matrix'!A41&lt;&gt;"",'Skill Matrix'!R5&lt;&gt;""),'Skill Matrix'!A41,"")</f>
        <v/>
      </c>
      <c r="B575">
        <f>IF(A575="","",'Employees'!C8)</f>
        <v/>
      </c>
      <c r="C575">
        <f>IF(A575="","",'Employees'!D8)</f>
        <v/>
      </c>
      <c r="D575">
        <f>IF(A575="","",'Skill Matrix'!C41)</f>
        <v/>
      </c>
      <c r="E575">
        <f>IF(A575="","",'Skill Matrix'!D41)</f>
        <v/>
      </c>
      <c r="F575">
        <f>IF(AND('Skill Matrix'!A41&lt;&gt;"",'Skill Matrix'!R5&lt;&gt;""),'Skill Matrix'!R5,"")</f>
        <v/>
      </c>
      <c r="G575">
        <f>IF(OR(A575="",'Skill Matrix'!R41=""),"",'Skill Matrix'!R41)</f>
        <v/>
      </c>
      <c r="H575">
        <f>IF(A575="","",'Employees'!F8)</f>
        <v/>
      </c>
    </row>
    <row r="576">
      <c r="A576">
        <f>IF(AND('Skill Matrix'!A41&lt;&gt;"",'Skill Matrix'!S5&lt;&gt;""),'Skill Matrix'!A41,"")</f>
        <v/>
      </c>
      <c r="B576">
        <f>IF(A576="","",'Employees'!C8)</f>
        <v/>
      </c>
      <c r="C576">
        <f>IF(A576="","",'Employees'!D8)</f>
        <v/>
      </c>
      <c r="D576">
        <f>IF(A576="","",'Skill Matrix'!C41)</f>
        <v/>
      </c>
      <c r="E576">
        <f>IF(A576="","",'Skill Matrix'!D41)</f>
        <v/>
      </c>
      <c r="F576">
        <f>IF(AND('Skill Matrix'!A41&lt;&gt;"",'Skill Matrix'!S5&lt;&gt;""),'Skill Matrix'!S5,"")</f>
        <v/>
      </c>
      <c r="G576">
        <f>IF(OR(A576="",'Skill Matrix'!S41=""),"",'Skill Matrix'!S41)</f>
        <v/>
      </c>
      <c r="H576">
        <f>IF(A576="","",'Employees'!F8)</f>
        <v/>
      </c>
    </row>
    <row r="577">
      <c r="A577">
        <f>IF(AND('Skill Matrix'!A41&lt;&gt;"",'Skill Matrix'!T5&lt;&gt;""),'Skill Matrix'!A41,"")</f>
        <v/>
      </c>
      <c r="B577">
        <f>IF(A577="","",'Employees'!C8)</f>
        <v/>
      </c>
      <c r="C577">
        <f>IF(A577="","",'Employees'!D8)</f>
        <v/>
      </c>
      <c r="D577">
        <f>IF(A577="","",'Skill Matrix'!C41)</f>
        <v/>
      </c>
      <c r="E577">
        <f>IF(A577="","",'Skill Matrix'!D41)</f>
        <v/>
      </c>
      <c r="F577">
        <f>IF(AND('Skill Matrix'!A41&lt;&gt;"",'Skill Matrix'!T5&lt;&gt;""),'Skill Matrix'!T5,"")</f>
        <v/>
      </c>
      <c r="G577">
        <f>IF(OR(A577="",'Skill Matrix'!T41=""),"",'Skill Matrix'!T41)</f>
        <v/>
      </c>
      <c r="H577">
        <f>IF(A577="","",'Employees'!F8)</f>
        <v/>
      </c>
    </row>
    <row r="578">
      <c r="A578">
        <f>IF(AND('Skill Matrix'!A42&lt;&gt;"",'Skill Matrix'!E5&lt;&gt;""),'Skill Matrix'!A42,"")</f>
        <v/>
      </c>
      <c r="B578">
        <f>IF(A578="","",'Employees'!C8)</f>
        <v/>
      </c>
      <c r="C578">
        <f>IF(A578="","",'Employees'!D8)</f>
        <v/>
      </c>
      <c r="D578">
        <f>IF(A578="","",'Skill Matrix'!C42)</f>
        <v/>
      </c>
      <c r="E578">
        <f>IF(A578="","",'Skill Matrix'!D42)</f>
        <v/>
      </c>
      <c r="F578">
        <f>IF(AND('Skill Matrix'!A42&lt;&gt;"",'Skill Matrix'!E5&lt;&gt;""),'Skill Matrix'!E5,"")</f>
        <v/>
      </c>
      <c r="G578">
        <f>IF(OR(A578="",'Skill Matrix'!E42=""),"",'Skill Matrix'!E42)</f>
        <v/>
      </c>
      <c r="H578">
        <f>IF(A578="","",'Employees'!F8)</f>
        <v/>
      </c>
    </row>
    <row r="579">
      <c r="A579">
        <f>IF(AND('Skill Matrix'!A42&lt;&gt;"",'Skill Matrix'!F5&lt;&gt;""),'Skill Matrix'!A42,"")</f>
        <v/>
      </c>
      <c r="B579">
        <f>IF(A579="","",'Employees'!C8)</f>
        <v/>
      </c>
      <c r="C579">
        <f>IF(A579="","",'Employees'!D8)</f>
        <v/>
      </c>
      <c r="D579">
        <f>IF(A579="","",'Skill Matrix'!C42)</f>
        <v/>
      </c>
      <c r="E579">
        <f>IF(A579="","",'Skill Matrix'!D42)</f>
        <v/>
      </c>
      <c r="F579">
        <f>IF(AND('Skill Matrix'!A42&lt;&gt;"",'Skill Matrix'!F5&lt;&gt;""),'Skill Matrix'!F5,"")</f>
        <v/>
      </c>
      <c r="G579">
        <f>IF(OR(A579="",'Skill Matrix'!F42=""),"",'Skill Matrix'!F42)</f>
        <v/>
      </c>
      <c r="H579">
        <f>IF(A579="","",'Employees'!F8)</f>
        <v/>
      </c>
    </row>
    <row r="580">
      <c r="A580">
        <f>IF(AND('Skill Matrix'!A42&lt;&gt;"",'Skill Matrix'!G5&lt;&gt;""),'Skill Matrix'!A42,"")</f>
        <v/>
      </c>
      <c r="B580">
        <f>IF(A580="","",'Employees'!C8)</f>
        <v/>
      </c>
      <c r="C580">
        <f>IF(A580="","",'Employees'!D8)</f>
        <v/>
      </c>
      <c r="D580">
        <f>IF(A580="","",'Skill Matrix'!C42)</f>
        <v/>
      </c>
      <c r="E580">
        <f>IF(A580="","",'Skill Matrix'!D42)</f>
        <v/>
      </c>
      <c r="F580">
        <f>IF(AND('Skill Matrix'!A42&lt;&gt;"",'Skill Matrix'!G5&lt;&gt;""),'Skill Matrix'!G5,"")</f>
        <v/>
      </c>
      <c r="G580">
        <f>IF(OR(A580="",'Skill Matrix'!G42=""),"",'Skill Matrix'!G42)</f>
        <v/>
      </c>
      <c r="H580">
        <f>IF(A580="","",'Employees'!F8)</f>
        <v/>
      </c>
    </row>
    <row r="581">
      <c r="A581">
        <f>IF(AND('Skill Matrix'!A42&lt;&gt;"",'Skill Matrix'!H5&lt;&gt;""),'Skill Matrix'!A42,"")</f>
        <v/>
      </c>
      <c r="B581">
        <f>IF(A581="","",'Employees'!C8)</f>
        <v/>
      </c>
      <c r="C581">
        <f>IF(A581="","",'Employees'!D8)</f>
        <v/>
      </c>
      <c r="D581">
        <f>IF(A581="","",'Skill Matrix'!C42)</f>
        <v/>
      </c>
      <c r="E581">
        <f>IF(A581="","",'Skill Matrix'!D42)</f>
        <v/>
      </c>
      <c r="F581">
        <f>IF(AND('Skill Matrix'!A42&lt;&gt;"",'Skill Matrix'!H5&lt;&gt;""),'Skill Matrix'!H5,"")</f>
        <v/>
      </c>
      <c r="G581">
        <f>IF(OR(A581="",'Skill Matrix'!H42=""),"",'Skill Matrix'!H42)</f>
        <v/>
      </c>
      <c r="H581">
        <f>IF(A581="","",'Employees'!F8)</f>
        <v/>
      </c>
    </row>
    <row r="582">
      <c r="A582">
        <f>IF(AND('Skill Matrix'!A42&lt;&gt;"",'Skill Matrix'!I5&lt;&gt;""),'Skill Matrix'!A42,"")</f>
        <v/>
      </c>
      <c r="B582">
        <f>IF(A582="","",'Employees'!C8)</f>
        <v/>
      </c>
      <c r="C582">
        <f>IF(A582="","",'Employees'!D8)</f>
        <v/>
      </c>
      <c r="D582">
        <f>IF(A582="","",'Skill Matrix'!C42)</f>
        <v/>
      </c>
      <c r="E582">
        <f>IF(A582="","",'Skill Matrix'!D42)</f>
        <v/>
      </c>
      <c r="F582">
        <f>IF(AND('Skill Matrix'!A42&lt;&gt;"",'Skill Matrix'!I5&lt;&gt;""),'Skill Matrix'!I5,"")</f>
        <v/>
      </c>
      <c r="G582">
        <f>IF(OR(A582="",'Skill Matrix'!I42=""),"",'Skill Matrix'!I42)</f>
        <v/>
      </c>
      <c r="H582">
        <f>IF(A582="","",'Employees'!F8)</f>
        <v/>
      </c>
    </row>
    <row r="583">
      <c r="A583">
        <f>IF(AND('Skill Matrix'!A42&lt;&gt;"",'Skill Matrix'!J5&lt;&gt;""),'Skill Matrix'!A42,"")</f>
        <v/>
      </c>
      <c r="B583">
        <f>IF(A583="","",'Employees'!C8)</f>
        <v/>
      </c>
      <c r="C583">
        <f>IF(A583="","",'Employees'!D8)</f>
        <v/>
      </c>
      <c r="D583">
        <f>IF(A583="","",'Skill Matrix'!C42)</f>
        <v/>
      </c>
      <c r="E583">
        <f>IF(A583="","",'Skill Matrix'!D42)</f>
        <v/>
      </c>
      <c r="F583">
        <f>IF(AND('Skill Matrix'!A42&lt;&gt;"",'Skill Matrix'!J5&lt;&gt;""),'Skill Matrix'!J5,"")</f>
        <v/>
      </c>
      <c r="G583">
        <f>IF(OR(A583="",'Skill Matrix'!J42=""),"",'Skill Matrix'!J42)</f>
        <v/>
      </c>
      <c r="H583">
        <f>IF(A583="","",'Employees'!F8)</f>
        <v/>
      </c>
    </row>
    <row r="584">
      <c r="A584">
        <f>IF(AND('Skill Matrix'!A42&lt;&gt;"",'Skill Matrix'!K5&lt;&gt;""),'Skill Matrix'!A42,"")</f>
        <v/>
      </c>
      <c r="B584">
        <f>IF(A584="","",'Employees'!C8)</f>
        <v/>
      </c>
      <c r="C584">
        <f>IF(A584="","",'Employees'!D8)</f>
        <v/>
      </c>
      <c r="D584">
        <f>IF(A584="","",'Skill Matrix'!C42)</f>
        <v/>
      </c>
      <c r="E584">
        <f>IF(A584="","",'Skill Matrix'!D42)</f>
        <v/>
      </c>
      <c r="F584">
        <f>IF(AND('Skill Matrix'!A42&lt;&gt;"",'Skill Matrix'!K5&lt;&gt;""),'Skill Matrix'!K5,"")</f>
        <v/>
      </c>
      <c r="G584">
        <f>IF(OR(A584="",'Skill Matrix'!K42=""),"",'Skill Matrix'!K42)</f>
        <v/>
      </c>
      <c r="H584">
        <f>IF(A584="","",'Employees'!F8)</f>
        <v/>
      </c>
    </row>
    <row r="585">
      <c r="A585">
        <f>IF(AND('Skill Matrix'!A42&lt;&gt;"",'Skill Matrix'!L5&lt;&gt;""),'Skill Matrix'!A42,"")</f>
        <v/>
      </c>
      <c r="B585">
        <f>IF(A585="","",'Employees'!C8)</f>
        <v/>
      </c>
      <c r="C585">
        <f>IF(A585="","",'Employees'!D8)</f>
        <v/>
      </c>
      <c r="D585">
        <f>IF(A585="","",'Skill Matrix'!C42)</f>
        <v/>
      </c>
      <c r="E585">
        <f>IF(A585="","",'Skill Matrix'!D42)</f>
        <v/>
      </c>
      <c r="F585">
        <f>IF(AND('Skill Matrix'!A42&lt;&gt;"",'Skill Matrix'!L5&lt;&gt;""),'Skill Matrix'!L5,"")</f>
        <v/>
      </c>
      <c r="G585">
        <f>IF(OR(A585="",'Skill Matrix'!L42=""),"",'Skill Matrix'!L42)</f>
        <v/>
      </c>
      <c r="H585">
        <f>IF(A585="","",'Employees'!F8)</f>
        <v/>
      </c>
    </row>
    <row r="586">
      <c r="A586">
        <f>IF(AND('Skill Matrix'!A42&lt;&gt;"",'Skill Matrix'!M5&lt;&gt;""),'Skill Matrix'!A42,"")</f>
        <v/>
      </c>
      <c r="B586">
        <f>IF(A586="","",'Employees'!C8)</f>
        <v/>
      </c>
      <c r="C586">
        <f>IF(A586="","",'Employees'!D8)</f>
        <v/>
      </c>
      <c r="D586">
        <f>IF(A586="","",'Skill Matrix'!C42)</f>
        <v/>
      </c>
      <c r="E586">
        <f>IF(A586="","",'Skill Matrix'!D42)</f>
        <v/>
      </c>
      <c r="F586">
        <f>IF(AND('Skill Matrix'!A42&lt;&gt;"",'Skill Matrix'!M5&lt;&gt;""),'Skill Matrix'!M5,"")</f>
        <v/>
      </c>
      <c r="G586">
        <f>IF(OR(A586="",'Skill Matrix'!M42=""),"",'Skill Matrix'!M42)</f>
        <v/>
      </c>
      <c r="H586">
        <f>IF(A586="","",'Employees'!F8)</f>
        <v/>
      </c>
    </row>
    <row r="587">
      <c r="A587">
        <f>IF(AND('Skill Matrix'!A42&lt;&gt;"",'Skill Matrix'!N5&lt;&gt;""),'Skill Matrix'!A42,"")</f>
        <v/>
      </c>
      <c r="B587">
        <f>IF(A587="","",'Employees'!C8)</f>
        <v/>
      </c>
      <c r="C587">
        <f>IF(A587="","",'Employees'!D8)</f>
        <v/>
      </c>
      <c r="D587">
        <f>IF(A587="","",'Skill Matrix'!C42)</f>
        <v/>
      </c>
      <c r="E587">
        <f>IF(A587="","",'Skill Matrix'!D42)</f>
        <v/>
      </c>
      <c r="F587">
        <f>IF(AND('Skill Matrix'!A42&lt;&gt;"",'Skill Matrix'!N5&lt;&gt;""),'Skill Matrix'!N5,"")</f>
        <v/>
      </c>
      <c r="G587">
        <f>IF(OR(A587="",'Skill Matrix'!N42=""),"",'Skill Matrix'!N42)</f>
        <v/>
      </c>
      <c r="H587">
        <f>IF(A587="","",'Employees'!F8)</f>
        <v/>
      </c>
    </row>
    <row r="588">
      <c r="A588">
        <f>IF(AND('Skill Matrix'!A42&lt;&gt;"",'Skill Matrix'!O5&lt;&gt;""),'Skill Matrix'!A42,"")</f>
        <v/>
      </c>
      <c r="B588">
        <f>IF(A588="","",'Employees'!C8)</f>
        <v/>
      </c>
      <c r="C588">
        <f>IF(A588="","",'Employees'!D8)</f>
        <v/>
      </c>
      <c r="D588">
        <f>IF(A588="","",'Skill Matrix'!C42)</f>
        <v/>
      </c>
      <c r="E588">
        <f>IF(A588="","",'Skill Matrix'!D42)</f>
        <v/>
      </c>
      <c r="F588">
        <f>IF(AND('Skill Matrix'!A42&lt;&gt;"",'Skill Matrix'!O5&lt;&gt;""),'Skill Matrix'!O5,"")</f>
        <v/>
      </c>
      <c r="G588">
        <f>IF(OR(A588="",'Skill Matrix'!O42=""),"",'Skill Matrix'!O42)</f>
        <v/>
      </c>
      <c r="H588">
        <f>IF(A588="","",'Employees'!F8)</f>
        <v/>
      </c>
    </row>
    <row r="589">
      <c r="A589">
        <f>IF(AND('Skill Matrix'!A42&lt;&gt;"",'Skill Matrix'!P5&lt;&gt;""),'Skill Matrix'!A42,"")</f>
        <v/>
      </c>
      <c r="B589">
        <f>IF(A589="","",'Employees'!C8)</f>
        <v/>
      </c>
      <c r="C589">
        <f>IF(A589="","",'Employees'!D8)</f>
        <v/>
      </c>
      <c r="D589">
        <f>IF(A589="","",'Skill Matrix'!C42)</f>
        <v/>
      </c>
      <c r="E589">
        <f>IF(A589="","",'Skill Matrix'!D42)</f>
        <v/>
      </c>
      <c r="F589">
        <f>IF(AND('Skill Matrix'!A42&lt;&gt;"",'Skill Matrix'!P5&lt;&gt;""),'Skill Matrix'!P5,"")</f>
        <v/>
      </c>
      <c r="G589">
        <f>IF(OR(A589="",'Skill Matrix'!P42=""),"",'Skill Matrix'!P42)</f>
        <v/>
      </c>
      <c r="H589">
        <f>IF(A589="","",'Employees'!F8)</f>
        <v/>
      </c>
    </row>
    <row r="590">
      <c r="A590">
        <f>IF(AND('Skill Matrix'!A42&lt;&gt;"",'Skill Matrix'!Q5&lt;&gt;""),'Skill Matrix'!A42,"")</f>
        <v/>
      </c>
      <c r="B590">
        <f>IF(A590="","",'Employees'!C8)</f>
        <v/>
      </c>
      <c r="C590">
        <f>IF(A590="","",'Employees'!D8)</f>
        <v/>
      </c>
      <c r="D590">
        <f>IF(A590="","",'Skill Matrix'!C42)</f>
        <v/>
      </c>
      <c r="E590">
        <f>IF(A590="","",'Skill Matrix'!D42)</f>
        <v/>
      </c>
      <c r="F590">
        <f>IF(AND('Skill Matrix'!A42&lt;&gt;"",'Skill Matrix'!Q5&lt;&gt;""),'Skill Matrix'!Q5,"")</f>
        <v/>
      </c>
      <c r="G590">
        <f>IF(OR(A590="",'Skill Matrix'!Q42=""),"",'Skill Matrix'!Q42)</f>
        <v/>
      </c>
      <c r="H590">
        <f>IF(A590="","",'Employees'!F8)</f>
        <v/>
      </c>
    </row>
    <row r="591">
      <c r="A591">
        <f>IF(AND('Skill Matrix'!A42&lt;&gt;"",'Skill Matrix'!R5&lt;&gt;""),'Skill Matrix'!A42,"")</f>
        <v/>
      </c>
      <c r="B591">
        <f>IF(A591="","",'Employees'!C8)</f>
        <v/>
      </c>
      <c r="C591">
        <f>IF(A591="","",'Employees'!D8)</f>
        <v/>
      </c>
      <c r="D591">
        <f>IF(A591="","",'Skill Matrix'!C42)</f>
        <v/>
      </c>
      <c r="E591">
        <f>IF(A591="","",'Skill Matrix'!D42)</f>
        <v/>
      </c>
      <c r="F591">
        <f>IF(AND('Skill Matrix'!A42&lt;&gt;"",'Skill Matrix'!R5&lt;&gt;""),'Skill Matrix'!R5,"")</f>
        <v/>
      </c>
      <c r="G591">
        <f>IF(OR(A591="",'Skill Matrix'!R42=""),"",'Skill Matrix'!R42)</f>
        <v/>
      </c>
      <c r="H591">
        <f>IF(A591="","",'Employees'!F8)</f>
        <v/>
      </c>
    </row>
    <row r="592">
      <c r="A592">
        <f>IF(AND('Skill Matrix'!A42&lt;&gt;"",'Skill Matrix'!S5&lt;&gt;""),'Skill Matrix'!A42,"")</f>
        <v/>
      </c>
      <c r="B592">
        <f>IF(A592="","",'Employees'!C8)</f>
        <v/>
      </c>
      <c r="C592">
        <f>IF(A592="","",'Employees'!D8)</f>
        <v/>
      </c>
      <c r="D592">
        <f>IF(A592="","",'Skill Matrix'!C42)</f>
        <v/>
      </c>
      <c r="E592">
        <f>IF(A592="","",'Skill Matrix'!D42)</f>
        <v/>
      </c>
      <c r="F592">
        <f>IF(AND('Skill Matrix'!A42&lt;&gt;"",'Skill Matrix'!S5&lt;&gt;""),'Skill Matrix'!S5,"")</f>
        <v/>
      </c>
      <c r="G592">
        <f>IF(OR(A592="",'Skill Matrix'!S42=""),"",'Skill Matrix'!S42)</f>
        <v/>
      </c>
      <c r="H592">
        <f>IF(A592="","",'Employees'!F8)</f>
        <v/>
      </c>
    </row>
    <row r="593">
      <c r="A593">
        <f>IF(AND('Skill Matrix'!A42&lt;&gt;"",'Skill Matrix'!T5&lt;&gt;""),'Skill Matrix'!A42,"")</f>
        <v/>
      </c>
      <c r="B593">
        <f>IF(A593="","",'Employees'!C8)</f>
        <v/>
      </c>
      <c r="C593">
        <f>IF(A593="","",'Employees'!D8)</f>
        <v/>
      </c>
      <c r="D593">
        <f>IF(A593="","",'Skill Matrix'!C42)</f>
        <v/>
      </c>
      <c r="E593">
        <f>IF(A593="","",'Skill Matrix'!D42)</f>
        <v/>
      </c>
      <c r="F593">
        <f>IF(AND('Skill Matrix'!A42&lt;&gt;"",'Skill Matrix'!T5&lt;&gt;""),'Skill Matrix'!T5,"")</f>
        <v/>
      </c>
      <c r="G593">
        <f>IF(OR(A593="",'Skill Matrix'!T42=""),"",'Skill Matrix'!T42)</f>
        <v/>
      </c>
      <c r="H593">
        <f>IF(A593="","",'Employees'!F8)</f>
        <v/>
      </c>
    </row>
    <row r="594">
      <c r="A594">
        <f>IF(AND('Skill Matrix'!A43&lt;&gt;"",'Skill Matrix'!E5&lt;&gt;""),'Skill Matrix'!A43,"")</f>
        <v/>
      </c>
      <c r="B594">
        <f>IF(A594="","",'Employees'!C8)</f>
        <v/>
      </c>
      <c r="C594">
        <f>IF(A594="","",'Employees'!D8)</f>
        <v/>
      </c>
      <c r="D594">
        <f>IF(A594="","",'Skill Matrix'!C43)</f>
        <v/>
      </c>
      <c r="E594">
        <f>IF(A594="","",'Skill Matrix'!D43)</f>
        <v/>
      </c>
      <c r="F594">
        <f>IF(AND('Skill Matrix'!A43&lt;&gt;"",'Skill Matrix'!E5&lt;&gt;""),'Skill Matrix'!E5,"")</f>
        <v/>
      </c>
      <c r="G594">
        <f>IF(OR(A594="",'Skill Matrix'!E43=""),"",'Skill Matrix'!E43)</f>
        <v/>
      </c>
      <c r="H594">
        <f>IF(A594="","",'Employees'!F8)</f>
        <v/>
      </c>
    </row>
    <row r="595">
      <c r="A595">
        <f>IF(AND('Skill Matrix'!A43&lt;&gt;"",'Skill Matrix'!F5&lt;&gt;""),'Skill Matrix'!A43,"")</f>
        <v/>
      </c>
      <c r="B595">
        <f>IF(A595="","",'Employees'!C8)</f>
        <v/>
      </c>
      <c r="C595">
        <f>IF(A595="","",'Employees'!D8)</f>
        <v/>
      </c>
      <c r="D595">
        <f>IF(A595="","",'Skill Matrix'!C43)</f>
        <v/>
      </c>
      <c r="E595">
        <f>IF(A595="","",'Skill Matrix'!D43)</f>
        <v/>
      </c>
      <c r="F595">
        <f>IF(AND('Skill Matrix'!A43&lt;&gt;"",'Skill Matrix'!F5&lt;&gt;""),'Skill Matrix'!F5,"")</f>
        <v/>
      </c>
      <c r="G595">
        <f>IF(OR(A595="",'Skill Matrix'!F43=""),"",'Skill Matrix'!F43)</f>
        <v/>
      </c>
      <c r="H595">
        <f>IF(A595="","",'Employees'!F8)</f>
        <v/>
      </c>
    </row>
    <row r="596">
      <c r="A596">
        <f>IF(AND('Skill Matrix'!A43&lt;&gt;"",'Skill Matrix'!G5&lt;&gt;""),'Skill Matrix'!A43,"")</f>
        <v/>
      </c>
      <c r="B596">
        <f>IF(A596="","",'Employees'!C8)</f>
        <v/>
      </c>
      <c r="C596">
        <f>IF(A596="","",'Employees'!D8)</f>
        <v/>
      </c>
      <c r="D596">
        <f>IF(A596="","",'Skill Matrix'!C43)</f>
        <v/>
      </c>
      <c r="E596">
        <f>IF(A596="","",'Skill Matrix'!D43)</f>
        <v/>
      </c>
      <c r="F596">
        <f>IF(AND('Skill Matrix'!A43&lt;&gt;"",'Skill Matrix'!G5&lt;&gt;""),'Skill Matrix'!G5,"")</f>
        <v/>
      </c>
      <c r="G596">
        <f>IF(OR(A596="",'Skill Matrix'!G43=""),"",'Skill Matrix'!G43)</f>
        <v/>
      </c>
      <c r="H596">
        <f>IF(A596="","",'Employees'!F8)</f>
        <v/>
      </c>
    </row>
    <row r="597">
      <c r="A597">
        <f>IF(AND('Skill Matrix'!A43&lt;&gt;"",'Skill Matrix'!H5&lt;&gt;""),'Skill Matrix'!A43,"")</f>
        <v/>
      </c>
      <c r="B597">
        <f>IF(A597="","",'Employees'!C8)</f>
        <v/>
      </c>
      <c r="C597">
        <f>IF(A597="","",'Employees'!D8)</f>
        <v/>
      </c>
      <c r="D597">
        <f>IF(A597="","",'Skill Matrix'!C43)</f>
        <v/>
      </c>
      <c r="E597">
        <f>IF(A597="","",'Skill Matrix'!D43)</f>
        <v/>
      </c>
      <c r="F597">
        <f>IF(AND('Skill Matrix'!A43&lt;&gt;"",'Skill Matrix'!H5&lt;&gt;""),'Skill Matrix'!H5,"")</f>
        <v/>
      </c>
      <c r="G597">
        <f>IF(OR(A597="",'Skill Matrix'!H43=""),"",'Skill Matrix'!H43)</f>
        <v/>
      </c>
      <c r="H597">
        <f>IF(A597="","",'Employees'!F8)</f>
        <v/>
      </c>
    </row>
    <row r="598">
      <c r="A598">
        <f>IF(AND('Skill Matrix'!A43&lt;&gt;"",'Skill Matrix'!I5&lt;&gt;""),'Skill Matrix'!A43,"")</f>
        <v/>
      </c>
      <c r="B598">
        <f>IF(A598="","",'Employees'!C8)</f>
        <v/>
      </c>
      <c r="C598">
        <f>IF(A598="","",'Employees'!D8)</f>
        <v/>
      </c>
      <c r="D598">
        <f>IF(A598="","",'Skill Matrix'!C43)</f>
        <v/>
      </c>
      <c r="E598">
        <f>IF(A598="","",'Skill Matrix'!D43)</f>
        <v/>
      </c>
      <c r="F598">
        <f>IF(AND('Skill Matrix'!A43&lt;&gt;"",'Skill Matrix'!I5&lt;&gt;""),'Skill Matrix'!I5,"")</f>
        <v/>
      </c>
      <c r="G598">
        <f>IF(OR(A598="",'Skill Matrix'!I43=""),"",'Skill Matrix'!I43)</f>
        <v/>
      </c>
      <c r="H598">
        <f>IF(A598="","",'Employees'!F8)</f>
        <v/>
      </c>
    </row>
    <row r="599">
      <c r="A599">
        <f>IF(AND('Skill Matrix'!A43&lt;&gt;"",'Skill Matrix'!J5&lt;&gt;""),'Skill Matrix'!A43,"")</f>
        <v/>
      </c>
      <c r="B599">
        <f>IF(A599="","",'Employees'!C8)</f>
        <v/>
      </c>
      <c r="C599">
        <f>IF(A599="","",'Employees'!D8)</f>
        <v/>
      </c>
      <c r="D599">
        <f>IF(A599="","",'Skill Matrix'!C43)</f>
        <v/>
      </c>
      <c r="E599">
        <f>IF(A599="","",'Skill Matrix'!D43)</f>
        <v/>
      </c>
      <c r="F599">
        <f>IF(AND('Skill Matrix'!A43&lt;&gt;"",'Skill Matrix'!J5&lt;&gt;""),'Skill Matrix'!J5,"")</f>
        <v/>
      </c>
      <c r="G599">
        <f>IF(OR(A599="",'Skill Matrix'!J43=""),"",'Skill Matrix'!J43)</f>
        <v/>
      </c>
      <c r="H599">
        <f>IF(A599="","",'Employees'!F8)</f>
        <v/>
      </c>
    </row>
    <row r="600">
      <c r="A600">
        <f>IF(AND('Skill Matrix'!A43&lt;&gt;"",'Skill Matrix'!K5&lt;&gt;""),'Skill Matrix'!A43,"")</f>
        <v/>
      </c>
      <c r="B600">
        <f>IF(A600="","",'Employees'!C8)</f>
        <v/>
      </c>
      <c r="C600">
        <f>IF(A600="","",'Employees'!D8)</f>
        <v/>
      </c>
      <c r="D600">
        <f>IF(A600="","",'Skill Matrix'!C43)</f>
        <v/>
      </c>
      <c r="E600">
        <f>IF(A600="","",'Skill Matrix'!D43)</f>
        <v/>
      </c>
      <c r="F600">
        <f>IF(AND('Skill Matrix'!A43&lt;&gt;"",'Skill Matrix'!K5&lt;&gt;""),'Skill Matrix'!K5,"")</f>
        <v/>
      </c>
      <c r="G600">
        <f>IF(OR(A600="",'Skill Matrix'!K43=""),"",'Skill Matrix'!K43)</f>
        <v/>
      </c>
      <c r="H600">
        <f>IF(A600="","",'Employees'!F8)</f>
        <v/>
      </c>
    </row>
    <row r="601">
      <c r="A601">
        <f>IF(AND('Skill Matrix'!A43&lt;&gt;"",'Skill Matrix'!L5&lt;&gt;""),'Skill Matrix'!A43,"")</f>
        <v/>
      </c>
      <c r="B601">
        <f>IF(A601="","",'Employees'!C8)</f>
        <v/>
      </c>
      <c r="C601">
        <f>IF(A601="","",'Employees'!D8)</f>
        <v/>
      </c>
      <c r="D601">
        <f>IF(A601="","",'Skill Matrix'!C43)</f>
        <v/>
      </c>
      <c r="E601">
        <f>IF(A601="","",'Skill Matrix'!D43)</f>
        <v/>
      </c>
      <c r="F601">
        <f>IF(AND('Skill Matrix'!A43&lt;&gt;"",'Skill Matrix'!L5&lt;&gt;""),'Skill Matrix'!L5,"")</f>
        <v/>
      </c>
      <c r="G601">
        <f>IF(OR(A601="",'Skill Matrix'!L43=""),"",'Skill Matrix'!L43)</f>
        <v/>
      </c>
      <c r="H601">
        <f>IF(A601="","",'Employees'!F8)</f>
        <v/>
      </c>
    </row>
    <row r="602">
      <c r="A602">
        <f>IF(AND('Skill Matrix'!A43&lt;&gt;"",'Skill Matrix'!M5&lt;&gt;""),'Skill Matrix'!A43,"")</f>
        <v/>
      </c>
      <c r="B602">
        <f>IF(A602="","",'Employees'!C8)</f>
        <v/>
      </c>
      <c r="C602">
        <f>IF(A602="","",'Employees'!D8)</f>
        <v/>
      </c>
      <c r="D602">
        <f>IF(A602="","",'Skill Matrix'!C43)</f>
        <v/>
      </c>
      <c r="E602">
        <f>IF(A602="","",'Skill Matrix'!D43)</f>
        <v/>
      </c>
      <c r="F602">
        <f>IF(AND('Skill Matrix'!A43&lt;&gt;"",'Skill Matrix'!M5&lt;&gt;""),'Skill Matrix'!M5,"")</f>
        <v/>
      </c>
      <c r="G602">
        <f>IF(OR(A602="",'Skill Matrix'!M43=""),"",'Skill Matrix'!M43)</f>
        <v/>
      </c>
      <c r="H602">
        <f>IF(A602="","",'Employees'!F8)</f>
        <v/>
      </c>
    </row>
    <row r="603">
      <c r="A603">
        <f>IF(AND('Skill Matrix'!A43&lt;&gt;"",'Skill Matrix'!N5&lt;&gt;""),'Skill Matrix'!A43,"")</f>
        <v/>
      </c>
      <c r="B603">
        <f>IF(A603="","",'Employees'!C8)</f>
        <v/>
      </c>
      <c r="C603">
        <f>IF(A603="","",'Employees'!D8)</f>
        <v/>
      </c>
      <c r="D603">
        <f>IF(A603="","",'Skill Matrix'!C43)</f>
        <v/>
      </c>
      <c r="E603">
        <f>IF(A603="","",'Skill Matrix'!D43)</f>
        <v/>
      </c>
      <c r="F603">
        <f>IF(AND('Skill Matrix'!A43&lt;&gt;"",'Skill Matrix'!N5&lt;&gt;""),'Skill Matrix'!N5,"")</f>
        <v/>
      </c>
      <c r="G603">
        <f>IF(OR(A603="",'Skill Matrix'!N43=""),"",'Skill Matrix'!N43)</f>
        <v/>
      </c>
      <c r="H603">
        <f>IF(A603="","",'Employees'!F8)</f>
        <v/>
      </c>
    </row>
    <row r="604">
      <c r="A604">
        <f>IF(AND('Skill Matrix'!A43&lt;&gt;"",'Skill Matrix'!O5&lt;&gt;""),'Skill Matrix'!A43,"")</f>
        <v/>
      </c>
      <c r="B604">
        <f>IF(A604="","",'Employees'!C8)</f>
        <v/>
      </c>
      <c r="C604">
        <f>IF(A604="","",'Employees'!D8)</f>
        <v/>
      </c>
      <c r="D604">
        <f>IF(A604="","",'Skill Matrix'!C43)</f>
        <v/>
      </c>
      <c r="E604">
        <f>IF(A604="","",'Skill Matrix'!D43)</f>
        <v/>
      </c>
      <c r="F604">
        <f>IF(AND('Skill Matrix'!A43&lt;&gt;"",'Skill Matrix'!O5&lt;&gt;""),'Skill Matrix'!O5,"")</f>
        <v/>
      </c>
      <c r="G604">
        <f>IF(OR(A604="",'Skill Matrix'!O43=""),"",'Skill Matrix'!O43)</f>
        <v/>
      </c>
      <c r="H604">
        <f>IF(A604="","",'Employees'!F8)</f>
        <v/>
      </c>
    </row>
    <row r="605">
      <c r="A605">
        <f>IF(AND('Skill Matrix'!A43&lt;&gt;"",'Skill Matrix'!P5&lt;&gt;""),'Skill Matrix'!A43,"")</f>
        <v/>
      </c>
      <c r="B605">
        <f>IF(A605="","",'Employees'!C8)</f>
        <v/>
      </c>
      <c r="C605">
        <f>IF(A605="","",'Employees'!D8)</f>
        <v/>
      </c>
      <c r="D605">
        <f>IF(A605="","",'Skill Matrix'!C43)</f>
        <v/>
      </c>
      <c r="E605">
        <f>IF(A605="","",'Skill Matrix'!D43)</f>
        <v/>
      </c>
      <c r="F605">
        <f>IF(AND('Skill Matrix'!A43&lt;&gt;"",'Skill Matrix'!P5&lt;&gt;""),'Skill Matrix'!P5,"")</f>
        <v/>
      </c>
      <c r="G605">
        <f>IF(OR(A605="",'Skill Matrix'!P43=""),"",'Skill Matrix'!P43)</f>
        <v/>
      </c>
      <c r="H605">
        <f>IF(A605="","",'Employees'!F8)</f>
        <v/>
      </c>
    </row>
    <row r="606">
      <c r="A606">
        <f>IF(AND('Skill Matrix'!A43&lt;&gt;"",'Skill Matrix'!Q5&lt;&gt;""),'Skill Matrix'!A43,"")</f>
        <v/>
      </c>
      <c r="B606">
        <f>IF(A606="","",'Employees'!C8)</f>
        <v/>
      </c>
      <c r="C606">
        <f>IF(A606="","",'Employees'!D8)</f>
        <v/>
      </c>
      <c r="D606">
        <f>IF(A606="","",'Skill Matrix'!C43)</f>
        <v/>
      </c>
      <c r="E606">
        <f>IF(A606="","",'Skill Matrix'!D43)</f>
        <v/>
      </c>
      <c r="F606">
        <f>IF(AND('Skill Matrix'!A43&lt;&gt;"",'Skill Matrix'!Q5&lt;&gt;""),'Skill Matrix'!Q5,"")</f>
        <v/>
      </c>
      <c r="G606">
        <f>IF(OR(A606="",'Skill Matrix'!Q43=""),"",'Skill Matrix'!Q43)</f>
        <v/>
      </c>
      <c r="H606">
        <f>IF(A606="","",'Employees'!F8)</f>
        <v/>
      </c>
    </row>
    <row r="607">
      <c r="A607">
        <f>IF(AND('Skill Matrix'!A43&lt;&gt;"",'Skill Matrix'!R5&lt;&gt;""),'Skill Matrix'!A43,"")</f>
        <v/>
      </c>
      <c r="B607">
        <f>IF(A607="","",'Employees'!C8)</f>
        <v/>
      </c>
      <c r="C607">
        <f>IF(A607="","",'Employees'!D8)</f>
        <v/>
      </c>
      <c r="D607">
        <f>IF(A607="","",'Skill Matrix'!C43)</f>
        <v/>
      </c>
      <c r="E607">
        <f>IF(A607="","",'Skill Matrix'!D43)</f>
        <v/>
      </c>
      <c r="F607">
        <f>IF(AND('Skill Matrix'!A43&lt;&gt;"",'Skill Matrix'!R5&lt;&gt;""),'Skill Matrix'!R5,"")</f>
        <v/>
      </c>
      <c r="G607">
        <f>IF(OR(A607="",'Skill Matrix'!R43=""),"",'Skill Matrix'!R43)</f>
        <v/>
      </c>
      <c r="H607">
        <f>IF(A607="","",'Employees'!F8)</f>
        <v/>
      </c>
    </row>
    <row r="608">
      <c r="A608">
        <f>IF(AND('Skill Matrix'!A43&lt;&gt;"",'Skill Matrix'!S5&lt;&gt;""),'Skill Matrix'!A43,"")</f>
        <v/>
      </c>
      <c r="B608">
        <f>IF(A608="","",'Employees'!C8)</f>
        <v/>
      </c>
      <c r="C608">
        <f>IF(A608="","",'Employees'!D8)</f>
        <v/>
      </c>
      <c r="D608">
        <f>IF(A608="","",'Skill Matrix'!C43)</f>
        <v/>
      </c>
      <c r="E608">
        <f>IF(A608="","",'Skill Matrix'!D43)</f>
        <v/>
      </c>
      <c r="F608">
        <f>IF(AND('Skill Matrix'!A43&lt;&gt;"",'Skill Matrix'!S5&lt;&gt;""),'Skill Matrix'!S5,"")</f>
        <v/>
      </c>
      <c r="G608">
        <f>IF(OR(A608="",'Skill Matrix'!S43=""),"",'Skill Matrix'!S43)</f>
        <v/>
      </c>
      <c r="H608">
        <f>IF(A608="","",'Employees'!F8)</f>
        <v/>
      </c>
    </row>
    <row r="609">
      <c r="A609">
        <f>IF(AND('Skill Matrix'!A43&lt;&gt;"",'Skill Matrix'!T5&lt;&gt;""),'Skill Matrix'!A43,"")</f>
        <v/>
      </c>
      <c r="B609">
        <f>IF(A609="","",'Employees'!C8)</f>
        <v/>
      </c>
      <c r="C609">
        <f>IF(A609="","",'Employees'!D8)</f>
        <v/>
      </c>
      <c r="D609">
        <f>IF(A609="","",'Skill Matrix'!C43)</f>
        <v/>
      </c>
      <c r="E609">
        <f>IF(A609="","",'Skill Matrix'!D43)</f>
        <v/>
      </c>
      <c r="F609">
        <f>IF(AND('Skill Matrix'!A43&lt;&gt;"",'Skill Matrix'!T5&lt;&gt;""),'Skill Matrix'!T5,"")</f>
        <v/>
      </c>
      <c r="G609">
        <f>IF(OR(A609="",'Skill Matrix'!T43=""),"",'Skill Matrix'!T43)</f>
        <v/>
      </c>
      <c r="H609">
        <f>IF(A609="","",'Employees'!F8)</f>
        <v/>
      </c>
    </row>
    <row r="610">
      <c r="A610">
        <f>IF(AND('Skill Matrix'!A44&lt;&gt;"",'Skill Matrix'!E5&lt;&gt;""),'Skill Matrix'!A44,"")</f>
        <v/>
      </c>
      <c r="B610">
        <f>IF(A610="","",'Employees'!C8)</f>
        <v/>
      </c>
      <c r="C610">
        <f>IF(A610="","",'Employees'!D8)</f>
        <v/>
      </c>
      <c r="D610">
        <f>IF(A610="","",'Skill Matrix'!C44)</f>
        <v/>
      </c>
      <c r="E610">
        <f>IF(A610="","",'Skill Matrix'!D44)</f>
        <v/>
      </c>
      <c r="F610">
        <f>IF(AND('Skill Matrix'!A44&lt;&gt;"",'Skill Matrix'!E5&lt;&gt;""),'Skill Matrix'!E5,"")</f>
        <v/>
      </c>
      <c r="G610">
        <f>IF(OR(A610="",'Skill Matrix'!E44=""),"",'Skill Matrix'!E44)</f>
        <v/>
      </c>
      <c r="H610">
        <f>IF(A610="","",'Employees'!F8)</f>
        <v/>
      </c>
    </row>
    <row r="611">
      <c r="A611">
        <f>IF(AND('Skill Matrix'!A44&lt;&gt;"",'Skill Matrix'!F5&lt;&gt;""),'Skill Matrix'!A44,"")</f>
        <v/>
      </c>
      <c r="B611">
        <f>IF(A611="","",'Employees'!C8)</f>
        <v/>
      </c>
      <c r="C611">
        <f>IF(A611="","",'Employees'!D8)</f>
        <v/>
      </c>
      <c r="D611">
        <f>IF(A611="","",'Skill Matrix'!C44)</f>
        <v/>
      </c>
      <c r="E611">
        <f>IF(A611="","",'Skill Matrix'!D44)</f>
        <v/>
      </c>
      <c r="F611">
        <f>IF(AND('Skill Matrix'!A44&lt;&gt;"",'Skill Matrix'!F5&lt;&gt;""),'Skill Matrix'!F5,"")</f>
        <v/>
      </c>
      <c r="G611">
        <f>IF(OR(A611="",'Skill Matrix'!F44=""),"",'Skill Matrix'!F44)</f>
        <v/>
      </c>
      <c r="H611">
        <f>IF(A611="","",'Employees'!F8)</f>
        <v/>
      </c>
    </row>
    <row r="612">
      <c r="A612">
        <f>IF(AND('Skill Matrix'!A44&lt;&gt;"",'Skill Matrix'!G5&lt;&gt;""),'Skill Matrix'!A44,"")</f>
        <v/>
      </c>
      <c r="B612">
        <f>IF(A612="","",'Employees'!C8)</f>
        <v/>
      </c>
      <c r="C612">
        <f>IF(A612="","",'Employees'!D8)</f>
        <v/>
      </c>
      <c r="D612">
        <f>IF(A612="","",'Skill Matrix'!C44)</f>
        <v/>
      </c>
      <c r="E612">
        <f>IF(A612="","",'Skill Matrix'!D44)</f>
        <v/>
      </c>
      <c r="F612">
        <f>IF(AND('Skill Matrix'!A44&lt;&gt;"",'Skill Matrix'!G5&lt;&gt;""),'Skill Matrix'!G5,"")</f>
        <v/>
      </c>
      <c r="G612">
        <f>IF(OR(A612="",'Skill Matrix'!G44=""),"",'Skill Matrix'!G44)</f>
        <v/>
      </c>
      <c r="H612">
        <f>IF(A612="","",'Employees'!F8)</f>
        <v/>
      </c>
    </row>
    <row r="613">
      <c r="A613">
        <f>IF(AND('Skill Matrix'!A44&lt;&gt;"",'Skill Matrix'!H5&lt;&gt;""),'Skill Matrix'!A44,"")</f>
        <v/>
      </c>
      <c r="B613">
        <f>IF(A613="","",'Employees'!C8)</f>
        <v/>
      </c>
      <c r="C613">
        <f>IF(A613="","",'Employees'!D8)</f>
        <v/>
      </c>
      <c r="D613">
        <f>IF(A613="","",'Skill Matrix'!C44)</f>
        <v/>
      </c>
      <c r="E613">
        <f>IF(A613="","",'Skill Matrix'!D44)</f>
        <v/>
      </c>
      <c r="F613">
        <f>IF(AND('Skill Matrix'!A44&lt;&gt;"",'Skill Matrix'!H5&lt;&gt;""),'Skill Matrix'!H5,"")</f>
        <v/>
      </c>
      <c r="G613">
        <f>IF(OR(A613="",'Skill Matrix'!H44=""),"",'Skill Matrix'!H44)</f>
        <v/>
      </c>
      <c r="H613">
        <f>IF(A613="","",'Employees'!F8)</f>
        <v/>
      </c>
    </row>
    <row r="614">
      <c r="A614">
        <f>IF(AND('Skill Matrix'!A44&lt;&gt;"",'Skill Matrix'!I5&lt;&gt;""),'Skill Matrix'!A44,"")</f>
        <v/>
      </c>
      <c r="B614">
        <f>IF(A614="","",'Employees'!C8)</f>
        <v/>
      </c>
      <c r="C614">
        <f>IF(A614="","",'Employees'!D8)</f>
        <v/>
      </c>
      <c r="D614">
        <f>IF(A614="","",'Skill Matrix'!C44)</f>
        <v/>
      </c>
      <c r="E614">
        <f>IF(A614="","",'Skill Matrix'!D44)</f>
        <v/>
      </c>
      <c r="F614">
        <f>IF(AND('Skill Matrix'!A44&lt;&gt;"",'Skill Matrix'!I5&lt;&gt;""),'Skill Matrix'!I5,"")</f>
        <v/>
      </c>
      <c r="G614">
        <f>IF(OR(A614="",'Skill Matrix'!I44=""),"",'Skill Matrix'!I44)</f>
        <v/>
      </c>
      <c r="H614">
        <f>IF(A614="","",'Employees'!F8)</f>
        <v/>
      </c>
    </row>
    <row r="615">
      <c r="A615">
        <f>IF(AND('Skill Matrix'!A44&lt;&gt;"",'Skill Matrix'!J5&lt;&gt;""),'Skill Matrix'!A44,"")</f>
        <v/>
      </c>
      <c r="B615">
        <f>IF(A615="","",'Employees'!C8)</f>
        <v/>
      </c>
      <c r="C615">
        <f>IF(A615="","",'Employees'!D8)</f>
        <v/>
      </c>
      <c r="D615">
        <f>IF(A615="","",'Skill Matrix'!C44)</f>
        <v/>
      </c>
      <c r="E615">
        <f>IF(A615="","",'Skill Matrix'!D44)</f>
        <v/>
      </c>
      <c r="F615">
        <f>IF(AND('Skill Matrix'!A44&lt;&gt;"",'Skill Matrix'!J5&lt;&gt;""),'Skill Matrix'!J5,"")</f>
        <v/>
      </c>
      <c r="G615">
        <f>IF(OR(A615="",'Skill Matrix'!J44=""),"",'Skill Matrix'!J44)</f>
        <v/>
      </c>
      <c r="H615">
        <f>IF(A615="","",'Employees'!F8)</f>
        <v/>
      </c>
    </row>
    <row r="616">
      <c r="A616">
        <f>IF(AND('Skill Matrix'!A44&lt;&gt;"",'Skill Matrix'!K5&lt;&gt;""),'Skill Matrix'!A44,"")</f>
        <v/>
      </c>
      <c r="B616">
        <f>IF(A616="","",'Employees'!C8)</f>
        <v/>
      </c>
      <c r="C616">
        <f>IF(A616="","",'Employees'!D8)</f>
        <v/>
      </c>
      <c r="D616">
        <f>IF(A616="","",'Skill Matrix'!C44)</f>
        <v/>
      </c>
      <c r="E616">
        <f>IF(A616="","",'Skill Matrix'!D44)</f>
        <v/>
      </c>
      <c r="F616">
        <f>IF(AND('Skill Matrix'!A44&lt;&gt;"",'Skill Matrix'!K5&lt;&gt;""),'Skill Matrix'!K5,"")</f>
        <v/>
      </c>
      <c r="G616">
        <f>IF(OR(A616="",'Skill Matrix'!K44=""),"",'Skill Matrix'!K44)</f>
        <v/>
      </c>
      <c r="H616">
        <f>IF(A616="","",'Employees'!F8)</f>
        <v/>
      </c>
    </row>
    <row r="617">
      <c r="A617">
        <f>IF(AND('Skill Matrix'!A44&lt;&gt;"",'Skill Matrix'!L5&lt;&gt;""),'Skill Matrix'!A44,"")</f>
        <v/>
      </c>
      <c r="B617">
        <f>IF(A617="","",'Employees'!C8)</f>
        <v/>
      </c>
      <c r="C617">
        <f>IF(A617="","",'Employees'!D8)</f>
        <v/>
      </c>
      <c r="D617">
        <f>IF(A617="","",'Skill Matrix'!C44)</f>
        <v/>
      </c>
      <c r="E617">
        <f>IF(A617="","",'Skill Matrix'!D44)</f>
        <v/>
      </c>
      <c r="F617">
        <f>IF(AND('Skill Matrix'!A44&lt;&gt;"",'Skill Matrix'!L5&lt;&gt;""),'Skill Matrix'!L5,"")</f>
        <v/>
      </c>
      <c r="G617">
        <f>IF(OR(A617="",'Skill Matrix'!L44=""),"",'Skill Matrix'!L44)</f>
        <v/>
      </c>
      <c r="H617">
        <f>IF(A617="","",'Employees'!F8)</f>
        <v/>
      </c>
    </row>
    <row r="618">
      <c r="A618">
        <f>IF(AND('Skill Matrix'!A44&lt;&gt;"",'Skill Matrix'!M5&lt;&gt;""),'Skill Matrix'!A44,"")</f>
        <v/>
      </c>
      <c r="B618">
        <f>IF(A618="","",'Employees'!C8)</f>
        <v/>
      </c>
      <c r="C618">
        <f>IF(A618="","",'Employees'!D8)</f>
        <v/>
      </c>
      <c r="D618">
        <f>IF(A618="","",'Skill Matrix'!C44)</f>
        <v/>
      </c>
      <c r="E618">
        <f>IF(A618="","",'Skill Matrix'!D44)</f>
        <v/>
      </c>
      <c r="F618">
        <f>IF(AND('Skill Matrix'!A44&lt;&gt;"",'Skill Matrix'!M5&lt;&gt;""),'Skill Matrix'!M5,"")</f>
        <v/>
      </c>
      <c r="G618">
        <f>IF(OR(A618="",'Skill Matrix'!M44=""),"",'Skill Matrix'!M44)</f>
        <v/>
      </c>
      <c r="H618">
        <f>IF(A618="","",'Employees'!F8)</f>
        <v/>
      </c>
    </row>
    <row r="619">
      <c r="A619">
        <f>IF(AND('Skill Matrix'!A44&lt;&gt;"",'Skill Matrix'!N5&lt;&gt;""),'Skill Matrix'!A44,"")</f>
        <v/>
      </c>
      <c r="B619">
        <f>IF(A619="","",'Employees'!C8)</f>
        <v/>
      </c>
      <c r="C619">
        <f>IF(A619="","",'Employees'!D8)</f>
        <v/>
      </c>
      <c r="D619">
        <f>IF(A619="","",'Skill Matrix'!C44)</f>
        <v/>
      </c>
      <c r="E619">
        <f>IF(A619="","",'Skill Matrix'!D44)</f>
        <v/>
      </c>
      <c r="F619">
        <f>IF(AND('Skill Matrix'!A44&lt;&gt;"",'Skill Matrix'!N5&lt;&gt;""),'Skill Matrix'!N5,"")</f>
        <v/>
      </c>
      <c r="G619">
        <f>IF(OR(A619="",'Skill Matrix'!N44=""),"",'Skill Matrix'!N44)</f>
        <v/>
      </c>
      <c r="H619">
        <f>IF(A619="","",'Employees'!F8)</f>
        <v/>
      </c>
    </row>
    <row r="620">
      <c r="A620">
        <f>IF(AND('Skill Matrix'!A44&lt;&gt;"",'Skill Matrix'!O5&lt;&gt;""),'Skill Matrix'!A44,"")</f>
        <v/>
      </c>
      <c r="B620">
        <f>IF(A620="","",'Employees'!C8)</f>
        <v/>
      </c>
      <c r="C620">
        <f>IF(A620="","",'Employees'!D8)</f>
        <v/>
      </c>
      <c r="D620">
        <f>IF(A620="","",'Skill Matrix'!C44)</f>
        <v/>
      </c>
      <c r="E620">
        <f>IF(A620="","",'Skill Matrix'!D44)</f>
        <v/>
      </c>
      <c r="F620">
        <f>IF(AND('Skill Matrix'!A44&lt;&gt;"",'Skill Matrix'!O5&lt;&gt;""),'Skill Matrix'!O5,"")</f>
        <v/>
      </c>
      <c r="G620">
        <f>IF(OR(A620="",'Skill Matrix'!O44=""),"",'Skill Matrix'!O44)</f>
        <v/>
      </c>
      <c r="H620">
        <f>IF(A620="","",'Employees'!F8)</f>
        <v/>
      </c>
    </row>
    <row r="621">
      <c r="A621">
        <f>IF(AND('Skill Matrix'!A44&lt;&gt;"",'Skill Matrix'!P5&lt;&gt;""),'Skill Matrix'!A44,"")</f>
        <v/>
      </c>
      <c r="B621">
        <f>IF(A621="","",'Employees'!C8)</f>
        <v/>
      </c>
      <c r="C621">
        <f>IF(A621="","",'Employees'!D8)</f>
        <v/>
      </c>
      <c r="D621">
        <f>IF(A621="","",'Skill Matrix'!C44)</f>
        <v/>
      </c>
      <c r="E621">
        <f>IF(A621="","",'Skill Matrix'!D44)</f>
        <v/>
      </c>
      <c r="F621">
        <f>IF(AND('Skill Matrix'!A44&lt;&gt;"",'Skill Matrix'!P5&lt;&gt;""),'Skill Matrix'!P5,"")</f>
        <v/>
      </c>
      <c r="G621">
        <f>IF(OR(A621="",'Skill Matrix'!P44=""),"",'Skill Matrix'!P44)</f>
        <v/>
      </c>
      <c r="H621">
        <f>IF(A621="","",'Employees'!F8)</f>
        <v/>
      </c>
    </row>
    <row r="622">
      <c r="A622">
        <f>IF(AND('Skill Matrix'!A44&lt;&gt;"",'Skill Matrix'!Q5&lt;&gt;""),'Skill Matrix'!A44,"")</f>
        <v/>
      </c>
      <c r="B622">
        <f>IF(A622="","",'Employees'!C8)</f>
        <v/>
      </c>
      <c r="C622">
        <f>IF(A622="","",'Employees'!D8)</f>
        <v/>
      </c>
      <c r="D622">
        <f>IF(A622="","",'Skill Matrix'!C44)</f>
        <v/>
      </c>
      <c r="E622">
        <f>IF(A622="","",'Skill Matrix'!D44)</f>
        <v/>
      </c>
      <c r="F622">
        <f>IF(AND('Skill Matrix'!A44&lt;&gt;"",'Skill Matrix'!Q5&lt;&gt;""),'Skill Matrix'!Q5,"")</f>
        <v/>
      </c>
      <c r="G622">
        <f>IF(OR(A622="",'Skill Matrix'!Q44=""),"",'Skill Matrix'!Q44)</f>
        <v/>
      </c>
      <c r="H622">
        <f>IF(A622="","",'Employees'!F8)</f>
        <v/>
      </c>
    </row>
    <row r="623">
      <c r="A623">
        <f>IF(AND('Skill Matrix'!A44&lt;&gt;"",'Skill Matrix'!R5&lt;&gt;""),'Skill Matrix'!A44,"")</f>
        <v/>
      </c>
      <c r="B623">
        <f>IF(A623="","",'Employees'!C8)</f>
        <v/>
      </c>
      <c r="C623">
        <f>IF(A623="","",'Employees'!D8)</f>
        <v/>
      </c>
      <c r="D623">
        <f>IF(A623="","",'Skill Matrix'!C44)</f>
        <v/>
      </c>
      <c r="E623">
        <f>IF(A623="","",'Skill Matrix'!D44)</f>
        <v/>
      </c>
      <c r="F623">
        <f>IF(AND('Skill Matrix'!A44&lt;&gt;"",'Skill Matrix'!R5&lt;&gt;""),'Skill Matrix'!R5,"")</f>
        <v/>
      </c>
      <c r="G623">
        <f>IF(OR(A623="",'Skill Matrix'!R44=""),"",'Skill Matrix'!R44)</f>
        <v/>
      </c>
      <c r="H623">
        <f>IF(A623="","",'Employees'!F8)</f>
        <v/>
      </c>
    </row>
    <row r="624">
      <c r="A624">
        <f>IF(AND('Skill Matrix'!A44&lt;&gt;"",'Skill Matrix'!S5&lt;&gt;""),'Skill Matrix'!A44,"")</f>
        <v/>
      </c>
      <c r="B624">
        <f>IF(A624="","",'Employees'!C8)</f>
        <v/>
      </c>
      <c r="C624">
        <f>IF(A624="","",'Employees'!D8)</f>
        <v/>
      </c>
      <c r="D624">
        <f>IF(A624="","",'Skill Matrix'!C44)</f>
        <v/>
      </c>
      <c r="E624">
        <f>IF(A624="","",'Skill Matrix'!D44)</f>
        <v/>
      </c>
      <c r="F624">
        <f>IF(AND('Skill Matrix'!A44&lt;&gt;"",'Skill Matrix'!S5&lt;&gt;""),'Skill Matrix'!S5,"")</f>
        <v/>
      </c>
      <c r="G624">
        <f>IF(OR(A624="",'Skill Matrix'!S44=""),"",'Skill Matrix'!S44)</f>
        <v/>
      </c>
      <c r="H624">
        <f>IF(A624="","",'Employees'!F8)</f>
        <v/>
      </c>
    </row>
    <row r="625">
      <c r="A625">
        <f>IF(AND('Skill Matrix'!A44&lt;&gt;"",'Skill Matrix'!T5&lt;&gt;""),'Skill Matrix'!A44,"")</f>
        <v/>
      </c>
      <c r="B625">
        <f>IF(A625="","",'Employees'!C8)</f>
        <v/>
      </c>
      <c r="C625">
        <f>IF(A625="","",'Employees'!D8)</f>
        <v/>
      </c>
      <c r="D625">
        <f>IF(A625="","",'Skill Matrix'!C44)</f>
        <v/>
      </c>
      <c r="E625">
        <f>IF(A625="","",'Skill Matrix'!D44)</f>
        <v/>
      </c>
      <c r="F625">
        <f>IF(AND('Skill Matrix'!A44&lt;&gt;"",'Skill Matrix'!T5&lt;&gt;""),'Skill Matrix'!T5,"")</f>
        <v/>
      </c>
      <c r="G625">
        <f>IF(OR(A625="",'Skill Matrix'!T44=""),"",'Skill Matrix'!T44)</f>
        <v/>
      </c>
      <c r="H625">
        <f>IF(A625="","",'Employees'!F8)</f>
        <v/>
      </c>
    </row>
    <row r="626">
      <c r="A626">
        <f>IF(AND('Skill Matrix'!A45&lt;&gt;"",'Skill Matrix'!E5&lt;&gt;""),'Skill Matrix'!A45,"")</f>
        <v/>
      </c>
      <c r="B626">
        <f>IF(A626="","",'Employees'!C8)</f>
        <v/>
      </c>
      <c r="C626">
        <f>IF(A626="","",'Employees'!D8)</f>
        <v/>
      </c>
      <c r="D626">
        <f>IF(A626="","",'Skill Matrix'!C45)</f>
        <v/>
      </c>
      <c r="E626">
        <f>IF(A626="","",'Skill Matrix'!D45)</f>
        <v/>
      </c>
      <c r="F626">
        <f>IF(AND('Skill Matrix'!A45&lt;&gt;"",'Skill Matrix'!E5&lt;&gt;""),'Skill Matrix'!E5,"")</f>
        <v/>
      </c>
      <c r="G626">
        <f>IF(OR(A626="",'Skill Matrix'!E45=""),"",'Skill Matrix'!E45)</f>
        <v/>
      </c>
      <c r="H626">
        <f>IF(A626="","",'Employees'!F8)</f>
        <v/>
      </c>
    </row>
    <row r="627">
      <c r="A627">
        <f>IF(AND('Skill Matrix'!A45&lt;&gt;"",'Skill Matrix'!F5&lt;&gt;""),'Skill Matrix'!A45,"")</f>
        <v/>
      </c>
      <c r="B627">
        <f>IF(A627="","",'Employees'!C8)</f>
        <v/>
      </c>
      <c r="C627">
        <f>IF(A627="","",'Employees'!D8)</f>
        <v/>
      </c>
      <c r="D627">
        <f>IF(A627="","",'Skill Matrix'!C45)</f>
        <v/>
      </c>
      <c r="E627">
        <f>IF(A627="","",'Skill Matrix'!D45)</f>
        <v/>
      </c>
      <c r="F627">
        <f>IF(AND('Skill Matrix'!A45&lt;&gt;"",'Skill Matrix'!F5&lt;&gt;""),'Skill Matrix'!F5,"")</f>
        <v/>
      </c>
      <c r="G627">
        <f>IF(OR(A627="",'Skill Matrix'!F45=""),"",'Skill Matrix'!F45)</f>
        <v/>
      </c>
      <c r="H627">
        <f>IF(A627="","",'Employees'!F8)</f>
        <v/>
      </c>
    </row>
    <row r="628">
      <c r="A628">
        <f>IF(AND('Skill Matrix'!A45&lt;&gt;"",'Skill Matrix'!G5&lt;&gt;""),'Skill Matrix'!A45,"")</f>
        <v/>
      </c>
      <c r="B628">
        <f>IF(A628="","",'Employees'!C8)</f>
        <v/>
      </c>
      <c r="C628">
        <f>IF(A628="","",'Employees'!D8)</f>
        <v/>
      </c>
      <c r="D628">
        <f>IF(A628="","",'Skill Matrix'!C45)</f>
        <v/>
      </c>
      <c r="E628">
        <f>IF(A628="","",'Skill Matrix'!D45)</f>
        <v/>
      </c>
      <c r="F628">
        <f>IF(AND('Skill Matrix'!A45&lt;&gt;"",'Skill Matrix'!G5&lt;&gt;""),'Skill Matrix'!G5,"")</f>
        <v/>
      </c>
      <c r="G628">
        <f>IF(OR(A628="",'Skill Matrix'!G45=""),"",'Skill Matrix'!G45)</f>
        <v/>
      </c>
      <c r="H628">
        <f>IF(A628="","",'Employees'!F8)</f>
        <v/>
      </c>
    </row>
    <row r="629">
      <c r="A629">
        <f>IF(AND('Skill Matrix'!A45&lt;&gt;"",'Skill Matrix'!H5&lt;&gt;""),'Skill Matrix'!A45,"")</f>
        <v/>
      </c>
      <c r="B629">
        <f>IF(A629="","",'Employees'!C8)</f>
        <v/>
      </c>
      <c r="C629">
        <f>IF(A629="","",'Employees'!D8)</f>
        <v/>
      </c>
      <c r="D629">
        <f>IF(A629="","",'Skill Matrix'!C45)</f>
        <v/>
      </c>
      <c r="E629">
        <f>IF(A629="","",'Skill Matrix'!D45)</f>
        <v/>
      </c>
      <c r="F629">
        <f>IF(AND('Skill Matrix'!A45&lt;&gt;"",'Skill Matrix'!H5&lt;&gt;""),'Skill Matrix'!H5,"")</f>
        <v/>
      </c>
      <c r="G629">
        <f>IF(OR(A629="",'Skill Matrix'!H45=""),"",'Skill Matrix'!H45)</f>
        <v/>
      </c>
      <c r="H629">
        <f>IF(A629="","",'Employees'!F8)</f>
        <v/>
      </c>
    </row>
    <row r="630">
      <c r="A630">
        <f>IF(AND('Skill Matrix'!A45&lt;&gt;"",'Skill Matrix'!I5&lt;&gt;""),'Skill Matrix'!A45,"")</f>
        <v/>
      </c>
      <c r="B630">
        <f>IF(A630="","",'Employees'!C8)</f>
        <v/>
      </c>
      <c r="C630">
        <f>IF(A630="","",'Employees'!D8)</f>
        <v/>
      </c>
      <c r="D630">
        <f>IF(A630="","",'Skill Matrix'!C45)</f>
        <v/>
      </c>
      <c r="E630">
        <f>IF(A630="","",'Skill Matrix'!D45)</f>
        <v/>
      </c>
      <c r="F630">
        <f>IF(AND('Skill Matrix'!A45&lt;&gt;"",'Skill Matrix'!I5&lt;&gt;""),'Skill Matrix'!I5,"")</f>
        <v/>
      </c>
      <c r="G630">
        <f>IF(OR(A630="",'Skill Matrix'!I45=""),"",'Skill Matrix'!I45)</f>
        <v/>
      </c>
      <c r="H630">
        <f>IF(A630="","",'Employees'!F8)</f>
        <v/>
      </c>
    </row>
    <row r="631">
      <c r="A631">
        <f>IF(AND('Skill Matrix'!A45&lt;&gt;"",'Skill Matrix'!J5&lt;&gt;""),'Skill Matrix'!A45,"")</f>
        <v/>
      </c>
      <c r="B631">
        <f>IF(A631="","",'Employees'!C8)</f>
        <v/>
      </c>
      <c r="C631">
        <f>IF(A631="","",'Employees'!D8)</f>
        <v/>
      </c>
      <c r="D631">
        <f>IF(A631="","",'Skill Matrix'!C45)</f>
        <v/>
      </c>
      <c r="E631">
        <f>IF(A631="","",'Skill Matrix'!D45)</f>
        <v/>
      </c>
      <c r="F631">
        <f>IF(AND('Skill Matrix'!A45&lt;&gt;"",'Skill Matrix'!J5&lt;&gt;""),'Skill Matrix'!J5,"")</f>
        <v/>
      </c>
      <c r="G631">
        <f>IF(OR(A631="",'Skill Matrix'!J45=""),"",'Skill Matrix'!J45)</f>
        <v/>
      </c>
      <c r="H631">
        <f>IF(A631="","",'Employees'!F8)</f>
        <v/>
      </c>
    </row>
    <row r="632">
      <c r="A632">
        <f>IF(AND('Skill Matrix'!A45&lt;&gt;"",'Skill Matrix'!K5&lt;&gt;""),'Skill Matrix'!A45,"")</f>
        <v/>
      </c>
      <c r="B632">
        <f>IF(A632="","",'Employees'!C8)</f>
        <v/>
      </c>
      <c r="C632">
        <f>IF(A632="","",'Employees'!D8)</f>
        <v/>
      </c>
      <c r="D632">
        <f>IF(A632="","",'Skill Matrix'!C45)</f>
        <v/>
      </c>
      <c r="E632">
        <f>IF(A632="","",'Skill Matrix'!D45)</f>
        <v/>
      </c>
      <c r="F632">
        <f>IF(AND('Skill Matrix'!A45&lt;&gt;"",'Skill Matrix'!K5&lt;&gt;""),'Skill Matrix'!K5,"")</f>
        <v/>
      </c>
      <c r="G632">
        <f>IF(OR(A632="",'Skill Matrix'!K45=""),"",'Skill Matrix'!K45)</f>
        <v/>
      </c>
      <c r="H632">
        <f>IF(A632="","",'Employees'!F8)</f>
        <v/>
      </c>
    </row>
    <row r="633">
      <c r="A633">
        <f>IF(AND('Skill Matrix'!A45&lt;&gt;"",'Skill Matrix'!L5&lt;&gt;""),'Skill Matrix'!A45,"")</f>
        <v/>
      </c>
      <c r="B633">
        <f>IF(A633="","",'Employees'!C8)</f>
        <v/>
      </c>
      <c r="C633">
        <f>IF(A633="","",'Employees'!D8)</f>
        <v/>
      </c>
      <c r="D633">
        <f>IF(A633="","",'Skill Matrix'!C45)</f>
        <v/>
      </c>
      <c r="E633">
        <f>IF(A633="","",'Skill Matrix'!D45)</f>
        <v/>
      </c>
      <c r="F633">
        <f>IF(AND('Skill Matrix'!A45&lt;&gt;"",'Skill Matrix'!L5&lt;&gt;""),'Skill Matrix'!L5,"")</f>
        <v/>
      </c>
      <c r="G633">
        <f>IF(OR(A633="",'Skill Matrix'!L45=""),"",'Skill Matrix'!L45)</f>
        <v/>
      </c>
      <c r="H633">
        <f>IF(A633="","",'Employees'!F8)</f>
        <v/>
      </c>
    </row>
    <row r="634">
      <c r="A634">
        <f>IF(AND('Skill Matrix'!A45&lt;&gt;"",'Skill Matrix'!M5&lt;&gt;""),'Skill Matrix'!A45,"")</f>
        <v/>
      </c>
      <c r="B634">
        <f>IF(A634="","",'Employees'!C8)</f>
        <v/>
      </c>
      <c r="C634">
        <f>IF(A634="","",'Employees'!D8)</f>
        <v/>
      </c>
      <c r="D634">
        <f>IF(A634="","",'Skill Matrix'!C45)</f>
        <v/>
      </c>
      <c r="E634">
        <f>IF(A634="","",'Skill Matrix'!D45)</f>
        <v/>
      </c>
      <c r="F634">
        <f>IF(AND('Skill Matrix'!A45&lt;&gt;"",'Skill Matrix'!M5&lt;&gt;""),'Skill Matrix'!M5,"")</f>
        <v/>
      </c>
      <c r="G634">
        <f>IF(OR(A634="",'Skill Matrix'!M45=""),"",'Skill Matrix'!M45)</f>
        <v/>
      </c>
      <c r="H634">
        <f>IF(A634="","",'Employees'!F8)</f>
        <v/>
      </c>
    </row>
    <row r="635">
      <c r="A635">
        <f>IF(AND('Skill Matrix'!A45&lt;&gt;"",'Skill Matrix'!N5&lt;&gt;""),'Skill Matrix'!A45,"")</f>
        <v/>
      </c>
      <c r="B635">
        <f>IF(A635="","",'Employees'!C8)</f>
        <v/>
      </c>
      <c r="C635">
        <f>IF(A635="","",'Employees'!D8)</f>
        <v/>
      </c>
      <c r="D635">
        <f>IF(A635="","",'Skill Matrix'!C45)</f>
        <v/>
      </c>
      <c r="E635">
        <f>IF(A635="","",'Skill Matrix'!D45)</f>
        <v/>
      </c>
      <c r="F635">
        <f>IF(AND('Skill Matrix'!A45&lt;&gt;"",'Skill Matrix'!N5&lt;&gt;""),'Skill Matrix'!N5,"")</f>
        <v/>
      </c>
      <c r="G635">
        <f>IF(OR(A635="",'Skill Matrix'!N45=""),"",'Skill Matrix'!N45)</f>
        <v/>
      </c>
      <c r="H635">
        <f>IF(A635="","",'Employees'!F8)</f>
        <v/>
      </c>
    </row>
    <row r="636">
      <c r="A636">
        <f>IF(AND('Skill Matrix'!A45&lt;&gt;"",'Skill Matrix'!O5&lt;&gt;""),'Skill Matrix'!A45,"")</f>
        <v/>
      </c>
      <c r="B636">
        <f>IF(A636="","",'Employees'!C8)</f>
        <v/>
      </c>
      <c r="C636">
        <f>IF(A636="","",'Employees'!D8)</f>
        <v/>
      </c>
      <c r="D636">
        <f>IF(A636="","",'Skill Matrix'!C45)</f>
        <v/>
      </c>
      <c r="E636">
        <f>IF(A636="","",'Skill Matrix'!D45)</f>
        <v/>
      </c>
      <c r="F636">
        <f>IF(AND('Skill Matrix'!A45&lt;&gt;"",'Skill Matrix'!O5&lt;&gt;""),'Skill Matrix'!O5,"")</f>
        <v/>
      </c>
      <c r="G636">
        <f>IF(OR(A636="",'Skill Matrix'!O45=""),"",'Skill Matrix'!O45)</f>
        <v/>
      </c>
      <c r="H636">
        <f>IF(A636="","",'Employees'!F8)</f>
        <v/>
      </c>
    </row>
    <row r="637">
      <c r="A637">
        <f>IF(AND('Skill Matrix'!A45&lt;&gt;"",'Skill Matrix'!P5&lt;&gt;""),'Skill Matrix'!A45,"")</f>
        <v/>
      </c>
      <c r="B637">
        <f>IF(A637="","",'Employees'!C8)</f>
        <v/>
      </c>
      <c r="C637">
        <f>IF(A637="","",'Employees'!D8)</f>
        <v/>
      </c>
      <c r="D637">
        <f>IF(A637="","",'Skill Matrix'!C45)</f>
        <v/>
      </c>
      <c r="E637">
        <f>IF(A637="","",'Skill Matrix'!D45)</f>
        <v/>
      </c>
      <c r="F637">
        <f>IF(AND('Skill Matrix'!A45&lt;&gt;"",'Skill Matrix'!P5&lt;&gt;""),'Skill Matrix'!P5,"")</f>
        <v/>
      </c>
      <c r="G637">
        <f>IF(OR(A637="",'Skill Matrix'!P45=""),"",'Skill Matrix'!P45)</f>
        <v/>
      </c>
      <c r="H637">
        <f>IF(A637="","",'Employees'!F8)</f>
        <v/>
      </c>
    </row>
    <row r="638">
      <c r="A638">
        <f>IF(AND('Skill Matrix'!A45&lt;&gt;"",'Skill Matrix'!Q5&lt;&gt;""),'Skill Matrix'!A45,"")</f>
        <v/>
      </c>
      <c r="B638">
        <f>IF(A638="","",'Employees'!C8)</f>
        <v/>
      </c>
      <c r="C638">
        <f>IF(A638="","",'Employees'!D8)</f>
        <v/>
      </c>
      <c r="D638">
        <f>IF(A638="","",'Skill Matrix'!C45)</f>
        <v/>
      </c>
      <c r="E638">
        <f>IF(A638="","",'Skill Matrix'!D45)</f>
        <v/>
      </c>
      <c r="F638">
        <f>IF(AND('Skill Matrix'!A45&lt;&gt;"",'Skill Matrix'!Q5&lt;&gt;""),'Skill Matrix'!Q5,"")</f>
        <v/>
      </c>
      <c r="G638">
        <f>IF(OR(A638="",'Skill Matrix'!Q45=""),"",'Skill Matrix'!Q45)</f>
        <v/>
      </c>
      <c r="H638">
        <f>IF(A638="","",'Employees'!F8)</f>
        <v/>
      </c>
    </row>
    <row r="639">
      <c r="A639">
        <f>IF(AND('Skill Matrix'!A45&lt;&gt;"",'Skill Matrix'!R5&lt;&gt;""),'Skill Matrix'!A45,"")</f>
        <v/>
      </c>
      <c r="B639">
        <f>IF(A639="","",'Employees'!C8)</f>
        <v/>
      </c>
      <c r="C639">
        <f>IF(A639="","",'Employees'!D8)</f>
        <v/>
      </c>
      <c r="D639">
        <f>IF(A639="","",'Skill Matrix'!C45)</f>
        <v/>
      </c>
      <c r="E639">
        <f>IF(A639="","",'Skill Matrix'!D45)</f>
        <v/>
      </c>
      <c r="F639">
        <f>IF(AND('Skill Matrix'!A45&lt;&gt;"",'Skill Matrix'!R5&lt;&gt;""),'Skill Matrix'!R5,"")</f>
        <v/>
      </c>
      <c r="G639">
        <f>IF(OR(A639="",'Skill Matrix'!R45=""),"",'Skill Matrix'!R45)</f>
        <v/>
      </c>
      <c r="H639">
        <f>IF(A639="","",'Employees'!F8)</f>
        <v/>
      </c>
    </row>
    <row r="640">
      <c r="A640">
        <f>IF(AND('Skill Matrix'!A45&lt;&gt;"",'Skill Matrix'!S5&lt;&gt;""),'Skill Matrix'!A45,"")</f>
        <v/>
      </c>
      <c r="B640">
        <f>IF(A640="","",'Employees'!C8)</f>
        <v/>
      </c>
      <c r="C640">
        <f>IF(A640="","",'Employees'!D8)</f>
        <v/>
      </c>
      <c r="D640">
        <f>IF(A640="","",'Skill Matrix'!C45)</f>
        <v/>
      </c>
      <c r="E640">
        <f>IF(A640="","",'Skill Matrix'!D45)</f>
        <v/>
      </c>
      <c r="F640">
        <f>IF(AND('Skill Matrix'!A45&lt;&gt;"",'Skill Matrix'!S5&lt;&gt;""),'Skill Matrix'!S5,"")</f>
        <v/>
      </c>
      <c r="G640">
        <f>IF(OR(A640="",'Skill Matrix'!S45=""),"",'Skill Matrix'!S45)</f>
        <v/>
      </c>
      <c r="H640">
        <f>IF(A640="","",'Employees'!F8)</f>
        <v/>
      </c>
    </row>
    <row r="641">
      <c r="A641">
        <f>IF(AND('Skill Matrix'!A45&lt;&gt;"",'Skill Matrix'!T5&lt;&gt;""),'Skill Matrix'!A45,"")</f>
        <v/>
      </c>
      <c r="B641">
        <f>IF(A641="","",'Employees'!C8)</f>
        <v/>
      </c>
      <c r="C641">
        <f>IF(A641="","",'Employees'!D8)</f>
        <v/>
      </c>
      <c r="D641">
        <f>IF(A641="","",'Skill Matrix'!C45)</f>
        <v/>
      </c>
      <c r="E641">
        <f>IF(A641="","",'Skill Matrix'!D45)</f>
        <v/>
      </c>
      <c r="F641">
        <f>IF(AND('Skill Matrix'!A45&lt;&gt;"",'Skill Matrix'!T5&lt;&gt;""),'Skill Matrix'!T5,"")</f>
        <v/>
      </c>
      <c r="G641">
        <f>IF(OR(A641="",'Skill Matrix'!T45=""),"",'Skill Matrix'!T45)</f>
        <v/>
      </c>
      <c r="H641">
        <f>IF(A641="","",'Employees'!F8)</f>
        <v/>
      </c>
    </row>
    <row r="642">
      <c r="A642">
        <f>IF(AND('Skill Matrix'!A46&lt;&gt;"",'Skill Matrix'!E5&lt;&gt;""),'Skill Matrix'!A46,"")</f>
        <v/>
      </c>
      <c r="B642">
        <f>IF(A642="","",'Employees'!C8)</f>
        <v/>
      </c>
      <c r="C642">
        <f>IF(A642="","",'Employees'!D8)</f>
        <v/>
      </c>
      <c r="D642">
        <f>IF(A642="","",'Skill Matrix'!C46)</f>
        <v/>
      </c>
      <c r="E642">
        <f>IF(A642="","",'Skill Matrix'!D46)</f>
        <v/>
      </c>
      <c r="F642">
        <f>IF(AND('Skill Matrix'!A46&lt;&gt;"",'Skill Matrix'!E5&lt;&gt;""),'Skill Matrix'!E5,"")</f>
        <v/>
      </c>
      <c r="G642">
        <f>IF(OR(A642="",'Skill Matrix'!E46=""),"",'Skill Matrix'!E46)</f>
        <v/>
      </c>
      <c r="H642">
        <f>IF(A642="","",'Employees'!F8)</f>
        <v/>
      </c>
    </row>
    <row r="643">
      <c r="A643">
        <f>IF(AND('Skill Matrix'!A46&lt;&gt;"",'Skill Matrix'!F5&lt;&gt;""),'Skill Matrix'!A46,"")</f>
        <v/>
      </c>
      <c r="B643">
        <f>IF(A643="","",'Employees'!C8)</f>
        <v/>
      </c>
      <c r="C643">
        <f>IF(A643="","",'Employees'!D8)</f>
        <v/>
      </c>
      <c r="D643">
        <f>IF(A643="","",'Skill Matrix'!C46)</f>
        <v/>
      </c>
      <c r="E643">
        <f>IF(A643="","",'Skill Matrix'!D46)</f>
        <v/>
      </c>
      <c r="F643">
        <f>IF(AND('Skill Matrix'!A46&lt;&gt;"",'Skill Matrix'!F5&lt;&gt;""),'Skill Matrix'!F5,"")</f>
        <v/>
      </c>
      <c r="G643">
        <f>IF(OR(A643="",'Skill Matrix'!F46=""),"",'Skill Matrix'!F46)</f>
        <v/>
      </c>
      <c r="H643">
        <f>IF(A643="","",'Employees'!F8)</f>
        <v/>
      </c>
    </row>
    <row r="644">
      <c r="A644">
        <f>IF(AND('Skill Matrix'!A46&lt;&gt;"",'Skill Matrix'!G5&lt;&gt;""),'Skill Matrix'!A46,"")</f>
        <v/>
      </c>
      <c r="B644">
        <f>IF(A644="","",'Employees'!C8)</f>
        <v/>
      </c>
      <c r="C644">
        <f>IF(A644="","",'Employees'!D8)</f>
        <v/>
      </c>
      <c r="D644">
        <f>IF(A644="","",'Skill Matrix'!C46)</f>
        <v/>
      </c>
      <c r="E644">
        <f>IF(A644="","",'Skill Matrix'!D46)</f>
        <v/>
      </c>
      <c r="F644">
        <f>IF(AND('Skill Matrix'!A46&lt;&gt;"",'Skill Matrix'!G5&lt;&gt;""),'Skill Matrix'!G5,"")</f>
        <v/>
      </c>
      <c r="G644">
        <f>IF(OR(A644="",'Skill Matrix'!G46=""),"",'Skill Matrix'!G46)</f>
        <v/>
      </c>
      <c r="H644">
        <f>IF(A644="","",'Employees'!F8)</f>
        <v/>
      </c>
    </row>
    <row r="645">
      <c r="A645">
        <f>IF(AND('Skill Matrix'!A46&lt;&gt;"",'Skill Matrix'!H5&lt;&gt;""),'Skill Matrix'!A46,"")</f>
        <v/>
      </c>
      <c r="B645">
        <f>IF(A645="","",'Employees'!C8)</f>
        <v/>
      </c>
      <c r="C645">
        <f>IF(A645="","",'Employees'!D8)</f>
        <v/>
      </c>
      <c r="D645">
        <f>IF(A645="","",'Skill Matrix'!C46)</f>
        <v/>
      </c>
      <c r="E645">
        <f>IF(A645="","",'Skill Matrix'!D46)</f>
        <v/>
      </c>
      <c r="F645">
        <f>IF(AND('Skill Matrix'!A46&lt;&gt;"",'Skill Matrix'!H5&lt;&gt;""),'Skill Matrix'!H5,"")</f>
        <v/>
      </c>
      <c r="G645">
        <f>IF(OR(A645="",'Skill Matrix'!H46=""),"",'Skill Matrix'!H46)</f>
        <v/>
      </c>
      <c r="H645">
        <f>IF(A645="","",'Employees'!F8)</f>
        <v/>
      </c>
    </row>
    <row r="646">
      <c r="A646">
        <f>IF(AND('Skill Matrix'!A46&lt;&gt;"",'Skill Matrix'!I5&lt;&gt;""),'Skill Matrix'!A46,"")</f>
        <v/>
      </c>
      <c r="B646">
        <f>IF(A646="","",'Employees'!C8)</f>
        <v/>
      </c>
      <c r="C646">
        <f>IF(A646="","",'Employees'!D8)</f>
        <v/>
      </c>
      <c r="D646">
        <f>IF(A646="","",'Skill Matrix'!C46)</f>
        <v/>
      </c>
      <c r="E646">
        <f>IF(A646="","",'Skill Matrix'!D46)</f>
        <v/>
      </c>
      <c r="F646">
        <f>IF(AND('Skill Matrix'!A46&lt;&gt;"",'Skill Matrix'!I5&lt;&gt;""),'Skill Matrix'!I5,"")</f>
        <v/>
      </c>
      <c r="G646">
        <f>IF(OR(A646="",'Skill Matrix'!I46=""),"",'Skill Matrix'!I46)</f>
        <v/>
      </c>
      <c r="H646">
        <f>IF(A646="","",'Employees'!F8)</f>
        <v/>
      </c>
    </row>
    <row r="647">
      <c r="A647">
        <f>IF(AND('Skill Matrix'!A46&lt;&gt;"",'Skill Matrix'!J5&lt;&gt;""),'Skill Matrix'!A46,"")</f>
        <v/>
      </c>
      <c r="B647">
        <f>IF(A647="","",'Employees'!C8)</f>
        <v/>
      </c>
      <c r="C647">
        <f>IF(A647="","",'Employees'!D8)</f>
        <v/>
      </c>
      <c r="D647">
        <f>IF(A647="","",'Skill Matrix'!C46)</f>
        <v/>
      </c>
      <c r="E647">
        <f>IF(A647="","",'Skill Matrix'!D46)</f>
        <v/>
      </c>
      <c r="F647">
        <f>IF(AND('Skill Matrix'!A46&lt;&gt;"",'Skill Matrix'!J5&lt;&gt;""),'Skill Matrix'!J5,"")</f>
        <v/>
      </c>
      <c r="G647">
        <f>IF(OR(A647="",'Skill Matrix'!J46=""),"",'Skill Matrix'!J46)</f>
        <v/>
      </c>
      <c r="H647">
        <f>IF(A647="","",'Employees'!F8)</f>
        <v/>
      </c>
    </row>
    <row r="648">
      <c r="A648">
        <f>IF(AND('Skill Matrix'!A46&lt;&gt;"",'Skill Matrix'!K5&lt;&gt;""),'Skill Matrix'!A46,"")</f>
        <v/>
      </c>
      <c r="B648">
        <f>IF(A648="","",'Employees'!C8)</f>
        <v/>
      </c>
      <c r="C648">
        <f>IF(A648="","",'Employees'!D8)</f>
        <v/>
      </c>
      <c r="D648">
        <f>IF(A648="","",'Skill Matrix'!C46)</f>
        <v/>
      </c>
      <c r="E648">
        <f>IF(A648="","",'Skill Matrix'!D46)</f>
        <v/>
      </c>
      <c r="F648">
        <f>IF(AND('Skill Matrix'!A46&lt;&gt;"",'Skill Matrix'!K5&lt;&gt;""),'Skill Matrix'!K5,"")</f>
        <v/>
      </c>
      <c r="G648">
        <f>IF(OR(A648="",'Skill Matrix'!K46=""),"",'Skill Matrix'!K46)</f>
        <v/>
      </c>
      <c r="H648">
        <f>IF(A648="","",'Employees'!F8)</f>
        <v/>
      </c>
    </row>
    <row r="649">
      <c r="A649">
        <f>IF(AND('Skill Matrix'!A46&lt;&gt;"",'Skill Matrix'!L5&lt;&gt;""),'Skill Matrix'!A46,"")</f>
        <v/>
      </c>
      <c r="B649">
        <f>IF(A649="","",'Employees'!C8)</f>
        <v/>
      </c>
      <c r="C649">
        <f>IF(A649="","",'Employees'!D8)</f>
        <v/>
      </c>
      <c r="D649">
        <f>IF(A649="","",'Skill Matrix'!C46)</f>
        <v/>
      </c>
      <c r="E649">
        <f>IF(A649="","",'Skill Matrix'!D46)</f>
        <v/>
      </c>
      <c r="F649">
        <f>IF(AND('Skill Matrix'!A46&lt;&gt;"",'Skill Matrix'!L5&lt;&gt;""),'Skill Matrix'!L5,"")</f>
        <v/>
      </c>
      <c r="G649">
        <f>IF(OR(A649="",'Skill Matrix'!L46=""),"",'Skill Matrix'!L46)</f>
        <v/>
      </c>
      <c r="H649">
        <f>IF(A649="","",'Employees'!F8)</f>
        <v/>
      </c>
    </row>
    <row r="650">
      <c r="A650">
        <f>IF(AND('Skill Matrix'!A46&lt;&gt;"",'Skill Matrix'!M5&lt;&gt;""),'Skill Matrix'!A46,"")</f>
        <v/>
      </c>
      <c r="B650">
        <f>IF(A650="","",'Employees'!C8)</f>
        <v/>
      </c>
      <c r="C650">
        <f>IF(A650="","",'Employees'!D8)</f>
        <v/>
      </c>
      <c r="D650">
        <f>IF(A650="","",'Skill Matrix'!C46)</f>
        <v/>
      </c>
      <c r="E650">
        <f>IF(A650="","",'Skill Matrix'!D46)</f>
        <v/>
      </c>
      <c r="F650">
        <f>IF(AND('Skill Matrix'!A46&lt;&gt;"",'Skill Matrix'!M5&lt;&gt;""),'Skill Matrix'!M5,"")</f>
        <v/>
      </c>
      <c r="G650">
        <f>IF(OR(A650="",'Skill Matrix'!M46=""),"",'Skill Matrix'!M46)</f>
        <v/>
      </c>
      <c r="H650">
        <f>IF(A650="","",'Employees'!F8)</f>
        <v/>
      </c>
    </row>
    <row r="651">
      <c r="A651">
        <f>IF(AND('Skill Matrix'!A46&lt;&gt;"",'Skill Matrix'!N5&lt;&gt;""),'Skill Matrix'!A46,"")</f>
        <v/>
      </c>
      <c r="B651">
        <f>IF(A651="","",'Employees'!C8)</f>
        <v/>
      </c>
      <c r="C651">
        <f>IF(A651="","",'Employees'!D8)</f>
        <v/>
      </c>
      <c r="D651">
        <f>IF(A651="","",'Skill Matrix'!C46)</f>
        <v/>
      </c>
      <c r="E651">
        <f>IF(A651="","",'Skill Matrix'!D46)</f>
        <v/>
      </c>
      <c r="F651">
        <f>IF(AND('Skill Matrix'!A46&lt;&gt;"",'Skill Matrix'!N5&lt;&gt;""),'Skill Matrix'!N5,"")</f>
        <v/>
      </c>
      <c r="G651">
        <f>IF(OR(A651="",'Skill Matrix'!N46=""),"",'Skill Matrix'!N46)</f>
        <v/>
      </c>
      <c r="H651">
        <f>IF(A651="","",'Employees'!F8)</f>
        <v/>
      </c>
    </row>
    <row r="652">
      <c r="A652">
        <f>IF(AND('Skill Matrix'!A46&lt;&gt;"",'Skill Matrix'!O5&lt;&gt;""),'Skill Matrix'!A46,"")</f>
        <v/>
      </c>
      <c r="B652">
        <f>IF(A652="","",'Employees'!C8)</f>
        <v/>
      </c>
      <c r="C652">
        <f>IF(A652="","",'Employees'!D8)</f>
        <v/>
      </c>
      <c r="D652">
        <f>IF(A652="","",'Skill Matrix'!C46)</f>
        <v/>
      </c>
      <c r="E652">
        <f>IF(A652="","",'Skill Matrix'!D46)</f>
        <v/>
      </c>
      <c r="F652">
        <f>IF(AND('Skill Matrix'!A46&lt;&gt;"",'Skill Matrix'!O5&lt;&gt;""),'Skill Matrix'!O5,"")</f>
        <v/>
      </c>
      <c r="G652">
        <f>IF(OR(A652="",'Skill Matrix'!O46=""),"",'Skill Matrix'!O46)</f>
        <v/>
      </c>
      <c r="H652">
        <f>IF(A652="","",'Employees'!F8)</f>
        <v/>
      </c>
    </row>
    <row r="653">
      <c r="A653">
        <f>IF(AND('Skill Matrix'!A46&lt;&gt;"",'Skill Matrix'!P5&lt;&gt;""),'Skill Matrix'!A46,"")</f>
        <v/>
      </c>
      <c r="B653">
        <f>IF(A653="","",'Employees'!C8)</f>
        <v/>
      </c>
      <c r="C653">
        <f>IF(A653="","",'Employees'!D8)</f>
        <v/>
      </c>
      <c r="D653">
        <f>IF(A653="","",'Skill Matrix'!C46)</f>
        <v/>
      </c>
      <c r="E653">
        <f>IF(A653="","",'Skill Matrix'!D46)</f>
        <v/>
      </c>
      <c r="F653">
        <f>IF(AND('Skill Matrix'!A46&lt;&gt;"",'Skill Matrix'!P5&lt;&gt;""),'Skill Matrix'!P5,"")</f>
        <v/>
      </c>
      <c r="G653">
        <f>IF(OR(A653="",'Skill Matrix'!P46=""),"",'Skill Matrix'!P46)</f>
        <v/>
      </c>
      <c r="H653">
        <f>IF(A653="","",'Employees'!F8)</f>
        <v/>
      </c>
    </row>
    <row r="654">
      <c r="A654">
        <f>IF(AND('Skill Matrix'!A46&lt;&gt;"",'Skill Matrix'!Q5&lt;&gt;""),'Skill Matrix'!A46,"")</f>
        <v/>
      </c>
      <c r="B654">
        <f>IF(A654="","",'Employees'!C8)</f>
        <v/>
      </c>
      <c r="C654">
        <f>IF(A654="","",'Employees'!D8)</f>
        <v/>
      </c>
      <c r="D654">
        <f>IF(A654="","",'Skill Matrix'!C46)</f>
        <v/>
      </c>
      <c r="E654">
        <f>IF(A654="","",'Skill Matrix'!D46)</f>
        <v/>
      </c>
      <c r="F654">
        <f>IF(AND('Skill Matrix'!A46&lt;&gt;"",'Skill Matrix'!Q5&lt;&gt;""),'Skill Matrix'!Q5,"")</f>
        <v/>
      </c>
      <c r="G654">
        <f>IF(OR(A654="",'Skill Matrix'!Q46=""),"",'Skill Matrix'!Q46)</f>
        <v/>
      </c>
      <c r="H654">
        <f>IF(A654="","",'Employees'!F8)</f>
        <v/>
      </c>
    </row>
    <row r="655">
      <c r="A655">
        <f>IF(AND('Skill Matrix'!A46&lt;&gt;"",'Skill Matrix'!R5&lt;&gt;""),'Skill Matrix'!A46,"")</f>
        <v/>
      </c>
      <c r="B655">
        <f>IF(A655="","",'Employees'!C8)</f>
        <v/>
      </c>
      <c r="C655">
        <f>IF(A655="","",'Employees'!D8)</f>
        <v/>
      </c>
      <c r="D655">
        <f>IF(A655="","",'Skill Matrix'!C46)</f>
        <v/>
      </c>
      <c r="E655">
        <f>IF(A655="","",'Skill Matrix'!D46)</f>
        <v/>
      </c>
      <c r="F655">
        <f>IF(AND('Skill Matrix'!A46&lt;&gt;"",'Skill Matrix'!R5&lt;&gt;""),'Skill Matrix'!R5,"")</f>
        <v/>
      </c>
      <c r="G655">
        <f>IF(OR(A655="",'Skill Matrix'!R46=""),"",'Skill Matrix'!R46)</f>
        <v/>
      </c>
      <c r="H655">
        <f>IF(A655="","",'Employees'!F8)</f>
        <v/>
      </c>
    </row>
    <row r="656">
      <c r="A656">
        <f>IF(AND('Skill Matrix'!A46&lt;&gt;"",'Skill Matrix'!S5&lt;&gt;""),'Skill Matrix'!A46,"")</f>
        <v/>
      </c>
      <c r="B656">
        <f>IF(A656="","",'Employees'!C8)</f>
        <v/>
      </c>
      <c r="C656">
        <f>IF(A656="","",'Employees'!D8)</f>
        <v/>
      </c>
      <c r="D656">
        <f>IF(A656="","",'Skill Matrix'!C46)</f>
        <v/>
      </c>
      <c r="E656">
        <f>IF(A656="","",'Skill Matrix'!D46)</f>
        <v/>
      </c>
      <c r="F656">
        <f>IF(AND('Skill Matrix'!A46&lt;&gt;"",'Skill Matrix'!S5&lt;&gt;""),'Skill Matrix'!S5,"")</f>
        <v/>
      </c>
      <c r="G656">
        <f>IF(OR(A656="",'Skill Matrix'!S46=""),"",'Skill Matrix'!S46)</f>
        <v/>
      </c>
      <c r="H656">
        <f>IF(A656="","",'Employees'!F8)</f>
        <v/>
      </c>
    </row>
    <row r="657">
      <c r="A657">
        <f>IF(AND('Skill Matrix'!A46&lt;&gt;"",'Skill Matrix'!T5&lt;&gt;""),'Skill Matrix'!A46,"")</f>
        <v/>
      </c>
      <c r="B657">
        <f>IF(A657="","",'Employees'!C8)</f>
        <v/>
      </c>
      <c r="C657">
        <f>IF(A657="","",'Employees'!D8)</f>
        <v/>
      </c>
      <c r="D657">
        <f>IF(A657="","",'Skill Matrix'!C46)</f>
        <v/>
      </c>
      <c r="E657">
        <f>IF(A657="","",'Skill Matrix'!D46)</f>
        <v/>
      </c>
      <c r="F657">
        <f>IF(AND('Skill Matrix'!A46&lt;&gt;"",'Skill Matrix'!T5&lt;&gt;""),'Skill Matrix'!T5,"")</f>
        <v/>
      </c>
      <c r="G657">
        <f>IF(OR(A657="",'Skill Matrix'!T46=""),"",'Skill Matrix'!T46)</f>
        <v/>
      </c>
      <c r="H657">
        <f>IF(A657="","",'Employees'!F8)</f>
        <v/>
      </c>
    </row>
    <row r="658">
      <c r="A658">
        <f>IF(AND('Skill Matrix'!A47&lt;&gt;"",'Skill Matrix'!E5&lt;&gt;""),'Skill Matrix'!A47,"")</f>
        <v/>
      </c>
      <c r="B658">
        <f>IF(A658="","",'Employees'!C8)</f>
        <v/>
      </c>
      <c r="C658">
        <f>IF(A658="","",'Employees'!D8)</f>
        <v/>
      </c>
      <c r="D658">
        <f>IF(A658="","",'Skill Matrix'!C47)</f>
        <v/>
      </c>
      <c r="E658">
        <f>IF(A658="","",'Skill Matrix'!D47)</f>
        <v/>
      </c>
      <c r="F658">
        <f>IF(AND('Skill Matrix'!A47&lt;&gt;"",'Skill Matrix'!E5&lt;&gt;""),'Skill Matrix'!E5,"")</f>
        <v/>
      </c>
      <c r="G658">
        <f>IF(OR(A658="",'Skill Matrix'!E47=""),"",'Skill Matrix'!E47)</f>
        <v/>
      </c>
      <c r="H658">
        <f>IF(A658="","",'Employees'!F8)</f>
        <v/>
      </c>
    </row>
    <row r="659">
      <c r="A659">
        <f>IF(AND('Skill Matrix'!A47&lt;&gt;"",'Skill Matrix'!F5&lt;&gt;""),'Skill Matrix'!A47,"")</f>
        <v/>
      </c>
      <c r="B659">
        <f>IF(A659="","",'Employees'!C8)</f>
        <v/>
      </c>
      <c r="C659">
        <f>IF(A659="","",'Employees'!D8)</f>
        <v/>
      </c>
      <c r="D659">
        <f>IF(A659="","",'Skill Matrix'!C47)</f>
        <v/>
      </c>
      <c r="E659">
        <f>IF(A659="","",'Skill Matrix'!D47)</f>
        <v/>
      </c>
      <c r="F659">
        <f>IF(AND('Skill Matrix'!A47&lt;&gt;"",'Skill Matrix'!F5&lt;&gt;""),'Skill Matrix'!F5,"")</f>
        <v/>
      </c>
      <c r="G659">
        <f>IF(OR(A659="",'Skill Matrix'!F47=""),"",'Skill Matrix'!F47)</f>
        <v/>
      </c>
      <c r="H659">
        <f>IF(A659="","",'Employees'!F8)</f>
        <v/>
      </c>
    </row>
    <row r="660">
      <c r="A660">
        <f>IF(AND('Skill Matrix'!A47&lt;&gt;"",'Skill Matrix'!G5&lt;&gt;""),'Skill Matrix'!A47,"")</f>
        <v/>
      </c>
      <c r="B660">
        <f>IF(A660="","",'Employees'!C8)</f>
        <v/>
      </c>
      <c r="C660">
        <f>IF(A660="","",'Employees'!D8)</f>
        <v/>
      </c>
      <c r="D660">
        <f>IF(A660="","",'Skill Matrix'!C47)</f>
        <v/>
      </c>
      <c r="E660">
        <f>IF(A660="","",'Skill Matrix'!D47)</f>
        <v/>
      </c>
      <c r="F660">
        <f>IF(AND('Skill Matrix'!A47&lt;&gt;"",'Skill Matrix'!G5&lt;&gt;""),'Skill Matrix'!G5,"")</f>
        <v/>
      </c>
      <c r="G660">
        <f>IF(OR(A660="",'Skill Matrix'!G47=""),"",'Skill Matrix'!G47)</f>
        <v/>
      </c>
      <c r="H660">
        <f>IF(A660="","",'Employees'!F8)</f>
        <v/>
      </c>
    </row>
    <row r="661">
      <c r="A661">
        <f>IF(AND('Skill Matrix'!A47&lt;&gt;"",'Skill Matrix'!H5&lt;&gt;""),'Skill Matrix'!A47,"")</f>
        <v/>
      </c>
      <c r="B661">
        <f>IF(A661="","",'Employees'!C8)</f>
        <v/>
      </c>
      <c r="C661">
        <f>IF(A661="","",'Employees'!D8)</f>
        <v/>
      </c>
      <c r="D661">
        <f>IF(A661="","",'Skill Matrix'!C47)</f>
        <v/>
      </c>
      <c r="E661">
        <f>IF(A661="","",'Skill Matrix'!D47)</f>
        <v/>
      </c>
      <c r="F661">
        <f>IF(AND('Skill Matrix'!A47&lt;&gt;"",'Skill Matrix'!H5&lt;&gt;""),'Skill Matrix'!H5,"")</f>
        <v/>
      </c>
      <c r="G661">
        <f>IF(OR(A661="",'Skill Matrix'!H47=""),"",'Skill Matrix'!H47)</f>
        <v/>
      </c>
      <c r="H661">
        <f>IF(A661="","",'Employees'!F8)</f>
        <v/>
      </c>
    </row>
    <row r="662">
      <c r="A662">
        <f>IF(AND('Skill Matrix'!A47&lt;&gt;"",'Skill Matrix'!I5&lt;&gt;""),'Skill Matrix'!A47,"")</f>
        <v/>
      </c>
      <c r="B662">
        <f>IF(A662="","",'Employees'!C8)</f>
        <v/>
      </c>
      <c r="C662">
        <f>IF(A662="","",'Employees'!D8)</f>
        <v/>
      </c>
      <c r="D662">
        <f>IF(A662="","",'Skill Matrix'!C47)</f>
        <v/>
      </c>
      <c r="E662">
        <f>IF(A662="","",'Skill Matrix'!D47)</f>
        <v/>
      </c>
      <c r="F662">
        <f>IF(AND('Skill Matrix'!A47&lt;&gt;"",'Skill Matrix'!I5&lt;&gt;""),'Skill Matrix'!I5,"")</f>
        <v/>
      </c>
      <c r="G662">
        <f>IF(OR(A662="",'Skill Matrix'!I47=""),"",'Skill Matrix'!I47)</f>
        <v/>
      </c>
      <c r="H662">
        <f>IF(A662="","",'Employees'!F8)</f>
        <v/>
      </c>
    </row>
    <row r="663">
      <c r="A663">
        <f>IF(AND('Skill Matrix'!A47&lt;&gt;"",'Skill Matrix'!J5&lt;&gt;""),'Skill Matrix'!A47,"")</f>
        <v/>
      </c>
      <c r="B663">
        <f>IF(A663="","",'Employees'!C8)</f>
        <v/>
      </c>
      <c r="C663">
        <f>IF(A663="","",'Employees'!D8)</f>
        <v/>
      </c>
      <c r="D663">
        <f>IF(A663="","",'Skill Matrix'!C47)</f>
        <v/>
      </c>
      <c r="E663">
        <f>IF(A663="","",'Skill Matrix'!D47)</f>
        <v/>
      </c>
      <c r="F663">
        <f>IF(AND('Skill Matrix'!A47&lt;&gt;"",'Skill Matrix'!J5&lt;&gt;""),'Skill Matrix'!J5,"")</f>
        <v/>
      </c>
      <c r="G663">
        <f>IF(OR(A663="",'Skill Matrix'!J47=""),"",'Skill Matrix'!J47)</f>
        <v/>
      </c>
      <c r="H663">
        <f>IF(A663="","",'Employees'!F8)</f>
        <v/>
      </c>
    </row>
    <row r="664">
      <c r="A664">
        <f>IF(AND('Skill Matrix'!A47&lt;&gt;"",'Skill Matrix'!K5&lt;&gt;""),'Skill Matrix'!A47,"")</f>
        <v/>
      </c>
      <c r="B664">
        <f>IF(A664="","",'Employees'!C8)</f>
        <v/>
      </c>
      <c r="C664">
        <f>IF(A664="","",'Employees'!D8)</f>
        <v/>
      </c>
      <c r="D664">
        <f>IF(A664="","",'Skill Matrix'!C47)</f>
        <v/>
      </c>
      <c r="E664">
        <f>IF(A664="","",'Skill Matrix'!D47)</f>
        <v/>
      </c>
      <c r="F664">
        <f>IF(AND('Skill Matrix'!A47&lt;&gt;"",'Skill Matrix'!K5&lt;&gt;""),'Skill Matrix'!K5,"")</f>
        <v/>
      </c>
      <c r="G664">
        <f>IF(OR(A664="",'Skill Matrix'!K47=""),"",'Skill Matrix'!K47)</f>
        <v/>
      </c>
      <c r="H664">
        <f>IF(A664="","",'Employees'!F8)</f>
        <v/>
      </c>
    </row>
    <row r="665">
      <c r="A665">
        <f>IF(AND('Skill Matrix'!A47&lt;&gt;"",'Skill Matrix'!L5&lt;&gt;""),'Skill Matrix'!A47,"")</f>
        <v/>
      </c>
      <c r="B665">
        <f>IF(A665="","",'Employees'!C8)</f>
        <v/>
      </c>
      <c r="C665">
        <f>IF(A665="","",'Employees'!D8)</f>
        <v/>
      </c>
      <c r="D665">
        <f>IF(A665="","",'Skill Matrix'!C47)</f>
        <v/>
      </c>
      <c r="E665">
        <f>IF(A665="","",'Skill Matrix'!D47)</f>
        <v/>
      </c>
      <c r="F665">
        <f>IF(AND('Skill Matrix'!A47&lt;&gt;"",'Skill Matrix'!L5&lt;&gt;""),'Skill Matrix'!L5,"")</f>
        <v/>
      </c>
      <c r="G665">
        <f>IF(OR(A665="",'Skill Matrix'!L47=""),"",'Skill Matrix'!L47)</f>
        <v/>
      </c>
      <c r="H665">
        <f>IF(A665="","",'Employees'!F8)</f>
        <v/>
      </c>
    </row>
    <row r="666">
      <c r="A666">
        <f>IF(AND('Skill Matrix'!A47&lt;&gt;"",'Skill Matrix'!M5&lt;&gt;""),'Skill Matrix'!A47,"")</f>
        <v/>
      </c>
      <c r="B666">
        <f>IF(A666="","",'Employees'!C8)</f>
        <v/>
      </c>
      <c r="C666">
        <f>IF(A666="","",'Employees'!D8)</f>
        <v/>
      </c>
      <c r="D666">
        <f>IF(A666="","",'Skill Matrix'!C47)</f>
        <v/>
      </c>
      <c r="E666">
        <f>IF(A666="","",'Skill Matrix'!D47)</f>
        <v/>
      </c>
      <c r="F666">
        <f>IF(AND('Skill Matrix'!A47&lt;&gt;"",'Skill Matrix'!M5&lt;&gt;""),'Skill Matrix'!M5,"")</f>
        <v/>
      </c>
      <c r="G666">
        <f>IF(OR(A666="",'Skill Matrix'!M47=""),"",'Skill Matrix'!M47)</f>
        <v/>
      </c>
      <c r="H666">
        <f>IF(A666="","",'Employees'!F8)</f>
        <v/>
      </c>
    </row>
    <row r="667">
      <c r="A667">
        <f>IF(AND('Skill Matrix'!A47&lt;&gt;"",'Skill Matrix'!N5&lt;&gt;""),'Skill Matrix'!A47,"")</f>
        <v/>
      </c>
      <c r="B667">
        <f>IF(A667="","",'Employees'!C8)</f>
        <v/>
      </c>
      <c r="C667">
        <f>IF(A667="","",'Employees'!D8)</f>
        <v/>
      </c>
      <c r="D667">
        <f>IF(A667="","",'Skill Matrix'!C47)</f>
        <v/>
      </c>
      <c r="E667">
        <f>IF(A667="","",'Skill Matrix'!D47)</f>
        <v/>
      </c>
      <c r="F667">
        <f>IF(AND('Skill Matrix'!A47&lt;&gt;"",'Skill Matrix'!N5&lt;&gt;""),'Skill Matrix'!N5,"")</f>
        <v/>
      </c>
      <c r="G667">
        <f>IF(OR(A667="",'Skill Matrix'!N47=""),"",'Skill Matrix'!N47)</f>
        <v/>
      </c>
      <c r="H667">
        <f>IF(A667="","",'Employees'!F8)</f>
        <v/>
      </c>
    </row>
    <row r="668">
      <c r="A668">
        <f>IF(AND('Skill Matrix'!A47&lt;&gt;"",'Skill Matrix'!O5&lt;&gt;""),'Skill Matrix'!A47,"")</f>
        <v/>
      </c>
      <c r="B668">
        <f>IF(A668="","",'Employees'!C8)</f>
        <v/>
      </c>
      <c r="C668">
        <f>IF(A668="","",'Employees'!D8)</f>
        <v/>
      </c>
      <c r="D668">
        <f>IF(A668="","",'Skill Matrix'!C47)</f>
        <v/>
      </c>
      <c r="E668">
        <f>IF(A668="","",'Skill Matrix'!D47)</f>
        <v/>
      </c>
      <c r="F668">
        <f>IF(AND('Skill Matrix'!A47&lt;&gt;"",'Skill Matrix'!O5&lt;&gt;""),'Skill Matrix'!O5,"")</f>
        <v/>
      </c>
      <c r="G668">
        <f>IF(OR(A668="",'Skill Matrix'!O47=""),"",'Skill Matrix'!O47)</f>
        <v/>
      </c>
      <c r="H668">
        <f>IF(A668="","",'Employees'!F8)</f>
        <v/>
      </c>
    </row>
    <row r="669">
      <c r="A669">
        <f>IF(AND('Skill Matrix'!A47&lt;&gt;"",'Skill Matrix'!P5&lt;&gt;""),'Skill Matrix'!A47,"")</f>
        <v/>
      </c>
      <c r="B669">
        <f>IF(A669="","",'Employees'!C8)</f>
        <v/>
      </c>
      <c r="C669">
        <f>IF(A669="","",'Employees'!D8)</f>
        <v/>
      </c>
      <c r="D669">
        <f>IF(A669="","",'Skill Matrix'!C47)</f>
        <v/>
      </c>
      <c r="E669">
        <f>IF(A669="","",'Skill Matrix'!D47)</f>
        <v/>
      </c>
      <c r="F669">
        <f>IF(AND('Skill Matrix'!A47&lt;&gt;"",'Skill Matrix'!P5&lt;&gt;""),'Skill Matrix'!P5,"")</f>
        <v/>
      </c>
      <c r="G669">
        <f>IF(OR(A669="",'Skill Matrix'!P47=""),"",'Skill Matrix'!P47)</f>
        <v/>
      </c>
      <c r="H669">
        <f>IF(A669="","",'Employees'!F8)</f>
        <v/>
      </c>
    </row>
    <row r="670">
      <c r="A670">
        <f>IF(AND('Skill Matrix'!A47&lt;&gt;"",'Skill Matrix'!Q5&lt;&gt;""),'Skill Matrix'!A47,"")</f>
        <v/>
      </c>
      <c r="B670">
        <f>IF(A670="","",'Employees'!C8)</f>
        <v/>
      </c>
      <c r="C670">
        <f>IF(A670="","",'Employees'!D8)</f>
        <v/>
      </c>
      <c r="D670">
        <f>IF(A670="","",'Skill Matrix'!C47)</f>
        <v/>
      </c>
      <c r="E670">
        <f>IF(A670="","",'Skill Matrix'!D47)</f>
        <v/>
      </c>
      <c r="F670">
        <f>IF(AND('Skill Matrix'!A47&lt;&gt;"",'Skill Matrix'!Q5&lt;&gt;""),'Skill Matrix'!Q5,"")</f>
        <v/>
      </c>
      <c r="G670">
        <f>IF(OR(A670="",'Skill Matrix'!Q47=""),"",'Skill Matrix'!Q47)</f>
        <v/>
      </c>
      <c r="H670">
        <f>IF(A670="","",'Employees'!F8)</f>
        <v/>
      </c>
    </row>
    <row r="671">
      <c r="A671">
        <f>IF(AND('Skill Matrix'!A47&lt;&gt;"",'Skill Matrix'!R5&lt;&gt;""),'Skill Matrix'!A47,"")</f>
        <v/>
      </c>
      <c r="B671">
        <f>IF(A671="","",'Employees'!C8)</f>
        <v/>
      </c>
      <c r="C671">
        <f>IF(A671="","",'Employees'!D8)</f>
        <v/>
      </c>
      <c r="D671">
        <f>IF(A671="","",'Skill Matrix'!C47)</f>
        <v/>
      </c>
      <c r="E671">
        <f>IF(A671="","",'Skill Matrix'!D47)</f>
        <v/>
      </c>
      <c r="F671">
        <f>IF(AND('Skill Matrix'!A47&lt;&gt;"",'Skill Matrix'!R5&lt;&gt;""),'Skill Matrix'!R5,"")</f>
        <v/>
      </c>
      <c r="G671">
        <f>IF(OR(A671="",'Skill Matrix'!R47=""),"",'Skill Matrix'!R47)</f>
        <v/>
      </c>
      <c r="H671">
        <f>IF(A671="","",'Employees'!F8)</f>
        <v/>
      </c>
    </row>
    <row r="672">
      <c r="A672">
        <f>IF(AND('Skill Matrix'!A47&lt;&gt;"",'Skill Matrix'!S5&lt;&gt;""),'Skill Matrix'!A47,"")</f>
        <v/>
      </c>
      <c r="B672">
        <f>IF(A672="","",'Employees'!C8)</f>
        <v/>
      </c>
      <c r="C672">
        <f>IF(A672="","",'Employees'!D8)</f>
        <v/>
      </c>
      <c r="D672">
        <f>IF(A672="","",'Skill Matrix'!C47)</f>
        <v/>
      </c>
      <c r="E672">
        <f>IF(A672="","",'Skill Matrix'!D47)</f>
        <v/>
      </c>
      <c r="F672">
        <f>IF(AND('Skill Matrix'!A47&lt;&gt;"",'Skill Matrix'!S5&lt;&gt;""),'Skill Matrix'!S5,"")</f>
        <v/>
      </c>
      <c r="G672">
        <f>IF(OR(A672="",'Skill Matrix'!S47=""),"",'Skill Matrix'!S47)</f>
        <v/>
      </c>
      <c r="H672">
        <f>IF(A672="","",'Employees'!F8)</f>
        <v/>
      </c>
    </row>
    <row r="673">
      <c r="A673">
        <f>IF(AND('Skill Matrix'!A47&lt;&gt;"",'Skill Matrix'!T5&lt;&gt;""),'Skill Matrix'!A47,"")</f>
        <v/>
      </c>
      <c r="B673">
        <f>IF(A673="","",'Employees'!C8)</f>
        <v/>
      </c>
      <c r="C673">
        <f>IF(A673="","",'Employees'!D8)</f>
        <v/>
      </c>
      <c r="D673">
        <f>IF(A673="","",'Skill Matrix'!C47)</f>
        <v/>
      </c>
      <c r="E673">
        <f>IF(A673="","",'Skill Matrix'!D47)</f>
        <v/>
      </c>
      <c r="F673">
        <f>IF(AND('Skill Matrix'!A47&lt;&gt;"",'Skill Matrix'!T5&lt;&gt;""),'Skill Matrix'!T5,"")</f>
        <v/>
      </c>
      <c r="G673">
        <f>IF(OR(A673="",'Skill Matrix'!T47=""),"",'Skill Matrix'!T47)</f>
        <v/>
      </c>
      <c r="H673">
        <f>IF(A673="","",'Employees'!F8)</f>
        <v/>
      </c>
    </row>
    <row r="674">
      <c r="A674">
        <f>IF(AND('Skill Matrix'!A48&lt;&gt;"",'Skill Matrix'!E5&lt;&gt;""),'Skill Matrix'!A48,"")</f>
        <v/>
      </c>
      <c r="B674">
        <f>IF(A674="","",'Employees'!C8)</f>
        <v/>
      </c>
      <c r="C674">
        <f>IF(A674="","",'Employees'!D8)</f>
        <v/>
      </c>
      <c r="D674">
        <f>IF(A674="","",'Skill Matrix'!C48)</f>
        <v/>
      </c>
      <c r="E674">
        <f>IF(A674="","",'Skill Matrix'!D48)</f>
        <v/>
      </c>
      <c r="F674">
        <f>IF(AND('Skill Matrix'!A48&lt;&gt;"",'Skill Matrix'!E5&lt;&gt;""),'Skill Matrix'!E5,"")</f>
        <v/>
      </c>
      <c r="G674">
        <f>IF(OR(A674="",'Skill Matrix'!E48=""),"",'Skill Matrix'!E48)</f>
        <v/>
      </c>
      <c r="H674">
        <f>IF(A674="","",'Employees'!F8)</f>
        <v/>
      </c>
    </row>
    <row r="675">
      <c r="A675">
        <f>IF(AND('Skill Matrix'!A48&lt;&gt;"",'Skill Matrix'!F5&lt;&gt;""),'Skill Matrix'!A48,"")</f>
        <v/>
      </c>
      <c r="B675">
        <f>IF(A675="","",'Employees'!C8)</f>
        <v/>
      </c>
      <c r="C675">
        <f>IF(A675="","",'Employees'!D8)</f>
        <v/>
      </c>
      <c r="D675">
        <f>IF(A675="","",'Skill Matrix'!C48)</f>
        <v/>
      </c>
      <c r="E675">
        <f>IF(A675="","",'Skill Matrix'!D48)</f>
        <v/>
      </c>
      <c r="F675">
        <f>IF(AND('Skill Matrix'!A48&lt;&gt;"",'Skill Matrix'!F5&lt;&gt;""),'Skill Matrix'!F5,"")</f>
        <v/>
      </c>
      <c r="G675">
        <f>IF(OR(A675="",'Skill Matrix'!F48=""),"",'Skill Matrix'!F48)</f>
        <v/>
      </c>
      <c r="H675">
        <f>IF(A675="","",'Employees'!F8)</f>
        <v/>
      </c>
    </row>
    <row r="676">
      <c r="A676">
        <f>IF(AND('Skill Matrix'!A48&lt;&gt;"",'Skill Matrix'!G5&lt;&gt;""),'Skill Matrix'!A48,"")</f>
        <v/>
      </c>
      <c r="B676">
        <f>IF(A676="","",'Employees'!C8)</f>
        <v/>
      </c>
      <c r="C676">
        <f>IF(A676="","",'Employees'!D8)</f>
        <v/>
      </c>
      <c r="D676">
        <f>IF(A676="","",'Skill Matrix'!C48)</f>
        <v/>
      </c>
      <c r="E676">
        <f>IF(A676="","",'Skill Matrix'!D48)</f>
        <v/>
      </c>
      <c r="F676">
        <f>IF(AND('Skill Matrix'!A48&lt;&gt;"",'Skill Matrix'!G5&lt;&gt;""),'Skill Matrix'!G5,"")</f>
        <v/>
      </c>
      <c r="G676">
        <f>IF(OR(A676="",'Skill Matrix'!G48=""),"",'Skill Matrix'!G48)</f>
        <v/>
      </c>
      <c r="H676">
        <f>IF(A676="","",'Employees'!F8)</f>
        <v/>
      </c>
    </row>
    <row r="677">
      <c r="A677">
        <f>IF(AND('Skill Matrix'!A48&lt;&gt;"",'Skill Matrix'!H5&lt;&gt;""),'Skill Matrix'!A48,"")</f>
        <v/>
      </c>
      <c r="B677">
        <f>IF(A677="","",'Employees'!C8)</f>
        <v/>
      </c>
      <c r="C677">
        <f>IF(A677="","",'Employees'!D8)</f>
        <v/>
      </c>
      <c r="D677">
        <f>IF(A677="","",'Skill Matrix'!C48)</f>
        <v/>
      </c>
      <c r="E677">
        <f>IF(A677="","",'Skill Matrix'!D48)</f>
        <v/>
      </c>
      <c r="F677">
        <f>IF(AND('Skill Matrix'!A48&lt;&gt;"",'Skill Matrix'!H5&lt;&gt;""),'Skill Matrix'!H5,"")</f>
        <v/>
      </c>
      <c r="G677">
        <f>IF(OR(A677="",'Skill Matrix'!H48=""),"",'Skill Matrix'!H48)</f>
        <v/>
      </c>
      <c r="H677">
        <f>IF(A677="","",'Employees'!F8)</f>
        <v/>
      </c>
    </row>
    <row r="678">
      <c r="A678">
        <f>IF(AND('Skill Matrix'!A48&lt;&gt;"",'Skill Matrix'!I5&lt;&gt;""),'Skill Matrix'!A48,"")</f>
        <v/>
      </c>
      <c r="B678">
        <f>IF(A678="","",'Employees'!C8)</f>
        <v/>
      </c>
      <c r="C678">
        <f>IF(A678="","",'Employees'!D8)</f>
        <v/>
      </c>
      <c r="D678">
        <f>IF(A678="","",'Skill Matrix'!C48)</f>
        <v/>
      </c>
      <c r="E678">
        <f>IF(A678="","",'Skill Matrix'!D48)</f>
        <v/>
      </c>
      <c r="F678">
        <f>IF(AND('Skill Matrix'!A48&lt;&gt;"",'Skill Matrix'!I5&lt;&gt;""),'Skill Matrix'!I5,"")</f>
        <v/>
      </c>
      <c r="G678">
        <f>IF(OR(A678="",'Skill Matrix'!I48=""),"",'Skill Matrix'!I48)</f>
        <v/>
      </c>
      <c r="H678">
        <f>IF(A678="","",'Employees'!F8)</f>
        <v/>
      </c>
    </row>
    <row r="679">
      <c r="A679">
        <f>IF(AND('Skill Matrix'!A48&lt;&gt;"",'Skill Matrix'!J5&lt;&gt;""),'Skill Matrix'!A48,"")</f>
        <v/>
      </c>
      <c r="B679">
        <f>IF(A679="","",'Employees'!C8)</f>
        <v/>
      </c>
      <c r="C679">
        <f>IF(A679="","",'Employees'!D8)</f>
        <v/>
      </c>
      <c r="D679">
        <f>IF(A679="","",'Skill Matrix'!C48)</f>
        <v/>
      </c>
      <c r="E679">
        <f>IF(A679="","",'Skill Matrix'!D48)</f>
        <v/>
      </c>
      <c r="F679">
        <f>IF(AND('Skill Matrix'!A48&lt;&gt;"",'Skill Matrix'!J5&lt;&gt;""),'Skill Matrix'!J5,"")</f>
        <v/>
      </c>
      <c r="G679">
        <f>IF(OR(A679="",'Skill Matrix'!J48=""),"",'Skill Matrix'!J48)</f>
        <v/>
      </c>
      <c r="H679">
        <f>IF(A679="","",'Employees'!F8)</f>
        <v/>
      </c>
    </row>
    <row r="680">
      <c r="A680">
        <f>IF(AND('Skill Matrix'!A48&lt;&gt;"",'Skill Matrix'!K5&lt;&gt;""),'Skill Matrix'!A48,"")</f>
        <v/>
      </c>
      <c r="B680">
        <f>IF(A680="","",'Employees'!C8)</f>
        <v/>
      </c>
      <c r="C680">
        <f>IF(A680="","",'Employees'!D8)</f>
        <v/>
      </c>
      <c r="D680">
        <f>IF(A680="","",'Skill Matrix'!C48)</f>
        <v/>
      </c>
      <c r="E680">
        <f>IF(A680="","",'Skill Matrix'!D48)</f>
        <v/>
      </c>
      <c r="F680">
        <f>IF(AND('Skill Matrix'!A48&lt;&gt;"",'Skill Matrix'!K5&lt;&gt;""),'Skill Matrix'!K5,"")</f>
        <v/>
      </c>
      <c r="G680">
        <f>IF(OR(A680="",'Skill Matrix'!K48=""),"",'Skill Matrix'!K48)</f>
        <v/>
      </c>
      <c r="H680">
        <f>IF(A680="","",'Employees'!F8)</f>
        <v/>
      </c>
    </row>
    <row r="681">
      <c r="A681">
        <f>IF(AND('Skill Matrix'!A48&lt;&gt;"",'Skill Matrix'!L5&lt;&gt;""),'Skill Matrix'!A48,"")</f>
        <v/>
      </c>
      <c r="B681">
        <f>IF(A681="","",'Employees'!C8)</f>
        <v/>
      </c>
      <c r="C681">
        <f>IF(A681="","",'Employees'!D8)</f>
        <v/>
      </c>
      <c r="D681">
        <f>IF(A681="","",'Skill Matrix'!C48)</f>
        <v/>
      </c>
      <c r="E681">
        <f>IF(A681="","",'Skill Matrix'!D48)</f>
        <v/>
      </c>
      <c r="F681">
        <f>IF(AND('Skill Matrix'!A48&lt;&gt;"",'Skill Matrix'!L5&lt;&gt;""),'Skill Matrix'!L5,"")</f>
        <v/>
      </c>
      <c r="G681">
        <f>IF(OR(A681="",'Skill Matrix'!L48=""),"",'Skill Matrix'!L48)</f>
        <v/>
      </c>
      <c r="H681">
        <f>IF(A681="","",'Employees'!F8)</f>
        <v/>
      </c>
    </row>
    <row r="682">
      <c r="A682">
        <f>IF(AND('Skill Matrix'!A48&lt;&gt;"",'Skill Matrix'!M5&lt;&gt;""),'Skill Matrix'!A48,"")</f>
        <v/>
      </c>
      <c r="B682">
        <f>IF(A682="","",'Employees'!C8)</f>
        <v/>
      </c>
      <c r="C682">
        <f>IF(A682="","",'Employees'!D8)</f>
        <v/>
      </c>
      <c r="D682">
        <f>IF(A682="","",'Skill Matrix'!C48)</f>
        <v/>
      </c>
      <c r="E682">
        <f>IF(A682="","",'Skill Matrix'!D48)</f>
        <v/>
      </c>
      <c r="F682">
        <f>IF(AND('Skill Matrix'!A48&lt;&gt;"",'Skill Matrix'!M5&lt;&gt;""),'Skill Matrix'!M5,"")</f>
        <v/>
      </c>
      <c r="G682">
        <f>IF(OR(A682="",'Skill Matrix'!M48=""),"",'Skill Matrix'!M48)</f>
        <v/>
      </c>
      <c r="H682">
        <f>IF(A682="","",'Employees'!F8)</f>
        <v/>
      </c>
    </row>
    <row r="683">
      <c r="A683">
        <f>IF(AND('Skill Matrix'!A48&lt;&gt;"",'Skill Matrix'!N5&lt;&gt;""),'Skill Matrix'!A48,"")</f>
        <v/>
      </c>
      <c r="B683">
        <f>IF(A683="","",'Employees'!C8)</f>
        <v/>
      </c>
      <c r="C683">
        <f>IF(A683="","",'Employees'!D8)</f>
        <v/>
      </c>
      <c r="D683">
        <f>IF(A683="","",'Skill Matrix'!C48)</f>
        <v/>
      </c>
      <c r="E683">
        <f>IF(A683="","",'Skill Matrix'!D48)</f>
        <v/>
      </c>
      <c r="F683">
        <f>IF(AND('Skill Matrix'!A48&lt;&gt;"",'Skill Matrix'!N5&lt;&gt;""),'Skill Matrix'!N5,"")</f>
        <v/>
      </c>
      <c r="G683">
        <f>IF(OR(A683="",'Skill Matrix'!N48=""),"",'Skill Matrix'!N48)</f>
        <v/>
      </c>
      <c r="H683">
        <f>IF(A683="","",'Employees'!F8)</f>
        <v/>
      </c>
    </row>
    <row r="684">
      <c r="A684">
        <f>IF(AND('Skill Matrix'!A48&lt;&gt;"",'Skill Matrix'!O5&lt;&gt;""),'Skill Matrix'!A48,"")</f>
        <v/>
      </c>
      <c r="B684">
        <f>IF(A684="","",'Employees'!C8)</f>
        <v/>
      </c>
      <c r="C684">
        <f>IF(A684="","",'Employees'!D8)</f>
        <v/>
      </c>
      <c r="D684">
        <f>IF(A684="","",'Skill Matrix'!C48)</f>
        <v/>
      </c>
      <c r="E684">
        <f>IF(A684="","",'Skill Matrix'!D48)</f>
        <v/>
      </c>
      <c r="F684">
        <f>IF(AND('Skill Matrix'!A48&lt;&gt;"",'Skill Matrix'!O5&lt;&gt;""),'Skill Matrix'!O5,"")</f>
        <v/>
      </c>
      <c r="G684">
        <f>IF(OR(A684="",'Skill Matrix'!O48=""),"",'Skill Matrix'!O48)</f>
        <v/>
      </c>
      <c r="H684">
        <f>IF(A684="","",'Employees'!F8)</f>
        <v/>
      </c>
    </row>
    <row r="685">
      <c r="A685">
        <f>IF(AND('Skill Matrix'!A48&lt;&gt;"",'Skill Matrix'!P5&lt;&gt;""),'Skill Matrix'!A48,"")</f>
        <v/>
      </c>
      <c r="B685">
        <f>IF(A685="","",'Employees'!C8)</f>
        <v/>
      </c>
      <c r="C685">
        <f>IF(A685="","",'Employees'!D8)</f>
        <v/>
      </c>
      <c r="D685">
        <f>IF(A685="","",'Skill Matrix'!C48)</f>
        <v/>
      </c>
      <c r="E685">
        <f>IF(A685="","",'Skill Matrix'!D48)</f>
        <v/>
      </c>
      <c r="F685">
        <f>IF(AND('Skill Matrix'!A48&lt;&gt;"",'Skill Matrix'!P5&lt;&gt;""),'Skill Matrix'!P5,"")</f>
        <v/>
      </c>
      <c r="G685">
        <f>IF(OR(A685="",'Skill Matrix'!P48=""),"",'Skill Matrix'!P48)</f>
        <v/>
      </c>
      <c r="H685">
        <f>IF(A685="","",'Employees'!F8)</f>
        <v/>
      </c>
    </row>
    <row r="686">
      <c r="A686">
        <f>IF(AND('Skill Matrix'!A48&lt;&gt;"",'Skill Matrix'!Q5&lt;&gt;""),'Skill Matrix'!A48,"")</f>
        <v/>
      </c>
      <c r="B686">
        <f>IF(A686="","",'Employees'!C8)</f>
        <v/>
      </c>
      <c r="C686">
        <f>IF(A686="","",'Employees'!D8)</f>
        <v/>
      </c>
      <c r="D686">
        <f>IF(A686="","",'Skill Matrix'!C48)</f>
        <v/>
      </c>
      <c r="E686">
        <f>IF(A686="","",'Skill Matrix'!D48)</f>
        <v/>
      </c>
      <c r="F686">
        <f>IF(AND('Skill Matrix'!A48&lt;&gt;"",'Skill Matrix'!Q5&lt;&gt;""),'Skill Matrix'!Q5,"")</f>
        <v/>
      </c>
      <c r="G686">
        <f>IF(OR(A686="",'Skill Matrix'!Q48=""),"",'Skill Matrix'!Q48)</f>
        <v/>
      </c>
      <c r="H686">
        <f>IF(A686="","",'Employees'!F8)</f>
        <v/>
      </c>
    </row>
    <row r="687">
      <c r="A687">
        <f>IF(AND('Skill Matrix'!A48&lt;&gt;"",'Skill Matrix'!R5&lt;&gt;""),'Skill Matrix'!A48,"")</f>
        <v/>
      </c>
      <c r="B687">
        <f>IF(A687="","",'Employees'!C8)</f>
        <v/>
      </c>
      <c r="C687">
        <f>IF(A687="","",'Employees'!D8)</f>
        <v/>
      </c>
      <c r="D687">
        <f>IF(A687="","",'Skill Matrix'!C48)</f>
        <v/>
      </c>
      <c r="E687">
        <f>IF(A687="","",'Skill Matrix'!D48)</f>
        <v/>
      </c>
      <c r="F687">
        <f>IF(AND('Skill Matrix'!A48&lt;&gt;"",'Skill Matrix'!R5&lt;&gt;""),'Skill Matrix'!R5,"")</f>
        <v/>
      </c>
      <c r="G687">
        <f>IF(OR(A687="",'Skill Matrix'!R48=""),"",'Skill Matrix'!R48)</f>
        <v/>
      </c>
      <c r="H687">
        <f>IF(A687="","",'Employees'!F8)</f>
        <v/>
      </c>
    </row>
    <row r="688">
      <c r="A688">
        <f>IF(AND('Skill Matrix'!A48&lt;&gt;"",'Skill Matrix'!S5&lt;&gt;""),'Skill Matrix'!A48,"")</f>
        <v/>
      </c>
      <c r="B688">
        <f>IF(A688="","",'Employees'!C8)</f>
        <v/>
      </c>
      <c r="C688">
        <f>IF(A688="","",'Employees'!D8)</f>
        <v/>
      </c>
      <c r="D688">
        <f>IF(A688="","",'Skill Matrix'!C48)</f>
        <v/>
      </c>
      <c r="E688">
        <f>IF(A688="","",'Skill Matrix'!D48)</f>
        <v/>
      </c>
      <c r="F688">
        <f>IF(AND('Skill Matrix'!A48&lt;&gt;"",'Skill Matrix'!S5&lt;&gt;""),'Skill Matrix'!S5,"")</f>
        <v/>
      </c>
      <c r="G688">
        <f>IF(OR(A688="",'Skill Matrix'!S48=""),"",'Skill Matrix'!S48)</f>
        <v/>
      </c>
      <c r="H688">
        <f>IF(A688="","",'Employees'!F8)</f>
        <v/>
      </c>
    </row>
    <row r="689">
      <c r="A689">
        <f>IF(AND('Skill Matrix'!A48&lt;&gt;"",'Skill Matrix'!T5&lt;&gt;""),'Skill Matrix'!A48,"")</f>
        <v/>
      </c>
      <c r="B689">
        <f>IF(A689="","",'Employees'!C8)</f>
        <v/>
      </c>
      <c r="C689">
        <f>IF(A689="","",'Employees'!D8)</f>
        <v/>
      </c>
      <c r="D689">
        <f>IF(A689="","",'Skill Matrix'!C48)</f>
        <v/>
      </c>
      <c r="E689">
        <f>IF(A689="","",'Skill Matrix'!D48)</f>
        <v/>
      </c>
      <c r="F689">
        <f>IF(AND('Skill Matrix'!A48&lt;&gt;"",'Skill Matrix'!T5&lt;&gt;""),'Skill Matrix'!T5,"")</f>
        <v/>
      </c>
      <c r="G689">
        <f>IF(OR(A689="",'Skill Matrix'!T48=""),"",'Skill Matrix'!T48)</f>
        <v/>
      </c>
      <c r="H689">
        <f>IF(A689="","",'Employees'!F8)</f>
        <v/>
      </c>
    </row>
    <row r="690">
      <c r="A690">
        <f>IF(AND('Skill Matrix'!A49&lt;&gt;"",'Skill Matrix'!E5&lt;&gt;""),'Skill Matrix'!A49,"")</f>
        <v/>
      </c>
      <c r="B690">
        <f>IF(A690="","",'Employees'!C8)</f>
        <v/>
      </c>
      <c r="C690">
        <f>IF(A690="","",'Employees'!D8)</f>
        <v/>
      </c>
      <c r="D690">
        <f>IF(A690="","",'Skill Matrix'!C49)</f>
        <v/>
      </c>
      <c r="E690">
        <f>IF(A690="","",'Skill Matrix'!D49)</f>
        <v/>
      </c>
      <c r="F690">
        <f>IF(AND('Skill Matrix'!A49&lt;&gt;"",'Skill Matrix'!E5&lt;&gt;""),'Skill Matrix'!E5,"")</f>
        <v/>
      </c>
      <c r="G690">
        <f>IF(OR(A690="",'Skill Matrix'!E49=""),"",'Skill Matrix'!E49)</f>
        <v/>
      </c>
      <c r="H690">
        <f>IF(A690="","",'Employees'!F8)</f>
        <v/>
      </c>
    </row>
    <row r="691">
      <c r="A691">
        <f>IF(AND('Skill Matrix'!A49&lt;&gt;"",'Skill Matrix'!F5&lt;&gt;""),'Skill Matrix'!A49,"")</f>
        <v/>
      </c>
      <c r="B691">
        <f>IF(A691="","",'Employees'!C8)</f>
        <v/>
      </c>
      <c r="C691">
        <f>IF(A691="","",'Employees'!D8)</f>
        <v/>
      </c>
      <c r="D691">
        <f>IF(A691="","",'Skill Matrix'!C49)</f>
        <v/>
      </c>
      <c r="E691">
        <f>IF(A691="","",'Skill Matrix'!D49)</f>
        <v/>
      </c>
      <c r="F691">
        <f>IF(AND('Skill Matrix'!A49&lt;&gt;"",'Skill Matrix'!F5&lt;&gt;""),'Skill Matrix'!F5,"")</f>
        <v/>
      </c>
      <c r="G691">
        <f>IF(OR(A691="",'Skill Matrix'!F49=""),"",'Skill Matrix'!F49)</f>
        <v/>
      </c>
      <c r="H691">
        <f>IF(A691="","",'Employees'!F8)</f>
        <v/>
      </c>
    </row>
    <row r="692">
      <c r="A692">
        <f>IF(AND('Skill Matrix'!A49&lt;&gt;"",'Skill Matrix'!G5&lt;&gt;""),'Skill Matrix'!A49,"")</f>
        <v/>
      </c>
      <c r="B692">
        <f>IF(A692="","",'Employees'!C8)</f>
        <v/>
      </c>
      <c r="C692">
        <f>IF(A692="","",'Employees'!D8)</f>
        <v/>
      </c>
      <c r="D692">
        <f>IF(A692="","",'Skill Matrix'!C49)</f>
        <v/>
      </c>
      <c r="E692">
        <f>IF(A692="","",'Skill Matrix'!D49)</f>
        <v/>
      </c>
      <c r="F692">
        <f>IF(AND('Skill Matrix'!A49&lt;&gt;"",'Skill Matrix'!G5&lt;&gt;""),'Skill Matrix'!G5,"")</f>
        <v/>
      </c>
      <c r="G692">
        <f>IF(OR(A692="",'Skill Matrix'!G49=""),"",'Skill Matrix'!G49)</f>
        <v/>
      </c>
      <c r="H692">
        <f>IF(A692="","",'Employees'!F8)</f>
        <v/>
      </c>
    </row>
    <row r="693">
      <c r="A693">
        <f>IF(AND('Skill Matrix'!A49&lt;&gt;"",'Skill Matrix'!H5&lt;&gt;""),'Skill Matrix'!A49,"")</f>
        <v/>
      </c>
      <c r="B693">
        <f>IF(A693="","",'Employees'!C8)</f>
        <v/>
      </c>
      <c r="C693">
        <f>IF(A693="","",'Employees'!D8)</f>
        <v/>
      </c>
      <c r="D693">
        <f>IF(A693="","",'Skill Matrix'!C49)</f>
        <v/>
      </c>
      <c r="E693">
        <f>IF(A693="","",'Skill Matrix'!D49)</f>
        <v/>
      </c>
      <c r="F693">
        <f>IF(AND('Skill Matrix'!A49&lt;&gt;"",'Skill Matrix'!H5&lt;&gt;""),'Skill Matrix'!H5,"")</f>
        <v/>
      </c>
      <c r="G693">
        <f>IF(OR(A693="",'Skill Matrix'!H49=""),"",'Skill Matrix'!H49)</f>
        <v/>
      </c>
      <c r="H693">
        <f>IF(A693="","",'Employees'!F8)</f>
        <v/>
      </c>
    </row>
    <row r="694">
      <c r="A694">
        <f>IF(AND('Skill Matrix'!A49&lt;&gt;"",'Skill Matrix'!I5&lt;&gt;""),'Skill Matrix'!A49,"")</f>
        <v/>
      </c>
      <c r="B694">
        <f>IF(A694="","",'Employees'!C8)</f>
        <v/>
      </c>
      <c r="C694">
        <f>IF(A694="","",'Employees'!D8)</f>
        <v/>
      </c>
      <c r="D694">
        <f>IF(A694="","",'Skill Matrix'!C49)</f>
        <v/>
      </c>
      <c r="E694">
        <f>IF(A694="","",'Skill Matrix'!D49)</f>
        <v/>
      </c>
      <c r="F694">
        <f>IF(AND('Skill Matrix'!A49&lt;&gt;"",'Skill Matrix'!I5&lt;&gt;""),'Skill Matrix'!I5,"")</f>
        <v/>
      </c>
      <c r="G694">
        <f>IF(OR(A694="",'Skill Matrix'!I49=""),"",'Skill Matrix'!I49)</f>
        <v/>
      </c>
      <c r="H694">
        <f>IF(A694="","",'Employees'!F8)</f>
        <v/>
      </c>
    </row>
    <row r="695">
      <c r="A695">
        <f>IF(AND('Skill Matrix'!A49&lt;&gt;"",'Skill Matrix'!J5&lt;&gt;""),'Skill Matrix'!A49,"")</f>
        <v/>
      </c>
      <c r="B695">
        <f>IF(A695="","",'Employees'!C8)</f>
        <v/>
      </c>
      <c r="C695">
        <f>IF(A695="","",'Employees'!D8)</f>
        <v/>
      </c>
      <c r="D695">
        <f>IF(A695="","",'Skill Matrix'!C49)</f>
        <v/>
      </c>
      <c r="E695">
        <f>IF(A695="","",'Skill Matrix'!D49)</f>
        <v/>
      </c>
      <c r="F695">
        <f>IF(AND('Skill Matrix'!A49&lt;&gt;"",'Skill Matrix'!J5&lt;&gt;""),'Skill Matrix'!J5,"")</f>
        <v/>
      </c>
      <c r="G695">
        <f>IF(OR(A695="",'Skill Matrix'!J49=""),"",'Skill Matrix'!J49)</f>
        <v/>
      </c>
      <c r="H695">
        <f>IF(A695="","",'Employees'!F8)</f>
        <v/>
      </c>
    </row>
    <row r="696">
      <c r="A696">
        <f>IF(AND('Skill Matrix'!A49&lt;&gt;"",'Skill Matrix'!K5&lt;&gt;""),'Skill Matrix'!A49,"")</f>
        <v/>
      </c>
      <c r="B696">
        <f>IF(A696="","",'Employees'!C8)</f>
        <v/>
      </c>
      <c r="C696">
        <f>IF(A696="","",'Employees'!D8)</f>
        <v/>
      </c>
      <c r="D696">
        <f>IF(A696="","",'Skill Matrix'!C49)</f>
        <v/>
      </c>
      <c r="E696">
        <f>IF(A696="","",'Skill Matrix'!D49)</f>
        <v/>
      </c>
      <c r="F696">
        <f>IF(AND('Skill Matrix'!A49&lt;&gt;"",'Skill Matrix'!K5&lt;&gt;""),'Skill Matrix'!K5,"")</f>
        <v/>
      </c>
      <c r="G696">
        <f>IF(OR(A696="",'Skill Matrix'!K49=""),"",'Skill Matrix'!K49)</f>
        <v/>
      </c>
      <c r="H696">
        <f>IF(A696="","",'Employees'!F8)</f>
        <v/>
      </c>
    </row>
    <row r="697">
      <c r="A697">
        <f>IF(AND('Skill Matrix'!A49&lt;&gt;"",'Skill Matrix'!L5&lt;&gt;""),'Skill Matrix'!A49,"")</f>
        <v/>
      </c>
      <c r="B697">
        <f>IF(A697="","",'Employees'!C8)</f>
        <v/>
      </c>
      <c r="C697">
        <f>IF(A697="","",'Employees'!D8)</f>
        <v/>
      </c>
      <c r="D697">
        <f>IF(A697="","",'Skill Matrix'!C49)</f>
        <v/>
      </c>
      <c r="E697">
        <f>IF(A697="","",'Skill Matrix'!D49)</f>
        <v/>
      </c>
      <c r="F697">
        <f>IF(AND('Skill Matrix'!A49&lt;&gt;"",'Skill Matrix'!L5&lt;&gt;""),'Skill Matrix'!L5,"")</f>
        <v/>
      </c>
      <c r="G697">
        <f>IF(OR(A697="",'Skill Matrix'!L49=""),"",'Skill Matrix'!L49)</f>
        <v/>
      </c>
      <c r="H697">
        <f>IF(A697="","",'Employees'!F8)</f>
        <v/>
      </c>
    </row>
    <row r="698">
      <c r="A698">
        <f>IF(AND('Skill Matrix'!A49&lt;&gt;"",'Skill Matrix'!M5&lt;&gt;""),'Skill Matrix'!A49,"")</f>
        <v/>
      </c>
      <c r="B698">
        <f>IF(A698="","",'Employees'!C8)</f>
        <v/>
      </c>
      <c r="C698">
        <f>IF(A698="","",'Employees'!D8)</f>
        <v/>
      </c>
      <c r="D698">
        <f>IF(A698="","",'Skill Matrix'!C49)</f>
        <v/>
      </c>
      <c r="E698">
        <f>IF(A698="","",'Skill Matrix'!D49)</f>
        <v/>
      </c>
      <c r="F698">
        <f>IF(AND('Skill Matrix'!A49&lt;&gt;"",'Skill Matrix'!M5&lt;&gt;""),'Skill Matrix'!M5,"")</f>
        <v/>
      </c>
      <c r="G698">
        <f>IF(OR(A698="",'Skill Matrix'!M49=""),"",'Skill Matrix'!M49)</f>
        <v/>
      </c>
      <c r="H698">
        <f>IF(A698="","",'Employees'!F8)</f>
        <v/>
      </c>
    </row>
    <row r="699">
      <c r="A699">
        <f>IF(AND('Skill Matrix'!A49&lt;&gt;"",'Skill Matrix'!N5&lt;&gt;""),'Skill Matrix'!A49,"")</f>
        <v/>
      </c>
      <c r="B699">
        <f>IF(A699="","",'Employees'!C8)</f>
        <v/>
      </c>
      <c r="C699">
        <f>IF(A699="","",'Employees'!D8)</f>
        <v/>
      </c>
      <c r="D699">
        <f>IF(A699="","",'Skill Matrix'!C49)</f>
        <v/>
      </c>
      <c r="E699">
        <f>IF(A699="","",'Skill Matrix'!D49)</f>
        <v/>
      </c>
      <c r="F699">
        <f>IF(AND('Skill Matrix'!A49&lt;&gt;"",'Skill Matrix'!N5&lt;&gt;""),'Skill Matrix'!N5,"")</f>
        <v/>
      </c>
      <c r="G699">
        <f>IF(OR(A699="",'Skill Matrix'!N49=""),"",'Skill Matrix'!N49)</f>
        <v/>
      </c>
      <c r="H699">
        <f>IF(A699="","",'Employees'!F8)</f>
        <v/>
      </c>
    </row>
    <row r="700">
      <c r="A700">
        <f>IF(AND('Skill Matrix'!A49&lt;&gt;"",'Skill Matrix'!O5&lt;&gt;""),'Skill Matrix'!A49,"")</f>
        <v/>
      </c>
      <c r="B700">
        <f>IF(A700="","",'Employees'!C8)</f>
        <v/>
      </c>
      <c r="C700">
        <f>IF(A700="","",'Employees'!D8)</f>
        <v/>
      </c>
      <c r="D700">
        <f>IF(A700="","",'Skill Matrix'!C49)</f>
        <v/>
      </c>
      <c r="E700">
        <f>IF(A700="","",'Skill Matrix'!D49)</f>
        <v/>
      </c>
      <c r="F700">
        <f>IF(AND('Skill Matrix'!A49&lt;&gt;"",'Skill Matrix'!O5&lt;&gt;""),'Skill Matrix'!O5,"")</f>
        <v/>
      </c>
      <c r="G700">
        <f>IF(OR(A700="",'Skill Matrix'!O49=""),"",'Skill Matrix'!O49)</f>
        <v/>
      </c>
      <c r="H700">
        <f>IF(A700="","",'Employees'!F8)</f>
        <v/>
      </c>
    </row>
    <row r="701">
      <c r="A701">
        <f>IF(AND('Skill Matrix'!A49&lt;&gt;"",'Skill Matrix'!P5&lt;&gt;""),'Skill Matrix'!A49,"")</f>
        <v/>
      </c>
      <c r="B701">
        <f>IF(A701="","",'Employees'!C8)</f>
        <v/>
      </c>
      <c r="C701">
        <f>IF(A701="","",'Employees'!D8)</f>
        <v/>
      </c>
      <c r="D701">
        <f>IF(A701="","",'Skill Matrix'!C49)</f>
        <v/>
      </c>
      <c r="E701">
        <f>IF(A701="","",'Skill Matrix'!D49)</f>
        <v/>
      </c>
      <c r="F701">
        <f>IF(AND('Skill Matrix'!A49&lt;&gt;"",'Skill Matrix'!P5&lt;&gt;""),'Skill Matrix'!P5,"")</f>
        <v/>
      </c>
      <c r="G701">
        <f>IF(OR(A701="",'Skill Matrix'!P49=""),"",'Skill Matrix'!P49)</f>
        <v/>
      </c>
      <c r="H701">
        <f>IF(A701="","",'Employees'!F8)</f>
        <v/>
      </c>
    </row>
    <row r="702">
      <c r="A702">
        <f>IF(AND('Skill Matrix'!A49&lt;&gt;"",'Skill Matrix'!Q5&lt;&gt;""),'Skill Matrix'!A49,"")</f>
        <v/>
      </c>
      <c r="B702">
        <f>IF(A702="","",'Employees'!C8)</f>
        <v/>
      </c>
      <c r="C702">
        <f>IF(A702="","",'Employees'!D8)</f>
        <v/>
      </c>
      <c r="D702">
        <f>IF(A702="","",'Skill Matrix'!C49)</f>
        <v/>
      </c>
      <c r="E702">
        <f>IF(A702="","",'Skill Matrix'!D49)</f>
        <v/>
      </c>
      <c r="F702">
        <f>IF(AND('Skill Matrix'!A49&lt;&gt;"",'Skill Matrix'!Q5&lt;&gt;""),'Skill Matrix'!Q5,"")</f>
        <v/>
      </c>
      <c r="G702">
        <f>IF(OR(A702="",'Skill Matrix'!Q49=""),"",'Skill Matrix'!Q49)</f>
        <v/>
      </c>
      <c r="H702">
        <f>IF(A702="","",'Employees'!F8)</f>
        <v/>
      </c>
    </row>
    <row r="703">
      <c r="A703">
        <f>IF(AND('Skill Matrix'!A49&lt;&gt;"",'Skill Matrix'!R5&lt;&gt;""),'Skill Matrix'!A49,"")</f>
        <v/>
      </c>
      <c r="B703">
        <f>IF(A703="","",'Employees'!C8)</f>
        <v/>
      </c>
      <c r="C703">
        <f>IF(A703="","",'Employees'!D8)</f>
        <v/>
      </c>
      <c r="D703">
        <f>IF(A703="","",'Skill Matrix'!C49)</f>
        <v/>
      </c>
      <c r="E703">
        <f>IF(A703="","",'Skill Matrix'!D49)</f>
        <v/>
      </c>
      <c r="F703">
        <f>IF(AND('Skill Matrix'!A49&lt;&gt;"",'Skill Matrix'!R5&lt;&gt;""),'Skill Matrix'!R5,"")</f>
        <v/>
      </c>
      <c r="G703">
        <f>IF(OR(A703="",'Skill Matrix'!R49=""),"",'Skill Matrix'!R49)</f>
        <v/>
      </c>
      <c r="H703">
        <f>IF(A703="","",'Employees'!F8)</f>
        <v/>
      </c>
    </row>
    <row r="704">
      <c r="A704">
        <f>IF(AND('Skill Matrix'!A49&lt;&gt;"",'Skill Matrix'!S5&lt;&gt;""),'Skill Matrix'!A49,"")</f>
        <v/>
      </c>
      <c r="B704">
        <f>IF(A704="","",'Employees'!C8)</f>
        <v/>
      </c>
      <c r="C704">
        <f>IF(A704="","",'Employees'!D8)</f>
        <v/>
      </c>
      <c r="D704">
        <f>IF(A704="","",'Skill Matrix'!C49)</f>
        <v/>
      </c>
      <c r="E704">
        <f>IF(A704="","",'Skill Matrix'!D49)</f>
        <v/>
      </c>
      <c r="F704">
        <f>IF(AND('Skill Matrix'!A49&lt;&gt;"",'Skill Matrix'!S5&lt;&gt;""),'Skill Matrix'!S5,"")</f>
        <v/>
      </c>
      <c r="G704">
        <f>IF(OR(A704="",'Skill Matrix'!S49=""),"",'Skill Matrix'!S49)</f>
        <v/>
      </c>
      <c r="H704">
        <f>IF(A704="","",'Employees'!F8)</f>
        <v/>
      </c>
    </row>
    <row r="705">
      <c r="A705">
        <f>IF(AND('Skill Matrix'!A49&lt;&gt;"",'Skill Matrix'!T5&lt;&gt;""),'Skill Matrix'!A49,"")</f>
        <v/>
      </c>
      <c r="B705">
        <f>IF(A705="","",'Employees'!C8)</f>
        <v/>
      </c>
      <c r="C705">
        <f>IF(A705="","",'Employees'!D8)</f>
        <v/>
      </c>
      <c r="D705">
        <f>IF(A705="","",'Skill Matrix'!C49)</f>
        <v/>
      </c>
      <c r="E705">
        <f>IF(A705="","",'Skill Matrix'!D49)</f>
        <v/>
      </c>
      <c r="F705">
        <f>IF(AND('Skill Matrix'!A49&lt;&gt;"",'Skill Matrix'!T5&lt;&gt;""),'Skill Matrix'!T5,"")</f>
        <v/>
      </c>
      <c r="G705">
        <f>IF(OR(A705="",'Skill Matrix'!T49=""),"",'Skill Matrix'!T49)</f>
        <v/>
      </c>
      <c r="H705">
        <f>IF(A705="","",'Employees'!F8)</f>
        <v/>
      </c>
    </row>
    <row r="706">
      <c r="A706">
        <f>IF(AND('Skill Matrix'!A50&lt;&gt;"",'Skill Matrix'!E5&lt;&gt;""),'Skill Matrix'!A50,"")</f>
        <v/>
      </c>
      <c r="B706">
        <f>IF(A706="","",'Employees'!C8)</f>
        <v/>
      </c>
      <c r="C706">
        <f>IF(A706="","",'Employees'!D8)</f>
        <v/>
      </c>
      <c r="D706">
        <f>IF(A706="","",'Skill Matrix'!C50)</f>
        <v/>
      </c>
      <c r="E706">
        <f>IF(A706="","",'Skill Matrix'!D50)</f>
        <v/>
      </c>
      <c r="F706">
        <f>IF(AND('Skill Matrix'!A50&lt;&gt;"",'Skill Matrix'!E5&lt;&gt;""),'Skill Matrix'!E5,"")</f>
        <v/>
      </c>
      <c r="G706">
        <f>IF(OR(A706="",'Skill Matrix'!E50=""),"",'Skill Matrix'!E50)</f>
        <v/>
      </c>
      <c r="H706">
        <f>IF(A706="","",'Employees'!F8)</f>
        <v/>
      </c>
    </row>
    <row r="707">
      <c r="A707">
        <f>IF(AND('Skill Matrix'!A50&lt;&gt;"",'Skill Matrix'!F5&lt;&gt;""),'Skill Matrix'!A50,"")</f>
        <v/>
      </c>
      <c r="B707">
        <f>IF(A707="","",'Employees'!C8)</f>
        <v/>
      </c>
      <c r="C707">
        <f>IF(A707="","",'Employees'!D8)</f>
        <v/>
      </c>
      <c r="D707">
        <f>IF(A707="","",'Skill Matrix'!C50)</f>
        <v/>
      </c>
      <c r="E707">
        <f>IF(A707="","",'Skill Matrix'!D50)</f>
        <v/>
      </c>
      <c r="F707">
        <f>IF(AND('Skill Matrix'!A50&lt;&gt;"",'Skill Matrix'!F5&lt;&gt;""),'Skill Matrix'!F5,"")</f>
        <v/>
      </c>
      <c r="G707">
        <f>IF(OR(A707="",'Skill Matrix'!F50=""),"",'Skill Matrix'!F50)</f>
        <v/>
      </c>
      <c r="H707">
        <f>IF(A707="","",'Employees'!F8)</f>
        <v/>
      </c>
    </row>
    <row r="708">
      <c r="A708">
        <f>IF(AND('Skill Matrix'!A50&lt;&gt;"",'Skill Matrix'!G5&lt;&gt;""),'Skill Matrix'!A50,"")</f>
        <v/>
      </c>
      <c r="B708">
        <f>IF(A708="","",'Employees'!C8)</f>
        <v/>
      </c>
      <c r="C708">
        <f>IF(A708="","",'Employees'!D8)</f>
        <v/>
      </c>
      <c r="D708">
        <f>IF(A708="","",'Skill Matrix'!C50)</f>
        <v/>
      </c>
      <c r="E708">
        <f>IF(A708="","",'Skill Matrix'!D50)</f>
        <v/>
      </c>
      <c r="F708">
        <f>IF(AND('Skill Matrix'!A50&lt;&gt;"",'Skill Matrix'!G5&lt;&gt;""),'Skill Matrix'!G5,"")</f>
        <v/>
      </c>
      <c r="G708">
        <f>IF(OR(A708="",'Skill Matrix'!G50=""),"",'Skill Matrix'!G50)</f>
        <v/>
      </c>
      <c r="H708">
        <f>IF(A708="","",'Employees'!F8)</f>
        <v/>
      </c>
    </row>
    <row r="709">
      <c r="A709">
        <f>IF(AND('Skill Matrix'!A50&lt;&gt;"",'Skill Matrix'!H5&lt;&gt;""),'Skill Matrix'!A50,"")</f>
        <v/>
      </c>
      <c r="B709">
        <f>IF(A709="","",'Employees'!C8)</f>
        <v/>
      </c>
      <c r="C709">
        <f>IF(A709="","",'Employees'!D8)</f>
        <v/>
      </c>
      <c r="D709">
        <f>IF(A709="","",'Skill Matrix'!C50)</f>
        <v/>
      </c>
      <c r="E709">
        <f>IF(A709="","",'Skill Matrix'!D50)</f>
        <v/>
      </c>
      <c r="F709">
        <f>IF(AND('Skill Matrix'!A50&lt;&gt;"",'Skill Matrix'!H5&lt;&gt;""),'Skill Matrix'!H5,"")</f>
        <v/>
      </c>
      <c r="G709">
        <f>IF(OR(A709="",'Skill Matrix'!H50=""),"",'Skill Matrix'!H50)</f>
        <v/>
      </c>
      <c r="H709">
        <f>IF(A709="","",'Employees'!F8)</f>
        <v/>
      </c>
    </row>
    <row r="710">
      <c r="A710">
        <f>IF(AND('Skill Matrix'!A50&lt;&gt;"",'Skill Matrix'!I5&lt;&gt;""),'Skill Matrix'!A50,"")</f>
        <v/>
      </c>
      <c r="B710">
        <f>IF(A710="","",'Employees'!C8)</f>
        <v/>
      </c>
      <c r="C710">
        <f>IF(A710="","",'Employees'!D8)</f>
        <v/>
      </c>
      <c r="D710">
        <f>IF(A710="","",'Skill Matrix'!C50)</f>
        <v/>
      </c>
      <c r="E710">
        <f>IF(A710="","",'Skill Matrix'!D50)</f>
        <v/>
      </c>
      <c r="F710">
        <f>IF(AND('Skill Matrix'!A50&lt;&gt;"",'Skill Matrix'!I5&lt;&gt;""),'Skill Matrix'!I5,"")</f>
        <v/>
      </c>
      <c r="G710">
        <f>IF(OR(A710="",'Skill Matrix'!I50=""),"",'Skill Matrix'!I50)</f>
        <v/>
      </c>
      <c r="H710">
        <f>IF(A710="","",'Employees'!F8)</f>
        <v/>
      </c>
    </row>
    <row r="711">
      <c r="A711">
        <f>IF(AND('Skill Matrix'!A50&lt;&gt;"",'Skill Matrix'!J5&lt;&gt;""),'Skill Matrix'!A50,"")</f>
        <v/>
      </c>
      <c r="B711">
        <f>IF(A711="","",'Employees'!C8)</f>
        <v/>
      </c>
      <c r="C711">
        <f>IF(A711="","",'Employees'!D8)</f>
        <v/>
      </c>
      <c r="D711">
        <f>IF(A711="","",'Skill Matrix'!C50)</f>
        <v/>
      </c>
      <c r="E711">
        <f>IF(A711="","",'Skill Matrix'!D50)</f>
        <v/>
      </c>
      <c r="F711">
        <f>IF(AND('Skill Matrix'!A50&lt;&gt;"",'Skill Matrix'!J5&lt;&gt;""),'Skill Matrix'!J5,"")</f>
        <v/>
      </c>
      <c r="G711">
        <f>IF(OR(A711="",'Skill Matrix'!J50=""),"",'Skill Matrix'!J50)</f>
        <v/>
      </c>
      <c r="H711">
        <f>IF(A711="","",'Employees'!F8)</f>
        <v/>
      </c>
    </row>
    <row r="712">
      <c r="A712">
        <f>IF(AND('Skill Matrix'!A50&lt;&gt;"",'Skill Matrix'!K5&lt;&gt;""),'Skill Matrix'!A50,"")</f>
        <v/>
      </c>
      <c r="B712">
        <f>IF(A712="","",'Employees'!C8)</f>
        <v/>
      </c>
      <c r="C712">
        <f>IF(A712="","",'Employees'!D8)</f>
        <v/>
      </c>
      <c r="D712">
        <f>IF(A712="","",'Skill Matrix'!C50)</f>
        <v/>
      </c>
      <c r="E712">
        <f>IF(A712="","",'Skill Matrix'!D50)</f>
        <v/>
      </c>
      <c r="F712">
        <f>IF(AND('Skill Matrix'!A50&lt;&gt;"",'Skill Matrix'!K5&lt;&gt;""),'Skill Matrix'!K5,"")</f>
        <v/>
      </c>
      <c r="G712">
        <f>IF(OR(A712="",'Skill Matrix'!K50=""),"",'Skill Matrix'!K50)</f>
        <v/>
      </c>
      <c r="H712">
        <f>IF(A712="","",'Employees'!F8)</f>
        <v/>
      </c>
    </row>
    <row r="713">
      <c r="A713">
        <f>IF(AND('Skill Matrix'!A50&lt;&gt;"",'Skill Matrix'!L5&lt;&gt;""),'Skill Matrix'!A50,"")</f>
        <v/>
      </c>
      <c r="B713">
        <f>IF(A713="","",'Employees'!C8)</f>
        <v/>
      </c>
      <c r="C713">
        <f>IF(A713="","",'Employees'!D8)</f>
        <v/>
      </c>
      <c r="D713">
        <f>IF(A713="","",'Skill Matrix'!C50)</f>
        <v/>
      </c>
      <c r="E713">
        <f>IF(A713="","",'Skill Matrix'!D50)</f>
        <v/>
      </c>
      <c r="F713">
        <f>IF(AND('Skill Matrix'!A50&lt;&gt;"",'Skill Matrix'!L5&lt;&gt;""),'Skill Matrix'!L5,"")</f>
        <v/>
      </c>
      <c r="G713">
        <f>IF(OR(A713="",'Skill Matrix'!L50=""),"",'Skill Matrix'!L50)</f>
        <v/>
      </c>
      <c r="H713">
        <f>IF(A713="","",'Employees'!F8)</f>
        <v/>
      </c>
    </row>
    <row r="714">
      <c r="A714">
        <f>IF(AND('Skill Matrix'!A50&lt;&gt;"",'Skill Matrix'!M5&lt;&gt;""),'Skill Matrix'!A50,"")</f>
        <v/>
      </c>
      <c r="B714">
        <f>IF(A714="","",'Employees'!C8)</f>
        <v/>
      </c>
      <c r="C714">
        <f>IF(A714="","",'Employees'!D8)</f>
        <v/>
      </c>
      <c r="D714">
        <f>IF(A714="","",'Skill Matrix'!C50)</f>
        <v/>
      </c>
      <c r="E714">
        <f>IF(A714="","",'Skill Matrix'!D50)</f>
        <v/>
      </c>
      <c r="F714">
        <f>IF(AND('Skill Matrix'!A50&lt;&gt;"",'Skill Matrix'!M5&lt;&gt;""),'Skill Matrix'!M5,"")</f>
        <v/>
      </c>
      <c r="G714">
        <f>IF(OR(A714="",'Skill Matrix'!M50=""),"",'Skill Matrix'!M50)</f>
        <v/>
      </c>
      <c r="H714">
        <f>IF(A714="","",'Employees'!F8)</f>
        <v/>
      </c>
    </row>
    <row r="715">
      <c r="A715">
        <f>IF(AND('Skill Matrix'!A50&lt;&gt;"",'Skill Matrix'!N5&lt;&gt;""),'Skill Matrix'!A50,"")</f>
        <v/>
      </c>
      <c r="B715">
        <f>IF(A715="","",'Employees'!C8)</f>
        <v/>
      </c>
      <c r="C715">
        <f>IF(A715="","",'Employees'!D8)</f>
        <v/>
      </c>
      <c r="D715">
        <f>IF(A715="","",'Skill Matrix'!C50)</f>
        <v/>
      </c>
      <c r="E715">
        <f>IF(A715="","",'Skill Matrix'!D50)</f>
        <v/>
      </c>
      <c r="F715">
        <f>IF(AND('Skill Matrix'!A50&lt;&gt;"",'Skill Matrix'!N5&lt;&gt;""),'Skill Matrix'!N5,"")</f>
        <v/>
      </c>
      <c r="G715">
        <f>IF(OR(A715="",'Skill Matrix'!N50=""),"",'Skill Matrix'!N50)</f>
        <v/>
      </c>
      <c r="H715">
        <f>IF(A715="","",'Employees'!F8)</f>
        <v/>
      </c>
    </row>
    <row r="716">
      <c r="A716">
        <f>IF(AND('Skill Matrix'!A50&lt;&gt;"",'Skill Matrix'!O5&lt;&gt;""),'Skill Matrix'!A50,"")</f>
        <v/>
      </c>
      <c r="B716">
        <f>IF(A716="","",'Employees'!C8)</f>
        <v/>
      </c>
      <c r="C716">
        <f>IF(A716="","",'Employees'!D8)</f>
        <v/>
      </c>
      <c r="D716">
        <f>IF(A716="","",'Skill Matrix'!C50)</f>
        <v/>
      </c>
      <c r="E716">
        <f>IF(A716="","",'Skill Matrix'!D50)</f>
        <v/>
      </c>
      <c r="F716">
        <f>IF(AND('Skill Matrix'!A50&lt;&gt;"",'Skill Matrix'!O5&lt;&gt;""),'Skill Matrix'!O5,"")</f>
        <v/>
      </c>
      <c r="G716">
        <f>IF(OR(A716="",'Skill Matrix'!O50=""),"",'Skill Matrix'!O50)</f>
        <v/>
      </c>
      <c r="H716">
        <f>IF(A716="","",'Employees'!F8)</f>
        <v/>
      </c>
    </row>
    <row r="717">
      <c r="A717">
        <f>IF(AND('Skill Matrix'!A50&lt;&gt;"",'Skill Matrix'!P5&lt;&gt;""),'Skill Matrix'!A50,"")</f>
        <v/>
      </c>
      <c r="B717">
        <f>IF(A717="","",'Employees'!C8)</f>
        <v/>
      </c>
      <c r="C717">
        <f>IF(A717="","",'Employees'!D8)</f>
        <v/>
      </c>
      <c r="D717">
        <f>IF(A717="","",'Skill Matrix'!C50)</f>
        <v/>
      </c>
      <c r="E717">
        <f>IF(A717="","",'Skill Matrix'!D50)</f>
        <v/>
      </c>
      <c r="F717">
        <f>IF(AND('Skill Matrix'!A50&lt;&gt;"",'Skill Matrix'!P5&lt;&gt;""),'Skill Matrix'!P5,"")</f>
        <v/>
      </c>
      <c r="G717">
        <f>IF(OR(A717="",'Skill Matrix'!P50=""),"",'Skill Matrix'!P50)</f>
        <v/>
      </c>
      <c r="H717">
        <f>IF(A717="","",'Employees'!F8)</f>
        <v/>
      </c>
    </row>
    <row r="718">
      <c r="A718">
        <f>IF(AND('Skill Matrix'!A50&lt;&gt;"",'Skill Matrix'!Q5&lt;&gt;""),'Skill Matrix'!A50,"")</f>
        <v/>
      </c>
      <c r="B718">
        <f>IF(A718="","",'Employees'!C8)</f>
        <v/>
      </c>
      <c r="C718">
        <f>IF(A718="","",'Employees'!D8)</f>
        <v/>
      </c>
      <c r="D718">
        <f>IF(A718="","",'Skill Matrix'!C50)</f>
        <v/>
      </c>
      <c r="E718">
        <f>IF(A718="","",'Skill Matrix'!D50)</f>
        <v/>
      </c>
      <c r="F718">
        <f>IF(AND('Skill Matrix'!A50&lt;&gt;"",'Skill Matrix'!Q5&lt;&gt;""),'Skill Matrix'!Q5,"")</f>
        <v/>
      </c>
      <c r="G718">
        <f>IF(OR(A718="",'Skill Matrix'!Q50=""),"",'Skill Matrix'!Q50)</f>
        <v/>
      </c>
      <c r="H718">
        <f>IF(A718="","",'Employees'!F8)</f>
        <v/>
      </c>
    </row>
    <row r="719">
      <c r="A719">
        <f>IF(AND('Skill Matrix'!A50&lt;&gt;"",'Skill Matrix'!R5&lt;&gt;""),'Skill Matrix'!A50,"")</f>
        <v/>
      </c>
      <c r="B719">
        <f>IF(A719="","",'Employees'!C8)</f>
        <v/>
      </c>
      <c r="C719">
        <f>IF(A719="","",'Employees'!D8)</f>
        <v/>
      </c>
      <c r="D719">
        <f>IF(A719="","",'Skill Matrix'!C50)</f>
        <v/>
      </c>
      <c r="E719">
        <f>IF(A719="","",'Skill Matrix'!D50)</f>
        <v/>
      </c>
      <c r="F719">
        <f>IF(AND('Skill Matrix'!A50&lt;&gt;"",'Skill Matrix'!R5&lt;&gt;""),'Skill Matrix'!R5,"")</f>
        <v/>
      </c>
      <c r="G719">
        <f>IF(OR(A719="",'Skill Matrix'!R50=""),"",'Skill Matrix'!R50)</f>
        <v/>
      </c>
      <c r="H719">
        <f>IF(A719="","",'Employees'!F8)</f>
        <v/>
      </c>
    </row>
    <row r="720">
      <c r="A720">
        <f>IF(AND('Skill Matrix'!A50&lt;&gt;"",'Skill Matrix'!S5&lt;&gt;""),'Skill Matrix'!A50,"")</f>
        <v/>
      </c>
      <c r="B720">
        <f>IF(A720="","",'Employees'!C8)</f>
        <v/>
      </c>
      <c r="C720">
        <f>IF(A720="","",'Employees'!D8)</f>
        <v/>
      </c>
      <c r="D720">
        <f>IF(A720="","",'Skill Matrix'!C50)</f>
        <v/>
      </c>
      <c r="E720">
        <f>IF(A720="","",'Skill Matrix'!D50)</f>
        <v/>
      </c>
      <c r="F720">
        <f>IF(AND('Skill Matrix'!A50&lt;&gt;"",'Skill Matrix'!S5&lt;&gt;""),'Skill Matrix'!S5,"")</f>
        <v/>
      </c>
      <c r="G720">
        <f>IF(OR(A720="",'Skill Matrix'!S50=""),"",'Skill Matrix'!S50)</f>
        <v/>
      </c>
      <c r="H720">
        <f>IF(A720="","",'Employees'!F8)</f>
        <v/>
      </c>
    </row>
    <row r="721">
      <c r="A721">
        <f>IF(AND('Skill Matrix'!A50&lt;&gt;"",'Skill Matrix'!T5&lt;&gt;""),'Skill Matrix'!A50,"")</f>
        <v/>
      </c>
      <c r="B721">
        <f>IF(A721="","",'Employees'!C8)</f>
        <v/>
      </c>
      <c r="C721">
        <f>IF(A721="","",'Employees'!D8)</f>
        <v/>
      </c>
      <c r="D721">
        <f>IF(A721="","",'Skill Matrix'!C50)</f>
        <v/>
      </c>
      <c r="E721">
        <f>IF(A721="","",'Skill Matrix'!D50)</f>
        <v/>
      </c>
      <c r="F721">
        <f>IF(AND('Skill Matrix'!A50&lt;&gt;"",'Skill Matrix'!T5&lt;&gt;""),'Skill Matrix'!T5,"")</f>
        <v/>
      </c>
      <c r="G721">
        <f>IF(OR(A721="",'Skill Matrix'!T50=""),"",'Skill Matrix'!T50)</f>
        <v/>
      </c>
      <c r="H721">
        <f>IF(A721="","",'Employees'!F8)</f>
        <v/>
      </c>
    </row>
    <row r="722">
      <c r="A722">
        <f>IF(AND('Skill Matrix'!A51&lt;&gt;"",'Skill Matrix'!E5&lt;&gt;""),'Skill Matrix'!A51,"")</f>
        <v/>
      </c>
      <c r="B722">
        <f>IF(A722="","",'Employees'!C8)</f>
        <v/>
      </c>
      <c r="C722">
        <f>IF(A722="","",'Employees'!D8)</f>
        <v/>
      </c>
      <c r="D722">
        <f>IF(A722="","",'Skill Matrix'!C51)</f>
        <v/>
      </c>
      <c r="E722">
        <f>IF(A722="","",'Skill Matrix'!D51)</f>
        <v/>
      </c>
      <c r="F722">
        <f>IF(AND('Skill Matrix'!A51&lt;&gt;"",'Skill Matrix'!E5&lt;&gt;""),'Skill Matrix'!E5,"")</f>
        <v/>
      </c>
      <c r="G722">
        <f>IF(OR(A722="",'Skill Matrix'!E51=""),"",'Skill Matrix'!E51)</f>
        <v/>
      </c>
      <c r="H722">
        <f>IF(A722="","",'Employees'!F8)</f>
        <v/>
      </c>
    </row>
    <row r="723">
      <c r="A723">
        <f>IF(AND('Skill Matrix'!A51&lt;&gt;"",'Skill Matrix'!F5&lt;&gt;""),'Skill Matrix'!A51,"")</f>
        <v/>
      </c>
      <c r="B723">
        <f>IF(A723="","",'Employees'!C8)</f>
        <v/>
      </c>
      <c r="C723">
        <f>IF(A723="","",'Employees'!D8)</f>
        <v/>
      </c>
      <c r="D723">
        <f>IF(A723="","",'Skill Matrix'!C51)</f>
        <v/>
      </c>
      <c r="E723">
        <f>IF(A723="","",'Skill Matrix'!D51)</f>
        <v/>
      </c>
      <c r="F723">
        <f>IF(AND('Skill Matrix'!A51&lt;&gt;"",'Skill Matrix'!F5&lt;&gt;""),'Skill Matrix'!F5,"")</f>
        <v/>
      </c>
      <c r="G723">
        <f>IF(OR(A723="",'Skill Matrix'!F51=""),"",'Skill Matrix'!F51)</f>
        <v/>
      </c>
      <c r="H723">
        <f>IF(A723="","",'Employees'!F8)</f>
        <v/>
      </c>
    </row>
    <row r="724">
      <c r="A724">
        <f>IF(AND('Skill Matrix'!A51&lt;&gt;"",'Skill Matrix'!G5&lt;&gt;""),'Skill Matrix'!A51,"")</f>
        <v/>
      </c>
      <c r="B724">
        <f>IF(A724="","",'Employees'!C8)</f>
        <v/>
      </c>
      <c r="C724">
        <f>IF(A724="","",'Employees'!D8)</f>
        <v/>
      </c>
      <c r="D724">
        <f>IF(A724="","",'Skill Matrix'!C51)</f>
        <v/>
      </c>
      <c r="E724">
        <f>IF(A724="","",'Skill Matrix'!D51)</f>
        <v/>
      </c>
      <c r="F724">
        <f>IF(AND('Skill Matrix'!A51&lt;&gt;"",'Skill Matrix'!G5&lt;&gt;""),'Skill Matrix'!G5,"")</f>
        <v/>
      </c>
      <c r="G724">
        <f>IF(OR(A724="",'Skill Matrix'!G51=""),"",'Skill Matrix'!G51)</f>
        <v/>
      </c>
      <c r="H724">
        <f>IF(A724="","",'Employees'!F8)</f>
        <v/>
      </c>
    </row>
    <row r="725">
      <c r="A725">
        <f>IF(AND('Skill Matrix'!A51&lt;&gt;"",'Skill Matrix'!H5&lt;&gt;""),'Skill Matrix'!A51,"")</f>
        <v/>
      </c>
      <c r="B725">
        <f>IF(A725="","",'Employees'!C8)</f>
        <v/>
      </c>
      <c r="C725">
        <f>IF(A725="","",'Employees'!D8)</f>
        <v/>
      </c>
      <c r="D725">
        <f>IF(A725="","",'Skill Matrix'!C51)</f>
        <v/>
      </c>
      <c r="E725">
        <f>IF(A725="","",'Skill Matrix'!D51)</f>
        <v/>
      </c>
      <c r="F725">
        <f>IF(AND('Skill Matrix'!A51&lt;&gt;"",'Skill Matrix'!H5&lt;&gt;""),'Skill Matrix'!H5,"")</f>
        <v/>
      </c>
      <c r="G725">
        <f>IF(OR(A725="",'Skill Matrix'!H51=""),"",'Skill Matrix'!H51)</f>
        <v/>
      </c>
      <c r="H725">
        <f>IF(A725="","",'Employees'!F8)</f>
        <v/>
      </c>
    </row>
    <row r="726">
      <c r="A726">
        <f>IF(AND('Skill Matrix'!A51&lt;&gt;"",'Skill Matrix'!I5&lt;&gt;""),'Skill Matrix'!A51,"")</f>
        <v/>
      </c>
      <c r="B726">
        <f>IF(A726="","",'Employees'!C8)</f>
        <v/>
      </c>
      <c r="C726">
        <f>IF(A726="","",'Employees'!D8)</f>
        <v/>
      </c>
      <c r="D726">
        <f>IF(A726="","",'Skill Matrix'!C51)</f>
        <v/>
      </c>
      <c r="E726">
        <f>IF(A726="","",'Skill Matrix'!D51)</f>
        <v/>
      </c>
      <c r="F726">
        <f>IF(AND('Skill Matrix'!A51&lt;&gt;"",'Skill Matrix'!I5&lt;&gt;""),'Skill Matrix'!I5,"")</f>
        <v/>
      </c>
      <c r="G726">
        <f>IF(OR(A726="",'Skill Matrix'!I51=""),"",'Skill Matrix'!I51)</f>
        <v/>
      </c>
      <c r="H726">
        <f>IF(A726="","",'Employees'!F8)</f>
        <v/>
      </c>
    </row>
    <row r="727">
      <c r="A727">
        <f>IF(AND('Skill Matrix'!A51&lt;&gt;"",'Skill Matrix'!J5&lt;&gt;""),'Skill Matrix'!A51,"")</f>
        <v/>
      </c>
      <c r="B727">
        <f>IF(A727="","",'Employees'!C8)</f>
        <v/>
      </c>
      <c r="C727">
        <f>IF(A727="","",'Employees'!D8)</f>
        <v/>
      </c>
      <c r="D727">
        <f>IF(A727="","",'Skill Matrix'!C51)</f>
        <v/>
      </c>
      <c r="E727">
        <f>IF(A727="","",'Skill Matrix'!D51)</f>
        <v/>
      </c>
      <c r="F727">
        <f>IF(AND('Skill Matrix'!A51&lt;&gt;"",'Skill Matrix'!J5&lt;&gt;""),'Skill Matrix'!J5,"")</f>
        <v/>
      </c>
      <c r="G727">
        <f>IF(OR(A727="",'Skill Matrix'!J51=""),"",'Skill Matrix'!J51)</f>
        <v/>
      </c>
      <c r="H727">
        <f>IF(A727="","",'Employees'!F8)</f>
        <v/>
      </c>
    </row>
    <row r="728">
      <c r="A728">
        <f>IF(AND('Skill Matrix'!A51&lt;&gt;"",'Skill Matrix'!K5&lt;&gt;""),'Skill Matrix'!A51,"")</f>
        <v/>
      </c>
      <c r="B728">
        <f>IF(A728="","",'Employees'!C8)</f>
        <v/>
      </c>
      <c r="C728">
        <f>IF(A728="","",'Employees'!D8)</f>
        <v/>
      </c>
      <c r="D728">
        <f>IF(A728="","",'Skill Matrix'!C51)</f>
        <v/>
      </c>
      <c r="E728">
        <f>IF(A728="","",'Skill Matrix'!D51)</f>
        <v/>
      </c>
      <c r="F728">
        <f>IF(AND('Skill Matrix'!A51&lt;&gt;"",'Skill Matrix'!K5&lt;&gt;""),'Skill Matrix'!K5,"")</f>
        <v/>
      </c>
      <c r="G728">
        <f>IF(OR(A728="",'Skill Matrix'!K51=""),"",'Skill Matrix'!K51)</f>
        <v/>
      </c>
      <c r="H728">
        <f>IF(A728="","",'Employees'!F8)</f>
        <v/>
      </c>
    </row>
    <row r="729">
      <c r="A729">
        <f>IF(AND('Skill Matrix'!A51&lt;&gt;"",'Skill Matrix'!L5&lt;&gt;""),'Skill Matrix'!A51,"")</f>
        <v/>
      </c>
      <c r="B729">
        <f>IF(A729="","",'Employees'!C8)</f>
        <v/>
      </c>
      <c r="C729">
        <f>IF(A729="","",'Employees'!D8)</f>
        <v/>
      </c>
      <c r="D729">
        <f>IF(A729="","",'Skill Matrix'!C51)</f>
        <v/>
      </c>
      <c r="E729">
        <f>IF(A729="","",'Skill Matrix'!D51)</f>
        <v/>
      </c>
      <c r="F729">
        <f>IF(AND('Skill Matrix'!A51&lt;&gt;"",'Skill Matrix'!L5&lt;&gt;""),'Skill Matrix'!L5,"")</f>
        <v/>
      </c>
      <c r="G729">
        <f>IF(OR(A729="",'Skill Matrix'!L51=""),"",'Skill Matrix'!L51)</f>
        <v/>
      </c>
      <c r="H729">
        <f>IF(A729="","",'Employees'!F8)</f>
        <v/>
      </c>
    </row>
    <row r="730">
      <c r="A730">
        <f>IF(AND('Skill Matrix'!A51&lt;&gt;"",'Skill Matrix'!M5&lt;&gt;""),'Skill Matrix'!A51,"")</f>
        <v/>
      </c>
      <c r="B730">
        <f>IF(A730="","",'Employees'!C8)</f>
        <v/>
      </c>
      <c r="C730">
        <f>IF(A730="","",'Employees'!D8)</f>
        <v/>
      </c>
      <c r="D730">
        <f>IF(A730="","",'Skill Matrix'!C51)</f>
        <v/>
      </c>
      <c r="E730">
        <f>IF(A730="","",'Skill Matrix'!D51)</f>
        <v/>
      </c>
      <c r="F730">
        <f>IF(AND('Skill Matrix'!A51&lt;&gt;"",'Skill Matrix'!M5&lt;&gt;""),'Skill Matrix'!M5,"")</f>
        <v/>
      </c>
      <c r="G730">
        <f>IF(OR(A730="",'Skill Matrix'!M51=""),"",'Skill Matrix'!M51)</f>
        <v/>
      </c>
      <c r="H730">
        <f>IF(A730="","",'Employees'!F8)</f>
        <v/>
      </c>
    </row>
    <row r="731">
      <c r="A731">
        <f>IF(AND('Skill Matrix'!A51&lt;&gt;"",'Skill Matrix'!N5&lt;&gt;""),'Skill Matrix'!A51,"")</f>
        <v/>
      </c>
      <c r="B731">
        <f>IF(A731="","",'Employees'!C8)</f>
        <v/>
      </c>
      <c r="C731">
        <f>IF(A731="","",'Employees'!D8)</f>
        <v/>
      </c>
      <c r="D731">
        <f>IF(A731="","",'Skill Matrix'!C51)</f>
        <v/>
      </c>
      <c r="E731">
        <f>IF(A731="","",'Skill Matrix'!D51)</f>
        <v/>
      </c>
      <c r="F731">
        <f>IF(AND('Skill Matrix'!A51&lt;&gt;"",'Skill Matrix'!N5&lt;&gt;""),'Skill Matrix'!N5,"")</f>
        <v/>
      </c>
      <c r="G731">
        <f>IF(OR(A731="",'Skill Matrix'!N51=""),"",'Skill Matrix'!N51)</f>
        <v/>
      </c>
      <c r="H731">
        <f>IF(A731="","",'Employees'!F8)</f>
        <v/>
      </c>
    </row>
    <row r="732">
      <c r="A732">
        <f>IF(AND('Skill Matrix'!A51&lt;&gt;"",'Skill Matrix'!O5&lt;&gt;""),'Skill Matrix'!A51,"")</f>
        <v/>
      </c>
      <c r="B732">
        <f>IF(A732="","",'Employees'!C8)</f>
        <v/>
      </c>
      <c r="C732">
        <f>IF(A732="","",'Employees'!D8)</f>
        <v/>
      </c>
      <c r="D732">
        <f>IF(A732="","",'Skill Matrix'!C51)</f>
        <v/>
      </c>
      <c r="E732">
        <f>IF(A732="","",'Skill Matrix'!D51)</f>
        <v/>
      </c>
      <c r="F732">
        <f>IF(AND('Skill Matrix'!A51&lt;&gt;"",'Skill Matrix'!O5&lt;&gt;""),'Skill Matrix'!O5,"")</f>
        <v/>
      </c>
      <c r="G732">
        <f>IF(OR(A732="",'Skill Matrix'!O51=""),"",'Skill Matrix'!O51)</f>
        <v/>
      </c>
      <c r="H732">
        <f>IF(A732="","",'Employees'!F8)</f>
        <v/>
      </c>
    </row>
    <row r="733">
      <c r="A733">
        <f>IF(AND('Skill Matrix'!A51&lt;&gt;"",'Skill Matrix'!P5&lt;&gt;""),'Skill Matrix'!A51,"")</f>
        <v/>
      </c>
      <c r="B733">
        <f>IF(A733="","",'Employees'!C8)</f>
        <v/>
      </c>
      <c r="C733">
        <f>IF(A733="","",'Employees'!D8)</f>
        <v/>
      </c>
      <c r="D733">
        <f>IF(A733="","",'Skill Matrix'!C51)</f>
        <v/>
      </c>
      <c r="E733">
        <f>IF(A733="","",'Skill Matrix'!D51)</f>
        <v/>
      </c>
      <c r="F733">
        <f>IF(AND('Skill Matrix'!A51&lt;&gt;"",'Skill Matrix'!P5&lt;&gt;""),'Skill Matrix'!P5,"")</f>
        <v/>
      </c>
      <c r="G733">
        <f>IF(OR(A733="",'Skill Matrix'!P51=""),"",'Skill Matrix'!P51)</f>
        <v/>
      </c>
      <c r="H733">
        <f>IF(A733="","",'Employees'!F8)</f>
        <v/>
      </c>
    </row>
    <row r="734">
      <c r="A734">
        <f>IF(AND('Skill Matrix'!A51&lt;&gt;"",'Skill Matrix'!Q5&lt;&gt;""),'Skill Matrix'!A51,"")</f>
        <v/>
      </c>
      <c r="B734">
        <f>IF(A734="","",'Employees'!C8)</f>
        <v/>
      </c>
      <c r="C734">
        <f>IF(A734="","",'Employees'!D8)</f>
        <v/>
      </c>
      <c r="D734">
        <f>IF(A734="","",'Skill Matrix'!C51)</f>
        <v/>
      </c>
      <c r="E734">
        <f>IF(A734="","",'Skill Matrix'!D51)</f>
        <v/>
      </c>
      <c r="F734">
        <f>IF(AND('Skill Matrix'!A51&lt;&gt;"",'Skill Matrix'!Q5&lt;&gt;""),'Skill Matrix'!Q5,"")</f>
        <v/>
      </c>
      <c r="G734">
        <f>IF(OR(A734="",'Skill Matrix'!Q51=""),"",'Skill Matrix'!Q51)</f>
        <v/>
      </c>
      <c r="H734">
        <f>IF(A734="","",'Employees'!F8)</f>
        <v/>
      </c>
    </row>
    <row r="735">
      <c r="A735">
        <f>IF(AND('Skill Matrix'!A51&lt;&gt;"",'Skill Matrix'!R5&lt;&gt;""),'Skill Matrix'!A51,"")</f>
        <v/>
      </c>
      <c r="B735">
        <f>IF(A735="","",'Employees'!C8)</f>
        <v/>
      </c>
      <c r="C735">
        <f>IF(A735="","",'Employees'!D8)</f>
        <v/>
      </c>
      <c r="D735">
        <f>IF(A735="","",'Skill Matrix'!C51)</f>
        <v/>
      </c>
      <c r="E735">
        <f>IF(A735="","",'Skill Matrix'!D51)</f>
        <v/>
      </c>
      <c r="F735">
        <f>IF(AND('Skill Matrix'!A51&lt;&gt;"",'Skill Matrix'!R5&lt;&gt;""),'Skill Matrix'!R5,"")</f>
        <v/>
      </c>
      <c r="G735">
        <f>IF(OR(A735="",'Skill Matrix'!R51=""),"",'Skill Matrix'!R51)</f>
        <v/>
      </c>
      <c r="H735">
        <f>IF(A735="","",'Employees'!F8)</f>
        <v/>
      </c>
    </row>
    <row r="736">
      <c r="A736">
        <f>IF(AND('Skill Matrix'!A51&lt;&gt;"",'Skill Matrix'!S5&lt;&gt;""),'Skill Matrix'!A51,"")</f>
        <v/>
      </c>
      <c r="B736">
        <f>IF(A736="","",'Employees'!C8)</f>
        <v/>
      </c>
      <c r="C736">
        <f>IF(A736="","",'Employees'!D8)</f>
        <v/>
      </c>
      <c r="D736">
        <f>IF(A736="","",'Skill Matrix'!C51)</f>
        <v/>
      </c>
      <c r="E736">
        <f>IF(A736="","",'Skill Matrix'!D51)</f>
        <v/>
      </c>
      <c r="F736">
        <f>IF(AND('Skill Matrix'!A51&lt;&gt;"",'Skill Matrix'!S5&lt;&gt;""),'Skill Matrix'!S5,"")</f>
        <v/>
      </c>
      <c r="G736">
        <f>IF(OR(A736="",'Skill Matrix'!S51=""),"",'Skill Matrix'!S51)</f>
        <v/>
      </c>
      <c r="H736">
        <f>IF(A736="","",'Employees'!F8)</f>
        <v/>
      </c>
    </row>
    <row r="737">
      <c r="A737">
        <f>IF(AND('Skill Matrix'!A51&lt;&gt;"",'Skill Matrix'!T5&lt;&gt;""),'Skill Matrix'!A51,"")</f>
        <v/>
      </c>
      <c r="B737">
        <f>IF(A737="","",'Employees'!C8)</f>
        <v/>
      </c>
      <c r="C737">
        <f>IF(A737="","",'Employees'!D8)</f>
        <v/>
      </c>
      <c r="D737">
        <f>IF(A737="","",'Skill Matrix'!C51)</f>
        <v/>
      </c>
      <c r="E737">
        <f>IF(A737="","",'Skill Matrix'!D51)</f>
        <v/>
      </c>
      <c r="F737">
        <f>IF(AND('Skill Matrix'!A51&lt;&gt;"",'Skill Matrix'!T5&lt;&gt;""),'Skill Matrix'!T5,"")</f>
        <v/>
      </c>
      <c r="G737">
        <f>IF(OR(A737="",'Skill Matrix'!T51=""),"",'Skill Matrix'!T51)</f>
        <v/>
      </c>
      <c r="H737">
        <f>IF(A737="","",'Employees'!F8)</f>
        <v/>
      </c>
    </row>
    <row r="738">
      <c r="A738">
        <f>IF(AND('Skill Matrix'!A52&lt;&gt;"",'Skill Matrix'!E5&lt;&gt;""),'Skill Matrix'!A52,"")</f>
        <v/>
      </c>
      <c r="B738">
        <f>IF(A738="","",'Employees'!C8)</f>
        <v/>
      </c>
      <c r="C738">
        <f>IF(A738="","",'Employees'!D8)</f>
        <v/>
      </c>
      <c r="D738">
        <f>IF(A738="","",'Skill Matrix'!C52)</f>
        <v/>
      </c>
      <c r="E738">
        <f>IF(A738="","",'Skill Matrix'!D52)</f>
        <v/>
      </c>
      <c r="F738">
        <f>IF(AND('Skill Matrix'!A52&lt;&gt;"",'Skill Matrix'!E5&lt;&gt;""),'Skill Matrix'!E5,"")</f>
        <v/>
      </c>
      <c r="G738">
        <f>IF(OR(A738="",'Skill Matrix'!E52=""),"",'Skill Matrix'!E52)</f>
        <v/>
      </c>
      <c r="H738">
        <f>IF(A738="","",'Employees'!F8)</f>
        <v/>
      </c>
    </row>
    <row r="739">
      <c r="A739">
        <f>IF(AND('Skill Matrix'!A52&lt;&gt;"",'Skill Matrix'!F5&lt;&gt;""),'Skill Matrix'!A52,"")</f>
        <v/>
      </c>
      <c r="B739">
        <f>IF(A739="","",'Employees'!C8)</f>
        <v/>
      </c>
      <c r="C739">
        <f>IF(A739="","",'Employees'!D8)</f>
        <v/>
      </c>
      <c r="D739">
        <f>IF(A739="","",'Skill Matrix'!C52)</f>
        <v/>
      </c>
      <c r="E739">
        <f>IF(A739="","",'Skill Matrix'!D52)</f>
        <v/>
      </c>
      <c r="F739">
        <f>IF(AND('Skill Matrix'!A52&lt;&gt;"",'Skill Matrix'!F5&lt;&gt;""),'Skill Matrix'!F5,"")</f>
        <v/>
      </c>
      <c r="G739">
        <f>IF(OR(A739="",'Skill Matrix'!F52=""),"",'Skill Matrix'!F52)</f>
        <v/>
      </c>
      <c r="H739">
        <f>IF(A739="","",'Employees'!F8)</f>
        <v/>
      </c>
    </row>
    <row r="740">
      <c r="A740">
        <f>IF(AND('Skill Matrix'!A52&lt;&gt;"",'Skill Matrix'!G5&lt;&gt;""),'Skill Matrix'!A52,"")</f>
        <v/>
      </c>
      <c r="B740">
        <f>IF(A740="","",'Employees'!C8)</f>
        <v/>
      </c>
      <c r="C740">
        <f>IF(A740="","",'Employees'!D8)</f>
        <v/>
      </c>
      <c r="D740">
        <f>IF(A740="","",'Skill Matrix'!C52)</f>
        <v/>
      </c>
      <c r="E740">
        <f>IF(A740="","",'Skill Matrix'!D52)</f>
        <v/>
      </c>
      <c r="F740">
        <f>IF(AND('Skill Matrix'!A52&lt;&gt;"",'Skill Matrix'!G5&lt;&gt;""),'Skill Matrix'!G5,"")</f>
        <v/>
      </c>
      <c r="G740">
        <f>IF(OR(A740="",'Skill Matrix'!G52=""),"",'Skill Matrix'!G52)</f>
        <v/>
      </c>
      <c r="H740">
        <f>IF(A740="","",'Employees'!F8)</f>
        <v/>
      </c>
    </row>
    <row r="741">
      <c r="A741">
        <f>IF(AND('Skill Matrix'!A52&lt;&gt;"",'Skill Matrix'!H5&lt;&gt;""),'Skill Matrix'!A52,"")</f>
        <v/>
      </c>
      <c r="B741">
        <f>IF(A741="","",'Employees'!C8)</f>
        <v/>
      </c>
      <c r="C741">
        <f>IF(A741="","",'Employees'!D8)</f>
        <v/>
      </c>
      <c r="D741">
        <f>IF(A741="","",'Skill Matrix'!C52)</f>
        <v/>
      </c>
      <c r="E741">
        <f>IF(A741="","",'Skill Matrix'!D52)</f>
        <v/>
      </c>
      <c r="F741">
        <f>IF(AND('Skill Matrix'!A52&lt;&gt;"",'Skill Matrix'!H5&lt;&gt;""),'Skill Matrix'!H5,"")</f>
        <v/>
      </c>
      <c r="G741">
        <f>IF(OR(A741="",'Skill Matrix'!H52=""),"",'Skill Matrix'!H52)</f>
        <v/>
      </c>
      <c r="H741">
        <f>IF(A741="","",'Employees'!F8)</f>
        <v/>
      </c>
    </row>
    <row r="742">
      <c r="A742">
        <f>IF(AND('Skill Matrix'!A52&lt;&gt;"",'Skill Matrix'!I5&lt;&gt;""),'Skill Matrix'!A52,"")</f>
        <v/>
      </c>
      <c r="B742">
        <f>IF(A742="","",'Employees'!C8)</f>
        <v/>
      </c>
      <c r="C742">
        <f>IF(A742="","",'Employees'!D8)</f>
        <v/>
      </c>
      <c r="D742">
        <f>IF(A742="","",'Skill Matrix'!C52)</f>
        <v/>
      </c>
      <c r="E742">
        <f>IF(A742="","",'Skill Matrix'!D52)</f>
        <v/>
      </c>
      <c r="F742">
        <f>IF(AND('Skill Matrix'!A52&lt;&gt;"",'Skill Matrix'!I5&lt;&gt;""),'Skill Matrix'!I5,"")</f>
        <v/>
      </c>
      <c r="G742">
        <f>IF(OR(A742="",'Skill Matrix'!I52=""),"",'Skill Matrix'!I52)</f>
        <v/>
      </c>
      <c r="H742">
        <f>IF(A742="","",'Employees'!F8)</f>
        <v/>
      </c>
    </row>
    <row r="743">
      <c r="A743">
        <f>IF(AND('Skill Matrix'!A52&lt;&gt;"",'Skill Matrix'!J5&lt;&gt;""),'Skill Matrix'!A52,"")</f>
        <v/>
      </c>
      <c r="B743">
        <f>IF(A743="","",'Employees'!C8)</f>
        <v/>
      </c>
      <c r="C743">
        <f>IF(A743="","",'Employees'!D8)</f>
        <v/>
      </c>
      <c r="D743">
        <f>IF(A743="","",'Skill Matrix'!C52)</f>
        <v/>
      </c>
      <c r="E743">
        <f>IF(A743="","",'Skill Matrix'!D52)</f>
        <v/>
      </c>
      <c r="F743">
        <f>IF(AND('Skill Matrix'!A52&lt;&gt;"",'Skill Matrix'!J5&lt;&gt;""),'Skill Matrix'!J5,"")</f>
        <v/>
      </c>
      <c r="G743">
        <f>IF(OR(A743="",'Skill Matrix'!J52=""),"",'Skill Matrix'!J52)</f>
        <v/>
      </c>
      <c r="H743">
        <f>IF(A743="","",'Employees'!F8)</f>
        <v/>
      </c>
    </row>
    <row r="744">
      <c r="A744">
        <f>IF(AND('Skill Matrix'!A52&lt;&gt;"",'Skill Matrix'!K5&lt;&gt;""),'Skill Matrix'!A52,"")</f>
        <v/>
      </c>
      <c r="B744">
        <f>IF(A744="","",'Employees'!C8)</f>
        <v/>
      </c>
      <c r="C744">
        <f>IF(A744="","",'Employees'!D8)</f>
        <v/>
      </c>
      <c r="D744">
        <f>IF(A744="","",'Skill Matrix'!C52)</f>
        <v/>
      </c>
      <c r="E744">
        <f>IF(A744="","",'Skill Matrix'!D52)</f>
        <v/>
      </c>
      <c r="F744">
        <f>IF(AND('Skill Matrix'!A52&lt;&gt;"",'Skill Matrix'!K5&lt;&gt;""),'Skill Matrix'!K5,"")</f>
        <v/>
      </c>
      <c r="G744">
        <f>IF(OR(A744="",'Skill Matrix'!K52=""),"",'Skill Matrix'!K52)</f>
        <v/>
      </c>
      <c r="H744">
        <f>IF(A744="","",'Employees'!F8)</f>
        <v/>
      </c>
    </row>
    <row r="745">
      <c r="A745">
        <f>IF(AND('Skill Matrix'!A52&lt;&gt;"",'Skill Matrix'!L5&lt;&gt;""),'Skill Matrix'!A52,"")</f>
        <v/>
      </c>
      <c r="B745">
        <f>IF(A745="","",'Employees'!C8)</f>
        <v/>
      </c>
      <c r="C745">
        <f>IF(A745="","",'Employees'!D8)</f>
        <v/>
      </c>
      <c r="D745">
        <f>IF(A745="","",'Skill Matrix'!C52)</f>
        <v/>
      </c>
      <c r="E745">
        <f>IF(A745="","",'Skill Matrix'!D52)</f>
        <v/>
      </c>
      <c r="F745">
        <f>IF(AND('Skill Matrix'!A52&lt;&gt;"",'Skill Matrix'!L5&lt;&gt;""),'Skill Matrix'!L5,"")</f>
        <v/>
      </c>
      <c r="G745">
        <f>IF(OR(A745="",'Skill Matrix'!L52=""),"",'Skill Matrix'!L52)</f>
        <v/>
      </c>
      <c r="H745">
        <f>IF(A745="","",'Employees'!F8)</f>
        <v/>
      </c>
    </row>
    <row r="746">
      <c r="A746">
        <f>IF(AND('Skill Matrix'!A52&lt;&gt;"",'Skill Matrix'!M5&lt;&gt;""),'Skill Matrix'!A52,"")</f>
        <v/>
      </c>
      <c r="B746">
        <f>IF(A746="","",'Employees'!C8)</f>
        <v/>
      </c>
      <c r="C746">
        <f>IF(A746="","",'Employees'!D8)</f>
        <v/>
      </c>
      <c r="D746">
        <f>IF(A746="","",'Skill Matrix'!C52)</f>
        <v/>
      </c>
      <c r="E746">
        <f>IF(A746="","",'Skill Matrix'!D52)</f>
        <v/>
      </c>
      <c r="F746">
        <f>IF(AND('Skill Matrix'!A52&lt;&gt;"",'Skill Matrix'!M5&lt;&gt;""),'Skill Matrix'!M5,"")</f>
        <v/>
      </c>
      <c r="G746">
        <f>IF(OR(A746="",'Skill Matrix'!M52=""),"",'Skill Matrix'!M52)</f>
        <v/>
      </c>
      <c r="H746">
        <f>IF(A746="","",'Employees'!F8)</f>
        <v/>
      </c>
    </row>
    <row r="747">
      <c r="A747">
        <f>IF(AND('Skill Matrix'!A52&lt;&gt;"",'Skill Matrix'!N5&lt;&gt;""),'Skill Matrix'!A52,"")</f>
        <v/>
      </c>
      <c r="B747">
        <f>IF(A747="","",'Employees'!C8)</f>
        <v/>
      </c>
      <c r="C747">
        <f>IF(A747="","",'Employees'!D8)</f>
        <v/>
      </c>
      <c r="D747">
        <f>IF(A747="","",'Skill Matrix'!C52)</f>
        <v/>
      </c>
      <c r="E747">
        <f>IF(A747="","",'Skill Matrix'!D52)</f>
        <v/>
      </c>
      <c r="F747">
        <f>IF(AND('Skill Matrix'!A52&lt;&gt;"",'Skill Matrix'!N5&lt;&gt;""),'Skill Matrix'!N5,"")</f>
        <v/>
      </c>
      <c r="G747">
        <f>IF(OR(A747="",'Skill Matrix'!N52=""),"",'Skill Matrix'!N52)</f>
        <v/>
      </c>
      <c r="H747">
        <f>IF(A747="","",'Employees'!F8)</f>
        <v/>
      </c>
    </row>
    <row r="748">
      <c r="A748">
        <f>IF(AND('Skill Matrix'!A52&lt;&gt;"",'Skill Matrix'!O5&lt;&gt;""),'Skill Matrix'!A52,"")</f>
        <v/>
      </c>
      <c r="B748">
        <f>IF(A748="","",'Employees'!C8)</f>
        <v/>
      </c>
      <c r="C748">
        <f>IF(A748="","",'Employees'!D8)</f>
        <v/>
      </c>
      <c r="D748">
        <f>IF(A748="","",'Skill Matrix'!C52)</f>
        <v/>
      </c>
      <c r="E748">
        <f>IF(A748="","",'Skill Matrix'!D52)</f>
        <v/>
      </c>
      <c r="F748">
        <f>IF(AND('Skill Matrix'!A52&lt;&gt;"",'Skill Matrix'!O5&lt;&gt;""),'Skill Matrix'!O5,"")</f>
        <v/>
      </c>
      <c r="G748">
        <f>IF(OR(A748="",'Skill Matrix'!O52=""),"",'Skill Matrix'!O52)</f>
        <v/>
      </c>
      <c r="H748">
        <f>IF(A748="","",'Employees'!F8)</f>
        <v/>
      </c>
    </row>
    <row r="749">
      <c r="A749">
        <f>IF(AND('Skill Matrix'!A52&lt;&gt;"",'Skill Matrix'!P5&lt;&gt;""),'Skill Matrix'!A52,"")</f>
        <v/>
      </c>
      <c r="B749">
        <f>IF(A749="","",'Employees'!C8)</f>
        <v/>
      </c>
      <c r="C749">
        <f>IF(A749="","",'Employees'!D8)</f>
        <v/>
      </c>
      <c r="D749">
        <f>IF(A749="","",'Skill Matrix'!C52)</f>
        <v/>
      </c>
      <c r="E749">
        <f>IF(A749="","",'Skill Matrix'!D52)</f>
        <v/>
      </c>
      <c r="F749">
        <f>IF(AND('Skill Matrix'!A52&lt;&gt;"",'Skill Matrix'!P5&lt;&gt;""),'Skill Matrix'!P5,"")</f>
        <v/>
      </c>
      <c r="G749">
        <f>IF(OR(A749="",'Skill Matrix'!P52=""),"",'Skill Matrix'!P52)</f>
        <v/>
      </c>
      <c r="H749">
        <f>IF(A749="","",'Employees'!F8)</f>
        <v/>
      </c>
    </row>
    <row r="750">
      <c r="A750">
        <f>IF(AND('Skill Matrix'!A52&lt;&gt;"",'Skill Matrix'!Q5&lt;&gt;""),'Skill Matrix'!A52,"")</f>
        <v/>
      </c>
      <c r="B750">
        <f>IF(A750="","",'Employees'!C8)</f>
        <v/>
      </c>
      <c r="C750">
        <f>IF(A750="","",'Employees'!D8)</f>
        <v/>
      </c>
      <c r="D750">
        <f>IF(A750="","",'Skill Matrix'!C52)</f>
        <v/>
      </c>
      <c r="E750">
        <f>IF(A750="","",'Skill Matrix'!D52)</f>
        <v/>
      </c>
      <c r="F750">
        <f>IF(AND('Skill Matrix'!A52&lt;&gt;"",'Skill Matrix'!Q5&lt;&gt;""),'Skill Matrix'!Q5,"")</f>
        <v/>
      </c>
      <c r="G750">
        <f>IF(OR(A750="",'Skill Matrix'!Q52=""),"",'Skill Matrix'!Q52)</f>
        <v/>
      </c>
      <c r="H750">
        <f>IF(A750="","",'Employees'!F8)</f>
        <v/>
      </c>
    </row>
    <row r="751">
      <c r="A751">
        <f>IF(AND('Skill Matrix'!A52&lt;&gt;"",'Skill Matrix'!R5&lt;&gt;""),'Skill Matrix'!A52,"")</f>
        <v/>
      </c>
      <c r="B751">
        <f>IF(A751="","",'Employees'!C8)</f>
        <v/>
      </c>
      <c r="C751">
        <f>IF(A751="","",'Employees'!D8)</f>
        <v/>
      </c>
      <c r="D751">
        <f>IF(A751="","",'Skill Matrix'!C52)</f>
        <v/>
      </c>
      <c r="E751">
        <f>IF(A751="","",'Skill Matrix'!D52)</f>
        <v/>
      </c>
      <c r="F751">
        <f>IF(AND('Skill Matrix'!A52&lt;&gt;"",'Skill Matrix'!R5&lt;&gt;""),'Skill Matrix'!R5,"")</f>
        <v/>
      </c>
      <c r="G751">
        <f>IF(OR(A751="",'Skill Matrix'!R52=""),"",'Skill Matrix'!R52)</f>
        <v/>
      </c>
      <c r="H751">
        <f>IF(A751="","",'Employees'!F8)</f>
        <v/>
      </c>
    </row>
    <row r="752">
      <c r="A752">
        <f>IF(AND('Skill Matrix'!A52&lt;&gt;"",'Skill Matrix'!S5&lt;&gt;""),'Skill Matrix'!A52,"")</f>
        <v/>
      </c>
      <c r="B752">
        <f>IF(A752="","",'Employees'!C8)</f>
        <v/>
      </c>
      <c r="C752">
        <f>IF(A752="","",'Employees'!D8)</f>
        <v/>
      </c>
      <c r="D752">
        <f>IF(A752="","",'Skill Matrix'!C52)</f>
        <v/>
      </c>
      <c r="E752">
        <f>IF(A752="","",'Skill Matrix'!D52)</f>
        <v/>
      </c>
      <c r="F752">
        <f>IF(AND('Skill Matrix'!A52&lt;&gt;"",'Skill Matrix'!S5&lt;&gt;""),'Skill Matrix'!S5,"")</f>
        <v/>
      </c>
      <c r="G752">
        <f>IF(OR(A752="",'Skill Matrix'!S52=""),"",'Skill Matrix'!S52)</f>
        <v/>
      </c>
      <c r="H752">
        <f>IF(A752="","",'Employees'!F8)</f>
        <v/>
      </c>
    </row>
    <row r="753">
      <c r="A753">
        <f>IF(AND('Skill Matrix'!A52&lt;&gt;"",'Skill Matrix'!T5&lt;&gt;""),'Skill Matrix'!A52,"")</f>
        <v/>
      </c>
      <c r="B753">
        <f>IF(A753="","",'Employees'!C8)</f>
        <v/>
      </c>
      <c r="C753">
        <f>IF(A753="","",'Employees'!D8)</f>
        <v/>
      </c>
      <c r="D753">
        <f>IF(A753="","",'Skill Matrix'!C52)</f>
        <v/>
      </c>
      <c r="E753">
        <f>IF(A753="","",'Skill Matrix'!D52)</f>
        <v/>
      </c>
      <c r="F753">
        <f>IF(AND('Skill Matrix'!A52&lt;&gt;"",'Skill Matrix'!T5&lt;&gt;""),'Skill Matrix'!T5,"")</f>
        <v/>
      </c>
      <c r="G753">
        <f>IF(OR(A753="",'Skill Matrix'!T52=""),"",'Skill Matrix'!T52)</f>
        <v/>
      </c>
      <c r="H753">
        <f>IF(A753="","",'Employees'!F8)</f>
        <v/>
      </c>
    </row>
    <row r="754">
      <c r="A754">
        <f>IF(AND('Skill Matrix'!A53&lt;&gt;"",'Skill Matrix'!E5&lt;&gt;""),'Skill Matrix'!A53,"")</f>
        <v/>
      </c>
      <c r="B754">
        <f>IF(A754="","",'Employees'!C8)</f>
        <v/>
      </c>
      <c r="C754">
        <f>IF(A754="","",'Employees'!D8)</f>
        <v/>
      </c>
      <c r="D754">
        <f>IF(A754="","",'Skill Matrix'!C53)</f>
        <v/>
      </c>
      <c r="E754">
        <f>IF(A754="","",'Skill Matrix'!D53)</f>
        <v/>
      </c>
      <c r="F754">
        <f>IF(AND('Skill Matrix'!A53&lt;&gt;"",'Skill Matrix'!E5&lt;&gt;""),'Skill Matrix'!E5,"")</f>
        <v/>
      </c>
      <c r="G754">
        <f>IF(OR(A754="",'Skill Matrix'!E53=""),"",'Skill Matrix'!E53)</f>
        <v/>
      </c>
      <c r="H754">
        <f>IF(A754="","",'Employees'!F8)</f>
        <v/>
      </c>
    </row>
    <row r="755">
      <c r="A755">
        <f>IF(AND('Skill Matrix'!A53&lt;&gt;"",'Skill Matrix'!F5&lt;&gt;""),'Skill Matrix'!A53,"")</f>
        <v/>
      </c>
      <c r="B755">
        <f>IF(A755="","",'Employees'!C8)</f>
        <v/>
      </c>
      <c r="C755">
        <f>IF(A755="","",'Employees'!D8)</f>
        <v/>
      </c>
      <c r="D755">
        <f>IF(A755="","",'Skill Matrix'!C53)</f>
        <v/>
      </c>
      <c r="E755">
        <f>IF(A755="","",'Skill Matrix'!D53)</f>
        <v/>
      </c>
      <c r="F755">
        <f>IF(AND('Skill Matrix'!A53&lt;&gt;"",'Skill Matrix'!F5&lt;&gt;""),'Skill Matrix'!F5,"")</f>
        <v/>
      </c>
      <c r="G755">
        <f>IF(OR(A755="",'Skill Matrix'!F53=""),"",'Skill Matrix'!F53)</f>
        <v/>
      </c>
      <c r="H755">
        <f>IF(A755="","",'Employees'!F8)</f>
        <v/>
      </c>
    </row>
    <row r="756">
      <c r="A756">
        <f>IF(AND('Skill Matrix'!A53&lt;&gt;"",'Skill Matrix'!G5&lt;&gt;""),'Skill Matrix'!A53,"")</f>
        <v/>
      </c>
      <c r="B756">
        <f>IF(A756="","",'Employees'!C8)</f>
        <v/>
      </c>
      <c r="C756">
        <f>IF(A756="","",'Employees'!D8)</f>
        <v/>
      </c>
      <c r="D756">
        <f>IF(A756="","",'Skill Matrix'!C53)</f>
        <v/>
      </c>
      <c r="E756">
        <f>IF(A756="","",'Skill Matrix'!D53)</f>
        <v/>
      </c>
      <c r="F756">
        <f>IF(AND('Skill Matrix'!A53&lt;&gt;"",'Skill Matrix'!G5&lt;&gt;""),'Skill Matrix'!G5,"")</f>
        <v/>
      </c>
      <c r="G756">
        <f>IF(OR(A756="",'Skill Matrix'!G53=""),"",'Skill Matrix'!G53)</f>
        <v/>
      </c>
      <c r="H756">
        <f>IF(A756="","",'Employees'!F8)</f>
        <v/>
      </c>
    </row>
    <row r="757">
      <c r="A757">
        <f>IF(AND('Skill Matrix'!A53&lt;&gt;"",'Skill Matrix'!H5&lt;&gt;""),'Skill Matrix'!A53,"")</f>
        <v/>
      </c>
      <c r="B757">
        <f>IF(A757="","",'Employees'!C8)</f>
        <v/>
      </c>
      <c r="C757">
        <f>IF(A757="","",'Employees'!D8)</f>
        <v/>
      </c>
      <c r="D757">
        <f>IF(A757="","",'Skill Matrix'!C53)</f>
        <v/>
      </c>
      <c r="E757">
        <f>IF(A757="","",'Skill Matrix'!D53)</f>
        <v/>
      </c>
      <c r="F757">
        <f>IF(AND('Skill Matrix'!A53&lt;&gt;"",'Skill Matrix'!H5&lt;&gt;""),'Skill Matrix'!H5,"")</f>
        <v/>
      </c>
      <c r="G757">
        <f>IF(OR(A757="",'Skill Matrix'!H53=""),"",'Skill Matrix'!H53)</f>
        <v/>
      </c>
      <c r="H757">
        <f>IF(A757="","",'Employees'!F8)</f>
        <v/>
      </c>
    </row>
    <row r="758">
      <c r="A758">
        <f>IF(AND('Skill Matrix'!A53&lt;&gt;"",'Skill Matrix'!I5&lt;&gt;""),'Skill Matrix'!A53,"")</f>
        <v/>
      </c>
      <c r="B758">
        <f>IF(A758="","",'Employees'!C8)</f>
        <v/>
      </c>
      <c r="C758">
        <f>IF(A758="","",'Employees'!D8)</f>
        <v/>
      </c>
      <c r="D758">
        <f>IF(A758="","",'Skill Matrix'!C53)</f>
        <v/>
      </c>
      <c r="E758">
        <f>IF(A758="","",'Skill Matrix'!D53)</f>
        <v/>
      </c>
      <c r="F758">
        <f>IF(AND('Skill Matrix'!A53&lt;&gt;"",'Skill Matrix'!I5&lt;&gt;""),'Skill Matrix'!I5,"")</f>
        <v/>
      </c>
      <c r="G758">
        <f>IF(OR(A758="",'Skill Matrix'!I53=""),"",'Skill Matrix'!I53)</f>
        <v/>
      </c>
      <c r="H758">
        <f>IF(A758="","",'Employees'!F8)</f>
        <v/>
      </c>
    </row>
    <row r="759">
      <c r="A759">
        <f>IF(AND('Skill Matrix'!A53&lt;&gt;"",'Skill Matrix'!J5&lt;&gt;""),'Skill Matrix'!A53,"")</f>
        <v/>
      </c>
      <c r="B759">
        <f>IF(A759="","",'Employees'!C8)</f>
        <v/>
      </c>
      <c r="C759">
        <f>IF(A759="","",'Employees'!D8)</f>
        <v/>
      </c>
      <c r="D759">
        <f>IF(A759="","",'Skill Matrix'!C53)</f>
        <v/>
      </c>
      <c r="E759">
        <f>IF(A759="","",'Skill Matrix'!D53)</f>
        <v/>
      </c>
      <c r="F759">
        <f>IF(AND('Skill Matrix'!A53&lt;&gt;"",'Skill Matrix'!J5&lt;&gt;""),'Skill Matrix'!J5,"")</f>
        <v/>
      </c>
      <c r="G759">
        <f>IF(OR(A759="",'Skill Matrix'!J53=""),"",'Skill Matrix'!J53)</f>
        <v/>
      </c>
      <c r="H759">
        <f>IF(A759="","",'Employees'!F8)</f>
        <v/>
      </c>
    </row>
    <row r="760">
      <c r="A760">
        <f>IF(AND('Skill Matrix'!A53&lt;&gt;"",'Skill Matrix'!K5&lt;&gt;""),'Skill Matrix'!A53,"")</f>
        <v/>
      </c>
      <c r="B760">
        <f>IF(A760="","",'Employees'!C8)</f>
        <v/>
      </c>
      <c r="C760">
        <f>IF(A760="","",'Employees'!D8)</f>
        <v/>
      </c>
      <c r="D760">
        <f>IF(A760="","",'Skill Matrix'!C53)</f>
        <v/>
      </c>
      <c r="E760">
        <f>IF(A760="","",'Skill Matrix'!D53)</f>
        <v/>
      </c>
      <c r="F760">
        <f>IF(AND('Skill Matrix'!A53&lt;&gt;"",'Skill Matrix'!K5&lt;&gt;""),'Skill Matrix'!K5,"")</f>
        <v/>
      </c>
      <c r="G760">
        <f>IF(OR(A760="",'Skill Matrix'!K53=""),"",'Skill Matrix'!K53)</f>
        <v/>
      </c>
      <c r="H760">
        <f>IF(A760="","",'Employees'!F8)</f>
        <v/>
      </c>
    </row>
    <row r="761">
      <c r="A761">
        <f>IF(AND('Skill Matrix'!A53&lt;&gt;"",'Skill Matrix'!L5&lt;&gt;""),'Skill Matrix'!A53,"")</f>
        <v/>
      </c>
      <c r="B761">
        <f>IF(A761="","",'Employees'!C8)</f>
        <v/>
      </c>
      <c r="C761">
        <f>IF(A761="","",'Employees'!D8)</f>
        <v/>
      </c>
      <c r="D761">
        <f>IF(A761="","",'Skill Matrix'!C53)</f>
        <v/>
      </c>
      <c r="E761">
        <f>IF(A761="","",'Skill Matrix'!D53)</f>
        <v/>
      </c>
      <c r="F761">
        <f>IF(AND('Skill Matrix'!A53&lt;&gt;"",'Skill Matrix'!L5&lt;&gt;""),'Skill Matrix'!L5,"")</f>
        <v/>
      </c>
      <c r="G761">
        <f>IF(OR(A761="",'Skill Matrix'!L53=""),"",'Skill Matrix'!L53)</f>
        <v/>
      </c>
      <c r="H761">
        <f>IF(A761="","",'Employees'!F8)</f>
        <v/>
      </c>
    </row>
    <row r="762">
      <c r="A762">
        <f>IF(AND('Skill Matrix'!A53&lt;&gt;"",'Skill Matrix'!M5&lt;&gt;""),'Skill Matrix'!A53,"")</f>
        <v/>
      </c>
      <c r="B762">
        <f>IF(A762="","",'Employees'!C8)</f>
        <v/>
      </c>
      <c r="C762">
        <f>IF(A762="","",'Employees'!D8)</f>
        <v/>
      </c>
      <c r="D762">
        <f>IF(A762="","",'Skill Matrix'!C53)</f>
        <v/>
      </c>
      <c r="E762">
        <f>IF(A762="","",'Skill Matrix'!D53)</f>
        <v/>
      </c>
      <c r="F762">
        <f>IF(AND('Skill Matrix'!A53&lt;&gt;"",'Skill Matrix'!M5&lt;&gt;""),'Skill Matrix'!M5,"")</f>
        <v/>
      </c>
      <c r="G762">
        <f>IF(OR(A762="",'Skill Matrix'!M53=""),"",'Skill Matrix'!M53)</f>
        <v/>
      </c>
      <c r="H762">
        <f>IF(A762="","",'Employees'!F8)</f>
        <v/>
      </c>
    </row>
    <row r="763">
      <c r="A763">
        <f>IF(AND('Skill Matrix'!A53&lt;&gt;"",'Skill Matrix'!N5&lt;&gt;""),'Skill Matrix'!A53,"")</f>
        <v/>
      </c>
      <c r="B763">
        <f>IF(A763="","",'Employees'!C8)</f>
        <v/>
      </c>
      <c r="C763">
        <f>IF(A763="","",'Employees'!D8)</f>
        <v/>
      </c>
      <c r="D763">
        <f>IF(A763="","",'Skill Matrix'!C53)</f>
        <v/>
      </c>
      <c r="E763">
        <f>IF(A763="","",'Skill Matrix'!D53)</f>
        <v/>
      </c>
      <c r="F763">
        <f>IF(AND('Skill Matrix'!A53&lt;&gt;"",'Skill Matrix'!N5&lt;&gt;""),'Skill Matrix'!N5,"")</f>
        <v/>
      </c>
      <c r="G763">
        <f>IF(OR(A763="",'Skill Matrix'!N53=""),"",'Skill Matrix'!N53)</f>
        <v/>
      </c>
      <c r="H763">
        <f>IF(A763="","",'Employees'!F8)</f>
        <v/>
      </c>
    </row>
    <row r="764">
      <c r="A764">
        <f>IF(AND('Skill Matrix'!A53&lt;&gt;"",'Skill Matrix'!O5&lt;&gt;""),'Skill Matrix'!A53,"")</f>
        <v/>
      </c>
      <c r="B764">
        <f>IF(A764="","",'Employees'!C8)</f>
        <v/>
      </c>
      <c r="C764">
        <f>IF(A764="","",'Employees'!D8)</f>
        <v/>
      </c>
      <c r="D764">
        <f>IF(A764="","",'Skill Matrix'!C53)</f>
        <v/>
      </c>
      <c r="E764">
        <f>IF(A764="","",'Skill Matrix'!D53)</f>
        <v/>
      </c>
      <c r="F764">
        <f>IF(AND('Skill Matrix'!A53&lt;&gt;"",'Skill Matrix'!O5&lt;&gt;""),'Skill Matrix'!O5,"")</f>
        <v/>
      </c>
      <c r="G764">
        <f>IF(OR(A764="",'Skill Matrix'!O53=""),"",'Skill Matrix'!O53)</f>
        <v/>
      </c>
      <c r="H764">
        <f>IF(A764="","",'Employees'!F8)</f>
        <v/>
      </c>
    </row>
    <row r="765">
      <c r="A765">
        <f>IF(AND('Skill Matrix'!A53&lt;&gt;"",'Skill Matrix'!P5&lt;&gt;""),'Skill Matrix'!A53,"")</f>
        <v/>
      </c>
      <c r="B765">
        <f>IF(A765="","",'Employees'!C8)</f>
        <v/>
      </c>
      <c r="C765">
        <f>IF(A765="","",'Employees'!D8)</f>
        <v/>
      </c>
      <c r="D765">
        <f>IF(A765="","",'Skill Matrix'!C53)</f>
        <v/>
      </c>
      <c r="E765">
        <f>IF(A765="","",'Skill Matrix'!D53)</f>
        <v/>
      </c>
      <c r="F765">
        <f>IF(AND('Skill Matrix'!A53&lt;&gt;"",'Skill Matrix'!P5&lt;&gt;""),'Skill Matrix'!P5,"")</f>
        <v/>
      </c>
      <c r="G765">
        <f>IF(OR(A765="",'Skill Matrix'!P53=""),"",'Skill Matrix'!P53)</f>
        <v/>
      </c>
      <c r="H765">
        <f>IF(A765="","",'Employees'!F8)</f>
        <v/>
      </c>
    </row>
    <row r="766">
      <c r="A766">
        <f>IF(AND('Skill Matrix'!A53&lt;&gt;"",'Skill Matrix'!Q5&lt;&gt;""),'Skill Matrix'!A53,"")</f>
        <v/>
      </c>
      <c r="B766">
        <f>IF(A766="","",'Employees'!C8)</f>
        <v/>
      </c>
      <c r="C766">
        <f>IF(A766="","",'Employees'!D8)</f>
        <v/>
      </c>
      <c r="D766">
        <f>IF(A766="","",'Skill Matrix'!C53)</f>
        <v/>
      </c>
      <c r="E766">
        <f>IF(A766="","",'Skill Matrix'!D53)</f>
        <v/>
      </c>
      <c r="F766">
        <f>IF(AND('Skill Matrix'!A53&lt;&gt;"",'Skill Matrix'!Q5&lt;&gt;""),'Skill Matrix'!Q5,"")</f>
        <v/>
      </c>
      <c r="G766">
        <f>IF(OR(A766="",'Skill Matrix'!Q53=""),"",'Skill Matrix'!Q53)</f>
        <v/>
      </c>
      <c r="H766">
        <f>IF(A766="","",'Employees'!F8)</f>
        <v/>
      </c>
    </row>
    <row r="767">
      <c r="A767">
        <f>IF(AND('Skill Matrix'!A53&lt;&gt;"",'Skill Matrix'!R5&lt;&gt;""),'Skill Matrix'!A53,"")</f>
        <v/>
      </c>
      <c r="B767">
        <f>IF(A767="","",'Employees'!C8)</f>
        <v/>
      </c>
      <c r="C767">
        <f>IF(A767="","",'Employees'!D8)</f>
        <v/>
      </c>
      <c r="D767">
        <f>IF(A767="","",'Skill Matrix'!C53)</f>
        <v/>
      </c>
      <c r="E767">
        <f>IF(A767="","",'Skill Matrix'!D53)</f>
        <v/>
      </c>
      <c r="F767">
        <f>IF(AND('Skill Matrix'!A53&lt;&gt;"",'Skill Matrix'!R5&lt;&gt;""),'Skill Matrix'!R5,"")</f>
        <v/>
      </c>
      <c r="G767">
        <f>IF(OR(A767="",'Skill Matrix'!R53=""),"",'Skill Matrix'!R53)</f>
        <v/>
      </c>
      <c r="H767">
        <f>IF(A767="","",'Employees'!F8)</f>
        <v/>
      </c>
    </row>
    <row r="768">
      <c r="A768">
        <f>IF(AND('Skill Matrix'!A53&lt;&gt;"",'Skill Matrix'!S5&lt;&gt;""),'Skill Matrix'!A53,"")</f>
        <v/>
      </c>
      <c r="B768">
        <f>IF(A768="","",'Employees'!C8)</f>
        <v/>
      </c>
      <c r="C768">
        <f>IF(A768="","",'Employees'!D8)</f>
        <v/>
      </c>
      <c r="D768">
        <f>IF(A768="","",'Skill Matrix'!C53)</f>
        <v/>
      </c>
      <c r="E768">
        <f>IF(A768="","",'Skill Matrix'!D53)</f>
        <v/>
      </c>
      <c r="F768">
        <f>IF(AND('Skill Matrix'!A53&lt;&gt;"",'Skill Matrix'!S5&lt;&gt;""),'Skill Matrix'!S5,"")</f>
        <v/>
      </c>
      <c r="G768">
        <f>IF(OR(A768="",'Skill Matrix'!S53=""),"",'Skill Matrix'!S53)</f>
        <v/>
      </c>
      <c r="H768">
        <f>IF(A768="","",'Employees'!F8)</f>
        <v/>
      </c>
    </row>
    <row r="769">
      <c r="A769">
        <f>IF(AND('Skill Matrix'!A53&lt;&gt;"",'Skill Matrix'!T5&lt;&gt;""),'Skill Matrix'!A53,"")</f>
        <v/>
      </c>
      <c r="B769">
        <f>IF(A769="","",'Employees'!C8)</f>
        <v/>
      </c>
      <c r="C769">
        <f>IF(A769="","",'Employees'!D8)</f>
        <v/>
      </c>
      <c r="D769">
        <f>IF(A769="","",'Skill Matrix'!C53)</f>
        <v/>
      </c>
      <c r="E769">
        <f>IF(A769="","",'Skill Matrix'!D53)</f>
        <v/>
      </c>
      <c r="F769">
        <f>IF(AND('Skill Matrix'!A53&lt;&gt;"",'Skill Matrix'!T5&lt;&gt;""),'Skill Matrix'!T5,"")</f>
        <v/>
      </c>
      <c r="G769">
        <f>IF(OR(A769="",'Skill Matrix'!T53=""),"",'Skill Matrix'!T53)</f>
        <v/>
      </c>
      <c r="H769">
        <f>IF(A769="","",'Employees'!F8)</f>
        <v/>
      </c>
    </row>
    <row r="770">
      <c r="A770">
        <f>IF(AND('Skill Matrix'!A54&lt;&gt;"",'Skill Matrix'!E5&lt;&gt;""),'Skill Matrix'!A54,"")</f>
        <v/>
      </c>
      <c r="B770">
        <f>IF(A770="","",'Employees'!C9)</f>
        <v/>
      </c>
      <c r="C770">
        <f>IF(A770="","",'Employees'!D9)</f>
        <v/>
      </c>
      <c r="D770">
        <f>IF(A770="","",'Skill Matrix'!C54)</f>
        <v/>
      </c>
      <c r="E770">
        <f>IF(A770="","",'Skill Matrix'!D54)</f>
        <v/>
      </c>
      <c r="F770">
        <f>IF(AND('Skill Matrix'!A54&lt;&gt;"",'Skill Matrix'!E5&lt;&gt;""),'Skill Matrix'!E5,"")</f>
        <v/>
      </c>
      <c r="G770">
        <f>IF(OR(A770="",'Skill Matrix'!E54=""),"",'Skill Matrix'!E54)</f>
        <v/>
      </c>
      <c r="H770">
        <f>IF(A770="","",'Employees'!F9)</f>
        <v/>
      </c>
    </row>
    <row r="771">
      <c r="A771">
        <f>IF(AND('Skill Matrix'!A54&lt;&gt;"",'Skill Matrix'!F5&lt;&gt;""),'Skill Matrix'!A54,"")</f>
        <v/>
      </c>
      <c r="B771">
        <f>IF(A771="","",'Employees'!C9)</f>
        <v/>
      </c>
      <c r="C771">
        <f>IF(A771="","",'Employees'!D9)</f>
        <v/>
      </c>
      <c r="D771">
        <f>IF(A771="","",'Skill Matrix'!C54)</f>
        <v/>
      </c>
      <c r="E771">
        <f>IF(A771="","",'Skill Matrix'!D54)</f>
        <v/>
      </c>
      <c r="F771">
        <f>IF(AND('Skill Matrix'!A54&lt;&gt;"",'Skill Matrix'!F5&lt;&gt;""),'Skill Matrix'!F5,"")</f>
        <v/>
      </c>
      <c r="G771">
        <f>IF(OR(A771="",'Skill Matrix'!F54=""),"",'Skill Matrix'!F54)</f>
        <v/>
      </c>
      <c r="H771">
        <f>IF(A771="","",'Employees'!F9)</f>
        <v/>
      </c>
    </row>
    <row r="772">
      <c r="A772">
        <f>IF(AND('Skill Matrix'!A54&lt;&gt;"",'Skill Matrix'!G5&lt;&gt;""),'Skill Matrix'!A54,"")</f>
        <v/>
      </c>
      <c r="B772">
        <f>IF(A772="","",'Employees'!C9)</f>
        <v/>
      </c>
      <c r="C772">
        <f>IF(A772="","",'Employees'!D9)</f>
        <v/>
      </c>
      <c r="D772">
        <f>IF(A772="","",'Skill Matrix'!C54)</f>
        <v/>
      </c>
      <c r="E772">
        <f>IF(A772="","",'Skill Matrix'!D54)</f>
        <v/>
      </c>
      <c r="F772">
        <f>IF(AND('Skill Matrix'!A54&lt;&gt;"",'Skill Matrix'!G5&lt;&gt;""),'Skill Matrix'!G5,"")</f>
        <v/>
      </c>
      <c r="G772">
        <f>IF(OR(A772="",'Skill Matrix'!G54=""),"",'Skill Matrix'!G54)</f>
        <v/>
      </c>
      <c r="H772">
        <f>IF(A772="","",'Employees'!F9)</f>
        <v/>
      </c>
    </row>
    <row r="773">
      <c r="A773">
        <f>IF(AND('Skill Matrix'!A54&lt;&gt;"",'Skill Matrix'!H5&lt;&gt;""),'Skill Matrix'!A54,"")</f>
        <v/>
      </c>
      <c r="B773">
        <f>IF(A773="","",'Employees'!C9)</f>
        <v/>
      </c>
      <c r="C773">
        <f>IF(A773="","",'Employees'!D9)</f>
        <v/>
      </c>
      <c r="D773">
        <f>IF(A773="","",'Skill Matrix'!C54)</f>
        <v/>
      </c>
      <c r="E773">
        <f>IF(A773="","",'Skill Matrix'!D54)</f>
        <v/>
      </c>
      <c r="F773">
        <f>IF(AND('Skill Matrix'!A54&lt;&gt;"",'Skill Matrix'!H5&lt;&gt;""),'Skill Matrix'!H5,"")</f>
        <v/>
      </c>
      <c r="G773">
        <f>IF(OR(A773="",'Skill Matrix'!H54=""),"",'Skill Matrix'!H54)</f>
        <v/>
      </c>
      <c r="H773">
        <f>IF(A773="","",'Employees'!F9)</f>
        <v/>
      </c>
    </row>
    <row r="774">
      <c r="A774">
        <f>IF(AND('Skill Matrix'!A54&lt;&gt;"",'Skill Matrix'!I5&lt;&gt;""),'Skill Matrix'!A54,"")</f>
        <v/>
      </c>
      <c r="B774">
        <f>IF(A774="","",'Employees'!C9)</f>
        <v/>
      </c>
      <c r="C774">
        <f>IF(A774="","",'Employees'!D9)</f>
        <v/>
      </c>
      <c r="D774">
        <f>IF(A774="","",'Skill Matrix'!C54)</f>
        <v/>
      </c>
      <c r="E774">
        <f>IF(A774="","",'Skill Matrix'!D54)</f>
        <v/>
      </c>
      <c r="F774">
        <f>IF(AND('Skill Matrix'!A54&lt;&gt;"",'Skill Matrix'!I5&lt;&gt;""),'Skill Matrix'!I5,"")</f>
        <v/>
      </c>
      <c r="G774">
        <f>IF(OR(A774="",'Skill Matrix'!I54=""),"",'Skill Matrix'!I54)</f>
        <v/>
      </c>
      <c r="H774">
        <f>IF(A774="","",'Employees'!F9)</f>
        <v/>
      </c>
    </row>
    <row r="775">
      <c r="A775">
        <f>IF(AND('Skill Matrix'!A54&lt;&gt;"",'Skill Matrix'!J5&lt;&gt;""),'Skill Matrix'!A54,"")</f>
        <v/>
      </c>
      <c r="B775">
        <f>IF(A775="","",'Employees'!C9)</f>
        <v/>
      </c>
      <c r="C775">
        <f>IF(A775="","",'Employees'!D9)</f>
        <v/>
      </c>
      <c r="D775">
        <f>IF(A775="","",'Skill Matrix'!C54)</f>
        <v/>
      </c>
      <c r="E775">
        <f>IF(A775="","",'Skill Matrix'!D54)</f>
        <v/>
      </c>
      <c r="F775">
        <f>IF(AND('Skill Matrix'!A54&lt;&gt;"",'Skill Matrix'!J5&lt;&gt;""),'Skill Matrix'!J5,"")</f>
        <v/>
      </c>
      <c r="G775">
        <f>IF(OR(A775="",'Skill Matrix'!J54=""),"",'Skill Matrix'!J54)</f>
        <v/>
      </c>
      <c r="H775">
        <f>IF(A775="","",'Employees'!F9)</f>
        <v/>
      </c>
    </row>
    <row r="776">
      <c r="A776">
        <f>IF(AND('Skill Matrix'!A54&lt;&gt;"",'Skill Matrix'!K5&lt;&gt;""),'Skill Matrix'!A54,"")</f>
        <v/>
      </c>
      <c r="B776">
        <f>IF(A776="","",'Employees'!C9)</f>
        <v/>
      </c>
      <c r="C776">
        <f>IF(A776="","",'Employees'!D9)</f>
        <v/>
      </c>
      <c r="D776">
        <f>IF(A776="","",'Skill Matrix'!C54)</f>
        <v/>
      </c>
      <c r="E776">
        <f>IF(A776="","",'Skill Matrix'!D54)</f>
        <v/>
      </c>
      <c r="F776">
        <f>IF(AND('Skill Matrix'!A54&lt;&gt;"",'Skill Matrix'!K5&lt;&gt;""),'Skill Matrix'!K5,"")</f>
        <v/>
      </c>
      <c r="G776">
        <f>IF(OR(A776="",'Skill Matrix'!K54=""),"",'Skill Matrix'!K54)</f>
        <v/>
      </c>
      <c r="H776">
        <f>IF(A776="","",'Employees'!F9)</f>
        <v/>
      </c>
    </row>
    <row r="777">
      <c r="A777">
        <f>IF(AND('Skill Matrix'!A54&lt;&gt;"",'Skill Matrix'!L5&lt;&gt;""),'Skill Matrix'!A54,"")</f>
        <v/>
      </c>
      <c r="B777">
        <f>IF(A777="","",'Employees'!C9)</f>
        <v/>
      </c>
      <c r="C777">
        <f>IF(A777="","",'Employees'!D9)</f>
        <v/>
      </c>
      <c r="D777">
        <f>IF(A777="","",'Skill Matrix'!C54)</f>
        <v/>
      </c>
      <c r="E777">
        <f>IF(A777="","",'Skill Matrix'!D54)</f>
        <v/>
      </c>
      <c r="F777">
        <f>IF(AND('Skill Matrix'!A54&lt;&gt;"",'Skill Matrix'!L5&lt;&gt;""),'Skill Matrix'!L5,"")</f>
        <v/>
      </c>
      <c r="G777">
        <f>IF(OR(A777="",'Skill Matrix'!L54=""),"",'Skill Matrix'!L54)</f>
        <v/>
      </c>
      <c r="H777">
        <f>IF(A777="","",'Employees'!F9)</f>
        <v/>
      </c>
    </row>
    <row r="778">
      <c r="A778">
        <f>IF(AND('Skill Matrix'!A54&lt;&gt;"",'Skill Matrix'!M5&lt;&gt;""),'Skill Matrix'!A54,"")</f>
        <v/>
      </c>
      <c r="B778">
        <f>IF(A778="","",'Employees'!C9)</f>
        <v/>
      </c>
      <c r="C778">
        <f>IF(A778="","",'Employees'!D9)</f>
        <v/>
      </c>
      <c r="D778">
        <f>IF(A778="","",'Skill Matrix'!C54)</f>
        <v/>
      </c>
      <c r="E778">
        <f>IF(A778="","",'Skill Matrix'!D54)</f>
        <v/>
      </c>
      <c r="F778">
        <f>IF(AND('Skill Matrix'!A54&lt;&gt;"",'Skill Matrix'!M5&lt;&gt;""),'Skill Matrix'!M5,"")</f>
        <v/>
      </c>
      <c r="G778">
        <f>IF(OR(A778="",'Skill Matrix'!M54=""),"",'Skill Matrix'!M54)</f>
        <v/>
      </c>
      <c r="H778">
        <f>IF(A778="","",'Employees'!F9)</f>
        <v/>
      </c>
    </row>
    <row r="779">
      <c r="A779">
        <f>IF(AND('Skill Matrix'!A54&lt;&gt;"",'Skill Matrix'!N5&lt;&gt;""),'Skill Matrix'!A54,"")</f>
        <v/>
      </c>
      <c r="B779">
        <f>IF(A779="","",'Employees'!C9)</f>
        <v/>
      </c>
      <c r="C779">
        <f>IF(A779="","",'Employees'!D9)</f>
        <v/>
      </c>
      <c r="D779">
        <f>IF(A779="","",'Skill Matrix'!C54)</f>
        <v/>
      </c>
      <c r="E779">
        <f>IF(A779="","",'Skill Matrix'!D54)</f>
        <v/>
      </c>
      <c r="F779">
        <f>IF(AND('Skill Matrix'!A54&lt;&gt;"",'Skill Matrix'!N5&lt;&gt;""),'Skill Matrix'!N5,"")</f>
        <v/>
      </c>
      <c r="G779">
        <f>IF(OR(A779="",'Skill Matrix'!N54=""),"",'Skill Matrix'!N54)</f>
        <v/>
      </c>
      <c r="H779">
        <f>IF(A779="","",'Employees'!F9)</f>
        <v/>
      </c>
    </row>
    <row r="780">
      <c r="A780">
        <f>IF(AND('Skill Matrix'!A54&lt;&gt;"",'Skill Matrix'!O5&lt;&gt;""),'Skill Matrix'!A54,"")</f>
        <v/>
      </c>
      <c r="B780">
        <f>IF(A780="","",'Employees'!C9)</f>
        <v/>
      </c>
      <c r="C780">
        <f>IF(A780="","",'Employees'!D9)</f>
        <v/>
      </c>
      <c r="D780">
        <f>IF(A780="","",'Skill Matrix'!C54)</f>
        <v/>
      </c>
      <c r="E780">
        <f>IF(A780="","",'Skill Matrix'!D54)</f>
        <v/>
      </c>
      <c r="F780">
        <f>IF(AND('Skill Matrix'!A54&lt;&gt;"",'Skill Matrix'!O5&lt;&gt;""),'Skill Matrix'!O5,"")</f>
        <v/>
      </c>
      <c r="G780">
        <f>IF(OR(A780="",'Skill Matrix'!O54=""),"",'Skill Matrix'!O54)</f>
        <v/>
      </c>
      <c r="H780">
        <f>IF(A780="","",'Employees'!F9)</f>
        <v/>
      </c>
    </row>
    <row r="781">
      <c r="A781">
        <f>IF(AND('Skill Matrix'!A54&lt;&gt;"",'Skill Matrix'!P5&lt;&gt;""),'Skill Matrix'!A54,"")</f>
        <v/>
      </c>
      <c r="B781">
        <f>IF(A781="","",'Employees'!C9)</f>
        <v/>
      </c>
      <c r="C781">
        <f>IF(A781="","",'Employees'!D9)</f>
        <v/>
      </c>
      <c r="D781">
        <f>IF(A781="","",'Skill Matrix'!C54)</f>
        <v/>
      </c>
      <c r="E781">
        <f>IF(A781="","",'Skill Matrix'!D54)</f>
        <v/>
      </c>
      <c r="F781">
        <f>IF(AND('Skill Matrix'!A54&lt;&gt;"",'Skill Matrix'!P5&lt;&gt;""),'Skill Matrix'!P5,"")</f>
        <v/>
      </c>
      <c r="G781">
        <f>IF(OR(A781="",'Skill Matrix'!P54=""),"",'Skill Matrix'!P54)</f>
        <v/>
      </c>
      <c r="H781">
        <f>IF(A781="","",'Employees'!F9)</f>
        <v/>
      </c>
    </row>
    <row r="782">
      <c r="A782">
        <f>IF(AND('Skill Matrix'!A54&lt;&gt;"",'Skill Matrix'!Q5&lt;&gt;""),'Skill Matrix'!A54,"")</f>
        <v/>
      </c>
      <c r="B782">
        <f>IF(A782="","",'Employees'!C9)</f>
        <v/>
      </c>
      <c r="C782">
        <f>IF(A782="","",'Employees'!D9)</f>
        <v/>
      </c>
      <c r="D782">
        <f>IF(A782="","",'Skill Matrix'!C54)</f>
        <v/>
      </c>
      <c r="E782">
        <f>IF(A782="","",'Skill Matrix'!D54)</f>
        <v/>
      </c>
      <c r="F782">
        <f>IF(AND('Skill Matrix'!A54&lt;&gt;"",'Skill Matrix'!Q5&lt;&gt;""),'Skill Matrix'!Q5,"")</f>
        <v/>
      </c>
      <c r="G782">
        <f>IF(OR(A782="",'Skill Matrix'!Q54=""),"",'Skill Matrix'!Q54)</f>
        <v/>
      </c>
      <c r="H782">
        <f>IF(A782="","",'Employees'!F9)</f>
        <v/>
      </c>
    </row>
    <row r="783">
      <c r="A783">
        <f>IF(AND('Skill Matrix'!A54&lt;&gt;"",'Skill Matrix'!R5&lt;&gt;""),'Skill Matrix'!A54,"")</f>
        <v/>
      </c>
      <c r="B783">
        <f>IF(A783="","",'Employees'!C9)</f>
        <v/>
      </c>
      <c r="C783">
        <f>IF(A783="","",'Employees'!D9)</f>
        <v/>
      </c>
      <c r="D783">
        <f>IF(A783="","",'Skill Matrix'!C54)</f>
        <v/>
      </c>
      <c r="E783">
        <f>IF(A783="","",'Skill Matrix'!D54)</f>
        <v/>
      </c>
      <c r="F783">
        <f>IF(AND('Skill Matrix'!A54&lt;&gt;"",'Skill Matrix'!R5&lt;&gt;""),'Skill Matrix'!R5,"")</f>
        <v/>
      </c>
      <c r="G783">
        <f>IF(OR(A783="",'Skill Matrix'!R54=""),"",'Skill Matrix'!R54)</f>
        <v/>
      </c>
      <c r="H783">
        <f>IF(A783="","",'Employees'!F9)</f>
        <v/>
      </c>
    </row>
    <row r="784">
      <c r="A784">
        <f>IF(AND('Skill Matrix'!A54&lt;&gt;"",'Skill Matrix'!S5&lt;&gt;""),'Skill Matrix'!A54,"")</f>
        <v/>
      </c>
      <c r="B784">
        <f>IF(A784="","",'Employees'!C9)</f>
        <v/>
      </c>
      <c r="C784">
        <f>IF(A784="","",'Employees'!D9)</f>
        <v/>
      </c>
      <c r="D784">
        <f>IF(A784="","",'Skill Matrix'!C54)</f>
        <v/>
      </c>
      <c r="E784">
        <f>IF(A784="","",'Skill Matrix'!D54)</f>
        <v/>
      </c>
      <c r="F784">
        <f>IF(AND('Skill Matrix'!A54&lt;&gt;"",'Skill Matrix'!S5&lt;&gt;""),'Skill Matrix'!S5,"")</f>
        <v/>
      </c>
      <c r="G784">
        <f>IF(OR(A784="",'Skill Matrix'!S54=""),"",'Skill Matrix'!S54)</f>
        <v/>
      </c>
      <c r="H784">
        <f>IF(A784="","",'Employees'!F9)</f>
        <v/>
      </c>
    </row>
    <row r="785">
      <c r="A785">
        <f>IF(AND('Skill Matrix'!A54&lt;&gt;"",'Skill Matrix'!T5&lt;&gt;""),'Skill Matrix'!A54,"")</f>
        <v/>
      </c>
      <c r="B785">
        <f>IF(A785="","",'Employees'!C9)</f>
        <v/>
      </c>
      <c r="C785">
        <f>IF(A785="","",'Employees'!D9)</f>
        <v/>
      </c>
      <c r="D785">
        <f>IF(A785="","",'Skill Matrix'!C54)</f>
        <v/>
      </c>
      <c r="E785">
        <f>IF(A785="","",'Skill Matrix'!D54)</f>
        <v/>
      </c>
      <c r="F785">
        <f>IF(AND('Skill Matrix'!A54&lt;&gt;"",'Skill Matrix'!T5&lt;&gt;""),'Skill Matrix'!T5,"")</f>
        <v/>
      </c>
      <c r="G785">
        <f>IF(OR(A785="",'Skill Matrix'!T54=""),"",'Skill Matrix'!T54)</f>
        <v/>
      </c>
      <c r="H785">
        <f>IF(A785="","",'Employees'!F9)</f>
        <v/>
      </c>
    </row>
    <row r="786">
      <c r="A786">
        <f>IF(AND('Skill Matrix'!A55&lt;&gt;"",'Skill Matrix'!E5&lt;&gt;""),'Skill Matrix'!A55,"")</f>
        <v/>
      </c>
      <c r="B786">
        <f>IF(A786="","",'Employees'!C9)</f>
        <v/>
      </c>
      <c r="C786">
        <f>IF(A786="","",'Employees'!D9)</f>
        <v/>
      </c>
      <c r="D786">
        <f>IF(A786="","",'Skill Matrix'!C55)</f>
        <v/>
      </c>
      <c r="E786">
        <f>IF(A786="","",'Skill Matrix'!D55)</f>
        <v/>
      </c>
      <c r="F786">
        <f>IF(AND('Skill Matrix'!A55&lt;&gt;"",'Skill Matrix'!E5&lt;&gt;""),'Skill Matrix'!E5,"")</f>
        <v/>
      </c>
      <c r="G786">
        <f>IF(OR(A786="",'Skill Matrix'!E55=""),"",'Skill Matrix'!E55)</f>
        <v/>
      </c>
      <c r="H786">
        <f>IF(A786="","",'Employees'!F9)</f>
        <v/>
      </c>
    </row>
    <row r="787">
      <c r="A787">
        <f>IF(AND('Skill Matrix'!A55&lt;&gt;"",'Skill Matrix'!F5&lt;&gt;""),'Skill Matrix'!A55,"")</f>
        <v/>
      </c>
      <c r="B787">
        <f>IF(A787="","",'Employees'!C9)</f>
        <v/>
      </c>
      <c r="C787">
        <f>IF(A787="","",'Employees'!D9)</f>
        <v/>
      </c>
      <c r="D787">
        <f>IF(A787="","",'Skill Matrix'!C55)</f>
        <v/>
      </c>
      <c r="E787">
        <f>IF(A787="","",'Skill Matrix'!D55)</f>
        <v/>
      </c>
      <c r="F787">
        <f>IF(AND('Skill Matrix'!A55&lt;&gt;"",'Skill Matrix'!F5&lt;&gt;""),'Skill Matrix'!F5,"")</f>
        <v/>
      </c>
      <c r="G787">
        <f>IF(OR(A787="",'Skill Matrix'!F55=""),"",'Skill Matrix'!F55)</f>
        <v/>
      </c>
      <c r="H787">
        <f>IF(A787="","",'Employees'!F9)</f>
        <v/>
      </c>
    </row>
    <row r="788">
      <c r="A788">
        <f>IF(AND('Skill Matrix'!A55&lt;&gt;"",'Skill Matrix'!G5&lt;&gt;""),'Skill Matrix'!A55,"")</f>
        <v/>
      </c>
      <c r="B788">
        <f>IF(A788="","",'Employees'!C9)</f>
        <v/>
      </c>
      <c r="C788">
        <f>IF(A788="","",'Employees'!D9)</f>
        <v/>
      </c>
      <c r="D788">
        <f>IF(A788="","",'Skill Matrix'!C55)</f>
        <v/>
      </c>
      <c r="E788">
        <f>IF(A788="","",'Skill Matrix'!D55)</f>
        <v/>
      </c>
      <c r="F788">
        <f>IF(AND('Skill Matrix'!A55&lt;&gt;"",'Skill Matrix'!G5&lt;&gt;""),'Skill Matrix'!G5,"")</f>
        <v/>
      </c>
      <c r="G788">
        <f>IF(OR(A788="",'Skill Matrix'!G55=""),"",'Skill Matrix'!G55)</f>
        <v/>
      </c>
      <c r="H788">
        <f>IF(A788="","",'Employees'!F9)</f>
        <v/>
      </c>
    </row>
    <row r="789">
      <c r="A789">
        <f>IF(AND('Skill Matrix'!A55&lt;&gt;"",'Skill Matrix'!H5&lt;&gt;""),'Skill Matrix'!A55,"")</f>
        <v/>
      </c>
      <c r="B789">
        <f>IF(A789="","",'Employees'!C9)</f>
        <v/>
      </c>
      <c r="C789">
        <f>IF(A789="","",'Employees'!D9)</f>
        <v/>
      </c>
      <c r="D789">
        <f>IF(A789="","",'Skill Matrix'!C55)</f>
        <v/>
      </c>
      <c r="E789">
        <f>IF(A789="","",'Skill Matrix'!D55)</f>
        <v/>
      </c>
      <c r="F789">
        <f>IF(AND('Skill Matrix'!A55&lt;&gt;"",'Skill Matrix'!H5&lt;&gt;""),'Skill Matrix'!H5,"")</f>
        <v/>
      </c>
      <c r="G789">
        <f>IF(OR(A789="",'Skill Matrix'!H55=""),"",'Skill Matrix'!H55)</f>
        <v/>
      </c>
      <c r="H789">
        <f>IF(A789="","",'Employees'!F9)</f>
        <v/>
      </c>
    </row>
    <row r="790">
      <c r="A790">
        <f>IF(AND('Skill Matrix'!A55&lt;&gt;"",'Skill Matrix'!I5&lt;&gt;""),'Skill Matrix'!A55,"")</f>
        <v/>
      </c>
      <c r="B790">
        <f>IF(A790="","",'Employees'!C9)</f>
        <v/>
      </c>
      <c r="C790">
        <f>IF(A790="","",'Employees'!D9)</f>
        <v/>
      </c>
      <c r="D790">
        <f>IF(A790="","",'Skill Matrix'!C55)</f>
        <v/>
      </c>
      <c r="E790">
        <f>IF(A790="","",'Skill Matrix'!D55)</f>
        <v/>
      </c>
      <c r="F790">
        <f>IF(AND('Skill Matrix'!A55&lt;&gt;"",'Skill Matrix'!I5&lt;&gt;""),'Skill Matrix'!I5,"")</f>
        <v/>
      </c>
      <c r="G790">
        <f>IF(OR(A790="",'Skill Matrix'!I55=""),"",'Skill Matrix'!I55)</f>
        <v/>
      </c>
      <c r="H790">
        <f>IF(A790="","",'Employees'!F9)</f>
        <v/>
      </c>
    </row>
    <row r="791">
      <c r="A791">
        <f>IF(AND('Skill Matrix'!A55&lt;&gt;"",'Skill Matrix'!J5&lt;&gt;""),'Skill Matrix'!A55,"")</f>
        <v/>
      </c>
      <c r="B791">
        <f>IF(A791="","",'Employees'!C9)</f>
        <v/>
      </c>
      <c r="C791">
        <f>IF(A791="","",'Employees'!D9)</f>
        <v/>
      </c>
      <c r="D791">
        <f>IF(A791="","",'Skill Matrix'!C55)</f>
        <v/>
      </c>
      <c r="E791">
        <f>IF(A791="","",'Skill Matrix'!D55)</f>
        <v/>
      </c>
      <c r="F791">
        <f>IF(AND('Skill Matrix'!A55&lt;&gt;"",'Skill Matrix'!J5&lt;&gt;""),'Skill Matrix'!J5,"")</f>
        <v/>
      </c>
      <c r="G791">
        <f>IF(OR(A791="",'Skill Matrix'!J55=""),"",'Skill Matrix'!J55)</f>
        <v/>
      </c>
      <c r="H791">
        <f>IF(A791="","",'Employees'!F9)</f>
        <v/>
      </c>
    </row>
    <row r="792">
      <c r="A792">
        <f>IF(AND('Skill Matrix'!A55&lt;&gt;"",'Skill Matrix'!K5&lt;&gt;""),'Skill Matrix'!A55,"")</f>
        <v/>
      </c>
      <c r="B792">
        <f>IF(A792="","",'Employees'!C9)</f>
        <v/>
      </c>
      <c r="C792">
        <f>IF(A792="","",'Employees'!D9)</f>
        <v/>
      </c>
      <c r="D792">
        <f>IF(A792="","",'Skill Matrix'!C55)</f>
        <v/>
      </c>
      <c r="E792">
        <f>IF(A792="","",'Skill Matrix'!D55)</f>
        <v/>
      </c>
      <c r="F792">
        <f>IF(AND('Skill Matrix'!A55&lt;&gt;"",'Skill Matrix'!K5&lt;&gt;""),'Skill Matrix'!K5,"")</f>
        <v/>
      </c>
      <c r="G792">
        <f>IF(OR(A792="",'Skill Matrix'!K55=""),"",'Skill Matrix'!K55)</f>
        <v/>
      </c>
      <c r="H792">
        <f>IF(A792="","",'Employees'!F9)</f>
        <v/>
      </c>
    </row>
    <row r="793">
      <c r="A793">
        <f>IF(AND('Skill Matrix'!A55&lt;&gt;"",'Skill Matrix'!L5&lt;&gt;""),'Skill Matrix'!A55,"")</f>
        <v/>
      </c>
      <c r="B793">
        <f>IF(A793="","",'Employees'!C9)</f>
        <v/>
      </c>
      <c r="C793">
        <f>IF(A793="","",'Employees'!D9)</f>
        <v/>
      </c>
      <c r="D793">
        <f>IF(A793="","",'Skill Matrix'!C55)</f>
        <v/>
      </c>
      <c r="E793">
        <f>IF(A793="","",'Skill Matrix'!D55)</f>
        <v/>
      </c>
      <c r="F793">
        <f>IF(AND('Skill Matrix'!A55&lt;&gt;"",'Skill Matrix'!L5&lt;&gt;""),'Skill Matrix'!L5,"")</f>
        <v/>
      </c>
      <c r="G793">
        <f>IF(OR(A793="",'Skill Matrix'!L55=""),"",'Skill Matrix'!L55)</f>
        <v/>
      </c>
      <c r="H793">
        <f>IF(A793="","",'Employees'!F9)</f>
        <v/>
      </c>
    </row>
    <row r="794">
      <c r="A794">
        <f>IF(AND('Skill Matrix'!A55&lt;&gt;"",'Skill Matrix'!M5&lt;&gt;""),'Skill Matrix'!A55,"")</f>
        <v/>
      </c>
      <c r="B794">
        <f>IF(A794="","",'Employees'!C9)</f>
        <v/>
      </c>
      <c r="C794">
        <f>IF(A794="","",'Employees'!D9)</f>
        <v/>
      </c>
      <c r="D794">
        <f>IF(A794="","",'Skill Matrix'!C55)</f>
        <v/>
      </c>
      <c r="E794">
        <f>IF(A794="","",'Skill Matrix'!D55)</f>
        <v/>
      </c>
      <c r="F794">
        <f>IF(AND('Skill Matrix'!A55&lt;&gt;"",'Skill Matrix'!M5&lt;&gt;""),'Skill Matrix'!M5,"")</f>
        <v/>
      </c>
      <c r="G794">
        <f>IF(OR(A794="",'Skill Matrix'!M55=""),"",'Skill Matrix'!M55)</f>
        <v/>
      </c>
      <c r="H794">
        <f>IF(A794="","",'Employees'!F9)</f>
        <v/>
      </c>
    </row>
    <row r="795">
      <c r="A795">
        <f>IF(AND('Skill Matrix'!A55&lt;&gt;"",'Skill Matrix'!N5&lt;&gt;""),'Skill Matrix'!A55,"")</f>
        <v/>
      </c>
      <c r="B795">
        <f>IF(A795="","",'Employees'!C9)</f>
        <v/>
      </c>
      <c r="C795">
        <f>IF(A795="","",'Employees'!D9)</f>
        <v/>
      </c>
      <c r="D795">
        <f>IF(A795="","",'Skill Matrix'!C55)</f>
        <v/>
      </c>
      <c r="E795">
        <f>IF(A795="","",'Skill Matrix'!D55)</f>
        <v/>
      </c>
      <c r="F795">
        <f>IF(AND('Skill Matrix'!A55&lt;&gt;"",'Skill Matrix'!N5&lt;&gt;""),'Skill Matrix'!N5,"")</f>
        <v/>
      </c>
      <c r="G795">
        <f>IF(OR(A795="",'Skill Matrix'!N55=""),"",'Skill Matrix'!N55)</f>
        <v/>
      </c>
      <c r="H795">
        <f>IF(A795="","",'Employees'!F9)</f>
        <v/>
      </c>
    </row>
    <row r="796">
      <c r="A796">
        <f>IF(AND('Skill Matrix'!A55&lt;&gt;"",'Skill Matrix'!O5&lt;&gt;""),'Skill Matrix'!A55,"")</f>
        <v/>
      </c>
      <c r="B796">
        <f>IF(A796="","",'Employees'!C9)</f>
        <v/>
      </c>
      <c r="C796">
        <f>IF(A796="","",'Employees'!D9)</f>
        <v/>
      </c>
      <c r="D796">
        <f>IF(A796="","",'Skill Matrix'!C55)</f>
        <v/>
      </c>
      <c r="E796">
        <f>IF(A796="","",'Skill Matrix'!D55)</f>
        <v/>
      </c>
      <c r="F796">
        <f>IF(AND('Skill Matrix'!A55&lt;&gt;"",'Skill Matrix'!O5&lt;&gt;""),'Skill Matrix'!O5,"")</f>
        <v/>
      </c>
      <c r="G796">
        <f>IF(OR(A796="",'Skill Matrix'!O55=""),"",'Skill Matrix'!O55)</f>
        <v/>
      </c>
      <c r="H796">
        <f>IF(A796="","",'Employees'!F9)</f>
        <v/>
      </c>
    </row>
    <row r="797">
      <c r="A797">
        <f>IF(AND('Skill Matrix'!A55&lt;&gt;"",'Skill Matrix'!P5&lt;&gt;""),'Skill Matrix'!A55,"")</f>
        <v/>
      </c>
      <c r="B797">
        <f>IF(A797="","",'Employees'!C9)</f>
        <v/>
      </c>
      <c r="C797">
        <f>IF(A797="","",'Employees'!D9)</f>
        <v/>
      </c>
      <c r="D797">
        <f>IF(A797="","",'Skill Matrix'!C55)</f>
        <v/>
      </c>
      <c r="E797">
        <f>IF(A797="","",'Skill Matrix'!D55)</f>
        <v/>
      </c>
      <c r="F797">
        <f>IF(AND('Skill Matrix'!A55&lt;&gt;"",'Skill Matrix'!P5&lt;&gt;""),'Skill Matrix'!P5,"")</f>
        <v/>
      </c>
      <c r="G797">
        <f>IF(OR(A797="",'Skill Matrix'!P55=""),"",'Skill Matrix'!P55)</f>
        <v/>
      </c>
      <c r="H797">
        <f>IF(A797="","",'Employees'!F9)</f>
        <v/>
      </c>
    </row>
    <row r="798">
      <c r="A798">
        <f>IF(AND('Skill Matrix'!A55&lt;&gt;"",'Skill Matrix'!Q5&lt;&gt;""),'Skill Matrix'!A55,"")</f>
        <v/>
      </c>
      <c r="B798">
        <f>IF(A798="","",'Employees'!C9)</f>
        <v/>
      </c>
      <c r="C798">
        <f>IF(A798="","",'Employees'!D9)</f>
        <v/>
      </c>
      <c r="D798">
        <f>IF(A798="","",'Skill Matrix'!C55)</f>
        <v/>
      </c>
      <c r="E798">
        <f>IF(A798="","",'Skill Matrix'!D55)</f>
        <v/>
      </c>
      <c r="F798">
        <f>IF(AND('Skill Matrix'!A55&lt;&gt;"",'Skill Matrix'!Q5&lt;&gt;""),'Skill Matrix'!Q5,"")</f>
        <v/>
      </c>
      <c r="G798">
        <f>IF(OR(A798="",'Skill Matrix'!Q55=""),"",'Skill Matrix'!Q55)</f>
        <v/>
      </c>
      <c r="H798">
        <f>IF(A798="","",'Employees'!F9)</f>
        <v/>
      </c>
    </row>
    <row r="799">
      <c r="A799">
        <f>IF(AND('Skill Matrix'!A55&lt;&gt;"",'Skill Matrix'!R5&lt;&gt;""),'Skill Matrix'!A55,"")</f>
        <v/>
      </c>
      <c r="B799">
        <f>IF(A799="","",'Employees'!C9)</f>
        <v/>
      </c>
      <c r="C799">
        <f>IF(A799="","",'Employees'!D9)</f>
        <v/>
      </c>
      <c r="D799">
        <f>IF(A799="","",'Skill Matrix'!C55)</f>
        <v/>
      </c>
      <c r="E799">
        <f>IF(A799="","",'Skill Matrix'!D55)</f>
        <v/>
      </c>
      <c r="F799">
        <f>IF(AND('Skill Matrix'!A55&lt;&gt;"",'Skill Matrix'!R5&lt;&gt;""),'Skill Matrix'!R5,"")</f>
        <v/>
      </c>
      <c r="G799">
        <f>IF(OR(A799="",'Skill Matrix'!R55=""),"",'Skill Matrix'!R55)</f>
        <v/>
      </c>
      <c r="H799">
        <f>IF(A799="","",'Employees'!F9)</f>
        <v/>
      </c>
    </row>
    <row r="800">
      <c r="A800">
        <f>IF(AND('Skill Matrix'!A55&lt;&gt;"",'Skill Matrix'!S5&lt;&gt;""),'Skill Matrix'!A55,"")</f>
        <v/>
      </c>
      <c r="B800">
        <f>IF(A800="","",'Employees'!C9)</f>
        <v/>
      </c>
      <c r="C800">
        <f>IF(A800="","",'Employees'!D9)</f>
        <v/>
      </c>
      <c r="D800">
        <f>IF(A800="","",'Skill Matrix'!C55)</f>
        <v/>
      </c>
      <c r="E800">
        <f>IF(A800="","",'Skill Matrix'!D55)</f>
        <v/>
      </c>
      <c r="F800">
        <f>IF(AND('Skill Matrix'!A55&lt;&gt;"",'Skill Matrix'!S5&lt;&gt;""),'Skill Matrix'!S5,"")</f>
        <v/>
      </c>
      <c r="G800">
        <f>IF(OR(A800="",'Skill Matrix'!S55=""),"",'Skill Matrix'!S55)</f>
        <v/>
      </c>
      <c r="H800">
        <f>IF(A800="","",'Employees'!F9)</f>
        <v/>
      </c>
    </row>
    <row r="801">
      <c r="A801">
        <f>IF(AND('Skill Matrix'!A55&lt;&gt;"",'Skill Matrix'!T5&lt;&gt;""),'Skill Matrix'!A55,"")</f>
        <v/>
      </c>
      <c r="B801">
        <f>IF(A801="","",'Employees'!C9)</f>
        <v/>
      </c>
      <c r="C801">
        <f>IF(A801="","",'Employees'!D9)</f>
        <v/>
      </c>
      <c r="D801">
        <f>IF(A801="","",'Skill Matrix'!C55)</f>
        <v/>
      </c>
      <c r="E801">
        <f>IF(A801="","",'Skill Matrix'!D55)</f>
        <v/>
      </c>
      <c r="F801">
        <f>IF(AND('Skill Matrix'!A55&lt;&gt;"",'Skill Matrix'!T5&lt;&gt;""),'Skill Matrix'!T5,"")</f>
        <v/>
      </c>
      <c r="G801">
        <f>IF(OR(A801="",'Skill Matrix'!T55=""),"",'Skill Matrix'!T55)</f>
        <v/>
      </c>
      <c r="H801">
        <f>IF(A801="","",'Employees'!F9)</f>
        <v/>
      </c>
    </row>
    <row r="802">
      <c r="A802">
        <f>IF(AND('Skill Matrix'!A56&lt;&gt;"",'Skill Matrix'!E5&lt;&gt;""),'Skill Matrix'!A56,"")</f>
        <v/>
      </c>
      <c r="B802">
        <f>IF(A802="","",'Employees'!C9)</f>
        <v/>
      </c>
      <c r="C802">
        <f>IF(A802="","",'Employees'!D9)</f>
        <v/>
      </c>
      <c r="D802">
        <f>IF(A802="","",'Skill Matrix'!C56)</f>
        <v/>
      </c>
      <c r="E802">
        <f>IF(A802="","",'Skill Matrix'!D56)</f>
        <v/>
      </c>
      <c r="F802">
        <f>IF(AND('Skill Matrix'!A56&lt;&gt;"",'Skill Matrix'!E5&lt;&gt;""),'Skill Matrix'!E5,"")</f>
        <v/>
      </c>
      <c r="G802">
        <f>IF(OR(A802="",'Skill Matrix'!E56=""),"",'Skill Matrix'!E56)</f>
        <v/>
      </c>
      <c r="H802">
        <f>IF(A802="","",'Employees'!F9)</f>
        <v/>
      </c>
    </row>
    <row r="803">
      <c r="A803">
        <f>IF(AND('Skill Matrix'!A56&lt;&gt;"",'Skill Matrix'!F5&lt;&gt;""),'Skill Matrix'!A56,"")</f>
        <v/>
      </c>
      <c r="B803">
        <f>IF(A803="","",'Employees'!C9)</f>
        <v/>
      </c>
      <c r="C803">
        <f>IF(A803="","",'Employees'!D9)</f>
        <v/>
      </c>
      <c r="D803">
        <f>IF(A803="","",'Skill Matrix'!C56)</f>
        <v/>
      </c>
      <c r="E803">
        <f>IF(A803="","",'Skill Matrix'!D56)</f>
        <v/>
      </c>
      <c r="F803">
        <f>IF(AND('Skill Matrix'!A56&lt;&gt;"",'Skill Matrix'!F5&lt;&gt;""),'Skill Matrix'!F5,"")</f>
        <v/>
      </c>
      <c r="G803">
        <f>IF(OR(A803="",'Skill Matrix'!F56=""),"",'Skill Matrix'!F56)</f>
        <v/>
      </c>
      <c r="H803">
        <f>IF(A803="","",'Employees'!F9)</f>
        <v/>
      </c>
    </row>
    <row r="804">
      <c r="A804">
        <f>IF(AND('Skill Matrix'!A56&lt;&gt;"",'Skill Matrix'!G5&lt;&gt;""),'Skill Matrix'!A56,"")</f>
        <v/>
      </c>
      <c r="B804">
        <f>IF(A804="","",'Employees'!C9)</f>
        <v/>
      </c>
      <c r="C804">
        <f>IF(A804="","",'Employees'!D9)</f>
        <v/>
      </c>
      <c r="D804">
        <f>IF(A804="","",'Skill Matrix'!C56)</f>
        <v/>
      </c>
      <c r="E804">
        <f>IF(A804="","",'Skill Matrix'!D56)</f>
        <v/>
      </c>
      <c r="F804">
        <f>IF(AND('Skill Matrix'!A56&lt;&gt;"",'Skill Matrix'!G5&lt;&gt;""),'Skill Matrix'!G5,"")</f>
        <v/>
      </c>
      <c r="G804">
        <f>IF(OR(A804="",'Skill Matrix'!G56=""),"",'Skill Matrix'!G56)</f>
        <v/>
      </c>
      <c r="H804">
        <f>IF(A804="","",'Employees'!F9)</f>
        <v/>
      </c>
    </row>
    <row r="805">
      <c r="A805">
        <f>IF(AND('Skill Matrix'!A56&lt;&gt;"",'Skill Matrix'!H5&lt;&gt;""),'Skill Matrix'!A56,"")</f>
        <v/>
      </c>
      <c r="B805">
        <f>IF(A805="","",'Employees'!C9)</f>
        <v/>
      </c>
      <c r="C805">
        <f>IF(A805="","",'Employees'!D9)</f>
        <v/>
      </c>
      <c r="D805">
        <f>IF(A805="","",'Skill Matrix'!C56)</f>
        <v/>
      </c>
      <c r="E805">
        <f>IF(A805="","",'Skill Matrix'!D56)</f>
        <v/>
      </c>
      <c r="F805">
        <f>IF(AND('Skill Matrix'!A56&lt;&gt;"",'Skill Matrix'!H5&lt;&gt;""),'Skill Matrix'!H5,"")</f>
        <v/>
      </c>
      <c r="G805">
        <f>IF(OR(A805="",'Skill Matrix'!H56=""),"",'Skill Matrix'!H56)</f>
        <v/>
      </c>
      <c r="H805">
        <f>IF(A805="","",'Employees'!F9)</f>
        <v/>
      </c>
    </row>
    <row r="806">
      <c r="A806">
        <f>IF(AND('Skill Matrix'!A56&lt;&gt;"",'Skill Matrix'!I5&lt;&gt;""),'Skill Matrix'!A56,"")</f>
        <v/>
      </c>
      <c r="B806">
        <f>IF(A806="","",'Employees'!C9)</f>
        <v/>
      </c>
      <c r="C806">
        <f>IF(A806="","",'Employees'!D9)</f>
        <v/>
      </c>
      <c r="D806">
        <f>IF(A806="","",'Skill Matrix'!C56)</f>
        <v/>
      </c>
      <c r="E806">
        <f>IF(A806="","",'Skill Matrix'!D56)</f>
        <v/>
      </c>
      <c r="F806">
        <f>IF(AND('Skill Matrix'!A56&lt;&gt;"",'Skill Matrix'!I5&lt;&gt;""),'Skill Matrix'!I5,"")</f>
        <v/>
      </c>
      <c r="G806">
        <f>IF(OR(A806="",'Skill Matrix'!I56=""),"",'Skill Matrix'!I56)</f>
        <v/>
      </c>
      <c r="H806">
        <f>IF(A806="","",'Employees'!F9)</f>
        <v/>
      </c>
    </row>
    <row r="807">
      <c r="A807">
        <f>IF(AND('Skill Matrix'!A56&lt;&gt;"",'Skill Matrix'!J5&lt;&gt;""),'Skill Matrix'!A56,"")</f>
        <v/>
      </c>
      <c r="B807">
        <f>IF(A807="","",'Employees'!C9)</f>
        <v/>
      </c>
      <c r="C807">
        <f>IF(A807="","",'Employees'!D9)</f>
        <v/>
      </c>
      <c r="D807">
        <f>IF(A807="","",'Skill Matrix'!C56)</f>
        <v/>
      </c>
      <c r="E807">
        <f>IF(A807="","",'Skill Matrix'!D56)</f>
        <v/>
      </c>
      <c r="F807">
        <f>IF(AND('Skill Matrix'!A56&lt;&gt;"",'Skill Matrix'!J5&lt;&gt;""),'Skill Matrix'!J5,"")</f>
        <v/>
      </c>
      <c r="G807">
        <f>IF(OR(A807="",'Skill Matrix'!J56=""),"",'Skill Matrix'!J56)</f>
        <v/>
      </c>
      <c r="H807">
        <f>IF(A807="","",'Employees'!F9)</f>
        <v/>
      </c>
    </row>
    <row r="808">
      <c r="A808">
        <f>IF(AND('Skill Matrix'!A56&lt;&gt;"",'Skill Matrix'!K5&lt;&gt;""),'Skill Matrix'!A56,"")</f>
        <v/>
      </c>
      <c r="B808">
        <f>IF(A808="","",'Employees'!C9)</f>
        <v/>
      </c>
      <c r="C808">
        <f>IF(A808="","",'Employees'!D9)</f>
        <v/>
      </c>
      <c r="D808">
        <f>IF(A808="","",'Skill Matrix'!C56)</f>
        <v/>
      </c>
      <c r="E808">
        <f>IF(A808="","",'Skill Matrix'!D56)</f>
        <v/>
      </c>
      <c r="F808">
        <f>IF(AND('Skill Matrix'!A56&lt;&gt;"",'Skill Matrix'!K5&lt;&gt;""),'Skill Matrix'!K5,"")</f>
        <v/>
      </c>
      <c r="G808">
        <f>IF(OR(A808="",'Skill Matrix'!K56=""),"",'Skill Matrix'!K56)</f>
        <v/>
      </c>
      <c r="H808">
        <f>IF(A808="","",'Employees'!F9)</f>
        <v/>
      </c>
    </row>
    <row r="809">
      <c r="A809">
        <f>IF(AND('Skill Matrix'!A56&lt;&gt;"",'Skill Matrix'!L5&lt;&gt;""),'Skill Matrix'!A56,"")</f>
        <v/>
      </c>
      <c r="B809">
        <f>IF(A809="","",'Employees'!C9)</f>
        <v/>
      </c>
      <c r="C809">
        <f>IF(A809="","",'Employees'!D9)</f>
        <v/>
      </c>
      <c r="D809">
        <f>IF(A809="","",'Skill Matrix'!C56)</f>
        <v/>
      </c>
      <c r="E809">
        <f>IF(A809="","",'Skill Matrix'!D56)</f>
        <v/>
      </c>
      <c r="F809">
        <f>IF(AND('Skill Matrix'!A56&lt;&gt;"",'Skill Matrix'!L5&lt;&gt;""),'Skill Matrix'!L5,"")</f>
        <v/>
      </c>
      <c r="G809">
        <f>IF(OR(A809="",'Skill Matrix'!L56=""),"",'Skill Matrix'!L56)</f>
        <v/>
      </c>
      <c r="H809">
        <f>IF(A809="","",'Employees'!F9)</f>
        <v/>
      </c>
    </row>
    <row r="810">
      <c r="A810">
        <f>IF(AND('Skill Matrix'!A56&lt;&gt;"",'Skill Matrix'!M5&lt;&gt;""),'Skill Matrix'!A56,"")</f>
        <v/>
      </c>
      <c r="B810">
        <f>IF(A810="","",'Employees'!C9)</f>
        <v/>
      </c>
      <c r="C810">
        <f>IF(A810="","",'Employees'!D9)</f>
        <v/>
      </c>
      <c r="D810">
        <f>IF(A810="","",'Skill Matrix'!C56)</f>
        <v/>
      </c>
      <c r="E810">
        <f>IF(A810="","",'Skill Matrix'!D56)</f>
        <v/>
      </c>
      <c r="F810">
        <f>IF(AND('Skill Matrix'!A56&lt;&gt;"",'Skill Matrix'!M5&lt;&gt;""),'Skill Matrix'!M5,"")</f>
        <v/>
      </c>
      <c r="G810">
        <f>IF(OR(A810="",'Skill Matrix'!M56=""),"",'Skill Matrix'!M56)</f>
        <v/>
      </c>
      <c r="H810">
        <f>IF(A810="","",'Employees'!F9)</f>
        <v/>
      </c>
    </row>
    <row r="811">
      <c r="A811">
        <f>IF(AND('Skill Matrix'!A56&lt;&gt;"",'Skill Matrix'!N5&lt;&gt;""),'Skill Matrix'!A56,"")</f>
        <v/>
      </c>
      <c r="B811">
        <f>IF(A811="","",'Employees'!C9)</f>
        <v/>
      </c>
      <c r="C811">
        <f>IF(A811="","",'Employees'!D9)</f>
        <v/>
      </c>
      <c r="D811">
        <f>IF(A811="","",'Skill Matrix'!C56)</f>
        <v/>
      </c>
      <c r="E811">
        <f>IF(A811="","",'Skill Matrix'!D56)</f>
        <v/>
      </c>
      <c r="F811">
        <f>IF(AND('Skill Matrix'!A56&lt;&gt;"",'Skill Matrix'!N5&lt;&gt;""),'Skill Matrix'!N5,"")</f>
        <v/>
      </c>
      <c r="G811">
        <f>IF(OR(A811="",'Skill Matrix'!N56=""),"",'Skill Matrix'!N56)</f>
        <v/>
      </c>
      <c r="H811">
        <f>IF(A811="","",'Employees'!F9)</f>
        <v/>
      </c>
    </row>
    <row r="812">
      <c r="A812">
        <f>IF(AND('Skill Matrix'!A56&lt;&gt;"",'Skill Matrix'!O5&lt;&gt;""),'Skill Matrix'!A56,"")</f>
        <v/>
      </c>
      <c r="B812">
        <f>IF(A812="","",'Employees'!C9)</f>
        <v/>
      </c>
      <c r="C812">
        <f>IF(A812="","",'Employees'!D9)</f>
        <v/>
      </c>
      <c r="D812">
        <f>IF(A812="","",'Skill Matrix'!C56)</f>
        <v/>
      </c>
      <c r="E812">
        <f>IF(A812="","",'Skill Matrix'!D56)</f>
        <v/>
      </c>
      <c r="F812">
        <f>IF(AND('Skill Matrix'!A56&lt;&gt;"",'Skill Matrix'!O5&lt;&gt;""),'Skill Matrix'!O5,"")</f>
        <v/>
      </c>
      <c r="G812">
        <f>IF(OR(A812="",'Skill Matrix'!O56=""),"",'Skill Matrix'!O56)</f>
        <v/>
      </c>
      <c r="H812">
        <f>IF(A812="","",'Employees'!F9)</f>
        <v/>
      </c>
    </row>
    <row r="813">
      <c r="A813">
        <f>IF(AND('Skill Matrix'!A56&lt;&gt;"",'Skill Matrix'!P5&lt;&gt;""),'Skill Matrix'!A56,"")</f>
        <v/>
      </c>
      <c r="B813">
        <f>IF(A813="","",'Employees'!C9)</f>
        <v/>
      </c>
      <c r="C813">
        <f>IF(A813="","",'Employees'!D9)</f>
        <v/>
      </c>
      <c r="D813">
        <f>IF(A813="","",'Skill Matrix'!C56)</f>
        <v/>
      </c>
      <c r="E813">
        <f>IF(A813="","",'Skill Matrix'!D56)</f>
        <v/>
      </c>
      <c r="F813">
        <f>IF(AND('Skill Matrix'!A56&lt;&gt;"",'Skill Matrix'!P5&lt;&gt;""),'Skill Matrix'!P5,"")</f>
        <v/>
      </c>
      <c r="G813">
        <f>IF(OR(A813="",'Skill Matrix'!P56=""),"",'Skill Matrix'!P56)</f>
        <v/>
      </c>
      <c r="H813">
        <f>IF(A813="","",'Employees'!F9)</f>
        <v/>
      </c>
    </row>
    <row r="814">
      <c r="A814">
        <f>IF(AND('Skill Matrix'!A56&lt;&gt;"",'Skill Matrix'!Q5&lt;&gt;""),'Skill Matrix'!A56,"")</f>
        <v/>
      </c>
      <c r="B814">
        <f>IF(A814="","",'Employees'!C9)</f>
        <v/>
      </c>
      <c r="C814">
        <f>IF(A814="","",'Employees'!D9)</f>
        <v/>
      </c>
      <c r="D814">
        <f>IF(A814="","",'Skill Matrix'!C56)</f>
        <v/>
      </c>
      <c r="E814">
        <f>IF(A814="","",'Skill Matrix'!D56)</f>
        <v/>
      </c>
      <c r="F814">
        <f>IF(AND('Skill Matrix'!A56&lt;&gt;"",'Skill Matrix'!Q5&lt;&gt;""),'Skill Matrix'!Q5,"")</f>
        <v/>
      </c>
      <c r="G814">
        <f>IF(OR(A814="",'Skill Matrix'!Q56=""),"",'Skill Matrix'!Q56)</f>
        <v/>
      </c>
      <c r="H814">
        <f>IF(A814="","",'Employees'!F9)</f>
        <v/>
      </c>
    </row>
    <row r="815">
      <c r="A815">
        <f>IF(AND('Skill Matrix'!A56&lt;&gt;"",'Skill Matrix'!R5&lt;&gt;""),'Skill Matrix'!A56,"")</f>
        <v/>
      </c>
      <c r="B815">
        <f>IF(A815="","",'Employees'!C9)</f>
        <v/>
      </c>
      <c r="C815">
        <f>IF(A815="","",'Employees'!D9)</f>
        <v/>
      </c>
      <c r="D815">
        <f>IF(A815="","",'Skill Matrix'!C56)</f>
        <v/>
      </c>
      <c r="E815">
        <f>IF(A815="","",'Skill Matrix'!D56)</f>
        <v/>
      </c>
      <c r="F815">
        <f>IF(AND('Skill Matrix'!A56&lt;&gt;"",'Skill Matrix'!R5&lt;&gt;""),'Skill Matrix'!R5,"")</f>
        <v/>
      </c>
      <c r="G815">
        <f>IF(OR(A815="",'Skill Matrix'!R56=""),"",'Skill Matrix'!R56)</f>
        <v/>
      </c>
      <c r="H815">
        <f>IF(A815="","",'Employees'!F9)</f>
        <v/>
      </c>
    </row>
    <row r="816">
      <c r="A816">
        <f>IF(AND('Skill Matrix'!A56&lt;&gt;"",'Skill Matrix'!S5&lt;&gt;""),'Skill Matrix'!A56,"")</f>
        <v/>
      </c>
      <c r="B816">
        <f>IF(A816="","",'Employees'!C9)</f>
        <v/>
      </c>
      <c r="C816">
        <f>IF(A816="","",'Employees'!D9)</f>
        <v/>
      </c>
      <c r="D816">
        <f>IF(A816="","",'Skill Matrix'!C56)</f>
        <v/>
      </c>
      <c r="E816">
        <f>IF(A816="","",'Skill Matrix'!D56)</f>
        <v/>
      </c>
      <c r="F816">
        <f>IF(AND('Skill Matrix'!A56&lt;&gt;"",'Skill Matrix'!S5&lt;&gt;""),'Skill Matrix'!S5,"")</f>
        <v/>
      </c>
      <c r="G816">
        <f>IF(OR(A816="",'Skill Matrix'!S56=""),"",'Skill Matrix'!S56)</f>
        <v/>
      </c>
      <c r="H816">
        <f>IF(A816="","",'Employees'!F9)</f>
        <v/>
      </c>
    </row>
    <row r="817">
      <c r="A817">
        <f>IF(AND('Skill Matrix'!A56&lt;&gt;"",'Skill Matrix'!T5&lt;&gt;""),'Skill Matrix'!A56,"")</f>
        <v/>
      </c>
      <c r="B817">
        <f>IF(A817="","",'Employees'!C9)</f>
        <v/>
      </c>
      <c r="C817">
        <f>IF(A817="","",'Employees'!D9)</f>
        <v/>
      </c>
      <c r="D817">
        <f>IF(A817="","",'Skill Matrix'!C56)</f>
        <v/>
      </c>
      <c r="E817">
        <f>IF(A817="","",'Skill Matrix'!D56)</f>
        <v/>
      </c>
      <c r="F817">
        <f>IF(AND('Skill Matrix'!A56&lt;&gt;"",'Skill Matrix'!T5&lt;&gt;""),'Skill Matrix'!T5,"")</f>
        <v/>
      </c>
      <c r="G817">
        <f>IF(OR(A817="",'Skill Matrix'!T56=""),"",'Skill Matrix'!T56)</f>
        <v/>
      </c>
      <c r="H817">
        <f>IF(A817="","",'Employees'!F9)</f>
        <v/>
      </c>
    </row>
    <row r="818">
      <c r="A818">
        <f>IF(AND('Skill Matrix'!A57&lt;&gt;"",'Skill Matrix'!E5&lt;&gt;""),'Skill Matrix'!A57,"")</f>
        <v/>
      </c>
      <c r="B818">
        <f>IF(A818="","",'Employees'!C9)</f>
        <v/>
      </c>
      <c r="C818">
        <f>IF(A818="","",'Employees'!D9)</f>
        <v/>
      </c>
      <c r="D818">
        <f>IF(A818="","",'Skill Matrix'!C57)</f>
        <v/>
      </c>
      <c r="E818">
        <f>IF(A818="","",'Skill Matrix'!D57)</f>
        <v/>
      </c>
      <c r="F818">
        <f>IF(AND('Skill Matrix'!A57&lt;&gt;"",'Skill Matrix'!E5&lt;&gt;""),'Skill Matrix'!E5,"")</f>
        <v/>
      </c>
      <c r="G818">
        <f>IF(OR(A818="",'Skill Matrix'!E57=""),"",'Skill Matrix'!E57)</f>
        <v/>
      </c>
      <c r="H818">
        <f>IF(A818="","",'Employees'!F9)</f>
        <v/>
      </c>
    </row>
    <row r="819">
      <c r="A819">
        <f>IF(AND('Skill Matrix'!A57&lt;&gt;"",'Skill Matrix'!F5&lt;&gt;""),'Skill Matrix'!A57,"")</f>
        <v/>
      </c>
      <c r="B819">
        <f>IF(A819="","",'Employees'!C9)</f>
        <v/>
      </c>
      <c r="C819">
        <f>IF(A819="","",'Employees'!D9)</f>
        <v/>
      </c>
      <c r="D819">
        <f>IF(A819="","",'Skill Matrix'!C57)</f>
        <v/>
      </c>
      <c r="E819">
        <f>IF(A819="","",'Skill Matrix'!D57)</f>
        <v/>
      </c>
      <c r="F819">
        <f>IF(AND('Skill Matrix'!A57&lt;&gt;"",'Skill Matrix'!F5&lt;&gt;""),'Skill Matrix'!F5,"")</f>
        <v/>
      </c>
      <c r="G819">
        <f>IF(OR(A819="",'Skill Matrix'!F57=""),"",'Skill Matrix'!F57)</f>
        <v/>
      </c>
      <c r="H819">
        <f>IF(A819="","",'Employees'!F9)</f>
        <v/>
      </c>
    </row>
    <row r="820">
      <c r="A820">
        <f>IF(AND('Skill Matrix'!A57&lt;&gt;"",'Skill Matrix'!G5&lt;&gt;""),'Skill Matrix'!A57,"")</f>
        <v/>
      </c>
      <c r="B820">
        <f>IF(A820="","",'Employees'!C9)</f>
        <v/>
      </c>
      <c r="C820">
        <f>IF(A820="","",'Employees'!D9)</f>
        <v/>
      </c>
      <c r="D820">
        <f>IF(A820="","",'Skill Matrix'!C57)</f>
        <v/>
      </c>
      <c r="E820">
        <f>IF(A820="","",'Skill Matrix'!D57)</f>
        <v/>
      </c>
      <c r="F820">
        <f>IF(AND('Skill Matrix'!A57&lt;&gt;"",'Skill Matrix'!G5&lt;&gt;""),'Skill Matrix'!G5,"")</f>
        <v/>
      </c>
      <c r="G820">
        <f>IF(OR(A820="",'Skill Matrix'!G57=""),"",'Skill Matrix'!G57)</f>
        <v/>
      </c>
      <c r="H820">
        <f>IF(A820="","",'Employees'!F9)</f>
        <v/>
      </c>
    </row>
    <row r="821">
      <c r="A821">
        <f>IF(AND('Skill Matrix'!A57&lt;&gt;"",'Skill Matrix'!H5&lt;&gt;""),'Skill Matrix'!A57,"")</f>
        <v/>
      </c>
      <c r="B821">
        <f>IF(A821="","",'Employees'!C9)</f>
        <v/>
      </c>
      <c r="C821">
        <f>IF(A821="","",'Employees'!D9)</f>
        <v/>
      </c>
      <c r="D821">
        <f>IF(A821="","",'Skill Matrix'!C57)</f>
        <v/>
      </c>
      <c r="E821">
        <f>IF(A821="","",'Skill Matrix'!D57)</f>
        <v/>
      </c>
      <c r="F821">
        <f>IF(AND('Skill Matrix'!A57&lt;&gt;"",'Skill Matrix'!H5&lt;&gt;""),'Skill Matrix'!H5,"")</f>
        <v/>
      </c>
      <c r="G821">
        <f>IF(OR(A821="",'Skill Matrix'!H57=""),"",'Skill Matrix'!H57)</f>
        <v/>
      </c>
      <c r="H821">
        <f>IF(A821="","",'Employees'!F9)</f>
        <v/>
      </c>
    </row>
    <row r="822">
      <c r="A822">
        <f>IF(AND('Skill Matrix'!A57&lt;&gt;"",'Skill Matrix'!I5&lt;&gt;""),'Skill Matrix'!A57,"")</f>
        <v/>
      </c>
      <c r="B822">
        <f>IF(A822="","",'Employees'!C9)</f>
        <v/>
      </c>
      <c r="C822">
        <f>IF(A822="","",'Employees'!D9)</f>
        <v/>
      </c>
      <c r="D822">
        <f>IF(A822="","",'Skill Matrix'!C57)</f>
        <v/>
      </c>
      <c r="E822">
        <f>IF(A822="","",'Skill Matrix'!D57)</f>
        <v/>
      </c>
      <c r="F822">
        <f>IF(AND('Skill Matrix'!A57&lt;&gt;"",'Skill Matrix'!I5&lt;&gt;""),'Skill Matrix'!I5,"")</f>
        <v/>
      </c>
      <c r="G822">
        <f>IF(OR(A822="",'Skill Matrix'!I57=""),"",'Skill Matrix'!I57)</f>
        <v/>
      </c>
      <c r="H822">
        <f>IF(A822="","",'Employees'!F9)</f>
        <v/>
      </c>
    </row>
    <row r="823">
      <c r="A823">
        <f>IF(AND('Skill Matrix'!A57&lt;&gt;"",'Skill Matrix'!J5&lt;&gt;""),'Skill Matrix'!A57,"")</f>
        <v/>
      </c>
      <c r="B823">
        <f>IF(A823="","",'Employees'!C9)</f>
        <v/>
      </c>
      <c r="C823">
        <f>IF(A823="","",'Employees'!D9)</f>
        <v/>
      </c>
      <c r="D823">
        <f>IF(A823="","",'Skill Matrix'!C57)</f>
        <v/>
      </c>
      <c r="E823">
        <f>IF(A823="","",'Skill Matrix'!D57)</f>
        <v/>
      </c>
      <c r="F823">
        <f>IF(AND('Skill Matrix'!A57&lt;&gt;"",'Skill Matrix'!J5&lt;&gt;""),'Skill Matrix'!J5,"")</f>
        <v/>
      </c>
      <c r="G823">
        <f>IF(OR(A823="",'Skill Matrix'!J57=""),"",'Skill Matrix'!J57)</f>
        <v/>
      </c>
      <c r="H823">
        <f>IF(A823="","",'Employees'!F9)</f>
        <v/>
      </c>
    </row>
    <row r="824">
      <c r="A824">
        <f>IF(AND('Skill Matrix'!A57&lt;&gt;"",'Skill Matrix'!K5&lt;&gt;""),'Skill Matrix'!A57,"")</f>
        <v/>
      </c>
      <c r="B824">
        <f>IF(A824="","",'Employees'!C9)</f>
        <v/>
      </c>
      <c r="C824">
        <f>IF(A824="","",'Employees'!D9)</f>
        <v/>
      </c>
      <c r="D824">
        <f>IF(A824="","",'Skill Matrix'!C57)</f>
        <v/>
      </c>
      <c r="E824">
        <f>IF(A824="","",'Skill Matrix'!D57)</f>
        <v/>
      </c>
      <c r="F824">
        <f>IF(AND('Skill Matrix'!A57&lt;&gt;"",'Skill Matrix'!K5&lt;&gt;""),'Skill Matrix'!K5,"")</f>
        <v/>
      </c>
      <c r="G824">
        <f>IF(OR(A824="",'Skill Matrix'!K57=""),"",'Skill Matrix'!K57)</f>
        <v/>
      </c>
      <c r="H824">
        <f>IF(A824="","",'Employees'!F9)</f>
        <v/>
      </c>
    </row>
    <row r="825">
      <c r="A825">
        <f>IF(AND('Skill Matrix'!A57&lt;&gt;"",'Skill Matrix'!L5&lt;&gt;""),'Skill Matrix'!A57,"")</f>
        <v/>
      </c>
      <c r="B825">
        <f>IF(A825="","",'Employees'!C9)</f>
        <v/>
      </c>
      <c r="C825">
        <f>IF(A825="","",'Employees'!D9)</f>
        <v/>
      </c>
      <c r="D825">
        <f>IF(A825="","",'Skill Matrix'!C57)</f>
        <v/>
      </c>
      <c r="E825">
        <f>IF(A825="","",'Skill Matrix'!D57)</f>
        <v/>
      </c>
      <c r="F825">
        <f>IF(AND('Skill Matrix'!A57&lt;&gt;"",'Skill Matrix'!L5&lt;&gt;""),'Skill Matrix'!L5,"")</f>
        <v/>
      </c>
      <c r="G825">
        <f>IF(OR(A825="",'Skill Matrix'!L57=""),"",'Skill Matrix'!L57)</f>
        <v/>
      </c>
      <c r="H825">
        <f>IF(A825="","",'Employees'!F9)</f>
        <v/>
      </c>
    </row>
    <row r="826">
      <c r="A826">
        <f>IF(AND('Skill Matrix'!A57&lt;&gt;"",'Skill Matrix'!M5&lt;&gt;""),'Skill Matrix'!A57,"")</f>
        <v/>
      </c>
      <c r="B826">
        <f>IF(A826="","",'Employees'!C9)</f>
        <v/>
      </c>
      <c r="C826">
        <f>IF(A826="","",'Employees'!D9)</f>
        <v/>
      </c>
      <c r="D826">
        <f>IF(A826="","",'Skill Matrix'!C57)</f>
        <v/>
      </c>
      <c r="E826">
        <f>IF(A826="","",'Skill Matrix'!D57)</f>
        <v/>
      </c>
      <c r="F826">
        <f>IF(AND('Skill Matrix'!A57&lt;&gt;"",'Skill Matrix'!M5&lt;&gt;""),'Skill Matrix'!M5,"")</f>
        <v/>
      </c>
      <c r="G826">
        <f>IF(OR(A826="",'Skill Matrix'!M57=""),"",'Skill Matrix'!M57)</f>
        <v/>
      </c>
      <c r="H826">
        <f>IF(A826="","",'Employees'!F9)</f>
        <v/>
      </c>
    </row>
    <row r="827">
      <c r="A827">
        <f>IF(AND('Skill Matrix'!A57&lt;&gt;"",'Skill Matrix'!N5&lt;&gt;""),'Skill Matrix'!A57,"")</f>
        <v/>
      </c>
      <c r="B827">
        <f>IF(A827="","",'Employees'!C9)</f>
        <v/>
      </c>
      <c r="C827">
        <f>IF(A827="","",'Employees'!D9)</f>
        <v/>
      </c>
      <c r="D827">
        <f>IF(A827="","",'Skill Matrix'!C57)</f>
        <v/>
      </c>
      <c r="E827">
        <f>IF(A827="","",'Skill Matrix'!D57)</f>
        <v/>
      </c>
      <c r="F827">
        <f>IF(AND('Skill Matrix'!A57&lt;&gt;"",'Skill Matrix'!N5&lt;&gt;""),'Skill Matrix'!N5,"")</f>
        <v/>
      </c>
      <c r="G827">
        <f>IF(OR(A827="",'Skill Matrix'!N57=""),"",'Skill Matrix'!N57)</f>
        <v/>
      </c>
      <c r="H827">
        <f>IF(A827="","",'Employees'!F9)</f>
        <v/>
      </c>
    </row>
    <row r="828">
      <c r="A828">
        <f>IF(AND('Skill Matrix'!A57&lt;&gt;"",'Skill Matrix'!O5&lt;&gt;""),'Skill Matrix'!A57,"")</f>
        <v/>
      </c>
      <c r="B828">
        <f>IF(A828="","",'Employees'!C9)</f>
        <v/>
      </c>
      <c r="C828">
        <f>IF(A828="","",'Employees'!D9)</f>
        <v/>
      </c>
      <c r="D828">
        <f>IF(A828="","",'Skill Matrix'!C57)</f>
        <v/>
      </c>
      <c r="E828">
        <f>IF(A828="","",'Skill Matrix'!D57)</f>
        <v/>
      </c>
      <c r="F828">
        <f>IF(AND('Skill Matrix'!A57&lt;&gt;"",'Skill Matrix'!O5&lt;&gt;""),'Skill Matrix'!O5,"")</f>
        <v/>
      </c>
      <c r="G828">
        <f>IF(OR(A828="",'Skill Matrix'!O57=""),"",'Skill Matrix'!O57)</f>
        <v/>
      </c>
      <c r="H828">
        <f>IF(A828="","",'Employees'!F9)</f>
        <v/>
      </c>
    </row>
    <row r="829">
      <c r="A829">
        <f>IF(AND('Skill Matrix'!A57&lt;&gt;"",'Skill Matrix'!P5&lt;&gt;""),'Skill Matrix'!A57,"")</f>
        <v/>
      </c>
      <c r="B829">
        <f>IF(A829="","",'Employees'!C9)</f>
        <v/>
      </c>
      <c r="C829">
        <f>IF(A829="","",'Employees'!D9)</f>
        <v/>
      </c>
      <c r="D829">
        <f>IF(A829="","",'Skill Matrix'!C57)</f>
        <v/>
      </c>
      <c r="E829">
        <f>IF(A829="","",'Skill Matrix'!D57)</f>
        <v/>
      </c>
      <c r="F829">
        <f>IF(AND('Skill Matrix'!A57&lt;&gt;"",'Skill Matrix'!P5&lt;&gt;""),'Skill Matrix'!P5,"")</f>
        <v/>
      </c>
      <c r="G829">
        <f>IF(OR(A829="",'Skill Matrix'!P57=""),"",'Skill Matrix'!P57)</f>
        <v/>
      </c>
      <c r="H829">
        <f>IF(A829="","",'Employees'!F9)</f>
        <v/>
      </c>
    </row>
    <row r="830">
      <c r="A830">
        <f>IF(AND('Skill Matrix'!A57&lt;&gt;"",'Skill Matrix'!Q5&lt;&gt;""),'Skill Matrix'!A57,"")</f>
        <v/>
      </c>
      <c r="B830">
        <f>IF(A830="","",'Employees'!C9)</f>
        <v/>
      </c>
      <c r="C830">
        <f>IF(A830="","",'Employees'!D9)</f>
        <v/>
      </c>
      <c r="D830">
        <f>IF(A830="","",'Skill Matrix'!C57)</f>
        <v/>
      </c>
      <c r="E830">
        <f>IF(A830="","",'Skill Matrix'!D57)</f>
        <v/>
      </c>
      <c r="F830">
        <f>IF(AND('Skill Matrix'!A57&lt;&gt;"",'Skill Matrix'!Q5&lt;&gt;""),'Skill Matrix'!Q5,"")</f>
        <v/>
      </c>
      <c r="G830">
        <f>IF(OR(A830="",'Skill Matrix'!Q57=""),"",'Skill Matrix'!Q57)</f>
        <v/>
      </c>
      <c r="H830">
        <f>IF(A830="","",'Employees'!F9)</f>
        <v/>
      </c>
    </row>
    <row r="831">
      <c r="A831">
        <f>IF(AND('Skill Matrix'!A57&lt;&gt;"",'Skill Matrix'!R5&lt;&gt;""),'Skill Matrix'!A57,"")</f>
        <v/>
      </c>
      <c r="B831">
        <f>IF(A831="","",'Employees'!C9)</f>
        <v/>
      </c>
      <c r="C831">
        <f>IF(A831="","",'Employees'!D9)</f>
        <v/>
      </c>
      <c r="D831">
        <f>IF(A831="","",'Skill Matrix'!C57)</f>
        <v/>
      </c>
      <c r="E831">
        <f>IF(A831="","",'Skill Matrix'!D57)</f>
        <v/>
      </c>
      <c r="F831">
        <f>IF(AND('Skill Matrix'!A57&lt;&gt;"",'Skill Matrix'!R5&lt;&gt;""),'Skill Matrix'!R5,"")</f>
        <v/>
      </c>
      <c r="G831">
        <f>IF(OR(A831="",'Skill Matrix'!R57=""),"",'Skill Matrix'!R57)</f>
        <v/>
      </c>
      <c r="H831">
        <f>IF(A831="","",'Employees'!F9)</f>
        <v/>
      </c>
    </row>
    <row r="832">
      <c r="A832">
        <f>IF(AND('Skill Matrix'!A57&lt;&gt;"",'Skill Matrix'!S5&lt;&gt;""),'Skill Matrix'!A57,"")</f>
        <v/>
      </c>
      <c r="B832">
        <f>IF(A832="","",'Employees'!C9)</f>
        <v/>
      </c>
      <c r="C832">
        <f>IF(A832="","",'Employees'!D9)</f>
        <v/>
      </c>
      <c r="D832">
        <f>IF(A832="","",'Skill Matrix'!C57)</f>
        <v/>
      </c>
      <c r="E832">
        <f>IF(A832="","",'Skill Matrix'!D57)</f>
        <v/>
      </c>
      <c r="F832">
        <f>IF(AND('Skill Matrix'!A57&lt;&gt;"",'Skill Matrix'!S5&lt;&gt;""),'Skill Matrix'!S5,"")</f>
        <v/>
      </c>
      <c r="G832">
        <f>IF(OR(A832="",'Skill Matrix'!S57=""),"",'Skill Matrix'!S57)</f>
        <v/>
      </c>
      <c r="H832">
        <f>IF(A832="","",'Employees'!F9)</f>
        <v/>
      </c>
    </row>
    <row r="833">
      <c r="A833">
        <f>IF(AND('Skill Matrix'!A57&lt;&gt;"",'Skill Matrix'!T5&lt;&gt;""),'Skill Matrix'!A57,"")</f>
        <v/>
      </c>
      <c r="B833">
        <f>IF(A833="","",'Employees'!C9)</f>
        <v/>
      </c>
      <c r="C833">
        <f>IF(A833="","",'Employees'!D9)</f>
        <v/>
      </c>
      <c r="D833">
        <f>IF(A833="","",'Skill Matrix'!C57)</f>
        <v/>
      </c>
      <c r="E833">
        <f>IF(A833="","",'Skill Matrix'!D57)</f>
        <v/>
      </c>
      <c r="F833">
        <f>IF(AND('Skill Matrix'!A57&lt;&gt;"",'Skill Matrix'!T5&lt;&gt;""),'Skill Matrix'!T5,"")</f>
        <v/>
      </c>
      <c r="G833">
        <f>IF(OR(A833="",'Skill Matrix'!T57=""),"",'Skill Matrix'!T57)</f>
        <v/>
      </c>
      <c r="H833">
        <f>IF(A833="","",'Employees'!F9)</f>
        <v/>
      </c>
    </row>
    <row r="834">
      <c r="A834">
        <f>IF(AND('Skill Matrix'!A58&lt;&gt;"",'Skill Matrix'!E5&lt;&gt;""),'Skill Matrix'!A58,"")</f>
        <v/>
      </c>
      <c r="B834">
        <f>IF(A834="","",'Employees'!C9)</f>
        <v/>
      </c>
      <c r="C834">
        <f>IF(A834="","",'Employees'!D9)</f>
        <v/>
      </c>
      <c r="D834">
        <f>IF(A834="","",'Skill Matrix'!C58)</f>
        <v/>
      </c>
      <c r="E834">
        <f>IF(A834="","",'Skill Matrix'!D58)</f>
        <v/>
      </c>
      <c r="F834">
        <f>IF(AND('Skill Matrix'!A58&lt;&gt;"",'Skill Matrix'!E5&lt;&gt;""),'Skill Matrix'!E5,"")</f>
        <v/>
      </c>
      <c r="G834">
        <f>IF(OR(A834="",'Skill Matrix'!E58=""),"",'Skill Matrix'!E58)</f>
        <v/>
      </c>
      <c r="H834">
        <f>IF(A834="","",'Employees'!F9)</f>
        <v/>
      </c>
    </row>
    <row r="835">
      <c r="A835">
        <f>IF(AND('Skill Matrix'!A58&lt;&gt;"",'Skill Matrix'!F5&lt;&gt;""),'Skill Matrix'!A58,"")</f>
        <v/>
      </c>
      <c r="B835">
        <f>IF(A835="","",'Employees'!C9)</f>
        <v/>
      </c>
      <c r="C835">
        <f>IF(A835="","",'Employees'!D9)</f>
        <v/>
      </c>
      <c r="D835">
        <f>IF(A835="","",'Skill Matrix'!C58)</f>
        <v/>
      </c>
      <c r="E835">
        <f>IF(A835="","",'Skill Matrix'!D58)</f>
        <v/>
      </c>
      <c r="F835">
        <f>IF(AND('Skill Matrix'!A58&lt;&gt;"",'Skill Matrix'!F5&lt;&gt;""),'Skill Matrix'!F5,"")</f>
        <v/>
      </c>
      <c r="G835">
        <f>IF(OR(A835="",'Skill Matrix'!F58=""),"",'Skill Matrix'!F58)</f>
        <v/>
      </c>
      <c r="H835">
        <f>IF(A835="","",'Employees'!F9)</f>
        <v/>
      </c>
    </row>
    <row r="836">
      <c r="A836">
        <f>IF(AND('Skill Matrix'!A58&lt;&gt;"",'Skill Matrix'!G5&lt;&gt;""),'Skill Matrix'!A58,"")</f>
        <v/>
      </c>
      <c r="B836">
        <f>IF(A836="","",'Employees'!C9)</f>
        <v/>
      </c>
      <c r="C836">
        <f>IF(A836="","",'Employees'!D9)</f>
        <v/>
      </c>
      <c r="D836">
        <f>IF(A836="","",'Skill Matrix'!C58)</f>
        <v/>
      </c>
      <c r="E836">
        <f>IF(A836="","",'Skill Matrix'!D58)</f>
        <v/>
      </c>
      <c r="F836">
        <f>IF(AND('Skill Matrix'!A58&lt;&gt;"",'Skill Matrix'!G5&lt;&gt;""),'Skill Matrix'!G5,"")</f>
        <v/>
      </c>
      <c r="G836">
        <f>IF(OR(A836="",'Skill Matrix'!G58=""),"",'Skill Matrix'!G58)</f>
        <v/>
      </c>
      <c r="H836">
        <f>IF(A836="","",'Employees'!F9)</f>
        <v/>
      </c>
    </row>
    <row r="837">
      <c r="A837">
        <f>IF(AND('Skill Matrix'!A58&lt;&gt;"",'Skill Matrix'!H5&lt;&gt;""),'Skill Matrix'!A58,"")</f>
        <v/>
      </c>
      <c r="B837">
        <f>IF(A837="","",'Employees'!C9)</f>
        <v/>
      </c>
      <c r="C837">
        <f>IF(A837="","",'Employees'!D9)</f>
        <v/>
      </c>
      <c r="D837">
        <f>IF(A837="","",'Skill Matrix'!C58)</f>
        <v/>
      </c>
      <c r="E837">
        <f>IF(A837="","",'Skill Matrix'!D58)</f>
        <v/>
      </c>
      <c r="F837">
        <f>IF(AND('Skill Matrix'!A58&lt;&gt;"",'Skill Matrix'!H5&lt;&gt;""),'Skill Matrix'!H5,"")</f>
        <v/>
      </c>
      <c r="G837">
        <f>IF(OR(A837="",'Skill Matrix'!H58=""),"",'Skill Matrix'!H58)</f>
        <v/>
      </c>
      <c r="H837">
        <f>IF(A837="","",'Employees'!F9)</f>
        <v/>
      </c>
    </row>
    <row r="838">
      <c r="A838">
        <f>IF(AND('Skill Matrix'!A58&lt;&gt;"",'Skill Matrix'!I5&lt;&gt;""),'Skill Matrix'!A58,"")</f>
        <v/>
      </c>
      <c r="B838">
        <f>IF(A838="","",'Employees'!C9)</f>
        <v/>
      </c>
      <c r="C838">
        <f>IF(A838="","",'Employees'!D9)</f>
        <v/>
      </c>
      <c r="D838">
        <f>IF(A838="","",'Skill Matrix'!C58)</f>
        <v/>
      </c>
      <c r="E838">
        <f>IF(A838="","",'Skill Matrix'!D58)</f>
        <v/>
      </c>
      <c r="F838">
        <f>IF(AND('Skill Matrix'!A58&lt;&gt;"",'Skill Matrix'!I5&lt;&gt;""),'Skill Matrix'!I5,"")</f>
        <v/>
      </c>
      <c r="G838">
        <f>IF(OR(A838="",'Skill Matrix'!I58=""),"",'Skill Matrix'!I58)</f>
        <v/>
      </c>
      <c r="H838">
        <f>IF(A838="","",'Employees'!F9)</f>
        <v/>
      </c>
    </row>
    <row r="839">
      <c r="A839">
        <f>IF(AND('Skill Matrix'!A58&lt;&gt;"",'Skill Matrix'!J5&lt;&gt;""),'Skill Matrix'!A58,"")</f>
        <v/>
      </c>
      <c r="B839">
        <f>IF(A839="","",'Employees'!C9)</f>
        <v/>
      </c>
      <c r="C839">
        <f>IF(A839="","",'Employees'!D9)</f>
        <v/>
      </c>
      <c r="D839">
        <f>IF(A839="","",'Skill Matrix'!C58)</f>
        <v/>
      </c>
      <c r="E839">
        <f>IF(A839="","",'Skill Matrix'!D58)</f>
        <v/>
      </c>
      <c r="F839">
        <f>IF(AND('Skill Matrix'!A58&lt;&gt;"",'Skill Matrix'!J5&lt;&gt;""),'Skill Matrix'!J5,"")</f>
        <v/>
      </c>
      <c r="G839">
        <f>IF(OR(A839="",'Skill Matrix'!J58=""),"",'Skill Matrix'!J58)</f>
        <v/>
      </c>
      <c r="H839">
        <f>IF(A839="","",'Employees'!F9)</f>
        <v/>
      </c>
    </row>
    <row r="840">
      <c r="A840">
        <f>IF(AND('Skill Matrix'!A58&lt;&gt;"",'Skill Matrix'!K5&lt;&gt;""),'Skill Matrix'!A58,"")</f>
        <v/>
      </c>
      <c r="B840">
        <f>IF(A840="","",'Employees'!C9)</f>
        <v/>
      </c>
      <c r="C840">
        <f>IF(A840="","",'Employees'!D9)</f>
        <v/>
      </c>
      <c r="D840">
        <f>IF(A840="","",'Skill Matrix'!C58)</f>
        <v/>
      </c>
      <c r="E840">
        <f>IF(A840="","",'Skill Matrix'!D58)</f>
        <v/>
      </c>
      <c r="F840">
        <f>IF(AND('Skill Matrix'!A58&lt;&gt;"",'Skill Matrix'!K5&lt;&gt;""),'Skill Matrix'!K5,"")</f>
        <v/>
      </c>
      <c r="G840">
        <f>IF(OR(A840="",'Skill Matrix'!K58=""),"",'Skill Matrix'!K58)</f>
        <v/>
      </c>
      <c r="H840">
        <f>IF(A840="","",'Employees'!F9)</f>
        <v/>
      </c>
    </row>
    <row r="841">
      <c r="A841">
        <f>IF(AND('Skill Matrix'!A58&lt;&gt;"",'Skill Matrix'!L5&lt;&gt;""),'Skill Matrix'!A58,"")</f>
        <v/>
      </c>
      <c r="B841">
        <f>IF(A841="","",'Employees'!C9)</f>
        <v/>
      </c>
      <c r="C841">
        <f>IF(A841="","",'Employees'!D9)</f>
        <v/>
      </c>
      <c r="D841">
        <f>IF(A841="","",'Skill Matrix'!C58)</f>
        <v/>
      </c>
      <c r="E841">
        <f>IF(A841="","",'Skill Matrix'!D58)</f>
        <v/>
      </c>
      <c r="F841">
        <f>IF(AND('Skill Matrix'!A58&lt;&gt;"",'Skill Matrix'!L5&lt;&gt;""),'Skill Matrix'!L5,"")</f>
        <v/>
      </c>
      <c r="G841">
        <f>IF(OR(A841="",'Skill Matrix'!L58=""),"",'Skill Matrix'!L58)</f>
        <v/>
      </c>
      <c r="H841">
        <f>IF(A841="","",'Employees'!F9)</f>
        <v/>
      </c>
    </row>
    <row r="842">
      <c r="A842">
        <f>IF(AND('Skill Matrix'!A58&lt;&gt;"",'Skill Matrix'!M5&lt;&gt;""),'Skill Matrix'!A58,"")</f>
        <v/>
      </c>
      <c r="B842">
        <f>IF(A842="","",'Employees'!C9)</f>
        <v/>
      </c>
      <c r="C842">
        <f>IF(A842="","",'Employees'!D9)</f>
        <v/>
      </c>
      <c r="D842">
        <f>IF(A842="","",'Skill Matrix'!C58)</f>
        <v/>
      </c>
      <c r="E842">
        <f>IF(A842="","",'Skill Matrix'!D58)</f>
        <v/>
      </c>
      <c r="F842">
        <f>IF(AND('Skill Matrix'!A58&lt;&gt;"",'Skill Matrix'!M5&lt;&gt;""),'Skill Matrix'!M5,"")</f>
        <v/>
      </c>
      <c r="G842">
        <f>IF(OR(A842="",'Skill Matrix'!M58=""),"",'Skill Matrix'!M58)</f>
        <v/>
      </c>
      <c r="H842">
        <f>IF(A842="","",'Employees'!F9)</f>
        <v/>
      </c>
    </row>
    <row r="843">
      <c r="A843">
        <f>IF(AND('Skill Matrix'!A58&lt;&gt;"",'Skill Matrix'!N5&lt;&gt;""),'Skill Matrix'!A58,"")</f>
        <v/>
      </c>
      <c r="B843">
        <f>IF(A843="","",'Employees'!C9)</f>
        <v/>
      </c>
      <c r="C843">
        <f>IF(A843="","",'Employees'!D9)</f>
        <v/>
      </c>
      <c r="D843">
        <f>IF(A843="","",'Skill Matrix'!C58)</f>
        <v/>
      </c>
      <c r="E843">
        <f>IF(A843="","",'Skill Matrix'!D58)</f>
        <v/>
      </c>
      <c r="F843">
        <f>IF(AND('Skill Matrix'!A58&lt;&gt;"",'Skill Matrix'!N5&lt;&gt;""),'Skill Matrix'!N5,"")</f>
        <v/>
      </c>
      <c r="G843">
        <f>IF(OR(A843="",'Skill Matrix'!N58=""),"",'Skill Matrix'!N58)</f>
        <v/>
      </c>
      <c r="H843">
        <f>IF(A843="","",'Employees'!F9)</f>
        <v/>
      </c>
    </row>
    <row r="844">
      <c r="A844">
        <f>IF(AND('Skill Matrix'!A58&lt;&gt;"",'Skill Matrix'!O5&lt;&gt;""),'Skill Matrix'!A58,"")</f>
        <v/>
      </c>
      <c r="B844">
        <f>IF(A844="","",'Employees'!C9)</f>
        <v/>
      </c>
      <c r="C844">
        <f>IF(A844="","",'Employees'!D9)</f>
        <v/>
      </c>
      <c r="D844">
        <f>IF(A844="","",'Skill Matrix'!C58)</f>
        <v/>
      </c>
      <c r="E844">
        <f>IF(A844="","",'Skill Matrix'!D58)</f>
        <v/>
      </c>
      <c r="F844">
        <f>IF(AND('Skill Matrix'!A58&lt;&gt;"",'Skill Matrix'!O5&lt;&gt;""),'Skill Matrix'!O5,"")</f>
        <v/>
      </c>
      <c r="G844">
        <f>IF(OR(A844="",'Skill Matrix'!O58=""),"",'Skill Matrix'!O58)</f>
        <v/>
      </c>
      <c r="H844">
        <f>IF(A844="","",'Employees'!F9)</f>
        <v/>
      </c>
    </row>
    <row r="845">
      <c r="A845">
        <f>IF(AND('Skill Matrix'!A58&lt;&gt;"",'Skill Matrix'!P5&lt;&gt;""),'Skill Matrix'!A58,"")</f>
        <v/>
      </c>
      <c r="B845">
        <f>IF(A845="","",'Employees'!C9)</f>
        <v/>
      </c>
      <c r="C845">
        <f>IF(A845="","",'Employees'!D9)</f>
        <v/>
      </c>
      <c r="D845">
        <f>IF(A845="","",'Skill Matrix'!C58)</f>
        <v/>
      </c>
      <c r="E845">
        <f>IF(A845="","",'Skill Matrix'!D58)</f>
        <v/>
      </c>
      <c r="F845">
        <f>IF(AND('Skill Matrix'!A58&lt;&gt;"",'Skill Matrix'!P5&lt;&gt;""),'Skill Matrix'!P5,"")</f>
        <v/>
      </c>
      <c r="G845">
        <f>IF(OR(A845="",'Skill Matrix'!P58=""),"",'Skill Matrix'!P58)</f>
        <v/>
      </c>
      <c r="H845">
        <f>IF(A845="","",'Employees'!F9)</f>
        <v/>
      </c>
    </row>
    <row r="846">
      <c r="A846">
        <f>IF(AND('Skill Matrix'!A58&lt;&gt;"",'Skill Matrix'!Q5&lt;&gt;""),'Skill Matrix'!A58,"")</f>
        <v/>
      </c>
      <c r="B846">
        <f>IF(A846="","",'Employees'!C9)</f>
        <v/>
      </c>
      <c r="C846">
        <f>IF(A846="","",'Employees'!D9)</f>
        <v/>
      </c>
      <c r="D846">
        <f>IF(A846="","",'Skill Matrix'!C58)</f>
        <v/>
      </c>
      <c r="E846">
        <f>IF(A846="","",'Skill Matrix'!D58)</f>
        <v/>
      </c>
      <c r="F846">
        <f>IF(AND('Skill Matrix'!A58&lt;&gt;"",'Skill Matrix'!Q5&lt;&gt;""),'Skill Matrix'!Q5,"")</f>
        <v/>
      </c>
      <c r="G846">
        <f>IF(OR(A846="",'Skill Matrix'!Q58=""),"",'Skill Matrix'!Q58)</f>
        <v/>
      </c>
      <c r="H846">
        <f>IF(A846="","",'Employees'!F9)</f>
        <v/>
      </c>
    </row>
    <row r="847">
      <c r="A847">
        <f>IF(AND('Skill Matrix'!A58&lt;&gt;"",'Skill Matrix'!R5&lt;&gt;""),'Skill Matrix'!A58,"")</f>
        <v/>
      </c>
      <c r="B847">
        <f>IF(A847="","",'Employees'!C9)</f>
        <v/>
      </c>
      <c r="C847">
        <f>IF(A847="","",'Employees'!D9)</f>
        <v/>
      </c>
      <c r="D847">
        <f>IF(A847="","",'Skill Matrix'!C58)</f>
        <v/>
      </c>
      <c r="E847">
        <f>IF(A847="","",'Skill Matrix'!D58)</f>
        <v/>
      </c>
      <c r="F847">
        <f>IF(AND('Skill Matrix'!A58&lt;&gt;"",'Skill Matrix'!R5&lt;&gt;""),'Skill Matrix'!R5,"")</f>
        <v/>
      </c>
      <c r="G847">
        <f>IF(OR(A847="",'Skill Matrix'!R58=""),"",'Skill Matrix'!R58)</f>
        <v/>
      </c>
      <c r="H847">
        <f>IF(A847="","",'Employees'!F9)</f>
        <v/>
      </c>
    </row>
    <row r="848">
      <c r="A848">
        <f>IF(AND('Skill Matrix'!A58&lt;&gt;"",'Skill Matrix'!S5&lt;&gt;""),'Skill Matrix'!A58,"")</f>
        <v/>
      </c>
      <c r="B848">
        <f>IF(A848="","",'Employees'!C9)</f>
        <v/>
      </c>
      <c r="C848">
        <f>IF(A848="","",'Employees'!D9)</f>
        <v/>
      </c>
      <c r="D848">
        <f>IF(A848="","",'Skill Matrix'!C58)</f>
        <v/>
      </c>
      <c r="E848">
        <f>IF(A848="","",'Skill Matrix'!D58)</f>
        <v/>
      </c>
      <c r="F848">
        <f>IF(AND('Skill Matrix'!A58&lt;&gt;"",'Skill Matrix'!S5&lt;&gt;""),'Skill Matrix'!S5,"")</f>
        <v/>
      </c>
      <c r="G848">
        <f>IF(OR(A848="",'Skill Matrix'!S58=""),"",'Skill Matrix'!S58)</f>
        <v/>
      </c>
      <c r="H848">
        <f>IF(A848="","",'Employees'!F9)</f>
        <v/>
      </c>
    </row>
    <row r="849">
      <c r="A849">
        <f>IF(AND('Skill Matrix'!A58&lt;&gt;"",'Skill Matrix'!T5&lt;&gt;""),'Skill Matrix'!A58,"")</f>
        <v/>
      </c>
      <c r="B849">
        <f>IF(A849="","",'Employees'!C9)</f>
        <v/>
      </c>
      <c r="C849">
        <f>IF(A849="","",'Employees'!D9)</f>
        <v/>
      </c>
      <c r="D849">
        <f>IF(A849="","",'Skill Matrix'!C58)</f>
        <v/>
      </c>
      <c r="E849">
        <f>IF(A849="","",'Skill Matrix'!D58)</f>
        <v/>
      </c>
      <c r="F849">
        <f>IF(AND('Skill Matrix'!A58&lt;&gt;"",'Skill Matrix'!T5&lt;&gt;""),'Skill Matrix'!T5,"")</f>
        <v/>
      </c>
      <c r="G849">
        <f>IF(OR(A849="",'Skill Matrix'!T58=""),"",'Skill Matrix'!T58)</f>
        <v/>
      </c>
      <c r="H849">
        <f>IF(A849="","",'Employees'!F9)</f>
        <v/>
      </c>
    </row>
    <row r="850">
      <c r="A850">
        <f>IF(AND('Skill Matrix'!A59&lt;&gt;"",'Skill Matrix'!E5&lt;&gt;""),'Skill Matrix'!A59,"")</f>
        <v/>
      </c>
      <c r="B850">
        <f>IF(A850="","",'Employees'!C9)</f>
        <v/>
      </c>
      <c r="C850">
        <f>IF(A850="","",'Employees'!D9)</f>
        <v/>
      </c>
      <c r="D850">
        <f>IF(A850="","",'Skill Matrix'!C59)</f>
        <v/>
      </c>
      <c r="E850">
        <f>IF(A850="","",'Skill Matrix'!D59)</f>
        <v/>
      </c>
      <c r="F850">
        <f>IF(AND('Skill Matrix'!A59&lt;&gt;"",'Skill Matrix'!E5&lt;&gt;""),'Skill Matrix'!E5,"")</f>
        <v/>
      </c>
      <c r="G850">
        <f>IF(OR(A850="",'Skill Matrix'!E59=""),"",'Skill Matrix'!E59)</f>
        <v/>
      </c>
      <c r="H850">
        <f>IF(A850="","",'Employees'!F9)</f>
        <v/>
      </c>
    </row>
    <row r="851">
      <c r="A851">
        <f>IF(AND('Skill Matrix'!A59&lt;&gt;"",'Skill Matrix'!F5&lt;&gt;""),'Skill Matrix'!A59,"")</f>
        <v/>
      </c>
      <c r="B851">
        <f>IF(A851="","",'Employees'!C9)</f>
        <v/>
      </c>
      <c r="C851">
        <f>IF(A851="","",'Employees'!D9)</f>
        <v/>
      </c>
      <c r="D851">
        <f>IF(A851="","",'Skill Matrix'!C59)</f>
        <v/>
      </c>
      <c r="E851">
        <f>IF(A851="","",'Skill Matrix'!D59)</f>
        <v/>
      </c>
      <c r="F851">
        <f>IF(AND('Skill Matrix'!A59&lt;&gt;"",'Skill Matrix'!F5&lt;&gt;""),'Skill Matrix'!F5,"")</f>
        <v/>
      </c>
      <c r="G851">
        <f>IF(OR(A851="",'Skill Matrix'!F59=""),"",'Skill Matrix'!F59)</f>
        <v/>
      </c>
      <c r="H851">
        <f>IF(A851="","",'Employees'!F9)</f>
        <v/>
      </c>
    </row>
    <row r="852">
      <c r="A852">
        <f>IF(AND('Skill Matrix'!A59&lt;&gt;"",'Skill Matrix'!G5&lt;&gt;""),'Skill Matrix'!A59,"")</f>
        <v/>
      </c>
      <c r="B852">
        <f>IF(A852="","",'Employees'!C9)</f>
        <v/>
      </c>
      <c r="C852">
        <f>IF(A852="","",'Employees'!D9)</f>
        <v/>
      </c>
      <c r="D852">
        <f>IF(A852="","",'Skill Matrix'!C59)</f>
        <v/>
      </c>
      <c r="E852">
        <f>IF(A852="","",'Skill Matrix'!D59)</f>
        <v/>
      </c>
      <c r="F852">
        <f>IF(AND('Skill Matrix'!A59&lt;&gt;"",'Skill Matrix'!G5&lt;&gt;""),'Skill Matrix'!G5,"")</f>
        <v/>
      </c>
      <c r="G852">
        <f>IF(OR(A852="",'Skill Matrix'!G59=""),"",'Skill Matrix'!G59)</f>
        <v/>
      </c>
      <c r="H852">
        <f>IF(A852="","",'Employees'!F9)</f>
        <v/>
      </c>
    </row>
    <row r="853">
      <c r="A853">
        <f>IF(AND('Skill Matrix'!A59&lt;&gt;"",'Skill Matrix'!H5&lt;&gt;""),'Skill Matrix'!A59,"")</f>
        <v/>
      </c>
      <c r="B853">
        <f>IF(A853="","",'Employees'!C9)</f>
        <v/>
      </c>
      <c r="C853">
        <f>IF(A853="","",'Employees'!D9)</f>
        <v/>
      </c>
      <c r="D853">
        <f>IF(A853="","",'Skill Matrix'!C59)</f>
        <v/>
      </c>
      <c r="E853">
        <f>IF(A853="","",'Skill Matrix'!D59)</f>
        <v/>
      </c>
      <c r="F853">
        <f>IF(AND('Skill Matrix'!A59&lt;&gt;"",'Skill Matrix'!H5&lt;&gt;""),'Skill Matrix'!H5,"")</f>
        <v/>
      </c>
      <c r="G853">
        <f>IF(OR(A853="",'Skill Matrix'!H59=""),"",'Skill Matrix'!H59)</f>
        <v/>
      </c>
      <c r="H853">
        <f>IF(A853="","",'Employees'!F9)</f>
        <v/>
      </c>
    </row>
    <row r="854">
      <c r="A854">
        <f>IF(AND('Skill Matrix'!A59&lt;&gt;"",'Skill Matrix'!I5&lt;&gt;""),'Skill Matrix'!A59,"")</f>
        <v/>
      </c>
      <c r="B854">
        <f>IF(A854="","",'Employees'!C9)</f>
        <v/>
      </c>
      <c r="C854">
        <f>IF(A854="","",'Employees'!D9)</f>
        <v/>
      </c>
      <c r="D854">
        <f>IF(A854="","",'Skill Matrix'!C59)</f>
        <v/>
      </c>
      <c r="E854">
        <f>IF(A854="","",'Skill Matrix'!D59)</f>
        <v/>
      </c>
      <c r="F854">
        <f>IF(AND('Skill Matrix'!A59&lt;&gt;"",'Skill Matrix'!I5&lt;&gt;""),'Skill Matrix'!I5,"")</f>
        <v/>
      </c>
      <c r="G854">
        <f>IF(OR(A854="",'Skill Matrix'!I59=""),"",'Skill Matrix'!I59)</f>
        <v/>
      </c>
      <c r="H854">
        <f>IF(A854="","",'Employees'!F9)</f>
        <v/>
      </c>
    </row>
    <row r="855">
      <c r="A855">
        <f>IF(AND('Skill Matrix'!A59&lt;&gt;"",'Skill Matrix'!J5&lt;&gt;""),'Skill Matrix'!A59,"")</f>
        <v/>
      </c>
      <c r="B855">
        <f>IF(A855="","",'Employees'!C9)</f>
        <v/>
      </c>
      <c r="C855">
        <f>IF(A855="","",'Employees'!D9)</f>
        <v/>
      </c>
      <c r="D855">
        <f>IF(A855="","",'Skill Matrix'!C59)</f>
        <v/>
      </c>
      <c r="E855">
        <f>IF(A855="","",'Skill Matrix'!D59)</f>
        <v/>
      </c>
      <c r="F855">
        <f>IF(AND('Skill Matrix'!A59&lt;&gt;"",'Skill Matrix'!J5&lt;&gt;""),'Skill Matrix'!J5,"")</f>
        <v/>
      </c>
      <c r="G855">
        <f>IF(OR(A855="",'Skill Matrix'!J59=""),"",'Skill Matrix'!J59)</f>
        <v/>
      </c>
      <c r="H855">
        <f>IF(A855="","",'Employees'!F9)</f>
        <v/>
      </c>
    </row>
    <row r="856">
      <c r="A856">
        <f>IF(AND('Skill Matrix'!A59&lt;&gt;"",'Skill Matrix'!K5&lt;&gt;""),'Skill Matrix'!A59,"")</f>
        <v/>
      </c>
      <c r="B856">
        <f>IF(A856="","",'Employees'!C9)</f>
        <v/>
      </c>
      <c r="C856">
        <f>IF(A856="","",'Employees'!D9)</f>
        <v/>
      </c>
      <c r="D856">
        <f>IF(A856="","",'Skill Matrix'!C59)</f>
        <v/>
      </c>
      <c r="E856">
        <f>IF(A856="","",'Skill Matrix'!D59)</f>
        <v/>
      </c>
      <c r="F856">
        <f>IF(AND('Skill Matrix'!A59&lt;&gt;"",'Skill Matrix'!K5&lt;&gt;""),'Skill Matrix'!K5,"")</f>
        <v/>
      </c>
      <c r="G856">
        <f>IF(OR(A856="",'Skill Matrix'!K59=""),"",'Skill Matrix'!K59)</f>
        <v/>
      </c>
      <c r="H856">
        <f>IF(A856="","",'Employees'!F9)</f>
        <v/>
      </c>
    </row>
    <row r="857">
      <c r="A857">
        <f>IF(AND('Skill Matrix'!A59&lt;&gt;"",'Skill Matrix'!L5&lt;&gt;""),'Skill Matrix'!A59,"")</f>
        <v/>
      </c>
      <c r="B857">
        <f>IF(A857="","",'Employees'!C9)</f>
        <v/>
      </c>
      <c r="C857">
        <f>IF(A857="","",'Employees'!D9)</f>
        <v/>
      </c>
      <c r="D857">
        <f>IF(A857="","",'Skill Matrix'!C59)</f>
        <v/>
      </c>
      <c r="E857">
        <f>IF(A857="","",'Skill Matrix'!D59)</f>
        <v/>
      </c>
      <c r="F857">
        <f>IF(AND('Skill Matrix'!A59&lt;&gt;"",'Skill Matrix'!L5&lt;&gt;""),'Skill Matrix'!L5,"")</f>
        <v/>
      </c>
      <c r="G857">
        <f>IF(OR(A857="",'Skill Matrix'!L59=""),"",'Skill Matrix'!L59)</f>
        <v/>
      </c>
      <c r="H857">
        <f>IF(A857="","",'Employees'!F9)</f>
        <v/>
      </c>
    </row>
    <row r="858">
      <c r="A858">
        <f>IF(AND('Skill Matrix'!A59&lt;&gt;"",'Skill Matrix'!M5&lt;&gt;""),'Skill Matrix'!A59,"")</f>
        <v/>
      </c>
      <c r="B858">
        <f>IF(A858="","",'Employees'!C9)</f>
        <v/>
      </c>
      <c r="C858">
        <f>IF(A858="","",'Employees'!D9)</f>
        <v/>
      </c>
      <c r="D858">
        <f>IF(A858="","",'Skill Matrix'!C59)</f>
        <v/>
      </c>
      <c r="E858">
        <f>IF(A858="","",'Skill Matrix'!D59)</f>
        <v/>
      </c>
      <c r="F858">
        <f>IF(AND('Skill Matrix'!A59&lt;&gt;"",'Skill Matrix'!M5&lt;&gt;""),'Skill Matrix'!M5,"")</f>
        <v/>
      </c>
      <c r="G858">
        <f>IF(OR(A858="",'Skill Matrix'!M59=""),"",'Skill Matrix'!M59)</f>
        <v/>
      </c>
      <c r="H858">
        <f>IF(A858="","",'Employees'!F9)</f>
        <v/>
      </c>
    </row>
    <row r="859">
      <c r="A859">
        <f>IF(AND('Skill Matrix'!A59&lt;&gt;"",'Skill Matrix'!N5&lt;&gt;""),'Skill Matrix'!A59,"")</f>
        <v/>
      </c>
      <c r="B859">
        <f>IF(A859="","",'Employees'!C9)</f>
        <v/>
      </c>
      <c r="C859">
        <f>IF(A859="","",'Employees'!D9)</f>
        <v/>
      </c>
      <c r="D859">
        <f>IF(A859="","",'Skill Matrix'!C59)</f>
        <v/>
      </c>
      <c r="E859">
        <f>IF(A859="","",'Skill Matrix'!D59)</f>
        <v/>
      </c>
      <c r="F859">
        <f>IF(AND('Skill Matrix'!A59&lt;&gt;"",'Skill Matrix'!N5&lt;&gt;""),'Skill Matrix'!N5,"")</f>
        <v/>
      </c>
      <c r="G859">
        <f>IF(OR(A859="",'Skill Matrix'!N59=""),"",'Skill Matrix'!N59)</f>
        <v/>
      </c>
      <c r="H859">
        <f>IF(A859="","",'Employees'!F9)</f>
        <v/>
      </c>
    </row>
    <row r="860">
      <c r="A860">
        <f>IF(AND('Skill Matrix'!A59&lt;&gt;"",'Skill Matrix'!O5&lt;&gt;""),'Skill Matrix'!A59,"")</f>
        <v/>
      </c>
      <c r="B860">
        <f>IF(A860="","",'Employees'!C9)</f>
        <v/>
      </c>
      <c r="C860">
        <f>IF(A860="","",'Employees'!D9)</f>
        <v/>
      </c>
      <c r="D860">
        <f>IF(A860="","",'Skill Matrix'!C59)</f>
        <v/>
      </c>
      <c r="E860">
        <f>IF(A860="","",'Skill Matrix'!D59)</f>
        <v/>
      </c>
      <c r="F860">
        <f>IF(AND('Skill Matrix'!A59&lt;&gt;"",'Skill Matrix'!O5&lt;&gt;""),'Skill Matrix'!O5,"")</f>
        <v/>
      </c>
      <c r="G860">
        <f>IF(OR(A860="",'Skill Matrix'!O59=""),"",'Skill Matrix'!O59)</f>
        <v/>
      </c>
      <c r="H860">
        <f>IF(A860="","",'Employees'!F9)</f>
        <v/>
      </c>
    </row>
    <row r="861">
      <c r="A861">
        <f>IF(AND('Skill Matrix'!A59&lt;&gt;"",'Skill Matrix'!P5&lt;&gt;""),'Skill Matrix'!A59,"")</f>
        <v/>
      </c>
      <c r="B861">
        <f>IF(A861="","",'Employees'!C9)</f>
        <v/>
      </c>
      <c r="C861">
        <f>IF(A861="","",'Employees'!D9)</f>
        <v/>
      </c>
      <c r="D861">
        <f>IF(A861="","",'Skill Matrix'!C59)</f>
        <v/>
      </c>
      <c r="E861">
        <f>IF(A861="","",'Skill Matrix'!D59)</f>
        <v/>
      </c>
      <c r="F861">
        <f>IF(AND('Skill Matrix'!A59&lt;&gt;"",'Skill Matrix'!P5&lt;&gt;""),'Skill Matrix'!P5,"")</f>
        <v/>
      </c>
      <c r="G861">
        <f>IF(OR(A861="",'Skill Matrix'!P59=""),"",'Skill Matrix'!P59)</f>
        <v/>
      </c>
      <c r="H861">
        <f>IF(A861="","",'Employees'!F9)</f>
        <v/>
      </c>
    </row>
    <row r="862">
      <c r="A862">
        <f>IF(AND('Skill Matrix'!A59&lt;&gt;"",'Skill Matrix'!Q5&lt;&gt;""),'Skill Matrix'!A59,"")</f>
        <v/>
      </c>
      <c r="B862">
        <f>IF(A862="","",'Employees'!C9)</f>
        <v/>
      </c>
      <c r="C862">
        <f>IF(A862="","",'Employees'!D9)</f>
        <v/>
      </c>
      <c r="D862">
        <f>IF(A862="","",'Skill Matrix'!C59)</f>
        <v/>
      </c>
      <c r="E862">
        <f>IF(A862="","",'Skill Matrix'!D59)</f>
        <v/>
      </c>
      <c r="F862">
        <f>IF(AND('Skill Matrix'!A59&lt;&gt;"",'Skill Matrix'!Q5&lt;&gt;""),'Skill Matrix'!Q5,"")</f>
        <v/>
      </c>
      <c r="G862">
        <f>IF(OR(A862="",'Skill Matrix'!Q59=""),"",'Skill Matrix'!Q59)</f>
        <v/>
      </c>
      <c r="H862">
        <f>IF(A862="","",'Employees'!F9)</f>
        <v/>
      </c>
    </row>
    <row r="863">
      <c r="A863">
        <f>IF(AND('Skill Matrix'!A59&lt;&gt;"",'Skill Matrix'!R5&lt;&gt;""),'Skill Matrix'!A59,"")</f>
        <v/>
      </c>
      <c r="B863">
        <f>IF(A863="","",'Employees'!C9)</f>
        <v/>
      </c>
      <c r="C863">
        <f>IF(A863="","",'Employees'!D9)</f>
        <v/>
      </c>
      <c r="D863">
        <f>IF(A863="","",'Skill Matrix'!C59)</f>
        <v/>
      </c>
      <c r="E863">
        <f>IF(A863="","",'Skill Matrix'!D59)</f>
        <v/>
      </c>
      <c r="F863">
        <f>IF(AND('Skill Matrix'!A59&lt;&gt;"",'Skill Matrix'!R5&lt;&gt;""),'Skill Matrix'!R5,"")</f>
        <v/>
      </c>
      <c r="G863">
        <f>IF(OR(A863="",'Skill Matrix'!R59=""),"",'Skill Matrix'!R59)</f>
        <v/>
      </c>
      <c r="H863">
        <f>IF(A863="","",'Employees'!F9)</f>
        <v/>
      </c>
    </row>
    <row r="864">
      <c r="A864">
        <f>IF(AND('Skill Matrix'!A59&lt;&gt;"",'Skill Matrix'!S5&lt;&gt;""),'Skill Matrix'!A59,"")</f>
        <v/>
      </c>
      <c r="B864">
        <f>IF(A864="","",'Employees'!C9)</f>
        <v/>
      </c>
      <c r="C864">
        <f>IF(A864="","",'Employees'!D9)</f>
        <v/>
      </c>
      <c r="D864">
        <f>IF(A864="","",'Skill Matrix'!C59)</f>
        <v/>
      </c>
      <c r="E864">
        <f>IF(A864="","",'Skill Matrix'!D59)</f>
        <v/>
      </c>
      <c r="F864">
        <f>IF(AND('Skill Matrix'!A59&lt;&gt;"",'Skill Matrix'!S5&lt;&gt;""),'Skill Matrix'!S5,"")</f>
        <v/>
      </c>
      <c r="G864">
        <f>IF(OR(A864="",'Skill Matrix'!S59=""),"",'Skill Matrix'!S59)</f>
        <v/>
      </c>
      <c r="H864">
        <f>IF(A864="","",'Employees'!F9)</f>
        <v/>
      </c>
    </row>
    <row r="865">
      <c r="A865">
        <f>IF(AND('Skill Matrix'!A59&lt;&gt;"",'Skill Matrix'!T5&lt;&gt;""),'Skill Matrix'!A59,"")</f>
        <v/>
      </c>
      <c r="B865">
        <f>IF(A865="","",'Employees'!C9)</f>
        <v/>
      </c>
      <c r="C865">
        <f>IF(A865="","",'Employees'!D9)</f>
        <v/>
      </c>
      <c r="D865">
        <f>IF(A865="","",'Skill Matrix'!C59)</f>
        <v/>
      </c>
      <c r="E865">
        <f>IF(A865="","",'Skill Matrix'!D59)</f>
        <v/>
      </c>
      <c r="F865">
        <f>IF(AND('Skill Matrix'!A59&lt;&gt;"",'Skill Matrix'!T5&lt;&gt;""),'Skill Matrix'!T5,"")</f>
        <v/>
      </c>
      <c r="G865">
        <f>IF(OR(A865="",'Skill Matrix'!T59=""),"",'Skill Matrix'!T59)</f>
        <v/>
      </c>
      <c r="H865">
        <f>IF(A865="","",'Employees'!F9)</f>
        <v/>
      </c>
    </row>
    <row r="866">
      <c r="A866">
        <f>IF(AND('Skill Matrix'!A60&lt;&gt;"",'Skill Matrix'!E5&lt;&gt;""),'Skill Matrix'!A60,"")</f>
        <v/>
      </c>
      <c r="B866">
        <f>IF(A866="","",'Employees'!C9)</f>
        <v/>
      </c>
      <c r="C866">
        <f>IF(A866="","",'Employees'!D9)</f>
        <v/>
      </c>
      <c r="D866">
        <f>IF(A866="","",'Skill Matrix'!C60)</f>
        <v/>
      </c>
      <c r="E866">
        <f>IF(A866="","",'Skill Matrix'!D60)</f>
        <v/>
      </c>
      <c r="F866">
        <f>IF(AND('Skill Matrix'!A60&lt;&gt;"",'Skill Matrix'!E5&lt;&gt;""),'Skill Matrix'!E5,"")</f>
        <v/>
      </c>
      <c r="G866">
        <f>IF(OR(A866="",'Skill Matrix'!E60=""),"",'Skill Matrix'!E60)</f>
        <v/>
      </c>
      <c r="H866">
        <f>IF(A866="","",'Employees'!F9)</f>
        <v/>
      </c>
    </row>
    <row r="867">
      <c r="A867">
        <f>IF(AND('Skill Matrix'!A60&lt;&gt;"",'Skill Matrix'!F5&lt;&gt;""),'Skill Matrix'!A60,"")</f>
        <v/>
      </c>
      <c r="B867">
        <f>IF(A867="","",'Employees'!C9)</f>
        <v/>
      </c>
      <c r="C867">
        <f>IF(A867="","",'Employees'!D9)</f>
        <v/>
      </c>
      <c r="D867">
        <f>IF(A867="","",'Skill Matrix'!C60)</f>
        <v/>
      </c>
      <c r="E867">
        <f>IF(A867="","",'Skill Matrix'!D60)</f>
        <v/>
      </c>
      <c r="F867">
        <f>IF(AND('Skill Matrix'!A60&lt;&gt;"",'Skill Matrix'!F5&lt;&gt;""),'Skill Matrix'!F5,"")</f>
        <v/>
      </c>
      <c r="G867">
        <f>IF(OR(A867="",'Skill Matrix'!F60=""),"",'Skill Matrix'!F60)</f>
        <v/>
      </c>
      <c r="H867">
        <f>IF(A867="","",'Employees'!F9)</f>
        <v/>
      </c>
    </row>
    <row r="868">
      <c r="A868">
        <f>IF(AND('Skill Matrix'!A60&lt;&gt;"",'Skill Matrix'!G5&lt;&gt;""),'Skill Matrix'!A60,"")</f>
        <v/>
      </c>
      <c r="B868">
        <f>IF(A868="","",'Employees'!C9)</f>
        <v/>
      </c>
      <c r="C868">
        <f>IF(A868="","",'Employees'!D9)</f>
        <v/>
      </c>
      <c r="D868">
        <f>IF(A868="","",'Skill Matrix'!C60)</f>
        <v/>
      </c>
      <c r="E868">
        <f>IF(A868="","",'Skill Matrix'!D60)</f>
        <v/>
      </c>
      <c r="F868">
        <f>IF(AND('Skill Matrix'!A60&lt;&gt;"",'Skill Matrix'!G5&lt;&gt;""),'Skill Matrix'!G5,"")</f>
        <v/>
      </c>
      <c r="G868">
        <f>IF(OR(A868="",'Skill Matrix'!G60=""),"",'Skill Matrix'!G60)</f>
        <v/>
      </c>
      <c r="H868">
        <f>IF(A868="","",'Employees'!F9)</f>
        <v/>
      </c>
    </row>
    <row r="869">
      <c r="A869">
        <f>IF(AND('Skill Matrix'!A60&lt;&gt;"",'Skill Matrix'!H5&lt;&gt;""),'Skill Matrix'!A60,"")</f>
        <v/>
      </c>
      <c r="B869">
        <f>IF(A869="","",'Employees'!C9)</f>
        <v/>
      </c>
      <c r="C869">
        <f>IF(A869="","",'Employees'!D9)</f>
        <v/>
      </c>
      <c r="D869">
        <f>IF(A869="","",'Skill Matrix'!C60)</f>
        <v/>
      </c>
      <c r="E869">
        <f>IF(A869="","",'Skill Matrix'!D60)</f>
        <v/>
      </c>
      <c r="F869">
        <f>IF(AND('Skill Matrix'!A60&lt;&gt;"",'Skill Matrix'!H5&lt;&gt;""),'Skill Matrix'!H5,"")</f>
        <v/>
      </c>
      <c r="G869">
        <f>IF(OR(A869="",'Skill Matrix'!H60=""),"",'Skill Matrix'!H60)</f>
        <v/>
      </c>
      <c r="H869">
        <f>IF(A869="","",'Employees'!F9)</f>
        <v/>
      </c>
    </row>
    <row r="870">
      <c r="A870">
        <f>IF(AND('Skill Matrix'!A60&lt;&gt;"",'Skill Matrix'!I5&lt;&gt;""),'Skill Matrix'!A60,"")</f>
        <v/>
      </c>
      <c r="B870">
        <f>IF(A870="","",'Employees'!C9)</f>
        <v/>
      </c>
      <c r="C870">
        <f>IF(A870="","",'Employees'!D9)</f>
        <v/>
      </c>
      <c r="D870">
        <f>IF(A870="","",'Skill Matrix'!C60)</f>
        <v/>
      </c>
      <c r="E870">
        <f>IF(A870="","",'Skill Matrix'!D60)</f>
        <v/>
      </c>
      <c r="F870">
        <f>IF(AND('Skill Matrix'!A60&lt;&gt;"",'Skill Matrix'!I5&lt;&gt;""),'Skill Matrix'!I5,"")</f>
        <v/>
      </c>
      <c r="G870">
        <f>IF(OR(A870="",'Skill Matrix'!I60=""),"",'Skill Matrix'!I60)</f>
        <v/>
      </c>
      <c r="H870">
        <f>IF(A870="","",'Employees'!F9)</f>
        <v/>
      </c>
    </row>
    <row r="871">
      <c r="A871">
        <f>IF(AND('Skill Matrix'!A60&lt;&gt;"",'Skill Matrix'!J5&lt;&gt;""),'Skill Matrix'!A60,"")</f>
        <v/>
      </c>
      <c r="B871">
        <f>IF(A871="","",'Employees'!C9)</f>
        <v/>
      </c>
      <c r="C871">
        <f>IF(A871="","",'Employees'!D9)</f>
        <v/>
      </c>
      <c r="D871">
        <f>IF(A871="","",'Skill Matrix'!C60)</f>
        <v/>
      </c>
      <c r="E871">
        <f>IF(A871="","",'Skill Matrix'!D60)</f>
        <v/>
      </c>
      <c r="F871">
        <f>IF(AND('Skill Matrix'!A60&lt;&gt;"",'Skill Matrix'!J5&lt;&gt;""),'Skill Matrix'!J5,"")</f>
        <v/>
      </c>
      <c r="G871">
        <f>IF(OR(A871="",'Skill Matrix'!J60=""),"",'Skill Matrix'!J60)</f>
        <v/>
      </c>
      <c r="H871">
        <f>IF(A871="","",'Employees'!F9)</f>
        <v/>
      </c>
    </row>
    <row r="872">
      <c r="A872">
        <f>IF(AND('Skill Matrix'!A60&lt;&gt;"",'Skill Matrix'!K5&lt;&gt;""),'Skill Matrix'!A60,"")</f>
        <v/>
      </c>
      <c r="B872">
        <f>IF(A872="","",'Employees'!C9)</f>
        <v/>
      </c>
      <c r="C872">
        <f>IF(A872="","",'Employees'!D9)</f>
        <v/>
      </c>
      <c r="D872">
        <f>IF(A872="","",'Skill Matrix'!C60)</f>
        <v/>
      </c>
      <c r="E872">
        <f>IF(A872="","",'Skill Matrix'!D60)</f>
        <v/>
      </c>
      <c r="F872">
        <f>IF(AND('Skill Matrix'!A60&lt;&gt;"",'Skill Matrix'!K5&lt;&gt;""),'Skill Matrix'!K5,"")</f>
        <v/>
      </c>
      <c r="G872">
        <f>IF(OR(A872="",'Skill Matrix'!K60=""),"",'Skill Matrix'!K60)</f>
        <v/>
      </c>
      <c r="H872">
        <f>IF(A872="","",'Employees'!F9)</f>
        <v/>
      </c>
    </row>
    <row r="873">
      <c r="A873">
        <f>IF(AND('Skill Matrix'!A60&lt;&gt;"",'Skill Matrix'!L5&lt;&gt;""),'Skill Matrix'!A60,"")</f>
        <v/>
      </c>
      <c r="B873">
        <f>IF(A873="","",'Employees'!C9)</f>
        <v/>
      </c>
      <c r="C873">
        <f>IF(A873="","",'Employees'!D9)</f>
        <v/>
      </c>
      <c r="D873">
        <f>IF(A873="","",'Skill Matrix'!C60)</f>
        <v/>
      </c>
      <c r="E873">
        <f>IF(A873="","",'Skill Matrix'!D60)</f>
        <v/>
      </c>
      <c r="F873">
        <f>IF(AND('Skill Matrix'!A60&lt;&gt;"",'Skill Matrix'!L5&lt;&gt;""),'Skill Matrix'!L5,"")</f>
        <v/>
      </c>
      <c r="G873">
        <f>IF(OR(A873="",'Skill Matrix'!L60=""),"",'Skill Matrix'!L60)</f>
        <v/>
      </c>
      <c r="H873">
        <f>IF(A873="","",'Employees'!F9)</f>
        <v/>
      </c>
    </row>
    <row r="874">
      <c r="A874">
        <f>IF(AND('Skill Matrix'!A60&lt;&gt;"",'Skill Matrix'!M5&lt;&gt;""),'Skill Matrix'!A60,"")</f>
        <v/>
      </c>
      <c r="B874">
        <f>IF(A874="","",'Employees'!C9)</f>
        <v/>
      </c>
      <c r="C874">
        <f>IF(A874="","",'Employees'!D9)</f>
        <v/>
      </c>
      <c r="D874">
        <f>IF(A874="","",'Skill Matrix'!C60)</f>
        <v/>
      </c>
      <c r="E874">
        <f>IF(A874="","",'Skill Matrix'!D60)</f>
        <v/>
      </c>
      <c r="F874">
        <f>IF(AND('Skill Matrix'!A60&lt;&gt;"",'Skill Matrix'!M5&lt;&gt;""),'Skill Matrix'!M5,"")</f>
        <v/>
      </c>
      <c r="G874">
        <f>IF(OR(A874="",'Skill Matrix'!M60=""),"",'Skill Matrix'!M60)</f>
        <v/>
      </c>
      <c r="H874">
        <f>IF(A874="","",'Employees'!F9)</f>
        <v/>
      </c>
    </row>
    <row r="875">
      <c r="A875">
        <f>IF(AND('Skill Matrix'!A60&lt;&gt;"",'Skill Matrix'!N5&lt;&gt;""),'Skill Matrix'!A60,"")</f>
        <v/>
      </c>
      <c r="B875">
        <f>IF(A875="","",'Employees'!C9)</f>
        <v/>
      </c>
      <c r="C875">
        <f>IF(A875="","",'Employees'!D9)</f>
        <v/>
      </c>
      <c r="D875">
        <f>IF(A875="","",'Skill Matrix'!C60)</f>
        <v/>
      </c>
      <c r="E875">
        <f>IF(A875="","",'Skill Matrix'!D60)</f>
        <v/>
      </c>
      <c r="F875">
        <f>IF(AND('Skill Matrix'!A60&lt;&gt;"",'Skill Matrix'!N5&lt;&gt;""),'Skill Matrix'!N5,"")</f>
        <v/>
      </c>
      <c r="G875">
        <f>IF(OR(A875="",'Skill Matrix'!N60=""),"",'Skill Matrix'!N60)</f>
        <v/>
      </c>
      <c r="H875">
        <f>IF(A875="","",'Employees'!F9)</f>
        <v/>
      </c>
    </row>
    <row r="876">
      <c r="A876">
        <f>IF(AND('Skill Matrix'!A60&lt;&gt;"",'Skill Matrix'!O5&lt;&gt;""),'Skill Matrix'!A60,"")</f>
        <v/>
      </c>
      <c r="B876">
        <f>IF(A876="","",'Employees'!C9)</f>
        <v/>
      </c>
      <c r="C876">
        <f>IF(A876="","",'Employees'!D9)</f>
        <v/>
      </c>
      <c r="D876">
        <f>IF(A876="","",'Skill Matrix'!C60)</f>
        <v/>
      </c>
      <c r="E876">
        <f>IF(A876="","",'Skill Matrix'!D60)</f>
        <v/>
      </c>
      <c r="F876">
        <f>IF(AND('Skill Matrix'!A60&lt;&gt;"",'Skill Matrix'!O5&lt;&gt;""),'Skill Matrix'!O5,"")</f>
        <v/>
      </c>
      <c r="G876">
        <f>IF(OR(A876="",'Skill Matrix'!O60=""),"",'Skill Matrix'!O60)</f>
        <v/>
      </c>
      <c r="H876">
        <f>IF(A876="","",'Employees'!F9)</f>
        <v/>
      </c>
    </row>
    <row r="877">
      <c r="A877">
        <f>IF(AND('Skill Matrix'!A60&lt;&gt;"",'Skill Matrix'!P5&lt;&gt;""),'Skill Matrix'!A60,"")</f>
        <v/>
      </c>
      <c r="B877">
        <f>IF(A877="","",'Employees'!C9)</f>
        <v/>
      </c>
      <c r="C877">
        <f>IF(A877="","",'Employees'!D9)</f>
        <v/>
      </c>
      <c r="D877">
        <f>IF(A877="","",'Skill Matrix'!C60)</f>
        <v/>
      </c>
      <c r="E877">
        <f>IF(A877="","",'Skill Matrix'!D60)</f>
        <v/>
      </c>
      <c r="F877">
        <f>IF(AND('Skill Matrix'!A60&lt;&gt;"",'Skill Matrix'!P5&lt;&gt;""),'Skill Matrix'!P5,"")</f>
        <v/>
      </c>
      <c r="G877">
        <f>IF(OR(A877="",'Skill Matrix'!P60=""),"",'Skill Matrix'!P60)</f>
        <v/>
      </c>
      <c r="H877">
        <f>IF(A877="","",'Employees'!F9)</f>
        <v/>
      </c>
    </row>
    <row r="878">
      <c r="A878">
        <f>IF(AND('Skill Matrix'!A60&lt;&gt;"",'Skill Matrix'!Q5&lt;&gt;""),'Skill Matrix'!A60,"")</f>
        <v/>
      </c>
      <c r="B878">
        <f>IF(A878="","",'Employees'!C9)</f>
        <v/>
      </c>
      <c r="C878">
        <f>IF(A878="","",'Employees'!D9)</f>
        <v/>
      </c>
      <c r="D878">
        <f>IF(A878="","",'Skill Matrix'!C60)</f>
        <v/>
      </c>
      <c r="E878">
        <f>IF(A878="","",'Skill Matrix'!D60)</f>
        <v/>
      </c>
      <c r="F878">
        <f>IF(AND('Skill Matrix'!A60&lt;&gt;"",'Skill Matrix'!Q5&lt;&gt;""),'Skill Matrix'!Q5,"")</f>
        <v/>
      </c>
      <c r="G878">
        <f>IF(OR(A878="",'Skill Matrix'!Q60=""),"",'Skill Matrix'!Q60)</f>
        <v/>
      </c>
      <c r="H878">
        <f>IF(A878="","",'Employees'!F9)</f>
        <v/>
      </c>
    </row>
    <row r="879">
      <c r="A879">
        <f>IF(AND('Skill Matrix'!A60&lt;&gt;"",'Skill Matrix'!R5&lt;&gt;""),'Skill Matrix'!A60,"")</f>
        <v/>
      </c>
      <c r="B879">
        <f>IF(A879="","",'Employees'!C9)</f>
        <v/>
      </c>
      <c r="C879">
        <f>IF(A879="","",'Employees'!D9)</f>
        <v/>
      </c>
      <c r="D879">
        <f>IF(A879="","",'Skill Matrix'!C60)</f>
        <v/>
      </c>
      <c r="E879">
        <f>IF(A879="","",'Skill Matrix'!D60)</f>
        <v/>
      </c>
      <c r="F879">
        <f>IF(AND('Skill Matrix'!A60&lt;&gt;"",'Skill Matrix'!R5&lt;&gt;""),'Skill Matrix'!R5,"")</f>
        <v/>
      </c>
      <c r="G879">
        <f>IF(OR(A879="",'Skill Matrix'!R60=""),"",'Skill Matrix'!R60)</f>
        <v/>
      </c>
      <c r="H879">
        <f>IF(A879="","",'Employees'!F9)</f>
        <v/>
      </c>
    </row>
    <row r="880">
      <c r="A880">
        <f>IF(AND('Skill Matrix'!A60&lt;&gt;"",'Skill Matrix'!S5&lt;&gt;""),'Skill Matrix'!A60,"")</f>
        <v/>
      </c>
      <c r="B880">
        <f>IF(A880="","",'Employees'!C9)</f>
        <v/>
      </c>
      <c r="C880">
        <f>IF(A880="","",'Employees'!D9)</f>
        <v/>
      </c>
      <c r="D880">
        <f>IF(A880="","",'Skill Matrix'!C60)</f>
        <v/>
      </c>
      <c r="E880">
        <f>IF(A880="","",'Skill Matrix'!D60)</f>
        <v/>
      </c>
      <c r="F880">
        <f>IF(AND('Skill Matrix'!A60&lt;&gt;"",'Skill Matrix'!S5&lt;&gt;""),'Skill Matrix'!S5,"")</f>
        <v/>
      </c>
      <c r="G880">
        <f>IF(OR(A880="",'Skill Matrix'!S60=""),"",'Skill Matrix'!S60)</f>
        <v/>
      </c>
      <c r="H880">
        <f>IF(A880="","",'Employees'!F9)</f>
        <v/>
      </c>
    </row>
    <row r="881">
      <c r="A881">
        <f>IF(AND('Skill Matrix'!A60&lt;&gt;"",'Skill Matrix'!T5&lt;&gt;""),'Skill Matrix'!A60,"")</f>
        <v/>
      </c>
      <c r="B881">
        <f>IF(A881="","",'Employees'!C9)</f>
        <v/>
      </c>
      <c r="C881">
        <f>IF(A881="","",'Employees'!D9)</f>
        <v/>
      </c>
      <c r="D881">
        <f>IF(A881="","",'Skill Matrix'!C60)</f>
        <v/>
      </c>
      <c r="E881">
        <f>IF(A881="","",'Skill Matrix'!D60)</f>
        <v/>
      </c>
      <c r="F881">
        <f>IF(AND('Skill Matrix'!A60&lt;&gt;"",'Skill Matrix'!T5&lt;&gt;""),'Skill Matrix'!T5,"")</f>
        <v/>
      </c>
      <c r="G881">
        <f>IF(OR(A881="",'Skill Matrix'!T60=""),"",'Skill Matrix'!T60)</f>
        <v/>
      </c>
      <c r="H881">
        <f>IF(A881="","",'Employees'!F9)</f>
        <v/>
      </c>
    </row>
    <row r="882">
      <c r="A882">
        <f>IF(AND('Skill Matrix'!A61&lt;&gt;"",'Skill Matrix'!E5&lt;&gt;""),'Skill Matrix'!A61,"")</f>
        <v/>
      </c>
      <c r="B882">
        <f>IF(A882="","",'Employees'!C9)</f>
        <v/>
      </c>
      <c r="C882">
        <f>IF(A882="","",'Employees'!D9)</f>
        <v/>
      </c>
      <c r="D882">
        <f>IF(A882="","",'Skill Matrix'!C61)</f>
        <v/>
      </c>
      <c r="E882">
        <f>IF(A882="","",'Skill Matrix'!D61)</f>
        <v/>
      </c>
      <c r="F882">
        <f>IF(AND('Skill Matrix'!A61&lt;&gt;"",'Skill Matrix'!E5&lt;&gt;""),'Skill Matrix'!E5,"")</f>
        <v/>
      </c>
      <c r="G882">
        <f>IF(OR(A882="",'Skill Matrix'!E61=""),"",'Skill Matrix'!E61)</f>
        <v/>
      </c>
      <c r="H882">
        <f>IF(A882="","",'Employees'!F9)</f>
        <v/>
      </c>
    </row>
    <row r="883">
      <c r="A883">
        <f>IF(AND('Skill Matrix'!A61&lt;&gt;"",'Skill Matrix'!F5&lt;&gt;""),'Skill Matrix'!A61,"")</f>
        <v/>
      </c>
      <c r="B883">
        <f>IF(A883="","",'Employees'!C9)</f>
        <v/>
      </c>
      <c r="C883">
        <f>IF(A883="","",'Employees'!D9)</f>
        <v/>
      </c>
      <c r="D883">
        <f>IF(A883="","",'Skill Matrix'!C61)</f>
        <v/>
      </c>
      <c r="E883">
        <f>IF(A883="","",'Skill Matrix'!D61)</f>
        <v/>
      </c>
      <c r="F883">
        <f>IF(AND('Skill Matrix'!A61&lt;&gt;"",'Skill Matrix'!F5&lt;&gt;""),'Skill Matrix'!F5,"")</f>
        <v/>
      </c>
      <c r="G883">
        <f>IF(OR(A883="",'Skill Matrix'!F61=""),"",'Skill Matrix'!F61)</f>
        <v/>
      </c>
      <c r="H883">
        <f>IF(A883="","",'Employees'!F9)</f>
        <v/>
      </c>
    </row>
    <row r="884">
      <c r="A884">
        <f>IF(AND('Skill Matrix'!A61&lt;&gt;"",'Skill Matrix'!G5&lt;&gt;""),'Skill Matrix'!A61,"")</f>
        <v/>
      </c>
      <c r="B884">
        <f>IF(A884="","",'Employees'!C9)</f>
        <v/>
      </c>
      <c r="C884">
        <f>IF(A884="","",'Employees'!D9)</f>
        <v/>
      </c>
      <c r="D884">
        <f>IF(A884="","",'Skill Matrix'!C61)</f>
        <v/>
      </c>
      <c r="E884">
        <f>IF(A884="","",'Skill Matrix'!D61)</f>
        <v/>
      </c>
      <c r="F884">
        <f>IF(AND('Skill Matrix'!A61&lt;&gt;"",'Skill Matrix'!G5&lt;&gt;""),'Skill Matrix'!G5,"")</f>
        <v/>
      </c>
      <c r="G884">
        <f>IF(OR(A884="",'Skill Matrix'!G61=""),"",'Skill Matrix'!G61)</f>
        <v/>
      </c>
      <c r="H884">
        <f>IF(A884="","",'Employees'!F9)</f>
        <v/>
      </c>
    </row>
    <row r="885">
      <c r="A885">
        <f>IF(AND('Skill Matrix'!A61&lt;&gt;"",'Skill Matrix'!H5&lt;&gt;""),'Skill Matrix'!A61,"")</f>
        <v/>
      </c>
      <c r="B885">
        <f>IF(A885="","",'Employees'!C9)</f>
        <v/>
      </c>
      <c r="C885">
        <f>IF(A885="","",'Employees'!D9)</f>
        <v/>
      </c>
      <c r="D885">
        <f>IF(A885="","",'Skill Matrix'!C61)</f>
        <v/>
      </c>
      <c r="E885">
        <f>IF(A885="","",'Skill Matrix'!D61)</f>
        <v/>
      </c>
      <c r="F885">
        <f>IF(AND('Skill Matrix'!A61&lt;&gt;"",'Skill Matrix'!H5&lt;&gt;""),'Skill Matrix'!H5,"")</f>
        <v/>
      </c>
      <c r="G885">
        <f>IF(OR(A885="",'Skill Matrix'!H61=""),"",'Skill Matrix'!H61)</f>
        <v/>
      </c>
      <c r="H885">
        <f>IF(A885="","",'Employees'!F9)</f>
        <v/>
      </c>
    </row>
    <row r="886">
      <c r="A886">
        <f>IF(AND('Skill Matrix'!A61&lt;&gt;"",'Skill Matrix'!I5&lt;&gt;""),'Skill Matrix'!A61,"")</f>
        <v/>
      </c>
      <c r="B886">
        <f>IF(A886="","",'Employees'!C9)</f>
        <v/>
      </c>
      <c r="C886">
        <f>IF(A886="","",'Employees'!D9)</f>
        <v/>
      </c>
      <c r="D886">
        <f>IF(A886="","",'Skill Matrix'!C61)</f>
        <v/>
      </c>
      <c r="E886">
        <f>IF(A886="","",'Skill Matrix'!D61)</f>
        <v/>
      </c>
      <c r="F886">
        <f>IF(AND('Skill Matrix'!A61&lt;&gt;"",'Skill Matrix'!I5&lt;&gt;""),'Skill Matrix'!I5,"")</f>
        <v/>
      </c>
      <c r="G886">
        <f>IF(OR(A886="",'Skill Matrix'!I61=""),"",'Skill Matrix'!I61)</f>
        <v/>
      </c>
      <c r="H886">
        <f>IF(A886="","",'Employees'!F9)</f>
        <v/>
      </c>
    </row>
    <row r="887">
      <c r="A887">
        <f>IF(AND('Skill Matrix'!A61&lt;&gt;"",'Skill Matrix'!J5&lt;&gt;""),'Skill Matrix'!A61,"")</f>
        <v/>
      </c>
      <c r="B887">
        <f>IF(A887="","",'Employees'!C9)</f>
        <v/>
      </c>
      <c r="C887">
        <f>IF(A887="","",'Employees'!D9)</f>
        <v/>
      </c>
      <c r="D887">
        <f>IF(A887="","",'Skill Matrix'!C61)</f>
        <v/>
      </c>
      <c r="E887">
        <f>IF(A887="","",'Skill Matrix'!D61)</f>
        <v/>
      </c>
      <c r="F887">
        <f>IF(AND('Skill Matrix'!A61&lt;&gt;"",'Skill Matrix'!J5&lt;&gt;""),'Skill Matrix'!J5,"")</f>
        <v/>
      </c>
      <c r="G887">
        <f>IF(OR(A887="",'Skill Matrix'!J61=""),"",'Skill Matrix'!J61)</f>
        <v/>
      </c>
      <c r="H887">
        <f>IF(A887="","",'Employees'!F9)</f>
        <v/>
      </c>
    </row>
    <row r="888">
      <c r="A888">
        <f>IF(AND('Skill Matrix'!A61&lt;&gt;"",'Skill Matrix'!K5&lt;&gt;""),'Skill Matrix'!A61,"")</f>
        <v/>
      </c>
      <c r="B888">
        <f>IF(A888="","",'Employees'!C9)</f>
        <v/>
      </c>
      <c r="C888">
        <f>IF(A888="","",'Employees'!D9)</f>
        <v/>
      </c>
      <c r="D888">
        <f>IF(A888="","",'Skill Matrix'!C61)</f>
        <v/>
      </c>
      <c r="E888">
        <f>IF(A888="","",'Skill Matrix'!D61)</f>
        <v/>
      </c>
      <c r="F888">
        <f>IF(AND('Skill Matrix'!A61&lt;&gt;"",'Skill Matrix'!K5&lt;&gt;""),'Skill Matrix'!K5,"")</f>
        <v/>
      </c>
      <c r="G888">
        <f>IF(OR(A888="",'Skill Matrix'!K61=""),"",'Skill Matrix'!K61)</f>
        <v/>
      </c>
      <c r="H888">
        <f>IF(A888="","",'Employees'!F9)</f>
        <v/>
      </c>
    </row>
    <row r="889">
      <c r="A889">
        <f>IF(AND('Skill Matrix'!A61&lt;&gt;"",'Skill Matrix'!L5&lt;&gt;""),'Skill Matrix'!A61,"")</f>
        <v/>
      </c>
      <c r="B889">
        <f>IF(A889="","",'Employees'!C9)</f>
        <v/>
      </c>
      <c r="C889">
        <f>IF(A889="","",'Employees'!D9)</f>
        <v/>
      </c>
      <c r="D889">
        <f>IF(A889="","",'Skill Matrix'!C61)</f>
        <v/>
      </c>
      <c r="E889">
        <f>IF(A889="","",'Skill Matrix'!D61)</f>
        <v/>
      </c>
      <c r="F889">
        <f>IF(AND('Skill Matrix'!A61&lt;&gt;"",'Skill Matrix'!L5&lt;&gt;""),'Skill Matrix'!L5,"")</f>
        <v/>
      </c>
      <c r="G889">
        <f>IF(OR(A889="",'Skill Matrix'!L61=""),"",'Skill Matrix'!L61)</f>
        <v/>
      </c>
      <c r="H889">
        <f>IF(A889="","",'Employees'!F9)</f>
        <v/>
      </c>
    </row>
    <row r="890">
      <c r="A890">
        <f>IF(AND('Skill Matrix'!A61&lt;&gt;"",'Skill Matrix'!M5&lt;&gt;""),'Skill Matrix'!A61,"")</f>
        <v/>
      </c>
      <c r="B890">
        <f>IF(A890="","",'Employees'!C9)</f>
        <v/>
      </c>
      <c r="C890">
        <f>IF(A890="","",'Employees'!D9)</f>
        <v/>
      </c>
      <c r="D890">
        <f>IF(A890="","",'Skill Matrix'!C61)</f>
        <v/>
      </c>
      <c r="E890">
        <f>IF(A890="","",'Skill Matrix'!D61)</f>
        <v/>
      </c>
      <c r="F890">
        <f>IF(AND('Skill Matrix'!A61&lt;&gt;"",'Skill Matrix'!M5&lt;&gt;""),'Skill Matrix'!M5,"")</f>
        <v/>
      </c>
      <c r="G890">
        <f>IF(OR(A890="",'Skill Matrix'!M61=""),"",'Skill Matrix'!M61)</f>
        <v/>
      </c>
      <c r="H890">
        <f>IF(A890="","",'Employees'!F9)</f>
        <v/>
      </c>
    </row>
    <row r="891">
      <c r="A891">
        <f>IF(AND('Skill Matrix'!A61&lt;&gt;"",'Skill Matrix'!N5&lt;&gt;""),'Skill Matrix'!A61,"")</f>
        <v/>
      </c>
      <c r="B891">
        <f>IF(A891="","",'Employees'!C9)</f>
        <v/>
      </c>
      <c r="C891">
        <f>IF(A891="","",'Employees'!D9)</f>
        <v/>
      </c>
      <c r="D891">
        <f>IF(A891="","",'Skill Matrix'!C61)</f>
        <v/>
      </c>
      <c r="E891">
        <f>IF(A891="","",'Skill Matrix'!D61)</f>
        <v/>
      </c>
      <c r="F891">
        <f>IF(AND('Skill Matrix'!A61&lt;&gt;"",'Skill Matrix'!N5&lt;&gt;""),'Skill Matrix'!N5,"")</f>
        <v/>
      </c>
      <c r="G891">
        <f>IF(OR(A891="",'Skill Matrix'!N61=""),"",'Skill Matrix'!N61)</f>
        <v/>
      </c>
      <c r="H891">
        <f>IF(A891="","",'Employees'!F9)</f>
        <v/>
      </c>
    </row>
    <row r="892">
      <c r="A892">
        <f>IF(AND('Skill Matrix'!A61&lt;&gt;"",'Skill Matrix'!O5&lt;&gt;""),'Skill Matrix'!A61,"")</f>
        <v/>
      </c>
      <c r="B892">
        <f>IF(A892="","",'Employees'!C9)</f>
        <v/>
      </c>
      <c r="C892">
        <f>IF(A892="","",'Employees'!D9)</f>
        <v/>
      </c>
      <c r="D892">
        <f>IF(A892="","",'Skill Matrix'!C61)</f>
        <v/>
      </c>
      <c r="E892">
        <f>IF(A892="","",'Skill Matrix'!D61)</f>
        <v/>
      </c>
      <c r="F892">
        <f>IF(AND('Skill Matrix'!A61&lt;&gt;"",'Skill Matrix'!O5&lt;&gt;""),'Skill Matrix'!O5,"")</f>
        <v/>
      </c>
      <c r="G892">
        <f>IF(OR(A892="",'Skill Matrix'!O61=""),"",'Skill Matrix'!O61)</f>
        <v/>
      </c>
      <c r="H892">
        <f>IF(A892="","",'Employees'!F9)</f>
        <v/>
      </c>
    </row>
    <row r="893">
      <c r="A893">
        <f>IF(AND('Skill Matrix'!A61&lt;&gt;"",'Skill Matrix'!P5&lt;&gt;""),'Skill Matrix'!A61,"")</f>
        <v/>
      </c>
      <c r="B893">
        <f>IF(A893="","",'Employees'!C9)</f>
        <v/>
      </c>
      <c r="C893">
        <f>IF(A893="","",'Employees'!D9)</f>
        <v/>
      </c>
      <c r="D893">
        <f>IF(A893="","",'Skill Matrix'!C61)</f>
        <v/>
      </c>
      <c r="E893">
        <f>IF(A893="","",'Skill Matrix'!D61)</f>
        <v/>
      </c>
      <c r="F893">
        <f>IF(AND('Skill Matrix'!A61&lt;&gt;"",'Skill Matrix'!P5&lt;&gt;""),'Skill Matrix'!P5,"")</f>
        <v/>
      </c>
      <c r="G893">
        <f>IF(OR(A893="",'Skill Matrix'!P61=""),"",'Skill Matrix'!P61)</f>
        <v/>
      </c>
      <c r="H893">
        <f>IF(A893="","",'Employees'!F9)</f>
        <v/>
      </c>
    </row>
    <row r="894">
      <c r="A894">
        <f>IF(AND('Skill Matrix'!A61&lt;&gt;"",'Skill Matrix'!Q5&lt;&gt;""),'Skill Matrix'!A61,"")</f>
        <v/>
      </c>
      <c r="B894">
        <f>IF(A894="","",'Employees'!C9)</f>
        <v/>
      </c>
      <c r="C894">
        <f>IF(A894="","",'Employees'!D9)</f>
        <v/>
      </c>
      <c r="D894">
        <f>IF(A894="","",'Skill Matrix'!C61)</f>
        <v/>
      </c>
      <c r="E894">
        <f>IF(A894="","",'Skill Matrix'!D61)</f>
        <v/>
      </c>
      <c r="F894">
        <f>IF(AND('Skill Matrix'!A61&lt;&gt;"",'Skill Matrix'!Q5&lt;&gt;""),'Skill Matrix'!Q5,"")</f>
        <v/>
      </c>
      <c r="G894">
        <f>IF(OR(A894="",'Skill Matrix'!Q61=""),"",'Skill Matrix'!Q61)</f>
        <v/>
      </c>
      <c r="H894">
        <f>IF(A894="","",'Employees'!F9)</f>
        <v/>
      </c>
    </row>
    <row r="895">
      <c r="A895">
        <f>IF(AND('Skill Matrix'!A61&lt;&gt;"",'Skill Matrix'!R5&lt;&gt;""),'Skill Matrix'!A61,"")</f>
        <v/>
      </c>
      <c r="B895">
        <f>IF(A895="","",'Employees'!C9)</f>
        <v/>
      </c>
      <c r="C895">
        <f>IF(A895="","",'Employees'!D9)</f>
        <v/>
      </c>
      <c r="D895">
        <f>IF(A895="","",'Skill Matrix'!C61)</f>
        <v/>
      </c>
      <c r="E895">
        <f>IF(A895="","",'Skill Matrix'!D61)</f>
        <v/>
      </c>
      <c r="F895">
        <f>IF(AND('Skill Matrix'!A61&lt;&gt;"",'Skill Matrix'!R5&lt;&gt;""),'Skill Matrix'!R5,"")</f>
        <v/>
      </c>
      <c r="G895">
        <f>IF(OR(A895="",'Skill Matrix'!R61=""),"",'Skill Matrix'!R61)</f>
        <v/>
      </c>
      <c r="H895">
        <f>IF(A895="","",'Employees'!F9)</f>
        <v/>
      </c>
    </row>
    <row r="896">
      <c r="A896">
        <f>IF(AND('Skill Matrix'!A61&lt;&gt;"",'Skill Matrix'!S5&lt;&gt;""),'Skill Matrix'!A61,"")</f>
        <v/>
      </c>
      <c r="B896">
        <f>IF(A896="","",'Employees'!C9)</f>
        <v/>
      </c>
      <c r="C896">
        <f>IF(A896="","",'Employees'!D9)</f>
        <v/>
      </c>
      <c r="D896">
        <f>IF(A896="","",'Skill Matrix'!C61)</f>
        <v/>
      </c>
      <c r="E896">
        <f>IF(A896="","",'Skill Matrix'!D61)</f>
        <v/>
      </c>
      <c r="F896">
        <f>IF(AND('Skill Matrix'!A61&lt;&gt;"",'Skill Matrix'!S5&lt;&gt;""),'Skill Matrix'!S5,"")</f>
        <v/>
      </c>
      <c r="G896">
        <f>IF(OR(A896="",'Skill Matrix'!S61=""),"",'Skill Matrix'!S61)</f>
        <v/>
      </c>
      <c r="H896">
        <f>IF(A896="","",'Employees'!F9)</f>
        <v/>
      </c>
    </row>
    <row r="897">
      <c r="A897">
        <f>IF(AND('Skill Matrix'!A61&lt;&gt;"",'Skill Matrix'!T5&lt;&gt;""),'Skill Matrix'!A61,"")</f>
        <v/>
      </c>
      <c r="B897">
        <f>IF(A897="","",'Employees'!C9)</f>
        <v/>
      </c>
      <c r="C897">
        <f>IF(A897="","",'Employees'!D9)</f>
        <v/>
      </c>
      <c r="D897">
        <f>IF(A897="","",'Skill Matrix'!C61)</f>
        <v/>
      </c>
      <c r="E897">
        <f>IF(A897="","",'Skill Matrix'!D61)</f>
        <v/>
      </c>
      <c r="F897">
        <f>IF(AND('Skill Matrix'!A61&lt;&gt;"",'Skill Matrix'!T5&lt;&gt;""),'Skill Matrix'!T5,"")</f>
        <v/>
      </c>
      <c r="G897">
        <f>IF(OR(A897="",'Skill Matrix'!T61=""),"",'Skill Matrix'!T61)</f>
        <v/>
      </c>
      <c r="H897">
        <f>IF(A897="","",'Employees'!F9)</f>
        <v/>
      </c>
    </row>
    <row r="898">
      <c r="A898">
        <f>IF(AND('Skill Matrix'!A62&lt;&gt;"",'Skill Matrix'!E5&lt;&gt;""),'Skill Matrix'!A62,"")</f>
        <v/>
      </c>
      <c r="B898">
        <f>IF(A898="","",'Employees'!C9)</f>
        <v/>
      </c>
      <c r="C898">
        <f>IF(A898="","",'Employees'!D9)</f>
        <v/>
      </c>
      <c r="D898">
        <f>IF(A898="","",'Skill Matrix'!C62)</f>
        <v/>
      </c>
      <c r="E898">
        <f>IF(A898="","",'Skill Matrix'!D62)</f>
        <v/>
      </c>
      <c r="F898">
        <f>IF(AND('Skill Matrix'!A62&lt;&gt;"",'Skill Matrix'!E5&lt;&gt;""),'Skill Matrix'!E5,"")</f>
        <v/>
      </c>
      <c r="G898">
        <f>IF(OR(A898="",'Skill Matrix'!E62=""),"",'Skill Matrix'!E62)</f>
        <v/>
      </c>
      <c r="H898">
        <f>IF(A898="","",'Employees'!F9)</f>
        <v/>
      </c>
    </row>
    <row r="899">
      <c r="A899">
        <f>IF(AND('Skill Matrix'!A62&lt;&gt;"",'Skill Matrix'!F5&lt;&gt;""),'Skill Matrix'!A62,"")</f>
        <v/>
      </c>
      <c r="B899">
        <f>IF(A899="","",'Employees'!C9)</f>
        <v/>
      </c>
      <c r="C899">
        <f>IF(A899="","",'Employees'!D9)</f>
        <v/>
      </c>
      <c r="D899">
        <f>IF(A899="","",'Skill Matrix'!C62)</f>
        <v/>
      </c>
      <c r="E899">
        <f>IF(A899="","",'Skill Matrix'!D62)</f>
        <v/>
      </c>
      <c r="F899">
        <f>IF(AND('Skill Matrix'!A62&lt;&gt;"",'Skill Matrix'!F5&lt;&gt;""),'Skill Matrix'!F5,"")</f>
        <v/>
      </c>
      <c r="G899">
        <f>IF(OR(A899="",'Skill Matrix'!F62=""),"",'Skill Matrix'!F62)</f>
        <v/>
      </c>
      <c r="H899">
        <f>IF(A899="","",'Employees'!F9)</f>
        <v/>
      </c>
    </row>
    <row r="900">
      <c r="A900">
        <f>IF(AND('Skill Matrix'!A62&lt;&gt;"",'Skill Matrix'!G5&lt;&gt;""),'Skill Matrix'!A62,"")</f>
        <v/>
      </c>
      <c r="B900">
        <f>IF(A900="","",'Employees'!C9)</f>
        <v/>
      </c>
      <c r="C900">
        <f>IF(A900="","",'Employees'!D9)</f>
        <v/>
      </c>
      <c r="D900">
        <f>IF(A900="","",'Skill Matrix'!C62)</f>
        <v/>
      </c>
      <c r="E900">
        <f>IF(A900="","",'Skill Matrix'!D62)</f>
        <v/>
      </c>
      <c r="F900">
        <f>IF(AND('Skill Matrix'!A62&lt;&gt;"",'Skill Matrix'!G5&lt;&gt;""),'Skill Matrix'!G5,"")</f>
        <v/>
      </c>
      <c r="G900">
        <f>IF(OR(A900="",'Skill Matrix'!G62=""),"",'Skill Matrix'!G62)</f>
        <v/>
      </c>
      <c r="H900">
        <f>IF(A900="","",'Employees'!F9)</f>
        <v/>
      </c>
    </row>
    <row r="901">
      <c r="A901">
        <f>IF(AND('Skill Matrix'!A62&lt;&gt;"",'Skill Matrix'!H5&lt;&gt;""),'Skill Matrix'!A62,"")</f>
        <v/>
      </c>
      <c r="B901">
        <f>IF(A901="","",'Employees'!C9)</f>
        <v/>
      </c>
      <c r="C901">
        <f>IF(A901="","",'Employees'!D9)</f>
        <v/>
      </c>
      <c r="D901">
        <f>IF(A901="","",'Skill Matrix'!C62)</f>
        <v/>
      </c>
      <c r="E901">
        <f>IF(A901="","",'Skill Matrix'!D62)</f>
        <v/>
      </c>
      <c r="F901">
        <f>IF(AND('Skill Matrix'!A62&lt;&gt;"",'Skill Matrix'!H5&lt;&gt;""),'Skill Matrix'!H5,"")</f>
        <v/>
      </c>
      <c r="G901">
        <f>IF(OR(A901="",'Skill Matrix'!H62=""),"",'Skill Matrix'!H62)</f>
        <v/>
      </c>
      <c r="H901">
        <f>IF(A901="","",'Employees'!F9)</f>
        <v/>
      </c>
    </row>
    <row r="902">
      <c r="A902">
        <f>IF(AND('Skill Matrix'!A62&lt;&gt;"",'Skill Matrix'!I5&lt;&gt;""),'Skill Matrix'!A62,"")</f>
        <v/>
      </c>
      <c r="B902">
        <f>IF(A902="","",'Employees'!C9)</f>
        <v/>
      </c>
      <c r="C902">
        <f>IF(A902="","",'Employees'!D9)</f>
        <v/>
      </c>
      <c r="D902">
        <f>IF(A902="","",'Skill Matrix'!C62)</f>
        <v/>
      </c>
      <c r="E902">
        <f>IF(A902="","",'Skill Matrix'!D62)</f>
        <v/>
      </c>
      <c r="F902">
        <f>IF(AND('Skill Matrix'!A62&lt;&gt;"",'Skill Matrix'!I5&lt;&gt;""),'Skill Matrix'!I5,"")</f>
        <v/>
      </c>
      <c r="G902">
        <f>IF(OR(A902="",'Skill Matrix'!I62=""),"",'Skill Matrix'!I62)</f>
        <v/>
      </c>
      <c r="H902">
        <f>IF(A902="","",'Employees'!F9)</f>
        <v/>
      </c>
    </row>
    <row r="903">
      <c r="A903">
        <f>IF(AND('Skill Matrix'!A62&lt;&gt;"",'Skill Matrix'!J5&lt;&gt;""),'Skill Matrix'!A62,"")</f>
        <v/>
      </c>
      <c r="B903">
        <f>IF(A903="","",'Employees'!C9)</f>
        <v/>
      </c>
      <c r="C903">
        <f>IF(A903="","",'Employees'!D9)</f>
        <v/>
      </c>
      <c r="D903">
        <f>IF(A903="","",'Skill Matrix'!C62)</f>
        <v/>
      </c>
      <c r="E903">
        <f>IF(A903="","",'Skill Matrix'!D62)</f>
        <v/>
      </c>
      <c r="F903">
        <f>IF(AND('Skill Matrix'!A62&lt;&gt;"",'Skill Matrix'!J5&lt;&gt;""),'Skill Matrix'!J5,"")</f>
        <v/>
      </c>
      <c r="G903">
        <f>IF(OR(A903="",'Skill Matrix'!J62=""),"",'Skill Matrix'!J62)</f>
        <v/>
      </c>
      <c r="H903">
        <f>IF(A903="","",'Employees'!F9)</f>
        <v/>
      </c>
    </row>
    <row r="904">
      <c r="A904">
        <f>IF(AND('Skill Matrix'!A62&lt;&gt;"",'Skill Matrix'!K5&lt;&gt;""),'Skill Matrix'!A62,"")</f>
        <v/>
      </c>
      <c r="B904">
        <f>IF(A904="","",'Employees'!C9)</f>
        <v/>
      </c>
      <c r="C904">
        <f>IF(A904="","",'Employees'!D9)</f>
        <v/>
      </c>
      <c r="D904">
        <f>IF(A904="","",'Skill Matrix'!C62)</f>
        <v/>
      </c>
      <c r="E904">
        <f>IF(A904="","",'Skill Matrix'!D62)</f>
        <v/>
      </c>
      <c r="F904">
        <f>IF(AND('Skill Matrix'!A62&lt;&gt;"",'Skill Matrix'!K5&lt;&gt;""),'Skill Matrix'!K5,"")</f>
        <v/>
      </c>
      <c r="G904">
        <f>IF(OR(A904="",'Skill Matrix'!K62=""),"",'Skill Matrix'!K62)</f>
        <v/>
      </c>
      <c r="H904">
        <f>IF(A904="","",'Employees'!F9)</f>
        <v/>
      </c>
    </row>
    <row r="905">
      <c r="A905">
        <f>IF(AND('Skill Matrix'!A62&lt;&gt;"",'Skill Matrix'!L5&lt;&gt;""),'Skill Matrix'!A62,"")</f>
        <v/>
      </c>
      <c r="B905">
        <f>IF(A905="","",'Employees'!C9)</f>
        <v/>
      </c>
      <c r="C905">
        <f>IF(A905="","",'Employees'!D9)</f>
        <v/>
      </c>
      <c r="D905">
        <f>IF(A905="","",'Skill Matrix'!C62)</f>
        <v/>
      </c>
      <c r="E905">
        <f>IF(A905="","",'Skill Matrix'!D62)</f>
        <v/>
      </c>
      <c r="F905">
        <f>IF(AND('Skill Matrix'!A62&lt;&gt;"",'Skill Matrix'!L5&lt;&gt;""),'Skill Matrix'!L5,"")</f>
        <v/>
      </c>
      <c r="G905">
        <f>IF(OR(A905="",'Skill Matrix'!L62=""),"",'Skill Matrix'!L62)</f>
        <v/>
      </c>
      <c r="H905">
        <f>IF(A905="","",'Employees'!F9)</f>
        <v/>
      </c>
    </row>
    <row r="906">
      <c r="A906">
        <f>IF(AND('Skill Matrix'!A62&lt;&gt;"",'Skill Matrix'!M5&lt;&gt;""),'Skill Matrix'!A62,"")</f>
        <v/>
      </c>
      <c r="B906">
        <f>IF(A906="","",'Employees'!C9)</f>
        <v/>
      </c>
      <c r="C906">
        <f>IF(A906="","",'Employees'!D9)</f>
        <v/>
      </c>
      <c r="D906">
        <f>IF(A906="","",'Skill Matrix'!C62)</f>
        <v/>
      </c>
      <c r="E906">
        <f>IF(A906="","",'Skill Matrix'!D62)</f>
        <v/>
      </c>
      <c r="F906">
        <f>IF(AND('Skill Matrix'!A62&lt;&gt;"",'Skill Matrix'!M5&lt;&gt;""),'Skill Matrix'!M5,"")</f>
        <v/>
      </c>
      <c r="G906">
        <f>IF(OR(A906="",'Skill Matrix'!M62=""),"",'Skill Matrix'!M62)</f>
        <v/>
      </c>
      <c r="H906">
        <f>IF(A906="","",'Employees'!F9)</f>
        <v/>
      </c>
    </row>
    <row r="907">
      <c r="A907">
        <f>IF(AND('Skill Matrix'!A62&lt;&gt;"",'Skill Matrix'!N5&lt;&gt;""),'Skill Matrix'!A62,"")</f>
        <v/>
      </c>
      <c r="B907">
        <f>IF(A907="","",'Employees'!C9)</f>
        <v/>
      </c>
      <c r="C907">
        <f>IF(A907="","",'Employees'!D9)</f>
        <v/>
      </c>
      <c r="D907">
        <f>IF(A907="","",'Skill Matrix'!C62)</f>
        <v/>
      </c>
      <c r="E907">
        <f>IF(A907="","",'Skill Matrix'!D62)</f>
        <v/>
      </c>
      <c r="F907">
        <f>IF(AND('Skill Matrix'!A62&lt;&gt;"",'Skill Matrix'!N5&lt;&gt;""),'Skill Matrix'!N5,"")</f>
        <v/>
      </c>
      <c r="G907">
        <f>IF(OR(A907="",'Skill Matrix'!N62=""),"",'Skill Matrix'!N62)</f>
        <v/>
      </c>
      <c r="H907">
        <f>IF(A907="","",'Employees'!F9)</f>
        <v/>
      </c>
    </row>
    <row r="908">
      <c r="A908">
        <f>IF(AND('Skill Matrix'!A62&lt;&gt;"",'Skill Matrix'!O5&lt;&gt;""),'Skill Matrix'!A62,"")</f>
        <v/>
      </c>
      <c r="B908">
        <f>IF(A908="","",'Employees'!C9)</f>
        <v/>
      </c>
      <c r="C908">
        <f>IF(A908="","",'Employees'!D9)</f>
        <v/>
      </c>
      <c r="D908">
        <f>IF(A908="","",'Skill Matrix'!C62)</f>
        <v/>
      </c>
      <c r="E908">
        <f>IF(A908="","",'Skill Matrix'!D62)</f>
        <v/>
      </c>
      <c r="F908">
        <f>IF(AND('Skill Matrix'!A62&lt;&gt;"",'Skill Matrix'!O5&lt;&gt;""),'Skill Matrix'!O5,"")</f>
        <v/>
      </c>
      <c r="G908">
        <f>IF(OR(A908="",'Skill Matrix'!O62=""),"",'Skill Matrix'!O62)</f>
        <v/>
      </c>
      <c r="H908">
        <f>IF(A908="","",'Employees'!F9)</f>
        <v/>
      </c>
    </row>
    <row r="909">
      <c r="A909">
        <f>IF(AND('Skill Matrix'!A62&lt;&gt;"",'Skill Matrix'!P5&lt;&gt;""),'Skill Matrix'!A62,"")</f>
        <v/>
      </c>
      <c r="B909">
        <f>IF(A909="","",'Employees'!C9)</f>
        <v/>
      </c>
      <c r="C909">
        <f>IF(A909="","",'Employees'!D9)</f>
        <v/>
      </c>
      <c r="D909">
        <f>IF(A909="","",'Skill Matrix'!C62)</f>
        <v/>
      </c>
      <c r="E909">
        <f>IF(A909="","",'Skill Matrix'!D62)</f>
        <v/>
      </c>
      <c r="F909">
        <f>IF(AND('Skill Matrix'!A62&lt;&gt;"",'Skill Matrix'!P5&lt;&gt;""),'Skill Matrix'!P5,"")</f>
        <v/>
      </c>
      <c r="G909">
        <f>IF(OR(A909="",'Skill Matrix'!P62=""),"",'Skill Matrix'!P62)</f>
        <v/>
      </c>
      <c r="H909">
        <f>IF(A909="","",'Employees'!F9)</f>
        <v/>
      </c>
    </row>
    <row r="910">
      <c r="A910">
        <f>IF(AND('Skill Matrix'!A62&lt;&gt;"",'Skill Matrix'!Q5&lt;&gt;""),'Skill Matrix'!A62,"")</f>
        <v/>
      </c>
      <c r="B910">
        <f>IF(A910="","",'Employees'!C9)</f>
        <v/>
      </c>
      <c r="C910">
        <f>IF(A910="","",'Employees'!D9)</f>
        <v/>
      </c>
      <c r="D910">
        <f>IF(A910="","",'Skill Matrix'!C62)</f>
        <v/>
      </c>
      <c r="E910">
        <f>IF(A910="","",'Skill Matrix'!D62)</f>
        <v/>
      </c>
      <c r="F910">
        <f>IF(AND('Skill Matrix'!A62&lt;&gt;"",'Skill Matrix'!Q5&lt;&gt;""),'Skill Matrix'!Q5,"")</f>
        <v/>
      </c>
      <c r="G910">
        <f>IF(OR(A910="",'Skill Matrix'!Q62=""),"",'Skill Matrix'!Q62)</f>
        <v/>
      </c>
      <c r="H910">
        <f>IF(A910="","",'Employees'!F9)</f>
        <v/>
      </c>
    </row>
    <row r="911">
      <c r="A911">
        <f>IF(AND('Skill Matrix'!A62&lt;&gt;"",'Skill Matrix'!R5&lt;&gt;""),'Skill Matrix'!A62,"")</f>
        <v/>
      </c>
      <c r="B911">
        <f>IF(A911="","",'Employees'!C9)</f>
        <v/>
      </c>
      <c r="C911">
        <f>IF(A911="","",'Employees'!D9)</f>
        <v/>
      </c>
      <c r="D911">
        <f>IF(A911="","",'Skill Matrix'!C62)</f>
        <v/>
      </c>
      <c r="E911">
        <f>IF(A911="","",'Skill Matrix'!D62)</f>
        <v/>
      </c>
      <c r="F911">
        <f>IF(AND('Skill Matrix'!A62&lt;&gt;"",'Skill Matrix'!R5&lt;&gt;""),'Skill Matrix'!R5,"")</f>
        <v/>
      </c>
      <c r="G911">
        <f>IF(OR(A911="",'Skill Matrix'!R62=""),"",'Skill Matrix'!R62)</f>
        <v/>
      </c>
      <c r="H911">
        <f>IF(A911="","",'Employees'!F9)</f>
        <v/>
      </c>
    </row>
    <row r="912">
      <c r="A912">
        <f>IF(AND('Skill Matrix'!A62&lt;&gt;"",'Skill Matrix'!S5&lt;&gt;""),'Skill Matrix'!A62,"")</f>
        <v/>
      </c>
      <c r="B912">
        <f>IF(A912="","",'Employees'!C9)</f>
        <v/>
      </c>
      <c r="C912">
        <f>IF(A912="","",'Employees'!D9)</f>
        <v/>
      </c>
      <c r="D912">
        <f>IF(A912="","",'Skill Matrix'!C62)</f>
        <v/>
      </c>
      <c r="E912">
        <f>IF(A912="","",'Skill Matrix'!D62)</f>
        <v/>
      </c>
      <c r="F912">
        <f>IF(AND('Skill Matrix'!A62&lt;&gt;"",'Skill Matrix'!S5&lt;&gt;""),'Skill Matrix'!S5,"")</f>
        <v/>
      </c>
      <c r="G912">
        <f>IF(OR(A912="",'Skill Matrix'!S62=""),"",'Skill Matrix'!S62)</f>
        <v/>
      </c>
      <c r="H912">
        <f>IF(A912="","",'Employees'!F9)</f>
        <v/>
      </c>
    </row>
    <row r="913">
      <c r="A913">
        <f>IF(AND('Skill Matrix'!A62&lt;&gt;"",'Skill Matrix'!T5&lt;&gt;""),'Skill Matrix'!A62,"")</f>
        <v/>
      </c>
      <c r="B913">
        <f>IF(A913="","",'Employees'!C9)</f>
        <v/>
      </c>
      <c r="C913">
        <f>IF(A913="","",'Employees'!D9)</f>
        <v/>
      </c>
      <c r="D913">
        <f>IF(A913="","",'Skill Matrix'!C62)</f>
        <v/>
      </c>
      <c r="E913">
        <f>IF(A913="","",'Skill Matrix'!D62)</f>
        <v/>
      </c>
      <c r="F913">
        <f>IF(AND('Skill Matrix'!A62&lt;&gt;"",'Skill Matrix'!T5&lt;&gt;""),'Skill Matrix'!T5,"")</f>
        <v/>
      </c>
      <c r="G913">
        <f>IF(OR(A913="",'Skill Matrix'!T62=""),"",'Skill Matrix'!T62)</f>
        <v/>
      </c>
      <c r="H913">
        <f>IF(A913="","",'Employees'!F9)</f>
        <v/>
      </c>
    </row>
    <row r="914">
      <c r="A914">
        <f>IF(AND('Skill Matrix'!A63&lt;&gt;"",'Skill Matrix'!E5&lt;&gt;""),'Skill Matrix'!A63,"")</f>
        <v/>
      </c>
      <c r="B914">
        <f>IF(A914="","",'Employees'!C9)</f>
        <v/>
      </c>
      <c r="C914">
        <f>IF(A914="","",'Employees'!D9)</f>
        <v/>
      </c>
      <c r="D914">
        <f>IF(A914="","",'Skill Matrix'!C63)</f>
        <v/>
      </c>
      <c r="E914">
        <f>IF(A914="","",'Skill Matrix'!D63)</f>
        <v/>
      </c>
      <c r="F914">
        <f>IF(AND('Skill Matrix'!A63&lt;&gt;"",'Skill Matrix'!E5&lt;&gt;""),'Skill Matrix'!E5,"")</f>
        <v/>
      </c>
      <c r="G914">
        <f>IF(OR(A914="",'Skill Matrix'!E63=""),"",'Skill Matrix'!E63)</f>
        <v/>
      </c>
      <c r="H914">
        <f>IF(A914="","",'Employees'!F9)</f>
        <v/>
      </c>
    </row>
    <row r="915">
      <c r="A915">
        <f>IF(AND('Skill Matrix'!A63&lt;&gt;"",'Skill Matrix'!F5&lt;&gt;""),'Skill Matrix'!A63,"")</f>
        <v/>
      </c>
      <c r="B915">
        <f>IF(A915="","",'Employees'!C9)</f>
        <v/>
      </c>
      <c r="C915">
        <f>IF(A915="","",'Employees'!D9)</f>
        <v/>
      </c>
      <c r="D915">
        <f>IF(A915="","",'Skill Matrix'!C63)</f>
        <v/>
      </c>
      <c r="E915">
        <f>IF(A915="","",'Skill Matrix'!D63)</f>
        <v/>
      </c>
      <c r="F915">
        <f>IF(AND('Skill Matrix'!A63&lt;&gt;"",'Skill Matrix'!F5&lt;&gt;""),'Skill Matrix'!F5,"")</f>
        <v/>
      </c>
      <c r="G915">
        <f>IF(OR(A915="",'Skill Matrix'!F63=""),"",'Skill Matrix'!F63)</f>
        <v/>
      </c>
      <c r="H915">
        <f>IF(A915="","",'Employees'!F9)</f>
        <v/>
      </c>
    </row>
    <row r="916">
      <c r="A916">
        <f>IF(AND('Skill Matrix'!A63&lt;&gt;"",'Skill Matrix'!G5&lt;&gt;""),'Skill Matrix'!A63,"")</f>
        <v/>
      </c>
      <c r="B916">
        <f>IF(A916="","",'Employees'!C9)</f>
        <v/>
      </c>
      <c r="C916">
        <f>IF(A916="","",'Employees'!D9)</f>
        <v/>
      </c>
      <c r="D916">
        <f>IF(A916="","",'Skill Matrix'!C63)</f>
        <v/>
      </c>
      <c r="E916">
        <f>IF(A916="","",'Skill Matrix'!D63)</f>
        <v/>
      </c>
      <c r="F916">
        <f>IF(AND('Skill Matrix'!A63&lt;&gt;"",'Skill Matrix'!G5&lt;&gt;""),'Skill Matrix'!G5,"")</f>
        <v/>
      </c>
      <c r="G916">
        <f>IF(OR(A916="",'Skill Matrix'!G63=""),"",'Skill Matrix'!G63)</f>
        <v/>
      </c>
      <c r="H916">
        <f>IF(A916="","",'Employees'!F9)</f>
        <v/>
      </c>
    </row>
    <row r="917">
      <c r="A917">
        <f>IF(AND('Skill Matrix'!A63&lt;&gt;"",'Skill Matrix'!H5&lt;&gt;""),'Skill Matrix'!A63,"")</f>
        <v/>
      </c>
      <c r="B917">
        <f>IF(A917="","",'Employees'!C9)</f>
        <v/>
      </c>
      <c r="C917">
        <f>IF(A917="","",'Employees'!D9)</f>
        <v/>
      </c>
      <c r="D917">
        <f>IF(A917="","",'Skill Matrix'!C63)</f>
        <v/>
      </c>
      <c r="E917">
        <f>IF(A917="","",'Skill Matrix'!D63)</f>
        <v/>
      </c>
      <c r="F917">
        <f>IF(AND('Skill Matrix'!A63&lt;&gt;"",'Skill Matrix'!H5&lt;&gt;""),'Skill Matrix'!H5,"")</f>
        <v/>
      </c>
      <c r="G917">
        <f>IF(OR(A917="",'Skill Matrix'!H63=""),"",'Skill Matrix'!H63)</f>
        <v/>
      </c>
      <c r="H917">
        <f>IF(A917="","",'Employees'!F9)</f>
        <v/>
      </c>
    </row>
    <row r="918">
      <c r="A918">
        <f>IF(AND('Skill Matrix'!A63&lt;&gt;"",'Skill Matrix'!I5&lt;&gt;""),'Skill Matrix'!A63,"")</f>
        <v/>
      </c>
      <c r="B918">
        <f>IF(A918="","",'Employees'!C9)</f>
        <v/>
      </c>
      <c r="C918">
        <f>IF(A918="","",'Employees'!D9)</f>
        <v/>
      </c>
      <c r="D918">
        <f>IF(A918="","",'Skill Matrix'!C63)</f>
        <v/>
      </c>
      <c r="E918">
        <f>IF(A918="","",'Skill Matrix'!D63)</f>
        <v/>
      </c>
      <c r="F918">
        <f>IF(AND('Skill Matrix'!A63&lt;&gt;"",'Skill Matrix'!I5&lt;&gt;""),'Skill Matrix'!I5,"")</f>
        <v/>
      </c>
      <c r="G918">
        <f>IF(OR(A918="",'Skill Matrix'!I63=""),"",'Skill Matrix'!I63)</f>
        <v/>
      </c>
      <c r="H918">
        <f>IF(A918="","",'Employees'!F9)</f>
        <v/>
      </c>
    </row>
    <row r="919">
      <c r="A919">
        <f>IF(AND('Skill Matrix'!A63&lt;&gt;"",'Skill Matrix'!J5&lt;&gt;""),'Skill Matrix'!A63,"")</f>
        <v/>
      </c>
      <c r="B919">
        <f>IF(A919="","",'Employees'!C9)</f>
        <v/>
      </c>
      <c r="C919">
        <f>IF(A919="","",'Employees'!D9)</f>
        <v/>
      </c>
      <c r="D919">
        <f>IF(A919="","",'Skill Matrix'!C63)</f>
        <v/>
      </c>
      <c r="E919">
        <f>IF(A919="","",'Skill Matrix'!D63)</f>
        <v/>
      </c>
      <c r="F919">
        <f>IF(AND('Skill Matrix'!A63&lt;&gt;"",'Skill Matrix'!J5&lt;&gt;""),'Skill Matrix'!J5,"")</f>
        <v/>
      </c>
      <c r="G919">
        <f>IF(OR(A919="",'Skill Matrix'!J63=""),"",'Skill Matrix'!J63)</f>
        <v/>
      </c>
      <c r="H919">
        <f>IF(A919="","",'Employees'!F9)</f>
        <v/>
      </c>
    </row>
    <row r="920">
      <c r="A920">
        <f>IF(AND('Skill Matrix'!A63&lt;&gt;"",'Skill Matrix'!K5&lt;&gt;""),'Skill Matrix'!A63,"")</f>
        <v/>
      </c>
      <c r="B920">
        <f>IF(A920="","",'Employees'!C9)</f>
        <v/>
      </c>
      <c r="C920">
        <f>IF(A920="","",'Employees'!D9)</f>
        <v/>
      </c>
      <c r="D920">
        <f>IF(A920="","",'Skill Matrix'!C63)</f>
        <v/>
      </c>
      <c r="E920">
        <f>IF(A920="","",'Skill Matrix'!D63)</f>
        <v/>
      </c>
      <c r="F920">
        <f>IF(AND('Skill Matrix'!A63&lt;&gt;"",'Skill Matrix'!K5&lt;&gt;""),'Skill Matrix'!K5,"")</f>
        <v/>
      </c>
      <c r="G920">
        <f>IF(OR(A920="",'Skill Matrix'!K63=""),"",'Skill Matrix'!K63)</f>
        <v/>
      </c>
      <c r="H920">
        <f>IF(A920="","",'Employees'!F9)</f>
        <v/>
      </c>
    </row>
    <row r="921">
      <c r="A921">
        <f>IF(AND('Skill Matrix'!A63&lt;&gt;"",'Skill Matrix'!L5&lt;&gt;""),'Skill Matrix'!A63,"")</f>
        <v/>
      </c>
      <c r="B921">
        <f>IF(A921="","",'Employees'!C9)</f>
        <v/>
      </c>
      <c r="C921">
        <f>IF(A921="","",'Employees'!D9)</f>
        <v/>
      </c>
      <c r="D921">
        <f>IF(A921="","",'Skill Matrix'!C63)</f>
        <v/>
      </c>
      <c r="E921">
        <f>IF(A921="","",'Skill Matrix'!D63)</f>
        <v/>
      </c>
      <c r="F921">
        <f>IF(AND('Skill Matrix'!A63&lt;&gt;"",'Skill Matrix'!L5&lt;&gt;""),'Skill Matrix'!L5,"")</f>
        <v/>
      </c>
      <c r="G921">
        <f>IF(OR(A921="",'Skill Matrix'!L63=""),"",'Skill Matrix'!L63)</f>
        <v/>
      </c>
      <c r="H921">
        <f>IF(A921="","",'Employees'!F9)</f>
        <v/>
      </c>
    </row>
    <row r="922">
      <c r="A922">
        <f>IF(AND('Skill Matrix'!A63&lt;&gt;"",'Skill Matrix'!M5&lt;&gt;""),'Skill Matrix'!A63,"")</f>
        <v/>
      </c>
      <c r="B922">
        <f>IF(A922="","",'Employees'!C9)</f>
        <v/>
      </c>
      <c r="C922">
        <f>IF(A922="","",'Employees'!D9)</f>
        <v/>
      </c>
      <c r="D922">
        <f>IF(A922="","",'Skill Matrix'!C63)</f>
        <v/>
      </c>
      <c r="E922">
        <f>IF(A922="","",'Skill Matrix'!D63)</f>
        <v/>
      </c>
      <c r="F922">
        <f>IF(AND('Skill Matrix'!A63&lt;&gt;"",'Skill Matrix'!M5&lt;&gt;""),'Skill Matrix'!M5,"")</f>
        <v/>
      </c>
      <c r="G922">
        <f>IF(OR(A922="",'Skill Matrix'!M63=""),"",'Skill Matrix'!M63)</f>
        <v/>
      </c>
      <c r="H922">
        <f>IF(A922="","",'Employees'!F9)</f>
        <v/>
      </c>
    </row>
    <row r="923">
      <c r="A923">
        <f>IF(AND('Skill Matrix'!A63&lt;&gt;"",'Skill Matrix'!N5&lt;&gt;""),'Skill Matrix'!A63,"")</f>
        <v/>
      </c>
      <c r="B923">
        <f>IF(A923="","",'Employees'!C9)</f>
        <v/>
      </c>
      <c r="C923">
        <f>IF(A923="","",'Employees'!D9)</f>
        <v/>
      </c>
      <c r="D923">
        <f>IF(A923="","",'Skill Matrix'!C63)</f>
        <v/>
      </c>
      <c r="E923">
        <f>IF(A923="","",'Skill Matrix'!D63)</f>
        <v/>
      </c>
      <c r="F923">
        <f>IF(AND('Skill Matrix'!A63&lt;&gt;"",'Skill Matrix'!N5&lt;&gt;""),'Skill Matrix'!N5,"")</f>
        <v/>
      </c>
      <c r="G923">
        <f>IF(OR(A923="",'Skill Matrix'!N63=""),"",'Skill Matrix'!N63)</f>
        <v/>
      </c>
      <c r="H923">
        <f>IF(A923="","",'Employees'!F9)</f>
        <v/>
      </c>
    </row>
    <row r="924">
      <c r="A924">
        <f>IF(AND('Skill Matrix'!A63&lt;&gt;"",'Skill Matrix'!O5&lt;&gt;""),'Skill Matrix'!A63,"")</f>
        <v/>
      </c>
      <c r="B924">
        <f>IF(A924="","",'Employees'!C9)</f>
        <v/>
      </c>
      <c r="C924">
        <f>IF(A924="","",'Employees'!D9)</f>
        <v/>
      </c>
      <c r="D924">
        <f>IF(A924="","",'Skill Matrix'!C63)</f>
        <v/>
      </c>
      <c r="E924">
        <f>IF(A924="","",'Skill Matrix'!D63)</f>
        <v/>
      </c>
      <c r="F924">
        <f>IF(AND('Skill Matrix'!A63&lt;&gt;"",'Skill Matrix'!O5&lt;&gt;""),'Skill Matrix'!O5,"")</f>
        <v/>
      </c>
      <c r="G924">
        <f>IF(OR(A924="",'Skill Matrix'!O63=""),"",'Skill Matrix'!O63)</f>
        <v/>
      </c>
      <c r="H924">
        <f>IF(A924="","",'Employees'!F9)</f>
        <v/>
      </c>
    </row>
    <row r="925">
      <c r="A925">
        <f>IF(AND('Skill Matrix'!A63&lt;&gt;"",'Skill Matrix'!P5&lt;&gt;""),'Skill Matrix'!A63,"")</f>
        <v/>
      </c>
      <c r="B925">
        <f>IF(A925="","",'Employees'!C9)</f>
        <v/>
      </c>
      <c r="C925">
        <f>IF(A925="","",'Employees'!D9)</f>
        <v/>
      </c>
      <c r="D925">
        <f>IF(A925="","",'Skill Matrix'!C63)</f>
        <v/>
      </c>
      <c r="E925">
        <f>IF(A925="","",'Skill Matrix'!D63)</f>
        <v/>
      </c>
      <c r="F925">
        <f>IF(AND('Skill Matrix'!A63&lt;&gt;"",'Skill Matrix'!P5&lt;&gt;""),'Skill Matrix'!P5,"")</f>
        <v/>
      </c>
      <c r="G925">
        <f>IF(OR(A925="",'Skill Matrix'!P63=""),"",'Skill Matrix'!P63)</f>
        <v/>
      </c>
      <c r="H925">
        <f>IF(A925="","",'Employees'!F9)</f>
        <v/>
      </c>
    </row>
    <row r="926">
      <c r="A926">
        <f>IF(AND('Skill Matrix'!A63&lt;&gt;"",'Skill Matrix'!Q5&lt;&gt;""),'Skill Matrix'!A63,"")</f>
        <v/>
      </c>
      <c r="B926">
        <f>IF(A926="","",'Employees'!C9)</f>
        <v/>
      </c>
      <c r="C926">
        <f>IF(A926="","",'Employees'!D9)</f>
        <v/>
      </c>
      <c r="D926">
        <f>IF(A926="","",'Skill Matrix'!C63)</f>
        <v/>
      </c>
      <c r="E926">
        <f>IF(A926="","",'Skill Matrix'!D63)</f>
        <v/>
      </c>
      <c r="F926">
        <f>IF(AND('Skill Matrix'!A63&lt;&gt;"",'Skill Matrix'!Q5&lt;&gt;""),'Skill Matrix'!Q5,"")</f>
        <v/>
      </c>
      <c r="G926">
        <f>IF(OR(A926="",'Skill Matrix'!Q63=""),"",'Skill Matrix'!Q63)</f>
        <v/>
      </c>
      <c r="H926">
        <f>IF(A926="","",'Employees'!F9)</f>
        <v/>
      </c>
    </row>
    <row r="927">
      <c r="A927">
        <f>IF(AND('Skill Matrix'!A63&lt;&gt;"",'Skill Matrix'!R5&lt;&gt;""),'Skill Matrix'!A63,"")</f>
        <v/>
      </c>
      <c r="B927">
        <f>IF(A927="","",'Employees'!C9)</f>
        <v/>
      </c>
      <c r="C927">
        <f>IF(A927="","",'Employees'!D9)</f>
        <v/>
      </c>
      <c r="D927">
        <f>IF(A927="","",'Skill Matrix'!C63)</f>
        <v/>
      </c>
      <c r="E927">
        <f>IF(A927="","",'Skill Matrix'!D63)</f>
        <v/>
      </c>
      <c r="F927">
        <f>IF(AND('Skill Matrix'!A63&lt;&gt;"",'Skill Matrix'!R5&lt;&gt;""),'Skill Matrix'!R5,"")</f>
        <v/>
      </c>
      <c r="G927">
        <f>IF(OR(A927="",'Skill Matrix'!R63=""),"",'Skill Matrix'!R63)</f>
        <v/>
      </c>
      <c r="H927">
        <f>IF(A927="","",'Employees'!F9)</f>
        <v/>
      </c>
    </row>
    <row r="928">
      <c r="A928">
        <f>IF(AND('Skill Matrix'!A63&lt;&gt;"",'Skill Matrix'!S5&lt;&gt;""),'Skill Matrix'!A63,"")</f>
        <v/>
      </c>
      <c r="B928">
        <f>IF(A928="","",'Employees'!C9)</f>
        <v/>
      </c>
      <c r="C928">
        <f>IF(A928="","",'Employees'!D9)</f>
        <v/>
      </c>
      <c r="D928">
        <f>IF(A928="","",'Skill Matrix'!C63)</f>
        <v/>
      </c>
      <c r="E928">
        <f>IF(A928="","",'Skill Matrix'!D63)</f>
        <v/>
      </c>
      <c r="F928">
        <f>IF(AND('Skill Matrix'!A63&lt;&gt;"",'Skill Matrix'!S5&lt;&gt;""),'Skill Matrix'!S5,"")</f>
        <v/>
      </c>
      <c r="G928">
        <f>IF(OR(A928="",'Skill Matrix'!S63=""),"",'Skill Matrix'!S63)</f>
        <v/>
      </c>
      <c r="H928">
        <f>IF(A928="","",'Employees'!F9)</f>
        <v/>
      </c>
    </row>
    <row r="929">
      <c r="A929">
        <f>IF(AND('Skill Matrix'!A63&lt;&gt;"",'Skill Matrix'!T5&lt;&gt;""),'Skill Matrix'!A63,"")</f>
        <v/>
      </c>
      <c r="B929">
        <f>IF(A929="","",'Employees'!C9)</f>
        <v/>
      </c>
      <c r="C929">
        <f>IF(A929="","",'Employees'!D9)</f>
        <v/>
      </c>
      <c r="D929">
        <f>IF(A929="","",'Skill Matrix'!C63)</f>
        <v/>
      </c>
      <c r="E929">
        <f>IF(A929="","",'Skill Matrix'!D63)</f>
        <v/>
      </c>
      <c r="F929">
        <f>IF(AND('Skill Matrix'!A63&lt;&gt;"",'Skill Matrix'!T5&lt;&gt;""),'Skill Matrix'!T5,"")</f>
        <v/>
      </c>
      <c r="G929">
        <f>IF(OR(A929="",'Skill Matrix'!T63=""),"",'Skill Matrix'!T63)</f>
        <v/>
      </c>
      <c r="H929">
        <f>IF(A929="","",'Employees'!F9)</f>
        <v/>
      </c>
    </row>
    <row r="930">
      <c r="A930">
        <f>IF(AND('Skill Matrix'!A64&lt;&gt;"",'Skill Matrix'!E5&lt;&gt;""),'Skill Matrix'!A64,"")</f>
        <v/>
      </c>
      <c r="B930">
        <f>IF(A930="","",'Employees'!C9)</f>
        <v/>
      </c>
      <c r="C930">
        <f>IF(A930="","",'Employees'!D9)</f>
        <v/>
      </c>
      <c r="D930">
        <f>IF(A930="","",'Skill Matrix'!C64)</f>
        <v/>
      </c>
      <c r="E930">
        <f>IF(A930="","",'Skill Matrix'!D64)</f>
        <v/>
      </c>
      <c r="F930">
        <f>IF(AND('Skill Matrix'!A64&lt;&gt;"",'Skill Matrix'!E5&lt;&gt;""),'Skill Matrix'!E5,"")</f>
        <v/>
      </c>
      <c r="G930">
        <f>IF(OR(A930="",'Skill Matrix'!E64=""),"",'Skill Matrix'!E64)</f>
        <v/>
      </c>
      <c r="H930">
        <f>IF(A930="","",'Employees'!F9)</f>
        <v/>
      </c>
    </row>
    <row r="931">
      <c r="A931">
        <f>IF(AND('Skill Matrix'!A64&lt;&gt;"",'Skill Matrix'!F5&lt;&gt;""),'Skill Matrix'!A64,"")</f>
        <v/>
      </c>
      <c r="B931">
        <f>IF(A931="","",'Employees'!C9)</f>
        <v/>
      </c>
      <c r="C931">
        <f>IF(A931="","",'Employees'!D9)</f>
        <v/>
      </c>
      <c r="D931">
        <f>IF(A931="","",'Skill Matrix'!C64)</f>
        <v/>
      </c>
      <c r="E931">
        <f>IF(A931="","",'Skill Matrix'!D64)</f>
        <v/>
      </c>
      <c r="F931">
        <f>IF(AND('Skill Matrix'!A64&lt;&gt;"",'Skill Matrix'!F5&lt;&gt;""),'Skill Matrix'!F5,"")</f>
        <v/>
      </c>
      <c r="G931">
        <f>IF(OR(A931="",'Skill Matrix'!F64=""),"",'Skill Matrix'!F64)</f>
        <v/>
      </c>
      <c r="H931">
        <f>IF(A931="","",'Employees'!F9)</f>
        <v/>
      </c>
    </row>
    <row r="932">
      <c r="A932">
        <f>IF(AND('Skill Matrix'!A64&lt;&gt;"",'Skill Matrix'!G5&lt;&gt;""),'Skill Matrix'!A64,"")</f>
        <v/>
      </c>
      <c r="B932">
        <f>IF(A932="","",'Employees'!C9)</f>
        <v/>
      </c>
      <c r="C932">
        <f>IF(A932="","",'Employees'!D9)</f>
        <v/>
      </c>
      <c r="D932">
        <f>IF(A932="","",'Skill Matrix'!C64)</f>
        <v/>
      </c>
      <c r="E932">
        <f>IF(A932="","",'Skill Matrix'!D64)</f>
        <v/>
      </c>
      <c r="F932">
        <f>IF(AND('Skill Matrix'!A64&lt;&gt;"",'Skill Matrix'!G5&lt;&gt;""),'Skill Matrix'!G5,"")</f>
        <v/>
      </c>
      <c r="G932">
        <f>IF(OR(A932="",'Skill Matrix'!G64=""),"",'Skill Matrix'!G64)</f>
        <v/>
      </c>
      <c r="H932">
        <f>IF(A932="","",'Employees'!F9)</f>
        <v/>
      </c>
    </row>
    <row r="933">
      <c r="A933">
        <f>IF(AND('Skill Matrix'!A64&lt;&gt;"",'Skill Matrix'!H5&lt;&gt;""),'Skill Matrix'!A64,"")</f>
        <v/>
      </c>
      <c r="B933">
        <f>IF(A933="","",'Employees'!C9)</f>
        <v/>
      </c>
      <c r="C933">
        <f>IF(A933="","",'Employees'!D9)</f>
        <v/>
      </c>
      <c r="D933">
        <f>IF(A933="","",'Skill Matrix'!C64)</f>
        <v/>
      </c>
      <c r="E933">
        <f>IF(A933="","",'Skill Matrix'!D64)</f>
        <v/>
      </c>
      <c r="F933">
        <f>IF(AND('Skill Matrix'!A64&lt;&gt;"",'Skill Matrix'!H5&lt;&gt;""),'Skill Matrix'!H5,"")</f>
        <v/>
      </c>
      <c r="G933">
        <f>IF(OR(A933="",'Skill Matrix'!H64=""),"",'Skill Matrix'!H64)</f>
        <v/>
      </c>
      <c r="H933">
        <f>IF(A933="","",'Employees'!F9)</f>
        <v/>
      </c>
    </row>
    <row r="934">
      <c r="A934">
        <f>IF(AND('Skill Matrix'!A64&lt;&gt;"",'Skill Matrix'!I5&lt;&gt;""),'Skill Matrix'!A64,"")</f>
        <v/>
      </c>
      <c r="B934">
        <f>IF(A934="","",'Employees'!C9)</f>
        <v/>
      </c>
      <c r="C934">
        <f>IF(A934="","",'Employees'!D9)</f>
        <v/>
      </c>
      <c r="D934">
        <f>IF(A934="","",'Skill Matrix'!C64)</f>
        <v/>
      </c>
      <c r="E934">
        <f>IF(A934="","",'Skill Matrix'!D64)</f>
        <v/>
      </c>
      <c r="F934">
        <f>IF(AND('Skill Matrix'!A64&lt;&gt;"",'Skill Matrix'!I5&lt;&gt;""),'Skill Matrix'!I5,"")</f>
        <v/>
      </c>
      <c r="G934">
        <f>IF(OR(A934="",'Skill Matrix'!I64=""),"",'Skill Matrix'!I64)</f>
        <v/>
      </c>
      <c r="H934">
        <f>IF(A934="","",'Employees'!F9)</f>
        <v/>
      </c>
    </row>
    <row r="935">
      <c r="A935">
        <f>IF(AND('Skill Matrix'!A64&lt;&gt;"",'Skill Matrix'!J5&lt;&gt;""),'Skill Matrix'!A64,"")</f>
        <v/>
      </c>
      <c r="B935">
        <f>IF(A935="","",'Employees'!C9)</f>
        <v/>
      </c>
      <c r="C935">
        <f>IF(A935="","",'Employees'!D9)</f>
        <v/>
      </c>
      <c r="D935">
        <f>IF(A935="","",'Skill Matrix'!C64)</f>
        <v/>
      </c>
      <c r="E935">
        <f>IF(A935="","",'Skill Matrix'!D64)</f>
        <v/>
      </c>
      <c r="F935">
        <f>IF(AND('Skill Matrix'!A64&lt;&gt;"",'Skill Matrix'!J5&lt;&gt;""),'Skill Matrix'!J5,"")</f>
        <v/>
      </c>
      <c r="G935">
        <f>IF(OR(A935="",'Skill Matrix'!J64=""),"",'Skill Matrix'!J64)</f>
        <v/>
      </c>
      <c r="H935">
        <f>IF(A935="","",'Employees'!F9)</f>
        <v/>
      </c>
    </row>
    <row r="936">
      <c r="A936">
        <f>IF(AND('Skill Matrix'!A64&lt;&gt;"",'Skill Matrix'!K5&lt;&gt;""),'Skill Matrix'!A64,"")</f>
        <v/>
      </c>
      <c r="B936">
        <f>IF(A936="","",'Employees'!C9)</f>
        <v/>
      </c>
      <c r="C936">
        <f>IF(A936="","",'Employees'!D9)</f>
        <v/>
      </c>
      <c r="D936">
        <f>IF(A936="","",'Skill Matrix'!C64)</f>
        <v/>
      </c>
      <c r="E936">
        <f>IF(A936="","",'Skill Matrix'!D64)</f>
        <v/>
      </c>
      <c r="F936">
        <f>IF(AND('Skill Matrix'!A64&lt;&gt;"",'Skill Matrix'!K5&lt;&gt;""),'Skill Matrix'!K5,"")</f>
        <v/>
      </c>
      <c r="G936">
        <f>IF(OR(A936="",'Skill Matrix'!K64=""),"",'Skill Matrix'!K64)</f>
        <v/>
      </c>
      <c r="H936">
        <f>IF(A936="","",'Employees'!F9)</f>
        <v/>
      </c>
    </row>
    <row r="937">
      <c r="A937">
        <f>IF(AND('Skill Matrix'!A64&lt;&gt;"",'Skill Matrix'!L5&lt;&gt;""),'Skill Matrix'!A64,"")</f>
        <v/>
      </c>
      <c r="B937">
        <f>IF(A937="","",'Employees'!C9)</f>
        <v/>
      </c>
      <c r="C937">
        <f>IF(A937="","",'Employees'!D9)</f>
        <v/>
      </c>
      <c r="D937">
        <f>IF(A937="","",'Skill Matrix'!C64)</f>
        <v/>
      </c>
      <c r="E937">
        <f>IF(A937="","",'Skill Matrix'!D64)</f>
        <v/>
      </c>
      <c r="F937">
        <f>IF(AND('Skill Matrix'!A64&lt;&gt;"",'Skill Matrix'!L5&lt;&gt;""),'Skill Matrix'!L5,"")</f>
        <v/>
      </c>
      <c r="G937">
        <f>IF(OR(A937="",'Skill Matrix'!L64=""),"",'Skill Matrix'!L64)</f>
        <v/>
      </c>
      <c r="H937">
        <f>IF(A937="","",'Employees'!F9)</f>
        <v/>
      </c>
    </row>
    <row r="938">
      <c r="A938">
        <f>IF(AND('Skill Matrix'!A64&lt;&gt;"",'Skill Matrix'!M5&lt;&gt;""),'Skill Matrix'!A64,"")</f>
        <v/>
      </c>
      <c r="B938">
        <f>IF(A938="","",'Employees'!C9)</f>
        <v/>
      </c>
      <c r="C938">
        <f>IF(A938="","",'Employees'!D9)</f>
        <v/>
      </c>
      <c r="D938">
        <f>IF(A938="","",'Skill Matrix'!C64)</f>
        <v/>
      </c>
      <c r="E938">
        <f>IF(A938="","",'Skill Matrix'!D64)</f>
        <v/>
      </c>
      <c r="F938">
        <f>IF(AND('Skill Matrix'!A64&lt;&gt;"",'Skill Matrix'!M5&lt;&gt;""),'Skill Matrix'!M5,"")</f>
        <v/>
      </c>
      <c r="G938">
        <f>IF(OR(A938="",'Skill Matrix'!M64=""),"",'Skill Matrix'!M64)</f>
        <v/>
      </c>
      <c r="H938">
        <f>IF(A938="","",'Employees'!F9)</f>
        <v/>
      </c>
    </row>
    <row r="939">
      <c r="A939">
        <f>IF(AND('Skill Matrix'!A64&lt;&gt;"",'Skill Matrix'!N5&lt;&gt;""),'Skill Matrix'!A64,"")</f>
        <v/>
      </c>
      <c r="B939">
        <f>IF(A939="","",'Employees'!C9)</f>
        <v/>
      </c>
      <c r="C939">
        <f>IF(A939="","",'Employees'!D9)</f>
        <v/>
      </c>
      <c r="D939">
        <f>IF(A939="","",'Skill Matrix'!C64)</f>
        <v/>
      </c>
      <c r="E939">
        <f>IF(A939="","",'Skill Matrix'!D64)</f>
        <v/>
      </c>
      <c r="F939">
        <f>IF(AND('Skill Matrix'!A64&lt;&gt;"",'Skill Matrix'!N5&lt;&gt;""),'Skill Matrix'!N5,"")</f>
        <v/>
      </c>
      <c r="G939">
        <f>IF(OR(A939="",'Skill Matrix'!N64=""),"",'Skill Matrix'!N64)</f>
        <v/>
      </c>
      <c r="H939">
        <f>IF(A939="","",'Employees'!F9)</f>
        <v/>
      </c>
    </row>
    <row r="940">
      <c r="A940">
        <f>IF(AND('Skill Matrix'!A64&lt;&gt;"",'Skill Matrix'!O5&lt;&gt;""),'Skill Matrix'!A64,"")</f>
        <v/>
      </c>
      <c r="B940">
        <f>IF(A940="","",'Employees'!C9)</f>
        <v/>
      </c>
      <c r="C940">
        <f>IF(A940="","",'Employees'!D9)</f>
        <v/>
      </c>
      <c r="D940">
        <f>IF(A940="","",'Skill Matrix'!C64)</f>
        <v/>
      </c>
      <c r="E940">
        <f>IF(A940="","",'Skill Matrix'!D64)</f>
        <v/>
      </c>
      <c r="F940">
        <f>IF(AND('Skill Matrix'!A64&lt;&gt;"",'Skill Matrix'!O5&lt;&gt;""),'Skill Matrix'!O5,"")</f>
        <v/>
      </c>
      <c r="G940">
        <f>IF(OR(A940="",'Skill Matrix'!O64=""),"",'Skill Matrix'!O64)</f>
        <v/>
      </c>
      <c r="H940">
        <f>IF(A940="","",'Employees'!F9)</f>
        <v/>
      </c>
    </row>
    <row r="941">
      <c r="A941">
        <f>IF(AND('Skill Matrix'!A64&lt;&gt;"",'Skill Matrix'!P5&lt;&gt;""),'Skill Matrix'!A64,"")</f>
        <v/>
      </c>
      <c r="B941">
        <f>IF(A941="","",'Employees'!C9)</f>
        <v/>
      </c>
      <c r="C941">
        <f>IF(A941="","",'Employees'!D9)</f>
        <v/>
      </c>
      <c r="D941">
        <f>IF(A941="","",'Skill Matrix'!C64)</f>
        <v/>
      </c>
      <c r="E941">
        <f>IF(A941="","",'Skill Matrix'!D64)</f>
        <v/>
      </c>
      <c r="F941">
        <f>IF(AND('Skill Matrix'!A64&lt;&gt;"",'Skill Matrix'!P5&lt;&gt;""),'Skill Matrix'!P5,"")</f>
        <v/>
      </c>
      <c r="G941">
        <f>IF(OR(A941="",'Skill Matrix'!P64=""),"",'Skill Matrix'!P64)</f>
        <v/>
      </c>
      <c r="H941">
        <f>IF(A941="","",'Employees'!F9)</f>
        <v/>
      </c>
    </row>
    <row r="942">
      <c r="A942">
        <f>IF(AND('Skill Matrix'!A64&lt;&gt;"",'Skill Matrix'!Q5&lt;&gt;""),'Skill Matrix'!A64,"")</f>
        <v/>
      </c>
      <c r="B942">
        <f>IF(A942="","",'Employees'!C9)</f>
        <v/>
      </c>
      <c r="C942">
        <f>IF(A942="","",'Employees'!D9)</f>
        <v/>
      </c>
      <c r="D942">
        <f>IF(A942="","",'Skill Matrix'!C64)</f>
        <v/>
      </c>
      <c r="E942">
        <f>IF(A942="","",'Skill Matrix'!D64)</f>
        <v/>
      </c>
      <c r="F942">
        <f>IF(AND('Skill Matrix'!A64&lt;&gt;"",'Skill Matrix'!Q5&lt;&gt;""),'Skill Matrix'!Q5,"")</f>
        <v/>
      </c>
      <c r="G942">
        <f>IF(OR(A942="",'Skill Matrix'!Q64=""),"",'Skill Matrix'!Q64)</f>
        <v/>
      </c>
      <c r="H942">
        <f>IF(A942="","",'Employees'!F9)</f>
        <v/>
      </c>
    </row>
    <row r="943">
      <c r="A943">
        <f>IF(AND('Skill Matrix'!A64&lt;&gt;"",'Skill Matrix'!R5&lt;&gt;""),'Skill Matrix'!A64,"")</f>
        <v/>
      </c>
      <c r="B943">
        <f>IF(A943="","",'Employees'!C9)</f>
        <v/>
      </c>
      <c r="C943">
        <f>IF(A943="","",'Employees'!D9)</f>
        <v/>
      </c>
      <c r="D943">
        <f>IF(A943="","",'Skill Matrix'!C64)</f>
        <v/>
      </c>
      <c r="E943">
        <f>IF(A943="","",'Skill Matrix'!D64)</f>
        <v/>
      </c>
      <c r="F943">
        <f>IF(AND('Skill Matrix'!A64&lt;&gt;"",'Skill Matrix'!R5&lt;&gt;""),'Skill Matrix'!R5,"")</f>
        <v/>
      </c>
      <c r="G943">
        <f>IF(OR(A943="",'Skill Matrix'!R64=""),"",'Skill Matrix'!R64)</f>
        <v/>
      </c>
      <c r="H943">
        <f>IF(A943="","",'Employees'!F9)</f>
        <v/>
      </c>
    </row>
    <row r="944">
      <c r="A944">
        <f>IF(AND('Skill Matrix'!A64&lt;&gt;"",'Skill Matrix'!S5&lt;&gt;""),'Skill Matrix'!A64,"")</f>
        <v/>
      </c>
      <c r="B944">
        <f>IF(A944="","",'Employees'!C9)</f>
        <v/>
      </c>
      <c r="C944">
        <f>IF(A944="","",'Employees'!D9)</f>
        <v/>
      </c>
      <c r="D944">
        <f>IF(A944="","",'Skill Matrix'!C64)</f>
        <v/>
      </c>
      <c r="E944">
        <f>IF(A944="","",'Skill Matrix'!D64)</f>
        <v/>
      </c>
      <c r="F944">
        <f>IF(AND('Skill Matrix'!A64&lt;&gt;"",'Skill Matrix'!S5&lt;&gt;""),'Skill Matrix'!S5,"")</f>
        <v/>
      </c>
      <c r="G944">
        <f>IF(OR(A944="",'Skill Matrix'!S64=""),"",'Skill Matrix'!S64)</f>
        <v/>
      </c>
      <c r="H944">
        <f>IF(A944="","",'Employees'!F9)</f>
        <v/>
      </c>
    </row>
    <row r="945">
      <c r="A945">
        <f>IF(AND('Skill Matrix'!A64&lt;&gt;"",'Skill Matrix'!T5&lt;&gt;""),'Skill Matrix'!A64,"")</f>
        <v/>
      </c>
      <c r="B945">
        <f>IF(A945="","",'Employees'!C9)</f>
        <v/>
      </c>
      <c r="C945">
        <f>IF(A945="","",'Employees'!D9)</f>
        <v/>
      </c>
      <c r="D945">
        <f>IF(A945="","",'Skill Matrix'!C64)</f>
        <v/>
      </c>
      <c r="E945">
        <f>IF(A945="","",'Skill Matrix'!D64)</f>
        <v/>
      </c>
      <c r="F945">
        <f>IF(AND('Skill Matrix'!A64&lt;&gt;"",'Skill Matrix'!T5&lt;&gt;""),'Skill Matrix'!T5,"")</f>
        <v/>
      </c>
      <c r="G945">
        <f>IF(OR(A945="",'Skill Matrix'!T64=""),"",'Skill Matrix'!T64)</f>
        <v/>
      </c>
      <c r="H945">
        <f>IF(A945="","",'Employees'!F9)</f>
        <v/>
      </c>
    </row>
    <row r="946">
      <c r="A946">
        <f>IF(AND('Skill Matrix'!A65&lt;&gt;"",'Skill Matrix'!E5&lt;&gt;""),'Skill Matrix'!A65,"")</f>
        <v/>
      </c>
      <c r="B946">
        <f>IF(A946="","",'Employees'!C9)</f>
        <v/>
      </c>
      <c r="C946">
        <f>IF(A946="","",'Employees'!D9)</f>
        <v/>
      </c>
      <c r="D946">
        <f>IF(A946="","",'Skill Matrix'!C65)</f>
        <v/>
      </c>
      <c r="E946">
        <f>IF(A946="","",'Skill Matrix'!D65)</f>
        <v/>
      </c>
      <c r="F946">
        <f>IF(AND('Skill Matrix'!A65&lt;&gt;"",'Skill Matrix'!E5&lt;&gt;""),'Skill Matrix'!E5,"")</f>
        <v/>
      </c>
      <c r="G946">
        <f>IF(OR(A946="",'Skill Matrix'!E65=""),"",'Skill Matrix'!E65)</f>
        <v/>
      </c>
      <c r="H946">
        <f>IF(A946="","",'Employees'!F9)</f>
        <v/>
      </c>
    </row>
    <row r="947">
      <c r="A947">
        <f>IF(AND('Skill Matrix'!A65&lt;&gt;"",'Skill Matrix'!F5&lt;&gt;""),'Skill Matrix'!A65,"")</f>
        <v/>
      </c>
      <c r="B947">
        <f>IF(A947="","",'Employees'!C9)</f>
        <v/>
      </c>
      <c r="C947">
        <f>IF(A947="","",'Employees'!D9)</f>
        <v/>
      </c>
      <c r="D947">
        <f>IF(A947="","",'Skill Matrix'!C65)</f>
        <v/>
      </c>
      <c r="E947">
        <f>IF(A947="","",'Skill Matrix'!D65)</f>
        <v/>
      </c>
      <c r="F947">
        <f>IF(AND('Skill Matrix'!A65&lt;&gt;"",'Skill Matrix'!F5&lt;&gt;""),'Skill Matrix'!F5,"")</f>
        <v/>
      </c>
      <c r="G947">
        <f>IF(OR(A947="",'Skill Matrix'!F65=""),"",'Skill Matrix'!F65)</f>
        <v/>
      </c>
      <c r="H947">
        <f>IF(A947="","",'Employees'!F9)</f>
        <v/>
      </c>
    </row>
    <row r="948">
      <c r="A948">
        <f>IF(AND('Skill Matrix'!A65&lt;&gt;"",'Skill Matrix'!G5&lt;&gt;""),'Skill Matrix'!A65,"")</f>
        <v/>
      </c>
      <c r="B948">
        <f>IF(A948="","",'Employees'!C9)</f>
        <v/>
      </c>
      <c r="C948">
        <f>IF(A948="","",'Employees'!D9)</f>
        <v/>
      </c>
      <c r="D948">
        <f>IF(A948="","",'Skill Matrix'!C65)</f>
        <v/>
      </c>
      <c r="E948">
        <f>IF(A948="","",'Skill Matrix'!D65)</f>
        <v/>
      </c>
      <c r="F948">
        <f>IF(AND('Skill Matrix'!A65&lt;&gt;"",'Skill Matrix'!G5&lt;&gt;""),'Skill Matrix'!G5,"")</f>
        <v/>
      </c>
      <c r="G948">
        <f>IF(OR(A948="",'Skill Matrix'!G65=""),"",'Skill Matrix'!G65)</f>
        <v/>
      </c>
      <c r="H948">
        <f>IF(A948="","",'Employees'!F9)</f>
        <v/>
      </c>
    </row>
    <row r="949">
      <c r="A949">
        <f>IF(AND('Skill Matrix'!A65&lt;&gt;"",'Skill Matrix'!H5&lt;&gt;""),'Skill Matrix'!A65,"")</f>
        <v/>
      </c>
      <c r="B949">
        <f>IF(A949="","",'Employees'!C9)</f>
        <v/>
      </c>
      <c r="C949">
        <f>IF(A949="","",'Employees'!D9)</f>
        <v/>
      </c>
      <c r="D949">
        <f>IF(A949="","",'Skill Matrix'!C65)</f>
        <v/>
      </c>
      <c r="E949">
        <f>IF(A949="","",'Skill Matrix'!D65)</f>
        <v/>
      </c>
      <c r="F949">
        <f>IF(AND('Skill Matrix'!A65&lt;&gt;"",'Skill Matrix'!H5&lt;&gt;""),'Skill Matrix'!H5,"")</f>
        <v/>
      </c>
      <c r="G949">
        <f>IF(OR(A949="",'Skill Matrix'!H65=""),"",'Skill Matrix'!H65)</f>
        <v/>
      </c>
      <c r="H949">
        <f>IF(A949="","",'Employees'!F9)</f>
        <v/>
      </c>
    </row>
    <row r="950">
      <c r="A950">
        <f>IF(AND('Skill Matrix'!A65&lt;&gt;"",'Skill Matrix'!I5&lt;&gt;""),'Skill Matrix'!A65,"")</f>
        <v/>
      </c>
      <c r="B950">
        <f>IF(A950="","",'Employees'!C9)</f>
        <v/>
      </c>
      <c r="C950">
        <f>IF(A950="","",'Employees'!D9)</f>
        <v/>
      </c>
      <c r="D950">
        <f>IF(A950="","",'Skill Matrix'!C65)</f>
        <v/>
      </c>
      <c r="E950">
        <f>IF(A950="","",'Skill Matrix'!D65)</f>
        <v/>
      </c>
      <c r="F950">
        <f>IF(AND('Skill Matrix'!A65&lt;&gt;"",'Skill Matrix'!I5&lt;&gt;""),'Skill Matrix'!I5,"")</f>
        <v/>
      </c>
      <c r="G950">
        <f>IF(OR(A950="",'Skill Matrix'!I65=""),"",'Skill Matrix'!I65)</f>
        <v/>
      </c>
      <c r="H950">
        <f>IF(A950="","",'Employees'!F9)</f>
        <v/>
      </c>
    </row>
    <row r="951">
      <c r="A951">
        <f>IF(AND('Skill Matrix'!A65&lt;&gt;"",'Skill Matrix'!J5&lt;&gt;""),'Skill Matrix'!A65,"")</f>
        <v/>
      </c>
      <c r="B951">
        <f>IF(A951="","",'Employees'!C9)</f>
        <v/>
      </c>
      <c r="C951">
        <f>IF(A951="","",'Employees'!D9)</f>
        <v/>
      </c>
      <c r="D951">
        <f>IF(A951="","",'Skill Matrix'!C65)</f>
        <v/>
      </c>
      <c r="E951">
        <f>IF(A951="","",'Skill Matrix'!D65)</f>
        <v/>
      </c>
      <c r="F951">
        <f>IF(AND('Skill Matrix'!A65&lt;&gt;"",'Skill Matrix'!J5&lt;&gt;""),'Skill Matrix'!J5,"")</f>
        <v/>
      </c>
      <c r="G951">
        <f>IF(OR(A951="",'Skill Matrix'!J65=""),"",'Skill Matrix'!J65)</f>
        <v/>
      </c>
      <c r="H951">
        <f>IF(A951="","",'Employees'!F9)</f>
        <v/>
      </c>
    </row>
    <row r="952">
      <c r="A952">
        <f>IF(AND('Skill Matrix'!A65&lt;&gt;"",'Skill Matrix'!K5&lt;&gt;""),'Skill Matrix'!A65,"")</f>
        <v/>
      </c>
      <c r="B952">
        <f>IF(A952="","",'Employees'!C9)</f>
        <v/>
      </c>
      <c r="C952">
        <f>IF(A952="","",'Employees'!D9)</f>
        <v/>
      </c>
      <c r="D952">
        <f>IF(A952="","",'Skill Matrix'!C65)</f>
        <v/>
      </c>
      <c r="E952">
        <f>IF(A952="","",'Skill Matrix'!D65)</f>
        <v/>
      </c>
      <c r="F952">
        <f>IF(AND('Skill Matrix'!A65&lt;&gt;"",'Skill Matrix'!K5&lt;&gt;""),'Skill Matrix'!K5,"")</f>
        <v/>
      </c>
      <c r="G952">
        <f>IF(OR(A952="",'Skill Matrix'!K65=""),"",'Skill Matrix'!K65)</f>
        <v/>
      </c>
      <c r="H952">
        <f>IF(A952="","",'Employees'!F9)</f>
        <v/>
      </c>
    </row>
    <row r="953">
      <c r="A953">
        <f>IF(AND('Skill Matrix'!A65&lt;&gt;"",'Skill Matrix'!L5&lt;&gt;""),'Skill Matrix'!A65,"")</f>
        <v/>
      </c>
      <c r="B953">
        <f>IF(A953="","",'Employees'!C9)</f>
        <v/>
      </c>
      <c r="C953">
        <f>IF(A953="","",'Employees'!D9)</f>
        <v/>
      </c>
      <c r="D953">
        <f>IF(A953="","",'Skill Matrix'!C65)</f>
        <v/>
      </c>
      <c r="E953">
        <f>IF(A953="","",'Skill Matrix'!D65)</f>
        <v/>
      </c>
      <c r="F953">
        <f>IF(AND('Skill Matrix'!A65&lt;&gt;"",'Skill Matrix'!L5&lt;&gt;""),'Skill Matrix'!L5,"")</f>
        <v/>
      </c>
      <c r="G953">
        <f>IF(OR(A953="",'Skill Matrix'!L65=""),"",'Skill Matrix'!L65)</f>
        <v/>
      </c>
      <c r="H953">
        <f>IF(A953="","",'Employees'!F9)</f>
        <v/>
      </c>
    </row>
    <row r="954">
      <c r="A954">
        <f>IF(AND('Skill Matrix'!A65&lt;&gt;"",'Skill Matrix'!M5&lt;&gt;""),'Skill Matrix'!A65,"")</f>
        <v/>
      </c>
      <c r="B954">
        <f>IF(A954="","",'Employees'!C9)</f>
        <v/>
      </c>
      <c r="C954">
        <f>IF(A954="","",'Employees'!D9)</f>
        <v/>
      </c>
      <c r="D954">
        <f>IF(A954="","",'Skill Matrix'!C65)</f>
        <v/>
      </c>
      <c r="E954">
        <f>IF(A954="","",'Skill Matrix'!D65)</f>
        <v/>
      </c>
      <c r="F954">
        <f>IF(AND('Skill Matrix'!A65&lt;&gt;"",'Skill Matrix'!M5&lt;&gt;""),'Skill Matrix'!M5,"")</f>
        <v/>
      </c>
      <c r="G954">
        <f>IF(OR(A954="",'Skill Matrix'!M65=""),"",'Skill Matrix'!M65)</f>
        <v/>
      </c>
      <c r="H954">
        <f>IF(A954="","",'Employees'!F9)</f>
        <v/>
      </c>
    </row>
    <row r="955">
      <c r="A955">
        <f>IF(AND('Skill Matrix'!A65&lt;&gt;"",'Skill Matrix'!N5&lt;&gt;""),'Skill Matrix'!A65,"")</f>
        <v/>
      </c>
      <c r="B955">
        <f>IF(A955="","",'Employees'!C9)</f>
        <v/>
      </c>
      <c r="C955">
        <f>IF(A955="","",'Employees'!D9)</f>
        <v/>
      </c>
      <c r="D955">
        <f>IF(A955="","",'Skill Matrix'!C65)</f>
        <v/>
      </c>
      <c r="E955">
        <f>IF(A955="","",'Skill Matrix'!D65)</f>
        <v/>
      </c>
      <c r="F955">
        <f>IF(AND('Skill Matrix'!A65&lt;&gt;"",'Skill Matrix'!N5&lt;&gt;""),'Skill Matrix'!N5,"")</f>
        <v/>
      </c>
      <c r="G955">
        <f>IF(OR(A955="",'Skill Matrix'!N65=""),"",'Skill Matrix'!N65)</f>
        <v/>
      </c>
      <c r="H955">
        <f>IF(A955="","",'Employees'!F9)</f>
        <v/>
      </c>
    </row>
    <row r="956">
      <c r="A956">
        <f>IF(AND('Skill Matrix'!A65&lt;&gt;"",'Skill Matrix'!O5&lt;&gt;""),'Skill Matrix'!A65,"")</f>
        <v/>
      </c>
      <c r="B956">
        <f>IF(A956="","",'Employees'!C9)</f>
        <v/>
      </c>
      <c r="C956">
        <f>IF(A956="","",'Employees'!D9)</f>
        <v/>
      </c>
      <c r="D956">
        <f>IF(A956="","",'Skill Matrix'!C65)</f>
        <v/>
      </c>
      <c r="E956">
        <f>IF(A956="","",'Skill Matrix'!D65)</f>
        <v/>
      </c>
      <c r="F956">
        <f>IF(AND('Skill Matrix'!A65&lt;&gt;"",'Skill Matrix'!O5&lt;&gt;""),'Skill Matrix'!O5,"")</f>
        <v/>
      </c>
      <c r="G956">
        <f>IF(OR(A956="",'Skill Matrix'!O65=""),"",'Skill Matrix'!O65)</f>
        <v/>
      </c>
      <c r="H956">
        <f>IF(A956="","",'Employees'!F9)</f>
        <v/>
      </c>
    </row>
    <row r="957">
      <c r="A957">
        <f>IF(AND('Skill Matrix'!A65&lt;&gt;"",'Skill Matrix'!P5&lt;&gt;""),'Skill Matrix'!A65,"")</f>
        <v/>
      </c>
      <c r="B957">
        <f>IF(A957="","",'Employees'!C9)</f>
        <v/>
      </c>
      <c r="C957">
        <f>IF(A957="","",'Employees'!D9)</f>
        <v/>
      </c>
      <c r="D957">
        <f>IF(A957="","",'Skill Matrix'!C65)</f>
        <v/>
      </c>
      <c r="E957">
        <f>IF(A957="","",'Skill Matrix'!D65)</f>
        <v/>
      </c>
      <c r="F957">
        <f>IF(AND('Skill Matrix'!A65&lt;&gt;"",'Skill Matrix'!P5&lt;&gt;""),'Skill Matrix'!P5,"")</f>
        <v/>
      </c>
      <c r="G957">
        <f>IF(OR(A957="",'Skill Matrix'!P65=""),"",'Skill Matrix'!P65)</f>
        <v/>
      </c>
      <c r="H957">
        <f>IF(A957="","",'Employees'!F9)</f>
        <v/>
      </c>
    </row>
    <row r="958">
      <c r="A958">
        <f>IF(AND('Skill Matrix'!A65&lt;&gt;"",'Skill Matrix'!Q5&lt;&gt;""),'Skill Matrix'!A65,"")</f>
        <v/>
      </c>
      <c r="B958">
        <f>IF(A958="","",'Employees'!C9)</f>
        <v/>
      </c>
      <c r="C958">
        <f>IF(A958="","",'Employees'!D9)</f>
        <v/>
      </c>
      <c r="D958">
        <f>IF(A958="","",'Skill Matrix'!C65)</f>
        <v/>
      </c>
      <c r="E958">
        <f>IF(A958="","",'Skill Matrix'!D65)</f>
        <v/>
      </c>
      <c r="F958">
        <f>IF(AND('Skill Matrix'!A65&lt;&gt;"",'Skill Matrix'!Q5&lt;&gt;""),'Skill Matrix'!Q5,"")</f>
        <v/>
      </c>
      <c r="G958">
        <f>IF(OR(A958="",'Skill Matrix'!Q65=""),"",'Skill Matrix'!Q65)</f>
        <v/>
      </c>
      <c r="H958">
        <f>IF(A958="","",'Employees'!F9)</f>
        <v/>
      </c>
    </row>
    <row r="959">
      <c r="A959">
        <f>IF(AND('Skill Matrix'!A65&lt;&gt;"",'Skill Matrix'!R5&lt;&gt;""),'Skill Matrix'!A65,"")</f>
        <v/>
      </c>
      <c r="B959">
        <f>IF(A959="","",'Employees'!C9)</f>
        <v/>
      </c>
      <c r="C959">
        <f>IF(A959="","",'Employees'!D9)</f>
        <v/>
      </c>
      <c r="D959">
        <f>IF(A959="","",'Skill Matrix'!C65)</f>
        <v/>
      </c>
      <c r="E959">
        <f>IF(A959="","",'Skill Matrix'!D65)</f>
        <v/>
      </c>
      <c r="F959">
        <f>IF(AND('Skill Matrix'!A65&lt;&gt;"",'Skill Matrix'!R5&lt;&gt;""),'Skill Matrix'!R5,"")</f>
        <v/>
      </c>
      <c r="G959">
        <f>IF(OR(A959="",'Skill Matrix'!R65=""),"",'Skill Matrix'!R65)</f>
        <v/>
      </c>
      <c r="H959">
        <f>IF(A959="","",'Employees'!F9)</f>
        <v/>
      </c>
    </row>
    <row r="960">
      <c r="A960">
        <f>IF(AND('Skill Matrix'!A65&lt;&gt;"",'Skill Matrix'!S5&lt;&gt;""),'Skill Matrix'!A65,"")</f>
        <v/>
      </c>
      <c r="B960">
        <f>IF(A960="","",'Employees'!C9)</f>
        <v/>
      </c>
      <c r="C960">
        <f>IF(A960="","",'Employees'!D9)</f>
        <v/>
      </c>
      <c r="D960">
        <f>IF(A960="","",'Skill Matrix'!C65)</f>
        <v/>
      </c>
      <c r="E960">
        <f>IF(A960="","",'Skill Matrix'!D65)</f>
        <v/>
      </c>
      <c r="F960">
        <f>IF(AND('Skill Matrix'!A65&lt;&gt;"",'Skill Matrix'!S5&lt;&gt;""),'Skill Matrix'!S5,"")</f>
        <v/>
      </c>
      <c r="G960">
        <f>IF(OR(A960="",'Skill Matrix'!S65=""),"",'Skill Matrix'!S65)</f>
        <v/>
      </c>
      <c r="H960">
        <f>IF(A960="","",'Employees'!F9)</f>
        <v/>
      </c>
    </row>
    <row r="961">
      <c r="A961">
        <f>IF(AND('Skill Matrix'!A65&lt;&gt;"",'Skill Matrix'!T5&lt;&gt;""),'Skill Matrix'!A65,"")</f>
        <v/>
      </c>
      <c r="B961">
        <f>IF(A961="","",'Employees'!C9)</f>
        <v/>
      </c>
      <c r="C961">
        <f>IF(A961="","",'Employees'!D9)</f>
        <v/>
      </c>
      <c r="D961">
        <f>IF(A961="","",'Skill Matrix'!C65)</f>
        <v/>
      </c>
      <c r="E961">
        <f>IF(A961="","",'Skill Matrix'!D65)</f>
        <v/>
      </c>
      <c r="F961">
        <f>IF(AND('Skill Matrix'!A65&lt;&gt;"",'Skill Matrix'!T5&lt;&gt;""),'Skill Matrix'!T5,"")</f>
        <v/>
      </c>
      <c r="G961">
        <f>IF(OR(A961="",'Skill Matrix'!T65=""),"",'Skill Matrix'!T65)</f>
        <v/>
      </c>
      <c r="H961">
        <f>IF(A961="","",'Employees'!F9)</f>
        <v/>
      </c>
    </row>
    <row r="962">
      <c r="A962">
        <f>IF(AND('Skill Matrix'!A66&lt;&gt;"",'Skill Matrix'!E5&lt;&gt;""),'Skill Matrix'!A66,"")</f>
        <v/>
      </c>
      <c r="B962">
        <f>IF(A962="","",'Employees'!C9)</f>
        <v/>
      </c>
      <c r="C962">
        <f>IF(A962="","",'Employees'!D9)</f>
        <v/>
      </c>
      <c r="D962">
        <f>IF(A962="","",'Skill Matrix'!C66)</f>
        <v/>
      </c>
      <c r="E962">
        <f>IF(A962="","",'Skill Matrix'!D66)</f>
        <v/>
      </c>
      <c r="F962">
        <f>IF(AND('Skill Matrix'!A66&lt;&gt;"",'Skill Matrix'!E5&lt;&gt;""),'Skill Matrix'!E5,"")</f>
        <v/>
      </c>
      <c r="G962">
        <f>IF(OR(A962="",'Skill Matrix'!E66=""),"",'Skill Matrix'!E66)</f>
        <v/>
      </c>
      <c r="H962">
        <f>IF(A962="","",'Employees'!F9)</f>
        <v/>
      </c>
    </row>
    <row r="963">
      <c r="A963">
        <f>IF(AND('Skill Matrix'!A66&lt;&gt;"",'Skill Matrix'!F5&lt;&gt;""),'Skill Matrix'!A66,"")</f>
        <v/>
      </c>
      <c r="B963">
        <f>IF(A963="","",'Employees'!C9)</f>
        <v/>
      </c>
      <c r="C963">
        <f>IF(A963="","",'Employees'!D9)</f>
        <v/>
      </c>
      <c r="D963">
        <f>IF(A963="","",'Skill Matrix'!C66)</f>
        <v/>
      </c>
      <c r="E963">
        <f>IF(A963="","",'Skill Matrix'!D66)</f>
        <v/>
      </c>
      <c r="F963">
        <f>IF(AND('Skill Matrix'!A66&lt;&gt;"",'Skill Matrix'!F5&lt;&gt;""),'Skill Matrix'!F5,"")</f>
        <v/>
      </c>
      <c r="G963">
        <f>IF(OR(A963="",'Skill Matrix'!F66=""),"",'Skill Matrix'!F66)</f>
        <v/>
      </c>
      <c r="H963">
        <f>IF(A963="","",'Employees'!F9)</f>
        <v/>
      </c>
    </row>
    <row r="964">
      <c r="A964">
        <f>IF(AND('Skill Matrix'!A66&lt;&gt;"",'Skill Matrix'!G5&lt;&gt;""),'Skill Matrix'!A66,"")</f>
        <v/>
      </c>
      <c r="B964">
        <f>IF(A964="","",'Employees'!C9)</f>
        <v/>
      </c>
      <c r="C964">
        <f>IF(A964="","",'Employees'!D9)</f>
        <v/>
      </c>
      <c r="D964">
        <f>IF(A964="","",'Skill Matrix'!C66)</f>
        <v/>
      </c>
      <c r="E964">
        <f>IF(A964="","",'Skill Matrix'!D66)</f>
        <v/>
      </c>
      <c r="F964">
        <f>IF(AND('Skill Matrix'!A66&lt;&gt;"",'Skill Matrix'!G5&lt;&gt;""),'Skill Matrix'!G5,"")</f>
        <v/>
      </c>
      <c r="G964">
        <f>IF(OR(A964="",'Skill Matrix'!G66=""),"",'Skill Matrix'!G66)</f>
        <v/>
      </c>
      <c r="H964">
        <f>IF(A964="","",'Employees'!F9)</f>
        <v/>
      </c>
    </row>
    <row r="965">
      <c r="A965">
        <f>IF(AND('Skill Matrix'!A66&lt;&gt;"",'Skill Matrix'!H5&lt;&gt;""),'Skill Matrix'!A66,"")</f>
        <v/>
      </c>
      <c r="B965">
        <f>IF(A965="","",'Employees'!C9)</f>
        <v/>
      </c>
      <c r="C965">
        <f>IF(A965="","",'Employees'!D9)</f>
        <v/>
      </c>
      <c r="D965">
        <f>IF(A965="","",'Skill Matrix'!C66)</f>
        <v/>
      </c>
      <c r="E965">
        <f>IF(A965="","",'Skill Matrix'!D66)</f>
        <v/>
      </c>
      <c r="F965">
        <f>IF(AND('Skill Matrix'!A66&lt;&gt;"",'Skill Matrix'!H5&lt;&gt;""),'Skill Matrix'!H5,"")</f>
        <v/>
      </c>
      <c r="G965">
        <f>IF(OR(A965="",'Skill Matrix'!H66=""),"",'Skill Matrix'!H66)</f>
        <v/>
      </c>
      <c r="H965">
        <f>IF(A965="","",'Employees'!F9)</f>
        <v/>
      </c>
    </row>
    <row r="966">
      <c r="A966">
        <f>IF(AND('Skill Matrix'!A66&lt;&gt;"",'Skill Matrix'!I5&lt;&gt;""),'Skill Matrix'!A66,"")</f>
        <v/>
      </c>
      <c r="B966">
        <f>IF(A966="","",'Employees'!C9)</f>
        <v/>
      </c>
      <c r="C966">
        <f>IF(A966="","",'Employees'!D9)</f>
        <v/>
      </c>
      <c r="D966">
        <f>IF(A966="","",'Skill Matrix'!C66)</f>
        <v/>
      </c>
      <c r="E966">
        <f>IF(A966="","",'Skill Matrix'!D66)</f>
        <v/>
      </c>
      <c r="F966">
        <f>IF(AND('Skill Matrix'!A66&lt;&gt;"",'Skill Matrix'!I5&lt;&gt;""),'Skill Matrix'!I5,"")</f>
        <v/>
      </c>
      <c r="G966">
        <f>IF(OR(A966="",'Skill Matrix'!I66=""),"",'Skill Matrix'!I66)</f>
        <v/>
      </c>
      <c r="H966">
        <f>IF(A966="","",'Employees'!F9)</f>
        <v/>
      </c>
    </row>
    <row r="967">
      <c r="A967">
        <f>IF(AND('Skill Matrix'!A66&lt;&gt;"",'Skill Matrix'!J5&lt;&gt;""),'Skill Matrix'!A66,"")</f>
        <v/>
      </c>
      <c r="B967">
        <f>IF(A967="","",'Employees'!C9)</f>
        <v/>
      </c>
      <c r="C967">
        <f>IF(A967="","",'Employees'!D9)</f>
        <v/>
      </c>
      <c r="D967">
        <f>IF(A967="","",'Skill Matrix'!C66)</f>
        <v/>
      </c>
      <c r="E967">
        <f>IF(A967="","",'Skill Matrix'!D66)</f>
        <v/>
      </c>
      <c r="F967">
        <f>IF(AND('Skill Matrix'!A66&lt;&gt;"",'Skill Matrix'!J5&lt;&gt;""),'Skill Matrix'!J5,"")</f>
        <v/>
      </c>
      <c r="G967">
        <f>IF(OR(A967="",'Skill Matrix'!J66=""),"",'Skill Matrix'!J66)</f>
        <v/>
      </c>
      <c r="H967">
        <f>IF(A967="","",'Employees'!F9)</f>
        <v/>
      </c>
    </row>
    <row r="968">
      <c r="A968">
        <f>IF(AND('Skill Matrix'!A66&lt;&gt;"",'Skill Matrix'!K5&lt;&gt;""),'Skill Matrix'!A66,"")</f>
        <v/>
      </c>
      <c r="B968">
        <f>IF(A968="","",'Employees'!C9)</f>
        <v/>
      </c>
      <c r="C968">
        <f>IF(A968="","",'Employees'!D9)</f>
        <v/>
      </c>
      <c r="D968">
        <f>IF(A968="","",'Skill Matrix'!C66)</f>
        <v/>
      </c>
      <c r="E968">
        <f>IF(A968="","",'Skill Matrix'!D66)</f>
        <v/>
      </c>
      <c r="F968">
        <f>IF(AND('Skill Matrix'!A66&lt;&gt;"",'Skill Matrix'!K5&lt;&gt;""),'Skill Matrix'!K5,"")</f>
        <v/>
      </c>
      <c r="G968">
        <f>IF(OR(A968="",'Skill Matrix'!K66=""),"",'Skill Matrix'!K66)</f>
        <v/>
      </c>
      <c r="H968">
        <f>IF(A968="","",'Employees'!F9)</f>
        <v/>
      </c>
    </row>
    <row r="969">
      <c r="A969">
        <f>IF(AND('Skill Matrix'!A66&lt;&gt;"",'Skill Matrix'!L5&lt;&gt;""),'Skill Matrix'!A66,"")</f>
        <v/>
      </c>
      <c r="B969">
        <f>IF(A969="","",'Employees'!C9)</f>
        <v/>
      </c>
      <c r="C969">
        <f>IF(A969="","",'Employees'!D9)</f>
        <v/>
      </c>
      <c r="D969">
        <f>IF(A969="","",'Skill Matrix'!C66)</f>
        <v/>
      </c>
      <c r="E969">
        <f>IF(A969="","",'Skill Matrix'!D66)</f>
        <v/>
      </c>
      <c r="F969">
        <f>IF(AND('Skill Matrix'!A66&lt;&gt;"",'Skill Matrix'!L5&lt;&gt;""),'Skill Matrix'!L5,"")</f>
        <v/>
      </c>
      <c r="G969">
        <f>IF(OR(A969="",'Skill Matrix'!L66=""),"",'Skill Matrix'!L66)</f>
        <v/>
      </c>
      <c r="H969">
        <f>IF(A969="","",'Employees'!F9)</f>
        <v/>
      </c>
    </row>
    <row r="970">
      <c r="A970">
        <f>IF(AND('Skill Matrix'!A66&lt;&gt;"",'Skill Matrix'!M5&lt;&gt;""),'Skill Matrix'!A66,"")</f>
        <v/>
      </c>
      <c r="B970">
        <f>IF(A970="","",'Employees'!C9)</f>
        <v/>
      </c>
      <c r="C970">
        <f>IF(A970="","",'Employees'!D9)</f>
        <v/>
      </c>
      <c r="D970">
        <f>IF(A970="","",'Skill Matrix'!C66)</f>
        <v/>
      </c>
      <c r="E970">
        <f>IF(A970="","",'Skill Matrix'!D66)</f>
        <v/>
      </c>
      <c r="F970">
        <f>IF(AND('Skill Matrix'!A66&lt;&gt;"",'Skill Matrix'!M5&lt;&gt;""),'Skill Matrix'!M5,"")</f>
        <v/>
      </c>
      <c r="G970">
        <f>IF(OR(A970="",'Skill Matrix'!M66=""),"",'Skill Matrix'!M66)</f>
        <v/>
      </c>
      <c r="H970">
        <f>IF(A970="","",'Employees'!F9)</f>
        <v/>
      </c>
    </row>
    <row r="971">
      <c r="A971">
        <f>IF(AND('Skill Matrix'!A66&lt;&gt;"",'Skill Matrix'!N5&lt;&gt;""),'Skill Matrix'!A66,"")</f>
        <v/>
      </c>
      <c r="B971">
        <f>IF(A971="","",'Employees'!C9)</f>
        <v/>
      </c>
      <c r="C971">
        <f>IF(A971="","",'Employees'!D9)</f>
        <v/>
      </c>
      <c r="D971">
        <f>IF(A971="","",'Skill Matrix'!C66)</f>
        <v/>
      </c>
      <c r="E971">
        <f>IF(A971="","",'Skill Matrix'!D66)</f>
        <v/>
      </c>
      <c r="F971">
        <f>IF(AND('Skill Matrix'!A66&lt;&gt;"",'Skill Matrix'!N5&lt;&gt;""),'Skill Matrix'!N5,"")</f>
        <v/>
      </c>
      <c r="G971">
        <f>IF(OR(A971="",'Skill Matrix'!N66=""),"",'Skill Matrix'!N66)</f>
        <v/>
      </c>
      <c r="H971">
        <f>IF(A971="","",'Employees'!F9)</f>
        <v/>
      </c>
    </row>
    <row r="972">
      <c r="A972">
        <f>IF(AND('Skill Matrix'!A66&lt;&gt;"",'Skill Matrix'!O5&lt;&gt;""),'Skill Matrix'!A66,"")</f>
        <v/>
      </c>
      <c r="B972">
        <f>IF(A972="","",'Employees'!C9)</f>
        <v/>
      </c>
      <c r="C972">
        <f>IF(A972="","",'Employees'!D9)</f>
        <v/>
      </c>
      <c r="D972">
        <f>IF(A972="","",'Skill Matrix'!C66)</f>
        <v/>
      </c>
      <c r="E972">
        <f>IF(A972="","",'Skill Matrix'!D66)</f>
        <v/>
      </c>
      <c r="F972">
        <f>IF(AND('Skill Matrix'!A66&lt;&gt;"",'Skill Matrix'!O5&lt;&gt;""),'Skill Matrix'!O5,"")</f>
        <v/>
      </c>
      <c r="G972">
        <f>IF(OR(A972="",'Skill Matrix'!O66=""),"",'Skill Matrix'!O66)</f>
        <v/>
      </c>
      <c r="H972">
        <f>IF(A972="","",'Employees'!F9)</f>
        <v/>
      </c>
    </row>
    <row r="973">
      <c r="A973">
        <f>IF(AND('Skill Matrix'!A66&lt;&gt;"",'Skill Matrix'!P5&lt;&gt;""),'Skill Matrix'!A66,"")</f>
        <v/>
      </c>
      <c r="B973">
        <f>IF(A973="","",'Employees'!C9)</f>
        <v/>
      </c>
      <c r="C973">
        <f>IF(A973="","",'Employees'!D9)</f>
        <v/>
      </c>
      <c r="D973">
        <f>IF(A973="","",'Skill Matrix'!C66)</f>
        <v/>
      </c>
      <c r="E973">
        <f>IF(A973="","",'Skill Matrix'!D66)</f>
        <v/>
      </c>
      <c r="F973">
        <f>IF(AND('Skill Matrix'!A66&lt;&gt;"",'Skill Matrix'!P5&lt;&gt;""),'Skill Matrix'!P5,"")</f>
        <v/>
      </c>
      <c r="G973">
        <f>IF(OR(A973="",'Skill Matrix'!P66=""),"",'Skill Matrix'!P66)</f>
        <v/>
      </c>
      <c r="H973">
        <f>IF(A973="","",'Employees'!F9)</f>
        <v/>
      </c>
    </row>
    <row r="974">
      <c r="A974">
        <f>IF(AND('Skill Matrix'!A66&lt;&gt;"",'Skill Matrix'!Q5&lt;&gt;""),'Skill Matrix'!A66,"")</f>
        <v/>
      </c>
      <c r="B974">
        <f>IF(A974="","",'Employees'!C9)</f>
        <v/>
      </c>
      <c r="C974">
        <f>IF(A974="","",'Employees'!D9)</f>
        <v/>
      </c>
      <c r="D974">
        <f>IF(A974="","",'Skill Matrix'!C66)</f>
        <v/>
      </c>
      <c r="E974">
        <f>IF(A974="","",'Skill Matrix'!D66)</f>
        <v/>
      </c>
      <c r="F974">
        <f>IF(AND('Skill Matrix'!A66&lt;&gt;"",'Skill Matrix'!Q5&lt;&gt;""),'Skill Matrix'!Q5,"")</f>
        <v/>
      </c>
      <c r="G974">
        <f>IF(OR(A974="",'Skill Matrix'!Q66=""),"",'Skill Matrix'!Q66)</f>
        <v/>
      </c>
      <c r="H974">
        <f>IF(A974="","",'Employees'!F9)</f>
        <v/>
      </c>
    </row>
    <row r="975">
      <c r="A975">
        <f>IF(AND('Skill Matrix'!A66&lt;&gt;"",'Skill Matrix'!R5&lt;&gt;""),'Skill Matrix'!A66,"")</f>
        <v/>
      </c>
      <c r="B975">
        <f>IF(A975="","",'Employees'!C9)</f>
        <v/>
      </c>
      <c r="C975">
        <f>IF(A975="","",'Employees'!D9)</f>
        <v/>
      </c>
      <c r="D975">
        <f>IF(A975="","",'Skill Matrix'!C66)</f>
        <v/>
      </c>
      <c r="E975">
        <f>IF(A975="","",'Skill Matrix'!D66)</f>
        <v/>
      </c>
      <c r="F975">
        <f>IF(AND('Skill Matrix'!A66&lt;&gt;"",'Skill Matrix'!R5&lt;&gt;""),'Skill Matrix'!R5,"")</f>
        <v/>
      </c>
      <c r="G975">
        <f>IF(OR(A975="",'Skill Matrix'!R66=""),"",'Skill Matrix'!R66)</f>
        <v/>
      </c>
      <c r="H975">
        <f>IF(A975="","",'Employees'!F9)</f>
        <v/>
      </c>
    </row>
    <row r="976">
      <c r="A976">
        <f>IF(AND('Skill Matrix'!A66&lt;&gt;"",'Skill Matrix'!S5&lt;&gt;""),'Skill Matrix'!A66,"")</f>
        <v/>
      </c>
      <c r="B976">
        <f>IF(A976="","",'Employees'!C9)</f>
        <v/>
      </c>
      <c r="C976">
        <f>IF(A976="","",'Employees'!D9)</f>
        <v/>
      </c>
      <c r="D976">
        <f>IF(A976="","",'Skill Matrix'!C66)</f>
        <v/>
      </c>
      <c r="E976">
        <f>IF(A976="","",'Skill Matrix'!D66)</f>
        <v/>
      </c>
      <c r="F976">
        <f>IF(AND('Skill Matrix'!A66&lt;&gt;"",'Skill Matrix'!S5&lt;&gt;""),'Skill Matrix'!S5,"")</f>
        <v/>
      </c>
      <c r="G976">
        <f>IF(OR(A976="",'Skill Matrix'!S66=""),"",'Skill Matrix'!S66)</f>
        <v/>
      </c>
      <c r="H976">
        <f>IF(A976="","",'Employees'!F9)</f>
        <v/>
      </c>
    </row>
    <row r="977">
      <c r="A977">
        <f>IF(AND('Skill Matrix'!A66&lt;&gt;"",'Skill Matrix'!T5&lt;&gt;""),'Skill Matrix'!A66,"")</f>
        <v/>
      </c>
      <c r="B977">
        <f>IF(A977="","",'Employees'!C9)</f>
        <v/>
      </c>
      <c r="C977">
        <f>IF(A977="","",'Employees'!D9)</f>
        <v/>
      </c>
      <c r="D977">
        <f>IF(A977="","",'Skill Matrix'!C66)</f>
        <v/>
      </c>
      <c r="E977">
        <f>IF(A977="","",'Skill Matrix'!D66)</f>
        <v/>
      </c>
      <c r="F977">
        <f>IF(AND('Skill Matrix'!A66&lt;&gt;"",'Skill Matrix'!T5&lt;&gt;""),'Skill Matrix'!T5,"")</f>
        <v/>
      </c>
      <c r="G977">
        <f>IF(OR(A977="",'Skill Matrix'!T66=""),"",'Skill Matrix'!T66)</f>
        <v/>
      </c>
      <c r="H977">
        <f>IF(A977="","",'Employees'!F9)</f>
        <v/>
      </c>
    </row>
    <row r="978">
      <c r="A978">
        <f>IF(AND('Skill Matrix'!A67&lt;&gt;"",'Skill Matrix'!E5&lt;&gt;""),'Skill Matrix'!A67,"")</f>
        <v/>
      </c>
      <c r="B978">
        <f>IF(A978="","",'Employees'!C9)</f>
        <v/>
      </c>
      <c r="C978">
        <f>IF(A978="","",'Employees'!D9)</f>
        <v/>
      </c>
      <c r="D978">
        <f>IF(A978="","",'Skill Matrix'!C67)</f>
        <v/>
      </c>
      <c r="E978">
        <f>IF(A978="","",'Skill Matrix'!D67)</f>
        <v/>
      </c>
      <c r="F978">
        <f>IF(AND('Skill Matrix'!A67&lt;&gt;"",'Skill Matrix'!E5&lt;&gt;""),'Skill Matrix'!E5,"")</f>
        <v/>
      </c>
      <c r="G978">
        <f>IF(OR(A978="",'Skill Matrix'!E67=""),"",'Skill Matrix'!E67)</f>
        <v/>
      </c>
      <c r="H978">
        <f>IF(A978="","",'Employees'!F9)</f>
        <v/>
      </c>
    </row>
    <row r="979">
      <c r="A979">
        <f>IF(AND('Skill Matrix'!A67&lt;&gt;"",'Skill Matrix'!F5&lt;&gt;""),'Skill Matrix'!A67,"")</f>
        <v/>
      </c>
      <c r="B979">
        <f>IF(A979="","",'Employees'!C9)</f>
        <v/>
      </c>
      <c r="C979">
        <f>IF(A979="","",'Employees'!D9)</f>
        <v/>
      </c>
      <c r="D979">
        <f>IF(A979="","",'Skill Matrix'!C67)</f>
        <v/>
      </c>
      <c r="E979">
        <f>IF(A979="","",'Skill Matrix'!D67)</f>
        <v/>
      </c>
      <c r="F979">
        <f>IF(AND('Skill Matrix'!A67&lt;&gt;"",'Skill Matrix'!F5&lt;&gt;""),'Skill Matrix'!F5,"")</f>
        <v/>
      </c>
      <c r="G979">
        <f>IF(OR(A979="",'Skill Matrix'!F67=""),"",'Skill Matrix'!F67)</f>
        <v/>
      </c>
      <c r="H979">
        <f>IF(A979="","",'Employees'!F9)</f>
        <v/>
      </c>
    </row>
    <row r="980">
      <c r="A980">
        <f>IF(AND('Skill Matrix'!A67&lt;&gt;"",'Skill Matrix'!G5&lt;&gt;""),'Skill Matrix'!A67,"")</f>
        <v/>
      </c>
      <c r="B980">
        <f>IF(A980="","",'Employees'!C9)</f>
        <v/>
      </c>
      <c r="C980">
        <f>IF(A980="","",'Employees'!D9)</f>
        <v/>
      </c>
      <c r="D980">
        <f>IF(A980="","",'Skill Matrix'!C67)</f>
        <v/>
      </c>
      <c r="E980">
        <f>IF(A980="","",'Skill Matrix'!D67)</f>
        <v/>
      </c>
      <c r="F980">
        <f>IF(AND('Skill Matrix'!A67&lt;&gt;"",'Skill Matrix'!G5&lt;&gt;""),'Skill Matrix'!G5,"")</f>
        <v/>
      </c>
      <c r="G980">
        <f>IF(OR(A980="",'Skill Matrix'!G67=""),"",'Skill Matrix'!G67)</f>
        <v/>
      </c>
      <c r="H980">
        <f>IF(A980="","",'Employees'!F9)</f>
        <v/>
      </c>
    </row>
    <row r="981">
      <c r="A981">
        <f>IF(AND('Skill Matrix'!A67&lt;&gt;"",'Skill Matrix'!H5&lt;&gt;""),'Skill Matrix'!A67,"")</f>
        <v/>
      </c>
      <c r="B981">
        <f>IF(A981="","",'Employees'!C9)</f>
        <v/>
      </c>
      <c r="C981">
        <f>IF(A981="","",'Employees'!D9)</f>
        <v/>
      </c>
      <c r="D981">
        <f>IF(A981="","",'Skill Matrix'!C67)</f>
        <v/>
      </c>
      <c r="E981">
        <f>IF(A981="","",'Skill Matrix'!D67)</f>
        <v/>
      </c>
      <c r="F981">
        <f>IF(AND('Skill Matrix'!A67&lt;&gt;"",'Skill Matrix'!H5&lt;&gt;""),'Skill Matrix'!H5,"")</f>
        <v/>
      </c>
      <c r="G981">
        <f>IF(OR(A981="",'Skill Matrix'!H67=""),"",'Skill Matrix'!H67)</f>
        <v/>
      </c>
      <c r="H981">
        <f>IF(A981="","",'Employees'!F9)</f>
        <v/>
      </c>
    </row>
    <row r="982">
      <c r="A982">
        <f>IF(AND('Skill Matrix'!A67&lt;&gt;"",'Skill Matrix'!I5&lt;&gt;""),'Skill Matrix'!A67,"")</f>
        <v/>
      </c>
      <c r="B982">
        <f>IF(A982="","",'Employees'!C9)</f>
        <v/>
      </c>
      <c r="C982">
        <f>IF(A982="","",'Employees'!D9)</f>
        <v/>
      </c>
      <c r="D982">
        <f>IF(A982="","",'Skill Matrix'!C67)</f>
        <v/>
      </c>
      <c r="E982">
        <f>IF(A982="","",'Skill Matrix'!D67)</f>
        <v/>
      </c>
      <c r="F982">
        <f>IF(AND('Skill Matrix'!A67&lt;&gt;"",'Skill Matrix'!I5&lt;&gt;""),'Skill Matrix'!I5,"")</f>
        <v/>
      </c>
      <c r="G982">
        <f>IF(OR(A982="",'Skill Matrix'!I67=""),"",'Skill Matrix'!I67)</f>
        <v/>
      </c>
      <c r="H982">
        <f>IF(A982="","",'Employees'!F9)</f>
        <v/>
      </c>
    </row>
    <row r="983">
      <c r="A983">
        <f>IF(AND('Skill Matrix'!A67&lt;&gt;"",'Skill Matrix'!J5&lt;&gt;""),'Skill Matrix'!A67,"")</f>
        <v/>
      </c>
      <c r="B983">
        <f>IF(A983="","",'Employees'!C9)</f>
        <v/>
      </c>
      <c r="C983">
        <f>IF(A983="","",'Employees'!D9)</f>
        <v/>
      </c>
      <c r="D983">
        <f>IF(A983="","",'Skill Matrix'!C67)</f>
        <v/>
      </c>
      <c r="E983">
        <f>IF(A983="","",'Skill Matrix'!D67)</f>
        <v/>
      </c>
      <c r="F983">
        <f>IF(AND('Skill Matrix'!A67&lt;&gt;"",'Skill Matrix'!J5&lt;&gt;""),'Skill Matrix'!J5,"")</f>
        <v/>
      </c>
      <c r="G983">
        <f>IF(OR(A983="",'Skill Matrix'!J67=""),"",'Skill Matrix'!J67)</f>
        <v/>
      </c>
      <c r="H983">
        <f>IF(A983="","",'Employees'!F9)</f>
        <v/>
      </c>
    </row>
    <row r="984">
      <c r="A984">
        <f>IF(AND('Skill Matrix'!A67&lt;&gt;"",'Skill Matrix'!K5&lt;&gt;""),'Skill Matrix'!A67,"")</f>
        <v/>
      </c>
      <c r="B984">
        <f>IF(A984="","",'Employees'!C9)</f>
        <v/>
      </c>
      <c r="C984">
        <f>IF(A984="","",'Employees'!D9)</f>
        <v/>
      </c>
      <c r="D984">
        <f>IF(A984="","",'Skill Matrix'!C67)</f>
        <v/>
      </c>
      <c r="E984">
        <f>IF(A984="","",'Skill Matrix'!D67)</f>
        <v/>
      </c>
      <c r="F984">
        <f>IF(AND('Skill Matrix'!A67&lt;&gt;"",'Skill Matrix'!K5&lt;&gt;""),'Skill Matrix'!K5,"")</f>
        <v/>
      </c>
      <c r="G984">
        <f>IF(OR(A984="",'Skill Matrix'!K67=""),"",'Skill Matrix'!K67)</f>
        <v/>
      </c>
      <c r="H984">
        <f>IF(A984="","",'Employees'!F9)</f>
        <v/>
      </c>
    </row>
    <row r="985">
      <c r="A985">
        <f>IF(AND('Skill Matrix'!A67&lt;&gt;"",'Skill Matrix'!L5&lt;&gt;""),'Skill Matrix'!A67,"")</f>
        <v/>
      </c>
      <c r="B985">
        <f>IF(A985="","",'Employees'!C9)</f>
        <v/>
      </c>
      <c r="C985">
        <f>IF(A985="","",'Employees'!D9)</f>
        <v/>
      </c>
      <c r="D985">
        <f>IF(A985="","",'Skill Matrix'!C67)</f>
        <v/>
      </c>
      <c r="E985">
        <f>IF(A985="","",'Skill Matrix'!D67)</f>
        <v/>
      </c>
      <c r="F985">
        <f>IF(AND('Skill Matrix'!A67&lt;&gt;"",'Skill Matrix'!L5&lt;&gt;""),'Skill Matrix'!L5,"")</f>
        <v/>
      </c>
      <c r="G985">
        <f>IF(OR(A985="",'Skill Matrix'!L67=""),"",'Skill Matrix'!L67)</f>
        <v/>
      </c>
      <c r="H985">
        <f>IF(A985="","",'Employees'!F9)</f>
        <v/>
      </c>
    </row>
    <row r="986">
      <c r="A986">
        <f>IF(AND('Skill Matrix'!A67&lt;&gt;"",'Skill Matrix'!M5&lt;&gt;""),'Skill Matrix'!A67,"")</f>
        <v/>
      </c>
      <c r="B986">
        <f>IF(A986="","",'Employees'!C9)</f>
        <v/>
      </c>
      <c r="C986">
        <f>IF(A986="","",'Employees'!D9)</f>
        <v/>
      </c>
      <c r="D986">
        <f>IF(A986="","",'Skill Matrix'!C67)</f>
        <v/>
      </c>
      <c r="E986">
        <f>IF(A986="","",'Skill Matrix'!D67)</f>
        <v/>
      </c>
      <c r="F986">
        <f>IF(AND('Skill Matrix'!A67&lt;&gt;"",'Skill Matrix'!M5&lt;&gt;""),'Skill Matrix'!M5,"")</f>
        <v/>
      </c>
      <c r="G986">
        <f>IF(OR(A986="",'Skill Matrix'!M67=""),"",'Skill Matrix'!M67)</f>
        <v/>
      </c>
      <c r="H986">
        <f>IF(A986="","",'Employees'!F9)</f>
        <v/>
      </c>
    </row>
    <row r="987">
      <c r="A987">
        <f>IF(AND('Skill Matrix'!A67&lt;&gt;"",'Skill Matrix'!N5&lt;&gt;""),'Skill Matrix'!A67,"")</f>
        <v/>
      </c>
      <c r="B987">
        <f>IF(A987="","",'Employees'!C9)</f>
        <v/>
      </c>
      <c r="C987">
        <f>IF(A987="","",'Employees'!D9)</f>
        <v/>
      </c>
      <c r="D987">
        <f>IF(A987="","",'Skill Matrix'!C67)</f>
        <v/>
      </c>
      <c r="E987">
        <f>IF(A987="","",'Skill Matrix'!D67)</f>
        <v/>
      </c>
      <c r="F987">
        <f>IF(AND('Skill Matrix'!A67&lt;&gt;"",'Skill Matrix'!N5&lt;&gt;""),'Skill Matrix'!N5,"")</f>
        <v/>
      </c>
      <c r="G987">
        <f>IF(OR(A987="",'Skill Matrix'!N67=""),"",'Skill Matrix'!N67)</f>
        <v/>
      </c>
      <c r="H987">
        <f>IF(A987="","",'Employees'!F9)</f>
        <v/>
      </c>
    </row>
    <row r="988">
      <c r="A988">
        <f>IF(AND('Skill Matrix'!A67&lt;&gt;"",'Skill Matrix'!O5&lt;&gt;""),'Skill Matrix'!A67,"")</f>
        <v/>
      </c>
      <c r="B988">
        <f>IF(A988="","",'Employees'!C9)</f>
        <v/>
      </c>
      <c r="C988">
        <f>IF(A988="","",'Employees'!D9)</f>
        <v/>
      </c>
      <c r="D988">
        <f>IF(A988="","",'Skill Matrix'!C67)</f>
        <v/>
      </c>
      <c r="E988">
        <f>IF(A988="","",'Skill Matrix'!D67)</f>
        <v/>
      </c>
      <c r="F988">
        <f>IF(AND('Skill Matrix'!A67&lt;&gt;"",'Skill Matrix'!O5&lt;&gt;""),'Skill Matrix'!O5,"")</f>
        <v/>
      </c>
      <c r="G988">
        <f>IF(OR(A988="",'Skill Matrix'!O67=""),"",'Skill Matrix'!O67)</f>
        <v/>
      </c>
      <c r="H988">
        <f>IF(A988="","",'Employees'!F9)</f>
        <v/>
      </c>
    </row>
    <row r="989">
      <c r="A989">
        <f>IF(AND('Skill Matrix'!A67&lt;&gt;"",'Skill Matrix'!P5&lt;&gt;""),'Skill Matrix'!A67,"")</f>
        <v/>
      </c>
      <c r="B989">
        <f>IF(A989="","",'Employees'!C9)</f>
        <v/>
      </c>
      <c r="C989">
        <f>IF(A989="","",'Employees'!D9)</f>
        <v/>
      </c>
      <c r="D989">
        <f>IF(A989="","",'Skill Matrix'!C67)</f>
        <v/>
      </c>
      <c r="E989">
        <f>IF(A989="","",'Skill Matrix'!D67)</f>
        <v/>
      </c>
      <c r="F989">
        <f>IF(AND('Skill Matrix'!A67&lt;&gt;"",'Skill Matrix'!P5&lt;&gt;""),'Skill Matrix'!P5,"")</f>
        <v/>
      </c>
      <c r="G989">
        <f>IF(OR(A989="",'Skill Matrix'!P67=""),"",'Skill Matrix'!P67)</f>
        <v/>
      </c>
      <c r="H989">
        <f>IF(A989="","",'Employees'!F9)</f>
        <v/>
      </c>
    </row>
    <row r="990">
      <c r="A990">
        <f>IF(AND('Skill Matrix'!A67&lt;&gt;"",'Skill Matrix'!Q5&lt;&gt;""),'Skill Matrix'!A67,"")</f>
        <v/>
      </c>
      <c r="B990">
        <f>IF(A990="","",'Employees'!C9)</f>
        <v/>
      </c>
      <c r="C990">
        <f>IF(A990="","",'Employees'!D9)</f>
        <v/>
      </c>
      <c r="D990">
        <f>IF(A990="","",'Skill Matrix'!C67)</f>
        <v/>
      </c>
      <c r="E990">
        <f>IF(A990="","",'Skill Matrix'!D67)</f>
        <v/>
      </c>
      <c r="F990">
        <f>IF(AND('Skill Matrix'!A67&lt;&gt;"",'Skill Matrix'!Q5&lt;&gt;""),'Skill Matrix'!Q5,"")</f>
        <v/>
      </c>
      <c r="G990">
        <f>IF(OR(A990="",'Skill Matrix'!Q67=""),"",'Skill Matrix'!Q67)</f>
        <v/>
      </c>
      <c r="H990">
        <f>IF(A990="","",'Employees'!F9)</f>
        <v/>
      </c>
    </row>
    <row r="991">
      <c r="A991">
        <f>IF(AND('Skill Matrix'!A67&lt;&gt;"",'Skill Matrix'!R5&lt;&gt;""),'Skill Matrix'!A67,"")</f>
        <v/>
      </c>
      <c r="B991">
        <f>IF(A991="","",'Employees'!C9)</f>
        <v/>
      </c>
      <c r="C991">
        <f>IF(A991="","",'Employees'!D9)</f>
        <v/>
      </c>
      <c r="D991">
        <f>IF(A991="","",'Skill Matrix'!C67)</f>
        <v/>
      </c>
      <c r="E991">
        <f>IF(A991="","",'Skill Matrix'!D67)</f>
        <v/>
      </c>
      <c r="F991">
        <f>IF(AND('Skill Matrix'!A67&lt;&gt;"",'Skill Matrix'!R5&lt;&gt;""),'Skill Matrix'!R5,"")</f>
        <v/>
      </c>
      <c r="G991">
        <f>IF(OR(A991="",'Skill Matrix'!R67=""),"",'Skill Matrix'!R67)</f>
        <v/>
      </c>
      <c r="H991">
        <f>IF(A991="","",'Employees'!F9)</f>
        <v/>
      </c>
    </row>
    <row r="992">
      <c r="A992">
        <f>IF(AND('Skill Matrix'!A67&lt;&gt;"",'Skill Matrix'!S5&lt;&gt;""),'Skill Matrix'!A67,"")</f>
        <v/>
      </c>
      <c r="B992">
        <f>IF(A992="","",'Employees'!C9)</f>
        <v/>
      </c>
      <c r="C992">
        <f>IF(A992="","",'Employees'!D9)</f>
        <v/>
      </c>
      <c r="D992">
        <f>IF(A992="","",'Skill Matrix'!C67)</f>
        <v/>
      </c>
      <c r="E992">
        <f>IF(A992="","",'Skill Matrix'!D67)</f>
        <v/>
      </c>
      <c r="F992">
        <f>IF(AND('Skill Matrix'!A67&lt;&gt;"",'Skill Matrix'!S5&lt;&gt;""),'Skill Matrix'!S5,"")</f>
        <v/>
      </c>
      <c r="G992">
        <f>IF(OR(A992="",'Skill Matrix'!S67=""),"",'Skill Matrix'!S67)</f>
        <v/>
      </c>
      <c r="H992">
        <f>IF(A992="","",'Employees'!F9)</f>
        <v/>
      </c>
    </row>
    <row r="993">
      <c r="A993">
        <f>IF(AND('Skill Matrix'!A67&lt;&gt;"",'Skill Matrix'!T5&lt;&gt;""),'Skill Matrix'!A67,"")</f>
        <v/>
      </c>
      <c r="B993">
        <f>IF(A993="","",'Employees'!C9)</f>
        <v/>
      </c>
      <c r="C993">
        <f>IF(A993="","",'Employees'!D9)</f>
        <v/>
      </c>
      <c r="D993">
        <f>IF(A993="","",'Skill Matrix'!C67)</f>
        <v/>
      </c>
      <c r="E993">
        <f>IF(A993="","",'Skill Matrix'!D67)</f>
        <v/>
      </c>
      <c r="F993">
        <f>IF(AND('Skill Matrix'!A67&lt;&gt;"",'Skill Matrix'!T5&lt;&gt;""),'Skill Matrix'!T5,"")</f>
        <v/>
      </c>
      <c r="G993">
        <f>IF(OR(A993="",'Skill Matrix'!T67=""),"",'Skill Matrix'!T67)</f>
        <v/>
      </c>
      <c r="H993">
        <f>IF(A993="","",'Employees'!F9)</f>
        <v/>
      </c>
    </row>
    <row r="994">
      <c r="A994">
        <f>IF(AND('Skill Matrix'!A68&lt;&gt;"",'Skill Matrix'!E5&lt;&gt;""),'Skill Matrix'!A68,"")</f>
        <v/>
      </c>
      <c r="B994">
        <f>IF(A994="","",'Employees'!C9)</f>
        <v/>
      </c>
      <c r="C994">
        <f>IF(A994="","",'Employees'!D9)</f>
        <v/>
      </c>
      <c r="D994">
        <f>IF(A994="","",'Skill Matrix'!C68)</f>
        <v/>
      </c>
      <c r="E994">
        <f>IF(A994="","",'Skill Matrix'!D68)</f>
        <v/>
      </c>
      <c r="F994">
        <f>IF(AND('Skill Matrix'!A68&lt;&gt;"",'Skill Matrix'!E5&lt;&gt;""),'Skill Matrix'!E5,"")</f>
        <v/>
      </c>
      <c r="G994">
        <f>IF(OR(A994="",'Skill Matrix'!E68=""),"",'Skill Matrix'!E68)</f>
        <v/>
      </c>
      <c r="H994">
        <f>IF(A994="","",'Employees'!F9)</f>
        <v/>
      </c>
    </row>
    <row r="995">
      <c r="A995">
        <f>IF(AND('Skill Matrix'!A68&lt;&gt;"",'Skill Matrix'!F5&lt;&gt;""),'Skill Matrix'!A68,"")</f>
        <v/>
      </c>
      <c r="B995">
        <f>IF(A995="","",'Employees'!C9)</f>
        <v/>
      </c>
      <c r="C995">
        <f>IF(A995="","",'Employees'!D9)</f>
        <v/>
      </c>
      <c r="D995">
        <f>IF(A995="","",'Skill Matrix'!C68)</f>
        <v/>
      </c>
      <c r="E995">
        <f>IF(A995="","",'Skill Matrix'!D68)</f>
        <v/>
      </c>
      <c r="F995">
        <f>IF(AND('Skill Matrix'!A68&lt;&gt;"",'Skill Matrix'!F5&lt;&gt;""),'Skill Matrix'!F5,"")</f>
        <v/>
      </c>
      <c r="G995">
        <f>IF(OR(A995="",'Skill Matrix'!F68=""),"",'Skill Matrix'!F68)</f>
        <v/>
      </c>
      <c r="H995">
        <f>IF(A995="","",'Employees'!F9)</f>
        <v/>
      </c>
    </row>
    <row r="996">
      <c r="A996">
        <f>IF(AND('Skill Matrix'!A68&lt;&gt;"",'Skill Matrix'!G5&lt;&gt;""),'Skill Matrix'!A68,"")</f>
        <v/>
      </c>
      <c r="B996">
        <f>IF(A996="","",'Employees'!C9)</f>
        <v/>
      </c>
      <c r="C996">
        <f>IF(A996="","",'Employees'!D9)</f>
        <v/>
      </c>
      <c r="D996">
        <f>IF(A996="","",'Skill Matrix'!C68)</f>
        <v/>
      </c>
      <c r="E996">
        <f>IF(A996="","",'Skill Matrix'!D68)</f>
        <v/>
      </c>
      <c r="F996">
        <f>IF(AND('Skill Matrix'!A68&lt;&gt;"",'Skill Matrix'!G5&lt;&gt;""),'Skill Matrix'!G5,"")</f>
        <v/>
      </c>
      <c r="G996">
        <f>IF(OR(A996="",'Skill Matrix'!G68=""),"",'Skill Matrix'!G68)</f>
        <v/>
      </c>
      <c r="H996">
        <f>IF(A996="","",'Employees'!F9)</f>
        <v/>
      </c>
    </row>
    <row r="997">
      <c r="A997">
        <f>IF(AND('Skill Matrix'!A68&lt;&gt;"",'Skill Matrix'!H5&lt;&gt;""),'Skill Matrix'!A68,"")</f>
        <v/>
      </c>
      <c r="B997">
        <f>IF(A997="","",'Employees'!C9)</f>
        <v/>
      </c>
      <c r="C997">
        <f>IF(A997="","",'Employees'!D9)</f>
        <v/>
      </c>
      <c r="D997">
        <f>IF(A997="","",'Skill Matrix'!C68)</f>
        <v/>
      </c>
      <c r="E997">
        <f>IF(A997="","",'Skill Matrix'!D68)</f>
        <v/>
      </c>
      <c r="F997">
        <f>IF(AND('Skill Matrix'!A68&lt;&gt;"",'Skill Matrix'!H5&lt;&gt;""),'Skill Matrix'!H5,"")</f>
        <v/>
      </c>
      <c r="G997">
        <f>IF(OR(A997="",'Skill Matrix'!H68=""),"",'Skill Matrix'!H68)</f>
        <v/>
      </c>
      <c r="H997">
        <f>IF(A997="","",'Employees'!F9)</f>
        <v/>
      </c>
    </row>
    <row r="998">
      <c r="A998">
        <f>IF(AND('Skill Matrix'!A68&lt;&gt;"",'Skill Matrix'!I5&lt;&gt;""),'Skill Matrix'!A68,"")</f>
        <v/>
      </c>
      <c r="B998">
        <f>IF(A998="","",'Employees'!C9)</f>
        <v/>
      </c>
      <c r="C998">
        <f>IF(A998="","",'Employees'!D9)</f>
        <v/>
      </c>
      <c r="D998">
        <f>IF(A998="","",'Skill Matrix'!C68)</f>
        <v/>
      </c>
      <c r="E998">
        <f>IF(A998="","",'Skill Matrix'!D68)</f>
        <v/>
      </c>
      <c r="F998">
        <f>IF(AND('Skill Matrix'!A68&lt;&gt;"",'Skill Matrix'!I5&lt;&gt;""),'Skill Matrix'!I5,"")</f>
        <v/>
      </c>
      <c r="G998">
        <f>IF(OR(A998="",'Skill Matrix'!I68=""),"",'Skill Matrix'!I68)</f>
        <v/>
      </c>
      <c r="H998">
        <f>IF(A998="","",'Employees'!F9)</f>
        <v/>
      </c>
    </row>
    <row r="999">
      <c r="A999">
        <f>IF(AND('Skill Matrix'!A68&lt;&gt;"",'Skill Matrix'!J5&lt;&gt;""),'Skill Matrix'!A68,"")</f>
        <v/>
      </c>
      <c r="B999">
        <f>IF(A999="","",'Employees'!C9)</f>
        <v/>
      </c>
      <c r="C999">
        <f>IF(A999="","",'Employees'!D9)</f>
        <v/>
      </c>
      <c r="D999">
        <f>IF(A999="","",'Skill Matrix'!C68)</f>
        <v/>
      </c>
      <c r="E999">
        <f>IF(A999="","",'Skill Matrix'!D68)</f>
        <v/>
      </c>
      <c r="F999">
        <f>IF(AND('Skill Matrix'!A68&lt;&gt;"",'Skill Matrix'!J5&lt;&gt;""),'Skill Matrix'!J5,"")</f>
        <v/>
      </c>
      <c r="G999">
        <f>IF(OR(A999="",'Skill Matrix'!J68=""),"",'Skill Matrix'!J68)</f>
        <v/>
      </c>
      <c r="H999">
        <f>IF(A999="","",'Employees'!F9)</f>
        <v/>
      </c>
    </row>
    <row r="1000">
      <c r="A1000">
        <f>IF(AND('Skill Matrix'!A68&lt;&gt;"",'Skill Matrix'!K5&lt;&gt;""),'Skill Matrix'!A68,"")</f>
        <v/>
      </c>
      <c r="B1000">
        <f>IF(A1000="","",'Employees'!C9)</f>
        <v/>
      </c>
      <c r="C1000">
        <f>IF(A1000="","",'Employees'!D9)</f>
        <v/>
      </c>
      <c r="D1000">
        <f>IF(A1000="","",'Skill Matrix'!C68)</f>
        <v/>
      </c>
      <c r="E1000">
        <f>IF(A1000="","",'Skill Matrix'!D68)</f>
        <v/>
      </c>
      <c r="F1000">
        <f>IF(AND('Skill Matrix'!A68&lt;&gt;"",'Skill Matrix'!K5&lt;&gt;""),'Skill Matrix'!K5,"")</f>
        <v/>
      </c>
      <c r="G1000">
        <f>IF(OR(A1000="",'Skill Matrix'!K68=""),"",'Skill Matrix'!K68)</f>
        <v/>
      </c>
      <c r="H1000">
        <f>IF(A1000="","",'Employees'!F9)</f>
        <v/>
      </c>
    </row>
    <row r="1001">
      <c r="A1001">
        <f>IF(AND('Skill Matrix'!A68&lt;&gt;"",'Skill Matrix'!L5&lt;&gt;""),'Skill Matrix'!A68,"")</f>
        <v/>
      </c>
      <c r="B1001">
        <f>IF(A1001="","",'Employees'!C9)</f>
        <v/>
      </c>
      <c r="C1001">
        <f>IF(A1001="","",'Employees'!D9)</f>
        <v/>
      </c>
      <c r="D1001">
        <f>IF(A1001="","",'Skill Matrix'!C68)</f>
        <v/>
      </c>
      <c r="E1001">
        <f>IF(A1001="","",'Skill Matrix'!D68)</f>
        <v/>
      </c>
      <c r="F1001">
        <f>IF(AND('Skill Matrix'!A68&lt;&gt;"",'Skill Matrix'!L5&lt;&gt;""),'Skill Matrix'!L5,"")</f>
        <v/>
      </c>
      <c r="G1001">
        <f>IF(OR(A1001="",'Skill Matrix'!L68=""),"",'Skill Matrix'!L68)</f>
        <v/>
      </c>
      <c r="H1001">
        <f>IF(A1001="","",'Employees'!F9)</f>
        <v/>
      </c>
    </row>
    <row r="1002">
      <c r="A1002">
        <f>IF(AND('Skill Matrix'!A68&lt;&gt;"",'Skill Matrix'!M5&lt;&gt;""),'Skill Matrix'!A68,"")</f>
        <v/>
      </c>
      <c r="B1002">
        <f>IF(A1002="","",'Employees'!C9)</f>
        <v/>
      </c>
      <c r="C1002">
        <f>IF(A1002="","",'Employees'!D9)</f>
        <v/>
      </c>
      <c r="D1002">
        <f>IF(A1002="","",'Skill Matrix'!C68)</f>
        <v/>
      </c>
      <c r="E1002">
        <f>IF(A1002="","",'Skill Matrix'!D68)</f>
        <v/>
      </c>
      <c r="F1002">
        <f>IF(AND('Skill Matrix'!A68&lt;&gt;"",'Skill Matrix'!M5&lt;&gt;""),'Skill Matrix'!M5,"")</f>
        <v/>
      </c>
      <c r="G1002">
        <f>IF(OR(A1002="",'Skill Matrix'!M68=""),"",'Skill Matrix'!M68)</f>
        <v/>
      </c>
      <c r="H1002">
        <f>IF(A1002="","",'Employees'!F9)</f>
        <v/>
      </c>
    </row>
    <row r="1003">
      <c r="A1003">
        <f>IF(AND('Skill Matrix'!A68&lt;&gt;"",'Skill Matrix'!N5&lt;&gt;""),'Skill Matrix'!A68,"")</f>
        <v/>
      </c>
      <c r="B1003">
        <f>IF(A1003="","",'Employees'!C9)</f>
        <v/>
      </c>
      <c r="C1003">
        <f>IF(A1003="","",'Employees'!D9)</f>
        <v/>
      </c>
      <c r="D1003">
        <f>IF(A1003="","",'Skill Matrix'!C68)</f>
        <v/>
      </c>
      <c r="E1003">
        <f>IF(A1003="","",'Skill Matrix'!D68)</f>
        <v/>
      </c>
      <c r="F1003">
        <f>IF(AND('Skill Matrix'!A68&lt;&gt;"",'Skill Matrix'!N5&lt;&gt;""),'Skill Matrix'!N5,"")</f>
        <v/>
      </c>
      <c r="G1003">
        <f>IF(OR(A1003="",'Skill Matrix'!N68=""),"",'Skill Matrix'!N68)</f>
        <v/>
      </c>
      <c r="H1003">
        <f>IF(A1003="","",'Employees'!F9)</f>
        <v/>
      </c>
    </row>
    <row r="1004">
      <c r="A1004">
        <f>IF(AND('Skill Matrix'!A68&lt;&gt;"",'Skill Matrix'!O5&lt;&gt;""),'Skill Matrix'!A68,"")</f>
        <v/>
      </c>
      <c r="B1004">
        <f>IF(A1004="","",'Employees'!C9)</f>
        <v/>
      </c>
      <c r="C1004">
        <f>IF(A1004="","",'Employees'!D9)</f>
        <v/>
      </c>
      <c r="D1004">
        <f>IF(A1004="","",'Skill Matrix'!C68)</f>
        <v/>
      </c>
      <c r="E1004">
        <f>IF(A1004="","",'Skill Matrix'!D68)</f>
        <v/>
      </c>
      <c r="F1004">
        <f>IF(AND('Skill Matrix'!A68&lt;&gt;"",'Skill Matrix'!O5&lt;&gt;""),'Skill Matrix'!O5,"")</f>
        <v/>
      </c>
      <c r="G1004">
        <f>IF(OR(A1004="",'Skill Matrix'!O68=""),"",'Skill Matrix'!O68)</f>
        <v/>
      </c>
      <c r="H1004">
        <f>IF(A1004="","",'Employees'!F9)</f>
        <v/>
      </c>
    </row>
    <row r="1005">
      <c r="A1005">
        <f>IF(AND('Skill Matrix'!A68&lt;&gt;"",'Skill Matrix'!P5&lt;&gt;""),'Skill Matrix'!A68,"")</f>
        <v/>
      </c>
      <c r="B1005">
        <f>IF(A1005="","",'Employees'!C9)</f>
        <v/>
      </c>
      <c r="C1005">
        <f>IF(A1005="","",'Employees'!D9)</f>
        <v/>
      </c>
      <c r="D1005">
        <f>IF(A1005="","",'Skill Matrix'!C68)</f>
        <v/>
      </c>
      <c r="E1005">
        <f>IF(A1005="","",'Skill Matrix'!D68)</f>
        <v/>
      </c>
      <c r="F1005">
        <f>IF(AND('Skill Matrix'!A68&lt;&gt;"",'Skill Matrix'!P5&lt;&gt;""),'Skill Matrix'!P5,"")</f>
        <v/>
      </c>
      <c r="G1005">
        <f>IF(OR(A1005="",'Skill Matrix'!P68=""),"",'Skill Matrix'!P68)</f>
        <v/>
      </c>
      <c r="H1005">
        <f>IF(A1005="","",'Employees'!F9)</f>
        <v/>
      </c>
    </row>
    <row r="1006">
      <c r="A1006">
        <f>IF(AND('Skill Matrix'!A68&lt;&gt;"",'Skill Matrix'!Q5&lt;&gt;""),'Skill Matrix'!A68,"")</f>
        <v/>
      </c>
      <c r="B1006">
        <f>IF(A1006="","",'Employees'!C9)</f>
        <v/>
      </c>
      <c r="C1006">
        <f>IF(A1006="","",'Employees'!D9)</f>
        <v/>
      </c>
      <c r="D1006">
        <f>IF(A1006="","",'Skill Matrix'!C68)</f>
        <v/>
      </c>
      <c r="E1006">
        <f>IF(A1006="","",'Skill Matrix'!D68)</f>
        <v/>
      </c>
      <c r="F1006">
        <f>IF(AND('Skill Matrix'!A68&lt;&gt;"",'Skill Matrix'!Q5&lt;&gt;""),'Skill Matrix'!Q5,"")</f>
        <v/>
      </c>
      <c r="G1006">
        <f>IF(OR(A1006="",'Skill Matrix'!Q68=""),"",'Skill Matrix'!Q68)</f>
        <v/>
      </c>
      <c r="H1006">
        <f>IF(A1006="","",'Employees'!F9)</f>
        <v/>
      </c>
    </row>
    <row r="1007">
      <c r="A1007">
        <f>IF(AND('Skill Matrix'!A68&lt;&gt;"",'Skill Matrix'!R5&lt;&gt;""),'Skill Matrix'!A68,"")</f>
        <v/>
      </c>
      <c r="B1007">
        <f>IF(A1007="","",'Employees'!C9)</f>
        <v/>
      </c>
      <c r="C1007">
        <f>IF(A1007="","",'Employees'!D9)</f>
        <v/>
      </c>
      <c r="D1007">
        <f>IF(A1007="","",'Skill Matrix'!C68)</f>
        <v/>
      </c>
      <c r="E1007">
        <f>IF(A1007="","",'Skill Matrix'!D68)</f>
        <v/>
      </c>
      <c r="F1007">
        <f>IF(AND('Skill Matrix'!A68&lt;&gt;"",'Skill Matrix'!R5&lt;&gt;""),'Skill Matrix'!R5,"")</f>
        <v/>
      </c>
      <c r="G1007">
        <f>IF(OR(A1007="",'Skill Matrix'!R68=""),"",'Skill Matrix'!R68)</f>
        <v/>
      </c>
      <c r="H1007">
        <f>IF(A1007="","",'Employees'!F9)</f>
        <v/>
      </c>
    </row>
    <row r="1008">
      <c r="A1008">
        <f>IF(AND('Skill Matrix'!A68&lt;&gt;"",'Skill Matrix'!S5&lt;&gt;""),'Skill Matrix'!A68,"")</f>
        <v/>
      </c>
      <c r="B1008">
        <f>IF(A1008="","",'Employees'!C9)</f>
        <v/>
      </c>
      <c r="C1008">
        <f>IF(A1008="","",'Employees'!D9)</f>
        <v/>
      </c>
      <c r="D1008">
        <f>IF(A1008="","",'Skill Matrix'!C68)</f>
        <v/>
      </c>
      <c r="E1008">
        <f>IF(A1008="","",'Skill Matrix'!D68)</f>
        <v/>
      </c>
      <c r="F1008">
        <f>IF(AND('Skill Matrix'!A68&lt;&gt;"",'Skill Matrix'!S5&lt;&gt;""),'Skill Matrix'!S5,"")</f>
        <v/>
      </c>
      <c r="G1008">
        <f>IF(OR(A1008="",'Skill Matrix'!S68=""),"",'Skill Matrix'!S68)</f>
        <v/>
      </c>
      <c r="H1008">
        <f>IF(A1008="","",'Employees'!F9)</f>
        <v/>
      </c>
    </row>
    <row r="1009">
      <c r="A1009">
        <f>IF(AND('Skill Matrix'!A68&lt;&gt;"",'Skill Matrix'!T5&lt;&gt;""),'Skill Matrix'!A68,"")</f>
        <v/>
      </c>
      <c r="B1009">
        <f>IF(A1009="","",'Employees'!C9)</f>
        <v/>
      </c>
      <c r="C1009">
        <f>IF(A1009="","",'Employees'!D9)</f>
        <v/>
      </c>
      <c r="D1009">
        <f>IF(A1009="","",'Skill Matrix'!C68)</f>
        <v/>
      </c>
      <c r="E1009">
        <f>IF(A1009="","",'Skill Matrix'!D68)</f>
        <v/>
      </c>
      <c r="F1009">
        <f>IF(AND('Skill Matrix'!A68&lt;&gt;"",'Skill Matrix'!T5&lt;&gt;""),'Skill Matrix'!T5,"")</f>
        <v/>
      </c>
      <c r="G1009">
        <f>IF(OR(A1009="",'Skill Matrix'!T68=""),"",'Skill Matrix'!T68)</f>
        <v/>
      </c>
      <c r="H1009">
        <f>IF(A1009="","",'Employees'!F9)</f>
        <v/>
      </c>
    </row>
    <row r="1010">
      <c r="A1010">
        <f>IF(AND('Skill Matrix'!A69&lt;&gt;"",'Skill Matrix'!E5&lt;&gt;""),'Skill Matrix'!A69,"")</f>
        <v/>
      </c>
      <c r="B1010">
        <f>IF(A1010="","",'Employees'!C9)</f>
        <v/>
      </c>
      <c r="C1010">
        <f>IF(A1010="","",'Employees'!D9)</f>
        <v/>
      </c>
      <c r="D1010">
        <f>IF(A1010="","",'Skill Matrix'!C69)</f>
        <v/>
      </c>
      <c r="E1010">
        <f>IF(A1010="","",'Skill Matrix'!D69)</f>
        <v/>
      </c>
      <c r="F1010">
        <f>IF(AND('Skill Matrix'!A69&lt;&gt;"",'Skill Matrix'!E5&lt;&gt;""),'Skill Matrix'!E5,"")</f>
        <v/>
      </c>
      <c r="G1010">
        <f>IF(OR(A1010="",'Skill Matrix'!E69=""),"",'Skill Matrix'!E69)</f>
        <v/>
      </c>
      <c r="H1010">
        <f>IF(A1010="","",'Employees'!F9)</f>
        <v/>
      </c>
    </row>
    <row r="1011">
      <c r="A1011">
        <f>IF(AND('Skill Matrix'!A69&lt;&gt;"",'Skill Matrix'!F5&lt;&gt;""),'Skill Matrix'!A69,"")</f>
        <v/>
      </c>
      <c r="B1011">
        <f>IF(A1011="","",'Employees'!C9)</f>
        <v/>
      </c>
      <c r="C1011">
        <f>IF(A1011="","",'Employees'!D9)</f>
        <v/>
      </c>
      <c r="D1011">
        <f>IF(A1011="","",'Skill Matrix'!C69)</f>
        <v/>
      </c>
      <c r="E1011">
        <f>IF(A1011="","",'Skill Matrix'!D69)</f>
        <v/>
      </c>
      <c r="F1011">
        <f>IF(AND('Skill Matrix'!A69&lt;&gt;"",'Skill Matrix'!F5&lt;&gt;""),'Skill Matrix'!F5,"")</f>
        <v/>
      </c>
      <c r="G1011">
        <f>IF(OR(A1011="",'Skill Matrix'!F69=""),"",'Skill Matrix'!F69)</f>
        <v/>
      </c>
      <c r="H1011">
        <f>IF(A1011="","",'Employees'!F9)</f>
        <v/>
      </c>
    </row>
    <row r="1012">
      <c r="A1012">
        <f>IF(AND('Skill Matrix'!A69&lt;&gt;"",'Skill Matrix'!G5&lt;&gt;""),'Skill Matrix'!A69,"")</f>
        <v/>
      </c>
      <c r="B1012">
        <f>IF(A1012="","",'Employees'!C9)</f>
        <v/>
      </c>
      <c r="C1012">
        <f>IF(A1012="","",'Employees'!D9)</f>
        <v/>
      </c>
      <c r="D1012">
        <f>IF(A1012="","",'Skill Matrix'!C69)</f>
        <v/>
      </c>
      <c r="E1012">
        <f>IF(A1012="","",'Skill Matrix'!D69)</f>
        <v/>
      </c>
      <c r="F1012">
        <f>IF(AND('Skill Matrix'!A69&lt;&gt;"",'Skill Matrix'!G5&lt;&gt;""),'Skill Matrix'!G5,"")</f>
        <v/>
      </c>
      <c r="G1012">
        <f>IF(OR(A1012="",'Skill Matrix'!G69=""),"",'Skill Matrix'!G69)</f>
        <v/>
      </c>
      <c r="H1012">
        <f>IF(A1012="","",'Employees'!F9)</f>
        <v/>
      </c>
    </row>
    <row r="1013">
      <c r="A1013">
        <f>IF(AND('Skill Matrix'!A69&lt;&gt;"",'Skill Matrix'!H5&lt;&gt;""),'Skill Matrix'!A69,"")</f>
        <v/>
      </c>
      <c r="B1013">
        <f>IF(A1013="","",'Employees'!C9)</f>
        <v/>
      </c>
      <c r="C1013">
        <f>IF(A1013="","",'Employees'!D9)</f>
        <v/>
      </c>
      <c r="D1013">
        <f>IF(A1013="","",'Skill Matrix'!C69)</f>
        <v/>
      </c>
      <c r="E1013">
        <f>IF(A1013="","",'Skill Matrix'!D69)</f>
        <v/>
      </c>
      <c r="F1013">
        <f>IF(AND('Skill Matrix'!A69&lt;&gt;"",'Skill Matrix'!H5&lt;&gt;""),'Skill Matrix'!H5,"")</f>
        <v/>
      </c>
      <c r="G1013">
        <f>IF(OR(A1013="",'Skill Matrix'!H69=""),"",'Skill Matrix'!H69)</f>
        <v/>
      </c>
      <c r="H1013">
        <f>IF(A1013="","",'Employees'!F9)</f>
        <v/>
      </c>
    </row>
    <row r="1014">
      <c r="A1014">
        <f>IF(AND('Skill Matrix'!A69&lt;&gt;"",'Skill Matrix'!I5&lt;&gt;""),'Skill Matrix'!A69,"")</f>
        <v/>
      </c>
      <c r="B1014">
        <f>IF(A1014="","",'Employees'!C9)</f>
        <v/>
      </c>
      <c r="C1014">
        <f>IF(A1014="","",'Employees'!D9)</f>
        <v/>
      </c>
      <c r="D1014">
        <f>IF(A1014="","",'Skill Matrix'!C69)</f>
        <v/>
      </c>
      <c r="E1014">
        <f>IF(A1014="","",'Skill Matrix'!D69)</f>
        <v/>
      </c>
      <c r="F1014">
        <f>IF(AND('Skill Matrix'!A69&lt;&gt;"",'Skill Matrix'!I5&lt;&gt;""),'Skill Matrix'!I5,"")</f>
        <v/>
      </c>
      <c r="G1014">
        <f>IF(OR(A1014="",'Skill Matrix'!I69=""),"",'Skill Matrix'!I69)</f>
        <v/>
      </c>
      <c r="H1014">
        <f>IF(A1014="","",'Employees'!F9)</f>
        <v/>
      </c>
    </row>
    <row r="1015">
      <c r="A1015">
        <f>IF(AND('Skill Matrix'!A69&lt;&gt;"",'Skill Matrix'!J5&lt;&gt;""),'Skill Matrix'!A69,"")</f>
        <v/>
      </c>
      <c r="B1015">
        <f>IF(A1015="","",'Employees'!C9)</f>
        <v/>
      </c>
      <c r="C1015">
        <f>IF(A1015="","",'Employees'!D9)</f>
        <v/>
      </c>
      <c r="D1015">
        <f>IF(A1015="","",'Skill Matrix'!C69)</f>
        <v/>
      </c>
      <c r="E1015">
        <f>IF(A1015="","",'Skill Matrix'!D69)</f>
        <v/>
      </c>
      <c r="F1015">
        <f>IF(AND('Skill Matrix'!A69&lt;&gt;"",'Skill Matrix'!J5&lt;&gt;""),'Skill Matrix'!J5,"")</f>
        <v/>
      </c>
      <c r="G1015">
        <f>IF(OR(A1015="",'Skill Matrix'!J69=""),"",'Skill Matrix'!J69)</f>
        <v/>
      </c>
      <c r="H1015">
        <f>IF(A1015="","",'Employees'!F9)</f>
        <v/>
      </c>
    </row>
    <row r="1016">
      <c r="A1016">
        <f>IF(AND('Skill Matrix'!A69&lt;&gt;"",'Skill Matrix'!K5&lt;&gt;""),'Skill Matrix'!A69,"")</f>
        <v/>
      </c>
      <c r="B1016">
        <f>IF(A1016="","",'Employees'!C9)</f>
        <v/>
      </c>
      <c r="C1016">
        <f>IF(A1016="","",'Employees'!D9)</f>
        <v/>
      </c>
      <c r="D1016">
        <f>IF(A1016="","",'Skill Matrix'!C69)</f>
        <v/>
      </c>
      <c r="E1016">
        <f>IF(A1016="","",'Skill Matrix'!D69)</f>
        <v/>
      </c>
      <c r="F1016">
        <f>IF(AND('Skill Matrix'!A69&lt;&gt;"",'Skill Matrix'!K5&lt;&gt;""),'Skill Matrix'!K5,"")</f>
        <v/>
      </c>
      <c r="G1016">
        <f>IF(OR(A1016="",'Skill Matrix'!K69=""),"",'Skill Matrix'!K69)</f>
        <v/>
      </c>
      <c r="H1016">
        <f>IF(A1016="","",'Employees'!F9)</f>
        <v/>
      </c>
    </row>
    <row r="1017">
      <c r="A1017">
        <f>IF(AND('Skill Matrix'!A69&lt;&gt;"",'Skill Matrix'!L5&lt;&gt;""),'Skill Matrix'!A69,"")</f>
        <v/>
      </c>
      <c r="B1017">
        <f>IF(A1017="","",'Employees'!C9)</f>
        <v/>
      </c>
      <c r="C1017">
        <f>IF(A1017="","",'Employees'!D9)</f>
        <v/>
      </c>
      <c r="D1017">
        <f>IF(A1017="","",'Skill Matrix'!C69)</f>
        <v/>
      </c>
      <c r="E1017">
        <f>IF(A1017="","",'Skill Matrix'!D69)</f>
        <v/>
      </c>
      <c r="F1017">
        <f>IF(AND('Skill Matrix'!A69&lt;&gt;"",'Skill Matrix'!L5&lt;&gt;""),'Skill Matrix'!L5,"")</f>
        <v/>
      </c>
      <c r="G1017">
        <f>IF(OR(A1017="",'Skill Matrix'!L69=""),"",'Skill Matrix'!L69)</f>
        <v/>
      </c>
      <c r="H1017">
        <f>IF(A1017="","",'Employees'!F9)</f>
        <v/>
      </c>
    </row>
    <row r="1018">
      <c r="A1018">
        <f>IF(AND('Skill Matrix'!A69&lt;&gt;"",'Skill Matrix'!M5&lt;&gt;""),'Skill Matrix'!A69,"")</f>
        <v/>
      </c>
      <c r="B1018">
        <f>IF(A1018="","",'Employees'!C9)</f>
        <v/>
      </c>
      <c r="C1018">
        <f>IF(A1018="","",'Employees'!D9)</f>
        <v/>
      </c>
      <c r="D1018">
        <f>IF(A1018="","",'Skill Matrix'!C69)</f>
        <v/>
      </c>
      <c r="E1018">
        <f>IF(A1018="","",'Skill Matrix'!D69)</f>
        <v/>
      </c>
      <c r="F1018">
        <f>IF(AND('Skill Matrix'!A69&lt;&gt;"",'Skill Matrix'!M5&lt;&gt;""),'Skill Matrix'!M5,"")</f>
        <v/>
      </c>
      <c r="G1018">
        <f>IF(OR(A1018="",'Skill Matrix'!M69=""),"",'Skill Matrix'!M69)</f>
        <v/>
      </c>
      <c r="H1018">
        <f>IF(A1018="","",'Employees'!F9)</f>
        <v/>
      </c>
    </row>
    <row r="1019">
      <c r="A1019">
        <f>IF(AND('Skill Matrix'!A69&lt;&gt;"",'Skill Matrix'!N5&lt;&gt;""),'Skill Matrix'!A69,"")</f>
        <v/>
      </c>
      <c r="B1019">
        <f>IF(A1019="","",'Employees'!C9)</f>
        <v/>
      </c>
      <c r="C1019">
        <f>IF(A1019="","",'Employees'!D9)</f>
        <v/>
      </c>
      <c r="D1019">
        <f>IF(A1019="","",'Skill Matrix'!C69)</f>
        <v/>
      </c>
      <c r="E1019">
        <f>IF(A1019="","",'Skill Matrix'!D69)</f>
        <v/>
      </c>
      <c r="F1019">
        <f>IF(AND('Skill Matrix'!A69&lt;&gt;"",'Skill Matrix'!N5&lt;&gt;""),'Skill Matrix'!N5,"")</f>
        <v/>
      </c>
      <c r="G1019">
        <f>IF(OR(A1019="",'Skill Matrix'!N69=""),"",'Skill Matrix'!N69)</f>
        <v/>
      </c>
      <c r="H1019">
        <f>IF(A1019="","",'Employees'!F9)</f>
        <v/>
      </c>
    </row>
    <row r="1020">
      <c r="A1020">
        <f>IF(AND('Skill Matrix'!A69&lt;&gt;"",'Skill Matrix'!O5&lt;&gt;""),'Skill Matrix'!A69,"")</f>
        <v/>
      </c>
      <c r="B1020">
        <f>IF(A1020="","",'Employees'!C9)</f>
        <v/>
      </c>
      <c r="C1020">
        <f>IF(A1020="","",'Employees'!D9)</f>
        <v/>
      </c>
      <c r="D1020">
        <f>IF(A1020="","",'Skill Matrix'!C69)</f>
        <v/>
      </c>
      <c r="E1020">
        <f>IF(A1020="","",'Skill Matrix'!D69)</f>
        <v/>
      </c>
      <c r="F1020">
        <f>IF(AND('Skill Matrix'!A69&lt;&gt;"",'Skill Matrix'!O5&lt;&gt;""),'Skill Matrix'!O5,"")</f>
        <v/>
      </c>
      <c r="G1020">
        <f>IF(OR(A1020="",'Skill Matrix'!O69=""),"",'Skill Matrix'!O69)</f>
        <v/>
      </c>
      <c r="H1020">
        <f>IF(A1020="","",'Employees'!F9)</f>
        <v/>
      </c>
    </row>
    <row r="1021">
      <c r="A1021">
        <f>IF(AND('Skill Matrix'!A69&lt;&gt;"",'Skill Matrix'!P5&lt;&gt;""),'Skill Matrix'!A69,"")</f>
        <v/>
      </c>
      <c r="B1021">
        <f>IF(A1021="","",'Employees'!C9)</f>
        <v/>
      </c>
      <c r="C1021">
        <f>IF(A1021="","",'Employees'!D9)</f>
        <v/>
      </c>
      <c r="D1021">
        <f>IF(A1021="","",'Skill Matrix'!C69)</f>
        <v/>
      </c>
      <c r="E1021">
        <f>IF(A1021="","",'Skill Matrix'!D69)</f>
        <v/>
      </c>
      <c r="F1021">
        <f>IF(AND('Skill Matrix'!A69&lt;&gt;"",'Skill Matrix'!P5&lt;&gt;""),'Skill Matrix'!P5,"")</f>
        <v/>
      </c>
      <c r="G1021">
        <f>IF(OR(A1021="",'Skill Matrix'!P69=""),"",'Skill Matrix'!P69)</f>
        <v/>
      </c>
      <c r="H1021">
        <f>IF(A1021="","",'Employees'!F9)</f>
        <v/>
      </c>
    </row>
    <row r="1022">
      <c r="A1022">
        <f>IF(AND('Skill Matrix'!A69&lt;&gt;"",'Skill Matrix'!Q5&lt;&gt;""),'Skill Matrix'!A69,"")</f>
        <v/>
      </c>
      <c r="B1022">
        <f>IF(A1022="","",'Employees'!C9)</f>
        <v/>
      </c>
      <c r="C1022">
        <f>IF(A1022="","",'Employees'!D9)</f>
        <v/>
      </c>
      <c r="D1022">
        <f>IF(A1022="","",'Skill Matrix'!C69)</f>
        <v/>
      </c>
      <c r="E1022">
        <f>IF(A1022="","",'Skill Matrix'!D69)</f>
        <v/>
      </c>
      <c r="F1022">
        <f>IF(AND('Skill Matrix'!A69&lt;&gt;"",'Skill Matrix'!Q5&lt;&gt;""),'Skill Matrix'!Q5,"")</f>
        <v/>
      </c>
      <c r="G1022">
        <f>IF(OR(A1022="",'Skill Matrix'!Q69=""),"",'Skill Matrix'!Q69)</f>
        <v/>
      </c>
      <c r="H1022">
        <f>IF(A1022="","",'Employees'!F9)</f>
        <v/>
      </c>
    </row>
    <row r="1023">
      <c r="A1023">
        <f>IF(AND('Skill Matrix'!A69&lt;&gt;"",'Skill Matrix'!R5&lt;&gt;""),'Skill Matrix'!A69,"")</f>
        <v/>
      </c>
      <c r="B1023">
        <f>IF(A1023="","",'Employees'!C9)</f>
        <v/>
      </c>
      <c r="C1023">
        <f>IF(A1023="","",'Employees'!D9)</f>
        <v/>
      </c>
      <c r="D1023">
        <f>IF(A1023="","",'Skill Matrix'!C69)</f>
        <v/>
      </c>
      <c r="E1023">
        <f>IF(A1023="","",'Skill Matrix'!D69)</f>
        <v/>
      </c>
      <c r="F1023">
        <f>IF(AND('Skill Matrix'!A69&lt;&gt;"",'Skill Matrix'!R5&lt;&gt;""),'Skill Matrix'!R5,"")</f>
        <v/>
      </c>
      <c r="G1023">
        <f>IF(OR(A1023="",'Skill Matrix'!R69=""),"",'Skill Matrix'!R69)</f>
        <v/>
      </c>
      <c r="H1023">
        <f>IF(A1023="","",'Employees'!F9)</f>
        <v/>
      </c>
    </row>
    <row r="1024">
      <c r="A1024">
        <f>IF(AND('Skill Matrix'!A69&lt;&gt;"",'Skill Matrix'!S5&lt;&gt;""),'Skill Matrix'!A69,"")</f>
        <v/>
      </c>
      <c r="B1024">
        <f>IF(A1024="","",'Employees'!C9)</f>
        <v/>
      </c>
      <c r="C1024">
        <f>IF(A1024="","",'Employees'!D9)</f>
        <v/>
      </c>
      <c r="D1024">
        <f>IF(A1024="","",'Skill Matrix'!C69)</f>
        <v/>
      </c>
      <c r="E1024">
        <f>IF(A1024="","",'Skill Matrix'!D69)</f>
        <v/>
      </c>
      <c r="F1024">
        <f>IF(AND('Skill Matrix'!A69&lt;&gt;"",'Skill Matrix'!S5&lt;&gt;""),'Skill Matrix'!S5,"")</f>
        <v/>
      </c>
      <c r="G1024">
        <f>IF(OR(A1024="",'Skill Matrix'!S69=""),"",'Skill Matrix'!S69)</f>
        <v/>
      </c>
      <c r="H1024">
        <f>IF(A1024="","",'Employees'!F9)</f>
        <v/>
      </c>
    </row>
    <row r="1025">
      <c r="A1025">
        <f>IF(AND('Skill Matrix'!A69&lt;&gt;"",'Skill Matrix'!T5&lt;&gt;""),'Skill Matrix'!A69,"")</f>
        <v/>
      </c>
      <c r="B1025">
        <f>IF(A1025="","",'Employees'!C9)</f>
        <v/>
      </c>
      <c r="C1025">
        <f>IF(A1025="","",'Employees'!D9)</f>
        <v/>
      </c>
      <c r="D1025">
        <f>IF(A1025="","",'Skill Matrix'!C69)</f>
        <v/>
      </c>
      <c r="E1025">
        <f>IF(A1025="","",'Skill Matrix'!D69)</f>
        <v/>
      </c>
      <c r="F1025">
        <f>IF(AND('Skill Matrix'!A69&lt;&gt;"",'Skill Matrix'!T5&lt;&gt;""),'Skill Matrix'!T5,"")</f>
        <v/>
      </c>
      <c r="G1025">
        <f>IF(OR(A1025="",'Skill Matrix'!T69=""),"",'Skill Matrix'!T69)</f>
        <v/>
      </c>
      <c r="H1025">
        <f>IF(A1025="","",'Employees'!F9)</f>
        <v/>
      </c>
    </row>
    <row r="1026">
      <c r="A1026">
        <f>IF(AND('Skill Matrix'!A70&lt;&gt;"",'Skill Matrix'!E5&lt;&gt;""),'Skill Matrix'!A70,"")</f>
        <v/>
      </c>
      <c r="B1026">
        <f>IF(A1026="","",'Employees'!C10)</f>
        <v/>
      </c>
      <c r="C1026">
        <f>IF(A1026="","",'Employees'!D10)</f>
        <v/>
      </c>
      <c r="D1026">
        <f>IF(A1026="","",'Skill Matrix'!C70)</f>
        <v/>
      </c>
      <c r="E1026">
        <f>IF(A1026="","",'Skill Matrix'!D70)</f>
        <v/>
      </c>
      <c r="F1026">
        <f>IF(AND('Skill Matrix'!A70&lt;&gt;"",'Skill Matrix'!E5&lt;&gt;""),'Skill Matrix'!E5,"")</f>
        <v/>
      </c>
      <c r="G1026">
        <f>IF(OR(A1026="",'Skill Matrix'!E70=""),"",'Skill Matrix'!E70)</f>
        <v/>
      </c>
      <c r="H1026">
        <f>IF(A1026="","",'Employees'!F10)</f>
        <v/>
      </c>
    </row>
    <row r="1027">
      <c r="A1027">
        <f>IF(AND('Skill Matrix'!A70&lt;&gt;"",'Skill Matrix'!F5&lt;&gt;""),'Skill Matrix'!A70,"")</f>
        <v/>
      </c>
      <c r="B1027">
        <f>IF(A1027="","",'Employees'!C10)</f>
        <v/>
      </c>
      <c r="C1027">
        <f>IF(A1027="","",'Employees'!D10)</f>
        <v/>
      </c>
      <c r="D1027">
        <f>IF(A1027="","",'Skill Matrix'!C70)</f>
        <v/>
      </c>
      <c r="E1027">
        <f>IF(A1027="","",'Skill Matrix'!D70)</f>
        <v/>
      </c>
      <c r="F1027">
        <f>IF(AND('Skill Matrix'!A70&lt;&gt;"",'Skill Matrix'!F5&lt;&gt;""),'Skill Matrix'!F5,"")</f>
        <v/>
      </c>
      <c r="G1027">
        <f>IF(OR(A1027="",'Skill Matrix'!F70=""),"",'Skill Matrix'!F70)</f>
        <v/>
      </c>
      <c r="H1027">
        <f>IF(A1027="","",'Employees'!F10)</f>
        <v/>
      </c>
    </row>
    <row r="1028">
      <c r="A1028">
        <f>IF(AND('Skill Matrix'!A70&lt;&gt;"",'Skill Matrix'!G5&lt;&gt;""),'Skill Matrix'!A70,"")</f>
        <v/>
      </c>
      <c r="B1028">
        <f>IF(A1028="","",'Employees'!C10)</f>
        <v/>
      </c>
      <c r="C1028">
        <f>IF(A1028="","",'Employees'!D10)</f>
        <v/>
      </c>
      <c r="D1028">
        <f>IF(A1028="","",'Skill Matrix'!C70)</f>
        <v/>
      </c>
      <c r="E1028">
        <f>IF(A1028="","",'Skill Matrix'!D70)</f>
        <v/>
      </c>
      <c r="F1028">
        <f>IF(AND('Skill Matrix'!A70&lt;&gt;"",'Skill Matrix'!G5&lt;&gt;""),'Skill Matrix'!G5,"")</f>
        <v/>
      </c>
      <c r="G1028">
        <f>IF(OR(A1028="",'Skill Matrix'!G70=""),"",'Skill Matrix'!G70)</f>
        <v/>
      </c>
      <c r="H1028">
        <f>IF(A1028="","",'Employees'!F10)</f>
        <v/>
      </c>
    </row>
    <row r="1029">
      <c r="A1029">
        <f>IF(AND('Skill Matrix'!A70&lt;&gt;"",'Skill Matrix'!H5&lt;&gt;""),'Skill Matrix'!A70,"")</f>
        <v/>
      </c>
      <c r="B1029">
        <f>IF(A1029="","",'Employees'!C10)</f>
        <v/>
      </c>
      <c r="C1029">
        <f>IF(A1029="","",'Employees'!D10)</f>
        <v/>
      </c>
      <c r="D1029">
        <f>IF(A1029="","",'Skill Matrix'!C70)</f>
        <v/>
      </c>
      <c r="E1029">
        <f>IF(A1029="","",'Skill Matrix'!D70)</f>
        <v/>
      </c>
      <c r="F1029">
        <f>IF(AND('Skill Matrix'!A70&lt;&gt;"",'Skill Matrix'!H5&lt;&gt;""),'Skill Matrix'!H5,"")</f>
        <v/>
      </c>
      <c r="G1029">
        <f>IF(OR(A1029="",'Skill Matrix'!H70=""),"",'Skill Matrix'!H70)</f>
        <v/>
      </c>
      <c r="H1029">
        <f>IF(A1029="","",'Employees'!F10)</f>
        <v/>
      </c>
    </row>
    <row r="1030">
      <c r="A1030">
        <f>IF(AND('Skill Matrix'!A70&lt;&gt;"",'Skill Matrix'!I5&lt;&gt;""),'Skill Matrix'!A70,"")</f>
        <v/>
      </c>
      <c r="B1030">
        <f>IF(A1030="","",'Employees'!C10)</f>
        <v/>
      </c>
      <c r="C1030">
        <f>IF(A1030="","",'Employees'!D10)</f>
        <v/>
      </c>
      <c r="D1030">
        <f>IF(A1030="","",'Skill Matrix'!C70)</f>
        <v/>
      </c>
      <c r="E1030">
        <f>IF(A1030="","",'Skill Matrix'!D70)</f>
        <v/>
      </c>
      <c r="F1030">
        <f>IF(AND('Skill Matrix'!A70&lt;&gt;"",'Skill Matrix'!I5&lt;&gt;""),'Skill Matrix'!I5,"")</f>
        <v/>
      </c>
      <c r="G1030">
        <f>IF(OR(A1030="",'Skill Matrix'!I70=""),"",'Skill Matrix'!I70)</f>
        <v/>
      </c>
      <c r="H1030">
        <f>IF(A1030="","",'Employees'!F10)</f>
        <v/>
      </c>
    </row>
    <row r="1031">
      <c r="A1031">
        <f>IF(AND('Skill Matrix'!A70&lt;&gt;"",'Skill Matrix'!J5&lt;&gt;""),'Skill Matrix'!A70,"")</f>
        <v/>
      </c>
      <c r="B1031">
        <f>IF(A1031="","",'Employees'!C10)</f>
        <v/>
      </c>
      <c r="C1031">
        <f>IF(A1031="","",'Employees'!D10)</f>
        <v/>
      </c>
      <c r="D1031">
        <f>IF(A1031="","",'Skill Matrix'!C70)</f>
        <v/>
      </c>
      <c r="E1031">
        <f>IF(A1031="","",'Skill Matrix'!D70)</f>
        <v/>
      </c>
      <c r="F1031">
        <f>IF(AND('Skill Matrix'!A70&lt;&gt;"",'Skill Matrix'!J5&lt;&gt;""),'Skill Matrix'!J5,"")</f>
        <v/>
      </c>
      <c r="G1031">
        <f>IF(OR(A1031="",'Skill Matrix'!J70=""),"",'Skill Matrix'!J70)</f>
        <v/>
      </c>
      <c r="H1031">
        <f>IF(A1031="","",'Employees'!F10)</f>
        <v/>
      </c>
    </row>
    <row r="1032">
      <c r="A1032">
        <f>IF(AND('Skill Matrix'!A70&lt;&gt;"",'Skill Matrix'!K5&lt;&gt;""),'Skill Matrix'!A70,"")</f>
        <v/>
      </c>
      <c r="B1032">
        <f>IF(A1032="","",'Employees'!C10)</f>
        <v/>
      </c>
      <c r="C1032">
        <f>IF(A1032="","",'Employees'!D10)</f>
        <v/>
      </c>
      <c r="D1032">
        <f>IF(A1032="","",'Skill Matrix'!C70)</f>
        <v/>
      </c>
      <c r="E1032">
        <f>IF(A1032="","",'Skill Matrix'!D70)</f>
        <v/>
      </c>
      <c r="F1032">
        <f>IF(AND('Skill Matrix'!A70&lt;&gt;"",'Skill Matrix'!K5&lt;&gt;""),'Skill Matrix'!K5,"")</f>
        <v/>
      </c>
      <c r="G1032">
        <f>IF(OR(A1032="",'Skill Matrix'!K70=""),"",'Skill Matrix'!K70)</f>
        <v/>
      </c>
      <c r="H1032">
        <f>IF(A1032="","",'Employees'!F10)</f>
        <v/>
      </c>
    </row>
    <row r="1033">
      <c r="A1033">
        <f>IF(AND('Skill Matrix'!A70&lt;&gt;"",'Skill Matrix'!L5&lt;&gt;""),'Skill Matrix'!A70,"")</f>
        <v/>
      </c>
      <c r="B1033">
        <f>IF(A1033="","",'Employees'!C10)</f>
        <v/>
      </c>
      <c r="C1033">
        <f>IF(A1033="","",'Employees'!D10)</f>
        <v/>
      </c>
      <c r="D1033">
        <f>IF(A1033="","",'Skill Matrix'!C70)</f>
        <v/>
      </c>
      <c r="E1033">
        <f>IF(A1033="","",'Skill Matrix'!D70)</f>
        <v/>
      </c>
      <c r="F1033">
        <f>IF(AND('Skill Matrix'!A70&lt;&gt;"",'Skill Matrix'!L5&lt;&gt;""),'Skill Matrix'!L5,"")</f>
        <v/>
      </c>
      <c r="G1033">
        <f>IF(OR(A1033="",'Skill Matrix'!L70=""),"",'Skill Matrix'!L70)</f>
        <v/>
      </c>
      <c r="H1033">
        <f>IF(A1033="","",'Employees'!F10)</f>
        <v/>
      </c>
    </row>
    <row r="1034">
      <c r="A1034">
        <f>IF(AND('Skill Matrix'!A70&lt;&gt;"",'Skill Matrix'!M5&lt;&gt;""),'Skill Matrix'!A70,"")</f>
        <v/>
      </c>
      <c r="B1034">
        <f>IF(A1034="","",'Employees'!C10)</f>
        <v/>
      </c>
      <c r="C1034">
        <f>IF(A1034="","",'Employees'!D10)</f>
        <v/>
      </c>
      <c r="D1034">
        <f>IF(A1034="","",'Skill Matrix'!C70)</f>
        <v/>
      </c>
      <c r="E1034">
        <f>IF(A1034="","",'Skill Matrix'!D70)</f>
        <v/>
      </c>
      <c r="F1034">
        <f>IF(AND('Skill Matrix'!A70&lt;&gt;"",'Skill Matrix'!M5&lt;&gt;""),'Skill Matrix'!M5,"")</f>
        <v/>
      </c>
      <c r="G1034">
        <f>IF(OR(A1034="",'Skill Matrix'!M70=""),"",'Skill Matrix'!M70)</f>
        <v/>
      </c>
      <c r="H1034">
        <f>IF(A1034="","",'Employees'!F10)</f>
        <v/>
      </c>
    </row>
    <row r="1035">
      <c r="A1035">
        <f>IF(AND('Skill Matrix'!A70&lt;&gt;"",'Skill Matrix'!N5&lt;&gt;""),'Skill Matrix'!A70,"")</f>
        <v/>
      </c>
      <c r="B1035">
        <f>IF(A1035="","",'Employees'!C10)</f>
        <v/>
      </c>
      <c r="C1035">
        <f>IF(A1035="","",'Employees'!D10)</f>
        <v/>
      </c>
      <c r="D1035">
        <f>IF(A1035="","",'Skill Matrix'!C70)</f>
        <v/>
      </c>
      <c r="E1035">
        <f>IF(A1035="","",'Skill Matrix'!D70)</f>
        <v/>
      </c>
      <c r="F1035">
        <f>IF(AND('Skill Matrix'!A70&lt;&gt;"",'Skill Matrix'!N5&lt;&gt;""),'Skill Matrix'!N5,"")</f>
        <v/>
      </c>
      <c r="G1035">
        <f>IF(OR(A1035="",'Skill Matrix'!N70=""),"",'Skill Matrix'!N70)</f>
        <v/>
      </c>
      <c r="H1035">
        <f>IF(A1035="","",'Employees'!F10)</f>
        <v/>
      </c>
    </row>
    <row r="1036">
      <c r="A1036">
        <f>IF(AND('Skill Matrix'!A70&lt;&gt;"",'Skill Matrix'!O5&lt;&gt;""),'Skill Matrix'!A70,"")</f>
        <v/>
      </c>
      <c r="B1036">
        <f>IF(A1036="","",'Employees'!C10)</f>
        <v/>
      </c>
      <c r="C1036">
        <f>IF(A1036="","",'Employees'!D10)</f>
        <v/>
      </c>
      <c r="D1036">
        <f>IF(A1036="","",'Skill Matrix'!C70)</f>
        <v/>
      </c>
      <c r="E1036">
        <f>IF(A1036="","",'Skill Matrix'!D70)</f>
        <v/>
      </c>
      <c r="F1036">
        <f>IF(AND('Skill Matrix'!A70&lt;&gt;"",'Skill Matrix'!O5&lt;&gt;""),'Skill Matrix'!O5,"")</f>
        <v/>
      </c>
      <c r="G1036">
        <f>IF(OR(A1036="",'Skill Matrix'!O70=""),"",'Skill Matrix'!O70)</f>
        <v/>
      </c>
      <c r="H1036">
        <f>IF(A1036="","",'Employees'!F10)</f>
        <v/>
      </c>
    </row>
    <row r="1037">
      <c r="A1037">
        <f>IF(AND('Skill Matrix'!A70&lt;&gt;"",'Skill Matrix'!P5&lt;&gt;""),'Skill Matrix'!A70,"")</f>
        <v/>
      </c>
      <c r="B1037">
        <f>IF(A1037="","",'Employees'!C10)</f>
        <v/>
      </c>
      <c r="C1037">
        <f>IF(A1037="","",'Employees'!D10)</f>
        <v/>
      </c>
      <c r="D1037">
        <f>IF(A1037="","",'Skill Matrix'!C70)</f>
        <v/>
      </c>
      <c r="E1037">
        <f>IF(A1037="","",'Skill Matrix'!D70)</f>
        <v/>
      </c>
      <c r="F1037">
        <f>IF(AND('Skill Matrix'!A70&lt;&gt;"",'Skill Matrix'!P5&lt;&gt;""),'Skill Matrix'!P5,"")</f>
        <v/>
      </c>
      <c r="G1037">
        <f>IF(OR(A1037="",'Skill Matrix'!P70=""),"",'Skill Matrix'!P70)</f>
        <v/>
      </c>
      <c r="H1037">
        <f>IF(A1037="","",'Employees'!F10)</f>
        <v/>
      </c>
    </row>
    <row r="1038">
      <c r="A1038">
        <f>IF(AND('Skill Matrix'!A70&lt;&gt;"",'Skill Matrix'!Q5&lt;&gt;""),'Skill Matrix'!A70,"")</f>
        <v/>
      </c>
      <c r="B1038">
        <f>IF(A1038="","",'Employees'!C10)</f>
        <v/>
      </c>
      <c r="C1038">
        <f>IF(A1038="","",'Employees'!D10)</f>
        <v/>
      </c>
      <c r="D1038">
        <f>IF(A1038="","",'Skill Matrix'!C70)</f>
        <v/>
      </c>
      <c r="E1038">
        <f>IF(A1038="","",'Skill Matrix'!D70)</f>
        <v/>
      </c>
      <c r="F1038">
        <f>IF(AND('Skill Matrix'!A70&lt;&gt;"",'Skill Matrix'!Q5&lt;&gt;""),'Skill Matrix'!Q5,"")</f>
        <v/>
      </c>
      <c r="G1038">
        <f>IF(OR(A1038="",'Skill Matrix'!Q70=""),"",'Skill Matrix'!Q70)</f>
        <v/>
      </c>
      <c r="H1038">
        <f>IF(A1038="","",'Employees'!F10)</f>
        <v/>
      </c>
    </row>
    <row r="1039">
      <c r="A1039">
        <f>IF(AND('Skill Matrix'!A70&lt;&gt;"",'Skill Matrix'!R5&lt;&gt;""),'Skill Matrix'!A70,"")</f>
        <v/>
      </c>
      <c r="B1039">
        <f>IF(A1039="","",'Employees'!C10)</f>
        <v/>
      </c>
      <c r="C1039">
        <f>IF(A1039="","",'Employees'!D10)</f>
        <v/>
      </c>
      <c r="D1039">
        <f>IF(A1039="","",'Skill Matrix'!C70)</f>
        <v/>
      </c>
      <c r="E1039">
        <f>IF(A1039="","",'Skill Matrix'!D70)</f>
        <v/>
      </c>
      <c r="F1039">
        <f>IF(AND('Skill Matrix'!A70&lt;&gt;"",'Skill Matrix'!R5&lt;&gt;""),'Skill Matrix'!R5,"")</f>
        <v/>
      </c>
      <c r="G1039">
        <f>IF(OR(A1039="",'Skill Matrix'!R70=""),"",'Skill Matrix'!R70)</f>
        <v/>
      </c>
      <c r="H1039">
        <f>IF(A1039="","",'Employees'!F10)</f>
        <v/>
      </c>
    </row>
    <row r="1040">
      <c r="A1040">
        <f>IF(AND('Skill Matrix'!A70&lt;&gt;"",'Skill Matrix'!S5&lt;&gt;""),'Skill Matrix'!A70,"")</f>
        <v/>
      </c>
      <c r="B1040">
        <f>IF(A1040="","",'Employees'!C10)</f>
        <v/>
      </c>
      <c r="C1040">
        <f>IF(A1040="","",'Employees'!D10)</f>
        <v/>
      </c>
      <c r="D1040">
        <f>IF(A1040="","",'Skill Matrix'!C70)</f>
        <v/>
      </c>
      <c r="E1040">
        <f>IF(A1040="","",'Skill Matrix'!D70)</f>
        <v/>
      </c>
      <c r="F1040">
        <f>IF(AND('Skill Matrix'!A70&lt;&gt;"",'Skill Matrix'!S5&lt;&gt;""),'Skill Matrix'!S5,"")</f>
        <v/>
      </c>
      <c r="G1040">
        <f>IF(OR(A1040="",'Skill Matrix'!S70=""),"",'Skill Matrix'!S70)</f>
        <v/>
      </c>
      <c r="H1040">
        <f>IF(A1040="","",'Employees'!F10)</f>
        <v/>
      </c>
    </row>
    <row r="1041">
      <c r="A1041">
        <f>IF(AND('Skill Matrix'!A70&lt;&gt;"",'Skill Matrix'!T5&lt;&gt;""),'Skill Matrix'!A70,"")</f>
        <v/>
      </c>
      <c r="B1041">
        <f>IF(A1041="","",'Employees'!C10)</f>
        <v/>
      </c>
      <c r="C1041">
        <f>IF(A1041="","",'Employees'!D10)</f>
        <v/>
      </c>
      <c r="D1041">
        <f>IF(A1041="","",'Skill Matrix'!C70)</f>
        <v/>
      </c>
      <c r="E1041">
        <f>IF(A1041="","",'Skill Matrix'!D70)</f>
        <v/>
      </c>
      <c r="F1041">
        <f>IF(AND('Skill Matrix'!A70&lt;&gt;"",'Skill Matrix'!T5&lt;&gt;""),'Skill Matrix'!T5,"")</f>
        <v/>
      </c>
      <c r="G1041">
        <f>IF(OR(A1041="",'Skill Matrix'!T70=""),"",'Skill Matrix'!T70)</f>
        <v/>
      </c>
      <c r="H1041">
        <f>IF(A1041="","",'Employees'!F10)</f>
        <v/>
      </c>
    </row>
    <row r="1042">
      <c r="A1042">
        <f>IF(AND('Skill Matrix'!A71&lt;&gt;"",'Skill Matrix'!E5&lt;&gt;""),'Skill Matrix'!A71,"")</f>
        <v/>
      </c>
      <c r="B1042">
        <f>IF(A1042="","",'Employees'!C10)</f>
        <v/>
      </c>
      <c r="C1042">
        <f>IF(A1042="","",'Employees'!D10)</f>
        <v/>
      </c>
      <c r="D1042">
        <f>IF(A1042="","",'Skill Matrix'!C71)</f>
        <v/>
      </c>
      <c r="E1042">
        <f>IF(A1042="","",'Skill Matrix'!D71)</f>
        <v/>
      </c>
      <c r="F1042">
        <f>IF(AND('Skill Matrix'!A71&lt;&gt;"",'Skill Matrix'!E5&lt;&gt;""),'Skill Matrix'!E5,"")</f>
        <v/>
      </c>
      <c r="G1042">
        <f>IF(OR(A1042="",'Skill Matrix'!E71=""),"",'Skill Matrix'!E71)</f>
        <v/>
      </c>
      <c r="H1042">
        <f>IF(A1042="","",'Employees'!F10)</f>
        <v/>
      </c>
    </row>
    <row r="1043">
      <c r="A1043">
        <f>IF(AND('Skill Matrix'!A71&lt;&gt;"",'Skill Matrix'!F5&lt;&gt;""),'Skill Matrix'!A71,"")</f>
        <v/>
      </c>
      <c r="B1043">
        <f>IF(A1043="","",'Employees'!C10)</f>
        <v/>
      </c>
      <c r="C1043">
        <f>IF(A1043="","",'Employees'!D10)</f>
        <v/>
      </c>
      <c r="D1043">
        <f>IF(A1043="","",'Skill Matrix'!C71)</f>
        <v/>
      </c>
      <c r="E1043">
        <f>IF(A1043="","",'Skill Matrix'!D71)</f>
        <v/>
      </c>
      <c r="F1043">
        <f>IF(AND('Skill Matrix'!A71&lt;&gt;"",'Skill Matrix'!F5&lt;&gt;""),'Skill Matrix'!F5,"")</f>
        <v/>
      </c>
      <c r="G1043">
        <f>IF(OR(A1043="",'Skill Matrix'!F71=""),"",'Skill Matrix'!F71)</f>
        <v/>
      </c>
      <c r="H1043">
        <f>IF(A1043="","",'Employees'!F10)</f>
        <v/>
      </c>
    </row>
    <row r="1044">
      <c r="A1044">
        <f>IF(AND('Skill Matrix'!A71&lt;&gt;"",'Skill Matrix'!G5&lt;&gt;""),'Skill Matrix'!A71,"")</f>
        <v/>
      </c>
      <c r="B1044">
        <f>IF(A1044="","",'Employees'!C10)</f>
        <v/>
      </c>
      <c r="C1044">
        <f>IF(A1044="","",'Employees'!D10)</f>
        <v/>
      </c>
      <c r="D1044">
        <f>IF(A1044="","",'Skill Matrix'!C71)</f>
        <v/>
      </c>
      <c r="E1044">
        <f>IF(A1044="","",'Skill Matrix'!D71)</f>
        <v/>
      </c>
      <c r="F1044">
        <f>IF(AND('Skill Matrix'!A71&lt;&gt;"",'Skill Matrix'!G5&lt;&gt;""),'Skill Matrix'!G5,"")</f>
        <v/>
      </c>
      <c r="G1044">
        <f>IF(OR(A1044="",'Skill Matrix'!G71=""),"",'Skill Matrix'!G71)</f>
        <v/>
      </c>
      <c r="H1044">
        <f>IF(A1044="","",'Employees'!F10)</f>
        <v/>
      </c>
    </row>
    <row r="1045">
      <c r="A1045">
        <f>IF(AND('Skill Matrix'!A71&lt;&gt;"",'Skill Matrix'!H5&lt;&gt;""),'Skill Matrix'!A71,"")</f>
        <v/>
      </c>
      <c r="B1045">
        <f>IF(A1045="","",'Employees'!C10)</f>
        <v/>
      </c>
      <c r="C1045">
        <f>IF(A1045="","",'Employees'!D10)</f>
        <v/>
      </c>
      <c r="D1045">
        <f>IF(A1045="","",'Skill Matrix'!C71)</f>
        <v/>
      </c>
      <c r="E1045">
        <f>IF(A1045="","",'Skill Matrix'!D71)</f>
        <v/>
      </c>
      <c r="F1045">
        <f>IF(AND('Skill Matrix'!A71&lt;&gt;"",'Skill Matrix'!H5&lt;&gt;""),'Skill Matrix'!H5,"")</f>
        <v/>
      </c>
      <c r="G1045">
        <f>IF(OR(A1045="",'Skill Matrix'!H71=""),"",'Skill Matrix'!H71)</f>
        <v/>
      </c>
      <c r="H1045">
        <f>IF(A1045="","",'Employees'!F10)</f>
        <v/>
      </c>
    </row>
    <row r="1046">
      <c r="A1046">
        <f>IF(AND('Skill Matrix'!A71&lt;&gt;"",'Skill Matrix'!I5&lt;&gt;""),'Skill Matrix'!A71,"")</f>
        <v/>
      </c>
      <c r="B1046">
        <f>IF(A1046="","",'Employees'!C10)</f>
        <v/>
      </c>
      <c r="C1046">
        <f>IF(A1046="","",'Employees'!D10)</f>
        <v/>
      </c>
      <c r="D1046">
        <f>IF(A1046="","",'Skill Matrix'!C71)</f>
        <v/>
      </c>
      <c r="E1046">
        <f>IF(A1046="","",'Skill Matrix'!D71)</f>
        <v/>
      </c>
      <c r="F1046">
        <f>IF(AND('Skill Matrix'!A71&lt;&gt;"",'Skill Matrix'!I5&lt;&gt;""),'Skill Matrix'!I5,"")</f>
        <v/>
      </c>
      <c r="G1046">
        <f>IF(OR(A1046="",'Skill Matrix'!I71=""),"",'Skill Matrix'!I71)</f>
        <v/>
      </c>
      <c r="H1046">
        <f>IF(A1046="","",'Employees'!F10)</f>
        <v/>
      </c>
    </row>
    <row r="1047">
      <c r="A1047">
        <f>IF(AND('Skill Matrix'!A71&lt;&gt;"",'Skill Matrix'!J5&lt;&gt;""),'Skill Matrix'!A71,"")</f>
        <v/>
      </c>
      <c r="B1047">
        <f>IF(A1047="","",'Employees'!C10)</f>
        <v/>
      </c>
      <c r="C1047">
        <f>IF(A1047="","",'Employees'!D10)</f>
        <v/>
      </c>
      <c r="D1047">
        <f>IF(A1047="","",'Skill Matrix'!C71)</f>
        <v/>
      </c>
      <c r="E1047">
        <f>IF(A1047="","",'Skill Matrix'!D71)</f>
        <v/>
      </c>
      <c r="F1047">
        <f>IF(AND('Skill Matrix'!A71&lt;&gt;"",'Skill Matrix'!J5&lt;&gt;""),'Skill Matrix'!J5,"")</f>
        <v/>
      </c>
      <c r="G1047">
        <f>IF(OR(A1047="",'Skill Matrix'!J71=""),"",'Skill Matrix'!J71)</f>
        <v/>
      </c>
      <c r="H1047">
        <f>IF(A1047="","",'Employees'!F10)</f>
        <v/>
      </c>
    </row>
    <row r="1048">
      <c r="A1048">
        <f>IF(AND('Skill Matrix'!A71&lt;&gt;"",'Skill Matrix'!K5&lt;&gt;""),'Skill Matrix'!A71,"")</f>
        <v/>
      </c>
      <c r="B1048">
        <f>IF(A1048="","",'Employees'!C10)</f>
        <v/>
      </c>
      <c r="C1048">
        <f>IF(A1048="","",'Employees'!D10)</f>
        <v/>
      </c>
      <c r="D1048">
        <f>IF(A1048="","",'Skill Matrix'!C71)</f>
        <v/>
      </c>
      <c r="E1048">
        <f>IF(A1048="","",'Skill Matrix'!D71)</f>
        <v/>
      </c>
      <c r="F1048">
        <f>IF(AND('Skill Matrix'!A71&lt;&gt;"",'Skill Matrix'!K5&lt;&gt;""),'Skill Matrix'!K5,"")</f>
        <v/>
      </c>
      <c r="G1048">
        <f>IF(OR(A1048="",'Skill Matrix'!K71=""),"",'Skill Matrix'!K71)</f>
        <v/>
      </c>
      <c r="H1048">
        <f>IF(A1048="","",'Employees'!F10)</f>
        <v/>
      </c>
    </row>
    <row r="1049">
      <c r="A1049">
        <f>IF(AND('Skill Matrix'!A71&lt;&gt;"",'Skill Matrix'!L5&lt;&gt;""),'Skill Matrix'!A71,"")</f>
        <v/>
      </c>
      <c r="B1049">
        <f>IF(A1049="","",'Employees'!C10)</f>
        <v/>
      </c>
      <c r="C1049">
        <f>IF(A1049="","",'Employees'!D10)</f>
        <v/>
      </c>
      <c r="D1049">
        <f>IF(A1049="","",'Skill Matrix'!C71)</f>
        <v/>
      </c>
      <c r="E1049">
        <f>IF(A1049="","",'Skill Matrix'!D71)</f>
        <v/>
      </c>
      <c r="F1049">
        <f>IF(AND('Skill Matrix'!A71&lt;&gt;"",'Skill Matrix'!L5&lt;&gt;""),'Skill Matrix'!L5,"")</f>
        <v/>
      </c>
      <c r="G1049">
        <f>IF(OR(A1049="",'Skill Matrix'!L71=""),"",'Skill Matrix'!L71)</f>
        <v/>
      </c>
      <c r="H1049">
        <f>IF(A1049="","",'Employees'!F10)</f>
        <v/>
      </c>
    </row>
    <row r="1050">
      <c r="A1050">
        <f>IF(AND('Skill Matrix'!A71&lt;&gt;"",'Skill Matrix'!M5&lt;&gt;""),'Skill Matrix'!A71,"")</f>
        <v/>
      </c>
      <c r="B1050">
        <f>IF(A1050="","",'Employees'!C10)</f>
        <v/>
      </c>
      <c r="C1050">
        <f>IF(A1050="","",'Employees'!D10)</f>
        <v/>
      </c>
      <c r="D1050">
        <f>IF(A1050="","",'Skill Matrix'!C71)</f>
        <v/>
      </c>
      <c r="E1050">
        <f>IF(A1050="","",'Skill Matrix'!D71)</f>
        <v/>
      </c>
      <c r="F1050">
        <f>IF(AND('Skill Matrix'!A71&lt;&gt;"",'Skill Matrix'!M5&lt;&gt;""),'Skill Matrix'!M5,"")</f>
        <v/>
      </c>
      <c r="G1050">
        <f>IF(OR(A1050="",'Skill Matrix'!M71=""),"",'Skill Matrix'!M71)</f>
        <v/>
      </c>
      <c r="H1050">
        <f>IF(A1050="","",'Employees'!F10)</f>
        <v/>
      </c>
    </row>
    <row r="1051">
      <c r="A1051">
        <f>IF(AND('Skill Matrix'!A71&lt;&gt;"",'Skill Matrix'!N5&lt;&gt;""),'Skill Matrix'!A71,"")</f>
        <v/>
      </c>
      <c r="B1051">
        <f>IF(A1051="","",'Employees'!C10)</f>
        <v/>
      </c>
      <c r="C1051">
        <f>IF(A1051="","",'Employees'!D10)</f>
        <v/>
      </c>
      <c r="D1051">
        <f>IF(A1051="","",'Skill Matrix'!C71)</f>
        <v/>
      </c>
      <c r="E1051">
        <f>IF(A1051="","",'Skill Matrix'!D71)</f>
        <v/>
      </c>
      <c r="F1051">
        <f>IF(AND('Skill Matrix'!A71&lt;&gt;"",'Skill Matrix'!N5&lt;&gt;""),'Skill Matrix'!N5,"")</f>
        <v/>
      </c>
      <c r="G1051">
        <f>IF(OR(A1051="",'Skill Matrix'!N71=""),"",'Skill Matrix'!N71)</f>
        <v/>
      </c>
      <c r="H1051">
        <f>IF(A1051="","",'Employees'!F10)</f>
        <v/>
      </c>
    </row>
    <row r="1052">
      <c r="A1052">
        <f>IF(AND('Skill Matrix'!A71&lt;&gt;"",'Skill Matrix'!O5&lt;&gt;""),'Skill Matrix'!A71,"")</f>
        <v/>
      </c>
      <c r="B1052">
        <f>IF(A1052="","",'Employees'!C10)</f>
        <v/>
      </c>
      <c r="C1052">
        <f>IF(A1052="","",'Employees'!D10)</f>
        <v/>
      </c>
      <c r="D1052">
        <f>IF(A1052="","",'Skill Matrix'!C71)</f>
        <v/>
      </c>
      <c r="E1052">
        <f>IF(A1052="","",'Skill Matrix'!D71)</f>
        <v/>
      </c>
      <c r="F1052">
        <f>IF(AND('Skill Matrix'!A71&lt;&gt;"",'Skill Matrix'!O5&lt;&gt;""),'Skill Matrix'!O5,"")</f>
        <v/>
      </c>
      <c r="G1052">
        <f>IF(OR(A1052="",'Skill Matrix'!O71=""),"",'Skill Matrix'!O71)</f>
        <v/>
      </c>
      <c r="H1052">
        <f>IF(A1052="","",'Employees'!F10)</f>
        <v/>
      </c>
    </row>
    <row r="1053">
      <c r="A1053">
        <f>IF(AND('Skill Matrix'!A71&lt;&gt;"",'Skill Matrix'!P5&lt;&gt;""),'Skill Matrix'!A71,"")</f>
        <v/>
      </c>
      <c r="B1053">
        <f>IF(A1053="","",'Employees'!C10)</f>
        <v/>
      </c>
      <c r="C1053">
        <f>IF(A1053="","",'Employees'!D10)</f>
        <v/>
      </c>
      <c r="D1053">
        <f>IF(A1053="","",'Skill Matrix'!C71)</f>
        <v/>
      </c>
      <c r="E1053">
        <f>IF(A1053="","",'Skill Matrix'!D71)</f>
        <v/>
      </c>
      <c r="F1053">
        <f>IF(AND('Skill Matrix'!A71&lt;&gt;"",'Skill Matrix'!P5&lt;&gt;""),'Skill Matrix'!P5,"")</f>
        <v/>
      </c>
      <c r="G1053">
        <f>IF(OR(A1053="",'Skill Matrix'!P71=""),"",'Skill Matrix'!P71)</f>
        <v/>
      </c>
      <c r="H1053">
        <f>IF(A1053="","",'Employees'!F10)</f>
        <v/>
      </c>
    </row>
    <row r="1054">
      <c r="A1054">
        <f>IF(AND('Skill Matrix'!A71&lt;&gt;"",'Skill Matrix'!Q5&lt;&gt;""),'Skill Matrix'!A71,"")</f>
        <v/>
      </c>
      <c r="B1054">
        <f>IF(A1054="","",'Employees'!C10)</f>
        <v/>
      </c>
      <c r="C1054">
        <f>IF(A1054="","",'Employees'!D10)</f>
        <v/>
      </c>
      <c r="D1054">
        <f>IF(A1054="","",'Skill Matrix'!C71)</f>
        <v/>
      </c>
      <c r="E1054">
        <f>IF(A1054="","",'Skill Matrix'!D71)</f>
        <v/>
      </c>
      <c r="F1054">
        <f>IF(AND('Skill Matrix'!A71&lt;&gt;"",'Skill Matrix'!Q5&lt;&gt;""),'Skill Matrix'!Q5,"")</f>
        <v/>
      </c>
      <c r="G1054">
        <f>IF(OR(A1054="",'Skill Matrix'!Q71=""),"",'Skill Matrix'!Q71)</f>
        <v/>
      </c>
      <c r="H1054">
        <f>IF(A1054="","",'Employees'!F10)</f>
        <v/>
      </c>
    </row>
    <row r="1055">
      <c r="A1055">
        <f>IF(AND('Skill Matrix'!A71&lt;&gt;"",'Skill Matrix'!R5&lt;&gt;""),'Skill Matrix'!A71,"")</f>
        <v/>
      </c>
      <c r="B1055">
        <f>IF(A1055="","",'Employees'!C10)</f>
        <v/>
      </c>
      <c r="C1055">
        <f>IF(A1055="","",'Employees'!D10)</f>
        <v/>
      </c>
      <c r="D1055">
        <f>IF(A1055="","",'Skill Matrix'!C71)</f>
        <v/>
      </c>
      <c r="E1055">
        <f>IF(A1055="","",'Skill Matrix'!D71)</f>
        <v/>
      </c>
      <c r="F1055">
        <f>IF(AND('Skill Matrix'!A71&lt;&gt;"",'Skill Matrix'!R5&lt;&gt;""),'Skill Matrix'!R5,"")</f>
        <v/>
      </c>
      <c r="G1055">
        <f>IF(OR(A1055="",'Skill Matrix'!R71=""),"",'Skill Matrix'!R71)</f>
        <v/>
      </c>
      <c r="H1055">
        <f>IF(A1055="","",'Employees'!F10)</f>
        <v/>
      </c>
    </row>
    <row r="1056">
      <c r="A1056">
        <f>IF(AND('Skill Matrix'!A71&lt;&gt;"",'Skill Matrix'!S5&lt;&gt;""),'Skill Matrix'!A71,"")</f>
        <v/>
      </c>
      <c r="B1056">
        <f>IF(A1056="","",'Employees'!C10)</f>
        <v/>
      </c>
      <c r="C1056">
        <f>IF(A1056="","",'Employees'!D10)</f>
        <v/>
      </c>
      <c r="D1056">
        <f>IF(A1056="","",'Skill Matrix'!C71)</f>
        <v/>
      </c>
      <c r="E1056">
        <f>IF(A1056="","",'Skill Matrix'!D71)</f>
        <v/>
      </c>
      <c r="F1056">
        <f>IF(AND('Skill Matrix'!A71&lt;&gt;"",'Skill Matrix'!S5&lt;&gt;""),'Skill Matrix'!S5,"")</f>
        <v/>
      </c>
      <c r="G1056">
        <f>IF(OR(A1056="",'Skill Matrix'!S71=""),"",'Skill Matrix'!S71)</f>
        <v/>
      </c>
      <c r="H1056">
        <f>IF(A1056="","",'Employees'!F10)</f>
        <v/>
      </c>
    </row>
    <row r="1057">
      <c r="A1057">
        <f>IF(AND('Skill Matrix'!A71&lt;&gt;"",'Skill Matrix'!T5&lt;&gt;""),'Skill Matrix'!A71,"")</f>
        <v/>
      </c>
      <c r="B1057">
        <f>IF(A1057="","",'Employees'!C10)</f>
        <v/>
      </c>
      <c r="C1057">
        <f>IF(A1057="","",'Employees'!D10)</f>
        <v/>
      </c>
      <c r="D1057">
        <f>IF(A1057="","",'Skill Matrix'!C71)</f>
        <v/>
      </c>
      <c r="E1057">
        <f>IF(A1057="","",'Skill Matrix'!D71)</f>
        <v/>
      </c>
      <c r="F1057">
        <f>IF(AND('Skill Matrix'!A71&lt;&gt;"",'Skill Matrix'!T5&lt;&gt;""),'Skill Matrix'!T5,"")</f>
        <v/>
      </c>
      <c r="G1057">
        <f>IF(OR(A1057="",'Skill Matrix'!T71=""),"",'Skill Matrix'!T71)</f>
        <v/>
      </c>
      <c r="H1057">
        <f>IF(A1057="","",'Employees'!F10)</f>
        <v/>
      </c>
    </row>
    <row r="1058">
      <c r="A1058">
        <f>IF(AND('Skill Matrix'!A72&lt;&gt;"",'Skill Matrix'!E5&lt;&gt;""),'Skill Matrix'!A72,"")</f>
        <v/>
      </c>
      <c r="B1058">
        <f>IF(A1058="","",'Employees'!C10)</f>
        <v/>
      </c>
      <c r="C1058">
        <f>IF(A1058="","",'Employees'!D10)</f>
        <v/>
      </c>
      <c r="D1058">
        <f>IF(A1058="","",'Skill Matrix'!C72)</f>
        <v/>
      </c>
      <c r="E1058">
        <f>IF(A1058="","",'Skill Matrix'!D72)</f>
        <v/>
      </c>
      <c r="F1058">
        <f>IF(AND('Skill Matrix'!A72&lt;&gt;"",'Skill Matrix'!E5&lt;&gt;""),'Skill Matrix'!E5,"")</f>
        <v/>
      </c>
      <c r="G1058">
        <f>IF(OR(A1058="",'Skill Matrix'!E72=""),"",'Skill Matrix'!E72)</f>
        <v/>
      </c>
      <c r="H1058">
        <f>IF(A1058="","",'Employees'!F10)</f>
        <v/>
      </c>
    </row>
    <row r="1059">
      <c r="A1059">
        <f>IF(AND('Skill Matrix'!A72&lt;&gt;"",'Skill Matrix'!F5&lt;&gt;""),'Skill Matrix'!A72,"")</f>
        <v/>
      </c>
      <c r="B1059">
        <f>IF(A1059="","",'Employees'!C10)</f>
        <v/>
      </c>
      <c r="C1059">
        <f>IF(A1059="","",'Employees'!D10)</f>
        <v/>
      </c>
      <c r="D1059">
        <f>IF(A1059="","",'Skill Matrix'!C72)</f>
        <v/>
      </c>
      <c r="E1059">
        <f>IF(A1059="","",'Skill Matrix'!D72)</f>
        <v/>
      </c>
      <c r="F1059">
        <f>IF(AND('Skill Matrix'!A72&lt;&gt;"",'Skill Matrix'!F5&lt;&gt;""),'Skill Matrix'!F5,"")</f>
        <v/>
      </c>
      <c r="G1059">
        <f>IF(OR(A1059="",'Skill Matrix'!F72=""),"",'Skill Matrix'!F72)</f>
        <v/>
      </c>
      <c r="H1059">
        <f>IF(A1059="","",'Employees'!F10)</f>
        <v/>
      </c>
    </row>
    <row r="1060">
      <c r="A1060">
        <f>IF(AND('Skill Matrix'!A72&lt;&gt;"",'Skill Matrix'!G5&lt;&gt;""),'Skill Matrix'!A72,"")</f>
        <v/>
      </c>
      <c r="B1060">
        <f>IF(A1060="","",'Employees'!C10)</f>
        <v/>
      </c>
      <c r="C1060">
        <f>IF(A1060="","",'Employees'!D10)</f>
        <v/>
      </c>
      <c r="D1060">
        <f>IF(A1060="","",'Skill Matrix'!C72)</f>
        <v/>
      </c>
      <c r="E1060">
        <f>IF(A1060="","",'Skill Matrix'!D72)</f>
        <v/>
      </c>
      <c r="F1060">
        <f>IF(AND('Skill Matrix'!A72&lt;&gt;"",'Skill Matrix'!G5&lt;&gt;""),'Skill Matrix'!G5,"")</f>
        <v/>
      </c>
      <c r="G1060">
        <f>IF(OR(A1060="",'Skill Matrix'!G72=""),"",'Skill Matrix'!G72)</f>
        <v/>
      </c>
      <c r="H1060">
        <f>IF(A1060="","",'Employees'!F10)</f>
        <v/>
      </c>
    </row>
    <row r="1061">
      <c r="A1061">
        <f>IF(AND('Skill Matrix'!A72&lt;&gt;"",'Skill Matrix'!H5&lt;&gt;""),'Skill Matrix'!A72,"")</f>
        <v/>
      </c>
      <c r="B1061">
        <f>IF(A1061="","",'Employees'!C10)</f>
        <v/>
      </c>
      <c r="C1061">
        <f>IF(A1061="","",'Employees'!D10)</f>
        <v/>
      </c>
      <c r="D1061">
        <f>IF(A1061="","",'Skill Matrix'!C72)</f>
        <v/>
      </c>
      <c r="E1061">
        <f>IF(A1061="","",'Skill Matrix'!D72)</f>
        <v/>
      </c>
      <c r="F1061">
        <f>IF(AND('Skill Matrix'!A72&lt;&gt;"",'Skill Matrix'!H5&lt;&gt;""),'Skill Matrix'!H5,"")</f>
        <v/>
      </c>
      <c r="G1061">
        <f>IF(OR(A1061="",'Skill Matrix'!H72=""),"",'Skill Matrix'!H72)</f>
        <v/>
      </c>
      <c r="H1061">
        <f>IF(A1061="","",'Employees'!F10)</f>
        <v/>
      </c>
    </row>
    <row r="1062">
      <c r="A1062">
        <f>IF(AND('Skill Matrix'!A72&lt;&gt;"",'Skill Matrix'!I5&lt;&gt;""),'Skill Matrix'!A72,"")</f>
        <v/>
      </c>
      <c r="B1062">
        <f>IF(A1062="","",'Employees'!C10)</f>
        <v/>
      </c>
      <c r="C1062">
        <f>IF(A1062="","",'Employees'!D10)</f>
        <v/>
      </c>
      <c r="D1062">
        <f>IF(A1062="","",'Skill Matrix'!C72)</f>
        <v/>
      </c>
      <c r="E1062">
        <f>IF(A1062="","",'Skill Matrix'!D72)</f>
        <v/>
      </c>
      <c r="F1062">
        <f>IF(AND('Skill Matrix'!A72&lt;&gt;"",'Skill Matrix'!I5&lt;&gt;""),'Skill Matrix'!I5,"")</f>
        <v/>
      </c>
      <c r="G1062">
        <f>IF(OR(A1062="",'Skill Matrix'!I72=""),"",'Skill Matrix'!I72)</f>
        <v/>
      </c>
      <c r="H1062">
        <f>IF(A1062="","",'Employees'!F10)</f>
        <v/>
      </c>
    </row>
    <row r="1063">
      <c r="A1063">
        <f>IF(AND('Skill Matrix'!A72&lt;&gt;"",'Skill Matrix'!J5&lt;&gt;""),'Skill Matrix'!A72,"")</f>
        <v/>
      </c>
      <c r="B1063">
        <f>IF(A1063="","",'Employees'!C10)</f>
        <v/>
      </c>
      <c r="C1063">
        <f>IF(A1063="","",'Employees'!D10)</f>
        <v/>
      </c>
      <c r="D1063">
        <f>IF(A1063="","",'Skill Matrix'!C72)</f>
        <v/>
      </c>
      <c r="E1063">
        <f>IF(A1063="","",'Skill Matrix'!D72)</f>
        <v/>
      </c>
      <c r="F1063">
        <f>IF(AND('Skill Matrix'!A72&lt;&gt;"",'Skill Matrix'!J5&lt;&gt;""),'Skill Matrix'!J5,"")</f>
        <v/>
      </c>
      <c r="G1063">
        <f>IF(OR(A1063="",'Skill Matrix'!J72=""),"",'Skill Matrix'!J72)</f>
        <v/>
      </c>
      <c r="H1063">
        <f>IF(A1063="","",'Employees'!F10)</f>
        <v/>
      </c>
    </row>
    <row r="1064">
      <c r="A1064">
        <f>IF(AND('Skill Matrix'!A72&lt;&gt;"",'Skill Matrix'!K5&lt;&gt;""),'Skill Matrix'!A72,"")</f>
        <v/>
      </c>
      <c r="B1064">
        <f>IF(A1064="","",'Employees'!C10)</f>
        <v/>
      </c>
      <c r="C1064">
        <f>IF(A1064="","",'Employees'!D10)</f>
        <v/>
      </c>
      <c r="D1064">
        <f>IF(A1064="","",'Skill Matrix'!C72)</f>
        <v/>
      </c>
      <c r="E1064">
        <f>IF(A1064="","",'Skill Matrix'!D72)</f>
        <v/>
      </c>
      <c r="F1064">
        <f>IF(AND('Skill Matrix'!A72&lt;&gt;"",'Skill Matrix'!K5&lt;&gt;""),'Skill Matrix'!K5,"")</f>
        <v/>
      </c>
      <c r="G1064">
        <f>IF(OR(A1064="",'Skill Matrix'!K72=""),"",'Skill Matrix'!K72)</f>
        <v/>
      </c>
      <c r="H1064">
        <f>IF(A1064="","",'Employees'!F10)</f>
        <v/>
      </c>
    </row>
    <row r="1065">
      <c r="A1065">
        <f>IF(AND('Skill Matrix'!A72&lt;&gt;"",'Skill Matrix'!L5&lt;&gt;""),'Skill Matrix'!A72,"")</f>
        <v/>
      </c>
      <c r="B1065">
        <f>IF(A1065="","",'Employees'!C10)</f>
        <v/>
      </c>
      <c r="C1065">
        <f>IF(A1065="","",'Employees'!D10)</f>
        <v/>
      </c>
      <c r="D1065">
        <f>IF(A1065="","",'Skill Matrix'!C72)</f>
        <v/>
      </c>
      <c r="E1065">
        <f>IF(A1065="","",'Skill Matrix'!D72)</f>
        <v/>
      </c>
      <c r="F1065">
        <f>IF(AND('Skill Matrix'!A72&lt;&gt;"",'Skill Matrix'!L5&lt;&gt;""),'Skill Matrix'!L5,"")</f>
        <v/>
      </c>
      <c r="G1065">
        <f>IF(OR(A1065="",'Skill Matrix'!L72=""),"",'Skill Matrix'!L72)</f>
        <v/>
      </c>
      <c r="H1065">
        <f>IF(A1065="","",'Employees'!F10)</f>
        <v/>
      </c>
    </row>
    <row r="1066">
      <c r="A1066">
        <f>IF(AND('Skill Matrix'!A72&lt;&gt;"",'Skill Matrix'!M5&lt;&gt;""),'Skill Matrix'!A72,"")</f>
        <v/>
      </c>
      <c r="B1066">
        <f>IF(A1066="","",'Employees'!C10)</f>
        <v/>
      </c>
      <c r="C1066">
        <f>IF(A1066="","",'Employees'!D10)</f>
        <v/>
      </c>
      <c r="D1066">
        <f>IF(A1066="","",'Skill Matrix'!C72)</f>
        <v/>
      </c>
      <c r="E1066">
        <f>IF(A1066="","",'Skill Matrix'!D72)</f>
        <v/>
      </c>
      <c r="F1066">
        <f>IF(AND('Skill Matrix'!A72&lt;&gt;"",'Skill Matrix'!M5&lt;&gt;""),'Skill Matrix'!M5,"")</f>
        <v/>
      </c>
      <c r="G1066">
        <f>IF(OR(A1066="",'Skill Matrix'!M72=""),"",'Skill Matrix'!M72)</f>
        <v/>
      </c>
      <c r="H1066">
        <f>IF(A1066="","",'Employees'!F10)</f>
        <v/>
      </c>
    </row>
    <row r="1067">
      <c r="A1067">
        <f>IF(AND('Skill Matrix'!A72&lt;&gt;"",'Skill Matrix'!N5&lt;&gt;""),'Skill Matrix'!A72,"")</f>
        <v/>
      </c>
      <c r="B1067">
        <f>IF(A1067="","",'Employees'!C10)</f>
        <v/>
      </c>
      <c r="C1067">
        <f>IF(A1067="","",'Employees'!D10)</f>
        <v/>
      </c>
      <c r="D1067">
        <f>IF(A1067="","",'Skill Matrix'!C72)</f>
        <v/>
      </c>
      <c r="E1067">
        <f>IF(A1067="","",'Skill Matrix'!D72)</f>
        <v/>
      </c>
      <c r="F1067">
        <f>IF(AND('Skill Matrix'!A72&lt;&gt;"",'Skill Matrix'!N5&lt;&gt;""),'Skill Matrix'!N5,"")</f>
        <v/>
      </c>
      <c r="G1067">
        <f>IF(OR(A1067="",'Skill Matrix'!N72=""),"",'Skill Matrix'!N72)</f>
        <v/>
      </c>
      <c r="H1067">
        <f>IF(A1067="","",'Employees'!F10)</f>
        <v/>
      </c>
    </row>
    <row r="1068">
      <c r="A1068">
        <f>IF(AND('Skill Matrix'!A72&lt;&gt;"",'Skill Matrix'!O5&lt;&gt;""),'Skill Matrix'!A72,"")</f>
        <v/>
      </c>
      <c r="B1068">
        <f>IF(A1068="","",'Employees'!C10)</f>
        <v/>
      </c>
      <c r="C1068">
        <f>IF(A1068="","",'Employees'!D10)</f>
        <v/>
      </c>
      <c r="D1068">
        <f>IF(A1068="","",'Skill Matrix'!C72)</f>
        <v/>
      </c>
      <c r="E1068">
        <f>IF(A1068="","",'Skill Matrix'!D72)</f>
        <v/>
      </c>
      <c r="F1068">
        <f>IF(AND('Skill Matrix'!A72&lt;&gt;"",'Skill Matrix'!O5&lt;&gt;""),'Skill Matrix'!O5,"")</f>
        <v/>
      </c>
      <c r="G1068">
        <f>IF(OR(A1068="",'Skill Matrix'!O72=""),"",'Skill Matrix'!O72)</f>
        <v/>
      </c>
      <c r="H1068">
        <f>IF(A1068="","",'Employees'!F10)</f>
        <v/>
      </c>
    </row>
    <row r="1069">
      <c r="A1069">
        <f>IF(AND('Skill Matrix'!A72&lt;&gt;"",'Skill Matrix'!P5&lt;&gt;""),'Skill Matrix'!A72,"")</f>
        <v/>
      </c>
      <c r="B1069">
        <f>IF(A1069="","",'Employees'!C10)</f>
        <v/>
      </c>
      <c r="C1069">
        <f>IF(A1069="","",'Employees'!D10)</f>
        <v/>
      </c>
      <c r="D1069">
        <f>IF(A1069="","",'Skill Matrix'!C72)</f>
        <v/>
      </c>
      <c r="E1069">
        <f>IF(A1069="","",'Skill Matrix'!D72)</f>
        <v/>
      </c>
      <c r="F1069">
        <f>IF(AND('Skill Matrix'!A72&lt;&gt;"",'Skill Matrix'!P5&lt;&gt;""),'Skill Matrix'!P5,"")</f>
        <v/>
      </c>
      <c r="G1069">
        <f>IF(OR(A1069="",'Skill Matrix'!P72=""),"",'Skill Matrix'!P72)</f>
        <v/>
      </c>
      <c r="H1069">
        <f>IF(A1069="","",'Employees'!F10)</f>
        <v/>
      </c>
    </row>
    <row r="1070">
      <c r="A1070">
        <f>IF(AND('Skill Matrix'!A72&lt;&gt;"",'Skill Matrix'!Q5&lt;&gt;""),'Skill Matrix'!A72,"")</f>
        <v/>
      </c>
      <c r="B1070">
        <f>IF(A1070="","",'Employees'!C10)</f>
        <v/>
      </c>
      <c r="C1070">
        <f>IF(A1070="","",'Employees'!D10)</f>
        <v/>
      </c>
      <c r="D1070">
        <f>IF(A1070="","",'Skill Matrix'!C72)</f>
        <v/>
      </c>
      <c r="E1070">
        <f>IF(A1070="","",'Skill Matrix'!D72)</f>
        <v/>
      </c>
      <c r="F1070">
        <f>IF(AND('Skill Matrix'!A72&lt;&gt;"",'Skill Matrix'!Q5&lt;&gt;""),'Skill Matrix'!Q5,"")</f>
        <v/>
      </c>
      <c r="G1070">
        <f>IF(OR(A1070="",'Skill Matrix'!Q72=""),"",'Skill Matrix'!Q72)</f>
        <v/>
      </c>
      <c r="H1070">
        <f>IF(A1070="","",'Employees'!F10)</f>
        <v/>
      </c>
    </row>
    <row r="1071">
      <c r="A1071">
        <f>IF(AND('Skill Matrix'!A72&lt;&gt;"",'Skill Matrix'!R5&lt;&gt;""),'Skill Matrix'!A72,"")</f>
        <v/>
      </c>
      <c r="B1071">
        <f>IF(A1071="","",'Employees'!C10)</f>
        <v/>
      </c>
      <c r="C1071">
        <f>IF(A1071="","",'Employees'!D10)</f>
        <v/>
      </c>
      <c r="D1071">
        <f>IF(A1071="","",'Skill Matrix'!C72)</f>
        <v/>
      </c>
      <c r="E1071">
        <f>IF(A1071="","",'Skill Matrix'!D72)</f>
        <v/>
      </c>
      <c r="F1071">
        <f>IF(AND('Skill Matrix'!A72&lt;&gt;"",'Skill Matrix'!R5&lt;&gt;""),'Skill Matrix'!R5,"")</f>
        <v/>
      </c>
      <c r="G1071">
        <f>IF(OR(A1071="",'Skill Matrix'!R72=""),"",'Skill Matrix'!R72)</f>
        <v/>
      </c>
      <c r="H1071">
        <f>IF(A1071="","",'Employees'!F10)</f>
        <v/>
      </c>
    </row>
    <row r="1072">
      <c r="A1072">
        <f>IF(AND('Skill Matrix'!A72&lt;&gt;"",'Skill Matrix'!S5&lt;&gt;""),'Skill Matrix'!A72,"")</f>
        <v/>
      </c>
      <c r="B1072">
        <f>IF(A1072="","",'Employees'!C10)</f>
        <v/>
      </c>
      <c r="C1072">
        <f>IF(A1072="","",'Employees'!D10)</f>
        <v/>
      </c>
      <c r="D1072">
        <f>IF(A1072="","",'Skill Matrix'!C72)</f>
        <v/>
      </c>
      <c r="E1072">
        <f>IF(A1072="","",'Skill Matrix'!D72)</f>
        <v/>
      </c>
      <c r="F1072">
        <f>IF(AND('Skill Matrix'!A72&lt;&gt;"",'Skill Matrix'!S5&lt;&gt;""),'Skill Matrix'!S5,"")</f>
        <v/>
      </c>
      <c r="G1072">
        <f>IF(OR(A1072="",'Skill Matrix'!S72=""),"",'Skill Matrix'!S72)</f>
        <v/>
      </c>
      <c r="H1072">
        <f>IF(A1072="","",'Employees'!F10)</f>
        <v/>
      </c>
    </row>
    <row r="1073">
      <c r="A1073">
        <f>IF(AND('Skill Matrix'!A72&lt;&gt;"",'Skill Matrix'!T5&lt;&gt;""),'Skill Matrix'!A72,"")</f>
        <v/>
      </c>
      <c r="B1073">
        <f>IF(A1073="","",'Employees'!C10)</f>
        <v/>
      </c>
      <c r="C1073">
        <f>IF(A1073="","",'Employees'!D10)</f>
        <v/>
      </c>
      <c r="D1073">
        <f>IF(A1073="","",'Skill Matrix'!C72)</f>
        <v/>
      </c>
      <c r="E1073">
        <f>IF(A1073="","",'Skill Matrix'!D72)</f>
        <v/>
      </c>
      <c r="F1073">
        <f>IF(AND('Skill Matrix'!A72&lt;&gt;"",'Skill Matrix'!T5&lt;&gt;""),'Skill Matrix'!T5,"")</f>
        <v/>
      </c>
      <c r="G1073">
        <f>IF(OR(A1073="",'Skill Matrix'!T72=""),"",'Skill Matrix'!T72)</f>
        <v/>
      </c>
      <c r="H1073">
        <f>IF(A1073="","",'Employees'!F10)</f>
        <v/>
      </c>
    </row>
    <row r="1074">
      <c r="A1074">
        <f>IF(AND('Skill Matrix'!A73&lt;&gt;"",'Skill Matrix'!E5&lt;&gt;""),'Skill Matrix'!A73,"")</f>
        <v/>
      </c>
      <c r="B1074">
        <f>IF(A1074="","",'Employees'!C10)</f>
        <v/>
      </c>
      <c r="C1074">
        <f>IF(A1074="","",'Employees'!D10)</f>
        <v/>
      </c>
      <c r="D1074">
        <f>IF(A1074="","",'Skill Matrix'!C73)</f>
        <v/>
      </c>
      <c r="E1074">
        <f>IF(A1074="","",'Skill Matrix'!D73)</f>
        <v/>
      </c>
      <c r="F1074">
        <f>IF(AND('Skill Matrix'!A73&lt;&gt;"",'Skill Matrix'!E5&lt;&gt;""),'Skill Matrix'!E5,"")</f>
        <v/>
      </c>
      <c r="G1074">
        <f>IF(OR(A1074="",'Skill Matrix'!E73=""),"",'Skill Matrix'!E73)</f>
        <v/>
      </c>
      <c r="H1074">
        <f>IF(A1074="","",'Employees'!F10)</f>
        <v/>
      </c>
    </row>
    <row r="1075">
      <c r="A1075">
        <f>IF(AND('Skill Matrix'!A73&lt;&gt;"",'Skill Matrix'!F5&lt;&gt;""),'Skill Matrix'!A73,"")</f>
        <v/>
      </c>
      <c r="B1075">
        <f>IF(A1075="","",'Employees'!C10)</f>
        <v/>
      </c>
      <c r="C1075">
        <f>IF(A1075="","",'Employees'!D10)</f>
        <v/>
      </c>
      <c r="D1075">
        <f>IF(A1075="","",'Skill Matrix'!C73)</f>
        <v/>
      </c>
      <c r="E1075">
        <f>IF(A1075="","",'Skill Matrix'!D73)</f>
        <v/>
      </c>
      <c r="F1075">
        <f>IF(AND('Skill Matrix'!A73&lt;&gt;"",'Skill Matrix'!F5&lt;&gt;""),'Skill Matrix'!F5,"")</f>
        <v/>
      </c>
      <c r="G1075">
        <f>IF(OR(A1075="",'Skill Matrix'!F73=""),"",'Skill Matrix'!F73)</f>
        <v/>
      </c>
      <c r="H1075">
        <f>IF(A1075="","",'Employees'!F10)</f>
        <v/>
      </c>
    </row>
    <row r="1076">
      <c r="A1076">
        <f>IF(AND('Skill Matrix'!A73&lt;&gt;"",'Skill Matrix'!G5&lt;&gt;""),'Skill Matrix'!A73,"")</f>
        <v/>
      </c>
      <c r="B1076">
        <f>IF(A1076="","",'Employees'!C10)</f>
        <v/>
      </c>
      <c r="C1076">
        <f>IF(A1076="","",'Employees'!D10)</f>
        <v/>
      </c>
      <c r="D1076">
        <f>IF(A1076="","",'Skill Matrix'!C73)</f>
        <v/>
      </c>
      <c r="E1076">
        <f>IF(A1076="","",'Skill Matrix'!D73)</f>
        <v/>
      </c>
      <c r="F1076">
        <f>IF(AND('Skill Matrix'!A73&lt;&gt;"",'Skill Matrix'!G5&lt;&gt;""),'Skill Matrix'!G5,"")</f>
        <v/>
      </c>
      <c r="G1076">
        <f>IF(OR(A1076="",'Skill Matrix'!G73=""),"",'Skill Matrix'!G73)</f>
        <v/>
      </c>
      <c r="H1076">
        <f>IF(A1076="","",'Employees'!F10)</f>
        <v/>
      </c>
    </row>
    <row r="1077">
      <c r="A1077">
        <f>IF(AND('Skill Matrix'!A73&lt;&gt;"",'Skill Matrix'!H5&lt;&gt;""),'Skill Matrix'!A73,"")</f>
        <v/>
      </c>
      <c r="B1077">
        <f>IF(A1077="","",'Employees'!C10)</f>
        <v/>
      </c>
      <c r="C1077">
        <f>IF(A1077="","",'Employees'!D10)</f>
        <v/>
      </c>
      <c r="D1077">
        <f>IF(A1077="","",'Skill Matrix'!C73)</f>
        <v/>
      </c>
      <c r="E1077">
        <f>IF(A1077="","",'Skill Matrix'!D73)</f>
        <v/>
      </c>
      <c r="F1077">
        <f>IF(AND('Skill Matrix'!A73&lt;&gt;"",'Skill Matrix'!H5&lt;&gt;""),'Skill Matrix'!H5,"")</f>
        <v/>
      </c>
      <c r="G1077">
        <f>IF(OR(A1077="",'Skill Matrix'!H73=""),"",'Skill Matrix'!H73)</f>
        <v/>
      </c>
      <c r="H1077">
        <f>IF(A1077="","",'Employees'!F10)</f>
        <v/>
      </c>
    </row>
    <row r="1078">
      <c r="A1078">
        <f>IF(AND('Skill Matrix'!A73&lt;&gt;"",'Skill Matrix'!I5&lt;&gt;""),'Skill Matrix'!A73,"")</f>
        <v/>
      </c>
      <c r="B1078">
        <f>IF(A1078="","",'Employees'!C10)</f>
        <v/>
      </c>
      <c r="C1078">
        <f>IF(A1078="","",'Employees'!D10)</f>
        <v/>
      </c>
      <c r="D1078">
        <f>IF(A1078="","",'Skill Matrix'!C73)</f>
        <v/>
      </c>
      <c r="E1078">
        <f>IF(A1078="","",'Skill Matrix'!D73)</f>
        <v/>
      </c>
      <c r="F1078">
        <f>IF(AND('Skill Matrix'!A73&lt;&gt;"",'Skill Matrix'!I5&lt;&gt;""),'Skill Matrix'!I5,"")</f>
        <v/>
      </c>
      <c r="G1078">
        <f>IF(OR(A1078="",'Skill Matrix'!I73=""),"",'Skill Matrix'!I73)</f>
        <v/>
      </c>
      <c r="H1078">
        <f>IF(A1078="","",'Employees'!F10)</f>
        <v/>
      </c>
    </row>
    <row r="1079">
      <c r="A1079">
        <f>IF(AND('Skill Matrix'!A73&lt;&gt;"",'Skill Matrix'!J5&lt;&gt;""),'Skill Matrix'!A73,"")</f>
        <v/>
      </c>
      <c r="B1079">
        <f>IF(A1079="","",'Employees'!C10)</f>
        <v/>
      </c>
      <c r="C1079">
        <f>IF(A1079="","",'Employees'!D10)</f>
        <v/>
      </c>
      <c r="D1079">
        <f>IF(A1079="","",'Skill Matrix'!C73)</f>
        <v/>
      </c>
      <c r="E1079">
        <f>IF(A1079="","",'Skill Matrix'!D73)</f>
        <v/>
      </c>
      <c r="F1079">
        <f>IF(AND('Skill Matrix'!A73&lt;&gt;"",'Skill Matrix'!J5&lt;&gt;""),'Skill Matrix'!J5,"")</f>
        <v/>
      </c>
      <c r="G1079">
        <f>IF(OR(A1079="",'Skill Matrix'!J73=""),"",'Skill Matrix'!J73)</f>
        <v/>
      </c>
      <c r="H1079">
        <f>IF(A1079="","",'Employees'!F10)</f>
        <v/>
      </c>
    </row>
    <row r="1080">
      <c r="A1080">
        <f>IF(AND('Skill Matrix'!A73&lt;&gt;"",'Skill Matrix'!K5&lt;&gt;""),'Skill Matrix'!A73,"")</f>
        <v/>
      </c>
      <c r="B1080">
        <f>IF(A1080="","",'Employees'!C10)</f>
        <v/>
      </c>
      <c r="C1080">
        <f>IF(A1080="","",'Employees'!D10)</f>
        <v/>
      </c>
      <c r="D1080">
        <f>IF(A1080="","",'Skill Matrix'!C73)</f>
        <v/>
      </c>
      <c r="E1080">
        <f>IF(A1080="","",'Skill Matrix'!D73)</f>
        <v/>
      </c>
      <c r="F1080">
        <f>IF(AND('Skill Matrix'!A73&lt;&gt;"",'Skill Matrix'!K5&lt;&gt;""),'Skill Matrix'!K5,"")</f>
        <v/>
      </c>
      <c r="G1080">
        <f>IF(OR(A1080="",'Skill Matrix'!K73=""),"",'Skill Matrix'!K73)</f>
        <v/>
      </c>
      <c r="H1080">
        <f>IF(A1080="","",'Employees'!F10)</f>
        <v/>
      </c>
    </row>
    <row r="1081">
      <c r="A1081">
        <f>IF(AND('Skill Matrix'!A73&lt;&gt;"",'Skill Matrix'!L5&lt;&gt;""),'Skill Matrix'!A73,"")</f>
        <v/>
      </c>
      <c r="B1081">
        <f>IF(A1081="","",'Employees'!C10)</f>
        <v/>
      </c>
      <c r="C1081">
        <f>IF(A1081="","",'Employees'!D10)</f>
        <v/>
      </c>
      <c r="D1081">
        <f>IF(A1081="","",'Skill Matrix'!C73)</f>
        <v/>
      </c>
      <c r="E1081">
        <f>IF(A1081="","",'Skill Matrix'!D73)</f>
        <v/>
      </c>
      <c r="F1081">
        <f>IF(AND('Skill Matrix'!A73&lt;&gt;"",'Skill Matrix'!L5&lt;&gt;""),'Skill Matrix'!L5,"")</f>
        <v/>
      </c>
      <c r="G1081">
        <f>IF(OR(A1081="",'Skill Matrix'!L73=""),"",'Skill Matrix'!L73)</f>
        <v/>
      </c>
      <c r="H1081">
        <f>IF(A1081="","",'Employees'!F10)</f>
        <v/>
      </c>
    </row>
    <row r="1082">
      <c r="A1082">
        <f>IF(AND('Skill Matrix'!A73&lt;&gt;"",'Skill Matrix'!M5&lt;&gt;""),'Skill Matrix'!A73,"")</f>
        <v/>
      </c>
      <c r="B1082">
        <f>IF(A1082="","",'Employees'!C10)</f>
        <v/>
      </c>
      <c r="C1082">
        <f>IF(A1082="","",'Employees'!D10)</f>
        <v/>
      </c>
      <c r="D1082">
        <f>IF(A1082="","",'Skill Matrix'!C73)</f>
        <v/>
      </c>
      <c r="E1082">
        <f>IF(A1082="","",'Skill Matrix'!D73)</f>
        <v/>
      </c>
      <c r="F1082">
        <f>IF(AND('Skill Matrix'!A73&lt;&gt;"",'Skill Matrix'!M5&lt;&gt;""),'Skill Matrix'!M5,"")</f>
        <v/>
      </c>
      <c r="G1082">
        <f>IF(OR(A1082="",'Skill Matrix'!M73=""),"",'Skill Matrix'!M73)</f>
        <v/>
      </c>
      <c r="H1082">
        <f>IF(A1082="","",'Employees'!F10)</f>
        <v/>
      </c>
    </row>
    <row r="1083">
      <c r="A1083">
        <f>IF(AND('Skill Matrix'!A73&lt;&gt;"",'Skill Matrix'!N5&lt;&gt;""),'Skill Matrix'!A73,"")</f>
        <v/>
      </c>
      <c r="B1083">
        <f>IF(A1083="","",'Employees'!C10)</f>
        <v/>
      </c>
      <c r="C1083">
        <f>IF(A1083="","",'Employees'!D10)</f>
        <v/>
      </c>
      <c r="D1083">
        <f>IF(A1083="","",'Skill Matrix'!C73)</f>
        <v/>
      </c>
      <c r="E1083">
        <f>IF(A1083="","",'Skill Matrix'!D73)</f>
        <v/>
      </c>
      <c r="F1083">
        <f>IF(AND('Skill Matrix'!A73&lt;&gt;"",'Skill Matrix'!N5&lt;&gt;""),'Skill Matrix'!N5,"")</f>
        <v/>
      </c>
      <c r="G1083">
        <f>IF(OR(A1083="",'Skill Matrix'!N73=""),"",'Skill Matrix'!N73)</f>
        <v/>
      </c>
      <c r="H1083">
        <f>IF(A1083="","",'Employees'!F10)</f>
        <v/>
      </c>
    </row>
    <row r="1084">
      <c r="A1084">
        <f>IF(AND('Skill Matrix'!A73&lt;&gt;"",'Skill Matrix'!O5&lt;&gt;""),'Skill Matrix'!A73,"")</f>
        <v/>
      </c>
      <c r="B1084">
        <f>IF(A1084="","",'Employees'!C10)</f>
        <v/>
      </c>
      <c r="C1084">
        <f>IF(A1084="","",'Employees'!D10)</f>
        <v/>
      </c>
      <c r="D1084">
        <f>IF(A1084="","",'Skill Matrix'!C73)</f>
        <v/>
      </c>
      <c r="E1084">
        <f>IF(A1084="","",'Skill Matrix'!D73)</f>
        <v/>
      </c>
      <c r="F1084">
        <f>IF(AND('Skill Matrix'!A73&lt;&gt;"",'Skill Matrix'!O5&lt;&gt;""),'Skill Matrix'!O5,"")</f>
        <v/>
      </c>
      <c r="G1084">
        <f>IF(OR(A1084="",'Skill Matrix'!O73=""),"",'Skill Matrix'!O73)</f>
        <v/>
      </c>
      <c r="H1084">
        <f>IF(A1084="","",'Employees'!F10)</f>
        <v/>
      </c>
    </row>
    <row r="1085">
      <c r="A1085">
        <f>IF(AND('Skill Matrix'!A73&lt;&gt;"",'Skill Matrix'!P5&lt;&gt;""),'Skill Matrix'!A73,"")</f>
        <v/>
      </c>
      <c r="B1085">
        <f>IF(A1085="","",'Employees'!C10)</f>
        <v/>
      </c>
      <c r="C1085">
        <f>IF(A1085="","",'Employees'!D10)</f>
        <v/>
      </c>
      <c r="D1085">
        <f>IF(A1085="","",'Skill Matrix'!C73)</f>
        <v/>
      </c>
      <c r="E1085">
        <f>IF(A1085="","",'Skill Matrix'!D73)</f>
        <v/>
      </c>
      <c r="F1085">
        <f>IF(AND('Skill Matrix'!A73&lt;&gt;"",'Skill Matrix'!P5&lt;&gt;""),'Skill Matrix'!P5,"")</f>
        <v/>
      </c>
      <c r="G1085">
        <f>IF(OR(A1085="",'Skill Matrix'!P73=""),"",'Skill Matrix'!P73)</f>
        <v/>
      </c>
      <c r="H1085">
        <f>IF(A1085="","",'Employees'!F10)</f>
        <v/>
      </c>
    </row>
    <row r="1086">
      <c r="A1086">
        <f>IF(AND('Skill Matrix'!A73&lt;&gt;"",'Skill Matrix'!Q5&lt;&gt;""),'Skill Matrix'!A73,"")</f>
        <v/>
      </c>
      <c r="B1086">
        <f>IF(A1086="","",'Employees'!C10)</f>
        <v/>
      </c>
      <c r="C1086">
        <f>IF(A1086="","",'Employees'!D10)</f>
        <v/>
      </c>
      <c r="D1086">
        <f>IF(A1086="","",'Skill Matrix'!C73)</f>
        <v/>
      </c>
      <c r="E1086">
        <f>IF(A1086="","",'Skill Matrix'!D73)</f>
        <v/>
      </c>
      <c r="F1086">
        <f>IF(AND('Skill Matrix'!A73&lt;&gt;"",'Skill Matrix'!Q5&lt;&gt;""),'Skill Matrix'!Q5,"")</f>
        <v/>
      </c>
      <c r="G1086">
        <f>IF(OR(A1086="",'Skill Matrix'!Q73=""),"",'Skill Matrix'!Q73)</f>
        <v/>
      </c>
      <c r="H1086">
        <f>IF(A1086="","",'Employees'!F10)</f>
        <v/>
      </c>
    </row>
    <row r="1087">
      <c r="A1087">
        <f>IF(AND('Skill Matrix'!A73&lt;&gt;"",'Skill Matrix'!R5&lt;&gt;""),'Skill Matrix'!A73,"")</f>
        <v/>
      </c>
      <c r="B1087">
        <f>IF(A1087="","",'Employees'!C10)</f>
        <v/>
      </c>
      <c r="C1087">
        <f>IF(A1087="","",'Employees'!D10)</f>
        <v/>
      </c>
      <c r="D1087">
        <f>IF(A1087="","",'Skill Matrix'!C73)</f>
        <v/>
      </c>
      <c r="E1087">
        <f>IF(A1087="","",'Skill Matrix'!D73)</f>
        <v/>
      </c>
      <c r="F1087">
        <f>IF(AND('Skill Matrix'!A73&lt;&gt;"",'Skill Matrix'!R5&lt;&gt;""),'Skill Matrix'!R5,"")</f>
        <v/>
      </c>
      <c r="G1087">
        <f>IF(OR(A1087="",'Skill Matrix'!R73=""),"",'Skill Matrix'!R73)</f>
        <v/>
      </c>
      <c r="H1087">
        <f>IF(A1087="","",'Employees'!F10)</f>
        <v/>
      </c>
    </row>
    <row r="1088">
      <c r="A1088">
        <f>IF(AND('Skill Matrix'!A73&lt;&gt;"",'Skill Matrix'!S5&lt;&gt;""),'Skill Matrix'!A73,"")</f>
        <v/>
      </c>
      <c r="B1088">
        <f>IF(A1088="","",'Employees'!C10)</f>
        <v/>
      </c>
      <c r="C1088">
        <f>IF(A1088="","",'Employees'!D10)</f>
        <v/>
      </c>
      <c r="D1088">
        <f>IF(A1088="","",'Skill Matrix'!C73)</f>
        <v/>
      </c>
      <c r="E1088">
        <f>IF(A1088="","",'Skill Matrix'!D73)</f>
        <v/>
      </c>
      <c r="F1088">
        <f>IF(AND('Skill Matrix'!A73&lt;&gt;"",'Skill Matrix'!S5&lt;&gt;""),'Skill Matrix'!S5,"")</f>
        <v/>
      </c>
      <c r="G1088">
        <f>IF(OR(A1088="",'Skill Matrix'!S73=""),"",'Skill Matrix'!S73)</f>
        <v/>
      </c>
      <c r="H1088">
        <f>IF(A1088="","",'Employees'!F10)</f>
        <v/>
      </c>
    </row>
    <row r="1089">
      <c r="A1089">
        <f>IF(AND('Skill Matrix'!A73&lt;&gt;"",'Skill Matrix'!T5&lt;&gt;""),'Skill Matrix'!A73,"")</f>
        <v/>
      </c>
      <c r="B1089">
        <f>IF(A1089="","",'Employees'!C10)</f>
        <v/>
      </c>
      <c r="C1089">
        <f>IF(A1089="","",'Employees'!D10)</f>
        <v/>
      </c>
      <c r="D1089">
        <f>IF(A1089="","",'Skill Matrix'!C73)</f>
        <v/>
      </c>
      <c r="E1089">
        <f>IF(A1089="","",'Skill Matrix'!D73)</f>
        <v/>
      </c>
      <c r="F1089">
        <f>IF(AND('Skill Matrix'!A73&lt;&gt;"",'Skill Matrix'!T5&lt;&gt;""),'Skill Matrix'!T5,"")</f>
        <v/>
      </c>
      <c r="G1089">
        <f>IF(OR(A1089="",'Skill Matrix'!T73=""),"",'Skill Matrix'!T73)</f>
        <v/>
      </c>
      <c r="H1089">
        <f>IF(A1089="","",'Employees'!F10)</f>
        <v/>
      </c>
    </row>
    <row r="1090">
      <c r="A1090">
        <f>IF(AND('Skill Matrix'!A74&lt;&gt;"",'Skill Matrix'!E5&lt;&gt;""),'Skill Matrix'!A74,"")</f>
        <v/>
      </c>
      <c r="B1090">
        <f>IF(A1090="","",'Employees'!C10)</f>
        <v/>
      </c>
      <c r="C1090">
        <f>IF(A1090="","",'Employees'!D10)</f>
        <v/>
      </c>
      <c r="D1090">
        <f>IF(A1090="","",'Skill Matrix'!C74)</f>
        <v/>
      </c>
      <c r="E1090">
        <f>IF(A1090="","",'Skill Matrix'!D74)</f>
        <v/>
      </c>
      <c r="F1090">
        <f>IF(AND('Skill Matrix'!A74&lt;&gt;"",'Skill Matrix'!E5&lt;&gt;""),'Skill Matrix'!E5,"")</f>
        <v/>
      </c>
      <c r="G1090">
        <f>IF(OR(A1090="",'Skill Matrix'!E74=""),"",'Skill Matrix'!E74)</f>
        <v/>
      </c>
      <c r="H1090">
        <f>IF(A1090="","",'Employees'!F10)</f>
        <v/>
      </c>
    </row>
    <row r="1091">
      <c r="A1091">
        <f>IF(AND('Skill Matrix'!A74&lt;&gt;"",'Skill Matrix'!F5&lt;&gt;""),'Skill Matrix'!A74,"")</f>
        <v/>
      </c>
      <c r="B1091">
        <f>IF(A1091="","",'Employees'!C10)</f>
        <v/>
      </c>
      <c r="C1091">
        <f>IF(A1091="","",'Employees'!D10)</f>
        <v/>
      </c>
      <c r="D1091">
        <f>IF(A1091="","",'Skill Matrix'!C74)</f>
        <v/>
      </c>
      <c r="E1091">
        <f>IF(A1091="","",'Skill Matrix'!D74)</f>
        <v/>
      </c>
      <c r="F1091">
        <f>IF(AND('Skill Matrix'!A74&lt;&gt;"",'Skill Matrix'!F5&lt;&gt;""),'Skill Matrix'!F5,"")</f>
        <v/>
      </c>
      <c r="G1091">
        <f>IF(OR(A1091="",'Skill Matrix'!F74=""),"",'Skill Matrix'!F74)</f>
        <v/>
      </c>
      <c r="H1091">
        <f>IF(A1091="","",'Employees'!F10)</f>
        <v/>
      </c>
    </row>
    <row r="1092">
      <c r="A1092">
        <f>IF(AND('Skill Matrix'!A74&lt;&gt;"",'Skill Matrix'!G5&lt;&gt;""),'Skill Matrix'!A74,"")</f>
        <v/>
      </c>
      <c r="B1092">
        <f>IF(A1092="","",'Employees'!C10)</f>
        <v/>
      </c>
      <c r="C1092">
        <f>IF(A1092="","",'Employees'!D10)</f>
        <v/>
      </c>
      <c r="D1092">
        <f>IF(A1092="","",'Skill Matrix'!C74)</f>
        <v/>
      </c>
      <c r="E1092">
        <f>IF(A1092="","",'Skill Matrix'!D74)</f>
        <v/>
      </c>
      <c r="F1092">
        <f>IF(AND('Skill Matrix'!A74&lt;&gt;"",'Skill Matrix'!G5&lt;&gt;""),'Skill Matrix'!G5,"")</f>
        <v/>
      </c>
      <c r="G1092">
        <f>IF(OR(A1092="",'Skill Matrix'!G74=""),"",'Skill Matrix'!G74)</f>
        <v/>
      </c>
      <c r="H1092">
        <f>IF(A1092="","",'Employees'!F10)</f>
        <v/>
      </c>
    </row>
    <row r="1093">
      <c r="A1093">
        <f>IF(AND('Skill Matrix'!A74&lt;&gt;"",'Skill Matrix'!H5&lt;&gt;""),'Skill Matrix'!A74,"")</f>
        <v/>
      </c>
      <c r="B1093">
        <f>IF(A1093="","",'Employees'!C10)</f>
        <v/>
      </c>
      <c r="C1093">
        <f>IF(A1093="","",'Employees'!D10)</f>
        <v/>
      </c>
      <c r="D1093">
        <f>IF(A1093="","",'Skill Matrix'!C74)</f>
        <v/>
      </c>
      <c r="E1093">
        <f>IF(A1093="","",'Skill Matrix'!D74)</f>
        <v/>
      </c>
      <c r="F1093">
        <f>IF(AND('Skill Matrix'!A74&lt;&gt;"",'Skill Matrix'!H5&lt;&gt;""),'Skill Matrix'!H5,"")</f>
        <v/>
      </c>
      <c r="G1093">
        <f>IF(OR(A1093="",'Skill Matrix'!H74=""),"",'Skill Matrix'!H74)</f>
        <v/>
      </c>
      <c r="H1093">
        <f>IF(A1093="","",'Employees'!F10)</f>
        <v/>
      </c>
    </row>
    <row r="1094">
      <c r="A1094">
        <f>IF(AND('Skill Matrix'!A74&lt;&gt;"",'Skill Matrix'!I5&lt;&gt;""),'Skill Matrix'!A74,"")</f>
        <v/>
      </c>
      <c r="B1094">
        <f>IF(A1094="","",'Employees'!C10)</f>
        <v/>
      </c>
      <c r="C1094">
        <f>IF(A1094="","",'Employees'!D10)</f>
        <v/>
      </c>
      <c r="D1094">
        <f>IF(A1094="","",'Skill Matrix'!C74)</f>
        <v/>
      </c>
      <c r="E1094">
        <f>IF(A1094="","",'Skill Matrix'!D74)</f>
        <v/>
      </c>
      <c r="F1094">
        <f>IF(AND('Skill Matrix'!A74&lt;&gt;"",'Skill Matrix'!I5&lt;&gt;""),'Skill Matrix'!I5,"")</f>
        <v/>
      </c>
      <c r="G1094">
        <f>IF(OR(A1094="",'Skill Matrix'!I74=""),"",'Skill Matrix'!I74)</f>
        <v/>
      </c>
      <c r="H1094">
        <f>IF(A1094="","",'Employees'!F10)</f>
        <v/>
      </c>
    </row>
    <row r="1095">
      <c r="A1095">
        <f>IF(AND('Skill Matrix'!A74&lt;&gt;"",'Skill Matrix'!J5&lt;&gt;""),'Skill Matrix'!A74,"")</f>
        <v/>
      </c>
      <c r="B1095">
        <f>IF(A1095="","",'Employees'!C10)</f>
        <v/>
      </c>
      <c r="C1095">
        <f>IF(A1095="","",'Employees'!D10)</f>
        <v/>
      </c>
      <c r="D1095">
        <f>IF(A1095="","",'Skill Matrix'!C74)</f>
        <v/>
      </c>
      <c r="E1095">
        <f>IF(A1095="","",'Skill Matrix'!D74)</f>
        <v/>
      </c>
      <c r="F1095">
        <f>IF(AND('Skill Matrix'!A74&lt;&gt;"",'Skill Matrix'!J5&lt;&gt;""),'Skill Matrix'!J5,"")</f>
        <v/>
      </c>
      <c r="G1095">
        <f>IF(OR(A1095="",'Skill Matrix'!J74=""),"",'Skill Matrix'!J74)</f>
        <v/>
      </c>
      <c r="H1095">
        <f>IF(A1095="","",'Employees'!F10)</f>
        <v/>
      </c>
    </row>
    <row r="1096">
      <c r="A1096">
        <f>IF(AND('Skill Matrix'!A74&lt;&gt;"",'Skill Matrix'!K5&lt;&gt;""),'Skill Matrix'!A74,"")</f>
        <v/>
      </c>
      <c r="B1096">
        <f>IF(A1096="","",'Employees'!C10)</f>
        <v/>
      </c>
      <c r="C1096">
        <f>IF(A1096="","",'Employees'!D10)</f>
        <v/>
      </c>
      <c r="D1096">
        <f>IF(A1096="","",'Skill Matrix'!C74)</f>
        <v/>
      </c>
      <c r="E1096">
        <f>IF(A1096="","",'Skill Matrix'!D74)</f>
        <v/>
      </c>
      <c r="F1096">
        <f>IF(AND('Skill Matrix'!A74&lt;&gt;"",'Skill Matrix'!K5&lt;&gt;""),'Skill Matrix'!K5,"")</f>
        <v/>
      </c>
      <c r="G1096">
        <f>IF(OR(A1096="",'Skill Matrix'!K74=""),"",'Skill Matrix'!K74)</f>
        <v/>
      </c>
      <c r="H1096">
        <f>IF(A1096="","",'Employees'!F10)</f>
        <v/>
      </c>
    </row>
    <row r="1097">
      <c r="A1097">
        <f>IF(AND('Skill Matrix'!A74&lt;&gt;"",'Skill Matrix'!L5&lt;&gt;""),'Skill Matrix'!A74,"")</f>
        <v/>
      </c>
      <c r="B1097">
        <f>IF(A1097="","",'Employees'!C10)</f>
        <v/>
      </c>
      <c r="C1097">
        <f>IF(A1097="","",'Employees'!D10)</f>
        <v/>
      </c>
      <c r="D1097">
        <f>IF(A1097="","",'Skill Matrix'!C74)</f>
        <v/>
      </c>
      <c r="E1097">
        <f>IF(A1097="","",'Skill Matrix'!D74)</f>
        <v/>
      </c>
      <c r="F1097">
        <f>IF(AND('Skill Matrix'!A74&lt;&gt;"",'Skill Matrix'!L5&lt;&gt;""),'Skill Matrix'!L5,"")</f>
        <v/>
      </c>
      <c r="G1097">
        <f>IF(OR(A1097="",'Skill Matrix'!L74=""),"",'Skill Matrix'!L74)</f>
        <v/>
      </c>
      <c r="H1097">
        <f>IF(A1097="","",'Employees'!F10)</f>
        <v/>
      </c>
    </row>
    <row r="1098">
      <c r="A1098">
        <f>IF(AND('Skill Matrix'!A74&lt;&gt;"",'Skill Matrix'!M5&lt;&gt;""),'Skill Matrix'!A74,"")</f>
        <v/>
      </c>
      <c r="B1098">
        <f>IF(A1098="","",'Employees'!C10)</f>
        <v/>
      </c>
      <c r="C1098">
        <f>IF(A1098="","",'Employees'!D10)</f>
        <v/>
      </c>
      <c r="D1098">
        <f>IF(A1098="","",'Skill Matrix'!C74)</f>
        <v/>
      </c>
      <c r="E1098">
        <f>IF(A1098="","",'Skill Matrix'!D74)</f>
        <v/>
      </c>
      <c r="F1098">
        <f>IF(AND('Skill Matrix'!A74&lt;&gt;"",'Skill Matrix'!M5&lt;&gt;""),'Skill Matrix'!M5,"")</f>
        <v/>
      </c>
      <c r="G1098">
        <f>IF(OR(A1098="",'Skill Matrix'!M74=""),"",'Skill Matrix'!M74)</f>
        <v/>
      </c>
      <c r="H1098">
        <f>IF(A1098="","",'Employees'!F10)</f>
        <v/>
      </c>
    </row>
    <row r="1099">
      <c r="A1099">
        <f>IF(AND('Skill Matrix'!A74&lt;&gt;"",'Skill Matrix'!N5&lt;&gt;""),'Skill Matrix'!A74,"")</f>
        <v/>
      </c>
      <c r="B1099">
        <f>IF(A1099="","",'Employees'!C10)</f>
        <v/>
      </c>
      <c r="C1099">
        <f>IF(A1099="","",'Employees'!D10)</f>
        <v/>
      </c>
      <c r="D1099">
        <f>IF(A1099="","",'Skill Matrix'!C74)</f>
        <v/>
      </c>
      <c r="E1099">
        <f>IF(A1099="","",'Skill Matrix'!D74)</f>
        <v/>
      </c>
      <c r="F1099">
        <f>IF(AND('Skill Matrix'!A74&lt;&gt;"",'Skill Matrix'!N5&lt;&gt;""),'Skill Matrix'!N5,"")</f>
        <v/>
      </c>
      <c r="G1099">
        <f>IF(OR(A1099="",'Skill Matrix'!N74=""),"",'Skill Matrix'!N74)</f>
        <v/>
      </c>
      <c r="H1099">
        <f>IF(A1099="","",'Employees'!F10)</f>
        <v/>
      </c>
    </row>
    <row r="1100">
      <c r="A1100">
        <f>IF(AND('Skill Matrix'!A74&lt;&gt;"",'Skill Matrix'!O5&lt;&gt;""),'Skill Matrix'!A74,"")</f>
        <v/>
      </c>
      <c r="B1100">
        <f>IF(A1100="","",'Employees'!C10)</f>
        <v/>
      </c>
      <c r="C1100">
        <f>IF(A1100="","",'Employees'!D10)</f>
        <v/>
      </c>
      <c r="D1100">
        <f>IF(A1100="","",'Skill Matrix'!C74)</f>
        <v/>
      </c>
      <c r="E1100">
        <f>IF(A1100="","",'Skill Matrix'!D74)</f>
        <v/>
      </c>
      <c r="F1100">
        <f>IF(AND('Skill Matrix'!A74&lt;&gt;"",'Skill Matrix'!O5&lt;&gt;""),'Skill Matrix'!O5,"")</f>
        <v/>
      </c>
      <c r="G1100">
        <f>IF(OR(A1100="",'Skill Matrix'!O74=""),"",'Skill Matrix'!O74)</f>
        <v/>
      </c>
      <c r="H1100">
        <f>IF(A1100="","",'Employees'!F10)</f>
        <v/>
      </c>
    </row>
    <row r="1101">
      <c r="A1101">
        <f>IF(AND('Skill Matrix'!A74&lt;&gt;"",'Skill Matrix'!P5&lt;&gt;""),'Skill Matrix'!A74,"")</f>
        <v/>
      </c>
      <c r="B1101">
        <f>IF(A1101="","",'Employees'!C10)</f>
        <v/>
      </c>
      <c r="C1101">
        <f>IF(A1101="","",'Employees'!D10)</f>
        <v/>
      </c>
      <c r="D1101">
        <f>IF(A1101="","",'Skill Matrix'!C74)</f>
        <v/>
      </c>
      <c r="E1101">
        <f>IF(A1101="","",'Skill Matrix'!D74)</f>
        <v/>
      </c>
      <c r="F1101">
        <f>IF(AND('Skill Matrix'!A74&lt;&gt;"",'Skill Matrix'!P5&lt;&gt;""),'Skill Matrix'!P5,"")</f>
        <v/>
      </c>
      <c r="G1101">
        <f>IF(OR(A1101="",'Skill Matrix'!P74=""),"",'Skill Matrix'!P74)</f>
        <v/>
      </c>
      <c r="H1101">
        <f>IF(A1101="","",'Employees'!F10)</f>
        <v/>
      </c>
    </row>
    <row r="1102">
      <c r="A1102">
        <f>IF(AND('Skill Matrix'!A74&lt;&gt;"",'Skill Matrix'!Q5&lt;&gt;""),'Skill Matrix'!A74,"")</f>
        <v/>
      </c>
      <c r="B1102">
        <f>IF(A1102="","",'Employees'!C10)</f>
        <v/>
      </c>
      <c r="C1102">
        <f>IF(A1102="","",'Employees'!D10)</f>
        <v/>
      </c>
      <c r="D1102">
        <f>IF(A1102="","",'Skill Matrix'!C74)</f>
        <v/>
      </c>
      <c r="E1102">
        <f>IF(A1102="","",'Skill Matrix'!D74)</f>
        <v/>
      </c>
      <c r="F1102">
        <f>IF(AND('Skill Matrix'!A74&lt;&gt;"",'Skill Matrix'!Q5&lt;&gt;""),'Skill Matrix'!Q5,"")</f>
        <v/>
      </c>
      <c r="G1102">
        <f>IF(OR(A1102="",'Skill Matrix'!Q74=""),"",'Skill Matrix'!Q74)</f>
        <v/>
      </c>
      <c r="H1102">
        <f>IF(A1102="","",'Employees'!F10)</f>
        <v/>
      </c>
    </row>
    <row r="1103">
      <c r="A1103">
        <f>IF(AND('Skill Matrix'!A74&lt;&gt;"",'Skill Matrix'!R5&lt;&gt;""),'Skill Matrix'!A74,"")</f>
        <v/>
      </c>
      <c r="B1103">
        <f>IF(A1103="","",'Employees'!C10)</f>
        <v/>
      </c>
      <c r="C1103">
        <f>IF(A1103="","",'Employees'!D10)</f>
        <v/>
      </c>
      <c r="D1103">
        <f>IF(A1103="","",'Skill Matrix'!C74)</f>
        <v/>
      </c>
      <c r="E1103">
        <f>IF(A1103="","",'Skill Matrix'!D74)</f>
        <v/>
      </c>
      <c r="F1103">
        <f>IF(AND('Skill Matrix'!A74&lt;&gt;"",'Skill Matrix'!R5&lt;&gt;""),'Skill Matrix'!R5,"")</f>
        <v/>
      </c>
      <c r="G1103">
        <f>IF(OR(A1103="",'Skill Matrix'!R74=""),"",'Skill Matrix'!R74)</f>
        <v/>
      </c>
      <c r="H1103">
        <f>IF(A1103="","",'Employees'!F10)</f>
        <v/>
      </c>
    </row>
    <row r="1104">
      <c r="A1104">
        <f>IF(AND('Skill Matrix'!A74&lt;&gt;"",'Skill Matrix'!S5&lt;&gt;""),'Skill Matrix'!A74,"")</f>
        <v/>
      </c>
      <c r="B1104">
        <f>IF(A1104="","",'Employees'!C10)</f>
        <v/>
      </c>
      <c r="C1104">
        <f>IF(A1104="","",'Employees'!D10)</f>
        <v/>
      </c>
      <c r="D1104">
        <f>IF(A1104="","",'Skill Matrix'!C74)</f>
        <v/>
      </c>
      <c r="E1104">
        <f>IF(A1104="","",'Skill Matrix'!D74)</f>
        <v/>
      </c>
      <c r="F1104">
        <f>IF(AND('Skill Matrix'!A74&lt;&gt;"",'Skill Matrix'!S5&lt;&gt;""),'Skill Matrix'!S5,"")</f>
        <v/>
      </c>
      <c r="G1104">
        <f>IF(OR(A1104="",'Skill Matrix'!S74=""),"",'Skill Matrix'!S74)</f>
        <v/>
      </c>
      <c r="H1104">
        <f>IF(A1104="","",'Employees'!F10)</f>
        <v/>
      </c>
    </row>
    <row r="1105">
      <c r="A1105">
        <f>IF(AND('Skill Matrix'!A74&lt;&gt;"",'Skill Matrix'!T5&lt;&gt;""),'Skill Matrix'!A74,"")</f>
        <v/>
      </c>
      <c r="B1105">
        <f>IF(A1105="","",'Employees'!C10)</f>
        <v/>
      </c>
      <c r="C1105">
        <f>IF(A1105="","",'Employees'!D10)</f>
        <v/>
      </c>
      <c r="D1105">
        <f>IF(A1105="","",'Skill Matrix'!C74)</f>
        <v/>
      </c>
      <c r="E1105">
        <f>IF(A1105="","",'Skill Matrix'!D74)</f>
        <v/>
      </c>
      <c r="F1105">
        <f>IF(AND('Skill Matrix'!A74&lt;&gt;"",'Skill Matrix'!T5&lt;&gt;""),'Skill Matrix'!T5,"")</f>
        <v/>
      </c>
      <c r="G1105">
        <f>IF(OR(A1105="",'Skill Matrix'!T74=""),"",'Skill Matrix'!T74)</f>
        <v/>
      </c>
      <c r="H1105">
        <f>IF(A1105="","",'Employees'!F10)</f>
        <v/>
      </c>
    </row>
    <row r="1106">
      <c r="A1106">
        <f>IF(AND('Skill Matrix'!A75&lt;&gt;"",'Skill Matrix'!E5&lt;&gt;""),'Skill Matrix'!A75,"")</f>
        <v/>
      </c>
      <c r="B1106">
        <f>IF(A1106="","",'Employees'!C10)</f>
        <v/>
      </c>
      <c r="C1106">
        <f>IF(A1106="","",'Employees'!D10)</f>
        <v/>
      </c>
      <c r="D1106">
        <f>IF(A1106="","",'Skill Matrix'!C75)</f>
        <v/>
      </c>
      <c r="E1106">
        <f>IF(A1106="","",'Skill Matrix'!D75)</f>
        <v/>
      </c>
      <c r="F1106">
        <f>IF(AND('Skill Matrix'!A75&lt;&gt;"",'Skill Matrix'!E5&lt;&gt;""),'Skill Matrix'!E5,"")</f>
        <v/>
      </c>
      <c r="G1106">
        <f>IF(OR(A1106="",'Skill Matrix'!E75=""),"",'Skill Matrix'!E75)</f>
        <v/>
      </c>
      <c r="H1106">
        <f>IF(A1106="","",'Employees'!F10)</f>
        <v/>
      </c>
    </row>
    <row r="1107">
      <c r="A1107">
        <f>IF(AND('Skill Matrix'!A75&lt;&gt;"",'Skill Matrix'!F5&lt;&gt;""),'Skill Matrix'!A75,"")</f>
        <v/>
      </c>
      <c r="B1107">
        <f>IF(A1107="","",'Employees'!C10)</f>
        <v/>
      </c>
      <c r="C1107">
        <f>IF(A1107="","",'Employees'!D10)</f>
        <v/>
      </c>
      <c r="D1107">
        <f>IF(A1107="","",'Skill Matrix'!C75)</f>
        <v/>
      </c>
      <c r="E1107">
        <f>IF(A1107="","",'Skill Matrix'!D75)</f>
        <v/>
      </c>
      <c r="F1107">
        <f>IF(AND('Skill Matrix'!A75&lt;&gt;"",'Skill Matrix'!F5&lt;&gt;""),'Skill Matrix'!F5,"")</f>
        <v/>
      </c>
      <c r="G1107">
        <f>IF(OR(A1107="",'Skill Matrix'!F75=""),"",'Skill Matrix'!F75)</f>
        <v/>
      </c>
      <c r="H1107">
        <f>IF(A1107="","",'Employees'!F10)</f>
        <v/>
      </c>
    </row>
    <row r="1108">
      <c r="A1108">
        <f>IF(AND('Skill Matrix'!A75&lt;&gt;"",'Skill Matrix'!G5&lt;&gt;""),'Skill Matrix'!A75,"")</f>
        <v/>
      </c>
      <c r="B1108">
        <f>IF(A1108="","",'Employees'!C10)</f>
        <v/>
      </c>
      <c r="C1108">
        <f>IF(A1108="","",'Employees'!D10)</f>
        <v/>
      </c>
      <c r="D1108">
        <f>IF(A1108="","",'Skill Matrix'!C75)</f>
        <v/>
      </c>
      <c r="E1108">
        <f>IF(A1108="","",'Skill Matrix'!D75)</f>
        <v/>
      </c>
      <c r="F1108">
        <f>IF(AND('Skill Matrix'!A75&lt;&gt;"",'Skill Matrix'!G5&lt;&gt;""),'Skill Matrix'!G5,"")</f>
        <v/>
      </c>
      <c r="G1108">
        <f>IF(OR(A1108="",'Skill Matrix'!G75=""),"",'Skill Matrix'!G75)</f>
        <v/>
      </c>
      <c r="H1108">
        <f>IF(A1108="","",'Employees'!F10)</f>
        <v/>
      </c>
    </row>
    <row r="1109">
      <c r="A1109">
        <f>IF(AND('Skill Matrix'!A75&lt;&gt;"",'Skill Matrix'!H5&lt;&gt;""),'Skill Matrix'!A75,"")</f>
        <v/>
      </c>
      <c r="B1109">
        <f>IF(A1109="","",'Employees'!C10)</f>
        <v/>
      </c>
      <c r="C1109">
        <f>IF(A1109="","",'Employees'!D10)</f>
        <v/>
      </c>
      <c r="D1109">
        <f>IF(A1109="","",'Skill Matrix'!C75)</f>
        <v/>
      </c>
      <c r="E1109">
        <f>IF(A1109="","",'Skill Matrix'!D75)</f>
        <v/>
      </c>
      <c r="F1109">
        <f>IF(AND('Skill Matrix'!A75&lt;&gt;"",'Skill Matrix'!H5&lt;&gt;""),'Skill Matrix'!H5,"")</f>
        <v/>
      </c>
      <c r="G1109">
        <f>IF(OR(A1109="",'Skill Matrix'!H75=""),"",'Skill Matrix'!H75)</f>
        <v/>
      </c>
      <c r="H1109">
        <f>IF(A1109="","",'Employees'!F10)</f>
        <v/>
      </c>
    </row>
    <row r="1110">
      <c r="A1110">
        <f>IF(AND('Skill Matrix'!A75&lt;&gt;"",'Skill Matrix'!I5&lt;&gt;""),'Skill Matrix'!A75,"")</f>
        <v/>
      </c>
      <c r="B1110">
        <f>IF(A1110="","",'Employees'!C10)</f>
        <v/>
      </c>
      <c r="C1110">
        <f>IF(A1110="","",'Employees'!D10)</f>
        <v/>
      </c>
      <c r="D1110">
        <f>IF(A1110="","",'Skill Matrix'!C75)</f>
        <v/>
      </c>
      <c r="E1110">
        <f>IF(A1110="","",'Skill Matrix'!D75)</f>
        <v/>
      </c>
      <c r="F1110">
        <f>IF(AND('Skill Matrix'!A75&lt;&gt;"",'Skill Matrix'!I5&lt;&gt;""),'Skill Matrix'!I5,"")</f>
        <v/>
      </c>
      <c r="G1110">
        <f>IF(OR(A1110="",'Skill Matrix'!I75=""),"",'Skill Matrix'!I75)</f>
        <v/>
      </c>
      <c r="H1110">
        <f>IF(A1110="","",'Employees'!F10)</f>
        <v/>
      </c>
    </row>
    <row r="1111">
      <c r="A1111">
        <f>IF(AND('Skill Matrix'!A75&lt;&gt;"",'Skill Matrix'!J5&lt;&gt;""),'Skill Matrix'!A75,"")</f>
        <v/>
      </c>
      <c r="B1111">
        <f>IF(A1111="","",'Employees'!C10)</f>
        <v/>
      </c>
      <c r="C1111">
        <f>IF(A1111="","",'Employees'!D10)</f>
        <v/>
      </c>
      <c r="D1111">
        <f>IF(A1111="","",'Skill Matrix'!C75)</f>
        <v/>
      </c>
      <c r="E1111">
        <f>IF(A1111="","",'Skill Matrix'!D75)</f>
        <v/>
      </c>
      <c r="F1111">
        <f>IF(AND('Skill Matrix'!A75&lt;&gt;"",'Skill Matrix'!J5&lt;&gt;""),'Skill Matrix'!J5,"")</f>
        <v/>
      </c>
      <c r="G1111">
        <f>IF(OR(A1111="",'Skill Matrix'!J75=""),"",'Skill Matrix'!J75)</f>
        <v/>
      </c>
      <c r="H1111">
        <f>IF(A1111="","",'Employees'!F10)</f>
        <v/>
      </c>
    </row>
    <row r="1112">
      <c r="A1112">
        <f>IF(AND('Skill Matrix'!A75&lt;&gt;"",'Skill Matrix'!K5&lt;&gt;""),'Skill Matrix'!A75,"")</f>
        <v/>
      </c>
      <c r="B1112">
        <f>IF(A1112="","",'Employees'!C10)</f>
        <v/>
      </c>
      <c r="C1112">
        <f>IF(A1112="","",'Employees'!D10)</f>
        <v/>
      </c>
      <c r="D1112">
        <f>IF(A1112="","",'Skill Matrix'!C75)</f>
        <v/>
      </c>
      <c r="E1112">
        <f>IF(A1112="","",'Skill Matrix'!D75)</f>
        <v/>
      </c>
      <c r="F1112">
        <f>IF(AND('Skill Matrix'!A75&lt;&gt;"",'Skill Matrix'!K5&lt;&gt;""),'Skill Matrix'!K5,"")</f>
        <v/>
      </c>
      <c r="G1112">
        <f>IF(OR(A1112="",'Skill Matrix'!K75=""),"",'Skill Matrix'!K75)</f>
        <v/>
      </c>
      <c r="H1112">
        <f>IF(A1112="","",'Employees'!F10)</f>
        <v/>
      </c>
    </row>
    <row r="1113">
      <c r="A1113">
        <f>IF(AND('Skill Matrix'!A75&lt;&gt;"",'Skill Matrix'!L5&lt;&gt;""),'Skill Matrix'!A75,"")</f>
        <v/>
      </c>
      <c r="B1113">
        <f>IF(A1113="","",'Employees'!C10)</f>
        <v/>
      </c>
      <c r="C1113">
        <f>IF(A1113="","",'Employees'!D10)</f>
        <v/>
      </c>
      <c r="D1113">
        <f>IF(A1113="","",'Skill Matrix'!C75)</f>
        <v/>
      </c>
      <c r="E1113">
        <f>IF(A1113="","",'Skill Matrix'!D75)</f>
        <v/>
      </c>
      <c r="F1113">
        <f>IF(AND('Skill Matrix'!A75&lt;&gt;"",'Skill Matrix'!L5&lt;&gt;""),'Skill Matrix'!L5,"")</f>
        <v/>
      </c>
      <c r="G1113">
        <f>IF(OR(A1113="",'Skill Matrix'!L75=""),"",'Skill Matrix'!L75)</f>
        <v/>
      </c>
      <c r="H1113">
        <f>IF(A1113="","",'Employees'!F10)</f>
        <v/>
      </c>
    </row>
    <row r="1114">
      <c r="A1114">
        <f>IF(AND('Skill Matrix'!A75&lt;&gt;"",'Skill Matrix'!M5&lt;&gt;""),'Skill Matrix'!A75,"")</f>
        <v/>
      </c>
      <c r="B1114">
        <f>IF(A1114="","",'Employees'!C10)</f>
        <v/>
      </c>
      <c r="C1114">
        <f>IF(A1114="","",'Employees'!D10)</f>
        <v/>
      </c>
      <c r="D1114">
        <f>IF(A1114="","",'Skill Matrix'!C75)</f>
        <v/>
      </c>
      <c r="E1114">
        <f>IF(A1114="","",'Skill Matrix'!D75)</f>
        <v/>
      </c>
      <c r="F1114">
        <f>IF(AND('Skill Matrix'!A75&lt;&gt;"",'Skill Matrix'!M5&lt;&gt;""),'Skill Matrix'!M5,"")</f>
        <v/>
      </c>
      <c r="G1114">
        <f>IF(OR(A1114="",'Skill Matrix'!M75=""),"",'Skill Matrix'!M75)</f>
        <v/>
      </c>
      <c r="H1114">
        <f>IF(A1114="","",'Employees'!F10)</f>
        <v/>
      </c>
    </row>
    <row r="1115">
      <c r="A1115">
        <f>IF(AND('Skill Matrix'!A75&lt;&gt;"",'Skill Matrix'!N5&lt;&gt;""),'Skill Matrix'!A75,"")</f>
        <v/>
      </c>
      <c r="B1115">
        <f>IF(A1115="","",'Employees'!C10)</f>
        <v/>
      </c>
      <c r="C1115">
        <f>IF(A1115="","",'Employees'!D10)</f>
        <v/>
      </c>
      <c r="D1115">
        <f>IF(A1115="","",'Skill Matrix'!C75)</f>
        <v/>
      </c>
      <c r="E1115">
        <f>IF(A1115="","",'Skill Matrix'!D75)</f>
        <v/>
      </c>
      <c r="F1115">
        <f>IF(AND('Skill Matrix'!A75&lt;&gt;"",'Skill Matrix'!N5&lt;&gt;""),'Skill Matrix'!N5,"")</f>
        <v/>
      </c>
      <c r="G1115">
        <f>IF(OR(A1115="",'Skill Matrix'!N75=""),"",'Skill Matrix'!N75)</f>
        <v/>
      </c>
      <c r="H1115">
        <f>IF(A1115="","",'Employees'!F10)</f>
        <v/>
      </c>
    </row>
    <row r="1116">
      <c r="A1116">
        <f>IF(AND('Skill Matrix'!A75&lt;&gt;"",'Skill Matrix'!O5&lt;&gt;""),'Skill Matrix'!A75,"")</f>
        <v/>
      </c>
      <c r="B1116">
        <f>IF(A1116="","",'Employees'!C10)</f>
        <v/>
      </c>
      <c r="C1116">
        <f>IF(A1116="","",'Employees'!D10)</f>
        <v/>
      </c>
      <c r="D1116">
        <f>IF(A1116="","",'Skill Matrix'!C75)</f>
        <v/>
      </c>
      <c r="E1116">
        <f>IF(A1116="","",'Skill Matrix'!D75)</f>
        <v/>
      </c>
      <c r="F1116">
        <f>IF(AND('Skill Matrix'!A75&lt;&gt;"",'Skill Matrix'!O5&lt;&gt;""),'Skill Matrix'!O5,"")</f>
        <v/>
      </c>
      <c r="G1116">
        <f>IF(OR(A1116="",'Skill Matrix'!O75=""),"",'Skill Matrix'!O75)</f>
        <v/>
      </c>
      <c r="H1116">
        <f>IF(A1116="","",'Employees'!F10)</f>
        <v/>
      </c>
    </row>
    <row r="1117">
      <c r="A1117">
        <f>IF(AND('Skill Matrix'!A75&lt;&gt;"",'Skill Matrix'!P5&lt;&gt;""),'Skill Matrix'!A75,"")</f>
        <v/>
      </c>
      <c r="B1117">
        <f>IF(A1117="","",'Employees'!C10)</f>
        <v/>
      </c>
      <c r="C1117">
        <f>IF(A1117="","",'Employees'!D10)</f>
        <v/>
      </c>
      <c r="D1117">
        <f>IF(A1117="","",'Skill Matrix'!C75)</f>
        <v/>
      </c>
      <c r="E1117">
        <f>IF(A1117="","",'Skill Matrix'!D75)</f>
        <v/>
      </c>
      <c r="F1117">
        <f>IF(AND('Skill Matrix'!A75&lt;&gt;"",'Skill Matrix'!P5&lt;&gt;""),'Skill Matrix'!P5,"")</f>
        <v/>
      </c>
      <c r="G1117">
        <f>IF(OR(A1117="",'Skill Matrix'!P75=""),"",'Skill Matrix'!P75)</f>
        <v/>
      </c>
      <c r="H1117">
        <f>IF(A1117="","",'Employees'!F10)</f>
        <v/>
      </c>
    </row>
    <row r="1118">
      <c r="A1118">
        <f>IF(AND('Skill Matrix'!A75&lt;&gt;"",'Skill Matrix'!Q5&lt;&gt;""),'Skill Matrix'!A75,"")</f>
        <v/>
      </c>
      <c r="B1118">
        <f>IF(A1118="","",'Employees'!C10)</f>
        <v/>
      </c>
      <c r="C1118">
        <f>IF(A1118="","",'Employees'!D10)</f>
        <v/>
      </c>
      <c r="D1118">
        <f>IF(A1118="","",'Skill Matrix'!C75)</f>
        <v/>
      </c>
      <c r="E1118">
        <f>IF(A1118="","",'Skill Matrix'!D75)</f>
        <v/>
      </c>
      <c r="F1118">
        <f>IF(AND('Skill Matrix'!A75&lt;&gt;"",'Skill Matrix'!Q5&lt;&gt;""),'Skill Matrix'!Q5,"")</f>
        <v/>
      </c>
      <c r="G1118">
        <f>IF(OR(A1118="",'Skill Matrix'!Q75=""),"",'Skill Matrix'!Q75)</f>
        <v/>
      </c>
      <c r="H1118">
        <f>IF(A1118="","",'Employees'!F10)</f>
        <v/>
      </c>
    </row>
    <row r="1119">
      <c r="A1119">
        <f>IF(AND('Skill Matrix'!A75&lt;&gt;"",'Skill Matrix'!R5&lt;&gt;""),'Skill Matrix'!A75,"")</f>
        <v/>
      </c>
      <c r="B1119">
        <f>IF(A1119="","",'Employees'!C10)</f>
        <v/>
      </c>
      <c r="C1119">
        <f>IF(A1119="","",'Employees'!D10)</f>
        <v/>
      </c>
      <c r="D1119">
        <f>IF(A1119="","",'Skill Matrix'!C75)</f>
        <v/>
      </c>
      <c r="E1119">
        <f>IF(A1119="","",'Skill Matrix'!D75)</f>
        <v/>
      </c>
      <c r="F1119">
        <f>IF(AND('Skill Matrix'!A75&lt;&gt;"",'Skill Matrix'!R5&lt;&gt;""),'Skill Matrix'!R5,"")</f>
        <v/>
      </c>
      <c r="G1119">
        <f>IF(OR(A1119="",'Skill Matrix'!R75=""),"",'Skill Matrix'!R75)</f>
        <v/>
      </c>
      <c r="H1119">
        <f>IF(A1119="","",'Employees'!F10)</f>
        <v/>
      </c>
    </row>
    <row r="1120">
      <c r="A1120">
        <f>IF(AND('Skill Matrix'!A75&lt;&gt;"",'Skill Matrix'!S5&lt;&gt;""),'Skill Matrix'!A75,"")</f>
        <v/>
      </c>
      <c r="B1120">
        <f>IF(A1120="","",'Employees'!C10)</f>
        <v/>
      </c>
      <c r="C1120">
        <f>IF(A1120="","",'Employees'!D10)</f>
        <v/>
      </c>
      <c r="D1120">
        <f>IF(A1120="","",'Skill Matrix'!C75)</f>
        <v/>
      </c>
      <c r="E1120">
        <f>IF(A1120="","",'Skill Matrix'!D75)</f>
        <v/>
      </c>
      <c r="F1120">
        <f>IF(AND('Skill Matrix'!A75&lt;&gt;"",'Skill Matrix'!S5&lt;&gt;""),'Skill Matrix'!S5,"")</f>
        <v/>
      </c>
      <c r="G1120">
        <f>IF(OR(A1120="",'Skill Matrix'!S75=""),"",'Skill Matrix'!S75)</f>
        <v/>
      </c>
      <c r="H1120">
        <f>IF(A1120="","",'Employees'!F10)</f>
        <v/>
      </c>
    </row>
    <row r="1121">
      <c r="A1121">
        <f>IF(AND('Skill Matrix'!A75&lt;&gt;"",'Skill Matrix'!T5&lt;&gt;""),'Skill Matrix'!A75,"")</f>
        <v/>
      </c>
      <c r="B1121">
        <f>IF(A1121="","",'Employees'!C10)</f>
        <v/>
      </c>
      <c r="C1121">
        <f>IF(A1121="","",'Employees'!D10)</f>
        <v/>
      </c>
      <c r="D1121">
        <f>IF(A1121="","",'Skill Matrix'!C75)</f>
        <v/>
      </c>
      <c r="E1121">
        <f>IF(A1121="","",'Skill Matrix'!D75)</f>
        <v/>
      </c>
      <c r="F1121">
        <f>IF(AND('Skill Matrix'!A75&lt;&gt;"",'Skill Matrix'!T5&lt;&gt;""),'Skill Matrix'!T5,"")</f>
        <v/>
      </c>
      <c r="G1121">
        <f>IF(OR(A1121="",'Skill Matrix'!T75=""),"",'Skill Matrix'!T75)</f>
        <v/>
      </c>
      <c r="H1121">
        <f>IF(A1121="","",'Employees'!F10)</f>
        <v/>
      </c>
    </row>
    <row r="1122">
      <c r="A1122">
        <f>IF(AND('Skill Matrix'!A76&lt;&gt;"",'Skill Matrix'!E5&lt;&gt;""),'Skill Matrix'!A76,"")</f>
        <v/>
      </c>
      <c r="B1122">
        <f>IF(A1122="","",'Employees'!C10)</f>
        <v/>
      </c>
      <c r="C1122">
        <f>IF(A1122="","",'Employees'!D10)</f>
        <v/>
      </c>
      <c r="D1122">
        <f>IF(A1122="","",'Skill Matrix'!C76)</f>
        <v/>
      </c>
      <c r="E1122">
        <f>IF(A1122="","",'Skill Matrix'!D76)</f>
        <v/>
      </c>
      <c r="F1122">
        <f>IF(AND('Skill Matrix'!A76&lt;&gt;"",'Skill Matrix'!E5&lt;&gt;""),'Skill Matrix'!E5,"")</f>
        <v/>
      </c>
      <c r="G1122">
        <f>IF(OR(A1122="",'Skill Matrix'!E76=""),"",'Skill Matrix'!E76)</f>
        <v/>
      </c>
      <c r="H1122">
        <f>IF(A1122="","",'Employees'!F10)</f>
        <v/>
      </c>
    </row>
    <row r="1123">
      <c r="A1123">
        <f>IF(AND('Skill Matrix'!A76&lt;&gt;"",'Skill Matrix'!F5&lt;&gt;""),'Skill Matrix'!A76,"")</f>
        <v/>
      </c>
      <c r="B1123">
        <f>IF(A1123="","",'Employees'!C10)</f>
        <v/>
      </c>
      <c r="C1123">
        <f>IF(A1123="","",'Employees'!D10)</f>
        <v/>
      </c>
      <c r="D1123">
        <f>IF(A1123="","",'Skill Matrix'!C76)</f>
        <v/>
      </c>
      <c r="E1123">
        <f>IF(A1123="","",'Skill Matrix'!D76)</f>
        <v/>
      </c>
      <c r="F1123">
        <f>IF(AND('Skill Matrix'!A76&lt;&gt;"",'Skill Matrix'!F5&lt;&gt;""),'Skill Matrix'!F5,"")</f>
        <v/>
      </c>
      <c r="G1123">
        <f>IF(OR(A1123="",'Skill Matrix'!F76=""),"",'Skill Matrix'!F76)</f>
        <v/>
      </c>
      <c r="H1123">
        <f>IF(A1123="","",'Employees'!F10)</f>
        <v/>
      </c>
    </row>
    <row r="1124">
      <c r="A1124">
        <f>IF(AND('Skill Matrix'!A76&lt;&gt;"",'Skill Matrix'!G5&lt;&gt;""),'Skill Matrix'!A76,"")</f>
        <v/>
      </c>
      <c r="B1124">
        <f>IF(A1124="","",'Employees'!C10)</f>
        <v/>
      </c>
      <c r="C1124">
        <f>IF(A1124="","",'Employees'!D10)</f>
        <v/>
      </c>
      <c r="D1124">
        <f>IF(A1124="","",'Skill Matrix'!C76)</f>
        <v/>
      </c>
      <c r="E1124">
        <f>IF(A1124="","",'Skill Matrix'!D76)</f>
        <v/>
      </c>
      <c r="F1124">
        <f>IF(AND('Skill Matrix'!A76&lt;&gt;"",'Skill Matrix'!G5&lt;&gt;""),'Skill Matrix'!G5,"")</f>
        <v/>
      </c>
      <c r="G1124">
        <f>IF(OR(A1124="",'Skill Matrix'!G76=""),"",'Skill Matrix'!G76)</f>
        <v/>
      </c>
      <c r="H1124">
        <f>IF(A1124="","",'Employees'!F10)</f>
        <v/>
      </c>
    </row>
    <row r="1125">
      <c r="A1125">
        <f>IF(AND('Skill Matrix'!A76&lt;&gt;"",'Skill Matrix'!H5&lt;&gt;""),'Skill Matrix'!A76,"")</f>
        <v/>
      </c>
      <c r="B1125">
        <f>IF(A1125="","",'Employees'!C10)</f>
        <v/>
      </c>
      <c r="C1125">
        <f>IF(A1125="","",'Employees'!D10)</f>
        <v/>
      </c>
      <c r="D1125">
        <f>IF(A1125="","",'Skill Matrix'!C76)</f>
        <v/>
      </c>
      <c r="E1125">
        <f>IF(A1125="","",'Skill Matrix'!D76)</f>
        <v/>
      </c>
      <c r="F1125">
        <f>IF(AND('Skill Matrix'!A76&lt;&gt;"",'Skill Matrix'!H5&lt;&gt;""),'Skill Matrix'!H5,"")</f>
        <v/>
      </c>
      <c r="G1125">
        <f>IF(OR(A1125="",'Skill Matrix'!H76=""),"",'Skill Matrix'!H76)</f>
        <v/>
      </c>
      <c r="H1125">
        <f>IF(A1125="","",'Employees'!F10)</f>
        <v/>
      </c>
    </row>
    <row r="1126">
      <c r="A1126">
        <f>IF(AND('Skill Matrix'!A76&lt;&gt;"",'Skill Matrix'!I5&lt;&gt;""),'Skill Matrix'!A76,"")</f>
        <v/>
      </c>
      <c r="B1126">
        <f>IF(A1126="","",'Employees'!C10)</f>
        <v/>
      </c>
      <c r="C1126">
        <f>IF(A1126="","",'Employees'!D10)</f>
        <v/>
      </c>
      <c r="D1126">
        <f>IF(A1126="","",'Skill Matrix'!C76)</f>
        <v/>
      </c>
      <c r="E1126">
        <f>IF(A1126="","",'Skill Matrix'!D76)</f>
        <v/>
      </c>
      <c r="F1126">
        <f>IF(AND('Skill Matrix'!A76&lt;&gt;"",'Skill Matrix'!I5&lt;&gt;""),'Skill Matrix'!I5,"")</f>
        <v/>
      </c>
      <c r="G1126">
        <f>IF(OR(A1126="",'Skill Matrix'!I76=""),"",'Skill Matrix'!I76)</f>
        <v/>
      </c>
      <c r="H1126">
        <f>IF(A1126="","",'Employees'!F10)</f>
        <v/>
      </c>
    </row>
    <row r="1127">
      <c r="A1127">
        <f>IF(AND('Skill Matrix'!A76&lt;&gt;"",'Skill Matrix'!J5&lt;&gt;""),'Skill Matrix'!A76,"")</f>
        <v/>
      </c>
      <c r="B1127">
        <f>IF(A1127="","",'Employees'!C10)</f>
        <v/>
      </c>
      <c r="C1127">
        <f>IF(A1127="","",'Employees'!D10)</f>
        <v/>
      </c>
      <c r="D1127">
        <f>IF(A1127="","",'Skill Matrix'!C76)</f>
        <v/>
      </c>
      <c r="E1127">
        <f>IF(A1127="","",'Skill Matrix'!D76)</f>
        <v/>
      </c>
      <c r="F1127">
        <f>IF(AND('Skill Matrix'!A76&lt;&gt;"",'Skill Matrix'!J5&lt;&gt;""),'Skill Matrix'!J5,"")</f>
        <v/>
      </c>
      <c r="G1127">
        <f>IF(OR(A1127="",'Skill Matrix'!J76=""),"",'Skill Matrix'!J76)</f>
        <v/>
      </c>
      <c r="H1127">
        <f>IF(A1127="","",'Employees'!F10)</f>
        <v/>
      </c>
    </row>
    <row r="1128">
      <c r="A1128">
        <f>IF(AND('Skill Matrix'!A76&lt;&gt;"",'Skill Matrix'!K5&lt;&gt;""),'Skill Matrix'!A76,"")</f>
        <v/>
      </c>
      <c r="B1128">
        <f>IF(A1128="","",'Employees'!C10)</f>
        <v/>
      </c>
      <c r="C1128">
        <f>IF(A1128="","",'Employees'!D10)</f>
        <v/>
      </c>
      <c r="D1128">
        <f>IF(A1128="","",'Skill Matrix'!C76)</f>
        <v/>
      </c>
      <c r="E1128">
        <f>IF(A1128="","",'Skill Matrix'!D76)</f>
        <v/>
      </c>
      <c r="F1128">
        <f>IF(AND('Skill Matrix'!A76&lt;&gt;"",'Skill Matrix'!K5&lt;&gt;""),'Skill Matrix'!K5,"")</f>
        <v/>
      </c>
      <c r="G1128">
        <f>IF(OR(A1128="",'Skill Matrix'!K76=""),"",'Skill Matrix'!K76)</f>
        <v/>
      </c>
      <c r="H1128">
        <f>IF(A1128="","",'Employees'!F10)</f>
        <v/>
      </c>
    </row>
    <row r="1129">
      <c r="A1129">
        <f>IF(AND('Skill Matrix'!A76&lt;&gt;"",'Skill Matrix'!L5&lt;&gt;""),'Skill Matrix'!A76,"")</f>
        <v/>
      </c>
      <c r="B1129">
        <f>IF(A1129="","",'Employees'!C10)</f>
        <v/>
      </c>
      <c r="C1129">
        <f>IF(A1129="","",'Employees'!D10)</f>
        <v/>
      </c>
      <c r="D1129">
        <f>IF(A1129="","",'Skill Matrix'!C76)</f>
        <v/>
      </c>
      <c r="E1129">
        <f>IF(A1129="","",'Skill Matrix'!D76)</f>
        <v/>
      </c>
      <c r="F1129">
        <f>IF(AND('Skill Matrix'!A76&lt;&gt;"",'Skill Matrix'!L5&lt;&gt;""),'Skill Matrix'!L5,"")</f>
        <v/>
      </c>
      <c r="G1129">
        <f>IF(OR(A1129="",'Skill Matrix'!L76=""),"",'Skill Matrix'!L76)</f>
        <v/>
      </c>
      <c r="H1129">
        <f>IF(A1129="","",'Employees'!F10)</f>
        <v/>
      </c>
    </row>
    <row r="1130">
      <c r="A1130">
        <f>IF(AND('Skill Matrix'!A76&lt;&gt;"",'Skill Matrix'!M5&lt;&gt;""),'Skill Matrix'!A76,"")</f>
        <v/>
      </c>
      <c r="B1130">
        <f>IF(A1130="","",'Employees'!C10)</f>
        <v/>
      </c>
      <c r="C1130">
        <f>IF(A1130="","",'Employees'!D10)</f>
        <v/>
      </c>
      <c r="D1130">
        <f>IF(A1130="","",'Skill Matrix'!C76)</f>
        <v/>
      </c>
      <c r="E1130">
        <f>IF(A1130="","",'Skill Matrix'!D76)</f>
        <v/>
      </c>
      <c r="F1130">
        <f>IF(AND('Skill Matrix'!A76&lt;&gt;"",'Skill Matrix'!M5&lt;&gt;""),'Skill Matrix'!M5,"")</f>
        <v/>
      </c>
      <c r="G1130">
        <f>IF(OR(A1130="",'Skill Matrix'!M76=""),"",'Skill Matrix'!M76)</f>
        <v/>
      </c>
      <c r="H1130">
        <f>IF(A1130="","",'Employees'!F10)</f>
        <v/>
      </c>
    </row>
    <row r="1131">
      <c r="A1131">
        <f>IF(AND('Skill Matrix'!A76&lt;&gt;"",'Skill Matrix'!N5&lt;&gt;""),'Skill Matrix'!A76,"")</f>
        <v/>
      </c>
      <c r="B1131">
        <f>IF(A1131="","",'Employees'!C10)</f>
        <v/>
      </c>
      <c r="C1131">
        <f>IF(A1131="","",'Employees'!D10)</f>
        <v/>
      </c>
      <c r="D1131">
        <f>IF(A1131="","",'Skill Matrix'!C76)</f>
        <v/>
      </c>
      <c r="E1131">
        <f>IF(A1131="","",'Skill Matrix'!D76)</f>
        <v/>
      </c>
      <c r="F1131">
        <f>IF(AND('Skill Matrix'!A76&lt;&gt;"",'Skill Matrix'!N5&lt;&gt;""),'Skill Matrix'!N5,"")</f>
        <v/>
      </c>
      <c r="G1131">
        <f>IF(OR(A1131="",'Skill Matrix'!N76=""),"",'Skill Matrix'!N76)</f>
        <v/>
      </c>
      <c r="H1131">
        <f>IF(A1131="","",'Employees'!F10)</f>
        <v/>
      </c>
    </row>
    <row r="1132">
      <c r="A1132">
        <f>IF(AND('Skill Matrix'!A76&lt;&gt;"",'Skill Matrix'!O5&lt;&gt;""),'Skill Matrix'!A76,"")</f>
        <v/>
      </c>
      <c r="B1132">
        <f>IF(A1132="","",'Employees'!C10)</f>
        <v/>
      </c>
      <c r="C1132">
        <f>IF(A1132="","",'Employees'!D10)</f>
        <v/>
      </c>
      <c r="D1132">
        <f>IF(A1132="","",'Skill Matrix'!C76)</f>
        <v/>
      </c>
      <c r="E1132">
        <f>IF(A1132="","",'Skill Matrix'!D76)</f>
        <v/>
      </c>
      <c r="F1132">
        <f>IF(AND('Skill Matrix'!A76&lt;&gt;"",'Skill Matrix'!O5&lt;&gt;""),'Skill Matrix'!O5,"")</f>
        <v/>
      </c>
      <c r="G1132">
        <f>IF(OR(A1132="",'Skill Matrix'!O76=""),"",'Skill Matrix'!O76)</f>
        <v/>
      </c>
      <c r="H1132">
        <f>IF(A1132="","",'Employees'!F10)</f>
        <v/>
      </c>
    </row>
    <row r="1133">
      <c r="A1133">
        <f>IF(AND('Skill Matrix'!A76&lt;&gt;"",'Skill Matrix'!P5&lt;&gt;""),'Skill Matrix'!A76,"")</f>
        <v/>
      </c>
      <c r="B1133">
        <f>IF(A1133="","",'Employees'!C10)</f>
        <v/>
      </c>
      <c r="C1133">
        <f>IF(A1133="","",'Employees'!D10)</f>
        <v/>
      </c>
      <c r="D1133">
        <f>IF(A1133="","",'Skill Matrix'!C76)</f>
        <v/>
      </c>
      <c r="E1133">
        <f>IF(A1133="","",'Skill Matrix'!D76)</f>
        <v/>
      </c>
      <c r="F1133">
        <f>IF(AND('Skill Matrix'!A76&lt;&gt;"",'Skill Matrix'!P5&lt;&gt;""),'Skill Matrix'!P5,"")</f>
        <v/>
      </c>
      <c r="G1133">
        <f>IF(OR(A1133="",'Skill Matrix'!P76=""),"",'Skill Matrix'!P76)</f>
        <v/>
      </c>
      <c r="H1133">
        <f>IF(A1133="","",'Employees'!F10)</f>
        <v/>
      </c>
    </row>
    <row r="1134">
      <c r="A1134">
        <f>IF(AND('Skill Matrix'!A76&lt;&gt;"",'Skill Matrix'!Q5&lt;&gt;""),'Skill Matrix'!A76,"")</f>
        <v/>
      </c>
      <c r="B1134">
        <f>IF(A1134="","",'Employees'!C10)</f>
        <v/>
      </c>
      <c r="C1134">
        <f>IF(A1134="","",'Employees'!D10)</f>
        <v/>
      </c>
      <c r="D1134">
        <f>IF(A1134="","",'Skill Matrix'!C76)</f>
        <v/>
      </c>
      <c r="E1134">
        <f>IF(A1134="","",'Skill Matrix'!D76)</f>
        <v/>
      </c>
      <c r="F1134">
        <f>IF(AND('Skill Matrix'!A76&lt;&gt;"",'Skill Matrix'!Q5&lt;&gt;""),'Skill Matrix'!Q5,"")</f>
        <v/>
      </c>
      <c r="G1134">
        <f>IF(OR(A1134="",'Skill Matrix'!Q76=""),"",'Skill Matrix'!Q76)</f>
        <v/>
      </c>
      <c r="H1134">
        <f>IF(A1134="","",'Employees'!F10)</f>
        <v/>
      </c>
    </row>
    <row r="1135">
      <c r="A1135">
        <f>IF(AND('Skill Matrix'!A76&lt;&gt;"",'Skill Matrix'!R5&lt;&gt;""),'Skill Matrix'!A76,"")</f>
        <v/>
      </c>
      <c r="B1135">
        <f>IF(A1135="","",'Employees'!C10)</f>
        <v/>
      </c>
      <c r="C1135">
        <f>IF(A1135="","",'Employees'!D10)</f>
        <v/>
      </c>
      <c r="D1135">
        <f>IF(A1135="","",'Skill Matrix'!C76)</f>
        <v/>
      </c>
      <c r="E1135">
        <f>IF(A1135="","",'Skill Matrix'!D76)</f>
        <v/>
      </c>
      <c r="F1135">
        <f>IF(AND('Skill Matrix'!A76&lt;&gt;"",'Skill Matrix'!R5&lt;&gt;""),'Skill Matrix'!R5,"")</f>
        <v/>
      </c>
      <c r="G1135">
        <f>IF(OR(A1135="",'Skill Matrix'!R76=""),"",'Skill Matrix'!R76)</f>
        <v/>
      </c>
      <c r="H1135">
        <f>IF(A1135="","",'Employees'!F10)</f>
        <v/>
      </c>
    </row>
    <row r="1136">
      <c r="A1136">
        <f>IF(AND('Skill Matrix'!A76&lt;&gt;"",'Skill Matrix'!S5&lt;&gt;""),'Skill Matrix'!A76,"")</f>
        <v/>
      </c>
      <c r="B1136">
        <f>IF(A1136="","",'Employees'!C10)</f>
        <v/>
      </c>
      <c r="C1136">
        <f>IF(A1136="","",'Employees'!D10)</f>
        <v/>
      </c>
      <c r="D1136">
        <f>IF(A1136="","",'Skill Matrix'!C76)</f>
        <v/>
      </c>
      <c r="E1136">
        <f>IF(A1136="","",'Skill Matrix'!D76)</f>
        <v/>
      </c>
      <c r="F1136">
        <f>IF(AND('Skill Matrix'!A76&lt;&gt;"",'Skill Matrix'!S5&lt;&gt;""),'Skill Matrix'!S5,"")</f>
        <v/>
      </c>
      <c r="G1136">
        <f>IF(OR(A1136="",'Skill Matrix'!S76=""),"",'Skill Matrix'!S76)</f>
        <v/>
      </c>
      <c r="H1136">
        <f>IF(A1136="","",'Employees'!F10)</f>
        <v/>
      </c>
    </row>
    <row r="1137">
      <c r="A1137">
        <f>IF(AND('Skill Matrix'!A76&lt;&gt;"",'Skill Matrix'!T5&lt;&gt;""),'Skill Matrix'!A76,"")</f>
        <v/>
      </c>
      <c r="B1137">
        <f>IF(A1137="","",'Employees'!C10)</f>
        <v/>
      </c>
      <c r="C1137">
        <f>IF(A1137="","",'Employees'!D10)</f>
        <v/>
      </c>
      <c r="D1137">
        <f>IF(A1137="","",'Skill Matrix'!C76)</f>
        <v/>
      </c>
      <c r="E1137">
        <f>IF(A1137="","",'Skill Matrix'!D76)</f>
        <v/>
      </c>
      <c r="F1137">
        <f>IF(AND('Skill Matrix'!A76&lt;&gt;"",'Skill Matrix'!T5&lt;&gt;""),'Skill Matrix'!T5,"")</f>
        <v/>
      </c>
      <c r="G1137">
        <f>IF(OR(A1137="",'Skill Matrix'!T76=""),"",'Skill Matrix'!T76)</f>
        <v/>
      </c>
      <c r="H1137">
        <f>IF(A1137="","",'Employees'!F10)</f>
        <v/>
      </c>
    </row>
    <row r="1138">
      <c r="A1138">
        <f>IF(AND('Skill Matrix'!A77&lt;&gt;"",'Skill Matrix'!E5&lt;&gt;""),'Skill Matrix'!A77,"")</f>
        <v/>
      </c>
      <c r="B1138">
        <f>IF(A1138="","",'Employees'!C10)</f>
        <v/>
      </c>
      <c r="C1138">
        <f>IF(A1138="","",'Employees'!D10)</f>
        <v/>
      </c>
      <c r="D1138">
        <f>IF(A1138="","",'Skill Matrix'!C77)</f>
        <v/>
      </c>
      <c r="E1138">
        <f>IF(A1138="","",'Skill Matrix'!D77)</f>
        <v/>
      </c>
      <c r="F1138">
        <f>IF(AND('Skill Matrix'!A77&lt;&gt;"",'Skill Matrix'!E5&lt;&gt;""),'Skill Matrix'!E5,"")</f>
        <v/>
      </c>
      <c r="G1138">
        <f>IF(OR(A1138="",'Skill Matrix'!E77=""),"",'Skill Matrix'!E77)</f>
        <v/>
      </c>
      <c r="H1138">
        <f>IF(A1138="","",'Employees'!F10)</f>
        <v/>
      </c>
    </row>
    <row r="1139">
      <c r="A1139">
        <f>IF(AND('Skill Matrix'!A77&lt;&gt;"",'Skill Matrix'!F5&lt;&gt;""),'Skill Matrix'!A77,"")</f>
        <v/>
      </c>
      <c r="B1139">
        <f>IF(A1139="","",'Employees'!C10)</f>
        <v/>
      </c>
      <c r="C1139">
        <f>IF(A1139="","",'Employees'!D10)</f>
        <v/>
      </c>
      <c r="D1139">
        <f>IF(A1139="","",'Skill Matrix'!C77)</f>
        <v/>
      </c>
      <c r="E1139">
        <f>IF(A1139="","",'Skill Matrix'!D77)</f>
        <v/>
      </c>
      <c r="F1139">
        <f>IF(AND('Skill Matrix'!A77&lt;&gt;"",'Skill Matrix'!F5&lt;&gt;""),'Skill Matrix'!F5,"")</f>
        <v/>
      </c>
      <c r="G1139">
        <f>IF(OR(A1139="",'Skill Matrix'!F77=""),"",'Skill Matrix'!F77)</f>
        <v/>
      </c>
      <c r="H1139">
        <f>IF(A1139="","",'Employees'!F10)</f>
        <v/>
      </c>
    </row>
    <row r="1140">
      <c r="A1140">
        <f>IF(AND('Skill Matrix'!A77&lt;&gt;"",'Skill Matrix'!G5&lt;&gt;""),'Skill Matrix'!A77,"")</f>
        <v/>
      </c>
      <c r="B1140">
        <f>IF(A1140="","",'Employees'!C10)</f>
        <v/>
      </c>
      <c r="C1140">
        <f>IF(A1140="","",'Employees'!D10)</f>
        <v/>
      </c>
      <c r="D1140">
        <f>IF(A1140="","",'Skill Matrix'!C77)</f>
        <v/>
      </c>
      <c r="E1140">
        <f>IF(A1140="","",'Skill Matrix'!D77)</f>
        <v/>
      </c>
      <c r="F1140">
        <f>IF(AND('Skill Matrix'!A77&lt;&gt;"",'Skill Matrix'!G5&lt;&gt;""),'Skill Matrix'!G5,"")</f>
        <v/>
      </c>
      <c r="G1140">
        <f>IF(OR(A1140="",'Skill Matrix'!G77=""),"",'Skill Matrix'!G77)</f>
        <v/>
      </c>
      <c r="H1140">
        <f>IF(A1140="","",'Employees'!F10)</f>
        <v/>
      </c>
    </row>
    <row r="1141">
      <c r="A1141">
        <f>IF(AND('Skill Matrix'!A77&lt;&gt;"",'Skill Matrix'!H5&lt;&gt;""),'Skill Matrix'!A77,"")</f>
        <v/>
      </c>
      <c r="B1141">
        <f>IF(A1141="","",'Employees'!C10)</f>
        <v/>
      </c>
      <c r="C1141">
        <f>IF(A1141="","",'Employees'!D10)</f>
        <v/>
      </c>
      <c r="D1141">
        <f>IF(A1141="","",'Skill Matrix'!C77)</f>
        <v/>
      </c>
      <c r="E1141">
        <f>IF(A1141="","",'Skill Matrix'!D77)</f>
        <v/>
      </c>
      <c r="F1141">
        <f>IF(AND('Skill Matrix'!A77&lt;&gt;"",'Skill Matrix'!H5&lt;&gt;""),'Skill Matrix'!H5,"")</f>
        <v/>
      </c>
      <c r="G1141">
        <f>IF(OR(A1141="",'Skill Matrix'!H77=""),"",'Skill Matrix'!H77)</f>
        <v/>
      </c>
      <c r="H1141">
        <f>IF(A1141="","",'Employees'!F10)</f>
        <v/>
      </c>
    </row>
    <row r="1142">
      <c r="A1142">
        <f>IF(AND('Skill Matrix'!A77&lt;&gt;"",'Skill Matrix'!I5&lt;&gt;""),'Skill Matrix'!A77,"")</f>
        <v/>
      </c>
      <c r="B1142">
        <f>IF(A1142="","",'Employees'!C10)</f>
        <v/>
      </c>
      <c r="C1142">
        <f>IF(A1142="","",'Employees'!D10)</f>
        <v/>
      </c>
      <c r="D1142">
        <f>IF(A1142="","",'Skill Matrix'!C77)</f>
        <v/>
      </c>
      <c r="E1142">
        <f>IF(A1142="","",'Skill Matrix'!D77)</f>
        <v/>
      </c>
      <c r="F1142">
        <f>IF(AND('Skill Matrix'!A77&lt;&gt;"",'Skill Matrix'!I5&lt;&gt;""),'Skill Matrix'!I5,"")</f>
        <v/>
      </c>
      <c r="G1142">
        <f>IF(OR(A1142="",'Skill Matrix'!I77=""),"",'Skill Matrix'!I77)</f>
        <v/>
      </c>
      <c r="H1142">
        <f>IF(A1142="","",'Employees'!F10)</f>
        <v/>
      </c>
    </row>
    <row r="1143">
      <c r="A1143">
        <f>IF(AND('Skill Matrix'!A77&lt;&gt;"",'Skill Matrix'!J5&lt;&gt;""),'Skill Matrix'!A77,"")</f>
        <v/>
      </c>
      <c r="B1143">
        <f>IF(A1143="","",'Employees'!C10)</f>
        <v/>
      </c>
      <c r="C1143">
        <f>IF(A1143="","",'Employees'!D10)</f>
        <v/>
      </c>
      <c r="D1143">
        <f>IF(A1143="","",'Skill Matrix'!C77)</f>
        <v/>
      </c>
      <c r="E1143">
        <f>IF(A1143="","",'Skill Matrix'!D77)</f>
        <v/>
      </c>
      <c r="F1143">
        <f>IF(AND('Skill Matrix'!A77&lt;&gt;"",'Skill Matrix'!J5&lt;&gt;""),'Skill Matrix'!J5,"")</f>
        <v/>
      </c>
      <c r="G1143">
        <f>IF(OR(A1143="",'Skill Matrix'!J77=""),"",'Skill Matrix'!J77)</f>
        <v/>
      </c>
      <c r="H1143">
        <f>IF(A1143="","",'Employees'!F10)</f>
        <v/>
      </c>
    </row>
    <row r="1144">
      <c r="A1144">
        <f>IF(AND('Skill Matrix'!A77&lt;&gt;"",'Skill Matrix'!K5&lt;&gt;""),'Skill Matrix'!A77,"")</f>
        <v/>
      </c>
      <c r="B1144">
        <f>IF(A1144="","",'Employees'!C10)</f>
        <v/>
      </c>
      <c r="C1144">
        <f>IF(A1144="","",'Employees'!D10)</f>
        <v/>
      </c>
      <c r="D1144">
        <f>IF(A1144="","",'Skill Matrix'!C77)</f>
        <v/>
      </c>
      <c r="E1144">
        <f>IF(A1144="","",'Skill Matrix'!D77)</f>
        <v/>
      </c>
      <c r="F1144">
        <f>IF(AND('Skill Matrix'!A77&lt;&gt;"",'Skill Matrix'!K5&lt;&gt;""),'Skill Matrix'!K5,"")</f>
        <v/>
      </c>
      <c r="G1144">
        <f>IF(OR(A1144="",'Skill Matrix'!K77=""),"",'Skill Matrix'!K77)</f>
        <v/>
      </c>
      <c r="H1144">
        <f>IF(A1144="","",'Employees'!F10)</f>
        <v/>
      </c>
    </row>
    <row r="1145">
      <c r="A1145">
        <f>IF(AND('Skill Matrix'!A77&lt;&gt;"",'Skill Matrix'!L5&lt;&gt;""),'Skill Matrix'!A77,"")</f>
        <v/>
      </c>
      <c r="B1145">
        <f>IF(A1145="","",'Employees'!C10)</f>
        <v/>
      </c>
      <c r="C1145">
        <f>IF(A1145="","",'Employees'!D10)</f>
        <v/>
      </c>
      <c r="D1145">
        <f>IF(A1145="","",'Skill Matrix'!C77)</f>
        <v/>
      </c>
      <c r="E1145">
        <f>IF(A1145="","",'Skill Matrix'!D77)</f>
        <v/>
      </c>
      <c r="F1145">
        <f>IF(AND('Skill Matrix'!A77&lt;&gt;"",'Skill Matrix'!L5&lt;&gt;""),'Skill Matrix'!L5,"")</f>
        <v/>
      </c>
      <c r="G1145">
        <f>IF(OR(A1145="",'Skill Matrix'!L77=""),"",'Skill Matrix'!L77)</f>
        <v/>
      </c>
      <c r="H1145">
        <f>IF(A1145="","",'Employees'!F10)</f>
        <v/>
      </c>
    </row>
    <row r="1146">
      <c r="A1146">
        <f>IF(AND('Skill Matrix'!A77&lt;&gt;"",'Skill Matrix'!M5&lt;&gt;""),'Skill Matrix'!A77,"")</f>
        <v/>
      </c>
      <c r="B1146">
        <f>IF(A1146="","",'Employees'!C10)</f>
        <v/>
      </c>
      <c r="C1146">
        <f>IF(A1146="","",'Employees'!D10)</f>
        <v/>
      </c>
      <c r="D1146">
        <f>IF(A1146="","",'Skill Matrix'!C77)</f>
        <v/>
      </c>
      <c r="E1146">
        <f>IF(A1146="","",'Skill Matrix'!D77)</f>
        <v/>
      </c>
      <c r="F1146">
        <f>IF(AND('Skill Matrix'!A77&lt;&gt;"",'Skill Matrix'!M5&lt;&gt;""),'Skill Matrix'!M5,"")</f>
        <v/>
      </c>
      <c r="G1146">
        <f>IF(OR(A1146="",'Skill Matrix'!M77=""),"",'Skill Matrix'!M77)</f>
        <v/>
      </c>
      <c r="H1146">
        <f>IF(A1146="","",'Employees'!F10)</f>
        <v/>
      </c>
    </row>
    <row r="1147">
      <c r="A1147">
        <f>IF(AND('Skill Matrix'!A77&lt;&gt;"",'Skill Matrix'!N5&lt;&gt;""),'Skill Matrix'!A77,"")</f>
        <v/>
      </c>
      <c r="B1147">
        <f>IF(A1147="","",'Employees'!C10)</f>
        <v/>
      </c>
      <c r="C1147">
        <f>IF(A1147="","",'Employees'!D10)</f>
        <v/>
      </c>
      <c r="D1147">
        <f>IF(A1147="","",'Skill Matrix'!C77)</f>
        <v/>
      </c>
      <c r="E1147">
        <f>IF(A1147="","",'Skill Matrix'!D77)</f>
        <v/>
      </c>
      <c r="F1147">
        <f>IF(AND('Skill Matrix'!A77&lt;&gt;"",'Skill Matrix'!N5&lt;&gt;""),'Skill Matrix'!N5,"")</f>
        <v/>
      </c>
      <c r="G1147">
        <f>IF(OR(A1147="",'Skill Matrix'!N77=""),"",'Skill Matrix'!N77)</f>
        <v/>
      </c>
      <c r="H1147">
        <f>IF(A1147="","",'Employees'!F10)</f>
        <v/>
      </c>
    </row>
    <row r="1148">
      <c r="A1148">
        <f>IF(AND('Skill Matrix'!A77&lt;&gt;"",'Skill Matrix'!O5&lt;&gt;""),'Skill Matrix'!A77,"")</f>
        <v/>
      </c>
      <c r="B1148">
        <f>IF(A1148="","",'Employees'!C10)</f>
        <v/>
      </c>
      <c r="C1148">
        <f>IF(A1148="","",'Employees'!D10)</f>
        <v/>
      </c>
      <c r="D1148">
        <f>IF(A1148="","",'Skill Matrix'!C77)</f>
        <v/>
      </c>
      <c r="E1148">
        <f>IF(A1148="","",'Skill Matrix'!D77)</f>
        <v/>
      </c>
      <c r="F1148">
        <f>IF(AND('Skill Matrix'!A77&lt;&gt;"",'Skill Matrix'!O5&lt;&gt;""),'Skill Matrix'!O5,"")</f>
        <v/>
      </c>
      <c r="G1148">
        <f>IF(OR(A1148="",'Skill Matrix'!O77=""),"",'Skill Matrix'!O77)</f>
        <v/>
      </c>
      <c r="H1148">
        <f>IF(A1148="","",'Employees'!F10)</f>
        <v/>
      </c>
    </row>
    <row r="1149">
      <c r="A1149">
        <f>IF(AND('Skill Matrix'!A77&lt;&gt;"",'Skill Matrix'!P5&lt;&gt;""),'Skill Matrix'!A77,"")</f>
        <v/>
      </c>
      <c r="B1149">
        <f>IF(A1149="","",'Employees'!C10)</f>
        <v/>
      </c>
      <c r="C1149">
        <f>IF(A1149="","",'Employees'!D10)</f>
        <v/>
      </c>
      <c r="D1149">
        <f>IF(A1149="","",'Skill Matrix'!C77)</f>
        <v/>
      </c>
      <c r="E1149">
        <f>IF(A1149="","",'Skill Matrix'!D77)</f>
        <v/>
      </c>
      <c r="F1149">
        <f>IF(AND('Skill Matrix'!A77&lt;&gt;"",'Skill Matrix'!P5&lt;&gt;""),'Skill Matrix'!P5,"")</f>
        <v/>
      </c>
      <c r="G1149">
        <f>IF(OR(A1149="",'Skill Matrix'!P77=""),"",'Skill Matrix'!P77)</f>
        <v/>
      </c>
      <c r="H1149">
        <f>IF(A1149="","",'Employees'!F10)</f>
        <v/>
      </c>
    </row>
    <row r="1150">
      <c r="A1150">
        <f>IF(AND('Skill Matrix'!A77&lt;&gt;"",'Skill Matrix'!Q5&lt;&gt;""),'Skill Matrix'!A77,"")</f>
        <v/>
      </c>
      <c r="B1150">
        <f>IF(A1150="","",'Employees'!C10)</f>
        <v/>
      </c>
      <c r="C1150">
        <f>IF(A1150="","",'Employees'!D10)</f>
        <v/>
      </c>
      <c r="D1150">
        <f>IF(A1150="","",'Skill Matrix'!C77)</f>
        <v/>
      </c>
      <c r="E1150">
        <f>IF(A1150="","",'Skill Matrix'!D77)</f>
        <v/>
      </c>
      <c r="F1150">
        <f>IF(AND('Skill Matrix'!A77&lt;&gt;"",'Skill Matrix'!Q5&lt;&gt;""),'Skill Matrix'!Q5,"")</f>
        <v/>
      </c>
      <c r="G1150">
        <f>IF(OR(A1150="",'Skill Matrix'!Q77=""),"",'Skill Matrix'!Q77)</f>
        <v/>
      </c>
      <c r="H1150">
        <f>IF(A1150="","",'Employees'!F10)</f>
        <v/>
      </c>
    </row>
    <row r="1151">
      <c r="A1151">
        <f>IF(AND('Skill Matrix'!A77&lt;&gt;"",'Skill Matrix'!R5&lt;&gt;""),'Skill Matrix'!A77,"")</f>
        <v/>
      </c>
      <c r="B1151">
        <f>IF(A1151="","",'Employees'!C10)</f>
        <v/>
      </c>
      <c r="C1151">
        <f>IF(A1151="","",'Employees'!D10)</f>
        <v/>
      </c>
      <c r="D1151">
        <f>IF(A1151="","",'Skill Matrix'!C77)</f>
        <v/>
      </c>
      <c r="E1151">
        <f>IF(A1151="","",'Skill Matrix'!D77)</f>
        <v/>
      </c>
      <c r="F1151">
        <f>IF(AND('Skill Matrix'!A77&lt;&gt;"",'Skill Matrix'!R5&lt;&gt;""),'Skill Matrix'!R5,"")</f>
        <v/>
      </c>
      <c r="G1151">
        <f>IF(OR(A1151="",'Skill Matrix'!R77=""),"",'Skill Matrix'!R77)</f>
        <v/>
      </c>
      <c r="H1151">
        <f>IF(A1151="","",'Employees'!F10)</f>
        <v/>
      </c>
    </row>
    <row r="1152">
      <c r="A1152">
        <f>IF(AND('Skill Matrix'!A77&lt;&gt;"",'Skill Matrix'!S5&lt;&gt;""),'Skill Matrix'!A77,"")</f>
        <v/>
      </c>
      <c r="B1152">
        <f>IF(A1152="","",'Employees'!C10)</f>
        <v/>
      </c>
      <c r="C1152">
        <f>IF(A1152="","",'Employees'!D10)</f>
        <v/>
      </c>
      <c r="D1152">
        <f>IF(A1152="","",'Skill Matrix'!C77)</f>
        <v/>
      </c>
      <c r="E1152">
        <f>IF(A1152="","",'Skill Matrix'!D77)</f>
        <v/>
      </c>
      <c r="F1152">
        <f>IF(AND('Skill Matrix'!A77&lt;&gt;"",'Skill Matrix'!S5&lt;&gt;""),'Skill Matrix'!S5,"")</f>
        <v/>
      </c>
      <c r="G1152">
        <f>IF(OR(A1152="",'Skill Matrix'!S77=""),"",'Skill Matrix'!S77)</f>
        <v/>
      </c>
      <c r="H1152">
        <f>IF(A1152="","",'Employees'!F10)</f>
        <v/>
      </c>
    </row>
    <row r="1153">
      <c r="A1153">
        <f>IF(AND('Skill Matrix'!A77&lt;&gt;"",'Skill Matrix'!T5&lt;&gt;""),'Skill Matrix'!A77,"")</f>
        <v/>
      </c>
      <c r="B1153">
        <f>IF(A1153="","",'Employees'!C10)</f>
        <v/>
      </c>
      <c r="C1153">
        <f>IF(A1153="","",'Employees'!D10)</f>
        <v/>
      </c>
      <c r="D1153">
        <f>IF(A1153="","",'Skill Matrix'!C77)</f>
        <v/>
      </c>
      <c r="E1153">
        <f>IF(A1153="","",'Skill Matrix'!D77)</f>
        <v/>
      </c>
      <c r="F1153">
        <f>IF(AND('Skill Matrix'!A77&lt;&gt;"",'Skill Matrix'!T5&lt;&gt;""),'Skill Matrix'!T5,"")</f>
        <v/>
      </c>
      <c r="G1153">
        <f>IF(OR(A1153="",'Skill Matrix'!T77=""),"",'Skill Matrix'!T77)</f>
        <v/>
      </c>
      <c r="H1153">
        <f>IF(A1153="","",'Employees'!F10)</f>
        <v/>
      </c>
    </row>
    <row r="1154">
      <c r="A1154">
        <f>IF(AND('Skill Matrix'!A78&lt;&gt;"",'Skill Matrix'!E5&lt;&gt;""),'Skill Matrix'!A78,"")</f>
        <v/>
      </c>
      <c r="B1154">
        <f>IF(A1154="","",'Employees'!C10)</f>
        <v/>
      </c>
      <c r="C1154">
        <f>IF(A1154="","",'Employees'!D10)</f>
        <v/>
      </c>
      <c r="D1154">
        <f>IF(A1154="","",'Skill Matrix'!C78)</f>
        <v/>
      </c>
      <c r="E1154">
        <f>IF(A1154="","",'Skill Matrix'!D78)</f>
        <v/>
      </c>
      <c r="F1154">
        <f>IF(AND('Skill Matrix'!A78&lt;&gt;"",'Skill Matrix'!E5&lt;&gt;""),'Skill Matrix'!E5,"")</f>
        <v/>
      </c>
      <c r="G1154">
        <f>IF(OR(A1154="",'Skill Matrix'!E78=""),"",'Skill Matrix'!E78)</f>
        <v/>
      </c>
      <c r="H1154">
        <f>IF(A1154="","",'Employees'!F10)</f>
        <v/>
      </c>
    </row>
    <row r="1155">
      <c r="A1155">
        <f>IF(AND('Skill Matrix'!A78&lt;&gt;"",'Skill Matrix'!F5&lt;&gt;""),'Skill Matrix'!A78,"")</f>
        <v/>
      </c>
      <c r="B1155">
        <f>IF(A1155="","",'Employees'!C10)</f>
        <v/>
      </c>
      <c r="C1155">
        <f>IF(A1155="","",'Employees'!D10)</f>
        <v/>
      </c>
      <c r="D1155">
        <f>IF(A1155="","",'Skill Matrix'!C78)</f>
        <v/>
      </c>
      <c r="E1155">
        <f>IF(A1155="","",'Skill Matrix'!D78)</f>
        <v/>
      </c>
      <c r="F1155">
        <f>IF(AND('Skill Matrix'!A78&lt;&gt;"",'Skill Matrix'!F5&lt;&gt;""),'Skill Matrix'!F5,"")</f>
        <v/>
      </c>
      <c r="G1155">
        <f>IF(OR(A1155="",'Skill Matrix'!F78=""),"",'Skill Matrix'!F78)</f>
        <v/>
      </c>
      <c r="H1155">
        <f>IF(A1155="","",'Employees'!F10)</f>
        <v/>
      </c>
    </row>
    <row r="1156">
      <c r="A1156">
        <f>IF(AND('Skill Matrix'!A78&lt;&gt;"",'Skill Matrix'!G5&lt;&gt;""),'Skill Matrix'!A78,"")</f>
        <v/>
      </c>
      <c r="B1156">
        <f>IF(A1156="","",'Employees'!C10)</f>
        <v/>
      </c>
      <c r="C1156">
        <f>IF(A1156="","",'Employees'!D10)</f>
        <v/>
      </c>
      <c r="D1156">
        <f>IF(A1156="","",'Skill Matrix'!C78)</f>
        <v/>
      </c>
      <c r="E1156">
        <f>IF(A1156="","",'Skill Matrix'!D78)</f>
        <v/>
      </c>
      <c r="F1156">
        <f>IF(AND('Skill Matrix'!A78&lt;&gt;"",'Skill Matrix'!G5&lt;&gt;""),'Skill Matrix'!G5,"")</f>
        <v/>
      </c>
      <c r="G1156">
        <f>IF(OR(A1156="",'Skill Matrix'!G78=""),"",'Skill Matrix'!G78)</f>
        <v/>
      </c>
      <c r="H1156">
        <f>IF(A1156="","",'Employees'!F10)</f>
        <v/>
      </c>
    </row>
    <row r="1157">
      <c r="A1157">
        <f>IF(AND('Skill Matrix'!A78&lt;&gt;"",'Skill Matrix'!H5&lt;&gt;""),'Skill Matrix'!A78,"")</f>
        <v/>
      </c>
      <c r="B1157">
        <f>IF(A1157="","",'Employees'!C10)</f>
        <v/>
      </c>
      <c r="C1157">
        <f>IF(A1157="","",'Employees'!D10)</f>
        <v/>
      </c>
      <c r="D1157">
        <f>IF(A1157="","",'Skill Matrix'!C78)</f>
        <v/>
      </c>
      <c r="E1157">
        <f>IF(A1157="","",'Skill Matrix'!D78)</f>
        <v/>
      </c>
      <c r="F1157">
        <f>IF(AND('Skill Matrix'!A78&lt;&gt;"",'Skill Matrix'!H5&lt;&gt;""),'Skill Matrix'!H5,"")</f>
        <v/>
      </c>
      <c r="G1157">
        <f>IF(OR(A1157="",'Skill Matrix'!H78=""),"",'Skill Matrix'!H78)</f>
        <v/>
      </c>
      <c r="H1157">
        <f>IF(A1157="","",'Employees'!F10)</f>
        <v/>
      </c>
    </row>
    <row r="1158">
      <c r="A1158">
        <f>IF(AND('Skill Matrix'!A78&lt;&gt;"",'Skill Matrix'!I5&lt;&gt;""),'Skill Matrix'!A78,"")</f>
        <v/>
      </c>
      <c r="B1158">
        <f>IF(A1158="","",'Employees'!C10)</f>
        <v/>
      </c>
      <c r="C1158">
        <f>IF(A1158="","",'Employees'!D10)</f>
        <v/>
      </c>
      <c r="D1158">
        <f>IF(A1158="","",'Skill Matrix'!C78)</f>
        <v/>
      </c>
      <c r="E1158">
        <f>IF(A1158="","",'Skill Matrix'!D78)</f>
        <v/>
      </c>
      <c r="F1158">
        <f>IF(AND('Skill Matrix'!A78&lt;&gt;"",'Skill Matrix'!I5&lt;&gt;""),'Skill Matrix'!I5,"")</f>
        <v/>
      </c>
      <c r="G1158">
        <f>IF(OR(A1158="",'Skill Matrix'!I78=""),"",'Skill Matrix'!I78)</f>
        <v/>
      </c>
      <c r="H1158">
        <f>IF(A1158="","",'Employees'!F10)</f>
        <v/>
      </c>
    </row>
    <row r="1159">
      <c r="A1159">
        <f>IF(AND('Skill Matrix'!A78&lt;&gt;"",'Skill Matrix'!J5&lt;&gt;""),'Skill Matrix'!A78,"")</f>
        <v/>
      </c>
      <c r="B1159">
        <f>IF(A1159="","",'Employees'!C10)</f>
        <v/>
      </c>
      <c r="C1159">
        <f>IF(A1159="","",'Employees'!D10)</f>
        <v/>
      </c>
      <c r="D1159">
        <f>IF(A1159="","",'Skill Matrix'!C78)</f>
        <v/>
      </c>
      <c r="E1159">
        <f>IF(A1159="","",'Skill Matrix'!D78)</f>
        <v/>
      </c>
      <c r="F1159">
        <f>IF(AND('Skill Matrix'!A78&lt;&gt;"",'Skill Matrix'!J5&lt;&gt;""),'Skill Matrix'!J5,"")</f>
        <v/>
      </c>
      <c r="G1159">
        <f>IF(OR(A1159="",'Skill Matrix'!J78=""),"",'Skill Matrix'!J78)</f>
        <v/>
      </c>
      <c r="H1159">
        <f>IF(A1159="","",'Employees'!F10)</f>
        <v/>
      </c>
    </row>
    <row r="1160">
      <c r="A1160">
        <f>IF(AND('Skill Matrix'!A78&lt;&gt;"",'Skill Matrix'!K5&lt;&gt;""),'Skill Matrix'!A78,"")</f>
        <v/>
      </c>
      <c r="B1160">
        <f>IF(A1160="","",'Employees'!C10)</f>
        <v/>
      </c>
      <c r="C1160">
        <f>IF(A1160="","",'Employees'!D10)</f>
        <v/>
      </c>
      <c r="D1160">
        <f>IF(A1160="","",'Skill Matrix'!C78)</f>
        <v/>
      </c>
      <c r="E1160">
        <f>IF(A1160="","",'Skill Matrix'!D78)</f>
        <v/>
      </c>
      <c r="F1160">
        <f>IF(AND('Skill Matrix'!A78&lt;&gt;"",'Skill Matrix'!K5&lt;&gt;""),'Skill Matrix'!K5,"")</f>
        <v/>
      </c>
      <c r="G1160">
        <f>IF(OR(A1160="",'Skill Matrix'!K78=""),"",'Skill Matrix'!K78)</f>
        <v/>
      </c>
      <c r="H1160">
        <f>IF(A1160="","",'Employees'!F10)</f>
        <v/>
      </c>
    </row>
    <row r="1161">
      <c r="A1161">
        <f>IF(AND('Skill Matrix'!A78&lt;&gt;"",'Skill Matrix'!L5&lt;&gt;""),'Skill Matrix'!A78,"")</f>
        <v/>
      </c>
      <c r="B1161">
        <f>IF(A1161="","",'Employees'!C10)</f>
        <v/>
      </c>
      <c r="C1161">
        <f>IF(A1161="","",'Employees'!D10)</f>
        <v/>
      </c>
      <c r="D1161">
        <f>IF(A1161="","",'Skill Matrix'!C78)</f>
        <v/>
      </c>
      <c r="E1161">
        <f>IF(A1161="","",'Skill Matrix'!D78)</f>
        <v/>
      </c>
      <c r="F1161">
        <f>IF(AND('Skill Matrix'!A78&lt;&gt;"",'Skill Matrix'!L5&lt;&gt;""),'Skill Matrix'!L5,"")</f>
        <v/>
      </c>
      <c r="G1161">
        <f>IF(OR(A1161="",'Skill Matrix'!L78=""),"",'Skill Matrix'!L78)</f>
        <v/>
      </c>
      <c r="H1161">
        <f>IF(A1161="","",'Employees'!F10)</f>
        <v/>
      </c>
    </row>
    <row r="1162">
      <c r="A1162">
        <f>IF(AND('Skill Matrix'!A78&lt;&gt;"",'Skill Matrix'!M5&lt;&gt;""),'Skill Matrix'!A78,"")</f>
        <v/>
      </c>
      <c r="B1162">
        <f>IF(A1162="","",'Employees'!C10)</f>
        <v/>
      </c>
      <c r="C1162">
        <f>IF(A1162="","",'Employees'!D10)</f>
        <v/>
      </c>
      <c r="D1162">
        <f>IF(A1162="","",'Skill Matrix'!C78)</f>
        <v/>
      </c>
      <c r="E1162">
        <f>IF(A1162="","",'Skill Matrix'!D78)</f>
        <v/>
      </c>
      <c r="F1162">
        <f>IF(AND('Skill Matrix'!A78&lt;&gt;"",'Skill Matrix'!M5&lt;&gt;""),'Skill Matrix'!M5,"")</f>
        <v/>
      </c>
      <c r="G1162">
        <f>IF(OR(A1162="",'Skill Matrix'!M78=""),"",'Skill Matrix'!M78)</f>
        <v/>
      </c>
      <c r="H1162">
        <f>IF(A1162="","",'Employees'!F10)</f>
        <v/>
      </c>
    </row>
    <row r="1163">
      <c r="A1163">
        <f>IF(AND('Skill Matrix'!A78&lt;&gt;"",'Skill Matrix'!N5&lt;&gt;""),'Skill Matrix'!A78,"")</f>
        <v/>
      </c>
      <c r="B1163">
        <f>IF(A1163="","",'Employees'!C10)</f>
        <v/>
      </c>
      <c r="C1163">
        <f>IF(A1163="","",'Employees'!D10)</f>
        <v/>
      </c>
      <c r="D1163">
        <f>IF(A1163="","",'Skill Matrix'!C78)</f>
        <v/>
      </c>
      <c r="E1163">
        <f>IF(A1163="","",'Skill Matrix'!D78)</f>
        <v/>
      </c>
      <c r="F1163">
        <f>IF(AND('Skill Matrix'!A78&lt;&gt;"",'Skill Matrix'!N5&lt;&gt;""),'Skill Matrix'!N5,"")</f>
        <v/>
      </c>
      <c r="G1163">
        <f>IF(OR(A1163="",'Skill Matrix'!N78=""),"",'Skill Matrix'!N78)</f>
        <v/>
      </c>
      <c r="H1163">
        <f>IF(A1163="","",'Employees'!F10)</f>
        <v/>
      </c>
    </row>
    <row r="1164">
      <c r="A1164">
        <f>IF(AND('Skill Matrix'!A78&lt;&gt;"",'Skill Matrix'!O5&lt;&gt;""),'Skill Matrix'!A78,"")</f>
        <v/>
      </c>
      <c r="B1164">
        <f>IF(A1164="","",'Employees'!C10)</f>
        <v/>
      </c>
      <c r="C1164">
        <f>IF(A1164="","",'Employees'!D10)</f>
        <v/>
      </c>
      <c r="D1164">
        <f>IF(A1164="","",'Skill Matrix'!C78)</f>
        <v/>
      </c>
      <c r="E1164">
        <f>IF(A1164="","",'Skill Matrix'!D78)</f>
        <v/>
      </c>
      <c r="F1164">
        <f>IF(AND('Skill Matrix'!A78&lt;&gt;"",'Skill Matrix'!O5&lt;&gt;""),'Skill Matrix'!O5,"")</f>
        <v/>
      </c>
      <c r="G1164">
        <f>IF(OR(A1164="",'Skill Matrix'!O78=""),"",'Skill Matrix'!O78)</f>
        <v/>
      </c>
      <c r="H1164">
        <f>IF(A1164="","",'Employees'!F10)</f>
        <v/>
      </c>
    </row>
    <row r="1165">
      <c r="A1165">
        <f>IF(AND('Skill Matrix'!A78&lt;&gt;"",'Skill Matrix'!P5&lt;&gt;""),'Skill Matrix'!A78,"")</f>
        <v/>
      </c>
      <c r="B1165">
        <f>IF(A1165="","",'Employees'!C10)</f>
        <v/>
      </c>
      <c r="C1165">
        <f>IF(A1165="","",'Employees'!D10)</f>
        <v/>
      </c>
      <c r="D1165">
        <f>IF(A1165="","",'Skill Matrix'!C78)</f>
        <v/>
      </c>
      <c r="E1165">
        <f>IF(A1165="","",'Skill Matrix'!D78)</f>
        <v/>
      </c>
      <c r="F1165">
        <f>IF(AND('Skill Matrix'!A78&lt;&gt;"",'Skill Matrix'!P5&lt;&gt;""),'Skill Matrix'!P5,"")</f>
        <v/>
      </c>
      <c r="G1165">
        <f>IF(OR(A1165="",'Skill Matrix'!P78=""),"",'Skill Matrix'!P78)</f>
        <v/>
      </c>
      <c r="H1165">
        <f>IF(A1165="","",'Employees'!F10)</f>
        <v/>
      </c>
    </row>
    <row r="1166">
      <c r="A1166">
        <f>IF(AND('Skill Matrix'!A78&lt;&gt;"",'Skill Matrix'!Q5&lt;&gt;""),'Skill Matrix'!A78,"")</f>
        <v/>
      </c>
      <c r="B1166">
        <f>IF(A1166="","",'Employees'!C10)</f>
        <v/>
      </c>
      <c r="C1166">
        <f>IF(A1166="","",'Employees'!D10)</f>
        <v/>
      </c>
      <c r="D1166">
        <f>IF(A1166="","",'Skill Matrix'!C78)</f>
        <v/>
      </c>
      <c r="E1166">
        <f>IF(A1166="","",'Skill Matrix'!D78)</f>
        <v/>
      </c>
      <c r="F1166">
        <f>IF(AND('Skill Matrix'!A78&lt;&gt;"",'Skill Matrix'!Q5&lt;&gt;""),'Skill Matrix'!Q5,"")</f>
        <v/>
      </c>
      <c r="G1166">
        <f>IF(OR(A1166="",'Skill Matrix'!Q78=""),"",'Skill Matrix'!Q78)</f>
        <v/>
      </c>
      <c r="H1166">
        <f>IF(A1166="","",'Employees'!F10)</f>
        <v/>
      </c>
    </row>
    <row r="1167">
      <c r="A1167">
        <f>IF(AND('Skill Matrix'!A78&lt;&gt;"",'Skill Matrix'!R5&lt;&gt;""),'Skill Matrix'!A78,"")</f>
        <v/>
      </c>
      <c r="B1167">
        <f>IF(A1167="","",'Employees'!C10)</f>
        <v/>
      </c>
      <c r="C1167">
        <f>IF(A1167="","",'Employees'!D10)</f>
        <v/>
      </c>
      <c r="D1167">
        <f>IF(A1167="","",'Skill Matrix'!C78)</f>
        <v/>
      </c>
      <c r="E1167">
        <f>IF(A1167="","",'Skill Matrix'!D78)</f>
        <v/>
      </c>
      <c r="F1167">
        <f>IF(AND('Skill Matrix'!A78&lt;&gt;"",'Skill Matrix'!R5&lt;&gt;""),'Skill Matrix'!R5,"")</f>
        <v/>
      </c>
      <c r="G1167">
        <f>IF(OR(A1167="",'Skill Matrix'!R78=""),"",'Skill Matrix'!R78)</f>
        <v/>
      </c>
      <c r="H1167">
        <f>IF(A1167="","",'Employees'!F10)</f>
        <v/>
      </c>
    </row>
    <row r="1168">
      <c r="A1168">
        <f>IF(AND('Skill Matrix'!A78&lt;&gt;"",'Skill Matrix'!S5&lt;&gt;""),'Skill Matrix'!A78,"")</f>
        <v/>
      </c>
      <c r="B1168">
        <f>IF(A1168="","",'Employees'!C10)</f>
        <v/>
      </c>
      <c r="C1168">
        <f>IF(A1168="","",'Employees'!D10)</f>
        <v/>
      </c>
      <c r="D1168">
        <f>IF(A1168="","",'Skill Matrix'!C78)</f>
        <v/>
      </c>
      <c r="E1168">
        <f>IF(A1168="","",'Skill Matrix'!D78)</f>
        <v/>
      </c>
      <c r="F1168">
        <f>IF(AND('Skill Matrix'!A78&lt;&gt;"",'Skill Matrix'!S5&lt;&gt;""),'Skill Matrix'!S5,"")</f>
        <v/>
      </c>
      <c r="G1168">
        <f>IF(OR(A1168="",'Skill Matrix'!S78=""),"",'Skill Matrix'!S78)</f>
        <v/>
      </c>
      <c r="H1168">
        <f>IF(A1168="","",'Employees'!F10)</f>
        <v/>
      </c>
    </row>
    <row r="1169">
      <c r="A1169">
        <f>IF(AND('Skill Matrix'!A78&lt;&gt;"",'Skill Matrix'!T5&lt;&gt;""),'Skill Matrix'!A78,"")</f>
        <v/>
      </c>
      <c r="B1169">
        <f>IF(A1169="","",'Employees'!C10)</f>
        <v/>
      </c>
      <c r="C1169">
        <f>IF(A1169="","",'Employees'!D10)</f>
        <v/>
      </c>
      <c r="D1169">
        <f>IF(A1169="","",'Skill Matrix'!C78)</f>
        <v/>
      </c>
      <c r="E1169">
        <f>IF(A1169="","",'Skill Matrix'!D78)</f>
        <v/>
      </c>
      <c r="F1169">
        <f>IF(AND('Skill Matrix'!A78&lt;&gt;"",'Skill Matrix'!T5&lt;&gt;""),'Skill Matrix'!T5,"")</f>
        <v/>
      </c>
      <c r="G1169">
        <f>IF(OR(A1169="",'Skill Matrix'!T78=""),"",'Skill Matrix'!T78)</f>
        <v/>
      </c>
      <c r="H1169">
        <f>IF(A1169="","",'Employees'!F10)</f>
        <v/>
      </c>
    </row>
    <row r="1170">
      <c r="A1170">
        <f>IF(AND('Skill Matrix'!A79&lt;&gt;"",'Skill Matrix'!E5&lt;&gt;""),'Skill Matrix'!A79,"")</f>
        <v/>
      </c>
      <c r="B1170">
        <f>IF(A1170="","",'Employees'!C10)</f>
        <v/>
      </c>
      <c r="C1170">
        <f>IF(A1170="","",'Employees'!D10)</f>
        <v/>
      </c>
      <c r="D1170">
        <f>IF(A1170="","",'Skill Matrix'!C79)</f>
        <v/>
      </c>
      <c r="E1170">
        <f>IF(A1170="","",'Skill Matrix'!D79)</f>
        <v/>
      </c>
      <c r="F1170">
        <f>IF(AND('Skill Matrix'!A79&lt;&gt;"",'Skill Matrix'!E5&lt;&gt;""),'Skill Matrix'!E5,"")</f>
        <v/>
      </c>
      <c r="G1170">
        <f>IF(OR(A1170="",'Skill Matrix'!E79=""),"",'Skill Matrix'!E79)</f>
        <v/>
      </c>
      <c r="H1170">
        <f>IF(A1170="","",'Employees'!F10)</f>
        <v/>
      </c>
    </row>
    <row r="1171">
      <c r="A1171">
        <f>IF(AND('Skill Matrix'!A79&lt;&gt;"",'Skill Matrix'!F5&lt;&gt;""),'Skill Matrix'!A79,"")</f>
        <v/>
      </c>
      <c r="B1171">
        <f>IF(A1171="","",'Employees'!C10)</f>
        <v/>
      </c>
      <c r="C1171">
        <f>IF(A1171="","",'Employees'!D10)</f>
        <v/>
      </c>
      <c r="D1171">
        <f>IF(A1171="","",'Skill Matrix'!C79)</f>
        <v/>
      </c>
      <c r="E1171">
        <f>IF(A1171="","",'Skill Matrix'!D79)</f>
        <v/>
      </c>
      <c r="F1171">
        <f>IF(AND('Skill Matrix'!A79&lt;&gt;"",'Skill Matrix'!F5&lt;&gt;""),'Skill Matrix'!F5,"")</f>
        <v/>
      </c>
      <c r="G1171">
        <f>IF(OR(A1171="",'Skill Matrix'!F79=""),"",'Skill Matrix'!F79)</f>
        <v/>
      </c>
      <c r="H1171">
        <f>IF(A1171="","",'Employees'!F10)</f>
        <v/>
      </c>
    </row>
    <row r="1172">
      <c r="A1172">
        <f>IF(AND('Skill Matrix'!A79&lt;&gt;"",'Skill Matrix'!G5&lt;&gt;""),'Skill Matrix'!A79,"")</f>
        <v/>
      </c>
      <c r="B1172">
        <f>IF(A1172="","",'Employees'!C10)</f>
        <v/>
      </c>
      <c r="C1172">
        <f>IF(A1172="","",'Employees'!D10)</f>
        <v/>
      </c>
      <c r="D1172">
        <f>IF(A1172="","",'Skill Matrix'!C79)</f>
        <v/>
      </c>
      <c r="E1172">
        <f>IF(A1172="","",'Skill Matrix'!D79)</f>
        <v/>
      </c>
      <c r="F1172">
        <f>IF(AND('Skill Matrix'!A79&lt;&gt;"",'Skill Matrix'!G5&lt;&gt;""),'Skill Matrix'!G5,"")</f>
        <v/>
      </c>
      <c r="G1172">
        <f>IF(OR(A1172="",'Skill Matrix'!G79=""),"",'Skill Matrix'!G79)</f>
        <v/>
      </c>
      <c r="H1172">
        <f>IF(A1172="","",'Employees'!F10)</f>
        <v/>
      </c>
    </row>
    <row r="1173">
      <c r="A1173">
        <f>IF(AND('Skill Matrix'!A79&lt;&gt;"",'Skill Matrix'!H5&lt;&gt;""),'Skill Matrix'!A79,"")</f>
        <v/>
      </c>
      <c r="B1173">
        <f>IF(A1173="","",'Employees'!C10)</f>
        <v/>
      </c>
      <c r="C1173">
        <f>IF(A1173="","",'Employees'!D10)</f>
        <v/>
      </c>
      <c r="D1173">
        <f>IF(A1173="","",'Skill Matrix'!C79)</f>
        <v/>
      </c>
      <c r="E1173">
        <f>IF(A1173="","",'Skill Matrix'!D79)</f>
        <v/>
      </c>
      <c r="F1173">
        <f>IF(AND('Skill Matrix'!A79&lt;&gt;"",'Skill Matrix'!H5&lt;&gt;""),'Skill Matrix'!H5,"")</f>
        <v/>
      </c>
      <c r="G1173">
        <f>IF(OR(A1173="",'Skill Matrix'!H79=""),"",'Skill Matrix'!H79)</f>
        <v/>
      </c>
      <c r="H1173">
        <f>IF(A1173="","",'Employees'!F10)</f>
        <v/>
      </c>
    </row>
    <row r="1174">
      <c r="A1174">
        <f>IF(AND('Skill Matrix'!A79&lt;&gt;"",'Skill Matrix'!I5&lt;&gt;""),'Skill Matrix'!A79,"")</f>
        <v/>
      </c>
      <c r="B1174">
        <f>IF(A1174="","",'Employees'!C10)</f>
        <v/>
      </c>
      <c r="C1174">
        <f>IF(A1174="","",'Employees'!D10)</f>
        <v/>
      </c>
      <c r="D1174">
        <f>IF(A1174="","",'Skill Matrix'!C79)</f>
        <v/>
      </c>
      <c r="E1174">
        <f>IF(A1174="","",'Skill Matrix'!D79)</f>
        <v/>
      </c>
      <c r="F1174">
        <f>IF(AND('Skill Matrix'!A79&lt;&gt;"",'Skill Matrix'!I5&lt;&gt;""),'Skill Matrix'!I5,"")</f>
        <v/>
      </c>
      <c r="G1174">
        <f>IF(OR(A1174="",'Skill Matrix'!I79=""),"",'Skill Matrix'!I79)</f>
        <v/>
      </c>
      <c r="H1174">
        <f>IF(A1174="","",'Employees'!F10)</f>
        <v/>
      </c>
    </row>
    <row r="1175">
      <c r="A1175">
        <f>IF(AND('Skill Matrix'!A79&lt;&gt;"",'Skill Matrix'!J5&lt;&gt;""),'Skill Matrix'!A79,"")</f>
        <v/>
      </c>
      <c r="B1175">
        <f>IF(A1175="","",'Employees'!C10)</f>
        <v/>
      </c>
      <c r="C1175">
        <f>IF(A1175="","",'Employees'!D10)</f>
        <v/>
      </c>
      <c r="D1175">
        <f>IF(A1175="","",'Skill Matrix'!C79)</f>
        <v/>
      </c>
      <c r="E1175">
        <f>IF(A1175="","",'Skill Matrix'!D79)</f>
        <v/>
      </c>
      <c r="F1175">
        <f>IF(AND('Skill Matrix'!A79&lt;&gt;"",'Skill Matrix'!J5&lt;&gt;""),'Skill Matrix'!J5,"")</f>
        <v/>
      </c>
      <c r="G1175">
        <f>IF(OR(A1175="",'Skill Matrix'!J79=""),"",'Skill Matrix'!J79)</f>
        <v/>
      </c>
      <c r="H1175">
        <f>IF(A1175="","",'Employees'!F10)</f>
        <v/>
      </c>
    </row>
    <row r="1176">
      <c r="A1176">
        <f>IF(AND('Skill Matrix'!A79&lt;&gt;"",'Skill Matrix'!K5&lt;&gt;""),'Skill Matrix'!A79,"")</f>
        <v/>
      </c>
      <c r="B1176">
        <f>IF(A1176="","",'Employees'!C10)</f>
        <v/>
      </c>
      <c r="C1176">
        <f>IF(A1176="","",'Employees'!D10)</f>
        <v/>
      </c>
      <c r="D1176">
        <f>IF(A1176="","",'Skill Matrix'!C79)</f>
        <v/>
      </c>
      <c r="E1176">
        <f>IF(A1176="","",'Skill Matrix'!D79)</f>
        <v/>
      </c>
      <c r="F1176">
        <f>IF(AND('Skill Matrix'!A79&lt;&gt;"",'Skill Matrix'!K5&lt;&gt;""),'Skill Matrix'!K5,"")</f>
        <v/>
      </c>
      <c r="G1176">
        <f>IF(OR(A1176="",'Skill Matrix'!K79=""),"",'Skill Matrix'!K79)</f>
        <v/>
      </c>
      <c r="H1176">
        <f>IF(A1176="","",'Employees'!F10)</f>
        <v/>
      </c>
    </row>
    <row r="1177">
      <c r="A1177">
        <f>IF(AND('Skill Matrix'!A79&lt;&gt;"",'Skill Matrix'!L5&lt;&gt;""),'Skill Matrix'!A79,"")</f>
        <v/>
      </c>
      <c r="B1177">
        <f>IF(A1177="","",'Employees'!C10)</f>
        <v/>
      </c>
      <c r="C1177">
        <f>IF(A1177="","",'Employees'!D10)</f>
        <v/>
      </c>
      <c r="D1177">
        <f>IF(A1177="","",'Skill Matrix'!C79)</f>
        <v/>
      </c>
      <c r="E1177">
        <f>IF(A1177="","",'Skill Matrix'!D79)</f>
        <v/>
      </c>
      <c r="F1177">
        <f>IF(AND('Skill Matrix'!A79&lt;&gt;"",'Skill Matrix'!L5&lt;&gt;""),'Skill Matrix'!L5,"")</f>
        <v/>
      </c>
      <c r="G1177">
        <f>IF(OR(A1177="",'Skill Matrix'!L79=""),"",'Skill Matrix'!L79)</f>
        <v/>
      </c>
      <c r="H1177">
        <f>IF(A1177="","",'Employees'!F10)</f>
        <v/>
      </c>
    </row>
    <row r="1178">
      <c r="A1178">
        <f>IF(AND('Skill Matrix'!A79&lt;&gt;"",'Skill Matrix'!M5&lt;&gt;""),'Skill Matrix'!A79,"")</f>
        <v/>
      </c>
      <c r="B1178">
        <f>IF(A1178="","",'Employees'!C10)</f>
        <v/>
      </c>
      <c r="C1178">
        <f>IF(A1178="","",'Employees'!D10)</f>
        <v/>
      </c>
      <c r="D1178">
        <f>IF(A1178="","",'Skill Matrix'!C79)</f>
        <v/>
      </c>
      <c r="E1178">
        <f>IF(A1178="","",'Skill Matrix'!D79)</f>
        <v/>
      </c>
      <c r="F1178">
        <f>IF(AND('Skill Matrix'!A79&lt;&gt;"",'Skill Matrix'!M5&lt;&gt;""),'Skill Matrix'!M5,"")</f>
        <v/>
      </c>
      <c r="G1178">
        <f>IF(OR(A1178="",'Skill Matrix'!M79=""),"",'Skill Matrix'!M79)</f>
        <v/>
      </c>
      <c r="H1178">
        <f>IF(A1178="","",'Employees'!F10)</f>
        <v/>
      </c>
    </row>
    <row r="1179">
      <c r="A1179">
        <f>IF(AND('Skill Matrix'!A79&lt;&gt;"",'Skill Matrix'!N5&lt;&gt;""),'Skill Matrix'!A79,"")</f>
        <v/>
      </c>
      <c r="B1179">
        <f>IF(A1179="","",'Employees'!C10)</f>
        <v/>
      </c>
      <c r="C1179">
        <f>IF(A1179="","",'Employees'!D10)</f>
        <v/>
      </c>
      <c r="D1179">
        <f>IF(A1179="","",'Skill Matrix'!C79)</f>
        <v/>
      </c>
      <c r="E1179">
        <f>IF(A1179="","",'Skill Matrix'!D79)</f>
        <v/>
      </c>
      <c r="F1179">
        <f>IF(AND('Skill Matrix'!A79&lt;&gt;"",'Skill Matrix'!N5&lt;&gt;""),'Skill Matrix'!N5,"")</f>
        <v/>
      </c>
      <c r="G1179">
        <f>IF(OR(A1179="",'Skill Matrix'!N79=""),"",'Skill Matrix'!N79)</f>
        <v/>
      </c>
      <c r="H1179">
        <f>IF(A1179="","",'Employees'!F10)</f>
        <v/>
      </c>
    </row>
    <row r="1180">
      <c r="A1180">
        <f>IF(AND('Skill Matrix'!A79&lt;&gt;"",'Skill Matrix'!O5&lt;&gt;""),'Skill Matrix'!A79,"")</f>
        <v/>
      </c>
      <c r="B1180">
        <f>IF(A1180="","",'Employees'!C10)</f>
        <v/>
      </c>
      <c r="C1180">
        <f>IF(A1180="","",'Employees'!D10)</f>
        <v/>
      </c>
      <c r="D1180">
        <f>IF(A1180="","",'Skill Matrix'!C79)</f>
        <v/>
      </c>
      <c r="E1180">
        <f>IF(A1180="","",'Skill Matrix'!D79)</f>
        <v/>
      </c>
      <c r="F1180">
        <f>IF(AND('Skill Matrix'!A79&lt;&gt;"",'Skill Matrix'!O5&lt;&gt;""),'Skill Matrix'!O5,"")</f>
        <v/>
      </c>
      <c r="G1180">
        <f>IF(OR(A1180="",'Skill Matrix'!O79=""),"",'Skill Matrix'!O79)</f>
        <v/>
      </c>
      <c r="H1180">
        <f>IF(A1180="","",'Employees'!F10)</f>
        <v/>
      </c>
    </row>
    <row r="1181">
      <c r="A1181">
        <f>IF(AND('Skill Matrix'!A79&lt;&gt;"",'Skill Matrix'!P5&lt;&gt;""),'Skill Matrix'!A79,"")</f>
        <v/>
      </c>
      <c r="B1181">
        <f>IF(A1181="","",'Employees'!C10)</f>
        <v/>
      </c>
      <c r="C1181">
        <f>IF(A1181="","",'Employees'!D10)</f>
        <v/>
      </c>
      <c r="D1181">
        <f>IF(A1181="","",'Skill Matrix'!C79)</f>
        <v/>
      </c>
      <c r="E1181">
        <f>IF(A1181="","",'Skill Matrix'!D79)</f>
        <v/>
      </c>
      <c r="F1181">
        <f>IF(AND('Skill Matrix'!A79&lt;&gt;"",'Skill Matrix'!P5&lt;&gt;""),'Skill Matrix'!P5,"")</f>
        <v/>
      </c>
      <c r="G1181">
        <f>IF(OR(A1181="",'Skill Matrix'!P79=""),"",'Skill Matrix'!P79)</f>
        <v/>
      </c>
      <c r="H1181">
        <f>IF(A1181="","",'Employees'!F10)</f>
        <v/>
      </c>
    </row>
    <row r="1182">
      <c r="A1182">
        <f>IF(AND('Skill Matrix'!A79&lt;&gt;"",'Skill Matrix'!Q5&lt;&gt;""),'Skill Matrix'!A79,"")</f>
        <v/>
      </c>
      <c r="B1182">
        <f>IF(A1182="","",'Employees'!C10)</f>
        <v/>
      </c>
      <c r="C1182">
        <f>IF(A1182="","",'Employees'!D10)</f>
        <v/>
      </c>
      <c r="D1182">
        <f>IF(A1182="","",'Skill Matrix'!C79)</f>
        <v/>
      </c>
      <c r="E1182">
        <f>IF(A1182="","",'Skill Matrix'!D79)</f>
        <v/>
      </c>
      <c r="F1182">
        <f>IF(AND('Skill Matrix'!A79&lt;&gt;"",'Skill Matrix'!Q5&lt;&gt;""),'Skill Matrix'!Q5,"")</f>
        <v/>
      </c>
      <c r="G1182">
        <f>IF(OR(A1182="",'Skill Matrix'!Q79=""),"",'Skill Matrix'!Q79)</f>
        <v/>
      </c>
      <c r="H1182">
        <f>IF(A1182="","",'Employees'!F10)</f>
        <v/>
      </c>
    </row>
    <row r="1183">
      <c r="A1183">
        <f>IF(AND('Skill Matrix'!A79&lt;&gt;"",'Skill Matrix'!R5&lt;&gt;""),'Skill Matrix'!A79,"")</f>
        <v/>
      </c>
      <c r="B1183">
        <f>IF(A1183="","",'Employees'!C10)</f>
        <v/>
      </c>
      <c r="C1183">
        <f>IF(A1183="","",'Employees'!D10)</f>
        <v/>
      </c>
      <c r="D1183">
        <f>IF(A1183="","",'Skill Matrix'!C79)</f>
        <v/>
      </c>
      <c r="E1183">
        <f>IF(A1183="","",'Skill Matrix'!D79)</f>
        <v/>
      </c>
      <c r="F1183">
        <f>IF(AND('Skill Matrix'!A79&lt;&gt;"",'Skill Matrix'!R5&lt;&gt;""),'Skill Matrix'!R5,"")</f>
        <v/>
      </c>
      <c r="G1183">
        <f>IF(OR(A1183="",'Skill Matrix'!R79=""),"",'Skill Matrix'!R79)</f>
        <v/>
      </c>
      <c r="H1183">
        <f>IF(A1183="","",'Employees'!F10)</f>
        <v/>
      </c>
    </row>
    <row r="1184">
      <c r="A1184">
        <f>IF(AND('Skill Matrix'!A79&lt;&gt;"",'Skill Matrix'!S5&lt;&gt;""),'Skill Matrix'!A79,"")</f>
        <v/>
      </c>
      <c r="B1184">
        <f>IF(A1184="","",'Employees'!C10)</f>
        <v/>
      </c>
      <c r="C1184">
        <f>IF(A1184="","",'Employees'!D10)</f>
        <v/>
      </c>
      <c r="D1184">
        <f>IF(A1184="","",'Skill Matrix'!C79)</f>
        <v/>
      </c>
      <c r="E1184">
        <f>IF(A1184="","",'Skill Matrix'!D79)</f>
        <v/>
      </c>
      <c r="F1184">
        <f>IF(AND('Skill Matrix'!A79&lt;&gt;"",'Skill Matrix'!S5&lt;&gt;""),'Skill Matrix'!S5,"")</f>
        <v/>
      </c>
      <c r="G1184">
        <f>IF(OR(A1184="",'Skill Matrix'!S79=""),"",'Skill Matrix'!S79)</f>
        <v/>
      </c>
      <c r="H1184">
        <f>IF(A1184="","",'Employees'!F10)</f>
        <v/>
      </c>
    </row>
    <row r="1185">
      <c r="A1185">
        <f>IF(AND('Skill Matrix'!A79&lt;&gt;"",'Skill Matrix'!T5&lt;&gt;""),'Skill Matrix'!A79,"")</f>
        <v/>
      </c>
      <c r="B1185">
        <f>IF(A1185="","",'Employees'!C10)</f>
        <v/>
      </c>
      <c r="C1185">
        <f>IF(A1185="","",'Employees'!D10)</f>
        <v/>
      </c>
      <c r="D1185">
        <f>IF(A1185="","",'Skill Matrix'!C79)</f>
        <v/>
      </c>
      <c r="E1185">
        <f>IF(A1185="","",'Skill Matrix'!D79)</f>
        <v/>
      </c>
      <c r="F1185">
        <f>IF(AND('Skill Matrix'!A79&lt;&gt;"",'Skill Matrix'!T5&lt;&gt;""),'Skill Matrix'!T5,"")</f>
        <v/>
      </c>
      <c r="G1185">
        <f>IF(OR(A1185="",'Skill Matrix'!T79=""),"",'Skill Matrix'!T79)</f>
        <v/>
      </c>
      <c r="H1185">
        <f>IF(A1185="","",'Employees'!F10)</f>
        <v/>
      </c>
    </row>
    <row r="1186">
      <c r="A1186">
        <f>IF(AND('Skill Matrix'!A80&lt;&gt;"",'Skill Matrix'!E5&lt;&gt;""),'Skill Matrix'!A80,"")</f>
        <v/>
      </c>
      <c r="B1186">
        <f>IF(A1186="","",'Employees'!C10)</f>
        <v/>
      </c>
      <c r="C1186">
        <f>IF(A1186="","",'Employees'!D10)</f>
        <v/>
      </c>
      <c r="D1186">
        <f>IF(A1186="","",'Skill Matrix'!C80)</f>
        <v/>
      </c>
      <c r="E1186">
        <f>IF(A1186="","",'Skill Matrix'!D80)</f>
        <v/>
      </c>
      <c r="F1186">
        <f>IF(AND('Skill Matrix'!A80&lt;&gt;"",'Skill Matrix'!E5&lt;&gt;""),'Skill Matrix'!E5,"")</f>
        <v/>
      </c>
      <c r="G1186">
        <f>IF(OR(A1186="",'Skill Matrix'!E80=""),"",'Skill Matrix'!E80)</f>
        <v/>
      </c>
      <c r="H1186">
        <f>IF(A1186="","",'Employees'!F10)</f>
        <v/>
      </c>
    </row>
    <row r="1187">
      <c r="A1187">
        <f>IF(AND('Skill Matrix'!A80&lt;&gt;"",'Skill Matrix'!F5&lt;&gt;""),'Skill Matrix'!A80,"")</f>
        <v/>
      </c>
      <c r="B1187">
        <f>IF(A1187="","",'Employees'!C10)</f>
        <v/>
      </c>
      <c r="C1187">
        <f>IF(A1187="","",'Employees'!D10)</f>
        <v/>
      </c>
      <c r="D1187">
        <f>IF(A1187="","",'Skill Matrix'!C80)</f>
        <v/>
      </c>
      <c r="E1187">
        <f>IF(A1187="","",'Skill Matrix'!D80)</f>
        <v/>
      </c>
      <c r="F1187">
        <f>IF(AND('Skill Matrix'!A80&lt;&gt;"",'Skill Matrix'!F5&lt;&gt;""),'Skill Matrix'!F5,"")</f>
        <v/>
      </c>
      <c r="G1187">
        <f>IF(OR(A1187="",'Skill Matrix'!F80=""),"",'Skill Matrix'!F80)</f>
        <v/>
      </c>
      <c r="H1187">
        <f>IF(A1187="","",'Employees'!F10)</f>
        <v/>
      </c>
    </row>
    <row r="1188">
      <c r="A1188">
        <f>IF(AND('Skill Matrix'!A80&lt;&gt;"",'Skill Matrix'!G5&lt;&gt;""),'Skill Matrix'!A80,"")</f>
        <v/>
      </c>
      <c r="B1188">
        <f>IF(A1188="","",'Employees'!C10)</f>
        <v/>
      </c>
      <c r="C1188">
        <f>IF(A1188="","",'Employees'!D10)</f>
        <v/>
      </c>
      <c r="D1188">
        <f>IF(A1188="","",'Skill Matrix'!C80)</f>
        <v/>
      </c>
      <c r="E1188">
        <f>IF(A1188="","",'Skill Matrix'!D80)</f>
        <v/>
      </c>
      <c r="F1188">
        <f>IF(AND('Skill Matrix'!A80&lt;&gt;"",'Skill Matrix'!G5&lt;&gt;""),'Skill Matrix'!G5,"")</f>
        <v/>
      </c>
      <c r="G1188">
        <f>IF(OR(A1188="",'Skill Matrix'!G80=""),"",'Skill Matrix'!G80)</f>
        <v/>
      </c>
      <c r="H1188">
        <f>IF(A1188="","",'Employees'!F10)</f>
        <v/>
      </c>
    </row>
    <row r="1189">
      <c r="A1189">
        <f>IF(AND('Skill Matrix'!A80&lt;&gt;"",'Skill Matrix'!H5&lt;&gt;""),'Skill Matrix'!A80,"")</f>
        <v/>
      </c>
      <c r="B1189">
        <f>IF(A1189="","",'Employees'!C10)</f>
        <v/>
      </c>
      <c r="C1189">
        <f>IF(A1189="","",'Employees'!D10)</f>
        <v/>
      </c>
      <c r="D1189">
        <f>IF(A1189="","",'Skill Matrix'!C80)</f>
        <v/>
      </c>
      <c r="E1189">
        <f>IF(A1189="","",'Skill Matrix'!D80)</f>
        <v/>
      </c>
      <c r="F1189">
        <f>IF(AND('Skill Matrix'!A80&lt;&gt;"",'Skill Matrix'!H5&lt;&gt;""),'Skill Matrix'!H5,"")</f>
        <v/>
      </c>
      <c r="G1189">
        <f>IF(OR(A1189="",'Skill Matrix'!H80=""),"",'Skill Matrix'!H80)</f>
        <v/>
      </c>
      <c r="H1189">
        <f>IF(A1189="","",'Employees'!F10)</f>
        <v/>
      </c>
    </row>
    <row r="1190">
      <c r="A1190">
        <f>IF(AND('Skill Matrix'!A80&lt;&gt;"",'Skill Matrix'!I5&lt;&gt;""),'Skill Matrix'!A80,"")</f>
        <v/>
      </c>
      <c r="B1190">
        <f>IF(A1190="","",'Employees'!C10)</f>
        <v/>
      </c>
      <c r="C1190">
        <f>IF(A1190="","",'Employees'!D10)</f>
        <v/>
      </c>
      <c r="D1190">
        <f>IF(A1190="","",'Skill Matrix'!C80)</f>
        <v/>
      </c>
      <c r="E1190">
        <f>IF(A1190="","",'Skill Matrix'!D80)</f>
        <v/>
      </c>
      <c r="F1190">
        <f>IF(AND('Skill Matrix'!A80&lt;&gt;"",'Skill Matrix'!I5&lt;&gt;""),'Skill Matrix'!I5,"")</f>
        <v/>
      </c>
      <c r="G1190">
        <f>IF(OR(A1190="",'Skill Matrix'!I80=""),"",'Skill Matrix'!I80)</f>
        <v/>
      </c>
      <c r="H1190">
        <f>IF(A1190="","",'Employees'!F10)</f>
        <v/>
      </c>
    </row>
    <row r="1191">
      <c r="A1191">
        <f>IF(AND('Skill Matrix'!A80&lt;&gt;"",'Skill Matrix'!J5&lt;&gt;""),'Skill Matrix'!A80,"")</f>
        <v/>
      </c>
      <c r="B1191">
        <f>IF(A1191="","",'Employees'!C10)</f>
        <v/>
      </c>
      <c r="C1191">
        <f>IF(A1191="","",'Employees'!D10)</f>
        <v/>
      </c>
      <c r="D1191">
        <f>IF(A1191="","",'Skill Matrix'!C80)</f>
        <v/>
      </c>
      <c r="E1191">
        <f>IF(A1191="","",'Skill Matrix'!D80)</f>
        <v/>
      </c>
      <c r="F1191">
        <f>IF(AND('Skill Matrix'!A80&lt;&gt;"",'Skill Matrix'!J5&lt;&gt;""),'Skill Matrix'!J5,"")</f>
        <v/>
      </c>
      <c r="G1191">
        <f>IF(OR(A1191="",'Skill Matrix'!J80=""),"",'Skill Matrix'!J80)</f>
        <v/>
      </c>
      <c r="H1191">
        <f>IF(A1191="","",'Employees'!F10)</f>
        <v/>
      </c>
    </row>
    <row r="1192">
      <c r="A1192">
        <f>IF(AND('Skill Matrix'!A80&lt;&gt;"",'Skill Matrix'!K5&lt;&gt;""),'Skill Matrix'!A80,"")</f>
        <v/>
      </c>
      <c r="B1192">
        <f>IF(A1192="","",'Employees'!C10)</f>
        <v/>
      </c>
      <c r="C1192">
        <f>IF(A1192="","",'Employees'!D10)</f>
        <v/>
      </c>
      <c r="D1192">
        <f>IF(A1192="","",'Skill Matrix'!C80)</f>
        <v/>
      </c>
      <c r="E1192">
        <f>IF(A1192="","",'Skill Matrix'!D80)</f>
        <v/>
      </c>
      <c r="F1192">
        <f>IF(AND('Skill Matrix'!A80&lt;&gt;"",'Skill Matrix'!K5&lt;&gt;""),'Skill Matrix'!K5,"")</f>
        <v/>
      </c>
      <c r="G1192">
        <f>IF(OR(A1192="",'Skill Matrix'!K80=""),"",'Skill Matrix'!K80)</f>
        <v/>
      </c>
      <c r="H1192">
        <f>IF(A1192="","",'Employees'!F10)</f>
        <v/>
      </c>
    </row>
    <row r="1193">
      <c r="A1193">
        <f>IF(AND('Skill Matrix'!A80&lt;&gt;"",'Skill Matrix'!L5&lt;&gt;""),'Skill Matrix'!A80,"")</f>
        <v/>
      </c>
      <c r="B1193">
        <f>IF(A1193="","",'Employees'!C10)</f>
        <v/>
      </c>
      <c r="C1193">
        <f>IF(A1193="","",'Employees'!D10)</f>
        <v/>
      </c>
      <c r="D1193">
        <f>IF(A1193="","",'Skill Matrix'!C80)</f>
        <v/>
      </c>
      <c r="E1193">
        <f>IF(A1193="","",'Skill Matrix'!D80)</f>
        <v/>
      </c>
      <c r="F1193">
        <f>IF(AND('Skill Matrix'!A80&lt;&gt;"",'Skill Matrix'!L5&lt;&gt;""),'Skill Matrix'!L5,"")</f>
        <v/>
      </c>
      <c r="G1193">
        <f>IF(OR(A1193="",'Skill Matrix'!L80=""),"",'Skill Matrix'!L80)</f>
        <v/>
      </c>
      <c r="H1193">
        <f>IF(A1193="","",'Employees'!F10)</f>
        <v/>
      </c>
    </row>
    <row r="1194">
      <c r="A1194">
        <f>IF(AND('Skill Matrix'!A80&lt;&gt;"",'Skill Matrix'!M5&lt;&gt;""),'Skill Matrix'!A80,"")</f>
        <v/>
      </c>
      <c r="B1194">
        <f>IF(A1194="","",'Employees'!C10)</f>
        <v/>
      </c>
      <c r="C1194">
        <f>IF(A1194="","",'Employees'!D10)</f>
        <v/>
      </c>
      <c r="D1194">
        <f>IF(A1194="","",'Skill Matrix'!C80)</f>
        <v/>
      </c>
      <c r="E1194">
        <f>IF(A1194="","",'Skill Matrix'!D80)</f>
        <v/>
      </c>
      <c r="F1194">
        <f>IF(AND('Skill Matrix'!A80&lt;&gt;"",'Skill Matrix'!M5&lt;&gt;""),'Skill Matrix'!M5,"")</f>
        <v/>
      </c>
      <c r="G1194">
        <f>IF(OR(A1194="",'Skill Matrix'!M80=""),"",'Skill Matrix'!M80)</f>
        <v/>
      </c>
      <c r="H1194">
        <f>IF(A1194="","",'Employees'!F10)</f>
        <v/>
      </c>
    </row>
    <row r="1195">
      <c r="A1195">
        <f>IF(AND('Skill Matrix'!A80&lt;&gt;"",'Skill Matrix'!N5&lt;&gt;""),'Skill Matrix'!A80,"")</f>
        <v/>
      </c>
      <c r="B1195">
        <f>IF(A1195="","",'Employees'!C10)</f>
        <v/>
      </c>
      <c r="C1195">
        <f>IF(A1195="","",'Employees'!D10)</f>
        <v/>
      </c>
      <c r="D1195">
        <f>IF(A1195="","",'Skill Matrix'!C80)</f>
        <v/>
      </c>
      <c r="E1195">
        <f>IF(A1195="","",'Skill Matrix'!D80)</f>
        <v/>
      </c>
      <c r="F1195">
        <f>IF(AND('Skill Matrix'!A80&lt;&gt;"",'Skill Matrix'!N5&lt;&gt;""),'Skill Matrix'!N5,"")</f>
        <v/>
      </c>
      <c r="G1195">
        <f>IF(OR(A1195="",'Skill Matrix'!N80=""),"",'Skill Matrix'!N80)</f>
        <v/>
      </c>
      <c r="H1195">
        <f>IF(A1195="","",'Employees'!F10)</f>
        <v/>
      </c>
    </row>
    <row r="1196">
      <c r="A1196">
        <f>IF(AND('Skill Matrix'!A80&lt;&gt;"",'Skill Matrix'!O5&lt;&gt;""),'Skill Matrix'!A80,"")</f>
        <v/>
      </c>
      <c r="B1196">
        <f>IF(A1196="","",'Employees'!C10)</f>
        <v/>
      </c>
      <c r="C1196">
        <f>IF(A1196="","",'Employees'!D10)</f>
        <v/>
      </c>
      <c r="D1196">
        <f>IF(A1196="","",'Skill Matrix'!C80)</f>
        <v/>
      </c>
      <c r="E1196">
        <f>IF(A1196="","",'Skill Matrix'!D80)</f>
        <v/>
      </c>
      <c r="F1196">
        <f>IF(AND('Skill Matrix'!A80&lt;&gt;"",'Skill Matrix'!O5&lt;&gt;""),'Skill Matrix'!O5,"")</f>
        <v/>
      </c>
      <c r="G1196">
        <f>IF(OR(A1196="",'Skill Matrix'!O80=""),"",'Skill Matrix'!O80)</f>
        <v/>
      </c>
      <c r="H1196">
        <f>IF(A1196="","",'Employees'!F10)</f>
        <v/>
      </c>
    </row>
    <row r="1197">
      <c r="A1197">
        <f>IF(AND('Skill Matrix'!A80&lt;&gt;"",'Skill Matrix'!P5&lt;&gt;""),'Skill Matrix'!A80,"")</f>
        <v/>
      </c>
      <c r="B1197">
        <f>IF(A1197="","",'Employees'!C10)</f>
        <v/>
      </c>
      <c r="C1197">
        <f>IF(A1197="","",'Employees'!D10)</f>
        <v/>
      </c>
      <c r="D1197">
        <f>IF(A1197="","",'Skill Matrix'!C80)</f>
        <v/>
      </c>
      <c r="E1197">
        <f>IF(A1197="","",'Skill Matrix'!D80)</f>
        <v/>
      </c>
      <c r="F1197">
        <f>IF(AND('Skill Matrix'!A80&lt;&gt;"",'Skill Matrix'!P5&lt;&gt;""),'Skill Matrix'!P5,"")</f>
        <v/>
      </c>
      <c r="G1197">
        <f>IF(OR(A1197="",'Skill Matrix'!P80=""),"",'Skill Matrix'!P80)</f>
        <v/>
      </c>
      <c r="H1197">
        <f>IF(A1197="","",'Employees'!F10)</f>
        <v/>
      </c>
    </row>
    <row r="1198">
      <c r="A1198">
        <f>IF(AND('Skill Matrix'!A80&lt;&gt;"",'Skill Matrix'!Q5&lt;&gt;""),'Skill Matrix'!A80,"")</f>
        <v/>
      </c>
      <c r="B1198">
        <f>IF(A1198="","",'Employees'!C10)</f>
        <v/>
      </c>
      <c r="C1198">
        <f>IF(A1198="","",'Employees'!D10)</f>
        <v/>
      </c>
      <c r="D1198">
        <f>IF(A1198="","",'Skill Matrix'!C80)</f>
        <v/>
      </c>
      <c r="E1198">
        <f>IF(A1198="","",'Skill Matrix'!D80)</f>
        <v/>
      </c>
      <c r="F1198">
        <f>IF(AND('Skill Matrix'!A80&lt;&gt;"",'Skill Matrix'!Q5&lt;&gt;""),'Skill Matrix'!Q5,"")</f>
        <v/>
      </c>
      <c r="G1198">
        <f>IF(OR(A1198="",'Skill Matrix'!Q80=""),"",'Skill Matrix'!Q80)</f>
        <v/>
      </c>
      <c r="H1198">
        <f>IF(A1198="","",'Employees'!F10)</f>
        <v/>
      </c>
    </row>
    <row r="1199">
      <c r="A1199">
        <f>IF(AND('Skill Matrix'!A80&lt;&gt;"",'Skill Matrix'!R5&lt;&gt;""),'Skill Matrix'!A80,"")</f>
        <v/>
      </c>
      <c r="B1199">
        <f>IF(A1199="","",'Employees'!C10)</f>
        <v/>
      </c>
      <c r="C1199">
        <f>IF(A1199="","",'Employees'!D10)</f>
        <v/>
      </c>
      <c r="D1199">
        <f>IF(A1199="","",'Skill Matrix'!C80)</f>
        <v/>
      </c>
      <c r="E1199">
        <f>IF(A1199="","",'Skill Matrix'!D80)</f>
        <v/>
      </c>
      <c r="F1199">
        <f>IF(AND('Skill Matrix'!A80&lt;&gt;"",'Skill Matrix'!R5&lt;&gt;""),'Skill Matrix'!R5,"")</f>
        <v/>
      </c>
      <c r="G1199">
        <f>IF(OR(A1199="",'Skill Matrix'!R80=""),"",'Skill Matrix'!R80)</f>
        <v/>
      </c>
      <c r="H1199">
        <f>IF(A1199="","",'Employees'!F10)</f>
        <v/>
      </c>
    </row>
    <row r="1200">
      <c r="A1200">
        <f>IF(AND('Skill Matrix'!A80&lt;&gt;"",'Skill Matrix'!S5&lt;&gt;""),'Skill Matrix'!A80,"")</f>
        <v/>
      </c>
      <c r="B1200">
        <f>IF(A1200="","",'Employees'!C10)</f>
        <v/>
      </c>
      <c r="C1200">
        <f>IF(A1200="","",'Employees'!D10)</f>
        <v/>
      </c>
      <c r="D1200">
        <f>IF(A1200="","",'Skill Matrix'!C80)</f>
        <v/>
      </c>
      <c r="E1200">
        <f>IF(A1200="","",'Skill Matrix'!D80)</f>
        <v/>
      </c>
      <c r="F1200">
        <f>IF(AND('Skill Matrix'!A80&lt;&gt;"",'Skill Matrix'!S5&lt;&gt;""),'Skill Matrix'!S5,"")</f>
        <v/>
      </c>
      <c r="G1200">
        <f>IF(OR(A1200="",'Skill Matrix'!S80=""),"",'Skill Matrix'!S80)</f>
        <v/>
      </c>
      <c r="H1200">
        <f>IF(A1200="","",'Employees'!F10)</f>
        <v/>
      </c>
    </row>
    <row r="1201">
      <c r="A1201">
        <f>IF(AND('Skill Matrix'!A80&lt;&gt;"",'Skill Matrix'!T5&lt;&gt;""),'Skill Matrix'!A80,"")</f>
        <v/>
      </c>
      <c r="B1201">
        <f>IF(A1201="","",'Employees'!C10)</f>
        <v/>
      </c>
      <c r="C1201">
        <f>IF(A1201="","",'Employees'!D10)</f>
        <v/>
      </c>
      <c r="D1201">
        <f>IF(A1201="","",'Skill Matrix'!C80)</f>
        <v/>
      </c>
      <c r="E1201">
        <f>IF(A1201="","",'Skill Matrix'!D80)</f>
        <v/>
      </c>
      <c r="F1201">
        <f>IF(AND('Skill Matrix'!A80&lt;&gt;"",'Skill Matrix'!T5&lt;&gt;""),'Skill Matrix'!T5,"")</f>
        <v/>
      </c>
      <c r="G1201">
        <f>IF(OR(A1201="",'Skill Matrix'!T80=""),"",'Skill Matrix'!T80)</f>
        <v/>
      </c>
      <c r="H1201">
        <f>IF(A1201="","",'Employees'!F10)</f>
        <v/>
      </c>
    </row>
    <row r="1202">
      <c r="A1202">
        <f>IF(AND('Skill Matrix'!A81&lt;&gt;"",'Skill Matrix'!E5&lt;&gt;""),'Skill Matrix'!A81,"")</f>
        <v/>
      </c>
      <c r="B1202">
        <f>IF(A1202="","",'Employees'!C10)</f>
        <v/>
      </c>
      <c r="C1202">
        <f>IF(A1202="","",'Employees'!D10)</f>
        <v/>
      </c>
      <c r="D1202">
        <f>IF(A1202="","",'Skill Matrix'!C81)</f>
        <v/>
      </c>
      <c r="E1202">
        <f>IF(A1202="","",'Skill Matrix'!D81)</f>
        <v/>
      </c>
      <c r="F1202">
        <f>IF(AND('Skill Matrix'!A81&lt;&gt;"",'Skill Matrix'!E5&lt;&gt;""),'Skill Matrix'!E5,"")</f>
        <v/>
      </c>
      <c r="G1202">
        <f>IF(OR(A1202="",'Skill Matrix'!E81=""),"",'Skill Matrix'!E81)</f>
        <v/>
      </c>
      <c r="H1202">
        <f>IF(A1202="","",'Employees'!F10)</f>
        <v/>
      </c>
    </row>
    <row r="1203">
      <c r="A1203">
        <f>IF(AND('Skill Matrix'!A81&lt;&gt;"",'Skill Matrix'!F5&lt;&gt;""),'Skill Matrix'!A81,"")</f>
        <v/>
      </c>
      <c r="B1203">
        <f>IF(A1203="","",'Employees'!C10)</f>
        <v/>
      </c>
      <c r="C1203">
        <f>IF(A1203="","",'Employees'!D10)</f>
        <v/>
      </c>
      <c r="D1203">
        <f>IF(A1203="","",'Skill Matrix'!C81)</f>
        <v/>
      </c>
      <c r="E1203">
        <f>IF(A1203="","",'Skill Matrix'!D81)</f>
        <v/>
      </c>
      <c r="F1203">
        <f>IF(AND('Skill Matrix'!A81&lt;&gt;"",'Skill Matrix'!F5&lt;&gt;""),'Skill Matrix'!F5,"")</f>
        <v/>
      </c>
      <c r="G1203">
        <f>IF(OR(A1203="",'Skill Matrix'!F81=""),"",'Skill Matrix'!F81)</f>
        <v/>
      </c>
      <c r="H1203">
        <f>IF(A1203="","",'Employees'!F10)</f>
        <v/>
      </c>
    </row>
    <row r="1204">
      <c r="A1204">
        <f>IF(AND('Skill Matrix'!A81&lt;&gt;"",'Skill Matrix'!G5&lt;&gt;""),'Skill Matrix'!A81,"")</f>
        <v/>
      </c>
      <c r="B1204">
        <f>IF(A1204="","",'Employees'!C10)</f>
        <v/>
      </c>
      <c r="C1204">
        <f>IF(A1204="","",'Employees'!D10)</f>
        <v/>
      </c>
      <c r="D1204">
        <f>IF(A1204="","",'Skill Matrix'!C81)</f>
        <v/>
      </c>
      <c r="E1204">
        <f>IF(A1204="","",'Skill Matrix'!D81)</f>
        <v/>
      </c>
      <c r="F1204">
        <f>IF(AND('Skill Matrix'!A81&lt;&gt;"",'Skill Matrix'!G5&lt;&gt;""),'Skill Matrix'!G5,"")</f>
        <v/>
      </c>
      <c r="G1204">
        <f>IF(OR(A1204="",'Skill Matrix'!G81=""),"",'Skill Matrix'!G81)</f>
        <v/>
      </c>
      <c r="H1204">
        <f>IF(A1204="","",'Employees'!F10)</f>
        <v/>
      </c>
    </row>
    <row r="1205">
      <c r="A1205">
        <f>IF(AND('Skill Matrix'!A81&lt;&gt;"",'Skill Matrix'!H5&lt;&gt;""),'Skill Matrix'!A81,"")</f>
        <v/>
      </c>
      <c r="B1205">
        <f>IF(A1205="","",'Employees'!C10)</f>
        <v/>
      </c>
      <c r="C1205">
        <f>IF(A1205="","",'Employees'!D10)</f>
        <v/>
      </c>
      <c r="D1205">
        <f>IF(A1205="","",'Skill Matrix'!C81)</f>
        <v/>
      </c>
      <c r="E1205">
        <f>IF(A1205="","",'Skill Matrix'!D81)</f>
        <v/>
      </c>
      <c r="F1205">
        <f>IF(AND('Skill Matrix'!A81&lt;&gt;"",'Skill Matrix'!H5&lt;&gt;""),'Skill Matrix'!H5,"")</f>
        <v/>
      </c>
      <c r="G1205">
        <f>IF(OR(A1205="",'Skill Matrix'!H81=""),"",'Skill Matrix'!H81)</f>
        <v/>
      </c>
      <c r="H1205">
        <f>IF(A1205="","",'Employees'!F10)</f>
        <v/>
      </c>
    </row>
    <row r="1206">
      <c r="A1206">
        <f>IF(AND('Skill Matrix'!A81&lt;&gt;"",'Skill Matrix'!I5&lt;&gt;""),'Skill Matrix'!A81,"")</f>
        <v/>
      </c>
      <c r="B1206">
        <f>IF(A1206="","",'Employees'!C10)</f>
        <v/>
      </c>
      <c r="C1206">
        <f>IF(A1206="","",'Employees'!D10)</f>
        <v/>
      </c>
      <c r="D1206">
        <f>IF(A1206="","",'Skill Matrix'!C81)</f>
        <v/>
      </c>
      <c r="E1206">
        <f>IF(A1206="","",'Skill Matrix'!D81)</f>
        <v/>
      </c>
      <c r="F1206">
        <f>IF(AND('Skill Matrix'!A81&lt;&gt;"",'Skill Matrix'!I5&lt;&gt;""),'Skill Matrix'!I5,"")</f>
        <v/>
      </c>
      <c r="G1206">
        <f>IF(OR(A1206="",'Skill Matrix'!I81=""),"",'Skill Matrix'!I81)</f>
        <v/>
      </c>
      <c r="H1206">
        <f>IF(A1206="","",'Employees'!F10)</f>
        <v/>
      </c>
    </row>
    <row r="1207">
      <c r="A1207">
        <f>IF(AND('Skill Matrix'!A81&lt;&gt;"",'Skill Matrix'!J5&lt;&gt;""),'Skill Matrix'!A81,"")</f>
        <v/>
      </c>
      <c r="B1207">
        <f>IF(A1207="","",'Employees'!C10)</f>
        <v/>
      </c>
      <c r="C1207">
        <f>IF(A1207="","",'Employees'!D10)</f>
        <v/>
      </c>
      <c r="D1207">
        <f>IF(A1207="","",'Skill Matrix'!C81)</f>
        <v/>
      </c>
      <c r="E1207">
        <f>IF(A1207="","",'Skill Matrix'!D81)</f>
        <v/>
      </c>
      <c r="F1207">
        <f>IF(AND('Skill Matrix'!A81&lt;&gt;"",'Skill Matrix'!J5&lt;&gt;""),'Skill Matrix'!J5,"")</f>
        <v/>
      </c>
      <c r="G1207">
        <f>IF(OR(A1207="",'Skill Matrix'!J81=""),"",'Skill Matrix'!J81)</f>
        <v/>
      </c>
      <c r="H1207">
        <f>IF(A1207="","",'Employees'!F10)</f>
        <v/>
      </c>
    </row>
    <row r="1208">
      <c r="A1208">
        <f>IF(AND('Skill Matrix'!A81&lt;&gt;"",'Skill Matrix'!K5&lt;&gt;""),'Skill Matrix'!A81,"")</f>
        <v/>
      </c>
      <c r="B1208">
        <f>IF(A1208="","",'Employees'!C10)</f>
        <v/>
      </c>
      <c r="C1208">
        <f>IF(A1208="","",'Employees'!D10)</f>
        <v/>
      </c>
      <c r="D1208">
        <f>IF(A1208="","",'Skill Matrix'!C81)</f>
        <v/>
      </c>
      <c r="E1208">
        <f>IF(A1208="","",'Skill Matrix'!D81)</f>
        <v/>
      </c>
      <c r="F1208">
        <f>IF(AND('Skill Matrix'!A81&lt;&gt;"",'Skill Matrix'!K5&lt;&gt;""),'Skill Matrix'!K5,"")</f>
        <v/>
      </c>
      <c r="G1208">
        <f>IF(OR(A1208="",'Skill Matrix'!K81=""),"",'Skill Matrix'!K81)</f>
        <v/>
      </c>
      <c r="H1208">
        <f>IF(A1208="","",'Employees'!F10)</f>
        <v/>
      </c>
    </row>
    <row r="1209">
      <c r="A1209">
        <f>IF(AND('Skill Matrix'!A81&lt;&gt;"",'Skill Matrix'!L5&lt;&gt;""),'Skill Matrix'!A81,"")</f>
        <v/>
      </c>
      <c r="B1209">
        <f>IF(A1209="","",'Employees'!C10)</f>
        <v/>
      </c>
      <c r="C1209">
        <f>IF(A1209="","",'Employees'!D10)</f>
        <v/>
      </c>
      <c r="D1209">
        <f>IF(A1209="","",'Skill Matrix'!C81)</f>
        <v/>
      </c>
      <c r="E1209">
        <f>IF(A1209="","",'Skill Matrix'!D81)</f>
        <v/>
      </c>
      <c r="F1209">
        <f>IF(AND('Skill Matrix'!A81&lt;&gt;"",'Skill Matrix'!L5&lt;&gt;""),'Skill Matrix'!L5,"")</f>
        <v/>
      </c>
      <c r="G1209">
        <f>IF(OR(A1209="",'Skill Matrix'!L81=""),"",'Skill Matrix'!L81)</f>
        <v/>
      </c>
      <c r="H1209">
        <f>IF(A1209="","",'Employees'!F10)</f>
        <v/>
      </c>
    </row>
    <row r="1210">
      <c r="A1210">
        <f>IF(AND('Skill Matrix'!A81&lt;&gt;"",'Skill Matrix'!M5&lt;&gt;""),'Skill Matrix'!A81,"")</f>
        <v/>
      </c>
      <c r="B1210">
        <f>IF(A1210="","",'Employees'!C10)</f>
        <v/>
      </c>
      <c r="C1210">
        <f>IF(A1210="","",'Employees'!D10)</f>
        <v/>
      </c>
      <c r="D1210">
        <f>IF(A1210="","",'Skill Matrix'!C81)</f>
        <v/>
      </c>
      <c r="E1210">
        <f>IF(A1210="","",'Skill Matrix'!D81)</f>
        <v/>
      </c>
      <c r="F1210">
        <f>IF(AND('Skill Matrix'!A81&lt;&gt;"",'Skill Matrix'!M5&lt;&gt;""),'Skill Matrix'!M5,"")</f>
        <v/>
      </c>
      <c r="G1210">
        <f>IF(OR(A1210="",'Skill Matrix'!M81=""),"",'Skill Matrix'!M81)</f>
        <v/>
      </c>
      <c r="H1210">
        <f>IF(A1210="","",'Employees'!F10)</f>
        <v/>
      </c>
    </row>
    <row r="1211">
      <c r="A1211">
        <f>IF(AND('Skill Matrix'!A81&lt;&gt;"",'Skill Matrix'!N5&lt;&gt;""),'Skill Matrix'!A81,"")</f>
        <v/>
      </c>
      <c r="B1211">
        <f>IF(A1211="","",'Employees'!C10)</f>
        <v/>
      </c>
      <c r="C1211">
        <f>IF(A1211="","",'Employees'!D10)</f>
        <v/>
      </c>
      <c r="D1211">
        <f>IF(A1211="","",'Skill Matrix'!C81)</f>
        <v/>
      </c>
      <c r="E1211">
        <f>IF(A1211="","",'Skill Matrix'!D81)</f>
        <v/>
      </c>
      <c r="F1211">
        <f>IF(AND('Skill Matrix'!A81&lt;&gt;"",'Skill Matrix'!N5&lt;&gt;""),'Skill Matrix'!N5,"")</f>
        <v/>
      </c>
      <c r="G1211">
        <f>IF(OR(A1211="",'Skill Matrix'!N81=""),"",'Skill Matrix'!N81)</f>
        <v/>
      </c>
      <c r="H1211">
        <f>IF(A1211="","",'Employees'!F10)</f>
        <v/>
      </c>
    </row>
    <row r="1212">
      <c r="A1212">
        <f>IF(AND('Skill Matrix'!A81&lt;&gt;"",'Skill Matrix'!O5&lt;&gt;""),'Skill Matrix'!A81,"")</f>
        <v/>
      </c>
      <c r="B1212">
        <f>IF(A1212="","",'Employees'!C10)</f>
        <v/>
      </c>
      <c r="C1212">
        <f>IF(A1212="","",'Employees'!D10)</f>
        <v/>
      </c>
      <c r="D1212">
        <f>IF(A1212="","",'Skill Matrix'!C81)</f>
        <v/>
      </c>
      <c r="E1212">
        <f>IF(A1212="","",'Skill Matrix'!D81)</f>
        <v/>
      </c>
      <c r="F1212">
        <f>IF(AND('Skill Matrix'!A81&lt;&gt;"",'Skill Matrix'!O5&lt;&gt;""),'Skill Matrix'!O5,"")</f>
        <v/>
      </c>
      <c r="G1212">
        <f>IF(OR(A1212="",'Skill Matrix'!O81=""),"",'Skill Matrix'!O81)</f>
        <v/>
      </c>
      <c r="H1212">
        <f>IF(A1212="","",'Employees'!F10)</f>
        <v/>
      </c>
    </row>
    <row r="1213">
      <c r="A1213">
        <f>IF(AND('Skill Matrix'!A81&lt;&gt;"",'Skill Matrix'!P5&lt;&gt;""),'Skill Matrix'!A81,"")</f>
        <v/>
      </c>
      <c r="B1213">
        <f>IF(A1213="","",'Employees'!C10)</f>
        <v/>
      </c>
      <c r="C1213">
        <f>IF(A1213="","",'Employees'!D10)</f>
        <v/>
      </c>
      <c r="D1213">
        <f>IF(A1213="","",'Skill Matrix'!C81)</f>
        <v/>
      </c>
      <c r="E1213">
        <f>IF(A1213="","",'Skill Matrix'!D81)</f>
        <v/>
      </c>
      <c r="F1213">
        <f>IF(AND('Skill Matrix'!A81&lt;&gt;"",'Skill Matrix'!P5&lt;&gt;""),'Skill Matrix'!P5,"")</f>
        <v/>
      </c>
      <c r="G1213">
        <f>IF(OR(A1213="",'Skill Matrix'!P81=""),"",'Skill Matrix'!P81)</f>
        <v/>
      </c>
      <c r="H1213">
        <f>IF(A1213="","",'Employees'!F10)</f>
        <v/>
      </c>
    </row>
    <row r="1214">
      <c r="A1214">
        <f>IF(AND('Skill Matrix'!A81&lt;&gt;"",'Skill Matrix'!Q5&lt;&gt;""),'Skill Matrix'!A81,"")</f>
        <v/>
      </c>
      <c r="B1214">
        <f>IF(A1214="","",'Employees'!C10)</f>
        <v/>
      </c>
      <c r="C1214">
        <f>IF(A1214="","",'Employees'!D10)</f>
        <v/>
      </c>
      <c r="D1214">
        <f>IF(A1214="","",'Skill Matrix'!C81)</f>
        <v/>
      </c>
      <c r="E1214">
        <f>IF(A1214="","",'Skill Matrix'!D81)</f>
        <v/>
      </c>
      <c r="F1214">
        <f>IF(AND('Skill Matrix'!A81&lt;&gt;"",'Skill Matrix'!Q5&lt;&gt;""),'Skill Matrix'!Q5,"")</f>
        <v/>
      </c>
      <c r="G1214">
        <f>IF(OR(A1214="",'Skill Matrix'!Q81=""),"",'Skill Matrix'!Q81)</f>
        <v/>
      </c>
      <c r="H1214">
        <f>IF(A1214="","",'Employees'!F10)</f>
        <v/>
      </c>
    </row>
    <row r="1215">
      <c r="A1215">
        <f>IF(AND('Skill Matrix'!A81&lt;&gt;"",'Skill Matrix'!R5&lt;&gt;""),'Skill Matrix'!A81,"")</f>
        <v/>
      </c>
      <c r="B1215">
        <f>IF(A1215="","",'Employees'!C10)</f>
        <v/>
      </c>
      <c r="C1215">
        <f>IF(A1215="","",'Employees'!D10)</f>
        <v/>
      </c>
      <c r="D1215">
        <f>IF(A1215="","",'Skill Matrix'!C81)</f>
        <v/>
      </c>
      <c r="E1215">
        <f>IF(A1215="","",'Skill Matrix'!D81)</f>
        <v/>
      </c>
      <c r="F1215">
        <f>IF(AND('Skill Matrix'!A81&lt;&gt;"",'Skill Matrix'!R5&lt;&gt;""),'Skill Matrix'!R5,"")</f>
        <v/>
      </c>
      <c r="G1215">
        <f>IF(OR(A1215="",'Skill Matrix'!R81=""),"",'Skill Matrix'!R81)</f>
        <v/>
      </c>
      <c r="H1215">
        <f>IF(A1215="","",'Employees'!F10)</f>
        <v/>
      </c>
    </row>
    <row r="1216">
      <c r="A1216">
        <f>IF(AND('Skill Matrix'!A81&lt;&gt;"",'Skill Matrix'!S5&lt;&gt;""),'Skill Matrix'!A81,"")</f>
        <v/>
      </c>
      <c r="B1216">
        <f>IF(A1216="","",'Employees'!C10)</f>
        <v/>
      </c>
      <c r="C1216">
        <f>IF(A1216="","",'Employees'!D10)</f>
        <v/>
      </c>
      <c r="D1216">
        <f>IF(A1216="","",'Skill Matrix'!C81)</f>
        <v/>
      </c>
      <c r="E1216">
        <f>IF(A1216="","",'Skill Matrix'!D81)</f>
        <v/>
      </c>
      <c r="F1216">
        <f>IF(AND('Skill Matrix'!A81&lt;&gt;"",'Skill Matrix'!S5&lt;&gt;""),'Skill Matrix'!S5,"")</f>
        <v/>
      </c>
      <c r="G1216">
        <f>IF(OR(A1216="",'Skill Matrix'!S81=""),"",'Skill Matrix'!S81)</f>
        <v/>
      </c>
      <c r="H1216">
        <f>IF(A1216="","",'Employees'!F10)</f>
        <v/>
      </c>
    </row>
    <row r="1217">
      <c r="A1217">
        <f>IF(AND('Skill Matrix'!A81&lt;&gt;"",'Skill Matrix'!T5&lt;&gt;""),'Skill Matrix'!A81,"")</f>
        <v/>
      </c>
      <c r="B1217">
        <f>IF(A1217="","",'Employees'!C10)</f>
        <v/>
      </c>
      <c r="C1217">
        <f>IF(A1217="","",'Employees'!D10)</f>
        <v/>
      </c>
      <c r="D1217">
        <f>IF(A1217="","",'Skill Matrix'!C81)</f>
        <v/>
      </c>
      <c r="E1217">
        <f>IF(A1217="","",'Skill Matrix'!D81)</f>
        <v/>
      </c>
      <c r="F1217">
        <f>IF(AND('Skill Matrix'!A81&lt;&gt;"",'Skill Matrix'!T5&lt;&gt;""),'Skill Matrix'!T5,"")</f>
        <v/>
      </c>
      <c r="G1217">
        <f>IF(OR(A1217="",'Skill Matrix'!T81=""),"",'Skill Matrix'!T81)</f>
        <v/>
      </c>
      <c r="H1217">
        <f>IF(A1217="","",'Employees'!F10)</f>
        <v/>
      </c>
    </row>
    <row r="1218">
      <c r="A1218">
        <f>IF(AND('Skill Matrix'!A82&lt;&gt;"",'Skill Matrix'!E5&lt;&gt;""),'Skill Matrix'!A82,"")</f>
        <v/>
      </c>
      <c r="B1218">
        <f>IF(A1218="","",'Employees'!C10)</f>
        <v/>
      </c>
      <c r="C1218">
        <f>IF(A1218="","",'Employees'!D10)</f>
        <v/>
      </c>
      <c r="D1218">
        <f>IF(A1218="","",'Skill Matrix'!C82)</f>
        <v/>
      </c>
      <c r="E1218">
        <f>IF(A1218="","",'Skill Matrix'!D82)</f>
        <v/>
      </c>
      <c r="F1218">
        <f>IF(AND('Skill Matrix'!A82&lt;&gt;"",'Skill Matrix'!E5&lt;&gt;""),'Skill Matrix'!E5,"")</f>
        <v/>
      </c>
      <c r="G1218">
        <f>IF(OR(A1218="",'Skill Matrix'!E82=""),"",'Skill Matrix'!E82)</f>
        <v/>
      </c>
      <c r="H1218">
        <f>IF(A1218="","",'Employees'!F10)</f>
        <v/>
      </c>
    </row>
    <row r="1219">
      <c r="A1219">
        <f>IF(AND('Skill Matrix'!A82&lt;&gt;"",'Skill Matrix'!F5&lt;&gt;""),'Skill Matrix'!A82,"")</f>
        <v/>
      </c>
      <c r="B1219">
        <f>IF(A1219="","",'Employees'!C10)</f>
        <v/>
      </c>
      <c r="C1219">
        <f>IF(A1219="","",'Employees'!D10)</f>
        <v/>
      </c>
      <c r="D1219">
        <f>IF(A1219="","",'Skill Matrix'!C82)</f>
        <v/>
      </c>
      <c r="E1219">
        <f>IF(A1219="","",'Skill Matrix'!D82)</f>
        <v/>
      </c>
      <c r="F1219">
        <f>IF(AND('Skill Matrix'!A82&lt;&gt;"",'Skill Matrix'!F5&lt;&gt;""),'Skill Matrix'!F5,"")</f>
        <v/>
      </c>
      <c r="G1219">
        <f>IF(OR(A1219="",'Skill Matrix'!F82=""),"",'Skill Matrix'!F82)</f>
        <v/>
      </c>
      <c r="H1219">
        <f>IF(A1219="","",'Employees'!F10)</f>
        <v/>
      </c>
    </row>
    <row r="1220">
      <c r="A1220">
        <f>IF(AND('Skill Matrix'!A82&lt;&gt;"",'Skill Matrix'!G5&lt;&gt;""),'Skill Matrix'!A82,"")</f>
        <v/>
      </c>
      <c r="B1220">
        <f>IF(A1220="","",'Employees'!C10)</f>
        <v/>
      </c>
      <c r="C1220">
        <f>IF(A1220="","",'Employees'!D10)</f>
        <v/>
      </c>
      <c r="D1220">
        <f>IF(A1220="","",'Skill Matrix'!C82)</f>
        <v/>
      </c>
      <c r="E1220">
        <f>IF(A1220="","",'Skill Matrix'!D82)</f>
        <v/>
      </c>
      <c r="F1220">
        <f>IF(AND('Skill Matrix'!A82&lt;&gt;"",'Skill Matrix'!G5&lt;&gt;""),'Skill Matrix'!G5,"")</f>
        <v/>
      </c>
      <c r="G1220">
        <f>IF(OR(A1220="",'Skill Matrix'!G82=""),"",'Skill Matrix'!G82)</f>
        <v/>
      </c>
      <c r="H1220">
        <f>IF(A1220="","",'Employees'!F10)</f>
        <v/>
      </c>
    </row>
    <row r="1221">
      <c r="A1221">
        <f>IF(AND('Skill Matrix'!A82&lt;&gt;"",'Skill Matrix'!H5&lt;&gt;""),'Skill Matrix'!A82,"")</f>
        <v/>
      </c>
      <c r="B1221">
        <f>IF(A1221="","",'Employees'!C10)</f>
        <v/>
      </c>
      <c r="C1221">
        <f>IF(A1221="","",'Employees'!D10)</f>
        <v/>
      </c>
      <c r="D1221">
        <f>IF(A1221="","",'Skill Matrix'!C82)</f>
        <v/>
      </c>
      <c r="E1221">
        <f>IF(A1221="","",'Skill Matrix'!D82)</f>
        <v/>
      </c>
      <c r="F1221">
        <f>IF(AND('Skill Matrix'!A82&lt;&gt;"",'Skill Matrix'!H5&lt;&gt;""),'Skill Matrix'!H5,"")</f>
        <v/>
      </c>
      <c r="G1221">
        <f>IF(OR(A1221="",'Skill Matrix'!H82=""),"",'Skill Matrix'!H82)</f>
        <v/>
      </c>
      <c r="H1221">
        <f>IF(A1221="","",'Employees'!F10)</f>
        <v/>
      </c>
    </row>
    <row r="1222">
      <c r="A1222">
        <f>IF(AND('Skill Matrix'!A82&lt;&gt;"",'Skill Matrix'!I5&lt;&gt;""),'Skill Matrix'!A82,"")</f>
        <v/>
      </c>
      <c r="B1222">
        <f>IF(A1222="","",'Employees'!C10)</f>
        <v/>
      </c>
      <c r="C1222">
        <f>IF(A1222="","",'Employees'!D10)</f>
        <v/>
      </c>
      <c r="D1222">
        <f>IF(A1222="","",'Skill Matrix'!C82)</f>
        <v/>
      </c>
      <c r="E1222">
        <f>IF(A1222="","",'Skill Matrix'!D82)</f>
        <v/>
      </c>
      <c r="F1222">
        <f>IF(AND('Skill Matrix'!A82&lt;&gt;"",'Skill Matrix'!I5&lt;&gt;""),'Skill Matrix'!I5,"")</f>
        <v/>
      </c>
      <c r="G1222">
        <f>IF(OR(A1222="",'Skill Matrix'!I82=""),"",'Skill Matrix'!I82)</f>
        <v/>
      </c>
      <c r="H1222">
        <f>IF(A1222="","",'Employees'!F10)</f>
        <v/>
      </c>
    </row>
    <row r="1223">
      <c r="A1223">
        <f>IF(AND('Skill Matrix'!A82&lt;&gt;"",'Skill Matrix'!J5&lt;&gt;""),'Skill Matrix'!A82,"")</f>
        <v/>
      </c>
      <c r="B1223">
        <f>IF(A1223="","",'Employees'!C10)</f>
        <v/>
      </c>
      <c r="C1223">
        <f>IF(A1223="","",'Employees'!D10)</f>
        <v/>
      </c>
      <c r="D1223">
        <f>IF(A1223="","",'Skill Matrix'!C82)</f>
        <v/>
      </c>
      <c r="E1223">
        <f>IF(A1223="","",'Skill Matrix'!D82)</f>
        <v/>
      </c>
      <c r="F1223">
        <f>IF(AND('Skill Matrix'!A82&lt;&gt;"",'Skill Matrix'!J5&lt;&gt;""),'Skill Matrix'!J5,"")</f>
        <v/>
      </c>
      <c r="G1223">
        <f>IF(OR(A1223="",'Skill Matrix'!J82=""),"",'Skill Matrix'!J82)</f>
        <v/>
      </c>
      <c r="H1223">
        <f>IF(A1223="","",'Employees'!F10)</f>
        <v/>
      </c>
    </row>
    <row r="1224">
      <c r="A1224">
        <f>IF(AND('Skill Matrix'!A82&lt;&gt;"",'Skill Matrix'!K5&lt;&gt;""),'Skill Matrix'!A82,"")</f>
        <v/>
      </c>
      <c r="B1224">
        <f>IF(A1224="","",'Employees'!C10)</f>
        <v/>
      </c>
      <c r="C1224">
        <f>IF(A1224="","",'Employees'!D10)</f>
        <v/>
      </c>
      <c r="D1224">
        <f>IF(A1224="","",'Skill Matrix'!C82)</f>
        <v/>
      </c>
      <c r="E1224">
        <f>IF(A1224="","",'Skill Matrix'!D82)</f>
        <v/>
      </c>
      <c r="F1224">
        <f>IF(AND('Skill Matrix'!A82&lt;&gt;"",'Skill Matrix'!K5&lt;&gt;""),'Skill Matrix'!K5,"")</f>
        <v/>
      </c>
      <c r="G1224">
        <f>IF(OR(A1224="",'Skill Matrix'!K82=""),"",'Skill Matrix'!K82)</f>
        <v/>
      </c>
      <c r="H1224">
        <f>IF(A1224="","",'Employees'!F10)</f>
        <v/>
      </c>
    </row>
    <row r="1225">
      <c r="A1225">
        <f>IF(AND('Skill Matrix'!A82&lt;&gt;"",'Skill Matrix'!L5&lt;&gt;""),'Skill Matrix'!A82,"")</f>
        <v/>
      </c>
      <c r="B1225">
        <f>IF(A1225="","",'Employees'!C10)</f>
        <v/>
      </c>
      <c r="C1225">
        <f>IF(A1225="","",'Employees'!D10)</f>
        <v/>
      </c>
      <c r="D1225">
        <f>IF(A1225="","",'Skill Matrix'!C82)</f>
        <v/>
      </c>
      <c r="E1225">
        <f>IF(A1225="","",'Skill Matrix'!D82)</f>
        <v/>
      </c>
      <c r="F1225">
        <f>IF(AND('Skill Matrix'!A82&lt;&gt;"",'Skill Matrix'!L5&lt;&gt;""),'Skill Matrix'!L5,"")</f>
        <v/>
      </c>
      <c r="G1225">
        <f>IF(OR(A1225="",'Skill Matrix'!L82=""),"",'Skill Matrix'!L82)</f>
        <v/>
      </c>
      <c r="H1225">
        <f>IF(A1225="","",'Employees'!F10)</f>
        <v/>
      </c>
    </row>
    <row r="1226">
      <c r="A1226">
        <f>IF(AND('Skill Matrix'!A82&lt;&gt;"",'Skill Matrix'!M5&lt;&gt;""),'Skill Matrix'!A82,"")</f>
        <v/>
      </c>
      <c r="B1226">
        <f>IF(A1226="","",'Employees'!C10)</f>
        <v/>
      </c>
      <c r="C1226">
        <f>IF(A1226="","",'Employees'!D10)</f>
        <v/>
      </c>
      <c r="D1226">
        <f>IF(A1226="","",'Skill Matrix'!C82)</f>
        <v/>
      </c>
      <c r="E1226">
        <f>IF(A1226="","",'Skill Matrix'!D82)</f>
        <v/>
      </c>
      <c r="F1226">
        <f>IF(AND('Skill Matrix'!A82&lt;&gt;"",'Skill Matrix'!M5&lt;&gt;""),'Skill Matrix'!M5,"")</f>
        <v/>
      </c>
      <c r="G1226">
        <f>IF(OR(A1226="",'Skill Matrix'!M82=""),"",'Skill Matrix'!M82)</f>
        <v/>
      </c>
      <c r="H1226">
        <f>IF(A1226="","",'Employees'!F10)</f>
        <v/>
      </c>
    </row>
    <row r="1227">
      <c r="A1227">
        <f>IF(AND('Skill Matrix'!A82&lt;&gt;"",'Skill Matrix'!N5&lt;&gt;""),'Skill Matrix'!A82,"")</f>
        <v/>
      </c>
      <c r="B1227">
        <f>IF(A1227="","",'Employees'!C10)</f>
        <v/>
      </c>
      <c r="C1227">
        <f>IF(A1227="","",'Employees'!D10)</f>
        <v/>
      </c>
      <c r="D1227">
        <f>IF(A1227="","",'Skill Matrix'!C82)</f>
        <v/>
      </c>
      <c r="E1227">
        <f>IF(A1227="","",'Skill Matrix'!D82)</f>
        <v/>
      </c>
      <c r="F1227">
        <f>IF(AND('Skill Matrix'!A82&lt;&gt;"",'Skill Matrix'!N5&lt;&gt;""),'Skill Matrix'!N5,"")</f>
        <v/>
      </c>
      <c r="G1227">
        <f>IF(OR(A1227="",'Skill Matrix'!N82=""),"",'Skill Matrix'!N82)</f>
        <v/>
      </c>
      <c r="H1227">
        <f>IF(A1227="","",'Employees'!F10)</f>
        <v/>
      </c>
    </row>
    <row r="1228">
      <c r="A1228">
        <f>IF(AND('Skill Matrix'!A82&lt;&gt;"",'Skill Matrix'!O5&lt;&gt;""),'Skill Matrix'!A82,"")</f>
        <v/>
      </c>
      <c r="B1228">
        <f>IF(A1228="","",'Employees'!C10)</f>
        <v/>
      </c>
      <c r="C1228">
        <f>IF(A1228="","",'Employees'!D10)</f>
        <v/>
      </c>
      <c r="D1228">
        <f>IF(A1228="","",'Skill Matrix'!C82)</f>
        <v/>
      </c>
      <c r="E1228">
        <f>IF(A1228="","",'Skill Matrix'!D82)</f>
        <v/>
      </c>
      <c r="F1228">
        <f>IF(AND('Skill Matrix'!A82&lt;&gt;"",'Skill Matrix'!O5&lt;&gt;""),'Skill Matrix'!O5,"")</f>
        <v/>
      </c>
      <c r="G1228">
        <f>IF(OR(A1228="",'Skill Matrix'!O82=""),"",'Skill Matrix'!O82)</f>
        <v/>
      </c>
      <c r="H1228">
        <f>IF(A1228="","",'Employees'!F10)</f>
        <v/>
      </c>
    </row>
    <row r="1229">
      <c r="A1229">
        <f>IF(AND('Skill Matrix'!A82&lt;&gt;"",'Skill Matrix'!P5&lt;&gt;""),'Skill Matrix'!A82,"")</f>
        <v/>
      </c>
      <c r="B1229">
        <f>IF(A1229="","",'Employees'!C10)</f>
        <v/>
      </c>
      <c r="C1229">
        <f>IF(A1229="","",'Employees'!D10)</f>
        <v/>
      </c>
      <c r="D1229">
        <f>IF(A1229="","",'Skill Matrix'!C82)</f>
        <v/>
      </c>
      <c r="E1229">
        <f>IF(A1229="","",'Skill Matrix'!D82)</f>
        <v/>
      </c>
      <c r="F1229">
        <f>IF(AND('Skill Matrix'!A82&lt;&gt;"",'Skill Matrix'!P5&lt;&gt;""),'Skill Matrix'!P5,"")</f>
        <v/>
      </c>
      <c r="G1229">
        <f>IF(OR(A1229="",'Skill Matrix'!P82=""),"",'Skill Matrix'!P82)</f>
        <v/>
      </c>
      <c r="H1229">
        <f>IF(A1229="","",'Employees'!F10)</f>
        <v/>
      </c>
    </row>
    <row r="1230">
      <c r="A1230">
        <f>IF(AND('Skill Matrix'!A82&lt;&gt;"",'Skill Matrix'!Q5&lt;&gt;""),'Skill Matrix'!A82,"")</f>
        <v/>
      </c>
      <c r="B1230">
        <f>IF(A1230="","",'Employees'!C10)</f>
        <v/>
      </c>
      <c r="C1230">
        <f>IF(A1230="","",'Employees'!D10)</f>
        <v/>
      </c>
      <c r="D1230">
        <f>IF(A1230="","",'Skill Matrix'!C82)</f>
        <v/>
      </c>
      <c r="E1230">
        <f>IF(A1230="","",'Skill Matrix'!D82)</f>
        <v/>
      </c>
      <c r="F1230">
        <f>IF(AND('Skill Matrix'!A82&lt;&gt;"",'Skill Matrix'!Q5&lt;&gt;""),'Skill Matrix'!Q5,"")</f>
        <v/>
      </c>
      <c r="G1230">
        <f>IF(OR(A1230="",'Skill Matrix'!Q82=""),"",'Skill Matrix'!Q82)</f>
        <v/>
      </c>
      <c r="H1230">
        <f>IF(A1230="","",'Employees'!F10)</f>
        <v/>
      </c>
    </row>
    <row r="1231">
      <c r="A1231">
        <f>IF(AND('Skill Matrix'!A82&lt;&gt;"",'Skill Matrix'!R5&lt;&gt;""),'Skill Matrix'!A82,"")</f>
        <v/>
      </c>
      <c r="B1231">
        <f>IF(A1231="","",'Employees'!C10)</f>
        <v/>
      </c>
      <c r="C1231">
        <f>IF(A1231="","",'Employees'!D10)</f>
        <v/>
      </c>
      <c r="D1231">
        <f>IF(A1231="","",'Skill Matrix'!C82)</f>
        <v/>
      </c>
      <c r="E1231">
        <f>IF(A1231="","",'Skill Matrix'!D82)</f>
        <v/>
      </c>
      <c r="F1231">
        <f>IF(AND('Skill Matrix'!A82&lt;&gt;"",'Skill Matrix'!R5&lt;&gt;""),'Skill Matrix'!R5,"")</f>
        <v/>
      </c>
      <c r="G1231">
        <f>IF(OR(A1231="",'Skill Matrix'!R82=""),"",'Skill Matrix'!R82)</f>
        <v/>
      </c>
      <c r="H1231">
        <f>IF(A1231="","",'Employees'!F10)</f>
        <v/>
      </c>
    </row>
    <row r="1232">
      <c r="A1232">
        <f>IF(AND('Skill Matrix'!A82&lt;&gt;"",'Skill Matrix'!S5&lt;&gt;""),'Skill Matrix'!A82,"")</f>
        <v/>
      </c>
      <c r="B1232">
        <f>IF(A1232="","",'Employees'!C10)</f>
        <v/>
      </c>
      <c r="C1232">
        <f>IF(A1232="","",'Employees'!D10)</f>
        <v/>
      </c>
      <c r="D1232">
        <f>IF(A1232="","",'Skill Matrix'!C82)</f>
        <v/>
      </c>
      <c r="E1232">
        <f>IF(A1232="","",'Skill Matrix'!D82)</f>
        <v/>
      </c>
      <c r="F1232">
        <f>IF(AND('Skill Matrix'!A82&lt;&gt;"",'Skill Matrix'!S5&lt;&gt;""),'Skill Matrix'!S5,"")</f>
        <v/>
      </c>
      <c r="G1232">
        <f>IF(OR(A1232="",'Skill Matrix'!S82=""),"",'Skill Matrix'!S82)</f>
        <v/>
      </c>
      <c r="H1232">
        <f>IF(A1232="","",'Employees'!F10)</f>
        <v/>
      </c>
    </row>
    <row r="1233">
      <c r="A1233">
        <f>IF(AND('Skill Matrix'!A82&lt;&gt;"",'Skill Matrix'!T5&lt;&gt;""),'Skill Matrix'!A82,"")</f>
        <v/>
      </c>
      <c r="B1233">
        <f>IF(A1233="","",'Employees'!C10)</f>
        <v/>
      </c>
      <c r="C1233">
        <f>IF(A1233="","",'Employees'!D10)</f>
        <v/>
      </c>
      <c r="D1233">
        <f>IF(A1233="","",'Skill Matrix'!C82)</f>
        <v/>
      </c>
      <c r="E1233">
        <f>IF(A1233="","",'Skill Matrix'!D82)</f>
        <v/>
      </c>
      <c r="F1233">
        <f>IF(AND('Skill Matrix'!A82&lt;&gt;"",'Skill Matrix'!T5&lt;&gt;""),'Skill Matrix'!T5,"")</f>
        <v/>
      </c>
      <c r="G1233">
        <f>IF(OR(A1233="",'Skill Matrix'!T82=""),"",'Skill Matrix'!T82)</f>
        <v/>
      </c>
      <c r="H1233">
        <f>IF(A1233="","",'Employees'!F10)</f>
        <v/>
      </c>
    </row>
    <row r="1234">
      <c r="A1234">
        <f>IF(AND('Skill Matrix'!A83&lt;&gt;"",'Skill Matrix'!E5&lt;&gt;""),'Skill Matrix'!A83,"")</f>
        <v/>
      </c>
      <c r="B1234">
        <f>IF(A1234="","",'Employees'!C10)</f>
        <v/>
      </c>
      <c r="C1234">
        <f>IF(A1234="","",'Employees'!D10)</f>
        <v/>
      </c>
      <c r="D1234">
        <f>IF(A1234="","",'Skill Matrix'!C83)</f>
        <v/>
      </c>
      <c r="E1234">
        <f>IF(A1234="","",'Skill Matrix'!D83)</f>
        <v/>
      </c>
      <c r="F1234">
        <f>IF(AND('Skill Matrix'!A83&lt;&gt;"",'Skill Matrix'!E5&lt;&gt;""),'Skill Matrix'!E5,"")</f>
        <v/>
      </c>
      <c r="G1234">
        <f>IF(OR(A1234="",'Skill Matrix'!E83=""),"",'Skill Matrix'!E83)</f>
        <v/>
      </c>
      <c r="H1234">
        <f>IF(A1234="","",'Employees'!F10)</f>
        <v/>
      </c>
    </row>
    <row r="1235">
      <c r="A1235">
        <f>IF(AND('Skill Matrix'!A83&lt;&gt;"",'Skill Matrix'!F5&lt;&gt;""),'Skill Matrix'!A83,"")</f>
        <v/>
      </c>
      <c r="B1235">
        <f>IF(A1235="","",'Employees'!C10)</f>
        <v/>
      </c>
      <c r="C1235">
        <f>IF(A1235="","",'Employees'!D10)</f>
        <v/>
      </c>
      <c r="D1235">
        <f>IF(A1235="","",'Skill Matrix'!C83)</f>
        <v/>
      </c>
      <c r="E1235">
        <f>IF(A1235="","",'Skill Matrix'!D83)</f>
        <v/>
      </c>
      <c r="F1235">
        <f>IF(AND('Skill Matrix'!A83&lt;&gt;"",'Skill Matrix'!F5&lt;&gt;""),'Skill Matrix'!F5,"")</f>
        <v/>
      </c>
      <c r="G1235">
        <f>IF(OR(A1235="",'Skill Matrix'!F83=""),"",'Skill Matrix'!F83)</f>
        <v/>
      </c>
      <c r="H1235">
        <f>IF(A1235="","",'Employees'!F10)</f>
        <v/>
      </c>
    </row>
    <row r="1236">
      <c r="A1236">
        <f>IF(AND('Skill Matrix'!A83&lt;&gt;"",'Skill Matrix'!G5&lt;&gt;""),'Skill Matrix'!A83,"")</f>
        <v/>
      </c>
      <c r="B1236">
        <f>IF(A1236="","",'Employees'!C10)</f>
        <v/>
      </c>
      <c r="C1236">
        <f>IF(A1236="","",'Employees'!D10)</f>
        <v/>
      </c>
      <c r="D1236">
        <f>IF(A1236="","",'Skill Matrix'!C83)</f>
        <v/>
      </c>
      <c r="E1236">
        <f>IF(A1236="","",'Skill Matrix'!D83)</f>
        <v/>
      </c>
      <c r="F1236">
        <f>IF(AND('Skill Matrix'!A83&lt;&gt;"",'Skill Matrix'!G5&lt;&gt;""),'Skill Matrix'!G5,"")</f>
        <v/>
      </c>
      <c r="G1236">
        <f>IF(OR(A1236="",'Skill Matrix'!G83=""),"",'Skill Matrix'!G83)</f>
        <v/>
      </c>
      <c r="H1236">
        <f>IF(A1236="","",'Employees'!F10)</f>
        <v/>
      </c>
    </row>
    <row r="1237">
      <c r="A1237">
        <f>IF(AND('Skill Matrix'!A83&lt;&gt;"",'Skill Matrix'!H5&lt;&gt;""),'Skill Matrix'!A83,"")</f>
        <v/>
      </c>
      <c r="B1237">
        <f>IF(A1237="","",'Employees'!C10)</f>
        <v/>
      </c>
      <c r="C1237">
        <f>IF(A1237="","",'Employees'!D10)</f>
        <v/>
      </c>
      <c r="D1237">
        <f>IF(A1237="","",'Skill Matrix'!C83)</f>
        <v/>
      </c>
      <c r="E1237">
        <f>IF(A1237="","",'Skill Matrix'!D83)</f>
        <v/>
      </c>
      <c r="F1237">
        <f>IF(AND('Skill Matrix'!A83&lt;&gt;"",'Skill Matrix'!H5&lt;&gt;""),'Skill Matrix'!H5,"")</f>
        <v/>
      </c>
      <c r="G1237">
        <f>IF(OR(A1237="",'Skill Matrix'!H83=""),"",'Skill Matrix'!H83)</f>
        <v/>
      </c>
      <c r="H1237">
        <f>IF(A1237="","",'Employees'!F10)</f>
        <v/>
      </c>
    </row>
    <row r="1238">
      <c r="A1238">
        <f>IF(AND('Skill Matrix'!A83&lt;&gt;"",'Skill Matrix'!I5&lt;&gt;""),'Skill Matrix'!A83,"")</f>
        <v/>
      </c>
      <c r="B1238">
        <f>IF(A1238="","",'Employees'!C10)</f>
        <v/>
      </c>
      <c r="C1238">
        <f>IF(A1238="","",'Employees'!D10)</f>
        <v/>
      </c>
      <c r="D1238">
        <f>IF(A1238="","",'Skill Matrix'!C83)</f>
        <v/>
      </c>
      <c r="E1238">
        <f>IF(A1238="","",'Skill Matrix'!D83)</f>
        <v/>
      </c>
      <c r="F1238">
        <f>IF(AND('Skill Matrix'!A83&lt;&gt;"",'Skill Matrix'!I5&lt;&gt;""),'Skill Matrix'!I5,"")</f>
        <v/>
      </c>
      <c r="G1238">
        <f>IF(OR(A1238="",'Skill Matrix'!I83=""),"",'Skill Matrix'!I83)</f>
        <v/>
      </c>
      <c r="H1238">
        <f>IF(A1238="","",'Employees'!F10)</f>
        <v/>
      </c>
    </row>
    <row r="1239">
      <c r="A1239">
        <f>IF(AND('Skill Matrix'!A83&lt;&gt;"",'Skill Matrix'!J5&lt;&gt;""),'Skill Matrix'!A83,"")</f>
        <v/>
      </c>
      <c r="B1239">
        <f>IF(A1239="","",'Employees'!C10)</f>
        <v/>
      </c>
      <c r="C1239">
        <f>IF(A1239="","",'Employees'!D10)</f>
        <v/>
      </c>
      <c r="D1239">
        <f>IF(A1239="","",'Skill Matrix'!C83)</f>
        <v/>
      </c>
      <c r="E1239">
        <f>IF(A1239="","",'Skill Matrix'!D83)</f>
        <v/>
      </c>
      <c r="F1239">
        <f>IF(AND('Skill Matrix'!A83&lt;&gt;"",'Skill Matrix'!J5&lt;&gt;""),'Skill Matrix'!J5,"")</f>
        <v/>
      </c>
      <c r="G1239">
        <f>IF(OR(A1239="",'Skill Matrix'!J83=""),"",'Skill Matrix'!J83)</f>
        <v/>
      </c>
      <c r="H1239">
        <f>IF(A1239="","",'Employees'!F10)</f>
        <v/>
      </c>
    </row>
    <row r="1240">
      <c r="A1240">
        <f>IF(AND('Skill Matrix'!A83&lt;&gt;"",'Skill Matrix'!K5&lt;&gt;""),'Skill Matrix'!A83,"")</f>
        <v/>
      </c>
      <c r="B1240">
        <f>IF(A1240="","",'Employees'!C10)</f>
        <v/>
      </c>
      <c r="C1240">
        <f>IF(A1240="","",'Employees'!D10)</f>
        <v/>
      </c>
      <c r="D1240">
        <f>IF(A1240="","",'Skill Matrix'!C83)</f>
        <v/>
      </c>
      <c r="E1240">
        <f>IF(A1240="","",'Skill Matrix'!D83)</f>
        <v/>
      </c>
      <c r="F1240">
        <f>IF(AND('Skill Matrix'!A83&lt;&gt;"",'Skill Matrix'!K5&lt;&gt;""),'Skill Matrix'!K5,"")</f>
        <v/>
      </c>
      <c r="G1240">
        <f>IF(OR(A1240="",'Skill Matrix'!K83=""),"",'Skill Matrix'!K83)</f>
        <v/>
      </c>
      <c r="H1240">
        <f>IF(A1240="","",'Employees'!F10)</f>
        <v/>
      </c>
    </row>
    <row r="1241">
      <c r="A1241">
        <f>IF(AND('Skill Matrix'!A83&lt;&gt;"",'Skill Matrix'!L5&lt;&gt;""),'Skill Matrix'!A83,"")</f>
        <v/>
      </c>
      <c r="B1241">
        <f>IF(A1241="","",'Employees'!C10)</f>
        <v/>
      </c>
      <c r="C1241">
        <f>IF(A1241="","",'Employees'!D10)</f>
        <v/>
      </c>
      <c r="D1241">
        <f>IF(A1241="","",'Skill Matrix'!C83)</f>
        <v/>
      </c>
      <c r="E1241">
        <f>IF(A1241="","",'Skill Matrix'!D83)</f>
        <v/>
      </c>
      <c r="F1241">
        <f>IF(AND('Skill Matrix'!A83&lt;&gt;"",'Skill Matrix'!L5&lt;&gt;""),'Skill Matrix'!L5,"")</f>
        <v/>
      </c>
      <c r="G1241">
        <f>IF(OR(A1241="",'Skill Matrix'!L83=""),"",'Skill Matrix'!L83)</f>
        <v/>
      </c>
      <c r="H1241">
        <f>IF(A1241="","",'Employees'!F10)</f>
        <v/>
      </c>
    </row>
    <row r="1242">
      <c r="A1242">
        <f>IF(AND('Skill Matrix'!A83&lt;&gt;"",'Skill Matrix'!M5&lt;&gt;""),'Skill Matrix'!A83,"")</f>
        <v/>
      </c>
      <c r="B1242">
        <f>IF(A1242="","",'Employees'!C10)</f>
        <v/>
      </c>
      <c r="C1242">
        <f>IF(A1242="","",'Employees'!D10)</f>
        <v/>
      </c>
      <c r="D1242">
        <f>IF(A1242="","",'Skill Matrix'!C83)</f>
        <v/>
      </c>
      <c r="E1242">
        <f>IF(A1242="","",'Skill Matrix'!D83)</f>
        <v/>
      </c>
      <c r="F1242">
        <f>IF(AND('Skill Matrix'!A83&lt;&gt;"",'Skill Matrix'!M5&lt;&gt;""),'Skill Matrix'!M5,"")</f>
        <v/>
      </c>
      <c r="G1242">
        <f>IF(OR(A1242="",'Skill Matrix'!M83=""),"",'Skill Matrix'!M83)</f>
        <v/>
      </c>
      <c r="H1242">
        <f>IF(A1242="","",'Employees'!F10)</f>
        <v/>
      </c>
    </row>
    <row r="1243">
      <c r="A1243">
        <f>IF(AND('Skill Matrix'!A83&lt;&gt;"",'Skill Matrix'!N5&lt;&gt;""),'Skill Matrix'!A83,"")</f>
        <v/>
      </c>
      <c r="B1243">
        <f>IF(A1243="","",'Employees'!C10)</f>
        <v/>
      </c>
      <c r="C1243">
        <f>IF(A1243="","",'Employees'!D10)</f>
        <v/>
      </c>
      <c r="D1243">
        <f>IF(A1243="","",'Skill Matrix'!C83)</f>
        <v/>
      </c>
      <c r="E1243">
        <f>IF(A1243="","",'Skill Matrix'!D83)</f>
        <v/>
      </c>
      <c r="F1243">
        <f>IF(AND('Skill Matrix'!A83&lt;&gt;"",'Skill Matrix'!N5&lt;&gt;""),'Skill Matrix'!N5,"")</f>
        <v/>
      </c>
      <c r="G1243">
        <f>IF(OR(A1243="",'Skill Matrix'!N83=""),"",'Skill Matrix'!N83)</f>
        <v/>
      </c>
      <c r="H1243">
        <f>IF(A1243="","",'Employees'!F10)</f>
        <v/>
      </c>
    </row>
    <row r="1244">
      <c r="A1244">
        <f>IF(AND('Skill Matrix'!A83&lt;&gt;"",'Skill Matrix'!O5&lt;&gt;""),'Skill Matrix'!A83,"")</f>
        <v/>
      </c>
      <c r="B1244">
        <f>IF(A1244="","",'Employees'!C10)</f>
        <v/>
      </c>
      <c r="C1244">
        <f>IF(A1244="","",'Employees'!D10)</f>
        <v/>
      </c>
      <c r="D1244">
        <f>IF(A1244="","",'Skill Matrix'!C83)</f>
        <v/>
      </c>
      <c r="E1244">
        <f>IF(A1244="","",'Skill Matrix'!D83)</f>
        <v/>
      </c>
      <c r="F1244">
        <f>IF(AND('Skill Matrix'!A83&lt;&gt;"",'Skill Matrix'!O5&lt;&gt;""),'Skill Matrix'!O5,"")</f>
        <v/>
      </c>
      <c r="G1244">
        <f>IF(OR(A1244="",'Skill Matrix'!O83=""),"",'Skill Matrix'!O83)</f>
        <v/>
      </c>
      <c r="H1244">
        <f>IF(A1244="","",'Employees'!F10)</f>
        <v/>
      </c>
    </row>
    <row r="1245">
      <c r="A1245">
        <f>IF(AND('Skill Matrix'!A83&lt;&gt;"",'Skill Matrix'!P5&lt;&gt;""),'Skill Matrix'!A83,"")</f>
        <v/>
      </c>
      <c r="B1245">
        <f>IF(A1245="","",'Employees'!C10)</f>
        <v/>
      </c>
      <c r="C1245">
        <f>IF(A1245="","",'Employees'!D10)</f>
        <v/>
      </c>
      <c r="D1245">
        <f>IF(A1245="","",'Skill Matrix'!C83)</f>
        <v/>
      </c>
      <c r="E1245">
        <f>IF(A1245="","",'Skill Matrix'!D83)</f>
        <v/>
      </c>
      <c r="F1245">
        <f>IF(AND('Skill Matrix'!A83&lt;&gt;"",'Skill Matrix'!P5&lt;&gt;""),'Skill Matrix'!P5,"")</f>
        <v/>
      </c>
      <c r="G1245">
        <f>IF(OR(A1245="",'Skill Matrix'!P83=""),"",'Skill Matrix'!P83)</f>
        <v/>
      </c>
      <c r="H1245">
        <f>IF(A1245="","",'Employees'!F10)</f>
        <v/>
      </c>
    </row>
    <row r="1246">
      <c r="A1246">
        <f>IF(AND('Skill Matrix'!A83&lt;&gt;"",'Skill Matrix'!Q5&lt;&gt;""),'Skill Matrix'!A83,"")</f>
        <v/>
      </c>
      <c r="B1246">
        <f>IF(A1246="","",'Employees'!C10)</f>
        <v/>
      </c>
      <c r="C1246">
        <f>IF(A1246="","",'Employees'!D10)</f>
        <v/>
      </c>
      <c r="D1246">
        <f>IF(A1246="","",'Skill Matrix'!C83)</f>
        <v/>
      </c>
      <c r="E1246">
        <f>IF(A1246="","",'Skill Matrix'!D83)</f>
        <v/>
      </c>
      <c r="F1246">
        <f>IF(AND('Skill Matrix'!A83&lt;&gt;"",'Skill Matrix'!Q5&lt;&gt;""),'Skill Matrix'!Q5,"")</f>
        <v/>
      </c>
      <c r="G1246">
        <f>IF(OR(A1246="",'Skill Matrix'!Q83=""),"",'Skill Matrix'!Q83)</f>
        <v/>
      </c>
      <c r="H1246">
        <f>IF(A1246="","",'Employees'!F10)</f>
        <v/>
      </c>
    </row>
    <row r="1247">
      <c r="A1247">
        <f>IF(AND('Skill Matrix'!A83&lt;&gt;"",'Skill Matrix'!R5&lt;&gt;""),'Skill Matrix'!A83,"")</f>
        <v/>
      </c>
      <c r="B1247">
        <f>IF(A1247="","",'Employees'!C10)</f>
        <v/>
      </c>
      <c r="C1247">
        <f>IF(A1247="","",'Employees'!D10)</f>
        <v/>
      </c>
      <c r="D1247">
        <f>IF(A1247="","",'Skill Matrix'!C83)</f>
        <v/>
      </c>
      <c r="E1247">
        <f>IF(A1247="","",'Skill Matrix'!D83)</f>
        <v/>
      </c>
      <c r="F1247">
        <f>IF(AND('Skill Matrix'!A83&lt;&gt;"",'Skill Matrix'!R5&lt;&gt;""),'Skill Matrix'!R5,"")</f>
        <v/>
      </c>
      <c r="G1247">
        <f>IF(OR(A1247="",'Skill Matrix'!R83=""),"",'Skill Matrix'!R83)</f>
        <v/>
      </c>
      <c r="H1247">
        <f>IF(A1247="","",'Employees'!F10)</f>
        <v/>
      </c>
    </row>
    <row r="1248">
      <c r="A1248">
        <f>IF(AND('Skill Matrix'!A83&lt;&gt;"",'Skill Matrix'!S5&lt;&gt;""),'Skill Matrix'!A83,"")</f>
        <v/>
      </c>
      <c r="B1248">
        <f>IF(A1248="","",'Employees'!C10)</f>
        <v/>
      </c>
      <c r="C1248">
        <f>IF(A1248="","",'Employees'!D10)</f>
        <v/>
      </c>
      <c r="D1248">
        <f>IF(A1248="","",'Skill Matrix'!C83)</f>
        <v/>
      </c>
      <c r="E1248">
        <f>IF(A1248="","",'Skill Matrix'!D83)</f>
        <v/>
      </c>
      <c r="F1248">
        <f>IF(AND('Skill Matrix'!A83&lt;&gt;"",'Skill Matrix'!S5&lt;&gt;""),'Skill Matrix'!S5,"")</f>
        <v/>
      </c>
      <c r="G1248">
        <f>IF(OR(A1248="",'Skill Matrix'!S83=""),"",'Skill Matrix'!S83)</f>
        <v/>
      </c>
      <c r="H1248">
        <f>IF(A1248="","",'Employees'!F10)</f>
        <v/>
      </c>
    </row>
    <row r="1249">
      <c r="A1249">
        <f>IF(AND('Skill Matrix'!A83&lt;&gt;"",'Skill Matrix'!T5&lt;&gt;""),'Skill Matrix'!A83,"")</f>
        <v/>
      </c>
      <c r="B1249">
        <f>IF(A1249="","",'Employees'!C10)</f>
        <v/>
      </c>
      <c r="C1249">
        <f>IF(A1249="","",'Employees'!D10)</f>
        <v/>
      </c>
      <c r="D1249">
        <f>IF(A1249="","",'Skill Matrix'!C83)</f>
        <v/>
      </c>
      <c r="E1249">
        <f>IF(A1249="","",'Skill Matrix'!D83)</f>
        <v/>
      </c>
      <c r="F1249">
        <f>IF(AND('Skill Matrix'!A83&lt;&gt;"",'Skill Matrix'!T5&lt;&gt;""),'Skill Matrix'!T5,"")</f>
        <v/>
      </c>
      <c r="G1249">
        <f>IF(OR(A1249="",'Skill Matrix'!T83=""),"",'Skill Matrix'!T83)</f>
        <v/>
      </c>
      <c r="H1249">
        <f>IF(A1249="","",'Employees'!F10)</f>
        <v/>
      </c>
    </row>
    <row r="1250">
      <c r="A1250">
        <f>IF(AND('Skill Matrix'!A84&lt;&gt;"",'Skill Matrix'!E5&lt;&gt;""),'Skill Matrix'!A84,"")</f>
        <v/>
      </c>
      <c r="B1250">
        <f>IF(A1250="","",'Employees'!C10)</f>
        <v/>
      </c>
      <c r="C1250">
        <f>IF(A1250="","",'Employees'!D10)</f>
        <v/>
      </c>
      <c r="D1250">
        <f>IF(A1250="","",'Skill Matrix'!C84)</f>
        <v/>
      </c>
      <c r="E1250">
        <f>IF(A1250="","",'Skill Matrix'!D84)</f>
        <v/>
      </c>
      <c r="F1250">
        <f>IF(AND('Skill Matrix'!A84&lt;&gt;"",'Skill Matrix'!E5&lt;&gt;""),'Skill Matrix'!E5,"")</f>
        <v/>
      </c>
      <c r="G1250">
        <f>IF(OR(A1250="",'Skill Matrix'!E84=""),"",'Skill Matrix'!E84)</f>
        <v/>
      </c>
      <c r="H1250">
        <f>IF(A1250="","",'Employees'!F10)</f>
        <v/>
      </c>
    </row>
    <row r="1251">
      <c r="A1251">
        <f>IF(AND('Skill Matrix'!A84&lt;&gt;"",'Skill Matrix'!F5&lt;&gt;""),'Skill Matrix'!A84,"")</f>
        <v/>
      </c>
      <c r="B1251">
        <f>IF(A1251="","",'Employees'!C10)</f>
        <v/>
      </c>
      <c r="C1251">
        <f>IF(A1251="","",'Employees'!D10)</f>
        <v/>
      </c>
      <c r="D1251">
        <f>IF(A1251="","",'Skill Matrix'!C84)</f>
        <v/>
      </c>
      <c r="E1251">
        <f>IF(A1251="","",'Skill Matrix'!D84)</f>
        <v/>
      </c>
      <c r="F1251">
        <f>IF(AND('Skill Matrix'!A84&lt;&gt;"",'Skill Matrix'!F5&lt;&gt;""),'Skill Matrix'!F5,"")</f>
        <v/>
      </c>
      <c r="G1251">
        <f>IF(OR(A1251="",'Skill Matrix'!F84=""),"",'Skill Matrix'!F84)</f>
        <v/>
      </c>
      <c r="H1251">
        <f>IF(A1251="","",'Employees'!F10)</f>
        <v/>
      </c>
    </row>
    <row r="1252">
      <c r="A1252">
        <f>IF(AND('Skill Matrix'!A84&lt;&gt;"",'Skill Matrix'!G5&lt;&gt;""),'Skill Matrix'!A84,"")</f>
        <v/>
      </c>
      <c r="B1252">
        <f>IF(A1252="","",'Employees'!C10)</f>
        <v/>
      </c>
      <c r="C1252">
        <f>IF(A1252="","",'Employees'!D10)</f>
        <v/>
      </c>
      <c r="D1252">
        <f>IF(A1252="","",'Skill Matrix'!C84)</f>
        <v/>
      </c>
      <c r="E1252">
        <f>IF(A1252="","",'Skill Matrix'!D84)</f>
        <v/>
      </c>
      <c r="F1252">
        <f>IF(AND('Skill Matrix'!A84&lt;&gt;"",'Skill Matrix'!G5&lt;&gt;""),'Skill Matrix'!G5,"")</f>
        <v/>
      </c>
      <c r="G1252">
        <f>IF(OR(A1252="",'Skill Matrix'!G84=""),"",'Skill Matrix'!G84)</f>
        <v/>
      </c>
      <c r="H1252">
        <f>IF(A1252="","",'Employees'!F10)</f>
        <v/>
      </c>
    </row>
    <row r="1253">
      <c r="A1253">
        <f>IF(AND('Skill Matrix'!A84&lt;&gt;"",'Skill Matrix'!H5&lt;&gt;""),'Skill Matrix'!A84,"")</f>
        <v/>
      </c>
      <c r="B1253">
        <f>IF(A1253="","",'Employees'!C10)</f>
        <v/>
      </c>
      <c r="C1253">
        <f>IF(A1253="","",'Employees'!D10)</f>
        <v/>
      </c>
      <c r="D1253">
        <f>IF(A1253="","",'Skill Matrix'!C84)</f>
        <v/>
      </c>
      <c r="E1253">
        <f>IF(A1253="","",'Skill Matrix'!D84)</f>
        <v/>
      </c>
      <c r="F1253">
        <f>IF(AND('Skill Matrix'!A84&lt;&gt;"",'Skill Matrix'!H5&lt;&gt;""),'Skill Matrix'!H5,"")</f>
        <v/>
      </c>
      <c r="G1253">
        <f>IF(OR(A1253="",'Skill Matrix'!H84=""),"",'Skill Matrix'!H84)</f>
        <v/>
      </c>
      <c r="H1253">
        <f>IF(A1253="","",'Employees'!F10)</f>
        <v/>
      </c>
    </row>
    <row r="1254">
      <c r="A1254">
        <f>IF(AND('Skill Matrix'!A84&lt;&gt;"",'Skill Matrix'!I5&lt;&gt;""),'Skill Matrix'!A84,"")</f>
        <v/>
      </c>
      <c r="B1254">
        <f>IF(A1254="","",'Employees'!C10)</f>
        <v/>
      </c>
      <c r="C1254">
        <f>IF(A1254="","",'Employees'!D10)</f>
        <v/>
      </c>
      <c r="D1254">
        <f>IF(A1254="","",'Skill Matrix'!C84)</f>
        <v/>
      </c>
      <c r="E1254">
        <f>IF(A1254="","",'Skill Matrix'!D84)</f>
        <v/>
      </c>
      <c r="F1254">
        <f>IF(AND('Skill Matrix'!A84&lt;&gt;"",'Skill Matrix'!I5&lt;&gt;""),'Skill Matrix'!I5,"")</f>
        <v/>
      </c>
      <c r="G1254">
        <f>IF(OR(A1254="",'Skill Matrix'!I84=""),"",'Skill Matrix'!I84)</f>
        <v/>
      </c>
      <c r="H1254">
        <f>IF(A1254="","",'Employees'!F10)</f>
        <v/>
      </c>
    </row>
    <row r="1255">
      <c r="A1255">
        <f>IF(AND('Skill Matrix'!A84&lt;&gt;"",'Skill Matrix'!J5&lt;&gt;""),'Skill Matrix'!A84,"")</f>
        <v/>
      </c>
      <c r="B1255">
        <f>IF(A1255="","",'Employees'!C10)</f>
        <v/>
      </c>
      <c r="C1255">
        <f>IF(A1255="","",'Employees'!D10)</f>
        <v/>
      </c>
      <c r="D1255">
        <f>IF(A1255="","",'Skill Matrix'!C84)</f>
        <v/>
      </c>
      <c r="E1255">
        <f>IF(A1255="","",'Skill Matrix'!D84)</f>
        <v/>
      </c>
      <c r="F1255">
        <f>IF(AND('Skill Matrix'!A84&lt;&gt;"",'Skill Matrix'!J5&lt;&gt;""),'Skill Matrix'!J5,"")</f>
        <v/>
      </c>
      <c r="G1255">
        <f>IF(OR(A1255="",'Skill Matrix'!J84=""),"",'Skill Matrix'!J84)</f>
        <v/>
      </c>
      <c r="H1255">
        <f>IF(A1255="","",'Employees'!F10)</f>
        <v/>
      </c>
    </row>
    <row r="1256">
      <c r="A1256">
        <f>IF(AND('Skill Matrix'!A84&lt;&gt;"",'Skill Matrix'!K5&lt;&gt;""),'Skill Matrix'!A84,"")</f>
        <v/>
      </c>
      <c r="B1256">
        <f>IF(A1256="","",'Employees'!C10)</f>
        <v/>
      </c>
      <c r="C1256">
        <f>IF(A1256="","",'Employees'!D10)</f>
        <v/>
      </c>
      <c r="D1256">
        <f>IF(A1256="","",'Skill Matrix'!C84)</f>
        <v/>
      </c>
      <c r="E1256">
        <f>IF(A1256="","",'Skill Matrix'!D84)</f>
        <v/>
      </c>
      <c r="F1256">
        <f>IF(AND('Skill Matrix'!A84&lt;&gt;"",'Skill Matrix'!K5&lt;&gt;""),'Skill Matrix'!K5,"")</f>
        <v/>
      </c>
      <c r="G1256">
        <f>IF(OR(A1256="",'Skill Matrix'!K84=""),"",'Skill Matrix'!K84)</f>
        <v/>
      </c>
      <c r="H1256">
        <f>IF(A1256="","",'Employees'!F10)</f>
        <v/>
      </c>
    </row>
    <row r="1257">
      <c r="A1257">
        <f>IF(AND('Skill Matrix'!A84&lt;&gt;"",'Skill Matrix'!L5&lt;&gt;""),'Skill Matrix'!A84,"")</f>
        <v/>
      </c>
      <c r="B1257">
        <f>IF(A1257="","",'Employees'!C10)</f>
        <v/>
      </c>
      <c r="C1257">
        <f>IF(A1257="","",'Employees'!D10)</f>
        <v/>
      </c>
      <c r="D1257">
        <f>IF(A1257="","",'Skill Matrix'!C84)</f>
        <v/>
      </c>
      <c r="E1257">
        <f>IF(A1257="","",'Skill Matrix'!D84)</f>
        <v/>
      </c>
      <c r="F1257">
        <f>IF(AND('Skill Matrix'!A84&lt;&gt;"",'Skill Matrix'!L5&lt;&gt;""),'Skill Matrix'!L5,"")</f>
        <v/>
      </c>
      <c r="G1257">
        <f>IF(OR(A1257="",'Skill Matrix'!L84=""),"",'Skill Matrix'!L84)</f>
        <v/>
      </c>
      <c r="H1257">
        <f>IF(A1257="","",'Employees'!F10)</f>
        <v/>
      </c>
    </row>
    <row r="1258">
      <c r="A1258">
        <f>IF(AND('Skill Matrix'!A84&lt;&gt;"",'Skill Matrix'!M5&lt;&gt;""),'Skill Matrix'!A84,"")</f>
        <v/>
      </c>
      <c r="B1258">
        <f>IF(A1258="","",'Employees'!C10)</f>
        <v/>
      </c>
      <c r="C1258">
        <f>IF(A1258="","",'Employees'!D10)</f>
        <v/>
      </c>
      <c r="D1258">
        <f>IF(A1258="","",'Skill Matrix'!C84)</f>
        <v/>
      </c>
      <c r="E1258">
        <f>IF(A1258="","",'Skill Matrix'!D84)</f>
        <v/>
      </c>
      <c r="F1258">
        <f>IF(AND('Skill Matrix'!A84&lt;&gt;"",'Skill Matrix'!M5&lt;&gt;""),'Skill Matrix'!M5,"")</f>
        <v/>
      </c>
      <c r="G1258">
        <f>IF(OR(A1258="",'Skill Matrix'!M84=""),"",'Skill Matrix'!M84)</f>
        <v/>
      </c>
      <c r="H1258">
        <f>IF(A1258="","",'Employees'!F10)</f>
        <v/>
      </c>
    </row>
    <row r="1259">
      <c r="A1259">
        <f>IF(AND('Skill Matrix'!A84&lt;&gt;"",'Skill Matrix'!N5&lt;&gt;""),'Skill Matrix'!A84,"")</f>
        <v/>
      </c>
      <c r="B1259">
        <f>IF(A1259="","",'Employees'!C10)</f>
        <v/>
      </c>
      <c r="C1259">
        <f>IF(A1259="","",'Employees'!D10)</f>
        <v/>
      </c>
      <c r="D1259">
        <f>IF(A1259="","",'Skill Matrix'!C84)</f>
        <v/>
      </c>
      <c r="E1259">
        <f>IF(A1259="","",'Skill Matrix'!D84)</f>
        <v/>
      </c>
      <c r="F1259">
        <f>IF(AND('Skill Matrix'!A84&lt;&gt;"",'Skill Matrix'!N5&lt;&gt;""),'Skill Matrix'!N5,"")</f>
        <v/>
      </c>
      <c r="G1259">
        <f>IF(OR(A1259="",'Skill Matrix'!N84=""),"",'Skill Matrix'!N84)</f>
        <v/>
      </c>
      <c r="H1259">
        <f>IF(A1259="","",'Employees'!F10)</f>
        <v/>
      </c>
    </row>
    <row r="1260">
      <c r="A1260">
        <f>IF(AND('Skill Matrix'!A84&lt;&gt;"",'Skill Matrix'!O5&lt;&gt;""),'Skill Matrix'!A84,"")</f>
        <v/>
      </c>
      <c r="B1260">
        <f>IF(A1260="","",'Employees'!C10)</f>
        <v/>
      </c>
      <c r="C1260">
        <f>IF(A1260="","",'Employees'!D10)</f>
        <v/>
      </c>
      <c r="D1260">
        <f>IF(A1260="","",'Skill Matrix'!C84)</f>
        <v/>
      </c>
      <c r="E1260">
        <f>IF(A1260="","",'Skill Matrix'!D84)</f>
        <v/>
      </c>
      <c r="F1260">
        <f>IF(AND('Skill Matrix'!A84&lt;&gt;"",'Skill Matrix'!O5&lt;&gt;""),'Skill Matrix'!O5,"")</f>
        <v/>
      </c>
      <c r="G1260">
        <f>IF(OR(A1260="",'Skill Matrix'!O84=""),"",'Skill Matrix'!O84)</f>
        <v/>
      </c>
      <c r="H1260">
        <f>IF(A1260="","",'Employees'!F10)</f>
        <v/>
      </c>
    </row>
    <row r="1261">
      <c r="A1261">
        <f>IF(AND('Skill Matrix'!A84&lt;&gt;"",'Skill Matrix'!P5&lt;&gt;""),'Skill Matrix'!A84,"")</f>
        <v/>
      </c>
      <c r="B1261">
        <f>IF(A1261="","",'Employees'!C10)</f>
        <v/>
      </c>
      <c r="C1261">
        <f>IF(A1261="","",'Employees'!D10)</f>
        <v/>
      </c>
      <c r="D1261">
        <f>IF(A1261="","",'Skill Matrix'!C84)</f>
        <v/>
      </c>
      <c r="E1261">
        <f>IF(A1261="","",'Skill Matrix'!D84)</f>
        <v/>
      </c>
      <c r="F1261">
        <f>IF(AND('Skill Matrix'!A84&lt;&gt;"",'Skill Matrix'!P5&lt;&gt;""),'Skill Matrix'!P5,"")</f>
        <v/>
      </c>
      <c r="G1261">
        <f>IF(OR(A1261="",'Skill Matrix'!P84=""),"",'Skill Matrix'!P84)</f>
        <v/>
      </c>
      <c r="H1261">
        <f>IF(A1261="","",'Employees'!F10)</f>
        <v/>
      </c>
    </row>
    <row r="1262">
      <c r="A1262">
        <f>IF(AND('Skill Matrix'!A84&lt;&gt;"",'Skill Matrix'!Q5&lt;&gt;""),'Skill Matrix'!A84,"")</f>
        <v/>
      </c>
      <c r="B1262">
        <f>IF(A1262="","",'Employees'!C10)</f>
        <v/>
      </c>
      <c r="C1262">
        <f>IF(A1262="","",'Employees'!D10)</f>
        <v/>
      </c>
      <c r="D1262">
        <f>IF(A1262="","",'Skill Matrix'!C84)</f>
        <v/>
      </c>
      <c r="E1262">
        <f>IF(A1262="","",'Skill Matrix'!D84)</f>
        <v/>
      </c>
      <c r="F1262">
        <f>IF(AND('Skill Matrix'!A84&lt;&gt;"",'Skill Matrix'!Q5&lt;&gt;""),'Skill Matrix'!Q5,"")</f>
        <v/>
      </c>
      <c r="G1262">
        <f>IF(OR(A1262="",'Skill Matrix'!Q84=""),"",'Skill Matrix'!Q84)</f>
        <v/>
      </c>
      <c r="H1262">
        <f>IF(A1262="","",'Employees'!F10)</f>
        <v/>
      </c>
    </row>
    <row r="1263">
      <c r="A1263">
        <f>IF(AND('Skill Matrix'!A84&lt;&gt;"",'Skill Matrix'!R5&lt;&gt;""),'Skill Matrix'!A84,"")</f>
        <v/>
      </c>
      <c r="B1263">
        <f>IF(A1263="","",'Employees'!C10)</f>
        <v/>
      </c>
      <c r="C1263">
        <f>IF(A1263="","",'Employees'!D10)</f>
        <v/>
      </c>
      <c r="D1263">
        <f>IF(A1263="","",'Skill Matrix'!C84)</f>
        <v/>
      </c>
      <c r="E1263">
        <f>IF(A1263="","",'Skill Matrix'!D84)</f>
        <v/>
      </c>
      <c r="F1263">
        <f>IF(AND('Skill Matrix'!A84&lt;&gt;"",'Skill Matrix'!R5&lt;&gt;""),'Skill Matrix'!R5,"")</f>
        <v/>
      </c>
      <c r="G1263">
        <f>IF(OR(A1263="",'Skill Matrix'!R84=""),"",'Skill Matrix'!R84)</f>
        <v/>
      </c>
      <c r="H1263">
        <f>IF(A1263="","",'Employees'!F10)</f>
        <v/>
      </c>
    </row>
    <row r="1264">
      <c r="A1264">
        <f>IF(AND('Skill Matrix'!A84&lt;&gt;"",'Skill Matrix'!S5&lt;&gt;""),'Skill Matrix'!A84,"")</f>
        <v/>
      </c>
      <c r="B1264">
        <f>IF(A1264="","",'Employees'!C10)</f>
        <v/>
      </c>
      <c r="C1264">
        <f>IF(A1264="","",'Employees'!D10)</f>
        <v/>
      </c>
      <c r="D1264">
        <f>IF(A1264="","",'Skill Matrix'!C84)</f>
        <v/>
      </c>
      <c r="E1264">
        <f>IF(A1264="","",'Skill Matrix'!D84)</f>
        <v/>
      </c>
      <c r="F1264">
        <f>IF(AND('Skill Matrix'!A84&lt;&gt;"",'Skill Matrix'!S5&lt;&gt;""),'Skill Matrix'!S5,"")</f>
        <v/>
      </c>
      <c r="G1264">
        <f>IF(OR(A1264="",'Skill Matrix'!S84=""),"",'Skill Matrix'!S84)</f>
        <v/>
      </c>
      <c r="H1264">
        <f>IF(A1264="","",'Employees'!F10)</f>
        <v/>
      </c>
    </row>
    <row r="1265">
      <c r="A1265">
        <f>IF(AND('Skill Matrix'!A84&lt;&gt;"",'Skill Matrix'!T5&lt;&gt;""),'Skill Matrix'!A84,"")</f>
        <v/>
      </c>
      <c r="B1265">
        <f>IF(A1265="","",'Employees'!C10)</f>
        <v/>
      </c>
      <c r="C1265">
        <f>IF(A1265="","",'Employees'!D10)</f>
        <v/>
      </c>
      <c r="D1265">
        <f>IF(A1265="","",'Skill Matrix'!C84)</f>
        <v/>
      </c>
      <c r="E1265">
        <f>IF(A1265="","",'Skill Matrix'!D84)</f>
        <v/>
      </c>
      <c r="F1265">
        <f>IF(AND('Skill Matrix'!A84&lt;&gt;"",'Skill Matrix'!T5&lt;&gt;""),'Skill Matrix'!T5,"")</f>
        <v/>
      </c>
      <c r="G1265">
        <f>IF(OR(A1265="",'Skill Matrix'!T84=""),"",'Skill Matrix'!T84)</f>
        <v/>
      </c>
      <c r="H1265">
        <f>IF(A1265="","",'Employees'!F10)</f>
        <v/>
      </c>
    </row>
    <row r="1266">
      <c r="A1266">
        <f>IF(AND('Skill Matrix'!A85&lt;&gt;"",'Skill Matrix'!E5&lt;&gt;""),'Skill Matrix'!A85,"")</f>
        <v/>
      </c>
      <c r="B1266">
        <f>IF(A1266="","",'Employees'!C10)</f>
        <v/>
      </c>
      <c r="C1266">
        <f>IF(A1266="","",'Employees'!D10)</f>
        <v/>
      </c>
      <c r="D1266">
        <f>IF(A1266="","",'Skill Matrix'!C85)</f>
        <v/>
      </c>
      <c r="E1266">
        <f>IF(A1266="","",'Skill Matrix'!D85)</f>
        <v/>
      </c>
      <c r="F1266">
        <f>IF(AND('Skill Matrix'!A85&lt;&gt;"",'Skill Matrix'!E5&lt;&gt;""),'Skill Matrix'!E5,"")</f>
        <v/>
      </c>
      <c r="G1266">
        <f>IF(OR(A1266="",'Skill Matrix'!E85=""),"",'Skill Matrix'!E85)</f>
        <v/>
      </c>
      <c r="H1266">
        <f>IF(A1266="","",'Employees'!F10)</f>
        <v/>
      </c>
    </row>
    <row r="1267">
      <c r="A1267">
        <f>IF(AND('Skill Matrix'!A85&lt;&gt;"",'Skill Matrix'!F5&lt;&gt;""),'Skill Matrix'!A85,"")</f>
        <v/>
      </c>
      <c r="B1267">
        <f>IF(A1267="","",'Employees'!C10)</f>
        <v/>
      </c>
      <c r="C1267">
        <f>IF(A1267="","",'Employees'!D10)</f>
        <v/>
      </c>
      <c r="D1267">
        <f>IF(A1267="","",'Skill Matrix'!C85)</f>
        <v/>
      </c>
      <c r="E1267">
        <f>IF(A1267="","",'Skill Matrix'!D85)</f>
        <v/>
      </c>
      <c r="F1267">
        <f>IF(AND('Skill Matrix'!A85&lt;&gt;"",'Skill Matrix'!F5&lt;&gt;""),'Skill Matrix'!F5,"")</f>
        <v/>
      </c>
      <c r="G1267">
        <f>IF(OR(A1267="",'Skill Matrix'!F85=""),"",'Skill Matrix'!F85)</f>
        <v/>
      </c>
      <c r="H1267">
        <f>IF(A1267="","",'Employees'!F10)</f>
        <v/>
      </c>
    </row>
    <row r="1268">
      <c r="A1268">
        <f>IF(AND('Skill Matrix'!A85&lt;&gt;"",'Skill Matrix'!G5&lt;&gt;""),'Skill Matrix'!A85,"")</f>
        <v/>
      </c>
      <c r="B1268">
        <f>IF(A1268="","",'Employees'!C10)</f>
        <v/>
      </c>
      <c r="C1268">
        <f>IF(A1268="","",'Employees'!D10)</f>
        <v/>
      </c>
      <c r="D1268">
        <f>IF(A1268="","",'Skill Matrix'!C85)</f>
        <v/>
      </c>
      <c r="E1268">
        <f>IF(A1268="","",'Skill Matrix'!D85)</f>
        <v/>
      </c>
      <c r="F1268">
        <f>IF(AND('Skill Matrix'!A85&lt;&gt;"",'Skill Matrix'!G5&lt;&gt;""),'Skill Matrix'!G5,"")</f>
        <v/>
      </c>
      <c r="G1268">
        <f>IF(OR(A1268="",'Skill Matrix'!G85=""),"",'Skill Matrix'!G85)</f>
        <v/>
      </c>
      <c r="H1268">
        <f>IF(A1268="","",'Employees'!F10)</f>
        <v/>
      </c>
    </row>
    <row r="1269">
      <c r="A1269">
        <f>IF(AND('Skill Matrix'!A85&lt;&gt;"",'Skill Matrix'!H5&lt;&gt;""),'Skill Matrix'!A85,"")</f>
        <v/>
      </c>
      <c r="B1269">
        <f>IF(A1269="","",'Employees'!C10)</f>
        <v/>
      </c>
      <c r="C1269">
        <f>IF(A1269="","",'Employees'!D10)</f>
        <v/>
      </c>
      <c r="D1269">
        <f>IF(A1269="","",'Skill Matrix'!C85)</f>
        <v/>
      </c>
      <c r="E1269">
        <f>IF(A1269="","",'Skill Matrix'!D85)</f>
        <v/>
      </c>
      <c r="F1269">
        <f>IF(AND('Skill Matrix'!A85&lt;&gt;"",'Skill Matrix'!H5&lt;&gt;""),'Skill Matrix'!H5,"")</f>
        <v/>
      </c>
      <c r="G1269">
        <f>IF(OR(A1269="",'Skill Matrix'!H85=""),"",'Skill Matrix'!H85)</f>
        <v/>
      </c>
      <c r="H1269">
        <f>IF(A1269="","",'Employees'!F10)</f>
        <v/>
      </c>
    </row>
    <row r="1270">
      <c r="A1270">
        <f>IF(AND('Skill Matrix'!A85&lt;&gt;"",'Skill Matrix'!I5&lt;&gt;""),'Skill Matrix'!A85,"")</f>
        <v/>
      </c>
      <c r="B1270">
        <f>IF(A1270="","",'Employees'!C10)</f>
        <v/>
      </c>
      <c r="C1270">
        <f>IF(A1270="","",'Employees'!D10)</f>
        <v/>
      </c>
      <c r="D1270">
        <f>IF(A1270="","",'Skill Matrix'!C85)</f>
        <v/>
      </c>
      <c r="E1270">
        <f>IF(A1270="","",'Skill Matrix'!D85)</f>
        <v/>
      </c>
      <c r="F1270">
        <f>IF(AND('Skill Matrix'!A85&lt;&gt;"",'Skill Matrix'!I5&lt;&gt;""),'Skill Matrix'!I5,"")</f>
        <v/>
      </c>
      <c r="G1270">
        <f>IF(OR(A1270="",'Skill Matrix'!I85=""),"",'Skill Matrix'!I85)</f>
        <v/>
      </c>
      <c r="H1270">
        <f>IF(A1270="","",'Employees'!F10)</f>
        <v/>
      </c>
    </row>
    <row r="1271">
      <c r="A1271">
        <f>IF(AND('Skill Matrix'!A85&lt;&gt;"",'Skill Matrix'!J5&lt;&gt;""),'Skill Matrix'!A85,"")</f>
        <v/>
      </c>
      <c r="B1271">
        <f>IF(A1271="","",'Employees'!C10)</f>
        <v/>
      </c>
      <c r="C1271">
        <f>IF(A1271="","",'Employees'!D10)</f>
        <v/>
      </c>
      <c r="D1271">
        <f>IF(A1271="","",'Skill Matrix'!C85)</f>
        <v/>
      </c>
      <c r="E1271">
        <f>IF(A1271="","",'Skill Matrix'!D85)</f>
        <v/>
      </c>
      <c r="F1271">
        <f>IF(AND('Skill Matrix'!A85&lt;&gt;"",'Skill Matrix'!J5&lt;&gt;""),'Skill Matrix'!J5,"")</f>
        <v/>
      </c>
      <c r="G1271">
        <f>IF(OR(A1271="",'Skill Matrix'!J85=""),"",'Skill Matrix'!J85)</f>
        <v/>
      </c>
      <c r="H1271">
        <f>IF(A1271="","",'Employees'!F10)</f>
        <v/>
      </c>
    </row>
    <row r="1272">
      <c r="A1272">
        <f>IF(AND('Skill Matrix'!A85&lt;&gt;"",'Skill Matrix'!K5&lt;&gt;""),'Skill Matrix'!A85,"")</f>
        <v/>
      </c>
      <c r="B1272">
        <f>IF(A1272="","",'Employees'!C10)</f>
        <v/>
      </c>
      <c r="C1272">
        <f>IF(A1272="","",'Employees'!D10)</f>
        <v/>
      </c>
      <c r="D1272">
        <f>IF(A1272="","",'Skill Matrix'!C85)</f>
        <v/>
      </c>
      <c r="E1272">
        <f>IF(A1272="","",'Skill Matrix'!D85)</f>
        <v/>
      </c>
      <c r="F1272">
        <f>IF(AND('Skill Matrix'!A85&lt;&gt;"",'Skill Matrix'!K5&lt;&gt;""),'Skill Matrix'!K5,"")</f>
        <v/>
      </c>
      <c r="G1272">
        <f>IF(OR(A1272="",'Skill Matrix'!K85=""),"",'Skill Matrix'!K85)</f>
        <v/>
      </c>
      <c r="H1272">
        <f>IF(A1272="","",'Employees'!F10)</f>
        <v/>
      </c>
    </row>
    <row r="1273">
      <c r="A1273">
        <f>IF(AND('Skill Matrix'!A85&lt;&gt;"",'Skill Matrix'!L5&lt;&gt;""),'Skill Matrix'!A85,"")</f>
        <v/>
      </c>
      <c r="B1273">
        <f>IF(A1273="","",'Employees'!C10)</f>
        <v/>
      </c>
      <c r="C1273">
        <f>IF(A1273="","",'Employees'!D10)</f>
        <v/>
      </c>
      <c r="D1273">
        <f>IF(A1273="","",'Skill Matrix'!C85)</f>
        <v/>
      </c>
      <c r="E1273">
        <f>IF(A1273="","",'Skill Matrix'!D85)</f>
        <v/>
      </c>
      <c r="F1273">
        <f>IF(AND('Skill Matrix'!A85&lt;&gt;"",'Skill Matrix'!L5&lt;&gt;""),'Skill Matrix'!L5,"")</f>
        <v/>
      </c>
      <c r="G1273">
        <f>IF(OR(A1273="",'Skill Matrix'!L85=""),"",'Skill Matrix'!L85)</f>
        <v/>
      </c>
      <c r="H1273">
        <f>IF(A1273="","",'Employees'!F10)</f>
        <v/>
      </c>
    </row>
    <row r="1274">
      <c r="A1274">
        <f>IF(AND('Skill Matrix'!A85&lt;&gt;"",'Skill Matrix'!M5&lt;&gt;""),'Skill Matrix'!A85,"")</f>
        <v/>
      </c>
      <c r="B1274">
        <f>IF(A1274="","",'Employees'!C10)</f>
        <v/>
      </c>
      <c r="C1274">
        <f>IF(A1274="","",'Employees'!D10)</f>
        <v/>
      </c>
      <c r="D1274">
        <f>IF(A1274="","",'Skill Matrix'!C85)</f>
        <v/>
      </c>
      <c r="E1274">
        <f>IF(A1274="","",'Skill Matrix'!D85)</f>
        <v/>
      </c>
      <c r="F1274">
        <f>IF(AND('Skill Matrix'!A85&lt;&gt;"",'Skill Matrix'!M5&lt;&gt;""),'Skill Matrix'!M5,"")</f>
        <v/>
      </c>
      <c r="G1274">
        <f>IF(OR(A1274="",'Skill Matrix'!M85=""),"",'Skill Matrix'!M85)</f>
        <v/>
      </c>
      <c r="H1274">
        <f>IF(A1274="","",'Employees'!F10)</f>
        <v/>
      </c>
    </row>
    <row r="1275">
      <c r="A1275">
        <f>IF(AND('Skill Matrix'!A85&lt;&gt;"",'Skill Matrix'!N5&lt;&gt;""),'Skill Matrix'!A85,"")</f>
        <v/>
      </c>
      <c r="B1275">
        <f>IF(A1275="","",'Employees'!C10)</f>
        <v/>
      </c>
      <c r="C1275">
        <f>IF(A1275="","",'Employees'!D10)</f>
        <v/>
      </c>
      <c r="D1275">
        <f>IF(A1275="","",'Skill Matrix'!C85)</f>
        <v/>
      </c>
      <c r="E1275">
        <f>IF(A1275="","",'Skill Matrix'!D85)</f>
        <v/>
      </c>
      <c r="F1275">
        <f>IF(AND('Skill Matrix'!A85&lt;&gt;"",'Skill Matrix'!N5&lt;&gt;""),'Skill Matrix'!N5,"")</f>
        <v/>
      </c>
      <c r="G1275">
        <f>IF(OR(A1275="",'Skill Matrix'!N85=""),"",'Skill Matrix'!N85)</f>
        <v/>
      </c>
      <c r="H1275">
        <f>IF(A1275="","",'Employees'!F10)</f>
        <v/>
      </c>
    </row>
    <row r="1276">
      <c r="A1276">
        <f>IF(AND('Skill Matrix'!A85&lt;&gt;"",'Skill Matrix'!O5&lt;&gt;""),'Skill Matrix'!A85,"")</f>
        <v/>
      </c>
      <c r="B1276">
        <f>IF(A1276="","",'Employees'!C10)</f>
        <v/>
      </c>
      <c r="C1276">
        <f>IF(A1276="","",'Employees'!D10)</f>
        <v/>
      </c>
      <c r="D1276">
        <f>IF(A1276="","",'Skill Matrix'!C85)</f>
        <v/>
      </c>
      <c r="E1276">
        <f>IF(A1276="","",'Skill Matrix'!D85)</f>
        <v/>
      </c>
      <c r="F1276">
        <f>IF(AND('Skill Matrix'!A85&lt;&gt;"",'Skill Matrix'!O5&lt;&gt;""),'Skill Matrix'!O5,"")</f>
        <v/>
      </c>
      <c r="G1276">
        <f>IF(OR(A1276="",'Skill Matrix'!O85=""),"",'Skill Matrix'!O85)</f>
        <v/>
      </c>
      <c r="H1276">
        <f>IF(A1276="","",'Employees'!F10)</f>
        <v/>
      </c>
    </row>
    <row r="1277">
      <c r="A1277">
        <f>IF(AND('Skill Matrix'!A85&lt;&gt;"",'Skill Matrix'!P5&lt;&gt;""),'Skill Matrix'!A85,"")</f>
        <v/>
      </c>
      <c r="B1277">
        <f>IF(A1277="","",'Employees'!C10)</f>
        <v/>
      </c>
      <c r="C1277">
        <f>IF(A1277="","",'Employees'!D10)</f>
        <v/>
      </c>
      <c r="D1277">
        <f>IF(A1277="","",'Skill Matrix'!C85)</f>
        <v/>
      </c>
      <c r="E1277">
        <f>IF(A1277="","",'Skill Matrix'!D85)</f>
        <v/>
      </c>
      <c r="F1277">
        <f>IF(AND('Skill Matrix'!A85&lt;&gt;"",'Skill Matrix'!P5&lt;&gt;""),'Skill Matrix'!P5,"")</f>
        <v/>
      </c>
      <c r="G1277">
        <f>IF(OR(A1277="",'Skill Matrix'!P85=""),"",'Skill Matrix'!P85)</f>
        <v/>
      </c>
      <c r="H1277">
        <f>IF(A1277="","",'Employees'!F10)</f>
        <v/>
      </c>
    </row>
    <row r="1278">
      <c r="A1278">
        <f>IF(AND('Skill Matrix'!A85&lt;&gt;"",'Skill Matrix'!Q5&lt;&gt;""),'Skill Matrix'!A85,"")</f>
        <v/>
      </c>
      <c r="B1278">
        <f>IF(A1278="","",'Employees'!C10)</f>
        <v/>
      </c>
      <c r="C1278">
        <f>IF(A1278="","",'Employees'!D10)</f>
        <v/>
      </c>
      <c r="D1278">
        <f>IF(A1278="","",'Skill Matrix'!C85)</f>
        <v/>
      </c>
      <c r="E1278">
        <f>IF(A1278="","",'Skill Matrix'!D85)</f>
        <v/>
      </c>
      <c r="F1278">
        <f>IF(AND('Skill Matrix'!A85&lt;&gt;"",'Skill Matrix'!Q5&lt;&gt;""),'Skill Matrix'!Q5,"")</f>
        <v/>
      </c>
      <c r="G1278">
        <f>IF(OR(A1278="",'Skill Matrix'!Q85=""),"",'Skill Matrix'!Q85)</f>
        <v/>
      </c>
      <c r="H1278">
        <f>IF(A1278="","",'Employees'!F10)</f>
        <v/>
      </c>
    </row>
    <row r="1279">
      <c r="A1279">
        <f>IF(AND('Skill Matrix'!A85&lt;&gt;"",'Skill Matrix'!R5&lt;&gt;""),'Skill Matrix'!A85,"")</f>
        <v/>
      </c>
      <c r="B1279">
        <f>IF(A1279="","",'Employees'!C10)</f>
        <v/>
      </c>
      <c r="C1279">
        <f>IF(A1279="","",'Employees'!D10)</f>
        <v/>
      </c>
      <c r="D1279">
        <f>IF(A1279="","",'Skill Matrix'!C85)</f>
        <v/>
      </c>
      <c r="E1279">
        <f>IF(A1279="","",'Skill Matrix'!D85)</f>
        <v/>
      </c>
      <c r="F1279">
        <f>IF(AND('Skill Matrix'!A85&lt;&gt;"",'Skill Matrix'!R5&lt;&gt;""),'Skill Matrix'!R5,"")</f>
        <v/>
      </c>
      <c r="G1279">
        <f>IF(OR(A1279="",'Skill Matrix'!R85=""),"",'Skill Matrix'!R85)</f>
        <v/>
      </c>
      <c r="H1279">
        <f>IF(A1279="","",'Employees'!F10)</f>
        <v/>
      </c>
    </row>
    <row r="1280">
      <c r="A1280">
        <f>IF(AND('Skill Matrix'!A85&lt;&gt;"",'Skill Matrix'!S5&lt;&gt;""),'Skill Matrix'!A85,"")</f>
        <v/>
      </c>
      <c r="B1280">
        <f>IF(A1280="","",'Employees'!C10)</f>
        <v/>
      </c>
      <c r="C1280">
        <f>IF(A1280="","",'Employees'!D10)</f>
        <v/>
      </c>
      <c r="D1280">
        <f>IF(A1280="","",'Skill Matrix'!C85)</f>
        <v/>
      </c>
      <c r="E1280">
        <f>IF(A1280="","",'Skill Matrix'!D85)</f>
        <v/>
      </c>
      <c r="F1280">
        <f>IF(AND('Skill Matrix'!A85&lt;&gt;"",'Skill Matrix'!S5&lt;&gt;""),'Skill Matrix'!S5,"")</f>
        <v/>
      </c>
      <c r="G1280">
        <f>IF(OR(A1280="",'Skill Matrix'!S85=""),"",'Skill Matrix'!S85)</f>
        <v/>
      </c>
      <c r="H1280">
        <f>IF(A1280="","",'Employees'!F10)</f>
        <v/>
      </c>
    </row>
    <row r="1281">
      <c r="A1281">
        <f>IF(AND('Skill Matrix'!A85&lt;&gt;"",'Skill Matrix'!T5&lt;&gt;""),'Skill Matrix'!A85,"")</f>
        <v/>
      </c>
      <c r="B1281">
        <f>IF(A1281="","",'Employees'!C10)</f>
        <v/>
      </c>
      <c r="C1281">
        <f>IF(A1281="","",'Employees'!D10)</f>
        <v/>
      </c>
      <c r="D1281">
        <f>IF(A1281="","",'Skill Matrix'!C85)</f>
        <v/>
      </c>
      <c r="E1281">
        <f>IF(A1281="","",'Skill Matrix'!D85)</f>
        <v/>
      </c>
      <c r="F1281">
        <f>IF(AND('Skill Matrix'!A85&lt;&gt;"",'Skill Matrix'!T5&lt;&gt;""),'Skill Matrix'!T5,"")</f>
        <v/>
      </c>
      <c r="G1281">
        <f>IF(OR(A1281="",'Skill Matrix'!T85=""),"",'Skill Matrix'!T85)</f>
        <v/>
      </c>
      <c r="H1281">
        <f>IF(A1281="","",'Employees'!F10)</f>
        <v/>
      </c>
    </row>
    <row r="1282">
      <c r="A1282">
        <f>IF(AND('Skill Matrix'!A86&lt;&gt;"",'Skill Matrix'!E5&lt;&gt;""),'Skill Matrix'!A86,"")</f>
        <v/>
      </c>
      <c r="B1282">
        <f>IF(A1282="","",'Employees'!C11)</f>
        <v/>
      </c>
      <c r="C1282">
        <f>IF(A1282="","",'Employees'!D11)</f>
        <v/>
      </c>
      <c r="D1282">
        <f>IF(A1282="","",'Skill Matrix'!C86)</f>
        <v/>
      </c>
      <c r="E1282">
        <f>IF(A1282="","",'Skill Matrix'!D86)</f>
        <v/>
      </c>
      <c r="F1282">
        <f>IF(AND('Skill Matrix'!A86&lt;&gt;"",'Skill Matrix'!E5&lt;&gt;""),'Skill Matrix'!E5,"")</f>
        <v/>
      </c>
      <c r="G1282">
        <f>IF(OR(A1282="",'Skill Matrix'!E86=""),"",'Skill Matrix'!E86)</f>
        <v/>
      </c>
      <c r="H1282">
        <f>IF(A1282="","",'Employees'!F11)</f>
        <v/>
      </c>
    </row>
    <row r="1283">
      <c r="A1283">
        <f>IF(AND('Skill Matrix'!A86&lt;&gt;"",'Skill Matrix'!F5&lt;&gt;""),'Skill Matrix'!A86,"")</f>
        <v/>
      </c>
      <c r="B1283">
        <f>IF(A1283="","",'Employees'!C11)</f>
        <v/>
      </c>
      <c r="C1283">
        <f>IF(A1283="","",'Employees'!D11)</f>
        <v/>
      </c>
      <c r="D1283">
        <f>IF(A1283="","",'Skill Matrix'!C86)</f>
        <v/>
      </c>
      <c r="E1283">
        <f>IF(A1283="","",'Skill Matrix'!D86)</f>
        <v/>
      </c>
      <c r="F1283">
        <f>IF(AND('Skill Matrix'!A86&lt;&gt;"",'Skill Matrix'!F5&lt;&gt;""),'Skill Matrix'!F5,"")</f>
        <v/>
      </c>
      <c r="G1283">
        <f>IF(OR(A1283="",'Skill Matrix'!F86=""),"",'Skill Matrix'!F86)</f>
        <v/>
      </c>
      <c r="H1283">
        <f>IF(A1283="","",'Employees'!F11)</f>
        <v/>
      </c>
    </row>
    <row r="1284">
      <c r="A1284">
        <f>IF(AND('Skill Matrix'!A86&lt;&gt;"",'Skill Matrix'!G5&lt;&gt;""),'Skill Matrix'!A86,"")</f>
        <v/>
      </c>
      <c r="B1284">
        <f>IF(A1284="","",'Employees'!C11)</f>
        <v/>
      </c>
      <c r="C1284">
        <f>IF(A1284="","",'Employees'!D11)</f>
        <v/>
      </c>
      <c r="D1284">
        <f>IF(A1284="","",'Skill Matrix'!C86)</f>
        <v/>
      </c>
      <c r="E1284">
        <f>IF(A1284="","",'Skill Matrix'!D86)</f>
        <v/>
      </c>
      <c r="F1284">
        <f>IF(AND('Skill Matrix'!A86&lt;&gt;"",'Skill Matrix'!G5&lt;&gt;""),'Skill Matrix'!G5,"")</f>
        <v/>
      </c>
      <c r="G1284">
        <f>IF(OR(A1284="",'Skill Matrix'!G86=""),"",'Skill Matrix'!G86)</f>
        <v/>
      </c>
      <c r="H1284">
        <f>IF(A1284="","",'Employees'!F11)</f>
        <v/>
      </c>
    </row>
    <row r="1285">
      <c r="A1285">
        <f>IF(AND('Skill Matrix'!A86&lt;&gt;"",'Skill Matrix'!H5&lt;&gt;""),'Skill Matrix'!A86,"")</f>
        <v/>
      </c>
      <c r="B1285">
        <f>IF(A1285="","",'Employees'!C11)</f>
        <v/>
      </c>
      <c r="C1285">
        <f>IF(A1285="","",'Employees'!D11)</f>
        <v/>
      </c>
      <c r="D1285">
        <f>IF(A1285="","",'Skill Matrix'!C86)</f>
        <v/>
      </c>
      <c r="E1285">
        <f>IF(A1285="","",'Skill Matrix'!D86)</f>
        <v/>
      </c>
      <c r="F1285">
        <f>IF(AND('Skill Matrix'!A86&lt;&gt;"",'Skill Matrix'!H5&lt;&gt;""),'Skill Matrix'!H5,"")</f>
        <v/>
      </c>
      <c r="G1285">
        <f>IF(OR(A1285="",'Skill Matrix'!H86=""),"",'Skill Matrix'!H86)</f>
        <v/>
      </c>
      <c r="H1285">
        <f>IF(A1285="","",'Employees'!F11)</f>
        <v/>
      </c>
    </row>
    <row r="1286">
      <c r="A1286">
        <f>IF(AND('Skill Matrix'!A86&lt;&gt;"",'Skill Matrix'!I5&lt;&gt;""),'Skill Matrix'!A86,"")</f>
        <v/>
      </c>
      <c r="B1286">
        <f>IF(A1286="","",'Employees'!C11)</f>
        <v/>
      </c>
      <c r="C1286">
        <f>IF(A1286="","",'Employees'!D11)</f>
        <v/>
      </c>
      <c r="D1286">
        <f>IF(A1286="","",'Skill Matrix'!C86)</f>
        <v/>
      </c>
      <c r="E1286">
        <f>IF(A1286="","",'Skill Matrix'!D86)</f>
        <v/>
      </c>
      <c r="F1286">
        <f>IF(AND('Skill Matrix'!A86&lt;&gt;"",'Skill Matrix'!I5&lt;&gt;""),'Skill Matrix'!I5,"")</f>
        <v/>
      </c>
      <c r="G1286">
        <f>IF(OR(A1286="",'Skill Matrix'!I86=""),"",'Skill Matrix'!I86)</f>
        <v/>
      </c>
      <c r="H1286">
        <f>IF(A1286="","",'Employees'!F11)</f>
        <v/>
      </c>
    </row>
    <row r="1287">
      <c r="A1287">
        <f>IF(AND('Skill Matrix'!A86&lt;&gt;"",'Skill Matrix'!J5&lt;&gt;""),'Skill Matrix'!A86,"")</f>
        <v/>
      </c>
      <c r="B1287">
        <f>IF(A1287="","",'Employees'!C11)</f>
        <v/>
      </c>
      <c r="C1287">
        <f>IF(A1287="","",'Employees'!D11)</f>
        <v/>
      </c>
      <c r="D1287">
        <f>IF(A1287="","",'Skill Matrix'!C86)</f>
        <v/>
      </c>
      <c r="E1287">
        <f>IF(A1287="","",'Skill Matrix'!D86)</f>
        <v/>
      </c>
      <c r="F1287">
        <f>IF(AND('Skill Matrix'!A86&lt;&gt;"",'Skill Matrix'!J5&lt;&gt;""),'Skill Matrix'!J5,"")</f>
        <v/>
      </c>
      <c r="G1287">
        <f>IF(OR(A1287="",'Skill Matrix'!J86=""),"",'Skill Matrix'!J86)</f>
        <v/>
      </c>
      <c r="H1287">
        <f>IF(A1287="","",'Employees'!F11)</f>
        <v/>
      </c>
    </row>
    <row r="1288">
      <c r="A1288">
        <f>IF(AND('Skill Matrix'!A86&lt;&gt;"",'Skill Matrix'!K5&lt;&gt;""),'Skill Matrix'!A86,"")</f>
        <v/>
      </c>
      <c r="B1288">
        <f>IF(A1288="","",'Employees'!C11)</f>
        <v/>
      </c>
      <c r="C1288">
        <f>IF(A1288="","",'Employees'!D11)</f>
        <v/>
      </c>
      <c r="D1288">
        <f>IF(A1288="","",'Skill Matrix'!C86)</f>
        <v/>
      </c>
      <c r="E1288">
        <f>IF(A1288="","",'Skill Matrix'!D86)</f>
        <v/>
      </c>
      <c r="F1288">
        <f>IF(AND('Skill Matrix'!A86&lt;&gt;"",'Skill Matrix'!K5&lt;&gt;""),'Skill Matrix'!K5,"")</f>
        <v/>
      </c>
      <c r="G1288">
        <f>IF(OR(A1288="",'Skill Matrix'!K86=""),"",'Skill Matrix'!K86)</f>
        <v/>
      </c>
      <c r="H1288">
        <f>IF(A1288="","",'Employees'!F11)</f>
        <v/>
      </c>
    </row>
    <row r="1289">
      <c r="A1289">
        <f>IF(AND('Skill Matrix'!A86&lt;&gt;"",'Skill Matrix'!L5&lt;&gt;""),'Skill Matrix'!A86,"")</f>
        <v/>
      </c>
      <c r="B1289">
        <f>IF(A1289="","",'Employees'!C11)</f>
        <v/>
      </c>
      <c r="C1289">
        <f>IF(A1289="","",'Employees'!D11)</f>
        <v/>
      </c>
      <c r="D1289">
        <f>IF(A1289="","",'Skill Matrix'!C86)</f>
        <v/>
      </c>
      <c r="E1289">
        <f>IF(A1289="","",'Skill Matrix'!D86)</f>
        <v/>
      </c>
      <c r="F1289">
        <f>IF(AND('Skill Matrix'!A86&lt;&gt;"",'Skill Matrix'!L5&lt;&gt;""),'Skill Matrix'!L5,"")</f>
        <v/>
      </c>
      <c r="G1289">
        <f>IF(OR(A1289="",'Skill Matrix'!L86=""),"",'Skill Matrix'!L86)</f>
        <v/>
      </c>
      <c r="H1289">
        <f>IF(A1289="","",'Employees'!F11)</f>
        <v/>
      </c>
    </row>
    <row r="1290">
      <c r="A1290">
        <f>IF(AND('Skill Matrix'!A86&lt;&gt;"",'Skill Matrix'!M5&lt;&gt;""),'Skill Matrix'!A86,"")</f>
        <v/>
      </c>
      <c r="B1290">
        <f>IF(A1290="","",'Employees'!C11)</f>
        <v/>
      </c>
      <c r="C1290">
        <f>IF(A1290="","",'Employees'!D11)</f>
        <v/>
      </c>
      <c r="D1290">
        <f>IF(A1290="","",'Skill Matrix'!C86)</f>
        <v/>
      </c>
      <c r="E1290">
        <f>IF(A1290="","",'Skill Matrix'!D86)</f>
        <v/>
      </c>
      <c r="F1290">
        <f>IF(AND('Skill Matrix'!A86&lt;&gt;"",'Skill Matrix'!M5&lt;&gt;""),'Skill Matrix'!M5,"")</f>
        <v/>
      </c>
      <c r="G1290">
        <f>IF(OR(A1290="",'Skill Matrix'!M86=""),"",'Skill Matrix'!M86)</f>
        <v/>
      </c>
      <c r="H1290">
        <f>IF(A1290="","",'Employees'!F11)</f>
        <v/>
      </c>
    </row>
    <row r="1291">
      <c r="A1291">
        <f>IF(AND('Skill Matrix'!A86&lt;&gt;"",'Skill Matrix'!N5&lt;&gt;""),'Skill Matrix'!A86,"")</f>
        <v/>
      </c>
      <c r="B1291">
        <f>IF(A1291="","",'Employees'!C11)</f>
        <v/>
      </c>
      <c r="C1291">
        <f>IF(A1291="","",'Employees'!D11)</f>
        <v/>
      </c>
      <c r="D1291">
        <f>IF(A1291="","",'Skill Matrix'!C86)</f>
        <v/>
      </c>
      <c r="E1291">
        <f>IF(A1291="","",'Skill Matrix'!D86)</f>
        <v/>
      </c>
      <c r="F1291">
        <f>IF(AND('Skill Matrix'!A86&lt;&gt;"",'Skill Matrix'!N5&lt;&gt;""),'Skill Matrix'!N5,"")</f>
        <v/>
      </c>
      <c r="G1291">
        <f>IF(OR(A1291="",'Skill Matrix'!N86=""),"",'Skill Matrix'!N86)</f>
        <v/>
      </c>
      <c r="H1291">
        <f>IF(A1291="","",'Employees'!F11)</f>
        <v/>
      </c>
    </row>
    <row r="1292">
      <c r="A1292">
        <f>IF(AND('Skill Matrix'!A86&lt;&gt;"",'Skill Matrix'!O5&lt;&gt;""),'Skill Matrix'!A86,"")</f>
        <v/>
      </c>
      <c r="B1292">
        <f>IF(A1292="","",'Employees'!C11)</f>
        <v/>
      </c>
      <c r="C1292">
        <f>IF(A1292="","",'Employees'!D11)</f>
        <v/>
      </c>
      <c r="D1292">
        <f>IF(A1292="","",'Skill Matrix'!C86)</f>
        <v/>
      </c>
      <c r="E1292">
        <f>IF(A1292="","",'Skill Matrix'!D86)</f>
        <v/>
      </c>
      <c r="F1292">
        <f>IF(AND('Skill Matrix'!A86&lt;&gt;"",'Skill Matrix'!O5&lt;&gt;""),'Skill Matrix'!O5,"")</f>
        <v/>
      </c>
      <c r="G1292">
        <f>IF(OR(A1292="",'Skill Matrix'!O86=""),"",'Skill Matrix'!O86)</f>
        <v/>
      </c>
      <c r="H1292">
        <f>IF(A1292="","",'Employees'!F11)</f>
        <v/>
      </c>
    </row>
    <row r="1293">
      <c r="A1293">
        <f>IF(AND('Skill Matrix'!A86&lt;&gt;"",'Skill Matrix'!P5&lt;&gt;""),'Skill Matrix'!A86,"")</f>
        <v/>
      </c>
      <c r="B1293">
        <f>IF(A1293="","",'Employees'!C11)</f>
        <v/>
      </c>
      <c r="C1293">
        <f>IF(A1293="","",'Employees'!D11)</f>
        <v/>
      </c>
      <c r="D1293">
        <f>IF(A1293="","",'Skill Matrix'!C86)</f>
        <v/>
      </c>
      <c r="E1293">
        <f>IF(A1293="","",'Skill Matrix'!D86)</f>
        <v/>
      </c>
      <c r="F1293">
        <f>IF(AND('Skill Matrix'!A86&lt;&gt;"",'Skill Matrix'!P5&lt;&gt;""),'Skill Matrix'!P5,"")</f>
        <v/>
      </c>
      <c r="G1293">
        <f>IF(OR(A1293="",'Skill Matrix'!P86=""),"",'Skill Matrix'!P86)</f>
        <v/>
      </c>
      <c r="H1293">
        <f>IF(A1293="","",'Employees'!F11)</f>
        <v/>
      </c>
    </row>
    <row r="1294">
      <c r="A1294">
        <f>IF(AND('Skill Matrix'!A86&lt;&gt;"",'Skill Matrix'!Q5&lt;&gt;""),'Skill Matrix'!A86,"")</f>
        <v/>
      </c>
      <c r="B1294">
        <f>IF(A1294="","",'Employees'!C11)</f>
        <v/>
      </c>
      <c r="C1294">
        <f>IF(A1294="","",'Employees'!D11)</f>
        <v/>
      </c>
      <c r="D1294">
        <f>IF(A1294="","",'Skill Matrix'!C86)</f>
        <v/>
      </c>
      <c r="E1294">
        <f>IF(A1294="","",'Skill Matrix'!D86)</f>
        <v/>
      </c>
      <c r="F1294">
        <f>IF(AND('Skill Matrix'!A86&lt;&gt;"",'Skill Matrix'!Q5&lt;&gt;""),'Skill Matrix'!Q5,"")</f>
        <v/>
      </c>
      <c r="G1294">
        <f>IF(OR(A1294="",'Skill Matrix'!Q86=""),"",'Skill Matrix'!Q86)</f>
        <v/>
      </c>
      <c r="H1294">
        <f>IF(A1294="","",'Employees'!F11)</f>
        <v/>
      </c>
    </row>
    <row r="1295">
      <c r="A1295">
        <f>IF(AND('Skill Matrix'!A86&lt;&gt;"",'Skill Matrix'!R5&lt;&gt;""),'Skill Matrix'!A86,"")</f>
        <v/>
      </c>
      <c r="B1295">
        <f>IF(A1295="","",'Employees'!C11)</f>
        <v/>
      </c>
      <c r="C1295">
        <f>IF(A1295="","",'Employees'!D11)</f>
        <v/>
      </c>
      <c r="D1295">
        <f>IF(A1295="","",'Skill Matrix'!C86)</f>
        <v/>
      </c>
      <c r="E1295">
        <f>IF(A1295="","",'Skill Matrix'!D86)</f>
        <v/>
      </c>
      <c r="F1295">
        <f>IF(AND('Skill Matrix'!A86&lt;&gt;"",'Skill Matrix'!R5&lt;&gt;""),'Skill Matrix'!R5,"")</f>
        <v/>
      </c>
      <c r="G1295">
        <f>IF(OR(A1295="",'Skill Matrix'!R86=""),"",'Skill Matrix'!R86)</f>
        <v/>
      </c>
      <c r="H1295">
        <f>IF(A1295="","",'Employees'!F11)</f>
        <v/>
      </c>
    </row>
    <row r="1296">
      <c r="A1296">
        <f>IF(AND('Skill Matrix'!A86&lt;&gt;"",'Skill Matrix'!S5&lt;&gt;""),'Skill Matrix'!A86,"")</f>
        <v/>
      </c>
      <c r="B1296">
        <f>IF(A1296="","",'Employees'!C11)</f>
        <v/>
      </c>
      <c r="C1296">
        <f>IF(A1296="","",'Employees'!D11)</f>
        <v/>
      </c>
      <c r="D1296">
        <f>IF(A1296="","",'Skill Matrix'!C86)</f>
        <v/>
      </c>
      <c r="E1296">
        <f>IF(A1296="","",'Skill Matrix'!D86)</f>
        <v/>
      </c>
      <c r="F1296">
        <f>IF(AND('Skill Matrix'!A86&lt;&gt;"",'Skill Matrix'!S5&lt;&gt;""),'Skill Matrix'!S5,"")</f>
        <v/>
      </c>
      <c r="G1296">
        <f>IF(OR(A1296="",'Skill Matrix'!S86=""),"",'Skill Matrix'!S86)</f>
        <v/>
      </c>
      <c r="H1296">
        <f>IF(A1296="","",'Employees'!F11)</f>
        <v/>
      </c>
    </row>
    <row r="1297">
      <c r="A1297">
        <f>IF(AND('Skill Matrix'!A86&lt;&gt;"",'Skill Matrix'!T5&lt;&gt;""),'Skill Matrix'!A86,"")</f>
        <v/>
      </c>
      <c r="B1297">
        <f>IF(A1297="","",'Employees'!C11)</f>
        <v/>
      </c>
      <c r="C1297">
        <f>IF(A1297="","",'Employees'!D11)</f>
        <v/>
      </c>
      <c r="D1297">
        <f>IF(A1297="","",'Skill Matrix'!C86)</f>
        <v/>
      </c>
      <c r="E1297">
        <f>IF(A1297="","",'Skill Matrix'!D86)</f>
        <v/>
      </c>
      <c r="F1297">
        <f>IF(AND('Skill Matrix'!A86&lt;&gt;"",'Skill Matrix'!T5&lt;&gt;""),'Skill Matrix'!T5,"")</f>
        <v/>
      </c>
      <c r="G1297">
        <f>IF(OR(A1297="",'Skill Matrix'!T86=""),"",'Skill Matrix'!T86)</f>
        <v/>
      </c>
      <c r="H1297">
        <f>IF(A1297="","",'Employees'!F11)</f>
        <v/>
      </c>
    </row>
    <row r="1298">
      <c r="A1298">
        <f>IF(AND('Skill Matrix'!A87&lt;&gt;"",'Skill Matrix'!E5&lt;&gt;""),'Skill Matrix'!A87,"")</f>
        <v/>
      </c>
      <c r="B1298">
        <f>IF(A1298="","",'Employees'!C11)</f>
        <v/>
      </c>
      <c r="C1298">
        <f>IF(A1298="","",'Employees'!D11)</f>
        <v/>
      </c>
      <c r="D1298">
        <f>IF(A1298="","",'Skill Matrix'!C87)</f>
        <v/>
      </c>
      <c r="E1298">
        <f>IF(A1298="","",'Skill Matrix'!D87)</f>
        <v/>
      </c>
      <c r="F1298">
        <f>IF(AND('Skill Matrix'!A87&lt;&gt;"",'Skill Matrix'!E5&lt;&gt;""),'Skill Matrix'!E5,"")</f>
        <v/>
      </c>
      <c r="G1298">
        <f>IF(OR(A1298="",'Skill Matrix'!E87=""),"",'Skill Matrix'!E87)</f>
        <v/>
      </c>
      <c r="H1298">
        <f>IF(A1298="","",'Employees'!F11)</f>
        <v/>
      </c>
    </row>
    <row r="1299">
      <c r="A1299">
        <f>IF(AND('Skill Matrix'!A87&lt;&gt;"",'Skill Matrix'!F5&lt;&gt;""),'Skill Matrix'!A87,"")</f>
        <v/>
      </c>
      <c r="B1299">
        <f>IF(A1299="","",'Employees'!C11)</f>
        <v/>
      </c>
      <c r="C1299">
        <f>IF(A1299="","",'Employees'!D11)</f>
        <v/>
      </c>
      <c r="D1299">
        <f>IF(A1299="","",'Skill Matrix'!C87)</f>
        <v/>
      </c>
      <c r="E1299">
        <f>IF(A1299="","",'Skill Matrix'!D87)</f>
        <v/>
      </c>
      <c r="F1299">
        <f>IF(AND('Skill Matrix'!A87&lt;&gt;"",'Skill Matrix'!F5&lt;&gt;""),'Skill Matrix'!F5,"")</f>
        <v/>
      </c>
      <c r="G1299">
        <f>IF(OR(A1299="",'Skill Matrix'!F87=""),"",'Skill Matrix'!F87)</f>
        <v/>
      </c>
      <c r="H1299">
        <f>IF(A1299="","",'Employees'!F11)</f>
        <v/>
      </c>
    </row>
    <row r="1300">
      <c r="A1300">
        <f>IF(AND('Skill Matrix'!A87&lt;&gt;"",'Skill Matrix'!G5&lt;&gt;""),'Skill Matrix'!A87,"")</f>
        <v/>
      </c>
      <c r="B1300">
        <f>IF(A1300="","",'Employees'!C11)</f>
        <v/>
      </c>
      <c r="C1300">
        <f>IF(A1300="","",'Employees'!D11)</f>
        <v/>
      </c>
      <c r="D1300">
        <f>IF(A1300="","",'Skill Matrix'!C87)</f>
        <v/>
      </c>
      <c r="E1300">
        <f>IF(A1300="","",'Skill Matrix'!D87)</f>
        <v/>
      </c>
      <c r="F1300">
        <f>IF(AND('Skill Matrix'!A87&lt;&gt;"",'Skill Matrix'!G5&lt;&gt;""),'Skill Matrix'!G5,"")</f>
        <v/>
      </c>
      <c r="G1300">
        <f>IF(OR(A1300="",'Skill Matrix'!G87=""),"",'Skill Matrix'!G87)</f>
        <v/>
      </c>
      <c r="H1300">
        <f>IF(A1300="","",'Employees'!F11)</f>
        <v/>
      </c>
    </row>
    <row r="1301">
      <c r="A1301">
        <f>IF(AND('Skill Matrix'!A87&lt;&gt;"",'Skill Matrix'!H5&lt;&gt;""),'Skill Matrix'!A87,"")</f>
        <v/>
      </c>
      <c r="B1301">
        <f>IF(A1301="","",'Employees'!C11)</f>
        <v/>
      </c>
      <c r="C1301">
        <f>IF(A1301="","",'Employees'!D11)</f>
        <v/>
      </c>
      <c r="D1301">
        <f>IF(A1301="","",'Skill Matrix'!C87)</f>
        <v/>
      </c>
      <c r="E1301">
        <f>IF(A1301="","",'Skill Matrix'!D87)</f>
        <v/>
      </c>
      <c r="F1301">
        <f>IF(AND('Skill Matrix'!A87&lt;&gt;"",'Skill Matrix'!H5&lt;&gt;""),'Skill Matrix'!H5,"")</f>
        <v/>
      </c>
      <c r="G1301">
        <f>IF(OR(A1301="",'Skill Matrix'!H87=""),"",'Skill Matrix'!H87)</f>
        <v/>
      </c>
      <c r="H1301">
        <f>IF(A1301="","",'Employees'!F11)</f>
        <v/>
      </c>
    </row>
    <row r="1302">
      <c r="A1302">
        <f>IF(AND('Skill Matrix'!A87&lt;&gt;"",'Skill Matrix'!I5&lt;&gt;""),'Skill Matrix'!A87,"")</f>
        <v/>
      </c>
      <c r="B1302">
        <f>IF(A1302="","",'Employees'!C11)</f>
        <v/>
      </c>
      <c r="C1302">
        <f>IF(A1302="","",'Employees'!D11)</f>
        <v/>
      </c>
      <c r="D1302">
        <f>IF(A1302="","",'Skill Matrix'!C87)</f>
        <v/>
      </c>
      <c r="E1302">
        <f>IF(A1302="","",'Skill Matrix'!D87)</f>
        <v/>
      </c>
      <c r="F1302">
        <f>IF(AND('Skill Matrix'!A87&lt;&gt;"",'Skill Matrix'!I5&lt;&gt;""),'Skill Matrix'!I5,"")</f>
        <v/>
      </c>
      <c r="G1302">
        <f>IF(OR(A1302="",'Skill Matrix'!I87=""),"",'Skill Matrix'!I87)</f>
        <v/>
      </c>
      <c r="H1302">
        <f>IF(A1302="","",'Employees'!F11)</f>
        <v/>
      </c>
    </row>
    <row r="1303">
      <c r="A1303">
        <f>IF(AND('Skill Matrix'!A87&lt;&gt;"",'Skill Matrix'!J5&lt;&gt;""),'Skill Matrix'!A87,"")</f>
        <v/>
      </c>
      <c r="B1303">
        <f>IF(A1303="","",'Employees'!C11)</f>
        <v/>
      </c>
      <c r="C1303">
        <f>IF(A1303="","",'Employees'!D11)</f>
        <v/>
      </c>
      <c r="D1303">
        <f>IF(A1303="","",'Skill Matrix'!C87)</f>
        <v/>
      </c>
      <c r="E1303">
        <f>IF(A1303="","",'Skill Matrix'!D87)</f>
        <v/>
      </c>
      <c r="F1303">
        <f>IF(AND('Skill Matrix'!A87&lt;&gt;"",'Skill Matrix'!J5&lt;&gt;""),'Skill Matrix'!J5,"")</f>
        <v/>
      </c>
      <c r="G1303">
        <f>IF(OR(A1303="",'Skill Matrix'!J87=""),"",'Skill Matrix'!J87)</f>
        <v/>
      </c>
      <c r="H1303">
        <f>IF(A1303="","",'Employees'!F11)</f>
        <v/>
      </c>
    </row>
    <row r="1304">
      <c r="A1304">
        <f>IF(AND('Skill Matrix'!A87&lt;&gt;"",'Skill Matrix'!K5&lt;&gt;""),'Skill Matrix'!A87,"")</f>
        <v/>
      </c>
      <c r="B1304">
        <f>IF(A1304="","",'Employees'!C11)</f>
        <v/>
      </c>
      <c r="C1304">
        <f>IF(A1304="","",'Employees'!D11)</f>
        <v/>
      </c>
      <c r="D1304">
        <f>IF(A1304="","",'Skill Matrix'!C87)</f>
        <v/>
      </c>
      <c r="E1304">
        <f>IF(A1304="","",'Skill Matrix'!D87)</f>
        <v/>
      </c>
      <c r="F1304">
        <f>IF(AND('Skill Matrix'!A87&lt;&gt;"",'Skill Matrix'!K5&lt;&gt;""),'Skill Matrix'!K5,"")</f>
        <v/>
      </c>
      <c r="G1304">
        <f>IF(OR(A1304="",'Skill Matrix'!K87=""),"",'Skill Matrix'!K87)</f>
        <v/>
      </c>
      <c r="H1304">
        <f>IF(A1304="","",'Employees'!F11)</f>
        <v/>
      </c>
    </row>
    <row r="1305">
      <c r="A1305">
        <f>IF(AND('Skill Matrix'!A87&lt;&gt;"",'Skill Matrix'!L5&lt;&gt;""),'Skill Matrix'!A87,"")</f>
        <v/>
      </c>
      <c r="B1305">
        <f>IF(A1305="","",'Employees'!C11)</f>
        <v/>
      </c>
      <c r="C1305">
        <f>IF(A1305="","",'Employees'!D11)</f>
        <v/>
      </c>
      <c r="D1305">
        <f>IF(A1305="","",'Skill Matrix'!C87)</f>
        <v/>
      </c>
      <c r="E1305">
        <f>IF(A1305="","",'Skill Matrix'!D87)</f>
        <v/>
      </c>
      <c r="F1305">
        <f>IF(AND('Skill Matrix'!A87&lt;&gt;"",'Skill Matrix'!L5&lt;&gt;""),'Skill Matrix'!L5,"")</f>
        <v/>
      </c>
      <c r="G1305">
        <f>IF(OR(A1305="",'Skill Matrix'!L87=""),"",'Skill Matrix'!L87)</f>
        <v/>
      </c>
      <c r="H1305">
        <f>IF(A1305="","",'Employees'!F11)</f>
        <v/>
      </c>
    </row>
    <row r="1306">
      <c r="A1306">
        <f>IF(AND('Skill Matrix'!A87&lt;&gt;"",'Skill Matrix'!M5&lt;&gt;""),'Skill Matrix'!A87,"")</f>
        <v/>
      </c>
      <c r="B1306">
        <f>IF(A1306="","",'Employees'!C11)</f>
        <v/>
      </c>
      <c r="C1306">
        <f>IF(A1306="","",'Employees'!D11)</f>
        <v/>
      </c>
      <c r="D1306">
        <f>IF(A1306="","",'Skill Matrix'!C87)</f>
        <v/>
      </c>
      <c r="E1306">
        <f>IF(A1306="","",'Skill Matrix'!D87)</f>
        <v/>
      </c>
      <c r="F1306">
        <f>IF(AND('Skill Matrix'!A87&lt;&gt;"",'Skill Matrix'!M5&lt;&gt;""),'Skill Matrix'!M5,"")</f>
        <v/>
      </c>
      <c r="G1306">
        <f>IF(OR(A1306="",'Skill Matrix'!M87=""),"",'Skill Matrix'!M87)</f>
        <v/>
      </c>
      <c r="H1306">
        <f>IF(A1306="","",'Employees'!F11)</f>
        <v/>
      </c>
    </row>
    <row r="1307">
      <c r="A1307">
        <f>IF(AND('Skill Matrix'!A87&lt;&gt;"",'Skill Matrix'!N5&lt;&gt;""),'Skill Matrix'!A87,"")</f>
        <v/>
      </c>
      <c r="B1307">
        <f>IF(A1307="","",'Employees'!C11)</f>
        <v/>
      </c>
      <c r="C1307">
        <f>IF(A1307="","",'Employees'!D11)</f>
        <v/>
      </c>
      <c r="D1307">
        <f>IF(A1307="","",'Skill Matrix'!C87)</f>
        <v/>
      </c>
      <c r="E1307">
        <f>IF(A1307="","",'Skill Matrix'!D87)</f>
        <v/>
      </c>
      <c r="F1307">
        <f>IF(AND('Skill Matrix'!A87&lt;&gt;"",'Skill Matrix'!N5&lt;&gt;""),'Skill Matrix'!N5,"")</f>
        <v/>
      </c>
      <c r="G1307">
        <f>IF(OR(A1307="",'Skill Matrix'!N87=""),"",'Skill Matrix'!N87)</f>
        <v/>
      </c>
      <c r="H1307">
        <f>IF(A1307="","",'Employees'!F11)</f>
        <v/>
      </c>
    </row>
    <row r="1308">
      <c r="A1308">
        <f>IF(AND('Skill Matrix'!A87&lt;&gt;"",'Skill Matrix'!O5&lt;&gt;""),'Skill Matrix'!A87,"")</f>
        <v/>
      </c>
      <c r="B1308">
        <f>IF(A1308="","",'Employees'!C11)</f>
        <v/>
      </c>
      <c r="C1308">
        <f>IF(A1308="","",'Employees'!D11)</f>
        <v/>
      </c>
      <c r="D1308">
        <f>IF(A1308="","",'Skill Matrix'!C87)</f>
        <v/>
      </c>
      <c r="E1308">
        <f>IF(A1308="","",'Skill Matrix'!D87)</f>
        <v/>
      </c>
      <c r="F1308">
        <f>IF(AND('Skill Matrix'!A87&lt;&gt;"",'Skill Matrix'!O5&lt;&gt;""),'Skill Matrix'!O5,"")</f>
        <v/>
      </c>
      <c r="G1308">
        <f>IF(OR(A1308="",'Skill Matrix'!O87=""),"",'Skill Matrix'!O87)</f>
        <v/>
      </c>
      <c r="H1308">
        <f>IF(A1308="","",'Employees'!F11)</f>
        <v/>
      </c>
    </row>
    <row r="1309">
      <c r="A1309">
        <f>IF(AND('Skill Matrix'!A87&lt;&gt;"",'Skill Matrix'!P5&lt;&gt;""),'Skill Matrix'!A87,"")</f>
        <v/>
      </c>
      <c r="B1309">
        <f>IF(A1309="","",'Employees'!C11)</f>
        <v/>
      </c>
      <c r="C1309">
        <f>IF(A1309="","",'Employees'!D11)</f>
        <v/>
      </c>
      <c r="D1309">
        <f>IF(A1309="","",'Skill Matrix'!C87)</f>
        <v/>
      </c>
      <c r="E1309">
        <f>IF(A1309="","",'Skill Matrix'!D87)</f>
        <v/>
      </c>
      <c r="F1309">
        <f>IF(AND('Skill Matrix'!A87&lt;&gt;"",'Skill Matrix'!P5&lt;&gt;""),'Skill Matrix'!P5,"")</f>
        <v/>
      </c>
      <c r="G1309">
        <f>IF(OR(A1309="",'Skill Matrix'!P87=""),"",'Skill Matrix'!P87)</f>
        <v/>
      </c>
      <c r="H1309">
        <f>IF(A1309="","",'Employees'!F11)</f>
        <v/>
      </c>
    </row>
    <row r="1310">
      <c r="A1310">
        <f>IF(AND('Skill Matrix'!A87&lt;&gt;"",'Skill Matrix'!Q5&lt;&gt;""),'Skill Matrix'!A87,"")</f>
        <v/>
      </c>
      <c r="B1310">
        <f>IF(A1310="","",'Employees'!C11)</f>
        <v/>
      </c>
      <c r="C1310">
        <f>IF(A1310="","",'Employees'!D11)</f>
        <v/>
      </c>
      <c r="D1310">
        <f>IF(A1310="","",'Skill Matrix'!C87)</f>
        <v/>
      </c>
      <c r="E1310">
        <f>IF(A1310="","",'Skill Matrix'!D87)</f>
        <v/>
      </c>
      <c r="F1310">
        <f>IF(AND('Skill Matrix'!A87&lt;&gt;"",'Skill Matrix'!Q5&lt;&gt;""),'Skill Matrix'!Q5,"")</f>
        <v/>
      </c>
      <c r="G1310">
        <f>IF(OR(A1310="",'Skill Matrix'!Q87=""),"",'Skill Matrix'!Q87)</f>
        <v/>
      </c>
      <c r="H1310">
        <f>IF(A1310="","",'Employees'!F11)</f>
        <v/>
      </c>
    </row>
    <row r="1311">
      <c r="A1311">
        <f>IF(AND('Skill Matrix'!A87&lt;&gt;"",'Skill Matrix'!R5&lt;&gt;""),'Skill Matrix'!A87,"")</f>
        <v/>
      </c>
      <c r="B1311">
        <f>IF(A1311="","",'Employees'!C11)</f>
        <v/>
      </c>
      <c r="C1311">
        <f>IF(A1311="","",'Employees'!D11)</f>
        <v/>
      </c>
      <c r="D1311">
        <f>IF(A1311="","",'Skill Matrix'!C87)</f>
        <v/>
      </c>
      <c r="E1311">
        <f>IF(A1311="","",'Skill Matrix'!D87)</f>
        <v/>
      </c>
      <c r="F1311">
        <f>IF(AND('Skill Matrix'!A87&lt;&gt;"",'Skill Matrix'!R5&lt;&gt;""),'Skill Matrix'!R5,"")</f>
        <v/>
      </c>
      <c r="G1311">
        <f>IF(OR(A1311="",'Skill Matrix'!R87=""),"",'Skill Matrix'!R87)</f>
        <v/>
      </c>
      <c r="H1311">
        <f>IF(A1311="","",'Employees'!F11)</f>
        <v/>
      </c>
    </row>
    <row r="1312">
      <c r="A1312">
        <f>IF(AND('Skill Matrix'!A87&lt;&gt;"",'Skill Matrix'!S5&lt;&gt;""),'Skill Matrix'!A87,"")</f>
        <v/>
      </c>
      <c r="B1312">
        <f>IF(A1312="","",'Employees'!C11)</f>
        <v/>
      </c>
      <c r="C1312">
        <f>IF(A1312="","",'Employees'!D11)</f>
        <v/>
      </c>
      <c r="D1312">
        <f>IF(A1312="","",'Skill Matrix'!C87)</f>
        <v/>
      </c>
      <c r="E1312">
        <f>IF(A1312="","",'Skill Matrix'!D87)</f>
        <v/>
      </c>
      <c r="F1312">
        <f>IF(AND('Skill Matrix'!A87&lt;&gt;"",'Skill Matrix'!S5&lt;&gt;""),'Skill Matrix'!S5,"")</f>
        <v/>
      </c>
      <c r="G1312">
        <f>IF(OR(A1312="",'Skill Matrix'!S87=""),"",'Skill Matrix'!S87)</f>
        <v/>
      </c>
      <c r="H1312">
        <f>IF(A1312="","",'Employees'!F11)</f>
        <v/>
      </c>
    </row>
    <row r="1313">
      <c r="A1313">
        <f>IF(AND('Skill Matrix'!A87&lt;&gt;"",'Skill Matrix'!T5&lt;&gt;""),'Skill Matrix'!A87,"")</f>
        <v/>
      </c>
      <c r="B1313">
        <f>IF(A1313="","",'Employees'!C11)</f>
        <v/>
      </c>
      <c r="C1313">
        <f>IF(A1313="","",'Employees'!D11)</f>
        <v/>
      </c>
      <c r="D1313">
        <f>IF(A1313="","",'Skill Matrix'!C87)</f>
        <v/>
      </c>
      <c r="E1313">
        <f>IF(A1313="","",'Skill Matrix'!D87)</f>
        <v/>
      </c>
      <c r="F1313">
        <f>IF(AND('Skill Matrix'!A87&lt;&gt;"",'Skill Matrix'!T5&lt;&gt;""),'Skill Matrix'!T5,"")</f>
        <v/>
      </c>
      <c r="G1313">
        <f>IF(OR(A1313="",'Skill Matrix'!T87=""),"",'Skill Matrix'!T87)</f>
        <v/>
      </c>
      <c r="H1313">
        <f>IF(A1313="","",'Employees'!F11)</f>
        <v/>
      </c>
    </row>
    <row r="1314">
      <c r="A1314">
        <f>IF(AND('Skill Matrix'!A88&lt;&gt;"",'Skill Matrix'!E5&lt;&gt;""),'Skill Matrix'!A88,"")</f>
        <v/>
      </c>
      <c r="B1314">
        <f>IF(A1314="","",'Employees'!C11)</f>
        <v/>
      </c>
      <c r="C1314">
        <f>IF(A1314="","",'Employees'!D11)</f>
        <v/>
      </c>
      <c r="D1314">
        <f>IF(A1314="","",'Skill Matrix'!C88)</f>
        <v/>
      </c>
      <c r="E1314">
        <f>IF(A1314="","",'Skill Matrix'!D88)</f>
        <v/>
      </c>
      <c r="F1314">
        <f>IF(AND('Skill Matrix'!A88&lt;&gt;"",'Skill Matrix'!E5&lt;&gt;""),'Skill Matrix'!E5,"")</f>
        <v/>
      </c>
      <c r="G1314">
        <f>IF(OR(A1314="",'Skill Matrix'!E88=""),"",'Skill Matrix'!E88)</f>
        <v/>
      </c>
      <c r="H1314">
        <f>IF(A1314="","",'Employees'!F11)</f>
        <v/>
      </c>
    </row>
    <row r="1315">
      <c r="A1315">
        <f>IF(AND('Skill Matrix'!A88&lt;&gt;"",'Skill Matrix'!F5&lt;&gt;""),'Skill Matrix'!A88,"")</f>
        <v/>
      </c>
      <c r="B1315">
        <f>IF(A1315="","",'Employees'!C11)</f>
        <v/>
      </c>
      <c r="C1315">
        <f>IF(A1315="","",'Employees'!D11)</f>
        <v/>
      </c>
      <c r="D1315">
        <f>IF(A1315="","",'Skill Matrix'!C88)</f>
        <v/>
      </c>
      <c r="E1315">
        <f>IF(A1315="","",'Skill Matrix'!D88)</f>
        <v/>
      </c>
      <c r="F1315">
        <f>IF(AND('Skill Matrix'!A88&lt;&gt;"",'Skill Matrix'!F5&lt;&gt;""),'Skill Matrix'!F5,"")</f>
        <v/>
      </c>
      <c r="G1315">
        <f>IF(OR(A1315="",'Skill Matrix'!F88=""),"",'Skill Matrix'!F88)</f>
        <v/>
      </c>
      <c r="H1315">
        <f>IF(A1315="","",'Employees'!F11)</f>
        <v/>
      </c>
    </row>
    <row r="1316">
      <c r="A1316">
        <f>IF(AND('Skill Matrix'!A88&lt;&gt;"",'Skill Matrix'!G5&lt;&gt;""),'Skill Matrix'!A88,"")</f>
        <v/>
      </c>
      <c r="B1316">
        <f>IF(A1316="","",'Employees'!C11)</f>
        <v/>
      </c>
      <c r="C1316">
        <f>IF(A1316="","",'Employees'!D11)</f>
        <v/>
      </c>
      <c r="D1316">
        <f>IF(A1316="","",'Skill Matrix'!C88)</f>
        <v/>
      </c>
      <c r="E1316">
        <f>IF(A1316="","",'Skill Matrix'!D88)</f>
        <v/>
      </c>
      <c r="F1316">
        <f>IF(AND('Skill Matrix'!A88&lt;&gt;"",'Skill Matrix'!G5&lt;&gt;""),'Skill Matrix'!G5,"")</f>
        <v/>
      </c>
      <c r="G1316">
        <f>IF(OR(A1316="",'Skill Matrix'!G88=""),"",'Skill Matrix'!G88)</f>
        <v/>
      </c>
      <c r="H1316">
        <f>IF(A1316="","",'Employees'!F11)</f>
        <v/>
      </c>
    </row>
    <row r="1317">
      <c r="A1317">
        <f>IF(AND('Skill Matrix'!A88&lt;&gt;"",'Skill Matrix'!H5&lt;&gt;""),'Skill Matrix'!A88,"")</f>
        <v/>
      </c>
      <c r="B1317">
        <f>IF(A1317="","",'Employees'!C11)</f>
        <v/>
      </c>
      <c r="C1317">
        <f>IF(A1317="","",'Employees'!D11)</f>
        <v/>
      </c>
      <c r="D1317">
        <f>IF(A1317="","",'Skill Matrix'!C88)</f>
        <v/>
      </c>
      <c r="E1317">
        <f>IF(A1317="","",'Skill Matrix'!D88)</f>
        <v/>
      </c>
      <c r="F1317">
        <f>IF(AND('Skill Matrix'!A88&lt;&gt;"",'Skill Matrix'!H5&lt;&gt;""),'Skill Matrix'!H5,"")</f>
        <v/>
      </c>
      <c r="G1317">
        <f>IF(OR(A1317="",'Skill Matrix'!H88=""),"",'Skill Matrix'!H88)</f>
        <v/>
      </c>
      <c r="H1317">
        <f>IF(A1317="","",'Employees'!F11)</f>
        <v/>
      </c>
    </row>
    <row r="1318">
      <c r="A1318">
        <f>IF(AND('Skill Matrix'!A88&lt;&gt;"",'Skill Matrix'!I5&lt;&gt;""),'Skill Matrix'!A88,"")</f>
        <v/>
      </c>
      <c r="B1318">
        <f>IF(A1318="","",'Employees'!C11)</f>
        <v/>
      </c>
      <c r="C1318">
        <f>IF(A1318="","",'Employees'!D11)</f>
        <v/>
      </c>
      <c r="D1318">
        <f>IF(A1318="","",'Skill Matrix'!C88)</f>
        <v/>
      </c>
      <c r="E1318">
        <f>IF(A1318="","",'Skill Matrix'!D88)</f>
        <v/>
      </c>
      <c r="F1318">
        <f>IF(AND('Skill Matrix'!A88&lt;&gt;"",'Skill Matrix'!I5&lt;&gt;""),'Skill Matrix'!I5,"")</f>
        <v/>
      </c>
      <c r="G1318">
        <f>IF(OR(A1318="",'Skill Matrix'!I88=""),"",'Skill Matrix'!I88)</f>
        <v/>
      </c>
      <c r="H1318">
        <f>IF(A1318="","",'Employees'!F11)</f>
        <v/>
      </c>
    </row>
    <row r="1319">
      <c r="A1319">
        <f>IF(AND('Skill Matrix'!A88&lt;&gt;"",'Skill Matrix'!J5&lt;&gt;""),'Skill Matrix'!A88,"")</f>
        <v/>
      </c>
      <c r="B1319">
        <f>IF(A1319="","",'Employees'!C11)</f>
        <v/>
      </c>
      <c r="C1319">
        <f>IF(A1319="","",'Employees'!D11)</f>
        <v/>
      </c>
      <c r="D1319">
        <f>IF(A1319="","",'Skill Matrix'!C88)</f>
        <v/>
      </c>
      <c r="E1319">
        <f>IF(A1319="","",'Skill Matrix'!D88)</f>
        <v/>
      </c>
      <c r="F1319">
        <f>IF(AND('Skill Matrix'!A88&lt;&gt;"",'Skill Matrix'!J5&lt;&gt;""),'Skill Matrix'!J5,"")</f>
        <v/>
      </c>
      <c r="G1319">
        <f>IF(OR(A1319="",'Skill Matrix'!J88=""),"",'Skill Matrix'!J88)</f>
        <v/>
      </c>
      <c r="H1319">
        <f>IF(A1319="","",'Employees'!F11)</f>
        <v/>
      </c>
    </row>
    <row r="1320">
      <c r="A1320">
        <f>IF(AND('Skill Matrix'!A88&lt;&gt;"",'Skill Matrix'!K5&lt;&gt;""),'Skill Matrix'!A88,"")</f>
        <v/>
      </c>
      <c r="B1320">
        <f>IF(A1320="","",'Employees'!C11)</f>
        <v/>
      </c>
      <c r="C1320">
        <f>IF(A1320="","",'Employees'!D11)</f>
        <v/>
      </c>
      <c r="D1320">
        <f>IF(A1320="","",'Skill Matrix'!C88)</f>
        <v/>
      </c>
      <c r="E1320">
        <f>IF(A1320="","",'Skill Matrix'!D88)</f>
        <v/>
      </c>
      <c r="F1320">
        <f>IF(AND('Skill Matrix'!A88&lt;&gt;"",'Skill Matrix'!K5&lt;&gt;""),'Skill Matrix'!K5,"")</f>
        <v/>
      </c>
      <c r="G1320">
        <f>IF(OR(A1320="",'Skill Matrix'!K88=""),"",'Skill Matrix'!K88)</f>
        <v/>
      </c>
      <c r="H1320">
        <f>IF(A1320="","",'Employees'!F11)</f>
        <v/>
      </c>
    </row>
    <row r="1321">
      <c r="A1321">
        <f>IF(AND('Skill Matrix'!A88&lt;&gt;"",'Skill Matrix'!L5&lt;&gt;""),'Skill Matrix'!A88,"")</f>
        <v/>
      </c>
      <c r="B1321">
        <f>IF(A1321="","",'Employees'!C11)</f>
        <v/>
      </c>
      <c r="C1321">
        <f>IF(A1321="","",'Employees'!D11)</f>
        <v/>
      </c>
      <c r="D1321">
        <f>IF(A1321="","",'Skill Matrix'!C88)</f>
        <v/>
      </c>
      <c r="E1321">
        <f>IF(A1321="","",'Skill Matrix'!D88)</f>
        <v/>
      </c>
      <c r="F1321">
        <f>IF(AND('Skill Matrix'!A88&lt;&gt;"",'Skill Matrix'!L5&lt;&gt;""),'Skill Matrix'!L5,"")</f>
        <v/>
      </c>
      <c r="G1321">
        <f>IF(OR(A1321="",'Skill Matrix'!L88=""),"",'Skill Matrix'!L88)</f>
        <v/>
      </c>
      <c r="H1321">
        <f>IF(A1321="","",'Employees'!F11)</f>
        <v/>
      </c>
    </row>
    <row r="1322">
      <c r="A1322">
        <f>IF(AND('Skill Matrix'!A88&lt;&gt;"",'Skill Matrix'!M5&lt;&gt;""),'Skill Matrix'!A88,"")</f>
        <v/>
      </c>
      <c r="B1322">
        <f>IF(A1322="","",'Employees'!C11)</f>
        <v/>
      </c>
      <c r="C1322">
        <f>IF(A1322="","",'Employees'!D11)</f>
        <v/>
      </c>
      <c r="D1322">
        <f>IF(A1322="","",'Skill Matrix'!C88)</f>
        <v/>
      </c>
      <c r="E1322">
        <f>IF(A1322="","",'Skill Matrix'!D88)</f>
        <v/>
      </c>
      <c r="F1322">
        <f>IF(AND('Skill Matrix'!A88&lt;&gt;"",'Skill Matrix'!M5&lt;&gt;""),'Skill Matrix'!M5,"")</f>
        <v/>
      </c>
      <c r="G1322">
        <f>IF(OR(A1322="",'Skill Matrix'!M88=""),"",'Skill Matrix'!M88)</f>
        <v/>
      </c>
      <c r="H1322">
        <f>IF(A1322="","",'Employees'!F11)</f>
        <v/>
      </c>
    </row>
    <row r="1323">
      <c r="A1323">
        <f>IF(AND('Skill Matrix'!A88&lt;&gt;"",'Skill Matrix'!N5&lt;&gt;""),'Skill Matrix'!A88,"")</f>
        <v/>
      </c>
      <c r="B1323">
        <f>IF(A1323="","",'Employees'!C11)</f>
        <v/>
      </c>
      <c r="C1323">
        <f>IF(A1323="","",'Employees'!D11)</f>
        <v/>
      </c>
      <c r="D1323">
        <f>IF(A1323="","",'Skill Matrix'!C88)</f>
        <v/>
      </c>
      <c r="E1323">
        <f>IF(A1323="","",'Skill Matrix'!D88)</f>
        <v/>
      </c>
      <c r="F1323">
        <f>IF(AND('Skill Matrix'!A88&lt;&gt;"",'Skill Matrix'!N5&lt;&gt;""),'Skill Matrix'!N5,"")</f>
        <v/>
      </c>
      <c r="G1323">
        <f>IF(OR(A1323="",'Skill Matrix'!N88=""),"",'Skill Matrix'!N88)</f>
        <v/>
      </c>
      <c r="H1323">
        <f>IF(A1323="","",'Employees'!F11)</f>
        <v/>
      </c>
    </row>
    <row r="1324">
      <c r="A1324">
        <f>IF(AND('Skill Matrix'!A88&lt;&gt;"",'Skill Matrix'!O5&lt;&gt;""),'Skill Matrix'!A88,"")</f>
        <v/>
      </c>
      <c r="B1324">
        <f>IF(A1324="","",'Employees'!C11)</f>
        <v/>
      </c>
      <c r="C1324">
        <f>IF(A1324="","",'Employees'!D11)</f>
        <v/>
      </c>
      <c r="D1324">
        <f>IF(A1324="","",'Skill Matrix'!C88)</f>
        <v/>
      </c>
      <c r="E1324">
        <f>IF(A1324="","",'Skill Matrix'!D88)</f>
        <v/>
      </c>
      <c r="F1324">
        <f>IF(AND('Skill Matrix'!A88&lt;&gt;"",'Skill Matrix'!O5&lt;&gt;""),'Skill Matrix'!O5,"")</f>
        <v/>
      </c>
      <c r="G1324">
        <f>IF(OR(A1324="",'Skill Matrix'!O88=""),"",'Skill Matrix'!O88)</f>
        <v/>
      </c>
      <c r="H1324">
        <f>IF(A1324="","",'Employees'!F11)</f>
        <v/>
      </c>
    </row>
    <row r="1325">
      <c r="A1325">
        <f>IF(AND('Skill Matrix'!A88&lt;&gt;"",'Skill Matrix'!P5&lt;&gt;""),'Skill Matrix'!A88,"")</f>
        <v/>
      </c>
      <c r="B1325">
        <f>IF(A1325="","",'Employees'!C11)</f>
        <v/>
      </c>
      <c r="C1325">
        <f>IF(A1325="","",'Employees'!D11)</f>
        <v/>
      </c>
      <c r="D1325">
        <f>IF(A1325="","",'Skill Matrix'!C88)</f>
        <v/>
      </c>
      <c r="E1325">
        <f>IF(A1325="","",'Skill Matrix'!D88)</f>
        <v/>
      </c>
      <c r="F1325">
        <f>IF(AND('Skill Matrix'!A88&lt;&gt;"",'Skill Matrix'!P5&lt;&gt;""),'Skill Matrix'!P5,"")</f>
        <v/>
      </c>
      <c r="G1325">
        <f>IF(OR(A1325="",'Skill Matrix'!P88=""),"",'Skill Matrix'!P88)</f>
        <v/>
      </c>
      <c r="H1325">
        <f>IF(A1325="","",'Employees'!F11)</f>
        <v/>
      </c>
    </row>
    <row r="1326">
      <c r="A1326">
        <f>IF(AND('Skill Matrix'!A88&lt;&gt;"",'Skill Matrix'!Q5&lt;&gt;""),'Skill Matrix'!A88,"")</f>
        <v/>
      </c>
      <c r="B1326">
        <f>IF(A1326="","",'Employees'!C11)</f>
        <v/>
      </c>
      <c r="C1326">
        <f>IF(A1326="","",'Employees'!D11)</f>
        <v/>
      </c>
      <c r="D1326">
        <f>IF(A1326="","",'Skill Matrix'!C88)</f>
        <v/>
      </c>
      <c r="E1326">
        <f>IF(A1326="","",'Skill Matrix'!D88)</f>
        <v/>
      </c>
      <c r="F1326">
        <f>IF(AND('Skill Matrix'!A88&lt;&gt;"",'Skill Matrix'!Q5&lt;&gt;""),'Skill Matrix'!Q5,"")</f>
        <v/>
      </c>
      <c r="G1326">
        <f>IF(OR(A1326="",'Skill Matrix'!Q88=""),"",'Skill Matrix'!Q88)</f>
        <v/>
      </c>
      <c r="H1326">
        <f>IF(A1326="","",'Employees'!F11)</f>
        <v/>
      </c>
    </row>
    <row r="1327">
      <c r="A1327">
        <f>IF(AND('Skill Matrix'!A88&lt;&gt;"",'Skill Matrix'!R5&lt;&gt;""),'Skill Matrix'!A88,"")</f>
        <v/>
      </c>
      <c r="B1327">
        <f>IF(A1327="","",'Employees'!C11)</f>
        <v/>
      </c>
      <c r="C1327">
        <f>IF(A1327="","",'Employees'!D11)</f>
        <v/>
      </c>
      <c r="D1327">
        <f>IF(A1327="","",'Skill Matrix'!C88)</f>
        <v/>
      </c>
      <c r="E1327">
        <f>IF(A1327="","",'Skill Matrix'!D88)</f>
        <v/>
      </c>
      <c r="F1327">
        <f>IF(AND('Skill Matrix'!A88&lt;&gt;"",'Skill Matrix'!R5&lt;&gt;""),'Skill Matrix'!R5,"")</f>
        <v/>
      </c>
      <c r="G1327">
        <f>IF(OR(A1327="",'Skill Matrix'!R88=""),"",'Skill Matrix'!R88)</f>
        <v/>
      </c>
      <c r="H1327">
        <f>IF(A1327="","",'Employees'!F11)</f>
        <v/>
      </c>
    </row>
    <row r="1328">
      <c r="A1328">
        <f>IF(AND('Skill Matrix'!A88&lt;&gt;"",'Skill Matrix'!S5&lt;&gt;""),'Skill Matrix'!A88,"")</f>
        <v/>
      </c>
      <c r="B1328">
        <f>IF(A1328="","",'Employees'!C11)</f>
        <v/>
      </c>
      <c r="C1328">
        <f>IF(A1328="","",'Employees'!D11)</f>
        <v/>
      </c>
      <c r="D1328">
        <f>IF(A1328="","",'Skill Matrix'!C88)</f>
        <v/>
      </c>
      <c r="E1328">
        <f>IF(A1328="","",'Skill Matrix'!D88)</f>
        <v/>
      </c>
      <c r="F1328">
        <f>IF(AND('Skill Matrix'!A88&lt;&gt;"",'Skill Matrix'!S5&lt;&gt;""),'Skill Matrix'!S5,"")</f>
        <v/>
      </c>
      <c r="G1328">
        <f>IF(OR(A1328="",'Skill Matrix'!S88=""),"",'Skill Matrix'!S88)</f>
        <v/>
      </c>
      <c r="H1328">
        <f>IF(A1328="","",'Employees'!F11)</f>
        <v/>
      </c>
    </row>
    <row r="1329">
      <c r="A1329">
        <f>IF(AND('Skill Matrix'!A88&lt;&gt;"",'Skill Matrix'!T5&lt;&gt;""),'Skill Matrix'!A88,"")</f>
        <v/>
      </c>
      <c r="B1329">
        <f>IF(A1329="","",'Employees'!C11)</f>
        <v/>
      </c>
      <c r="C1329">
        <f>IF(A1329="","",'Employees'!D11)</f>
        <v/>
      </c>
      <c r="D1329">
        <f>IF(A1329="","",'Skill Matrix'!C88)</f>
        <v/>
      </c>
      <c r="E1329">
        <f>IF(A1329="","",'Skill Matrix'!D88)</f>
        <v/>
      </c>
      <c r="F1329">
        <f>IF(AND('Skill Matrix'!A88&lt;&gt;"",'Skill Matrix'!T5&lt;&gt;""),'Skill Matrix'!T5,"")</f>
        <v/>
      </c>
      <c r="G1329">
        <f>IF(OR(A1329="",'Skill Matrix'!T88=""),"",'Skill Matrix'!T88)</f>
        <v/>
      </c>
      <c r="H1329">
        <f>IF(A1329="","",'Employees'!F11)</f>
        <v/>
      </c>
    </row>
    <row r="1330">
      <c r="A1330">
        <f>IF(AND('Skill Matrix'!A89&lt;&gt;"",'Skill Matrix'!E5&lt;&gt;""),'Skill Matrix'!A89,"")</f>
        <v/>
      </c>
      <c r="B1330">
        <f>IF(A1330="","",'Employees'!C11)</f>
        <v/>
      </c>
      <c r="C1330">
        <f>IF(A1330="","",'Employees'!D11)</f>
        <v/>
      </c>
      <c r="D1330">
        <f>IF(A1330="","",'Skill Matrix'!C89)</f>
        <v/>
      </c>
      <c r="E1330">
        <f>IF(A1330="","",'Skill Matrix'!D89)</f>
        <v/>
      </c>
      <c r="F1330">
        <f>IF(AND('Skill Matrix'!A89&lt;&gt;"",'Skill Matrix'!E5&lt;&gt;""),'Skill Matrix'!E5,"")</f>
        <v/>
      </c>
      <c r="G1330">
        <f>IF(OR(A1330="",'Skill Matrix'!E89=""),"",'Skill Matrix'!E89)</f>
        <v/>
      </c>
      <c r="H1330">
        <f>IF(A1330="","",'Employees'!F11)</f>
        <v/>
      </c>
    </row>
    <row r="1331">
      <c r="A1331">
        <f>IF(AND('Skill Matrix'!A89&lt;&gt;"",'Skill Matrix'!F5&lt;&gt;""),'Skill Matrix'!A89,"")</f>
        <v/>
      </c>
      <c r="B1331">
        <f>IF(A1331="","",'Employees'!C11)</f>
        <v/>
      </c>
      <c r="C1331">
        <f>IF(A1331="","",'Employees'!D11)</f>
        <v/>
      </c>
      <c r="D1331">
        <f>IF(A1331="","",'Skill Matrix'!C89)</f>
        <v/>
      </c>
      <c r="E1331">
        <f>IF(A1331="","",'Skill Matrix'!D89)</f>
        <v/>
      </c>
      <c r="F1331">
        <f>IF(AND('Skill Matrix'!A89&lt;&gt;"",'Skill Matrix'!F5&lt;&gt;""),'Skill Matrix'!F5,"")</f>
        <v/>
      </c>
      <c r="G1331">
        <f>IF(OR(A1331="",'Skill Matrix'!F89=""),"",'Skill Matrix'!F89)</f>
        <v/>
      </c>
      <c r="H1331">
        <f>IF(A1331="","",'Employees'!F11)</f>
        <v/>
      </c>
    </row>
    <row r="1332">
      <c r="A1332">
        <f>IF(AND('Skill Matrix'!A89&lt;&gt;"",'Skill Matrix'!G5&lt;&gt;""),'Skill Matrix'!A89,"")</f>
        <v/>
      </c>
      <c r="B1332">
        <f>IF(A1332="","",'Employees'!C11)</f>
        <v/>
      </c>
      <c r="C1332">
        <f>IF(A1332="","",'Employees'!D11)</f>
        <v/>
      </c>
      <c r="D1332">
        <f>IF(A1332="","",'Skill Matrix'!C89)</f>
        <v/>
      </c>
      <c r="E1332">
        <f>IF(A1332="","",'Skill Matrix'!D89)</f>
        <v/>
      </c>
      <c r="F1332">
        <f>IF(AND('Skill Matrix'!A89&lt;&gt;"",'Skill Matrix'!G5&lt;&gt;""),'Skill Matrix'!G5,"")</f>
        <v/>
      </c>
      <c r="G1332">
        <f>IF(OR(A1332="",'Skill Matrix'!G89=""),"",'Skill Matrix'!G89)</f>
        <v/>
      </c>
      <c r="H1332">
        <f>IF(A1332="","",'Employees'!F11)</f>
        <v/>
      </c>
    </row>
    <row r="1333">
      <c r="A1333">
        <f>IF(AND('Skill Matrix'!A89&lt;&gt;"",'Skill Matrix'!H5&lt;&gt;""),'Skill Matrix'!A89,"")</f>
        <v/>
      </c>
      <c r="B1333">
        <f>IF(A1333="","",'Employees'!C11)</f>
        <v/>
      </c>
      <c r="C1333">
        <f>IF(A1333="","",'Employees'!D11)</f>
        <v/>
      </c>
      <c r="D1333">
        <f>IF(A1333="","",'Skill Matrix'!C89)</f>
        <v/>
      </c>
      <c r="E1333">
        <f>IF(A1333="","",'Skill Matrix'!D89)</f>
        <v/>
      </c>
      <c r="F1333">
        <f>IF(AND('Skill Matrix'!A89&lt;&gt;"",'Skill Matrix'!H5&lt;&gt;""),'Skill Matrix'!H5,"")</f>
        <v/>
      </c>
      <c r="G1333">
        <f>IF(OR(A1333="",'Skill Matrix'!H89=""),"",'Skill Matrix'!H89)</f>
        <v/>
      </c>
      <c r="H1333">
        <f>IF(A1333="","",'Employees'!F11)</f>
        <v/>
      </c>
    </row>
    <row r="1334">
      <c r="A1334">
        <f>IF(AND('Skill Matrix'!A89&lt;&gt;"",'Skill Matrix'!I5&lt;&gt;""),'Skill Matrix'!A89,"")</f>
        <v/>
      </c>
      <c r="B1334">
        <f>IF(A1334="","",'Employees'!C11)</f>
        <v/>
      </c>
      <c r="C1334">
        <f>IF(A1334="","",'Employees'!D11)</f>
        <v/>
      </c>
      <c r="D1334">
        <f>IF(A1334="","",'Skill Matrix'!C89)</f>
        <v/>
      </c>
      <c r="E1334">
        <f>IF(A1334="","",'Skill Matrix'!D89)</f>
        <v/>
      </c>
      <c r="F1334">
        <f>IF(AND('Skill Matrix'!A89&lt;&gt;"",'Skill Matrix'!I5&lt;&gt;""),'Skill Matrix'!I5,"")</f>
        <v/>
      </c>
      <c r="G1334">
        <f>IF(OR(A1334="",'Skill Matrix'!I89=""),"",'Skill Matrix'!I89)</f>
        <v/>
      </c>
      <c r="H1334">
        <f>IF(A1334="","",'Employees'!F11)</f>
        <v/>
      </c>
    </row>
    <row r="1335">
      <c r="A1335">
        <f>IF(AND('Skill Matrix'!A89&lt;&gt;"",'Skill Matrix'!J5&lt;&gt;""),'Skill Matrix'!A89,"")</f>
        <v/>
      </c>
      <c r="B1335">
        <f>IF(A1335="","",'Employees'!C11)</f>
        <v/>
      </c>
      <c r="C1335">
        <f>IF(A1335="","",'Employees'!D11)</f>
        <v/>
      </c>
      <c r="D1335">
        <f>IF(A1335="","",'Skill Matrix'!C89)</f>
        <v/>
      </c>
      <c r="E1335">
        <f>IF(A1335="","",'Skill Matrix'!D89)</f>
        <v/>
      </c>
      <c r="F1335">
        <f>IF(AND('Skill Matrix'!A89&lt;&gt;"",'Skill Matrix'!J5&lt;&gt;""),'Skill Matrix'!J5,"")</f>
        <v/>
      </c>
      <c r="G1335">
        <f>IF(OR(A1335="",'Skill Matrix'!J89=""),"",'Skill Matrix'!J89)</f>
        <v/>
      </c>
      <c r="H1335">
        <f>IF(A1335="","",'Employees'!F11)</f>
        <v/>
      </c>
    </row>
    <row r="1336">
      <c r="A1336">
        <f>IF(AND('Skill Matrix'!A89&lt;&gt;"",'Skill Matrix'!K5&lt;&gt;""),'Skill Matrix'!A89,"")</f>
        <v/>
      </c>
      <c r="B1336">
        <f>IF(A1336="","",'Employees'!C11)</f>
        <v/>
      </c>
      <c r="C1336">
        <f>IF(A1336="","",'Employees'!D11)</f>
        <v/>
      </c>
      <c r="D1336">
        <f>IF(A1336="","",'Skill Matrix'!C89)</f>
        <v/>
      </c>
      <c r="E1336">
        <f>IF(A1336="","",'Skill Matrix'!D89)</f>
        <v/>
      </c>
      <c r="F1336">
        <f>IF(AND('Skill Matrix'!A89&lt;&gt;"",'Skill Matrix'!K5&lt;&gt;""),'Skill Matrix'!K5,"")</f>
        <v/>
      </c>
      <c r="G1336">
        <f>IF(OR(A1336="",'Skill Matrix'!K89=""),"",'Skill Matrix'!K89)</f>
        <v/>
      </c>
      <c r="H1336">
        <f>IF(A1336="","",'Employees'!F11)</f>
        <v/>
      </c>
    </row>
    <row r="1337">
      <c r="A1337">
        <f>IF(AND('Skill Matrix'!A89&lt;&gt;"",'Skill Matrix'!L5&lt;&gt;""),'Skill Matrix'!A89,"")</f>
        <v/>
      </c>
      <c r="B1337">
        <f>IF(A1337="","",'Employees'!C11)</f>
        <v/>
      </c>
      <c r="C1337">
        <f>IF(A1337="","",'Employees'!D11)</f>
        <v/>
      </c>
      <c r="D1337">
        <f>IF(A1337="","",'Skill Matrix'!C89)</f>
        <v/>
      </c>
      <c r="E1337">
        <f>IF(A1337="","",'Skill Matrix'!D89)</f>
        <v/>
      </c>
      <c r="F1337">
        <f>IF(AND('Skill Matrix'!A89&lt;&gt;"",'Skill Matrix'!L5&lt;&gt;""),'Skill Matrix'!L5,"")</f>
        <v/>
      </c>
      <c r="G1337">
        <f>IF(OR(A1337="",'Skill Matrix'!L89=""),"",'Skill Matrix'!L89)</f>
        <v/>
      </c>
      <c r="H1337">
        <f>IF(A1337="","",'Employees'!F11)</f>
        <v/>
      </c>
    </row>
    <row r="1338">
      <c r="A1338">
        <f>IF(AND('Skill Matrix'!A89&lt;&gt;"",'Skill Matrix'!M5&lt;&gt;""),'Skill Matrix'!A89,"")</f>
        <v/>
      </c>
      <c r="B1338">
        <f>IF(A1338="","",'Employees'!C11)</f>
        <v/>
      </c>
      <c r="C1338">
        <f>IF(A1338="","",'Employees'!D11)</f>
        <v/>
      </c>
      <c r="D1338">
        <f>IF(A1338="","",'Skill Matrix'!C89)</f>
        <v/>
      </c>
      <c r="E1338">
        <f>IF(A1338="","",'Skill Matrix'!D89)</f>
        <v/>
      </c>
      <c r="F1338">
        <f>IF(AND('Skill Matrix'!A89&lt;&gt;"",'Skill Matrix'!M5&lt;&gt;""),'Skill Matrix'!M5,"")</f>
        <v/>
      </c>
      <c r="G1338">
        <f>IF(OR(A1338="",'Skill Matrix'!M89=""),"",'Skill Matrix'!M89)</f>
        <v/>
      </c>
      <c r="H1338">
        <f>IF(A1338="","",'Employees'!F11)</f>
        <v/>
      </c>
    </row>
    <row r="1339">
      <c r="A1339">
        <f>IF(AND('Skill Matrix'!A89&lt;&gt;"",'Skill Matrix'!N5&lt;&gt;""),'Skill Matrix'!A89,"")</f>
        <v/>
      </c>
      <c r="B1339">
        <f>IF(A1339="","",'Employees'!C11)</f>
        <v/>
      </c>
      <c r="C1339">
        <f>IF(A1339="","",'Employees'!D11)</f>
        <v/>
      </c>
      <c r="D1339">
        <f>IF(A1339="","",'Skill Matrix'!C89)</f>
        <v/>
      </c>
      <c r="E1339">
        <f>IF(A1339="","",'Skill Matrix'!D89)</f>
        <v/>
      </c>
      <c r="F1339">
        <f>IF(AND('Skill Matrix'!A89&lt;&gt;"",'Skill Matrix'!N5&lt;&gt;""),'Skill Matrix'!N5,"")</f>
        <v/>
      </c>
      <c r="G1339">
        <f>IF(OR(A1339="",'Skill Matrix'!N89=""),"",'Skill Matrix'!N89)</f>
        <v/>
      </c>
      <c r="H1339">
        <f>IF(A1339="","",'Employees'!F11)</f>
        <v/>
      </c>
    </row>
    <row r="1340">
      <c r="A1340">
        <f>IF(AND('Skill Matrix'!A89&lt;&gt;"",'Skill Matrix'!O5&lt;&gt;""),'Skill Matrix'!A89,"")</f>
        <v/>
      </c>
      <c r="B1340">
        <f>IF(A1340="","",'Employees'!C11)</f>
        <v/>
      </c>
      <c r="C1340">
        <f>IF(A1340="","",'Employees'!D11)</f>
        <v/>
      </c>
      <c r="D1340">
        <f>IF(A1340="","",'Skill Matrix'!C89)</f>
        <v/>
      </c>
      <c r="E1340">
        <f>IF(A1340="","",'Skill Matrix'!D89)</f>
        <v/>
      </c>
      <c r="F1340">
        <f>IF(AND('Skill Matrix'!A89&lt;&gt;"",'Skill Matrix'!O5&lt;&gt;""),'Skill Matrix'!O5,"")</f>
        <v/>
      </c>
      <c r="G1340">
        <f>IF(OR(A1340="",'Skill Matrix'!O89=""),"",'Skill Matrix'!O89)</f>
        <v/>
      </c>
      <c r="H1340">
        <f>IF(A1340="","",'Employees'!F11)</f>
        <v/>
      </c>
    </row>
    <row r="1341">
      <c r="A1341">
        <f>IF(AND('Skill Matrix'!A89&lt;&gt;"",'Skill Matrix'!P5&lt;&gt;""),'Skill Matrix'!A89,"")</f>
        <v/>
      </c>
      <c r="B1341">
        <f>IF(A1341="","",'Employees'!C11)</f>
        <v/>
      </c>
      <c r="C1341">
        <f>IF(A1341="","",'Employees'!D11)</f>
        <v/>
      </c>
      <c r="D1341">
        <f>IF(A1341="","",'Skill Matrix'!C89)</f>
        <v/>
      </c>
      <c r="E1341">
        <f>IF(A1341="","",'Skill Matrix'!D89)</f>
        <v/>
      </c>
      <c r="F1341">
        <f>IF(AND('Skill Matrix'!A89&lt;&gt;"",'Skill Matrix'!P5&lt;&gt;""),'Skill Matrix'!P5,"")</f>
        <v/>
      </c>
      <c r="G1341">
        <f>IF(OR(A1341="",'Skill Matrix'!P89=""),"",'Skill Matrix'!P89)</f>
        <v/>
      </c>
      <c r="H1341">
        <f>IF(A1341="","",'Employees'!F11)</f>
        <v/>
      </c>
    </row>
    <row r="1342">
      <c r="A1342">
        <f>IF(AND('Skill Matrix'!A89&lt;&gt;"",'Skill Matrix'!Q5&lt;&gt;""),'Skill Matrix'!A89,"")</f>
        <v/>
      </c>
      <c r="B1342">
        <f>IF(A1342="","",'Employees'!C11)</f>
        <v/>
      </c>
      <c r="C1342">
        <f>IF(A1342="","",'Employees'!D11)</f>
        <v/>
      </c>
      <c r="D1342">
        <f>IF(A1342="","",'Skill Matrix'!C89)</f>
        <v/>
      </c>
      <c r="E1342">
        <f>IF(A1342="","",'Skill Matrix'!D89)</f>
        <v/>
      </c>
      <c r="F1342">
        <f>IF(AND('Skill Matrix'!A89&lt;&gt;"",'Skill Matrix'!Q5&lt;&gt;""),'Skill Matrix'!Q5,"")</f>
        <v/>
      </c>
      <c r="G1342">
        <f>IF(OR(A1342="",'Skill Matrix'!Q89=""),"",'Skill Matrix'!Q89)</f>
        <v/>
      </c>
      <c r="H1342">
        <f>IF(A1342="","",'Employees'!F11)</f>
        <v/>
      </c>
    </row>
    <row r="1343">
      <c r="A1343">
        <f>IF(AND('Skill Matrix'!A89&lt;&gt;"",'Skill Matrix'!R5&lt;&gt;""),'Skill Matrix'!A89,"")</f>
        <v/>
      </c>
      <c r="B1343">
        <f>IF(A1343="","",'Employees'!C11)</f>
        <v/>
      </c>
      <c r="C1343">
        <f>IF(A1343="","",'Employees'!D11)</f>
        <v/>
      </c>
      <c r="D1343">
        <f>IF(A1343="","",'Skill Matrix'!C89)</f>
        <v/>
      </c>
      <c r="E1343">
        <f>IF(A1343="","",'Skill Matrix'!D89)</f>
        <v/>
      </c>
      <c r="F1343">
        <f>IF(AND('Skill Matrix'!A89&lt;&gt;"",'Skill Matrix'!R5&lt;&gt;""),'Skill Matrix'!R5,"")</f>
        <v/>
      </c>
      <c r="G1343">
        <f>IF(OR(A1343="",'Skill Matrix'!R89=""),"",'Skill Matrix'!R89)</f>
        <v/>
      </c>
      <c r="H1343">
        <f>IF(A1343="","",'Employees'!F11)</f>
        <v/>
      </c>
    </row>
    <row r="1344">
      <c r="A1344">
        <f>IF(AND('Skill Matrix'!A89&lt;&gt;"",'Skill Matrix'!S5&lt;&gt;""),'Skill Matrix'!A89,"")</f>
        <v/>
      </c>
      <c r="B1344">
        <f>IF(A1344="","",'Employees'!C11)</f>
        <v/>
      </c>
      <c r="C1344">
        <f>IF(A1344="","",'Employees'!D11)</f>
        <v/>
      </c>
      <c r="D1344">
        <f>IF(A1344="","",'Skill Matrix'!C89)</f>
        <v/>
      </c>
      <c r="E1344">
        <f>IF(A1344="","",'Skill Matrix'!D89)</f>
        <v/>
      </c>
      <c r="F1344">
        <f>IF(AND('Skill Matrix'!A89&lt;&gt;"",'Skill Matrix'!S5&lt;&gt;""),'Skill Matrix'!S5,"")</f>
        <v/>
      </c>
      <c r="G1344">
        <f>IF(OR(A1344="",'Skill Matrix'!S89=""),"",'Skill Matrix'!S89)</f>
        <v/>
      </c>
      <c r="H1344">
        <f>IF(A1344="","",'Employees'!F11)</f>
        <v/>
      </c>
    </row>
    <row r="1345">
      <c r="A1345">
        <f>IF(AND('Skill Matrix'!A89&lt;&gt;"",'Skill Matrix'!T5&lt;&gt;""),'Skill Matrix'!A89,"")</f>
        <v/>
      </c>
      <c r="B1345">
        <f>IF(A1345="","",'Employees'!C11)</f>
        <v/>
      </c>
      <c r="C1345">
        <f>IF(A1345="","",'Employees'!D11)</f>
        <v/>
      </c>
      <c r="D1345">
        <f>IF(A1345="","",'Skill Matrix'!C89)</f>
        <v/>
      </c>
      <c r="E1345">
        <f>IF(A1345="","",'Skill Matrix'!D89)</f>
        <v/>
      </c>
      <c r="F1345">
        <f>IF(AND('Skill Matrix'!A89&lt;&gt;"",'Skill Matrix'!T5&lt;&gt;""),'Skill Matrix'!T5,"")</f>
        <v/>
      </c>
      <c r="G1345">
        <f>IF(OR(A1345="",'Skill Matrix'!T89=""),"",'Skill Matrix'!T89)</f>
        <v/>
      </c>
      <c r="H1345">
        <f>IF(A1345="","",'Employees'!F11)</f>
        <v/>
      </c>
    </row>
    <row r="1346">
      <c r="A1346">
        <f>IF(AND('Skill Matrix'!A90&lt;&gt;"",'Skill Matrix'!E5&lt;&gt;""),'Skill Matrix'!A90,"")</f>
        <v/>
      </c>
      <c r="B1346">
        <f>IF(A1346="","",'Employees'!C11)</f>
        <v/>
      </c>
      <c r="C1346">
        <f>IF(A1346="","",'Employees'!D11)</f>
        <v/>
      </c>
      <c r="D1346">
        <f>IF(A1346="","",'Skill Matrix'!C90)</f>
        <v/>
      </c>
      <c r="E1346">
        <f>IF(A1346="","",'Skill Matrix'!D90)</f>
        <v/>
      </c>
      <c r="F1346">
        <f>IF(AND('Skill Matrix'!A90&lt;&gt;"",'Skill Matrix'!E5&lt;&gt;""),'Skill Matrix'!E5,"")</f>
        <v/>
      </c>
      <c r="G1346">
        <f>IF(OR(A1346="",'Skill Matrix'!E90=""),"",'Skill Matrix'!E90)</f>
        <v/>
      </c>
      <c r="H1346">
        <f>IF(A1346="","",'Employees'!F11)</f>
        <v/>
      </c>
    </row>
    <row r="1347">
      <c r="A1347">
        <f>IF(AND('Skill Matrix'!A90&lt;&gt;"",'Skill Matrix'!F5&lt;&gt;""),'Skill Matrix'!A90,"")</f>
        <v/>
      </c>
      <c r="B1347">
        <f>IF(A1347="","",'Employees'!C11)</f>
        <v/>
      </c>
      <c r="C1347">
        <f>IF(A1347="","",'Employees'!D11)</f>
        <v/>
      </c>
      <c r="D1347">
        <f>IF(A1347="","",'Skill Matrix'!C90)</f>
        <v/>
      </c>
      <c r="E1347">
        <f>IF(A1347="","",'Skill Matrix'!D90)</f>
        <v/>
      </c>
      <c r="F1347">
        <f>IF(AND('Skill Matrix'!A90&lt;&gt;"",'Skill Matrix'!F5&lt;&gt;""),'Skill Matrix'!F5,"")</f>
        <v/>
      </c>
      <c r="G1347">
        <f>IF(OR(A1347="",'Skill Matrix'!F90=""),"",'Skill Matrix'!F90)</f>
        <v/>
      </c>
      <c r="H1347">
        <f>IF(A1347="","",'Employees'!F11)</f>
        <v/>
      </c>
    </row>
    <row r="1348">
      <c r="A1348">
        <f>IF(AND('Skill Matrix'!A90&lt;&gt;"",'Skill Matrix'!G5&lt;&gt;""),'Skill Matrix'!A90,"")</f>
        <v/>
      </c>
      <c r="B1348">
        <f>IF(A1348="","",'Employees'!C11)</f>
        <v/>
      </c>
      <c r="C1348">
        <f>IF(A1348="","",'Employees'!D11)</f>
        <v/>
      </c>
      <c r="D1348">
        <f>IF(A1348="","",'Skill Matrix'!C90)</f>
        <v/>
      </c>
      <c r="E1348">
        <f>IF(A1348="","",'Skill Matrix'!D90)</f>
        <v/>
      </c>
      <c r="F1348">
        <f>IF(AND('Skill Matrix'!A90&lt;&gt;"",'Skill Matrix'!G5&lt;&gt;""),'Skill Matrix'!G5,"")</f>
        <v/>
      </c>
      <c r="G1348">
        <f>IF(OR(A1348="",'Skill Matrix'!G90=""),"",'Skill Matrix'!G90)</f>
        <v/>
      </c>
      <c r="H1348">
        <f>IF(A1348="","",'Employees'!F11)</f>
        <v/>
      </c>
    </row>
    <row r="1349">
      <c r="A1349">
        <f>IF(AND('Skill Matrix'!A90&lt;&gt;"",'Skill Matrix'!H5&lt;&gt;""),'Skill Matrix'!A90,"")</f>
        <v/>
      </c>
      <c r="B1349">
        <f>IF(A1349="","",'Employees'!C11)</f>
        <v/>
      </c>
      <c r="C1349">
        <f>IF(A1349="","",'Employees'!D11)</f>
        <v/>
      </c>
      <c r="D1349">
        <f>IF(A1349="","",'Skill Matrix'!C90)</f>
        <v/>
      </c>
      <c r="E1349">
        <f>IF(A1349="","",'Skill Matrix'!D90)</f>
        <v/>
      </c>
      <c r="F1349">
        <f>IF(AND('Skill Matrix'!A90&lt;&gt;"",'Skill Matrix'!H5&lt;&gt;""),'Skill Matrix'!H5,"")</f>
        <v/>
      </c>
      <c r="G1349">
        <f>IF(OR(A1349="",'Skill Matrix'!H90=""),"",'Skill Matrix'!H90)</f>
        <v/>
      </c>
      <c r="H1349">
        <f>IF(A1349="","",'Employees'!F11)</f>
        <v/>
      </c>
    </row>
    <row r="1350">
      <c r="A1350">
        <f>IF(AND('Skill Matrix'!A90&lt;&gt;"",'Skill Matrix'!I5&lt;&gt;""),'Skill Matrix'!A90,"")</f>
        <v/>
      </c>
      <c r="B1350">
        <f>IF(A1350="","",'Employees'!C11)</f>
        <v/>
      </c>
      <c r="C1350">
        <f>IF(A1350="","",'Employees'!D11)</f>
        <v/>
      </c>
      <c r="D1350">
        <f>IF(A1350="","",'Skill Matrix'!C90)</f>
        <v/>
      </c>
      <c r="E1350">
        <f>IF(A1350="","",'Skill Matrix'!D90)</f>
        <v/>
      </c>
      <c r="F1350">
        <f>IF(AND('Skill Matrix'!A90&lt;&gt;"",'Skill Matrix'!I5&lt;&gt;""),'Skill Matrix'!I5,"")</f>
        <v/>
      </c>
      <c r="G1350">
        <f>IF(OR(A1350="",'Skill Matrix'!I90=""),"",'Skill Matrix'!I90)</f>
        <v/>
      </c>
      <c r="H1350">
        <f>IF(A1350="","",'Employees'!F11)</f>
        <v/>
      </c>
    </row>
    <row r="1351">
      <c r="A1351">
        <f>IF(AND('Skill Matrix'!A90&lt;&gt;"",'Skill Matrix'!J5&lt;&gt;""),'Skill Matrix'!A90,"")</f>
        <v/>
      </c>
      <c r="B1351">
        <f>IF(A1351="","",'Employees'!C11)</f>
        <v/>
      </c>
      <c r="C1351">
        <f>IF(A1351="","",'Employees'!D11)</f>
        <v/>
      </c>
      <c r="D1351">
        <f>IF(A1351="","",'Skill Matrix'!C90)</f>
        <v/>
      </c>
      <c r="E1351">
        <f>IF(A1351="","",'Skill Matrix'!D90)</f>
        <v/>
      </c>
      <c r="F1351">
        <f>IF(AND('Skill Matrix'!A90&lt;&gt;"",'Skill Matrix'!J5&lt;&gt;""),'Skill Matrix'!J5,"")</f>
        <v/>
      </c>
      <c r="G1351">
        <f>IF(OR(A1351="",'Skill Matrix'!J90=""),"",'Skill Matrix'!J90)</f>
        <v/>
      </c>
      <c r="H1351">
        <f>IF(A1351="","",'Employees'!F11)</f>
        <v/>
      </c>
    </row>
    <row r="1352">
      <c r="A1352">
        <f>IF(AND('Skill Matrix'!A90&lt;&gt;"",'Skill Matrix'!K5&lt;&gt;""),'Skill Matrix'!A90,"")</f>
        <v/>
      </c>
      <c r="B1352">
        <f>IF(A1352="","",'Employees'!C11)</f>
        <v/>
      </c>
      <c r="C1352">
        <f>IF(A1352="","",'Employees'!D11)</f>
        <v/>
      </c>
      <c r="D1352">
        <f>IF(A1352="","",'Skill Matrix'!C90)</f>
        <v/>
      </c>
      <c r="E1352">
        <f>IF(A1352="","",'Skill Matrix'!D90)</f>
        <v/>
      </c>
      <c r="F1352">
        <f>IF(AND('Skill Matrix'!A90&lt;&gt;"",'Skill Matrix'!K5&lt;&gt;""),'Skill Matrix'!K5,"")</f>
        <v/>
      </c>
      <c r="G1352">
        <f>IF(OR(A1352="",'Skill Matrix'!K90=""),"",'Skill Matrix'!K90)</f>
        <v/>
      </c>
      <c r="H1352">
        <f>IF(A1352="","",'Employees'!F11)</f>
        <v/>
      </c>
    </row>
    <row r="1353">
      <c r="A1353">
        <f>IF(AND('Skill Matrix'!A90&lt;&gt;"",'Skill Matrix'!L5&lt;&gt;""),'Skill Matrix'!A90,"")</f>
        <v/>
      </c>
      <c r="B1353">
        <f>IF(A1353="","",'Employees'!C11)</f>
        <v/>
      </c>
      <c r="C1353">
        <f>IF(A1353="","",'Employees'!D11)</f>
        <v/>
      </c>
      <c r="D1353">
        <f>IF(A1353="","",'Skill Matrix'!C90)</f>
        <v/>
      </c>
      <c r="E1353">
        <f>IF(A1353="","",'Skill Matrix'!D90)</f>
        <v/>
      </c>
      <c r="F1353">
        <f>IF(AND('Skill Matrix'!A90&lt;&gt;"",'Skill Matrix'!L5&lt;&gt;""),'Skill Matrix'!L5,"")</f>
        <v/>
      </c>
      <c r="G1353">
        <f>IF(OR(A1353="",'Skill Matrix'!L90=""),"",'Skill Matrix'!L90)</f>
        <v/>
      </c>
      <c r="H1353">
        <f>IF(A1353="","",'Employees'!F11)</f>
        <v/>
      </c>
    </row>
    <row r="1354">
      <c r="A1354">
        <f>IF(AND('Skill Matrix'!A90&lt;&gt;"",'Skill Matrix'!M5&lt;&gt;""),'Skill Matrix'!A90,"")</f>
        <v/>
      </c>
      <c r="B1354">
        <f>IF(A1354="","",'Employees'!C11)</f>
        <v/>
      </c>
      <c r="C1354">
        <f>IF(A1354="","",'Employees'!D11)</f>
        <v/>
      </c>
      <c r="D1354">
        <f>IF(A1354="","",'Skill Matrix'!C90)</f>
        <v/>
      </c>
      <c r="E1354">
        <f>IF(A1354="","",'Skill Matrix'!D90)</f>
        <v/>
      </c>
      <c r="F1354">
        <f>IF(AND('Skill Matrix'!A90&lt;&gt;"",'Skill Matrix'!M5&lt;&gt;""),'Skill Matrix'!M5,"")</f>
        <v/>
      </c>
      <c r="G1354">
        <f>IF(OR(A1354="",'Skill Matrix'!M90=""),"",'Skill Matrix'!M90)</f>
        <v/>
      </c>
      <c r="H1354">
        <f>IF(A1354="","",'Employees'!F11)</f>
        <v/>
      </c>
    </row>
    <row r="1355">
      <c r="A1355">
        <f>IF(AND('Skill Matrix'!A90&lt;&gt;"",'Skill Matrix'!N5&lt;&gt;""),'Skill Matrix'!A90,"")</f>
        <v/>
      </c>
      <c r="B1355">
        <f>IF(A1355="","",'Employees'!C11)</f>
        <v/>
      </c>
      <c r="C1355">
        <f>IF(A1355="","",'Employees'!D11)</f>
        <v/>
      </c>
      <c r="D1355">
        <f>IF(A1355="","",'Skill Matrix'!C90)</f>
        <v/>
      </c>
      <c r="E1355">
        <f>IF(A1355="","",'Skill Matrix'!D90)</f>
        <v/>
      </c>
      <c r="F1355">
        <f>IF(AND('Skill Matrix'!A90&lt;&gt;"",'Skill Matrix'!N5&lt;&gt;""),'Skill Matrix'!N5,"")</f>
        <v/>
      </c>
      <c r="G1355">
        <f>IF(OR(A1355="",'Skill Matrix'!N90=""),"",'Skill Matrix'!N90)</f>
        <v/>
      </c>
      <c r="H1355">
        <f>IF(A1355="","",'Employees'!F11)</f>
        <v/>
      </c>
    </row>
    <row r="1356">
      <c r="A1356">
        <f>IF(AND('Skill Matrix'!A90&lt;&gt;"",'Skill Matrix'!O5&lt;&gt;""),'Skill Matrix'!A90,"")</f>
        <v/>
      </c>
      <c r="B1356">
        <f>IF(A1356="","",'Employees'!C11)</f>
        <v/>
      </c>
      <c r="C1356">
        <f>IF(A1356="","",'Employees'!D11)</f>
        <v/>
      </c>
      <c r="D1356">
        <f>IF(A1356="","",'Skill Matrix'!C90)</f>
        <v/>
      </c>
      <c r="E1356">
        <f>IF(A1356="","",'Skill Matrix'!D90)</f>
        <v/>
      </c>
      <c r="F1356">
        <f>IF(AND('Skill Matrix'!A90&lt;&gt;"",'Skill Matrix'!O5&lt;&gt;""),'Skill Matrix'!O5,"")</f>
        <v/>
      </c>
      <c r="G1356">
        <f>IF(OR(A1356="",'Skill Matrix'!O90=""),"",'Skill Matrix'!O90)</f>
        <v/>
      </c>
      <c r="H1356">
        <f>IF(A1356="","",'Employees'!F11)</f>
        <v/>
      </c>
    </row>
    <row r="1357">
      <c r="A1357">
        <f>IF(AND('Skill Matrix'!A90&lt;&gt;"",'Skill Matrix'!P5&lt;&gt;""),'Skill Matrix'!A90,"")</f>
        <v/>
      </c>
      <c r="B1357">
        <f>IF(A1357="","",'Employees'!C11)</f>
        <v/>
      </c>
      <c r="C1357">
        <f>IF(A1357="","",'Employees'!D11)</f>
        <v/>
      </c>
      <c r="D1357">
        <f>IF(A1357="","",'Skill Matrix'!C90)</f>
        <v/>
      </c>
      <c r="E1357">
        <f>IF(A1357="","",'Skill Matrix'!D90)</f>
        <v/>
      </c>
      <c r="F1357">
        <f>IF(AND('Skill Matrix'!A90&lt;&gt;"",'Skill Matrix'!P5&lt;&gt;""),'Skill Matrix'!P5,"")</f>
        <v/>
      </c>
      <c r="G1357">
        <f>IF(OR(A1357="",'Skill Matrix'!P90=""),"",'Skill Matrix'!P90)</f>
        <v/>
      </c>
      <c r="H1357">
        <f>IF(A1357="","",'Employees'!F11)</f>
        <v/>
      </c>
    </row>
    <row r="1358">
      <c r="A1358">
        <f>IF(AND('Skill Matrix'!A90&lt;&gt;"",'Skill Matrix'!Q5&lt;&gt;""),'Skill Matrix'!A90,"")</f>
        <v/>
      </c>
      <c r="B1358">
        <f>IF(A1358="","",'Employees'!C11)</f>
        <v/>
      </c>
      <c r="C1358">
        <f>IF(A1358="","",'Employees'!D11)</f>
        <v/>
      </c>
      <c r="D1358">
        <f>IF(A1358="","",'Skill Matrix'!C90)</f>
        <v/>
      </c>
      <c r="E1358">
        <f>IF(A1358="","",'Skill Matrix'!D90)</f>
        <v/>
      </c>
      <c r="F1358">
        <f>IF(AND('Skill Matrix'!A90&lt;&gt;"",'Skill Matrix'!Q5&lt;&gt;""),'Skill Matrix'!Q5,"")</f>
        <v/>
      </c>
      <c r="G1358">
        <f>IF(OR(A1358="",'Skill Matrix'!Q90=""),"",'Skill Matrix'!Q90)</f>
        <v/>
      </c>
      <c r="H1358">
        <f>IF(A1358="","",'Employees'!F11)</f>
        <v/>
      </c>
    </row>
    <row r="1359">
      <c r="A1359">
        <f>IF(AND('Skill Matrix'!A90&lt;&gt;"",'Skill Matrix'!R5&lt;&gt;""),'Skill Matrix'!A90,"")</f>
        <v/>
      </c>
      <c r="B1359">
        <f>IF(A1359="","",'Employees'!C11)</f>
        <v/>
      </c>
      <c r="C1359">
        <f>IF(A1359="","",'Employees'!D11)</f>
        <v/>
      </c>
      <c r="D1359">
        <f>IF(A1359="","",'Skill Matrix'!C90)</f>
        <v/>
      </c>
      <c r="E1359">
        <f>IF(A1359="","",'Skill Matrix'!D90)</f>
        <v/>
      </c>
      <c r="F1359">
        <f>IF(AND('Skill Matrix'!A90&lt;&gt;"",'Skill Matrix'!R5&lt;&gt;""),'Skill Matrix'!R5,"")</f>
        <v/>
      </c>
      <c r="G1359">
        <f>IF(OR(A1359="",'Skill Matrix'!R90=""),"",'Skill Matrix'!R90)</f>
        <v/>
      </c>
      <c r="H1359">
        <f>IF(A1359="","",'Employees'!F11)</f>
        <v/>
      </c>
    </row>
    <row r="1360">
      <c r="A1360">
        <f>IF(AND('Skill Matrix'!A90&lt;&gt;"",'Skill Matrix'!S5&lt;&gt;""),'Skill Matrix'!A90,"")</f>
        <v/>
      </c>
      <c r="B1360">
        <f>IF(A1360="","",'Employees'!C11)</f>
        <v/>
      </c>
      <c r="C1360">
        <f>IF(A1360="","",'Employees'!D11)</f>
        <v/>
      </c>
      <c r="D1360">
        <f>IF(A1360="","",'Skill Matrix'!C90)</f>
        <v/>
      </c>
      <c r="E1360">
        <f>IF(A1360="","",'Skill Matrix'!D90)</f>
        <v/>
      </c>
      <c r="F1360">
        <f>IF(AND('Skill Matrix'!A90&lt;&gt;"",'Skill Matrix'!S5&lt;&gt;""),'Skill Matrix'!S5,"")</f>
        <v/>
      </c>
      <c r="G1360">
        <f>IF(OR(A1360="",'Skill Matrix'!S90=""),"",'Skill Matrix'!S90)</f>
        <v/>
      </c>
      <c r="H1360">
        <f>IF(A1360="","",'Employees'!F11)</f>
        <v/>
      </c>
    </row>
    <row r="1361">
      <c r="A1361">
        <f>IF(AND('Skill Matrix'!A90&lt;&gt;"",'Skill Matrix'!T5&lt;&gt;""),'Skill Matrix'!A90,"")</f>
        <v/>
      </c>
      <c r="B1361">
        <f>IF(A1361="","",'Employees'!C11)</f>
        <v/>
      </c>
      <c r="C1361">
        <f>IF(A1361="","",'Employees'!D11)</f>
        <v/>
      </c>
      <c r="D1361">
        <f>IF(A1361="","",'Skill Matrix'!C90)</f>
        <v/>
      </c>
      <c r="E1361">
        <f>IF(A1361="","",'Skill Matrix'!D90)</f>
        <v/>
      </c>
      <c r="F1361">
        <f>IF(AND('Skill Matrix'!A90&lt;&gt;"",'Skill Matrix'!T5&lt;&gt;""),'Skill Matrix'!T5,"")</f>
        <v/>
      </c>
      <c r="G1361">
        <f>IF(OR(A1361="",'Skill Matrix'!T90=""),"",'Skill Matrix'!T90)</f>
        <v/>
      </c>
      <c r="H1361">
        <f>IF(A1361="","",'Employees'!F11)</f>
        <v/>
      </c>
    </row>
    <row r="1362">
      <c r="A1362">
        <f>IF(AND('Skill Matrix'!A91&lt;&gt;"",'Skill Matrix'!E5&lt;&gt;""),'Skill Matrix'!A91,"")</f>
        <v/>
      </c>
      <c r="B1362">
        <f>IF(A1362="","",'Employees'!C11)</f>
        <v/>
      </c>
      <c r="C1362">
        <f>IF(A1362="","",'Employees'!D11)</f>
        <v/>
      </c>
      <c r="D1362">
        <f>IF(A1362="","",'Skill Matrix'!C91)</f>
        <v/>
      </c>
      <c r="E1362">
        <f>IF(A1362="","",'Skill Matrix'!D91)</f>
        <v/>
      </c>
      <c r="F1362">
        <f>IF(AND('Skill Matrix'!A91&lt;&gt;"",'Skill Matrix'!E5&lt;&gt;""),'Skill Matrix'!E5,"")</f>
        <v/>
      </c>
      <c r="G1362">
        <f>IF(OR(A1362="",'Skill Matrix'!E91=""),"",'Skill Matrix'!E91)</f>
        <v/>
      </c>
      <c r="H1362">
        <f>IF(A1362="","",'Employees'!F11)</f>
        <v/>
      </c>
    </row>
    <row r="1363">
      <c r="A1363">
        <f>IF(AND('Skill Matrix'!A91&lt;&gt;"",'Skill Matrix'!F5&lt;&gt;""),'Skill Matrix'!A91,"")</f>
        <v/>
      </c>
      <c r="B1363">
        <f>IF(A1363="","",'Employees'!C11)</f>
        <v/>
      </c>
      <c r="C1363">
        <f>IF(A1363="","",'Employees'!D11)</f>
        <v/>
      </c>
      <c r="D1363">
        <f>IF(A1363="","",'Skill Matrix'!C91)</f>
        <v/>
      </c>
      <c r="E1363">
        <f>IF(A1363="","",'Skill Matrix'!D91)</f>
        <v/>
      </c>
      <c r="F1363">
        <f>IF(AND('Skill Matrix'!A91&lt;&gt;"",'Skill Matrix'!F5&lt;&gt;""),'Skill Matrix'!F5,"")</f>
        <v/>
      </c>
      <c r="G1363">
        <f>IF(OR(A1363="",'Skill Matrix'!F91=""),"",'Skill Matrix'!F91)</f>
        <v/>
      </c>
      <c r="H1363">
        <f>IF(A1363="","",'Employees'!F11)</f>
        <v/>
      </c>
    </row>
    <row r="1364">
      <c r="A1364">
        <f>IF(AND('Skill Matrix'!A91&lt;&gt;"",'Skill Matrix'!G5&lt;&gt;""),'Skill Matrix'!A91,"")</f>
        <v/>
      </c>
      <c r="B1364">
        <f>IF(A1364="","",'Employees'!C11)</f>
        <v/>
      </c>
      <c r="C1364">
        <f>IF(A1364="","",'Employees'!D11)</f>
        <v/>
      </c>
      <c r="D1364">
        <f>IF(A1364="","",'Skill Matrix'!C91)</f>
        <v/>
      </c>
      <c r="E1364">
        <f>IF(A1364="","",'Skill Matrix'!D91)</f>
        <v/>
      </c>
      <c r="F1364">
        <f>IF(AND('Skill Matrix'!A91&lt;&gt;"",'Skill Matrix'!G5&lt;&gt;""),'Skill Matrix'!G5,"")</f>
        <v/>
      </c>
      <c r="G1364">
        <f>IF(OR(A1364="",'Skill Matrix'!G91=""),"",'Skill Matrix'!G91)</f>
        <v/>
      </c>
      <c r="H1364">
        <f>IF(A1364="","",'Employees'!F11)</f>
        <v/>
      </c>
    </row>
    <row r="1365">
      <c r="A1365">
        <f>IF(AND('Skill Matrix'!A91&lt;&gt;"",'Skill Matrix'!H5&lt;&gt;""),'Skill Matrix'!A91,"")</f>
        <v/>
      </c>
      <c r="B1365">
        <f>IF(A1365="","",'Employees'!C11)</f>
        <v/>
      </c>
      <c r="C1365">
        <f>IF(A1365="","",'Employees'!D11)</f>
        <v/>
      </c>
      <c r="D1365">
        <f>IF(A1365="","",'Skill Matrix'!C91)</f>
        <v/>
      </c>
      <c r="E1365">
        <f>IF(A1365="","",'Skill Matrix'!D91)</f>
        <v/>
      </c>
      <c r="F1365">
        <f>IF(AND('Skill Matrix'!A91&lt;&gt;"",'Skill Matrix'!H5&lt;&gt;""),'Skill Matrix'!H5,"")</f>
        <v/>
      </c>
      <c r="G1365">
        <f>IF(OR(A1365="",'Skill Matrix'!H91=""),"",'Skill Matrix'!H91)</f>
        <v/>
      </c>
      <c r="H1365">
        <f>IF(A1365="","",'Employees'!F11)</f>
        <v/>
      </c>
    </row>
    <row r="1366">
      <c r="A1366">
        <f>IF(AND('Skill Matrix'!A91&lt;&gt;"",'Skill Matrix'!I5&lt;&gt;""),'Skill Matrix'!A91,"")</f>
        <v/>
      </c>
      <c r="B1366">
        <f>IF(A1366="","",'Employees'!C11)</f>
        <v/>
      </c>
      <c r="C1366">
        <f>IF(A1366="","",'Employees'!D11)</f>
        <v/>
      </c>
      <c r="D1366">
        <f>IF(A1366="","",'Skill Matrix'!C91)</f>
        <v/>
      </c>
      <c r="E1366">
        <f>IF(A1366="","",'Skill Matrix'!D91)</f>
        <v/>
      </c>
      <c r="F1366">
        <f>IF(AND('Skill Matrix'!A91&lt;&gt;"",'Skill Matrix'!I5&lt;&gt;""),'Skill Matrix'!I5,"")</f>
        <v/>
      </c>
      <c r="G1366">
        <f>IF(OR(A1366="",'Skill Matrix'!I91=""),"",'Skill Matrix'!I91)</f>
        <v/>
      </c>
      <c r="H1366">
        <f>IF(A1366="","",'Employees'!F11)</f>
        <v/>
      </c>
    </row>
    <row r="1367">
      <c r="A1367">
        <f>IF(AND('Skill Matrix'!A91&lt;&gt;"",'Skill Matrix'!J5&lt;&gt;""),'Skill Matrix'!A91,"")</f>
        <v/>
      </c>
      <c r="B1367">
        <f>IF(A1367="","",'Employees'!C11)</f>
        <v/>
      </c>
      <c r="C1367">
        <f>IF(A1367="","",'Employees'!D11)</f>
        <v/>
      </c>
      <c r="D1367">
        <f>IF(A1367="","",'Skill Matrix'!C91)</f>
        <v/>
      </c>
      <c r="E1367">
        <f>IF(A1367="","",'Skill Matrix'!D91)</f>
        <v/>
      </c>
      <c r="F1367">
        <f>IF(AND('Skill Matrix'!A91&lt;&gt;"",'Skill Matrix'!J5&lt;&gt;""),'Skill Matrix'!J5,"")</f>
        <v/>
      </c>
      <c r="G1367">
        <f>IF(OR(A1367="",'Skill Matrix'!J91=""),"",'Skill Matrix'!J91)</f>
        <v/>
      </c>
      <c r="H1367">
        <f>IF(A1367="","",'Employees'!F11)</f>
        <v/>
      </c>
    </row>
    <row r="1368">
      <c r="A1368">
        <f>IF(AND('Skill Matrix'!A91&lt;&gt;"",'Skill Matrix'!K5&lt;&gt;""),'Skill Matrix'!A91,"")</f>
        <v/>
      </c>
      <c r="B1368">
        <f>IF(A1368="","",'Employees'!C11)</f>
        <v/>
      </c>
      <c r="C1368">
        <f>IF(A1368="","",'Employees'!D11)</f>
        <v/>
      </c>
      <c r="D1368">
        <f>IF(A1368="","",'Skill Matrix'!C91)</f>
        <v/>
      </c>
      <c r="E1368">
        <f>IF(A1368="","",'Skill Matrix'!D91)</f>
        <v/>
      </c>
      <c r="F1368">
        <f>IF(AND('Skill Matrix'!A91&lt;&gt;"",'Skill Matrix'!K5&lt;&gt;""),'Skill Matrix'!K5,"")</f>
        <v/>
      </c>
      <c r="G1368">
        <f>IF(OR(A1368="",'Skill Matrix'!K91=""),"",'Skill Matrix'!K91)</f>
        <v/>
      </c>
      <c r="H1368">
        <f>IF(A1368="","",'Employees'!F11)</f>
        <v/>
      </c>
    </row>
    <row r="1369">
      <c r="A1369">
        <f>IF(AND('Skill Matrix'!A91&lt;&gt;"",'Skill Matrix'!L5&lt;&gt;""),'Skill Matrix'!A91,"")</f>
        <v/>
      </c>
      <c r="B1369">
        <f>IF(A1369="","",'Employees'!C11)</f>
        <v/>
      </c>
      <c r="C1369">
        <f>IF(A1369="","",'Employees'!D11)</f>
        <v/>
      </c>
      <c r="D1369">
        <f>IF(A1369="","",'Skill Matrix'!C91)</f>
        <v/>
      </c>
      <c r="E1369">
        <f>IF(A1369="","",'Skill Matrix'!D91)</f>
        <v/>
      </c>
      <c r="F1369">
        <f>IF(AND('Skill Matrix'!A91&lt;&gt;"",'Skill Matrix'!L5&lt;&gt;""),'Skill Matrix'!L5,"")</f>
        <v/>
      </c>
      <c r="G1369">
        <f>IF(OR(A1369="",'Skill Matrix'!L91=""),"",'Skill Matrix'!L91)</f>
        <v/>
      </c>
      <c r="H1369">
        <f>IF(A1369="","",'Employees'!F11)</f>
        <v/>
      </c>
    </row>
    <row r="1370">
      <c r="A1370">
        <f>IF(AND('Skill Matrix'!A91&lt;&gt;"",'Skill Matrix'!M5&lt;&gt;""),'Skill Matrix'!A91,"")</f>
        <v/>
      </c>
      <c r="B1370">
        <f>IF(A1370="","",'Employees'!C11)</f>
        <v/>
      </c>
      <c r="C1370">
        <f>IF(A1370="","",'Employees'!D11)</f>
        <v/>
      </c>
      <c r="D1370">
        <f>IF(A1370="","",'Skill Matrix'!C91)</f>
        <v/>
      </c>
      <c r="E1370">
        <f>IF(A1370="","",'Skill Matrix'!D91)</f>
        <v/>
      </c>
      <c r="F1370">
        <f>IF(AND('Skill Matrix'!A91&lt;&gt;"",'Skill Matrix'!M5&lt;&gt;""),'Skill Matrix'!M5,"")</f>
        <v/>
      </c>
      <c r="G1370">
        <f>IF(OR(A1370="",'Skill Matrix'!M91=""),"",'Skill Matrix'!M91)</f>
        <v/>
      </c>
      <c r="H1370">
        <f>IF(A1370="","",'Employees'!F11)</f>
        <v/>
      </c>
    </row>
    <row r="1371">
      <c r="A1371">
        <f>IF(AND('Skill Matrix'!A91&lt;&gt;"",'Skill Matrix'!N5&lt;&gt;""),'Skill Matrix'!A91,"")</f>
        <v/>
      </c>
      <c r="B1371">
        <f>IF(A1371="","",'Employees'!C11)</f>
        <v/>
      </c>
      <c r="C1371">
        <f>IF(A1371="","",'Employees'!D11)</f>
        <v/>
      </c>
      <c r="D1371">
        <f>IF(A1371="","",'Skill Matrix'!C91)</f>
        <v/>
      </c>
      <c r="E1371">
        <f>IF(A1371="","",'Skill Matrix'!D91)</f>
        <v/>
      </c>
      <c r="F1371">
        <f>IF(AND('Skill Matrix'!A91&lt;&gt;"",'Skill Matrix'!N5&lt;&gt;""),'Skill Matrix'!N5,"")</f>
        <v/>
      </c>
      <c r="G1371">
        <f>IF(OR(A1371="",'Skill Matrix'!N91=""),"",'Skill Matrix'!N91)</f>
        <v/>
      </c>
      <c r="H1371">
        <f>IF(A1371="","",'Employees'!F11)</f>
        <v/>
      </c>
    </row>
    <row r="1372">
      <c r="A1372">
        <f>IF(AND('Skill Matrix'!A91&lt;&gt;"",'Skill Matrix'!O5&lt;&gt;""),'Skill Matrix'!A91,"")</f>
        <v/>
      </c>
      <c r="B1372">
        <f>IF(A1372="","",'Employees'!C11)</f>
        <v/>
      </c>
      <c r="C1372">
        <f>IF(A1372="","",'Employees'!D11)</f>
        <v/>
      </c>
      <c r="D1372">
        <f>IF(A1372="","",'Skill Matrix'!C91)</f>
        <v/>
      </c>
      <c r="E1372">
        <f>IF(A1372="","",'Skill Matrix'!D91)</f>
        <v/>
      </c>
      <c r="F1372">
        <f>IF(AND('Skill Matrix'!A91&lt;&gt;"",'Skill Matrix'!O5&lt;&gt;""),'Skill Matrix'!O5,"")</f>
        <v/>
      </c>
      <c r="G1372">
        <f>IF(OR(A1372="",'Skill Matrix'!O91=""),"",'Skill Matrix'!O91)</f>
        <v/>
      </c>
      <c r="H1372">
        <f>IF(A1372="","",'Employees'!F11)</f>
        <v/>
      </c>
    </row>
    <row r="1373">
      <c r="A1373">
        <f>IF(AND('Skill Matrix'!A91&lt;&gt;"",'Skill Matrix'!P5&lt;&gt;""),'Skill Matrix'!A91,"")</f>
        <v/>
      </c>
      <c r="B1373">
        <f>IF(A1373="","",'Employees'!C11)</f>
        <v/>
      </c>
      <c r="C1373">
        <f>IF(A1373="","",'Employees'!D11)</f>
        <v/>
      </c>
      <c r="D1373">
        <f>IF(A1373="","",'Skill Matrix'!C91)</f>
        <v/>
      </c>
      <c r="E1373">
        <f>IF(A1373="","",'Skill Matrix'!D91)</f>
        <v/>
      </c>
      <c r="F1373">
        <f>IF(AND('Skill Matrix'!A91&lt;&gt;"",'Skill Matrix'!P5&lt;&gt;""),'Skill Matrix'!P5,"")</f>
        <v/>
      </c>
      <c r="G1373">
        <f>IF(OR(A1373="",'Skill Matrix'!P91=""),"",'Skill Matrix'!P91)</f>
        <v/>
      </c>
      <c r="H1373">
        <f>IF(A1373="","",'Employees'!F11)</f>
        <v/>
      </c>
    </row>
    <row r="1374">
      <c r="A1374">
        <f>IF(AND('Skill Matrix'!A91&lt;&gt;"",'Skill Matrix'!Q5&lt;&gt;""),'Skill Matrix'!A91,"")</f>
        <v/>
      </c>
      <c r="B1374">
        <f>IF(A1374="","",'Employees'!C11)</f>
        <v/>
      </c>
      <c r="C1374">
        <f>IF(A1374="","",'Employees'!D11)</f>
        <v/>
      </c>
      <c r="D1374">
        <f>IF(A1374="","",'Skill Matrix'!C91)</f>
        <v/>
      </c>
      <c r="E1374">
        <f>IF(A1374="","",'Skill Matrix'!D91)</f>
        <v/>
      </c>
      <c r="F1374">
        <f>IF(AND('Skill Matrix'!A91&lt;&gt;"",'Skill Matrix'!Q5&lt;&gt;""),'Skill Matrix'!Q5,"")</f>
        <v/>
      </c>
      <c r="G1374">
        <f>IF(OR(A1374="",'Skill Matrix'!Q91=""),"",'Skill Matrix'!Q91)</f>
        <v/>
      </c>
      <c r="H1374">
        <f>IF(A1374="","",'Employees'!F11)</f>
        <v/>
      </c>
    </row>
    <row r="1375">
      <c r="A1375">
        <f>IF(AND('Skill Matrix'!A91&lt;&gt;"",'Skill Matrix'!R5&lt;&gt;""),'Skill Matrix'!A91,"")</f>
        <v/>
      </c>
      <c r="B1375">
        <f>IF(A1375="","",'Employees'!C11)</f>
        <v/>
      </c>
      <c r="C1375">
        <f>IF(A1375="","",'Employees'!D11)</f>
        <v/>
      </c>
      <c r="D1375">
        <f>IF(A1375="","",'Skill Matrix'!C91)</f>
        <v/>
      </c>
      <c r="E1375">
        <f>IF(A1375="","",'Skill Matrix'!D91)</f>
        <v/>
      </c>
      <c r="F1375">
        <f>IF(AND('Skill Matrix'!A91&lt;&gt;"",'Skill Matrix'!R5&lt;&gt;""),'Skill Matrix'!R5,"")</f>
        <v/>
      </c>
      <c r="G1375">
        <f>IF(OR(A1375="",'Skill Matrix'!R91=""),"",'Skill Matrix'!R91)</f>
        <v/>
      </c>
      <c r="H1375">
        <f>IF(A1375="","",'Employees'!F11)</f>
        <v/>
      </c>
    </row>
    <row r="1376">
      <c r="A1376">
        <f>IF(AND('Skill Matrix'!A91&lt;&gt;"",'Skill Matrix'!S5&lt;&gt;""),'Skill Matrix'!A91,"")</f>
        <v/>
      </c>
      <c r="B1376">
        <f>IF(A1376="","",'Employees'!C11)</f>
        <v/>
      </c>
      <c r="C1376">
        <f>IF(A1376="","",'Employees'!D11)</f>
        <v/>
      </c>
      <c r="D1376">
        <f>IF(A1376="","",'Skill Matrix'!C91)</f>
        <v/>
      </c>
      <c r="E1376">
        <f>IF(A1376="","",'Skill Matrix'!D91)</f>
        <v/>
      </c>
      <c r="F1376">
        <f>IF(AND('Skill Matrix'!A91&lt;&gt;"",'Skill Matrix'!S5&lt;&gt;""),'Skill Matrix'!S5,"")</f>
        <v/>
      </c>
      <c r="G1376">
        <f>IF(OR(A1376="",'Skill Matrix'!S91=""),"",'Skill Matrix'!S91)</f>
        <v/>
      </c>
      <c r="H1376">
        <f>IF(A1376="","",'Employees'!F11)</f>
        <v/>
      </c>
    </row>
    <row r="1377">
      <c r="A1377">
        <f>IF(AND('Skill Matrix'!A91&lt;&gt;"",'Skill Matrix'!T5&lt;&gt;""),'Skill Matrix'!A91,"")</f>
        <v/>
      </c>
      <c r="B1377">
        <f>IF(A1377="","",'Employees'!C11)</f>
        <v/>
      </c>
      <c r="C1377">
        <f>IF(A1377="","",'Employees'!D11)</f>
        <v/>
      </c>
      <c r="D1377">
        <f>IF(A1377="","",'Skill Matrix'!C91)</f>
        <v/>
      </c>
      <c r="E1377">
        <f>IF(A1377="","",'Skill Matrix'!D91)</f>
        <v/>
      </c>
      <c r="F1377">
        <f>IF(AND('Skill Matrix'!A91&lt;&gt;"",'Skill Matrix'!T5&lt;&gt;""),'Skill Matrix'!T5,"")</f>
        <v/>
      </c>
      <c r="G1377">
        <f>IF(OR(A1377="",'Skill Matrix'!T91=""),"",'Skill Matrix'!T91)</f>
        <v/>
      </c>
      <c r="H1377">
        <f>IF(A1377="","",'Employees'!F11)</f>
        <v/>
      </c>
    </row>
    <row r="1378">
      <c r="A1378">
        <f>IF(AND('Skill Matrix'!A92&lt;&gt;"",'Skill Matrix'!E5&lt;&gt;""),'Skill Matrix'!A92,"")</f>
        <v/>
      </c>
      <c r="B1378">
        <f>IF(A1378="","",'Employees'!C11)</f>
        <v/>
      </c>
      <c r="C1378">
        <f>IF(A1378="","",'Employees'!D11)</f>
        <v/>
      </c>
      <c r="D1378">
        <f>IF(A1378="","",'Skill Matrix'!C92)</f>
        <v/>
      </c>
      <c r="E1378">
        <f>IF(A1378="","",'Skill Matrix'!D92)</f>
        <v/>
      </c>
      <c r="F1378">
        <f>IF(AND('Skill Matrix'!A92&lt;&gt;"",'Skill Matrix'!E5&lt;&gt;""),'Skill Matrix'!E5,"")</f>
        <v/>
      </c>
      <c r="G1378">
        <f>IF(OR(A1378="",'Skill Matrix'!E92=""),"",'Skill Matrix'!E92)</f>
        <v/>
      </c>
      <c r="H1378">
        <f>IF(A1378="","",'Employees'!F11)</f>
        <v/>
      </c>
    </row>
    <row r="1379">
      <c r="A1379">
        <f>IF(AND('Skill Matrix'!A92&lt;&gt;"",'Skill Matrix'!F5&lt;&gt;""),'Skill Matrix'!A92,"")</f>
        <v/>
      </c>
      <c r="B1379">
        <f>IF(A1379="","",'Employees'!C11)</f>
        <v/>
      </c>
      <c r="C1379">
        <f>IF(A1379="","",'Employees'!D11)</f>
        <v/>
      </c>
      <c r="D1379">
        <f>IF(A1379="","",'Skill Matrix'!C92)</f>
        <v/>
      </c>
      <c r="E1379">
        <f>IF(A1379="","",'Skill Matrix'!D92)</f>
        <v/>
      </c>
      <c r="F1379">
        <f>IF(AND('Skill Matrix'!A92&lt;&gt;"",'Skill Matrix'!F5&lt;&gt;""),'Skill Matrix'!F5,"")</f>
        <v/>
      </c>
      <c r="G1379">
        <f>IF(OR(A1379="",'Skill Matrix'!F92=""),"",'Skill Matrix'!F92)</f>
        <v/>
      </c>
      <c r="H1379">
        <f>IF(A1379="","",'Employees'!F11)</f>
        <v/>
      </c>
    </row>
    <row r="1380">
      <c r="A1380">
        <f>IF(AND('Skill Matrix'!A92&lt;&gt;"",'Skill Matrix'!G5&lt;&gt;""),'Skill Matrix'!A92,"")</f>
        <v/>
      </c>
      <c r="B1380">
        <f>IF(A1380="","",'Employees'!C11)</f>
        <v/>
      </c>
      <c r="C1380">
        <f>IF(A1380="","",'Employees'!D11)</f>
        <v/>
      </c>
      <c r="D1380">
        <f>IF(A1380="","",'Skill Matrix'!C92)</f>
        <v/>
      </c>
      <c r="E1380">
        <f>IF(A1380="","",'Skill Matrix'!D92)</f>
        <v/>
      </c>
      <c r="F1380">
        <f>IF(AND('Skill Matrix'!A92&lt;&gt;"",'Skill Matrix'!G5&lt;&gt;""),'Skill Matrix'!G5,"")</f>
        <v/>
      </c>
      <c r="G1380">
        <f>IF(OR(A1380="",'Skill Matrix'!G92=""),"",'Skill Matrix'!G92)</f>
        <v/>
      </c>
      <c r="H1380">
        <f>IF(A1380="","",'Employees'!F11)</f>
        <v/>
      </c>
    </row>
    <row r="1381">
      <c r="A1381">
        <f>IF(AND('Skill Matrix'!A92&lt;&gt;"",'Skill Matrix'!H5&lt;&gt;""),'Skill Matrix'!A92,"")</f>
        <v/>
      </c>
      <c r="B1381">
        <f>IF(A1381="","",'Employees'!C11)</f>
        <v/>
      </c>
      <c r="C1381">
        <f>IF(A1381="","",'Employees'!D11)</f>
        <v/>
      </c>
      <c r="D1381">
        <f>IF(A1381="","",'Skill Matrix'!C92)</f>
        <v/>
      </c>
      <c r="E1381">
        <f>IF(A1381="","",'Skill Matrix'!D92)</f>
        <v/>
      </c>
      <c r="F1381">
        <f>IF(AND('Skill Matrix'!A92&lt;&gt;"",'Skill Matrix'!H5&lt;&gt;""),'Skill Matrix'!H5,"")</f>
        <v/>
      </c>
      <c r="G1381">
        <f>IF(OR(A1381="",'Skill Matrix'!H92=""),"",'Skill Matrix'!H92)</f>
        <v/>
      </c>
      <c r="H1381">
        <f>IF(A1381="","",'Employees'!F11)</f>
        <v/>
      </c>
    </row>
    <row r="1382">
      <c r="A1382">
        <f>IF(AND('Skill Matrix'!A92&lt;&gt;"",'Skill Matrix'!I5&lt;&gt;""),'Skill Matrix'!A92,"")</f>
        <v/>
      </c>
      <c r="B1382">
        <f>IF(A1382="","",'Employees'!C11)</f>
        <v/>
      </c>
      <c r="C1382">
        <f>IF(A1382="","",'Employees'!D11)</f>
        <v/>
      </c>
      <c r="D1382">
        <f>IF(A1382="","",'Skill Matrix'!C92)</f>
        <v/>
      </c>
      <c r="E1382">
        <f>IF(A1382="","",'Skill Matrix'!D92)</f>
        <v/>
      </c>
      <c r="F1382">
        <f>IF(AND('Skill Matrix'!A92&lt;&gt;"",'Skill Matrix'!I5&lt;&gt;""),'Skill Matrix'!I5,"")</f>
        <v/>
      </c>
      <c r="G1382">
        <f>IF(OR(A1382="",'Skill Matrix'!I92=""),"",'Skill Matrix'!I92)</f>
        <v/>
      </c>
      <c r="H1382">
        <f>IF(A1382="","",'Employees'!F11)</f>
        <v/>
      </c>
    </row>
    <row r="1383">
      <c r="A1383">
        <f>IF(AND('Skill Matrix'!A92&lt;&gt;"",'Skill Matrix'!J5&lt;&gt;""),'Skill Matrix'!A92,"")</f>
        <v/>
      </c>
      <c r="B1383">
        <f>IF(A1383="","",'Employees'!C11)</f>
        <v/>
      </c>
      <c r="C1383">
        <f>IF(A1383="","",'Employees'!D11)</f>
        <v/>
      </c>
      <c r="D1383">
        <f>IF(A1383="","",'Skill Matrix'!C92)</f>
        <v/>
      </c>
      <c r="E1383">
        <f>IF(A1383="","",'Skill Matrix'!D92)</f>
        <v/>
      </c>
      <c r="F1383">
        <f>IF(AND('Skill Matrix'!A92&lt;&gt;"",'Skill Matrix'!J5&lt;&gt;""),'Skill Matrix'!J5,"")</f>
        <v/>
      </c>
      <c r="G1383">
        <f>IF(OR(A1383="",'Skill Matrix'!J92=""),"",'Skill Matrix'!J92)</f>
        <v/>
      </c>
      <c r="H1383">
        <f>IF(A1383="","",'Employees'!F11)</f>
        <v/>
      </c>
    </row>
    <row r="1384">
      <c r="A1384">
        <f>IF(AND('Skill Matrix'!A92&lt;&gt;"",'Skill Matrix'!K5&lt;&gt;""),'Skill Matrix'!A92,"")</f>
        <v/>
      </c>
      <c r="B1384">
        <f>IF(A1384="","",'Employees'!C11)</f>
        <v/>
      </c>
      <c r="C1384">
        <f>IF(A1384="","",'Employees'!D11)</f>
        <v/>
      </c>
      <c r="D1384">
        <f>IF(A1384="","",'Skill Matrix'!C92)</f>
        <v/>
      </c>
      <c r="E1384">
        <f>IF(A1384="","",'Skill Matrix'!D92)</f>
        <v/>
      </c>
      <c r="F1384">
        <f>IF(AND('Skill Matrix'!A92&lt;&gt;"",'Skill Matrix'!K5&lt;&gt;""),'Skill Matrix'!K5,"")</f>
        <v/>
      </c>
      <c r="G1384">
        <f>IF(OR(A1384="",'Skill Matrix'!K92=""),"",'Skill Matrix'!K92)</f>
        <v/>
      </c>
      <c r="H1384">
        <f>IF(A1384="","",'Employees'!F11)</f>
        <v/>
      </c>
    </row>
    <row r="1385">
      <c r="A1385">
        <f>IF(AND('Skill Matrix'!A92&lt;&gt;"",'Skill Matrix'!L5&lt;&gt;""),'Skill Matrix'!A92,"")</f>
        <v/>
      </c>
      <c r="B1385">
        <f>IF(A1385="","",'Employees'!C11)</f>
        <v/>
      </c>
      <c r="C1385">
        <f>IF(A1385="","",'Employees'!D11)</f>
        <v/>
      </c>
      <c r="D1385">
        <f>IF(A1385="","",'Skill Matrix'!C92)</f>
        <v/>
      </c>
      <c r="E1385">
        <f>IF(A1385="","",'Skill Matrix'!D92)</f>
        <v/>
      </c>
      <c r="F1385">
        <f>IF(AND('Skill Matrix'!A92&lt;&gt;"",'Skill Matrix'!L5&lt;&gt;""),'Skill Matrix'!L5,"")</f>
        <v/>
      </c>
      <c r="G1385">
        <f>IF(OR(A1385="",'Skill Matrix'!L92=""),"",'Skill Matrix'!L92)</f>
        <v/>
      </c>
      <c r="H1385">
        <f>IF(A1385="","",'Employees'!F11)</f>
        <v/>
      </c>
    </row>
    <row r="1386">
      <c r="A1386">
        <f>IF(AND('Skill Matrix'!A92&lt;&gt;"",'Skill Matrix'!M5&lt;&gt;""),'Skill Matrix'!A92,"")</f>
        <v/>
      </c>
      <c r="B1386">
        <f>IF(A1386="","",'Employees'!C11)</f>
        <v/>
      </c>
      <c r="C1386">
        <f>IF(A1386="","",'Employees'!D11)</f>
        <v/>
      </c>
      <c r="D1386">
        <f>IF(A1386="","",'Skill Matrix'!C92)</f>
        <v/>
      </c>
      <c r="E1386">
        <f>IF(A1386="","",'Skill Matrix'!D92)</f>
        <v/>
      </c>
      <c r="F1386">
        <f>IF(AND('Skill Matrix'!A92&lt;&gt;"",'Skill Matrix'!M5&lt;&gt;""),'Skill Matrix'!M5,"")</f>
        <v/>
      </c>
      <c r="G1386">
        <f>IF(OR(A1386="",'Skill Matrix'!M92=""),"",'Skill Matrix'!M92)</f>
        <v/>
      </c>
      <c r="H1386">
        <f>IF(A1386="","",'Employees'!F11)</f>
        <v/>
      </c>
    </row>
    <row r="1387">
      <c r="A1387">
        <f>IF(AND('Skill Matrix'!A92&lt;&gt;"",'Skill Matrix'!N5&lt;&gt;""),'Skill Matrix'!A92,"")</f>
        <v/>
      </c>
      <c r="B1387">
        <f>IF(A1387="","",'Employees'!C11)</f>
        <v/>
      </c>
      <c r="C1387">
        <f>IF(A1387="","",'Employees'!D11)</f>
        <v/>
      </c>
      <c r="D1387">
        <f>IF(A1387="","",'Skill Matrix'!C92)</f>
        <v/>
      </c>
      <c r="E1387">
        <f>IF(A1387="","",'Skill Matrix'!D92)</f>
        <v/>
      </c>
      <c r="F1387">
        <f>IF(AND('Skill Matrix'!A92&lt;&gt;"",'Skill Matrix'!N5&lt;&gt;""),'Skill Matrix'!N5,"")</f>
        <v/>
      </c>
      <c r="G1387">
        <f>IF(OR(A1387="",'Skill Matrix'!N92=""),"",'Skill Matrix'!N92)</f>
        <v/>
      </c>
      <c r="H1387">
        <f>IF(A1387="","",'Employees'!F11)</f>
        <v/>
      </c>
    </row>
    <row r="1388">
      <c r="A1388">
        <f>IF(AND('Skill Matrix'!A92&lt;&gt;"",'Skill Matrix'!O5&lt;&gt;""),'Skill Matrix'!A92,"")</f>
        <v/>
      </c>
      <c r="B1388">
        <f>IF(A1388="","",'Employees'!C11)</f>
        <v/>
      </c>
      <c r="C1388">
        <f>IF(A1388="","",'Employees'!D11)</f>
        <v/>
      </c>
      <c r="D1388">
        <f>IF(A1388="","",'Skill Matrix'!C92)</f>
        <v/>
      </c>
      <c r="E1388">
        <f>IF(A1388="","",'Skill Matrix'!D92)</f>
        <v/>
      </c>
      <c r="F1388">
        <f>IF(AND('Skill Matrix'!A92&lt;&gt;"",'Skill Matrix'!O5&lt;&gt;""),'Skill Matrix'!O5,"")</f>
        <v/>
      </c>
      <c r="G1388">
        <f>IF(OR(A1388="",'Skill Matrix'!O92=""),"",'Skill Matrix'!O92)</f>
        <v/>
      </c>
      <c r="H1388">
        <f>IF(A1388="","",'Employees'!F11)</f>
        <v/>
      </c>
    </row>
    <row r="1389">
      <c r="A1389">
        <f>IF(AND('Skill Matrix'!A92&lt;&gt;"",'Skill Matrix'!P5&lt;&gt;""),'Skill Matrix'!A92,"")</f>
        <v/>
      </c>
      <c r="B1389">
        <f>IF(A1389="","",'Employees'!C11)</f>
        <v/>
      </c>
      <c r="C1389">
        <f>IF(A1389="","",'Employees'!D11)</f>
        <v/>
      </c>
      <c r="D1389">
        <f>IF(A1389="","",'Skill Matrix'!C92)</f>
        <v/>
      </c>
      <c r="E1389">
        <f>IF(A1389="","",'Skill Matrix'!D92)</f>
        <v/>
      </c>
      <c r="F1389">
        <f>IF(AND('Skill Matrix'!A92&lt;&gt;"",'Skill Matrix'!P5&lt;&gt;""),'Skill Matrix'!P5,"")</f>
        <v/>
      </c>
      <c r="G1389">
        <f>IF(OR(A1389="",'Skill Matrix'!P92=""),"",'Skill Matrix'!P92)</f>
        <v/>
      </c>
      <c r="H1389">
        <f>IF(A1389="","",'Employees'!F11)</f>
        <v/>
      </c>
    </row>
    <row r="1390">
      <c r="A1390">
        <f>IF(AND('Skill Matrix'!A92&lt;&gt;"",'Skill Matrix'!Q5&lt;&gt;""),'Skill Matrix'!A92,"")</f>
        <v/>
      </c>
      <c r="B1390">
        <f>IF(A1390="","",'Employees'!C11)</f>
        <v/>
      </c>
      <c r="C1390">
        <f>IF(A1390="","",'Employees'!D11)</f>
        <v/>
      </c>
      <c r="D1390">
        <f>IF(A1390="","",'Skill Matrix'!C92)</f>
        <v/>
      </c>
      <c r="E1390">
        <f>IF(A1390="","",'Skill Matrix'!D92)</f>
        <v/>
      </c>
      <c r="F1390">
        <f>IF(AND('Skill Matrix'!A92&lt;&gt;"",'Skill Matrix'!Q5&lt;&gt;""),'Skill Matrix'!Q5,"")</f>
        <v/>
      </c>
      <c r="G1390">
        <f>IF(OR(A1390="",'Skill Matrix'!Q92=""),"",'Skill Matrix'!Q92)</f>
        <v/>
      </c>
      <c r="H1390">
        <f>IF(A1390="","",'Employees'!F11)</f>
        <v/>
      </c>
    </row>
    <row r="1391">
      <c r="A1391">
        <f>IF(AND('Skill Matrix'!A92&lt;&gt;"",'Skill Matrix'!R5&lt;&gt;""),'Skill Matrix'!A92,"")</f>
        <v/>
      </c>
      <c r="B1391">
        <f>IF(A1391="","",'Employees'!C11)</f>
        <v/>
      </c>
      <c r="C1391">
        <f>IF(A1391="","",'Employees'!D11)</f>
        <v/>
      </c>
      <c r="D1391">
        <f>IF(A1391="","",'Skill Matrix'!C92)</f>
        <v/>
      </c>
      <c r="E1391">
        <f>IF(A1391="","",'Skill Matrix'!D92)</f>
        <v/>
      </c>
      <c r="F1391">
        <f>IF(AND('Skill Matrix'!A92&lt;&gt;"",'Skill Matrix'!R5&lt;&gt;""),'Skill Matrix'!R5,"")</f>
        <v/>
      </c>
      <c r="G1391">
        <f>IF(OR(A1391="",'Skill Matrix'!R92=""),"",'Skill Matrix'!R92)</f>
        <v/>
      </c>
      <c r="H1391">
        <f>IF(A1391="","",'Employees'!F11)</f>
        <v/>
      </c>
    </row>
    <row r="1392">
      <c r="A1392">
        <f>IF(AND('Skill Matrix'!A92&lt;&gt;"",'Skill Matrix'!S5&lt;&gt;""),'Skill Matrix'!A92,"")</f>
        <v/>
      </c>
      <c r="B1392">
        <f>IF(A1392="","",'Employees'!C11)</f>
        <v/>
      </c>
      <c r="C1392">
        <f>IF(A1392="","",'Employees'!D11)</f>
        <v/>
      </c>
      <c r="D1392">
        <f>IF(A1392="","",'Skill Matrix'!C92)</f>
        <v/>
      </c>
      <c r="E1392">
        <f>IF(A1392="","",'Skill Matrix'!D92)</f>
        <v/>
      </c>
      <c r="F1392">
        <f>IF(AND('Skill Matrix'!A92&lt;&gt;"",'Skill Matrix'!S5&lt;&gt;""),'Skill Matrix'!S5,"")</f>
        <v/>
      </c>
      <c r="G1392">
        <f>IF(OR(A1392="",'Skill Matrix'!S92=""),"",'Skill Matrix'!S92)</f>
        <v/>
      </c>
      <c r="H1392">
        <f>IF(A1392="","",'Employees'!F11)</f>
        <v/>
      </c>
    </row>
    <row r="1393">
      <c r="A1393">
        <f>IF(AND('Skill Matrix'!A92&lt;&gt;"",'Skill Matrix'!T5&lt;&gt;""),'Skill Matrix'!A92,"")</f>
        <v/>
      </c>
      <c r="B1393">
        <f>IF(A1393="","",'Employees'!C11)</f>
        <v/>
      </c>
      <c r="C1393">
        <f>IF(A1393="","",'Employees'!D11)</f>
        <v/>
      </c>
      <c r="D1393">
        <f>IF(A1393="","",'Skill Matrix'!C92)</f>
        <v/>
      </c>
      <c r="E1393">
        <f>IF(A1393="","",'Skill Matrix'!D92)</f>
        <v/>
      </c>
      <c r="F1393">
        <f>IF(AND('Skill Matrix'!A92&lt;&gt;"",'Skill Matrix'!T5&lt;&gt;""),'Skill Matrix'!T5,"")</f>
        <v/>
      </c>
      <c r="G1393">
        <f>IF(OR(A1393="",'Skill Matrix'!T92=""),"",'Skill Matrix'!T92)</f>
        <v/>
      </c>
      <c r="H1393">
        <f>IF(A1393="","",'Employees'!F11)</f>
        <v/>
      </c>
    </row>
    <row r="1394">
      <c r="A1394">
        <f>IF(AND('Skill Matrix'!A93&lt;&gt;"",'Skill Matrix'!E5&lt;&gt;""),'Skill Matrix'!A93,"")</f>
        <v/>
      </c>
      <c r="B1394">
        <f>IF(A1394="","",'Employees'!C11)</f>
        <v/>
      </c>
      <c r="C1394">
        <f>IF(A1394="","",'Employees'!D11)</f>
        <v/>
      </c>
      <c r="D1394">
        <f>IF(A1394="","",'Skill Matrix'!C93)</f>
        <v/>
      </c>
      <c r="E1394">
        <f>IF(A1394="","",'Skill Matrix'!D93)</f>
        <v/>
      </c>
      <c r="F1394">
        <f>IF(AND('Skill Matrix'!A93&lt;&gt;"",'Skill Matrix'!E5&lt;&gt;""),'Skill Matrix'!E5,"")</f>
        <v/>
      </c>
      <c r="G1394">
        <f>IF(OR(A1394="",'Skill Matrix'!E93=""),"",'Skill Matrix'!E93)</f>
        <v/>
      </c>
      <c r="H1394">
        <f>IF(A1394="","",'Employees'!F11)</f>
        <v/>
      </c>
    </row>
    <row r="1395">
      <c r="A1395">
        <f>IF(AND('Skill Matrix'!A93&lt;&gt;"",'Skill Matrix'!F5&lt;&gt;""),'Skill Matrix'!A93,"")</f>
        <v/>
      </c>
      <c r="B1395">
        <f>IF(A1395="","",'Employees'!C11)</f>
        <v/>
      </c>
      <c r="C1395">
        <f>IF(A1395="","",'Employees'!D11)</f>
        <v/>
      </c>
      <c r="D1395">
        <f>IF(A1395="","",'Skill Matrix'!C93)</f>
        <v/>
      </c>
      <c r="E1395">
        <f>IF(A1395="","",'Skill Matrix'!D93)</f>
        <v/>
      </c>
      <c r="F1395">
        <f>IF(AND('Skill Matrix'!A93&lt;&gt;"",'Skill Matrix'!F5&lt;&gt;""),'Skill Matrix'!F5,"")</f>
        <v/>
      </c>
      <c r="G1395">
        <f>IF(OR(A1395="",'Skill Matrix'!F93=""),"",'Skill Matrix'!F93)</f>
        <v/>
      </c>
      <c r="H1395">
        <f>IF(A1395="","",'Employees'!F11)</f>
        <v/>
      </c>
    </row>
    <row r="1396">
      <c r="A1396">
        <f>IF(AND('Skill Matrix'!A93&lt;&gt;"",'Skill Matrix'!G5&lt;&gt;""),'Skill Matrix'!A93,"")</f>
        <v/>
      </c>
      <c r="B1396">
        <f>IF(A1396="","",'Employees'!C11)</f>
        <v/>
      </c>
      <c r="C1396">
        <f>IF(A1396="","",'Employees'!D11)</f>
        <v/>
      </c>
      <c r="D1396">
        <f>IF(A1396="","",'Skill Matrix'!C93)</f>
        <v/>
      </c>
      <c r="E1396">
        <f>IF(A1396="","",'Skill Matrix'!D93)</f>
        <v/>
      </c>
      <c r="F1396">
        <f>IF(AND('Skill Matrix'!A93&lt;&gt;"",'Skill Matrix'!G5&lt;&gt;""),'Skill Matrix'!G5,"")</f>
        <v/>
      </c>
      <c r="G1396">
        <f>IF(OR(A1396="",'Skill Matrix'!G93=""),"",'Skill Matrix'!G93)</f>
        <v/>
      </c>
      <c r="H1396">
        <f>IF(A1396="","",'Employees'!F11)</f>
        <v/>
      </c>
    </row>
    <row r="1397">
      <c r="A1397">
        <f>IF(AND('Skill Matrix'!A93&lt;&gt;"",'Skill Matrix'!H5&lt;&gt;""),'Skill Matrix'!A93,"")</f>
        <v/>
      </c>
      <c r="B1397">
        <f>IF(A1397="","",'Employees'!C11)</f>
        <v/>
      </c>
      <c r="C1397">
        <f>IF(A1397="","",'Employees'!D11)</f>
        <v/>
      </c>
      <c r="D1397">
        <f>IF(A1397="","",'Skill Matrix'!C93)</f>
        <v/>
      </c>
      <c r="E1397">
        <f>IF(A1397="","",'Skill Matrix'!D93)</f>
        <v/>
      </c>
      <c r="F1397">
        <f>IF(AND('Skill Matrix'!A93&lt;&gt;"",'Skill Matrix'!H5&lt;&gt;""),'Skill Matrix'!H5,"")</f>
        <v/>
      </c>
      <c r="G1397">
        <f>IF(OR(A1397="",'Skill Matrix'!H93=""),"",'Skill Matrix'!H93)</f>
        <v/>
      </c>
      <c r="H1397">
        <f>IF(A1397="","",'Employees'!F11)</f>
        <v/>
      </c>
    </row>
    <row r="1398">
      <c r="A1398">
        <f>IF(AND('Skill Matrix'!A93&lt;&gt;"",'Skill Matrix'!I5&lt;&gt;""),'Skill Matrix'!A93,"")</f>
        <v/>
      </c>
      <c r="B1398">
        <f>IF(A1398="","",'Employees'!C11)</f>
        <v/>
      </c>
      <c r="C1398">
        <f>IF(A1398="","",'Employees'!D11)</f>
        <v/>
      </c>
      <c r="D1398">
        <f>IF(A1398="","",'Skill Matrix'!C93)</f>
        <v/>
      </c>
      <c r="E1398">
        <f>IF(A1398="","",'Skill Matrix'!D93)</f>
        <v/>
      </c>
      <c r="F1398">
        <f>IF(AND('Skill Matrix'!A93&lt;&gt;"",'Skill Matrix'!I5&lt;&gt;""),'Skill Matrix'!I5,"")</f>
        <v/>
      </c>
      <c r="G1398">
        <f>IF(OR(A1398="",'Skill Matrix'!I93=""),"",'Skill Matrix'!I93)</f>
        <v/>
      </c>
      <c r="H1398">
        <f>IF(A1398="","",'Employees'!F11)</f>
        <v/>
      </c>
    </row>
    <row r="1399">
      <c r="A1399">
        <f>IF(AND('Skill Matrix'!A93&lt;&gt;"",'Skill Matrix'!J5&lt;&gt;""),'Skill Matrix'!A93,"")</f>
        <v/>
      </c>
      <c r="B1399">
        <f>IF(A1399="","",'Employees'!C11)</f>
        <v/>
      </c>
      <c r="C1399">
        <f>IF(A1399="","",'Employees'!D11)</f>
        <v/>
      </c>
      <c r="D1399">
        <f>IF(A1399="","",'Skill Matrix'!C93)</f>
        <v/>
      </c>
      <c r="E1399">
        <f>IF(A1399="","",'Skill Matrix'!D93)</f>
        <v/>
      </c>
      <c r="F1399">
        <f>IF(AND('Skill Matrix'!A93&lt;&gt;"",'Skill Matrix'!J5&lt;&gt;""),'Skill Matrix'!J5,"")</f>
        <v/>
      </c>
      <c r="G1399">
        <f>IF(OR(A1399="",'Skill Matrix'!J93=""),"",'Skill Matrix'!J93)</f>
        <v/>
      </c>
      <c r="H1399">
        <f>IF(A1399="","",'Employees'!F11)</f>
        <v/>
      </c>
    </row>
    <row r="1400">
      <c r="A1400">
        <f>IF(AND('Skill Matrix'!A93&lt;&gt;"",'Skill Matrix'!K5&lt;&gt;""),'Skill Matrix'!A93,"")</f>
        <v/>
      </c>
      <c r="B1400">
        <f>IF(A1400="","",'Employees'!C11)</f>
        <v/>
      </c>
      <c r="C1400">
        <f>IF(A1400="","",'Employees'!D11)</f>
        <v/>
      </c>
      <c r="D1400">
        <f>IF(A1400="","",'Skill Matrix'!C93)</f>
        <v/>
      </c>
      <c r="E1400">
        <f>IF(A1400="","",'Skill Matrix'!D93)</f>
        <v/>
      </c>
      <c r="F1400">
        <f>IF(AND('Skill Matrix'!A93&lt;&gt;"",'Skill Matrix'!K5&lt;&gt;""),'Skill Matrix'!K5,"")</f>
        <v/>
      </c>
      <c r="G1400">
        <f>IF(OR(A1400="",'Skill Matrix'!K93=""),"",'Skill Matrix'!K93)</f>
        <v/>
      </c>
      <c r="H1400">
        <f>IF(A1400="","",'Employees'!F11)</f>
        <v/>
      </c>
    </row>
    <row r="1401">
      <c r="A1401">
        <f>IF(AND('Skill Matrix'!A93&lt;&gt;"",'Skill Matrix'!L5&lt;&gt;""),'Skill Matrix'!A93,"")</f>
        <v/>
      </c>
      <c r="B1401">
        <f>IF(A1401="","",'Employees'!C11)</f>
        <v/>
      </c>
      <c r="C1401">
        <f>IF(A1401="","",'Employees'!D11)</f>
        <v/>
      </c>
      <c r="D1401">
        <f>IF(A1401="","",'Skill Matrix'!C93)</f>
        <v/>
      </c>
      <c r="E1401">
        <f>IF(A1401="","",'Skill Matrix'!D93)</f>
        <v/>
      </c>
      <c r="F1401">
        <f>IF(AND('Skill Matrix'!A93&lt;&gt;"",'Skill Matrix'!L5&lt;&gt;""),'Skill Matrix'!L5,"")</f>
        <v/>
      </c>
      <c r="G1401">
        <f>IF(OR(A1401="",'Skill Matrix'!L93=""),"",'Skill Matrix'!L93)</f>
        <v/>
      </c>
      <c r="H1401">
        <f>IF(A1401="","",'Employees'!F11)</f>
        <v/>
      </c>
    </row>
    <row r="1402">
      <c r="A1402">
        <f>IF(AND('Skill Matrix'!A93&lt;&gt;"",'Skill Matrix'!M5&lt;&gt;""),'Skill Matrix'!A93,"")</f>
        <v/>
      </c>
      <c r="B1402">
        <f>IF(A1402="","",'Employees'!C11)</f>
        <v/>
      </c>
      <c r="C1402">
        <f>IF(A1402="","",'Employees'!D11)</f>
        <v/>
      </c>
      <c r="D1402">
        <f>IF(A1402="","",'Skill Matrix'!C93)</f>
        <v/>
      </c>
      <c r="E1402">
        <f>IF(A1402="","",'Skill Matrix'!D93)</f>
        <v/>
      </c>
      <c r="F1402">
        <f>IF(AND('Skill Matrix'!A93&lt;&gt;"",'Skill Matrix'!M5&lt;&gt;""),'Skill Matrix'!M5,"")</f>
        <v/>
      </c>
      <c r="G1402">
        <f>IF(OR(A1402="",'Skill Matrix'!M93=""),"",'Skill Matrix'!M93)</f>
        <v/>
      </c>
      <c r="H1402">
        <f>IF(A1402="","",'Employees'!F11)</f>
        <v/>
      </c>
    </row>
    <row r="1403">
      <c r="A1403">
        <f>IF(AND('Skill Matrix'!A93&lt;&gt;"",'Skill Matrix'!N5&lt;&gt;""),'Skill Matrix'!A93,"")</f>
        <v/>
      </c>
      <c r="B1403">
        <f>IF(A1403="","",'Employees'!C11)</f>
        <v/>
      </c>
      <c r="C1403">
        <f>IF(A1403="","",'Employees'!D11)</f>
        <v/>
      </c>
      <c r="D1403">
        <f>IF(A1403="","",'Skill Matrix'!C93)</f>
        <v/>
      </c>
      <c r="E1403">
        <f>IF(A1403="","",'Skill Matrix'!D93)</f>
        <v/>
      </c>
      <c r="F1403">
        <f>IF(AND('Skill Matrix'!A93&lt;&gt;"",'Skill Matrix'!N5&lt;&gt;""),'Skill Matrix'!N5,"")</f>
        <v/>
      </c>
      <c r="G1403">
        <f>IF(OR(A1403="",'Skill Matrix'!N93=""),"",'Skill Matrix'!N93)</f>
        <v/>
      </c>
      <c r="H1403">
        <f>IF(A1403="","",'Employees'!F11)</f>
        <v/>
      </c>
    </row>
    <row r="1404">
      <c r="A1404">
        <f>IF(AND('Skill Matrix'!A93&lt;&gt;"",'Skill Matrix'!O5&lt;&gt;""),'Skill Matrix'!A93,"")</f>
        <v/>
      </c>
      <c r="B1404">
        <f>IF(A1404="","",'Employees'!C11)</f>
        <v/>
      </c>
      <c r="C1404">
        <f>IF(A1404="","",'Employees'!D11)</f>
        <v/>
      </c>
      <c r="D1404">
        <f>IF(A1404="","",'Skill Matrix'!C93)</f>
        <v/>
      </c>
      <c r="E1404">
        <f>IF(A1404="","",'Skill Matrix'!D93)</f>
        <v/>
      </c>
      <c r="F1404">
        <f>IF(AND('Skill Matrix'!A93&lt;&gt;"",'Skill Matrix'!O5&lt;&gt;""),'Skill Matrix'!O5,"")</f>
        <v/>
      </c>
      <c r="G1404">
        <f>IF(OR(A1404="",'Skill Matrix'!O93=""),"",'Skill Matrix'!O93)</f>
        <v/>
      </c>
      <c r="H1404">
        <f>IF(A1404="","",'Employees'!F11)</f>
        <v/>
      </c>
    </row>
    <row r="1405">
      <c r="A1405">
        <f>IF(AND('Skill Matrix'!A93&lt;&gt;"",'Skill Matrix'!P5&lt;&gt;""),'Skill Matrix'!A93,"")</f>
        <v/>
      </c>
      <c r="B1405">
        <f>IF(A1405="","",'Employees'!C11)</f>
        <v/>
      </c>
      <c r="C1405">
        <f>IF(A1405="","",'Employees'!D11)</f>
        <v/>
      </c>
      <c r="D1405">
        <f>IF(A1405="","",'Skill Matrix'!C93)</f>
        <v/>
      </c>
      <c r="E1405">
        <f>IF(A1405="","",'Skill Matrix'!D93)</f>
        <v/>
      </c>
      <c r="F1405">
        <f>IF(AND('Skill Matrix'!A93&lt;&gt;"",'Skill Matrix'!P5&lt;&gt;""),'Skill Matrix'!P5,"")</f>
        <v/>
      </c>
      <c r="G1405">
        <f>IF(OR(A1405="",'Skill Matrix'!P93=""),"",'Skill Matrix'!P93)</f>
        <v/>
      </c>
      <c r="H1405">
        <f>IF(A1405="","",'Employees'!F11)</f>
        <v/>
      </c>
    </row>
    <row r="1406">
      <c r="A1406">
        <f>IF(AND('Skill Matrix'!A93&lt;&gt;"",'Skill Matrix'!Q5&lt;&gt;""),'Skill Matrix'!A93,"")</f>
        <v/>
      </c>
      <c r="B1406">
        <f>IF(A1406="","",'Employees'!C11)</f>
        <v/>
      </c>
      <c r="C1406">
        <f>IF(A1406="","",'Employees'!D11)</f>
        <v/>
      </c>
      <c r="D1406">
        <f>IF(A1406="","",'Skill Matrix'!C93)</f>
        <v/>
      </c>
      <c r="E1406">
        <f>IF(A1406="","",'Skill Matrix'!D93)</f>
        <v/>
      </c>
      <c r="F1406">
        <f>IF(AND('Skill Matrix'!A93&lt;&gt;"",'Skill Matrix'!Q5&lt;&gt;""),'Skill Matrix'!Q5,"")</f>
        <v/>
      </c>
      <c r="G1406">
        <f>IF(OR(A1406="",'Skill Matrix'!Q93=""),"",'Skill Matrix'!Q93)</f>
        <v/>
      </c>
      <c r="H1406">
        <f>IF(A1406="","",'Employees'!F11)</f>
        <v/>
      </c>
    </row>
    <row r="1407">
      <c r="A1407">
        <f>IF(AND('Skill Matrix'!A93&lt;&gt;"",'Skill Matrix'!R5&lt;&gt;""),'Skill Matrix'!A93,"")</f>
        <v/>
      </c>
      <c r="B1407">
        <f>IF(A1407="","",'Employees'!C11)</f>
        <v/>
      </c>
      <c r="C1407">
        <f>IF(A1407="","",'Employees'!D11)</f>
        <v/>
      </c>
      <c r="D1407">
        <f>IF(A1407="","",'Skill Matrix'!C93)</f>
        <v/>
      </c>
      <c r="E1407">
        <f>IF(A1407="","",'Skill Matrix'!D93)</f>
        <v/>
      </c>
      <c r="F1407">
        <f>IF(AND('Skill Matrix'!A93&lt;&gt;"",'Skill Matrix'!R5&lt;&gt;""),'Skill Matrix'!R5,"")</f>
        <v/>
      </c>
      <c r="G1407">
        <f>IF(OR(A1407="",'Skill Matrix'!R93=""),"",'Skill Matrix'!R93)</f>
        <v/>
      </c>
      <c r="H1407">
        <f>IF(A1407="","",'Employees'!F11)</f>
        <v/>
      </c>
    </row>
    <row r="1408">
      <c r="A1408">
        <f>IF(AND('Skill Matrix'!A93&lt;&gt;"",'Skill Matrix'!S5&lt;&gt;""),'Skill Matrix'!A93,"")</f>
        <v/>
      </c>
      <c r="B1408">
        <f>IF(A1408="","",'Employees'!C11)</f>
        <v/>
      </c>
      <c r="C1408">
        <f>IF(A1408="","",'Employees'!D11)</f>
        <v/>
      </c>
      <c r="D1408">
        <f>IF(A1408="","",'Skill Matrix'!C93)</f>
        <v/>
      </c>
      <c r="E1408">
        <f>IF(A1408="","",'Skill Matrix'!D93)</f>
        <v/>
      </c>
      <c r="F1408">
        <f>IF(AND('Skill Matrix'!A93&lt;&gt;"",'Skill Matrix'!S5&lt;&gt;""),'Skill Matrix'!S5,"")</f>
        <v/>
      </c>
      <c r="G1408">
        <f>IF(OR(A1408="",'Skill Matrix'!S93=""),"",'Skill Matrix'!S93)</f>
        <v/>
      </c>
      <c r="H1408">
        <f>IF(A1408="","",'Employees'!F11)</f>
        <v/>
      </c>
    </row>
    <row r="1409">
      <c r="A1409">
        <f>IF(AND('Skill Matrix'!A93&lt;&gt;"",'Skill Matrix'!T5&lt;&gt;""),'Skill Matrix'!A93,"")</f>
        <v/>
      </c>
      <c r="B1409">
        <f>IF(A1409="","",'Employees'!C11)</f>
        <v/>
      </c>
      <c r="C1409">
        <f>IF(A1409="","",'Employees'!D11)</f>
        <v/>
      </c>
      <c r="D1409">
        <f>IF(A1409="","",'Skill Matrix'!C93)</f>
        <v/>
      </c>
      <c r="E1409">
        <f>IF(A1409="","",'Skill Matrix'!D93)</f>
        <v/>
      </c>
      <c r="F1409">
        <f>IF(AND('Skill Matrix'!A93&lt;&gt;"",'Skill Matrix'!T5&lt;&gt;""),'Skill Matrix'!T5,"")</f>
        <v/>
      </c>
      <c r="G1409">
        <f>IF(OR(A1409="",'Skill Matrix'!T93=""),"",'Skill Matrix'!T93)</f>
        <v/>
      </c>
      <c r="H1409">
        <f>IF(A1409="","",'Employees'!F11)</f>
        <v/>
      </c>
    </row>
    <row r="1410">
      <c r="A1410">
        <f>IF(AND('Skill Matrix'!A94&lt;&gt;"",'Skill Matrix'!E5&lt;&gt;""),'Skill Matrix'!A94,"")</f>
        <v/>
      </c>
      <c r="B1410">
        <f>IF(A1410="","",'Employees'!C11)</f>
        <v/>
      </c>
      <c r="C1410">
        <f>IF(A1410="","",'Employees'!D11)</f>
        <v/>
      </c>
      <c r="D1410">
        <f>IF(A1410="","",'Skill Matrix'!C94)</f>
        <v/>
      </c>
      <c r="E1410">
        <f>IF(A1410="","",'Skill Matrix'!D94)</f>
        <v/>
      </c>
      <c r="F1410">
        <f>IF(AND('Skill Matrix'!A94&lt;&gt;"",'Skill Matrix'!E5&lt;&gt;""),'Skill Matrix'!E5,"")</f>
        <v/>
      </c>
      <c r="G1410">
        <f>IF(OR(A1410="",'Skill Matrix'!E94=""),"",'Skill Matrix'!E94)</f>
        <v/>
      </c>
      <c r="H1410">
        <f>IF(A1410="","",'Employees'!F11)</f>
        <v/>
      </c>
    </row>
    <row r="1411">
      <c r="A1411">
        <f>IF(AND('Skill Matrix'!A94&lt;&gt;"",'Skill Matrix'!F5&lt;&gt;""),'Skill Matrix'!A94,"")</f>
        <v/>
      </c>
      <c r="B1411">
        <f>IF(A1411="","",'Employees'!C11)</f>
        <v/>
      </c>
      <c r="C1411">
        <f>IF(A1411="","",'Employees'!D11)</f>
        <v/>
      </c>
      <c r="D1411">
        <f>IF(A1411="","",'Skill Matrix'!C94)</f>
        <v/>
      </c>
      <c r="E1411">
        <f>IF(A1411="","",'Skill Matrix'!D94)</f>
        <v/>
      </c>
      <c r="F1411">
        <f>IF(AND('Skill Matrix'!A94&lt;&gt;"",'Skill Matrix'!F5&lt;&gt;""),'Skill Matrix'!F5,"")</f>
        <v/>
      </c>
      <c r="G1411">
        <f>IF(OR(A1411="",'Skill Matrix'!F94=""),"",'Skill Matrix'!F94)</f>
        <v/>
      </c>
      <c r="H1411">
        <f>IF(A1411="","",'Employees'!F11)</f>
        <v/>
      </c>
    </row>
    <row r="1412">
      <c r="A1412">
        <f>IF(AND('Skill Matrix'!A94&lt;&gt;"",'Skill Matrix'!G5&lt;&gt;""),'Skill Matrix'!A94,"")</f>
        <v/>
      </c>
      <c r="B1412">
        <f>IF(A1412="","",'Employees'!C11)</f>
        <v/>
      </c>
      <c r="C1412">
        <f>IF(A1412="","",'Employees'!D11)</f>
        <v/>
      </c>
      <c r="D1412">
        <f>IF(A1412="","",'Skill Matrix'!C94)</f>
        <v/>
      </c>
      <c r="E1412">
        <f>IF(A1412="","",'Skill Matrix'!D94)</f>
        <v/>
      </c>
      <c r="F1412">
        <f>IF(AND('Skill Matrix'!A94&lt;&gt;"",'Skill Matrix'!G5&lt;&gt;""),'Skill Matrix'!G5,"")</f>
        <v/>
      </c>
      <c r="G1412">
        <f>IF(OR(A1412="",'Skill Matrix'!G94=""),"",'Skill Matrix'!G94)</f>
        <v/>
      </c>
      <c r="H1412">
        <f>IF(A1412="","",'Employees'!F11)</f>
        <v/>
      </c>
    </row>
    <row r="1413">
      <c r="A1413">
        <f>IF(AND('Skill Matrix'!A94&lt;&gt;"",'Skill Matrix'!H5&lt;&gt;""),'Skill Matrix'!A94,"")</f>
        <v/>
      </c>
      <c r="B1413">
        <f>IF(A1413="","",'Employees'!C11)</f>
        <v/>
      </c>
      <c r="C1413">
        <f>IF(A1413="","",'Employees'!D11)</f>
        <v/>
      </c>
      <c r="D1413">
        <f>IF(A1413="","",'Skill Matrix'!C94)</f>
        <v/>
      </c>
      <c r="E1413">
        <f>IF(A1413="","",'Skill Matrix'!D94)</f>
        <v/>
      </c>
      <c r="F1413">
        <f>IF(AND('Skill Matrix'!A94&lt;&gt;"",'Skill Matrix'!H5&lt;&gt;""),'Skill Matrix'!H5,"")</f>
        <v/>
      </c>
      <c r="G1413">
        <f>IF(OR(A1413="",'Skill Matrix'!H94=""),"",'Skill Matrix'!H94)</f>
        <v/>
      </c>
      <c r="H1413">
        <f>IF(A1413="","",'Employees'!F11)</f>
        <v/>
      </c>
    </row>
    <row r="1414">
      <c r="A1414">
        <f>IF(AND('Skill Matrix'!A94&lt;&gt;"",'Skill Matrix'!I5&lt;&gt;""),'Skill Matrix'!A94,"")</f>
        <v/>
      </c>
      <c r="B1414">
        <f>IF(A1414="","",'Employees'!C11)</f>
        <v/>
      </c>
      <c r="C1414">
        <f>IF(A1414="","",'Employees'!D11)</f>
        <v/>
      </c>
      <c r="D1414">
        <f>IF(A1414="","",'Skill Matrix'!C94)</f>
        <v/>
      </c>
      <c r="E1414">
        <f>IF(A1414="","",'Skill Matrix'!D94)</f>
        <v/>
      </c>
      <c r="F1414">
        <f>IF(AND('Skill Matrix'!A94&lt;&gt;"",'Skill Matrix'!I5&lt;&gt;""),'Skill Matrix'!I5,"")</f>
        <v/>
      </c>
      <c r="G1414">
        <f>IF(OR(A1414="",'Skill Matrix'!I94=""),"",'Skill Matrix'!I94)</f>
        <v/>
      </c>
      <c r="H1414">
        <f>IF(A1414="","",'Employees'!F11)</f>
        <v/>
      </c>
    </row>
    <row r="1415">
      <c r="A1415">
        <f>IF(AND('Skill Matrix'!A94&lt;&gt;"",'Skill Matrix'!J5&lt;&gt;""),'Skill Matrix'!A94,"")</f>
        <v/>
      </c>
      <c r="B1415">
        <f>IF(A1415="","",'Employees'!C11)</f>
        <v/>
      </c>
      <c r="C1415">
        <f>IF(A1415="","",'Employees'!D11)</f>
        <v/>
      </c>
      <c r="D1415">
        <f>IF(A1415="","",'Skill Matrix'!C94)</f>
        <v/>
      </c>
      <c r="E1415">
        <f>IF(A1415="","",'Skill Matrix'!D94)</f>
        <v/>
      </c>
      <c r="F1415">
        <f>IF(AND('Skill Matrix'!A94&lt;&gt;"",'Skill Matrix'!J5&lt;&gt;""),'Skill Matrix'!J5,"")</f>
        <v/>
      </c>
      <c r="G1415">
        <f>IF(OR(A1415="",'Skill Matrix'!J94=""),"",'Skill Matrix'!J94)</f>
        <v/>
      </c>
      <c r="H1415">
        <f>IF(A1415="","",'Employees'!F11)</f>
        <v/>
      </c>
    </row>
    <row r="1416">
      <c r="A1416">
        <f>IF(AND('Skill Matrix'!A94&lt;&gt;"",'Skill Matrix'!K5&lt;&gt;""),'Skill Matrix'!A94,"")</f>
        <v/>
      </c>
      <c r="B1416">
        <f>IF(A1416="","",'Employees'!C11)</f>
        <v/>
      </c>
      <c r="C1416">
        <f>IF(A1416="","",'Employees'!D11)</f>
        <v/>
      </c>
      <c r="D1416">
        <f>IF(A1416="","",'Skill Matrix'!C94)</f>
        <v/>
      </c>
      <c r="E1416">
        <f>IF(A1416="","",'Skill Matrix'!D94)</f>
        <v/>
      </c>
      <c r="F1416">
        <f>IF(AND('Skill Matrix'!A94&lt;&gt;"",'Skill Matrix'!K5&lt;&gt;""),'Skill Matrix'!K5,"")</f>
        <v/>
      </c>
      <c r="G1416">
        <f>IF(OR(A1416="",'Skill Matrix'!K94=""),"",'Skill Matrix'!K94)</f>
        <v/>
      </c>
      <c r="H1416">
        <f>IF(A1416="","",'Employees'!F11)</f>
        <v/>
      </c>
    </row>
    <row r="1417">
      <c r="A1417">
        <f>IF(AND('Skill Matrix'!A94&lt;&gt;"",'Skill Matrix'!L5&lt;&gt;""),'Skill Matrix'!A94,"")</f>
        <v/>
      </c>
      <c r="B1417">
        <f>IF(A1417="","",'Employees'!C11)</f>
        <v/>
      </c>
      <c r="C1417">
        <f>IF(A1417="","",'Employees'!D11)</f>
        <v/>
      </c>
      <c r="D1417">
        <f>IF(A1417="","",'Skill Matrix'!C94)</f>
        <v/>
      </c>
      <c r="E1417">
        <f>IF(A1417="","",'Skill Matrix'!D94)</f>
        <v/>
      </c>
      <c r="F1417">
        <f>IF(AND('Skill Matrix'!A94&lt;&gt;"",'Skill Matrix'!L5&lt;&gt;""),'Skill Matrix'!L5,"")</f>
        <v/>
      </c>
      <c r="G1417">
        <f>IF(OR(A1417="",'Skill Matrix'!L94=""),"",'Skill Matrix'!L94)</f>
        <v/>
      </c>
      <c r="H1417">
        <f>IF(A1417="","",'Employees'!F11)</f>
        <v/>
      </c>
    </row>
    <row r="1418">
      <c r="A1418">
        <f>IF(AND('Skill Matrix'!A94&lt;&gt;"",'Skill Matrix'!M5&lt;&gt;""),'Skill Matrix'!A94,"")</f>
        <v/>
      </c>
      <c r="B1418">
        <f>IF(A1418="","",'Employees'!C11)</f>
        <v/>
      </c>
      <c r="C1418">
        <f>IF(A1418="","",'Employees'!D11)</f>
        <v/>
      </c>
      <c r="D1418">
        <f>IF(A1418="","",'Skill Matrix'!C94)</f>
        <v/>
      </c>
      <c r="E1418">
        <f>IF(A1418="","",'Skill Matrix'!D94)</f>
        <v/>
      </c>
      <c r="F1418">
        <f>IF(AND('Skill Matrix'!A94&lt;&gt;"",'Skill Matrix'!M5&lt;&gt;""),'Skill Matrix'!M5,"")</f>
        <v/>
      </c>
      <c r="G1418">
        <f>IF(OR(A1418="",'Skill Matrix'!M94=""),"",'Skill Matrix'!M94)</f>
        <v/>
      </c>
      <c r="H1418">
        <f>IF(A1418="","",'Employees'!F11)</f>
        <v/>
      </c>
    </row>
    <row r="1419">
      <c r="A1419">
        <f>IF(AND('Skill Matrix'!A94&lt;&gt;"",'Skill Matrix'!N5&lt;&gt;""),'Skill Matrix'!A94,"")</f>
        <v/>
      </c>
      <c r="B1419">
        <f>IF(A1419="","",'Employees'!C11)</f>
        <v/>
      </c>
      <c r="C1419">
        <f>IF(A1419="","",'Employees'!D11)</f>
        <v/>
      </c>
      <c r="D1419">
        <f>IF(A1419="","",'Skill Matrix'!C94)</f>
        <v/>
      </c>
      <c r="E1419">
        <f>IF(A1419="","",'Skill Matrix'!D94)</f>
        <v/>
      </c>
      <c r="F1419">
        <f>IF(AND('Skill Matrix'!A94&lt;&gt;"",'Skill Matrix'!N5&lt;&gt;""),'Skill Matrix'!N5,"")</f>
        <v/>
      </c>
      <c r="G1419">
        <f>IF(OR(A1419="",'Skill Matrix'!N94=""),"",'Skill Matrix'!N94)</f>
        <v/>
      </c>
      <c r="H1419">
        <f>IF(A1419="","",'Employees'!F11)</f>
        <v/>
      </c>
    </row>
    <row r="1420">
      <c r="A1420">
        <f>IF(AND('Skill Matrix'!A94&lt;&gt;"",'Skill Matrix'!O5&lt;&gt;""),'Skill Matrix'!A94,"")</f>
        <v/>
      </c>
      <c r="B1420">
        <f>IF(A1420="","",'Employees'!C11)</f>
        <v/>
      </c>
      <c r="C1420">
        <f>IF(A1420="","",'Employees'!D11)</f>
        <v/>
      </c>
      <c r="D1420">
        <f>IF(A1420="","",'Skill Matrix'!C94)</f>
        <v/>
      </c>
      <c r="E1420">
        <f>IF(A1420="","",'Skill Matrix'!D94)</f>
        <v/>
      </c>
      <c r="F1420">
        <f>IF(AND('Skill Matrix'!A94&lt;&gt;"",'Skill Matrix'!O5&lt;&gt;""),'Skill Matrix'!O5,"")</f>
        <v/>
      </c>
      <c r="G1420">
        <f>IF(OR(A1420="",'Skill Matrix'!O94=""),"",'Skill Matrix'!O94)</f>
        <v/>
      </c>
      <c r="H1420">
        <f>IF(A1420="","",'Employees'!F11)</f>
        <v/>
      </c>
    </row>
    <row r="1421">
      <c r="A1421">
        <f>IF(AND('Skill Matrix'!A94&lt;&gt;"",'Skill Matrix'!P5&lt;&gt;""),'Skill Matrix'!A94,"")</f>
        <v/>
      </c>
      <c r="B1421">
        <f>IF(A1421="","",'Employees'!C11)</f>
        <v/>
      </c>
      <c r="C1421">
        <f>IF(A1421="","",'Employees'!D11)</f>
        <v/>
      </c>
      <c r="D1421">
        <f>IF(A1421="","",'Skill Matrix'!C94)</f>
        <v/>
      </c>
      <c r="E1421">
        <f>IF(A1421="","",'Skill Matrix'!D94)</f>
        <v/>
      </c>
      <c r="F1421">
        <f>IF(AND('Skill Matrix'!A94&lt;&gt;"",'Skill Matrix'!P5&lt;&gt;""),'Skill Matrix'!P5,"")</f>
        <v/>
      </c>
      <c r="G1421">
        <f>IF(OR(A1421="",'Skill Matrix'!P94=""),"",'Skill Matrix'!P94)</f>
        <v/>
      </c>
      <c r="H1421">
        <f>IF(A1421="","",'Employees'!F11)</f>
        <v/>
      </c>
    </row>
    <row r="1422">
      <c r="A1422">
        <f>IF(AND('Skill Matrix'!A94&lt;&gt;"",'Skill Matrix'!Q5&lt;&gt;""),'Skill Matrix'!A94,"")</f>
        <v/>
      </c>
      <c r="B1422">
        <f>IF(A1422="","",'Employees'!C11)</f>
        <v/>
      </c>
      <c r="C1422">
        <f>IF(A1422="","",'Employees'!D11)</f>
        <v/>
      </c>
      <c r="D1422">
        <f>IF(A1422="","",'Skill Matrix'!C94)</f>
        <v/>
      </c>
      <c r="E1422">
        <f>IF(A1422="","",'Skill Matrix'!D94)</f>
        <v/>
      </c>
      <c r="F1422">
        <f>IF(AND('Skill Matrix'!A94&lt;&gt;"",'Skill Matrix'!Q5&lt;&gt;""),'Skill Matrix'!Q5,"")</f>
        <v/>
      </c>
      <c r="G1422">
        <f>IF(OR(A1422="",'Skill Matrix'!Q94=""),"",'Skill Matrix'!Q94)</f>
        <v/>
      </c>
      <c r="H1422">
        <f>IF(A1422="","",'Employees'!F11)</f>
        <v/>
      </c>
    </row>
    <row r="1423">
      <c r="A1423">
        <f>IF(AND('Skill Matrix'!A94&lt;&gt;"",'Skill Matrix'!R5&lt;&gt;""),'Skill Matrix'!A94,"")</f>
        <v/>
      </c>
      <c r="B1423">
        <f>IF(A1423="","",'Employees'!C11)</f>
        <v/>
      </c>
      <c r="C1423">
        <f>IF(A1423="","",'Employees'!D11)</f>
        <v/>
      </c>
      <c r="D1423">
        <f>IF(A1423="","",'Skill Matrix'!C94)</f>
        <v/>
      </c>
      <c r="E1423">
        <f>IF(A1423="","",'Skill Matrix'!D94)</f>
        <v/>
      </c>
      <c r="F1423">
        <f>IF(AND('Skill Matrix'!A94&lt;&gt;"",'Skill Matrix'!R5&lt;&gt;""),'Skill Matrix'!R5,"")</f>
        <v/>
      </c>
      <c r="G1423">
        <f>IF(OR(A1423="",'Skill Matrix'!R94=""),"",'Skill Matrix'!R94)</f>
        <v/>
      </c>
      <c r="H1423">
        <f>IF(A1423="","",'Employees'!F11)</f>
        <v/>
      </c>
    </row>
    <row r="1424">
      <c r="A1424">
        <f>IF(AND('Skill Matrix'!A94&lt;&gt;"",'Skill Matrix'!S5&lt;&gt;""),'Skill Matrix'!A94,"")</f>
        <v/>
      </c>
      <c r="B1424">
        <f>IF(A1424="","",'Employees'!C11)</f>
        <v/>
      </c>
      <c r="C1424">
        <f>IF(A1424="","",'Employees'!D11)</f>
        <v/>
      </c>
      <c r="D1424">
        <f>IF(A1424="","",'Skill Matrix'!C94)</f>
        <v/>
      </c>
      <c r="E1424">
        <f>IF(A1424="","",'Skill Matrix'!D94)</f>
        <v/>
      </c>
      <c r="F1424">
        <f>IF(AND('Skill Matrix'!A94&lt;&gt;"",'Skill Matrix'!S5&lt;&gt;""),'Skill Matrix'!S5,"")</f>
        <v/>
      </c>
      <c r="G1424">
        <f>IF(OR(A1424="",'Skill Matrix'!S94=""),"",'Skill Matrix'!S94)</f>
        <v/>
      </c>
      <c r="H1424">
        <f>IF(A1424="","",'Employees'!F11)</f>
        <v/>
      </c>
    </row>
    <row r="1425">
      <c r="A1425">
        <f>IF(AND('Skill Matrix'!A94&lt;&gt;"",'Skill Matrix'!T5&lt;&gt;""),'Skill Matrix'!A94,"")</f>
        <v/>
      </c>
      <c r="B1425">
        <f>IF(A1425="","",'Employees'!C11)</f>
        <v/>
      </c>
      <c r="C1425">
        <f>IF(A1425="","",'Employees'!D11)</f>
        <v/>
      </c>
      <c r="D1425">
        <f>IF(A1425="","",'Skill Matrix'!C94)</f>
        <v/>
      </c>
      <c r="E1425">
        <f>IF(A1425="","",'Skill Matrix'!D94)</f>
        <v/>
      </c>
      <c r="F1425">
        <f>IF(AND('Skill Matrix'!A94&lt;&gt;"",'Skill Matrix'!T5&lt;&gt;""),'Skill Matrix'!T5,"")</f>
        <v/>
      </c>
      <c r="G1425">
        <f>IF(OR(A1425="",'Skill Matrix'!T94=""),"",'Skill Matrix'!T94)</f>
        <v/>
      </c>
      <c r="H1425">
        <f>IF(A1425="","",'Employees'!F11)</f>
        <v/>
      </c>
    </row>
    <row r="1426">
      <c r="A1426">
        <f>IF(AND('Skill Matrix'!A95&lt;&gt;"",'Skill Matrix'!E5&lt;&gt;""),'Skill Matrix'!A95,"")</f>
        <v/>
      </c>
      <c r="B1426">
        <f>IF(A1426="","",'Employees'!C11)</f>
        <v/>
      </c>
      <c r="C1426">
        <f>IF(A1426="","",'Employees'!D11)</f>
        <v/>
      </c>
      <c r="D1426">
        <f>IF(A1426="","",'Skill Matrix'!C95)</f>
        <v/>
      </c>
      <c r="E1426">
        <f>IF(A1426="","",'Skill Matrix'!D95)</f>
        <v/>
      </c>
      <c r="F1426">
        <f>IF(AND('Skill Matrix'!A95&lt;&gt;"",'Skill Matrix'!E5&lt;&gt;""),'Skill Matrix'!E5,"")</f>
        <v/>
      </c>
      <c r="G1426">
        <f>IF(OR(A1426="",'Skill Matrix'!E95=""),"",'Skill Matrix'!E95)</f>
        <v/>
      </c>
      <c r="H1426">
        <f>IF(A1426="","",'Employees'!F11)</f>
        <v/>
      </c>
    </row>
    <row r="1427">
      <c r="A1427">
        <f>IF(AND('Skill Matrix'!A95&lt;&gt;"",'Skill Matrix'!F5&lt;&gt;""),'Skill Matrix'!A95,"")</f>
        <v/>
      </c>
      <c r="B1427">
        <f>IF(A1427="","",'Employees'!C11)</f>
        <v/>
      </c>
      <c r="C1427">
        <f>IF(A1427="","",'Employees'!D11)</f>
        <v/>
      </c>
      <c r="D1427">
        <f>IF(A1427="","",'Skill Matrix'!C95)</f>
        <v/>
      </c>
      <c r="E1427">
        <f>IF(A1427="","",'Skill Matrix'!D95)</f>
        <v/>
      </c>
      <c r="F1427">
        <f>IF(AND('Skill Matrix'!A95&lt;&gt;"",'Skill Matrix'!F5&lt;&gt;""),'Skill Matrix'!F5,"")</f>
        <v/>
      </c>
      <c r="G1427">
        <f>IF(OR(A1427="",'Skill Matrix'!F95=""),"",'Skill Matrix'!F95)</f>
        <v/>
      </c>
      <c r="H1427">
        <f>IF(A1427="","",'Employees'!F11)</f>
        <v/>
      </c>
    </row>
    <row r="1428">
      <c r="A1428">
        <f>IF(AND('Skill Matrix'!A95&lt;&gt;"",'Skill Matrix'!G5&lt;&gt;""),'Skill Matrix'!A95,"")</f>
        <v/>
      </c>
      <c r="B1428">
        <f>IF(A1428="","",'Employees'!C11)</f>
        <v/>
      </c>
      <c r="C1428">
        <f>IF(A1428="","",'Employees'!D11)</f>
        <v/>
      </c>
      <c r="D1428">
        <f>IF(A1428="","",'Skill Matrix'!C95)</f>
        <v/>
      </c>
      <c r="E1428">
        <f>IF(A1428="","",'Skill Matrix'!D95)</f>
        <v/>
      </c>
      <c r="F1428">
        <f>IF(AND('Skill Matrix'!A95&lt;&gt;"",'Skill Matrix'!G5&lt;&gt;""),'Skill Matrix'!G5,"")</f>
        <v/>
      </c>
      <c r="G1428">
        <f>IF(OR(A1428="",'Skill Matrix'!G95=""),"",'Skill Matrix'!G95)</f>
        <v/>
      </c>
      <c r="H1428">
        <f>IF(A1428="","",'Employees'!F11)</f>
        <v/>
      </c>
    </row>
    <row r="1429">
      <c r="A1429">
        <f>IF(AND('Skill Matrix'!A95&lt;&gt;"",'Skill Matrix'!H5&lt;&gt;""),'Skill Matrix'!A95,"")</f>
        <v/>
      </c>
      <c r="B1429">
        <f>IF(A1429="","",'Employees'!C11)</f>
        <v/>
      </c>
      <c r="C1429">
        <f>IF(A1429="","",'Employees'!D11)</f>
        <v/>
      </c>
      <c r="D1429">
        <f>IF(A1429="","",'Skill Matrix'!C95)</f>
        <v/>
      </c>
      <c r="E1429">
        <f>IF(A1429="","",'Skill Matrix'!D95)</f>
        <v/>
      </c>
      <c r="F1429">
        <f>IF(AND('Skill Matrix'!A95&lt;&gt;"",'Skill Matrix'!H5&lt;&gt;""),'Skill Matrix'!H5,"")</f>
        <v/>
      </c>
      <c r="G1429">
        <f>IF(OR(A1429="",'Skill Matrix'!H95=""),"",'Skill Matrix'!H95)</f>
        <v/>
      </c>
      <c r="H1429">
        <f>IF(A1429="","",'Employees'!F11)</f>
        <v/>
      </c>
    </row>
    <row r="1430">
      <c r="A1430">
        <f>IF(AND('Skill Matrix'!A95&lt;&gt;"",'Skill Matrix'!I5&lt;&gt;""),'Skill Matrix'!A95,"")</f>
        <v/>
      </c>
      <c r="B1430">
        <f>IF(A1430="","",'Employees'!C11)</f>
        <v/>
      </c>
      <c r="C1430">
        <f>IF(A1430="","",'Employees'!D11)</f>
        <v/>
      </c>
      <c r="D1430">
        <f>IF(A1430="","",'Skill Matrix'!C95)</f>
        <v/>
      </c>
      <c r="E1430">
        <f>IF(A1430="","",'Skill Matrix'!D95)</f>
        <v/>
      </c>
      <c r="F1430">
        <f>IF(AND('Skill Matrix'!A95&lt;&gt;"",'Skill Matrix'!I5&lt;&gt;""),'Skill Matrix'!I5,"")</f>
        <v/>
      </c>
      <c r="G1430">
        <f>IF(OR(A1430="",'Skill Matrix'!I95=""),"",'Skill Matrix'!I95)</f>
        <v/>
      </c>
      <c r="H1430">
        <f>IF(A1430="","",'Employees'!F11)</f>
        <v/>
      </c>
    </row>
    <row r="1431">
      <c r="A1431">
        <f>IF(AND('Skill Matrix'!A95&lt;&gt;"",'Skill Matrix'!J5&lt;&gt;""),'Skill Matrix'!A95,"")</f>
        <v/>
      </c>
      <c r="B1431">
        <f>IF(A1431="","",'Employees'!C11)</f>
        <v/>
      </c>
      <c r="C1431">
        <f>IF(A1431="","",'Employees'!D11)</f>
        <v/>
      </c>
      <c r="D1431">
        <f>IF(A1431="","",'Skill Matrix'!C95)</f>
        <v/>
      </c>
      <c r="E1431">
        <f>IF(A1431="","",'Skill Matrix'!D95)</f>
        <v/>
      </c>
      <c r="F1431">
        <f>IF(AND('Skill Matrix'!A95&lt;&gt;"",'Skill Matrix'!J5&lt;&gt;""),'Skill Matrix'!J5,"")</f>
        <v/>
      </c>
      <c r="G1431">
        <f>IF(OR(A1431="",'Skill Matrix'!J95=""),"",'Skill Matrix'!J95)</f>
        <v/>
      </c>
      <c r="H1431">
        <f>IF(A1431="","",'Employees'!F11)</f>
        <v/>
      </c>
    </row>
    <row r="1432">
      <c r="A1432">
        <f>IF(AND('Skill Matrix'!A95&lt;&gt;"",'Skill Matrix'!K5&lt;&gt;""),'Skill Matrix'!A95,"")</f>
        <v/>
      </c>
      <c r="B1432">
        <f>IF(A1432="","",'Employees'!C11)</f>
        <v/>
      </c>
      <c r="C1432">
        <f>IF(A1432="","",'Employees'!D11)</f>
        <v/>
      </c>
      <c r="D1432">
        <f>IF(A1432="","",'Skill Matrix'!C95)</f>
        <v/>
      </c>
      <c r="E1432">
        <f>IF(A1432="","",'Skill Matrix'!D95)</f>
        <v/>
      </c>
      <c r="F1432">
        <f>IF(AND('Skill Matrix'!A95&lt;&gt;"",'Skill Matrix'!K5&lt;&gt;""),'Skill Matrix'!K5,"")</f>
        <v/>
      </c>
      <c r="G1432">
        <f>IF(OR(A1432="",'Skill Matrix'!K95=""),"",'Skill Matrix'!K95)</f>
        <v/>
      </c>
      <c r="H1432">
        <f>IF(A1432="","",'Employees'!F11)</f>
        <v/>
      </c>
    </row>
    <row r="1433">
      <c r="A1433">
        <f>IF(AND('Skill Matrix'!A95&lt;&gt;"",'Skill Matrix'!L5&lt;&gt;""),'Skill Matrix'!A95,"")</f>
        <v/>
      </c>
      <c r="B1433">
        <f>IF(A1433="","",'Employees'!C11)</f>
        <v/>
      </c>
      <c r="C1433">
        <f>IF(A1433="","",'Employees'!D11)</f>
        <v/>
      </c>
      <c r="D1433">
        <f>IF(A1433="","",'Skill Matrix'!C95)</f>
        <v/>
      </c>
      <c r="E1433">
        <f>IF(A1433="","",'Skill Matrix'!D95)</f>
        <v/>
      </c>
      <c r="F1433">
        <f>IF(AND('Skill Matrix'!A95&lt;&gt;"",'Skill Matrix'!L5&lt;&gt;""),'Skill Matrix'!L5,"")</f>
        <v/>
      </c>
      <c r="G1433">
        <f>IF(OR(A1433="",'Skill Matrix'!L95=""),"",'Skill Matrix'!L95)</f>
        <v/>
      </c>
      <c r="H1433">
        <f>IF(A1433="","",'Employees'!F11)</f>
        <v/>
      </c>
    </row>
    <row r="1434">
      <c r="A1434">
        <f>IF(AND('Skill Matrix'!A95&lt;&gt;"",'Skill Matrix'!M5&lt;&gt;""),'Skill Matrix'!A95,"")</f>
        <v/>
      </c>
      <c r="B1434">
        <f>IF(A1434="","",'Employees'!C11)</f>
        <v/>
      </c>
      <c r="C1434">
        <f>IF(A1434="","",'Employees'!D11)</f>
        <v/>
      </c>
      <c r="D1434">
        <f>IF(A1434="","",'Skill Matrix'!C95)</f>
        <v/>
      </c>
      <c r="E1434">
        <f>IF(A1434="","",'Skill Matrix'!D95)</f>
        <v/>
      </c>
      <c r="F1434">
        <f>IF(AND('Skill Matrix'!A95&lt;&gt;"",'Skill Matrix'!M5&lt;&gt;""),'Skill Matrix'!M5,"")</f>
        <v/>
      </c>
      <c r="G1434">
        <f>IF(OR(A1434="",'Skill Matrix'!M95=""),"",'Skill Matrix'!M95)</f>
        <v/>
      </c>
      <c r="H1434">
        <f>IF(A1434="","",'Employees'!F11)</f>
        <v/>
      </c>
    </row>
    <row r="1435">
      <c r="A1435">
        <f>IF(AND('Skill Matrix'!A95&lt;&gt;"",'Skill Matrix'!N5&lt;&gt;""),'Skill Matrix'!A95,"")</f>
        <v/>
      </c>
      <c r="B1435">
        <f>IF(A1435="","",'Employees'!C11)</f>
        <v/>
      </c>
      <c r="C1435">
        <f>IF(A1435="","",'Employees'!D11)</f>
        <v/>
      </c>
      <c r="D1435">
        <f>IF(A1435="","",'Skill Matrix'!C95)</f>
        <v/>
      </c>
      <c r="E1435">
        <f>IF(A1435="","",'Skill Matrix'!D95)</f>
        <v/>
      </c>
      <c r="F1435">
        <f>IF(AND('Skill Matrix'!A95&lt;&gt;"",'Skill Matrix'!N5&lt;&gt;""),'Skill Matrix'!N5,"")</f>
        <v/>
      </c>
      <c r="G1435">
        <f>IF(OR(A1435="",'Skill Matrix'!N95=""),"",'Skill Matrix'!N95)</f>
        <v/>
      </c>
      <c r="H1435">
        <f>IF(A1435="","",'Employees'!F11)</f>
        <v/>
      </c>
    </row>
    <row r="1436">
      <c r="A1436">
        <f>IF(AND('Skill Matrix'!A95&lt;&gt;"",'Skill Matrix'!O5&lt;&gt;""),'Skill Matrix'!A95,"")</f>
        <v/>
      </c>
      <c r="B1436">
        <f>IF(A1436="","",'Employees'!C11)</f>
        <v/>
      </c>
      <c r="C1436">
        <f>IF(A1436="","",'Employees'!D11)</f>
        <v/>
      </c>
      <c r="D1436">
        <f>IF(A1436="","",'Skill Matrix'!C95)</f>
        <v/>
      </c>
      <c r="E1436">
        <f>IF(A1436="","",'Skill Matrix'!D95)</f>
        <v/>
      </c>
      <c r="F1436">
        <f>IF(AND('Skill Matrix'!A95&lt;&gt;"",'Skill Matrix'!O5&lt;&gt;""),'Skill Matrix'!O5,"")</f>
        <v/>
      </c>
      <c r="G1436">
        <f>IF(OR(A1436="",'Skill Matrix'!O95=""),"",'Skill Matrix'!O95)</f>
        <v/>
      </c>
      <c r="H1436">
        <f>IF(A1436="","",'Employees'!F11)</f>
        <v/>
      </c>
    </row>
    <row r="1437">
      <c r="A1437">
        <f>IF(AND('Skill Matrix'!A95&lt;&gt;"",'Skill Matrix'!P5&lt;&gt;""),'Skill Matrix'!A95,"")</f>
        <v/>
      </c>
      <c r="B1437">
        <f>IF(A1437="","",'Employees'!C11)</f>
        <v/>
      </c>
      <c r="C1437">
        <f>IF(A1437="","",'Employees'!D11)</f>
        <v/>
      </c>
      <c r="D1437">
        <f>IF(A1437="","",'Skill Matrix'!C95)</f>
        <v/>
      </c>
      <c r="E1437">
        <f>IF(A1437="","",'Skill Matrix'!D95)</f>
        <v/>
      </c>
      <c r="F1437">
        <f>IF(AND('Skill Matrix'!A95&lt;&gt;"",'Skill Matrix'!P5&lt;&gt;""),'Skill Matrix'!P5,"")</f>
        <v/>
      </c>
      <c r="G1437">
        <f>IF(OR(A1437="",'Skill Matrix'!P95=""),"",'Skill Matrix'!P95)</f>
        <v/>
      </c>
      <c r="H1437">
        <f>IF(A1437="","",'Employees'!F11)</f>
        <v/>
      </c>
    </row>
    <row r="1438">
      <c r="A1438">
        <f>IF(AND('Skill Matrix'!A95&lt;&gt;"",'Skill Matrix'!Q5&lt;&gt;""),'Skill Matrix'!A95,"")</f>
        <v/>
      </c>
      <c r="B1438">
        <f>IF(A1438="","",'Employees'!C11)</f>
        <v/>
      </c>
      <c r="C1438">
        <f>IF(A1438="","",'Employees'!D11)</f>
        <v/>
      </c>
      <c r="D1438">
        <f>IF(A1438="","",'Skill Matrix'!C95)</f>
        <v/>
      </c>
      <c r="E1438">
        <f>IF(A1438="","",'Skill Matrix'!D95)</f>
        <v/>
      </c>
      <c r="F1438">
        <f>IF(AND('Skill Matrix'!A95&lt;&gt;"",'Skill Matrix'!Q5&lt;&gt;""),'Skill Matrix'!Q5,"")</f>
        <v/>
      </c>
      <c r="G1438">
        <f>IF(OR(A1438="",'Skill Matrix'!Q95=""),"",'Skill Matrix'!Q95)</f>
        <v/>
      </c>
      <c r="H1438">
        <f>IF(A1438="","",'Employees'!F11)</f>
        <v/>
      </c>
    </row>
    <row r="1439">
      <c r="A1439">
        <f>IF(AND('Skill Matrix'!A95&lt;&gt;"",'Skill Matrix'!R5&lt;&gt;""),'Skill Matrix'!A95,"")</f>
        <v/>
      </c>
      <c r="B1439">
        <f>IF(A1439="","",'Employees'!C11)</f>
        <v/>
      </c>
      <c r="C1439">
        <f>IF(A1439="","",'Employees'!D11)</f>
        <v/>
      </c>
      <c r="D1439">
        <f>IF(A1439="","",'Skill Matrix'!C95)</f>
        <v/>
      </c>
      <c r="E1439">
        <f>IF(A1439="","",'Skill Matrix'!D95)</f>
        <v/>
      </c>
      <c r="F1439">
        <f>IF(AND('Skill Matrix'!A95&lt;&gt;"",'Skill Matrix'!R5&lt;&gt;""),'Skill Matrix'!R5,"")</f>
        <v/>
      </c>
      <c r="G1439">
        <f>IF(OR(A1439="",'Skill Matrix'!R95=""),"",'Skill Matrix'!R95)</f>
        <v/>
      </c>
      <c r="H1439">
        <f>IF(A1439="","",'Employees'!F11)</f>
        <v/>
      </c>
    </row>
    <row r="1440">
      <c r="A1440">
        <f>IF(AND('Skill Matrix'!A95&lt;&gt;"",'Skill Matrix'!S5&lt;&gt;""),'Skill Matrix'!A95,"")</f>
        <v/>
      </c>
      <c r="B1440">
        <f>IF(A1440="","",'Employees'!C11)</f>
        <v/>
      </c>
      <c r="C1440">
        <f>IF(A1440="","",'Employees'!D11)</f>
        <v/>
      </c>
      <c r="D1440">
        <f>IF(A1440="","",'Skill Matrix'!C95)</f>
        <v/>
      </c>
      <c r="E1440">
        <f>IF(A1440="","",'Skill Matrix'!D95)</f>
        <v/>
      </c>
      <c r="F1440">
        <f>IF(AND('Skill Matrix'!A95&lt;&gt;"",'Skill Matrix'!S5&lt;&gt;""),'Skill Matrix'!S5,"")</f>
        <v/>
      </c>
      <c r="G1440">
        <f>IF(OR(A1440="",'Skill Matrix'!S95=""),"",'Skill Matrix'!S95)</f>
        <v/>
      </c>
      <c r="H1440">
        <f>IF(A1440="","",'Employees'!F11)</f>
        <v/>
      </c>
    </row>
    <row r="1441">
      <c r="A1441">
        <f>IF(AND('Skill Matrix'!A95&lt;&gt;"",'Skill Matrix'!T5&lt;&gt;""),'Skill Matrix'!A95,"")</f>
        <v/>
      </c>
      <c r="B1441">
        <f>IF(A1441="","",'Employees'!C11)</f>
        <v/>
      </c>
      <c r="C1441">
        <f>IF(A1441="","",'Employees'!D11)</f>
        <v/>
      </c>
      <c r="D1441">
        <f>IF(A1441="","",'Skill Matrix'!C95)</f>
        <v/>
      </c>
      <c r="E1441">
        <f>IF(A1441="","",'Skill Matrix'!D95)</f>
        <v/>
      </c>
      <c r="F1441">
        <f>IF(AND('Skill Matrix'!A95&lt;&gt;"",'Skill Matrix'!T5&lt;&gt;""),'Skill Matrix'!T5,"")</f>
        <v/>
      </c>
      <c r="G1441">
        <f>IF(OR(A1441="",'Skill Matrix'!T95=""),"",'Skill Matrix'!T95)</f>
        <v/>
      </c>
      <c r="H1441">
        <f>IF(A1441="","",'Employees'!F11)</f>
        <v/>
      </c>
    </row>
    <row r="1442">
      <c r="A1442">
        <f>IF(AND('Skill Matrix'!A96&lt;&gt;"",'Skill Matrix'!E5&lt;&gt;""),'Skill Matrix'!A96,"")</f>
        <v/>
      </c>
      <c r="B1442">
        <f>IF(A1442="","",'Employees'!C11)</f>
        <v/>
      </c>
      <c r="C1442">
        <f>IF(A1442="","",'Employees'!D11)</f>
        <v/>
      </c>
      <c r="D1442">
        <f>IF(A1442="","",'Skill Matrix'!C96)</f>
        <v/>
      </c>
      <c r="E1442">
        <f>IF(A1442="","",'Skill Matrix'!D96)</f>
        <v/>
      </c>
      <c r="F1442">
        <f>IF(AND('Skill Matrix'!A96&lt;&gt;"",'Skill Matrix'!E5&lt;&gt;""),'Skill Matrix'!E5,"")</f>
        <v/>
      </c>
      <c r="G1442">
        <f>IF(OR(A1442="",'Skill Matrix'!E96=""),"",'Skill Matrix'!E96)</f>
        <v/>
      </c>
      <c r="H1442">
        <f>IF(A1442="","",'Employees'!F11)</f>
        <v/>
      </c>
    </row>
    <row r="1443">
      <c r="A1443">
        <f>IF(AND('Skill Matrix'!A96&lt;&gt;"",'Skill Matrix'!F5&lt;&gt;""),'Skill Matrix'!A96,"")</f>
        <v/>
      </c>
      <c r="B1443">
        <f>IF(A1443="","",'Employees'!C11)</f>
        <v/>
      </c>
      <c r="C1443">
        <f>IF(A1443="","",'Employees'!D11)</f>
        <v/>
      </c>
      <c r="D1443">
        <f>IF(A1443="","",'Skill Matrix'!C96)</f>
        <v/>
      </c>
      <c r="E1443">
        <f>IF(A1443="","",'Skill Matrix'!D96)</f>
        <v/>
      </c>
      <c r="F1443">
        <f>IF(AND('Skill Matrix'!A96&lt;&gt;"",'Skill Matrix'!F5&lt;&gt;""),'Skill Matrix'!F5,"")</f>
        <v/>
      </c>
      <c r="G1443">
        <f>IF(OR(A1443="",'Skill Matrix'!F96=""),"",'Skill Matrix'!F96)</f>
        <v/>
      </c>
      <c r="H1443">
        <f>IF(A1443="","",'Employees'!F11)</f>
        <v/>
      </c>
    </row>
    <row r="1444">
      <c r="A1444">
        <f>IF(AND('Skill Matrix'!A96&lt;&gt;"",'Skill Matrix'!G5&lt;&gt;""),'Skill Matrix'!A96,"")</f>
        <v/>
      </c>
      <c r="B1444">
        <f>IF(A1444="","",'Employees'!C11)</f>
        <v/>
      </c>
      <c r="C1444">
        <f>IF(A1444="","",'Employees'!D11)</f>
        <v/>
      </c>
      <c r="D1444">
        <f>IF(A1444="","",'Skill Matrix'!C96)</f>
        <v/>
      </c>
      <c r="E1444">
        <f>IF(A1444="","",'Skill Matrix'!D96)</f>
        <v/>
      </c>
      <c r="F1444">
        <f>IF(AND('Skill Matrix'!A96&lt;&gt;"",'Skill Matrix'!G5&lt;&gt;""),'Skill Matrix'!G5,"")</f>
        <v/>
      </c>
      <c r="G1444">
        <f>IF(OR(A1444="",'Skill Matrix'!G96=""),"",'Skill Matrix'!G96)</f>
        <v/>
      </c>
      <c r="H1444">
        <f>IF(A1444="","",'Employees'!F11)</f>
        <v/>
      </c>
    </row>
    <row r="1445">
      <c r="A1445">
        <f>IF(AND('Skill Matrix'!A96&lt;&gt;"",'Skill Matrix'!H5&lt;&gt;""),'Skill Matrix'!A96,"")</f>
        <v/>
      </c>
      <c r="B1445">
        <f>IF(A1445="","",'Employees'!C11)</f>
        <v/>
      </c>
      <c r="C1445">
        <f>IF(A1445="","",'Employees'!D11)</f>
        <v/>
      </c>
      <c r="D1445">
        <f>IF(A1445="","",'Skill Matrix'!C96)</f>
        <v/>
      </c>
      <c r="E1445">
        <f>IF(A1445="","",'Skill Matrix'!D96)</f>
        <v/>
      </c>
      <c r="F1445">
        <f>IF(AND('Skill Matrix'!A96&lt;&gt;"",'Skill Matrix'!H5&lt;&gt;""),'Skill Matrix'!H5,"")</f>
        <v/>
      </c>
      <c r="G1445">
        <f>IF(OR(A1445="",'Skill Matrix'!H96=""),"",'Skill Matrix'!H96)</f>
        <v/>
      </c>
      <c r="H1445">
        <f>IF(A1445="","",'Employees'!F11)</f>
        <v/>
      </c>
    </row>
    <row r="1446">
      <c r="A1446">
        <f>IF(AND('Skill Matrix'!A96&lt;&gt;"",'Skill Matrix'!I5&lt;&gt;""),'Skill Matrix'!A96,"")</f>
        <v/>
      </c>
      <c r="B1446">
        <f>IF(A1446="","",'Employees'!C11)</f>
        <v/>
      </c>
      <c r="C1446">
        <f>IF(A1446="","",'Employees'!D11)</f>
        <v/>
      </c>
      <c r="D1446">
        <f>IF(A1446="","",'Skill Matrix'!C96)</f>
        <v/>
      </c>
      <c r="E1446">
        <f>IF(A1446="","",'Skill Matrix'!D96)</f>
        <v/>
      </c>
      <c r="F1446">
        <f>IF(AND('Skill Matrix'!A96&lt;&gt;"",'Skill Matrix'!I5&lt;&gt;""),'Skill Matrix'!I5,"")</f>
        <v/>
      </c>
      <c r="G1446">
        <f>IF(OR(A1446="",'Skill Matrix'!I96=""),"",'Skill Matrix'!I96)</f>
        <v/>
      </c>
      <c r="H1446">
        <f>IF(A1446="","",'Employees'!F11)</f>
        <v/>
      </c>
    </row>
    <row r="1447">
      <c r="A1447">
        <f>IF(AND('Skill Matrix'!A96&lt;&gt;"",'Skill Matrix'!J5&lt;&gt;""),'Skill Matrix'!A96,"")</f>
        <v/>
      </c>
      <c r="B1447">
        <f>IF(A1447="","",'Employees'!C11)</f>
        <v/>
      </c>
      <c r="C1447">
        <f>IF(A1447="","",'Employees'!D11)</f>
        <v/>
      </c>
      <c r="D1447">
        <f>IF(A1447="","",'Skill Matrix'!C96)</f>
        <v/>
      </c>
      <c r="E1447">
        <f>IF(A1447="","",'Skill Matrix'!D96)</f>
        <v/>
      </c>
      <c r="F1447">
        <f>IF(AND('Skill Matrix'!A96&lt;&gt;"",'Skill Matrix'!J5&lt;&gt;""),'Skill Matrix'!J5,"")</f>
        <v/>
      </c>
      <c r="G1447">
        <f>IF(OR(A1447="",'Skill Matrix'!J96=""),"",'Skill Matrix'!J96)</f>
        <v/>
      </c>
      <c r="H1447">
        <f>IF(A1447="","",'Employees'!F11)</f>
        <v/>
      </c>
    </row>
    <row r="1448">
      <c r="A1448">
        <f>IF(AND('Skill Matrix'!A96&lt;&gt;"",'Skill Matrix'!K5&lt;&gt;""),'Skill Matrix'!A96,"")</f>
        <v/>
      </c>
      <c r="B1448">
        <f>IF(A1448="","",'Employees'!C11)</f>
        <v/>
      </c>
      <c r="C1448">
        <f>IF(A1448="","",'Employees'!D11)</f>
        <v/>
      </c>
      <c r="D1448">
        <f>IF(A1448="","",'Skill Matrix'!C96)</f>
        <v/>
      </c>
      <c r="E1448">
        <f>IF(A1448="","",'Skill Matrix'!D96)</f>
        <v/>
      </c>
      <c r="F1448">
        <f>IF(AND('Skill Matrix'!A96&lt;&gt;"",'Skill Matrix'!K5&lt;&gt;""),'Skill Matrix'!K5,"")</f>
        <v/>
      </c>
      <c r="G1448">
        <f>IF(OR(A1448="",'Skill Matrix'!K96=""),"",'Skill Matrix'!K96)</f>
        <v/>
      </c>
      <c r="H1448">
        <f>IF(A1448="","",'Employees'!F11)</f>
        <v/>
      </c>
    </row>
    <row r="1449">
      <c r="A1449">
        <f>IF(AND('Skill Matrix'!A96&lt;&gt;"",'Skill Matrix'!L5&lt;&gt;""),'Skill Matrix'!A96,"")</f>
        <v/>
      </c>
      <c r="B1449">
        <f>IF(A1449="","",'Employees'!C11)</f>
        <v/>
      </c>
      <c r="C1449">
        <f>IF(A1449="","",'Employees'!D11)</f>
        <v/>
      </c>
      <c r="D1449">
        <f>IF(A1449="","",'Skill Matrix'!C96)</f>
        <v/>
      </c>
      <c r="E1449">
        <f>IF(A1449="","",'Skill Matrix'!D96)</f>
        <v/>
      </c>
      <c r="F1449">
        <f>IF(AND('Skill Matrix'!A96&lt;&gt;"",'Skill Matrix'!L5&lt;&gt;""),'Skill Matrix'!L5,"")</f>
        <v/>
      </c>
      <c r="G1449">
        <f>IF(OR(A1449="",'Skill Matrix'!L96=""),"",'Skill Matrix'!L96)</f>
        <v/>
      </c>
      <c r="H1449">
        <f>IF(A1449="","",'Employees'!F11)</f>
        <v/>
      </c>
    </row>
    <row r="1450">
      <c r="A1450">
        <f>IF(AND('Skill Matrix'!A96&lt;&gt;"",'Skill Matrix'!M5&lt;&gt;""),'Skill Matrix'!A96,"")</f>
        <v/>
      </c>
      <c r="B1450">
        <f>IF(A1450="","",'Employees'!C11)</f>
        <v/>
      </c>
      <c r="C1450">
        <f>IF(A1450="","",'Employees'!D11)</f>
        <v/>
      </c>
      <c r="D1450">
        <f>IF(A1450="","",'Skill Matrix'!C96)</f>
        <v/>
      </c>
      <c r="E1450">
        <f>IF(A1450="","",'Skill Matrix'!D96)</f>
        <v/>
      </c>
      <c r="F1450">
        <f>IF(AND('Skill Matrix'!A96&lt;&gt;"",'Skill Matrix'!M5&lt;&gt;""),'Skill Matrix'!M5,"")</f>
        <v/>
      </c>
      <c r="G1450">
        <f>IF(OR(A1450="",'Skill Matrix'!M96=""),"",'Skill Matrix'!M96)</f>
        <v/>
      </c>
      <c r="H1450">
        <f>IF(A1450="","",'Employees'!F11)</f>
        <v/>
      </c>
    </row>
    <row r="1451">
      <c r="A1451">
        <f>IF(AND('Skill Matrix'!A96&lt;&gt;"",'Skill Matrix'!N5&lt;&gt;""),'Skill Matrix'!A96,"")</f>
        <v/>
      </c>
      <c r="B1451">
        <f>IF(A1451="","",'Employees'!C11)</f>
        <v/>
      </c>
      <c r="C1451">
        <f>IF(A1451="","",'Employees'!D11)</f>
        <v/>
      </c>
      <c r="D1451">
        <f>IF(A1451="","",'Skill Matrix'!C96)</f>
        <v/>
      </c>
      <c r="E1451">
        <f>IF(A1451="","",'Skill Matrix'!D96)</f>
        <v/>
      </c>
      <c r="F1451">
        <f>IF(AND('Skill Matrix'!A96&lt;&gt;"",'Skill Matrix'!N5&lt;&gt;""),'Skill Matrix'!N5,"")</f>
        <v/>
      </c>
      <c r="G1451">
        <f>IF(OR(A1451="",'Skill Matrix'!N96=""),"",'Skill Matrix'!N96)</f>
        <v/>
      </c>
      <c r="H1451">
        <f>IF(A1451="","",'Employees'!F11)</f>
        <v/>
      </c>
    </row>
    <row r="1452">
      <c r="A1452">
        <f>IF(AND('Skill Matrix'!A96&lt;&gt;"",'Skill Matrix'!O5&lt;&gt;""),'Skill Matrix'!A96,"")</f>
        <v/>
      </c>
      <c r="B1452">
        <f>IF(A1452="","",'Employees'!C11)</f>
        <v/>
      </c>
      <c r="C1452">
        <f>IF(A1452="","",'Employees'!D11)</f>
        <v/>
      </c>
      <c r="D1452">
        <f>IF(A1452="","",'Skill Matrix'!C96)</f>
        <v/>
      </c>
      <c r="E1452">
        <f>IF(A1452="","",'Skill Matrix'!D96)</f>
        <v/>
      </c>
      <c r="F1452">
        <f>IF(AND('Skill Matrix'!A96&lt;&gt;"",'Skill Matrix'!O5&lt;&gt;""),'Skill Matrix'!O5,"")</f>
        <v/>
      </c>
      <c r="G1452">
        <f>IF(OR(A1452="",'Skill Matrix'!O96=""),"",'Skill Matrix'!O96)</f>
        <v/>
      </c>
      <c r="H1452">
        <f>IF(A1452="","",'Employees'!F11)</f>
        <v/>
      </c>
    </row>
    <row r="1453">
      <c r="A1453">
        <f>IF(AND('Skill Matrix'!A96&lt;&gt;"",'Skill Matrix'!P5&lt;&gt;""),'Skill Matrix'!A96,"")</f>
        <v/>
      </c>
      <c r="B1453">
        <f>IF(A1453="","",'Employees'!C11)</f>
        <v/>
      </c>
      <c r="C1453">
        <f>IF(A1453="","",'Employees'!D11)</f>
        <v/>
      </c>
      <c r="D1453">
        <f>IF(A1453="","",'Skill Matrix'!C96)</f>
        <v/>
      </c>
      <c r="E1453">
        <f>IF(A1453="","",'Skill Matrix'!D96)</f>
        <v/>
      </c>
      <c r="F1453">
        <f>IF(AND('Skill Matrix'!A96&lt;&gt;"",'Skill Matrix'!P5&lt;&gt;""),'Skill Matrix'!P5,"")</f>
        <v/>
      </c>
      <c r="G1453">
        <f>IF(OR(A1453="",'Skill Matrix'!P96=""),"",'Skill Matrix'!P96)</f>
        <v/>
      </c>
      <c r="H1453">
        <f>IF(A1453="","",'Employees'!F11)</f>
        <v/>
      </c>
    </row>
    <row r="1454">
      <c r="A1454">
        <f>IF(AND('Skill Matrix'!A96&lt;&gt;"",'Skill Matrix'!Q5&lt;&gt;""),'Skill Matrix'!A96,"")</f>
        <v/>
      </c>
      <c r="B1454">
        <f>IF(A1454="","",'Employees'!C11)</f>
        <v/>
      </c>
      <c r="C1454">
        <f>IF(A1454="","",'Employees'!D11)</f>
        <v/>
      </c>
      <c r="D1454">
        <f>IF(A1454="","",'Skill Matrix'!C96)</f>
        <v/>
      </c>
      <c r="E1454">
        <f>IF(A1454="","",'Skill Matrix'!D96)</f>
        <v/>
      </c>
      <c r="F1454">
        <f>IF(AND('Skill Matrix'!A96&lt;&gt;"",'Skill Matrix'!Q5&lt;&gt;""),'Skill Matrix'!Q5,"")</f>
        <v/>
      </c>
      <c r="G1454">
        <f>IF(OR(A1454="",'Skill Matrix'!Q96=""),"",'Skill Matrix'!Q96)</f>
        <v/>
      </c>
      <c r="H1454">
        <f>IF(A1454="","",'Employees'!F11)</f>
        <v/>
      </c>
    </row>
    <row r="1455">
      <c r="A1455">
        <f>IF(AND('Skill Matrix'!A96&lt;&gt;"",'Skill Matrix'!R5&lt;&gt;""),'Skill Matrix'!A96,"")</f>
        <v/>
      </c>
      <c r="B1455">
        <f>IF(A1455="","",'Employees'!C11)</f>
        <v/>
      </c>
      <c r="C1455">
        <f>IF(A1455="","",'Employees'!D11)</f>
        <v/>
      </c>
      <c r="D1455">
        <f>IF(A1455="","",'Skill Matrix'!C96)</f>
        <v/>
      </c>
      <c r="E1455">
        <f>IF(A1455="","",'Skill Matrix'!D96)</f>
        <v/>
      </c>
      <c r="F1455">
        <f>IF(AND('Skill Matrix'!A96&lt;&gt;"",'Skill Matrix'!R5&lt;&gt;""),'Skill Matrix'!R5,"")</f>
        <v/>
      </c>
      <c r="G1455">
        <f>IF(OR(A1455="",'Skill Matrix'!R96=""),"",'Skill Matrix'!R96)</f>
        <v/>
      </c>
      <c r="H1455">
        <f>IF(A1455="","",'Employees'!F11)</f>
        <v/>
      </c>
    </row>
    <row r="1456">
      <c r="A1456">
        <f>IF(AND('Skill Matrix'!A96&lt;&gt;"",'Skill Matrix'!S5&lt;&gt;""),'Skill Matrix'!A96,"")</f>
        <v/>
      </c>
      <c r="B1456">
        <f>IF(A1456="","",'Employees'!C11)</f>
        <v/>
      </c>
      <c r="C1456">
        <f>IF(A1456="","",'Employees'!D11)</f>
        <v/>
      </c>
      <c r="D1456">
        <f>IF(A1456="","",'Skill Matrix'!C96)</f>
        <v/>
      </c>
      <c r="E1456">
        <f>IF(A1456="","",'Skill Matrix'!D96)</f>
        <v/>
      </c>
      <c r="F1456">
        <f>IF(AND('Skill Matrix'!A96&lt;&gt;"",'Skill Matrix'!S5&lt;&gt;""),'Skill Matrix'!S5,"")</f>
        <v/>
      </c>
      <c r="G1456">
        <f>IF(OR(A1456="",'Skill Matrix'!S96=""),"",'Skill Matrix'!S96)</f>
        <v/>
      </c>
      <c r="H1456">
        <f>IF(A1456="","",'Employees'!F11)</f>
        <v/>
      </c>
    </row>
    <row r="1457">
      <c r="A1457">
        <f>IF(AND('Skill Matrix'!A96&lt;&gt;"",'Skill Matrix'!T5&lt;&gt;""),'Skill Matrix'!A96,"")</f>
        <v/>
      </c>
      <c r="B1457">
        <f>IF(A1457="","",'Employees'!C11)</f>
        <v/>
      </c>
      <c r="C1457">
        <f>IF(A1457="","",'Employees'!D11)</f>
        <v/>
      </c>
      <c r="D1457">
        <f>IF(A1457="","",'Skill Matrix'!C96)</f>
        <v/>
      </c>
      <c r="E1457">
        <f>IF(A1457="","",'Skill Matrix'!D96)</f>
        <v/>
      </c>
      <c r="F1457">
        <f>IF(AND('Skill Matrix'!A96&lt;&gt;"",'Skill Matrix'!T5&lt;&gt;""),'Skill Matrix'!T5,"")</f>
        <v/>
      </c>
      <c r="G1457">
        <f>IF(OR(A1457="",'Skill Matrix'!T96=""),"",'Skill Matrix'!T96)</f>
        <v/>
      </c>
      <c r="H1457">
        <f>IF(A1457="","",'Employees'!F11)</f>
        <v/>
      </c>
    </row>
    <row r="1458">
      <c r="A1458">
        <f>IF(AND('Skill Matrix'!A97&lt;&gt;"",'Skill Matrix'!E5&lt;&gt;""),'Skill Matrix'!A97,"")</f>
        <v/>
      </c>
      <c r="B1458">
        <f>IF(A1458="","",'Employees'!C11)</f>
        <v/>
      </c>
      <c r="C1458">
        <f>IF(A1458="","",'Employees'!D11)</f>
        <v/>
      </c>
      <c r="D1458">
        <f>IF(A1458="","",'Skill Matrix'!C97)</f>
        <v/>
      </c>
      <c r="E1458">
        <f>IF(A1458="","",'Skill Matrix'!D97)</f>
        <v/>
      </c>
      <c r="F1458">
        <f>IF(AND('Skill Matrix'!A97&lt;&gt;"",'Skill Matrix'!E5&lt;&gt;""),'Skill Matrix'!E5,"")</f>
        <v/>
      </c>
      <c r="G1458">
        <f>IF(OR(A1458="",'Skill Matrix'!E97=""),"",'Skill Matrix'!E97)</f>
        <v/>
      </c>
      <c r="H1458">
        <f>IF(A1458="","",'Employees'!F11)</f>
        <v/>
      </c>
    </row>
    <row r="1459">
      <c r="A1459">
        <f>IF(AND('Skill Matrix'!A97&lt;&gt;"",'Skill Matrix'!F5&lt;&gt;""),'Skill Matrix'!A97,"")</f>
        <v/>
      </c>
      <c r="B1459">
        <f>IF(A1459="","",'Employees'!C11)</f>
        <v/>
      </c>
      <c r="C1459">
        <f>IF(A1459="","",'Employees'!D11)</f>
        <v/>
      </c>
      <c r="D1459">
        <f>IF(A1459="","",'Skill Matrix'!C97)</f>
        <v/>
      </c>
      <c r="E1459">
        <f>IF(A1459="","",'Skill Matrix'!D97)</f>
        <v/>
      </c>
      <c r="F1459">
        <f>IF(AND('Skill Matrix'!A97&lt;&gt;"",'Skill Matrix'!F5&lt;&gt;""),'Skill Matrix'!F5,"")</f>
        <v/>
      </c>
      <c r="G1459">
        <f>IF(OR(A1459="",'Skill Matrix'!F97=""),"",'Skill Matrix'!F97)</f>
        <v/>
      </c>
      <c r="H1459">
        <f>IF(A1459="","",'Employees'!F11)</f>
        <v/>
      </c>
    </row>
    <row r="1460">
      <c r="A1460">
        <f>IF(AND('Skill Matrix'!A97&lt;&gt;"",'Skill Matrix'!G5&lt;&gt;""),'Skill Matrix'!A97,"")</f>
        <v/>
      </c>
      <c r="B1460">
        <f>IF(A1460="","",'Employees'!C11)</f>
        <v/>
      </c>
      <c r="C1460">
        <f>IF(A1460="","",'Employees'!D11)</f>
        <v/>
      </c>
      <c r="D1460">
        <f>IF(A1460="","",'Skill Matrix'!C97)</f>
        <v/>
      </c>
      <c r="E1460">
        <f>IF(A1460="","",'Skill Matrix'!D97)</f>
        <v/>
      </c>
      <c r="F1460">
        <f>IF(AND('Skill Matrix'!A97&lt;&gt;"",'Skill Matrix'!G5&lt;&gt;""),'Skill Matrix'!G5,"")</f>
        <v/>
      </c>
      <c r="G1460">
        <f>IF(OR(A1460="",'Skill Matrix'!G97=""),"",'Skill Matrix'!G97)</f>
        <v/>
      </c>
      <c r="H1460">
        <f>IF(A1460="","",'Employees'!F11)</f>
        <v/>
      </c>
    </row>
    <row r="1461">
      <c r="A1461">
        <f>IF(AND('Skill Matrix'!A97&lt;&gt;"",'Skill Matrix'!H5&lt;&gt;""),'Skill Matrix'!A97,"")</f>
        <v/>
      </c>
      <c r="B1461">
        <f>IF(A1461="","",'Employees'!C11)</f>
        <v/>
      </c>
      <c r="C1461">
        <f>IF(A1461="","",'Employees'!D11)</f>
        <v/>
      </c>
      <c r="D1461">
        <f>IF(A1461="","",'Skill Matrix'!C97)</f>
        <v/>
      </c>
      <c r="E1461">
        <f>IF(A1461="","",'Skill Matrix'!D97)</f>
        <v/>
      </c>
      <c r="F1461">
        <f>IF(AND('Skill Matrix'!A97&lt;&gt;"",'Skill Matrix'!H5&lt;&gt;""),'Skill Matrix'!H5,"")</f>
        <v/>
      </c>
      <c r="G1461">
        <f>IF(OR(A1461="",'Skill Matrix'!H97=""),"",'Skill Matrix'!H97)</f>
        <v/>
      </c>
      <c r="H1461">
        <f>IF(A1461="","",'Employees'!F11)</f>
        <v/>
      </c>
    </row>
    <row r="1462">
      <c r="A1462">
        <f>IF(AND('Skill Matrix'!A97&lt;&gt;"",'Skill Matrix'!I5&lt;&gt;""),'Skill Matrix'!A97,"")</f>
        <v/>
      </c>
      <c r="B1462">
        <f>IF(A1462="","",'Employees'!C11)</f>
        <v/>
      </c>
      <c r="C1462">
        <f>IF(A1462="","",'Employees'!D11)</f>
        <v/>
      </c>
      <c r="D1462">
        <f>IF(A1462="","",'Skill Matrix'!C97)</f>
        <v/>
      </c>
      <c r="E1462">
        <f>IF(A1462="","",'Skill Matrix'!D97)</f>
        <v/>
      </c>
      <c r="F1462">
        <f>IF(AND('Skill Matrix'!A97&lt;&gt;"",'Skill Matrix'!I5&lt;&gt;""),'Skill Matrix'!I5,"")</f>
        <v/>
      </c>
      <c r="G1462">
        <f>IF(OR(A1462="",'Skill Matrix'!I97=""),"",'Skill Matrix'!I97)</f>
        <v/>
      </c>
      <c r="H1462">
        <f>IF(A1462="","",'Employees'!F11)</f>
        <v/>
      </c>
    </row>
    <row r="1463">
      <c r="A1463">
        <f>IF(AND('Skill Matrix'!A97&lt;&gt;"",'Skill Matrix'!J5&lt;&gt;""),'Skill Matrix'!A97,"")</f>
        <v/>
      </c>
      <c r="B1463">
        <f>IF(A1463="","",'Employees'!C11)</f>
        <v/>
      </c>
      <c r="C1463">
        <f>IF(A1463="","",'Employees'!D11)</f>
        <v/>
      </c>
      <c r="D1463">
        <f>IF(A1463="","",'Skill Matrix'!C97)</f>
        <v/>
      </c>
      <c r="E1463">
        <f>IF(A1463="","",'Skill Matrix'!D97)</f>
        <v/>
      </c>
      <c r="F1463">
        <f>IF(AND('Skill Matrix'!A97&lt;&gt;"",'Skill Matrix'!J5&lt;&gt;""),'Skill Matrix'!J5,"")</f>
        <v/>
      </c>
      <c r="G1463">
        <f>IF(OR(A1463="",'Skill Matrix'!J97=""),"",'Skill Matrix'!J97)</f>
        <v/>
      </c>
      <c r="H1463">
        <f>IF(A1463="","",'Employees'!F11)</f>
        <v/>
      </c>
    </row>
    <row r="1464">
      <c r="A1464">
        <f>IF(AND('Skill Matrix'!A97&lt;&gt;"",'Skill Matrix'!K5&lt;&gt;""),'Skill Matrix'!A97,"")</f>
        <v/>
      </c>
      <c r="B1464">
        <f>IF(A1464="","",'Employees'!C11)</f>
        <v/>
      </c>
      <c r="C1464">
        <f>IF(A1464="","",'Employees'!D11)</f>
        <v/>
      </c>
      <c r="D1464">
        <f>IF(A1464="","",'Skill Matrix'!C97)</f>
        <v/>
      </c>
      <c r="E1464">
        <f>IF(A1464="","",'Skill Matrix'!D97)</f>
        <v/>
      </c>
      <c r="F1464">
        <f>IF(AND('Skill Matrix'!A97&lt;&gt;"",'Skill Matrix'!K5&lt;&gt;""),'Skill Matrix'!K5,"")</f>
        <v/>
      </c>
      <c r="G1464">
        <f>IF(OR(A1464="",'Skill Matrix'!K97=""),"",'Skill Matrix'!K97)</f>
        <v/>
      </c>
      <c r="H1464">
        <f>IF(A1464="","",'Employees'!F11)</f>
        <v/>
      </c>
    </row>
    <row r="1465">
      <c r="A1465">
        <f>IF(AND('Skill Matrix'!A97&lt;&gt;"",'Skill Matrix'!L5&lt;&gt;""),'Skill Matrix'!A97,"")</f>
        <v/>
      </c>
      <c r="B1465">
        <f>IF(A1465="","",'Employees'!C11)</f>
        <v/>
      </c>
      <c r="C1465">
        <f>IF(A1465="","",'Employees'!D11)</f>
        <v/>
      </c>
      <c r="D1465">
        <f>IF(A1465="","",'Skill Matrix'!C97)</f>
        <v/>
      </c>
      <c r="E1465">
        <f>IF(A1465="","",'Skill Matrix'!D97)</f>
        <v/>
      </c>
      <c r="F1465">
        <f>IF(AND('Skill Matrix'!A97&lt;&gt;"",'Skill Matrix'!L5&lt;&gt;""),'Skill Matrix'!L5,"")</f>
        <v/>
      </c>
      <c r="G1465">
        <f>IF(OR(A1465="",'Skill Matrix'!L97=""),"",'Skill Matrix'!L97)</f>
        <v/>
      </c>
      <c r="H1465">
        <f>IF(A1465="","",'Employees'!F11)</f>
        <v/>
      </c>
    </row>
    <row r="1466">
      <c r="A1466">
        <f>IF(AND('Skill Matrix'!A97&lt;&gt;"",'Skill Matrix'!M5&lt;&gt;""),'Skill Matrix'!A97,"")</f>
        <v/>
      </c>
      <c r="B1466">
        <f>IF(A1466="","",'Employees'!C11)</f>
        <v/>
      </c>
      <c r="C1466">
        <f>IF(A1466="","",'Employees'!D11)</f>
        <v/>
      </c>
      <c r="D1466">
        <f>IF(A1466="","",'Skill Matrix'!C97)</f>
        <v/>
      </c>
      <c r="E1466">
        <f>IF(A1466="","",'Skill Matrix'!D97)</f>
        <v/>
      </c>
      <c r="F1466">
        <f>IF(AND('Skill Matrix'!A97&lt;&gt;"",'Skill Matrix'!M5&lt;&gt;""),'Skill Matrix'!M5,"")</f>
        <v/>
      </c>
      <c r="G1466">
        <f>IF(OR(A1466="",'Skill Matrix'!M97=""),"",'Skill Matrix'!M97)</f>
        <v/>
      </c>
      <c r="H1466">
        <f>IF(A1466="","",'Employees'!F11)</f>
        <v/>
      </c>
    </row>
    <row r="1467">
      <c r="A1467">
        <f>IF(AND('Skill Matrix'!A97&lt;&gt;"",'Skill Matrix'!N5&lt;&gt;""),'Skill Matrix'!A97,"")</f>
        <v/>
      </c>
      <c r="B1467">
        <f>IF(A1467="","",'Employees'!C11)</f>
        <v/>
      </c>
      <c r="C1467">
        <f>IF(A1467="","",'Employees'!D11)</f>
        <v/>
      </c>
      <c r="D1467">
        <f>IF(A1467="","",'Skill Matrix'!C97)</f>
        <v/>
      </c>
      <c r="E1467">
        <f>IF(A1467="","",'Skill Matrix'!D97)</f>
        <v/>
      </c>
      <c r="F1467">
        <f>IF(AND('Skill Matrix'!A97&lt;&gt;"",'Skill Matrix'!N5&lt;&gt;""),'Skill Matrix'!N5,"")</f>
        <v/>
      </c>
      <c r="G1467">
        <f>IF(OR(A1467="",'Skill Matrix'!N97=""),"",'Skill Matrix'!N97)</f>
        <v/>
      </c>
      <c r="H1467">
        <f>IF(A1467="","",'Employees'!F11)</f>
        <v/>
      </c>
    </row>
    <row r="1468">
      <c r="A1468">
        <f>IF(AND('Skill Matrix'!A97&lt;&gt;"",'Skill Matrix'!O5&lt;&gt;""),'Skill Matrix'!A97,"")</f>
        <v/>
      </c>
      <c r="B1468">
        <f>IF(A1468="","",'Employees'!C11)</f>
        <v/>
      </c>
      <c r="C1468">
        <f>IF(A1468="","",'Employees'!D11)</f>
        <v/>
      </c>
      <c r="D1468">
        <f>IF(A1468="","",'Skill Matrix'!C97)</f>
        <v/>
      </c>
      <c r="E1468">
        <f>IF(A1468="","",'Skill Matrix'!D97)</f>
        <v/>
      </c>
      <c r="F1468">
        <f>IF(AND('Skill Matrix'!A97&lt;&gt;"",'Skill Matrix'!O5&lt;&gt;""),'Skill Matrix'!O5,"")</f>
        <v/>
      </c>
      <c r="G1468">
        <f>IF(OR(A1468="",'Skill Matrix'!O97=""),"",'Skill Matrix'!O97)</f>
        <v/>
      </c>
      <c r="H1468">
        <f>IF(A1468="","",'Employees'!F11)</f>
        <v/>
      </c>
    </row>
    <row r="1469">
      <c r="A1469">
        <f>IF(AND('Skill Matrix'!A97&lt;&gt;"",'Skill Matrix'!P5&lt;&gt;""),'Skill Matrix'!A97,"")</f>
        <v/>
      </c>
      <c r="B1469">
        <f>IF(A1469="","",'Employees'!C11)</f>
        <v/>
      </c>
      <c r="C1469">
        <f>IF(A1469="","",'Employees'!D11)</f>
        <v/>
      </c>
      <c r="D1469">
        <f>IF(A1469="","",'Skill Matrix'!C97)</f>
        <v/>
      </c>
      <c r="E1469">
        <f>IF(A1469="","",'Skill Matrix'!D97)</f>
        <v/>
      </c>
      <c r="F1469">
        <f>IF(AND('Skill Matrix'!A97&lt;&gt;"",'Skill Matrix'!P5&lt;&gt;""),'Skill Matrix'!P5,"")</f>
        <v/>
      </c>
      <c r="G1469">
        <f>IF(OR(A1469="",'Skill Matrix'!P97=""),"",'Skill Matrix'!P97)</f>
        <v/>
      </c>
      <c r="H1469">
        <f>IF(A1469="","",'Employees'!F11)</f>
        <v/>
      </c>
    </row>
    <row r="1470">
      <c r="A1470">
        <f>IF(AND('Skill Matrix'!A97&lt;&gt;"",'Skill Matrix'!Q5&lt;&gt;""),'Skill Matrix'!A97,"")</f>
        <v/>
      </c>
      <c r="B1470">
        <f>IF(A1470="","",'Employees'!C11)</f>
        <v/>
      </c>
      <c r="C1470">
        <f>IF(A1470="","",'Employees'!D11)</f>
        <v/>
      </c>
      <c r="D1470">
        <f>IF(A1470="","",'Skill Matrix'!C97)</f>
        <v/>
      </c>
      <c r="E1470">
        <f>IF(A1470="","",'Skill Matrix'!D97)</f>
        <v/>
      </c>
      <c r="F1470">
        <f>IF(AND('Skill Matrix'!A97&lt;&gt;"",'Skill Matrix'!Q5&lt;&gt;""),'Skill Matrix'!Q5,"")</f>
        <v/>
      </c>
      <c r="G1470">
        <f>IF(OR(A1470="",'Skill Matrix'!Q97=""),"",'Skill Matrix'!Q97)</f>
        <v/>
      </c>
      <c r="H1470">
        <f>IF(A1470="","",'Employees'!F11)</f>
        <v/>
      </c>
    </row>
    <row r="1471">
      <c r="A1471">
        <f>IF(AND('Skill Matrix'!A97&lt;&gt;"",'Skill Matrix'!R5&lt;&gt;""),'Skill Matrix'!A97,"")</f>
        <v/>
      </c>
      <c r="B1471">
        <f>IF(A1471="","",'Employees'!C11)</f>
        <v/>
      </c>
      <c r="C1471">
        <f>IF(A1471="","",'Employees'!D11)</f>
        <v/>
      </c>
      <c r="D1471">
        <f>IF(A1471="","",'Skill Matrix'!C97)</f>
        <v/>
      </c>
      <c r="E1471">
        <f>IF(A1471="","",'Skill Matrix'!D97)</f>
        <v/>
      </c>
      <c r="F1471">
        <f>IF(AND('Skill Matrix'!A97&lt;&gt;"",'Skill Matrix'!R5&lt;&gt;""),'Skill Matrix'!R5,"")</f>
        <v/>
      </c>
      <c r="G1471">
        <f>IF(OR(A1471="",'Skill Matrix'!R97=""),"",'Skill Matrix'!R97)</f>
        <v/>
      </c>
      <c r="H1471">
        <f>IF(A1471="","",'Employees'!F11)</f>
        <v/>
      </c>
    </row>
    <row r="1472">
      <c r="A1472">
        <f>IF(AND('Skill Matrix'!A97&lt;&gt;"",'Skill Matrix'!S5&lt;&gt;""),'Skill Matrix'!A97,"")</f>
        <v/>
      </c>
      <c r="B1472">
        <f>IF(A1472="","",'Employees'!C11)</f>
        <v/>
      </c>
      <c r="C1472">
        <f>IF(A1472="","",'Employees'!D11)</f>
        <v/>
      </c>
      <c r="D1472">
        <f>IF(A1472="","",'Skill Matrix'!C97)</f>
        <v/>
      </c>
      <c r="E1472">
        <f>IF(A1472="","",'Skill Matrix'!D97)</f>
        <v/>
      </c>
      <c r="F1472">
        <f>IF(AND('Skill Matrix'!A97&lt;&gt;"",'Skill Matrix'!S5&lt;&gt;""),'Skill Matrix'!S5,"")</f>
        <v/>
      </c>
      <c r="G1472">
        <f>IF(OR(A1472="",'Skill Matrix'!S97=""),"",'Skill Matrix'!S97)</f>
        <v/>
      </c>
      <c r="H1472">
        <f>IF(A1472="","",'Employees'!F11)</f>
        <v/>
      </c>
    </row>
    <row r="1473">
      <c r="A1473">
        <f>IF(AND('Skill Matrix'!A97&lt;&gt;"",'Skill Matrix'!T5&lt;&gt;""),'Skill Matrix'!A97,"")</f>
        <v/>
      </c>
      <c r="B1473">
        <f>IF(A1473="","",'Employees'!C11)</f>
        <v/>
      </c>
      <c r="C1473">
        <f>IF(A1473="","",'Employees'!D11)</f>
        <v/>
      </c>
      <c r="D1473">
        <f>IF(A1473="","",'Skill Matrix'!C97)</f>
        <v/>
      </c>
      <c r="E1473">
        <f>IF(A1473="","",'Skill Matrix'!D97)</f>
        <v/>
      </c>
      <c r="F1473">
        <f>IF(AND('Skill Matrix'!A97&lt;&gt;"",'Skill Matrix'!T5&lt;&gt;""),'Skill Matrix'!T5,"")</f>
        <v/>
      </c>
      <c r="G1473">
        <f>IF(OR(A1473="",'Skill Matrix'!T97=""),"",'Skill Matrix'!T97)</f>
        <v/>
      </c>
      <c r="H1473">
        <f>IF(A1473="","",'Employees'!F11)</f>
        <v/>
      </c>
    </row>
    <row r="1474">
      <c r="A1474">
        <f>IF(AND('Skill Matrix'!A98&lt;&gt;"",'Skill Matrix'!E5&lt;&gt;""),'Skill Matrix'!A98,"")</f>
        <v/>
      </c>
      <c r="B1474">
        <f>IF(A1474="","",'Employees'!C11)</f>
        <v/>
      </c>
      <c r="C1474">
        <f>IF(A1474="","",'Employees'!D11)</f>
        <v/>
      </c>
      <c r="D1474">
        <f>IF(A1474="","",'Skill Matrix'!C98)</f>
        <v/>
      </c>
      <c r="E1474">
        <f>IF(A1474="","",'Skill Matrix'!D98)</f>
        <v/>
      </c>
      <c r="F1474">
        <f>IF(AND('Skill Matrix'!A98&lt;&gt;"",'Skill Matrix'!E5&lt;&gt;""),'Skill Matrix'!E5,"")</f>
        <v/>
      </c>
      <c r="G1474">
        <f>IF(OR(A1474="",'Skill Matrix'!E98=""),"",'Skill Matrix'!E98)</f>
        <v/>
      </c>
      <c r="H1474">
        <f>IF(A1474="","",'Employees'!F11)</f>
        <v/>
      </c>
    </row>
    <row r="1475">
      <c r="A1475">
        <f>IF(AND('Skill Matrix'!A98&lt;&gt;"",'Skill Matrix'!F5&lt;&gt;""),'Skill Matrix'!A98,"")</f>
        <v/>
      </c>
      <c r="B1475">
        <f>IF(A1475="","",'Employees'!C11)</f>
        <v/>
      </c>
      <c r="C1475">
        <f>IF(A1475="","",'Employees'!D11)</f>
        <v/>
      </c>
      <c r="D1475">
        <f>IF(A1475="","",'Skill Matrix'!C98)</f>
        <v/>
      </c>
      <c r="E1475">
        <f>IF(A1475="","",'Skill Matrix'!D98)</f>
        <v/>
      </c>
      <c r="F1475">
        <f>IF(AND('Skill Matrix'!A98&lt;&gt;"",'Skill Matrix'!F5&lt;&gt;""),'Skill Matrix'!F5,"")</f>
        <v/>
      </c>
      <c r="G1475">
        <f>IF(OR(A1475="",'Skill Matrix'!F98=""),"",'Skill Matrix'!F98)</f>
        <v/>
      </c>
      <c r="H1475">
        <f>IF(A1475="","",'Employees'!F11)</f>
        <v/>
      </c>
    </row>
    <row r="1476">
      <c r="A1476">
        <f>IF(AND('Skill Matrix'!A98&lt;&gt;"",'Skill Matrix'!G5&lt;&gt;""),'Skill Matrix'!A98,"")</f>
        <v/>
      </c>
      <c r="B1476">
        <f>IF(A1476="","",'Employees'!C11)</f>
        <v/>
      </c>
      <c r="C1476">
        <f>IF(A1476="","",'Employees'!D11)</f>
        <v/>
      </c>
      <c r="D1476">
        <f>IF(A1476="","",'Skill Matrix'!C98)</f>
        <v/>
      </c>
      <c r="E1476">
        <f>IF(A1476="","",'Skill Matrix'!D98)</f>
        <v/>
      </c>
      <c r="F1476">
        <f>IF(AND('Skill Matrix'!A98&lt;&gt;"",'Skill Matrix'!G5&lt;&gt;""),'Skill Matrix'!G5,"")</f>
        <v/>
      </c>
      <c r="G1476">
        <f>IF(OR(A1476="",'Skill Matrix'!G98=""),"",'Skill Matrix'!G98)</f>
        <v/>
      </c>
      <c r="H1476">
        <f>IF(A1476="","",'Employees'!F11)</f>
        <v/>
      </c>
    </row>
    <row r="1477">
      <c r="A1477">
        <f>IF(AND('Skill Matrix'!A98&lt;&gt;"",'Skill Matrix'!H5&lt;&gt;""),'Skill Matrix'!A98,"")</f>
        <v/>
      </c>
      <c r="B1477">
        <f>IF(A1477="","",'Employees'!C11)</f>
        <v/>
      </c>
      <c r="C1477">
        <f>IF(A1477="","",'Employees'!D11)</f>
        <v/>
      </c>
      <c r="D1477">
        <f>IF(A1477="","",'Skill Matrix'!C98)</f>
        <v/>
      </c>
      <c r="E1477">
        <f>IF(A1477="","",'Skill Matrix'!D98)</f>
        <v/>
      </c>
      <c r="F1477">
        <f>IF(AND('Skill Matrix'!A98&lt;&gt;"",'Skill Matrix'!H5&lt;&gt;""),'Skill Matrix'!H5,"")</f>
        <v/>
      </c>
      <c r="G1477">
        <f>IF(OR(A1477="",'Skill Matrix'!H98=""),"",'Skill Matrix'!H98)</f>
        <v/>
      </c>
      <c r="H1477">
        <f>IF(A1477="","",'Employees'!F11)</f>
        <v/>
      </c>
    </row>
    <row r="1478">
      <c r="A1478">
        <f>IF(AND('Skill Matrix'!A98&lt;&gt;"",'Skill Matrix'!I5&lt;&gt;""),'Skill Matrix'!A98,"")</f>
        <v/>
      </c>
      <c r="B1478">
        <f>IF(A1478="","",'Employees'!C11)</f>
        <v/>
      </c>
      <c r="C1478">
        <f>IF(A1478="","",'Employees'!D11)</f>
        <v/>
      </c>
      <c r="D1478">
        <f>IF(A1478="","",'Skill Matrix'!C98)</f>
        <v/>
      </c>
      <c r="E1478">
        <f>IF(A1478="","",'Skill Matrix'!D98)</f>
        <v/>
      </c>
      <c r="F1478">
        <f>IF(AND('Skill Matrix'!A98&lt;&gt;"",'Skill Matrix'!I5&lt;&gt;""),'Skill Matrix'!I5,"")</f>
        <v/>
      </c>
      <c r="G1478">
        <f>IF(OR(A1478="",'Skill Matrix'!I98=""),"",'Skill Matrix'!I98)</f>
        <v/>
      </c>
      <c r="H1478">
        <f>IF(A1478="","",'Employees'!F11)</f>
        <v/>
      </c>
    </row>
    <row r="1479">
      <c r="A1479">
        <f>IF(AND('Skill Matrix'!A98&lt;&gt;"",'Skill Matrix'!J5&lt;&gt;""),'Skill Matrix'!A98,"")</f>
        <v/>
      </c>
      <c r="B1479">
        <f>IF(A1479="","",'Employees'!C11)</f>
        <v/>
      </c>
      <c r="C1479">
        <f>IF(A1479="","",'Employees'!D11)</f>
        <v/>
      </c>
      <c r="D1479">
        <f>IF(A1479="","",'Skill Matrix'!C98)</f>
        <v/>
      </c>
      <c r="E1479">
        <f>IF(A1479="","",'Skill Matrix'!D98)</f>
        <v/>
      </c>
      <c r="F1479">
        <f>IF(AND('Skill Matrix'!A98&lt;&gt;"",'Skill Matrix'!J5&lt;&gt;""),'Skill Matrix'!J5,"")</f>
        <v/>
      </c>
      <c r="G1479">
        <f>IF(OR(A1479="",'Skill Matrix'!J98=""),"",'Skill Matrix'!J98)</f>
        <v/>
      </c>
      <c r="H1479">
        <f>IF(A1479="","",'Employees'!F11)</f>
        <v/>
      </c>
    </row>
    <row r="1480">
      <c r="A1480">
        <f>IF(AND('Skill Matrix'!A98&lt;&gt;"",'Skill Matrix'!K5&lt;&gt;""),'Skill Matrix'!A98,"")</f>
        <v/>
      </c>
      <c r="B1480">
        <f>IF(A1480="","",'Employees'!C11)</f>
        <v/>
      </c>
      <c r="C1480">
        <f>IF(A1480="","",'Employees'!D11)</f>
        <v/>
      </c>
      <c r="D1480">
        <f>IF(A1480="","",'Skill Matrix'!C98)</f>
        <v/>
      </c>
      <c r="E1480">
        <f>IF(A1480="","",'Skill Matrix'!D98)</f>
        <v/>
      </c>
      <c r="F1480">
        <f>IF(AND('Skill Matrix'!A98&lt;&gt;"",'Skill Matrix'!K5&lt;&gt;""),'Skill Matrix'!K5,"")</f>
        <v/>
      </c>
      <c r="G1480">
        <f>IF(OR(A1480="",'Skill Matrix'!K98=""),"",'Skill Matrix'!K98)</f>
        <v/>
      </c>
      <c r="H1480">
        <f>IF(A1480="","",'Employees'!F11)</f>
        <v/>
      </c>
    </row>
    <row r="1481">
      <c r="A1481">
        <f>IF(AND('Skill Matrix'!A98&lt;&gt;"",'Skill Matrix'!L5&lt;&gt;""),'Skill Matrix'!A98,"")</f>
        <v/>
      </c>
      <c r="B1481">
        <f>IF(A1481="","",'Employees'!C11)</f>
        <v/>
      </c>
      <c r="C1481">
        <f>IF(A1481="","",'Employees'!D11)</f>
        <v/>
      </c>
      <c r="D1481">
        <f>IF(A1481="","",'Skill Matrix'!C98)</f>
        <v/>
      </c>
      <c r="E1481">
        <f>IF(A1481="","",'Skill Matrix'!D98)</f>
        <v/>
      </c>
      <c r="F1481">
        <f>IF(AND('Skill Matrix'!A98&lt;&gt;"",'Skill Matrix'!L5&lt;&gt;""),'Skill Matrix'!L5,"")</f>
        <v/>
      </c>
      <c r="G1481">
        <f>IF(OR(A1481="",'Skill Matrix'!L98=""),"",'Skill Matrix'!L98)</f>
        <v/>
      </c>
      <c r="H1481">
        <f>IF(A1481="","",'Employees'!F11)</f>
        <v/>
      </c>
    </row>
    <row r="1482">
      <c r="A1482">
        <f>IF(AND('Skill Matrix'!A98&lt;&gt;"",'Skill Matrix'!M5&lt;&gt;""),'Skill Matrix'!A98,"")</f>
        <v/>
      </c>
      <c r="B1482">
        <f>IF(A1482="","",'Employees'!C11)</f>
        <v/>
      </c>
      <c r="C1482">
        <f>IF(A1482="","",'Employees'!D11)</f>
        <v/>
      </c>
      <c r="D1482">
        <f>IF(A1482="","",'Skill Matrix'!C98)</f>
        <v/>
      </c>
      <c r="E1482">
        <f>IF(A1482="","",'Skill Matrix'!D98)</f>
        <v/>
      </c>
      <c r="F1482">
        <f>IF(AND('Skill Matrix'!A98&lt;&gt;"",'Skill Matrix'!M5&lt;&gt;""),'Skill Matrix'!M5,"")</f>
        <v/>
      </c>
      <c r="G1482">
        <f>IF(OR(A1482="",'Skill Matrix'!M98=""),"",'Skill Matrix'!M98)</f>
        <v/>
      </c>
      <c r="H1482">
        <f>IF(A1482="","",'Employees'!F11)</f>
        <v/>
      </c>
    </row>
    <row r="1483">
      <c r="A1483">
        <f>IF(AND('Skill Matrix'!A98&lt;&gt;"",'Skill Matrix'!N5&lt;&gt;""),'Skill Matrix'!A98,"")</f>
        <v/>
      </c>
      <c r="B1483">
        <f>IF(A1483="","",'Employees'!C11)</f>
        <v/>
      </c>
      <c r="C1483">
        <f>IF(A1483="","",'Employees'!D11)</f>
        <v/>
      </c>
      <c r="D1483">
        <f>IF(A1483="","",'Skill Matrix'!C98)</f>
        <v/>
      </c>
      <c r="E1483">
        <f>IF(A1483="","",'Skill Matrix'!D98)</f>
        <v/>
      </c>
      <c r="F1483">
        <f>IF(AND('Skill Matrix'!A98&lt;&gt;"",'Skill Matrix'!N5&lt;&gt;""),'Skill Matrix'!N5,"")</f>
        <v/>
      </c>
      <c r="G1483">
        <f>IF(OR(A1483="",'Skill Matrix'!N98=""),"",'Skill Matrix'!N98)</f>
        <v/>
      </c>
      <c r="H1483">
        <f>IF(A1483="","",'Employees'!F11)</f>
        <v/>
      </c>
    </row>
    <row r="1484">
      <c r="A1484">
        <f>IF(AND('Skill Matrix'!A98&lt;&gt;"",'Skill Matrix'!O5&lt;&gt;""),'Skill Matrix'!A98,"")</f>
        <v/>
      </c>
      <c r="B1484">
        <f>IF(A1484="","",'Employees'!C11)</f>
        <v/>
      </c>
      <c r="C1484">
        <f>IF(A1484="","",'Employees'!D11)</f>
        <v/>
      </c>
      <c r="D1484">
        <f>IF(A1484="","",'Skill Matrix'!C98)</f>
        <v/>
      </c>
      <c r="E1484">
        <f>IF(A1484="","",'Skill Matrix'!D98)</f>
        <v/>
      </c>
      <c r="F1484">
        <f>IF(AND('Skill Matrix'!A98&lt;&gt;"",'Skill Matrix'!O5&lt;&gt;""),'Skill Matrix'!O5,"")</f>
        <v/>
      </c>
      <c r="G1484">
        <f>IF(OR(A1484="",'Skill Matrix'!O98=""),"",'Skill Matrix'!O98)</f>
        <v/>
      </c>
      <c r="H1484">
        <f>IF(A1484="","",'Employees'!F11)</f>
        <v/>
      </c>
    </row>
    <row r="1485">
      <c r="A1485">
        <f>IF(AND('Skill Matrix'!A98&lt;&gt;"",'Skill Matrix'!P5&lt;&gt;""),'Skill Matrix'!A98,"")</f>
        <v/>
      </c>
      <c r="B1485">
        <f>IF(A1485="","",'Employees'!C11)</f>
        <v/>
      </c>
      <c r="C1485">
        <f>IF(A1485="","",'Employees'!D11)</f>
        <v/>
      </c>
      <c r="D1485">
        <f>IF(A1485="","",'Skill Matrix'!C98)</f>
        <v/>
      </c>
      <c r="E1485">
        <f>IF(A1485="","",'Skill Matrix'!D98)</f>
        <v/>
      </c>
      <c r="F1485">
        <f>IF(AND('Skill Matrix'!A98&lt;&gt;"",'Skill Matrix'!P5&lt;&gt;""),'Skill Matrix'!P5,"")</f>
        <v/>
      </c>
      <c r="G1485">
        <f>IF(OR(A1485="",'Skill Matrix'!P98=""),"",'Skill Matrix'!P98)</f>
        <v/>
      </c>
      <c r="H1485">
        <f>IF(A1485="","",'Employees'!F11)</f>
        <v/>
      </c>
    </row>
    <row r="1486">
      <c r="A1486">
        <f>IF(AND('Skill Matrix'!A98&lt;&gt;"",'Skill Matrix'!Q5&lt;&gt;""),'Skill Matrix'!A98,"")</f>
        <v/>
      </c>
      <c r="B1486">
        <f>IF(A1486="","",'Employees'!C11)</f>
        <v/>
      </c>
      <c r="C1486">
        <f>IF(A1486="","",'Employees'!D11)</f>
        <v/>
      </c>
      <c r="D1486">
        <f>IF(A1486="","",'Skill Matrix'!C98)</f>
        <v/>
      </c>
      <c r="E1486">
        <f>IF(A1486="","",'Skill Matrix'!D98)</f>
        <v/>
      </c>
      <c r="F1486">
        <f>IF(AND('Skill Matrix'!A98&lt;&gt;"",'Skill Matrix'!Q5&lt;&gt;""),'Skill Matrix'!Q5,"")</f>
        <v/>
      </c>
      <c r="G1486">
        <f>IF(OR(A1486="",'Skill Matrix'!Q98=""),"",'Skill Matrix'!Q98)</f>
        <v/>
      </c>
      <c r="H1486">
        <f>IF(A1486="","",'Employees'!F11)</f>
        <v/>
      </c>
    </row>
    <row r="1487">
      <c r="A1487">
        <f>IF(AND('Skill Matrix'!A98&lt;&gt;"",'Skill Matrix'!R5&lt;&gt;""),'Skill Matrix'!A98,"")</f>
        <v/>
      </c>
      <c r="B1487">
        <f>IF(A1487="","",'Employees'!C11)</f>
        <v/>
      </c>
      <c r="C1487">
        <f>IF(A1487="","",'Employees'!D11)</f>
        <v/>
      </c>
      <c r="D1487">
        <f>IF(A1487="","",'Skill Matrix'!C98)</f>
        <v/>
      </c>
      <c r="E1487">
        <f>IF(A1487="","",'Skill Matrix'!D98)</f>
        <v/>
      </c>
      <c r="F1487">
        <f>IF(AND('Skill Matrix'!A98&lt;&gt;"",'Skill Matrix'!R5&lt;&gt;""),'Skill Matrix'!R5,"")</f>
        <v/>
      </c>
      <c r="G1487">
        <f>IF(OR(A1487="",'Skill Matrix'!R98=""),"",'Skill Matrix'!R98)</f>
        <v/>
      </c>
      <c r="H1487">
        <f>IF(A1487="","",'Employees'!F11)</f>
        <v/>
      </c>
    </row>
    <row r="1488">
      <c r="A1488">
        <f>IF(AND('Skill Matrix'!A98&lt;&gt;"",'Skill Matrix'!S5&lt;&gt;""),'Skill Matrix'!A98,"")</f>
        <v/>
      </c>
      <c r="B1488">
        <f>IF(A1488="","",'Employees'!C11)</f>
        <v/>
      </c>
      <c r="C1488">
        <f>IF(A1488="","",'Employees'!D11)</f>
        <v/>
      </c>
      <c r="D1488">
        <f>IF(A1488="","",'Skill Matrix'!C98)</f>
        <v/>
      </c>
      <c r="E1488">
        <f>IF(A1488="","",'Skill Matrix'!D98)</f>
        <v/>
      </c>
      <c r="F1488">
        <f>IF(AND('Skill Matrix'!A98&lt;&gt;"",'Skill Matrix'!S5&lt;&gt;""),'Skill Matrix'!S5,"")</f>
        <v/>
      </c>
      <c r="G1488">
        <f>IF(OR(A1488="",'Skill Matrix'!S98=""),"",'Skill Matrix'!S98)</f>
        <v/>
      </c>
      <c r="H1488">
        <f>IF(A1488="","",'Employees'!F11)</f>
        <v/>
      </c>
    </row>
    <row r="1489">
      <c r="A1489">
        <f>IF(AND('Skill Matrix'!A98&lt;&gt;"",'Skill Matrix'!T5&lt;&gt;""),'Skill Matrix'!A98,"")</f>
        <v/>
      </c>
      <c r="B1489">
        <f>IF(A1489="","",'Employees'!C11)</f>
        <v/>
      </c>
      <c r="C1489">
        <f>IF(A1489="","",'Employees'!D11)</f>
        <v/>
      </c>
      <c r="D1489">
        <f>IF(A1489="","",'Skill Matrix'!C98)</f>
        <v/>
      </c>
      <c r="E1489">
        <f>IF(A1489="","",'Skill Matrix'!D98)</f>
        <v/>
      </c>
      <c r="F1489">
        <f>IF(AND('Skill Matrix'!A98&lt;&gt;"",'Skill Matrix'!T5&lt;&gt;""),'Skill Matrix'!T5,"")</f>
        <v/>
      </c>
      <c r="G1489">
        <f>IF(OR(A1489="",'Skill Matrix'!T98=""),"",'Skill Matrix'!T98)</f>
        <v/>
      </c>
      <c r="H1489">
        <f>IF(A1489="","",'Employees'!F11)</f>
        <v/>
      </c>
    </row>
    <row r="1490">
      <c r="A1490">
        <f>IF(AND('Skill Matrix'!A99&lt;&gt;"",'Skill Matrix'!E5&lt;&gt;""),'Skill Matrix'!A99,"")</f>
        <v/>
      </c>
      <c r="B1490">
        <f>IF(A1490="","",'Employees'!C11)</f>
        <v/>
      </c>
      <c r="C1490">
        <f>IF(A1490="","",'Employees'!D11)</f>
        <v/>
      </c>
      <c r="D1490">
        <f>IF(A1490="","",'Skill Matrix'!C99)</f>
        <v/>
      </c>
      <c r="E1490">
        <f>IF(A1490="","",'Skill Matrix'!D99)</f>
        <v/>
      </c>
      <c r="F1490">
        <f>IF(AND('Skill Matrix'!A99&lt;&gt;"",'Skill Matrix'!E5&lt;&gt;""),'Skill Matrix'!E5,"")</f>
        <v/>
      </c>
      <c r="G1490">
        <f>IF(OR(A1490="",'Skill Matrix'!E99=""),"",'Skill Matrix'!E99)</f>
        <v/>
      </c>
      <c r="H1490">
        <f>IF(A1490="","",'Employees'!F11)</f>
        <v/>
      </c>
    </row>
    <row r="1491">
      <c r="A1491">
        <f>IF(AND('Skill Matrix'!A99&lt;&gt;"",'Skill Matrix'!F5&lt;&gt;""),'Skill Matrix'!A99,"")</f>
        <v/>
      </c>
      <c r="B1491">
        <f>IF(A1491="","",'Employees'!C11)</f>
        <v/>
      </c>
      <c r="C1491">
        <f>IF(A1491="","",'Employees'!D11)</f>
        <v/>
      </c>
      <c r="D1491">
        <f>IF(A1491="","",'Skill Matrix'!C99)</f>
        <v/>
      </c>
      <c r="E1491">
        <f>IF(A1491="","",'Skill Matrix'!D99)</f>
        <v/>
      </c>
      <c r="F1491">
        <f>IF(AND('Skill Matrix'!A99&lt;&gt;"",'Skill Matrix'!F5&lt;&gt;""),'Skill Matrix'!F5,"")</f>
        <v/>
      </c>
      <c r="G1491">
        <f>IF(OR(A1491="",'Skill Matrix'!F99=""),"",'Skill Matrix'!F99)</f>
        <v/>
      </c>
      <c r="H1491">
        <f>IF(A1491="","",'Employees'!F11)</f>
        <v/>
      </c>
    </row>
    <row r="1492">
      <c r="A1492">
        <f>IF(AND('Skill Matrix'!A99&lt;&gt;"",'Skill Matrix'!G5&lt;&gt;""),'Skill Matrix'!A99,"")</f>
        <v/>
      </c>
      <c r="B1492">
        <f>IF(A1492="","",'Employees'!C11)</f>
        <v/>
      </c>
      <c r="C1492">
        <f>IF(A1492="","",'Employees'!D11)</f>
        <v/>
      </c>
      <c r="D1492">
        <f>IF(A1492="","",'Skill Matrix'!C99)</f>
        <v/>
      </c>
      <c r="E1492">
        <f>IF(A1492="","",'Skill Matrix'!D99)</f>
        <v/>
      </c>
      <c r="F1492">
        <f>IF(AND('Skill Matrix'!A99&lt;&gt;"",'Skill Matrix'!G5&lt;&gt;""),'Skill Matrix'!G5,"")</f>
        <v/>
      </c>
      <c r="G1492">
        <f>IF(OR(A1492="",'Skill Matrix'!G99=""),"",'Skill Matrix'!G99)</f>
        <v/>
      </c>
      <c r="H1492">
        <f>IF(A1492="","",'Employees'!F11)</f>
        <v/>
      </c>
    </row>
    <row r="1493">
      <c r="A1493">
        <f>IF(AND('Skill Matrix'!A99&lt;&gt;"",'Skill Matrix'!H5&lt;&gt;""),'Skill Matrix'!A99,"")</f>
        <v/>
      </c>
      <c r="B1493">
        <f>IF(A1493="","",'Employees'!C11)</f>
        <v/>
      </c>
      <c r="C1493">
        <f>IF(A1493="","",'Employees'!D11)</f>
        <v/>
      </c>
      <c r="D1493">
        <f>IF(A1493="","",'Skill Matrix'!C99)</f>
        <v/>
      </c>
      <c r="E1493">
        <f>IF(A1493="","",'Skill Matrix'!D99)</f>
        <v/>
      </c>
      <c r="F1493">
        <f>IF(AND('Skill Matrix'!A99&lt;&gt;"",'Skill Matrix'!H5&lt;&gt;""),'Skill Matrix'!H5,"")</f>
        <v/>
      </c>
      <c r="G1493">
        <f>IF(OR(A1493="",'Skill Matrix'!H99=""),"",'Skill Matrix'!H99)</f>
        <v/>
      </c>
      <c r="H1493">
        <f>IF(A1493="","",'Employees'!F11)</f>
        <v/>
      </c>
    </row>
    <row r="1494">
      <c r="A1494">
        <f>IF(AND('Skill Matrix'!A99&lt;&gt;"",'Skill Matrix'!I5&lt;&gt;""),'Skill Matrix'!A99,"")</f>
        <v/>
      </c>
      <c r="B1494">
        <f>IF(A1494="","",'Employees'!C11)</f>
        <v/>
      </c>
      <c r="C1494">
        <f>IF(A1494="","",'Employees'!D11)</f>
        <v/>
      </c>
      <c r="D1494">
        <f>IF(A1494="","",'Skill Matrix'!C99)</f>
        <v/>
      </c>
      <c r="E1494">
        <f>IF(A1494="","",'Skill Matrix'!D99)</f>
        <v/>
      </c>
      <c r="F1494">
        <f>IF(AND('Skill Matrix'!A99&lt;&gt;"",'Skill Matrix'!I5&lt;&gt;""),'Skill Matrix'!I5,"")</f>
        <v/>
      </c>
      <c r="G1494">
        <f>IF(OR(A1494="",'Skill Matrix'!I99=""),"",'Skill Matrix'!I99)</f>
        <v/>
      </c>
      <c r="H1494">
        <f>IF(A1494="","",'Employees'!F11)</f>
        <v/>
      </c>
    </row>
    <row r="1495">
      <c r="A1495">
        <f>IF(AND('Skill Matrix'!A99&lt;&gt;"",'Skill Matrix'!J5&lt;&gt;""),'Skill Matrix'!A99,"")</f>
        <v/>
      </c>
      <c r="B1495">
        <f>IF(A1495="","",'Employees'!C11)</f>
        <v/>
      </c>
      <c r="C1495">
        <f>IF(A1495="","",'Employees'!D11)</f>
        <v/>
      </c>
      <c r="D1495">
        <f>IF(A1495="","",'Skill Matrix'!C99)</f>
        <v/>
      </c>
      <c r="E1495">
        <f>IF(A1495="","",'Skill Matrix'!D99)</f>
        <v/>
      </c>
      <c r="F1495">
        <f>IF(AND('Skill Matrix'!A99&lt;&gt;"",'Skill Matrix'!J5&lt;&gt;""),'Skill Matrix'!J5,"")</f>
        <v/>
      </c>
      <c r="G1495">
        <f>IF(OR(A1495="",'Skill Matrix'!J99=""),"",'Skill Matrix'!J99)</f>
        <v/>
      </c>
      <c r="H1495">
        <f>IF(A1495="","",'Employees'!F11)</f>
        <v/>
      </c>
    </row>
    <row r="1496">
      <c r="A1496">
        <f>IF(AND('Skill Matrix'!A99&lt;&gt;"",'Skill Matrix'!K5&lt;&gt;""),'Skill Matrix'!A99,"")</f>
        <v/>
      </c>
      <c r="B1496">
        <f>IF(A1496="","",'Employees'!C11)</f>
        <v/>
      </c>
      <c r="C1496">
        <f>IF(A1496="","",'Employees'!D11)</f>
        <v/>
      </c>
      <c r="D1496">
        <f>IF(A1496="","",'Skill Matrix'!C99)</f>
        <v/>
      </c>
      <c r="E1496">
        <f>IF(A1496="","",'Skill Matrix'!D99)</f>
        <v/>
      </c>
      <c r="F1496">
        <f>IF(AND('Skill Matrix'!A99&lt;&gt;"",'Skill Matrix'!K5&lt;&gt;""),'Skill Matrix'!K5,"")</f>
        <v/>
      </c>
      <c r="G1496">
        <f>IF(OR(A1496="",'Skill Matrix'!K99=""),"",'Skill Matrix'!K99)</f>
        <v/>
      </c>
      <c r="H1496">
        <f>IF(A1496="","",'Employees'!F11)</f>
        <v/>
      </c>
    </row>
    <row r="1497">
      <c r="A1497">
        <f>IF(AND('Skill Matrix'!A99&lt;&gt;"",'Skill Matrix'!L5&lt;&gt;""),'Skill Matrix'!A99,"")</f>
        <v/>
      </c>
      <c r="B1497">
        <f>IF(A1497="","",'Employees'!C11)</f>
        <v/>
      </c>
      <c r="C1497">
        <f>IF(A1497="","",'Employees'!D11)</f>
        <v/>
      </c>
      <c r="D1497">
        <f>IF(A1497="","",'Skill Matrix'!C99)</f>
        <v/>
      </c>
      <c r="E1497">
        <f>IF(A1497="","",'Skill Matrix'!D99)</f>
        <v/>
      </c>
      <c r="F1497">
        <f>IF(AND('Skill Matrix'!A99&lt;&gt;"",'Skill Matrix'!L5&lt;&gt;""),'Skill Matrix'!L5,"")</f>
        <v/>
      </c>
      <c r="G1497">
        <f>IF(OR(A1497="",'Skill Matrix'!L99=""),"",'Skill Matrix'!L99)</f>
        <v/>
      </c>
      <c r="H1497">
        <f>IF(A1497="","",'Employees'!F11)</f>
        <v/>
      </c>
    </row>
    <row r="1498">
      <c r="A1498">
        <f>IF(AND('Skill Matrix'!A99&lt;&gt;"",'Skill Matrix'!M5&lt;&gt;""),'Skill Matrix'!A99,"")</f>
        <v/>
      </c>
      <c r="B1498">
        <f>IF(A1498="","",'Employees'!C11)</f>
        <v/>
      </c>
      <c r="C1498">
        <f>IF(A1498="","",'Employees'!D11)</f>
        <v/>
      </c>
      <c r="D1498">
        <f>IF(A1498="","",'Skill Matrix'!C99)</f>
        <v/>
      </c>
      <c r="E1498">
        <f>IF(A1498="","",'Skill Matrix'!D99)</f>
        <v/>
      </c>
      <c r="F1498">
        <f>IF(AND('Skill Matrix'!A99&lt;&gt;"",'Skill Matrix'!M5&lt;&gt;""),'Skill Matrix'!M5,"")</f>
        <v/>
      </c>
      <c r="G1498">
        <f>IF(OR(A1498="",'Skill Matrix'!M99=""),"",'Skill Matrix'!M99)</f>
        <v/>
      </c>
      <c r="H1498">
        <f>IF(A1498="","",'Employees'!F11)</f>
        <v/>
      </c>
    </row>
    <row r="1499">
      <c r="A1499">
        <f>IF(AND('Skill Matrix'!A99&lt;&gt;"",'Skill Matrix'!N5&lt;&gt;""),'Skill Matrix'!A99,"")</f>
        <v/>
      </c>
      <c r="B1499">
        <f>IF(A1499="","",'Employees'!C11)</f>
        <v/>
      </c>
      <c r="C1499">
        <f>IF(A1499="","",'Employees'!D11)</f>
        <v/>
      </c>
      <c r="D1499">
        <f>IF(A1499="","",'Skill Matrix'!C99)</f>
        <v/>
      </c>
      <c r="E1499">
        <f>IF(A1499="","",'Skill Matrix'!D99)</f>
        <v/>
      </c>
      <c r="F1499">
        <f>IF(AND('Skill Matrix'!A99&lt;&gt;"",'Skill Matrix'!N5&lt;&gt;""),'Skill Matrix'!N5,"")</f>
        <v/>
      </c>
      <c r="G1499">
        <f>IF(OR(A1499="",'Skill Matrix'!N99=""),"",'Skill Matrix'!N99)</f>
        <v/>
      </c>
      <c r="H1499">
        <f>IF(A1499="","",'Employees'!F11)</f>
        <v/>
      </c>
    </row>
    <row r="1500">
      <c r="A1500">
        <f>IF(AND('Skill Matrix'!A99&lt;&gt;"",'Skill Matrix'!O5&lt;&gt;""),'Skill Matrix'!A99,"")</f>
        <v/>
      </c>
      <c r="B1500">
        <f>IF(A1500="","",'Employees'!C11)</f>
        <v/>
      </c>
      <c r="C1500">
        <f>IF(A1500="","",'Employees'!D11)</f>
        <v/>
      </c>
      <c r="D1500">
        <f>IF(A1500="","",'Skill Matrix'!C99)</f>
        <v/>
      </c>
      <c r="E1500">
        <f>IF(A1500="","",'Skill Matrix'!D99)</f>
        <v/>
      </c>
      <c r="F1500">
        <f>IF(AND('Skill Matrix'!A99&lt;&gt;"",'Skill Matrix'!O5&lt;&gt;""),'Skill Matrix'!O5,"")</f>
        <v/>
      </c>
      <c r="G1500">
        <f>IF(OR(A1500="",'Skill Matrix'!O99=""),"",'Skill Matrix'!O99)</f>
        <v/>
      </c>
      <c r="H1500">
        <f>IF(A1500="","",'Employees'!F11)</f>
        <v/>
      </c>
    </row>
    <row r="1501">
      <c r="A1501">
        <f>IF(AND('Skill Matrix'!A99&lt;&gt;"",'Skill Matrix'!P5&lt;&gt;""),'Skill Matrix'!A99,"")</f>
        <v/>
      </c>
      <c r="B1501">
        <f>IF(A1501="","",'Employees'!C11)</f>
        <v/>
      </c>
      <c r="C1501">
        <f>IF(A1501="","",'Employees'!D11)</f>
        <v/>
      </c>
      <c r="D1501">
        <f>IF(A1501="","",'Skill Matrix'!C99)</f>
        <v/>
      </c>
      <c r="E1501">
        <f>IF(A1501="","",'Skill Matrix'!D99)</f>
        <v/>
      </c>
      <c r="F1501">
        <f>IF(AND('Skill Matrix'!A99&lt;&gt;"",'Skill Matrix'!P5&lt;&gt;""),'Skill Matrix'!P5,"")</f>
        <v/>
      </c>
      <c r="G1501">
        <f>IF(OR(A1501="",'Skill Matrix'!P99=""),"",'Skill Matrix'!P99)</f>
        <v/>
      </c>
      <c r="H1501">
        <f>IF(A1501="","",'Employees'!F11)</f>
        <v/>
      </c>
    </row>
    <row r="1502">
      <c r="A1502">
        <f>IF(AND('Skill Matrix'!A99&lt;&gt;"",'Skill Matrix'!Q5&lt;&gt;""),'Skill Matrix'!A99,"")</f>
        <v/>
      </c>
      <c r="B1502">
        <f>IF(A1502="","",'Employees'!C11)</f>
        <v/>
      </c>
      <c r="C1502">
        <f>IF(A1502="","",'Employees'!D11)</f>
        <v/>
      </c>
      <c r="D1502">
        <f>IF(A1502="","",'Skill Matrix'!C99)</f>
        <v/>
      </c>
      <c r="E1502">
        <f>IF(A1502="","",'Skill Matrix'!D99)</f>
        <v/>
      </c>
      <c r="F1502">
        <f>IF(AND('Skill Matrix'!A99&lt;&gt;"",'Skill Matrix'!Q5&lt;&gt;""),'Skill Matrix'!Q5,"")</f>
        <v/>
      </c>
      <c r="G1502">
        <f>IF(OR(A1502="",'Skill Matrix'!Q99=""),"",'Skill Matrix'!Q99)</f>
        <v/>
      </c>
      <c r="H1502">
        <f>IF(A1502="","",'Employees'!F11)</f>
        <v/>
      </c>
    </row>
    <row r="1503">
      <c r="A1503">
        <f>IF(AND('Skill Matrix'!A99&lt;&gt;"",'Skill Matrix'!R5&lt;&gt;""),'Skill Matrix'!A99,"")</f>
        <v/>
      </c>
      <c r="B1503">
        <f>IF(A1503="","",'Employees'!C11)</f>
        <v/>
      </c>
      <c r="C1503">
        <f>IF(A1503="","",'Employees'!D11)</f>
        <v/>
      </c>
      <c r="D1503">
        <f>IF(A1503="","",'Skill Matrix'!C99)</f>
        <v/>
      </c>
      <c r="E1503">
        <f>IF(A1503="","",'Skill Matrix'!D99)</f>
        <v/>
      </c>
      <c r="F1503">
        <f>IF(AND('Skill Matrix'!A99&lt;&gt;"",'Skill Matrix'!R5&lt;&gt;""),'Skill Matrix'!R5,"")</f>
        <v/>
      </c>
      <c r="G1503">
        <f>IF(OR(A1503="",'Skill Matrix'!R99=""),"",'Skill Matrix'!R99)</f>
        <v/>
      </c>
      <c r="H1503">
        <f>IF(A1503="","",'Employees'!F11)</f>
        <v/>
      </c>
    </row>
    <row r="1504">
      <c r="A1504">
        <f>IF(AND('Skill Matrix'!A99&lt;&gt;"",'Skill Matrix'!S5&lt;&gt;""),'Skill Matrix'!A99,"")</f>
        <v/>
      </c>
      <c r="B1504">
        <f>IF(A1504="","",'Employees'!C11)</f>
        <v/>
      </c>
      <c r="C1504">
        <f>IF(A1504="","",'Employees'!D11)</f>
        <v/>
      </c>
      <c r="D1504">
        <f>IF(A1504="","",'Skill Matrix'!C99)</f>
        <v/>
      </c>
      <c r="E1504">
        <f>IF(A1504="","",'Skill Matrix'!D99)</f>
        <v/>
      </c>
      <c r="F1504">
        <f>IF(AND('Skill Matrix'!A99&lt;&gt;"",'Skill Matrix'!S5&lt;&gt;""),'Skill Matrix'!S5,"")</f>
        <v/>
      </c>
      <c r="G1504">
        <f>IF(OR(A1504="",'Skill Matrix'!S99=""),"",'Skill Matrix'!S99)</f>
        <v/>
      </c>
      <c r="H1504">
        <f>IF(A1504="","",'Employees'!F11)</f>
        <v/>
      </c>
    </row>
    <row r="1505">
      <c r="A1505">
        <f>IF(AND('Skill Matrix'!A99&lt;&gt;"",'Skill Matrix'!T5&lt;&gt;""),'Skill Matrix'!A99,"")</f>
        <v/>
      </c>
      <c r="B1505">
        <f>IF(A1505="","",'Employees'!C11)</f>
        <v/>
      </c>
      <c r="C1505">
        <f>IF(A1505="","",'Employees'!D11)</f>
        <v/>
      </c>
      <c r="D1505">
        <f>IF(A1505="","",'Skill Matrix'!C99)</f>
        <v/>
      </c>
      <c r="E1505">
        <f>IF(A1505="","",'Skill Matrix'!D99)</f>
        <v/>
      </c>
      <c r="F1505">
        <f>IF(AND('Skill Matrix'!A99&lt;&gt;"",'Skill Matrix'!T5&lt;&gt;""),'Skill Matrix'!T5,"")</f>
        <v/>
      </c>
      <c r="G1505">
        <f>IF(OR(A1505="",'Skill Matrix'!T99=""),"",'Skill Matrix'!T99)</f>
        <v/>
      </c>
      <c r="H1505">
        <f>IF(A1505="","",'Employees'!F11)</f>
        <v/>
      </c>
    </row>
    <row r="1506">
      <c r="A1506">
        <f>IF(AND('Skill Matrix'!A100&lt;&gt;"",'Skill Matrix'!E5&lt;&gt;""),'Skill Matrix'!A100,"")</f>
        <v/>
      </c>
      <c r="B1506">
        <f>IF(A1506="","",'Employees'!C11)</f>
        <v/>
      </c>
      <c r="C1506">
        <f>IF(A1506="","",'Employees'!D11)</f>
        <v/>
      </c>
      <c r="D1506">
        <f>IF(A1506="","",'Skill Matrix'!C100)</f>
        <v/>
      </c>
      <c r="E1506">
        <f>IF(A1506="","",'Skill Matrix'!D100)</f>
        <v/>
      </c>
      <c r="F1506">
        <f>IF(AND('Skill Matrix'!A100&lt;&gt;"",'Skill Matrix'!E5&lt;&gt;""),'Skill Matrix'!E5,"")</f>
        <v/>
      </c>
      <c r="G1506">
        <f>IF(OR(A1506="",'Skill Matrix'!E100=""),"",'Skill Matrix'!E100)</f>
        <v/>
      </c>
      <c r="H1506">
        <f>IF(A1506="","",'Employees'!F11)</f>
        <v/>
      </c>
    </row>
    <row r="1507">
      <c r="A1507">
        <f>IF(AND('Skill Matrix'!A100&lt;&gt;"",'Skill Matrix'!F5&lt;&gt;""),'Skill Matrix'!A100,"")</f>
        <v/>
      </c>
      <c r="B1507">
        <f>IF(A1507="","",'Employees'!C11)</f>
        <v/>
      </c>
      <c r="C1507">
        <f>IF(A1507="","",'Employees'!D11)</f>
        <v/>
      </c>
      <c r="D1507">
        <f>IF(A1507="","",'Skill Matrix'!C100)</f>
        <v/>
      </c>
      <c r="E1507">
        <f>IF(A1507="","",'Skill Matrix'!D100)</f>
        <v/>
      </c>
      <c r="F1507">
        <f>IF(AND('Skill Matrix'!A100&lt;&gt;"",'Skill Matrix'!F5&lt;&gt;""),'Skill Matrix'!F5,"")</f>
        <v/>
      </c>
      <c r="G1507">
        <f>IF(OR(A1507="",'Skill Matrix'!F100=""),"",'Skill Matrix'!F100)</f>
        <v/>
      </c>
      <c r="H1507">
        <f>IF(A1507="","",'Employees'!F11)</f>
        <v/>
      </c>
    </row>
    <row r="1508">
      <c r="A1508">
        <f>IF(AND('Skill Matrix'!A100&lt;&gt;"",'Skill Matrix'!G5&lt;&gt;""),'Skill Matrix'!A100,"")</f>
        <v/>
      </c>
      <c r="B1508">
        <f>IF(A1508="","",'Employees'!C11)</f>
        <v/>
      </c>
      <c r="C1508">
        <f>IF(A1508="","",'Employees'!D11)</f>
        <v/>
      </c>
      <c r="D1508">
        <f>IF(A1508="","",'Skill Matrix'!C100)</f>
        <v/>
      </c>
      <c r="E1508">
        <f>IF(A1508="","",'Skill Matrix'!D100)</f>
        <v/>
      </c>
      <c r="F1508">
        <f>IF(AND('Skill Matrix'!A100&lt;&gt;"",'Skill Matrix'!G5&lt;&gt;""),'Skill Matrix'!G5,"")</f>
        <v/>
      </c>
      <c r="G1508">
        <f>IF(OR(A1508="",'Skill Matrix'!G100=""),"",'Skill Matrix'!G100)</f>
        <v/>
      </c>
      <c r="H1508">
        <f>IF(A1508="","",'Employees'!F11)</f>
        <v/>
      </c>
    </row>
    <row r="1509">
      <c r="A1509">
        <f>IF(AND('Skill Matrix'!A100&lt;&gt;"",'Skill Matrix'!H5&lt;&gt;""),'Skill Matrix'!A100,"")</f>
        <v/>
      </c>
      <c r="B1509">
        <f>IF(A1509="","",'Employees'!C11)</f>
        <v/>
      </c>
      <c r="C1509">
        <f>IF(A1509="","",'Employees'!D11)</f>
        <v/>
      </c>
      <c r="D1509">
        <f>IF(A1509="","",'Skill Matrix'!C100)</f>
        <v/>
      </c>
      <c r="E1509">
        <f>IF(A1509="","",'Skill Matrix'!D100)</f>
        <v/>
      </c>
      <c r="F1509">
        <f>IF(AND('Skill Matrix'!A100&lt;&gt;"",'Skill Matrix'!H5&lt;&gt;""),'Skill Matrix'!H5,"")</f>
        <v/>
      </c>
      <c r="G1509">
        <f>IF(OR(A1509="",'Skill Matrix'!H100=""),"",'Skill Matrix'!H100)</f>
        <v/>
      </c>
      <c r="H1509">
        <f>IF(A1509="","",'Employees'!F11)</f>
        <v/>
      </c>
    </row>
    <row r="1510">
      <c r="A1510">
        <f>IF(AND('Skill Matrix'!A100&lt;&gt;"",'Skill Matrix'!I5&lt;&gt;""),'Skill Matrix'!A100,"")</f>
        <v/>
      </c>
      <c r="B1510">
        <f>IF(A1510="","",'Employees'!C11)</f>
        <v/>
      </c>
      <c r="C1510">
        <f>IF(A1510="","",'Employees'!D11)</f>
        <v/>
      </c>
      <c r="D1510">
        <f>IF(A1510="","",'Skill Matrix'!C100)</f>
        <v/>
      </c>
      <c r="E1510">
        <f>IF(A1510="","",'Skill Matrix'!D100)</f>
        <v/>
      </c>
      <c r="F1510">
        <f>IF(AND('Skill Matrix'!A100&lt;&gt;"",'Skill Matrix'!I5&lt;&gt;""),'Skill Matrix'!I5,"")</f>
        <v/>
      </c>
      <c r="G1510">
        <f>IF(OR(A1510="",'Skill Matrix'!I100=""),"",'Skill Matrix'!I100)</f>
        <v/>
      </c>
      <c r="H1510">
        <f>IF(A1510="","",'Employees'!F11)</f>
        <v/>
      </c>
    </row>
    <row r="1511">
      <c r="A1511">
        <f>IF(AND('Skill Matrix'!A100&lt;&gt;"",'Skill Matrix'!J5&lt;&gt;""),'Skill Matrix'!A100,"")</f>
        <v/>
      </c>
      <c r="B1511">
        <f>IF(A1511="","",'Employees'!C11)</f>
        <v/>
      </c>
      <c r="C1511">
        <f>IF(A1511="","",'Employees'!D11)</f>
        <v/>
      </c>
      <c r="D1511">
        <f>IF(A1511="","",'Skill Matrix'!C100)</f>
        <v/>
      </c>
      <c r="E1511">
        <f>IF(A1511="","",'Skill Matrix'!D100)</f>
        <v/>
      </c>
      <c r="F1511">
        <f>IF(AND('Skill Matrix'!A100&lt;&gt;"",'Skill Matrix'!J5&lt;&gt;""),'Skill Matrix'!J5,"")</f>
        <v/>
      </c>
      <c r="G1511">
        <f>IF(OR(A1511="",'Skill Matrix'!J100=""),"",'Skill Matrix'!J100)</f>
        <v/>
      </c>
      <c r="H1511">
        <f>IF(A1511="","",'Employees'!F11)</f>
        <v/>
      </c>
    </row>
    <row r="1512">
      <c r="A1512">
        <f>IF(AND('Skill Matrix'!A100&lt;&gt;"",'Skill Matrix'!K5&lt;&gt;""),'Skill Matrix'!A100,"")</f>
        <v/>
      </c>
      <c r="B1512">
        <f>IF(A1512="","",'Employees'!C11)</f>
        <v/>
      </c>
      <c r="C1512">
        <f>IF(A1512="","",'Employees'!D11)</f>
        <v/>
      </c>
      <c r="D1512">
        <f>IF(A1512="","",'Skill Matrix'!C100)</f>
        <v/>
      </c>
      <c r="E1512">
        <f>IF(A1512="","",'Skill Matrix'!D100)</f>
        <v/>
      </c>
      <c r="F1512">
        <f>IF(AND('Skill Matrix'!A100&lt;&gt;"",'Skill Matrix'!K5&lt;&gt;""),'Skill Matrix'!K5,"")</f>
        <v/>
      </c>
      <c r="G1512">
        <f>IF(OR(A1512="",'Skill Matrix'!K100=""),"",'Skill Matrix'!K100)</f>
        <v/>
      </c>
      <c r="H1512">
        <f>IF(A1512="","",'Employees'!F11)</f>
        <v/>
      </c>
    </row>
    <row r="1513">
      <c r="A1513">
        <f>IF(AND('Skill Matrix'!A100&lt;&gt;"",'Skill Matrix'!L5&lt;&gt;""),'Skill Matrix'!A100,"")</f>
        <v/>
      </c>
      <c r="B1513">
        <f>IF(A1513="","",'Employees'!C11)</f>
        <v/>
      </c>
      <c r="C1513">
        <f>IF(A1513="","",'Employees'!D11)</f>
        <v/>
      </c>
      <c r="D1513">
        <f>IF(A1513="","",'Skill Matrix'!C100)</f>
        <v/>
      </c>
      <c r="E1513">
        <f>IF(A1513="","",'Skill Matrix'!D100)</f>
        <v/>
      </c>
      <c r="F1513">
        <f>IF(AND('Skill Matrix'!A100&lt;&gt;"",'Skill Matrix'!L5&lt;&gt;""),'Skill Matrix'!L5,"")</f>
        <v/>
      </c>
      <c r="G1513">
        <f>IF(OR(A1513="",'Skill Matrix'!L100=""),"",'Skill Matrix'!L100)</f>
        <v/>
      </c>
      <c r="H1513">
        <f>IF(A1513="","",'Employees'!F11)</f>
        <v/>
      </c>
    </row>
    <row r="1514">
      <c r="A1514">
        <f>IF(AND('Skill Matrix'!A100&lt;&gt;"",'Skill Matrix'!M5&lt;&gt;""),'Skill Matrix'!A100,"")</f>
        <v/>
      </c>
      <c r="B1514">
        <f>IF(A1514="","",'Employees'!C11)</f>
        <v/>
      </c>
      <c r="C1514">
        <f>IF(A1514="","",'Employees'!D11)</f>
        <v/>
      </c>
      <c r="D1514">
        <f>IF(A1514="","",'Skill Matrix'!C100)</f>
        <v/>
      </c>
      <c r="E1514">
        <f>IF(A1514="","",'Skill Matrix'!D100)</f>
        <v/>
      </c>
      <c r="F1514">
        <f>IF(AND('Skill Matrix'!A100&lt;&gt;"",'Skill Matrix'!M5&lt;&gt;""),'Skill Matrix'!M5,"")</f>
        <v/>
      </c>
      <c r="G1514">
        <f>IF(OR(A1514="",'Skill Matrix'!M100=""),"",'Skill Matrix'!M100)</f>
        <v/>
      </c>
      <c r="H1514">
        <f>IF(A1514="","",'Employees'!F11)</f>
        <v/>
      </c>
    </row>
    <row r="1515">
      <c r="A1515">
        <f>IF(AND('Skill Matrix'!A100&lt;&gt;"",'Skill Matrix'!N5&lt;&gt;""),'Skill Matrix'!A100,"")</f>
        <v/>
      </c>
      <c r="B1515">
        <f>IF(A1515="","",'Employees'!C11)</f>
        <v/>
      </c>
      <c r="C1515">
        <f>IF(A1515="","",'Employees'!D11)</f>
        <v/>
      </c>
      <c r="D1515">
        <f>IF(A1515="","",'Skill Matrix'!C100)</f>
        <v/>
      </c>
      <c r="E1515">
        <f>IF(A1515="","",'Skill Matrix'!D100)</f>
        <v/>
      </c>
      <c r="F1515">
        <f>IF(AND('Skill Matrix'!A100&lt;&gt;"",'Skill Matrix'!N5&lt;&gt;""),'Skill Matrix'!N5,"")</f>
        <v/>
      </c>
      <c r="G1515">
        <f>IF(OR(A1515="",'Skill Matrix'!N100=""),"",'Skill Matrix'!N100)</f>
        <v/>
      </c>
      <c r="H1515">
        <f>IF(A1515="","",'Employees'!F11)</f>
        <v/>
      </c>
    </row>
    <row r="1516">
      <c r="A1516">
        <f>IF(AND('Skill Matrix'!A100&lt;&gt;"",'Skill Matrix'!O5&lt;&gt;""),'Skill Matrix'!A100,"")</f>
        <v/>
      </c>
      <c r="B1516">
        <f>IF(A1516="","",'Employees'!C11)</f>
        <v/>
      </c>
      <c r="C1516">
        <f>IF(A1516="","",'Employees'!D11)</f>
        <v/>
      </c>
      <c r="D1516">
        <f>IF(A1516="","",'Skill Matrix'!C100)</f>
        <v/>
      </c>
      <c r="E1516">
        <f>IF(A1516="","",'Skill Matrix'!D100)</f>
        <v/>
      </c>
      <c r="F1516">
        <f>IF(AND('Skill Matrix'!A100&lt;&gt;"",'Skill Matrix'!O5&lt;&gt;""),'Skill Matrix'!O5,"")</f>
        <v/>
      </c>
      <c r="G1516">
        <f>IF(OR(A1516="",'Skill Matrix'!O100=""),"",'Skill Matrix'!O100)</f>
        <v/>
      </c>
      <c r="H1516">
        <f>IF(A1516="","",'Employees'!F11)</f>
        <v/>
      </c>
    </row>
    <row r="1517">
      <c r="A1517">
        <f>IF(AND('Skill Matrix'!A100&lt;&gt;"",'Skill Matrix'!P5&lt;&gt;""),'Skill Matrix'!A100,"")</f>
        <v/>
      </c>
      <c r="B1517">
        <f>IF(A1517="","",'Employees'!C11)</f>
        <v/>
      </c>
      <c r="C1517">
        <f>IF(A1517="","",'Employees'!D11)</f>
        <v/>
      </c>
      <c r="D1517">
        <f>IF(A1517="","",'Skill Matrix'!C100)</f>
        <v/>
      </c>
      <c r="E1517">
        <f>IF(A1517="","",'Skill Matrix'!D100)</f>
        <v/>
      </c>
      <c r="F1517">
        <f>IF(AND('Skill Matrix'!A100&lt;&gt;"",'Skill Matrix'!P5&lt;&gt;""),'Skill Matrix'!P5,"")</f>
        <v/>
      </c>
      <c r="G1517">
        <f>IF(OR(A1517="",'Skill Matrix'!P100=""),"",'Skill Matrix'!P100)</f>
        <v/>
      </c>
      <c r="H1517">
        <f>IF(A1517="","",'Employees'!F11)</f>
        <v/>
      </c>
    </row>
    <row r="1518">
      <c r="A1518">
        <f>IF(AND('Skill Matrix'!A100&lt;&gt;"",'Skill Matrix'!Q5&lt;&gt;""),'Skill Matrix'!A100,"")</f>
        <v/>
      </c>
      <c r="B1518">
        <f>IF(A1518="","",'Employees'!C11)</f>
        <v/>
      </c>
      <c r="C1518">
        <f>IF(A1518="","",'Employees'!D11)</f>
        <v/>
      </c>
      <c r="D1518">
        <f>IF(A1518="","",'Skill Matrix'!C100)</f>
        <v/>
      </c>
      <c r="E1518">
        <f>IF(A1518="","",'Skill Matrix'!D100)</f>
        <v/>
      </c>
      <c r="F1518">
        <f>IF(AND('Skill Matrix'!A100&lt;&gt;"",'Skill Matrix'!Q5&lt;&gt;""),'Skill Matrix'!Q5,"")</f>
        <v/>
      </c>
      <c r="G1518">
        <f>IF(OR(A1518="",'Skill Matrix'!Q100=""),"",'Skill Matrix'!Q100)</f>
        <v/>
      </c>
      <c r="H1518">
        <f>IF(A1518="","",'Employees'!F11)</f>
        <v/>
      </c>
    </row>
    <row r="1519">
      <c r="A1519">
        <f>IF(AND('Skill Matrix'!A100&lt;&gt;"",'Skill Matrix'!R5&lt;&gt;""),'Skill Matrix'!A100,"")</f>
        <v/>
      </c>
      <c r="B1519">
        <f>IF(A1519="","",'Employees'!C11)</f>
        <v/>
      </c>
      <c r="C1519">
        <f>IF(A1519="","",'Employees'!D11)</f>
        <v/>
      </c>
      <c r="D1519">
        <f>IF(A1519="","",'Skill Matrix'!C100)</f>
        <v/>
      </c>
      <c r="E1519">
        <f>IF(A1519="","",'Skill Matrix'!D100)</f>
        <v/>
      </c>
      <c r="F1519">
        <f>IF(AND('Skill Matrix'!A100&lt;&gt;"",'Skill Matrix'!R5&lt;&gt;""),'Skill Matrix'!R5,"")</f>
        <v/>
      </c>
      <c r="G1519">
        <f>IF(OR(A1519="",'Skill Matrix'!R100=""),"",'Skill Matrix'!R100)</f>
        <v/>
      </c>
      <c r="H1519">
        <f>IF(A1519="","",'Employees'!F11)</f>
        <v/>
      </c>
    </row>
    <row r="1520">
      <c r="A1520">
        <f>IF(AND('Skill Matrix'!A100&lt;&gt;"",'Skill Matrix'!S5&lt;&gt;""),'Skill Matrix'!A100,"")</f>
        <v/>
      </c>
      <c r="B1520">
        <f>IF(A1520="","",'Employees'!C11)</f>
        <v/>
      </c>
      <c r="C1520">
        <f>IF(A1520="","",'Employees'!D11)</f>
        <v/>
      </c>
      <c r="D1520">
        <f>IF(A1520="","",'Skill Matrix'!C100)</f>
        <v/>
      </c>
      <c r="E1520">
        <f>IF(A1520="","",'Skill Matrix'!D100)</f>
        <v/>
      </c>
      <c r="F1520">
        <f>IF(AND('Skill Matrix'!A100&lt;&gt;"",'Skill Matrix'!S5&lt;&gt;""),'Skill Matrix'!S5,"")</f>
        <v/>
      </c>
      <c r="G1520">
        <f>IF(OR(A1520="",'Skill Matrix'!S100=""),"",'Skill Matrix'!S100)</f>
        <v/>
      </c>
      <c r="H1520">
        <f>IF(A1520="","",'Employees'!F11)</f>
        <v/>
      </c>
    </row>
    <row r="1521">
      <c r="A1521">
        <f>IF(AND('Skill Matrix'!A100&lt;&gt;"",'Skill Matrix'!T5&lt;&gt;""),'Skill Matrix'!A100,"")</f>
        <v/>
      </c>
      <c r="B1521">
        <f>IF(A1521="","",'Employees'!C11)</f>
        <v/>
      </c>
      <c r="C1521">
        <f>IF(A1521="","",'Employees'!D11)</f>
        <v/>
      </c>
      <c r="D1521">
        <f>IF(A1521="","",'Skill Matrix'!C100)</f>
        <v/>
      </c>
      <c r="E1521">
        <f>IF(A1521="","",'Skill Matrix'!D100)</f>
        <v/>
      </c>
      <c r="F1521">
        <f>IF(AND('Skill Matrix'!A100&lt;&gt;"",'Skill Matrix'!T5&lt;&gt;""),'Skill Matrix'!T5,"")</f>
        <v/>
      </c>
      <c r="G1521">
        <f>IF(OR(A1521="",'Skill Matrix'!T100=""),"",'Skill Matrix'!T100)</f>
        <v/>
      </c>
      <c r="H1521">
        <f>IF(A1521="","",'Employees'!F11)</f>
        <v/>
      </c>
    </row>
    <row r="1522">
      <c r="A1522">
        <f>IF(AND('Skill Matrix'!A101&lt;&gt;"",'Skill Matrix'!E5&lt;&gt;""),'Skill Matrix'!A101,"")</f>
        <v/>
      </c>
      <c r="B1522">
        <f>IF(A1522="","",'Employees'!C11)</f>
        <v/>
      </c>
      <c r="C1522">
        <f>IF(A1522="","",'Employees'!D11)</f>
        <v/>
      </c>
      <c r="D1522">
        <f>IF(A1522="","",'Skill Matrix'!C101)</f>
        <v/>
      </c>
      <c r="E1522">
        <f>IF(A1522="","",'Skill Matrix'!D101)</f>
        <v/>
      </c>
      <c r="F1522">
        <f>IF(AND('Skill Matrix'!A101&lt;&gt;"",'Skill Matrix'!E5&lt;&gt;""),'Skill Matrix'!E5,"")</f>
        <v/>
      </c>
      <c r="G1522">
        <f>IF(OR(A1522="",'Skill Matrix'!E101=""),"",'Skill Matrix'!E101)</f>
        <v/>
      </c>
      <c r="H1522">
        <f>IF(A1522="","",'Employees'!F11)</f>
        <v/>
      </c>
    </row>
    <row r="1523">
      <c r="A1523">
        <f>IF(AND('Skill Matrix'!A101&lt;&gt;"",'Skill Matrix'!F5&lt;&gt;""),'Skill Matrix'!A101,"")</f>
        <v/>
      </c>
      <c r="B1523">
        <f>IF(A1523="","",'Employees'!C11)</f>
        <v/>
      </c>
      <c r="C1523">
        <f>IF(A1523="","",'Employees'!D11)</f>
        <v/>
      </c>
      <c r="D1523">
        <f>IF(A1523="","",'Skill Matrix'!C101)</f>
        <v/>
      </c>
      <c r="E1523">
        <f>IF(A1523="","",'Skill Matrix'!D101)</f>
        <v/>
      </c>
      <c r="F1523">
        <f>IF(AND('Skill Matrix'!A101&lt;&gt;"",'Skill Matrix'!F5&lt;&gt;""),'Skill Matrix'!F5,"")</f>
        <v/>
      </c>
      <c r="G1523">
        <f>IF(OR(A1523="",'Skill Matrix'!F101=""),"",'Skill Matrix'!F101)</f>
        <v/>
      </c>
      <c r="H1523">
        <f>IF(A1523="","",'Employees'!F11)</f>
        <v/>
      </c>
    </row>
    <row r="1524">
      <c r="A1524">
        <f>IF(AND('Skill Matrix'!A101&lt;&gt;"",'Skill Matrix'!G5&lt;&gt;""),'Skill Matrix'!A101,"")</f>
        <v/>
      </c>
      <c r="B1524">
        <f>IF(A1524="","",'Employees'!C11)</f>
        <v/>
      </c>
      <c r="C1524">
        <f>IF(A1524="","",'Employees'!D11)</f>
        <v/>
      </c>
      <c r="D1524">
        <f>IF(A1524="","",'Skill Matrix'!C101)</f>
        <v/>
      </c>
      <c r="E1524">
        <f>IF(A1524="","",'Skill Matrix'!D101)</f>
        <v/>
      </c>
      <c r="F1524">
        <f>IF(AND('Skill Matrix'!A101&lt;&gt;"",'Skill Matrix'!G5&lt;&gt;""),'Skill Matrix'!G5,"")</f>
        <v/>
      </c>
      <c r="G1524">
        <f>IF(OR(A1524="",'Skill Matrix'!G101=""),"",'Skill Matrix'!G101)</f>
        <v/>
      </c>
      <c r="H1524">
        <f>IF(A1524="","",'Employees'!F11)</f>
        <v/>
      </c>
    </row>
    <row r="1525">
      <c r="A1525">
        <f>IF(AND('Skill Matrix'!A101&lt;&gt;"",'Skill Matrix'!H5&lt;&gt;""),'Skill Matrix'!A101,"")</f>
        <v/>
      </c>
      <c r="B1525">
        <f>IF(A1525="","",'Employees'!C11)</f>
        <v/>
      </c>
      <c r="C1525">
        <f>IF(A1525="","",'Employees'!D11)</f>
        <v/>
      </c>
      <c r="D1525">
        <f>IF(A1525="","",'Skill Matrix'!C101)</f>
        <v/>
      </c>
      <c r="E1525">
        <f>IF(A1525="","",'Skill Matrix'!D101)</f>
        <v/>
      </c>
      <c r="F1525">
        <f>IF(AND('Skill Matrix'!A101&lt;&gt;"",'Skill Matrix'!H5&lt;&gt;""),'Skill Matrix'!H5,"")</f>
        <v/>
      </c>
      <c r="G1525">
        <f>IF(OR(A1525="",'Skill Matrix'!H101=""),"",'Skill Matrix'!H101)</f>
        <v/>
      </c>
      <c r="H1525">
        <f>IF(A1525="","",'Employees'!F11)</f>
        <v/>
      </c>
    </row>
    <row r="1526">
      <c r="A1526">
        <f>IF(AND('Skill Matrix'!A101&lt;&gt;"",'Skill Matrix'!I5&lt;&gt;""),'Skill Matrix'!A101,"")</f>
        <v/>
      </c>
      <c r="B1526">
        <f>IF(A1526="","",'Employees'!C11)</f>
        <v/>
      </c>
      <c r="C1526">
        <f>IF(A1526="","",'Employees'!D11)</f>
        <v/>
      </c>
      <c r="D1526">
        <f>IF(A1526="","",'Skill Matrix'!C101)</f>
        <v/>
      </c>
      <c r="E1526">
        <f>IF(A1526="","",'Skill Matrix'!D101)</f>
        <v/>
      </c>
      <c r="F1526">
        <f>IF(AND('Skill Matrix'!A101&lt;&gt;"",'Skill Matrix'!I5&lt;&gt;""),'Skill Matrix'!I5,"")</f>
        <v/>
      </c>
      <c r="G1526">
        <f>IF(OR(A1526="",'Skill Matrix'!I101=""),"",'Skill Matrix'!I101)</f>
        <v/>
      </c>
      <c r="H1526">
        <f>IF(A1526="","",'Employees'!F11)</f>
        <v/>
      </c>
    </row>
    <row r="1527">
      <c r="A1527">
        <f>IF(AND('Skill Matrix'!A101&lt;&gt;"",'Skill Matrix'!J5&lt;&gt;""),'Skill Matrix'!A101,"")</f>
        <v/>
      </c>
      <c r="B1527">
        <f>IF(A1527="","",'Employees'!C11)</f>
        <v/>
      </c>
      <c r="C1527">
        <f>IF(A1527="","",'Employees'!D11)</f>
        <v/>
      </c>
      <c r="D1527">
        <f>IF(A1527="","",'Skill Matrix'!C101)</f>
        <v/>
      </c>
      <c r="E1527">
        <f>IF(A1527="","",'Skill Matrix'!D101)</f>
        <v/>
      </c>
      <c r="F1527">
        <f>IF(AND('Skill Matrix'!A101&lt;&gt;"",'Skill Matrix'!J5&lt;&gt;""),'Skill Matrix'!J5,"")</f>
        <v/>
      </c>
      <c r="G1527">
        <f>IF(OR(A1527="",'Skill Matrix'!J101=""),"",'Skill Matrix'!J101)</f>
        <v/>
      </c>
      <c r="H1527">
        <f>IF(A1527="","",'Employees'!F11)</f>
        <v/>
      </c>
    </row>
    <row r="1528">
      <c r="A1528">
        <f>IF(AND('Skill Matrix'!A101&lt;&gt;"",'Skill Matrix'!K5&lt;&gt;""),'Skill Matrix'!A101,"")</f>
        <v/>
      </c>
      <c r="B1528">
        <f>IF(A1528="","",'Employees'!C11)</f>
        <v/>
      </c>
      <c r="C1528">
        <f>IF(A1528="","",'Employees'!D11)</f>
        <v/>
      </c>
      <c r="D1528">
        <f>IF(A1528="","",'Skill Matrix'!C101)</f>
        <v/>
      </c>
      <c r="E1528">
        <f>IF(A1528="","",'Skill Matrix'!D101)</f>
        <v/>
      </c>
      <c r="F1528">
        <f>IF(AND('Skill Matrix'!A101&lt;&gt;"",'Skill Matrix'!K5&lt;&gt;""),'Skill Matrix'!K5,"")</f>
        <v/>
      </c>
      <c r="G1528">
        <f>IF(OR(A1528="",'Skill Matrix'!K101=""),"",'Skill Matrix'!K101)</f>
        <v/>
      </c>
      <c r="H1528">
        <f>IF(A1528="","",'Employees'!F11)</f>
        <v/>
      </c>
    </row>
    <row r="1529">
      <c r="A1529">
        <f>IF(AND('Skill Matrix'!A101&lt;&gt;"",'Skill Matrix'!L5&lt;&gt;""),'Skill Matrix'!A101,"")</f>
        <v/>
      </c>
      <c r="B1529">
        <f>IF(A1529="","",'Employees'!C11)</f>
        <v/>
      </c>
      <c r="C1529">
        <f>IF(A1529="","",'Employees'!D11)</f>
        <v/>
      </c>
      <c r="D1529">
        <f>IF(A1529="","",'Skill Matrix'!C101)</f>
        <v/>
      </c>
      <c r="E1529">
        <f>IF(A1529="","",'Skill Matrix'!D101)</f>
        <v/>
      </c>
      <c r="F1529">
        <f>IF(AND('Skill Matrix'!A101&lt;&gt;"",'Skill Matrix'!L5&lt;&gt;""),'Skill Matrix'!L5,"")</f>
        <v/>
      </c>
      <c r="G1529">
        <f>IF(OR(A1529="",'Skill Matrix'!L101=""),"",'Skill Matrix'!L101)</f>
        <v/>
      </c>
      <c r="H1529">
        <f>IF(A1529="","",'Employees'!F11)</f>
        <v/>
      </c>
    </row>
    <row r="1530">
      <c r="A1530">
        <f>IF(AND('Skill Matrix'!A101&lt;&gt;"",'Skill Matrix'!M5&lt;&gt;""),'Skill Matrix'!A101,"")</f>
        <v/>
      </c>
      <c r="B1530">
        <f>IF(A1530="","",'Employees'!C11)</f>
        <v/>
      </c>
      <c r="C1530">
        <f>IF(A1530="","",'Employees'!D11)</f>
        <v/>
      </c>
      <c r="D1530">
        <f>IF(A1530="","",'Skill Matrix'!C101)</f>
        <v/>
      </c>
      <c r="E1530">
        <f>IF(A1530="","",'Skill Matrix'!D101)</f>
        <v/>
      </c>
      <c r="F1530">
        <f>IF(AND('Skill Matrix'!A101&lt;&gt;"",'Skill Matrix'!M5&lt;&gt;""),'Skill Matrix'!M5,"")</f>
        <v/>
      </c>
      <c r="G1530">
        <f>IF(OR(A1530="",'Skill Matrix'!M101=""),"",'Skill Matrix'!M101)</f>
        <v/>
      </c>
      <c r="H1530">
        <f>IF(A1530="","",'Employees'!F11)</f>
        <v/>
      </c>
    </row>
    <row r="1531">
      <c r="A1531">
        <f>IF(AND('Skill Matrix'!A101&lt;&gt;"",'Skill Matrix'!N5&lt;&gt;""),'Skill Matrix'!A101,"")</f>
        <v/>
      </c>
      <c r="B1531">
        <f>IF(A1531="","",'Employees'!C11)</f>
        <v/>
      </c>
      <c r="C1531">
        <f>IF(A1531="","",'Employees'!D11)</f>
        <v/>
      </c>
      <c r="D1531">
        <f>IF(A1531="","",'Skill Matrix'!C101)</f>
        <v/>
      </c>
      <c r="E1531">
        <f>IF(A1531="","",'Skill Matrix'!D101)</f>
        <v/>
      </c>
      <c r="F1531">
        <f>IF(AND('Skill Matrix'!A101&lt;&gt;"",'Skill Matrix'!N5&lt;&gt;""),'Skill Matrix'!N5,"")</f>
        <v/>
      </c>
      <c r="G1531">
        <f>IF(OR(A1531="",'Skill Matrix'!N101=""),"",'Skill Matrix'!N101)</f>
        <v/>
      </c>
      <c r="H1531">
        <f>IF(A1531="","",'Employees'!F11)</f>
        <v/>
      </c>
    </row>
    <row r="1532">
      <c r="A1532">
        <f>IF(AND('Skill Matrix'!A101&lt;&gt;"",'Skill Matrix'!O5&lt;&gt;""),'Skill Matrix'!A101,"")</f>
        <v/>
      </c>
      <c r="B1532">
        <f>IF(A1532="","",'Employees'!C11)</f>
        <v/>
      </c>
      <c r="C1532">
        <f>IF(A1532="","",'Employees'!D11)</f>
        <v/>
      </c>
      <c r="D1532">
        <f>IF(A1532="","",'Skill Matrix'!C101)</f>
        <v/>
      </c>
      <c r="E1532">
        <f>IF(A1532="","",'Skill Matrix'!D101)</f>
        <v/>
      </c>
      <c r="F1532">
        <f>IF(AND('Skill Matrix'!A101&lt;&gt;"",'Skill Matrix'!O5&lt;&gt;""),'Skill Matrix'!O5,"")</f>
        <v/>
      </c>
      <c r="G1532">
        <f>IF(OR(A1532="",'Skill Matrix'!O101=""),"",'Skill Matrix'!O101)</f>
        <v/>
      </c>
      <c r="H1532">
        <f>IF(A1532="","",'Employees'!F11)</f>
        <v/>
      </c>
    </row>
    <row r="1533">
      <c r="A1533">
        <f>IF(AND('Skill Matrix'!A101&lt;&gt;"",'Skill Matrix'!P5&lt;&gt;""),'Skill Matrix'!A101,"")</f>
        <v/>
      </c>
      <c r="B1533">
        <f>IF(A1533="","",'Employees'!C11)</f>
        <v/>
      </c>
      <c r="C1533">
        <f>IF(A1533="","",'Employees'!D11)</f>
        <v/>
      </c>
      <c r="D1533">
        <f>IF(A1533="","",'Skill Matrix'!C101)</f>
        <v/>
      </c>
      <c r="E1533">
        <f>IF(A1533="","",'Skill Matrix'!D101)</f>
        <v/>
      </c>
      <c r="F1533">
        <f>IF(AND('Skill Matrix'!A101&lt;&gt;"",'Skill Matrix'!P5&lt;&gt;""),'Skill Matrix'!P5,"")</f>
        <v/>
      </c>
      <c r="G1533">
        <f>IF(OR(A1533="",'Skill Matrix'!P101=""),"",'Skill Matrix'!P101)</f>
        <v/>
      </c>
      <c r="H1533">
        <f>IF(A1533="","",'Employees'!F11)</f>
        <v/>
      </c>
    </row>
    <row r="1534">
      <c r="A1534">
        <f>IF(AND('Skill Matrix'!A101&lt;&gt;"",'Skill Matrix'!Q5&lt;&gt;""),'Skill Matrix'!A101,"")</f>
        <v/>
      </c>
      <c r="B1534">
        <f>IF(A1534="","",'Employees'!C11)</f>
        <v/>
      </c>
      <c r="C1534">
        <f>IF(A1534="","",'Employees'!D11)</f>
        <v/>
      </c>
      <c r="D1534">
        <f>IF(A1534="","",'Skill Matrix'!C101)</f>
        <v/>
      </c>
      <c r="E1534">
        <f>IF(A1534="","",'Skill Matrix'!D101)</f>
        <v/>
      </c>
      <c r="F1534">
        <f>IF(AND('Skill Matrix'!A101&lt;&gt;"",'Skill Matrix'!Q5&lt;&gt;""),'Skill Matrix'!Q5,"")</f>
        <v/>
      </c>
      <c r="G1534">
        <f>IF(OR(A1534="",'Skill Matrix'!Q101=""),"",'Skill Matrix'!Q101)</f>
        <v/>
      </c>
      <c r="H1534">
        <f>IF(A1534="","",'Employees'!F11)</f>
        <v/>
      </c>
    </row>
    <row r="1535">
      <c r="A1535">
        <f>IF(AND('Skill Matrix'!A101&lt;&gt;"",'Skill Matrix'!R5&lt;&gt;""),'Skill Matrix'!A101,"")</f>
        <v/>
      </c>
      <c r="B1535">
        <f>IF(A1535="","",'Employees'!C11)</f>
        <v/>
      </c>
      <c r="C1535">
        <f>IF(A1535="","",'Employees'!D11)</f>
        <v/>
      </c>
      <c r="D1535">
        <f>IF(A1535="","",'Skill Matrix'!C101)</f>
        <v/>
      </c>
      <c r="E1535">
        <f>IF(A1535="","",'Skill Matrix'!D101)</f>
        <v/>
      </c>
      <c r="F1535">
        <f>IF(AND('Skill Matrix'!A101&lt;&gt;"",'Skill Matrix'!R5&lt;&gt;""),'Skill Matrix'!R5,"")</f>
        <v/>
      </c>
      <c r="G1535">
        <f>IF(OR(A1535="",'Skill Matrix'!R101=""),"",'Skill Matrix'!R101)</f>
        <v/>
      </c>
      <c r="H1535">
        <f>IF(A1535="","",'Employees'!F11)</f>
        <v/>
      </c>
    </row>
    <row r="1536">
      <c r="A1536">
        <f>IF(AND('Skill Matrix'!A101&lt;&gt;"",'Skill Matrix'!S5&lt;&gt;""),'Skill Matrix'!A101,"")</f>
        <v/>
      </c>
      <c r="B1536">
        <f>IF(A1536="","",'Employees'!C11)</f>
        <v/>
      </c>
      <c r="C1536">
        <f>IF(A1536="","",'Employees'!D11)</f>
        <v/>
      </c>
      <c r="D1536">
        <f>IF(A1536="","",'Skill Matrix'!C101)</f>
        <v/>
      </c>
      <c r="E1536">
        <f>IF(A1536="","",'Skill Matrix'!D101)</f>
        <v/>
      </c>
      <c r="F1536">
        <f>IF(AND('Skill Matrix'!A101&lt;&gt;"",'Skill Matrix'!S5&lt;&gt;""),'Skill Matrix'!S5,"")</f>
        <v/>
      </c>
      <c r="G1536">
        <f>IF(OR(A1536="",'Skill Matrix'!S101=""),"",'Skill Matrix'!S101)</f>
        <v/>
      </c>
      <c r="H1536">
        <f>IF(A1536="","",'Employees'!F11)</f>
        <v/>
      </c>
    </row>
    <row r="1537">
      <c r="A1537">
        <f>IF(AND('Skill Matrix'!A101&lt;&gt;"",'Skill Matrix'!T5&lt;&gt;""),'Skill Matrix'!A101,"")</f>
        <v/>
      </c>
      <c r="B1537">
        <f>IF(A1537="","",'Employees'!C11)</f>
        <v/>
      </c>
      <c r="C1537">
        <f>IF(A1537="","",'Employees'!D11)</f>
        <v/>
      </c>
      <c r="D1537">
        <f>IF(A1537="","",'Skill Matrix'!C101)</f>
        <v/>
      </c>
      <c r="E1537">
        <f>IF(A1537="","",'Skill Matrix'!D101)</f>
        <v/>
      </c>
      <c r="F1537">
        <f>IF(AND('Skill Matrix'!A101&lt;&gt;"",'Skill Matrix'!T5&lt;&gt;""),'Skill Matrix'!T5,"")</f>
        <v/>
      </c>
      <c r="G1537">
        <f>IF(OR(A1537="",'Skill Matrix'!T101=""),"",'Skill Matrix'!T101)</f>
        <v/>
      </c>
      <c r="H1537">
        <f>IF(A1537="","",'Employees'!F11)</f>
        <v/>
      </c>
    </row>
    <row r="1538">
      <c r="A1538">
        <f>IF(AND('Skill Matrix'!A102&lt;&gt;"",'Skill Matrix'!E5&lt;&gt;""),'Skill Matrix'!A102,"")</f>
        <v/>
      </c>
      <c r="B1538">
        <f>IF(A1538="","",'Employees'!C12)</f>
        <v/>
      </c>
      <c r="C1538">
        <f>IF(A1538="","",'Employees'!D12)</f>
        <v/>
      </c>
      <c r="D1538">
        <f>IF(A1538="","",'Skill Matrix'!C102)</f>
        <v/>
      </c>
      <c r="E1538">
        <f>IF(A1538="","",'Skill Matrix'!D102)</f>
        <v/>
      </c>
      <c r="F1538">
        <f>IF(AND('Skill Matrix'!A102&lt;&gt;"",'Skill Matrix'!E5&lt;&gt;""),'Skill Matrix'!E5,"")</f>
        <v/>
      </c>
      <c r="G1538">
        <f>IF(OR(A1538="",'Skill Matrix'!E102=""),"",'Skill Matrix'!E102)</f>
        <v/>
      </c>
      <c r="H1538">
        <f>IF(A1538="","",'Employees'!F12)</f>
        <v/>
      </c>
    </row>
    <row r="1539">
      <c r="A1539">
        <f>IF(AND('Skill Matrix'!A102&lt;&gt;"",'Skill Matrix'!F5&lt;&gt;""),'Skill Matrix'!A102,"")</f>
        <v/>
      </c>
      <c r="B1539">
        <f>IF(A1539="","",'Employees'!C12)</f>
        <v/>
      </c>
      <c r="C1539">
        <f>IF(A1539="","",'Employees'!D12)</f>
        <v/>
      </c>
      <c r="D1539">
        <f>IF(A1539="","",'Skill Matrix'!C102)</f>
        <v/>
      </c>
      <c r="E1539">
        <f>IF(A1539="","",'Skill Matrix'!D102)</f>
        <v/>
      </c>
      <c r="F1539">
        <f>IF(AND('Skill Matrix'!A102&lt;&gt;"",'Skill Matrix'!F5&lt;&gt;""),'Skill Matrix'!F5,"")</f>
        <v/>
      </c>
      <c r="G1539">
        <f>IF(OR(A1539="",'Skill Matrix'!F102=""),"",'Skill Matrix'!F102)</f>
        <v/>
      </c>
      <c r="H1539">
        <f>IF(A1539="","",'Employees'!F12)</f>
        <v/>
      </c>
    </row>
    <row r="1540">
      <c r="A1540">
        <f>IF(AND('Skill Matrix'!A102&lt;&gt;"",'Skill Matrix'!G5&lt;&gt;""),'Skill Matrix'!A102,"")</f>
        <v/>
      </c>
      <c r="B1540">
        <f>IF(A1540="","",'Employees'!C12)</f>
        <v/>
      </c>
      <c r="C1540">
        <f>IF(A1540="","",'Employees'!D12)</f>
        <v/>
      </c>
      <c r="D1540">
        <f>IF(A1540="","",'Skill Matrix'!C102)</f>
        <v/>
      </c>
      <c r="E1540">
        <f>IF(A1540="","",'Skill Matrix'!D102)</f>
        <v/>
      </c>
      <c r="F1540">
        <f>IF(AND('Skill Matrix'!A102&lt;&gt;"",'Skill Matrix'!G5&lt;&gt;""),'Skill Matrix'!G5,"")</f>
        <v/>
      </c>
      <c r="G1540">
        <f>IF(OR(A1540="",'Skill Matrix'!G102=""),"",'Skill Matrix'!G102)</f>
        <v/>
      </c>
      <c r="H1540">
        <f>IF(A1540="","",'Employees'!F12)</f>
        <v/>
      </c>
    </row>
    <row r="1541">
      <c r="A1541">
        <f>IF(AND('Skill Matrix'!A102&lt;&gt;"",'Skill Matrix'!H5&lt;&gt;""),'Skill Matrix'!A102,"")</f>
        <v/>
      </c>
      <c r="B1541">
        <f>IF(A1541="","",'Employees'!C12)</f>
        <v/>
      </c>
      <c r="C1541">
        <f>IF(A1541="","",'Employees'!D12)</f>
        <v/>
      </c>
      <c r="D1541">
        <f>IF(A1541="","",'Skill Matrix'!C102)</f>
        <v/>
      </c>
      <c r="E1541">
        <f>IF(A1541="","",'Skill Matrix'!D102)</f>
        <v/>
      </c>
      <c r="F1541">
        <f>IF(AND('Skill Matrix'!A102&lt;&gt;"",'Skill Matrix'!H5&lt;&gt;""),'Skill Matrix'!H5,"")</f>
        <v/>
      </c>
      <c r="G1541">
        <f>IF(OR(A1541="",'Skill Matrix'!H102=""),"",'Skill Matrix'!H102)</f>
        <v/>
      </c>
      <c r="H1541">
        <f>IF(A1541="","",'Employees'!F12)</f>
        <v/>
      </c>
    </row>
    <row r="1542">
      <c r="A1542">
        <f>IF(AND('Skill Matrix'!A102&lt;&gt;"",'Skill Matrix'!I5&lt;&gt;""),'Skill Matrix'!A102,"")</f>
        <v/>
      </c>
      <c r="B1542">
        <f>IF(A1542="","",'Employees'!C12)</f>
        <v/>
      </c>
      <c r="C1542">
        <f>IF(A1542="","",'Employees'!D12)</f>
        <v/>
      </c>
      <c r="D1542">
        <f>IF(A1542="","",'Skill Matrix'!C102)</f>
        <v/>
      </c>
      <c r="E1542">
        <f>IF(A1542="","",'Skill Matrix'!D102)</f>
        <v/>
      </c>
      <c r="F1542">
        <f>IF(AND('Skill Matrix'!A102&lt;&gt;"",'Skill Matrix'!I5&lt;&gt;""),'Skill Matrix'!I5,"")</f>
        <v/>
      </c>
      <c r="G1542">
        <f>IF(OR(A1542="",'Skill Matrix'!I102=""),"",'Skill Matrix'!I102)</f>
        <v/>
      </c>
      <c r="H1542">
        <f>IF(A1542="","",'Employees'!F12)</f>
        <v/>
      </c>
    </row>
    <row r="1543">
      <c r="A1543">
        <f>IF(AND('Skill Matrix'!A102&lt;&gt;"",'Skill Matrix'!J5&lt;&gt;""),'Skill Matrix'!A102,"")</f>
        <v/>
      </c>
      <c r="B1543">
        <f>IF(A1543="","",'Employees'!C12)</f>
        <v/>
      </c>
      <c r="C1543">
        <f>IF(A1543="","",'Employees'!D12)</f>
        <v/>
      </c>
      <c r="D1543">
        <f>IF(A1543="","",'Skill Matrix'!C102)</f>
        <v/>
      </c>
      <c r="E1543">
        <f>IF(A1543="","",'Skill Matrix'!D102)</f>
        <v/>
      </c>
      <c r="F1543">
        <f>IF(AND('Skill Matrix'!A102&lt;&gt;"",'Skill Matrix'!J5&lt;&gt;""),'Skill Matrix'!J5,"")</f>
        <v/>
      </c>
      <c r="G1543">
        <f>IF(OR(A1543="",'Skill Matrix'!J102=""),"",'Skill Matrix'!J102)</f>
        <v/>
      </c>
      <c r="H1543">
        <f>IF(A1543="","",'Employees'!F12)</f>
        <v/>
      </c>
    </row>
    <row r="1544">
      <c r="A1544">
        <f>IF(AND('Skill Matrix'!A102&lt;&gt;"",'Skill Matrix'!K5&lt;&gt;""),'Skill Matrix'!A102,"")</f>
        <v/>
      </c>
      <c r="B1544">
        <f>IF(A1544="","",'Employees'!C12)</f>
        <v/>
      </c>
      <c r="C1544">
        <f>IF(A1544="","",'Employees'!D12)</f>
        <v/>
      </c>
      <c r="D1544">
        <f>IF(A1544="","",'Skill Matrix'!C102)</f>
        <v/>
      </c>
      <c r="E1544">
        <f>IF(A1544="","",'Skill Matrix'!D102)</f>
        <v/>
      </c>
      <c r="F1544">
        <f>IF(AND('Skill Matrix'!A102&lt;&gt;"",'Skill Matrix'!K5&lt;&gt;""),'Skill Matrix'!K5,"")</f>
        <v/>
      </c>
      <c r="G1544">
        <f>IF(OR(A1544="",'Skill Matrix'!K102=""),"",'Skill Matrix'!K102)</f>
        <v/>
      </c>
      <c r="H1544">
        <f>IF(A1544="","",'Employees'!F12)</f>
        <v/>
      </c>
    </row>
    <row r="1545">
      <c r="A1545">
        <f>IF(AND('Skill Matrix'!A102&lt;&gt;"",'Skill Matrix'!L5&lt;&gt;""),'Skill Matrix'!A102,"")</f>
        <v/>
      </c>
      <c r="B1545">
        <f>IF(A1545="","",'Employees'!C12)</f>
        <v/>
      </c>
      <c r="C1545">
        <f>IF(A1545="","",'Employees'!D12)</f>
        <v/>
      </c>
      <c r="D1545">
        <f>IF(A1545="","",'Skill Matrix'!C102)</f>
        <v/>
      </c>
      <c r="E1545">
        <f>IF(A1545="","",'Skill Matrix'!D102)</f>
        <v/>
      </c>
      <c r="F1545">
        <f>IF(AND('Skill Matrix'!A102&lt;&gt;"",'Skill Matrix'!L5&lt;&gt;""),'Skill Matrix'!L5,"")</f>
        <v/>
      </c>
      <c r="G1545">
        <f>IF(OR(A1545="",'Skill Matrix'!L102=""),"",'Skill Matrix'!L102)</f>
        <v/>
      </c>
      <c r="H1545">
        <f>IF(A1545="","",'Employees'!F12)</f>
        <v/>
      </c>
    </row>
    <row r="1546">
      <c r="A1546">
        <f>IF(AND('Skill Matrix'!A102&lt;&gt;"",'Skill Matrix'!M5&lt;&gt;""),'Skill Matrix'!A102,"")</f>
        <v/>
      </c>
      <c r="B1546">
        <f>IF(A1546="","",'Employees'!C12)</f>
        <v/>
      </c>
      <c r="C1546">
        <f>IF(A1546="","",'Employees'!D12)</f>
        <v/>
      </c>
      <c r="D1546">
        <f>IF(A1546="","",'Skill Matrix'!C102)</f>
        <v/>
      </c>
      <c r="E1546">
        <f>IF(A1546="","",'Skill Matrix'!D102)</f>
        <v/>
      </c>
      <c r="F1546">
        <f>IF(AND('Skill Matrix'!A102&lt;&gt;"",'Skill Matrix'!M5&lt;&gt;""),'Skill Matrix'!M5,"")</f>
        <v/>
      </c>
      <c r="G1546">
        <f>IF(OR(A1546="",'Skill Matrix'!M102=""),"",'Skill Matrix'!M102)</f>
        <v/>
      </c>
      <c r="H1546">
        <f>IF(A1546="","",'Employees'!F12)</f>
        <v/>
      </c>
    </row>
    <row r="1547">
      <c r="A1547">
        <f>IF(AND('Skill Matrix'!A102&lt;&gt;"",'Skill Matrix'!N5&lt;&gt;""),'Skill Matrix'!A102,"")</f>
        <v/>
      </c>
      <c r="B1547">
        <f>IF(A1547="","",'Employees'!C12)</f>
        <v/>
      </c>
      <c r="C1547">
        <f>IF(A1547="","",'Employees'!D12)</f>
        <v/>
      </c>
      <c r="D1547">
        <f>IF(A1547="","",'Skill Matrix'!C102)</f>
        <v/>
      </c>
      <c r="E1547">
        <f>IF(A1547="","",'Skill Matrix'!D102)</f>
        <v/>
      </c>
      <c r="F1547">
        <f>IF(AND('Skill Matrix'!A102&lt;&gt;"",'Skill Matrix'!N5&lt;&gt;""),'Skill Matrix'!N5,"")</f>
        <v/>
      </c>
      <c r="G1547">
        <f>IF(OR(A1547="",'Skill Matrix'!N102=""),"",'Skill Matrix'!N102)</f>
        <v/>
      </c>
      <c r="H1547">
        <f>IF(A1547="","",'Employees'!F12)</f>
        <v/>
      </c>
    </row>
    <row r="1548">
      <c r="A1548">
        <f>IF(AND('Skill Matrix'!A102&lt;&gt;"",'Skill Matrix'!O5&lt;&gt;""),'Skill Matrix'!A102,"")</f>
        <v/>
      </c>
      <c r="B1548">
        <f>IF(A1548="","",'Employees'!C12)</f>
        <v/>
      </c>
      <c r="C1548">
        <f>IF(A1548="","",'Employees'!D12)</f>
        <v/>
      </c>
      <c r="D1548">
        <f>IF(A1548="","",'Skill Matrix'!C102)</f>
        <v/>
      </c>
      <c r="E1548">
        <f>IF(A1548="","",'Skill Matrix'!D102)</f>
        <v/>
      </c>
      <c r="F1548">
        <f>IF(AND('Skill Matrix'!A102&lt;&gt;"",'Skill Matrix'!O5&lt;&gt;""),'Skill Matrix'!O5,"")</f>
        <v/>
      </c>
      <c r="G1548">
        <f>IF(OR(A1548="",'Skill Matrix'!O102=""),"",'Skill Matrix'!O102)</f>
        <v/>
      </c>
      <c r="H1548">
        <f>IF(A1548="","",'Employees'!F12)</f>
        <v/>
      </c>
    </row>
    <row r="1549">
      <c r="A1549">
        <f>IF(AND('Skill Matrix'!A102&lt;&gt;"",'Skill Matrix'!P5&lt;&gt;""),'Skill Matrix'!A102,"")</f>
        <v/>
      </c>
      <c r="B1549">
        <f>IF(A1549="","",'Employees'!C12)</f>
        <v/>
      </c>
      <c r="C1549">
        <f>IF(A1549="","",'Employees'!D12)</f>
        <v/>
      </c>
      <c r="D1549">
        <f>IF(A1549="","",'Skill Matrix'!C102)</f>
        <v/>
      </c>
      <c r="E1549">
        <f>IF(A1549="","",'Skill Matrix'!D102)</f>
        <v/>
      </c>
      <c r="F1549">
        <f>IF(AND('Skill Matrix'!A102&lt;&gt;"",'Skill Matrix'!P5&lt;&gt;""),'Skill Matrix'!P5,"")</f>
        <v/>
      </c>
      <c r="G1549">
        <f>IF(OR(A1549="",'Skill Matrix'!P102=""),"",'Skill Matrix'!P102)</f>
        <v/>
      </c>
      <c r="H1549">
        <f>IF(A1549="","",'Employees'!F12)</f>
        <v/>
      </c>
    </row>
    <row r="1550">
      <c r="A1550">
        <f>IF(AND('Skill Matrix'!A102&lt;&gt;"",'Skill Matrix'!Q5&lt;&gt;""),'Skill Matrix'!A102,"")</f>
        <v/>
      </c>
      <c r="B1550">
        <f>IF(A1550="","",'Employees'!C12)</f>
        <v/>
      </c>
      <c r="C1550">
        <f>IF(A1550="","",'Employees'!D12)</f>
        <v/>
      </c>
      <c r="D1550">
        <f>IF(A1550="","",'Skill Matrix'!C102)</f>
        <v/>
      </c>
      <c r="E1550">
        <f>IF(A1550="","",'Skill Matrix'!D102)</f>
        <v/>
      </c>
      <c r="F1550">
        <f>IF(AND('Skill Matrix'!A102&lt;&gt;"",'Skill Matrix'!Q5&lt;&gt;""),'Skill Matrix'!Q5,"")</f>
        <v/>
      </c>
      <c r="G1550">
        <f>IF(OR(A1550="",'Skill Matrix'!Q102=""),"",'Skill Matrix'!Q102)</f>
        <v/>
      </c>
      <c r="H1550">
        <f>IF(A1550="","",'Employees'!F12)</f>
        <v/>
      </c>
    </row>
    <row r="1551">
      <c r="A1551">
        <f>IF(AND('Skill Matrix'!A102&lt;&gt;"",'Skill Matrix'!R5&lt;&gt;""),'Skill Matrix'!A102,"")</f>
        <v/>
      </c>
      <c r="B1551">
        <f>IF(A1551="","",'Employees'!C12)</f>
        <v/>
      </c>
      <c r="C1551">
        <f>IF(A1551="","",'Employees'!D12)</f>
        <v/>
      </c>
      <c r="D1551">
        <f>IF(A1551="","",'Skill Matrix'!C102)</f>
        <v/>
      </c>
      <c r="E1551">
        <f>IF(A1551="","",'Skill Matrix'!D102)</f>
        <v/>
      </c>
      <c r="F1551">
        <f>IF(AND('Skill Matrix'!A102&lt;&gt;"",'Skill Matrix'!R5&lt;&gt;""),'Skill Matrix'!R5,"")</f>
        <v/>
      </c>
      <c r="G1551">
        <f>IF(OR(A1551="",'Skill Matrix'!R102=""),"",'Skill Matrix'!R102)</f>
        <v/>
      </c>
      <c r="H1551">
        <f>IF(A1551="","",'Employees'!F12)</f>
        <v/>
      </c>
    </row>
    <row r="1552">
      <c r="A1552">
        <f>IF(AND('Skill Matrix'!A102&lt;&gt;"",'Skill Matrix'!S5&lt;&gt;""),'Skill Matrix'!A102,"")</f>
        <v/>
      </c>
      <c r="B1552">
        <f>IF(A1552="","",'Employees'!C12)</f>
        <v/>
      </c>
      <c r="C1552">
        <f>IF(A1552="","",'Employees'!D12)</f>
        <v/>
      </c>
      <c r="D1552">
        <f>IF(A1552="","",'Skill Matrix'!C102)</f>
        <v/>
      </c>
      <c r="E1552">
        <f>IF(A1552="","",'Skill Matrix'!D102)</f>
        <v/>
      </c>
      <c r="F1552">
        <f>IF(AND('Skill Matrix'!A102&lt;&gt;"",'Skill Matrix'!S5&lt;&gt;""),'Skill Matrix'!S5,"")</f>
        <v/>
      </c>
      <c r="G1552">
        <f>IF(OR(A1552="",'Skill Matrix'!S102=""),"",'Skill Matrix'!S102)</f>
        <v/>
      </c>
      <c r="H1552">
        <f>IF(A1552="","",'Employees'!F12)</f>
        <v/>
      </c>
    </row>
    <row r="1553">
      <c r="A1553">
        <f>IF(AND('Skill Matrix'!A102&lt;&gt;"",'Skill Matrix'!T5&lt;&gt;""),'Skill Matrix'!A102,"")</f>
        <v/>
      </c>
      <c r="B1553">
        <f>IF(A1553="","",'Employees'!C12)</f>
        <v/>
      </c>
      <c r="C1553">
        <f>IF(A1553="","",'Employees'!D12)</f>
        <v/>
      </c>
      <c r="D1553">
        <f>IF(A1553="","",'Skill Matrix'!C102)</f>
        <v/>
      </c>
      <c r="E1553">
        <f>IF(A1553="","",'Skill Matrix'!D102)</f>
        <v/>
      </c>
      <c r="F1553">
        <f>IF(AND('Skill Matrix'!A102&lt;&gt;"",'Skill Matrix'!T5&lt;&gt;""),'Skill Matrix'!T5,"")</f>
        <v/>
      </c>
      <c r="G1553">
        <f>IF(OR(A1553="",'Skill Matrix'!T102=""),"",'Skill Matrix'!T102)</f>
        <v/>
      </c>
      <c r="H1553">
        <f>IF(A1553="","",'Employees'!F12)</f>
        <v/>
      </c>
    </row>
    <row r="1554">
      <c r="A1554">
        <f>IF(AND('Skill Matrix'!A103&lt;&gt;"",'Skill Matrix'!E5&lt;&gt;""),'Skill Matrix'!A103,"")</f>
        <v/>
      </c>
      <c r="B1554">
        <f>IF(A1554="","",'Employees'!C12)</f>
        <v/>
      </c>
      <c r="C1554">
        <f>IF(A1554="","",'Employees'!D12)</f>
        <v/>
      </c>
      <c r="D1554">
        <f>IF(A1554="","",'Skill Matrix'!C103)</f>
        <v/>
      </c>
      <c r="E1554">
        <f>IF(A1554="","",'Skill Matrix'!D103)</f>
        <v/>
      </c>
      <c r="F1554">
        <f>IF(AND('Skill Matrix'!A103&lt;&gt;"",'Skill Matrix'!E5&lt;&gt;""),'Skill Matrix'!E5,"")</f>
        <v/>
      </c>
      <c r="G1554">
        <f>IF(OR(A1554="",'Skill Matrix'!E103=""),"",'Skill Matrix'!E103)</f>
        <v/>
      </c>
      <c r="H1554">
        <f>IF(A1554="","",'Employees'!F12)</f>
        <v/>
      </c>
    </row>
    <row r="1555">
      <c r="A1555">
        <f>IF(AND('Skill Matrix'!A103&lt;&gt;"",'Skill Matrix'!F5&lt;&gt;""),'Skill Matrix'!A103,"")</f>
        <v/>
      </c>
      <c r="B1555">
        <f>IF(A1555="","",'Employees'!C12)</f>
        <v/>
      </c>
      <c r="C1555">
        <f>IF(A1555="","",'Employees'!D12)</f>
        <v/>
      </c>
      <c r="D1555">
        <f>IF(A1555="","",'Skill Matrix'!C103)</f>
        <v/>
      </c>
      <c r="E1555">
        <f>IF(A1555="","",'Skill Matrix'!D103)</f>
        <v/>
      </c>
      <c r="F1555">
        <f>IF(AND('Skill Matrix'!A103&lt;&gt;"",'Skill Matrix'!F5&lt;&gt;""),'Skill Matrix'!F5,"")</f>
        <v/>
      </c>
      <c r="G1555">
        <f>IF(OR(A1555="",'Skill Matrix'!F103=""),"",'Skill Matrix'!F103)</f>
        <v/>
      </c>
      <c r="H1555">
        <f>IF(A1555="","",'Employees'!F12)</f>
        <v/>
      </c>
    </row>
    <row r="1556">
      <c r="A1556">
        <f>IF(AND('Skill Matrix'!A103&lt;&gt;"",'Skill Matrix'!G5&lt;&gt;""),'Skill Matrix'!A103,"")</f>
        <v/>
      </c>
      <c r="B1556">
        <f>IF(A1556="","",'Employees'!C12)</f>
        <v/>
      </c>
      <c r="C1556">
        <f>IF(A1556="","",'Employees'!D12)</f>
        <v/>
      </c>
      <c r="D1556">
        <f>IF(A1556="","",'Skill Matrix'!C103)</f>
        <v/>
      </c>
      <c r="E1556">
        <f>IF(A1556="","",'Skill Matrix'!D103)</f>
        <v/>
      </c>
      <c r="F1556">
        <f>IF(AND('Skill Matrix'!A103&lt;&gt;"",'Skill Matrix'!G5&lt;&gt;""),'Skill Matrix'!G5,"")</f>
        <v/>
      </c>
      <c r="G1556">
        <f>IF(OR(A1556="",'Skill Matrix'!G103=""),"",'Skill Matrix'!G103)</f>
        <v/>
      </c>
      <c r="H1556">
        <f>IF(A1556="","",'Employees'!F12)</f>
        <v/>
      </c>
    </row>
    <row r="1557">
      <c r="A1557">
        <f>IF(AND('Skill Matrix'!A103&lt;&gt;"",'Skill Matrix'!H5&lt;&gt;""),'Skill Matrix'!A103,"")</f>
        <v/>
      </c>
      <c r="B1557">
        <f>IF(A1557="","",'Employees'!C12)</f>
        <v/>
      </c>
      <c r="C1557">
        <f>IF(A1557="","",'Employees'!D12)</f>
        <v/>
      </c>
      <c r="D1557">
        <f>IF(A1557="","",'Skill Matrix'!C103)</f>
        <v/>
      </c>
      <c r="E1557">
        <f>IF(A1557="","",'Skill Matrix'!D103)</f>
        <v/>
      </c>
      <c r="F1557">
        <f>IF(AND('Skill Matrix'!A103&lt;&gt;"",'Skill Matrix'!H5&lt;&gt;""),'Skill Matrix'!H5,"")</f>
        <v/>
      </c>
      <c r="G1557">
        <f>IF(OR(A1557="",'Skill Matrix'!H103=""),"",'Skill Matrix'!H103)</f>
        <v/>
      </c>
      <c r="H1557">
        <f>IF(A1557="","",'Employees'!F12)</f>
        <v/>
      </c>
    </row>
    <row r="1558">
      <c r="A1558">
        <f>IF(AND('Skill Matrix'!A103&lt;&gt;"",'Skill Matrix'!I5&lt;&gt;""),'Skill Matrix'!A103,"")</f>
        <v/>
      </c>
      <c r="B1558">
        <f>IF(A1558="","",'Employees'!C12)</f>
        <v/>
      </c>
      <c r="C1558">
        <f>IF(A1558="","",'Employees'!D12)</f>
        <v/>
      </c>
      <c r="D1558">
        <f>IF(A1558="","",'Skill Matrix'!C103)</f>
        <v/>
      </c>
      <c r="E1558">
        <f>IF(A1558="","",'Skill Matrix'!D103)</f>
        <v/>
      </c>
      <c r="F1558">
        <f>IF(AND('Skill Matrix'!A103&lt;&gt;"",'Skill Matrix'!I5&lt;&gt;""),'Skill Matrix'!I5,"")</f>
        <v/>
      </c>
      <c r="G1558">
        <f>IF(OR(A1558="",'Skill Matrix'!I103=""),"",'Skill Matrix'!I103)</f>
        <v/>
      </c>
      <c r="H1558">
        <f>IF(A1558="","",'Employees'!F12)</f>
        <v/>
      </c>
    </row>
    <row r="1559">
      <c r="A1559">
        <f>IF(AND('Skill Matrix'!A103&lt;&gt;"",'Skill Matrix'!J5&lt;&gt;""),'Skill Matrix'!A103,"")</f>
        <v/>
      </c>
      <c r="B1559">
        <f>IF(A1559="","",'Employees'!C12)</f>
        <v/>
      </c>
      <c r="C1559">
        <f>IF(A1559="","",'Employees'!D12)</f>
        <v/>
      </c>
      <c r="D1559">
        <f>IF(A1559="","",'Skill Matrix'!C103)</f>
        <v/>
      </c>
      <c r="E1559">
        <f>IF(A1559="","",'Skill Matrix'!D103)</f>
        <v/>
      </c>
      <c r="F1559">
        <f>IF(AND('Skill Matrix'!A103&lt;&gt;"",'Skill Matrix'!J5&lt;&gt;""),'Skill Matrix'!J5,"")</f>
        <v/>
      </c>
      <c r="G1559">
        <f>IF(OR(A1559="",'Skill Matrix'!J103=""),"",'Skill Matrix'!J103)</f>
        <v/>
      </c>
      <c r="H1559">
        <f>IF(A1559="","",'Employees'!F12)</f>
        <v/>
      </c>
    </row>
    <row r="1560">
      <c r="A1560">
        <f>IF(AND('Skill Matrix'!A103&lt;&gt;"",'Skill Matrix'!K5&lt;&gt;""),'Skill Matrix'!A103,"")</f>
        <v/>
      </c>
      <c r="B1560">
        <f>IF(A1560="","",'Employees'!C12)</f>
        <v/>
      </c>
      <c r="C1560">
        <f>IF(A1560="","",'Employees'!D12)</f>
        <v/>
      </c>
      <c r="D1560">
        <f>IF(A1560="","",'Skill Matrix'!C103)</f>
        <v/>
      </c>
      <c r="E1560">
        <f>IF(A1560="","",'Skill Matrix'!D103)</f>
        <v/>
      </c>
      <c r="F1560">
        <f>IF(AND('Skill Matrix'!A103&lt;&gt;"",'Skill Matrix'!K5&lt;&gt;""),'Skill Matrix'!K5,"")</f>
        <v/>
      </c>
      <c r="G1560">
        <f>IF(OR(A1560="",'Skill Matrix'!K103=""),"",'Skill Matrix'!K103)</f>
        <v/>
      </c>
      <c r="H1560">
        <f>IF(A1560="","",'Employees'!F12)</f>
        <v/>
      </c>
    </row>
    <row r="1561">
      <c r="A1561">
        <f>IF(AND('Skill Matrix'!A103&lt;&gt;"",'Skill Matrix'!L5&lt;&gt;""),'Skill Matrix'!A103,"")</f>
        <v/>
      </c>
      <c r="B1561">
        <f>IF(A1561="","",'Employees'!C12)</f>
        <v/>
      </c>
      <c r="C1561">
        <f>IF(A1561="","",'Employees'!D12)</f>
        <v/>
      </c>
      <c r="D1561">
        <f>IF(A1561="","",'Skill Matrix'!C103)</f>
        <v/>
      </c>
      <c r="E1561">
        <f>IF(A1561="","",'Skill Matrix'!D103)</f>
        <v/>
      </c>
      <c r="F1561">
        <f>IF(AND('Skill Matrix'!A103&lt;&gt;"",'Skill Matrix'!L5&lt;&gt;""),'Skill Matrix'!L5,"")</f>
        <v/>
      </c>
      <c r="G1561">
        <f>IF(OR(A1561="",'Skill Matrix'!L103=""),"",'Skill Matrix'!L103)</f>
        <v/>
      </c>
      <c r="H1561">
        <f>IF(A1561="","",'Employees'!F12)</f>
        <v/>
      </c>
    </row>
    <row r="1562">
      <c r="A1562">
        <f>IF(AND('Skill Matrix'!A103&lt;&gt;"",'Skill Matrix'!M5&lt;&gt;""),'Skill Matrix'!A103,"")</f>
        <v/>
      </c>
      <c r="B1562">
        <f>IF(A1562="","",'Employees'!C12)</f>
        <v/>
      </c>
      <c r="C1562">
        <f>IF(A1562="","",'Employees'!D12)</f>
        <v/>
      </c>
      <c r="D1562">
        <f>IF(A1562="","",'Skill Matrix'!C103)</f>
        <v/>
      </c>
      <c r="E1562">
        <f>IF(A1562="","",'Skill Matrix'!D103)</f>
        <v/>
      </c>
      <c r="F1562">
        <f>IF(AND('Skill Matrix'!A103&lt;&gt;"",'Skill Matrix'!M5&lt;&gt;""),'Skill Matrix'!M5,"")</f>
        <v/>
      </c>
      <c r="G1562">
        <f>IF(OR(A1562="",'Skill Matrix'!M103=""),"",'Skill Matrix'!M103)</f>
        <v/>
      </c>
      <c r="H1562">
        <f>IF(A1562="","",'Employees'!F12)</f>
        <v/>
      </c>
    </row>
    <row r="1563">
      <c r="A1563">
        <f>IF(AND('Skill Matrix'!A103&lt;&gt;"",'Skill Matrix'!N5&lt;&gt;""),'Skill Matrix'!A103,"")</f>
        <v/>
      </c>
      <c r="B1563">
        <f>IF(A1563="","",'Employees'!C12)</f>
        <v/>
      </c>
      <c r="C1563">
        <f>IF(A1563="","",'Employees'!D12)</f>
        <v/>
      </c>
      <c r="D1563">
        <f>IF(A1563="","",'Skill Matrix'!C103)</f>
        <v/>
      </c>
      <c r="E1563">
        <f>IF(A1563="","",'Skill Matrix'!D103)</f>
        <v/>
      </c>
      <c r="F1563">
        <f>IF(AND('Skill Matrix'!A103&lt;&gt;"",'Skill Matrix'!N5&lt;&gt;""),'Skill Matrix'!N5,"")</f>
        <v/>
      </c>
      <c r="G1563">
        <f>IF(OR(A1563="",'Skill Matrix'!N103=""),"",'Skill Matrix'!N103)</f>
        <v/>
      </c>
      <c r="H1563">
        <f>IF(A1563="","",'Employees'!F12)</f>
        <v/>
      </c>
    </row>
    <row r="1564">
      <c r="A1564">
        <f>IF(AND('Skill Matrix'!A103&lt;&gt;"",'Skill Matrix'!O5&lt;&gt;""),'Skill Matrix'!A103,"")</f>
        <v/>
      </c>
      <c r="B1564">
        <f>IF(A1564="","",'Employees'!C12)</f>
        <v/>
      </c>
      <c r="C1564">
        <f>IF(A1564="","",'Employees'!D12)</f>
        <v/>
      </c>
      <c r="D1564">
        <f>IF(A1564="","",'Skill Matrix'!C103)</f>
        <v/>
      </c>
      <c r="E1564">
        <f>IF(A1564="","",'Skill Matrix'!D103)</f>
        <v/>
      </c>
      <c r="F1564">
        <f>IF(AND('Skill Matrix'!A103&lt;&gt;"",'Skill Matrix'!O5&lt;&gt;""),'Skill Matrix'!O5,"")</f>
        <v/>
      </c>
      <c r="G1564">
        <f>IF(OR(A1564="",'Skill Matrix'!O103=""),"",'Skill Matrix'!O103)</f>
        <v/>
      </c>
      <c r="H1564">
        <f>IF(A1564="","",'Employees'!F12)</f>
        <v/>
      </c>
    </row>
    <row r="1565">
      <c r="A1565">
        <f>IF(AND('Skill Matrix'!A103&lt;&gt;"",'Skill Matrix'!P5&lt;&gt;""),'Skill Matrix'!A103,"")</f>
        <v/>
      </c>
      <c r="B1565">
        <f>IF(A1565="","",'Employees'!C12)</f>
        <v/>
      </c>
      <c r="C1565">
        <f>IF(A1565="","",'Employees'!D12)</f>
        <v/>
      </c>
      <c r="D1565">
        <f>IF(A1565="","",'Skill Matrix'!C103)</f>
        <v/>
      </c>
      <c r="E1565">
        <f>IF(A1565="","",'Skill Matrix'!D103)</f>
        <v/>
      </c>
      <c r="F1565">
        <f>IF(AND('Skill Matrix'!A103&lt;&gt;"",'Skill Matrix'!P5&lt;&gt;""),'Skill Matrix'!P5,"")</f>
        <v/>
      </c>
      <c r="G1565">
        <f>IF(OR(A1565="",'Skill Matrix'!P103=""),"",'Skill Matrix'!P103)</f>
        <v/>
      </c>
      <c r="H1565">
        <f>IF(A1565="","",'Employees'!F12)</f>
        <v/>
      </c>
    </row>
    <row r="1566">
      <c r="A1566">
        <f>IF(AND('Skill Matrix'!A103&lt;&gt;"",'Skill Matrix'!Q5&lt;&gt;""),'Skill Matrix'!A103,"")</f>
        <v/>
      </c>
      <c r="B1566">
        <f>IF(A1566="","",'Employees'!C12)</f>
        <v/>
      </c>
      <c r="C1566">
        <f>IF(A1566="","",'Employees'!D12)</f>
        <v/>
      </c>
      <c r="D1566">
        <f>IF(A1566="","",'Skill Matrix'!C103)</f>
        <v/>
      </c>
      <c r="E1566">
        <f>IF(A1566="","",'Skill Matrix'!D103)</f>
        <v/>
      </c>
      <c r="F1566">
        <f>IF(AND('Skill Matrix'!A103&lt;&gt;"",'Skill Matrix'!Q5&lt;&gt;""),'Skill Matrix'!Q5,"")</f>
        <v/>
      </c>
      <c r="G1566">
        <f>IF(OR(A1566="",'Skill Matrix'!Q103=""),"",'Skill Matrix'!Q103)</f>
        <v/>
      </c>
      <c r="H1566">
        <f>IF(A1566="","",'Employees'!F12)</f>
        <v/>
      </c>
    </row>
    <row r="1567">
      <c r="A1567">
        <f>IF(AND('Skill Matrix'!A103&lt;&gt;"",'Skill Matrix'!R5&lt;&gt;""),'Skill Matrix'!A103,"")</f>
        <v/>
      </c>
      <c r="B1567">
        <f>IF(A1567="","",'Employees'!C12)</f>
        <v/>
      </c>
      <c r="C1567">
        <f>IF(A1567="","",'Employees'!D12)</f>
        <v/>
      </c>
      <c r="D1567">
        <f>IF(A1567="","",'Skill Matrix'!C103)</f>
        <v/>
      </c>
      <c r="E1567">
        <f>IF(A1567="","",'Skill Matrix'!D103)</f>
        <v/>
      </c>
      <c r="F1567">
        <f>IF(AND('Skill Matrix'!A103&lt;&gt;"",'Skill Matrix'!R5&lt;&gt;""),'Skill Matrix'!R5,"")</f>
        <v/>
      </c>
      <c r="G1567">
        <f>IF(OR(A1567="",'Skill Matrix'!R103=""),"",'Skill Matrix'!R103)</f>
        <v/>
      </c>
      <c r="H1567">
        <f>IF(A1567="","",'Employees'!F12)</f>
        <v/>
      </c>
    </row>
    <row r="1568">
      <c r="A1568">
        <f>IF(AND('Skill Matrix'!A103&lt;&gt;"",'Skill Matrix'!S5&lt;&gt;""),'Skill Matrix'!A103,"")</f>
        <v/>
      </c>
      <c r="B1568">
        <f>IF(A1568="","",'Employees'!C12)</f>
        <v/>
      </c>
      <c r="C1568">
        <f>IF(A1568="","",'Employees'!D12)</f>
        <v/>
      </c>
      <c r="D1568">
        <f>IF(A1568="","",'Skill Matrix'!C103)</f>
        <v/>
      </c>
      <c r="E1568">
        <f>IF(A1568="","",'Skill Matrix'!D103)</f>
        <v/>
      </c>
      <c r="F1568">
        <f>IF(AND('Skill Matrix'!A103&lt;&gt;"",'Skill Matrix'!S5&lt;&gt;""),'Skill Matrix'!S5,"")</f>
        <v/>
      </c>
      <c r="G1568">
        <f>IF(OR(A1568="",'Skill Matrix'!S103=""),"",'Skill Matrix'!S103)</f>
        <v/>
      </c>
      <c r="H1568">
        <f>IF(A1568="","",'Employees'!F12)</f>
        <v/>
      </c>
    </row>
    <row r="1569">
      <c r="A1569">
        <f>IF(AND('Skill Matrix'!A103&lt;&gt;"",'Skill Matrix'!T5&lt;&gt;""),'Skill Matrix'!A103,"")</f>
        <v/>
      </c>
      <c r="B1569">
        <f>IF(A1569="","",'Employees'!C12)</f>
        <v/>
      </c>
      <c r="C1569">
        <f>IF(A1569="","",'Employees'!D12)</f>
        <v/>
      </c>
      <c r="D1569">
        <f>IF(A1569="","",'Skill Matrix'!C103)</f>
        <v/>
      </c>
      <c r="E1569">
        <f>IF(A1569="","",'Skill Matrix'!D103)</f>
        <v/>
      </c>
      <c r="F1569">
        <f>IF(AND('Skill Matrix'!A103&lt;&gt;"",'Skill Matrix'!T5&lt;&gt;""),'Skill Matrix'!T5,"")</f>
        <v/>
      </c>
      <c r="G1569">
        <f>IF(OR(A1569="",'Skill Matrix'!T103=""),"",'Skill Matrix'!T103)</f>
        <v/>
      </c>
      <c r="H1569">
        <f>IF(A1569="","",'Employees'!F12)</f>
        <v/>
      </c>
    </row>
    <row r="1570">
      <c r="A1570">
        <f>IF(AND('Skill Matrix'!A104&lt;&gt;"",'Skill Matrix'!E5&lt;&gt;""),'Skill Matrix'!A104,"")</f>
        <v/>
      </c>
      <c r="B1570">
        <f>IF(A1570="","",'Employees'!C12)</f>
        <v/>
      </c>
      <c r="C1570">
        <f>IF(A1570="","",'Employees'!D12)</f>
        <v/>
      </c>
      <c r="D1570">
        <f>IF(A1570="","",'Skill Matrix'!C104)</f>
        <v/>
      </c>
      <c r="E1570">
        <f>IF(A1570="","",'Skill Matrix'!D104)</f>
        <v/>
      </c>
      <c r="F1570">
        <f>IF(AND('Skill Matrix'!A104&lt;&gt;"",'Skill Matrix'!E5&lt;&gt;""),'Skill Matrix'!E5,"")</f>
        <v/>
      </c>
      <c r="G1570">
        <f>IF(OR(A1570="",'Skill Matrix'!E104=""),"",'Skill Matrix'!E104)</f>
        <v/>
      </c>
      <c r="H1570">
        <f>IF(A1570="","",'Employees'!F12)</f>
        <v/>
      </c>
    </row>
    <row r="1571">
      <c r="A1571">
        <f>IF(AND('Skill Matrix'!A104&lt;&gt;"",'Skill Matrix'!F5&lt;&gt;""),'Skill Matrix'!A104,"")</f>
        <v/>
      </c>
      <c r="B1571">
        <f>IF(A1571="","",'Employees'!C12)</f>
        <v/>
      </c>
      <c r="C1571">
        <f>IF(A1571="","",'Employees'!D12)</f>
        <v/>
      </c>
      <c r="D1571">
        <f>IF(A1571="","",'Skill Matrix'!C104)</f>
        <v/>
      </c>
      <c r="E1571">
        <f>IF(A1571="","",'Skill Matrix'!D104)</f>
        <v/>
      </c>
      <c r="F1571">
        <f>IF(AND('Skill Matrix'!A104&lt;&gt;"",'Skill Matrix'!F5&lt;&gt;""),'Skill Matrix'!F5,"")</f>
        <v/>
      </c>
      <c r="G1571">
        <f>IF(OR(A1571="",'Skill Matrix'!F104=""),"",'Skill Matrix'!F104)</f>
        <v/>
      </c>
      <c r="H1571">
        <f>IF(A1571="","",'Employees'!F12)</f>
        <v/>
      </c>
    </row>
    <row r="1572">
      <c r="A1572">
        <f>IF(AND('Skill Matrix'!A104&lt;&gt;"",'Skill Matrix'!G5&lt;&gt;""),'Skill Matrix'!A104,"")</f>
        <v/>
      </c>
      <c r="B1572">
        <f>IF(A1572="","",'Employees'!C12)</f>
        <v/>
      </c>
      <c r="C1572">
        <f>IF(A1572="","",'Employees'!D12)</f>
        <v/>
      </c>
      <c r="D1572">
        <f>IF(A1572="","",'Skill Matrix'!C104)</f>
        <v/>
      </c>
      <c r="E1572">
        <f>IF(A1572="","",'Skill Matrix'!D104)</f>
        <v/>
      </c>
      <c r="F1572">
        <f>IF(AND('Skill Matrix'!A104&lt;&gt;"",'Skill Matrix'!G5&lt;&gt;""),'Skill Matrix'!G5,"")</f>
        <v/>
      </c>
      <c r="G1572">
        <f>IF(OR(A1572="",'Skill Matrix'!G104=""),"",'Skill Matrix'!G104)</f>
        <v/>
      </c>
      <c r="H1572">
        <f>IF(A1572="","",'Employees'!F12)</f>
        <v/>
      </c>
    </row>
    <row r="1573">
      <c r="A1573">
        <f>IF(AND('Skill Matrix'!A104&lt;&gt;"",'Skill Matrix'!H5&lt;&gt;""),'Skill Matrix'!A104,"")</f>
        <v/>
      </c>
      <c r="B1573">
        <f>IF(A1573="","",'Employees'!C12)</f>
        <v/>
      </c>
      <c r="C1573">
        <f>IF(A1573="","",'Employees'!D12)</f>
        <v/>
      </c>
      <c r="D1573">
        <f>IF(A1573="","",'Skill Matrix'!C104)</f>
        <v/>
      </c>
      <c r="E1573">
        <f>IF(A1573="","",'Skill Matrix'!D104)</f>
        <v/>
      </c>
      <c r="F1573">
        <f>IF(AND('Skill Matrix'!A104&lt;&gt;"",'Skill Matrix'!H5&lt;&gt;""),'Skill Matrix'!H5,"")</f>
        <v/>
      </c>
      <c r="G1573">
        <f>IF(OR(A1573="",'Skill Matrix'!H104=""),"",'Skill Matrix'!H104)</f>
        <v/>
      </c>
      <c r="H1573">
        <f>IF(A1573="","",'Employees'!F12)</f>
        <v/>
      </c>
    </row>
    <row r="1574">
      <c r="A1574">
        <f>IF(AND('Skill Matrix'!A104&lt;&gt;"",'Skill Matrix'!I5&lt;&gt;""),'Skill Matrix'!A104,"")</f>
        <v/>
      </c>
      <c r="B1574">
        <f>IF(A1574="","",'Employees'!C12)</f>
        <v/>
      </c>
      <c r="C1574">
        <f>IF(A1574="","",'Employees'!D12)</f>
        <v/>
      </c>
      <c r="D1574">
        <f>IF(A1574="","",'Skill Matrix'!C104)</f>
        <v/>
      </c>
      <c r="E1574">
        <f>IF(A1574="","",'Skill Matrix'!D104)</f>
        <v/>
      </c>
      <c r="F1574">
        <f>IF(AND('Skill Matrix'!A104&lt;&gt;"",'Skill Matrix'!I5&lt;&gt;""),'Skill Matrix'!I5,"")</f>
        <v/>
      </c>
      <c r="G1574">
        <f>IF(OR(A1574="",'Skill Matrix'!I104=""),"",'Skill Matrix'!I104)</f>
        <v/>
      </c>
      <c r="H1574">
        <f>IF(A1574="","",'Employees'!F12)</f>
        <v/>
      </c>
    </row>
    <row r="1575">
      <c r="A1575">
        <f>IF(AND('Skill Matrix'!A104&lt;&gt;"",'Skill Matrix'!J5&lt;&gt;""),'Skill Matrix'!A104,"")</f>
        <v/>
      </c>
      <c r="B1575">
        <f>IF(A1575="","",'Employees'!C12)</f>
        <v/>
      </c>
      <c r="C1575">
        <f>IF(A1575="","",'Employees'!D12)</f>
        <v/>
      </c>
      <c r="D1575">
        <f>IF(A1575="","",'Skill Matrix'!C104)</f>
        <v/>
      </c>
      <c r="E1575">
        <f>IF(A1575="","",'Skill Matrix'!D104)</f>
        <v/>
      </c>
      <c r="F1575">
        <f>IF(AND('Skill Matrix'!A104&lt;&gt;"",'Skill Matrix'!J5&lt;&gt;""),'Skill Matrix'!J5,"")</f>
        <v/>
      </c>
      <c r="G1575">
        <f>IF(OR(A1575="",'Skill Matrix'!J104=""),"",'Skill Matrix'!J104)</f>
        <v/>
      </c>
      <c r="H1575">
        <f>IF(A1575="","",'Employees'!F12)</f>
        <v/>
      </c>
    </row>
    <row r="1576">
      <c r="A1576">
        <f>IF(AND('Skill Matrix'!A104&lt;&gt;"",'Skill Matrix'!K5&lt;&gt;""),'Skill Matrix'!A104,"")</f>
        <v/>
      </c>
      <c r="B1576">
        <f>IF(A1576="","",'Employees'!C12)</f>
        <v/>
      </c>
      <c r="C1576">
        <f>IF(A1576="","",'Employees'!D12)</f>
        <v/>
      </c>
      <c r="D1576">
        <f>IF(A1576="","",'Skill Matrix'!C104)</f>
        <v/>
      </c>
      <c r="E1576">
        <f>IF(A1576="","",'Skill Matrix'!D104)</f>
        <v/>
      </c>
      <c r="F1576">
        <f>IF(AND('Skill Matrix'!A104&lt;&gt;"",'Skill Matrix'!K5&lt;&gt;""),'Skill Matrix'!K5,"")</f>
        <v/>
      </c>
      <c r="G1576">
        <f>IF(OR(A1576="",'Skill Matrix'!K104=""),"",'Skill Matrix'!K104)</f>
        <v/>
      </c>
      <c r="H1576">
        <f>IF(A1576="","",'Employees'!F12)</f>
        <v/>
      </c>
    </row>
    <row r="1577">
      <c r="A1577">
        <f>IF(AND('Skill Matrix'!A104&lt;&gt;"",'Skill Matrix'!L5&lt;&gt;""),'Skill Matrix'!A104,"")</f>
        <v/>
      </c>
      <c r="B1577">
        <f>IF(A1577="","",'Employees'!C12)</f>
        <v/>
      </c>
      <c r="C1577">
        <f>IF(A1577="","",'Employees'!D12)</f>
        <v/>
      </c>
      <c r="D1577">
        <f>IF(A1577="","",'Skill Matrix'!C104)</f>
        <v/>
      </c>
      <c r="E1577">
        <f>IF(A1577="","",'Skill Matrix'!D104)</f>
        <v/>
      </c>
      <c r="F1577">
        <f>IF(AND('Skill Matrix'!A104&lt;&gt;"",'Skill Matrix'!L5&lt;&gt;""),'Skill Matrix'!L5,"")</f>
        <v/>
      </c>
      <c r="G1577">
        <f>IF(OR(A1577="",'Skill Matrix'!L104=""),"",'Skill Matrix'!L104)</f>
        <v/>
      </c>
      <c r="H1577">
        <f>IF(A1577="","",'Employees'!F12)</f>
        <v/>
      </c>
    </row>
    <row r="1578">
      <c r="A1578">
        <f>IF(AND('Skill Matrix'!A104&lt;&gt;"",'Skill Matrix'!M5&lt;&gt;""),'Skill Matrix'!A104,"")</f>
        <v/>
      </c>
      <c r="B1578">
        <f>IF(A1578="","",'Employees'!C12)</f>
        <v/>
      </c>
      <c r="C1578">
        <f>IF(A1578="","",'Employees'!D12)</f>
        <v/>
      </c>
      <c r="D1578">
        <f>IF(A1578="","",'Skill Matrix'!C104)</f>
        <v/>
      </c>
      <c r="E1578">
        <f>IF(A1578="","",'Skill Matrix'!D104)</f>
        <v/>
      </c>
      <c r="F1578">
        <f>IF(AND('Skill Matrix'!A104&lt;&gt;"",'Skill Matrix'!M5&lt;&gt;""),'Skill Matrix'!M5,"")</f>
        <v/>
      </c>
      <c r="G1578">
        <f>IF(OR(A1578="",'Skill Matrix'!M104=""),"",'Skill Matrix'!M104)</f>
        <v/>
      </c>
      <c r="H1578">
        <f>IF(A1578="","",'Employees'!F12)</f>
        <v/>
      </c>
    </row>
    <row r="1579">
      <c r="A1579">
        <f>IF(AND('Skill Matrix'!A104&lt;&gt;"",'Skill Matrix'!N5&lt;&gt;""),'Skill Matrix'!A104,"")</f>
        <v/>
      </c>
      <c r="B1579">
        <f>IF(A1579="","",'Employees'!C12)</f>
        <v/>
      </c>
      <c r="C1579">
        <f>IF(A1579="","",'Employees'!D12)</f>
        <v/>
      </c>
      <c r="D1579">
        <f>IF(A1579="","",'Skill Matrix'!C104)</f>
        <v/>
      </c>
      <c r="E1579">
        <f>IF(A1579="","",'Skill Matrix'!D104)</f>
        <v/>
      </c>
      <c r="F1579">
        <f>IF(AND('Skill Matrix'!A104&lt;&gt;"",'Skill Matrix'!N5&lt;&gt;""),'Skill Matrix'!N5,"")</f>
        <v/>
      </c>
      <c r="G1579">
        <f>IF(OR(A1579="",'Skill Matrix'!N104=""),"",'Skill Matrix'!N104)</f>
        <v/>
      </c>
      <c r="H1579">
        <f>IF(A1579="","",'Employees'!F12)</f>
        <v/>
      </c>
    </row>
    <row r="1580">
      <c r="A1580">
        <f>IF(AND('Skill Matrix'!A104&lt;&gt;"",'Skill Matrix'!O5&lt;&gt;""),'Skill Matrix'!A104,"")</f>
        <v/>
      </c>
      <c r="B1580">
        <f>IF(A1580="","",'Employees'!C12)</f>
        <v/>
      </c>
      <c r="C1580">
        <f>IF(A1580="","",'Employees'!D12)</f>
        <v/>
      </c>
      <c r="D1580">
        <f>IF(A1580="","",'Skill Matrix'!C104)</f>
        <v/>
      </c>
      <c r="E1580">
        <f>IF(A1580="","",'Skill Matrix'!D104)</f>
        <v/>
      </c>
      <c r="F1580">
        <f>IF(AND('Skill Matrix'!A104&lt;&gt;"",'Skill Matrix'!O5&lt;&gt;""),'Skill Matrix'!O5,"")</f>
        <v/>
      </c>
      <c r="G1580">
        <f>IF(OR(A1580="",'Skill Matrix'!O104=""),"",'Skill Matrix'!O104)</f>
        <v/>
      </c>
      <c r="H1580">
        <f>IF(A1580="","",'Employees'!F12)</f>
        <v/>
      </c>
    </row>
    <row r="1581">
      <c r="A1581">
        <f>IF(AND('Skill Matrix'!A104&lt;&gt;"",'Skill Matrix'!P5&lt;&gt;""),'Skill Matrix'!A104,"")</f>
        <v/>
      </c>
      <c r="B1581">
        <f>IF(A1581="","",'Employees'!C12)</f>
        <v/>
      </c>
      <c r="C1581">
        <f>IF(A1581="","",'Employees'!D12)</f>
        <v/>
      </c>
      <c r="D1581">
        <f>IF(A1581="","",'Skill Matrix'!C104)</f>
        <v/>
      </c>
      <c r="E1581">
        <f>IF(A1581="","",'Skill Matrix'!D104)</f>
        <v/>
      </c>
      <c r="F1581">
        <f>IF(AND('Skill Matrix'!A104&lt;&gt;"",'Skill Matrix'!P5&lt;&gt;""),'Skill Matrix'!P5,"")</f>
        <v/>
      </c>
      <c r="G1581">
        <f>IF(OR(A1581="",'Skill Matrix'!P104=""),"",'Skill Matrix'!P104)</f>
        <v/>
      </c>
      <c r="H1581">
        <f>IF(A1581="","",'Employees'!F12)</f>
        <v/>
      </c>
    </row>
    <row r="1582">
      <c r="A1582">
        <f>IF(AND('Skill Matrix'!A104&lt;&gt;"",'Skill Matrix'!Q5&lt;&gt;""),'Skill Matrix'!A104,"")</f>
        <v/>
      </c>
      <c r="B1582">
        <f>IF(A1582="","",'Employees'!C12)</f>
        <v/>
      </c>
      <c r="C1582">
        <f>IF(A1582="","",'Employees'!D12)</f>
        <v/>
      </c>
      <c r="D1582">
        <f>IF(A1582="","",'Skill Matrix'!C104)</f>
        <v/>
      </c>
      <c r="E1582">
        <f>IF(A1582="","",'Skill Matrix'!D104)</f>
        <v/>
      </c>
      <c r="F1582">
        <f>IF(AND('Skill Matrix'!A104&lt;&gt;"",'Skill Matrix'!Q5&lt;&gt;""),'Skill Matrix'!Q5,"")</f>
        <v/>
      </c>
      <c r="G1582">
        <f>IF(OR(A1582="",'Skill Matrix'!Q104=""),"",'Skill Matrix'!Q104)</f>
        <v/>
      </c>
      <c r="H1582">
        <f>IF(A1582="","",'Employees'!F12)</f>
        <v/>
      </c>
    </row>
    <row r="1583">
      <c r="A1583">
        <f>IF(AND('Skill Matrix'!A104&lt;&gt;"",'Skill Matrix'!R5&lt;&gt;""),'Skill Matrix'!A104,"")</f>
        <v/>
      </c>
      <c r="B1583">
        <f>IF(A1583="","",'Employees'!C12)</f>
        <v/>
      </c>
      <c r="C1583">
        <f>IF(A1583="","",'Employees'!D12)</f>
        <v/>
      </c>
      <c r="D1583">
        <f>IF(A1583="","",'Skill Matrix'!C104)</f>
        <v/>
      </c>
      <c r="E1583">
        <f>IF(A1583="","",'Skill Matrix'!D104)</f>
        <v/>
      </c>
      <c r="F1583">
        <f>IF(AND('Skill Matrix'!A104&lt;&gt;"",'Skill Matrix'!R5&lt;&gt;""),'Skill Matrix'!R5,"")</f>
        <v/>
      </c>
      <c r="G1583">
        <f>IF(OR(A1583="",'Skill Matrix'!R104=""),"",'Skill Matrix'!R104)</f>
        <v/>
      </c>
      <c r="H1583">
        <f>IF(A1583="","",'Employees'!F12)</f>
        <v/>
      </c>
    </row>
    <row r="1584">
      <c r="A1584">
        <f>IF(AND('Skill Matrix'!A104&lt;&gt;"",'Skill Matrix'!S5&lt;&gt;""),'Skill Matrix'!A104,"")</f>
        <v/>
      </c>
      <c r="B1584">
        <f>IF(A1584="","",'Employees'!C12)</f>
        <v/>
      </c>
      <c r="C1584">
        <f>IF(A1584="","",'Employees'!D12)</f>
        <v/>
      </c>
      <c r="D1584">
        <f>IF(A1584="","",'Skill Matrix'!C104)</f>
        <v/>
      </c>
      <c r="E1584">
        <f>IF(A1584="","",'Skill Matrix'!D104)</f>
        <v/>
      </c>
      <c r="F1584">
        <f>IF(AND('Skill Matrix'!A104&lt;&gt;"",'Skill Matrix'!S5&lt;&gt;""),'Skill Matrix'!S5,"")</f>
        <v/>
      </c>
      <c r="G1584">
        <f>IF(OR(A1584="",'Skill Matrix'!S104=""),"",'Skill Matrix'!S104)</f>
        <v/>
      </c>
      <c r="H1584">
        <f>IF(A1584="","",'Employees'!F12)</f>
        <v/>
      </c>
    </row>
    <row r="1585">
      <c r="A1585">
        <f>IF(AND('Skill Matrix'!A104&lt;&gt;"",'Skill Matrix'!T5&lt;&gt;""),'Skill Matrix'!A104,"")</f>
        <v/>
      </c>
      <c r="B1585">
        <f>IF(A1585="","",'Employees'!C12)</f>
        <v/>
      </c>
      <c r="C1585">
        <f>IF(A1585="","",'Employees'!D12)</f>
        <v/>
      </c>
      <c r="D1585">
        <f>IF(A1585="","",'Skill Matrix'!C104)</f>
        <v/>
      </c>
      <c r="E1585">
        <f>IF(A1585="","",'Skill Matrix'!D104)</f>
        <v/>
      </c>
      <c r="F1585">
        <f>IF(AND('Skill Matrix'!A104&lt;&gt;"",'Skill Matrix'!T5&lt;&gt;""),'Skill Matrix'!T5,"")</f>
        <v/>
      </c>
      <c r="G1585">
        <f>IF(OR(A1585="",'Skill Matrix'!T104=""),"",'Skill Matrix'!T104)</f>
        <v/>
      </c>
      <c r="H1585">
        <f>IF(A1585="","",'Employees'!F12)</f>
        <v/>
      </c>
    </row>
    <row r="1586">
      <c r="A1586">
        <f>IF(AND('Skill Matrix'!A105&lt;&gt;"",'Skill Matrix'!E5&lt;&gt;""),'Skill Matrix'!A105,"")</f>
        <v/>
      </c>
      <c r="B1586">
        <f>IF(A1586="","",'Employees'!C12)</f>
        <v/>
      </c>
      <c r="C1586">
        <f>IF(A1586="","",'Employees'!D12)</f>
        <v/>
      </c>
      <c r="D1586">
        <f>IF(A1586="","",'Skill Matrix'!C105)</f>
        <v/>
      </c>
      <c r="E1586">
        <f>IF(A1586="","",'Skill Matrix'!D105)</f>
        <v/>
      </c>
      <c r="F1586">
        <f>IF(AND('Skill Matrix'!A105&lt;&gt;"",'Skill Matrix'!E5&lt;&gt;""),'Skill Matrix'!E5,"")</f>
        <v/>
      </c>
      <c r="G1586">
        <f>IF(OR(A1586="",'Skill Matrix'!E105=""),"",'Skill Matrix'!E105)</f>
        <v/>
      </c>
      <c r="H1586">
        <f>IF(A1586="","",'Employees'!F12)</f>
        <v/>
      </c>
    </row>
    <row r="1587">
      <c r="A1587">
        <f>IF(AND('Skill Matrix'!A105&lt;&gt;"",'Skill Matrix'!F5&lt;&gt;""),'Skill Matrix'!A105,"")</f>
        <v/>
      </c>
      <c r="B1587">
        <f>IF(A1587="","",'Employees'!C12)</f>
        <v/>
      </c>
      <c r="C1587">
        <f>IF(A1587="","",'Employees'!D12)</f>
        <v/>
      </c>
      <c r="D1587">
        <f>IF(A1587="","",'Skill Matrix'!C105)</f>
        <v/>
      </c>
      <c r="E1587">
        <f>IF(A1587="","",'Skill Matrix'!D105)</f>
        <v/>
      </c>
      <c r="F1587">
        <f>IF(AND('Skill Matrix'!A105&lt;&gt;"",'Skill Matrix'!F5&lt;&gt;""),'Skill Matrix'!F5,"")</f>
        <v/>
      </c>
      <c r="G1587">
        <f>IF(OR(A1587="",'Skill Matrix'!F105=""),"",'Skill Matrix'!F105)</f>
        <v/>
      </c>
      <c r="H1587">
        <f>IF(A1587="","",'Employees'!F12)</f>
        <v/>
      </c>
    </row>
    <row r="1588">
      <c r="A1588">
        <f>IF(AND('Skill Matrix'!A105&lt;&gt;"",'Skill Matrix'!G5&lt;&gt;""),'Skill Matrix'!A105,"")</f>
        <v/>
      </c>
      <c r="B1588">
        <f>IF(A1588="","",'Employees'!C12)</f>
        <v/>
      </c>
      <c r="C1588">
        <f>IF(A1588="","",'Employees'!D12)</f>
        <v/>
      </c>
      <c r="D1588">
        <f>IF(A1588="","",'Skill Matrix'!C105)</f>
        <v/>
      </c>
      <c r="E1588">
        <f>IF(A1588="","",'Skill Matrix'!D105)</f>
        <v/>
      </c>
      <c r="F1588">
        <f>IF(AND('Skill Matrix'!A105&lt;&gt;"",'Skill Matrix'!G5&lt;&gt;""),'Skill Matrix'!G5,"")</f>
        <v/>
      </c>
      <c r="G1588">
        <f>IF(OR(A1588="",'Skill Matrix'!G105=""),"",'Skill Matrix'!G105)</f>
        <v/>
      </c>
      <c r="H1588">
        <f>IF(A1588="","",'Employees'!F12)</f>
        <v/>
      </c>
    </row>
    <row r="1589">
      <c r="A1589">
        <f>IF(AND('Skill Matrix'!A105&lt;&gt;"",'Skill Matrix'!H5&lt;&gt;""),'Skill Matrix'!A105,"")</f>
        <v/>
      </c>
      <c r="B1589">
        <f>IF(A1589="","",'Employees'!C12)</f>
        <v/>
      </c>
      <c r="C1589">
        <f>IF(A1589="","",'Employees'!D12)</f>
        <v/>
      </c>
      <c r="D1589">
        <f>IF(A1589="","",'Skill Matrix'!C105)</f>
        <v/>
      </c>
      <c r="E1589">
        <f>IF(A1589="","",'Skill Matrix'!D105)</f>
        <v/>
      </c>
      <c r="F1589">
        <f>IF(AND('Skill Matrix'!A105&lt;&gt;"",'Skill Matrix'!H5&lt;&gt;""),'Skill Matrix'!H5,"")</f>
        <v/>
      </c>
      <c r="G1589">
        <f>IF(OR(A1589="",'Skill Matrix'!H105=""),"",'Skill Matrix'!H105)</f>
        <v/>
      </c>
      <c r="H1589">
        <f>IF(A1589="","",'Employees'!F12)</f>
        <v/>
      </c>
    </row>
    <row r="1590">
      <c r="A1590">
        <f>IF(AND('Skill Matrix'!A105&lt;&gt;"",'Skill Matrix'!I5&lt;&gt;""),'Skill Matrix'!A105,"")</f>
        <v/>
      </c>
      <c r="B1590">
        <f>IF(A1590="","",'Employees'!C12)</f>
        <v/>
      </c>
      <c r="C1590">
        <f>IF(A1590="","",'Employees'!D12)</f>
        <v/>
      </c>
      <c r="D1590">
        <f>IF(A1590="","",'Skill Matrix'!C105)</f>
        <v/>
      </c>
      <c r="E1590">
        <f>IF(A1590="","",'Skill Matrix'!D105)</f>
        <v/>
      </c>
      <c r="F1590">
        <f>IF(AND('Skill Matrix'!A105&lt;&gt;"",'Skill Matrix'!I5&lt;&gt;""),'Skill Matrix'!I5,"")</f>
        <v/>
      </c>
      <c r="G1590">
        <f>IF(OR(A1590="",'Skill Matrix'!I105=""),"",'Skill Matrix'!I105)</f>
        <v/>
      </c>
      <c r="H1590">
        <f>IF(A1590="","",'Employees'!F12)</f>
        <v/>
      </c>
    </row>
    <row r="1591">
      <c r="A1591">
        <f>IF(AND('Skill Matrix'!A105&lt;&gt;"",'Skill Matrix'!J5&lt;&gt;""),'Skill Matrix'!A105,"")</f>
        <v/>
      </c>
      <c r="B1591">
        <f>IF(A1591="","",'Employees'!C12)</f>
        <v/>
      </c>
      <c r="C1591">
        <f>IF(A1591="","",'Employees'!D12)</f>
        <v/>
      </c>
      <c r="D1591">
        <f>IF(A1591="","",'Skill Matrix'!C105)</f>
        <v/>
      </c>
      <c r="E1591">
        <f>IF(A1591="","",'Skill Matrix'!D105)</f>
        <v/>
      </c>
      <c r="F1591">
        <f>IF(AND('Skill Matrix'!A105&lt;&gt;"",'Skill Matrix'!J5&lt;&gt;""),'Skill Matrix'!J5,"")</f>
        <v/>
      </c>
      <c r="G1591">
        <f>IF(OR(A1591="",'Skill Matrix'!J105=""),"",'Skill Matrix'!J105)</f>
        <v/>
      </c>
      <c r="H1591">
        <f>IF(A1591="","",'Employees'!F12)</f>
        <v/>
      </c>
    </row>
    <row r="1592">
      <c r="A1592">
        <f>IF(AND('Skill Matrix'!A105&lt;&gt;"",'Skill Matrix'!K5&lt;&gt;""),'Skill Matrix'!A105,"")</f>
        <v/>
      </c>
      <c r="B1592">
        <f>IF(A1592="","",'Employees'!C12)</f>
        <v/>
      </c>
      <c r="C1592">
        <f>IF(A1592="","",'Employees'!D12)</f>
        <v/>
      </c>
      <c r="D1592">
        <f>IF(A1592="","",'Skill Matrix'!C105)</f>
        <v/>
      </c>
      <c r="E1592">
        <f>IF(A1592="","",'Skill Matrix'!D105)</f>
        <v/>
      </c>
      <c r="F1592">
        <f>IF(AND('Skill Matrix'!A105&lt;&gt;"",'Skill Matrix'!K5&lt;&gt;""),'Skill Matrix'!K5,"")</f>
        <v/>
      </c>
      <c r="G1592">
        <f>IF(OR(A1592="",'Skill Matrix'!K105=""),"",'Skill Matrix'!K105)</f>
        <v/>
      </c>
      <c r="H1592">
        <f>IF(A1592="","",'Employees'!F12)</f>
        <v/>
      </c>
    </row>
    <row r="1593">
      <c r="A1593">
        <f>IF(AND('Skill Matrix'!A105&lt;&gt;"",'Skill Matrix'!L5&lt;&gt;""),'Skill Matrix'!A105,"")</f>
        <v/>
      </c>
      <c r="B1593">
        <f>IF(A1593="","",'Employees'!C12)</f>
        <v/>
      </c>
      <c r="C1593">
        <f>IF(A1593="","",'Employees'!D12)</f>
        <v/>
      </c>
      <c r="D1593">
        <f>IF(A1593="","",'Skill Matrix'!C105)</f>
        <v/>
      </c>
      <c r="E1593">
        <f>IF(A1593="","",'Skill Matrix'!D105)</f>
        <v/>
      </c>
      <c r="F1593">
        <f>IF(AND('Skill Matrix'!A105&lt;&gt;"",'Skill Matrix'!L5&lt;&gt;""),'Skill Matrix'!L5,"")</f>
        <v/>
      </c>
      <c r="G1593">
        <f>IF(OR(A1593="",'Skill Matrix'!L105=""),"",'Skill Matrix'!L105)</f>
        <v/>
      </c>
      <c r="H1593">
        <f>IF(A1593="","",'Employees'!F12)</f>
        <v/>
      </c>
    </row>
    <row r="1594">
      <c r="A1594">
        <f>IF(AND('Skill Matrix'!A105&lt;&gt;"",'Skill Matrix'!M5&lt;&gt;""),'Skill Matrix'!A105,"")</f>
        <v/>
      </c>
      <c r="B1594">
        <f>IF(A1594="","",'Employees'!C12)</f>
        <v/>
      </c>
      <c r="C1594">
        <f>IF(A1594="","",'Employees'!D12)</f>
        <v/>
      </c>
      <c r="D1594">
        <f>IF(A1594="","",'Skill Matrix'!C105)</f>
        <v/>
      </c>
      <c r="E1594">
        <f>IF(A1594="","",'Skill Matrix'!D105)</f>
        <v/>
      </c>
      <c r="F1594">
        <f>IF(AND('Skill Matrix'!A105&lt;&gt;"",'Skill Matrix'!M5&lt;&gt;""),'Skill Matrix'!M5,"")</f>
        <v/>
      </c>
      <c r="G1594">
        <f>IF(OR(A1594="",'Skill Matrix'!M105=""),"",'Skill Matrix'!M105)</f>
        <v/>
      </c>
      <c r="H1594">
        <f>IF(A1594="","",'Employees'!F12)</f>
        <v/>
      </c>
    </row>
    <row r="1595">
      <c r="A1595">
        <f>IF(AND('Skill Matrix'!A105&lt;&gt;"",'Skill Matrix'!N5&lt;&gt;""),'Skill Matrix'!A105,"")</f>
        <v/>
      </c>
      <c r="B1595">
        <f>IF(A1595="","",'Employees'!C12)</f>
        <v/>
      </c>
      <c r="C1595">
        <f>IF(A1595="","",'Employees'!D12)</f>
        <v/>
      </c>
      <c r="D1595">
        <f>IF(A1595="","",'Skill Matrix'!C105)</f>
        <v/>
      </c>
      <c r="E1595">
        <f>IF(A1595="","",'Skill Matrix'!D105)</f>
        <v/>
      </c>
      <c r="F1595">
        <f>IF(AND('Skill Matrix'!A105&lt;&gt;"",'Skill Matrix'!N5&lt;&gt;""),'Skill Matrix'!N5,"")</f>
        <v/>
      </c>
      <c r="G1595">
        <f>IF(OR(A1595="",'Skill Matrix'!N105=""),"",'Skill Matrix'!N105)</f>
        <v/>
      </c>
      <c r="H1595">
        <f>IF(A1595="","",'Employees'!F12)</f>
        <v/>
      </c>
    </row>
    <row r="1596">
      <c r="A1596">
        <f>IF(AND('Skill Matrix'!A105&lt;&gt;"",'Skill Matrix'!O5&lt;&gt;""),'Skill Matrix'!A105,"")</f>
        <v/>
      </c>
      <c r="B1596">
        <f>IF(A1596="","",'Employees'!C12)</f>
        <v/>
      </c>
      <c r="C1596">
        <f>IF(A1596="","",'Employees'!D12)</f>
        <v/>
      </c>
      <c r="D1596">
        <f>IF(A1596="","",'Skill Matrix'!C105)</f>
        <v/>
      </c>
      <c r="E1596">
        <f>IF(A1596="","",'Skill Matrix'!D105)</f>
        <v/>
      </c>
      <c r="F1596">
        <f>IF(AND('Skill Matrix'!A105&lt;&gt;"",'Skill Matrix'!O5&lt;&gt;""),'Skill Matrix'!O5,"")</f>
        <v/>
      </c>
      <c r="G1596">
        <f>IF(OR(A1596="",'Skill Matrix'!O105=""),"",'Skill Matrix'!O105)</f>
        <v/>
      </c>
      <c r="H1596">
        <f>IF(A1596="","",'Employees'!F12)</f>
        <v/>
      </c>
    </row>
    <row r="1597">
      <c r="A1597">
        <f>IF(AND('Skill Matrix'!A105&lt;&gt;"",'Skill Matrix'!P5&lt;&gt;""),'Skill Matrix'!A105,"")</f>
        <v/>
      </c>
      <c r="B1597">
        <f>IF(A1597="","",'Employees'!C12)</f>
        <v/>
      </c>
      <c r="C1597">
        <f>IF(A1597="","",'Employees'!D12)</f>
        <v/>
      </c>
      <c r="D1597">
        <f>IF(A1597="","",'Skill Matrix'!C105)</f>
        <v/>
      </c>
      <c r="E1597">
        <f>IF(A1597="","",'Skill Matrix'!D105)</f>
        <v/>
      </c>
      <c r="F1597">
        <f>IF(AND('Skill Matrix'!A105&lt;&gt;"",'Skill Matrix'!P5&lt;&gt;""),'Skill Matrix'!P5,"")</f>
        <v/>
      </c>
      <c r="G1597">
        <f>IF(OR(A1597="",'Skill Matrix'!P105=""),"",'Skill Matrix'!P105)</f>
        <v/>
      </c>
      <c r="H1597">
        <f>IF(A1597="","",'Employees'!F12)</f>
        <v/>
      </c>
    </row>
    <row r="1598">
      <c r="A1598">
        <f>IF(AND('Skill Matrix'!A105&lt;&gt;"",'Skill Matrix'!Q5&lt;&gt;""),'Skill Matrix'!A105,"")</f>
        <v/>
      </c>
      <c r="B1598">
        <f>IF(A1598="","",'Employees'!C12)</f>
        <v/>
      </c>
      <c r="C1598">
        <f>IF(A1598="","",'Employees'!D12)</f>
        <v/>
      </c>
      <c r="D1598">
        <f>IF(A1598="","",'Skill Matrix'!C105)</f>
        <v/>
      </c>
      <c r="E1598">
        <f>IF(A1598="","",'Skill Matrix'!D105)</f>
        <v/>
      </c>
      <c r="F1598">
        <f>IF(AND('Skill Matrix'!A105&lt;&gt;"",'Skill Matrix'!Q5&lt;&gt;""),'Skill Matrix'!Q5,"")</f>
        <v/>
      </c>
      <c r="G1598">
        <f>IF(OR(A1598="",'Skill Matrix'!Q105=""),"",'Skill Matrix'!Q105)</f>
        <v/>
      </c>
      <c r="H1598">
        <f>IF(A1598="","",'Employees'!F12)</f>
        <v/>
      </c>
    </row>
    <row r="1599">
      <c r="A1599">
        <f>IF(AND('Skill Matrix'!A105&lt;&gt;"",'Skill Matrix'!R5&lt;&gt;""),'Skill Matrix'!A105,"")</f>
        <v/>
      </c>
      <c r="B1599">
        <f>IF(A1599="","",'Employees'!C12)</f>
        <v/>
      </c>
      <c r="C1599">
        <f>IF(A1599="","",'Employees'!D12)</f>
        <v/>
      </c>
      <c r="D1599">
        <f>IF(A1599="","",'Skill Matrix'!C105)</f>
        <v/>
      </c>
      <c r="E1599">
        <f>IF(A1599="","",'Skill Matrix'!D105)</f>
        <v/>
      </c>
      <c r="F1599">
        <f>IF(AND('Skill Matrix'!A105&lt;&gt;"",'Skill Matrix'!R5&lt;&gt;""),'Skill Matrix'!R5,"")</f>
        <v/>
      </c>
      <c r="G1599">
        <f>IF(OR(A1599="",'Skill Matrix'!R105=""),"",'Skill Matrix'!R105)</f>
        <v/>
      </c>
      <c r="H1599">
        <f>IF(A1599="","",'Employees'!F12)</f>
        <v/>
      </c>
    </row>
    <row r="1600">
      <c r="A1600">
        <f>IF(AND('Skill Matrix'!A105&lt;&gt;"",'Skill Matrix'!S5&lt;&gt;""),'Skill Matrix'!A105,"")</f>
        <v/>
      </c>
      <c r="B1600">
        <f>IF(A1600="","",'Employees'!C12)</f>
        <v/>
      </c>
      <c r="C1600">
        <f>IF(A1600="","",'Employees'!D12)</f>
        <v/>
      </c>
      <c r="D1600">
        <f>IF(A1600="","",'Skill Matrix'!C105)</f>
        <v/>
      </c>
      <c r="E1600">
        <f>IF(A1600="","",'Skill Matrix'!D105)</f>
        <v/>
      </c>
      <c r="F1600">
        <f>IF(AND('Skill Matrix'!A105&lt;&gt;"",'Skill Matrix'!S5&lt;&gt;""),'Skill Matrix'!S5,"")</f>
        <v/>
      </c>
      <c r="G1600">
        <f>IF(OR(A1600="",'Skill Matrix'!S105=""),"",'Skill Matrix'!S105)</f>
        <v/>
      </c>
      <c r="H1600">
        <f>IF(A1600="","",'Employees'!F12)</f>
        <v/>
      </c>
    </row>
    <row r="1601">
      <c r="A1601">
        <f>IF(AND('Skill Matrix'!A105&lt;&gt;"",'Skill Matrix'!T5&lt;&gt;""),'Skill Matrix'!A105,"")</f>
        <v/>
      </c>
      <c r="B1601">
        <f>IF(A1601="","",'Employees'!C12)</f>
        <v/>
      </c>
      <c r="C1601">
        <f>IF(A1601="","",'Employees'!D12)</f>
        <v/>
      </c>
      <c r="D1601">
        <f>IF(A1601="","",'Skill Matrix'!C105)</f>
        <v/>
      </c>
      <c r="E1601">
        <f>IF(A1601="","",'Skill Matrix'!D105)</f>
        <v/>
      </c>
      <c r="F1601">
        <f>IF(AND('Skill Matrix'!A105&lt;&gt;"",'Skill Matrix'!T5&lt;&gt;""),'Skill Matrix'!T5,"")</f>
        <v/>
      </c>
      <c r="G1601">
        <f>IF(OR(A1601="",'Skill Matrix'!T105=""),"",'Skill Matrix'!T105)</f>
        <v/>
      </c>
      <c r="H1601">
        <f>IF(A1601="","",'Employees'!F12)</f>
        <v/>
      </c>
    </row>
    <row r="1602">
      <c r="A1602">
        <f>IF(AND('Skill Matrix'!A106&lt;&gt;"",'Skill Matrix'!E5&lt;&gt;""),'Skill Matrix'!A106,"")</f>
        <v/>
      </c>
      <c r="B1602">
        <f>IF(A1602="","",'Employees'!C12)</f>
        <v/>
      </c>
      <c r="C1602">
        <f>IF(A1602="","",'Employees'!D12)</f>
        <v/>
      </c>
      <c r="D1602">
        <f>IF(A1602="","",'Skill Matrix'!C106)</f>
        <v/>
      </c>
      <c r="E1602">
        <f>IF(A1602="","",'Skill Matrix'!D106)</f>
        <v/>
      </c>
      <c r="F1602">
        <f>IF(AND('Skill Matrix'!A106&lt;&gt;"",'Skill Matrix'!E5&lt;&gt;""),'Skill Matrix'!E5,"")</f>
        <v/>
      </c>
      <c r="G1602">
        <f>IF(OR(A1602="",'Skill Matrix'!E106=""),"",'Skill Matrix'!E106)</f>
        <v/>
      </c>
      <c r="H1602">
        <f>IF(A1602="","",'Employees'!F12)</f>
        <v/>
      </c>
    </row>
    <row r="1603">
      <c r="A1603">
        <f>IF(AND('Skill Matrix'!A106&lt;&gt;"",'Skill Matrix'!F5&lt;&gt;""),'Skill Matrix'!A106,"")</f>
        <v/>
      </c>
      <c r="B1603">
        <f>IF(A1603="","",'Employees'!C12)</f>
        <v/>
      </c>
      <c r="C1603">
        <f>IF(A1603="","",'Employees'!D12)</f>
        <v/>
      </c>
      <c r="D1603">
        <f>IF(A1603="","",'Skill Matrix'!C106)</f>
        <v/>
      </c>
      <c r="E1603">
        <f>IF(A1603="","",'Skill Matrix'!D106)</f>
        <v/>
      </c>
      <c r="F1603">
        <f>IF(AND('Skill Matrix'!A106&lt;&gt;"",'Skill Matrix'!F5&lt;&gt;""),'Skill Matrix'!F5,"")</f>
        <v/>
      </c>
      <c r="G1603">
        <f>IF(OR(A1603="",'Skill Matrix'!F106=""),"",'Skill Matrix'!F106)</f>
        <v/>
      </c>
      <c r="H1603">
        <f>IF(A1603="","",'Employees'!F12)</f>
        <v/>
      </c>
    </row>
    <row r="1604">
      <c r="A1604">
        <f>IF(AND('Skill Matrix'!A106&lt;&gt;"",'Skill Matrix'!G5&lt;&gt;""),'Skill Matrix'!A106,"")</f>
        <v/>
      </c>
      <c r="B1604">
        <f>IF(A1604="","",'Employees'!C12)</f>
        <v/>
      </c>
      <c r="C1604">
        <f>IF(A1604="","",'Employees'!D12)</f>
        <v/>
      </c>
      <c r="D1604">
        <f>IF(A1604="","",'Skill Matrix'!C106)</f>
        <v/>
      </c>
      <c r="E1604">
        <f>IF(A1604="","",'Skill Matrix'!D106)</f>
        <v/>
      </c>
      <c r="F1604">
        <f>IF(AND('Skill Matrix'!A106&lt;&gt;"",'Skill Matrix'!G5&lt;&gt;""),'Skill Matrix'!G5,"")</f>
        <v/>
      </c>
      <c r="G1604">
        <f>IF(OR(A1604="",'Skill Matrix'!G106=""),"",'Skill Matrix'!G106)</f>
        <v/>
      </c>
      <c r="H1604">
        <f>IF(A1604="","",'Employees'!F12)</f>
        <v/>
      </c>
    </row>
    <row r="1605">
      <c r="A1605">
        <f>IF(AND('Skill Matrix'!A106&lt;&gt;"",'Skill Matrix'!H5&lt;&gt;""),'Skill Matrix'!A106,"")</f>
        <v/>
      </c>
      <c r="B1605">
        <f>IF(A1605="","",'Employees'!C12)</f>
        <v/>
      </c>
      <c r="C1605">
        <f>IF(A1605="","",'Employees'!D12)</f>
        <v/>
      </c>
      <c r="D1605">
        <f>IF(A1605="","",'Skill Matrix'!C106)</f>
        <v/>
      </c>
      <c r="E1605">
        <f>IF(A1605="","",'Skill Matrix'!D106)</f>
        <v/>
      </c>
      <c r="F1605">
        <f>IF(AND('Skill Matrix'!A106&lt;&gt;"",'Skill Matrix'!H5&lt;&gt;""),'Skill Matrix'!H5,"")</f>
        <v/>
      </c>
      <c r="G1605">
        <f>IF(OR(A1605="",'Skill Matrix'!H106=""),"",'Skill Matrix'!H106)</f>
        <v/>
      </c>
      <c r="H1605">
        <f>IF(A1605="","",'Employees'!F12)</f>
        <v/>
      </c>
    </row>
    <row r="1606">
      <c r="A1606">
        <f>IF(AND('Skill Matrix'!A106&lt;&gt;"",'Skill Matrix'!I5&lt;&gt;""),'Skill Matrix'!A106,"")</f>
        <v/>
      </c>
      <c r="B1606">
        <f>IF(A1606="","",'Employees'!C12)</f>
        <v/>
      </c>
      <c r="C1606">
        <f>IF(A1606="","",'Employees'!D12)</f>
        <v/>
      </c>
      <c r="D1606">
        <f>IF(A1606="","",'Skill Matrix'!C106)</f>
        <v/>
      </c>
      <c r="E1606">
        <f>IF(A1606="","",'Skill Matrix'!D106)</f>
        <v/>
      </c>
      <c r="F1606">
        <f>IF(AND('Skill Matrix'!A106&lt;&gt;"",'Skill Matrix'!I5&lt;&gt;""),'Skill Matrix'!I5,"")</f>
        <v/>
      </c>
      <c r="G1606">
        <f>IF(OR(A1606="",'Skill Matrix'!I106=""),"",'Skill Matrix'!I106)</f>
        <v/>
      </c>
      <c r="H1606">
        <f>IF(A1606="","",'Employees'!F12)</f>
        <v/>
      </c>
    </row>
    <row r="1607">
      <c r="A1607">
        <f>IF(AND('Skill Matrix'!A106&lt;&gt;"",'Skill Matrix'!J5&lt;&gt;""),'Skill Matrix'!A106,"")</f>
        <v/>
      </c>
      <c r="B1607">
        <f>IF(A1607="","",'Employees'!C12)</f>
        <v/>
      </c>
      <c r="C1607">
        <f>IF(A1607="","",'Employees'!D12)</f>
        <v/>
      </c>
      <c r="D1607">
        <f>IF(A1607="","",'Skill Matrix'!C106)</f>
        <v/>
      </c>
      <c r="E1607">
        <f>IF(A1607="","",'Skill Matrix'!D106)</f>
        <v/>
      </c>
      <c r="F1607">
        <f>IF(AND('Skill Matrix'!A106&lt;&gt;"",'Skill Matrix'!J5&lt;&gt;""),'Skill Matrix'!J5,"")</f>
        <v/>
      </c>
      <c r="G1607">
        <f>IF(OR(A1607="",'Skill Matrix'!J106=""),"",'Skill Matrix'!J106)</f>
        <v/>
      </c>
      <c r="H1607">
        <f>IF(A1607="","",'Employees'!F12)</f>
        <v/>
      </c>
    </row>
    <row r="1608">
      <c r="A1608">
        <f>IF(AND('Skill Matrix'!A106&lt;&gt;"",'Skill Matrix'!K5&lt;&gt;""),'Skill Matrix'!A106,"")</f>
        <v/>
      </c>
      <c r="B1608">
        <f>IF(A1608="","",'Employees'!C12)</f>
        <v/>
      </c>
      <c r="C1608">
        <f>IF(A1608="","",'Employees'!D12)</f>
        <v/>
      </c>
      <c r="D1608">
        <f>IF(A1608="","",'Skill Matrix'!C106)</f>
        <v/>
      </c>
      <c r="E1608">
        <f>IF(A1608="","",'Skill Matrix'!D106)</f>
        <v/>
      </c>
      <c r="F1608">
        <f>IF(AND('Skill Matrix'!A106&lt;&gt;"",'Skill Matrix'!K5&lt;&gt;""),'Skill Matrix'!K5,"")</f>
        <v/>
      </c>
      <c r="G1608">
        <f>IF(OR(A1608="",'Skill Matrix'!K106=""),"",'Skill Matrix'!K106)</f>
        <v/>
      </c>
      <c r="H1608">
        <f>IF(A1608="","",'Employees'!F12)</f>
        <v/>
      </c>
    </row>
    <row r="1609">
      <c r="A1609">
        <f>IF(AND('Skill Matrix'!A106&lt;&gt;"",'Skill Matrix'!L5&lt;&gt;""),'Skill Matrix'!A106,"")</f>
        <v/>
      </c>
      <c r="B1609">
        <f>IF(A1609="","",'Employees'!C12)</f>
        <v/>
      </c>
      <c r="C1609">
        <f>IF(A1609="","",'Employees'!D12)</f>
        <v/>
      </c>
      <c r="D1609">
        <f>IF(A1609="","",'Skill Matrix'!C106)</f>
        <v/>
      </c>
      <c r="E1609">
        <f>IF(A1609="","",'Skill Matrix'!D106)</f>
        <v/>
      </c>
      <c r="F1609">
        <f>IF(AND('Skill Matrix'!A106&lt;&gt;"",'Skill Matrix'!L5&lt;&gt;""),'Skill Matrix'!L5,"")</f>
        <v/>
      </c>
      <c r="G1609">
        <f>IF(OR(A1609="",'Skill Matrix'!L106=""),"",'Skill Matrix'!L106)</f>
        <v/>
      </c>
      <c r="H1609">
        <f>IF(A1609="","",'Employees'!F12)</f>
        <v/>
      </c>
    </row>
    <row r="1610">
      <c r="A1610">
        <f>IF(AND('Skill Matrix'!A106&lt;&gt;"",'Skill Matrix'!M5&lt;&gt;""),'Skill Matrix'!A106,"")</f>
        <v/>
      </c>
      <c r="B1610">
        <f>IF(A1610="","",'Employees'!C12)</f>
        <v/>
      </c>
      <c r="C1610">
        <f>IF(A1610="","",'Employees'!D12)</f>
        <v/>
      </c>
      <c r="D1610">
        <f>IF(A1610="","",'Skill Matrix'!C106)</f>
        <v/>
      </c>
      <c r="E1610">
        <f>IF(A1610="","",'Skill Matrix'!D106)</f>
        <v/>
      </c>
      <c r="F1610">
        <f>IF(AND('Skill Matrix'!A106&lt;&gt;"",'Skill Matrix'!M5&lt;&gt;""),'Skill Matrix'!M5,"")</f>
        <v/>
      </c>
      <c r="G1610">
        <f>IF(OR(A1610="",'Skill Matrix'!M106=""),"",'Skill Matrix'!M106)</f>
        <v/>
      </c>
      <c r="H1610">
        <f>IF(A1610="","",'Employees'!F12)</f>
        <v/>
      </c>
    </row>
    <row r="1611">
      <c r="A1611">
        <f>IF(AND('Skill Matrix'!A106&lt;&gt;"",'Skill Matrix'!N5&lt;&gt;""),'Skill Matrix'!A106,"")</f>
        <v/>
      </c>
      <c r="B1611">
        <f>IF(A1611="","",'Employees'!C12)</f>
        <v/>
      </c>
      <c r="C1611">
        <f>IF(A1611="","",'Employees'!D12)</f>
        <v/>
      </c>
      <c r="D1611">
        <f>IF(A1611="","",'Skill Matrix'!C106)</f>
        <v/>
      </c>
      <c r="E1611">
        <f>IF(A1611="","",'Skill Matrix'!D106)</f>
        <v/>
      </c>
      <c r="F1611">
        <f>IF(AND('Skill Matrix'!A106&lt;&gt;"",'Skill Matrix'!N5&lt;&gt;""),'Skill Matrix'!N5,"")</f>
        <v/>
      </c>
      <c r="G1611">
        <f>IF(OR(A1611="",'Skill Matrix'!N106=""),"",'Skill Matrix'!N106)</f>
        <v/>
      </c>
      <c r="H1611">
        <f>IF(A1611="","",'Employees'!F12)</f>
        <v/>
      </c>
    </row>
    <row r="1612">
      <c r="A1612">
        <f>IF(AND('Skill Matrix'!A106&lt;&gt;"",'Skill Matrix'!O5&lt;&gt;""),'Skill Matrix'!A106,"")</f>
        <v/>
      </c>
      <c r="B1612">
        <f>IF(A1612="","",'Employees'!C12)</f>
        <v/>
      </c>
      <c r="C1612">
        <f>IF(A1612="","",'Employees'!D12)</f>
        <v/>
      </c>
      <c r="D1612">
        <f>IF(A1612="","",'Skill Matrix'!C106)</f>
        <v/>
      </c>
      <c r="E1612">
        <f>IF(A1612="","",'Skill Matrix'!D106)</f>
        <v/>
      </c>
      <c r="F1612">
        <f>IF(AND('Skill Matrix'!A106&lt;&gt;"",'Skill Matrix'!O5&lt;&gt;""),'Skill Matrix'!O5,"")</f>
        <v/>
      </c>
      <c r="G1612">
        <f>IF(OR(A1612="",'Skill Matrix'!O106=""),"",'Skill Matrix'!O106)</f>
        <v/>
      </c>
      <c r="H1612">
        <f>IF(A1612="","",'Employees'!F12)</f>
        <v/>
      </c>
    </row>
    <row r="1613">
      <c r="A1613">
        <f>IF(AND('Skill Matrix'!A106&lt;&gt;"",'Skill Matrix'!P5&lt;&gt;""),'Skill Matrix'!A106,"")</f>
        <v/>
      </c>
      <c r="B1613">
        <f>IF(A1613="","",'Employees'!C12)</f>
        <v/>
      </c>
      <c r="C1613">
        <f>IF(A1613="","",'Employees'!D12)</f>
        <v/>
      </c>
      <c r="D1613">
        <f>IF(A1613="","",'Skill Matrix'!C106)</f>
        <v/>
      </c>
      <c r="E1613">
        <f>IF(A1613="","",'Skill Matrix'!D106)</f>
        <v/>
      </c>
      <c r="F1613">
        <f>IF(AND('Skill Matrix'!A106&lt;&gt;"",'Skill Matrix'!P5&lt;&gt;""),'Skill Matrix'!P5,"")</f>
        <v/>
      </c>
      <c r="G1613">
        <f>IF(OR(A1613="",'Skill Matrix'!P106=""),"",'Skill Matrix'!P106)</f>
        <v/>
      </c>
      <c r="H1613">
        <f>IF(A1613="","",'Employees'!F12)</f>
        <v/>
      </c>
    </row>
    <row r="1614">
      <c r="A1614">
        <f>IF(AND('Skill Matrix'!A106&lt;&gt;"",'Skill Matrix'!Q5&lt;&gt;""),'Skill Matrix'!A106,"")</f>
        <v/>
      </c>
      <c r="B1614">
        <f>IF(A1614="","",'Employees'!C12)</f>
        <v/>
      </c>
      <c r="C1614">
        <f>IF(A1614="","",'Employees'!D12)</f>
        <v/>
      </c>
      <c r="D1614">
        <f>IF(A1614="","",'Skill Matrix'!C106)</f>
        <v/>
      </c>
      <c r="E1614">
        <f>IF(A1614="","",'Skill Matrix'!D106)</f>
        <v/>
      </c>
      <c r="F1614">
        <f>IF(AND('Skill Matrix'!A106&lt;&gt;"",'Skill Matrix'!Q5&lt;&gt;""),'Skill Matrix'!Q5,"")</f>
        <v/>
      </c>
      <c r="G1614">
        <f>IF(OR(A1614="",'Skill Matrix'!Q106=""),"",'Skill Matrix'!Q106)</f>
        <v/>
      </c>
      <c r="H1614">
        <f>IF(A1614="","",'Employees'!F12)</f>
        <v/>
      </c>
    </row>
    <row r="1615">
      <c r="A1615">
        <f>IF(AND('Skill Matrix'!A106&lt;&gt;"",'Skill Matrix'!R5&lt;&gt;""),'Skill Matrix'!A106,"")</f>
        <v/>
      </c>
      <c r="B1615">
        <f>IF(A1615="","",'Employees'!C12)</f>
        <v/>
      </c>
      <c r="C1615">
        <f>IF(A1615="","",'Employees'!D12)</f>
        <v/>
      </c>
      <c r="D1615">
        <f>IF(A1615="","",'Skill Matrix'!C106)</f>
        <v/>
      </c>
      <c r="E1615">
        <f>IF(A1615="","",'Skill Matrix'!D106)</f>
        <v/>
      </c>
      <c r="F1615">
        <f>IF(AND('Skill Matrix'!A106&lt;&gt;"",'Skill Matrix'!R5&lt;&gt;""),'Skill Matrix'!R5,"")</f>
        <v/>
      </c>
      <c r="G1615">
        <f>IF(OR(A1615="",'Skill Matrix'!R106=""),"",'Skill Matrix'!R106)</f>
        <v/>
      </c>
      <c r="H1615">
        <f>IF(A1615="","",'Employees'!F12)</f>
        <v/>
      </c>
    </row>
    <row r="1616">
      <c r="A1616">
        <f>IF(AND('Skill Matrix'!A106&lt;&gt;"",'Skill Matrix'!S5&lt;&gt;""),'Skill Matrix'!A106,"")</f>
        <v/>
      </c>
      <c r="B1616">
        <f>IF(A1616="","",'Employees'!C12)</f>
        <v/>
      </c>
      <c r="C1616">
        <f>IF(A1616="","",'Employees'!D12)</f>
        <v/>
      </c>
      <c r="D1616">
        <f>IF(A1616="","",'Skill Matrix'!C106)</f>
        <v/>
      </c>
      <c r="E1616">
        <f>IF(A1616="","",'Skill Matrix'!D106)</f>
        <v/>
      </c>
      <c r="F1616">
        <f>IF(AND('Skill Matrix'!A106&lt;&gt;"",'Skill Matrix'!S5&lt;&gt;""),'Skill Matrix'!S5,"")</f>
        <v/>
      </c>
      <c r="G1616">
        <f>IF(OR(A1616="",'Skill Matrix'!S106=""),"",'Skill Matrix'!S106)</f>
        <v/>
      </c>
      <c r="H1616">
        <f>IF(A1616="","",'Employees'!F12)</f>
        <v/>
      </c>
    </row>
    <row r="1617">
      <c r="A1617">
        <f>IF(AND('Skill Matrix'!A106&lt;&gt;"",'Skill Matrix'!T5&lt;&gt;""),'Skill Matrix'!A106,"")</f>
        <v/>
      </c>
      <c r="B1617">
        <f>IF(A1617="","",'Employees'!C12)</f>
        <v/>
      </c>
      <c r="C1617">
        <f>IF(A1617="","",'Employees'!D12)</f>
        <v/>
      </c>
      <c r="D1617">
        <f>IF(A1617="","",'Skill Matrix'!C106)</f>
        <v/>
      </c>
      <c r="E1617">
        <f>IF(A1617="","",'Skill Matrix'!D106)</f>
        <v/>
      </c>
      <c r="F1617">
        <f>IF(AND('Skill Matrix'!A106&lt;&gt;"",'Skill Matrix'!T5&lt;&gt;""),'Skill Matrix'!T5,"")</f>
        <v/>
      </c>
      <c r="G1617">
        <f>IF(OR(A1617="",'Skill Matrix'!T106=""),"",'Skill Matrix'!T106)</f>
        <v/>
      </c>
      <c r="H1617">
        <f>IF(A1617="","",'Employees'!F12)</f>
        <v/>
      </c>
    </row>
    <row r="1618">
      <c r="A1618">
        <f>IF(AND('Skill Matrix'!A107&lt;&gt;"",'Skill Matrix'!E5&lt;&gt;""),'Skill Matrix'!A107,"")</f>
        <v/>
      </c>
      <c r="B1618">
        <f>IF(A1618="","",'Employees'!C12)</f>
        <v/>
      </c>
      <c r="C1618">
        <f>IF(A1618="","",'Employees'!D12)</f>
        <v/>
      </c>
      <c r="D1618">
        <f>IF(A1618="","",'Skill Matrix'!C107)</f>
        <v/>
      </c>
      <c r="E1618">
        <f>IF(A1618="","",'Skill Matrix'!D107)</f>
        <v/>
      </c>
      <c r="F1618">
        <f>IF(AND('Skill Matrix'!A107&lt;&gt;"",'Skill Matrix'!E5&lt;&gt;""),'Skill Matrix'!E5,"")</f>
        <v/>
      </c>
      <c r="G1618">
        <f>IF(OR(A1618="",'Skill Matrix'!E107=""),"",'Skill Matrix'!E107)</f>
        <v/>
      </c>
      <c r="H1618">
        <f>IF(A1618="","",'Employees'!F12)</f>
        <v/>
      </c>
    </row>
    <row r="1619">
      <c r="A1619">
        <f>IF(AND('Skill Matrix'!A107&lt;&gt;"",'Skill Matrix'!F5&lt;&gt;""),'Skill Matrix'!A107,"")</f>
        <v/>
      </c>
      <c r="B1619">
        <f>IF(A1619="","",'Employees'!C12)</f>
        <v/>
      </c>
      <c r="C1619">
        <f>IF(A1619="","",'Employees'!D12)</f>
        <v/>
      </c>
      <c r="D1619">
        <f>IF(A1619="","",'Skill Matrix'!C107)</f>
        <v/>
      </c>
      <c r="E1619">
        <f>IF(A1619="","",'Skill Matrix'!D107)</f>
        <v/>
      </c>
      <c r="F1619">
        <f>IF(AND('Skill Matrix'!A107&lt;&gt;"",'Skill Matrix'!F5&lt;&gt;""),'Skill Matrix'!F5,"")</f>
        <v/>
      </c>
      <c r="G1619">
        <f>IF(OR(A1619="",'Skill Matrix'!F107=""),"",'Skill Matrix'!F107)</f>
        <v/>
      </c>
      <c r="H1619">
        <f>IF(A1619="","",'Employees'!F12)</f>
        <v/>
      </c>
    </row>
    <row r="1620">
      <c r="A1620">
        <f>IF(AND('Skill Matrix'!A107&lt;&gt;"",'Skill Matrix'!G5&lt;&gt;""),'Skill Matrix'!A107,"")</f>
        <v/>
      </c>
      <c r="B1620">
        <f>IF(A1620="","",'Employees'!C12)</f>
        <v/>
      </c>
      <c r="C1620">
        <f>IF(A1620="","",'Employees'!D12)</f>
        <v/>
      </c>
      <c r="D1620">
        <f>IF(A1620="","",'Skill Matrix'!C107)</f>
        <v/>
      </c>
      <c r="E1620">
        <f>IF(A1620="","",'Skill Matrix'!D107)</f>
        <v/>
      </c>
      <c r="F1620">
        <f>IF(AND('Skill Matrix'!A107&lt;&gt;"",'Skill Matrix'!G5&lt;&gt;""),'Skill Matrix'!G5,"")</f>
        <v/>
      </c>
      <c r="G1620">
        <f>IF(OR(A1620="",'Skill Matrix'!G107=""),"",'Skill Matrix'!G107)</f>
        <v/>
      </c>
      <c r="H1620">
        <f>IF(A1620="","",'Employees'!F12)</f>
        <v/>
      </c>
    </row>
    <row r="1621">
      <c r="A1621">
        <f>IF(AND('Skill Matrix'!A107&lt;&gt;"",'Skill Matrix'!H5&lt;&gt;""),'Skill Matrix'!A107,"")</f>
        <v/>
      </c>
      <c r="B1621">
        <f>IF(A1621="","",'Employees'!C12)</f>
        <v/>
      </c>
      <c r="C1621">
        <f>IF(A1621="","",'Employees'!D12)</f>
        <v/>
      </c>
      <c r="D1621">
        <f>IF(A1621="","",'Skill Matrix'!C107)</f>
        <v/>
      </c>
      <c r="E1621">
        <f>IF(A1621="","",'Skill Matrix'!D107)</f>
        <v/>
      </c>
      <c r="F1621">
        <f>IF(AND('Skill Matrix'!A107&lt;&gt;"",'Skill Matrix'!H5&lt;&gt;""),'Skill Matrix'!H5,"")</f>
        <v/>
      </c>
      <c r="G1621">
        <f>IF(OR(A1621="",'Skill Matrix'!H107=""),"",'Skill Matrix'!H107)</f>
        <v/>
      </c>
      <c r="H1621">
        <f>IF(A1621="","",'Employees'!F12)</f>
        <v/>
      </c>
    </row>
    <row r="1622">
      <c r="A1622">
        <f>IF(AND('Skill Matrix'!A107&lt;&gt;"",'Skill Matrix'!I5&lt;&gt;""),'Skill Matrix'!A107,"")</f>
        <v/>
      </c>
      <c r="B1622">
        <f>IF(A1622="","",'Employees'!C12)</f>
        <v/>
      </c>
      <c r="C1622">
        <f>IF(A1622="","",'Employees'!D12)</f>
        <v/>
      </c>
      <c r="D1622">
        <f>IF(A1622="","",'Skill Matrix'!C107)</f>
        <v/>
      </c>
      <c r="E1622">
        <f>IF(A1622="","",'Skill Matrix'!D107)</f>
        <v/>
      </c>
      <c r="F1622">
        <f>IF(AND('Skill Matrix'!A107&lt;&gt;"",'Skill Matrix'!I5&lt;&gt;""),'Skill Matrix'!I5,"")</f>
        <v/>
      </c>
      <c r="G1622">
        <f>IF(OR(A1622="",'Skill Matrix'!I107=""),"",'Skill Matrix'!I107)</f>
        <v/>
      </c>
      <c r="H1622">
        <f>IF(A1622="","",'Employees'!F12)</f>
        <v/>
      </c>
    </row>
    <row r="1623">
      <c r="A1623">
        <f>IF(AND('Skill Matrix'!A107&lt;&gt;"",'Skill Matrix'!J5&lt;&gt;""),'Skill Matrix'!A107,"")</f>
        <v/>
      </c>
      <c r="B1623">
        <f>IF(A1623="","",'Employees'!C12)</f>
        <v/>
      </c>
      <c r="C1623">
        <f>IF(A1623="","",'Employees'!D12)</f>
        <v/>
      </c>
      <c r="D1623">
        <f>IF(A1623="","",'Skill Matrix'!C107)</f>
        <v/>
      </c>
      <c r="E1623">
        <f>IF(A1623="","",'Skill Matrix'!D107)</f>
        <v/>
      </c>
      <c r="F1623">
        <f>IF(AND('Skill Matrix'!A107&lt;&gt;"",'Skill Matrix'!J5&lt;&gt;""),'Skill Matrix'!J5,"")</f>
        <v/>
      </c>
      <c r="G1623">
        <f>IF(OR(A1623="",'Skill Matrix'!J107=""),"",'Skill Matrix'!J107)</f>
        <v/>
      </c>
      <c r="H1623">
        <f>IF(A1623="","",'Employees'!F12)</f>
        <v/>
      </c>
    </row>
    <row r="1624">
      <c r="A1624">
        <f>IF(AND('Skill Matrix'!A107&lt;&gt;"",'Skill Matrix'!K5&lt;&gt;""),'Skill Matrix'!A107,"")</f>
        <v/>
      </c>
      <c r="B1624">
        <f>IF(A1624="","",'Employees'!C12)</f>
        <v/>
      </c>
      <c r="C1624">
        <f>IF(A1624="","",'Employees'!D12)</f>
        <v/>
      </c>
      <c r="D1624">
        <f>IF(A1624="","",'Skill Matrix'!C107)</f>
        <v/>
      </c>
      <c r="E1624">
        <f>IF(A1624="","",'Skill Matrix'!D107)</f>
        <v/>
      </c>
      <c r="F1624">
        <f>IF(AND('Skill Matrix'!A107&lt;&gt;"",'Skill Matrix'!K5&lt;&gt;""),'Skill Matrix'!K5,"")</f>
        <v/>
      </c>
      <c r="G1624">
        <f>IF(OR(A1624="",'Skill Matrix'!K107=""),"",'Skill Matrix'!K107)</f>
        <v/>
      </c>
      <c r="H1624">
        <f>IF(A1624="","",'Employees'!F12)</f>
        <v/>
      </c>
    </row>
    <row r="1625">
      <c r="A1625">
        <f>IF(AND('Skill Matrix'!A107&lt;&gt;"",'Skill Matrix'!L5&lt;&gt;""),'Skill Matrix'!A107,"")</f>
        <v/>
      </c>
      <c r="B1625">
        <f>IF(A1625="","",'Employees'!C12)</f>
        <v/>
      </c>
      <c r="C1625">
        <f>IF(A1625="","",'Employees'!D12)</f>
        <v/>
      </c>
      <c r="D1625">
        <f>IF(A1625="","",'Skill Matrix'!C107)</f>
        <v/>
      </c>
      <c r="E1625">
        <f>IF(A1625="","",'Skill Matrix'!D107)</f>
        <v/>
      </c>
      <c r="F1625">
        <f>IF(AND('Skill Matrix'!A107&lt;&gt;"",'Skill Matrix'!L5&lt;&gt;""),'Skill Matrix'!L5,"")</f>
        <v/>
      </c>
      <c r="G1625">
        <f>IF(OR(A1625="",'Skill Matrix'!L107=""),"",'Skill Matrix'!L107)</f>
        <v/>
      </c>
      <c r="H1625">
        <f>IF(A1625="","",'Employees'!F12)</f>
        <v/>
      </c>
    </row>
    <row r="1626">
      <c r="A1626">
        <f>IF(AND('Skill Matrix'!A107&lt;&gt;"",'Skill Matrix'!M5&lt;&gt;""),'Skill Matrix'!A107,"")</f>
        <v/>
      </c>
      <c r="B1626">
        <f>IF(A1626="","",'Employees'!C12)</f>
        <v/>
      </c>
      <c r="C1626">
        <f>IF(A1626="","",'Employees'!D12)</f>
        <v/>
      </c>
      <c r="D1626">
        <f>IF(A1626="","",'Skill Matrix'!C107)</f>
        <v/>
      </c>
      <c r="E1626">
        <f>IF(A1626="","",'Skill Matrix'!D107)</f>
        <v/>
      </c>
      <c r="F1626">
        <f>IF(AND('Skill Matrix'!A107&lt;&gt;"",'Skill Matrix'!M5&lt;&gt;""),'Skill Matrix'!M5,"")</f>
        <v/>
      </c>
      <c r="G1626">
        <f>IF(OR(A1626="",'Skill Matrix'!M107=""),"",'Skill Matrix'!M107)</f>
        <v/>
      </c>
      <c r="H1626">
        <f>IF(A1626="","",'Employees'!F12)</f>
        <v/>
      </c>
    </row>
    <row r="1627">
      <c r="A1627">
        <f>IF(AND('Skill Matrix'!A107&lt;&gt;"",'Skill Matrix'!N5&lt;&gt;""),'Skill Matrix'!A107,"")</f>
        <v/>
      </c>
      <c r="B1627">
        <f>IF(A1627="","",'Employees'!C12)</f>
        <v/>
      </c>
      <c r="C1627">
        <f>IF(A1627="","",'Employees'!D12)</f>
        <v/>
      </c>
      <c r="D1627">
        <f>IF(A1627="","",'Skill Matrix'!C107)</f>
        <v/>
      </c>
      <c r="E1627">
        <f>IF(A1627="","",'Skill Matrix'!D107)</f>
        <v/>
      </c>
      <c r="F1627">
        <f>IF(AND('Skill Matrix'!A107&lt;&gt;"",'Skill Matrix'!N5&lt;&gt;""),'Skill Matrix'!N5,"")</f>
        <v/>
      </c>
      <c r="G1627">
        <f>IF(OR(A1627="",'Skill Matrix'!N107=""),"",'Skill Matrix'!N107)</f>
        <v/>
      </c>
      <c r="H1627">
        <f>IF(A1627="","",'Employees'!F12)</f>
        <v/>
      </c>
    </row>
    <row r="1628">
      <c r="A1628">
        <f>IF(AND('Skill Matrix'!A107&lt;&gt;"",'Skill Matrix'!O5&lt;&gt;""),'Skill Matrix'!A107,"")</f>
        <v/>
      </c>
      <c r="B1628">
        <f>IF(A1628="","",'Employees'!C12)</f>
        <v/>
      </c>
      <c r="C1628">
        <f>IF(A1628="","",'Employees'!D12)</f>
        <v/>
      </c>
      <c r="D1628">
        <f>IF(A1628="","",'Skill Matrix'!C107)</f>
        <v/>
      </c>
      <c r="E1628">
        <f>IF(A1628="","",'Skill Matrix'!D107)</f>
        <v/>
      </c>
      <c r="F1628">
        <f>IF(AND('Skill Matrix'!A107&lt;&gt;"",'Skill Matrix'!O5&lt;&gt;""),'Skill Matrix'!O5,"")</f>
        <v/>
      </c>
      <c r="G1628">
        <f>IF(OR(A1628="",'Skill Matrix'!O107=""),"",'Skill Matrix'!O107)</f>
        <v/>
      </c>
      <c r="H1628">
        <f>IF(A1628="","",'Employees'!F12)</f>
        <v/>
      </c>
    </row>
    <row r="1629">
      <c r="A1629">
        <f>IF(AND('Skill Matrix'!A107&lt;&gt;"",'Skill Matrix'!P5&lt;&gt;""),'Skill Matrix'!A107,"")</f>
        <v/>
      </c>
      <c r="B1629">
        <f>IF(A1629="","",'Employees'!C12)</f>
        <v/>
      </c>
      <c r="C1629">
        <f>IF(A1629="","",'Employees'!D12)</f>
        <v/>
      </c>
      <c r="D1629">
        <f>IF(A1629="","",'Skill Matrix'!C107)</f>
        <v/>
      </c>
      <c r="E1629">
        <f>IF(A1629="","",'Skill Matrix'!D107)</f>
        <v/>
      </c>
      <c r="F1629">
        <f>IF(AND('Skill Matrix'!A107&lt;&gt;"",'Skill Matrix'!P5&lt;&gt;""),'Skill Matrix'!P5,"")</f>
        <v/>
      </c>
      <c r="G1629">
        <f>IF(OR(A1629="",'Skill Matrix'!P107=""),"",'Skill Matrix'!P107)</f>
        <v/>
      </c>
      <c r="H1629">
        <f>IF(A1629="","",'Employees'!F12)</f>
        <v/>
      </c>
    </row>
    <row r="1630">
      <c r="A1630">
        <f>IF(AND('Skill Matrix'!A107&lt;&gt;"",'Skill Matrix'!Q5&lt;&gt;""),'Skill Matrix'!A107,"")</f>
        <v/>
      </c>
      <c r="B1630">
        <f>IF(A1630="","",'Employees'!C12)</f>
        <v/>
      </c>
      <c r="C1630">
        <f>IF(A1630="","",'Employees'!D12)</f>
        <v/>
      </c>
      <c r="D1630">
        <f>IF(A1630="","",'Skill Matrix'!C107)</f>
        <v/>
      </c>
      <c r="E1630">
        <f>IF(A1630="","",'Skill Matrix'!D107)</f>
        <v/>
      </c>
      <c r="F1630">
        <f>IF(AND('Skill Matrix'!A107&lt;&gt;"",'Skill Matrix'!Q5&lt;&gt;""),'Skill Matrix'!Q5,"")</f>
        <v/>
      </c>
      <c r="G1630">
        <f>IF(OR(A1630="",'Skill Matrix'!Q107=""),"",'Skill Matrix'!Q107)</f>
        <v/>
      </c>
      <c r="H1630">
        <f>IF(A1630="","",'Employees'!F12)</f>
        <v/>
      </c>
    </row>
    <row r="1631">
      <c r="A1631">
        <f>IF(AND('Skill Matrix'!A107&lt;&gt;"",'Skill Matrix'!R5&lt;&gt;""),'Skill Matrix'!A107,"")</f>
        <v/>
      </c>
      <c r="B1631">
        <f>IF(A1631="","",'Employees'!C12)</f>
        <v/>
      </c>
      <c r="C1631">
        <f>IF(A1631="","",'Employees'!D12)</f>
        <v/>
      </c>
      <c r="D1631">
        <f>IF(A1631="","",'Skill Matrix'!C107)</f>
        <v/>
      </c>
      <c r="E1631">
        <f>IF(A1631="","",'Skill Matrix'!D107)</f>
        <v/>
      </c>
      <c r="F1631">
        <f>IF(AND('Skill Matrix'!A107&lt;&gt;"",'Skill Matrix'!R5&lt;&gt;""),'Skill Matrix'!R5,"")</f>
        <v/>
      </c>
      <c r="G1631">
        <f>IF(OR(A1631="",'Skill Matrix'!R107=""),"",'Skill Matrix'!R107)</f>
        <v/>
      </c>
      <c r="H1631">
        <f>IF(A1631="","",'Employees'!F12)</f>
        <v/>
      </c>
    </row>
    <row r="1632">
      <c r="A1632">
        <f>IF(AND('Skill Matrix'!A107&lt;&gt;"",'Skill Matrix'!S5&lt;&gt;""),'Skill Matrix'!A107,"")</f>
        <v/>
      </c>
      <c r="B1632">
        <f>IF(A1632="","",'Employees'!C12)</f>
        <v/>
      </c>
      <c r="C1632">
        <f>IF(A1632="","",'Employees'!D12)</f>
        <v/>
      </c>
      <c r="D1632">
        <f>IF(A1632="","",'Skill Matrix'!C107)</f>
        <v/>
      </c>
      <c r="E1632">
        <f>IF(A1632="","",'Skill Matrix'!D107)</f>
        <v/>
      </c>
      <c r="F1632">
        <f>IF(AND('Skill Matrix'!A107&lt;&gt;"",'Skill Matrix'!S5&lt;&gt;""),'Skill Matrix'!S5,"")</f>
        <v/>
      </c>
      <c r="G1632">
        <f>IF(OR(A1632="",'Skill Matrix'!S107=""),"",'Skill Matrix'!S107)</f>
        <v/>
      </c>
      <c r="H1632">
        <f>IF(A1632="","",'Employees'!F12)</f>
        <v/>
      </c>
    </row>
    <row r="1633">
      <c r="A1633">
        <f>IF(AND('Skill Matrix'!A107&lt;&gt;"",'Skill Matrix'!T5&lt;&gt;""),'Skill Matrix'!A107,"")</f>
        <v/>
      </c>
      <c r="B1633">
        <f>IF(A1633="","",'Employees'!C12)</f>
        <v/>
      </c>
      <c r="C1633">
        <f>IF(A1633="","",'Employees'!D12)</f>
        <v/>
      </c>
      <c r="D1633">
        <f>IF(A1633="","",'Skill Matrix'!C107)</f>
        <v/>
      </c>
      <c r="E1633">
        <f>IF(A1633="","",'Skill Matrix'!D107)</f>
        <v/>
      </c>
      <c r="F1633">
        <f>IF(AND('Skill Matrix'!A107&lt;&gt;"",'Skill Matrix'!T5&lt;&gt;""),'Skill Matrix'!T5,"")</f>
        <v/>
      </c>
      <c r="G1633">
        <f>IF(OR(A1633="",'Skill Matrix'!T107=""),"",'Skill Matrix'!T107)</f>
        <v/>
      </c>
      <c r="H1633">
        <f>IF(A1633="","",'Employees'!F12)</f>
        <v/>
      </c>
    </row>
    <row r="1634">
      <c r="A1634">
        <f>IF(AND('Skill Matrix'!A108&lt;&gt;"",'Skill Matrix'!E5&lt;&gt;""),'Skill Matrix'!A108,"")</f>
        <v/>
      </c>
      <c r="B1634">
        <f>IF(A1634="","",'Employees'!C12)</f>
        <v/>
      </c>
      <c r="C1634">
        <f>IF(A1634="","",'Employees'!D12)</f>
        <v/>
      </c>
      <c r="D1634">
        <f>IF(A1634="","",'Skill Matrix'!C108)</f>
        <v/>
      </c>
      <c r="E1634">
        <f>IF(A1634="","",'Skill Matrix'!D108)</f>
        <v/>
      </c>
      <c r="F1634">
        <f>IF(AND('Skill Matrix'!A108&lt;&gt;"",'Skill Matrix'!E5&lt;&gt;""),'Skill Matrix'!E5,"")</f>
        <v/>
      </c>
      <c r="G1634">
        <f>IF(OR(A1634="",'Skill Matrix'!E108=""),"",'Skill Matrix'!E108)</f>
        <v/>
      </c>
      <c r="H1634">
        <f>IF(A1634="","",'Employees'!F12)</f>
        <v/>
      </c>
    </row>
    <row r="1635">
      <c r="A1635">
        <f>IF(AND('Skill Matrix'!A108&lt;&gt;"",'Skill Matrix'!F5&lt;&gt;""),'Skill Matrix'!A108,"")</f>
        <v/>
      </c>
      <c r="B1635">
        <f>IF(A1635="","",'Employees'!C12)</f>
        <v/>
      </c>
      <c r="C1635">
        <f>IF(A1635="","",'Employees'!D12)</f>
        <v/>
      </c>
      <c r="D1635">
        <f>IF(A1635="","",'Skill Matrix'!C108)</f>
        <v/>
      </c>
      <c r="E1635">
        <f>IF(A1635="","",'Skill Matrix'!D108)</f>
        <v/>
      </c>
      <c r="F1635">
        <f>IF(AND('Skill Matrix'!A108&lt;&gt;"",'Skill Matrix'!F5&lt;&gt;""),'Skill Matrix'!F5,"")</f>
        <v/>
      </c>
      <c r="G1635">
        <f>IF(OR(A1635="",'Skill Matrix'!F108=""),"",'Skill Matrix'!F108)</f>
        <v/>
      </c>
      <c r="H1635">
        <f>IF(A1635="","",'Employees'!F12)</f>
        <v/>
      </c>
    </row>
    <row r="1636">
      <c r="A1636">
        <f>IF(AND('Skill Matrix'!A108&lt;&gt;"",'Skill Matrix'!G5&lt;&gt;""),'Skill Matrix'!A108,"")</f>
        <v/>
      </c>
      <c r="B1636">
        <f>IF(A1636="","",'Employees'!C12)</f>
        <v/>
      </c>
      <c r="C1636">
        <f>IF(A1636="","",'Employees'!D12)</f>
        <v/>
      </c>
      <c r="D1636">
        <f>IF(A1636="","",'Skill Matrix'!C108)</f>
        <v/>
      </c>
      <c r="E1636">
        <f>IF(A1636="","",'Skill Matrix'!D108)</f>
        <v/>
      </c>
      <c r="F1636">
        <f>IF(AND('Skill Matrix'!A108&lt;&gt;"",'Skill Matrix'!G5&lt;&gt;""),'Skill Matrix'!G5,"")</f>
        <v/>
      </c>
      <c r="G1636">
        <f>IF(OR(A1636="",'Skill Matrix'!G108=""),"",'Skill Matrix'!G108)</f>
        <v/>
      </c>
      <c r="H1636">
        <f>IF(A1636="","",'Employees'!F12)</f>
        <v/>
      </c>
    </row>
    <row r="1637">
      <c r="A1637">
        <f>IF(AND('Skill Matrix'!A108&lt;&gt;"",'Skill Matrix'!H5&lt;&gt;""),'Skill Matrix'!A108,"")</f>
        <v/>
      </c>
      <c r="B1637">
        <f>IF(A1637="","",'Employees'!C12)</f>
        <v/>
      </c>
      <c r="C1637">
        <f>IF(A1637="","",'Employees'!D12)</f>
        <v/>
      </c>
      <c r="D1637">
        <f>IF(A1637="","",'Skill Matrix'!C108)</f>
        <v/>
      </c>
      <c r="E1637">
        <f>IF(A1637="","",'Skill Matrix'!D108)</f>
        <v/>
      </c>
      <c r="F1637">
        <f>IF(AND('Skill Matrix'!A108&lt;&gt;"",'Skill Matrix'!H5&lt;&gt;""),'Skill Matrix'!H5,"")</f>
        <v/>
      </c>
      <c r="G1637">
        <f>IF(OR(A1637="",'Skill Matrix'!H108=""),"",'Skill Matrix'!H108)</f>
        <v/>
      </c>
      <c r="H1637">
        <f>IF(A1637="","",'Employees'!F12)</f>
        <v/>
      </c>
    </row>
    <row r="1638">
      <c r="A1638">
        <f>IF(AND('Skill Matrix'!A108&lt;&gt;"",'Skill Matrix'!I5&lt;&gt;""),'Skill Matrix'!A108,"")</f>
        <v/>
      </c>
      <c r="B1638">
        <f>IF(A1638="","",'Employees'!C12)</f>
        <v/>
      </c>
      <c r="C1638">
        <f>IF(A1638="","",'Employees'!D12)</f>
        <v/>
      </c>
      <c r="D1638">
        <f>IF(A1638="","",'Skill Matrix'!C108)</f>
        <v/>
      </c>
      <c r="E1638">
        <f>IF(A1638="","",'Skill Matrix'!D108)</f>
        <v/>
      </c>
      <c r="F1638">
        <f>IF(AND('Skill Matrix'!A108&lt;&gt;"",'Skill Matrix'!I5&lt;&gt;""),'Skill Matrix'!I5,"")</f>
        <v/>
      </c>
      <c r="G1638">
        <f>IF(OR(A1638="",'Skill Matrix'!I108=""),"",'Skill Matrix'!I108)</f>
        <v/>
      </c>
      <c r="H1638">
        <f>IF(A1638="","",'Employees'!F12)</f>
        <v/>
      </c>
    </row>
    <row r="1639">
      <c r="A1639">
        <f>IF(AND('Skill Matrix'!A108&lt;&gt;"",'Skill Matrix'!J5&lt;&gt;""),'Skill Matrix'!A108,"")</f>
        <v/>
      </c>
      <c r="B1639">
        <f>IF(A1639="","",'Employees'!C12)</f>
        <v/>
      </c>
      <c r="C1639">
        <f>IF(A1639="","",'Employees'!D12)</f>
        <v/>
      </c>
      <c r="D1639">
        <f>IF(A1639="","",'Skill Matrix'!C108)</f>
        <v/>
      </c>
      <c r="E1639">
        <f>IF(A1639="","",'Skill Matrix'!D108)</f>
        <v/>
      </c>
      <c r="F1639">
        <f>IF(AND('Skill Matrix'!A108&lt;&gt;"",'Skill Matrix'!J5&lt;&gt;""),'Skill Matrix'!J5,"")</f>
        <v/>
      </c>
      <c r="G1639">
        <f>IF(OR(A1639="",'Skill Matrix'!J108=""),"",'Skill Matrix'!J108)</f>
        <v/>
      </c>
      <c r="H1639">
        <f>IF(A1639="","",'Employees'!F12)</f>
        <v/>
      </c>
    </row>
    <row r="1640">
      <c r="A1640">
        <f>IF(AND('Skill Matrix'!A108&lt;&gt;"",'Skill Matrix'!K5&lt;&gt;""),'Skill Matrix'!A108,"")</f>
        <v/>
      </c>
      <c r="B1640">
        <f>IF(A1640="","",'Employees'!C12)</f>
        <v/>
      </c>
      <c r="C1640">
        <f>IF(A1640="","",'Employees'!D12)</f>
        <v/>
      </c>
      <c r="D1640">
        <f>IF(A1640="","",'Skill Matrix'!C108)</f>
        <v/>
      </c>
      <c r="E1640">
        <f>IF(A1640="","",'Skill Matrix'!D108)</f>
        <v/>
      </c>
      <c r="F1640">
        <f>IF(AND('Skill Matrix'!A108&lt;&gt;"",'Skill Matrix'!K5&lt;&gt;""),'Skill Matrix'!K5,"")</f>
        <v/>
      </c>
      <c r="G1640">
        <f>IF(OR(A1640="",'Skill Matrix'!K108=""),"",'Skill Matrix'!K108)</f>
        <v/>
      </c>
      <c r="H1640">
        <f>IF(A1640="","",'Employees'!F12)</f>
        <v/>
      </c>
    </row>
    <row r="1641">
      <c r="A1641">
        <f>IF(AND('Skill Matrix'!A108&lt;&gt;"",'Skill Matrix'!L5&lt;&gt;""),'Skill Matrix'!A108,"")</f>
        <v/>
      </c>
      <c r="B1641">
        <f>IF(A1641="","",'Employees'!C12)</f>
        <v/>
      </c>
      <c r="C1641">
        <f>IF(A1641="","",'Employees'!D12)</f>
        <v/>
      </c>
      <c r="D1641">
        <f>IF(A1641="","",'Skill Matrix'!C108)</f>
        <v/>
      </c>
      <c r="E1641">
        <f>IF(A1641="","",'Skill Matrix'!D108)</f>
        <v/>
      </c>
      <c r="F1641">
        <f>IF(AND('Skill Matrix'!A108&lt;&gt;"",'Skill Matrix'!L5&lt;&gt;""),'Skill Matrix'!L5,"")</f>
        <v/>
      </c>
      <c r="G1641">
        <f>IF(OR(A1641="",'Skill Matrix'!L108=""),"",'Skill Matrix'!L108)</f>
        <v/>
      </c>
      <c r="H1641">
        <f>IF(A1641="","",'Employees'!F12)</f>
        <v/>
      </c>
    </row>
    <row r="1642">
      <c r="A1642">
        <f>IF(AND('Skill Matrix'!A108&lt;&gt;"",'Skill Matrix'!M5&lt;&gt;""),'Skill Matrix'!A108,"")</f>
        <v/>
      </c>
      <c r="B1642">
        <f>IF(A1642="","",'Employees'!C12)</f>
        <v/>
      </c>
      <c r="C1642">
        <f>IF(A1642="","",'Employees'!D12)</f>
        <v/>
      </c>
      <c r="D1642">
        <f>IF(A1642="","",'Skill Matrix'!C108)</f>
        <v/>
      </c>
      <c r="E1642">
        <f>IF(A1642="","",'Skill Matrix'!D108)</f>
        <v/>
      </c>
      <c r="F1642">
        <f>IF(AND('Skill Matrix'!A108&lt;&gt;"",'Skill Matrix'!M5&lt;&gt;""),'Skill Matrix'!M5,"")</f>
        <v/>
      </c>
      <c r="G1642">
        <f>IF(OR(A1642="",'Skill Matrix'!M108=""),"",'Skill Matrix'!M108)</f>
        <v/>
      </c>
      <c r="H1642">
        <f>IF(A1642="","",'Employees'!F12)</f>
        <v/>
      </c>
    </row>
    <row r="1643">
      <c r="A1643">
        <f>IF(AND('Skill Matrix'!A108&lt;&gt;"",'Skill Matrix'!N5&lt;&gt;""),'Skill Matrix'!A108,"")</f>
        <v/>
      </c>
      <c r="B1643">
        <f>IF(A1643="","",'Employees'!C12)</f>
        <v/>
      </c>
      <c r="C1643">
        <f>IF(A1643="","",'Employees'!D12)</f>
        <v/>
      </c>
      <c r="D1643">
        <f>IF(A1643="","",'Skill Matrix'!C108)</f>
        <v/>
      </c>
      <c r="E1643">
        <f>IF(A1643="","",'Skill Matrix'!D108)</f>
        <v/>
      </c>
      <c r="F1643">
        <f>IF(AND('Skill Matrix'!A108&lt;&gt;"",'Skill Matrix'!N5&lt;&gt;""),'Skill Matrix'!N5,"")</f>
        <v/>
      </c>
      <c r="G1643">
        <f>IF(OR(A1643="",'Skill Matrix'!N108=""),"",'Skill Matrix'!N108)</f>
        <v/>
      </c>
      <c r="H1643">
        <f>IF(A1643="","",'Employees'!F12)</f>
        <v/>
      </c>
    </row>
    <row r="1644">
      <c r="A1644">
        <f>IF(AND('Skill Matrix'!A108&lt;&gt;"",'Skill Matrix'!O5&lt;&gt;""),'Skill Matrix'!A108,"")</f>
        <v/>
      </c>
      <c r="B1644">
        <f>IF(A1644="","",'Employees'!C12)</f>
        <v/>
      </c>
      <c r="C1644">
        <f>IF(A1644="","",'Employees'!D12)</f>
        <v/>
      </c>
      <c r="D1644">
        <f>IF(A1644="","",'Skill Matrix'!C108)</f>
        <v/>
      </c>
      <c r="E1644">
        <f>IF(A1644="","",'Skill Matrix'!D108)</f>
        <v/>
      </c>
      <c r="F1644">
        <f>IF(AND('Skill Matrix'!A108&lt;&gt;"",'Skill Matrix'!O5&lt;&gt;""),'Skill Matrix'!O5,"")</f>
        <v/>
      </c>
      <c r="G1644">
        <f>IF(OR(A1644="",'Skill Matrix'!O108=""),"",'Skill Matrix'!O108)</f>
        <v/>
      </c>
      <c r="H1644">
        <f>IF(A1644="","",'Employees'!F12)</f>
        <v/>
      </c>
    </row>
    <row r="1645">
      <c r="A1645">
        <f>IF(AND('Skill Matrix'!A108&lt;&gt;"",'Skill Matrix'!P5&lt;&gt;""),'Skill Matrix'!A108,"")</f>
        <v/>
      </c>
      <c r="B1645">
        <f>IF(A1645="","",'Employees'!C12)</f>
        <v/>
      </c>
      <c r="C1645">
        <f>IF(A1645="","",'Employees'!D12)</f>
        <v/>
      </c>
      <c r="D1645">
        <f>IF(A1645="","",'Skill Matrix'!C108)</f>
        <v/>
      </c>
      <c r="E1645">
        <f>IF(A1645="","",'Skill Matrix'!D108)</f>
        <v/>
      </c>
      <c r="F1645">
        <f>IF(AND('Skill Matrix'!A108&lt;&gt;"",'Skill Matrix'!P5&lt;&gt;""),'Skill Matrix'!P5,"")</f>
        <v/>
      </c>
      <c r="G1645">
        <f>IF(OR(A1645="",'Skill Matrix'!P108=""),"",'Skill Matrix'!P108)</f>
        <v/>
      </c>
      <c r="H1645">
        <f>IF(A1645="","",'Employees'!F12)</f>
        <v/>
      </c>
    </row>
    <row r="1646">
      <c r="A1646">
        <f>IF(AND('Skill Matrix'!A108&lt;&gt;"",'Skill Matrix'!Q5&lt;&gt;""),'Skill Matrix'!A108,"")</f>
        <v/>
      </c>
      <c r="B1646">
        <f>IF(A1646="","",'Employees'!C12)</f>
        <v/>
      </c>
      <c r="C1646">
        <f>IF(A1646="","",'Employees'!D12)</f>
        <v/>
      </c>
      <c r="D1646">
        <f>IF(A1646="","",'Skill Matrix'!C108)</f>
        <v/>
      </c>
      <c r="E1646">
        <f>IF(A1646="","",'Skill Matrix'!D108)</f>
        <v/>
      </c>
      <c r="F1646">
        <f>IF(AND('Skill Matrix'!A108&lt;&gt;"",'Skill Matrix'!Q5&lt;&gt;""),'Skill Matrix'!Q5,"")</f>
        <v/>
      </c>
      <c r="G1646">
        <f>IF(OR(A1646="",'Skill Matrix'!Q108=""),"",'Skill Matrix'!Q108)</f>
        <v/>
      </c>
      <c r="H1646">
        <f>IF(A1646="","",'Employees'!F12)</f>
        <v/>
      </c>
    </row>
    <row r="1647">
      <c r="A1647">
        <f>IF(AND('Skill Matrix'!A108&lt;&gt;"",'Skill Matrix'!R5&lt;&gt;""),'Skill Matrix'!A108,"")</f>
        <v/>
      </c>
      <c r="B1647">
        <f>IF(A1647="","",'Employees'!C12)</f>
        <v/>
      </c>
      <c r="C1647">
        <f>IF(A1647="","",'Employees'!D12)</f>
        <v/>
      </c>
      <c r="D1647">
        <f>IF(A1647="","",'Skill Matrix'!C108)</f>
        <v/>
      </c>
      <c r="E1647">
        <f>IF(A1647="","",'Skill Matrix'!D108)</f>
        <v/>
      </c>
      <c r="F1647">
        <f>IF(AND('Skill Matrix'!A108&lt;&gt;"",'Skill Matrix'!R5&lt;&gt;""),'Skill Matrix'!R5,"")</f>
        <v/>
      </c>
      <c r="G1647">
        <f>IF(OR(A1647="",'Skill Matrix'!R108=""),"",'Skill Matrix'!R108)</f>
        <v/>
      </c>
      <c r="H1647">
        <f>IF(A1647="","",'Employees'!F12)</f>
        <v/>
      </c>
    </row>
    <row r="1648">
      <c r="A1648">
        <f>IF(AND('Skill Matrix'!A108&lt;&gt;"",'Skill Matrix'!S5&lt;&gt;""),'Skill Matrix'!A108,"")</f>
        <v/>
      </c>
      <c r="B1648">
        <f>IF(A1648="","",'Employees'!C12)</f>
        <v/>
      </c>
      <c r="C1648">
        <f>IF(A1648="","",'Employees'!D12)</f>
        <v/>
      </c>
      <c r="D1648">
        <f>IF(A1648="","",'Skill Matrix'!C108)</f>
        <v/>
      </c>
      <c r="E1648">
        <f>IF(A1648="","",'Skill Matrix'!D108)</f>
        <v/>
      </c>
      <c r="F1648">
        <f>IF(AND('Skill Matrix'!A108&lt;&gt;"",'Skill Matrix'!S5&lt;&gt;""),'Skill Matrix'!S5,"")</f>
        <v/>
      </c>
      <c r="G1648">
        <f>IF(OR(A1648="",'Skill Matrix'!S108=""),"",'Skill Matrix'!S108)</f>
        <v/>
      </c>
      <c r="H1648">
        <f>IF(A1648="","",'Employees'!F12)</f>
        <v/>
      </c>
    </row>
    <row r="1649">
      <c r="A1649">
        <f>IF(AND('Skill Matrix'!A108&lt;&gt;"",'Skill Matrix'!T5&lt;&gt;""),'Skill Matrix'!A108,"")</f>
        <v/>
      </c>
      <c r="B1649">
        <f>IF(A1649="","",'Employees'!C12)</f>
        <v/>
      </c>
      <c r="C1649">
        <f>IF(A1649="","",'Employees'!D12)</f>
        <v/>
      </c>
      <c r="D1649">
        <f>IF(A1649="","",'Skill Matrix'!C108)</f>
        <v/>
      </c>
      <c r="E1649">
        <f>IF(A1649="","",'Skill Matrix'!D108)</f>
        <v/>
      </c>
      <c r="F1649">
        <f>IF(AND('Skill Matrix'!A108&lt;&gt;"",'Skill Matrix'!T5&lt;&gt;""),'Skill Matrix'!T5,"")</f>
        <v/>
      </c>
      <c r="G1649">
        <f>IF(OR(A1649="",'Skill Matrix'!T108=""),"",'Skill Matrix'!T108)</f>
        <v/>
      </c>
      <c r="H1649">
        <f>IF(A1649="","",'Employees'!F12)</f>
        <v/>
      </c>
    </row>
    <row r="1650">
      <c r="A1650">
        <f>IF(AND('Skill Matrix'!A109&lt;&gt;"",'Skill Matrix'!E5&lt;&gt;""),'Skill Matrix'!A109,"")</f>
        <v/>
      </c>
      <c r="B1650">
        <f>IF(A1650="","",'Employees'!C12)</f>
        <v/>
      </c>
      <c r="C1650">
        <f>IF(A1650="","",'Employees'!D12)</f>
        <v/>
      </c>
      <c r="D1650">
        <f>IF(A1650="","",'Skill Matrix'!C109)</f>
        <v/>
      </c>
      <c r="E1650">
        <f>IF(A1650="","",'Skill Matrix'!D109)</f>
        <v/>
      </c>
      <c r="F1650">
        <f>IF(AND('Skill Matrix'!A109&lt;&gt;"",'Skill Matrix'!E5&lt;&gt;""),'Skill Matrix'!E5,"")</f>
        <v/>
      </c>
      <c r="G1650">
        <f>IF(OR(A1650="",'Skill Matrix'!E109=""),"",'Skill Matrix'!E109)</f>
        <v/>
      </c>
      <c r="H1650">
        <f>IF(A1650="","",'Employees'!F12)</f>
        <v/>
      </c>
    </row>
    <row r="1651">
      <c r="A1651">
        <f>IF(AND('Skill Matrix'!A109&lt;&gt;"",'Skill Matrix'!F5&lt;&gt;""),'Skill Matrix'!A109,"")</f>
        <v/>
      </c>
      <c r="B1651">
        <f>IF(A1651="","",'Employees'!C12)</f>
        <v/>
      </c>
      <c r="C1651">
        <f>IF(A1651="","",'Employees'!D12)</f>
        <v/>
      </c>
      <c r="D1651">
        <f>IF(A1651="","",'Skill Matrix'!C109)</f>
        <v/>
      </c>
      <c r="E1651">
        <f>IF(A1651="","",'Skill Matrix'!D109)</f>
        <v/>
      </c>
      <c r="F1651">
        <f>IF(AND('Skill Matrix'!A109&lt;&gt;"",'Skill Matrix'!F5&lt;&gt;""),'Skill Matrix'!F5,"")</f>
        <v/>
      </c>
      <c r="G1651">
        <f>IF(OR(A1651="",'Skill Matrix'!F109=""),"",'Skill Matrix'!F109)</f>
        <v/>
      </c>
      <c r="H1651">
        <f>IF(A1651="","",'Employees'!F12)</f>
        <v/>
      </c>
    </row>
    <row r="1652">
      <c r="A1652">
        <f>IF(AND('Skill Matrix'!A109&lt;&gt;"",'Skill Matrix'!G5&lt;&gt;""),'Skill Matrix'!A109,"")</f>
        <v/>
      </c>
      <c r="B1652">
        <f>IF(A1652="","",'Employees'!C12)</f>
        <v/>
      </c>
      <c r="C1652">
        <f>IF(A1652="","",'Employees'!D12)</f>
        <v/>
      </c>
      <c r="D1652">
        <f>IF(A1652="","",'Skill Matrix'!C109)</f>
        <v/>
      </c>
      <c r="E1652">
        <f>IF(A1652="","",'Skill Matrix'!D109)</f>
        <v/>
      </c>
      <c r="F1652">
        <f>IF(AND('Skill Matrix'!A109&lt;&gt;"",'Skill Matrix'!G5&lt;&gt;""),'Skill Matrix'!G5,"")</f>
        <v/>
      </c>
      <c r="G1652">
        <f>IF(OR(A1652="",'Skill Matrix'!G109=""),"",'Skill Matrix'!G109)</f>
        <v/>
      </c>
      <c r="H1652">
        <f>IF(A1652="","",'Employees'!F12)</f>
        <v/>
      </c>
    </row>
    <row r="1653">
      <c r="A1653">
        <f>IF(AND('Skill Matrix'!A109&lt;&gt;"",'Skill Matrix'!H5&lt;&gt;""),'Skill Matrix'!A109,"")</f>
        <v/>
      </c>
      <c r="B1653">
        <f>IF(A1653="","",'Employees'!C12)</f>
        <v/>
      </c>
      <c r="C1653">
        <f>IF(A1653="","",'Employees'!D12)</f>
        <v/>
      </c>
      <c r="D1653">
        <f>IF(A1653="","",'Skill Matrix'!C109)</f>
        <v/>
      </c>
      <c r="E1653">
        <f>IF(A1653="","",'Skill Matrix'!D109)</f>
        <v/>
      </c>
      <c r="F1653">
        <f>IF(AND('Skill Matrix'!A109&lt;&gt;"",'Skill Matrix'!H5&lt;&gt;""),'Skill Matrix'!H5,"")</f>
        <v/>
      </c>
      <c r="G1653">
        <f>IF(OR(A1653="",'Skill Matrix'!H109=""),"",'Skill Matrix'!H109)</f>
        <v/>
      </c>
      <c r="H1653">
        <f>IF(A1653="","",'Employees'!F12)</f>
        <v/>
      </c>
    </row>
    <row r="1654">
      <c r="A1654">
        <f>IF(AND('Skill Matrix'!A109&lt;&gt;"",'Skill Matrix'!I5&lt;&gt;""),'Skill Matrix'!A109,"")</f>
        <v/>
      </c>
      <c r="B1654">
        <f>IF(A1654="","",'Employees'!C12)</f>
        <v/>
      </c>
      <c r="C1654">
        <f>IF(A1654="","",'Employees'!D12)</f>
        <v/>
      </c>
      <c r="D1654">
        <f>IF(A1654="","",'Skill Matrix'!C109)</f>
        <v/>
      </c>
      <c r="E1654">
        <f>IF(A1654="","",'Skill Matrix'!D109)</f>
        <v/>
      </c>
      <c r="F1654">
        <f>IF(AND('Skill Matrix'!A109&lt;&gt;"",'Skill Matrix'!I5&lt;&gt;""),'Skill Matrix'!I5,"")</f>
        <v/>
      </c>
      <c r="G1654">
        <f>IF(OR(A1654="",'Skill Matrix'!I109=""),"",'Skill Matrix'!I109)</f>
        <v/>
      </c>
      <c r="H1654">
        <f>IF(A1654="","",'Employees'!F12)</f>
        <v/>
      </c>
    </row>
    <row r="1655">
      <c r="A1655">
        <f>IF(AND('Skill Matrix'!A109&lt;&gt;"",'Skill Matrix'!J5&lt;&gt;""),'Skill Matrix'!A109,"")</f>
        <v/>
      </c>
      <c r="B1655">
        <f>IF(A1655="","",'Employees'!C12)</f>
        <v/>
      </c>
      <c r="C1655">
        <f>IF(A1655="","",'Employees'!D12)</f>
        <v/>
      </c>
      <c r="D1655">
        <f>IF(A1655="","",'Skill Matrix'!C109)</f>
        <v/>
      </c>
      <c r="E1655">
        <f>IF(A1655="","",'Skill Matrix'!D109)</f>
        <v/>
      </c>
      <c r="F1655">
        <f>IF(AND('Skill Matrix'!A109&lt;&gt;"",'Skill Matrix'!J5&lt;&gt;""),'Skill Matrix'!J5,"")</f>
        <v/>
      </c>
      <c r="G1655">
        <f>IF(OR(A1655="",'Skill Matrix'!J109=""),"",'Skill Matrix'!J109)</f>
        <v/>
      </c>
      <c r="H1655">
        <f>IF(A1655="","",'Employees'!F12)</f>
        <v/>
      </c>
    </row>
    <row r="1656">
      <c r="A1656">
        <f>IF(AND('Skill Matrix'!A109&lt;&gt;"",'Skill Matrix'!K5&lt;&gt;""),'Skill Matrix'!A109,"")</f>
        <v/>
      </c>
      <c r="B1656">
        <f>IF(A1656="","",'Employees'!C12)</f>
        <v/>
      </c>
      <c r="C1656">
        <f>IF(A1656="","",'Employees'!D12)</f>
        <v/>
      </c>
      <c r="D1656">
        <f>IF(A1656="","",'Skill Matrix'!C109)</f>
        <v/>
      </c>
      <c r="E1656">
        <f>IF(A1656="","",'Skill Matrix'!D109)</f>
        <v/>
      </c>
      <c r="F1656">
        <f>IF(AND('Skill Matrix'!A109&lt;&gt;"",'Skill Matrix'!K5&lt;&gt;""),'Skill Matrix'!K5,"")</f>
        <v/>
      </c>
      <c r="G1656">
        <f>IF(OR(A1656="",'Skill Matrix'!K109=""),"",'Skill Matrix'!K109)</f>
        <v/>
      </c>
      <c r="H1656">
        <f>IF(A1656="","",'Employees'!F12)</f>
        <v/>
      </c>
    </row>
    <row r="1657">
      <c r="A1657">
        <f>IF(AND('Skill Matrix'!A109&lt;&gt;"",'Skill Matrix'!L5&lt;&gt;""),'Skill Matrix'!A109,"")</f>
        <v/>
      </c>
      <c r="B1657">
        <f>IF(A1657="","",'Employees'!C12)</f>
        <v/>
      </c>
      <c r="C1657">
        <f>IF(A1657="","",'Employees'!D12)</f>
        <v/>
      </c>
      <c r="D1657">
        <f>IF(A1657="","",'Skill Matrix'!C109)</f>
        <v/>
      </c>
      <c r="E1657">
        <f>IF(A1657="","",'Skill Matrix'!D109)</f>
        <v/>
      </c>
      <c r="F1657">
        <f>IF(AND('Skill Matrix'!A109&lt;&gt;"",'Skill Matrix'!L5&lt;&gt;""),'Skill Matrix'!L5,"")</f>
        <v/>
      </c>
      <c r="G1657">
        <f>IF(OR(A1657="",'Skill Matrix'!L109=""),"",'Skill Matrix'!L109)</f>
        <v/>
      </c>
      <c r="H1657">
        <f>IF(A1657="","",'Employees'!F12)</f>
        <v/>
      </c>
    </row>
    <row r="1658">
      <c r="A1658">
        <f>IF(AND('Skill Matrix'!A109&lt;&gt;"",'Skill Matrix'!M5&lt;&gt;""),'Skill Matrix'!A109,"")</f>
        <v/>
      </c>
      <c r="B1658">
        <f>IF(A1658="","",'Employees'!C12)</f>
        <v/>
      </c>
      <c r="C1658">
        <f>IF(A1658="","",'Employees'!D12)</f>
        <v/>
      </c>
      <c r="D1658">
        <f>IF(A1658="","",'Skill Matrix'!C109)</f>
        <v/>
      </c>
      <c r="E1658">
        <f>IF(A1658="","",'Skill Matrix'!D109)</f>
        <v/>
      </c>
      <c r="F1658">
        <f>IF(AND('Skill Matrix'!A109&lt;&gt;"",'Skill Matrix'!M5&lt;&gt;""),'Skill Matrix'!M5,"")</f>
        <v/>
      </c>
      <c r="G1658">
        <f>IF(OR(A1658="",'Skill Matrix'!M109=""),"",'Skill Matrix'!M109)</f>
        <v/>
      </c>
      <c r="H1658">
        <f>IF(A1658="","",'Employees'!F12)</f>
        <v/>
      </c>
    </row>
    <row r="1659">
      <c r="A1659">
        <f>IF(AND('Skill Matrix'!A109&lt;&gt;"",'Skill Matrix'!N5&lt;&gt;""),'Skill Matrix'!A109,"")</f>
        <v/>
      </c>
      <c r="B1659">
        <f>IF(A1659="","",'Employees'!C12)</f>
        <v/>
      </c>
      <c r="C1659">
        <f>IF(A1659="","",'Employees'!D12)</f>
        <v/>
      </c>
      <c r="D1659">
        <f>IF(A1659="","",'Skill Matrix'!C109)</f>
        <v/>
      </c>
      <c r="E1659">
        <f>IF(A1659="","",'Skill Matrix'!D109)</f>
        <v/>
      </c>
      <c r="F1659">
        <f>IF(AND('Skill Matrix'!A109&lt;&gt;"",'Skill Matrix'!N5&lt;&gt;""),'Skill Matrix'!N5,"")</f>
        <v/>
      </c>
      <c r="G1659">
        <f>IF(OR(A1659="",'Skill Matrix'!N109=""),"",'Skill Matrix'!N109)</f>
        <v/>
      </c>
      <c r="H1659">
        <f>IF(A1659="","",'Employees'!F12)</f>
        <v/>
      </c>
    </row>
    <row r="1660">
      <c r="A1660">
        <f>IF(AND('Skill Matrix'!A109&lt;&gt;"",'Skill Matrix'!O5&lt;&gt;""),'Skill Matrix'!A109,"")</f>
        <v/>
      </c>
      <c r="B1660">
        <f>IF(A1660="","",'Employees'!C12)</f>
        <v/>
      </c>
      <c r="C1660">
        <f>IF(A1660="","",'Employees'!D12)</f>
        <v/>
      </c>
      <c r="D1660">
        <f>IF(A1660="","",'Skill Matrix'!C109)</f>
        <v/>
      </c>
      <c r="E1660">
        <f>IF(A1660="","",'Skill Matrix'!D109)</f>
        <v/>
      </c>
      <c r="F1660">
        <f>IF(AND('Skill Matrix'!A109&lt;&gt;"",'Skill Matrix'!O5&lt;&gt;""),'Skill Matrix'!O5,"")</f>
        <v/>
      </c>
      <c r="G1660">
        <f>IF(OR(A1660="",'Skill Matrix'!O109=""),"",'Skill Matrix'!O109)</f>
        <v/>
      </c>
      <c r="H1660">
        <f>IF(A1660="","",'Employees'!F12)</f>
        <v/>
      </c>
    </row>
    <row r="1661">
      <c r="A1661">
        <f>IF(AND('Skill Matrix'!A109&lt;&gt;"",'Skill Matrix'!P5&lt;&gt;""),'Skill Matrix'!A109,"")</f>
        <v/>
      </c>
      <c r="B1661">
        <f>IF(A1661="","",'Employees'!C12)</f>
        <v/>
      </c>
      <c r="C1661">
        <f>IF(A1661="","",'Employees'!D12)</f>
        <v/>
      </c>
      <c r="D1661">
        <f>IF(A1661="","",'Skill Matrix'!C109)</f>
        <v/>
      </c>
      <c r="E1661">
        <f>IF(A1661="","",'Skill Matrix'!D109)</f>
        <v/>
      </c>
      <c r="F1661">
        <f>IF(AND('Skill Matrix'!A109&lt;&gt;"",'Skill Matrix'!P5&lt;&gt;""),'Skill Matrix'!P5,"")</f>
        <v/>
      </c>
      <c r="G1661">
        <f>IF(OR(A1661="",'Skill Matrix'!P109=""),"",'Skill Matrix'!P109)</f>
        <v/>
      </c>
      <c r="H1661">
        <f>IF(A1661="","",'Employees'!F12)</f>
        <v/>
      </c>
    </row>
    <row r="1662">
      <c r="A1662">
        <f>IF(AND('Skill Matrix'!A109&lt;&gt;"",'Skill Matrix'!Q5&lt;&gt;""),'Skill Matrix'!A109,"")</f>
        <v/>
      </c>
      <c r="B1662">
        <f>IF(A1662="","",'Employees'!C12)</f>
        <v/>
      </c>
      <c r="C1662">
        <f>IF(A1662="","",'Employees'!D12)</f>
        <v/>
      </c>
      <c r="D1662">
        <f>IF(A1662="","",'Skill Matrix'!C109)</f>
        <v/>
      </c>
      <c r="E1662">
        <f>IF(A1662="","",'Skill Matrix'!D109)</f>
        <v/>
      </c>
      <c r="F1662">
        <f>IF(AND('Skill Matrix'!A109&lt;&gt;"",'Skill Matrix'!Q5&lt;&gt;""),'Skill Matrix'!Q5,"")</f>
        <v/>
      </c>
      <c r="G1662">
        <f>IF(OR(A1662="",'Skill Matrix'!Q109=""),"",'Skill Matrix'!Q109)</f>
        <v/>
      </c>
      <c r="H1662">
        <f>IF(A1662="","",'Employees'!F12)</f>
        <v/>
      </c>
    </row>
    <row r="1663">
      <c r="A1663">
        <f>IF(AND('Skill Matrix'!A109&lt;&gt;"",'Skill Matrix'!R5&lt;&gt;""),'Skill Matrix'!A109,"")</f>
        <v/>
      </c>
      <c r="B1663">
        <f>IF(A1663="","",'Employees'!C12)</f>
        <v/>
      </c>
      <c r="C1663">
        <f>IF(A1663="","",'Employees'!D12)</f>
        <v/>
      </c>
      <c r="D1663">
        <f>IF(A1663="","",'Skill Matrix'!C109)</f>
        <v/>
      </c>
      <c r="E1663">
        <f>IF(A1663="","",'Skill Matrix'!D109)</f>
        <v/>
      </c>
      <c r="F1663">
        <f>IF(AND('Skill Matrix'!A109&lt;&gt;"",'Skill Matrix'!R5&lt;&gt;""),'Skill Matrix'!R5,"")</f>
        <v/>
      </c>
      <c r="G1663">
        <f>IF(OR(A1663="",'Skill Matrix'!R109=""),"",'Skill Matrix'!R109)</f>
        <v/>
      </c>
      <c r="H1663">
        <f>IF(A1663="","",'Employees'!F12)</f>
        <v/>
      </c>
    </row>
    <row r="1664">
      <c r="A1664">
        <f>IF(AND('Skill Matrix'!A109&lt;&gt;"",'Skill Matrix'!S5&lt;&gt;""),'Skill Matrix'!A109,"")</f>
        <v/>
      </c>
      <c r="B1664">
        <f>IF(A1664="","",'Employees'!C12)</f>
        <v/>
      </c>
      <c r="C1664">
        <f>IF(A1664="","",'Employees'!D12)</f>
        <v/>
      </c>
      <c r="D1664">
        <f>IF(A1664="","",'Skill Matrix'!C109)</f>
        <v/>
      </c>
      <c r="E1664">
        <f>IF(A1664="","",'Skill Matrix'!D109)</f>
        <v/>
      </c>
      <c r="F1664">
        <f>IF(AND('Skill Matrix'!A109&lt;&gt;"",'Skill Matrix'!S5&lt;&gt;""),'Skill Matrix'!S5,"")</f>
        <v/>
      </c>
      <c r="G1664">
        <f>IF(OR(A1664="",'Skill Matrix'!S109=""),"",'Skill Matrix'!S109)</f>
        <v/>
      </c>
      <c r="H1664">
        <f>IF(A1664="","",'Employees'!F12)</f>
        <v/>
      </c>
    </row>
    <row r="1665">
      <c r="A1665">
        <f>IF(AND('Skill Matrix'!A109&lt;&gt;"",'Skill Matrix'!T5&lt;&gt;""),'Skill Matrix'!A109,"")</f>
        <v/>
      </c>
      <c r="B1665">
        <f>IF(A1665="","",'Employees'!C12)</f>
        <v/>
      </c>
      <c r="C1665">
        <f>IF(A1665="","",'Employees'!D12)</f>
        <v/>
      </c>
      <c r="D1665">
        <f>IF(A1665="","",'Skill Matrix'!C109)</f>
        <v/>
      </c>
      <c r="E1665">
        <f>IF(A1665="","",'Skill Matrix'!D109)</f>
        <v/>
      </c>
      <c r="F1665">
        <f>IF(AND('Skill Matrix'!A109&lt;&gt;"",'Skill Matrix'!T5&lt;&gt;""),'Skill Matrix'!T5,"")</f>
        <v/>
      </c>
      <c r="G1665">
        <f>IF(OR(A1665="",'Skill Matrix'!T109=""),"",'Skill Matrix'!T109)</f>
        <v/>
      </c>
      <c r="H1665">
        <f>IF(A1665="","",'Employees'!F12)</f>
        <v/>
      </c>
    </row>
    <row r="1666">
      <c r="A1666">
        <f>IF(AND('Skill Matrix'!A110&lt;&gt;"",'Skill Matrix'!E5&lt;&gt;""),'Skill Matrix'!A110,"")</f>
        <v/>
      </c>
      <c r="B1666">
        <f>IF(A1666="","",'Employees'!C12)</f>
        <v/>
      </c>
      <c r="C1666">
        <f>IF(A1666="","",'Employees'!D12)</f>
        <v/>
      </c>
      <c r="D1666">
        <f>IF(A1666="","",'Skill Matrix'!C110)</f>
        <v/>
      </c>
      <c r="E1666">
        <f>IF(A1666="","",'Skill Matrix'!D110)</f>
        <v/>
      </c>
      <c r="F1666">
        <f>IF(AND('Skill Matrix'!A110&lt;&gt;"",'Skill Matrix'!E5&lt;&gt;""),'Skill Matrix'!E5,"")</f>
        <v/>
      </c>
      <c r="G1666">
        <f>IF(OR(A1666="",'Skill Matrix'!E110=""),"",'Skill Matrix'!E110)</f>
        <v/>
      </c>
      <c r="H1666">
        <f>IF(A1666="","",'Employees'!F12)</f>
        <v/>
      </c>
    </row>
    <row r="1667">
      <c r="A1667">
        <f>IF(AND('Skill Matrix'!A110&lt;&gt;"",'Skill Matrix'!F5&lt;&gt;""),'Skill Matrix'!A110,"")</f>
        <v/>
      </c>
      <c r="B1667">
        <f>IF(A1667="","",'Employees'!C12)</f>
        <v/>
      </c>
      <c r="C1667">
        <f>IF(A1667="","",'Employees'!D12)</f>
        <v/>
      </c>
      <c r="D1667">
        <f>IF(A1667="","",'Skill Matrix'!C110)</f>
        <v/>
      </c>
      <c r="E1667">
        <f>IF(A1667="","",'Skill Matrix'!D110)</f>
        <v/>
      </c>
      <c r="F1667">
        <f>IF(AND('Skill Matrix'!A110&lt;&gt;"",'Skill Matrix'!F5&lt;&gt;""),'Skill Matrix'!F5,"")</f>
        <v/>
      </c>
      <c r="G1667">
        <f>IF(OR(A1667="",'Skill Matrix'!F110=""),"",'Skill Matrix'!F110)</f>
        <v/>
      </c>
      <c r="H1667">
        <f>IF(A1667="","",'Employees'!F12)</f>
        <v/>
      </c>
    </row>
    <row r="1668">
      <c r="A1668">
        <f>IF(AND('Skill Matrix'!A110&lt;&gt;"",'Skill Matrix'!G5&lt;&gt;""),'Skill Matrix'!A110,"")</f>
        <v/>
      </c>
      <c r="B1668">
        <f>IF(A1668="","",'Employees'!C12)</f>
        <v/>
      </c>
      <c r="C1668">
        <f>IF(A1668="","",'Employees'!D12)</f>
        <v/>
      </c>
      <c r="D1668">
        <f>IF(A1668="","",'Skill Matrix'!C110)</f>
        <v/>
      </c>
      <c r="E1668">
        <f>IF(A1668="","",'Skill Matrix'!D110)</f>
        <v/>
      </c>
      <c r="F1668">
        <f>IF(AND('Skill Matrix'!A110&lt;&gt;"",'Skill Matrix'!G5&lt;&gt;""),'Skill Matrix'!G5,"")</f>
        <v/>
      </c>
      <c r="G1668">
        <f>IF(OR(A1668="",'Skill Matrix'!G110=""),"",'Skill Matrix'!G110)</f>
        <v/>
      </c>
      <c r="H1668">
        <f>IF(A1668="","",'Employees'!F12)</f>
        <v/>
      </c>
    </row>
    <row r="1669">
      <c r="A1669">
        <f>IF(AND('Skill Matrix'!A110&lt;&gt;"",'Skill Matrix'!H5&lt;&gt;""),'Skill Matrix'!A110,"")</f>
        <v/>
      </c>
      <c r="B1669">
        <f>IF(A1669="","",'Employees'!C12)</f>
        <v/>
      </c>
      <c r="C1669">
        <f>IF(A1669="","",'Employees'!D12)</f>
        <v/>
      </c>
      <c r="D1669">
        <f>IF(A1669="","",'Skill Matrix'!C110)</f>
        <v/>
      </c>
      <c r="E1669">
        <f>IF(A1669="","",'Skill Matrix'!D110)</f>
        <v/>
      </c>
      <c r="F1669">
        <f>IF(AND('Skill Matrix'!A110&lt;&gt;"",'Skill Matrix'!H5&lt;&gt;""),'Skill Matrix'!H5,"")</f>
        <v/>
      </c>
      <c r="G1669">
        <f>IF(OR(A1669="",'Skill Matrix'!H110=""),"",'Skill Matrix'!H110)</f>
        <v/>
      </c>
      <c r="H1669">
        <f>IF(A1669="","",'Employees'!F12)</f>
        <v/>
      </c>
    </row>
    <row r="1670">
      <c r="A1670">
        <f>IF(AND('Skill Matrix'!A110&lt;&gt;"",'Skill Matrix'!I5&lt;&gt;""),'Skill Matrix'!A110,"")</f>
        <v/>
      </c>
      <c r="B1670">
        <f>IF(A1670="","",'Employees'!C12)</f>
        <v/>
      </c>
      <c r="C1670">
        <f>IF(A1670="","",'Employees'!D12)</f>
        <v/>
      </c>
      <c r="D1670">
        <f>IF(A1670="","",'Skill Matrix'!C110)</f>
        <v/>
      </c>
      <c r="E1670">
        <f>IF(A1670="","",'Skill Matrix'!D110)</f>
        <v/>
      </c>
      <c r="F1670">
        <f>IF(AND('Skill Matrix'!A110&lt;&gt;"",'Skill Matrix'!I5&lt;&gt;""),'Skill Matrix'!I5,"")</f>
        <v/>
      </c>
      <c r="G1670">
        <f>IF(OR(A1670="",'Skill Matrix'!I110=""),"",'Skill Matrix'!I110)</f>
        <v/>
      </c>
      <c r="H1670">
        <f>IF(A1670="","",'Employees'!F12)</f>
        <v/>
      </c>
    </row>
    <row r="1671">
      <c r="A1671">
        <f>IF(AND('Skill Matrix'!A110&lt;&gt;"",'Skill Matrix'!J5&lt;&gt;""),'Skill Matrix'!A110,"")</f>
        <v/>
      </c>
      <c r="B1671">
        <f>IF(A1671="","",'Employees'!C12)</f>
        <v/>
      </c>
      <c r="C1671">
        <f>IF(A1671="","",'Employees'!D12)</f>
        <v/>
      </c>
      <c r="D1671">
        <f>IF(A1671="","",'Skill Matrix'!C110)</f>
        <v/>
      </c>
      <c r="E1671">
        <f>IF(A1671="","",'Skill Matrix'!D110)</f>
        <v/>
      </c>
      <c r="F1671">
        <f>IF(AND('Skill Matrix'!A110&lt;&gt;"",'Skill Matrix'!J5&lt;&gt;""),'Skill Matrix'!J5,"")</f>
        <v/>
      </c>
      <c r="G1671">
        <f>IF(OR(A1671="",'Skill Matrix'!J110=""),"",'Skill Matrix'!J110)</f>
        <v/>
      </c>
      <c r="H1671">
        <f>IF(A1671="","",'Employees'!F12)</f>
        <v/>
      </c>
    </row>
    <row r="1672">
      <c r="A1672">
        <f>IF(AND('Skill Matrix'!A110&lt;&gt;"",'Skill Matrix'!K5&lt;&gt;""),'Skill Matrix'!A110,"")</f>
        <v/>
      </c>
      <c r="B1672">
        <f>IF(A1672="","",'Employees'!C12)</f>
        <v/>
      </c>
      <c r="C1672">
        <f>IF(A1672="","",'Employees'!D12)</f>
        <v/>
      </c>
      <c r="D1672">
        <f>IF(A1672="","",'Skill Matrix'!C110)</f>
        <v/>
      </c>
      <c r="E1672">
        <f>IF(A1672="","",'Skill Matrix'!D110)</f>
        <v/>
      </c>
      <c r="F1672">
        <f>IF(AND('Skill Matrix'!A110&lt;&gt;"",'Skill Matrix'!K5&lt;&gt;""),'Skill Matrix'!K5,"")</f>
        <v/>
      </c>
      <c r="G1672">
        <f>IF(OR(A1672="",'Skill Matrix'!K110=""),"",'Skill Matrix'!K110)</f>
        <v/>
      </c>
      <c r="H1672">
        <f>IF(A1672="","",'Employees'!F12)</f>
        <v/>
      </c>
    </row>
    <row r="1673">
      <c r="A1673">
        <f>IF(AND('Skill Matrix'!A110&lt;&gt;"",'Skill Matrix'!L5&lt;&gt;""),'Skill Matrix'!A110,"")</f>
        <v/>
      </c>
      <c r="B1673">
        <f>IF(A1673="","",'Employees'!C12)</f>
        <v/>
      </c>
      <c r="C1673">
        <f>IF(A1673="","",'Employees'!D12)</f>
        <v/>
      </c>
      <c r="D1673">
        <f>IF(A1673="","",'Skill Matrix'!C110)</f>
        <v/>
      </c>
      <c r="E1673">
        <f>IF(A1673="","",'Skill Matrix'!D110)</f>
        <v/>
      </c>
      <c r="F1673">
        <f>IF(AND('Skill Matrix'!A110&lt;&gt;"",'Skill Matrix'!L5&lt;&gt;""),'Skill Matrix'!L5,"")</f>
        <v/>
      </c>
      <c r="G1673">
        <f>IF(OR(A1673="",'Skill Matrix'!L110=""),"",'Skill Matrix'!L110)</f>
        <v/>
      </c>
      <c r="H1673">
        <f>IF(A1673="","",'Employees'!F12)</f>
        <v/>
      </c>
    </row>
    <row r="1674">
      <c r="A1674">
        <f>IF(AND('Skill Matrix'!A110&lt;&gt;"",'Skill Matrix'!M5&lt;&gt;""),'Skill Matrix'!A110,"")</f>
        <v/>
      </c>
      <c r="B1674">
        <f>IF(A1674="","",'Employees'!C12)</f>
        <v/>
      </c>
      <c r="C1674">
        <f>IF(A1674="","",'Employees'!D12)</f>
        <v/>
      </c>
      <c r="D1674">
        <f>IF(A1674="","",'Skill Matrix'!C110)</f>
        <v/>
      </c>
      <c r="E1674">
        <f>IF(A1674="","",'Skill Matrix'!D110)</f>
        <v/>
      </c>
      <c r="F1674">
        <f>IF(AND('Skill Matrix'!A110&lt;&gt;"",'Skill Matrix'!M5&lt;&gt;""),'Skill Matrix'!M5,"")</f>
        <v/>
      </c>
      <c r="G1674">
        <f>IF(OR(A1674="",'Skill Matrix'!M110=""),"",'Skill Matrix'!M110)</f>
        <v/>
      </c>
      <c r="H1674">
        <f>IF(A1674="","",'Employees'!F12)</f>
        <v/>
      </c>
    </row>
    <row r="1675">
      <c r="A1675">
        <f>IF(AND('Skill Matrix'!A110&lt;&gt;"",'Skill Matrix'!N5&lt;&gt;""),'Skill Matrix'!A110,"")</f>
        <v/>
      </c>
      <c r="B1675">
        <f>IF(A1675="","",'Employees'!C12)</f>
        <v/>
      </c>
      <c r="C1675">
        <f>IF(A1675="","",'Employees'!D12)</f>
        <v/>
      </c>
      <c r="D1675">
        <f>IF(A1675="","",'Skill Matrix'!C110)</f>
        <v/>
      </c>
      <c r="E1675">
        <f>IF(A1675="","",'Skill Matrix'!D110)</f>
        <v/>
      </c>
      <c r="F1675">
        <f>IF(AND('Skill Matrix'!A110&lt;&gt;"",'Skill Matrix'!N5&lt;&gt;""),'Skill Matrix'!N5,"")</f>
        <v/>
      </c>
      <c r="G1675">
        <f>IF(OR(A1675="",'Skill Matrix'!N110=""),"",'Skill Matrix'!N110)</f>
        <v/>
      </c>
      <c r="H1675">
        <f>IF(A1675="","",'Employees'!F12)</f>
        <v/>
      </c>
    </row>
    <row r="1676">
      <c r="A1676">
        <f>IF(AND('Skill Matrix'!A110&lt;&gt;"",'Skill Matrix'!O5&lt;&gt;""),'Skill Matrix'!A110,"")</f>
        <v/>
      </c>
      <c r="B1676">
        <f>IF(A1676="","",'Employees'!C12)</f>
        <v/>
      </c>
      <c r="C1676">
        <f>IF(A1676="","",'Employees'!D12)</f>
        <v/>
      </c>
      <c r="D1676">
        <f>IF(A1676="","",'Skill Matrix'!C110)</f>
        <v/>
      </c>
      <c r="E1676">
        <f>IF(A1676="","",'Skill Matrix'!D110)</f>
        <v/>
      </c>
      <c r="F1676">
        <f>IF(AND('Skill Matrix'!A110&lt;&gt;"",'Skill Matrix'!O5&lt;&gt;""),'Skill Matrix'!O5,"")</f>
        <v/>
      </c>
      <c r="G1676">
        <f>IF(OR(A1676="",'Skill Matrix'!O110=""),"",'Skill Matrix'!O110)</f>
        <v/>
      </c>
      <c r="H1676">
        <f>IF(A1676="","",'Employees'!F12)</f>
        <v/>
      </c>
    </row>
    <row r="1677">
      <c r="A1677">
        <f>IF(AND('Skill Matrix'!A110&lt;&gt;"",'Skill Matrix'!P5&lt;&gt;""),'Skill Matrix'!A110,"")</f>
        <v/>
      </c>
      <c r="B1677">
        <f>IF(A1677="","",'Employees'!C12)</f>
        <v/>
      </c>
      <c r="C1677">
        <f>IF(A1677="","",'Employees'!D12)</f>
        <v/>
      </c>
      <c r="D1677">
        <f>IF(A1677="","",'Skill Matrix'!C110)</f>
        <v/>
      </c>
      <c r="E1677">
        <f>IF(A1677="","",'Skill Matrix'!D110)</f>
        <v/>
      </c>
      <c r="F1677">
        <f>IF(AND('Skill Matrix'!A110&lt;&gt;"",'Skill Matrix'!P5&lt;&gt;""),'Skill Matrix'!P5,"")</f>
        <v/>
      </c>
      <c r="G1677">
        <f>IF(OR(A1677="",'Skill Matrix'!P110=""),"",'Skill Matrix'!P110)</f>
        <v/>
      </c>
      <c r="H1677">
        <f>IF(A1677="","",'Employees'!F12)</f>
        <v/>
      </c>
    </row>
    <row r="1678">
      <c r="A1678">
        <f>IF(AND('Skill Matrix'!A110&lt;&gt;"",'Skill Matrix'!Q5&lt;&gt;""),'Skill Matrix'!A110,"")</f>
        <v/>
      </c>
      <c r="B1678">
        <f>IF(A1678="","",'Employees'!C12)</f>
        <v/>
      </c>
      <c r="C1678">
        <f>IF(A1678="","",'Employees'!D12)</f>
        <v/>
      </c>
      <c r="D1678">
        <f>IF(A1678="","",'Skill Matrix'!C110)</f>
        <v/>
      </c>
      <c r="E1678">
        <f>IF(A1678="","",'Skill Matrix'!D110)</f>
        <v/>
      </c>
      <c r="F1678">
        <f>IF(AND('Skill Matrix'!A110&lt;&gt;"",'Skill Matrix'!Q5&lt;&gt;""),'Skill Matrix'!Q5,"")</f>
        <v/>
      </c>
      <c r="G1678">
        <f>IF(OR(A1678="",'Skill Matrix'!Q110=""),"",'Skill Matrix'!Q110)</f>
        <v/>
      </c>
      <c r="H1678">
        <f>IF(A1678="","",'Employees'!F12)</f>
        <v/>
      </c>
    </row>
    <row r="1679">
      <c r="A1679">
        <f>IF(AND('Skill Matrix'!A110&lt;&gt;"",'Skill Matrix'!R5&lt;&gt;""),'Skill Matrix'!A110,"")</f>
        <v/>
      </c>
      <c r="B1679">
        <f>IF(A1679="","",'Employees'!C12)</f>
        <v/>
      </c>
      <c r="C1679">
        <f>IF(A1679="","",'Employees'!D12)</f>
        <v/>
      </c>
      <c r="D1679">
        <f>IF(A1679="","",'Skill Matrix'!C110)</f>
        <v/>
      </c>
      <c r="E1679">
        <f>IF(A1679="","",'Skill Matrix'!D110)</f>
        <v/>
      </c>
      <c r="F1679">
        <f>IF(AND('Skill Matrix'!A110&lt;&gt;"",'Skill Matrix'!R5&lt;&gt;""),'Skill Matrix'!R5,"")</f>
        <v/>
      </c>
      <c r="G1679">
        <f>IF(OR(A1679="",'Skill Matrix'!R110=""),"",'Skill Matrix'!R110)</f>
        <v/>
      </c>
      <c r="H1679">
        <f>IF(A1679="","",'Employees'!F12)</f>
        <v/>
      </c>
    </row>
    <row r="1680">
      <c r="A1680">
        <f>IF(AND('Skill Matrix'!A110&lt;&gt;"",'Skill Matrix'!S5&lt;&gt;""),'Skill Matrix'!A110,"")</f>
        <v/>
      </c>
      <c r="B1680">
        <f>IF(A1680="","",'Employees'!C12)</f>
        <v/>
      </c>
      <c r="C1680">
        <f>IF(A1680="","",'Employees'!D12)</f>
        <v/>
      </c>
      <c r="D1680">
        <f>IF(A1680="","",'Skill Matrix'!C110)</f>
        <v/>
      </c>
      <c r="E1680">
        <f>IF(A1680="","",'Skill Matrix'!D110)</f>
        <v/>
      </c>
      <c r="F1680">
        <f>IF(AND('Skill Matrix'!A110&lt;&gt;"",'Skill Matrix'!S5&lt;&gt;""),'Skill Matrix'!S5,"")</f>
        <v/>
      </c>
      <c r="G1680">
        <f>IF(OR(A1680="",'Skill Matrix'!S110=""),"",'Skill Matrix'!S110)</f>
        <v/>
      </c>
      <c r="H1680">
        <f>IF(A1680="","",'Employees'!F12)</f>
        <v/>
      </c>
    </row>
    <row r="1681">
      <c r="A1681">
        <f>IF(AND('Skill Matrix'!A110&lt;&gt;"",'Skill Matrix'!T5&lt;&gt;""),'Skill Matrix'!A110,"")</f>
        <v/>
      </c>
      <c r="B1681">
        <f>IF(A1681="","",'Employees'!C12)</f>
        <v/>
      </c>
      <c r="C1681">
        <f>IF(A1681="","",'Employees'!D12)</f>
        <v/>
      </c>
      <c r="D1681">
        <f>IF(A1681="","",'Skill Matrix'!C110)</f>
        <v/>
      </c>
      <c r="E1681">
        <f>IF(A1681="","",'Skill Matrix'!D110)</f>
        <v/>
      </c>
      <c r="F1681">
        <f>IF(AND('Skill Matrix'!A110&lt;&gt;"",'Skill Matrix'!T5&lt;&gt;""),'Skill Matrix'!T5,"")</f>
        <v/>
      </c>
      <c r="G1681">
        <f>IF(OR(A1681="",'Skill Matrix'!T110=""),"",'Skill Matrix'!T110)</f>
        <v/>
      </c>
      <c r="H1681">
        <f>IF(A1681="","",'Employees'!F12)</f>
        <v/>
      </c>
    </row>
    <row r="1682">
      <c r="A1682">
        <f>IF(AND('Skill Matrix'!A111&lt;&gt;"",'Skill Matrix'!E5&lt;&gt;""),'Skill Matrix'!A111,"")</f>
        <v/>
      </c>
      <c r="B1682">
        <f>IF(A1682="","",'Employees'!C12)</f>
        <v/>
      </c>
      <c r="C1682">
        <f>IF(A1682="","",'Employees'!D12)</f>
        <v/>
      </c>
      <c r="D1682">
        <f>IF(A1682="","",'Skill Matrix'!C111)</f>
        <v/>
      </c>
      <c r="E1682">
        <f>IF(A1682="","",'Skill Matrix'!D111)</f>
        <v/>
      </c>
      <c r="F1682">
        <f>IF(AND('Skill Matrix'!A111&lt;&gt;"",'Skill Matrix'!E5&lt;&gt;""),'Skill Matrix'!E5,"")</f>
        <v/>
      </c>
      <c r="G1682">
        <f>IF(OR(A1682="",'Skill Matrix'!E111=""),"",'Skill Matrix'!E111)</f>
        <v/>
      </c>
      <c r="H1682">
        <f>IF(A1682="","",'Employees'!F12)</f>
        <v/>
      </c>
    </row>
    <row r="1683">
      <c r="A1683">
        <f>IF(AND('Skill Matrix'!A111&lt;&gt;"",'Skill Matrix'!F5&lt;&gt;""),'Skill Matrix'!A111,"")</f>
        <v/>
      </c>
      <c r="B1683">
        <f>IF(A1683="","",'Employees'!C12)</f>
        <v/>
      </c>
      <c r="C1683">
        <f>IF(A1683="","",'Employees'!D12)</f>
        <v/>
      </c>
      <c r="D1683">
        <f>IF(A1683="","",'Skill Matrix'!C111)</f>
        <v/>
      </c>
      <c r="E1683">
        <f>IF(A1683="","",'Skill Matrix'!D111)</f>
        <v/>
      </c>
      <c r="F1683">
        <f>IF(AND('Skill Matrix'!A111&lt;&gt;"",'Skill Matrix'!F5&lt;&gt;""),'Skill Matrix'!F5,"")</f>
        <v/>
      </c>
      <c r="G1683">
        <f>IF(OR(A1683="",'Skill Matrix'!F111=""),"",'Skill Matrix'!F111)</f>
        <v/>
      </c>
      <c r="H1683">
        <f>IF(A1683="","",'Employees'!F12)</f>
        <v/>
      </c>
    </row>
    <row r="1684">
      <c r="A1684">
        <f>IF(AND('Skill Matrix'!A111&lt;&gt;"",'Skill Matrix'!G5&lt;&gt;""),'Skill Matrix'!A111,"")</f>
        <v/>
      </c>
      <c r="B1684">
        <f>IF(A1684="","",'Employees'!C12)</f>
        <v/>
      </c>
      <c r="C1684">
        <f>IF(A1684="","",'Employees'!D12)</f>
        <v/>
      </c>
      <c r="D1684">
        <f>IF(A1684="","",'Skill Matrix'!C111)</f>
        <v/>
      </c>
      <c r="E1684">
        <f>IF(A1684="","",'Skill Matrix'!D111)</f>
        <v/>
      </c>
      <c r="F1684">
        <f>IF(AND('Skill Matrix'!A111&lt;&gt;"",'Skill Matrix'!G5&lt;&gt;""),'Skill Matrix'!G5,"")</f>
        <v/>
      </c>
      <c r="G1684">
        <f>IF(OR(A1684="",'Skill Matrix'!G111=""),"",'Skill Matrix'!G111)</f>
        <v/>
      </c>
      <c r="H1684">
        <f>IF(A1684="","",'Employees'!F12)</f>
        <v/>
      </c>
    </row>
    <row r="1685">
      <c r="A1685">
        <f>IF(AND('Skill Matrix'!A111&lt;&gt;"",'Skill Matrix'!H5&lt;&gt;""),'Skill Matrix'!A111,"")</f>
        <v/>
      </c>
      <c r="B1685">
        <f>IF(A1685="","",'Employees'!C12)</f>
        <v/>
      </c>
      <c r="C1685">
        <f>IF(A1685="","",'Employees'!D12)</f>
        <v/>
      </c>
      <c r="D1685">
        <f>IF(A1685="","",'Skill Matrix'!C111)</f>
        <v/>
      </c>
      <c r="E1685">
        <f>IF(A1685="","",'Skill Matrix'!D111)</f>
        <v/>
      </c>
      <c r="F1685">
        <f>IF(AND('Skill Matrix'!A111&lt;&gt;"",'Skill Matrix'!H5&lt;&gt;""),'Skill Matrix'!H5,"")</f>
        <v/>
      </c>
      <c r="G1685">
        <f>IF(OR(A1685="",'Skill Matrix'!H111=""),"",'Skill Matrix'!H111)</f>
        <v/>
      </c>
      <c r="H1685">
        <f>IF(A1685="","",'Employees'!F12)</f>
        <v/>
      </c>
    </row>
    <row r="1686">
      <c r="A1686">
        <f>IF(AND('Skill Matrix'!A111&lt;&gt;"",'Skill Matrix'!I5&lt;&gt;""),'Skill Matrix'!A111,"")</f>
        <v/>
      </c>
      <c r="B1686">
        <f>IF(A1686="","",'Employees'!C12)</f>
        <v/>
      </c>
      <c r="C1686">
        <f>IF(A1686="","",'Employees'!D12)</f>
        <v/>
      </c>
      <c r="D1686">
        <f>IF(A1686="","",'Skill Matrix'!C111)</f>
        <v/>
      </c>
      <c r="E1686">
        <f>IF(A1686="","",'Skill Matrix'!D111)</f>
        <v/>
      </c>
      <c r="F1686">
        <f>IF(AND('Skill Matrix'!A111&lt;&gt;"",'Skill Matrix'!I5&lt;&gt;""),'Skill Matrix'!I5,"")</f>
        <v/>
      </c>
      <c r="G1686">
        <f>IF(OR(A1686="",'Skill Matrix'!I111=""),"",'Skill Matrix'!I111)</f>
        <v/>
      </c>
      <c r="H1686">
        <f>IF(A1686="","",'Employees'!F12)</f>
        <v/>
      </c>
    </row>
    <row r="1687">
      <c r="A1687">
        <f>IF(AND('Skill Matrix'!A111&lt;&gt;"",'Skill Matrix'!J5&lt;&gt;""),'Skill Matrix'!A111,"")</f>
        <v/>
      </c>
      <c r="B1687">
        <f>IF(A1687="","",'Employees'!C12)</f>
        <v/>
      </c>
      <c r="C1687">
        <f>IF(A1687="","",'Employees'!D12)</f>
        <v/>
      </c>
      <c r="D1687">
        <f>IF(A1687="","",'Skill Matrix'!C111)</f>
        <v/>
      </c>
      <c r="E1687">
        <f>IF(A1687="","",'Skill Matrix'!D111)</f>
        <v/>
      </c>
      <c r="F1687">
        <f>IF(AND('Skill Matrix'!A111&lt;&gt;"",'Skill Matrix'!J5&lt;&gt;""),'Skill Matrix'!J5,"")</f>
        <v/>
      </c>
      <c r="G1687">
        <f>IF(OR(A1687="",'Skill Matrix'!J111=""),"",'Skill Matrix'!J111)</f>
        <v/>
      </c>
      <c r="H1687">
        <f>IF(A1687="","",'Employees'!F12)</f>
        <v/>
      </c>
    </row>
    <row r="1688">
      <c r="A1688">
        <f>IF(AND('Skill Matrix'!A111&lt;&gt;"",'Skill Matrix'!K5&lt;&gt;""),'Skill Matrix'!A111,"")</f>
        <v/>
      </c>
      <c r="B1688">
        <f>IF(A1688="","",'Employees'!C12)</f>
        <v/>
      </c>
      <c r="C1688">
        <f>IF(A1688="","",'Employees'!D12)</f>
        <v/>
      </c>
      <c r="D1688">
        <f>IF(A1688="","",'Skill Matrix'!C111)</f>
        <v/>
      </c>
      <c r="E1688">
        <f>IF(A1688="","",'Skill Matrix'!D111)</f>
        <v/>
      </c>
      <c r="F1688">
        <f>IF(AND('Skill Matrix'!A111&lt;&gt;"",'Skill Matrix'!K5&lt;&gt;""),'Skill Matrix'!K5,"")</f>
        <v/>
      </c>
      <c r="G1688">
        <f>IF(OR(A1688="",'Skill Matrix'!K111=""),"",'Skill Matrix'!K111)</f>
        <v/>
      </c>
      <c r="H1688">
        <f>IF(A1688="","",'Employees'!F12)</f>
        <v/>
      </c>
    </row>
    <row r="1689">
      <c r="A1689">
        <f>IF(AND('Skill Matrix'!A111&lt;&gt;"",'Skill Matrix'!L5&lt;&gt;""),'Skill Matrix'!A111,"")</f>
        <v/>
      </c>
      <c r="B1689">
        <f>IF(A1689="","",'Employees'!C12)</f>
        <v/>
      </c>
      <c r="C1689">
        <f>IF(A1689="","",'Employees'!D12)</f>
        <v/>
      </c>
      <c r="D1689">
        <f>IF(A1689="","",'Skill Matrix'!C111)</f>
        <v/>
      </c>
      <c r="E1689">
        <f>IF(A1689="","",'Skill Matrix'!D111)</f>
        <v/>
      </c>
      <c r="F1689">
        <f>IF(AND('Skill Matrix'!A111&lt;&gt;"",'Skill Matrix'!L5&lt;&gt;""),'Skill Matrix'!L5,"")</f>
        <v/>
      </c>
      <c r="G1689">
        <f>IF(OR(A1689="",'Skill Matrix'!L111=""),"",'Skill Matrix'!L111)</f>
        <v/>
      </c>
      <c r="H1689">
        <f>IF(A1689="","",'Employees'!F12)</f>
        <v/>
      </c>
    </row>
    <row r="1690">
      <c r="A1690">
        <f>IF(AND('Skill Matrix'!A111&lt;&gt;"",'Skill Matrix'!M5&lt;&gt;""),'Skill Matrix'!A111,"")</f>
        <v/>
      </c>
      <c r="B1690">
        <f>IF(A1690="","",'Employees'!C12)</f>
        <v/>
      </c>
      <c r="C1690">
        <f>IF(A1690="","",'Employees'!D12)</f>
        <v/>
      </c>
      <c r="D1690">
        <f>IF(A1690="","",'Skill Matrix'!C111)</f>
        <v/>
      </c>
      <c r="E1690">
        <f>IF(A1690="","",'Skill Matrix'!D111)</f>
        <v/>
      </c>
      <c r="F1690">
        <f>IF(AND('Skill Matrix'!A111&lt;&gt;"",'Skill Matrix'!M5&lt;&gt;""),'Skill Matrix'!M5,"")</f>
        <v/>
      </c>
      <c r="G1690">
        <f>IF(OR(A1690="",'Skill Matrix'!M111=""),"",'Skill Matrix'!M111)</f>
        <v/>
      </c>
      <c r="H1690">
        <f>IF(A1690="","",'Employees'!F12)</f>
        <v/>
      </c>
    </row>
    <row r="1691">
      <c r="A1691">
        <f>IF(AND('Skill Matrix'!A111&lt;&gt;"",'Skill Matrix'!N5&lt;&gt;""),'Skill Matrix'!A111,"")</f>
        <v/>
      </c>
      <c r="B1691">
        <f>IF(A1691="","",'Employees'!C12)</f>
        <v/>
      </c>
      <c r="C1691">
        <f>IF(A1691="","",'Employees'!D12)</f>
        <v/>
      </c>
      <c r="D1691">
        <f>IF(A1691="","",'Skill Matrix'!C111)</f>
        <v/>
      </c>
      <c r="E1691">
        <f>IF(A1691="","",'Skill Matrix'!D111)</f>
        <v/>
      </c>
      <c r="F1691">
        <f>IF(AND('Skill Matrix'!A111&lt;&gt;"",'Skill Matrix'!N5&lt;&gt;""),'Skill Matrix'!N5,"")</f>
        <v/>
      </c>
      <c r="G1691">
        <f>IF(OR(A1691="",'Skill Matrix'!N111=""),"",'Skill Matrix'!N111)</f>
        <v/>
      </c>
      <c r="H1691">
        <f>IF(A1691="","",'Employees'!F12)</f>
        <v/>
      </c>
    </row>
    <row r="1692">
      <c r="A1692">
        <f>IF(AND('Skill Matrix'!A111&lt;&gt;"",'Skill Matrix'!O5&lt;&gt;""),'Skill Matrix'!A111,"")</f>
        <v/>
      </c>
      <c r="B1692">
        <f>IF(A1692="","",'Employees'!C12)</f>
        <v/>
      </c>
      <c r="C1692">
        <f>IF(A1692="","",'Employees'!D12)</f>
        <v/>
      </c>
      <c r="D1692">
        <f>IF(A1692="","",'Skill Matrix'!C111)</f>
        <v/>
      </c>
      <c r="E1692">
        <f>IF(A1692="","",'Skill Matrix'!D111)</f>
        <v/>
      </c>
      <c r="F1692">
        <f>IF(AND('Skill Matrix'!A111&lt;&gt;"",'Skill Matrix'!O5&lt;&gt;""),'Skill Matrix'!O5,"")</f>
        <v/>
      </c>
      <c r="G1692">
        <f>IF(OR(A1692="",'Skill Matrix'!O111=""),"",'Skill Matrix'!O111)</f>
        <v/>
      </c>
      <c r="H1692">
        <f>IF(A1692="","",'Employees'!F12)</f>
        <v/>
      </c>
    </row>
    <row r="1693">
      <c r="A1693">
        <f>IF(AND('Skill Matrix'!A111&lt;&gt;"",'Skill Matrix'!P5&lt;&gt;""),'Skill Matrix'!A111,"")</f>
        <v/>
      </c>
      <c r="B1693">
        <f>IF(A1693="","",'Employees'!C12)</f>
        <v/>
      </c>
      <c r="C1693">
        <f>IF(A1693="","",'Employees'!D12)</f>
        <v/>
      </c>
      <c r="D1693">
        <f>IF(A1693="","",'Skill Matrix'!C111)</f>
        <v/>
      </c>
      <c r="E1693">
        <f>IF(A1693="","",'Skill Matrix'!D111)</f>
        <v/>
      </c>
      <c r="F1693">
        <f>IF(AND('Skill Matrix'!A111&lt;&gt;"",'Skill Matrix'!P5&lt;&gt;""),'Skill Matrix'!P5,"")</f>
        <v/>
      </c>
      <c r="G1693">
        <f>IF(OR(A1693="",'Skill Matrix'!P111=""),"",'Skill Matrix'!P111)</f>
        <v/>
      </c>
      <c r="H1693">
        <f>IF(A1693="","",'Employees'!F12)</f>
        <v/>
      </c>
    </row>
    <row r="1694">
      <c r="A1694">
        <f>IF(AND('Skill Matrix'!A111&lt;&gt;"",'Skill Matrix'!Q5&lt;&gt;""),'Skill Matrix'!A111,"")</f>
        <v/>
      </c>
      <c r="B1694">
        <f>IF(A1694="","",'Employees'!C12)</f>
        <v/>
      </c>
      <c r="C1694">
        <f>IF(A1694="","",'Employees'!D12)</f>
        <v/>
      </c>
      <c r="D1694">
        <f>IF(A1694="","",'Skill Matrix'!C111)</f>
        <v/>
      </c>
      <c r="E1694">
        <f>IF(A1694="","",'Skill Matrix'!D111)</f>
        <v/>
      </c>
      <c r="F1694">
        <f>IF(AND('Skill Matrix'!A111&lt;&gt;"",'Skill Matrix'!Q5&lt;&gt;""),'Skill Matrix'!Q5,"")</f>
        <v/>
      </c>
      <c r="G1694">
        <f>IF(OR(A1694="",'Skill Matrix'!Q111=""),"",'Skill Matrix'!Q111)</f>
        <v/>
      </c>
      <c r="H1694">
        <f>IF(A1694="","",'Employees'!F12)</f>
        <v/>
      </c>
    </row>
    <row r="1695">
      <c r="A1695">
        <f>IF(AND('Skill Matrix'!A111&lt;&gt;"",'Skill Matrix'!R5&lt;&gt;""),'Skill Matrix'!A111,"")</f>
        <v/>
      </c>
      <c r="B1695">
        <f>IF(A1695="","",'Employees'!C12)</f>
        <v/>
      </c>
      <c r="C1695">
        <f>IF(A1695="","",'Employees'!D12)</f>
        <v/>
      </c>
      <c r="D1695">
        <f>IF(A1695="","",'Skill Matrix'!C111)</f>
        <v/>
      </c>
      <c r="E1695">
        <f>IF(A1695="","",'Skill Matrix'!D111)</f>
        <v/>
      </c>
      <c r="F1695">
        <f>IF(AND('Skill Matrix'!A111&lt;&gt;"",'Skill Matrix'!R5&lt;&gt;""),'Skill Matrix'!R5,"")</f>
        <v/>
      </c>
      <c r="G1695">
        <f>IF(OR(A1695="",'Skill Matrix'!R111=""),"",'Skill Matrix'!R111)</f>
        <v/>
      </c>
      <c r="H1695">
        <f>IF(A1695="","",'Employees'!F12)</f>
        <v/>
      </c>
    </row>
    <row r="1696">
      <c r="A1696">
        <f>IF(AND('Skill Matrix'!A111&lt;&gt;"",'Skill Matrix'!S5&lt;&gt;""),'Skill Matrix'!A111,"")</f>
        <v/>
      </c>
      <c r="B1696">
        <f>IF(A1696="","",'Employees'!C12)</f>
        <v/>
      </c>
      <c r="C1696">
        <f>IF(A1696="","",'Employees'!D12)</f>
        <v/>
      </c>
      <c r="D1696">
        <f>IF(A1696="","",'Skill Matrix'!C111)</f>
        <v/>
      </c>
      <c r="E1696">
        <f>IF(A1696="","",'Skill Matrix'!D111)</f>
        <v/>
      </c>
      <c r="F1696">
        <f>IF(AND('Skill Matrix'!A111&lt;&gt;"",'Skill Matrix'!S5&lt;&gt;""),'Skill Matrix'!S5,"")</f>
        <v/>
      </c>
      <c r="G1696">
        <f>IF(OR(A1696="",'Skill Matrix'!S111=""),"",'Skill Matrix'!S111)</f>
        <v/>
      </c>
      <c r="H1696">
        <f>IF(A1696="","",'Employees'!F12)</f>
        <v/>
      </c>
    </row>
    <row r="1697">
      <c r="A1697">
        <f>IF(AND('Skill Matrix'!A111&lt;&gt;"",'Skill Matrix'!T5&lt;&gt;""),'Skill Matrix'!A111,"")</f>
        <v/>
      </c>
      <c r="B1697">
        <f>IF(A1697="","",'Employees'!C12)</f>
        <v/>
      </c>
      <c r="C1697">
        <f>IF(A1697="","",'Employees'!D12)</f>
        <v/>
      </c>
      <c r="D1697">
        <f>IF(A1697="","",'Skill Matrix'!C111)</f>
        <v/>
      </c>
      <c r="E1697">
        <f>IF(A1697="","",'Skill Matrix'!D111)</f>
        <v/>
      </c>
      <c r="F1697">
        <f>IF(AND('Skill Matrix'!A111&lt;&gt;"",'Skill Matrix'!T5&lt;&gt;""),'Skill Matrix'!T5,"")</f>
        <v/>
      </c>
      <c r="G1697">
        <f>IF(OR(A1697="",'Skill Matrix'!T111=""),"",'Skill Matrix'!T111)</f>
        <v/>
      </c>
      <c r="H1697">
        <f>IF(A1697="","",'Employees'!F12)</f>
        <v/>
      </c>
    </row>
    <row r="1698">
      <c r="A1698">
        <f>IF(AND('Skill Matrix'!A112&lt;&gt;"",'Skill Matrix'!E5&lt;&gt;""),'Skill Matrix'!A112,"")</f>
        <v/>
      </c>
      <c r="B1698">
        <f>IF(A1698="","",'Employees'!C12)</f>
        <v/>
      </c>
      <c r="C1698">
        <f>IF(A1698="","",'Employees'!D12)</f>
        <v/>
      </c>
      <c r="D1698">
        <f>IF(A1698="","",'Skill Matrix'!C112)</f>
        <v/>
      </c>
      <c r="E1698">
        <f>IF(A1698="","",'Skill Matrix'!D112)</f>
        <v/>
      </c>
      <c r="F1698">
        <f>IF(AND('Skill Matrix'!A112&lt;&gt;"",'Skill Matrix'!E5&lt;&gt;""),'Skill Matrix'!E5,"")</f>
        <v/>
      </c>
      <c r="G1698">
        <f>IF(OR(A1698="",'Skill Matrix'!E112=""),"",'Skill Matrix'!E112)</f>
        <v/>
      </c>
      <c r="H1698">
        <f>IF(A1698="","",'Employees'!F12)</f>
        <v/>
      </c>
    </row>
    <row r="1699">
      <c r="A1699">
        <f>IF(AND('Skill Matrix'!A112&lt;&gt;"",'Skill Matrix'!F5&lt;&gt;""),'Skill Matrix'!A112,"")</f>
        <v/>
      </c>
      <c r="B1699">
        <f>IF(A1699="","",'Employees'!C12)</f>
        <v/>
      </c>
      <c r="C1699">
        <f>IF(A1699="","",'Employees'!D12)</f>
        <v/>
      </c>
      <c r="D1699">
        <f>IF(A1699="","",'Skill Matrix'!C112)</f>
        <v/>
      </c>
      <c r="E1699">
        <f>IF(A1699="","",'Skill Matrix'!D112)</f>
        <v/>
      </c>
      <c r="F1699">
        <f>IF(AND('Skill Matrix'!A112&lt;&gt;"",'Skill Matrix'!F5&lt;&gt;""),'Skill Matrix'!F5,"")</f>
        <v/>
      </c>
      <c r="G1699">
        <f>IF(OR(A1699="",'Skill Matrix'!F112=""),"",'Skill Matrix'!F112)</f>
        <v/>
      </c>
      <c r="H1699">
        <f>IF(A1699="","",'Employees'!F12)</f>
        <v/>
      </c>
    </row>
    <row r="1700">
      <c r="A1700">
        <f>IF(AND('Skill Matrix'!A112&lt;&gt;"",'Skill Matrix'!G5&lt;&gt;""),'Skill Matrix'!A112,"")</f>
        <v/>
      </c>
      <c r="B1700">
        <f>IF(A1700="","",'Employees'!C12)</f>
        <v/>
      </c>
      <c r="C1700">
        <f>IF(A1700="","",'Employees'!D12)</f>
        <v/>
      </c>
      <c r="D1700">
        <f>IF(A1700="","",'Skill Matrix'!C112)</f>
        <v/>
      </c>
      <c r="E1700">
        <f>IF(A1700="","",'Skill Matrix'!D112)</f>
        <v/>
      </c>
      <c r="F1700">
        <f>IF(AND('Skill Matrix'!A112&lt;&gt;"",'Skill Matrix'!G5&lt;&gt;""),'Skill Matrix'!G5,"")</f>
        <v/>
      </c>
      <c r="G1700">
        <f>IF(OR(A1700="",'Skill Matrix'!G112=""),"",'Skill Matrix'!G112)</f>
        <v/>
      </c>
      <c r="H1700">
        <f>IF(A1700="","",'Employees'!F12)</f>
        <v/>
      </c>
    </row>
    <row r="1701">
      <c r="A1701">
        <f>IF(AND('Skill Matrix'!A112&lt;&gt;"",'Skill Matrix'!H5&lt;&gt;""),'Skill Matrix'!A112,"")</f>
        <v/>
      </c>
      <c r="B1701">
        <f>IF(A1701="","",'Employees'!C12)</f>
        <v/>
      </c>
      <c r="C1701">
        <f>IF(A1701="","",'Employees'!D12)</f>
        <v/>
      </c>
      <c r="D1701">
        <f>IF(A1701="","",'Skill Matrix'!C112)</f>
        <v/>
      </c>
      <c r="E1701">
        <f>IF(A1701="","",'Skill Matrix'!D112)</f>
        <v/>
      </c>
      <c r="F1701">
        <f>IF(AND('Skill Matrix'!A112&lt;&gt;"",'Skill Matrix'!H5&lt;&gt;""),'Skill Matrix'!H5,"")</f>
        <v/>
      </c>
      <c r="G1701">
        <f>IF(OR(A1701="",'Skill Matrix'!H112=""),"",'Skill Matrix'!H112)</f>
        <v/>
      </c>
      <c r="H1701">
        <f>IF(A1701="","",'Employees'!F12)</f>
        <v/>
      </c>
    </row>
    <row r="1702">
      <c r="A1702">
        <f>IF(AND('Skill Matrix'!A112&lt;&gt;"",'Skill Matrix'!I5&lt;&gt;""),'Skill Matrix'!A112,"")</f>
        <v/>
      </c>
      <c r="B1702">
        <f>IF(A1702="","",'Employees'!C12)</f>
        <v/>
      </c>
      <c r="C1702">
        <f>IF(A1702="","",'Employees'!D12)</f>
        <v/>
      </c>
      <c r="D1702">
        <f>IF(A1702="","",'Skill Matrix'!C112)</f>
        <v/>
      </c>
      <c r="E1702">
        <f>IF(A1702="","",'Skill Matrix'!D112)</f>
        <v/>
      </c>
      <c r="F1702">
        <f>IF(AND('Skill Matrix'!A112&lt;&gt;"",'Skill Matrix'!I5&lt;&gt;""),'Skill Matrix'!I5,"")</f>
        <v/>
      </c>
      <c r="G1702">
        <f>IF(OR(A1702="",'Skill Matrix'!I112=""),"",'Skill Matrix'!I112)</f>
        <v/>
      </c>
      <c r="H1702">
        <f>IF(A1702="","",'Employees'!F12)</f>
        <v/>
      </c>
    </row>
    <row r="1703">
      <c r="A1703">
        <f>IF(AND('Skill Matrix'!A112&lt;&gt;"",'Skill Matrix'!J5&lt;&gt;""),'Skill Matrix'!A112,"")</f>
        <v/>
      </c>
      <c r="B1703">
        <f>IF(A1703="","",'Employees'!C12)</f>
        <v/>
      </c>
      <c r="C1703">
        <f>IF(A1703="","",'Employees'!D12)</f>
        <v/>
      </c>
      <c r="D1703">
        <f>IF(A1703="","",'Skill Matrix'!C112)</f>
        <v/>
      </c>
      <c r="E1703">
        <f>IF(A1703="","",'Skill Matrix'!D112)</f>
        <v/>
      </c>
      <c r="F1703">
        <f>IF(AND('Skill Matrix'!A112&lt;&gt;"",'Skill Matrix'!J5&lt;&gt;""),'Skill Matrix'!J5,"")</f>
        <v/>
      </c>
      <c r="G1703">
        <f>IF(OR(A1703="",'Skill Matrix'!J112=""),"",'Skill Matrix'!J112)</f>
        <v/>
      </c>
      <c r="H1703">
        <f>IF(A1703="","",'Employees'!F12)</f>
        <v/>
      </c>
    </row>
    <row r="1704">
      <c r="A1704">
        <f>IF(AND('Skill Matrix'!A112&lt;&gt;"",'Skill Matrix'!K5&lt;&gt;""),'Skill Matrix'!A112,"")</f>
        <v/>
      </c>
      <c r="B1704">
        <f>IF(A1704="","",'Employees'!C12)</f>
        <v/>
      </c>
      <c r="C1704">
        <f>IF(A1704="","",'Employees'!D12)</f>
        <v/>
      </c>
      <c r="D1704">
        <f>IF(A1704="","",'Skill Matrix'!C112)</f>
        <v/>
      </c>
      <c r="E1704">
        <f>IF(A1704="","",'Skill Matrix'!D112)</f>
        <v/>
      </c>
      <c r="F1704">
        <f>IF(AND('Skill Matrix'!A112&lt;&gt;"",'Skill Matrix'!K5&lt;&gt;""),'Skill Matrix'!K5,"")</f>
        <v/>
      </c>
      <c r="G1704">
        <f>IF(OR(A1704="",'Skill Matrix'!K112=""),"",'Skill Matrix'!K112)</f>
        <v/>
      </c>
      <c r="H1704">
        <f>IF(A1704="","",'Employees'!F12)</f>
        <v/>
      </c>
    </row>
    <row r="1705">
      <c r="A1705">
        <f>IF(AND('Skill Matrix'!A112&lt;&gt;"",'Skill Matrix'!L5&lt;&gt;""),'Skill Matrix'!A112,"")</f>
        <v/>
      </c>
      <c r="B1705">
        <f>IF(A1705="","",'Employees'!C12)</f>
        <v/>
      </c>
      <c r="C1705">
        <f>IF(A1705="","",'Employees'!D12)</f>
        <v/>
      </c>
      <c r="D1705">
        <f>IF(A1705="","",'Skill Matrix'!C112)</f>
        <v/>
      </c>
      <c r="E1705">
        <f>IF(A1705="","",'Skill Matrix'!D112)</f>
        <v/>
      </c>
      <c r="F1705">
        <f>IF(AND('Skill Matrix'!A112&lt;&gt;"",'Skill Matrix'!L5&lt;&gt;""),'Skill Matrix'!L5,"")</f>
        <v/>
      </c>
      <c r="G1705">
        <f>IF(OR(A1705="",'Skill Matrix'!L112=""),"",'Skill Matrix'!L112)</f>
        <v/>
      </c>
      <c r="H1705">
        <f>IF(A1705="","",'Employees'!F12)</f>
        <v/>
      </c>
    </row>
    <row r="1706">
      <c r="A1706">
        <f>IF(AND('Skill Matrix'!A112&lt;&gt;"",'Skill Matrix'!M5&lt;&gt;""),'Skill Matrix'!A112,"")</f>
        <v/>
      </c>
      <c r="B1706">
        <f>IF(A1706="","",'Employees'!C12)</f>
        <v/>
      </c>
      <c r="C1706">
        <f>IF(A1706="","",'Employees'!D12)</f>
        <v/>
      </c>
      <c r="D1706">
        <f>IF(A1706="","",'Skill Matrix'!C112)</f>
        <v/>
      </c>
      <c r="E1706">
        <f>IF(A1706="","",'Skill Matrix'!D112)</f>
        <v/>
      </c>
      <c r="F1706">
        <f>IF(AND('Skill Matrix'!A112&lt;&gt;"",'Skill Matrix'!M5&lt;&gt;""),'Skill Matrix'!M5,"")</f>
        <v/>
      </c>
      <c r="G1706">
        <f>IF(OR(A1706="",'Skill Matrix'!M112=""),"",'Skill Matrix'!M112)</f>
        <v/>
      </c>
      <c r="H1706">
        <f>IF(A1706="","",'Employees'!F12)</f>
        <v/>
      </c>
    </row>
    <row r="1707">
      <c r="A1707">
        <f>IF(AND('Skill Matrix'!A112&lt;&gt;"",'Skill Matrix'!N5&lt;&gt;""),'Skill Matrix'!A112,"")</f>
        <v/>
      </c>
      <c r="B1707">
        <f>IF(A1707="","",'Employees'!C12)</f>
        <v/>
      </c>
      <c r="C1707">
        <f>IF(A1707="","",'Employees'!D12)</f>
        <v/>
      </c>
      <c r="D1707">
        <f>IF(A1707="","",'Skill Matrix'!C112)</f>
        <v/>
      </c>
      <c r="E1707">
        <f>IF(A1707="","",'Skill Matrix'!D112)</f>
        <v/>
      </c>
      <c r="F1707">
        <f>IF(AND('Skill Matrix'!A112&lt;&gt;"",'Skill Matrix'!N5&lt;&gt;""),'Skill Matrix'!N5,"")</f>
        <v/>
      </c>
      <c r="G1707">
        <f>IF(OR(A1707="",'Skill Matrix'!N112=""),"",'Skill Matrix'!N112)</f>
        <v/>
      </c>
      <c r="H1707">
        <f>IF(A1707="","",'Employees'!F12)</f>
        <v/>
      </c>
    </row>
    <row r="1708">
      <c r="A1708">
        <f>IF(AND('Skill Matrix'!A112&lt;&gt;"",'Skill Matrix'!O5&lt;&gt;""),'Skill Matrix'!A112,"")</f>
        <v/>
      </c>
      <c r="B1708">
        <f>IF(A1708="","",'Employees'!C12)</f>
        <v/>
      </c>
      <c r="C1708">
        <f>IF(A1708="","",'Employees'!D12)</f>
        <v/>
      </c>
      <c r="D1708">
        <f>IF(A1708="","",'Skill Matrix'!C112)</f>
        <v/>
      </c>
      <c r="E1708">
        <f>IF(A1708="","",'Skill Matrix'!D112)</f>
        <v/>
      </c>
      <c r="F1708">
        <f>IF(AND('Skill Matrix'!A112&lt;&gt;"",'Skill Matrix'!O5&lt;&gt;""),'Skill Matrix'!O5,"")</f>
        <v/>
      </c>
      <c r="G1708">
        <f>IF(OR(A1708="",'Skill Matrix'!O112=""),"",'Skill Matrix'!O112)</f>
        <v/>
      </c>
      <c r="H1708">
        <f>IF(A1708="","",'Employees'!F12)</f>
        <v/>
      </c>
    </row>
    <row r="1709">
      <c r="A1709">
        <f>IF(AND('Skill Matrix'!A112&lt;&gt;"",'Skill Matrix'!P5&lt;&gt;""),'Skill Matrix'!A112,"")</f>
        <v/>
      </c>
      <c r="B1709">
        <f>IF(A1709="","",'Employees'!C12)</f>
        <v/>
      </c>
      <c r="C1709">
        <f>IF(A1709="","",'Employees'!D12)</f>
        <v/>
      </c>
      <c r="D1709">
        <f>IF(A1709="","",'Skill Matrix'!C112)</f>
        <v/>
      </c>
      <c r="E1709">
        <f>IF(A1709="","",'Skill Matrix'!D112)</f>
        <v/>
      </c>
      <c r="F1709">
        <f>IF(AND('Skill Matrix'!A112&lt;&gt;"",'Skill Matrix'!P5&lt;&gt;""),'Skill Matrix'!P5,"")</f>
        <v/>
      </c>
      <c r="G1709">
        <f>IF(OR(A1709="",'Skill Matrix'!P112=""),"",'Skill Matrix'!P112)</f>
        <v/>
      </c>
      <c r="H1709">
        <f>IF(A1709="","",'Employees'!F12)</f>
        <v/>
      </c>
    </row>
    <row r="1710">
      <c r="A1710">
        <f>IF(AND('Skill Matrix'!A112&lt;&gt;"",'Skill Matrix'!Q5&lt;&gt;""),'Skill Matrix'!A112,"")</f>
        <v/>
      </c>
      <c r="B1710">
        <f>IF(A1710="","",'Employees'!C12)</f>
        <v/>
      </c>
      <c r="C1710">
        <f>IF(A1710="","",'Employees'!D12)</f>
        <v/>
      </c>
      <c r="D1710">
        <f>IF(A1710="","",'Skill Matrix'!C112)</f>
        <v/>
      </c>
      <c r="E1710">
        <f>IF(A1710="","",'Skill Matrix'!D112)</f>
        <v/>
      </c>
      <c r="F1710">
        <f>IF(AND('Skill Matrix'!A112&lt;&gt;"",'Skill Matrix'!Q5&lt;&gt;""),'Skill Matrix'!Q5,"")</f>
        <v/>
      </c>
      <c r="G1710">
        <f>IF(OR(A1710="",'Skill Matrix'!Q112=""),"",'Skill Matrix'!Q112)</f>
        <v/>
      </c>
      <c r="H1710">
        <f>IF(A1710="","",'Employees'!F12)</f>
        <v/>
      </c>
    </row>
    <row r="1711">
      <c r="A1711">
        <f>IF(AND('Skill Matrix'!A112&lt;&gt;"",'Skill Matrix'!R5&lt;&gt;""),'Skill Matrix'!A112,"")</f>
        <v/>
      </c>
      <c r="B1711">
        <f>IF(A1711="","",'Employees'!C12)</f>
        <v/>
      </c>
      <c r="C1711">
        <f>IF(A1711="","",'Employees'!D12)</f>
        <v/>
      </c>
      <c r="D1711">
        <f>IF(A1711="","",'Skill Matrix'!C112)</f>
        <v/>
      </c>
      <c r="E1711">
        <f>IF(A1711="","",'Skill Matrix'!D112)</f>
        <v/>
      </c>
      <c r="F1711">
        <f>IF(AND('Skill Matrix'!A112&lt;&gt;"",'Skill Matrix'!R5&lt;&gt;""),'Skill Matrix'!R5,"")</f>
        <v/>
      </c>
      <c r="G1711">
        <f>IF(OR(A1711="",'Skill Matrix'!R112=""),"",'Skill Matrix'!R112)</f>
        <v/>
      </c>
      <c r="H1711">
        <f>IF(A1711="","",'Employees'!F12)</f>
        <v/>
      </c>
    </row>
    <row r="1712">
      <c r="A1712">
        <f>IF(AND('Skill Matrix'!A112&lt;&gt;"",'Skill Matrix'!S5&lt;&gt;""),'Skill Matrix'!A112,"")</f>
        <v/>
      </c>
      <c r="B1712">
        <f>IF(A1712="","",'Employees'!C12)</f>
        <v/>
      </c>
      <c r="C1712">
        <f>IF(A1712="","",'Employees'!D12)</f>
        <v/>
      </c>
      <c r="D1712">
        <f>IF(A1712="","",'Skill Matrix'!C112)</f>
        <v/>
      </c>
      <c r="E1712">
        <f>IF(A1712="","",'Skill Matrix'!D112)</f>
        <v/>
      </c>
      <c r="F1712">
        <f>IF(AND('Skill Matrix'!A112&lt;&gt;"",'Skill Matrix'!S5&lt;&gt;""),'Skill Matrix'!S5,"")</f>
        <v/>
      </c>
      <c r="G1712">
        <f>IF(OR(A1712="",'Skill Matrix'!S112=""),"",'Skill Matrix'!S112)</f>
        <v/>
      </c>
      <c r="H1712">
        <f>IF(A1712="","",'Employees'!F12)</f>
        <v/>
      </c>
    </row>
    <row r="1713">
      <c r="A1713">
        <f>IF(AND('Skill Matrix'!A112&lt;&gt;"",'Skill Matrix'!T5&lt;&gt;""),'Skill Matrix'!A112,"")</f>
        <v/>
      </c>
      <c r="B1713">
        <f>IF(A1713="","",'Employees'!C12)</f>
        <v/>
      </c>
      <c r="C1713">
        <f>IF(A1713="","",'Employees'!D12)</f>
        <v/>
      </c>
      <c r="D1713">
        <f>IF(A1713="","",'Skill Matrix'!C112)</f>
        <v/>
      </c>
      <c r="E1713">
        <f>IF(A1713="","",'Skill Matrix'!D112)</f>
        <v/>
      </c>
      <c r="F1713">
        <f>IF(AND('Skill Matrix'!A112&lt;&gt;"",'Skill Matrix'!T5&lt;&gt;""),'Skill Matrix'!T5,"")</f>
        <v/>
      </c>
      <c r="G1713">
        <f>IF(OR(A1713="",'Skill Matrix'!T112=""),"",'Skill Matrix'!T112)</f>
        <v/>
      </c>
      <c r="H1713">
        <f>IF(A1713="","",'Employees'!F12)</f>
        <v/>
      </c>
    </row>
    <row r="1714">
      <c r="A1714">
        <f>IF(AND('Skill Matrix'!A113&lt;&gt;"",'Skill Matrix'!E5&lt;&gt;""),'Skill Matrix'!A113,"")</f>
        <v/>
      </c>
      <c r="B1714">
        <f>IF(A1714="","",'Employees'!C12)</f>
        <v/>
      </c>
      <c r="C1714">
        <f>IF(A1714="","",'Employees'!D12)</f>
        <v/>
      </c>
      <c r="D1714">
        <f>IF(A1714="","",'Skill Matrix'!C113)</f>
        <v/>
      </c>
      <c r="E1714">
        <f>IF(A1714="","",'Skill Matrix'!D113)</f>
        <v/>
      </c>
      <c r="F1714">
        <f>IF(AND('Skill Matrix'!A113&lt;&gt;"",'Skill Matrix'!E5&lt;&gt;""),'Skill Matrix'!E5,"")</f>
        <v/>
      </c>
      <c r="G1714">
        <f>IF(OR(A1714="",'Skill Matrix'!E113=""),"",'Skill Matrix'!E113)</f>
        <v/>
      </c>
      <c r="H1714">
        <f>IF(A1714="","",'Employees'!F12)</f>
        <v/>
      </c>
    </row>
    <row r="1715">
      <c r="A1715">
        <f>IF(AND('Skill Matrix'!A113&lt;&gt;"",'Skill Matrix'!F5&lt;&gt;""),'Skill Matrix'!A113,"")</f>
        <v/>
      </c>
      <c r="B1715">
        <f>IF(A1715="","",'Employees'!C12)</f>
        <v/>
      </c>
      <c r="C1715">
        <f>IF(A1715="","",'Employees'!D12)</f>
        <v/>
      </c>
      <c r="D1715">
        <f>IF(A1715="","",'Skill Matrix'!C113)</f>
        <v/>
      </c>
      <c r="E1715">
        <f>IF(A1715="","",'Skill Matrix'!D113)</f>
        <v/>
      </c>
      <c r="F1715">
        <f>IF(AND('Skill Matrix'!A113&lt;&gt;"",'Skill Matrix'!F5&lt;&gt;""),'Skill Matrix'!F5,"")</f>
        <v/>
      </c>
      <c r="G1715">
        <f>IF(OR(A1715="",'Skill Matrix'!F113=""),"",'Skill Matrix'!F113)</f>
        <v/>
      </c>
      <c r="H1715">
        <f>IF(A1715="","",'Employees'!F12)</f>
        <v/>
      </c>
    </row>
    <row r="1716">
      <c r="A1716">
        <f>IF(AND('Skill Matrix'!A113&lt;&gt;"",'Skill Matrix'!G5&lt;&gt;""),'Skill Matrix'!A113,"")</f>
        <v/>
      </c>
      <c r="B1716">
        <f>IF(A1716="","",'Employees'!C12)</f>
        <v/>
      </c>
      <c r="C1716">
        <f>IF(A1716="","",'Employees'!D12)</f>
        <v/>
      </c>
      <c r="D1716">
        <f>IF(A1716="","",'Skill Matrix'!C113)</f>
        <v/>
      </c>
      <c r="E1716">
        <f>IF(A1716="","",'Skill Matrix'!D113)</f>
        <v/>
      </c>
      <c r="F1716">
        <f>IF(AND('Skill Matrix'!A113&lt;&gt;"",'Skill Matrix'!G5&lt;&gt;""),'Skill Matrix'!G5,"")</f>
        <v/>
      </c>
      <c r="G1716">
        <f>IF(OR(A1716="",'Skill Matrix'!G113=""),"",'Skill Matrix'!G113)</f>
        <v/>
      </c>
      <c r="H1716">
        <f>IF(A1716="","",'Employees'!F12)</f>
        <v/>
      </c>
    </row>
    <row r="1717">
      <c r="A1717">
        <f>IF(AND('Skill Matrix'!A113&lt;&gt;"",'Skill Matrix'!H5&lt;&gt;""),'Skill Matrix'!A113,"")</f>
        <v/>
      </c>
      <c r="B1717">
        <f>IF(A1717="","",'Employees'!C12)</f>
        <v/>
      </c>
      <c r="C1717">
        <f>IF(A1717="","",'Employees'!D12)</f>
        <v/>
      </c>
      <c r="D1717">
        <f>IF(A1717="","",'Skill Matrix'!C113)</f>
        <v/>
      </c>
      <c r="E1717">
        <f>IF(A1717="","",'Skill Matrix'!D113)</f>
        <v/>
      </c>
      <c r="F1717">
        <f>IF(AND('Skill Matrix'!A113&lt;&gt;"",'Skill Matrix'!H5&lt;&gt;""),'Skill Matrix'!H5,"")</f>
        <v/>
      </c>
      <c r="G1717">
        <f>IF(OR(A1717="",'Skill Matrix'!H113=""),"",'Skill Matrix'!H113)</f>
        <v/>
      </c>
      <c r="H1717">
        <f>IF(A1717="","",'Employees'!F12)</f>
        <v/>
      </c>
    </row>
    <row r="1718">
      <c r="A1718">
        <f>IF(AND('Skill Matrix'!A113&lt;&gt;"",'Skill Matrix'!I5&lt;&gt;""),'Skill Matrix'!A113,"")</f>
        <v/>
      </c>
      <c r="B1718">
        <f>IF(A1718="","",'Employees'!C12)</f>
        <v/>
      </c>
      <c r="C1718">
        <f>IF(A1718="","",'Employees'!D12)</f>
        <v/>
      </c>
      <c r="D1718">
        <f>IF(A1718="","",'Skill Matrix'!C113)</f>
        <v/>
      </c>
      <c r="E1718">
        <f>IF(A1718="","",'Skill Matrix'!D113)</f>
        <v/>
      </c>
      <c r="F1718">
        <f>IF(AND('Skill Matrix'!A113&lt;&gt;"",'Skill Matrix'!I5&lt;&gt;""),'Skill Matrix'!I5,"")</f>
        <v/>
      </c>
      <c r="G1718">
        <f>IF(OR(A1718="",'Skill Matrix'!I113=""),"",'Skill Matrix'!I113)</f>
        <v/>
      </c>
      <c r="H1718">
        <f>IF(A1718="","",'Employees'!F12)</f>
        <v/>
      </c>
    </row>
    <row r="1719">
      <c r="A1719">
        <f>IF(AND('Skill Matrix'!A113&lt;&gt;"",'Skill Matrix'!J5&lt;&gt;""),'Skill Matrix'!A113,"")</f>
        <v/>
      </c>
      <c r="B1719">
        <f>IF(A1719="","",'Employees'!C12)</f>
        <v/>
      </c>
      <c r="C1719">
        <f>IF(A1719="","",'Employees'!D12)</f>
        <v/>
      </c>
      <c r="D1719">
        <f>IF(A1719="","",'Skill Matrix'!C113)</f>
        <v/>
      </c>
      <c r="E1719">
        <f>IF(A1719="","",'Skill Matrix'!D113)</f>
        <v/>
      </c>
      <c r="F1719">
        <f>IF(AND('Skill Matrix'!A113&lt;&gt;"",'Skill Matrix'!J5&lt;&gt;""),'Skill Matrix'!J5,"")</f>
        <v/>
      </c>
      <c r="G1719">
        <f>IF(OR(A1719="",'Skill Matrix'!J113=""),"",'Skill Matrix'!J113)</f>
        <v/>
      </c>
      <c r="H1719">
        <f>IF(A1719="","",'Employees'!F12)</f>
        <v/>
      </c>
    </row>
    <row r="1720">
      <c r="A1720">
        <f>IF(AND('Skill Matrix'!A113&lt;&gt;"",'Skill Matrix'!K5&lt;&gt;""),'Skill Matrix'!A113,"")</f>
        <v/>
      </c>
      <c r="B1720">
        <f>IF(A1720="","",'Employees'!C12)</f>
        <v/>
      </c>
      <c r="C1720">
        <f>IF(A1720="","",'Employees'!D12)</f>
        <v/>
      </c>
      <c r="D1720">
        <f>IF(A1720="","",'Skill Matrix'!C113)</f>
        <v/>
      </c>
      <c r="E1720">
        <f>IF(A1720="","",'Skill Matrix'!D113)</f>
        <v/>
      </c>
      <c r="F1720">
        <f>IF(AND('Skill Matrix'!A113&lt;&gt;"",'Skill Matrix'!K5&lt;&gt;""),'Skill Matrix'!K5,"")</f>
        <v/>
      </c>
      <c r="G1720">
        <f>IF(OR(A1720="",'Skill Matrix'!K113=""),"",'Skill Matrix'!K113)</f>
        <v/>
      </c>
      <c r="H1720">
        <f>IF(A1720="","",'Employees'!F12)</f>
        <v/>
      </c>
    </row>
    <row r="1721">
      <c r="A1721">
        <f>IF(AND('Skill Matrix'!A113&lt;&gt;"",'Skill Matrix'!L5&lt;&gt;""),'Skill Matrix'!A113,"")</f>
        <v/>
      </c>
      <c r="B1721">
        <f>IF(A1721="","",'Employees'!C12)</f>
        <v/>
      </c>
      <c r="C1721">
        <f>IF(A1721="","",'Employees'!D12)</f>
        <v/>
      </c>
      <c r="D1721">
        <f>IF(A1721="","",'Skill Matrix'!C113)</f>
        <v/>
      </c>
      <c r="E1721">
        <f>IF(A1721="","",'Skill Matrix'!D113)</f>
        <v/>
      </c>
      <c r="F1721">
        <f>IF(AND('Skill Matrix'!A113&lt;&gt;"",'Skill Matrix'!L5&lt;&gt;""),'Skill Matrix'!L5,"")</f>
        <v/>
      </c>
      <c r="G1721">
        <f>IF(OR(A1721="",'Skill Matrix'!L113=""),"",'Skill Matrix'!L113)</f>
        <v/>
      </c>
      <c r="H1721">
        <f>IF(A1721="","",'Employees'!F12)</f>
        <v/>
      </c>
    </row>
    <row r="1722">
      <c r="A1722">
        <f>IF(AND('Skill Matrix'!A113&lt;&gt;"",'Skill Matrix'!M5&lt;&gt;""),'Skill Matrix'!A113,"")</f>
        <v/>
      </c>
      <c r="B1722">
        <f>IF(A1722="","",'Employees'!C12)</f>
        <v/>
      </c>
      <c r="C1722">
        <f>IF(A1722="","",'Employees'!D12)</f>
        <v/>
      </c>
      <c r="D1722">
        <f>IF(A1722="","",'Skill Matrix'!C113)</f>
        <v/>
      </c>
      <c r="E1722">
        <f>IF(A1722="","",'Skill Matrix'!D113)</f>
        <v/>
      </c>
      <c r="F1722">
        <f>IF(AND('Skill Matrix'!A113&lt;&gt;"",'Skill Matrix'!M5&lt;&gt;""),'Skill Matrix'!M5,"")</f>
        <v/>
      </c>
      <c r="G1722">
        <f>IF(OR(A1722="",'Skill Matrix'!M113=""),"",'Skill Matrix'!M113)</f>
        <v/>
      </c>
      <c r="H1722">
        <f>IF(A1722="","",'Employees'!F12)</f>
        <v/>
      </c>
    </row>
    <row r="1723">
      <c r="A1723">
        <f>IF(AND('Skill Matrix'!A113&lt;&gt;"",'Skill Matrix'!N5&lt;&gt;""),'Skill Matrix'!A113,"")</f>
        <v/>
      </c>
      <c r="B1723">
        <f>IF(A1723="","",'Employees'!C12)</f>
        <v/>
      </c>
      <c r="C1723">
        <f>IF(A1723="","",'Employees'!D12)</f>
        <v/>
      </c>
      <c r="D1723">
        <f>IF(A1723="","",'Skill Matrix'!C113)</f>
        <v/>
      </c>
      <c r="E1723">
        <f>IF(A1723="","",'Skill Matrix'!D113)</f>
        <v/>
      </c>
      <c r="F1723">
        <f>IF(AND('Skill Matrix'!A113&lt;&gt;"",'Skill Matrix'!N5&lt;&gt;""),'Skill Matrix'!N5,"")</f>
        <v/>
      </c>
      <c r="G1723">
        <f>IF(OR(A1723="",'Skill Matrix'!N113=""),"",'Skill Matrix'!N113)</f>
        <v/>
      </c>
      <c r="H1723">
        <f>IF(A1723="","",'Employees'!F12)</f>
        <v/>
      </c>
    </row>
    <row r="1724">
      <c r="A1724">
        <f>IF(AND('Skill Matrix'!A113&lt;&gt;"",'Skill Matrix'!O5&lt;&gt;""),'Skill Matrix'!A113,"")</f>
        <v/>
      </c>
      <c r="B1724">
        <f>IF(A1724="","",'Employees'!C12)</f>
        <v/>
      </c>
      <c r="C1724">
        <f>IF(A1724="","",'Employees'!D12)</f>
        <v/>
      </c>
      <c r="D1724">
        <f>IF(A1724="","",'Skill Matrix'!C113)</f>
        <v/>
      </c>
      <c r="E1724">
        <f>IF(A1724="","",'Skill Matrix'!D113)</f>
        <v/>
      </c>
      <c r="F1724">
        <f>IF(AND('Skill Matrix'!A113&lt;&gt;"",'Skill Matrix'!O5&lt;&gt;""),'Skill Matrix'!O5,"")</f>
        <v/>
      </c>
      <c r="G1724">
        <f>IF(OR(A1724="",'Skill Matrix'!O113=""),"",'Skill Matrix'!O113)</f>
        <v/>
      </c>
      <c r="H1724">
        <f>IF(A1724="","",'Employees'!F12)</f>
        <v/>
      </c>
    </row>
    <row r="1725">
      <c r="A1725">
        <f>IF(AND('Skill Matrix'!A113&lt;&gt;"",'Skill Matrix'!P5&lt;&gt;""),'Skill Matrix'!A113,"")</f>
        <v/>
      </c>
      <c r="B1725">
        <f>IF(A1725="","",'Employees'!C12)</f>
        <v/>
      </c>
      <c r="C1725">
        <f>IF(A1725="","",'Employees'!D12)</f>
        <v/>
      </c>
      <c r="D1725">
        <f>IF(A1725="","",'Skill Matrix'!C113)</f>
        <v/>
      </c>
      <c r="E1725">
        <f>IF(A1725="","",'Skill Matrix'!D113)</f>
        <v/>
      </c>
      <c r="F1725">
        <f>IF(AND('Skill Matrix'!A113&lt;&gt;"",'Skill Matrix'!P5&lt;&gt;""),'Skill Matrix'!P5,"")</f>
        <v/>
      </c>
      <c r="G1725">
        <f>IF(OR(A1725="",'Skill Matrix'!P113=""),"",'Skill Matrix'!P113)</f>
        <v/>
      </c>
      <c r="H1725">
        <f>IF(A1725="","",'Employees'!F12)</f>
        <v/>
      </c>
    </row>
    <row r="1726">
      <c r="A1726">
        <f>IF(AND('Skill Matrix'!A113&lt;&gt;"",'Skill Matrix'!Q5&lt;&gt;""),'Skill Matrix'!A113,"")</f>
        <v/>
      </c>
      <c r="B1726">
        <f>IF(A1726="","",'Employees'!C12)</f>
        <v/>
      </c>
      <c r="C1726">
        <f>IF(A1726="","",'Employees'!D12)</f>
        <v/>
      </c>
      <c r="D1726">
        <f>IF(A1726="","",'Skill Matrix'!C113)</f>
        <v/>
      </c>
      <c r="E1726">
        <f>IF(A1726="","",'Skill Matrix'!D113)</f>
        <v/>
      </c>
      <c r="F1726">
        <f>IF(AND('Skill Matrix'!A113&lt;&gt;"",'Skill Matrix'!Q5&lt;&gt;""),'Skill Matrix'!Q5,"")</f>
        <v/>
      </c>
      <c r="G1726">
        <f>IF(OR(A1726="",'Skill Matrix'!Q113=""),"",'Skill Matrix'!Q113)</f>
        <v/>
      </c>
      <c r="H1726">
        <f>IF(A1726="","",'Employees'!F12)</f>
        <v/>
      </c>
    </row>
    <row r="1727">
      <c r="A1727">
        <f>IF(AND('Skill Matrix'!A113&lt;&gt;"",'Skill Matrix'!R5&lt;&gt;""),'Skill Matrix'!A113,"")</f>
        <v/>
      </c>
      <c r="B1727">
        <f>IF(A1727="","",'Employees'!C12)</f>
        <v/>
      </c>
      <c r="C1727">
        <f>IF(A1727="","",'Employees'!D12)</f>
        <v/>
      </c>
      <c r="D1727">
        <f>IF(A1727="","",'Skill Matrix'!C113)</f>
        <v/>
      </c>
      <c r="E1727">
        <f>IF(A1727="","",'Skill Matrix'!D113)</f>
        <v/>
      </c>
      <c r="F1727">
        <f>IF(AND('Skill Matrix'!A113&lt;&gt;"",'Skill Matrix'!R5&lt;&gt;""),'Skill Matrix'!R5,"")</f>
        <v/>
      </c>
      <c r="G1727">
        <f>IF(OR(A1727="",'Skill Matrix'!R113=""),"",'Skill Matrix'!R113)</f>
        <v/>
      </c>
      <c r="H1727">
        <f>IF(A1727="","",'Employees'!F12)</f>
        <v/>
      </c>
    </row>
    <row r="1728">
      <c r="A1728">
        <f>IF(AND('Skill Matrix'!A113&lt;&gt;"",'Skill Matrix'!S5&lt;&gt;""),'Skill Matrix'!A113,"")</f>
        <v/>
      </c>
      <c r="B1728">
        <f>IF(A1728="","",'Employees'!C12)</f>
        <v/>
      </c>
      <c r="C1728">
        <f>IF(A1728="","",'Employees'!D12)</f>
        <v/>
      </c>
      <c r="D1728">
        <f>IF(A1728="","",'Skill Matrix'!C113)</f>
        <v/>
      </c>
      <c r="E1728">
        <f>IF(A1728="","",'Skill Matrix'!D113)</f>
        <v/>
      </c>
      <c r="F1728">
        <f>IF(AND('Skill Matrix'!A113&lt;&gt;"",'Skill Matrix'!S5&lt;&gt;""),'Skill Matrix'!S5,"")</f>
        <v/>
      </c>
      <c r="G1728">
        <f>IF(OR(A1728="",'Skill Matrix'!S113=""),"",'Skill Matrix'!S113)</f>
        <v/>
      </c>
      <c r="H1728">
        <f>IF(A1728="","",'Employees'!F12)</f>
        <v/>
      </c>
    </row>
    <row r="1729">
      <c r="A1729">
        <f>IF(AND('Skill Matrix'!A113&lt;&gt;"",'Skill Matrix'!T5&lt;&gt;""),'Skill Matrix'!A113,"")</f>
        <v/>
      </c>
      <c r="B1729">
        <f>IF(A1729="","",'Employees'!C12)</f>
        <v/>
      </c>
      <c r="C1729">
        <f>IF(A1729="","",'Employees'!D12)</f>
        <v/>
      </c>
      <c r="D1729">
        <f>IF(A1729="","",'Skill Matrix'!C113)</f>
        <v/>
      </c>
      <c r="E1729">
        <f>IF(A1729="","",'Skill Matrix'!D113)</f>
        <v/>
      </c>
      <c r="F1729">
        <f>IF(AND('Skill Matrix'!A113&lt;&gt;"",'Skill Matrix'!T5&lt;&gt;""),'Skill Matrix'!T5,"")</f>
        <v/>
      </c>
      <c r="G1729">
        <f>IF(OR(A1729="",'Skill Matrix'!T113=""),"",'Skill Matrix'!T113)</f>
        <v/>
      </c>
      <c r="H1729">
        <f>IF(A1729="","",'Employees'!F12)</f>
        <v/>
      </c>
    </row>
    <row r="1730">
      <c r="A1730">
        <f>IF(AND('Skill Matrix'!A114&lt;&gt;"",'Skill Matrix'!E5&lt;&gt;""),'Skill Matrix'!A114,"")</f>
        <v/>
      </c>
      <c r="B1730">
        <f>IF(A1730="","",'Employees'!C12)</f>
        <v/>
      </c>
      <c r="C1730">
        <f>IF(A1730="","",'Employees'!D12)</f>
        <v/>
      </c>
      <c r="D1730">
        <f>IF(A1730="","",'Skill Matrix'!C114)</f>
        <v/>
      </c>
      <c r="E1730">
        <f>IF(A1730="","",'Skill Matrix'!D114)</f>
        <v/>
      </c>
      <c r="F1730">
        <f>IF(AND('Skill Matrix'!A114&lt;&gt;"",'Skill Matrix'!E5&lt;&gt;""),'Skill Matrix'!E5,"")</f>
        <v/>
      </c>
      <c r="G1730">
        <f>IF(OR(A1730="",'Skill Matrix'!E114=""),"",'Skill Matrix'!E114)</f>
        <v/>
      </c>
      <c r="H1730">
        <f>IF(A1730="","",'Employees'!F12)</f>
        <v/>
      </c>
    </row>
    <row r="1731">
      <c r="A1731">
        <f>IF(AND('Skill Matrix'!A114&lt;&gt;"",'Skill Matrix'!F5&lt;&gt;""),'Skill Matrix'!A114,"")</f>
        <v/>
      </c>
      <c r="B1731">
        <f>IF(A1731="","",'Employees'!C12)</f>
        <v/>
      </c>
      <c r="C1731">
        <f>IF(A1731="","",'Employees'!D12)</f>
        <v/>
      </c>
      <c r="D1731">
        <f>IF(A1731="","",'Skill Matrix'!C114)</f>
        <v/>
      </c>
      <c r="E1731">
        <f>IF(A1731="","",'Skill Matrix'!D114)</f>
        <v/>
      </c>
      <c r="F1731">
        <f>IF(AND('Skill Matrix'!A114&lt;&gt;"",'Skill Matrix'!F5&lt;&gt;""),'Skill Matrix'!F5,"")</f>
        <v/>
      </c>
      <c r="G1731">
        <f>IF(OR(A1731="",'Skill Matrix'!F114=""),"",'Skill Matrix'!F114)</f>
        <v/>
      </c>
      <c r="H1731">
        <f>IF(A1731="","",'Employees'!F12)</f>
        <v/>
      </c>
    </row>
    <row r="1732">
      <c r="A1732">
        <f>IF(AND('Skill Matrix'!A114&lt;&gt;"",'Skill Matrix'!G5&lt;&gt;""),'Skill Matrix'!A114,"")</f>
        <v/>
      </c>
      <c r="B1732">
        <f>IF(A1732="","",'Employees'!C12)</f>
        <v/>
      </c>
      <c r="C1732">
        <f>IF(A1732="","",'Employees'!D12)</f>
        <v/>
      </c>
      <c r="D1732">
        <f>IF(A1732="","",'Skill Matrix'!C114)</f>
        <v/>
      </c>
      <c r="E1732">
        <f>IF(A1732="","",'Skill Matrix'!D114)</f>
        <v/>
      </c>
      <c r="F1732">
        <f>IF(AND('Skill Matrix'!A114&lt;&gt;"",'Skill Matrix'!G5&lt;&gt;""),'Skill Matrix'!G5,"")</f>
        <v/>
      </c>
      <c r="G1732">
        <f>IF(OR(A1732="",'Skill Matrix'!G114=""),"",'Skill Matrix'!G114)</f>
        <v/>
      </c>
      <c r="H1732">
        <f>IF(A1732="","",'Employees'!F12)</f>
        <v/>
      </c>
    </row>
    <row r="1733">
      <c r="A1733">
        <f>IF(AND('Skill Matrix'!A114&lt;&gt;"",'Skill Matrix'!H5&lt;&gt;""),'Skill Matrix'!A114,"")</f>
        <v/>
      </c>
      <c r="B1733">
        <f>IF(A1733="","",'Employees'!C12)</f>
        <v/>
      </c>
      <c r="C1733">
        <f>IF(A1733="","",'Employees'!D12)</f>
        <v/>
      </c>
      <c r="D1733">
        <f>IF(A1733="","",'Skill Matrix'!C114)</f>
        <v/>
      </c>
      <c r="E1733">
        <f>IF(A1733="","",'Skill Matrix'!D114)</f>
        <v/>
      </c>
      <c r="F1733">
        <f>IF(AND('Skill Matrix'!A114&lt;&gt;"",'Skill Matrix'!H5&lt;&gt;""),'Skill Matrix'!H5,"")</f>
        <v/>
      </c>
      <c r="G1733">
        <f>IF(OR(A1733="",'Skill Matrix'!H114=""),"",'Skill Matrix'!H114)</f>
        <v/>
      </c>
      <c r="H1733">
        <f>IF(A1733="","",'Employees'!F12)</f>
        <v/>
      </c>
    </row>
    <row r="1734">
      <c r="A1734">
        <f>IF(AND('Skill Matrix'!A114&lt;&gt;"",'Skill Matrix'!I5&lt;&gt;""),'Skill Matrix'!A114,"")</f>
        <v/>
      </c>
      <c r="B1734">
        <f>IF(A1734="","",'Employees'!C12)</f>
        <v/>
      </c>
      <c r="C1734">
        <f>IF(A1734="","",'Employees'!D12)</f>
        <v/>
      </c>
      <c r="D1734">
        <f>IF(A1734="","",'Skill Matrix'!C114)</f>
        <v/>
      </c>
      <c r="E1734">
        <f>IF(A1734="","",'Skill Matrix'!D114)</f>
        <v/>
      </c>
      <c r="F1734">
        <f>IF(AND('Skill Matrix'!A114&lt;&gt;"",'Skill Matrix'!I5&lt;&gt;""),'Skill Matrix'!I5,"")</f>
        <v/>
      </c>
      <c r="G1734">
        <f>IF(OR(A1734="",'Skill Matrix'!I114=""),"",'Skill Matrix'!I114)</f>
        <v/>
      </c>
      <c r="H1734">
        <f>IF(A1734="","",'Employees'!F12)</f>
        <v/>
      </c>
    </row>
    <row r="1735">
      <c r="A1735">
        <f>IF(AND('Skill Matrix'!A114&lt;&gt;"",'Skill Matrix'!J5&lt;&gt;""),'Skill Matrix'!A114,"")</f>
        <v/>
      </c>
      <c r="B1735">
        <f>IF(A1735="","",'Employees'!C12)</f>
        <v/>
      </c>
      <c r="C1735">
        <f>IF(A1735="","",'Employees'!D12)</f>
        <v/>
      </c>
      <c r="D1735">
        <f>IF(A1735="","",'Skill Matrix'!C114)</f>
        <v/>
      </c>
      <c r="E1735">
        <f>IF(A1735="","",'Skill Matrix'!D114)</f>
        <v/>
      </c>
      <c r="F1735">
        <f>IF(AND('Skill Matrix'!A114&lt;&gt;"",'Skill Matrix'!J5&lt;&gt;""),'Skill Matrix'!J5,"")</f>
        <v/>
      </c>
      <c r="G1735">
        <f>IF(OR(A1735="",'Skill Matrix'!J114=""),"",'Skill Matrix'!J114)</f>
        <v/>
      </c>
      <c r="H1735">
        <f>IF(A1735="","",'Employees'!F12)</f>
        <v/>
      </c>
    </row>
    <row r="1736">
      <c r="A1736">
        <f>IF(AND('Skill Matrix'!A114&lt;&gt;"",'Skill Matrix'!K5&lt;&gt;""),'Skill Matrix'!A114,"")</f>
        <v/>
      </c>
      <c r="B1736">
        <f>IF(A1736="","",'Employees'!C12)</f>
        <v/>
      </c>
      <c r="C1736">
        <f>IF(A1736="","",'Employees'!D12)</f>
        <v/>
      </c>
      <c r="D1736">
        <f>IF(A1736="","",'Skill Matrix'!C114)</f>
        <v/>
      </c>
      <c r="E1736">
        <f>IF(A1736="","",'Skill Matrix'!D114)</f>
        <v/>
      </c>
      <c r="F1736">
        <f>IF(AND('Skill Matrix'!A114&lt;&gt;"",'Skill Matrix'!K5&lt;&gt;""),'Skill Matrix'!K5,"")</f>
        <v/>
      </c>
      <c r="G1736">
        <f>IF(OR(A1736="",'Skill Matrix'!K114=""),"",'Skill Matrix'!K114)</f>
        <v/>
      </c>
      <c r="H1736">
        <f>IF(A1736="","",'Employees'!F12)</f>
        <v/>
      </c>
    </row>
    <row r="1737">
      <c r="A1737">
        <f>IF(AND('Skill Matrix'!A114&lt;&gt;"",'Skill Matrix'!L5&lt;&gt;""),'Skill Matrix'!A114,"")</f>
        <v/>
      </c>
      <c r="B1737">
        <f>IF(A1737="","",'Employees'!C12)</f>
        <v/>
      </c>
      <c r="C1737">
        <f>IF(A1737="","",'Employees'!D12)</f>
        <v/>
      </c>
      <c r="D1737">
        <f>IF(A1737="","",'Skill Matrix'!C114)</f>
        <v/>
      </c>
      <c r="E1737">
        <f>IF(A1737="","",'Skill Matrix'!D114)</f>
        <v/>
      </c>
      <c r="F1737">
        <f>IF(AND('Skill Matrix'!A114&lt;&gt;"",'Skill Matrix'!L5&lt;&gt;""),'Skill Matrix'!L5,"")</f>
        <v/>
      </c>
      <c r="G1737">
        <f>IF(OR(A1737="",'Skill Matrix'!L114=""),"",'Skill Matrix'!L114)</f>
        <v/>
      </c>
      <c r="H1737">
        <f>IF(A1737="","",'Employees'!F12)</f>
        <v/>
      </c>
    </row>
    <row r="1738">
      <c r="A1738">
        <f>IF(AND('Skill Matrix'!A114&lt;&gt;"",'Skill Matrix'!M5&lt;&gt;""),'Skill Matrix'!A114,"")</f>
        <v/>
      </c>
      <c r="B1738">
        <f>IF(A1738="","",'Employees'!C12)</f>
        <v/>
      </c>
      <c r="C1738">
        <f>IF(A1738="","",'Employees'!D12)</f>
        <v/>
      </c>
      <c r="D1738">
        <f>IF(A1738="","",'Skill Matrix'!C114)</f>
        <v/>
      </c>
      <c r="E1738">
        <f>IF(A1738="","",'Skill Matrix'!D114)</f>
        <v/>
      </c>
      <c r="F1738">
        <f>IF(AND('Skill Matrix'!A114&lt;&gt;"",'Skill Matrix'!M5&lt;&gt;""),'Skill Matrix'!M5,"")</f>
        <v/>
      </c>
      <c r="G1738">
        <f>IF(OR(A1738="",'Skill Matrix'!M114=""),"",'Skill Matrix'!M114)</f>
        <v/>
      </c>
      <c r="H1738">
        <f>IF(A1738="","",'Employees'!F12)</f>
        <v/>
      </c>
    </row>
    <row r="1739">
      <c r="A1739">
        <f>IF(AND('Skill Matrix'!A114&lt;&gt;"",'Skill Matrix'!N5&lt;&gt;""),'Skill Matrix'!A114,"")</f>
        <v/>
      </c>
      <c r="B1739">
        <f>IF(A1739="","",'Employees'!C12)</f>
        <v/>
      </c>
      <c r="C1739">
        <f>IF(A1739="","",'Employees'!D12)</f>
        <v/>
      </c>
      <c r="D1739">
        <f>IF(A1739="","",'Skill Matrix'!C114)</f>
        <v/>
      </c>
      <c r="E1739">
        <f>IF(A1739="","",'Skill Matrix'!D114)</f>
        <v/>
      </c>
      <c r="F1739">
        <f>IF(AND('Skill Matrix'!A114&lt;&gt;"",'Skill Matrix'!N5&lt;&gt;""),'Skill Matrix'!N5,"")</f>
        <v/>
      </c>
      <c r="G1739">
        <f>IF(OR(A1739="",'Skill Matrix'!N114=""),"",'Skill Matrix'!N114)</f>
        <v/>
      </c>
      <c r="H1739">
        <f>IF(A1739="","",'Employees'!F12)</f>
        <v/>
      </c>
    </row>
    <row r="1740">
      <c r="A1740">
        <f>IF(AND('Skill Matrix'!A114&lt;&gt;"",'Skill Matrix'!O5&lt;&gt;""),'Skill Matrix'!A114,"")</f>
        <v/>
      </c>
      <c r="B1740">
        <f>IF(A1740="","",'Employees'!C12)</f>
        <v/>
      </c>
      <c r="C1740">
        <f>IF(A1740="","",'Employees'!D12)</f>
        <v/>
      </c>
      <c r="D1740">
        <f>IF(A1740="","",'Skill Matrix'!C114)</f>
        <v/>
      </c>
      <c r="E1740">
        <f>IF(A1740="","",'Skill Matrix'!D114)</f>
        <v/>
      </c>
      <c r="F1740">
        <f>IF(AND('Skill Matrix'!A114&lt;&gt;"",'Skill Matrix'!O5&lt;&gt;""),'Skill Matrix'!O5,"")</f>
        <v/>
      </c>
      <c r="G1740">
        <f>IF(OR(A1740="",'Skill Matrix'!O114=""),"",'Skill Matrix'!O114)</f>
        <v/>
      </c>
      <c r="H1740">
        <f>IF(A1740="","",'Employees'!F12)</f>
        <v/>
      </c>
    </row>
    <row r="1741">
      <c r="A1741">
        <f>IF(AND('Skill Matrix'!A114&lt;&gt;"",'Skill Matrix'!P5&lt;&gt;""),'Skill Matrix'!A114,"")</f>
        <v/>
      </c>
      <c r="B1741">
        <f>IF(A1741="","",'Employees'!C12)</f>
        <v/>
      </c>
      <c r="C1741">
        <f>IF(A1741="","",'Employees'!D12)</f>
        <v/>
      </c>
      <c r="D1741">
        <f>IF(A1741="","",'Skill Matrix'!C114)</f>
        <v/>
      </c>
      <c r="E1741">
        <f>IF(A1741="","",'Skill Matrix'!D114)</f>
        <v/>
      </c>
      <c r="F1741">
        <f>IF(AND('Skill Matrix'!A114&lt;&gt;"",'Skill Matrix'!P5&lt;&gt;""),'Skill Matrix'!P5,"")</f>
        <v/>
      </c>
      <c r="G1741">
        <f>IF(OR(A1741="",'Skill Matrix'!P114=""),"",'Skill Matrix'!P114)</f>
        <v/>
      </c>
      <c r="H1741">
        <f>IF(A1741="","",'Employees'!F12)</f>
        <v/>
      </c>
    </row>
    <row r="1742">
      <c r="A1742">
        <f>IF(AND('Skill Matrix'!A114&lt;&gt;"",'Skill Matrix'!Q5&lt;&gt;""),'Skill Matrix'!A114,"")</f>
        <v/>
      </c>
      <c r="B1742">
        <f>IF(A1742="","",'Employees'!C12)</f>
        <v/>
      </c>
      <c r="C1742">
        <f>IF(A1742="","",'Employees'!D12)</f>
        <v/>
      </c>
      <c r="D1742">
        <f>IF(A1742="","",'Skill Matrix'!C114)</f>
        <v/>
      </c>
      <c r="E1742">
        <f>IF(A1742="","",'Skill Matrix'!D114)</f>
        <v/>
      </c>
      <c r="F1742">
        <f>IF(AND('Skill Matrix'!A114&lt;&gt;"",'Skill Matrix'!Q5&lt;&gt;""),'Skill Matrix'!Q5,"")</f>
        <v/>
      </c>
      <c r="G1742">
        <f>IF(OR(A1742="",'Skill Matrix'!Q114=""),"",'Skill Matrix'!Q114)</f>
        <v/>
      </c>
      <c r="H1742">
        <f>IF(A1742="","",'Employees'!F12)</f>
        <v/>
      </c>
    </row>
    <row r="1743">
      <c r="A1743">
        <f>IF(AND('Skill Matrix'!A114&lt;&gt;"",'Skill Matrix'!R5&lt;&gt;""),'Skill Matrix'!A114,"")</f>
        <v/>
      </c>
      <c r="B1743">
        <f>IF(A1743="","",'Employees'!C12)</f>
        <v/>
      </c>
      <c r="C1743">
        <f>IF(A1743="","",'Employees'!D12)</f>
        <v/>
      </c>
      <c r="D1743">
        <f>IF(A1743="","",'Skill Matrix'!C114)</f>
        <v/>
      </c>
      <c r="E1743">
        <f>IF(A1743="","",'Skill Matrix'!D114)</f>
        <v/>
      </c>
      <c r="F1743">
        <f>IF(AND('Skill Matrix'!A114&lt;&gt;"",'Skill Matrix'!R5&lt;&gt;""),'Skill Matrix'!R5,"")</f>
        <v/>
      </c>
      <c r="G1743">
        <f>IF(OR(A1743="",'Skill Matrix'!R114=""),"",'Skill Matrix'!R114)</f>
        <v/>
      </c>
      <c r="H1743">
        <f>IF(A1743="","",'Employees'!F12)</f>
        <v/>
      </c>
    </row>
    <row r="1744">
      <c r="A1744">
        <f>IF(AND('Skill Matrix'!A114&lt;&gt;"",'Skill Matrix'!S5&lt;&gt;""),'Skill Matrix'!A114,"")</f>
        <v/>
      </c>
      <c r="B1744">
        <f>IF(A1744="","",'Employees'!C12)</f>
        <v/>
      </c>
      <c r="C1744">
        <f>IF(A1744="","",'Employees'!D12)</f>
        <v/>
      </c>
      <c r="D1744">
        <f>IF(A1744="","",'Skill Matrix'!C114)</f>
        <v/>
      </c>
      <c r="E1744">
        <f>IF(A1744="","",'Skill Matrix'!D114)</f>
        <v/>
      </c>
      <c r="F1744">
        <f>IF(AND('Skill Matrix'!A114&lt;&gt;"",'Skill Matrix'!S5&lt;&gt;""),'Skill Matrix'!S5,"")</f>
        <v/>
      </c>
      <c r="G1744">
        <f>IF(OR(A1744="",'Skill Matrix'!S114=""),"",'Skill Matrix'!S114)</f>
        <v/>
      </c>
      <c r="H1744">
        <f>IF(A1744="","",'Employees'!F12)</f>
        <v/>
      </c>
    </row>
    <row r="1745">
      <c r="A1745">
        <f>IF(AND('Skill Matrix'!A114&lt;&gt;"",'Skill Matrix'!T5&lt;&gt;""),'Skill Matrix'!A114,"")</f>
        <v/>
      </c>
      <c r="B1745">
        <f>IF(A1745="","",'Employees'!C12)</f>
        <v/>
      </c>
      <c r="C1745">
        <f>IF(A1745="","",'Employees'!D12)</f>
        <v/>
      </c>
      <c r="D1745">
        <f>IF(A1745="","",'Skill Matrix'!C114)</f>
        <v/>
      </c>
      <c r="E1745">
        <f>IF(A1745="","",'Skill Matrix'!D114)</f>
        <v/>
      </c>
      <c r="F1745">
        <f>IF(AND('Skill Matrix'!A114&lt;&gt;"",'Skill Matrix'!T5&lt;&gt;""),'Skill Matrix'!T5,"")</f>
        <v/>
      </c>
      <c r="G1745">
        <f>IF(OR(A1745="",'Skill Matrix'!T114=""),"",'Skill Matrix'!T114)</f>
        <v/>
      </c>
      <c r="H1745">
        <f>IF(A1745="","",'Employees'!F12)</f>
        <v/>
      </c>
    </row>
    <row r="1746">
      <c r="A1746">
        <f>IF(AND('Skill Matrix'!A115&lt;&gt;"",'Skill Matrix'!E5&lt;&gt;""),'Skill Matrix'!A115,"")</f>
        <v/>
      </c>
      <c r="B1746">
        <f>IF(A1746="","",'Employees'!C12)</f>
        <v/>
      </c>
      <c r="C1746">
        <f>IF(A1746="","",'Employees'!D12)</f>
        <v/>
      </c>
      <c r="D1746">
        <f>IF(A1746="","",'Skill Matrix'!C115)</f>
        <v/>
      </c>
      <c r="E1746">
        <f>IF(A1746="","",'Skill Matrix'!D115)</f>
        <v/>
      </c>
      <c r="F1746">
        <f>IF(AND('Skill Matrix'!A115&lt;&gt;"",'Skill Matrix'!E5&lt;&gt;""),'Skill Matrix'!E5,"")</f>
        <v/>
      </c>
      <c r="G1746">
        <f>IF(OR(A1746="",'Skill Matrix'!E115=""),"",'Skill Matrix'!E115)</f>
        <v/>
      </c>
      <c r="H1746">
        <f>IF(A1746="","",'Employees'!F12)</f>
        <v/>
      </c>
    </row>
    <row r="1747">
      <c r="A1747">
        <f>IF(AND('Skill Matrix'!A115&lt;&gt;"",'Skill Matrix'!F5&lt;&gt;""),'Skill Matrix'!A115,"")</f>
        <v/>
      </c>
      <c r="B1747">
        <f>IF(A1747="","",'Employees'!C12)</f>
        <v/>
      </c>
      <c r="C1747">
        <f>IF(A1747="","",'Employees'!D12)</f>
        <v/>
      </c>
      <c r="D1747">
        <f>IF(A1747="","",'Skill Matrix'!C115)</f>
        <v/>
      </c>
      <c r="E1747">
        <f>IF(A1747="","",'Skill Matrix'!D115)</f>
        <v/>
      </c>
      <c r="F1747">
        <f>IF(AND('Skill Matrix'!A115&lt;&gt;"",'Skill Matrix'!F5&lt;&gt;""),'Skill Matrix'!F5,"")</f>
        <v/>
      </c>
      <c r="G1747">
        <f>IF(OR(A1747="",'Skill Matrix'!F115=""),"",'Skill Matrix'!F115)</f>
        <v/>
      </c>
      <c r="H1747">
        <f>IF(A1747="","",'Employees'!F12)</f>
        <v/>
      </c>
    </row>
    <row r="1748">
      <c r="A1748">
        <f>IF(AND('Skill Matrix'!A115&lt;&gt;"",'Skill Matrix'!G5&lt;&gt;""),'Skill Matrix'!A115,"")</f>
        <v/>
      </c>
      <c r="B1748">
        <f>IF(A1748="","",'Employees'!C12)</f>
        <v/>
      </c>
      <c r="C1748">
        <f>IF(A1748="","",'Employees'!D12)</f>
        <v/>
      </c>
      <c r="D1748">
        <f>IF(A1748="","",'Skill Matrix'!C115)</f>
        <v/>
      </c>
      <c r="E1748">
        <f>IF(A1748="","",'Skill Matrix'!D115)</f>
        <v/>
      </c>
      <c r="F1748">
        <f>IF(AND('Skill Matrix'!A115&lt;&gt;"",'Skill Matrix'!G5&lt;&gt;""),'Skill Matrix'!G5,"")</f>
        <v/>
      </c>
      <c r="G1748">
        <f>IF(OR(A1748="",'Skill Matrix'!G115=""),"",'Skill Matrix'!G115)</f>
        <v/>
      </c>
      <c r="H1748">
        <f>IF(A1748="","",'Employees'!F12)</f>
        <v/>
      </c>
    </row>
    <row r="1749">
      <c r="A1749">
        <f>IF(AND('Skill Matrix'!A115&lt;&gt;"",'Skill Matrix'!H5&lt;&gt;""),'Skill Matrix'!A115,"")</f>
        <v/>
      </c>
      <c r="B1749">
        <f>IF(A1749="","",'Employees'!C12)</f>
        <v/>
      </c>
      <c r="C1749">
        <f>IF(A1749="","",'Employees'!D12)</f>
        <v/>
      </c>
      <c r="D1749">
        <f>IF(A1749="","",'Skill Matrix'!C115)</f>
        <v/>
      </c>
      <c r="E1749">
        <f>IF(A1749="","",'Skill Matrix'!D115)</f>
        <v/>
      </c>
      <c r="F1749">
        <f>IF(AND('Skill Matrix'!A115&lt;&gt;"",'Skill Matrix'!H5&lt;&gt;""),'Skill Matrix'!H5,"")</f>
        <v/>
      </c>
      <c r="G1749">
        <f>IF(OR(A1749="",'Skill Matrix'!H115=""),"",'Skill Matrix'!H115)</f>
        <v/>
      </c>
      <c r="H1749">
        <f>IF(A1749="","",'Employees'!F12)</f>
        <v/>
      </c>
    </row>
    <row r="1750">
      <c r="A1750">
        <f>IF(AND('Skill Matrix'!A115&lt;&gt;"",'Skill Matrix'!I5&lt;&gt;""),'Skill Matrix'!A115,"")</f>
        <v/>
      </c>
      <c r="B1750">
        <f>IF(A1750="","",'Employees'!C12)</f>
        <v/>
      </c>
      <c r="C1750">
        <f>IF(A1750="","",'Employees'!D12)</f>
        <v/>
      </c>
      <c r="D1750">
        <f>IF(A1750="","",'Skill Matrix'!C115)</f>
        <v/>
      </c>
      <c r="E1750">
        <f>IF(A1750="","",'Skill Matrix'!D115)</f>
        <v/>
      </c>
      <c r="F1750">
        <f>IF(AND('Skill Matrix'!A115&lt;&gt;"",'Skill Matrix'!I5&lt;&gt;""),'Skill Matrix'!I5,"")</f>
        <v/>
      </c>
      <c r="G1750">
        <f>IF(OR(A1750="",'Skill Matrix'!I115=""),"",'Skill Matrix'!I115)</f>
        <v/>
      </c>
      <c r="H1750">
        <f>IF(A1750="","",'Employees'!F12)</f>
        <v/>
      </c>
    </row>
    <row r="1751">
      <c r="A1751">
        <f>IF(AND('Skill Matrix'!A115&lt;&gt;"",'Skill Matrix'!J5&lt;&gt;""),'Skill Matrix'!A115,"")</f>
        <v/>
      </c>
      <c r="B1751">
        <f>IF(A1751="","",'Employees'!C12)</f>
        <v/>
      </c>
      <c r="C1751">
        <f>IF(A1751="","",'Employees'!D12)</f>
        <v/>
      </c>
      <c r="D1751">
        <f>IF(A1751="","",'Skill Matrix'!C115)</f>
        <v/>
      </c>
      <c r="E1751">
        <f>IF(A1751="","",'Skill Matrix'!D115)</f>
        <v/>
      </c>
      <c r="F1751">
        <f>IF(AND('Skill Matrix'!A115&lt;&gt;"",'Skill Matrix'!J5&lt;&gt;""),'Skill Matrix'!J5,"")</f>
        <v/>
      </c>
      <c r="G1751">
        <f>IF(OR(A1751="",'Skill Matrix'!J115=""),"",'Skill Matrix'!J115)</f>
        <v/>
      </c>
      <c r="H1751">
        <f>IF(A1751="","",'Employees'!F12)</f>
        <v/>
      </c>
    </row>
    <row r="1752">
      <c r="A1752">
        <f>IF(AND('Skill Matrix'!A115&lt;&gt;"",'Skill Matrix'!K5&lt;&gt;""),'Skill Matrix'!A115,"")</f>
        <v/>
      </c>
      <c r="B1752">
        <f>IF(A1752="","",'Employees'!C12)</f>
        <v/>
      </c>
      <c r="C1752">
        <f>IF(A1752="","",'Employees'!D12)</f>
        <v/>
      </c>
      <c r="D1752">
        <f>IF(A1752="","",'Skill Matrix'!C115)</f>
        <v/>
      </c>
      <c r="E1752">
        <f>IF(A1752="","",'Skill Matrix'!D115)</f>
        <v/>
      </c>
      <c r="F1752">
        <f>IF(AND('Skill Matrix'!A115&lt;&gt;"",'Skill Matrix'!K5&lt;&gt;""),'Skill Matrix'!K5,"")</f>
        <v/>
      </c>
      <c r="G1752">
        <f>IF(OR(A1752="",'Skill Matrix'!K115=""),"",'Skill Matrix'!K115)</f>
        <v/>
      </c>
      <c r="H1752">
        <f>IF(A1752="","",'Employees'!F12)</f>
        <v/>
      </c>
    </row>
    <row r="1753">
      <c r="A1753">
        <f>IF(AND('Skill Matrix'!A115&lt;&gt;"",'Skill Matrix'!L5&lt;&gt;""),'Skill Matrix'!A115,"")</f>
        <v/>
      </c>
      <c r="B1753">
        <f>IF(A1753="","",'Employees'!C12)</f>
        <v/>
      </c>
      <c r="C1753">
        <f>IF(A1753="","",'Employees'!D12)</f>
        <v/>
      </c>
      <c r="D1753">
        <f>IF(A1753="","",'Skill Matrix'!C115)</f>
        <v/>
      </c>
      <c r="E1753">
        <f>IF(A1753="","",'Skill Matrix'!D115)</f>
        <v/>
      </c>
      <c r="F1753">
        <f>IF(AND('Skill Matrix'!A115&lt;&gt;"",'Skill Matrix'!L5&lt;&gt;""),'Skill Matrix'!L5,"")</f>
        <v/>
      </c>
      <c r="G1753">
        <f>IF(OR(A1753="",'Skill Matrix'!L115=""),"",'Skill Matrix'!L115)</f>
        <v/>
      </c>
      <c r="H1753">
        <f>IF(A1753="","",'Employees'!F12)</f>
        <v/>
      </c>
    </row>
    <row r="1754">
      <c r="A1754">
        <f>IF(AND('Skill Matrix'!A115&lt;&gt;"",'Skill Matrix'!M5&lt;&gt;""),'Skill Matrix'!A115,"")</f>
        <v/>
      </c>
      <c r="B1754">
        <f>IF(A1754="","",'Employees'!C12)</f>
        <v/>
      </c>
      <c r="C1754">
        <f>IF(A1754="","",'Employees'!D12)</f>
        <v/>
      </c>
      <c r="D1754">
        <f>IF(A1754="","",'Skill Matrix'!C115)</f>
        <v/>
      </c>
      <c r="E1754">
        <f>IF(A1754="","",'Skill Matrix'!D115)</f>
        <v/>
      </c>
      <c r="F1754">
        <f>IF(AND('Skill Matrix'!A115&lt;&gt;"",'Skill Matrix'!M5&lt;&gt;""),'Skill Matrix'!M5,"")</f>
        <v/>
      </c>
      <c r="G1754">
        <f>IF(OR(A1754="",'Skill Matrix'!M115=""),"",'Skill Matrix'!M115)</f>
        <v/>
      </c>
      <c r="H1754">
        <f>IF(A1754="","",'Employees'!F12)</f>
        <v/>
      </c>
    </row>
    <row r="1755">
      <c r="A1755">
        <f>IF(AND('Skill Matrix'!A115&lt;&gt;"",'Skill Matrix'!N5&lt;&gt;""),'Skill Matrix'!A115,"")</f>
        <v/>
      </c>
      <c r="B1755">
        <f>IF(A1755="","",'Employees'!C12)</f>
        <v/>
      </c>
      <c r="C1755">
        <f>IF(A1755="","",'Employees'!D12)</f>
        <v/>
      </c>
      <c r="D1755">
        <f>IF(A1755="","",'Skill Matrix'!C115)</f>
        <v/>
      </c>
      <c r="E1755">
        <f>IF(A1755="","",'Skill Matrix'!D115)</f>
        <v/>
      </c>
      <c r="F1755">
        <f>IF(AND('Skill Matrix'!A115&lt;&gt;"",'Skill Matrix'!N5&lt;&gt;""),'Skill Matrix'!N5,"")</f>
        <v/>
      </c>
      <c r="G1755">
        <f>IF(OR(A1755="",'Skill Matrix'!N115=""),"",'Skill Matrix'!N115)</f>
        <v/>
      </c>
      <c r="H1755">
        <f>IF(A1755="","",'Employees'!F12)</f>
        <v/>
      </c>
    </row>
    <row r="1756">
      <c r="A1756">
        <f>IF(AND('Skill Matrix'!A115&lt;&gt;"",'Skill Matrix'!O5&lt;&gt;""),'Skill Matrix'!A115,"")</f>
        <v/>
      </c>
      <c r="B1756">
        <f>IF(A1756="","",'Employees'!C12)</f>
        <v/>
      </c>
      <c r="C1756">
        <f>IF(A1756="","",'Employees'!D12)</f>
        <v/>
      </c>
      <c r="D1756">
        <f>IF(A1756="","",'Skill Matrix'!C115)</f>
        <v/>
      </c>
      <c r="E1756">
        <f>IF(A1756="","",'Skill Matrix'!D115)</f>
        <v/>
      </c>
      <c r="F1756">
        <f>IF(AND('Skill Matrix'!A115&lt;&gt;"",'Skill Matrix'!O5&lt;&gt;""),'Skill Matrix'!O5,"")</f>
        <v/>
      </c>
      <c r="G1756">
        <f>IF(OR(A1756="",'Skill Matrix'!O115=""),"",'Skill Matrix'!O115)</f>
        <v/>
      </c>
      <c r="H1756">
        <f>IF(A1756="","",'Employees'!F12)</f>
        <v/>
      </c>
    </row>
    <row r="1757">
      <c r="A1757">
        <f>IF(AND('Skill Matrix'!A115&lt;&gt;"",'Skill Matrix'!P5&lt;&gt;""),'Skill Matrix'!A115,"")</f>
        <v/>
      </c>
      <c r="B1757">
        <f>IF(A1757="","",'Employees'!C12)</f>
        <v/>
      </c>
      <c r="C1757">
        <f>IF(A1757="","",'Employees'!D12)</f>
        <v/>
      </c>
      <c r="D1757">
        <f>IF(A1757="","",'Skill Matrix'!C115)</f>
        <v/>
      </c>
      <c r="E1757">
        <f>IF(A1757="","",'Skill Matrix'!D115)</f>
        <v/>
      </c>
      <c r="F1757">
        <f>IF(AND('Skill Matrix'!A115&lt;&gt;"",'Skill Matrix'!P5&lt;&gt;""),'Skill Matrix'!P5,"")</f>
        <v/>
      </c>
      <c r="G1757">
        <f>IF(OR(A1757="",'Skill Matrix'!P115=""),"",'Skill Matrix'!P115)</f>
        <v/>
      </c>
      <c r="H1757">
        <f>IF(A1757="","",'Employees'!F12)</f>
        <v/>
      </c>
    </row>
    <row r="1758">
      <c r="A1758">
        <f>IF(AND('Skill Matrix'!A115&lt;&gt;"",'Skill Matrix'!Q5&lt;&gt;""),'Skill Matrix'!A115,"")</f>
        <v/>
      </c>
      <c r="B1758">
        <f>IF(A1758="","",'Employees'!C12)</f>
        <v/>
      </c>
      <c r="C1758">
        <f>IF(A1758="","",'Employees'!D12)</f>
        <v/>
      </c>
      <c r="D1758">
        <f>IF(A1758="","",'Skill Matrix'!C115)</f>
        <v/>
      </c>
      <c r="E1758">
        <f>IF(A1758="","",'Skill Matrix'!D115)</f>
        <v/>
      </c>
      <c r="F1758">
        <f>IF(AND('Skill Matrix'!A115&lt;&gt;"",'Skill Matrix'!Q5&lt;&gt;""),'Skill Matrix'!Q5,"")</f>
        <v/>
      </c>
      <c r="G1758">
        <f>IF(OR(A1758="",'Skill Matrix'!Q115=""),"",'Skill Matrix'!Q115)</f>
        <v/>
      </c>
      <c r="H1758">
        <f>IF(A1758="","",'Employees'!F12)</f>
        <v/>
      </c>
    </row>
    <row r="1759">
      <c r="A1759">
        <f>IF(AND('Skill Matrix'!A115&lt;&gt;"",'Skill Matrix'!R5&lt;&gt;""),'Skill Matrix'!A115,"")</f>
        <v/>
      </c>
      <c r="B1759">
        <f>IF(A1759="","",'Employees'!C12)</f>
        <v/>
      </c>
      <c r="C1759">
        <f>IF(A1759="","",'Employees'!D12)</f>
        <v/>
      </c>
      <c r="D1759">
        <f>IF(A1759="","",'Skill Matrix'!C115)</f>
        <v/>
      </c>
      <c r="E1759">
        <f>IF(A1759="","",'Skill Matrix'!D115)</f>
        <v/>
      </c>
      <c r="F1759">
        <f>IF(AND('Skill Matrix'!A115&lt;&gt;"",'Skill Matrix'!R5&lt;&gt;""),'Skill Matrix'!R5,"")</f>
        <v/>
      </c>
      <c r="G1759">
        <f>IF(OR(A1759="",'Skill Matrix'!R115=""),"",'Skill Matrix'!R115)</f>
        <v/>
      </c>
      <c r="H1759">
        <f>IF(A1759="","",'Employees'!F12)</f>
        <v/>
      </c>
    </row>
    <row r="1760">
      <c r="A1760">
        <f>IF(AND('Skill Matrix'!A115&lt;&gt;"",'Skill Matrix'!S5&lt;&gt;""),'Skill Matrix'!A115,"")</f>
        <v/>
      </c>
      <c r="B1760">
        <f>IF(A1760="","",'Employees'!C12)</f>
        <v/>
      </c>
      <c r="C1760">
        <f>IF(A1760="","",'Employees'!D12)</f>
        <v/>
      </c>
      <c r="D1760">
        <f>IF(A1760="","",'Skill Matrix'!C115)</f>
        <v/>
      </c>
      <c r="E1760">
        <f>IF(A1760="","",'Skill Matrix'!D115)</f>
        <v/>
      </c>
      <c r="F1760">
        <f>IF(AND('Skill Matrix'!A115&lt;&gt;"",'Skill Matrix'!S5&lt;&gt;""),'Skill Matrix'!S5,"")</f>
        <v/>
      </c>
      <c r="G1760">
        <f>IF(OR(A1760="",'Skill Matrix'!S115=""),"",'Skill Matrix'!S115)</f>
        <v/>
      </c>
      <c r="H1760">
        <f>IF(A1760="","",'Employees'!F12)</f>
        <v/>
      </c>
    </row>
    <row r="1761">
      <c r="A1761">
        <f>IF(AND('Skill Matrix'!A115&lt;&gt;"",'Skill Matrix'!T5&lt;&gt;""),'Skill Matrix'!A115,"")</f>
        <v/>
      </c>
      <c r="B1761">
        <f>IF(A1761="","",'Employees'!C12)</f>
        <v/>
      </c>
      <c r="C1761">
        <f>IF(A1761="","",'Employees'!D12)</f>
        <v/>
      </c>
      <c r="D1761">
        <f>IF(A1761="","",'Skill Matrix'!C115)</f>
        <v/>
      </c>
      <c r="E1761">
        <f>IF(A1761="","",'Skill Matrix'!D115)</f>
        <v/>
      </c>
      <c r="F1761">
        <f>IF(AND('Skill Matrix'!A115&lt;&gt;"",'Skill Matrix'!T5&lt;&gt;""),'Skill Matrix'!T5,"")</f>
        <v/>
      </c>
      <c r="G1761">
        <f>IF(OR(A1761="",'Skill Matrix'!T115=""),"",'Skill Matrix'!T115)</f>
        <v/>
      </c>
      <c r="H1761">
        <f>IF(A1761="","",'Employees'!F12)</f>
        <v/>
      </c>
    </row>
    <row r="1762">
      <c r="A1762">
        <f>IF(AND('Skill Matrix'!A116&lt;&gt;"",'Skill Matrix'!E5&lt;&gt;""),'Skill Matrix'!A116,"")</f>
        <v/>
      </c>
      <c r="B1762">
        <f>IF(A1762="","",'Employees'!C12)</f>
        <v/>
      </c>
      <c r="C1762">
        <f>IF(A1762="","",'Employees'!D12)</f>
        <v/>
      </c>
      <c r="D1762">
        <f>IF(A1762="","",'Skill Matrix'!C116)</f>
        <v/>
      </c>
      <c r="E1762">
        <f>IF(A1762="","",'Skill Matrix'!D116)</f>
        <v/>
      </c>
      <c r="F1762">
        <f>IF(AND('Skill Matrix'!A116&lt;&gt;"",'Skill Matrix'!E5&lt;&gt;""),'Skill Matrix'!E5,"")</f>
        <v/>
      </c>
      <c r="G1762">
        <f>IF(OR(A1762="",'Skill Matrix'!E116=""),"",'Skill Matrix'!E116)</f>
        <v/>
      </c>
      <c r="H1762">
        <f>IF(A1762="","",'Employees'!F12)</f>
        <v/>
      </c>
    </row>
    <row r="1763">
      <c r="A1763">
        <f>IF(AND('Skill Matrix'!A116&lt;&gt;"",'Skill Matrix'!F5&lt;&gt;""),'Skill Matrix'!A116,"")</f>
        <v/>
      </c>
      <c r="B1763">
        <f>IF(A1763="","",'Employees'!C12)</f>
        <v/>
      </c>
      <c r="C1763">
        <f>IF(A1763="","",'Employees'!D12)</f>
        <v/>
      </c>
      <c r="D1763">
        <f>IF(A1763="","",'Skill Matrix'!C116)</f>
        <v/>
      </c>
      <c r="E1763">
        <f>IF(A1763="","",'Skill Matrix'!D116)</f>
        <v/>
      </c>
      <c r="F1763">
        <f>IF(AND('Skill Matrix'!A116&lt;&gt;"",'Skill Matrix'!F5&lt;&gt;""),'Skill Matrix'!F5,"")</f>
        <v/>
      </c>
      <c r="G1763">
        <f>IF(OR(A1763="",'Skill Matrix'!F116=""),"",'Skill Matrix'!F116)</f>
        <v/>
      </c>
      <c r="H1763">
        <f>IF(A1763="","",'Employees'!F12)</f>
        <v/>
      </c>
    </row>
    <row r="1764">
      <c r="A1764">
        <f>IF(AND('Skill Matrix'!A116&lt;&gt;"",'Skill Matrix'!G5&lt;&gt;""),'Skill Matrix'!A116,"")</f>
        <v/>
      </c>
      <c r="B1764">
        <f>IF(A1764="","",'Employees'!C12)</f>
        <v/>
      </c>
      <c r="C1764">
        <f>IF(A1764="","",'Employees'!D12)</f>
        <v/>
      </c>
      <c r="D1764">
        <f>IF(A1764="","",'Skill Matrix'!C116)</f>
        <v/>
      </c>
      <c r="E1764">
        <f>IF(A1764="","",'Skill Matrix'!D116)</f>
        <v/>
      </c>
      <c r="F1764">
        <f>IF(AND('Skill Matrix'!A116&lt;&gt;"",'Skill Matrix'!G5&lt;&gt;""),'Skill Matrix'!G5,"")</f>
        <v/>
      </c>
      <c r="G1764">
        <f>IF(OR(A1764="",'Skill Matrix'!G116=""),"",'Skill Matrix'!G116)</f>
        <v/>
      </c>
      <c r="H1764">
        <f>IF(A1764="","",'Employees'!F12)</f>
        <v/>
      </c>
    </row>
    <row r="1765">
      <c r="A1765">
        <f>IF(AND('Skill Matrix'!A116&lt;&gt;"",'Skill Matrix'!H5&lt;&gt;""),'Skill Matrix'!A116,"")</f>
        <v/>
      </c>
      <c r="B1765">
        <f>IF(A1765="","",'Employees'!C12)</f>
        <v/>
      </c>
      <c r="C1765">
        <f>IF(A1765="","",'Employees'!D12)</f>
        <v/>
      </c>
      <c r="D1765">
        <f>IF(A1765="","",'Skill Matrix'!C116)</f>
        <v/>
      </c>
      <c r="E1765">
        <f>IF(A1765="","",'Skill Matrix'!D116)</f>
        <v/>
      </c>
      <c r="F1765">
        <f>IF(AND('Skill Matrix'!A116&lt;&gt;"",'Skill Matrix'!H5&lt;&gt;""),'Skill Matrix'!H5,"")</f>
        <v/>
      </c>
      <c r="G1765">
        <f>IF(OR(A1765="",'Skill Matrix'!H116=""),"",'Skill Matrix'!H116)</f>
        <v/>
      </c>
      <c r="H1765">
        <f>IF(A1765="","",'Employees'!F12)</f>
        <v/>
      </c>
    </row>
    <row r="1766">
      <c r="A1766">
        <f>IF(AND('Skill Matrix'!A116&lt;&gt;"",'Skill Matrix'!I5&lt;&gt;""),'Skill Matrix'!A116,"")</f>
        <v/>
      </c>
      <c r="B1766">
        <f>IF(A1766="","",'Employees'!C12)</f>
        <v/>
      </c>
      <c r="C1766">
        <f>IF(A1766="","",'Employees'!D12)</f>
        <v/>
      </c>
      <c r="D1766">
        <f>IF(A1766="","",'Skill Matrix'!C116)</f>
        <v/>
      </c>
      <c r="E1766">
        <f>IF(A1766="","",'Skill Matrix'!D116)</f>
        <v/>
      </c>
      <c r="F1766">
        <f>IF(AND('Skill Matrix'!A116&lt;&gt;"",'Skill Matrix'!I5&lt;&gt;""),'Skill Matrix'!I5,"")</f>
        <v/>
      </c>
      <c r="G1766">
        <f>IF(OR(A1766="",'Skill Matrix'!I116=""),"",'Skill Matrix'!I116)</f>
        <v/>
      </c>
      <c r="H1766">
        <f>IF(A1766="","",'Employees'!F12)</f>
        <v/>
      </c>
    </row>
    <row r="1767">
      <c r="A1767">
        <f>IF(AND('Skill Matrix'!A116&lt;&gt;"",'Skill Matrix'!J5&lt;&gt;""),'Skill Matrix'!A116,"")</f>
        <v/>
      </c>
      <c r="B1767">
        <f>IF(A1767="","",'Employees'!C12)</f>
        <v/>
      </c>
      <c r="C1767">
        <f>IF(A1767="","",'Employees'!D12)</f>
        <v/>
      </c>
      <c r="D1767">
        <f>IF(A1767="","",'Skill Matrix'!C116)</f>
        <v/>
      </c>
      <c r="E1767">
        <f>IF(A1767="","",'Skill Matrix'!D116)</f>
        <v/>
      </c>
      <c r="F1767">
        <f>IF(AND('Skill Matrix'!A116&lt;&gt;"",'Skill Matrix'!J5&lt;&gt;""),'Skill Matrix'!J5,"")</f>
        <v/>
      </c>
      <c r="G1767">
        <f>IF(OR(A1767="",'Skill Matrix'!J116=""),"",'Skill Matrix'!J116)</f>
        <v/>
      </c>
      <c r="H1767">
        <f>IF(A1767="","",'Employees'!F12)</f>
        <v/>
      </c>
    </row>
    <row r="1768">
      <c r="A1768">
        <f>IF(AND('Skill Matrix'!A116&lt;&gt;"",'Skill Matrix'!K5&lt;&gt;""),'Skill Matrix'!A116,"")</f>
        <v/>
      </c>
      <c r="B1768">
        <f>IF(A1768="","",'Employees'!C12)</f>
        <v/>
      </c>
      <c r="C1768">
        <f>IF(A1768="","",'Employees'!D12)</f>
        <v/>
      </c>
      <c r="D1768">
        <f>IF(A1768="","",'Skill Matrix'!C116)</f>
        <v/>
      </c>
      <c r="E1768">
        <f>IF(A1768="","",'Skill Matrix'!D116)</f>
        <v/>
      </c>
      <c r="F1768">
        <f>IF(AND('Skill Matrix'!A116&lt;&gt;"",'Skill Matrix'!K5&lt;&gt;""),'Skill Matrix'!K5,"")</f>
        <v/>
      </c>
      <c r="G1768">
        <f>IF(OR(A1768="",'Skill Matrix'!K116=""),"",'Skill Matrix'!K116)</f>
        <v/>
      </c>
      <c r="H1768">
        <f>IF(A1768="","",'Employees'!F12)</f>
        <v/>
      </c>
    </row>
    <row r="1769">
      <c r="A1769">
        <f>IF(AND('Skill Matrix'!A116&lt;&gt;"",'Skill Matrix'!L5&lt;&gt;""),'Skill Matrix'!A116,"")</f>
        <v/>
      </c>
      <c r="B1769">
        <f>IF(A1769="","",'Employees'!C12)</f>
        <v/>
      </c>
      <c r="C1769">
        <f>IF(A1769="","",'Employees'!D12)</f>
        <v/>
      </c>
      <c r="D1769">
        <f>IF(A1769="","",'Skill Matrix'!C116)</f>
        <v/>
      </c>
      <c r="E1769">
        <f>IF(A1769="","",'Skill Matrix'!D116)</f>
        <v/>
      </c>
      <c r="F1769">
        <f>IF(AND('Skill Matrix'!A116&lt;&gt;"",'Skill Matrix'!L5&lt;&gt;""),'Skill Matrix'!L5,"")</f>
        <v/>
      </c>
      <c r="G1769">
        <f>IF(OR(A1769="",'Skill Matrix'!L116=""),"",'Skill Matrix'!L116)</f>
        <v/>
      </c>
      <c r="H1769">
        <f>IF(A1769="","",'Employees'!F12)</f>
        <v/>
      </c>
    </row>
    <row r="1770">
      <c r="A1770">
        <f>IF(AND('Skill Matrix'!A116&lt;&gt;"",'Skill Matrix'!M5&lt;&gt;""),'Skill Matrix'!A116,"")</f>
        <v/>
      </c>
      <c r="B1770">
        <f>IF(A1770="","",'Employees'!C12)</f>
        <v/>
      </c>
      <c r="C1770">
        <f>IF(A1770="","",'Employees'!D12)</f>
        <v/>
      </c>
      <c r="D1770">
        <f>IF(A1770="","",'Skill Matrix'!C116)</f>
        <v/>
      </c>
      <c r="E1770">
        <f>IF(A1770="","",'Skill Matrix'!D116)</f>
        <v/>
      </c>
      <c r="F1770">
        <f>IF(AND('Skill Matrix'!A116&lt;&gt;"",'Skill Matrix'!M5&lt;&gt;""),'Skill Matrix'!M5,"")</f>
        <v/>
      </c>
      <c r="G1770">
        <f>IF(OR(A1770="",'Skill Matrix'!M116=""),"",'Skill Matrix'!M116)</f>
        <v/>
      </c>
      <c r="H1770">
        <f>IF(A1770="","",'Employees'!F12)</f>
        <v/>
      </c>
    </row>
    <row r="1771">
      <c r="A1771">
        <f>IF(AND('Skill Matrix'!A116&lt;&gt;"",'Skill Matrix'!N5&lt;&gt;""),'Skill Matrix'!A116,"")</f>
        <v/>
      </c>
      <c r="B1771">
        <f>IF(A1771="","",'Employees'!C12)</f>
        <v/>
      </c>
      <c r="C1771">
        <f>IF(A1771="","",'Employees'!D12)</f>
        <v/>
      </c>
      <c r="D1771">
        <f>IF(A1771="","",'Skill Matrix'!C116)</f>
        <v/>
      </c>
      <c r="E1771">
        <f>IF(A1771="","",'Skill Matrix'!D116)</f>
        <v/>
      </c>
      <c r="F1771">
        <f>IF(AND('Skill Matrix'!A116&lt;&gt;"",'Skill Matrix'!N5&lt;&gt;""),'Skill Matrix'!N5,"")</f>
        <v/>
      </c>
      <c r="G1771">
        <f>IF(OR(A1771="",'Skill Matrix'!N116=""),"",'Skill Matrix'!N116)</f>
        <v/>
      </c>
      <c r="H1771">
        <f>IF(A1771="","",'Employees'!F12)</f>
        <v/>
      </c>
    </row>
    <row r="1772">
      <c r="A1772">
        <f>IF(AND('Skill Matrix'!A116&lt;&gt;"",'Skill Matrix'!O5&lt;&gt;""),'Skill Matrix'!A116,"")</f>
        <v/>
      </c>
      <c r="B1772">
        <f>IF(A1772="","",'Employees'!C12)</f>
        <v/>
      </c>
      <c r="C1772">
        <f>IF(A1772="","",'Employees'!D12)</f>
        <v/>
      </c>
      <c r="D1772">
        <f>IF(A1772="","",'Skill Matrix'!C116)</f>
        <v/>
      </c>
      <c r="E1772">
        <f>IF(A1772="","",'Skill Matrix'!D116)</f>
        <v/>
      </c>
      <c r="F1772">
        <f>IF(AND('Skill Matrix'!A116&lt;&gt;"",'Skill Matrix'!O5&lt;&gt;""),'Skill Matrix'!O5,"")</f>
        <v/>
      </c>
      <c r="G1772">
        <f>IF(OR(A1772="",'Skill Matrix'!O116=""),"",'Skill Matrix'!O116)</f>
        <v/>
      </c>
      <c r="H1772">
        <f>IF(A1772="","",'Employees'!F12)</f>
        <v/>
      </c>
    </row>
    <row r="1773">
      <c r="A1773">
        <f>IF(AND('Skill Matrix'!A116&lt;&gt;"",'Skill Matrix'!P5&lt;&gt;""),'Skill Matrix'!A116,"")</f>
        <v/>
      </c>
      <c r="B1773">
        <f>IF(A1773="","",'Employees'!C12)</f>
        <v/>
      </c>
      <c r="C1773">
        <f>IF(A1773="","",'Employees'!D12)</f>
        <v/>
      </c>
      <c r="D1773">
        <f>IF(A1773="","",'Skill Matrix'!C116)</f>
        <v/>
      </c>
      <c r="E1773">
        <f>IF(A1773="","",'Skill Matrix'!D116)</f>
        <v/>
      </c>
      <c r="F1773">
        <f>IF(AND('Skill Matrix'!A116&lt;&gt;"",'Skill Matrix'!P5&lt;&gt;""),'Skill Matrix'!P5,"")</f>
        <v/>
      </c>
      <c r="G1773">
        <f>IF(OR(A1773="",'Skill Matrix'!P116=""),"",'Skill Matrix'!P116)</f>
        <v/>
      </c>
      <c r="H1773">
        <f>IF(A1773="","",'Employees'!F12)</f>
        <v/>
      </c>
    </row>
    <row r="1774">
      <c r="A1774">
        <f>IF(AND('Skill Matrix'!A116&lt;&gt;"",'Skill Matrix'!Q5&lt;&gt;""),'Skill Matrix'!A116,"")</f>
        <v/>
      </c>
      <c r="B1774">
        <f>IF(A1774="","",'Employees'!C12)</f>
        <v/>
      </c>
      <c r="C1774">
        <f>IF(A1774="","",'Employees'!D12)</f>
        <v/>
      </c>
      <c r="D1774">
        <f>IF(A1774="","",'Skill Matrix'!C116)</f>
        <v/>
      </c>
      <c r="E1774">
        <f>IF(A1774="","",'Skill Matrix'!D116)</f>
        <v/>
      </c>
      <c r="F1774">
        <f>IF(AND('Skill Matrix'!A116&lt;&gt;"",'Skill Matrix'!Q5&lt;&gt;""),'Skill Matrix'!Q5,"")</f>
        <v/>
      </c>
      <c r="G1774">
        <f>IF(OR(A1774="",'Skill Matrix'!Q116=""),"",'Skill Matrix'!Q116)</f>
        <v/>
      </c>
      <c r="H1774">
        <f>IF(A1774="","",'Employees'!F12)</f>
        <v/>
      </c>
    </row>
    <row r="1775">
      <c r="A1775">
        <f>IF(AND('Skill Matrix'!A116&lt;&gt;"",'Skill Matrix'!R5&lt;&gt;""),'Skill Matrix'!A116,"")</f>
        <v/>
      </c>
      <c r="B1775">
        <f>IF(A1775="","",'Employees'!C12)</f>
        <v/>
      </c>
      <c r="C1775">
        <f>IF(A1775="","",'Employees'!D12)</f>
        <v/>
      </c>
      <c r="D1775">
        <f>IF(A1775="","",'Skill Matrix'!C116)</f>
        <v/>
      </c>
      <c r="E1775">
        <f>IF(A1775="","",'Skill Matrix'!D116)</f>
        <v/>
      </c>
      <c r="F1775">
        <f>IF(AND('Skill Matrix'!A116&lt;&gt;"",'Skill Matrix'!R5&lt;&gt;""),'Skill Matrix'!R5,"")</f>
        <v/>
      </c>
      <c r="G1775">
        <f>IF(OR(A1775="",'Skill Matrix'!R116=""),"",'Skill Matrix'!R116)</f>
        <v/>
      </c>
      <c r="H1775">
        <f>IF(A1775="","",'Employees'!F12)</f>
        <v/>
      </c>
    </row>
    <row r="1776">
      <c r="A1776">
        <f>IF(AND('Skill Matrix'!A116&lt;&gt;"",'Skill Matrix'!S5&lt;&gt;""),'Skill Matrix'!A116,"")</f>
        <v/>
      </c>
      <c r="B1776">
        <f>IF(A1776="","",'Employees'!C12)</f>
        <v/>
      </c>
      <c r="C1776">
        <f>IF(A1776="","",'Employees'!D12)</f>
        <v/>
      </c>
      <c r="D1776">
        <f>IF(A1776="","",'Skill Matrix'!C116)</f>
        <v/>
      </c>
      <c r="E1776">
        <f>IF(A1776="","",'Skill Matrix'!D116)</f>
        <v/>
      </c>
      <c r="F1776">
        <f>IF(AND('Skill Matrix'!A116&lt;&gt;"",'Skill Matrix'!S5&lt;&gt;""),'Skill Matrix'!S5,"")</f>
        <v/>
      </c>
      <c r="G1776">
        <f>IF(OR(A1776="",'Skill Matrix'!S116=""),"",'Skill Matrix'!S116)</f>
        <v/>
      </c>
      <c r="H1776">
        <f>IF(A1776="","",'Employees'!F12)</f>
        <v/>
      </c>
    </row>
    <row r="1777">
      <c r="A1777">
        <f>IF(AND('Skill Matrix'!A116&lt;&gt;"",'Skill Matrix'!T5&lt;&gt;""),'Skill Matrix'!A116,"")</f>
        <v/>
      </c>
      <c r="B1777">
        <f>IF(A1777="","",'Employees'!C12)</f>
        <v/>
      </c>
      <c r="C1777">
        <f>IF(A1777="","",'Employees'!D12)</f>
        <v/>
      </c>
      <c r="D1777">
        <f>IF(A1777="","",'Skill Matrix'!C116)</f>
        <v/>
      </c>
      <c r="E1777">
        <f>IF(A1777="","",'Skill Matrix'!D116)</f>
        <v/>
      </c>
      <c r="F1777">
        <f>IF(AND('Skill Matrix'!A116&lt;&gt;"",'Skill Matrix'!T5&lt;&gt;""),'Skill Matrix'!T5,"")</f>
        <v/>
      </c>
      <c r="G1777">
        <f>IF(OR(A1777="",'Skill Matrix'!T116=""),"",'Skill Matrix'!T116)</f>
        <v/>
      </c>
      <c r="H1777">
        <f>IF(A1777="","",'Employees'!F12)</f>
        <v/>
      </c>
    </row>
    <row r="1778">
      <c r="A1778">
        <f>IF(AND('Skill Matrix'!A117&lt;&gt;"",'Skill Matrix'!E5&lt;&gt;""),'Skill Matrix'!A117,"")</f>
        <v/>
      </c>
      <c r="B1778">
        <f>IF(A1778="","",'Employees'!C12)</f>
        <v/>
      </c>
      <c r="C1778">
        <f>IF(A1778="","",'Employees'!D12)</f>
        <v/>
      </c>
      <c r="D1778">
        <f>IF(A1778="","",'Skill Matrix'!C117)</f>
        <v/>
      </c>
      <c r="E1778">
        <f>IF(A1778="","",'Skill Matrix'!D117)</f>
        <v/>
      </c>
      <c r="F1778">
        <f>IF(AND('Skill Matrix'!A117&lt;&gt;"",'Skill Matrix'!E5&lt;&gt;""),'Skill Matrix'!E5,"")</f>
        <v/>
      </c>
      <c r="G1778">
        <f>IF(OR(A1778="",'Skill Matrix'!E117=""),"",'Skill Matrix'!E117)</f>
        <v/>
      </c>
      <c r="H1778">
        <f>IF(A1778="","",'Employees'!F12)</f>
        <v/>
      </c>
    </row>
    <row r="1779">
      <c r="A1779">
        <f>IF(AND('Skill Matrix'!A117&lt;&gt;"",'Skill Matrix'!F5&lt;&gt;""),'Skill Matrix'!A117,"")</f>
        <v/>
      </c>
      <c r="B1779">
        <f>IF(A1779="","",'Employees'!C12)</f>
        <v/>
      </c>
      <c r="C1779">
        <f>IF(A1779="","",'Employees'!D12)</f>
        <v/>
      </c>
      <c r="D1779">
        <f>IF(A1779="","",'Skill Matrix'!C117)</f>
        <v/>
      </c>
      <c r="E1779">
        <f>IF(A1779="","",'Skill Matrix'!D117)</f>
        <v/>
      </c>
      <c r="F1779">
        <f>IF(AND('Skill Matrix'!A117&lt;&gt;"",'Skill Matrix'!F5&lt;&gt;""),'Skill Matrix'!F5,"")</f>
        <v/>
      </c>
      <c r="G1779">
        <f>IF(OR(A1779="",'Skill Matrix'!F117=""),"",'Skill Matrix'!F117)</f>
        <v/>
      </c>
      <c r="H1779">
        <f>IF(A1779="","",'Employees'!F12)</f>
        <v/>
      </c>
    </row>
    <row r="1780">
      <c r="A1780">
        <f>IF(AND('Skill Matrix'!A117&lt;&gt;"",'Skill Matrix'!G5&lt;&gt;""),'Skill Matrix'!A117,"")</f>
        <v/>
      </c>
      <c r="B1780">
        <f>IF(A1780="","",'Employees'!C12)</f>
        <v/>
      </c>
      <c r="C1780">
        <f>IF(A1780="","",'Employees'!D12)</f>
        <v/>
      </c>
      <c r="D1780">
        <f>IF(A1780="","",'Skill Matrix'!C117)</f>
        <v/>
      </c>
      <c r="E1780">
        <f>IF(A1780="","",'Skill Matrix'!D117)</f>
        <v/>
      </c>
      <c r="F1780">
        <f>IF(AND('Skill Matrix'!A117&lt;&gt;"",'Skill Matrix'!G5&lt;&gt;""),'Skill Matrix'!G5,"")</f>
        <v/>
      </c>
      <c r="G1780">
        <f>IF(OR(A1780="",'Skill Matrix'!G117=""),"",'Skill Matrix'!G117)</f>
        <v/>
      </c>
      <c r="H1780">
        <f>IF(A1780="","",'Employees'!F12)</f>
        <v/>
      </c>
    </row>
    <row r="1781">
      <c r="A1781">
        <f>IF(AND('Skill Matrix'!A117&lt;&gt;"",'Skill Matrix'!H5&lt;&gt;""),'Skill Matrix'!A117,"")</f>
        <v/>
      </c>
      <c r="B1781">
        <f>IF(A1781="","",'Employees'!C12)</f>
        <v/>
      </c>
      <c r="C1781">
        <f>IF(A1781="","",'Employees'!D12)</f>
        <v/>
      </c>
      <c r="D1781">
        <f>IF(A1781="","",'Skill Matrix'!C117)</f>
        <v/>
      </c>
      <c r="E1781">
        <f>IF(A1781="","",'Skill Matrix'!D117)</f>
        <v/>
      </c>
      <c r="F1781">
        <f>IF(AND('Skill Matrix'!A117&lt;&gt;"",'Skill Matrix'!H5&lt;&gt;""),'Skill Matrix'!H5,"")</f>
        <v/>
      </c>
      <c r="G1781">
        <f>IF(OR(A1781="",'Skill Matrix'!H117=""),"",'Skill Matrix'!H117)</f>
        <v/>
      </c>
      <c r="H1781">
        <f>IF(A1781="","",'Employees'!F12)</f>
        <v/>
      </c>
    </row>
    <row r="1782">
      <c r="A1782">
        <f>IF(AND('Skill Matrix'!A117&lt;&gt;"",'Skill Matrix'!I5&lt;&gt;""),'Skill Matrix'!A117,"")</f>
        <v/>
      </c>
      <c r="B1782">
        <f>IF(A1782="","",'Employees'!C12)</f>
        <v/>
      </c>
      <c r="C1782">
        <f>IF(A1782="","",'Employees'!D12)</f>
        <v/>
      </c>
      <c r="D1782">
        <f>IF(A1782="","",'Skill Matrix'!C117)</f>
        <v/>
      </c>
      <c r="E1782">
        <f>IF(A1782="","",'Skill Matrix'!D117)</f>
        <v/>
      </c>
      <c r="F1782">
        <f>IF(AND('Skill Matrix'!A117&lt;&gt;"",'Skill Matrix'!I5&lt;&gt;""),'Skill Matrix'!I5,"")</f>
        <v/>
      </c>
      <c r="G1782">
        <f>IF(OR(A1782="",'Skill Matrix'!I117=""),"",'Skill Matrix'!I117)</f>
        <v/>
      </c>
      <c r="H1782">
        <f>IF(A1782="","",'Employees'!F12)</f>
        <v/>
      </c>
    </row>
    <row r="1783">
      <c r="A1783">
        <f>IF(AND('Skill Matrix'!A117&lt;&gt;"",'Skill Matrix'!J5&lt;&gt;""),'Skill Matrix'!A117,"")</f>
        <v/>
      </c>
      <c r="B1783">
        <f>IF(A1783="","",'Employees'!C12)</f>
        <v/>
      </c>
      <c r="C1783">
        <f>IF(A1783="","",'Employees'!D12)</f>
        <v/>
      </c>
      <c r="D1783">
        <f>IF(A1783="","",'Skill Matrix'!C117)</f>
        <v/>
      </c>
      <c r="E1783">
        <f>IF(A1783="","",'Skill Matrix'!D117)</f>
        <v/>
      </c>
      <c r="F1783">
        <f>IF(AND('Skill Matrix'!A117&lt;&gt;"",'Skill Matrix'!J5&lt;&gt;""),'Skill Matrix'!J5,"")</f>
        <v/>
      </c>
      <c r="G1783">
        <f>IF(OR(A1783="",'Skill Matrix'!J117=""),"",'Skill Matrix'!J117)</f>
        <v/>
      </c>
      <c r="H1783">
        <f>IF(A1783="","",'Employees'!F12)</f>
        <v/>
      </c>
    </row>
    <row r="1784">
      <c r="A1784">
        <f>IF(AND('Skill Matrix'!A117&lt;&gt;"",'Skill Matrix'!K5&lt;&gt;""),'Skill Matrix'!A117,"")</f>
        <v/>
      </c>
      <c r="B1784">
        <f>IF(A1784="","",'Employees'!C12)</f>
        <v/>
      </c>
      <c r="C1784">
        <f>IF(A1784="","",'Employees'!D12)</f>
        <v/>
      </c>
      <c r="D1784">
        <f>IF(A1784="","",'Skill Matrix'!C117)</f>
        <v/>
      </c>
      <c r="E1784">
        <f>IF(A1784="","",'Skill Matrix'!D117)</f>
        <v/>
      </c>
      <c r="F1784">
        <f>IF(AND('Skill Matrix'!A117&lt;&gt;"",'Skill Matrix'!K5&lt;&gt;""),'Skill Matrix'!K5,"")</f>
        <v/>
      </c>
      <c r="G1784">
        <f>IF(OR(A1784="",'Skill Matrix'!K117=""),"",'Skill Matrix'!K117)</f>
        <v/>
      </c>
      <c r="H1784">
        <f>IF(A1784="","",'Employees'!F12)</f>
        <v/>
      </c>
    </row>
    <row r="1785">
      <c r="A1785">
        <f>IF(AND('Skill Matrix'!A117&lt;&gt;"",'Skill Matrix'!L5&lt;&gt;""),'Skill Matrix'!A117,"")</f>
        <v/>
      </c>
      <c r="B1785">
        <f>IF(A1785="","",'Employees'!C12)</f>
        <v/>
      </c>
      <c r="C1785">
        <f>IF(A1785="","",'Employees'!D12)</f>
        <v/>
      </c>
      <c r="D1785">
        <f>IF(A1785="","",'Skill Matrix'!C117)</f>
        <v/>
      </c>
      <c r="E1785">
        <f>IF(A1785="","",'Skill Matrix'!D117)</f>
        <v/>
      </c>
      <c r="F1785">
        <f>IF(AND('Skill Matrix'!A117&lt;&gt;"",'Skill Matrix'!L5&lt;&gt;""),'Skill Matrix'!L5,"")</f>
        <v/>
      </c>
      <c r="G1785">
        <f>IF(OR(A1785="",'Skill Matrix'!L117=""),"",'Skill Matrix'!L117)</f>
        <v/>
      </c>
      <c r="H1785">
        <f>IF(A1785="","",'Employees'!F12)</f>
        <v/>
      </c>
    </row>
    <row r="1786">
      <c r="A1786">
        <f>IF(AND('Skill Matrix'!A117&lt;&gt;"",'Skill Matrix'!M5&lt;&gt;""),'Skill Matrix'!A117,"")</f>
        <v/>
      </c>
      <c r="B1786">
        <f>IF(A1786="","",'Employees'!C12)</f>
        <v/>
      </c>
      <c r="C1786">
        <f>IF(A1786="","",'Employees'!D12)</f>
        <v/>
      </c>
      <c r="D1786">
        <f>IF(A1786="","",'Skill Matrix'!C117)</f>
        <v/>
      </c>
      <c r="E1786">
        <f>IF(A1786="","",'Skill Matrix'!D117)</f>
        <v/>
      </c>
      <c r="F1786">
        <f>IF(AND('Skill Matrix'!A117&lt;&gt;"",'Skill Matrix'!M5&lt;&gt;""),'Skill Matrix'!M5,"")</f>
        <v/>
      </c>
      <c r="G1786">
        <f>IF(OR(A1786="",'Skill Matrix'!M117=""),"",'Skill Matrix'!M117)</f>
        <v/>
      </c>
      <c r="H1786">
        <f>IF(A1786="","",'Employees'!F12)</f>
        <v/>
      </c>
    </row>
    <row r="1787">
      <c r="A1787">
        <f>IF(AND('Skill Matrix'!A117&lt;&gt;"",'Skill Matrix'!N5&lt;&gt;""),'Skill Matrix'!A117,"")</f>
        <v/>
      </c>
      <c r="B1787">
        <f>IF(A1787="","",'Employees'!C12)</f>
        <v/>
      </c>
      <c r="C1787">
        <f>IF(A1787="","",'Employees'!D12)</f>
        <v/>
      </c>
      <c r="D1787">
        <f>IF(A1787="","",'Skill Matrix'!C117)</f>
        <v/>
      </c>
      <c r="E1787">
        <f>IF(A1787="","",'Skill Matrix'!D117)</f>
        <v/>
      </c>
      <c r="F1787">
        <f>IF(AND('Skill Matrix'!A117&lt;&gt;"",'Skill Matrix'!N5&lt;&gt;""),'Skill Matrix'!N5,"")</f>
        <v/>
      </c>
      <c r="G1787">
        <f>IF(OR(A1787="",'Skill Matrix'!N117=""),"",'Skill Matrix'!N117)</f>
        <v/>
      </c>
      <c r="H1787">
        <f>IF(A1787="","",'Employees'!F12)</f>
        <v/>
      </c>
    </row>
    <row r="1788">
      <c r="A1788">
        <f>IF(AND('Skill Matrix'!A117&lt;&gt;"",'Skill Matrix'!O5&lt;&gt;""),'Skill Matrix'!A117,"")</f>
        <v/>
      </c>
      <c r="B1788">
        <f>IF(A1788="","",'Employees'!C12)</f>
        <v/>
      </c>
      <c r="C1788">
        <f>IF(A1788="","",'Employees'!D12)</f>
        <v/>
      </c>
      <c r="D1788">
        <f>IF(A1788="","",'Skill Matrix'!C117)</f>
        <v/>
      </c>
      <c r="E1788">
        <f>IF(A1788="","",'Skill Matrix'!D117)</f>
        <v/>
      </c>
      <c r="F1788">
        <f>IF(AND('Skill Matrix'!A117&lt;&gt;"",'Skill Matrix'!O5&lt;&gt;""),'Skill Matrix'!O5,"")</f>
        <v/>
      </c>
      <c r="G1788">
        <f>IF(OR(A1788="",'Skill Matrix'!O117=""),"",'Skill Matrix'!O117)</f>
        <v/>
      </c>
      <c r="H1788">
        <f>IF(A1788="","",'Employees'!F12)</f>
        <v/>
      </c>
    </row>
    <row r="1789">
      <c r="A1789">
        <f>IF(AND('Skill Matrix'!A117&lt;&gt;"",'Skill Matrix'!P5&lt;&gt;""),'Skill Matrix'!A117,"")</f>
        <v/>
      </c>
      <c r="B1789">
        <f>IF(A1789="","",'Employees'!C12)</f>
        <v/>
      </c>
      <c r="C1789">
        <f>IF(A1789="","",'Employees'!D12)</f>
        <v/>
      </c>
      <c r="D1789">
        <f>IF(A1789="","",'Skill Matrix'!C117)</f>
        <v/>
      </c>
      <c r="E1789">
        <f>IF(A1789="","",'Skill Matrix'!D117)</f>
        <v/>
      </c>
      <c r="F1789">
        <f>IF(AND('Skill Matrix'!A117&lt;&gt;"",'Skill Matrix'!P5&lt;&gt;""),'Skill Matrix'!P5,"")</f>
        <v/>
      </c>
      <c r="G1789">
        <f>IF(OR(A1789="",'Skill Matrix'!P117=""),"",'Skill Matrix'!P117)</f>
        <v/>
      </c>
      <c r="H1789">
        <f>IF(A1789="","",'Employees'!F12)</f>
        <v/>
      </c>
    </row>
    <row r="1790">
      <c r="A1790">
        <f>IF(AND('Skill Matrix'!A117&lt;&gt;"",'Skill Matrix'!Q5&lt;&gt;""),'Skill Matrix'!A117,"")</f>
        <v/>
      </c>
      <c r="B1790">
        <f>IF(A1790="","",'Employees'!C12)</f>
        <v/>
      </c>
      <c r="C1790">
        <f>IF(A1790="","",'Employees'!D12)</f>
        <v/>
      </c>
      <c r="D1790">
        <f>IF(A1790="","",'Skill Matrix'!C117)</f>
        <v/>
      </c>
      <c r="E1790">
        <f>IF(A1790="","",'Skill Matrix'!D117)</f>
        <v/>
      </c>
      <c r="F1790">
        <f>IF(AND('Skill Matrix'!A117&lt;&gt;"",'Skill Matrix'!Q5&lt;&gt;""),'Skill Matrix'!Q5,"")</f>
        <v/>
      </c>
      <c r="G1790">
        <f>IF(OR(A1790="",'Skill Matrix'!Q117=""),"",'Skill Matrix'!Q117)</f>
        <v/>
      </c>
      <c r="H1790">
        <f>IF(A1790="","",'Employees'!F12)</f>
        <v/>
      </c>
    </row>
    <row r="1791">
      <c r="A1791">
        <f>IF(AND('Skill Matrix'!A117&lt;&gt;"",'Skill Matrix'!R5&lt;&gt;""),'Skill Matrix'!A117,"")</f>
        <v/>
      </c>
      <c r="B1791">
        <f>IF(A1791="","",'Employees'!C12)</f>
        <v/>
      </c>
      <c r="C1791">
        <f>IF(A1791="","",'Employees'!D12)</f>
        <v/>
      </c>
      <c r="D1791">
        <f>IF(A1791="","",'Skill Matrix'!C117)</f>
        <v/>
      </c>
      <c r="E1791">
        <f>IF(A1791="","",'Skill Matrix'!D117)</f>
        <v/>
      </c>
      <c r="F1791">
        <f>IF(AND('Skill Matrix'!A117&lt;&gt;"",'Skill Matrix'!R5&lt;&gt;""),'Skill Matrix'!R5,"")</f>
        <v/>
      </c>
      <c r="G1791">
        <f>IF(OR(A1791="",'Skill Matrix'!R117=""),"",'Skill Matrix'!R117)</f>
        <v/>
      </c>
      <c r="H1791">
        <f>IF(A1791="","",'Employees'!F12)</f>
        <v/>
      </c>
    </row>
    <row r="1792">
      <c r="A1792">
        <f>IF(AND('Skill Matrix'!A117&lt;&gt;"",'Skill Matrix'!S5&lt;&gt;""),'Skill Matrix'!A117,"")</f>
        <v/>
      </c>
      <c r="B1792">
        <f>IF(A1792="","",'Employees'!C12)</f>
        <v/>
      </c>
      <c r="C1792">
        <f>IF(A1792="","",'Employees'!D12)</f>
        <v/>
      </c>
      <c r="D1792">
        <f>IF(A1792="","",'Skill Matrix'!C117)</f>
        <v/>
      </c>
      <c r="E1792">
        <f>IF(A1792="","",'Skill Matrix'!D117)</f>
        <v/>
      </c>
      <c r="F1792">
        <f>IF(AND('Skill Matrix'!A117&lt;&gt;"",'Skill Matrix'!S5&lt;&gt;""),'Skill Matrix'!S5,"")</f>
        <v/>
      </c>
      <c r="G1792">
        <f>IF(OR(A1792="",'Skill Matrix'!S117=""),"",'Skill Matrix'!S117)</f>
        <v/>
      </c>
      <c r="H1792">
        <f>IF(A1792="","",'Employees'!F12)</f>
        <v/>
      </c>
    </row>
    <row r="1793">
      <c r="A1793">
        <f>IF(AND('Skill Matrix'!A117&lt;&gt;"",'Skill Matrix'!T5&lt;&gt;""),'Skill Matrix'!A117,"")</f>
        <v/>
      </c>
      <c r="B1793">
        <f>IF(A1793="","",'Employees'!C12)</f>
        <v/>
      </c>
      <c r="C1793">
        <f>IF(A1793="","",'Employees'!D12)</f>
        <v/>
      </c>
      <c r="D1793">
        <f>IF(A1793="","",'Skill Matrix'!C117)</f>
        <v/>
      </c>
      <c r="E1793">
        <f>IF(A1793="","",'Skill Matrix'!D117)</f>
        <v/>
      </c>
      <c r="F1793">
        <f>IF(AND('Skill Matrix'!A117&lt;&gt;"",'Skill Matrix'!T5&lt;&gt;""),'Skill Matrix'!T5,"")</f>
        <v/>
      </c>
      <c r="G1793">
        <f>IF(OR(A1793="",'Skill Matrix'!T117=""),"",'Skill Matrix'!T117)</f>
        <v/>
      </c>
      <c r="H1793">
        <f>IF(A1793="","",'Employees'!F12)</f>
        <v/>
      </c>
    </row>
    <row r="1794">
      <c r="A1794">
        <f>IF(AND('Skill Matrix'!A118&lt;&gt;"",'Skill Matrix'!E5&lt;&gt;""),'Skill Matrix'!A118,"")</f>
        <v/>
      </c>
      <c r="B1794">
        <f>IF(A1794="","",'Employees'!C13)</f>
        <v/>
      </c>
      <c r="C1794">
        <f>IF(A1794="","",'Employees'!D13)</f>
        <v/>
      </c>
      <c r="D1794">
        <f>IF(A1794="","",'Skill Matrix'!C118)</f>
        <v/>
      </c>
      <c r="E1794">
        <f>IF(A1794="","",'Skill Matrix'!D118)</f>
        <v/>
      </c>
      <c r="F1794">
        <f>IF(AND('Skill Matrix'!A118&lt;&gt;"",'Skill Matrix'!E5&lt;&gt;""),'Skill Matrix'!E5,"")</f>
        <v/>
      </c>
      <c r="G1794">
        <f>IF(OR(A1794="",'Skill Matrix'!E118=""),"",'Skill Matrix'!E118)</f>
        <v/>
      </c>
      <c r="H1794">
        <f>IF(A1794="","",'Employees'!F13)</f>
        <v/>
      </c>
    </row>
    <row r="1795">
      <c r="A1795">
        <f>IF(AND('Skill Matrix'!A118&lt;&gt;"",'Skill Matrix'!F5&lt;&gt;""),'Skill Matrix'!A118,"")</f>
        <v/>
      </c>
      <c r="B1795">
        <f>IF(A1795="","",'Employees'!C13)</f>
        <v/>
      </c>
      <c r="C1795">
        <f>IF(A1795="","",'Employees'!D13)</f>
        <v/>
      </c>
      <c r="D1795">
        <f>IF(A1795="","",'Skill Matrix'!C118)</f>
        <v/>
      </c>
      <c r="E1795">
        <f>IF(A1795="","",'Skill Matrix'!D118)</f>
        <v/>
      </c>
      <c r="F1795">
        <f>IF(AND('Skill Matrix'!A118&lt;&gt;"",'Skill Matrix'!F5&lt;&gt;""),'Skill Matrix'!F5,"")</f>
        <v/>
      </c>
      <c r="G1795">
        <f>IF(OR(A1795="",'Skill Matrix'!F118=""),"",'Skill Matrix'!F118)</f>
        <v/>
      </c>
      <c r="H1795">
        <f>IF(A1795="","",'Employees'!F13)</f>
        <v/>
      </c>
    </row>
    <row r="1796">
      <c r="A1796">
        <f>IF(AND('Skill Matrix'!A118&lt;&gt;"",'Skill Matrix'!G5&lt;&gt;""),'Skill Matrix'!A118,"")</f>
        <v/>
      </c>
      <c r="B1796">
        <f>IF(A1796="","",'Employees'!C13)</f>
        <v/>
      </c>
      <c r="C1796">
        <f>IF(A1796="","",'Employees'!D13)</f>
        <v/>
      </c>
      <c r="D1796">
        <f>IF(A1796="","",'Skill Matrix'!C118)</f>
        <v/>
      </c>
      <c r="E1796">
        <f>IF(A1796="","",'Skill Matrix'!D118)</f>
        <v/>
      </c>
      <c r="F1796">
        <f>IF(AND('Skill Matrix'!A118&lt;&gt;"",'Skill Matrix'!G5&lt;&gt;""),'Skill Matrix'!G5,"")</f>
        <v/>
      </c>
      <c r="G1796">
        <f>IF(OR(A1796="",'Skill Matrix'!G118=""),"",'Skill Matrix'!G118)</f>
        <v/>
      </c>
      <c r="H1796">
        <f>IF(A1796="","",'Employees'!F13)</f>
        <v/>
      </c>
    </row>
    <row r="1797">
      <c r="A1797">
        <f>IF(AND('Skill Matrix'!A118&lt;&gt;"",'Skill Matrix'!H5&lt;&gt;""),'Skill Matrix'!A118,"")</f>
        <v/>
      </c>
      <c r="B1797">
        <f>IF(A1797="","",'Employees'!C13)</f>
        <v/>
      </c>
      <c r="C1797">
        <f>IF(A1797="","",'Employees'!D13)</f>
        <v/>
      </c>
      <c r="D1797">
        <f>IF(A1797="","",'Skill Matrix'!C118)</f>
        <v/>
      </c>
      <c r="E1797">
        <f>IF(A1797="","",'Skill Matrix'!D118)</f>
        <v/>
      </c>
      <c r="F1797">
        <f>IF(AND('Skill Matrix'!A118&lt;&gt;"",'Skill Matrix'!H5&lt;&gt;""),'Skill Matrix'!H5,"")</f>
        <v/>
      </c>
      <c r="G1797">
        <f>IF(OR(A1797="",'Skill Matrix'!H118=""),"",'Skill Matrix'!H118)</f>
        <v/>
      </c>
      <c r="H1797">
        <f>IF(A1797="","",'Employees'!F13)</f>
        <v/>
      </c>
    </row>
    <row r="1798">
      <c r="A1798">
        <f>IF(AND('Skill Matrix'!A118&lt;&gt;"",'Skill Matrix'!I5&lt;&gt;""),'Skill Matrix'!A118,"")</f>
        <v/>
      </c>
      <c r="B1798">
        <f>IF(A1798="","",'Employees'!C13)</f>
        <v/>
      </c>
      <c r="C1798">
        <f>IF(A1798="","",'Employees'!D13)</f>
        <v/>
      </c>
      <c r="D1798">
        <f>IF(A1798="","",'Skill Matrix'!C118)</f>
        <v/>
      </c>
      <c r="E1798">
        <f>IF(A1798="","",'Skill Matrix'!D118)</f>
        <v/>
      </c>
      <c r="F1798">
        <f>IF(AND('Skill Matrix'!A118&lt;&gt;"",'Skill Matrix'!I5&lt;&gt;""),'Skill Matrix'!I5,"")</f>
        <v/>
      </c>
      <c r="G1798">
        <f>IF(OR(A1798="",'Skill Matrix'!I118=""),"",'Skill Matrix'!I118)</f>
        <v/>
      </c>
      <c r="H1798">
        <f>IF(A1798="","",'Employees'!F13)</f>
        <v/>
      </c>
    </row>
    <row r="1799">
      <c r="A1799">
        <f>IF(AND('Skill Matrix'!A118&lt;&gt;"",'Skill Matrix'!J5&lt;&gt;""),'Skill Matrix'!A118,"")</f>
        <v/>
      </c>
      <c r="B1799">
        <f>IF(A1799="","",'Employees'!C13)</f>
        <v/>
      </c>
      <c r="C1799">
        <f>IF(A1799="","",'Employees'!D13)</f>
        <v/>
      </c>
      <c r="D1799">
        <f>IF(A1799="","",'Skill Matrix'!C118)</f>
        <v/>
      </c>
      <c r="E1799">
        <f>IF(A1799="","",'Skill Matrix'!D118)</f>
        <v/>
      </c>
      <c r="F1799">
        <f>IF(AND('Skill Matrix'!A118&lt;&gt;"",'Skill Matrix'!J5&lt;&gt;""),'Skill Matrix'!J5,"")</f>
        <v/>
      </c>
      <c r="G1799">
        <f>IF(OR(A1799="",'Skill Matrix'!J118=""),"",'Skill Matrix'!J118)</f>
        <v/>
      </c>
      <c r="H1799">
        <f>IF(A1799="","",'Employees'!F13)</f>
        <v/>
      </c>
    </row>
    <row r="1800">
      <c r="A1800">
        <f>IF(AND('Skill Matrix'!A118&lt;&gt;"",'Skill Matrix'!K5&lt;&gt;""),'Skill Matrix'!A118,"")</f>
        <v/>
      </c>
      <c r="B1800">
        <f>IF(A1800="","",'Employees'!C13)</f>
        <v/>
      </c>
      <c r="C1800">
        <f>IF(A1800="","",'Employees'!D13)</f>
        <v/>
      </c>
      <c r="D1800">
        <f>IF(A1800="","",'Skill Matrix'!C118)</f>
        <v/>
      </c>
      <c r="E1800">
        <f>IF(A1800="","",'Skill Matrix'!D118)</f>
        <v/>
      </c>
      <c r="F1800">
        <f>IF(AND('Skill Matrix'!A118&lt;&gt;"",'Skill Matrix'!K5&lt;&gt;""),'Skill Matrix'!K5,"")</f>
        <v/>
      </c>
      <c r="G1800">
        <f>IF(OR(A1800="",'Skill Matrix'!K118=""),"",'Skill Matrix'!K118)</f>
        <v/>
      </c>
      <c r="H1800">
        <f>IF(A1800="","",'Employees'!F13)</f>
        <v/>
      </c>
    </row>
    <row r="1801">
      <c r="A1801">
        <f>IF(AND('Skill Matrix'!A118&lt;&gt;"",'Skill Matrix'!L5&lt;&gt;""),'Skill Matrix'!A118,"")</f>
        <v/>
      </c>
      <c r="B1801">
        <f>IF(A1801="","",'Employees'!C13)</f>
        <v/>
      </c>
      <c r="C1801">
        <f>IF(A1801="","",'Employees'!D13)</f>
        <v/>
      </c>
      <c r="D1801">
        <f>IF(A1801="","",'Skill Matrix'!C118)</f>
        <v/>
      </c>
      <c r="E1801">
        <f>IF(A1801="","",'Skill Matrix'!D118)</f>
        <v/>
      </c>
      <c r="F1801">
        <f>IF(AND('Skill Matrix'!A118&lt;&gt;"",'Skill Matrix'!L5&lt;&gt;""),'Skill Matrix'!L5,"")</f>
        <v/>
      </c>
      <c r="G1801">
        <f>IF(OR(A1801="",'Skill Matrix'!L118=""),"",'Skill Matrix'!L118)</f>
        <v/>
      </c>
      <c r="H1801">
        <f>IF(A1801="","",'Employees'!F13)</f>
        <v/>
      </c>
    </row>
    <row r="1802">
      <c r="A1802">
        <f>IF(AND('Skill Matrix'!A118&lt;&gt;"",'Skill Matrix'!M5&lt;&gt;""),'Skill Matrix'!A118,"")</f>
        <v/>
      </c>
      <c r="B1802">
        <f>IF(A1802="","",'Employees'!C13)</f>
        <v/>
      </c>
      <c r="C1802">
        <f>IF(A1802="","",'Employees'!D13)</f>
        <v/>
      </c>
      <c r="D1802">
        <f>IF(A1802="","",'Skill Matrix'!C118)</f>
        <v/>
      </c>
      <c r="E1802">
        <f>IF(A1802="","",'Skill Matrix'!D118)</f>
        <v/>
      </c>
      <c r="F1802">
        <f>IF(AND('Skill Matrix'!A118&lt;&gt;"",'Skill Matrix'!M5&lt;&gt;""),'Skill Matrix'!M5,"")</f>
        <v/>
      </c>
      <c r="G1802">
        <f>IF(OR(A1802="",'Skill Matrix'!M118=""),"",'Skill Matrix'!M118)</f>
        <v/>
      </c>
      <c r="H1802">
        <f>IF(A1802="","",'Employees'!F13)</f>
        <v/>
      </c>
    </row>
    <row r="1803">
      <c r="A1803">
        <f>IF(AND('Skill Matrix'!A118&lt;&gt;"",'Skill Matrix'!N5&lt;&gt;""),'Skill Matrix'!A118,"")</f>
        <v/>
      </c>
      <c r="B1803">
        <f>IF(A1803="","",'Employees'!C13)</f>
        <v/>
      </c>
      <c r="C1803">
        <f>IF(A1803="","",'Employees'!D13)</f>
        <v/>
      </c>
      <c r="D1803">
        <f>IF(A1803="","",'Skill Matrix'!C118)</f>
        <v/>
      </c>
      <c r="E1803">
        <f>IF(A1803="","",'Skill Matrix'!D118)</f>
        <v/>
      </c>
      <c r="F1803">
        <f>IF(AND('Skill Matrix'!A118&lt;&gt;"",'Skill Matrix'!N5&lt;&gt;""),'Skill Matrix'!N5,"")</f>
        <v/>
      </c>
      <c r="G1803">
        <f>IF(OR(A1803="",'Skill Matrix'!N118=""),"",'Skill Matrix'!N118)</f>
        <v/>
      </c>
      <c r="H1803">
        <f>IF(A1803="","",'Employees'!F13)</f>
        <v/>
      </c>
    </row>
    <row r="1804">
      <c r="A1804">
        <f>IF(AND('Skill Matrix'!A118&lt;&gt;"",'Skill Matrix'!O5&lt;&gt;""),'Skill Matrix'!A118,"")</f>
        <v/>
      </c>
      <c r="B1804">
        <f>IF(A1804="","",'Employees'!C13)</f>
        <v/>
      </c>
      <c r="C1804">
        <f>IF(A1804="","",'Employees'!D13)</f>
        <v/>
      </c>
      <c r="D1804">
        <f>IF(A1804="","",'Skill Matrix'!C118)</f>
        <v/>
      </c>
      <c r="E1804">
        <f>IF(A1804="","",'Skill Matrix'!D118)</f>
        <v/>
      </c>
      <c r="F1804">
        <f>IF(AND('Skill Matrix'!A118&lt;&gt;"",'Skill Matrix'!O5&lt;&gt;""),'Skill Matrix'!O5,"")</f>
        <v/>
      </c>
      <c r="G1804">
        <f>IF(OR(A1804="",'Skill Matrix'!O118=""),"",'Skill Matrix'!O118)</f>
        <v/>
      </c>
      <c r="H1804">
        <f>IF(A1804="","",'Employees'!F13)</f>
        <v/>
      </c>
    </row>
    <row r="1805">
      <c r="A1805">
        <f>IF(AND('Skill Matrix'!A118&lt;&gt;"",'Skill Matrix'!P5&lt;&gt;""),'Skill Matrix'!A118,"")</f>
        <v/>
      </c>
      <c r="B1805">
        <f>IF(A1805="","",'Employees'!C13)</f>
        <v/>
      </c>
      <c r="C1805">
        <f>IF(A1805="","",'Employees'!D13)</f>
        <v/>
      </c>
      <c r="D1805">
        <f>IF(A1805="","",'Skill Matrix'!C118)</f>
        <v/>
      </c>
      <c r="E1805">
        <f>IF(A1805="","",'Skill Matrix'!D118)</f>
        <v/>
      </c>
      <c r="F1805">
        <f>IF(AND('Skill Matrix'!A118&lt;&gt;"",'Skill Matrix'!P5&lt;&gt;""),'Skill Matrix'!P5,"")</f>
        <v/>
      </c>
      <c r="G1805">
        <f>IF(OR(A1805="",'Skill Matrix'!P118=""),"",'Skill Matrix'!P118)</f>
        <v/>
      </c>
      <c r="H1805">
        <f>IF(A1805="","",'Employees'!F13)</f>
        <v/>
      </c>
    </row>
    <row r="1806">
      <c r="A1806">
        <f>IF(AND('Skill Matrix'!A118&lt;&gt;"",'Skill Matrix'!Q5&lt;&gt;""),'Skill Matrix'!A118,"")</f>
        <v/>
      </c>
      <c r="B1806">
        <f>IF(A1806="","",'Employees'!C13)</f>
        <v/>
      </c>
      <c r="C1806">
        <f>IF(A1806="","",'Employees'!D13)</f>
        <v/>
      </c>
      <c r="D1806">
        <f>IF(A1806="","",'Skill Matrix'!C118)</f>
        <v/>
      </c>
      <c r="E1806">
        <f>IF(A1806="","",'Skill Matrix'!D118)</f>
        <v/>
      </c>
      <c r="F1806">
        <f>IF(AND('Skill Matrix'!A118&lt;&gt;"",'Skill Matrix'!Q5&lt;&gt;""),'Skill Matrix'!Q5,"")</f>
        <v/>
      </c>
      <c r="G1806">
        <f>IF(OR(A1806="",'Skill Matrix'!Q118=""),"",'Skill Matrix'!Q118)</f>
        <v/>
      </c>
      <c r="H1806">
        <f>IF(A1806="","",'Employees'!F13)</f>
        <v/>
      </c>
    </row>
    <row r="1807">
      <c r="A1807">
        <f>IF(AND('Skill Matrix'!A118&lt;&gt;"",'Skill Matrix'!R5&lt;&gt;""),'Skill Matrix'!A118,"")</f>
        <v/>
      </c>
      <c r="B1807">
        <f>IF(A1807="","",'Employees'!C13)</f>
        <v/>
      </c>
      <c r="C1807">
        <f>IF(A1807="","",'Employees'!D13)</f>
        <v/>
      </c>
      <c r="D1807">
        <f>IF(A1807="","",'Skill Matrix'!C118)</f>
        <v/>
      </c>
      <c r="E1807">
        <f>IF(A1807="","",'Skill Matrix'!D118)</f>
        <v/>
      </c>
      <c r="F1807">
        <f>IF(AND('Skill Matrix'!A118&lt;&gt;"",'Skill Matrix'!R5&lt;&gt;""),'Skill Matrix'!R5,"")</f>
        <v/>
      </c>
      <c r="G1807">
        <f>IF(OR(A1807="",'Skill Matrix'!R118=""),"",'Skill Matrix'!R118)</f>
        <v/>
      </c>
      <c r="H1807">
        <f>IF(A1807="","",'Employees'!F13)</f>
        <v/>
      </c>
    </row>
    <row r="1808">
      <c r="A1808">
        <f>IF(AND('Skill Matrix'!A118&lt;&gt;"",'Skill Matrix'!S5&lt;&gt;""),'Skill Matrix'!A118,"")</f>
        <v/>
      </c>
      <c r="B1808">
        <f>IF(A1808="","",'Employees'!C13)</f>
        <v/>
      </c>
      <c r="C1808">
        <f>IF(A1808="","",'Employees'!D13)</f>
        <v/>
      </c>
      <c r="D1808">
        <f>IF(A1808="","",'Skill Matrix'!C118)</f>
        <v/>
      </c>
      <c r="E1808">
        <f>IF(A1808="","",'Skill Matrix'!D118)</f>
        <v/>
      </c>
      <c r="F1808">
        <f>IF(AND('Skill Matrix'!A118&lt;&gt;"",'Skill Matrix'!S5&lt;&gt;""),'Skill Matrix'!S5,"")</f>
        <v/>
      </c>
      <c r="G1808">
        <f>IF(OR(A1808="",'Skill Matrix'!S118=""),"",'Skill Matrix'!S118)</f>
        <v/>
      </c>
      <c r="H1808">
        <f>IF(A1808="","",'Employees'!F13)</f>
        <v/>
      </c>
    </row>
    <row r="1809">
      <c r="A1809">
        <f>IF(AND('Skill Matrix'!A118&lt;&gt;"",'Skill Matrix'!T5&lt;&gt;""),'Skill Matrix'!A118,"")</f>
        <v/>
      </c>
      <c r="B1809">
        <f>IF(A1809="","",'Employees'!C13)</f>
        <v/>
      </c>
      <c r="C1809">
        <f>IF(A1809="","",'Employees'!D13)</f>
        <v/>
      </c>
      <c r="D1809">
        <f>IF(A1809="","",'Skill Matrix'!C118)</f>
        <v/>
      </c>
      <c r="E1809">
        <f>IF(A1809="","",'Skill Matrix'!D118)</f>
        <v/>
      </c>
      <c r="F1809">
        <f>IF(AND('Skill Matrix'!A118&lt;&gt;"",'Skill Matrix'!T5&lt;&gt;""),'Skill Matrix'!T5,"")</f>
        <v/>
      </c>
      <c r="G1809">
        <f>IF(OR(A1809="",'Skill Matrix'!T118=""),"",'Skill Matrix'!T118)</f>
        <v/>
      </c>
      <c r="H1809">
        <f>IF(A1809="","",'Employees'!F13)</f>
        <v/>
      </c>
    </row>
    <row r="1810">
      <c r="A1810">
        <f>IF(AND('Skill Matrix'!A119&lt;&gt;"",'Skill Matrix'!E5&lt;&gt;""),'Skill Matrix'!A119,"")</f>
        <v/>
      </c>
      <c r="B1810">
        <f>IF(A1810="","",'Employees'!C13)</f>
        <v/>
      </c>
      <c r="C1810">
        <f>IF(A1810="","",'Employees'!D13)</f>
        <v/>
      </c>
      <c r="D1810">
        <f>IF(A1810="","",'Skill Matrix'!C119)</f>
        <v/>
      </c>
      <c r="E1810">
        <f>IF(A1810="","",'Skill Matrix'!D119)</f>
        <v/>
      </c>
      <c r="F1810">
        <f>IF(AND('Skill Matrix'!A119&lt;&gt;"",'Skill Matrix'!E5&lt;&gt;""),'Skill Matrix'!E5,"")</f>
        <v/>
      </c>
      <c r="G1810">
        <f>IF(OR(A1810="",'Skill Matrix'!E119=""),"",'Skill Matrix'!E119)</f>
        <v/>
      </c>
      <c r="H1810">
        <f>IF(A1810="","",'Employees'!F13)</f>
        <v/>
      </c>
    </row>
    <row r="1811">
      <c r="A1811">
        <f>IF(AND('Skill Matrix'!A119&lt;&gt;"",'Skill Matrix'!F5&lt;&gt;""),'Skill Matrix'!A119,"")</f>
        <v/>
      </c>
      <c r="B1811">
        <f>IF(A1811="","",'Employees'!C13)</f>
        <v/>
      </c>
      <c r="C1811">
        <f>IF(A1811="","",'Employees'!D13)</f>
        <v/>
      </c>
      <c r="D1811">
        <f>IF(A1811="","",'Skill Matrix'!C119)</f>
        <v/>
      </c>
      <c r="E1811">
        <f>IF(A1811="","",'Skill Matrix'!D119)</f>
        <v/>
      </c>
      <c r="F1811">
        <f>IF(AND('Skill Matrix'!A119&lt;&gt;"",'Skill Matrix'!F5&lt;&gt;""),'Skill Matrix'!F5,"")</f>
        <v/>
      </c>
      <c r="G1811">
        <f>IF(OR(A1811="",'Skill Matrix'!F119=""),"",'Skill Matrix'!F119)</f>
        <v/>
      </c>
      <c r="H1811">
        <f>IF(A1811="","",'Employees'!F13)</f>
        <v/>
      </c>
    </row>
    <row r="1812">
      <c r="A1812">
        <f>IF(AND('Skill Matrix'!A119&lt;&gt;"",'Skill Matrix'!G5&lt;&gt;""),'Skill Matrix'!A119,"")</f>
        <v/>
      </c>
      <c r="B1812">
        <f>IF(A1812="","",'Employees'!C13)</f>
        <v/>
      </c>
      <c r="C1812">
        <f>IF(A1812="","",'Employees'!D13)</f>
        <v/>
      </c>
      <c r="D1812">
        <f>IF(A1812="","",'Skill Matrix'!C119)</f>
        <v/>
      </c>
      <c r="E1812">
        <f>IF(A1812="","",'Skill Matrix'!D119)</f>
        <v/>
      </c>
      <c r="F1812">
        <f>IF(AND('Skill Matrix'!A119&lt;&gt;"",'Skill Matrix'!G5&lt;&gt;""),'Skill Matrix'!G5,"")</f>
        <v/>
      </c>
      <c r="G1812">
        <f>IF(OR(A1812="",'Skill Matrix'!G119=""),"",'Skill Matrix'!G119)</f>
        <v/>
      </c>
      <c r="H1812">
        <f>IF(A1812="","",'Employees'!F13)</f>
        <v/>
      </c>
    </row>
    <row r="1813">
      <c r="A1813">
        <f>IF(AND('Skill Matrix'!A119&lt;&gt;"",'Skill Matrix'!H5&lt;&gt;""),'Skill Matrix'!A119,"")</f>
        <v/>
      </c>
      <c r="B1813">
        <f>IF(A1813="","",'Employees'!C13)</f>
        <v/>
      </c>
      <c r="C1813">
        <f>IF(A1813="","",'Employees'!D13)</f>
        <v/>
      </c>
      <c r="D1813">
        <f>IF(A1813="","",'Skill Matrix'!C119)</f>
        <v/>
      </c>
      <c r="E1813">
        <f>IF(A1813="","",'Skill Matrix'!D119)</f>
        <v/>
      </c>
      <c r="F1813">
        <f>IF(AND('Skill Matrix'!A119&lt;&gt;"",'Skill Matrix'!H5&lt;&gt;""),'Skill Matrix'!H5,"")</f>
        <v/>
      </c>
      <c r="G1813">
        <f>IF(OR(A1813="",'Skill Matrix'!H119=""),"",'Skill Matrix'!H119)</f>
        <v/>
      </c>
      <c r="H1813">
        <f>IF(A1813="","",'Employees'!F13)</f>
        <v/>
      </c>
    </row>
    <row r="1814">
      <c r="A1814">
        <f>IF(AND('Skill Matrix'!A119&lt;&gt;"",'Skill Matrix'!I5&lt;&gt;""),'Skill Matrix'!A119,"")</f>
        <v/>
      </c>
      <c r="B1814">
        <f>IF(A1814="","",'Employees'!C13)</f>
        <v/>
      </c>
      <c r="C1814">
        <f>IF(A1814="","",'Employees'!D13)</f>
        <v/>
      </c>
      <c r="D1814">
        <f>IF(A1814="","",'Skill Matrix'!C119)</f>
        <v/>
      </c>
      <c r="E1814">
        <f>IF(A1814="","",'Skill Matrix'!D119)</f>
        <v/>
      </c>
      <c r="F1814">
        <f>IF(AND('Skill Matrix'!A119&lt;&gt;"",'Skill Matrix'!I5&lt;&gt;""),'Skill Matrix'!I5,"")</f>
        <v/>
      </c>
      <c r="G1814">
        <f>IF(OR(A1814="",'Skill Matrix'!I119=""),"",'Skill Matrix'!I119)</f>
        <v/>
      </c>
      <c r="H1814">
        <f>IF(A1814="","",'Employees'!F13)</f>
        <v/>
      </c>
    </row>
    <row r="1815">
      <c r="A1815">
        <f>IF(AND('Skill Matrix'!A119&lt;&gt;"",'Skill Matrix'!J5&lt;&gt;""),'Skill Matrix'!A119,"")</f>
        <v/>
      </c>
      <c r="B1815">
        <f>IF(A1815="","",'Employees'!C13)</f>
        <v/>
      </c>
      <c r="C1815">
        <f>IF(A1815="","",'Employees'!D13)</f>
        <v/>
      </c>
      <c r="D1815">
        <f>IF(A1815="","",'Skill Matrix'!C119)</f>
        <v/>
      </c>
      <c r="E1815">
        <f>IF(A1815="","",'Skill Matrix'!D119)</f>
        <v/>
      </c>
      <c r="F1815">
        <f>IF(AND('Skill Matrix'!A119&lt;&gt;"",'Skill Matrix'!J5&lt;&gt;""),'Skill Matrix'!J5,"")</f>
        <v/>
      </c>
      <c r="G1815">
        <f>IF(OR(A1815="",'Skill Matrix'!J119=""),"",'Skill Matrix'!J119)</f>
        <v/>
      </c>
      <c r="H1815">
        <f>IF(A1815="","",'Employees'!F13)</f>
        <v/>
      </c>
    </row>
    <row r="1816">
      <c r="A1816">
        <f>IF(AND('Skill Matrix'!A119&lt;&gt;"",'Skill Matrix'!K5&lt;&gt;""),'Skill Matrix'!A119,"")</f>
        <v/>
      </c>
      <c r="B1816">
        <f>IF(A1816="","",'Employees'!C13)</f>
        <v/>
      </c>
      <c r="C1816">
        <f>IF(A1816="","",'Employees'!D13)</f>
        <v/>
      </c>
      <c r="D1816">
        <f>IF(A1816="","",'Skill Matrix'!C119)</f>
        <v/>
      </c>
      <c r="E1816">
        <f>IF(A1816="","",'Skill Matrix'!D119)</f>
        <v/>
      </c>
      <c r="F1816">
        <f>IF(AND('Skill Matrix'!A119&lt;&gt;"",'Skill Matrix'!K5&lt;&gt;""),'Skill Matrix'!K5,"")</f>
        <v/>
      </c>
      <c r="G1816">
        <f>IF(OR(A1816="",'Skill Matrix'!K119=""),"",'Skill Matrix'!K119)</f>
        <v/>
      </c>
      <c r="H1816">
        <f>IF(A1816="","",'Employees'!F13)</f>
        <v/>
      </c>
    </row>
    <row r="1817">
      <c r="A1817">
        <f>IF(AND('Skill Matrix'!A119&lt;&gt;"",'Skill Matrix'!L5&lt;&gt;""),'Skill Matrix'!A119,"")</f>
        <v/>
      </c>
      <c r="B1817">
        <f>IF(A1817="","",'Employees'!C13)</f>
        <v/>
      </c>
      <c r="C1817">
        <f>IF(A1817="","",'Employees'!D13)</f>
        <v/>
      </c>
      <c r="D1817">
        <f>IF(A1817="","",'Skill Matrix'!C119)</f>
        <v/>
      </c>
      <c r="E1817">
        <f>IF(A1817="","",'Skill Matrix'!D119)</f>
        <v/>
      </c>
      <c r="F1817">
        <f>IF(AND('Skill Matrix'!A119&lt;&gt;"",'Skill Matrix'!L5&lt;&gt;""),'Skill Matrix'!L5,"")</f>
        <v/>
      </c>
      <c r="G1817">
        <f>IF(OR(A1817="",'Skill Matrix'!L119=""),"",'Skill Matrix'!L119)</f>
        <v/>
      </c>
      <c r="H1817">
        <f>IF(A1817="","",'Employees'!F13)</f>
        <v/>
      </c>
    </row>
    <row r="1818">
      <c r="A1818">
        <f>IF(AND('Skill Matrix'!A119&lt;&gt;"",'Skill Matrix'!M5&lt;&gt;""),'Skill Matrix'!A119,"")</f>
        <v/>
      </c>
      <c r="B1818">
        <f>IF(A1818="","",'Employees'!C13)</f>
        <v/>
      </c>
      <c r="C1818">
        <f>IF(A1818="","",'Employees'!D13)</f>
        <v/>
      </c>
      <c r="D1818">
        <f>IF(A1818="","",'Skill Matrix'!C119)</f>
        <v/>
      </c>
      <c r="E1818">
        <f>IF(A1818="","",'Skill Matrix'!D119)</f>
        <v/>
      </c>
      <c r="F1818">
        <f>IF(AND('Skill Matrix'!A119&lt;&gt;"",'Skill Matrix'!M5&lt;&gt;""),'Skill Matrix'!M5,"")</f>
        <v/>
      </c>
      <c r="G1818">
        <f>IF(OR(A1818="",'Skill Matrix'!M119=""),"",'Skill Matrix'!M119)</f>
        <v/>
      </c>
      <c r="H1818">
        <f>IF(A1818="","",'Employees'!F13)</f>
        <v/>
      </c>
    </row>
    <row r="1819">
      <c r="A1819">
        <f>IF(AND('Skill Matrix'!A119&lt;&gt;"",'Skill Matrix'!N5&lt;&gt;""),'Skill Matrix'!A119,"")</f>
        <v/>
      </c>
      <c r="B1819">
        <f>IF(A1819="","",'Employees'!C13)</f>
        <v/>
      </c>
      <c r="C1819">
        <f>IF(A1819="","",'Employees'!D13)</f>
        <v/>
      </c>
      <c r="D1819">
        <f>IF(A1819="","",'Skill Matrix'!C119)</f>
        <v/>
      </c>
      <c r="E1819">
        <f>IF(A1819="","",'Skill Matrix'!D119)</f>
        <v/>
      </c>
      <c r="F1819">
        <f>IF(AND('Skill Matrix'!A119&lt;&gt;"",'Skill Matrix'!N5&lt;&gt;""),'Skill Matrix'!N5,"")</f>
        <v/>
      </c>
      <c r="G1819">
        <f>IF(OR(A1819="",'Skill Matrix'!N119=""),"",'Skill Matrix'!N119)</f>
        <v/>
      </c>
      <c r="H1819">
        <f>IF(A1819="","",'Employees'!F13)</f>
        <v/>
      </c>
    </row>
    <row r="1820">
      <c r="A1820">
        <f>IF(AND('Skill Matrix'!A119&lt;&gt;"",'Skill Matrix'!O5&lt;&gt;""),'Skill Matrix'!A119,"")</f>
        <v/>
      </c>
      <c r="B1820">
        <f>IF(A1820="","",'Employees'!C13)</f>
        <v/>
      </c>
      <c r="C1820">
        <f>IF(A1820="","",'Employees'!D13)</f>
        <v/>
      </c>
      <c r="D1820">
        <f>IF(A1820="","",'Skill Matrix'!C119)</f>
        <v/>
      </c>
      <c r="E1820">
        <f>IF(A1820="","",'Skill Matrix'!D119)</f>
        <v/>
      </c>
      <c r="F1820">
        <f>IF(AND('Skill Matrix'!A119&lt;&gt;"",'Skill Matrix'!O5&lt;&gt;""),'Skill Matrix'!O5,"")</f>
        <v/>
      </c>
      <c r="G1820">
        <f>IF(OR(A1820="",'Skill Matrix'!O119=""),"",'Skill Matrix'!O119)</f>
        <v/>
      </c>
      <c r="H1820">
        <f>IF(A1820="","",'Employees'!F13)</f>
        <v/>
      </c>
    </row>
    <row r="1821">
      <c r="A1821">
        <f>IF(AND('Skill Matrix'!A119&lt;&gt;"",'Skill Matrix'!P5&lt;&gt;""),'Skill Matrix'!A119,"")</f>
        <v/>
      </c>
      <c r="B1821">
        <f>IF(A1821="","",'Employees'!C13)</f>
        <v/>
      </c>
      <c r="C1821">
        <f>IF(A1821="","",'Employees'!D13)</f>
        <v/>
      </c>
      <c r="D1821">
        <f>IF(A1821="","",'Skill Matrix'!C119)</f>
        <v/>
      </c>
      <c r="E1821">
        <f>IF(A1821="","",'Skill Matrix'!D119)</f>
        <v/>
      </c>
      <c r="F1821">
        <f>IF(AND('Skill Matrix'!A119&lt;&gt;"",'Skill Matrix'!P5&lt;&gt;""),'Skill Matrix'!P5,"")</f>
        <v/>
      </c>
      <c r="G1821">
        <f>IF(OR(A1821="",'Skill Matrix'!P119=""),"",'Skill Matrix'!P119)</f>
        <v/>
      </c>
      <c r="H1821">
        <f>IF(A1821="","",'Employees'!F13)</f>
        <v/>
      </c>
    </row>
    <row r="1822">
      <c r="A1822">
        <f>IF(AND('Skill Matrix'!A119&lt;&gt;"",'Skill Matrix'!Q5&lt;&gt;""),'Skill Matrix'!A119,"")</f>
        <v/>
      </c>
      <c r="B1822">
        <f>IF(A1822="","",'Employees'!C13)</f>
        <v/>
      </c>
      <c r="C1822">
        <f>IF(A1822="","",'Employees'!D13)</f>
        <v/>
      </c>
      <c r="D1822">
        <f>IF(A1822="","",'Skill Matrix'!C119)</f>
        <v/>
      </c>
      <c r="E1822">
        <f>IF(A1822="","",'Skill Matrix'!D119)</f>
        <v/>
      </c>
      <c r="F1822">
        <f>IF(AND('Skill Matrix'!A119&lt;&gt;"",'Skill Matrix'!Q5&lt;&gt;""),'Skill Matrix'!Q5,"")</f>
        <v/>
      </c>
      <c r="G1822">
        <f>IF(OR(A1822="",'Skill Matrix'!Q119=""),"",'Skill Matrix'!Q119)</f>
        <v/>
      </c>
      <c r="H1822">
        <f>IF(A1822="","",'Employees'!F13)</f>
        <v/>
      </c>
    </row>
    <row r="1823">
      <c r="A1823">
        <f>IF(AND('Skill Matrix'!A119&lt;&gt;"",'Skill Matrix'!R5&lt;&gt;""),'Skill Matrix'!A119,"")</f>
        <v/>
      </c>
      <c r="B1823">
        <f>IF(A1823="","",'Employees'!C13)</f>
        <v/>
      </c>
      <c r="C1823">
        <f>IF(A1823="","",'Employees'!D13)</f>
        <v/>
      </c>
      <c r="D1823">
        <f>IF(A1823="","",'Skill Matrix'!C119)</f>
        <v/>
      </c>
      <c r="E1823">
        <f>IF(A1823="","",'Skill Matrix'!D119)</f>
        <v/>
      </c>
      <c r="F1823">
        <f>IF(AND('Skill Matrix'!A119&lt;&gt;"",'Skill Matrix'!R5&lt;&gt;""),'Skill Matrix'!R5,"")</f>
        <v/>
      </c>
      <c r="G1823">
        <f>IF(OR(A1823="",'Skill Matrix'!R119=""),"",'Skill Matrix'!R119)</f>
        <v/>
      </c>
      <c r="H1823">
        <f>IF(A1823="","",'Employees'!F13)</f>
        <v/>
      </c>
    </row>
    <row r="1824">
      <c r="A1824">
        <f>IF(AND('Skill Matrix'!A119&lt;&gt;"",'Skill Matrix'!S5&lt;&gt;""),'Skill Matrix'!A119,"")</f>
        <v/>
      </c>
      <c r="B1824">
        <f>IF(A1824="","",'Employees'!C13)</f>
        <v/>
      </c>
      <c r="C1824">
        <f>IF(A1824="","",'Employees'!D13)</f>
        <v/>
      </c>
      <c r="D1824">
        <f>IF(A1824="","",'Skill Matrix'!C119)</f>
        <v/>
      </c>
      <c r="E1824">
        <f>IF(A1824="","",'Skill Matrix'!D119)</f>
        <v/>
      </c>
      <c r="F1824">
        <f>IF(AND('Skill Matrix'!A119&lt;&gt;"",'Skill Matrix'!S5&lt;&gt;""),'Skill Matrix'!S5,"")</f>
        <v/>
      </c>
      <c r="G1824">
        <f>IF(OR(A1824="",'Skill Matrix'!S119=""),"",'Skill Matrix'!S119)</f>
        <v/>
      </c>
      <c r="H1824">
        <f>IF(A1824="","",'Employees'!F13)</f>
        <v/>
      </c>
    </row>
    <row r="1825">
      <c r="A1825">
        <f>IF(AND('Skill Matrix'!A119&lt;&gt;"",'Skill Matrix'!T5&lt;&gt;""),'Skill Matrix'!A119,"")</f>
        <v/>
      </c>
      <c r="B1825">
        <f>IF(A1825="","",'Employees'!C13)</f>
        <v/>
      </c>
      <c r="C1825">
        <f>IF(A1825="","",'Employees'!D13)</f>
        <v/>
      </c>
      <c r="D1825">
        <f>IF(A1825="","",'Skill Matrix'!C119)</f>
        <v/>
      </c>
      <c r="E1825">
        <f>IF(A1825="","",'Skill Matrix'!D119)</f>
        <v/>
      </c>
      <c r="F1825">
        <f>IF(AND('Skill Matrix'!A119&lt;&gt;"",'Skill Matrix'!T5&lt;&gt;""),'Skill Matrix'!T5,"")</f>
        <v/>
      </c>
      <c r="G1825">
        <f>IF(OR(A1825="",'Skill Matrix'!T119=""),"",'Skill Matrix'!T119)</f>
        <v/>
      </c>
      <c r="H1825">
        <f>IF(A1825="","",'Employees'!F13)</f>
        <v/>
      </c>
    </row>
    <row r="1826">
      <c r="A1826">
        <f>IF(AND('Skill Matrix'!A120&lt;&gt;"",'Skill Matrix'!E5&lt;&gt;""),'Skill Matrix'!A120,"")</f>
        <v/>
      </c>
      <c r="B1826">
        <f>IF(A1826="","",'Employees'!C13)</f>
        <v/>
      </c>
      <c r="C1826">
        <f>IF(A1826="","",'Employees'!D13)</f>
        <v/>
      </c>
      <c r="D1826">
        <f>IF(A1826="","",'Skill Matrix'!C120)</f>
        <v/>
      </c>
      <c r="E1826">
        <f>IF(A1826="","",'Skill Matrix'!D120)</f>
        <v/>
      </c>
      <c r="F1826">
        <f>IF(AND('Skill Matrix'!A120&lt;&gt;"",'Skill Matrix'!E5&lt;&gt;""),'Skill Matrix'!E5,"")</f>
        <v/>
      </c>
      <c r="G1826">
        <f>IF(OR(A1826="",'Skill Matrix'!E120=""),"",'Skill Matrix'!E120)</f>
        <v/>
      </c>
      <c r="H1826">
        <f>IF(A1826="","",'Employees'!F13)</f>
        <v/>
      </c>
    </row>
    <row r="1827">
      <c r="A1827">
        <f>IF(AND('Skill Matrix'!A120&lt;&gt;"",'Skill Matrix'!F5&lt;&gt;""),'Skill Matrix'!A120,"")</f>
        <v/>
      </c>
      <c r="B1827">
        <f>IF(A1827="","",'Employees'!C13)</f>
        <v/>
      </c>
      <c r="C1827">
        <f>IF(A1827="","",'Employees'!D13)</f>
        <v/>
      </c>
      <c r="D1827">
        <f>IF(A1827="","",'Skill Matrix'!C120)</f>
        <v/>
      </c>
      <c r="E1827">
        <f>IF(A1827="","",'Skill Matrix'!D120)</f>
        <v/>
      </c>
      <c r="F1827">
        <f>IF(AND('Skill Matrix'!A120&lt;&gt;"",'Skill Matrix'!F5&lt;&gt;""),'Skill Matrix'!F5,"")</f>
        <v/>
      </c>
      <c r="G1827">
        <f>IF(OR(A1827="",'Skill Matrix'!F120=""),"",'Skill Matrix'!F120)</f>
        <v/>
      </c>
      <c r="H1827">
        <f>IF(A1827="","",'Employees'!F13)</f>
        <v/>
      </c>
    </row>
    <row r="1828">
      <c r="A1828">
        <f>IF(AND('Skill Matrix'!A120&lt;&gt;"",'Skill Matrix'!G5&lt;&gt;""),'Skill Matrix'!A120,"")</f>
        <v/>
      </c>
      <c r="B1828">
        <f>IF(A1828="","",'Employees'!C13)</f>
        <v/>
      </c>
      <c r="C1828">
        <f>IF(A1828="","",'Employees'!D13)</f>
        <v/>
      </c>
      <c r="D1828">
        <f>IF(A1828="","",'Skill Matrix'!C120)</f>
        <v/>
      </c>
      <c r="E1828">
        <f>IF(A1828="","",'Skill Matrix'!D120)</f>
        <v/>
      </c>
      <c r="F1828">
        <f>IF(AND('Skill Matrix'!A120&lt;&gt;"",'Skill Matrix'!G5&lt;&gt;""),'Skill Matrix'!G5,"")</f>
        <v/>
      </c>
      <c r="G1828">
        <f>IF(OR(A1828="",'Skill Matrix'!G120=""),"",'Skill Matrix'!G120)</f>
        <v/>
      </c>
      <c r="H1828">
        <f>IF(A1828="","",'Employees'!F13)</f>
        <v/>
      </c>
    </row>
    <row r="1829">
      <c r="A1829">
        <f>IF(AND('Skill Matrix'!A120&lt;&gt;"",'Skill Matrix'!H5&lt;&gt;""),'Skill Matrix'!A120,"")</f>
        <v/>
      </c>
      <c r="B1829">
        <f>IF(A1829="","",'Employees'!C13)</f>
        <v/>
      </c>
      <c r="C1829">
        <f>IF(A1829="","",'Employees'!D13)</f>
        <v/>
      </c>
      <c r="D1829">
        <f>IF(A1829="","",'Skill Matrix'!C120)</f>
        <v/>
      </c>
      <c r="E1829">
        <f>IF(A1829="","",'Skill Matrix'!D120)</f>
        <v/>
      </c>
      <c r="F1829">
        <f>IF(AND('Skill Matrix'!A120&lt;&gt;"",'Skill Matrix'!H5&lt;&gt;""),'Skill Matrix'!H5,"")</f>
        <v/>
      </c>
      <c r="G1829">
        <f>IF(OR(A1829="",'Skill Matrix'!H120=""),"",'Skill Matrix'!H120)</f>
        <v/>
      </c>
      <c r="H1829">
        <f>IF(A1829="","",'Employees'!F13)</f>
        <v/>
      </c>
    </row>
    <row r="1830">
      <c r="A1830">
        <f>IF(AND('Skill Matrix'!A120&lt;&gt;"",'Skill Matrix'!I5&lt;&gt;""),'Skill Matrix'!A120,"")</f>
        <v/>
      </c>
      <c r="B1830">
        <f>IF(A1830="","",'Employees'!C13)</f>
        <v/>
      </c>
      <c r="C1830">
        <f>IF(A1830="","",'Employees'!D13)</f>
        <v/>
      </c>
      <c r="D1830">
        <f>IF(A1830="","",'Skill Matrix'!C120)</f>
        <v/>
      </c>
      <c r="E1830">
        <f>IF(A1830="","",'Skill Matrix'!D120)</f>
        <v/>
      </c>
      <c r="F1830">
        <f>IF(AND('Skill Matrix'!A120&lt;&gt;"",'Skill Matrix'!I5&lt;&gt;""),'Skill Matrix'!I5,"")</f>
        <v/>
      </c>
      <c r="G1830">
        <f>IF(OR(A1830="",'Skill Matrix'!I120=""),"",'Skill Matrix'!I120)</f>
        <v/>
      </c>
      <c r="H1830">
        <f>IF(A1830="","",'Employees'!F13)</f>
        <v/>
      </c>
    </row>
    <row r="1831">
      <c r="A1831">
        <f>IF(AND('Skill Matrix'!A120&lt;&gt;"",'Skill Matrix'!J5&lt;&gt;""),'Skill Matrix'!A120,"")</f>
        <v/>
      </c>
      <c r="B1831">
        <f>IF(A1831="","",'Employees'!C13)</f>
        <v/>
      </c>
      <c r="C1831">
        <f>IF(A1831="","",'Employees'!D13)</f>
        <v/>
      </c>
      <c r="D1831">
        <f>IF(A1831="","",'Skill Matrix'!C120)</f>
        <v/>
      </c>
      <c r="E1831">
        <f>IF(A1831="","",'Skill Matrix'!D120)</f>
        <v/>
      </c>
      <c r="F1831">
        <f>IF(AND('Skill Matrix'!A120&lt;&gt;"",'Skill Matrix'!J5&lt;&gt;""),'Skill Matrix'!J5,"")</f>
        <v/>
      </c>
      <c r="G1831">
        <f>IF(OR(A1831="",'Skill Matrix'!J120=""),"",'Skill Matrix'!J120)</f>
        <v/>
      </c>
      <c r="H1831">
        <f>IF(A1831="","",'Employees'!F13)</f>
        <v/>
      </c>
    </row>
    <row r="1832">
      <c r="A1832">
        <f>IF(AND('Skill Matrix'!A120&lt;&gt;"",'Skill Matrix'!K5&lt;&gt;""),'Skill Matrix'!A120,"")</f>
        <v/>
      </c>
      <c r="B1832">
        <f>IF(A1832="","",'Employees'!C13)</f>
        <v/>
      </c>
      <c r="C1832">
        <f>IF(A1832="","",'Employees'!D13)</f>
        <v/>
      </c>
      <c r="D1832">
        <f>IF(A1832="","",'Skill Matrix'!C120)</f>
        <v/>
      </c>
      <c r="E1832">
        <f>IF(A1832="","",'Skill Matrix'!D120)</f>
        <v/>
      </c>
      <c r="F1832">
        <f>IF(AND('Skill Matrix'!A120&lt;&gt;"",'Skill Matrix'!K5&lt;&gt;""),'Skill Matrix'!K5,"")</f>
        <v/>
      </c>
      <c r="G1832">
        <f>IF(OR(A1832="",'Skill Matrix'!K120=""),"",'Skill Matrix'!K120)</f>
        <v/>
      </c>
      <c r="H1832">
        <f>IF(A1832="","",'Employees'!F13)</f>
        <v/>
      </c>
    </row>
    <row r="1833">
      <c r="A1833">
        <f>IF(AND('Skill Matrix'!A120&lt;&gt;"",'Skill Matrix'!L5&lt;&gt;""),'Skill Matrix'!A120,"")</f>
        <v/>
      </c>
      <c r="B1833">
        <f>IF(A1833="","",'Employees'!C13)</f>
        <v/>
      </c>
      <c r="C1833">
        <f>IF(A1833="","",'Employees'!D13)</f>
        <v/>
      </c>
      <c r="D1833">
        <f>IF(A1833="","",'Skill Matrix'!C120)</f>
        <v/>
      </c>
      <c r="E1833">
        <f>IF(A1833="","",'Skill Matrix'!D120)</f>
        <v/>
      </c>
      <c r="F1833">
        <f>IF(AND('Skill Matrix'!A120&lt;&gt;"",'Skill Matrix'!L5&lt;&gt;""),'Skill Matrix'!L5,"")</f>
        <v/>
      </c>
      <c r="G1833">
        <f>IF(OR(A1833="",'Skill Matrix'!L120=""),"",'Skill Matrix'!L120)</f>
        <v/>
      </c>
      <c r="H1833">
        <f>IF(A1833="","",'Employees'!F13)</f>
        <v/>
      </c>
    </row>
    <row r="1834">
      <c r="A1834">
        <f>IF(AND('Skill Matrix'!A120&lt;&gt;"",'Skill Matrix'!M5&lt;&gt;""),'Skill Matrix'!A120,"")</f>
        <v/>
      </c>
      <c r="B1834">
        <f>IF(A1834="","",'Employees'!C13)</f>
        <v/>
      </c>
      <c r="C1834">
        <f>IF(A1834="","",'Employees'!D13)</f>
        <v/>
      </c>
      <c r="D1834">
        <f>IF(A1834="","",'Skill Matrix'!C120)</f>
        <v/>
      </c>
      <c r="E1834">
        <f>IF(A1834="","",'Skill Matrix'!D120)</f>
        <v/>
      </c>
      <c r="F1834">
        <f>IF(AND('Skill Matrix'!A120&lt;&gt;"",'Skill Matrix'!M5&lt;&gt;""),'Skill Matrix'!M5,"")</f>
        <v/>
      </c>
      <c r="G1834">
        <f>IF(OR(A1834="",'Skill Matrix'!M120=""),"",'Skill Matrix'!M120)</f>
        <v/>
      </c>
      <c r="H1834">
        <f>IF(A1834="","",'Employees'!F13)</f>
        <v/>
      </c>
    </row>
    <row r="1835">
      <c r="A1835">
        <f>IF(AND('Skill Matrix'!A120&lt;&gt;"",'Skill Matrix'!N5&lt;&gt;""),'Skill Matrix'!A120,"")</f>
        <v/>
      </c>
      <c r="B1835">
        <f>IF(A1835="","",'Employees'!C13)</f>
        <v/>
      </c>
      <c r="C1835">
        <f>IF(A1835="","",'Employees'!D13)</f>
        <v/>
      </c>
      <c r="D1835">
        <f>IF(A1835="","",'Skill Matrix'!C120)</f>
        <v/>
      </c>
      <c r="E1835">
        <f>IF(A1835="","",'Skill Matrix'!D120)</f>
        <v/>
      </c>
      <c r="F1835">
        <f>IF(AND('Skill Matrix'!A120&lt;&gt;"",'Skill Matrix'!N5&lt;&gt;""),'Skill Matrix'!N5,"")</f>
        <v/>
      </c>
      <c r="G1835">
        <f>IF(OR(A1835="",'Skill Matrix'!N120=""),"",'Skill Matrix'!N120)</f>
        <v/>
      </c>
      <c r="H1835">
        <f>IF(A1835="","",'Employees'!F13)</f>
        <v/>
      </c>
    </row>
    <row r="1836">
      <c r="A1836">
        <f>IF(AND('Skill Matrix'!A120&lt;&gt;"",'Skill Matrix'!O5&lt;&gt;""),'Skill Matrix'!A120,"")</f>
        <v/>
      </c>
      <c r="B1836">
        <f>IF(A1836="","",'Employees'!C13)</f>
        <v/>
      </c>
      <c r="C1836">
        <f>IF(A1836="","",'Employees'!D13)</f>
        <v/>
      </c>
      <c r="D1836">
        <f>IF(A1836="","",'Skill Matrix'!C120)</f>
        <v/>
      </c>
      <c r="E1836">
        <f>IF(A1836="","",'Skill Matrix'!D120)</f>
        <v/>
      </c>
      <c r="F1836">
        <f>IF(AND('Skill Matrix'!A120&lt;&gt;"",'Skill Matrix'!O5&lt;&gt;""),'Skill Matrix'!O5,"")</f>
        <v/>
      </c>
      <c r="G1836">
        <f>IF(OR(A1836="",'Skill Matrix'!O120=""),"",'Skill Matrix'!O120)</f>
        <v/>
      </c>
      <c r="H1836">
        <f>IF(A1836="","",'Employees'!F13)</f>
        <v/>
      </c>
    </row>
    <row r="1837">
      <c r="A1837">
        <f>IF(AND('Skill Matrix'!A120&lt;&gt;"",'Skill Matrix'!P5&lt;&gt;""),'Skill Matrix'!A120,"")</f>
        <v/>
      </c>
      <c r="B1837">
        <f>IF(A1837="","",'Employees'!C13)</f>
        <v/>
      </c>
      <c r="C1837">
        <f>IF(A1837="","",'Employees'!D13)</f>
        <v/>
      </c>
      <c r="D1837">
        <f>IF(A1837="","",'Skill Matrix'!C120)</f>
        <v/>
      </c>
      <c r="E1837">
        <f>IF(A1837="","",'Skill Matrix'!D120)</f>
        <v/>
      </c>
      <c r="F1837">
        <f>IF(AND('Skill Matrix'!A120&lt;&gt;"",'Skill Matrix'!P5&lt;&gt;""),'Skill Matrix'!P5,"")</f>
        <v/>
      </c>
      <c r="G1837">
        <f>IF(OR(A1837="",'Skill Matrix'!P120=""),"",'Skill Matrix'!P120)</f>
        <v/>
      </c>
      <c r="H1837">
        <f>IF(A1837="","",'Employees'!F13)</f>
        <v/>
      </c>
    </row>
    <row r="1838">
      <c r="A1838">
        <f>IF(AND('Skill Matrix'!A120&lt;&gt;"",'Skill Matrix'!Q5&lt;&gt;""),'Skill Matrix'!A120,"")</f>
        <v/>
      </c>
      <c r="B1838">
        <f>IF(A1838="","",'Employees'!C13)</f>
        <v/>
      </c>
      <c r="C1838">
        <f>IF(A1838="","",'Employees'!D13)</f>
        <v/>
      </c>
      <c r="D1838">
        <f>IF(A1838="","",'Skill Matrix'!C120)</f>
        <v/>
      </c>
      <c r="E1838">
        <f>IF(A1838="","",'Skill Matrix'!D120)</f>
        <v/>
      </c>
      <c r="F1838">
        <f>IF(AND('Skill Matrix'!A120&lt;&gt;"",'Skill Matrix'!Q5&lt;&gt;""),'Skill Matrix'!Q5,"")</f>
        <v/>
      </c>
      <c r="G1838">
        <f>IF(OR(A1838="",'Skill Matrix'!Q120=""),"",'Skill Matrix'!Q120)</f>
        <v/>
      </c>
      <c r="H1838">
        <f>IF(A1838="","",'Employees'!F13)</f>
        <v/>
      </c>
    </row>
    <row r="1839">
      <c r="A1839">
        <f>IF(AND('Skill Matrix'!A120&lt;&gt;"",'Skill Matrix'!R5&lt;&gt;""),'Skill Matrix'!A120,"")</f>
        <v/>
      </c>
      <c r="B1839">
        <f>IF(A1839="","",'Employees'!C13)</f>
        <v/>
      </c>
      <c r="C1839">
        <f>IF(A1839="","",'Employees'!D13)</f>
        <v/>
      </c>
      <c r="D1839">
        <f>IF(A1839="","",'Skill Matrix'!C120)</f>
        <v/>
      </c>
      <c r="E1839">
        <f>IF(A1839="","",'Skill Matrix'!D120)</f>
        <v/>
      </c>
      <c r="F1839">
        <f>IF(AND('Skill Matrix'!A120&lt;&gt;"",'Skill Matrix'!R5&lt;&gt;""),'Skill Matrix'!R5,"")</f>
        <v/>
      </c>
      <c r="G1839">
        <f>IF(OR(A1839="",'Skill Matrix'!R120=""),"",'Skill Matrix'!R120)</f>
        <v/>
      </c>
      <c r="H1839">
        <f>IF(A1839="","",'Employees'!F13)</f>
        <v/>
      </c>
    </row>
    <row r="1840">
      <c r="A1840">
        <f>IF(AND('Skill Matrix'!A120&lt;&gt;"",'Skill Matrix'!S5&lt;&gt;""),'Skill Matrix'!A120,"")</f>
        <v/>
      </c>
      <c r="B1840">
        <f>IF(A1840="","",'Employees'!C13)</f>
        <v/>
      </c>
      <c r="C1840">
        <f>IF(A1840="","",'Employees'!D13)</f>
        <v/>
      </c>
      <c r="D1840">
        <f>IF(A1840="","",'Skill Matrix'!C120)</f>
        <v/>
      </c>
      <c r="E1840">
        <f>IF(A1840="","",'Skill Matrix'!D120)</f>
        <v/>
      </c>
      <c r="F1840">
        <f>IF(AND('Skill Matrix'!A120&lt;&gt;"",'Skill Matrix'!S5&lt;&gt;""),'Skill Matrix'!S5,"")</f>
        <v/>
      </c>
      <c r="G1840">
        <f>IF(OR(A1840="",'Skill Matrix'!S120=""),"",'Skill Matrix'!S120)</f>
        <v/>
      </c>
      <c r="H1840">
        <f>IF(A1840="","",'Employees'!F13)</f>
        <v/>
      </c>
    </row>
    <row r="1841">
      <c r="A1841">
        <f>IF(AND('Skill Matrix'!A120&lt;&gt;"",'Skill Matrix'!T5&lt;&gt;""),'Skill Matrix'!A120,"")</f>
        <v/>
      </c>
      <c r="B1841">
        <f>IF(A1841="","",'Employees'!C13)</f>
        <v/>
      </c>
      <c r="C1841">
        <f>IF(A1841="","",'Employees'!D13)</f>
        <v/>
      </c>
      <c r="D1841">
        <f>IF(A1841="","",'Skill Matrix'!C120)</f>
        <v/>
      </c>
      <c r="E1841">
        <f>IF(A1841="","",'Skill Matrix'!D120)</f>
        <v/>
      </c>
      <c r="F1841">
        <f>IF(AND('Skill Matrix'!A120&lt;&gt;"",'Skill Matrix'!T5&lt;&gt;""),'Skill Matrix'!T5,"")</f>
        <v/>
      </c>
      <c r="G1841">
        <f>IF(OR(A1841="",'Skill Matrix'!T120=""),"",'Skill Matrix'!T120)</f>
        <v/>
      </c>
      <c r="H1841">
        <f>IF(A1841="","",'Employees'!F13)</f>
        <v/>
      </c>
    </row>
    <row r="1842">
      <c r="A1842">
        <f>IF(AND('Skill Matrix'!A121&lt;&gt;"",'Skill Matrix'!E5&lt;&gt;""),'Skill Matrix'!A121,"")</f>
        <v/>
      </c>
      <c r="B1842">
        <f>IF(A1842="","",'Employees'!C13)</f>
        <v/>
      </c>
      <c r="C1842">
        <f>IF(A1842="","",'Employees'!D13)</f>
        <v/>
      </c>
      <c r="D1842">
        <f>IF(A1842="","",'Skill Matrix'!C121)</f>
        <v/>
      </c>
      <c r="E1842">
        <f>IF(A1842="","",'Skill Matrix'!D121)</f>
        <v/>
      </c>
      <c r="F1842">
        <f>IF(AND('Skill Matrix'!A121&lt;&gt;"",'Skill Matrix'!E5&lt;&gt;""),'Skill Matrix'!E5,"")</f>
        <v/>
      </c>
      <c r="G1842">
        <f>IF(OR(A1842="",'Skill Matrix'!E121=""),"",'Skill Matrix'!E121)</f>
        <v/>
      </c>
      <c r="H1842">
        <f>IF(A1842="","",'Employees'!F13)</f>
        <v/>
      </c>
    </row>
    <row r="1843">
      <c r="A1843">
        <f>IF(AND('Skill Matrix'!A121&lt;&gt;"",'Skill Matrix'!F5&lt;&gt;""),'Skill Matrix'!A121,"")</f>
        <v/>
      </c>
      <c r="B1843">
        <f>IF(A1843="","",'Employees'!C13)</f>
        <v/>
      </c>
      <c r="C1843">
        <f>IF(A1843="","",'Employees'!D13)</f>
        <v/>
      </c>
      <c r="D1843">
        <f>IF(A1843="","",'Skill Matrix'!C121)</f>
        <v/>
      </c>
      <c r="E1843">
        <f>IF(A1843="","",'Skill Matrix'!D121)</f>
        <v/>
      </c>
      <c r="F1843">
        <f>IF(AND('Skill Matrix'!A121&lt;&gt;"",'Skill Matrix'!F5&lt;&gt;""),'Skill Matrix'!F5,"")</f>
        <v/>
      </c>
      <c r="G1843">
        <f>IF(OR(A1843="",'Skill Matrix'!F121=""),"",'Skill Matrix'!F121)</f>
        <v/>
      </c>
      <c r="H1843">
        <f>IF(A1843="","",'Employees'!F13)</f>
        <v/>
      </c>
    </row>
    <row r="1844">
      <c r="A1844">
        <f>IF(AND('Skill Matrix'!A121&lt;&gt;"",'Skill Matrix'!G5&lt;&gt;""),'Skill Matrix'!A121,"")</f>
        <v/>
      </c>
      <c r="B1844">
        <f>IF(A1844="","",'Employees'!C13)</f>
        <v/>
      </c>
      <c r="C1844">
        <f>IF(A1844="","",'Employees'!D13)</f>
        <v/>
      </c>
      <c r="D1844">
        <f>IF(A1844="","",'Skill Matrix'!C121)</f>
        <v/>
      </c>
      <c r="E1844">
        <f>IF(A1844="","",'Skill Matrix'!D121)</f>
        <v/>
      </c>
      <c r="F1844">
        <f>IF(AND('Skill Matrix'!A121&lt;&gt;"",'Skill Matrix'!G5&lt;&gt;""),'Skill Matrix'!G5,"")</f>
        <v/>
      </c>
      <c r="G1844">
        <f>IF(OR(A1844="",'Skill Matrix'!G121=""),"",'Skill Matrix'!G121)</f>
        <v/>
      </c>
      <c r="H1844">
        <f>IF(A1844="","",'Employees'!F13)</f>
        <v/>
      </c>
    </row>
    <row r="1845">
      <c r="A1845">
        <f>IF(AND('Skill Matrix'!A121&lt;&gt;"",'Skill Matrix'!H5&lt;&gt;""),'Skill Matrix'!A121,"")</f>
        <v/>
      </c>
      <c r="B1845">
        <f>IF(A1845="","",'Employees'!C13)</f>
        <v/>
      </c>
      <c r="C1845">
        <f>IF(A1845="","",'Employees'!D13)</f>
        <v/>
      </c>
      <c r="D1845">
        <f>IF(A1845="","",'Skill Matrix'!C121)</f>
        <v/>
      </c>
      <c r="E1845">
        <f>IF(A1845="","",'Skill Matrix'!D121)</f>
        <v/>
      </c>
      <c r="F1845">
        <f>IF(AND('Skill Matrix'!A121&lt;&gt;"",'Skill Matrix'!H5&lt;&gt;""),'Skill Matrix'!H5,"")</f>
        <v/>
      </c>
      <c r="G1845">
        <f>IF(OR(A1845="",'Skill Matrix'!H121=""),"",'Skill Matrix'!H121)</f>
        <v/>
      </c>
      <c r="H1845">
        <f>IF(A1845="","",'Employees'!F13)</f>
        <v/>
      </c>
    </row>
    <row r="1846">
      <c r="A1846">
        <f>IF(AND('Skill Matrix'!A121&lt;&gt;"",'Skill Matrix'!I5&lt;&gt;""),'Skill Matrix'!A121,"")</f>
        <v/>
      </c>
      <c r="B1846">
        <f>IF(A1846="","",'Employees'!C13)</f>
        <v/>
      </c>
      <c r="C1846">
        <f>IF(A1846="","",'Employees'!D13)</f>
        <v/>
      </c>
      <c r="D1846">
        <f>IF(A1846="","",'Skill Matrix'!C121)</f>
        <v/>
      </c>
      <c r="E1846">
        <f>IF(A1846="","",'Skill Matrix'!D121)</f>
        <v/>
      </c>
      <c r="F1846">
        <f>IF(AND('Skill Matrix'!A121&lt;&gt;"",'Skill Matrix'!I5&lt;&gt;""),'Skill Matrix'!I5,"")</f>
        <v/>
      </c>
      <c r="G1846">
        <f>IF(OR(A1846="",'Skill Matrix'!I121=""),"",'Skill Matrix'!I121)</f>
        <v/>
      </c>
      <c r="H1846">
        <f>IF(A1846="","",'Employees'!F13)</f>
        <v/>
      </c>
    </row>
    <row r="1847">
      <c r="A1847">
        <f>IF(AND('Skill Matrix'!A121&lt;&gt;"",'Skill Matrix'!J5&lt;&gt;""),'Skill Matrix'!A121,"")</f>
        <v/>
      </c>
      <c r="B1847">
        <f>IF(A1847="","",'Employees'!C13)</f>
        <v/>
      </c>
      <c r="C1847">
        <f>IF(A1847="","",'Employees'!D13)</f>
        <v/>
      </c>
      <c r="D1847">
        <f>IF(A1847="","",'Skill Matrix'!C121)</f>
        <v/>
      </c>
      <c r="E1847">
        <f>IF(A1847="","",'Skill Matrix'!D121)</f>
        <v/>
      </c>
      <c r="F1847">
        <f>IF(AND('Skill Matrix'!A121&lt;&gt;"",'Skill Matrix'!J5&lt;&gt;""),'Skill Matrix'!J5,"")</f>
        <v/>
      </c>
      <c r="G1847">
        <f>IF(OR(A1847="",'Skill Matrix'!J121=""),"",'Skill Matrix'!J121)</f>
        <v/>
      </c>
      <c r="H1847">
        <f>IF(A1847="","",'Employees'!F13)</f>
        <v/>
      </c>
    </row>
    <row r="1848">
      <c r="A1848">
        <f>IF(AND('Skill Matrix'!A121&lt;&gt;"",'Skill Matrix'!K5&lt;&gt;""),'Skill Matrix'!A121,"")</f>
        <v/>
      </c>
      <c r="B1848">
        <f>IF(A1848="","",'Employees'!C13)</f>
        <v/>
      </c>
      <c r="C1848">
        <f>IF(A1848="","",'Employees'!D13)</f>
        <v/>
      </c>
      <c r="D1848">
        <f>IF(A1848="","",'Skill Matrix'!C121)</f>
        <v/>
      </c>
      <c r="E1848">
        <f>IF(A1848="","",'Skill Matrix'!D121)</f>
        <v/>
      </c>
      <c r="F1848">
        <f>IF(AND('Skill Matrix'!A121&lt;&gt;"",'Skill Matrix'!K5&lt;&gt;""),'Skill Matrix'!K5,"")</f>
        <v/>
      </c>
      <c r="G1848">
        <f>IF(OR(A1848="",'Skill Matrix'!K121=""),"",'Skill Matrix'!K121)</f>
        <v/>
      </c>
      <c r="H1848">
        <f>IF(A1848="","",'Employees'!F13)</f>
        <v/>
      </c>
    </row>
    <row r="1849">
      <c r="A1849">
        <f>IF(AND('Skill Matrix'!A121&lt;&gt;"",'Skill Matrix'!L5&lt;&gt;""),'Skill Matrix'!A121,"")</f>
        <v/>
      </c>
      <c r="B1849">
        <f>IF(A1849="","",'Employees'!C13)</f>
        <v/>
      </c>
      <c r="C1849">
        <f>IF(A1849="","",'Employees'!D13)</f>
        <v/>
      </c>
      <c r="D1849">
        <f>IF(A1849="","",'Skill Matrix'!C121)</f>
        <v/>
      </c>
      <c r="E1849">
        <f>IF(A1849="","",'Skill Matrix'!D121)</f>
        <v/>
      </c>
      <c r="F1849">
        <f>IF(AND('Skill Matrix'!A121&lt;&gt;"",'Skill Matrix'!L5&lt;&gt;""),'Skill Matrix'!L5,"")</f>
        <v/>
      </c>
      <c r="G1849">
        <f>IF(OR(A1849="",'Skill Matrix'!L121=""),"",'Skill Matrix'!L121)</f>
        <v/>
      </c>
      <c r="H1849">
        <f>IF(A1849="","",'Employees'!F13)</f>
        <v/>
      </c>
    </row>
    <row r="1850">
      <c r="A1850">
        <f>IF(AND('Skill Matrix'!A121&lt;&gt;"",'Skill Matrix'!M5&lt;&gt;""),'Skill Matrix'!A121,"")</f>
        <v/>
      </c>
      <c r="B1850">
        <f>IF(A1850="","",'Employees'!C13)</f>
        <v/>
      </c>
      <c r="C1850">
        <f>IF(A1850="","",'Employees'!D13)</f>
        <v/>
      </c>
      <c r="D1850">
        <f>IF(A1850="","",'Skill Matrix'!C121)</f>
        <v/>
      </c>
      <c r="E1850">
        <f>IF(A1850="","",'Skill Matrix'!D121)</f>
        <v/>
      </c>
      <c r="F1850">
        <f>IF(AND('Skill Matrix'!A121&lt;&gt;"",'Skill Matrix'!M5&lt;&gt;""),'Skill Matrix'!M5,"")</f>
        <v/>
      </c>
      <c r="G1850">
        <f>IF(OR(A1850="",'Skill Matrix'!M121=""),"",'Skill Matrix'!M121)</f>
        <v/>
      </c>
      <c r="H1850">
        <f>IF(A1850="","",'Employees'!F13)</f>
        <v/>
      </c>
    </row>
    <row r="1851">
      <c r="A1851">
        <f>IF(AND('Skill Matrix'!A121&lt;&gt;"",'Skill Matrix'!N5&lt;&gt;""),'Skill Matrix'!A121,"")</f>
        <v/>
      </c>
      <c r="B1851">
        <f>IF(A1851="","",'Employees'!C13)</f>
        <v/>
      </c>
      <c r="C1851">
        <f>IF(A1851="","",'Employees'!D13)</f>
        <v/>
      </c>
      <c r="D1851">
        <f>IF(A1851="","",'Skill Matrix'!C121)</f>
        <v/>
      </c>
      <c r="E1851">
        <f>IF(A1851="","",'Skill Matrix'!D121)</f>
        <v/>
      </c>
      <c r="F1851">
        <f>IF(AND('Skill Matrix'!A121&lt;&gt;"",'Skill Matrix'!N5&lt;&gt;""),'Skill Matrix'!N5,"")</f>
        <v/>
      </c>
      <c r="G1851">
        <f>IF(OR(A1851="",'Skill Matrix'!N121=""),"",'Skill Matrix'!N121)</f>
        <v/>
      </c>
      <c r="H1851">
        <f>IF(A1851="","",'Employees'!F13)</f>
        <v/>
      </c>
    </row>
    <row r="1852">
      <c r="A1852">
        <f>IF(AND('Skill Matrix'!A121&lt;&gt;"",'Skill Matrix'!O5&lt;&gt;""),'Skill Matrix'!A121,"")</f>
        <v/>
      </c>
      <c r="B1852">
        <f>IF(A1852="","",'Employees'!C13)</f>
        <v/>
      </c>
      <c r="C1852">
        <f>IF(A1852="","",'Employees'!D13)</f>
        <v/>
      </c>
      <c r="D1852">
        <f>IF(A1852="","",'Skill Matrix'!C121)</f>
        <v/>
      </c>
      <c r="E1852">
        <f>IF(A1852="","",'Skill Matrix'!D121)</f>
        <v/>
      </c>
      <c r="F1852">
        <f>IF(AND('Skill Matrix'!A121&lt;&gt;"",'Skill Matrix'!O5&lt;&gt;""),'Skill Matrix'!O5,"")</f>
        <v/>
      </c>
      <c r="G1852">
        <f>IF(OR(A1852="",'Skill Matrix'!O121=""),"",'Skill Matrix'!O121)</f>
        <v/>
      </c>
      <c r="H1852">
        <f>IF(A1852="","",'Employees'!F13)</f>
        <v/>
      </c>
    </row>
    <row r="1853">
      <c r="A1853">
        <f>IF(AND('Skill Matrix'!A121&lt;&gt;"",'Skill Matrix'!P5&lt;&gt;""),'Skill Matrix'!A121,"")</f>
        <v/>
      </c>
      <c r="B1853">
        <f>IF(A1853="","",'Employees'!C13)</f>
        <v/>
      </c>
      <c r="C1853">
        <f>IF(A1853="","",'Employees'!D13)</f>
        <v/>
      </c>
      <c r="D1853">
        <f>IF(A1853="","",'Skill Matrix'!C121)</f>
        <v/>
      </c>
      <c r="E1853">
        <f>IF(A1853="","",'Skill Matrix'!D121)</f>
        <v/>
      </c>
      <c r="F1853">
        <f>IF(AND('Skill Matrix'!A121&lt;&gt;"",'Skill Matrix'!P5&lt;&gt;""),'Skill Matrix'!P5,"")</f>
        <v/>
      </c>
      <c r="G1853">
        <f>IF(OR(A1853="",'Skill Matrix'!P121=""),"",'Skill Matrix'!P121)</f>
        <v/>
      </c>
      <c r="H1853">
        <f>IF(A1853="","",'Employees'!F13)</f>
        <v/>
      </c>
    </row>
    <row r="1854">
      <c r="A1854">
        <f>IF(AND('Skill Matrix'!A121&lt;&gt;"",'Skill Matrix'!Q5&lt;&gt;""),'Skill Matrix'!A121,"")</f>
        <v/>
      </c>
      <c r="B1854">
        <f>IF(A1854="","",'Employees'!C13)</f>
        <v/>
      </c>
      <c r="C1854">
        <f>IF(A1854="","",'Employees'!D13)</f>
        <v/>
      </c>
      <c r="D1854">
        <f>IF(A1854="","",'Skill Matrix'!C121)</f>
        <v/>
      </c>
      <c r="E1854">
        <f>IF(A1854="","",'Skill Matrix'!D121)</f>
        <v/>
      </c>
      <c r="F1854">
        <f>IF(AND('Skill Matrix'!A121&lt;&gt;"",'Skill Matrix'!Q5&lt;&gt;""),'Skill Matrix'!Q5,"")</f>
        <v/>
      </c>
      <c r="G1854">
        <f>IF(OR(A1854="",'Skill Matrix'!Q121=""),"",'Skill Matrix'!Q121)</f>
        <v/>
      </c>
      <c r="H1854">
        <f>IF(A1854="","",'Employees'!F13)</f>
        <v/>
      </c>
    </row>
    <row r="1855">
      <c r="A1855">
        <f>IF(AND('Skill Matrix'!A121&lt;&gt;"",'Skill Matrix'!R5&lt;&gt;""),'Skill Matrix'!A121,"")</f>
        <v/>
      </c>
      <c r="B1855">
        <f>IF(A1855="","",'Employees'!C13)</f>
        <v/>
      </c>
      <c r="C1855">
        <f>IF(A1855="","",'Employees'!D13)</f>
        <v/>
      </c>
      <c r="D1855">
        <f>IF(A1855="","",'Skill Matrix'!C121)</f>
        <v/>
      </c>
      <c r="E1855">
        <f>IF(A1855="","",'Skill Matrix'!D121)</f>
        <v/>
      </c>
      <c r="F1855">
        <f>IF(AND('Skill Matrix'!A121&lt;&gt;"",'Skill Matrix'!R5&lt;&gt;""),'Skill Matrix'!R5,"")</f>
        <v/>
      </c>
      <c r="G1855">
        <f>IF(OR(A1855="",'Skill Matrix'!R121=""),"",'Skill Matrix'!R121)</f>
        <v/>
      </c>
      <c r="H1855">
        <f>IF(A1855="","",'Employees'!F13)</f>
        <v/>
      </c>
    </row>
    <row r="1856">
      <c r="A1856">
        <f>IF(AND('Skill Matrix'!A121&lt;&gt;"",'Skill Matrix'!S5&lt;&gt;""),'Skill Matrix'!A121,"")</f>
        <v/>
      </c>
      <c r="B1856">
        <f>IF(A1856="","",'Employees'!C13)</f>
        <v/>
      </c>
      <c r="C1856">
        <f>IF(A1856="","",'Employees'!D13)</f>
        <v/>
      </c>
      <c r="D1856">
        <f>IF(A1856="","",'Skill Matrix'!C121)</f>
        <v/>
      </c>
      <c r="E1856">
        <f>IF(A1856="","",'Skill Matrix'!D121)</f>
        <v/>
      </c>
      <c r="F1856">
        <f>IF(AND('Skill Matrix'!A121&lt;&gt;"",'Skill Matrix'!S5&lt;&gt;""),'Skill Matrix'!S5,"")</f>
        <v/>
      </c>
      <c r="G1856">
        <f>IF(OR(A1856="",'Skill Matrix'!S121=""),"",'Skill Matrix'!S121)</f>
        <v/>
      </c>
      <c r="H1856">
        <f>IF(A1856="","",'Employees'!F13)</f>
        <v/>
      </c>
    </row>
    <row r="1857">
      <c r="A1857">
        <f>IF(AND('Skill Matrix'!A121&lt;&gt;"",'Skill Matrix'!T5&lt;&gt;""),'Skill Matrix'!A121,"")</f>
        <v/>
      </c>
      <c r="B1857">
        <f>IF(A1857="","",'Employees'!C13)</f>
        <v/>
      </c>
      <c r="C1857">
        <f>IF(A1857="","",'Employees'!D13)</f>
        <v/>
      </c>
      <c r="D1857">
        <f>IF(A1857="","",'Skill Matrix'!C121)</f>
        <v/>
      </c>
      <c r="E1857">
        <f>IF(A1857="","",'Skill Matrix'!D121)</f>
        <v/>
      </c>
      <c r="F1857">
        <f>IF(AND('Skill Matrix'!A121&lt;&gt;"",'Skill Matrix'!T5&lt;&gt;""),'Skill Matrix'!T5,"")</f>
        <v/>
      </c>
      <c r="G1857">
        <f>IF(OR(A1857="",'Skill Matrix'!T121=""),"",'Skill Matrix'!T121)</f>
        <v/>
      </c>
      <c r="H1857">
        <f>IF(A1857="","",'Employees'!F13)</f>
        <v/>
      </c>
    </row>
    <row r="1858">
      <c r="A1858">
        <f>IF(AND('Skill Matrix'!A122&lt;&gt;"",'Skill Matrix'!E5&lt;&gt;""),'Skill Matrix'!A122,"")</f>
        <v/>
      </c>
      <c r="B1858">
        <f>IF(A1858="","",'Employees'!C13)</f>
        <v/>
      </c>
      <c r="C1858">
        <f>IF(A1858="","",'Employees'!D13)</f>
        <v/>
      </c>
      <c r="D1858">
        <f>IF(A1858="","",'Skill Matrix'!C122)</f>
        <v/>
      </c>
      <c r="E1858">
        <f>IF(A1858="","",'Skill Matrix'!D122)</f>
        <v/>
      </c>
      <c r="F1858">
        <f>IF(AND('Skill Matrix'!A122&lt;&gt;"",'Skill Matrix'!E5&lt;&gt;""),'Skill Matrix'!E5,"")</f>
        <v/>
      </c>
      <c r="G1858">
        <f>IF(OR(A1858="",'Skill Matrix'!E122=""),"",'Skill Matrix'!E122)</f>
        <v/>
      </c>
      <c r="H1858">
        <f>IF(A1858="","",'Employees'!F13)</f>
        <v/>
      </c>
    </row>
    <row r="1859">
      <c r="A1859">
        <f>IF(AND('Skill Matrix'!A122&lt;&gt;"",'Skill Matrix'!F5&lt;&gt;""),'Skill Matrix'!A122,"")</f>
        <v/>
      </c>
      <c r="B1859">
        <f>IF(A1859="","",'Employees'!C13)</f>
        <v/>
      </c>
      <c r="C1859">
        <f>IF(A1859="","",'Employees'!D13)</f>
        <v/>
      </c>
      <c r="D1859">
        <f>IF(A1859="","",'Skill Matrix'!C122)</f>
        <v/>
      </c>
      <c r="E1859">
        <f>IF(A1859="","",'Skill Matrix'!D122)</f>
        <v/>
      </c>
      <c r="F1859">
        <f>IF(AND('Skill Matrix'!A122&lt;&gt;"",'Skill Matrix'!F5&lt;&gt;""),'Skill Matrix'!F5,"")</f>
        <v/>
      </c>
      <c r="G1859">
        <f>IF(OR(A1859="",'Skill Matrix'!F122=""),"",'Skill Matrix'!F122)</f>
        <v/>
      </c>
      <c r="H1859">
        <f>IF(A1859="","",'Employees'!F13)</f>
        <v/>
      </c>
    </row>
    <row r="1860">
      <c r="A1860">
        <f>IF(AND('Skill Matrix'!A122&lt;&gt;"",'Skill Matrix'!G5&lt;&gt;""),'Skill Matrix'!A122,"")</f>
        <v/>
      </c>
      <c r="B1860">
        <f>IF(A1860="","",'Employees'!C13)</f>
        <v/>
      </c>
      <c r="C1860">
        <f>IF(A1860="","",'Employees'!D13)</f>
        <v/>
      </c>
      <c r="D1860">
        <f>IF(A1860="","",'Skill Matrix'!C122)</f>
        <v/>
      </c>
      <c r="E1860">
        <f>IF(A1860="","",'Skill Matrix'!D122)</f>
        <v/>
      </c>
      <c r="F1860">
        <f>IF(AND('Skill Matrix'!A122&lt;&gt;"",'Skill Matrix'!G5&lt;&gt;""),'Skill Matrix'!G5,"")</f>
        <v/>
      </c>
      <c r="G1860">
        <f>IF(OR(A1860="",'Skill Matrix'!G122=""),"",'Skill Matrix'!G122)</f>
        <v/>
      </c>
      <c r="H1860">
        <f>IF(A1860="","",'Employees'!F13)</f>
        <v/>
      </c>
    </row>
    <row r="1861">
      <c r="A1861">
        <f>IF(AND('Skill Matrix'!A122&lt;&gt;"",'Skill Matrix'!H5&lt;&gt;""),'Skill Matrix'!A122,"")</f>
        <v/>
      </c>
      <c r="B1861">
        <f>IF(A1861="","",'Employees'!C13)</f>
        <v/>
      </c>
      <c r="C1861">
        <f>IF(A1861="","",'Employees'!D13)</f>
        <v/>
      </c>
      <c r="D1861">
        <f>IF(A1861="","",'Skill Matrix'!C122)</f>
        <v/>
      </c>
      <c r="E1861">
        <f>IF(A1861="","",'Skill Matrix'!D122)</f>
        <v/>
      </c>
      <c r="F1861">
        <f>IF(AND('Skill Matrix'!A122&lt;&gt;"",'Skill Matrix'!H5&lt;&gt;""),'Skill Matrix'!H5,"")</f>
        <v/>
      </c>
      <c r="G1861">
        <f>IF(OR(A1861="",'Skill Matrix'!H122=""),"",'Skill Matrix'!H122)</f>
        <v/>
      </c>
      <c r="H1861">
        <f>IF(A1861="","",'Employees'!F13)</f>
        <v/>
      </c>
    </row>
    <row r="1862">
      <c r="A1862">
        <f>IF(AND('Skill Matrix'!A122&lt;&gt;"",'Skill Matrix'!I5&lt;&gt;""),'Skill Matrix'!A122,"")</f>
        <v/>
      </c>
      <c r="B1862">
        <f>IF(A1862="","",'Employees'!C13)</f>
        <v/>
      </c>
      <c r="C1862">
        <f>IF(A1862="","",'Employees'!D13)</f>
        <v/>
      </c>
      <c r="D1862">
        <f>IF(A1862="","",'Skill Matrix'!C122)</f>
        <v/>
      </c>
      <c r="E1862">
        <f>IF(A1862="","",'Skill Matrix'!D122)</f>
        <v/>
      </c>
      <c r="F1862">
        <f>IF(AND('Skill Matrix'!A122&lt;&gt;"",'Skill Matrix'!I5&lt;&gt;""),'Skill Matrix'!I5,"")</f>
        <v/>
      </c>
      <c r="G1862">
        <f>IF(OR(A1862="",'Skill Matrix'!I122=""),"",'Skill Matrix'!I122)</f>
        <v/>
      </c>
      <c r="H1862">
        <f>IF(A1862="","",'Employees'!F13)</f>
        <v/>
      </c>
    </row>
    <row r="1863">
      <c r="A1863">
        <f>IF(AND('Skill Matrix'!A122&lt;&gt;"",'Skill Matrix'!J5&lt;&gt;""),'Skill Matrix'!A122,"")</f>
        <v/>
      </c>
      <c r="B1863">
        <f>IF(A1863="","",'Employees'!C13)</f>
        <v/>
      </c>
      <c r="C1863">
        <f>IF(A1863="","",'Employees'!D13)</f>
        <v/>
      </c>
      <c r="D1863">
        <f>IF(A1863="","",'Skill Matrix'!C122)</f>
        <v/>
      </c>
      <c r="E1863">
        <f>IF(A1863="","",'Skill Matrix'!D122)</f>
        <v/>
      </c>
      <c r="F1863">
        <f>IF(AND('Skill Matrix'!A122&lt;&gt;"",'Skill Matrix'!J5&lt;&gt;""),'Skill Matrix'!J5,"")</f>
        <v/>
      </c>
      <c r="G1863">
        <f>IF(OR(A1863="",'Skill Matrix'!J122=""),"",'Skill Matrix'!J122)</f>
        <v/>
      </c>
      <c r="H1863">
        <f>IF(A1863="","",'Employees'!F13)</f>
        <v/>
      </c>
    </row>
    <row r="1864">
      <c r="A1864">
        <f>IF(AND('Skill Matrix'!A122&lt;&gt;"",'Skill Matrix'!K5&lt;&gt;""),'Skill Matrix'!A122,"")</f>
        <v/>
      </c>
      <c r="B1864">
        <f>IF(A1864="","",'Employees'!C13)</f>
        <v/>
      </c>
      <c r="C1864">
        <f>IF(A1864="","",'Employees'!D13)</f>
        <v/>
      </c>
      <c r="D1864">
        <f>IF(A1864="","",'Skill Matrix'!C122)</f>
        <v/>
      </c>
      <c r="E1864">
        <f>IF(A1864="","",'Skill Matrix'!D122)</f>
        <v/>
      </c>
      <c r="F1864">
        <f>IF(AND('Skill Matrix'!A122&lt;&gt;"",'Skill Matrix'!K5&lt;&gt;""),'Skill Matrix'!K5,"")</f>
        <v/>
      </c>
      <c r="G1864">
        <f>IF(OR(A1864="",'Skill Matrix'!K122=""),"",'Skill Matrix'!K122)</f>
        <v/>
      </c>
      <c r="H1864">
        <f>IF(A1864="","",'Employees'!F13)</f>
        <v/>
      </c>
    </row>
    <row r="1865">
      <c r="A1865">
        <f>IF(AND('Skill Matrix'!A122&lt;&gt;"",'Skill Matrix'!L5&lt;&gt;""),'Skill Matrix'!A122,"")</f>
        <v/>
      </c>
      <c r="B1865">
        <f>IF(A1865="","",'Employees'!C13)</f>
        <v/>
      </c>
      <c r="C1865">
        <f>IF(A1865="","",'Employees'!D13)</f>
        <v/>
      </c>
      <c r="D1865">
        <f>IF(A1865="","",'Skill Matrix'!C122)</f>
        <v/>
      </c>
      <c r="E1865">
        <f>IF(A1865="","",'Skill Matrix'!D122)</f>
        <v/>
      </c>
      <c r="F1865">
        <f>IF(AND('Skill Matrix'!A122&lt;&gt;"",'Skill Matrix'!L5&lt;&gt;""),'Skill Matrix'!L5,"")</f>
        <v/>
      </c>
      <c r="G1865">
        <f>IF(OR(A1865="",'Skill Matrix'!L122=""),"",'Skill Matrix'!L122)</f>
        <v/>
      </c>
      <c r="H1865">
        <f>IF(A1865="","",'Employees'!F13)</f>
        <v/>
      </c>
    </row>
    <row r="1866">
      <c r="A1866">
        <f>IF(AND('Skill Matrix'!A122&lt;&gt;"",'Skill Matrix'!M5&lt;&gt;""),'Skill Matrix'!A122,"")</f>
        <v/>
      </c>
      <c r="B1866">
        <f>IF(A1866="","",'Employees'!C13)</f>
        <v/>
      </c>
      <c r="C1866">
        <f>IF(A1866="","",'Employees'!D13)</f>
        <v/>
      </c>
      <c r="D1866">
        <f>IF(A1866="","",'Skill Matrix'!C122)</f>
        <v/>
      </c>
      <c r="E1866">
        <f>IF(A1866="","",'Skill Matrix'!D122)</f>
        <v/>
      </c>
      <c r="F1866">
        <f>IF(AND('Skill Matrix'!A122&lt;&gt;"",'Skill Matrix'!M5&lt;&gt;""),'Skill Matrix'!M5,"")</f>
        <v/>
      </c>
      <c r="G1866">
        <f>IF(OR(A1866="",'Skill Matrix'!M122=""),"",'Skill Matrix'!M122)</f>
        <v/>
      </c>
      <c r="H1866">
        <f>IF(A1866="","",'Employees'!F13)</f>
        <v/>
      </c>
    </row>
    <row r="1867">
      <c r="A1867">
        <f>IF(AND('Skill Matrix'!A122&lt;&gt;"",'Skill Matrix'!N5&lt;&gt;""),'Skill Matrix'!A122,"")</f>
        <v/>
      </c>
      <c r="B1867">
        <f>IF(A1867="","",'Employees'!C13)</f>
        <v/>
      </c>
      <c r="C1867">
        <f>IF(A1867="","",'Employees'!D13)</f>
        <v/>
      </c>
      <c r="D1867">
        <f>IF(A1867="","",'Skill Matrix'!C122)</f>
        <v/>
      </c>
      <c r="E1867">
        <f>IF(A1867="","",'Skill Matrix'!D122)</f>
        <v/>
      </c>
      <c r="F1867">
        <f>IF(AND('Skill Matrix'!A122&lt;&gt;"",'Skill Matrix'!N5&lt;&gt;""),'Skill Matrix'!N5,"")</f>
        <v/>
      </c>
      <c r="G1867">
        <f>IF(OR(A1867="",'Skill Matrix'!N122=""),"",'Skill Matrix'!N122)</f>
        <v/>
      </c>
      <c r="H1867">
        <f>IF(A1867="","",'Employees'!F13)</f>
        <v/>
      </c>
    </row>
    <row r="1868">
      <c r="A1868">
        <f>IF(AND('Skill Matrix'!A122&lt;&gt;"",'Skill Matrix'!O5&lt;&gt;""),'Skill Matrix'!A122,"")</f>
        <v/>
      </c>
      <c r="B1868">
        <f>IF(A1868="","",'Employees'!C13)</f>
        <v/>
      </c>
      <c r="C1868">
        <f>IF(A1868="","",'Employees'!D13)</f>
        <v/>
      </c>
      <c r="D1868">
        <f>IF(A1868="","",'Skill Matrix'!C122)</f>
        <v/>
      </c>
      <c r="E1868">
        <f>IF(A1868="","",'Skill Matrix'!D122)</f>
        <v/>
      </c>
      <c r="F1868">
        <f>IF(AND('Skill Matrix'!A122&lt;&gt;"",'Skill Matrix'!O5&lt;&gt;""),'Skill Matrix'!O5,"")</f>
        <v/>
      </c>
      <c r="G1868">
        <f>IF(OR(A1868="",'Skill Matrix'!O122=""),"",'Skill Matrix'!O122)</f>
        <v/>
      </c>
      <c r="H1868">
        <f>IF(A1868="","",'Employees'!F13)</f>
        <v/>
      </c>
    </row>
    <row r="1869">
      <c r="A1869">
        <f>IF(AND('Skill Matrix'!A122&lt;&gt;"",'Skill Matrix'!P5&lt;&gt;""),'Skill Matrix'!A122,"")</f>
        <v/>
      </c>
      <c r="B1869">
        <f>IF(A1869="","",'Employees'!C13)</f>
        <v/>
      </c>
      <c r="C1869">
        <f>IF(A1869="","",'Employees'!D13)</f>
        <v/>
      </c>
      <c r="D1869">
        <f>IF(A1869="","",'Skill Matrix'!C122)</f>
        <v/>
      </c>
      <c r="E1869">
        <f>IF(A1869="","",'Skill Matrix'!D122)</f>
        <v/>
      </c>
      <c r="F1869">
        <f>IF(AND('Skill Matrix'!A122&lt;&gt;"",'Skill Matrix'!P5&lt;&gt;""),'Skill Matrix'!P5,"")</f>
        <v/>
      </c>
      <c r="G1869">
        <f>IF(OR(A1869="",'Skill Matrix'!P122=""),"",'Skill Matrix'!P122)</f>
        <v/>
      </c>
      <c r="H1869">
        <f>IF(A1869="","",'Employees'!F13)</f>
        <v/>
      </c>
    </row>
    <row r="1870">
      <c r="A1870">
        <f>IF(AND('Skill Matrix'!A122&lt;&gt;"",'Skill Matrix'!Q5&lt;&gt;""),'Skill Matrix'!A122,"")</f>
        <v/>
      </c>
      <c r="B1870">
        <f>IF(A1870="","",'Employees'!C13)</f>
        <v/>
      </c>
      <c r="C1870">
        <f>IF(A1870="","",'Employees'!D13)</f>
        <v/>
      </c>
      <c r="D1870">
        <f>IF(A1870="","",'Skill Matrix'!C122)</f>
        <v/>
      </c>
      <c r="E1870">
        <f>IF(A1870="","",'Skill Matrix'!D122)</f>
        <v/>
      </c>
      <c r="F1870">
        <f>IF(AND('Skill Matrix'!A122&lt;&gt;"",'Skill Matrix'!Q5&lt;&gt;""),'Skill Matrix'!Q5,"")</f>
        <v/>
      </c>
      <c r="G1870">
        <f>IF(OR(A1870="",'Skill Matrix'!Q122=""),"",'Skill Matrix'!Q122)</f>
        <v/>
      </c>
      <c r="H1870">
        <f>IF(A1870="","",'Employees'!F13)</f>
        <v/>
      </c>
    </row>
    <row r="1871">
      <c r="A1871">
        <f>IF(AND('Skill Matrix'!A122&lt;&gt;"",'Skill Matrix'!R5&lt;&gt;""),'Skill Matrix'!A122,"")</f>
        <v/>
      </c>
      <c r="B1871">
        <f>IF(A1871="","",'Employees'!C13)</f>
        <v/>
      </c>
      <c r="C1871">
        <f>IF(A1871="","",'Employees'!D13)</f>
        <v/>
      </c>
      <c r="D1871">
        <f>IF(A1871="","",'Skill Matrix'!C122)</f>
        <v/>
      </c>
      <c r="E1871">
        <f>IF(A1871="","",'Skill Matrix'!D122)</f>
        <v/>
      </c>
      <c r="F1871">
        <f>IF(AND('Skill Matrix'!A122&lt;&gt;"",'Skill Matrix'!R5&lt;&gt;""),'Skill Matrix'!R5,"")</f>
        <v/>
      </c>
      <c r="G1871">
        <f>IF(OR(A1871="",'Skill Matrix'!R122=""),"",'Skill Matrix'!R122)</f>
        <v/>
      </c>
      <c r="H1871">
        <f>IF(A1871="","",'Employees'!F13)</f>
        <v/>
      </c>
    </row>
    <row r="1872">
      <c r="A1872">
        <f>IF(AND('Skill Matrix'!A122&lt;&gt;"",'Skill Matrix'!S5&lt;&gt;""),'Skill Matrix'!A122,"")</f>
        <v/>
      </c>
      <c r="B1872">
        <f>IF(A1872="","",'Employees'!C13)</f>
        <v/>
      </c>
      <c r="C1872">
        <f>IF(A1872="","",'Employees'!D13)</f>
        <v/>
      </c>
      <c r="D1872">
        <f>IF(A1872="","",'Skill Matrix'!C122)</f>
        <v/>
      </c>
      <c r="E1872">
        <f>IF(A1872="","",'Skill Matrix'!D122)</f>
        <v/>
      </c>
      <c r="F1872">
        <f>IF(AND('Skill Matrix'!A122&lt;&gt;"",'Skill Matrix'!S5&lt;&gt;""),'Skill Matrix'!S5,"")</f>
        <v/>
      </c>
      <c r="G1872">
        <f>IF(OR(A1872="",'Skill Matrix'!S122=""),"",'Skill Matrix'!S122)</f>
        <v/>
      </c>
      <c r="H1872">
        <f>IF(A1872="","",'Employees'!F13)</f>
        <v/>
      </c>
    </row>
    <row r="1873">
      <c r="A1873">
        <f>IF(AND('Skill Matrix'!A122&lt;&gt;"",'Skill Matrix'!T5&lt;&gt;""),'Skill Matrix'!A122,"")</f>
        <v/>
      </c>
      <c r="B1873">
        <f>IF(A1873="","",'Employees'!C13)</f>
        <v/>
      </c>
      <c r="C1873">
        <f>IF(A1873="","",'Employees'!D13)</f>
        <v/>
      </c>
      <c r="D1873">
        <f>IF(A1873="","",'Skill Matrix'!C122)</f>
        <v/>
      </c>
      <c r="E1873">
        <f>IF(A1873="","",'Skill Matrix'!D122)</f>
        <v/>
      </c>
      <c r="F1873">
        <f>IF(AND('Skill Matrix'!A122&lt;&gt;"",'Skill Matrix'!T5&lt;&gt;""),'Skill Matrix'!T5,"")</f>
        <v/>
      </c>
      <c r="G1873">
        <f>IF(OR(A1873="",'Skill Matrix'!T122=""),"",'Skill Matrix'!T122)</f>
        <v/>
      </c>
      <c r="H1873">
        <f>IF(A1873="","",'Employees'!F13)</f>
        <v/>
      </c>
    </row>
    <row r="1874">
      <c r="A1874">
        <f>IF(AND('Skill Matrix'!A123&lt;&gt;"",'Skill Matrix'!E5&lt;&gt;""),'Skill Matrix'!A123,"")</f>
        <v/>
      </c>
      <c r="B1874">
        <f>IF(A1874="","",'Employees'!C13)</f>
        <v/>
      </c>
      <c r="C1874">
        <f>IF(A1874="","",'Employees'!D13)</f>
        <v/>
      </c>
      <c r="D1874">
        <f>IF(A1874="","",'Skill Matrix'!C123)</f>
        <v/>
      </c>
      <c r="E1874">
        <f>IF(A1874="","",'Skill Matrix'!D123)</f>
        <v/>
      </c>
      <c r="F1874">
        <f>IF(AND('Skill Matrix'!A123&lt;&gt;"",'Skill Matrix'!E5&lt;&gt;""),'Skill Matrix'!E5,"")</f>
        <v/>
      </c>
      <c r="G1874">
        <f>IF(OR(A1874="",'Skill Matrix'!E123=""),"",'Skill Matrix'!E123)</f>
        <v/>
      </c>
      <c r="H1874">
        <f>IF(A1874="","",'Employees'!F13)</f>
        <v/>
      </c>
    </row>
    <row r="1875">
      <c r="A1875">
        <f>IF(AND('Skill Matrix'!A123&lt;&gt;"",'Skill Matrix'!F5&lt;&gt;""),'Skill Matrix'!A123,"")</f>
        <v/>
      </c>
      <c r="B1875">
        <f>IF(A1875="","",'Employees'!C13)</f>
        <v/>
      </c>
      <c r="C1875">
        <f>IF(A1875="","",'Employees'!D13)</f>
        <v/>
      </c>
      <c r="D1875">
        <f>IF(A1875="","",'Skill Matrix'!C123)</f>
        <v/>
      </c>
      <c r="E1875">
        <f>IF(A1875="","",'Skill Matrix'!D123)</f>
        <v/>
      </c>
      <c r="F1875">
        <f>IF(AND('Skill Matrix'!A123&lt;&gt;"",'Skill Matrix'!F5&lt;&gt;""),'Skill Matrix'!F5,"")</f>
        <v/>
      </c>
      <c r="G1875">
        <f>IF(OR(A1875="",'Skill Matrix'!F123=""),"",'Skill Matrix'!F123)</f>
        <v/>
      </c>
      <c r="H1875">
        <f>IF(A1875="","",'Employees'!F13)</f>
        <v/>
      </c>
    </row>
    <row r="1876">
      <c r="A1876">
        <f>IF(AND('Skill Matrix'!A123&lt;&gt;"",'Skill Matrix'!G5&lt;&gt;""),'Skill Matrix'!A123,"")</f>
        <v/>
      </c>
      <c r="B1876">
        <f>IF(A1876="","",'Employees'!C13)</f>
        <v/>
      </c>
      <c r="C1876">
        <f>IF(A1876="","",'Employees'!D13)</f>
        <v/>
      </c>
      <c r="D1876">
        <f>IF(A1876="","",'Skill Matrix'!C123)</f>
        <v/>
      </c>
      <c r="E1876">
        <f>IF(A1876="","",'Skill Matrix'!D123)</f>
        <v/>
      </c>
      <c r="F1876">
        <f>IF(AND('Skill Matrix'!A123&lt;&gt;"",'Skill Matrix'!G5&lt;&gt;""),'Skill Matrix'!G5,"")</f>
        <v/>
      </c>
      <c r="G1876">
        <f>IF(OR(A1876="",'Skill Matrix'!G123=""),"",'Skill Matrix'!G123)</f>
        <v/>
      </c>
      <c r="H1876">
        <f>IF(A1876="","",'Employees'!F13)</f>
        <v/>
      </c>
    </row>
    <row r="1877">
      <c r="A1877">
        <f>IF(AND('Skill Matrix'!A123&lt;&gt;"",'Skill Matrix'!H5&lt;&gt;""),'Skill Matrix'!A123,"")</f>
        <v/>
      </c>
      <c r="B1877">
        <f>IF(A1877="","",'Employees'!C13)</f>
        <v/>
      </c>
      <c r="C1877">
        <f>IF(A1877="","",'Employees'!D13)</f>
        <v/>
      </c>
      <c r="D1877">
        <f>IF(A1877="","",'Skill Matrix'!C123)</f>
        <v/>
      </c>
      <c r="E1877">
        <f>IF(A1877="","",'Skill Matrix'!D123)</f>
        <v/>
      </c>
      <c r="F1877">
        <f>IF(AND('Skill Matrix'!A123&lt;&gt;"",'Skill Matrix'!H5&lt;&gt;""),'Skill Matrix'!H5,"")</f>
        <v/>
      </c>
      <c r="G1877">
        <f>IF(OR(A1877="",'Skill Matrix'!H123=""),"",'Skill Matrix'!H123)</f>
        <v/>
      </c>
      <c r="H1877">
        <f>IF(A1877="","",'Employees'!F13)</f>
        <v/>
      </c>
    </row>
    <row r="1878">
      <c r="A1878">
        <f>IF(AND('Skill Matrix'!A123&lt;&gt;"",'Skill Matrix'!I5&lt;&gt;""),'Skill Matrix'!A123,"")</f>
        <v/>
      </c>
      <c r="B1878">
        <f>IF(A1878="","",'Employees'!C13)</f>
        <v/>
      </c>
      <c r="C1878">
        <f>IF(A1878="","",'Employees'!D13)</f>
        <v/>
      </c>
      <c r="D1878">
        <f>IF(A1878="","",'Skill Matrix'!C123)</f>
        <v/>
      </c>
      <c r="E1878">
        <f>IF(A1878="","",'Skill Matrix'!D123)</f>
        <v/>
      </c>
      <c r="F1878">
        <f>IF(AND('Skill Matrix'!A123&lt;&gt;"",'Skill Matrix'!I5&lt;&gt;""),'Skill Matrix'!I5,"")</f>
        <v/>
      </c>
      <c r="G1878">
        <f>IF(OR(A1878="",'Skill Matrix'!I123=""),"",'Skill Matrix'!I123)</f>
        <v/>
      </c>
      <c r="H1878">
        <f>IF(A1878="","",'Employees'!F13)</f>
        <v/>
      </c>
    </row>
    <row r="1879">
      <c r="A1879">
        <f>IF(AND('Skill Matrix'!A123&lt;&gt;"",'Skill Matrix'!J5&lt;&gt;""),'Skill Matrix'!A123,"")</f>
        <v/>
      </c>
      <c r="B1879">
        <f>IF(A1879="","",'Employees'!C13)</f>
        <v/>
      </c>
      <c r="C1879">
        <f>IF(A1879="","",'Employees'!D13)</f>
        <v/>
      </c>
      <c r="D1879">
        <f>IF(A1879="","",'Skill Matrix'!C123)</f>
        <v/>
      </c>
      <c r="E1879">
        <f>IF(A1879="","",'Skill Matrix'!D123)</f>
        <v/>
      </c>
      <c r="F1879">
        <f>IF(AND('Skill Matrix'!A123&lt;&gt;"",'Skill Matrix'!J5&lt;&gt;""),'Skill Matrix'!J5,"")</f>
        <v/>
      </c>
      <c r="G1879">
        <f>IF(OR(A1879="",'Skill Matrix'!J123=""),"",'Skill Matrix'!J123)</f>
        <v/>
      </c>
      <c r="H1879">
        <f>IF(A1879="","",'Employees'!F13)</f>
        <v/>
      </c>
    </row>
    <row r="1880">
      <c r="A1880">
        <f>IF(AND('Skill Matrix'!A123&lt;&gt;"",'Skill Matrix'!K5&lt;&gt;""),'Skill Matrix'!A123,"")</f>
        <v/>
      </c>
      <c r="B1880">
        <f>IF(A1880="","",'Employees'!C13)</f>
        <v/>
      </c>
      <c r="C1880">
        <f>IF(A1880="","",'Employees'!D13)</f>
        <v/>
      </c>
      <c r="D1880">
        <f>IF(A1880="","",'Skill Matrix'!C123)</f>
        <v/>
      </c>
      <c r="E1880">
        <f>IF(A1880="","",'Skill Matrix'!D123)</f>
        <v/>
      </c>
      <c r="F1880">
        <f>IF(AND('Skill Matrix'!A123&lt;&gt;"",'Skill Matrix'!K5&lt;&gt;""),'Skill Matrix'!K5,"")</f>
        <v/>
      </c>
      <c r="G1880">
        <f>IF(OR(A1880="",'Skill Matrix'!K123=""),"",'Skill Matrix'!K123)</f>
        <v/>
      </c>
      <c r="H1880">
        <f>IF(A1880="","",'Employees'!F13)</f>
        <v/>
      </c>
    </row>
    <row r="1881">
      <c r="A1881">
        <f>IF(AND('Skill Matrix'!A123&lt;&gt;"",'Skill Matrix'!L5&lt;&gt;""),'Skill Matrix'!A123,"")</f>
        <v/>
      </c>
      <c r="B1881">
        <f>IF(A1881="","",'Employees'!C13)</f>
        <v/>
      </c>
      <c r="C1881">
        <f>IF(A1881="","",'Employees'!D13)</f>
        <v/>
      </c>
      <c r="D1881">
        <f>IF(A1881="","",'Skill Matrix'!C123)</f>
        <v/>
      </c>
      <c r="E1881">
        <f>IF(A1881="","",'Skill Matrix'!D123)</f>
        <v/>
      </c>
      <c r="F1881">
        <f>IF(AND('Skill Matrix'!A123&lt;&gt;"",'Skill Matrix'!L5&lt;&gt;""),'Skill Matrix'!L5,"")</f>
        <v/>
      </c>
      <c r="G1881">
        <f>IF(OR(A1881="",'Skill Matrix'!L123=""),"",'Skill Matrix'!L123)</f>
        <v/>
      </c>
      <c r="H1881">
        <f>IF(A1881="","",'Employees'!F13)</f>
        <v/>
      </c>
    </row>
    <row r="1882">
      <c r="A1882">
        <f>IF(AND('Skill Matrix'!A123&lt;&gt;"",'Skill Matrix'!M5&lt;&gt;""),'Skill Matrix'!A123,"")</f>
        <v/>
      </c>
      <c r="B1882">
        <f>IF(A1882="","",'Employees'!C13)</f>
        <v/>
      </c>
      <c r="C1882">
        <f>IF(A1882="","",'Employees'!D13)</f>
        <v/>
      </c>
      <c r="D1882">
        <f>IF(A1882="","",'Skill Matrix'!C123)</f>
        <v/>
      </c>
      <c r="E1882">
        <f>IF(A1882="","",'Skill Matrix'!D123)</f>
        <v/>
      </c>
      <c r="F1882">
        <f>IF(AND('Skill Matrix'!A123&lt;&gt;"",'Skill Matrix'!M5&lt;&gt;""),'Skill Matrix'!M5,"")</f>
        <v/>
      </c>
      <c r="G1882">
        <f>IF(OR(A1882="",'Skill Matrix'!M123=""),"",'Skill Matrix'!M123)</f>
        <v/>
      </c>
      <c r="H1882">
        <f>IF(A1882="","",'Employees'!F13)</f>
        <v/>
      </c>
    </row>
    <row r="1883">
      <c r="A1883">
        <f>IF(AND('Skill Matrix'!A123&lt;&gt;"",'Skill Matrix'!N5&lt;&gt;""),'Skill Matrix'!A123,"")</f>
        <v/>
      </c>
      <c r="B1883">
        <f>IF(A1883="","",'Employees'!C13)</f>
        <v/>
      </c>
      <c r="C1883">
        <f>IF(A1883="","",'Employees'!D13)</f>
        <v/>
      </c>
      <c r="D1883">
        <f>IF(A1883="","",'Skill Matrix'!C123)</f>
        <v/>
      </c>
      <c r="E1883">
        <f>IF(A1883="","",'Skill Matrix'!D123)</f>
        <v/>
      </c>
      <c r="F1883">
        <f>IF(AND('Skill Matrix'!A123&lt;&gt;"",'Skill Matrix'!N5&lt;&gt;""),'Skill Matrix'!N5,"")</f>
        <v/>
      </c>
      <c r="G1883">
        <f>IF(OR(A1883="",'Skill Matrix'!N123=""),"",'Skill Matrix'!N123)</f>
        <v/>
      </c>
      <c r="H1883">
        <f>IF(A1883="","",'Employees'!F13)</f>
        <v/>
      </c>
    </row>
    <row r="1884">
      <c r="A1884">
        <f>IF(AND('Skill Matrix'!A123&lt;&gt;"",'Skill Matrix'!O5&lt;&gt;""),'Skill Matrix'!A123,"")</f>
        <v/>
      </c>
      <c r="B1884">
        <f>IF(A1884="","",'Employees'!C13)</f>
        <v/>
      </c>
      <c r="C1884">
        <f>IF(A1884="","",'Employees'!D13)</f>
        <v/>
      </c>
      <c r="D1884">
        <f>IF(A1884="","",'Skill Matrix'!C123)</f>
        <v/>
      </c>
      <c r="E1884">
        <f>IF(A1884="","",'Skill Matrix'!D123)</f>
        <v/>
      </c>
      <c r="F1884">
        <f>IF(AND('Skill Matrix'!A123&lt;&gt;"",'Skill Matrix'!O5&lt;&gt;""),'Skill Matrix'!O5,"")</f>
        <v/>
      </c>
      <c r="G1884">
        <f>IF(OR(A1884="",'Skill Matrix'!O123=""),"",'Skill Matrix'!O123)</f>
        <v/>
      </c>
      <c r="H1884">
        <f>IF(A1884="","",'Employees'!F13)</f>
        <v/>
      </c>
    </row>
    <row r="1885">
      <c r="A1885">
        <f>IF(AND('Skill Matrix'!A123&lt;&gt;"",'Skill Matrix'!P5&lt;&gt;""),'Skill Matrix'!A123,"")</f>
        <v/>
      </c>
      <c r="B1885">
        <f>IF(A1885="","",'Employees'!C13)</f>
        <v/>
      </c>
      <c r="C1885">
        <f>IF(A1885="","",'Employees'!D13)</f>
        <v/>
      </c>
      <c r="D1885">
        <f>IF(A1885="","",'Skill Matrix'!C123)</f>
        <v/>
      </c>
      <c r="E1885">
        <f>IF(A1885="","",'Skill Matrix'!D123)</f>
        <v/>
      </c>
      <c r="F1885">
        <f>IF(AND('Skill Matrix'!A123&lt;&gt;"",'Skill Matrix'!P5&lt;&gt;""),'Skill Matrix'!P5,"")</f>
        <v/>
      </c>
      <c r="G1885">
        <f>IF(OR(A1885="",'Skill Matrix'!P123=""),"",'Skill Matrix'!P123)</f>
        <v/>
      </c>
      <c r="H1885">
        <f>IF(A1885="","",'Employees'!F13)</f>
        <v/>
      </c>
    </row>
    <row r="1886">
      <c r="A1886">
        <f>IF(AND('Skill Matrix'!A123&lt;&gt;"",'Skill Matrix'!Q5&lt;&gt;""),'Skill Matrix'!A123,"")</f>
        <v/>
      </c>
      <c r="B1886">
        <f>IF(A1886="","",'Employees'!C13)</f>
        <v/>
      </c>
      <c r="C1886">
        <f>IF(A1886="","",'Employees'!D13)</f>
        <v/>
      </c>
      <c r="D1886">
        <f>IF(A1886="","",'Skill Matrix'!C123)</f>
        <v/>
      </c>
      <c r="E1886">
        <f>IF(A1886="","",'Skill Matrix'!D123)</f>
        <v/>
      </c>
      <c r="F1886">
        <f>IF(AND('Skill Matrix'!A123&lt;&gt;"",'Skill Matrix'!Q5&lt;&gt;""),'Skill Matrix'!Q5,"")</f>
        <v/>
      </c>
      <c r="G1886">
        <f>IF(OR(A1886="",'Skill Matrix'!Q123=""),"",'Skill Matrix'!Q123)</f>
        <v/>
      </c>
      <c r="H1886">
        <f>IF(A1886="","",'Employees'!F13)</f>
        <v/>
      </c>
    </row>
    <row r="1887">
      <c r="A1887">
        <f>IF(AND('Skill Matrix'!A123&lt;&gt;"",'Skill Matrix'!R5&lt;&gt;""),'Skill Matrix'!A123,"")</f>
        <v/>
      </c>
      <c r="B1887">
        <f>IF(A1887="","",'Employees'!C13)</f>
        <v/>
      </c>
      <c r="C1887">
        <f>IF(A1887="","",'Employees'!D13)</f>
        <v/>
      </c>
      <c r="D1887">
        <f>IF(A1887="","",'Skill Matrix'!C123)</f>
        <v/>
      </c>
      <c r="E1887">
        <f>IF(A1887="","",'Skill Matrix'!D123)</f>
        <v/>
      </c>
      <c r="F1887">
        <f>IF(AND('Skill Matrix'!A123&lt;&gt;"",'Skill Matrix'!R5&lt;&gt;""),'Skill Matrix'!R5,"")</f>
        <v/>
      </c>
      <c r="G1887">
        <f>IF(OR(A1887="",'Skill Matrix'!R123=""),"",'Skill Matrix'!R123)</f>
        <v/>
      </c>
      <c r="H1887">
        <f>IF(A1887="","",'Employees'!F13)</f>
        <v/>
      </c>
    </row>
    <row r="1888">
      <c r="A1888">
        <f>IF(AND('Skill Matrix'!A123&lt;&gt;"",'Skill Matrix'!S5&lt;&gt;""),'Skill Matrix'!A123,"")</f>
        <v/>
      </c>
      <c r="B1888">
        <f>IF(A1888="","",'Employees'!C13)</f>
        <v/>
      </c>
      <c r="C1888">
        <f>IF(A1888="","",'Employees'!D13)</f>
        <v/>
      </c>
      <c r="D1888">
        <f>IF(A1888="","",'Skill Matrix'!C123)</f>
        <v/>
      </c>
      <c r="E1888">
        <f>IF(A1888="","",'Skill Matrix'!D123)</f>
        <v/>
      </c>
      <c r="F1888">
        <f>IF(AND('Skill Matrix'!A123&lt;&gt;"",'Skill Matrix'!S5&lt;&gt;""),'Skill Matrix'!S5,"")</f>
        <v/>
      </c>
      <c r="G1888">
        <f>IF(OR(A1888="",'Skill Matrix'!S123=""),"",'Skill Matrix'!S123)</f>
        <v/>
      </c>
      <c r="H1888">
        <f>IF(A1888="","",'Employees'!F13)</f>
        <v/>
      </c>
    </row>
    <row r="1889">
      <c r="A1889">
        <f>IF(AND('Skill Matrix'!A123&lt;&gt;"",'Skill Matrix'!T5&lt;&gt;""),'Skill Matrix'!A123,"")</f>
        <v/>
      </c>
      <c r="B1889">
        <f>IF(A1889="","",'Employees'!C13)</f>
        <v/>
      </c>
      <c r="C1889">
        <f>IF(A1889="","",'Employees'!D13)</f>
        <v/>
      </c>
      <c r="D1889">
        <f>IF(A1889="","",'Skill Matrix'!C123)</f>
        <v/>
      </c>
      <c r="E1889">
        <f>IF(A1889="","",'Skill Matrix'!D123)</f>
        <v/>
      </c>
      <c r="F1889">
        <f>IF(AND('Skill Matrix'!A123&lt;&gt;"",'Skill Matrix'!T5&lt;&gt;""),'Skill Matrix'!T5,"")</f>
        <v/>
      </c>
      <c r="G1889">
        <f>IF(OR(A1889="",'Skill Matrix'!T123=""),"",'Skill Matrix'!T123)</f>
        <v/>
      </c>
      <c r="H1889">
        <f>IF(A1889="","",'Employees'!F13)</f>
        <v/>
      </c>
    </row>
    <row r="1890">
      <c r="A1890">
        <f>IF(AND('Skill Matrix'!A124&lt;&gt;"",'Skill Matrix'!E5&lt;&gt;""),'Skill Matrix'!A124,"")</f>
        <v/>
      </c>
      <c r="B1890">
        <f>IF(A1890="","",'Employees'!C13)</f>
        <v/>
      </c>
      <c r="C1890">
        <f>IF(A1890="","",'Employees'!D13)</f>
        <v/>
      </c>
      <c r="D1890">
        <f>IF(A1890="","",'Skill Matrix'!C124)</f>
        <v/>
      </c>
      <c r="E1890">
        <f>IF(A1890="","",'Skill Matrix'!D124)</f>
        <v/>
      </c>
      <c r="F1890">
        <f>IF(AND('Skill Matrix'!A124&lt;&gt;"",'Skill Matrix'!E5&lt;&gt;""),'Skill Matrix'!E5,"")</f>
        <v/>
      </c>
      <c r="G1890">
        <f>IF(OR(A1890="",'Skill Matrix'!E124=""),"",'Skill Matrix'!E124)</f>
        <v/>
      </c>
      <c r="H1890">
        <f>IF(A1890="","",'Employees'!F13)</f>
        <v/>
      </c>
    </row>
    <row r="1891">
      <c r="A1891">
        <f>IF(AND('Skill Matrix'!A124&lt;&gt;"",'Skill Matrix'!F5&lt;&gt;""),'Skill Matrix'!A124,"")</f>
        <v/>
      </c>
      <c r="B1891">
        <f>IF(A1891="","",'Employees'!C13)</f>
        <v/>
      </c>
      <c r="C1891">
        <f>IF(A1891="","",'Employees'!D13)</f>
        <v/>
      </c>
      <c r="D1891">
        <f>IF(A1891="","",'Skill Matrix'!C124)</f>
        <v/>
      </c>
      <c r="E1891">
        <f>IF(A1891="","",'Skill Matrix'!D124)</f>
        <v/>
      </c>
      <c r="F1891">
        <f>IF(AND('Skill Matrix'!A124&lt;&gt;"",'Skill Matrix'!F5&lt;&gt;""),'Skill Matrix'!F5,"")</f>
        <v/>
      </c>
      <c r="G1891">
        <f>IF(OR(A1891="",'Skill Matrix'!F124=""),"",'Skill Matrix'!F124)</f>
        <v/>
      </c>
      <c r="H1891">
        <f>IF(A1891="","",'Employees'!F13)</f>
        <v/>
      </c>
    </row>
    <row r="1892">
      <c r="A1892">
        <f>IF(AND('Skill Matrix'!A124&lt;&gt;"",'Skill Matrix'!G5&lt;&gt;""),'Skill Matrix'!A124,"")</f>
        <v/>
      </c>
      <c r="B1892">
        <f>IF(A1892="","",'Employees'!C13)</f>
        <v/>
      </c>
      <c r="C1892">
        <f>IF(A1892="","",'Employees'!D13)</f>
        <v/>
      </c>
      <c r="D1892">
        <f>IF(A1892="","",'Skill Matrix'!C124)</f>
        <v/>
      </c>
      <c r="E1892">
        <f>IF(A1892="","",'Skill Matrix'!D124)</f>
        <v/>
      </c>
      <c r="F1892">
        <f>IF(AND('Skill Matrix'!A124&lt;&gt;"",'Skill Matrix'!G5&lt;&gt;""),'Skill Matrix'!G5,"")</f>
        <v/>
      </c>
      <c r="G1892">
        <f>IF(OR(A1892="",'Skill Matrix'!G124=""),"",'Skill Matrix'!G124)</f>
        <v/>
      </c>
      <c r="H1892">
        <f>IF(A1892="","",'Employees'!F13)</f>
        <v/>
      </c>
    </row>
    <row r="1893">
      <c r="A1893">
        <f>IF(AND('Skill Matrix'!A124&lt;&gt;"",'Skill Matrix'!H5&lt;&gt;""),'Skill Matrix'!A124,"")</f>
        <v/>
      </c>
      <c r="B1893">
        <f>IF(A1893="","",'Employees'!C13)</f>
        <v/>
      </c>
      <c r="C1893">
        <f>IF(A1893="","",'Employees'!D13)</f>
        <v/>
      </c>
      <c r="D1893">
        <f>IF(A1893="","",'Skill Matrix'!C124)</f>
        <v/>
      </c>
      <c r="E1893">
        <f>IF(A1893="","",'Skill Matrix'!D124)</f>
        <v/>
      </c>
      <c r="F1893">
        <f>IF(AND('Skill Matrix'!A124&lt;&gt;"",'Skill Matrix'!H5&lt;&gt;""),'Skill Matrix'!H5,"")</f>
        <v/>
      </c>
      <c r="G1893">
        <f>IF(OR(A1893="",'Skill Matrix'!H124=""),"",'Skill Matrix'!H124)</f>
        <v/>
      </c>
      <c r="H1893">
        <f>IF(A1893="","",'Employees'!F13)</f>
        <v/>
      </c>
    </row>
    <row r="1894">
      <c r="A1894">
        <f>IF(AND('Skill Matrix'!A124&lt;&gt;"",'Skill Matrix'!I5&lt;&gt;""),'Skill Matrix'!A124,"")</f>
        <v/>
      </c>
      <c r="B1894">
        <f>IF(A1894="","",'Employees'!C13)</f>
        <v/>
      </c>
      <c r="C1894">
        <f>IF(A1894="","",'Employees'!D13)</f>
        <v/>
      </c>
      <c r="D1894">
        <f>IF(A1894="","",'Skill Matrix'!C124)</f>
        <v/>
      </c>
      <c r="E1894">
        <f>IF(A1894="","",'Skill Matrix'!D124)</f>
        <v/>
      </c>
      <c r="F1894">
        <f>IF(AND('Skill Matrix'!A124&lt;&gt;"",'Skill Matrix'!I5&lt;&gt;""),'Skill Matrix'!I5,"")</f>
        <v/>
      </c>
      <c r="G1894">
        <f>IF(OR(A1894="",'Skill Matrix'!I124=""),"",'Skill Matrix'!I124)</f>
        <v/>
      </c>
      <c r="H1894">
        <f>IF(A1894="","",'Employees'!F13)</f>
        <v/>
      </c>
    </row>
    <row r="1895">
      <c r="A1895">
        <f>IF(AND('Skill Matrix'!A124&lt;&gt;"",'Skill Matrix'!J5&lt;&gt;""),'Skill Matrix'!A124,"")</f>
        <v/>
      </c>
      <c r="B1895">
        <f>IF(A1895="","",'Employees'!C13)</f>
        <v/>
      </c>
      <c r="C1895">
        <f>IF(A1895="","",'Employees'!D13)</f>
        <v/>
      </c>
      <c r="D1895">
        <f>IF(A1895="","",'Skill Matrix'!C124)</f>
        <v/>
      </c>
      <c r="E1895">
        <f>IF(A1895="","",'Skill Matrix'!D124)</f>
        <v/>
      </c>
      <c r="F1895">
        <f>IF(AND('Skill Matrix'!A124&lt;&gt;"",'Skill Matrix'!J5&lt;&gt;""),'Skill Matrix'!J5,"")</f>
        <v/>
      </c>
      <c r="G1895">
        <f>IF(OR(A1895="",'Skill Matrix'!J124=""),"",'Skill Matrix'!J124)</f>
        <v/>
      </c>
      <c r="H1895">
        <f>IF(A1895="","",'Employees'!F13)</f>
        <v/>
      </c>
    </row>
    <row r="1896">
      <c r="A1896">
        <f>IF(AND('Skill Matrix'!A124&lt;&gt;"",'Skill Matrix'!K5&lt;&gt;""),'Skill Matrix'!A124,"")</f>
        <v/>
      </c>
      <c r="B1896">
        <f>IF(A1896="","",'Employees'!C13)</f>
        <v/>
      </c>
      <c r="C1896">
        <f>IF(A1896="","",'Employees'!D13)</f>
        <v/>
      </c>
      <c r="D1896">
        <f>IF(A1896="","",'Skill Matrix'!C124)</f>
        <v/>
      </c>
      <c r="E1896">
        <f>IF(A1896="","",'Skill Matrix'!D124)</f>
        <v/>
      </c>
      <c r="F1896">
        <f>IF(AND('Skill Matrix'!A124&lt;&gt;"",'Skill Matrix'!K5&lt;&gt;""),'Skill Matrix'!K5,"")</f>
        <v/>
      </c>
      <c r="G1896">
        <f>IF(OR(A1896="",'Skill Matrix'!K124=""),"",'Skill Matrix'!K124)</f>
        <v/>
      </c>
      <c r="H1896">
        <f>IF(A1896="","",'Employees'!F13)</f>
        <v/>
      </c>
    </row>
    <row r="1897">
      <c r="A1897">
        <f>IF(AND('Skill Matrix'!A124&lt;&gt;"",'Skill Matrix'!L5&lt;&gt;""),'Skill Matrix'!A124,"")</f>
        <v/>
      </c>
      <c r="B1897">
        <f>IF(A1897="","",'Employees'!C13)</f>
        <v/>
      </c>
      <c r="C1897">
        <f>IF(A1897="","",'Employees'!D13)</f>
        <v/>
      </c>
      <c r="D1897">
        <f>IF(A1897="","",'Skill Matrix'!C124)</f>
        <v/>
      </c>
      <c r="E1897">
        <f>IF(A1897="","",'Skill Matrix'!D124)</f>
        <v/>
      </c>
      <c r="F1897">
        <f>IF(AND('Skill Matrix'!A124&lt;&gt;"",'Skill Matrix'!L5&lt;&gt;""),'Skill Matrix'!L5,"")</f>
        <v/>
      </c>
      <c r="G1897">
        <f>IF(OR(A1897="",'Skill Matrix'!L124=""),"",'Skill Matrix'!L124)</f>
        <v/>
      </c>
      <c r="H1897">
        <f>IF(A1897="","",'Employees'!F13)</f>
        <v/>
      </c>
    </row>
    <row r="1898">
      <c r="A1898">
        <f>IF(AND('Skill Matrix'!A124&lt;&gt;"",'Skill Matrix'!M5&lt;&gt;""),'Skill Matrix'!A124,"")</f>
        <v/>
      </c>
      <c r="B1898">
        <f>IF(A1898="","",'Employees'!C13)</f>
        <v/>
      </c>
      <c r="C1898">
        <f>IF(A1898="","",'Employees'!D13)</f>
        <v/>
      </c>
      <c r="D1898">
        <f>IF(A1898="","",'Skill Matrix'!C124)</f>
        <v/>
      </c>
      <c r="E1898">
        <f>IF(A1898="","",'Skill Matrix'!D124)</f>
        <v/>
      </c>
      <c r="F1898">
        <f>IF(AND('Skill Matrix'!A124&lt;&gt;"",'Skill Matrix'!M5&lt;&gt;""),'Skill Matrix'!M5,"")</f>
        <v/>
      </c>
      <c r="G1898">
        <f>IF(OR(A1898="",'Skill Matrix'!M124=""),"",'Skill Matrix'!M124)</f>
        <v/>
      </c>
      <c r="H1898">
        <f>IF(A1898="","",'Employees'!F13)</f>
        <v/>
      </c>
    </row>
    <row r="1899">
      <c r="A1899">
        <f>IF(AND('Skill Matrix'!A124&lt;&gt;"",'Skill Matrix'!N5&lt;&gt;""),'Skill Matrix'!A124,"")</f>
        <v/>
      </c>
      <c r="B1899">
        <f>IF(A1899="","",'Employees'!C13)</f>
        <v/>
      </c>
      <c r="C1899">
        <f>IF(A1899="","",'Employees'!D13)</f>
        <v/>
      </c>
      <c r="D1899">
        <f>IF(A1899="","",'Skill Matrix'!C124)</f>
        <v/>
      </c>
      <c r="E1899">
        <f>IF(A1899="","",'Skill Matrix'!D124)</f>
        <v/>
      </c>
      <c r="F1899">
        <f>IF(AND('Skill Matrix'!A124&lt;&gt;"",'Skill Matrix'!N5&lt;&gt;""),'Skill Matrix'!N5,"")</f>
        <v/>
      </c>
      <c r="G1899">
        <f>IF(OR(A1899="",'Skill Matrix'!N124=""),"",'Skill Matrix'!N124)</f>
        <v/>
      </c>
      <c r="H1899">
        <f>IF(A1899="","",'Employees'!F13)</f>
        <v/>
      </c>
    </row>
    <row r="1900">
      <c r="A1900">
        <f>IF(AND('Skill Matrix'!A124&lt;&gt;"",'Skill Matrix'!O5&lt;&gt;""),'Skill Matrix'!A124,"")</f>
        <v/>
      </c>
      <c r="B1900">
        <f>IF(A1900="","",'Employees'!C13)</f>
        <v/>
      </c>
      <c r="C1900">
        <f>IF(A1900="","",'Employees'!D13)</f>
        <v/>
      </c>
      <c r="D1900">
        <f>IF(A1900="","",'Skill Matrix'!C124)</f>
        <v/>
      </c>
      <c r="E1900">
        <f>IF(A1900="","",'Skill Matrix'!D124)</f>
        <v/>
      </c>
      <c r="F1900">
        <f>IF(AND('Skill Matrix'!A124&lt;&gt;"",'Skill Matrix'!O5&lt;&gt;""),'Skill Matrix'!O5,"")</f>
        <v/>
      </c>
      <c r="G1900">
        <f>IF(OR(A1900="",'Skill Matrix'!O124=""),"",'Skill Matrix'!O124)</f>
        <v/>
      </c>
      <c r="H1900">
        <f>IF(A1900="","",'Employees'!F13)</f>
        <v/>
      </c>
    </row>
    <row r="1901">
      <c r="A1901">
        <f>IF(AND('Skill Matrix'!A124&lt;&gt;"",'Skill Matrix'!P5&lt;&gt;""),'Skill Matrix'!A124,"")</f>
        <v/>
      </c>
      <c r="B1901">
        <f>IF(A1901="","",'Employees'!C13)</f>
        <v/>
      </c>
      <c r="C1901">
        <f>IF(A1901="","",'Employees'!D13)</f>
        <v/>
      </c>
      <c r="D1901">
        <f>IF(A1901="","",'Skill Matrix'!C124)</f>
        <v/>
      </c>
      <c r="E1901">
        <f>IF(A1901="","",'Skill Matrix'!D124)</f>
        <v/>
      </c>
      <c r="F1901">
        <f>IF(AND('Skill Matrix'!A124&lt;&gt;"",'Skill Matrix'!P5&lt;&gt;""),'Skill Matrix'!P5,"")</f>
        <v/>
      </c>
      <c r="G1901">
        <f>IF(OR(A1901="",'Skill Matrix'!P124=""),"",'Skill Matrix'!P124)</f>
        <v/>
      </c>
      <c r="H1901">
        <f>IF(A1901="","",'Employees'!F13)</f>
        <v/>
      </c>
    </row>
    <row r="1902">
      <c r="A1902">
        <f>IF(AND('Skill Matrix'!A124&lt;&gt;"",'Skill Matrix'!Q5&lt;&gt;""),'Skill Matrix'!A124,"")</f>
        <v/>
      </c>
      <c r="B1902">
        <f>IF(A1902="","",'Employees'!C13)</f>
        <v/>
      </c>
      <c r="C1902">
        <f>IF(A1902="","",'Employees'!D13)</f>
        <v/>
      </c>
      <c r="D1902">
        <f>IF(A1902="","",'Skill Matrix'!C124)</f>
        <v/>
      </c>
      <c r="E1902">
        <f>IF(A1902="","",'Skill Matrix'!D124)</f>
        <v/>
      </c>
      <c r="F1902">
        <f>IF(AND('Skill Matrix'!A124&lt;&gt;"",'Skill Matrix'!Q5&lt;&gt;""),'Skill Matrix'!Q5,"")</f>
        <v/>
      </c>
      <c r="G1902">
        <f>IF(OR(A1902="",'Skill Matrix'!Q124=""),"",'Skill Matrix'!Q124)</f>
        <v/>
      </c>
      <c r="H1902">
        <f>IF(A1902="","",'Employees'!F13)</f>
        <v/>
      </c>
    </row>
    <row r="1903">
      <c r="A1903">
        <f>IF(AND('Skill Matrix'!A124&lt;&gt;"",'Skill Matrix'!R5&lt;&gt;""),'Skill Matrix'!A124,"")</f>
        <v/>
      </c>
      <c r="B1903">
        <f>IF(A1903="","",'Employees'!C13)</f>
        <v/>
      </c>
      <c r="C1903">
        <f>IF(A1903="","",'Employees'!D13)</f>
        <v/>
      </c>
      <c r="D1903">
        <f>IF(A1903="","",'Skill Matrix'!C124)</f>
        <v/>
      </c>
      <c r="E1903">
        <f>IF(A1903="","",'Skill Matrix'!D124)</f>
        <v/>
      </c>
      <c r="F1903">
        <f>IF(AND('Skill Matrix'!A124&lt;&gt;"",'Skill Matrix'!R5&lt;&gt;""),'Skill Matrix'!R5,"")</f>
        <v/>
      </c>
      <c r="G1903">
        <f>IF(OR(A1903="",'Skill Matrix'!R124=""),"",'Skill Matrix'!R124)</f>
        <v/>
      </c>
      <c r="H1903">
        <f>IF(A1903="","",'Employees'!F13)</f>
        <v/>
      </c>
    </row>
    <row r="1904">
      <c r="A1904">
        <f>IF(AND('Skill Matrix'!A124&lt;&gt;"",'Skill Matrix'!S5&lt;&gt;""),'Skill Matrix'!A124,"")</f>
        <v/>
      </c>
      <c r="B1904">
        <f>IF(A1904="","",'Employees'!C13)</f>
        <v/>
      </c>
      <c r="C1904">
        <f>IF(A1904="","",'Employees'!D13)</f>
        <v/>
      </c>
      <c r="D1904">
        <f>IF(A1904="","",'Skill Matrix'!C124)</f>
        <v/>
      </c>
      <c r="E1904">
        <f>IF(A1904="","",'Skill Matrix'!D124)</f>
        <v/>
      </c>
      <c r="F1904">
        <f>IF(AND('Skill Matrix'!A124&lt;&gt;"",'Skill Matrix'!S5&lt;&gt;""),'Skill Matrix'!S5,"")</f>
        <v/>
      </c>
      <c r="G1904">
        <f>IF(OR(A1904="",'Skill Matrix'!S124=""),"",'Skill Matrix'!S124)</f>
        <v/>
      </c>
      <c r="H1904">
        <f>IF(A1904="","",'Employees'!F13)</f>
        <v/>
      </c>
    </row>
    <row r="1905">
      <c r="A1905">
        <f>IF(AND('Skill Matrix'!A124&lt;&gt;"",'Skill Matrix'!T5&lt;&gt;""),'Skill Matrix'!A124,"")</f>
        <v/>
      </c>
      <c r="B1905">
        <f>IF(A1905="","",'Employees'!C13)</f>
        <v/>
      </c>
      <c r="C1905">
        <f>IF(A1905="","",'Employees'!D13)</f>
        <v/>
      </c>
      <c r="D1905">
        <f>IF(A1905="","",'Skill Matrix'!C124)</f>
        <v/>
      </c>
      <c r="E1905">
        <f>IF(A1905="","",'Skill Matrix'!D124)</f>
        <v/>
      </c>
      <c r="F1905">
        <f>IF(AND('Skill Matrix'!A124&lt;&gt;"",'Skill Matrix'!T5&lt;&gt;""),'Skill Matrix'!T5,"")</f>
        <v/>
      </c>
      <c r="G1905">
        <f>IF(OR(A1905="",'Skill Matrix'!T124=""),"",'Skill Matrix'!T124)</f>
        <v/>
      </c>
      <c r="H1905">
        <f>IF(A1905="","",'Employees'!F13)</f>
        <v/>
      </c>
    </row>
    <row r="1906">
      <c r="A1906">
        <f>IF(AND('Skill Matrix'!A125&lt;&gt;"",'Skill Matrix'!E5&lt;&gt;""),'Skill Matrix'!A125,"")</f>
        <v/>
      </c>
      <c r="B1906">
        <f>IF(A1906="","",'Employees'!C13)</f>
        <v/>
      </c>
      <c r="C1906">
        <f>IF(A1906="","",'Employees'!D13)</f>
        <v/>
      </c>
      <c r="D1906">
        <f>IF(A1906="","",'Skill Matrix'!C125)</f>
        <v/>
      </c>
      <c r="E1906">
        <f>IF(A1906="","",'Skill Matrix'!D125)</f>
        <v/>
      </c>
      <c r="F1906">
        <f>IF(AND('Skill Matrix'!A125&lt;&gt;"",'Skill Matrix'!E5&lt;&gt;""),'Skill Matrix'!E5,"")</f>
        <v/>
      </c>
      <c r="G1906">
        <f>IF(OR(A1906="",'Skill Matrix'!E125=""),"",'Skill Matrix'!E125)</f>
        <v/>
      </c>
      <c r="H1906">
        <f>IF(A1906="","",'Employees'!F13)</f>
        <v/>
      </c>
    </row>
    <row r="1907">
      <c r="A1907">
        <f>IF(AND('Skill Matrix'!A125&lt;&gt;"",'Skill Matrix'!F5&lt;&gt;""),'Skill Matrix'!A125,"")</f>
        <v/>
      </c>
      <c r="B1907">
        <f>IF(A1907="","",'Employees'!C13)</f>
        <v/>
      </c>
      <c r="C1907">
        <f>IF(A1907="","",'Employees'!D13)</f>
        <v/>
      </c>
      <c r="D1907">
        <f>IF(A1907="","",'Skill Matrix'!C125)</f>
        <v/>
      </c>
      <c r="E1907">
        <f>IF(A1907="","",'Skill Matrix'!D125)</f>
        <v/>
      </c>
      <c r="F1907">
        <f>IF(AND('Skill Matrix'!A125&lt;&gt;"",'Skill Matrix'!F5&lt;&gt;""),'Skill Matrix'!F5,"")</f>
        <v/>
      </c>
      <c r="G1907">
        <f>IF(OR(A1907="",'Skill Matrix'!F125=""),"",'Skill Matrix'!F125)</f>
        <v/>
      </c>
      <c r="H1907">
        <f>IF(A1907="","",'Employees'!F13)</f>
        <v/>
      </c>
    </row>
    <row r="1908">
      <c r="A1908">
        <f>IF(AND('Skill Matrix'!A125&lt;&gt;"",'Skill Matrix'!G5&lt;&gt;""),'Skill Matrix'!A125,"")</f>
        <v/>
      </c>
      <c r="B1908">
        <f>IF(A1908="","",'Employees'!C13)</f>
        <v/>
      </c>
      <c r="C1908">
        <f>IF(A1908="","",'Employees'!D13)</f>
        <v/>
      </c>
      <c r="D1908">
        <f>IF(A1908="","",'Skill Matrix'!C125)</f>
        <v/>
      </c>
      <c r="E1908">
        <f>IF(A1908="","",'Skill Matrix'!D125)</f>
        <v/>
      </c>
      <c r="F1908">
        <f>IF(AND('Skill Matrix'!A125&lt;&gt;"",'Skill Matrix'!G5&lt;&gt;""),'Skill Matrix'!G5,"")</f>
        <v/>
      </c>
      <c r="G1908">
        <f>IF(OR(A1908="",'Skill Matrix'!G125=""),"",'Skill Matrix'!G125)</f>
        <v/>
      </c>
      <c r="H1908">
        <f>IF(A1908="","",'Employees'!F13)</f>
        <v/>
      </c>
    </row>
    <row r="1909">
      <c r="A1909">
        <f>IF(AND('Skill Matrix'!A125&lt;&gt;"",'Skill Matrix'!H5&lt;&gt;""),'Skill Matrix'!A125,"")</f>
        <v/>
      </c>
      <c r="B1909">
        <f>IF(A1909="","",'Employees'!C13)</f>
        <v/>
      </c>
      <c r="C1909">
        <f>IF(A1909="","",'Employees'!D13)</f>
        <v/>
      </c>
      <c r="D1909">
        <f>IF(A1909="","",'Skill Matrix'!C125)</f>
        <v/>
      </c>
      <c r="E1909">
        <f>IF(A1909="","",'Skill Matrix'!D125)</f>
        <v/>
      </c>
      <c r="F1909">
        <f>IF(AND('Skill Matrix'!A125&lt;&gt;"",'Skill Matrix'!H5&lt;&gt;""),'Skill Matrix'!H5,"")</f>
        <v/>
      </c>
      <c r="G1909">
        <f>IF(OR(A1909="",'Skill Matrix'!H125=""),"",'Skill Matrix'!H125)</f>
        <v/>
      </c>
      <c r="H1909">
        <f>IF(A1909="","",'Employees'!F13)</f>
        <v/>
      </c>
    </row>
    <row r="1910">
      <c r="A1910">
        <f>IF(AND('Skill Matrix'!A125&lt;&gt;"",'Skill Matrix'!I5&lt;&gt;""),'Skill Matrix'!A125,"")</f>
        <v/>
      </c>
      <c r="B1910">
        <f>IF(A1910="","",'Employees'!C13)</f>
        <v/>
      </c>
      <c r="C1910">
        <f>IF(A1910="","",'Employees'!D13)</f>
        <v/>
      </c>
      <c r="D1910">
        <f>IF(A1910="","",'Skill Matrix'!C125)</f>
        <v/>
      </c>
      <c r="E1910">
        <f>IF(A1910="","",'Skill Matrix'!D125)</f>
        <v/>
      </c>
      <c r="F1910">
        <f>IF(AND('Skill Matrix'!A125&lt;&gt;"",'Skill Matrix'!I5&lt;&gt;""),'Skill Matrix'!I5,"")</f>
        <v/>
      </c>
      <c r="G1910">
        <f>IF(OR(A1910="",'Skill Matrix'!I125=""),"",'Skill Matrix'!I125)</f>
        <v/>
      </c>
      <c r="H1910">
        <f>IF(A1910="","",'Employees'!F13)</f>
        <v/>
      </c>
    </row>
    <row r="1911">
      <c r="A1911">
        <f>IF(AND('Skill Matrix'!A125&lt;&gt;"",'Skill Matrix'!J5&lt;&gt;""),'Skill Matrix'!A125,"")</f>
        <v/>
      </c>
      <c r="B1911">
        <f>IF(A1911="","",'Employees'!C13)</f>
        <v/>
      </c>
      <c r="C1911">
        <f>IF(A1911="","",'Employees'!D13)</f>
        <v/>
      </c>
      <c r="D1911">
        <f>IF(A1911="","",'Skill Matrix'!C125)</f>
        <v/>
      </c>
      <c r="E1911">
        <f>IF(A1911="","",'Skill Matrix'!D125)</f>
        <v/>
      </c>
      <c r="F1911">
        <f>IF(AND('Skill Matrix'!A125&lt;&gt;"",'Skill Matrix'!J5&lt;&gt;""),'Skill Matrix'!J5,"")</f>
        <v/>
      </c>
      <c r="G1911">
        <f>IF(OR(A1911="",'Skill Matrix'!J125=""),"",'Skill Matrix'!J125)</f>
        <v/>
      </c>
      <c r="H1911">
        <f>IF(A1911="","",'Employees'!F13)</f>
        <v/>
      </c>
    </row>
    <row r="1912">
      <c r="A1912">
        <f>IF(AND('Skill Matrix'!A125&lt;&gt;"",'Skill Matrix'!K5&lt;&gt;""),'Skill Matrix'!A125,"")</f>
        <v/>
      </c>
      <c r="B1912">
        <f>IF(A1912="","",'Employees'!C13)</f>
        <v/>
      </c>
      <c r="C1912">
        <f>IF(A1912="","",'Employees'!D13)</f>
        <v/>
      </c>
      <c r="D1912">
        <f>IF(A1912="","",'Skill Matrix'!C125)</f>
        <v/>
      </c>
      <c r="E1912">
        <f>IF(A1912="","",'Skill Matrix'!D125)</f>
        <v/>
      </c>
      <c r="F1912">
        <f>IF(AND('Skill Matrix'!A125&lt;&gt;"",'Skill Matrix'!K5&lt;&gt;""),'Skill Matrix'!K5,"")</f>
        <v/>
      </c>
      <c r="G1912">
        <f>IF(OR(A1912="",'Skill Matrix'!K125=""),"",'Skill Matrix'!K125)</f>
        <v/>
      </c>
      <c r="H1912">
        <f>IF(A1912="","",'Employees'!F13)</f>
        <v/>
      </c>
    </row>
    <row r="1913">
      <c r="A1913">
        <f>IF(AND('Skill Matrix'!A125&lt;&gt;"",'Skill Matrix'!L5&lt;&gt;""),'Skill Matrix'!A125,"")</f>
        <v/>
      </c>
      <c r="B1913">
        <f>IF(A1913="","",'Employees'!C13)</f>
        <v/>
      </c>
      <c r="C1913">
        <f>IF(A1913="","",'Employees'!D13)</f>
        <v/>
      </c>
      <c r="D1913">
        <f>IF(A1913="","",'Skill Matrix'!C125)</f>
        <v/>
      </c>
      <c r="E1913">
        <f>IF(A1913="","",'Skill Matrix'!D125)</f>
        <v/>
      </c>
      <c r="F1913">
        <f>IF(AND('Skill Matrix'!A125&lt;&gt;"",'Skill Matrix'!L5&lt;&gt;""),'Skill Matrix'!L5,"")</f>
        <v/>
      </c>
      <c r="G1913">
        <f>IF(OR(A1913="",'Skill Matrix'!L125=""),"",'Skill Matrix'!L125)</f>
        <v/>
      </c>
      <c r="H1913">
        <f>IF(A1913="","",'Employees'!F13)</f>
        <v/>
      </c>
    </row>
    <row r="1914">
      <c r="A1914">
        <f>IF(AND('Skill Matrix'!A125&lt;&gt;"",'Skill Matrix'!M5&lt;&gt;""),'Skill Matrix'!A125,"")</f>
        <v/>
      </c>
      <c r="B1914">
        <f>IF(A1914="","",'Employees'!C13)</f>
        <v/>
      </c>
      <c r="C1914">
        <f>IF(A1914="","",'Employees'!D13)</f>
        <v/>
      </c>
      <c r="D1914">
        <f>IF(A1914="","",'Skill Matrix'!C125)</f>
        <v/>
      </c>
      <c r="E1914">
        <f>IF(A1914="","",'Skill Matrix'!D125)</f>
        <v/>
      </c>
      <c r="F1914">
        <f>IF(AND('Skill Matrix'!A125&lt;&gt;"",'Skill Matrix'!M5&lt;&gt;""),'Skill Matrix'!M5,"")</f>
        <v/>
      </c>
      <c r="G1914">
        <f>IF(OR(A1914="",'Skill Matrix'!M125=""),"",'Skill Matrix'!M125)</f>
        <v/>
      </c>
      <c r="H1914">
        <f>IF(A1914="","",'Employees'!F13)</f>
        <v/>
      </c>
    </row>
    <row r="1915">
      <c r="A1915">
        <f>IF(AND('Skill Matrix'!A125&lt;&gt;"",'Skill Matrix'!N5&lt;&gt;""),'Skill Matrix'!A125,"")</f>
        <v/>
      </c>
      <c r="B1915">
        <f>IF(A1915="","",'Employees'!C13)</f>
        <v/>
      </c>
      <c r="C1915">
        <f>IF(A1915="","",'Employees'!D13)</f>
        <v/>
      </c>
      <c r="D1915">
        <f>IF(A1915="","",'Skill Matrix'!C125)</f>
        <v/>
      </c>
      <c r="E1915">
        <f>IF(A1915="","",'Skill Matrix'!D125)</f>
        <v/>
      </c>
      <c r="F1915">
        <f>IF(AND('Skill Matrix'!A125&lt;&gt;"",'Skill Matrix'!N5&lt;&gt;""),'Skill Matrix'!N5,"")</f>
        <v/>
      </c>
      <c r="G1915">
        <f>IF(OR(A1915="",'Skill Matrix'!N125=""),"",'Skill Matrix'!N125)</f>
        <v/>
      </c>
      <c r="H1915">
        <f>IF(A1915="","",'Employees'!F13)</f>
        <v/>
      </c>
    </row>
    <row r="1916">
      <c r="A1916">
        <f>IF(AND('Skill Matrix'!A125&lt;&gt;"",'Skill Matrix'!O5&lt;&gt;""),'Skill Matrix'!A125,"")</f>
        <v/>
      </c>
      <c r="B1916">
        <f>IF(A1916="","",'Employees'!C13)</f>
        <v/>
      </c>
      <c r="C1916">
        <f>IF(A1916="","",'Employees'!D13)</f>
        <v/>
      </c>
      <c r="D1916">
        <f>IF(A1916="","",'Skill Matrix'!C125)</f>
        <v/>
      </c>
      <c r="E1916">
        <f>IF(A1916="","",'Skill Matrix'!D125)</f>
        <v/>
      </c>
      <c r="F1916">
        <f>IF(AND('Skill Matrix'!A125&lt;&gt;"",'Skill Matrix'!O5&lt;&gt;""),'Skill Matrix'!O5,"")</f>
        <v/>
      </c>
      <c r="G1916">
        <f>IF(OR(A1916="",'Skill Matrix'!O125=""),"",'Skill Matrix'!O125)</f>
        <v/>
      </c>
      <c r="H1916">
        <f>IF(A1916="","",'Employees'!F13)</f>
        <v/>
      </c>
    </row>
    <row r="1917">
      <c r="A1917">
        <f>IF(AND('Skill Matrix'!A125&lt;&gt;"",'Skill Matrix'!P5&lt;&gt;""),'Skill Matrix'!A125,"")</f>
        <v/>
      </c>
      <c r="B1917">
        <f>IF(A1917="","",'Employees'!C13)</f>
        <v/>
      </c>
      <c r="C1917">
        <f>IF(A1917="","",'Employees'!D13)</f>
        <v/>
      </c>
      <c r="D1917">
        <f>IF(A1917="","",'Skill Matrix'!C125)</f>
        <v/>
      </c>
      <c r="E1917">
        <f>IF(A1917="","",'Skill Matrix'!D125)</f>
        <v/>
      </c>
      <c r="F1917">
        <f>IF(AND('Skill Matrix'!A125&lt;&gt;"",'Skill Matrix'!P5&lt;&gt;""),'Skill Matrix'!P5,"")</f>
        <v/>
      </c>
      <c r="G1917">
        <f>IF(OR(A1917="",'Skill Matrix'!P125=""),"",'Skill Matrix'!P125)</f>
        <v/>
      </c>
      <c r="H1917">
        <f>IF(A1917="","",'Employees'!F13)</f>
        <v/>
      </c>
    </row>
    <row r="1918">
      <c r="A1918">
        <f>IF(AND('Skill Matrix'!A125&lt;&gt;"",'Skill Matrix'!Q5&lt;&gt;""),'Skill Matrix'!A125,"")</f>
        <v/>
      </c>
      <c r="B1918">
        <f>IF(A1918="","",'Employees'!C13)</f>
        <v/>
      </c>
      <c r="C1918">
        <f>IF(A1918="","",'Employees'!D13)</f>
        <v/>
      </c>
      <c r="D1918">
        <f>IF(A1918="","",'Skill Matrix'!C125)</f>
        <v/>
      </c>
      <c r="E1918">
        <f>IF(A1918="","",'Skill Matrix'!D125)</f>
        <v/>
      </c>
      <c r="F1918">
        <f>IF(AND('Skill Matrix'!A125&lt;&gt;"",'Skill Matrix'!Q5&lt;&gt;""),'Skill Matrix'!Q5,"")</f>
        <v/>
      </c>
      <c r="G1918">
        <f>IF(OR(A1918="",'Skill Matrix'!Q125=""),"",'Skill Matrix'!Q125)</f>
        <v/>
      </c>
      <c r="H1918">
        <f>IF(A1918="","",'Employees'!F13)</f>
        <v/>
      </c>
    </row>
    <row r="1919">
      <c r="A1919">
        <f>IF(AND('Skill Matrix'!A125&lt;&gt;"",'Skill Matrix'!R5&lt;&gt;""),'Skill Matrix'!A125,"")</f>
        <v/>
      </c>
      <c r="B1919">
        <f>IF(A1919="","",'Employees'!C13)</f>
        <v/>
      </c>
      <c r="C1919">
        <f>IF(A1919="","",'Employees'!D13)</f>
        <v/>
      </c>
      <c r="D1919">
        <f>IF(A1919="","",'Skill Matrix'!C125)</f>
        <v/>
      </c>
      <c r="E1919">
        <f>IF(A1919="","",'Skill Matrix'!D125)</f>
        <v/>
      </c>
      <c r="F1919">
        <f>IF(AND('Skill Matrix'!A125&lt;&gt;"",'Skill Matrix'!R5&lt;&gt;""),'Skill Matrix'!R5,"")</f>
        <v/>
      </c>
      <c r="G1919">
        <f>IF(OR(A1919="",'Skill Matrix'!R125=""),"",'Skill Matrix'!R125)</f>
        <v/>
      </c>
      <c r="H1919">
        <f>IF(A1919="","",'Employees'!F13)</f>
        <v/>
      </c>
    </row>
    <row r="1920">
      <c r="A1920">
        <f>IF(AND('Skill Matrix'!A125&lt;&gt;"",'Skill Matrix'!S5&lt;&gt;""),'Skill Matrix'!A125,"")</f>
        <v/>
      </c>
      <c r="B1920">
        <f>IF(A1920="","",'Employees'!C13)</f>
        <v/>
      </c>
      <c r="C1920">
        <f>IF(A1920="","",'Employees'!D13)</f>
        <v/>
      </c>
      <c r="D1920">
        <f>IF(A1920="","",'Skill Matrix'!C125)</f>
        <v/>
      </c>
      <c r="E1920">
        <f>IF(A1920="","",'Skill Matrix'!D125)</f>
        <v/>
      </c>
      <c r="F1920">
        <f>IF(AND('Skill Matrix'!A125&lt;&gt;"",'Skill Matrix'!S5&lt;&gt;""),'Skill Matrix'!S5,"")</f>
        <v/>
      </c>
      <c r="G1920">
        <f>IF(OR(A1920="",'Skill Matrix'!S125=""),"",'Skill Matrix'!S125)</f>
        <v/>
      </c>
      <c r="H1920">
        <f>IF(A1920="","",'Employees'!F13)</f>
        <v/>
      </c>
    </row>
    <row r="1921">
      <c r="A1921">
        <f>IF(AND('Skill Matrix'!A125&lt;&gt;"",'Skill Matrix'!T5&lt;&gt;""),'Skill Matrix'!A125,"")</f>
        <v/>
      </c>
      <c r="B1921">
        <f>IF(A1921="","",'Employees'!C13)</f>
        <v/>
      </c>
      <c r="C1921">
        <f>IF(A1921="","",'Employees'!D13)</f>
        <v/>
      </c>
      <c r="D1921">
        <f>IF(A1921="","",'Skill Matrix'!C125)</f>
        <v/>
      </c>
      <c r="E1921">
        <f>IF(A1921="","",'Skill Matrix'!D125)</f>
        <v/>
      </c>
      <c r="F1921">
        <f>IF(AND('Skill Matrix'!A125&lt;&gt;"",'Skill Matrix'!T5&lt;&gt;""),'Skill Matrix'!T5,"")</f>
        <v/>
      </c>
      <c r="G1921">
        <f>IF(OR(A1921="",'Skill Matrix'!T125=""),"",'Skill Matrix'!T125)</f>
        <v/>
      </c>
      <c r="H1921">
        <f>IF(A1921="","",'Employees'!F13)</f>
        <v/>
      </c>
    </row>
    <row r="1922">
      <c r="A1922">
        <f>IF(AND('Skill Matrix'!A126&lt;&gt;"",'Skill Matrix'!E5&lt;&gt;""),'Skill Matrix'!A126,"")</f>
        <v/>
      </c>
      <c r="B1922">
        <f>IF(A1922="","",'Employees'!C13)</f>
        <v/>
      </c>
      <c r="C1922">
        <f>IF(A1922="","",'Employees'!D13)</f>
        <v/>
      </c>
      <c r="D1922">
        <f>IF(A1922="","",'Skill Matrix'!C126)</f>
        <v/>
      </c>
      <c r="E1922">
        <f>IF(A1922="","",'Skill Matrix'!D126)</f>
        <v/>
      </c>
      <c r="F1922">
        <f>IF(AND('Skill Matrix'!A126&lt;&gt;"",'Skill Matrix'!E5&lt;&gt;""),'Skill Matrix'!E5,"")</f>
        <v/>
      </c>
      <c r="G1922">
        <f>IF(OR(A1922="",'Skill Matrix'!E126=""),"",'Skill Matrix'!E126)</f>
        <v/>
      </c>
      <c r="H1922">
        <f>IF(A1922="","",'Employees'!F13)</f>
        <v/>
      </c>
    </row>
    <row r="1923">
      <c r="A1923">
        <f>IF(AND('Skill Matrix'!A126&lt;&gt;"",'Skill Matrix'!F5&lt;&gt;""),'Skill Matrix'!A126,"")</f>
        <v/>
      </c>
      <c r="B1923">
        <f>IF(A1923="","",'Employees'!C13)</f>
        <v/>
      </c>
      <c r="C1923">
        <f>IF(A1923="","",'Employees'!D13)</f>
        <v/>
      </c>
      <c r="D1923">
        <f>IF(A1923="","",'Skill Matrix'!C126)</f>
        <v/>
      </c>
      <c r="E1923">
        <f>IF(A1923="","",'Skill Matrix'!D126)</f>
        <v/>
      </c>
      <c r="F1923">
        <f>IF(AND('Skill Matrix'!A126&lt;&gt;"",'Skill Matrix'!F5&lt;&gt;""),'Skill Matrix'!F5,"")</f>
        <v/>
      </c>
      <c r="G1923">
        <f>IF(OR(A1923="",'Skill Matrix'!F126=""),"",'Skill Matrix'!F126)</f>
        <v/>
      </c>
      <c r="H1923">
        <f>IF(A1923="","",'Employees'!F13)</f>
        <v/>
      </c>
    </row>
    <row r="1924">
      <c r="A1924">
        <f>IF(AND('Skill Matrix'!A126&lt;&gt;"",'Skill Matrix'!G5&lt;&gt;""),'Skill Matrix'!A126,"")</f>
        <v/>
      </c>
      <c r="B1924">
        <f>IF(A1924="","",'Employees'!C13)</f>
        <v/>
      </c>
      <c r="C1924">
        <f>IF(A1924="","",'Employees'!D13)</f>
        <v/>
      </c>
      <c r="D1924">
        <f>IF(A1924="","",'Skill Matrix'!C126)</f>
        <v/>
      </c>
      <c r="E1924">
        <f>IF(A1924="","",'Skill Matrix'!D126)</f>
        <v/>
      </c>
      <c r="F1924">
        <f>IF(AND('Skill Matrix'!A126&lt;&gt;"",'Skill Matrix'!G5&lt;&gt;""),'Skill Matrix'!G5,"")</f>
        <v/>
      </c>
      <c r="G1924">
        <f>IF(OR(A1924="",'Skill Matrix'!G126=""),"",'Skill Matrix'!G126)</f>
        <v/>
      </c>
      <c r="H1924">
        <f>IF(A1924="","",'Employees'!F13)</f>
        <v/>
      </c>
    </row>
    <row r="1925">
      <c r="A1925">
        <f>IF(AND('Skill Matrix'!A126&lt;&gt;"",'Skill Matrix'!H5&lt;&gt;""),'Skill Matrix'!A126,"")</f>
        <v/>
      </c>
      <c r="B1925">
        <f>IF(A1925="","",'Employees'!C13)</f>
        <v/>
      </c>
      <c r="C1925">
        <f>IF(A1925="","",'Employees'!D13)</f>
        <v/>
      </c>
      <c r="D1925">
        <f>IF(A1925="","",'Skill Matrix'!C126)</f>
        <v/>
      </c>
      <c r="E1925">
        <f>IF(A1925="","",'Skill Matrix'!D126)</f>
        <v/>
      </c>
      <c r="F1925">
        <f>IF(AND('Skill Matrix'!A126&lt;&gt;"",'Skill Matrix'!H5&lt;&gt;""),'Skill Matrix'!H5,"")</f>
        <v/>
      </c>
      <c r="G1925">
        <f>IF(OR(A1925="",'Skill Matrix'!H126=""),"",'Skill Matrix'!H126)</f>
        <v/>
      </c>
      <c r="H1925">
        <f>IF(A1925="","",'Employees'!F13)</f>
        <v/>
      </c>
    </row>
    <row r="1926">
      <c r="A1926">
        <f>IF(AND('Skill Matrix'!A126&lt;&gt;"",'Skill Matrix'!I5&lt;&gt;""),'Skill Matrix'!A126,"")</f>
        <v/>
      </c>
      <c r="B1926">
        <f>IF(A1926="","",'Employees'!C13)</f>
        <v/>
      </c>
      <c r="C1926">
        <f>IF(A1926="","",'Employees'!D13)</f>
        <v/>
      </c>
      <c r="D1926">
        <f>IF(A1926="","",'Skill Matrix'!C126)</f>
        <v/>
      </c>
      <c r="E1926">
        <f>IF(A1926="","",'Skill Matrix'!D126)</f>
        <v/>
      </c>
      <c r="F1926">
        <f>IF(AND('Skill Matrix'!A126&lt;&gt;"",'Skill Matrix'!I5&lt;&gt;""),'Skill Matrix'!I5,"")</f>
        <v/>
      </c>
      <c r="G1926">
        <f>IF(OR(A1926="",'Skill Matrix'!I126=""),"",'Skill Matrix'!I126)</f>
        <v/>
      </c>
      <c r="H1926">
        <f>IF(A1926="","",'Employees'!F13)</f>
        <v/>
      </c>
    </row>
    <row r="1927">
      <c r="A1927">
        <f>IF(AND('Skill Matrix'!A126&lt;&gt;"",'Skill Matrix'!J5&lt;&gt;""),'Skill Matrix'!A126,"")</f>
        <v/>
      </c>
      <c r="B1927">
        <f>IF(A1927="","",'Employees'!C13)</f>
        <v/>
      </c>
      <c r="C1927">
        <f>IF(A1927="","",'Employees'!D13)</f>
        <v/>
      </c>
      <c r="D1927">
        <f>IF(A1927="","",'Skill Matrix'!C126)</f>
        <v/>
      </c>
      <c r="E1927">
        <f>IF(A1927="","",'Skill Matrix'!D126)</f>
        <v/>
      </c>
      <c r="F1927">
        <f>IF(AND('Skill Matrix'!A126&lt;&gt;"",'Skill Matrix'!J5&lt;&gt;""),'Skill Matrix'!J5,"")</f>
        <v/>
      </c>
      <c r="G1927">
        <f>IF(OR(A1927="",'Skill Matrix'!J126=""),"",'Skill Matrix'!J126)</f>
        <v/>
      </c>
      <c r="H1927">
        <f>IF(A1927="","",'Employees'!F13)</f>
        <v/>
      </c>
    </row>
    <row r="1928">
      <c r="A1928">
        <f>IF(AND('Skill Matrix'!A126&lt;&gt;"",'Skill Matrix'!K5&lt;&gt;""),'Skill Matrix'!A126,"")</f>
        <v/>
      </c>
      <c r="B1928">
        <f>IF(A1928="","",'Employees'!C13)</f>
        <v/>
      </c>
      <c r="C1928">
        <f>IF(A1928="","",'Employees'!D13)</f>
        <v/>
      </c>
      <c r="D1928">
        <f>IF(A1928="","",'Skill Matrix'!C126)</f>
        <v/>
      </c>
      <c r="E1928">
        <f>IF(A1928="","",'Skill Matrix'!D126)</f>
        <v/>
      </c>
      <c r="F1928">
        <f>IF(AND('Skill Matrix'!A126&lt;&gt;"",'Skill Matrix'!K5&lt;&gt;""),'Skill Matrix'!K5,"")</f>
        <v/>
      </c>
      <c r="G1928">
        <f>IF(OR(A1928="",'Skill Matrix'!K126=""),"",'Skill Matrix'!K126)</f>
        <v/>
      </c>
      <c r="H1928">
        <f>IF(A1928="","",'Employees'!F13)</f>
        <v/>
      </c>
    </row>
    <row r="1929">
      <c r="A1929">
        <f>IF(AND('Skill Matrix'!A126&lt;&gt;"",'Skill Matrix'!L5&lt;&gt;""),'Skill Matrix'!A126,"")</f>
        <v/>
      </c>
      <c r="B1929">
        <f>IF(A1929="","",'Employees'!C13)</f>
        <v/>
      </c>
      <c r="C1929">
        <f>IF(A1929="","",'Employees'!D13)</f>
        <v/>
      </c>
      <c r="D1929">
        <f>IF(A1929="","",'Skill Matrix'!C126)</f>
        <v/>
      </c>
      <c r="E1929">
        <f>IF(A1929="","",'Skill Matrix'!D126)</f>
        <v/>
      </c>
      <c r="F1929">
        <f>IF(AND('Skill Matrix'!A126&lt;&gt;"",'Skill Matrix'!L5&lt;&gt;""),'Skill Matrix'!L5,"")</f>
        <v/>
      </c>
      <c r="G1929">
        <f>IF(OR(A1929="",'Skill Matrix'!L126=""),"",'Skill Matrix'!L126)</f>
        <v/>
      </c>
      <c r="H1929">
        <f>IF(A1929="","",'Employees'!F13)</f>
        <v/>
      </c>
    </row>
    <row r="1930">
      <c r="A1930">
        <f>IF(AND('Skill Matrix'!A126&lt;&gt;"",'Skill Matrix'!M5&lt;&gt;""),'Skill Matrix'!A126,"")</f>
        <v/>
      </c>
      <c r="B1930">
        <f>IF(A1930="","",'Employees'!C13)</f>
        <v/>
      </c>
      <c r="C1930">
        <f>IF(A1930="","",'Employees'!D13)</f>
        <v/>
      </c>
      <c r="D1930">
        <f>IF(A1930="","",'Skill Matrix'!C126)</f>
        <v/>
      </c>
      <c r="E1930">
        <f>IF(A1930="","",'Skill Matrix'!D126)</f>
        <v/>
      </c>
      <c r="F1930">
        <f>IF(AND('Skill Matrix'!A126&lt;&gt;"",'Skill Matrix'!M5&lt;&gt;""),'Skill Matrix'!M5,"")</f>
        <v/>
      </c>
      <c r="G1930">
        <f>IF(OR(A1930="",'Skill Matrix'!M126=""),"",'Skill Matrix'!M126)</f>
        <v/>
      </c>
      <c r="H1930">
        <f>IF(A1930="","",'Employees'!F13)</f>
        <v/>
      </c>
    </row>
    <row r="1931">
      <c r="A1931">
        <f>IF(AND('Skill Matrix'!A126&lt;&gt;"",'Skill Matrix'!N5&lt;&gt;""),'Skill Matrix'!A126,"")</f>
        <v/>
      </c>
      <c r="B1931">
        <f>IF(A1931="","",'Employees'!C13)</f>
        <v/>
      </c>
      <c r="C1931">
        <f>IF(A1931="","",'Employees'!D13)</f>
        <v/>
      </c>
      <c r="D1931">
        <f>IF(A1931="","",'Skill Matrix'!C126)</f>
        <v/>
      </c>
      <c r="E1931">
        <f>IF(A1931="","",'Skill Matrix'!D126)</f>
        <v/>
      </c>
      <c r="F1931">
        <f>IF(AND('Skill Matrix'!A126&lt;&gt;"",'Skill Matrix'!N5&lt;&gt;""),'Skill Matrix'!N5,"")</f>
        <v/>
      </c>
      <c r="G1931">
        <f>IF(OR(A1931="",'Skill Matrix'!N126=""),"",'Skill Matrix'!N126)</f>
        <v/>
      </c>
      <c r="H1931">
        <f>IF(A1931="","",'Employees'!F13)</f>
        <v/>
      </c>
    </row>
    <row r="1932">
      <c r="A1932">
        <f>IF(AND('Skill Matrix'!A126&lt;&gt;"",'Skill Matrix'!O5&lt;&gt;""),'Skill Matrix'!A126,"")</f>
        <v/>
      </c>
      <c r="B1932">
        <f>IF(A1932="","",'Employees'!C13)</f>
        <v/>
      </c>
      <c r="C1932">
        <f>IF(A1932="","",'Employees'!D13)</f>
        <v/>
      </c>
      <c r="D1932">
        <f>IF(A1932="","",'Skill Matrix'!C126)</f>
        <v/>
      </c>
      <c r="E1932">
        <f>IF(A1932="","",'Skill Matrix'!D126)</f>
        <v/>
      </c>
      <c r="F1932">
        <f>IF(AND('Skill Matrix'!A126&lt;&gt;"",'Skill Matrix'!O5&lt;&gt;""),'Skill Matrix'!O5,"")</f>
        <v/>
      </c>
      <c r="G1932">
        <f>IF(OR(A1932="",'Skill Matrix'!O126=""),"",'Skill Matrix'!O126)</f>
        <v/>
      </c>
      <c r="H1932">
        <f>IF(A1932="","",'Employees'!F13)</f>
        <v/>
      </c>
    </row>
    <row r="1933">
      <c r="A1933">
        <f>IF(AND('Skill Matrix'!A126&lt;&gt;"",'Skill Matrix'!P5&lt;&gt;""),'Skill Matrix'!A126,"")</f>
        <v/>
      </c>
      <c r="B1933">
        <f>IF(A1933="","",'Employees'!C13)</f>
        <v/>
      </c>
      <c r="C1933">
        <f>IF(A1933="","",'Employees'!D13)</f>
        <v/>
      </c>
      <c r="D1933">
        <f>IF(A1933="","",'Skill Matrix'!C126)</f>
        <v/>
      </c>
      <c r="E1933">
        <f>IF(A1933="","",'Skill Matrix'!D126)</f>
        <v/>
      </c>
      <c r="F1933">
        <f>IF(AND('Skill Matrix'!A126&lt;&gt;"",'Skill Matrix'!P5&lt;&gt;""),'Skill Matrix'!P5,"")</f>
        <v/>
      </c>
      <c r="G1933">
        <f>IF(OR(A1933="",'Skill Matrix'!P126=""),"",'Skill Matrix'!P126)</f>
        <v/>
      </c>
      <c r="H1933">
        <f>IF(A1933="","",'Employees'!F13)</f>
        <v/>
      </c>
    </row>
    <row r="1934">
      <c r="A1934">
        <f>IF(AND('Skill Matrix'!A126&lt;&gt;"",'Skill Matrix'!Q5&lt;&gt;""),'Skill Matrix'!A126,"")</f>
        <v/>
      </c>
      <c r="B1934">
        <f>IF(A1934="","",'Employees'!C13)</f>
        <v/>
      </c>
      <c r="C1934">
        <f>IF(A1934="","",'Employees'!D13)</f>
        <v/>
      </c>
      <c r="D1934">
        <f>IF(A1934="","",'Skill Matrix'!C126)</f>
        <v/>
      </c>
      <c r="E1934">
        <f>IF(A1934="","",'Skill Matrix'!D126)</f>
        <v/>
      </c>
      <c r="F1934">
        <f>IF(AND('Skill Matrix'!A126&lt;&gt;"",'Skill Matrix'!Q5&lt;&gt;""),'Skill Matrix'!Q5,"")</f>
        <v/>
      </c>
      <c r="G1934">
        <f>IF(OR(A1934="",'Skill Matrix'!Q126=""),"",'Skill Matrix'!Q126)</f>
        <v/>
      </c>
      <c r="H1934">
        <f>IF(A1934="","",'Employees'!F13)</f>
        <v/>
      </c>
    </row>
    <row r="1935">
      <c r="A1935">
        <f>IF(AND('Skill Matrix'!A126&lt;&gt;"",'Skill Matrix'!R5&lt;&gt;""),'Skill Matrix'!A126,"")</f>
        <v/>
      </c>
      <c r="B1935">
        <f>IF(A1935="","",'Employees'!C13)</f>
        <v/>
      </c>
      <c r="C1935">
        <f>IF(A1935="","",'Employees'!D13)</f>
        <v/>
      </c>
      <c r="D1935">
        <f>IF(A1935="","",'Skill Matrix'!C126)</f>
        <v/>
      </c>
      <c r="E1935">
        <f>IF(A1935="","",'Skill Matrix'!D126)</f>
        <v/>
      </c>
      <c r="F1935">
        <f>IF(AND('Skill Matrix'!A126&lt;&gt;"",'Skill Matrix'!R5&lt;&gt;""),'Skill Matrix'!R5,"")</f>
        <v/>
      </c>
      <c r="G1935">
        <f>IF(OR(A1935="",'Skill Matrix'!R126=""),"",'Skill Matrix'!R126)</f>
        <v/>
      </c>
      <c r="H1935">
        <f>IF(A1935="","",'Employees'!F13)</f>
        <v/>
      </c>
    </row>
    <row r="1936">
      <c r="A1936">
        <f>IF(AND('Skill Matrix'!A126&lt;&gt;"",'Skill Matrix'!S5&lt;&gt;""),'Skill Matrix'!A126,"")</f>
        <v/>
      </c>
      <c r="B1936">
        <f>IF(A1936="","",'Employees'!C13)</f>
        <v/>
      </c>
      <c r="C1936">
        <f>IF(A1936="","",'Employees'!D13)</f>
        <v/>
      </c>
      <c r="D1936">
        <f>IF(A1936="","",'Skill Matrix'!C126)</f>
        <v/>
      </c>
      <c r="E1936">
        <f>IF(A1936="","",'Skill Matrix'!D126)</f>
        <v/>
      </c>
      <c r="F1936">
        <f>IF(AND('Skill Matrix'!A126&lt;&gt;"",'Skill Matrix'!S5&lt;&gt;""),'Skill Matrix'!S5,"")</f>
        <v/>
      </c>
      <c r="G1936">
        <f>IF(OR(A1936="",'Skill Matrix'!S126=""),"",'Skill Matrix'!S126)</f>
        <v/>
      </c>
      <c r="H1936">
        <f>IF(A1936="","",'Employees'!F13)</f>
        <v/>
      </c>
    </row>
    <row r="1937">
      <c r="A1937">
        <f>IF(AND('Skill Matrix'!A126&lt;&gt;"",'Skill Matrix'!T5&lt;&gt;""),'Skill Matrix'!A126,"")</f>
        <v/>
      </c>
      <c r="B1937">
        <f>IF(A1937="","",'Employees'!C13)</f>
        <v/>
      </c>
      <c r="C1937">
        <f>IF(A1937="","",'Employees'!D13)</f>
        <v/>
      </c>
      <c r="D1937">
        <f>IF(A1937="","",'Skill Matrix'!C126)</f>
        <v/>
      </c>
      <c r="E1937">
        <f>IF(A1937="","",'Skill Matrix'!D126)</f>
        <v/>
      </c>
      <c r="F1937">
        <f>IF(AND('Skill Matrix'!A126&lt;&gt;"",'Skill Matrix'!T5&lt;&gt;""),'Skill Matrix'!T5,"")</f>
        <v/>
      </c>
      <c r="G1937">
        <f>IF(OR(A1937="",'Skill Matrix'!T126=""),"",'Skill Matrix'!T126)</f>
        <v/>
      </c>
      <c r="H1937">
        <f>IF(A1937="","",'Employees'!F13)</f>
        <v/>
      </c>
    </row>
    <row r="1938">
      <c r="A1938">
        <f>IF(AND('Skill Matrix'!A127&lt;&gt;"",'Skill Matrix'!E5&lt;&gt;""),'Skill Matrix'!A127,"")</f>
        <v/>
      </c>
      <c r="B1938">
        <f>IF(A1938="","",'Employees'!C13)</f>
        <v/>
      </c>
      <c r="C1938">
        <f>IF(A1938="","",'Employees'!D13)</f>
        <v/>
      </c>
      <c r="D1938">
        <f>IF(A1938="","",'Skill Matrix'!C127)</f>
        <v/>
      </c>
      <c r="E1938">
        <f>IF(A1938="","",'Skill Matrix'!D127)</f>
        <v/>
      </c>
      <c r="F1938">
        <f>IF(AND('Skill Matrix'!A127&lt;&gt;"",'Skill Matrix'!E5&lt;&gt;""),'Skill Matrix'!E5,"")</f>
        <v/>
      </c>
      <c r="G1938">
        <f>IF(OR(A1938="",'Skill Matrix'!E127=""),"",'Skill Matrix'!E127)</f>
        <v/>
      </c>
      <c r="H1938">
        <f>IF(A1938="","",'Employees'!F13)</f>
        <v/>
      </c>
    </row>
    <row r="1939">
      <c r="A1939">
        <f>IF(AND('Skill Matrix'!A127&lt;&gt;"",'Skill Matrix'!F5&lt;&gt;""),'Skill Matrix'!A127,"")</f>
        <v/>
      </c>
      <c r="B1939">
        <f>IF(A1939="","",'Employees'!C13)</f>
        <v/>
      </c>
      <c r="C1939">
        <f>IF(A1939="","",'Employees'!D13)</f>
        <v/>
      </c>
      <c r="D1939">
        <f>IF(A1939="","",'Skill Matrix'!C127)</f>
        <v/>
      </c>
      <c r="E1939">
        <f>IF(A1939="","",'Skill Matrix'!D127)</f>
        <v/>
      </c>
      <c r="F1939">
        <f>IF(AND('Skill Matrix'!A127&lt;&gt;"",'Skill Matrix'!F5&lt;&gt;""),'Skill Matrix'!F5,"")</f>
        <v/>
      </c>
      <c r="G1939">
        <f>IF(OR(A1939="",'Skill Matrix'!F127=""),"",'Skill Matrix'!F127)</f>
        <v/>
      </c>
      <c r="H1939">
        <f>IF(A1939="","",'Employees'!F13)</f>
        <v/>
      </c>
    </row>
    <row r="1940">
      <c r="A1940">
        <f>IF(AND('Skill Matrix'!A127&lt;&gt;"",'Skill Matrix'!G5&lt;&gt;""),'Skill Matrix'!A127,"")</f>
        <v/>
      </c>
      <c r="B1940">
        <f>IF(A1940="","",'Employees'!C13)</f>
        <v/>
      </c>
      <c r="C1940">
        <f>IF(A1940="","",'Employees'!D13)</f>
        <v/>
      </c>
      <c r="D1940">
        <f>IF(A1940="","",'Skill Matrix'!C127)</f>
        <v/>
      </c>
      <c r="E1940">
        <f>IF(A1940="","",'Skill Matrix'!D127)</f>
        <v/>
      </c>
      <c r="F1940">
        <f>IF(AND('Skill Matrix'!A127&lt;&gt;"",'Skill Matrix'!G5&lt;&gt;""),'Skill Matrix'!G5,"")</f>
        <v/>
      </c>
      <c r="G1940">
        <f>IF(OR(A1940="",'Skill Matrix'!G127=""),"",'Skill Matrix'!G127)</f>
        <v/>
      </c>
      <c r="H1940">
        <f>IF(A1940="","",'Employees'!F13)</f>
        <v/>
      </c>
    </row>
    <row r="1941">
      <c r="A1941">
        <f>IF(AND('Skill Matrix'!A127&lt;&gt;"",'Skill Matrix'!H5&lt;&gt;""),'Skill Matrix'!A127,"")</f>
        <v/>
      </c>
      <c r="B1941">
        <f>IF(A1941="","",'Employees'!C13)</f>
        <v/>
      </c>
      <c r="C1941">
        <f>IF(A1941="","",'Employees'!D13)</f>
        <v/>
      </c>
      <c r="D1941">
        <f>IF(A1941="","",'Skill Matrix'!C127)</f>
        <v/>
      </c>
      <c r="E1941">
        <f>IF(A1941="","",'Skill Matrix'!D127)</f>
        <v/>
      </c>
      <c r="F1941">
        <f>IF(AND('Skill Matrix'!A127&lt;&gt;"",'Skill Matrix'!H5&lt;&gt;""),'Skill Matrix'!H5,"")</f>
        <v/>
      </c>
      <c r="G1941">
        <f>IF(OR(A1941="",'Skill Matrix'!H127=""),"",'Skill Matrix'!H127)</f>
        <v/>
      </c>
      <c r="H1941">
        <f>IF(A1941="","",'Employees'!F13)</f>
        <v/>
      </c>
    </row>
    <row r="1942">
      <c r="A1942">
        <f>IF(AND('Skill Matrix'!A127&lt;&gt;"",'Skill Matrix'!I5&lt;&gt;""),'Skill Matrix'!A127,"")</f>
        <v/>
      </c>
      <c r="B1942">
        <f>IF(A1942="","",'Employees'!C13)</f>
        <v/>
      </c>
      <c r="C1942">
        <f>IF(A1942="","",'Employees'!D13)</f>
        <v/>
      </c>
      <c r="D1942">
        <f>IF(A1942="","",'Skill Matrix'!C127)</f>
        <v/>
      </c>
      <c r="E1942">
        <f>IF(A1942="","",'Skill Matrix'!D127)</f>
        <v/>
      </c>
      <c r="F1942">
        <f>IF(AND('Skill Matrix'!A127&lt;&gt;"",'Skill Matrix'!I5&lt;&gt;""),'Skill Matrix'!I5,"")</f>
        <v/>
      </c>
      <c r="G1942">
        <f>IF(OR(A1942="",'Skill Matrix'!I127=""),"",'Skill Matrix'!I127)</f>
        <v/>
      </c>
      <c r="H1942">
        <f>IF(A1942="","",'Employees'!F13)</f>
        <v/>
      </c>
    </row>
    <row r="1943">
      <c r="A1943">
        <f>IF(AND('Skill Matrix'!A127&lt;&gt;"",'Skill Matrix'!J5&lt;&gt;""),'Skill Matrix'!A127,"")</f>
        <v/>
      </c>
      <c r="B1943">
        <f>IF(A1943="","",'Employees'!C13)</f>
        <v/>
      </c>
      <c r="C1943">
        <f>IF(A1943="","",'Employees'!D13)</f>
        <v/>
      </c>
      <c r="D1943">
        <f>IF(A1943="","",'Skill Matrix'!C127)</f>
        <v/>
      </c>
      <c r="E1943">
        <f>IF(A1943="","",'Skill Matrix'!D127)</f>
        <v/>
      </c>
      <c r="F1943">
        <f>IF(AND('Skill Matrix'!A127&lt;&gt;"",'Skill Matrix'!J5&lt;&gt;""),'Skill Matrix'!J5,"")</f>
        <v/>
      </c>
      <c r="G1943">
        <f>IF(OR(A1943="",'Skill Matrix'!J127=""),"",'Skill Matrix'!J127)</f>
        <v/>
      </c>
      <c r="H1943">
        <f>IF(A1943="","",'Employees'!F13)</f>
        <v/>
      </c>
    </row>
    <row r="1944">
      <c r="A1944">
        <f>IF(AND('Skill Matrix'!A127&lt;&gt;"",'Skill Matrix'!K5&lt;&gt;""),'Skill Matrix'!A127,"")</f>
        <v/>
      </c>
      <c r="B1944">
        <f>IF(A1944="","",'Employees'!C13)</f>
        <v/>
      </c>
      <c r="C1944">
        <f>IF(A1944="","",'Employees'!D13)</f>
        <v/>
      </c>
      <c r="D1944">
        <f>IF(A1944="","",'Skill Matrix'!C127)</f>
        <v/>
      </c>
      <c r="E1944">
        <f>IF(A1944="","",'Skill Matrix'!D127)</f>
        <v/>
      </c>
      <c r="F1944">
        <f>IF(AND('Skill Matrix'!A127&lt;&gt;"",'Skill Matrix'!K5&lt;&gt;""),'Skill Matrix'!K5,"")</f>
        <v/>
      </c>
      <c r="G1944">
        <f>IF(OR(A1944="",'Skill Matrix'!K127=""),"",'Skill Matrix'!K127)</f>
        <v/>
      </c>
      <c r="H1944">
        <f>IF(A1944="","",'Employees'!F13)</f>
        <v/>
      </c>
    </row>
    <row r="1945">
      <c r="A1945">
        <f>IF(AND('Skill Matrix'!A127&lt;&gt;"",'Skill Matrix'!L5&lt;&gt;""),'Skill Matrix'!A127,"")</f>
        <v/>
      </c>
      <c r="B1945">
        <f>IF(A1945="","",'Employees'!C13)</f>
        <v/>
      </c>
      <c r="C1945">
        <f>IF(A1945="","",'Employees'!D13)</f>
        <v/>
      </c>
      <c r="D1945">
        <f>IF(A1945="","",'Skill Matrix'!C127)</f>
        <v/>
      </c>
      <c r="E1945">
        <f>IF(A1945="","",'Skill Matrix'!D127)</f>
        <v/>
      </c>
      <c r="F1945">
        <f>IF(AND('Skill Matrix'!A127&lt;&gt;"",'Skill Matrix'!L5&lt;&gt;""),'Skill Matrix'!L5,"")</f>
        <v/>
      </c>
      <c r="G1945">
        <f>IF(OR(A1945="",'Skill Matrix'!L127=""),"",'Skill Matrix'!L127)</f>
        <v/>
      </c>
      <c r="H1945">
        <f>IF(A1945="","",'Employees'!F13)</f>
        <v/>
      </c>
    </row>
    <row r="1946">
      <c r="A1946">
        <f>IF(AND('Skill Matrix'!A127&lt;&gt;"",'Skill Matrix'!M5&lt;&gt;""),'Skill Matrix'!A127,"")</f>
        <v/>
      </c>
      <c r="B1946">
        <f>IF(A1946="","",'Employees'!C13)</f>
        <v/>
      </c>
      <c r="C1946">
        <f>IF(A1946="","",'Employees'!D13)</f>
        <v/>
      </c>
      <c r="D1946">
        <f>IF(A1946="","",'Skill Matrix'!C127)</f>
        <v/>
      </c>
      <c r="E1946">
        <f>IF(A1946="","",'Skill Matrix'!D127)</f>
        <v/>
      </c>
      <c r="F1946">
        <f>IF(AND('Skill Matrix'!A127&lt;&gt;"",'Skill Matrix'!M5&lt;&gt;""),'Skill Matrix'!M5,"")</f>
        <v/>
      </c>
      <c r="G1946">
        <f>IF(OR(A1946="",'Skill Matrix'!M127=""),"",'Skill Matrix'!M127)</f>
        <v/>
      </c>
      <c r="H1946">
        <f>IF(A1946="","",'Employees'!F13)</f>
        <v/>
      </c>
    </row>
    <row r="1947">
      <c r="A1947">
        <f>IF(AND('Skill Matrix'!A127&lt;&gt;"",'Skill Matrix'!N5&lt;&gt;""),'Skill Matrix'!A127,"")</f>
        <v/>
      </c>
      <c r="B1947">
        <f>IF(A1947="","",'Employees'!C13)</f>
        <v/>
      </c>
      <c r="C1947">
        <f>IF(A1947="","",'Employees'!D13)</f>
        <v/>
      </c>
      <c r="D1947">
        <f>IF(A1947="","",'Skill Matrix'!C127)</f>
        <v/>
      </c>
      <c r="E1947">
        <f>IF(A1947="","",'Skill Matrix'!D127)</f>
        <v/>
      </c>
      <c r="F1947">
        <f>IF(AND('Skill Matrix'!A127&lt;&gt;"",'Skill Matrix'!N5&lt;&gt;""),'Skill Matrix'!N5,"")</f>
        <v/>
      </c>
      <c r="G1947">
        <f>IF(OR(A1947="",'Skill Matrix'!N127=""),"",'Skill Matrix'!N127)</f>
        <v/>
      </c>
      <c r="H1947">
        <f>IF(A1947="","",'Employees'!F13)</f>
        <v/>
      </c>
    </row>
    <row r="1948">
      <c r="A1948">
        <f>IF(AND('Skill Matrix'!A127&lt;&gt;"",'Skill Matrix'!O5&lt;&gt;""),'Skill Matrix'!A127,"")</f>
        <v/>
      </c>
      <c r="B1948">
        <f>IF(A1948="","",'Employees'!C13)</f>
        <v/>
      </c>
      <c r="C1948">
        <f>IF(A1948="","",'Employees'!D13)</f>
        <v/>
      </c>
      <c r="D1948">
        <f>IF(A1948="","",'Skill Matrix'!C127)</f>
        <v/>
      </c>
      <c r="E1948">
        <f>IF(A1948="","",'Skill Matrix'!D127)</f>
        <v/>
      </c>
      <c r="F1948">
        <f>IF(AND('Skill Matrix'!A127&lt;&gt;"",'Skill Matrix'!O5&lt;&gt;""),'Skill Matrix'!O5,"")</f>
        <v/>
      </c>
      <c r="G1948">
        <f>IF(OR(A1948="",'Skill Matrix'!O127=""),"",'Skill Matrix'!O127)</f>
        <v/>
      </c>
      <c r="H1948">
        <f>IF(A1948="","",'Employees'!F13)</f>
        <v/>
      </c>
    </row>
    <row r="1949">
      <c r="A1949">
        <f>IF(AND('Skill Matrix'!A127&lt;&gt;"",'Skill Matrix'!P5&lt;&gt;""),'Skill Matrix'!A127,"")</f>
        <v/>
      </c>
      <c r="B1949">
        <f>IF(A1949="","",'Employees'!C13)</f>
        <v/>
      </c>
      <c r="C1949">
        <f>IF(A1949="","",'Employees'!D13)</f>
        <v/>
      </c>
      <c r="D1949">
        <f>IF(A1949="","",'Skill Matrix'!C127)</f>
        <v/>
      </c>
      <c r="E1949">
        <f>IF(A1949="","",'Skill Matrix'!D127)</f>
        <v/>
      </c>
      <c r="F1949">
        <f>IF(AND('Skill Matrix'!A127&lt;&gt;"",'Skill Matrix'!P5&lt;&gt;""),'Skill Matrix'!P5,"")</f>
        <v/>
      </c>
      <c r="G1949">
        <f>IF(OR(A1949="",'Skill Matrix'!P127=""),"",'Skill Matrix'!P127)</f>
        <v/>
      </c>
      <c r="H1949">
        <f>IF(A1949="","",'Employees'!F13)</f>
        <v/>
      </c>
    </row>
    <row r="1950">
      <c r="A1950">
        <f>IF(AND('Skill Matrix'!A127&lt;&gt;"",'Skill Matrix'!Q5&lt;&gt;""),'Skill Matrix'!A127,"")</f>
        <v/>
      </c>
      <c r="B1950">
        <f>IF(A1950="","",'Employees'!C13)</f>
        <v/>
      </c>
      <c r="C1950">
        <f>IF(A1950="","",'Employees'!D13)</f>
        <v/>
      </c>
      <c r="D1950">
        <f>IF(A1950="","",'Skill Matrix'!C127)</f>
        <v/>
      </c>
      <c r="E1950">
        <f>IF(A1950="","",'Skill Matrix'!D127)</f>
        <v/>
      </c>
      <c r="F1950">
        <f>IF(AND('Skill Matrix'!A127&lt;&gt;"",'Skill Matrix'!Q5&lt;&gt;""),'Skill Matrix'!Q5,"")</f>
        <v/>
      </c>
      <c r="G1950">
        <f>IF(OR(A1950="",'Skill Matrix'!Q127=""),"",'Skill Matrix'!Q127)</f>
        <v/>
      </c>
      <c r="H1950">
        <f>IF(A1950="","",'Employees'!F13)</f>
        <v/>
      </c>
    </row>
    <row r="1951">
      <c r="A1951">
        <f>IF(AND('Skill Matrix'!A127&lt;&gt;"",'Skill Matrix'!R5&lt;&gt;""),'Skill Matrix'!A127,"")</f>
        <v/>
      </c>
      <c r="B1951">
        <f>IF(A1951="","",'Employees'!C13)</f>
        <v/>
      </c>
      <c r="C1951">
        <f>IF(A1951="","",'Employees'!D13)</f>
        <v/>
      </c>
      <c r="D1951">
        <f>IF(A1951="","",'Skill Matrix'!C127)</f>
        <v/>
      </c>
      <c r="E1951">
        <f>IF(A1951="","",'Skill Matrix'!D127)</f>
        <v/>
      </c>
      <c r="F1951">
        <f>IF(AND('Skill Matrix'!A127&lt;&gt;"",'Skill Matrix'!R5&lt;&gt;""),'Skill Matrix'!R5,"")</f>
        <v/>
      </c>
      <c r="G1951">
        <f>IF(OR(A1951="",'Skill Matrix'!R127=""),"",'Skill Matrix'!R127)</f>
        <v/>
      </c>
      <c r="H1951">
        <f>IF(A1951="","",'Employees'!F13)</f>
        <v/>
      </c>
    </row>
    <row r="1952">
      <c r="A1952">
        <f>IF(AND('Skill Matrix'!A127&lt;&gt;"",'Skill Matrix'!S5&lt;&gt;""),'Skill Matrix'!A127,"")</f>
        <v/>
      </c>
      <c r="B1952">
        <f>IF(A1952="","",'Employees'!C13)</f>
        <v/>
      </c>
      <c r="C1952">
        <f>IF(A1952="","",'Employees'!D13)</f>
        <v/>
      </c>
      <c r="D1952">
        <f>IF(A1952="","",'Skill Matrix'!C127)</f>
        <v/>
      </c>
      <c r="E1952">
        <f>IF(A1952="","",'Skill Matrix'!D127)</f>
        <v/>
      </c>
      <c r="F1952">
        <f>IF(AND('Skill Matrix'!A127&lt;&gt;"",'Skill Matrix'!S5&lt;&gt;""),'Skill Matrix'!S5,"")</f>
        <v/>
      </c>
      <c r="G1952">
        <f>IF(OR(A1952="",'Skill Matrix'!S127=""),"",'Skill Matrix'!S127)</f>
        <v/>
      </c>
      <c r="H1952">
        <f>IF(A1952="","",'Employees'!F13)</f>
        <v/>
      </c>
    </row>
    <row r="1953">
      <c r="A1953">
        <f>IF(AND('Skill Matrix'!A127&lt;&gt;"",'Skill Matrix'!T5&lt;&gt;""),'Skill Matrix'!A127,"")</f>
        <v/>
      </c>
      <c r="B1953">
        <f>IF(A1953="","",'Employees'!C13)</f>
        <v/>
      </c>
      <c r="C1953">
        <f>IF(A1953="","",'Employees'!D13)</f>
        <v/>
      </c>
      <c r="D1953">
        <f>IF(A1953="","",'Skill Matrix'!C127)</f>
        <v/>
      </c>
      <c r="E1953">
        <f>IF(A1953="","",'Skill Matrix'!D127)</f>
        <v/>
      </c>
      <c r="F1953">
        <f>IF(AND('Skill Matrix'!A127&lt;&gt;"",'Skill Matrix'!T5&lt;&gt;""),'Skill Matrix'!T5,"")</f>
        <v/>
      </c>
      <c r="G1953">
        <f>IF(OR(A1953="",'Skill Matrix'!T127=""),"",'Skill Matrix'!T127)</f>
        <v/>
      </c>
      <c r="H1953">
        <f>IF(A1953="","",'Employees'!F13)</f>
        <v/>
      </c>
    </row>
    <row r="1954">
      <c r="A1954">
        <f>IF(AND('Skill Matrix'!A128&lt;&gt;"",'Skill Matrix'!E5&lt;&gt;""),'Skill Matrix'!A128,"")</f>
        <v/>
      </c>
      <c r="B1954">
        <f>IF(A1954="","",'Employees'!C13)</f>
        <v/>
      </c>
      <c r="C1954">
        <f>IF(A1954="","",'Employees'!D13)</f>
        <v/>
      </c>
      <c r="D1954">
        <f>IF(A1954="","",'Skill Matrix'!C128)</f>
        <v/>
      </c>
      <c r="E1954">
        <f>IF(A1954="","",'Skill Matrix'!D128)</f>
        <v/>
      </c>
      <c r="F1954">
        <f>IF(AND('Skill Matrix'!A128&lt;&gt;"",'Skill Matrix'!E5&lt;&gt;""),'Skill Matrix'!E5,"")</f>
        <v/>
      </c>
      <c r="G1954">
        <f>IF(OR(A1954="",'Skill Matrix'!E128=""),"",'Skill Matrix'!E128)</f>
        <v/>
      </c>
      <c r="H1954">
        <f>IF(A1954="","",'Employees'!F13)</f>
        <v/>
      </c>
    </row>
    <row r="1955">
      <c r="A1955">
        <f>IF(AND('Skill Matrix'!A128&lt;&gt;"",'Skill Matrix'!F5&lt;&gt;""),'Skill Matrix'!A128,"")</f>
        <v/>
      </c>
      <c r="B1955">
        <f>IF(A1955="","",'Employees'!C13)</f>
        <v/>
      </c>
      <c r="C1955">
        <f>IF(A1955="","",'Employees'!D13)</f>
        <v/>
      </c>
      <c r="D1955">
        <f>IF(A1955="","",'Skill Matrix'!C128)</f>
        <v/>
      </c>
      <c r="E1955">
        <f>IF(A1955="","",'Skill Matrix'!D128)</f>
        <v/>
      </c>
      <c r="F1955">
        <f>IF(AND('Skill Matrix'!A128&lt;&gt;"",'Skill Matrix'!F5&lt;&gt;""),'Skill Matrix'!F5,"")</f>
        <v/>
      </c>
      <c r="G1955">
        <f>IF(OR(A1955="",'Skill Matrix'!F128=""),"",'Skill Matrix'!F128)</f>
        <v/>
      </c>
      <c r="H1955">
        <f>IF(A1955="","",'Employees'!F13)</f>
        <v/>
      </c>
    </row>
    <row r="1956">
      <c r="A1956">
        <f>IF(AND('Skill Matrix'!A128&lt;&gt;"",'Skill Matrix'!G5&lt;&gt;""),'Skill Matrix'!A128,"")</f>
        <v/>
      </c>
      <c r="B1956">
        <f>IF(A1956="","",'Employees'!C13)</f>
        <v/>
      </c>
      <c r="C1956">
        <f>IF(A1956="","",'Employees'!D13)</f>
        <v/>
      </c>
      <c r="D1956">
        <f>IF(A1956="","",'Skill Matrix'!C128)</f>
        <v/>
      </c>
      <c r="E1956">
        <f>IF(A1956="","",'Skill Matrix'!D128)</f>
        <v/>
      </c>
      <c r="F1956">
        <f>IF(AND('Skill Matrix'!A128&lt;&gt;"",'Skill Matrix'!G5&lt;&gt;""),'Skill Matrix'!G5,"")</f>
        <v/>
      </c>
      <c r="G1956">
        <f>IF(OR(A1956="",'Skill Matrix'!G128=""),"",'Skill Matrix'!G128)</f>
        <v/>
      </c>
      <c r="H1956">
        <f>IF(A1956="","",'Employees'!F13)</f>
        <v/>
      </c>
    </row>
    <row r="1957">
      <c r="A1957">
        <f>IF(AND('Skill Matrix'!A128&lt;&gt;"",'Skill Matrix'!H5&lt;&gt;""),'Skill Matrix'!A128,"")</f>
        <v/>
      </c>
      <c r="B1957">
        <f>IF(A1957="","",'Employees'!C13)</f>
        <v/>
      </c>
      <c r="C1957">
        <f>IF(A1957="","",'Employees'!D13)</f>
        <v/>
      </c>
      <c r="D1957">
        <f>IF(A1957="","",'Skill Matrix'!C128)</f>
        <v/>
      </c>
      <c r="E1957">
        <f>IF(A1957="","",'Skill Matrix'!D128)</f>
        <v/>
      </c>
      <c r="F1957">
        <f>IF(AND('Skill Matrix'!A128&lt;&gt;"",'Skill Matrix'!H5&lt;&gt;""),'Skill Matrix'!H5,"")</f>
        <v/>
      </c>
      <c r="G1957">
        <f>IF(OR(A1957="",'Skill Matrix'!H128=""),"",'Skill Matrix'!H128)</f>
        <v/>
      </c>
      <c r="H1957">
        <f>IF(A1957="","",'Employees'!F13)</f>
        <v/>
      </c>
    </row>
    <row r="1958">
      <c r="A1958">
        <f>IF(AND('Skill Matrix'!A128&lt;&gt;"",'Skill Matrix'!I5&lt;&gt;""),'Skill Matrix'!A128,"")</f>
        <v/>
      </c>
      <c r="B1958">
        <f>IF(A1958="","",'Employees'!C13)</f>
        <v/>
      </c>
      <c r="C1958">
        <f>IF(A1958="","",'Employees'!D13)</f>
        <v/>
      </c>
      <c r="D1958">
        <f>IF(A1958="","",'Skill Matrix'!C128)</f>
        <v/>
      </c>
      <c r="E1958">
        <f>IF(A1958="","",'Skill Matrix'!D128)</f>
        <v/>
      </c>
      <c r="F1958">
        <f>IF(AND('Skill Matrix'!A128&lt;&gt;"",'Skill Matrix'!I5&lt;&gt;""),'Skill Matrix'!I5,"")</f>
        <v/>
      </c>
      <c r="G1958">
        <f>IF(OR(A1958="",'Skill Matrix'!I128=""),"",'Skill Matrix'!I128)</f>
        <v/>
      </c>
      <c r="H1958">
        <f>IF(A1958="","",'Employees'!F13)</f>
        <v/>
      </c>
    </row>
    <row r="1959">
      <c r="A1959">
        <f>IF(AND('Skill Matrix'!A128&lt;&gt;"",'Skill Matrix'!J5&lt;&gt;""),'Skill Matrix'!A128,"")</f>
        <v/>
      </c>
      <c r="B1959">
        <f>IF(A1959="","",'Employees'!C13)</f>
        <v/>
      </c>
      <c r="C1959">
        <f>IF(A1959="","",'Employees'!D13)</f>
        <v/>
      </c>
      <c r="D1959">
        <f>IF(A1959="","",'Skill Matrix'!C128)</f>
        <v/>
      </c>
      <c r="E1959">
        <f>IF(A1959="","",'Skill Matrix'!D128)</f>
        <v/>
      </c>
      <c r="F1959">
        <f>IF(AND('Skill Matrix'!A128&lt;&gt;"",'Skill Matrix'!J5&lt;&gt;""),'Skill Matrix'!J5,"")</f>
        <v/>
      </c>
      <c r="G1959">
        <f>IF(OR(A1959="",'Skill Matrix'!J128=""),"",'Skill Matrix'!J128)</f>
        <v/>
      </c>
      <c r="H1959">
        <f>IF(A1959="","",'Employees'!F13)</f>
        <v/>
      </c>
    </row>
    <row r="1960">
      <c r="A1960">
        <f>IF(AND('Skill Matrix'!A128&lt;&gt;"",'Skill Matrix'!K5&lt;&gt;""),'Skill Matrix'!A128,"")</f>
        <v/>
      </c>
      <c r="B1960">
        <f>IF(A1960="","",'Employees'!C13)</f>
        <v/>
      </c>
      <c r="C1960">
        <f>IF(A1960="","",'Employees'!D13)</f>
        <v/>
      </c>
      <c r="D1960">
        <f>IF(A1960="","",'Skill Matrix'!C128)</f>
        <v/>
      </c>
      <c r="E1960">
        <f>IF(A1960="","",'Skill Matrix'!D128)</f>
        <v/>
      </c>
      <c r="F1960">
        <f>IF(AND('Skill Matrix'!A128&lt;&gt;"",'Skill Matrix'!K5&lt;&gt;""),'Skill Matrix'!K5,"")</f>
        <v/>
      </c>
      <c r="G1960">
        <f>IF(OR(A1960="",'Skill Matrix'!K128=""),"",'Skill Matrix'!K128)</f>
        <v/>
      </c>
      <c r="H1960">
        <f>IF(A1960="","",'Employees'!F13)</f>
        <v/>
      </c>
    </row>
    <row r="1961">
      <c r="A1961">
        <f>IF(AND('Skill Matrix'!A128&lt;&gt;"",'Skill Matrix'!L5&lt;&gt;""),'Skill Matrix'!A128,"")</f>
        <v/>
      </c>
      <c r="B1961">
        <f>IF(A1961="","",'Employees'!C13)</f>
        <v/>
      </c>
      <c r="C1961">
        <f>IF(A1961="","",'Employees'!D13)</f>
        <v/>
      </c>
      <c r="D1961">
        <f>IF(A1961="","",'Skill Matrix'!C128)</f>
        <v/>
      </c>
      <c r="E1961">
        <f>IF(A1961="","",'Skill Matrix'!D128)</f>
        <v/>
      </c>
      <c r="F1961">
        <f>IF(AND('Skill Matrix'!A128&lt;&gt;"",'Skill Matrix'!L5&lt;&gt;""),'Skill Matrix'!L5,"")</f>
        <v/>
      </c>
      <c r="G1961">
        <f>IF(OR(A1961="",'Skill Matrix'!L128=""),"",'Skill Matrix'!L128)</f>
        <v/>
      </c>
      <c r="H1961">
        <f>IF(A1961="","",'Employees'!F13)</f>
        <v/>
      </c>
    </row>
    <row r="1962">
      <c r="A1962">
        <f>IF(AND('Skill Matrix'!A128&lt;&gt;"",'Skill Matrix'!M5&lt;&gt;""),'Skill Matrix'!A128,"")</f>
        <v/>
      </c>
      <c r="B1962">
        <f>IF(A1962="","",'Employees'!C13)</f>
        <v/>
      </c>
      <c r="C1962">
        <f>IF(A1962="","",'Employees'!D13)</f>
        <v/>
      </c>
      <c r="D1962">
        <f>IF(A1962="","",'Skill Matrix'!C128)</f>
        <v/>
      </c>
      <c r="E1962">
        <f>IF(A1962="","",'Skill Matrix'!D128)</f>
        <v/>
      </c>
      <c r="F1962">
        <f>IF(AND('Skill Matrix'!A128&lt;&gt;"",'Skill Matrix'!M5&lt;&gt;""),'Skill Matrix'!M5,"")</f>
        <v/>
      </c>
      <c r="G1962">
        <f>IF(OR(A1962="",'Skill Matrix'!M128=""),"",'Skill Matrix'!M128)</f>
        <v/>
      </c>
      <c r="H1962">
        <f>IF(A1962="","",'Employees'!F13)</f>
        <v/>
      </c>
    </row>
    <row r="1963">
      <c r="A1963">
        <f>IF(AND('Skill Matrix'!A128&lt;&gt;"",'Skill Matrix'!N5&lt;&gt;""),'Skill Matrix'!A128,"")</f>
        <v/>
      </c>
      <c r="B1963">
        <f>IF(A1963="","",'Employees'!C13)</f>
        <v/>
      </c>
      <c r="C1963">
        <f>IF(A1963="","",'Employees'!D13)</f>
        <v/>
      </c>
      <c r="D1963">
        <f>IF(A1963="","",'Skill Matrix'!C128)</f>
        <v/>
      </c>
      <c r="E1963">
        <f>IF(A1963="","",'Skill Matrix'!D128)</f>
        <v/>
      </c>
      <c r="F1963">
        <f>IF(AND('Skill Matrix'!A128&lt;&gt;"",'Skill Matrix'!N5&lt;&gt;""),'Skill Matrix'!N5,"")</f>
        <v/>
      </c>
      <c r="G1963">
        <f>IF(OR(A1963="",'Skill Matrix'!N128=""),"",'Skill Matrix'!N128)</f>
        <v/>
      </c>
      <c r="H1963">
        <f>IF(A1963="","",'Employees'!F13)</f>
        <v/>
      </c>
    </row>
    <row r="1964">
      <c r="A1964">
        <f>IF(AND('Skill Matrix'!A128&lt;&gt;"",'Skill Matrix'!O5&lt;&gt;""),'Skill Matrix'!A128,"")</f>
        <v/>
      </c>
      <c r="B1964">
        <f>IF(A1964="","",'Employees'!C13)</f>
        <v/>
      </c>
      <c r="C1964">
        <f>IF(A1964="","",'Employees'!D13)</f>
        <v/>
      </c>
      <c r="D1964">
        <f>IF(A1964="","",'Skill Matrix'!C128)</f>
        <v/>
      </c>
      <c r="E1964">
        <f>IF(A1964="","",'Skill Matrix'!D128)</f>
        <v/>
      </c>
      <c r="F1964">
        <f>IF(AND('Skill Matrix'!A128&lt;&gt;"",'Skill Matrix'!O5&lt;&gt;""),'Skill Matrix'!O5,"")</f>
        <v/>
      </c>
      <c r="G1964">
        <f>IF(OR(A1964="",'Skill Matrix'!O128=""),"",'Skill Matrix'!O128)</f>
        <v/>
      </c>
      <c r="H1964">
        <f>IF(A1964="","",'Employees'!F13)</f>
        <v/>
      </c>
    </row>
    <row r="1965">
      <c r="A1965">
        <f>IF(AND('Skill Matrix'!A128&lt;&gt;"",'Skill Matrix'!P5&lt;&gt;""),'Skill Matrix'!A128,"")</f>
        <v/>
      </c>
      <c r="B1965">
        <f>IF(A1965="","",'Employees'!C13)</f>
        <v/>
      </c>
      <c r="C1965">
        <f>IF(A1965="","",'Employees'!D13)</f>
        <v/>
      </c>
      <c r="D1965">
        <f>IF(A1965="","",'Skill Matrix'!C128)</f>
        <v/>
      </c>
      <c r="E1965">
        <f>IF(A1965="","",'Skill Matrix'!D128)</f>
        <v/>
      </c>
      <c r="F1965">
        <f>IF(AND('Skill Matrix'!A128&lt;&gt;"",'Skill Matrix'!P5&lt;&gt;""),'Skill Matrix'!P5,"")</f>
        <v/>
      </c>
      <c r="G1965">
        <f>IF(OR(A1965="",'Skill Matrix'!P128=""),"",'Skill Matrix'!P128)</f>
        <v/>
      </c>
      <c r="H1965">
        <f>IF(A1965="","",'Employees'!F13)</f>
        <v/>
      </c>
    </row>
    <row r="1966">
      <c r="A1966">
        <f>IF(AND('Skill Matrix'!A128&lt;&gt;"",'Skill Matrix'!Q5&lt;&gt;""),'Skill Matrix'!A128,"")</f>
        <v/>
      </c>
      <c r="B1966">
        <f>IF(A1966="","",'Employees'!C13)</f>
        <v/>
      </c>
      <c r="C1966">
        <f>IF(A1966="","",'Employees'!D13)</f>
        <v/>
      </c>
      <c r="D1966">
        <f>IF(A1966="","",'Skill Matrix'!C128)</f>
        <v/>
      </c>
      <c r="E1966">
        <f>IF(A1966="","",'Skill Matrix'!D128)</f>
        <v/>
      </c>
      <c r="F1966">
        <f>IF(AND('Skill Matrix'!A128&lt;&gt;"",'Skill Matrix'!Q5&lt;&gt;""),'Skill Matrix'!Q5,"")</f>
        <v/>
      </c>
      <c r="G1966">
        <f>IF(OR(A1966="",'Skill Matrix'!Q128=""),"",'Skill Matrix'!Q128)</f>
        <v/>
      </c>
      <c r="H1966">
        <f>IF(A1966="","",'Employees'!F13)</f>
        <v/>
      </c>
    </row>
    <row r="1967">
      <c r="A1967">
        <f>IF(AND('Skill Matrix'!A128&lt;&gt;"",'Skill Matrix'!R5&lt;&gt;""),'Skill Matrix'!A128,"")</f>
        <v/>
      </c>
      <c r="B1967">
        <f>IF(A1967="","",'Employees'!C13)</f>
        <v/>
      </c>
      <c r="C1967">
        <f>IF(A1967="","",'Employees'!D13)</f>
        <v/>
      </c>
      <c r="D1967">
        <f>IF(A1967="","",'Skill Matrix'!C128)</f>
        <v/>
      </c>
      <c r="E1967">
        <f>IF(A1967="","",'Skill Matrix'!D128)</f>
        <v/>
      </c>
      <c r="F1967">
        <f>IF(AND('Skill Matrix'!A128&lt;&gt;"",'Skill Matrix'!R5&lt;&gt;""),'Skill Matrix'!R5,"")</f>
        <v/>
      </c>
      <c r="G1967">
        <f>IF(OR(A1967="",'Skill Matrix'!R128=""),"",'Skill Matrix'!R128)</f>
        <v/>
      </c>
      <c r="H1967">
        <f>IF(A1967="","",'Employees'!F13)</f>
        <v/>
      </c>
    </row>
    <row r="1968">
      <c r="A1968">
        <f>IF(AND('Skill Matrix'!A128&lt;&gt;"",'Skill Matrix'!S5&lt;&gt;""),'Skill Matrix'!A128,"")</f>
        <v/>
      </c>
      <c r="B1968">
        <f>IF(A1968="","",'Employees'!C13)</f>
        <v/>
      </c>
      <c r="C1968">
        <f>IF(A1968="","",'Employees'!D13)</f>
        <v/>
      </c>
      <c r="D1968">
        <f>IF(A1968="","",'Skill Matrix'!C128)</f>
        <v/>
      </c>
      <c r="E1968">
        <f>IF(A1968="","",'Skill Matrix'!D128)</f>
        <v/>
      </c>
      <c r="F1968">
        <f>IF(AND('Skill Matrix'!A128&lt;&gt;"",'Skill Matrix'!S5&lt;&gt;""),'Skill Matrix'!S5,"")</f>
        <v/>
      </c>
      <c r="G1968">
        <f>IF(OR(A1968="",'Skill Matrix'!S128=""),"",'Skill Matrix'!S128)</f>
        <v/>
      </c>
      <c r="H1968">
        <f>IF(A1968="","",'Employees'!F13)</f>
        <v/>
      </c>
    </row>
    <row r="1969">
      <c r="A1969">
        <f>IF(AND('Skill Matrix'!A128&lt;&gt;"",'Skill Matrix'!T5&lt;&gt;""),'Skill Matrix'!A128,"")</f>
        <v/>
      </c>
      <c r="B1969">
        <f>IF(A1969="","",'Employees'!C13)</f>
        <v/>
      </c>
      <c r="C1969">
        <f>IF(A1969="","",'Employees'!D13)</f>
        <v/>
      </c>
      <c r="D1969">
        <f>IF(A1969="","",'Skill Matrix'!C128)</f>
        <v/>
      </c>
      <c r="E1969">
        <f>IF(A1969="","",'Skill Matrix'!D128)</f>
        <v/>
      </c>
      <c r="F1969">
        <f>IF(AND('Skill Matrix'!A128&lt;&gt;"",'Skill Matrix'!T5&lt;&gt;""),'Skill Matrix'!T5,"")</f>
        <v/>
      </c>
      <c r="G1969">
        <f>IF(OR(A1969="",'Skill Matrix'!T128=""),"",'Skill Matrix'!T128)</f>
        <v/>
      </c>
      <c r="H1969">
        <f>IF(A1969="","",'Employees'!F13)</f>
        <v/>
      </c>
    </row>
    <row r="1970">
      <c r="A1970">
        <f>IF(AND('Skill Matrix'!A129&lt;&gt;"",'Skill Matrix'!E5&lt;&gt;""),'Skill Matrix'!A129,"")</f>
        <v/>
      </c>
      <c r="B1970">
        <f>IF(A1970="","",'Employees'!C13)</f>
        <v/>
      </c>
      <c r="C1970">
        <f>IF(A1970="","",'Employees'!D13)</f>
        <v/>
      </c>
      <c r="D1970">
        <f>IF(A1970="","",'Skill Matrix'!C129)</f>
        <v/>
      </c>
      <c r="E1970">
        <f>IF(A1970="","",'Skill Matrix'!D129)</f>
        <v/>
      </c>
      <c r="F1970">
        <f>IF(AND('Skill Matrix'!A129&lt;&gt;"",'Skill Matrix'!E5&lt;&gt;""),'Skill Matrix'!E5,"")</f>
        <v/>
      </c>
      <c r="G1970">
        <f>IF(OR(A1970="",'Skill Matrix'!E129=""),"",'Skill Matrix'!E129)</f>
        <v/>
      </c>
      <c r="H1970">
        <f>IF(A1970="","",'Employees'!F13)</f>
        <v/>
      </c>
    </row>
    <row r="1971">
      <c r="A1971">
        <f>IF(AND('Skill Matrix'!A129&lt;&gt;"",'Skill Matrix'!F5&lt;&gt;""),'Skill Matrix'!A129,"")</f>
        <v/>
      </c>
      <c r="B1971">
        <f>IF(A1971="","",'Employees'!C13)</f>
        <v/>
      </c>
      <c r="C1971">
        <f>IF(A1971="","",'Employees'!D13)</f>
        <v/>
      </c>
      <c r="D1971">
        <f>IF(A1971="","",'Skill Matrix'!C129)</f>
        <v/>
      </c>
      <c r="E1971">
        <f>IF(A1971="","",'Skill Matrix'!D129)</f>
        <v/>
      </c>
      <c r="F1971">
        <f>IF(AND('Skill Matrix'!A129&lt;&gt;"",'Skill Matrix'!F5&lt;&gt;""),'Skill Matrix'!F5,"")</f>
        <v/>
      </c>
      <c r="G1971">
        <f>IF(OR(A1971="",'Skill Matrix'!F129=""),"",'Skill Matrix'!F129)</f>
        <v/>
      </c>
      <c r="H1971">
        <f>IF(A1971="","",'Employees'!F13)</f>
        <v/>
      </c>
    </row>
    <row r="1972">
      <c r="A1972">
        <f>IF(AND('Skill Matrix'!A129&lt;&gt;"",'Skill Matrix'!G5&lt;&gt;""),'Skill Matrix'!A129,"")</f>
        <v/>
      </c>
      <c r="B1972">
        <f>IF(A1972="","",'Employees'!C13)</f>
        <v/>
      </c>
      <c r="C1972">
        <f>IF(A1972="","",'Employees'!D13)</f>
        <v/>
      </c>
      <c r="D1972">
        <f>IF(A1972="","",'Skill Matrix'!C129)</f>
        <v/>
      </c>
      <c r="E1972">
        <f>IF(A1972="","",'Skill Matrix'!D129)</f>
        <v/>
      </c>
      <c r="F1972">
        <f>IF(AND('Skill Matrix'!A129&lt;&gt;"",'Skill Matrix'!G5&lt;&gt;""),'Skill Matrix'!G5,"")</f>
        <v/>
      </c>
      <c r="G1972">
        <f>IF(OR(A1972="",'Skill Matrix'!G129=""),"",'Skill Matrix'!G129)</f>
        <v/>
      </c>
      <c r="H1972">
        <f>IF(A1972="","",'Employees'!F13)</f>
        <v/>
      </c>
    </row>
    <row r="1973">
      <c r="A1973">
        <f>IF(AND('Skill Matrix'!A129&lt;&gt;"",'Skill Matrix'!H5&lt;&gt;""),'Skill Matrix'!A129,"")</f>
        <v/>
      </c>
      <c r="B1973">
        <f>IF(A1973="","",'Employees'!C13)</f>
        <v/>
      </c>
      <c r="C1973">
        <f>IF(A1973="","",'Employees'!D13)</f>
        <v/>
      </c>
      <c r="D1973">
        <f>IF(A1973="","",'Skill Matrix'!C129)</f>
        <v/>
      </c>
      <c r="E1973">
        <f>IF(A1973="","",'Skill Matrix'!D129)</f>
        <v/>
      </c>
      <c r="F1973">
        <f>IF(AND('Skill Matrix'!A129&lt;&gt;"",'Skill Matrix'!H5&lt;&gt;""),'Skill Matrix'!H5,"")</f>
        <v/>
      </c>
      <c r="G1973">
        <f>IF(OR(A1973="",'Skill Matrix'!H129=""),"",'Skill Matrix'!H129)</f>
        <v/>
      </c>
      <c r="H1973">
        <f>IF(A1973="","",'Employees'!F13)</f>
        <v/>
      </c>
    </row>
    <row r="1974">
      <c r="A1974">
        <f>IF(AND('Skill Matrix'!A129&lt;&gt;"",'Skill Matrix'!I5&lt;&gt;""),'Skill Matrix'!A129,"")</f>
        <v/>
      </c>
      <c r="B1974">
        <f>IF(A1974="","",'Employees'!C13)</f>
        <v/>
      </c>
      <c r="C1974">
        <f>IF(A1974="","",'Employees'!D13)</f>
        <v/>
      </c>
      <c r="D1974">
        <f>IF(A1974="","",'Skill Matrix'!C129)</f>
        <v/>
      </c>
      <c r="E1974">
        <f>IF(A1974="","",'Skill Matrix'!D129)</f>
        <v/>
      </c>
      <c r="F1974">
        <f>IF(AND('Skill Matrix'!A129&lt;&gt;"",'Skill Matrix'!I5&lt;&gt;""),'Skill Matrix'!I5,"")</f>
        <v/>
      </c>
      <c r="G1974">
        <f>IF(OR(A1974="",'Skill Matrix'!I129=""),"",'Skill Matrix'!I129)</f>
        <v/>
      </c>
      <c r="H1974">
        <f>IF(A1974="","",'Employees'!F13)</f>
        <v/>
      </c>
    </row>
    <row r="1975">
      <c r="A1975">
        <f>IF(AND('Skill Matrix'!A129&lt;&gt;"",'Skill Matrix'!J5&lt;&gt;""),'Skill Matrix'!A129,"")</f>
        <v/>
      </c>
      <c r="B1975">
        <f>IF(A1975="","",'Employees'!C13)</f>
        <v/>
      </c>
      <c r="C1975">
        <f>IF(A1975="","",'Employees'!D13)</f>
        <v/>
      </c>
      <c r="D1975">
        <f>IF(A1975="","",'Skill Matrix'!C129)</f>
        <v/>
      </c>
      <c r="E1975">
        <f>IF(A1975="","",'Skill Matrix'!D129)</f>
        <v/>
      </c>
      <c r="F1975">
        <f>IF(AND('Skill Matrix'!A129&lt;&gt;"",'Skill Matrix'!J5&lt;&gt;""),'Skill Matrix'!J5,"")</f>
        <v/>
      </c>
      <c r="G1975">
        <f>IF(OR(A1975="",'Skill Matrix'!J129=""),"",'Skill Matrix'!J129)</f>
        <v/>
      </c>
      <c r="H1975">
        <f>IF(A1975="","",'Employees'!F13)</f>
        <v/>
      </c>
    </row>
    <row r="1976">
      <c r="A1976">
        <f>IF(AND('Skill Matrix'!A129&lt;&gt;"",'Skill Matrix'!K5&lt;&gt;""),'Skill Matrix'!A129,"")</f>
        <v/>
      </c>
      <c r="B1976">
        <f>IF(A1976="","",'Employees'!C13)</f>
        <v/>
      </c>
      <c r="C1976">
        <f>IF(A1976="","",'Employees'!D13)</f>
        <v/>
      </c>
      <c r="D1976">
        <f>IF(A1976="","",'Skill Matrix'!C129)</f>
        <v/>
      </c>
      <c r="E1976">
        <f>IF(A1976="","",'Skill Matrix'!D129)</f>
        <v/>
      </c>
      <c r="F1976">
        <f>IF(AND('Skill Matrix'!A129&lt;&gt;"",'Skill Matrix'!K5&lt;&gt;""),'Skill Matrix'!K5,"")</f>
        <v/>
      </c>
      <c r="G1976">
        <f>IF(OR(A1976="",'Skill Matrix'!K129=""),"",'Skill Matrix'!K129)</f>
        <v/>
      </c>
      <c r="H1976">
        <f>IF(A1976="","",'Employees'!F13)</f>
        <v/>
      </c>
    </row>
    <row r="1977">
      <c r="A1977">
        <f>IF(AND('Skill Matrix'!A129&lt;&gt;"",'Skill Matrix'!L5&lt;&gt;""),'Skill Matrix'!A129,"")</f>
        <v/>
      </c>
      <c r="B1977">
        <f>IF(A1977="","",'Employees'!C13)</f>
        <v/>
      </c>
      <c r="C1977">
        <f>IF(A1977="","",'Employees'!D13)</f>
        <v/>
      </c>
      <c r="D1977">
        <f>IF(A1977="","",'Skill Matrix'!C129)</f>
        <v/>
      </c>
      <c r="E1977">
        <f>IF(A1977="","",'Skill Matrix'!D129)</f>
        <v/>
      </c>
      <c r="F1977">
        <f>IF(AND('Skill Matrix'!A129&lt;&gt;"",'Skill Matrix'!L5&lt;&gt;""),'Skill Matrix'!L5,"")</f>
        <v/>
      </c>
      <c r="G1977">
        <f>IF(OR(A1977="",'Skill Matrix'!L129=""),"",'Skill Matrix'!L129)</f>
        <v/>
      </c>
      <c r="H1977">
        <f>IF(A1977="","",'Employees'!F13)</f>
        <v/>
      </c>
    </row>
    <row r="1978">
      <c r="A1978">
        <f>IF(AND('Skill Matrix'!A129&lt;&gt;"",'Skill Matrix'!M5&lt;&gt;""),'Skill Matrix'!A129,"")</f>
        <v/>
      </c>
      <c r="B1978">
        <f>IF(A1978="","",'Employees'!C13)</f>
        <v/>
      </c>
      <c r="C1978">
        <f>IF(A1978="","",'Employees'!D13)</f>
        <v/>
      </c>
      <c r="D1978">
        <f>IF(A1978="","",'Skill Matrix'!C129)</f>
        <v/>
      </c>
      <c r="E1978">
        <f>IF(A1978="","",'Skill Matrix'!D129)</f>
        <v/>
      </c>
      <c r="F1978">
        <f>IF(AND('Skill Matrix'!A129&lt;&gt;"",'Skill Matrix'!M5&lt;&gt;""),'Skill Matrix'!M5,"")</f>
        <v/>
      </c>
      <c r="G1978">
        <f>IF(OR(A1978="",'Skill Matrix'!M129=""),"",'Skill Matrix'!M129)</f>
        <v/>
      </c>
      <c r="H1978">
        <f>IF(A1978="","",'Employees'!F13)</f>
        <v/>
      </c>
    </row>
    <row r="1979">
      <c r="A1979">
        <f>IF(AND('Skill Matrix'!A129&lt;&gt;"",'Skill Matrix'!N5&lt;&gt;""),'Skill Matrix'!A129,"")</f>
        <v/>
      </c>
      <c r="B1979">
        <f>IF(A1979="","",'Employees'!C13)</f>
        <v/>
      </c>
      <c r="C1979">
        <f>IF(A1979="","",'Employees'!D13)</f>
        <v/>
      </c>
      <c r="D1979">
        <f>IF(A1979="","",'Skill Matrix'!C129)</f>
        <v/>
      </c>
      <c r="E1979">
        <f>IF(A1979="","",'Skill Matrix'!D129)</f>
        <v/>
      </c>
      <c r="F1979">
        <f>IF(AND('Skill Matrix'!A129&lt;&gt;"",'Skill Matrix'!N5&lt;&gt;""),'Skill Matrix'!N5,"")</f>
        <v/>
      </c>
      <c r="G1979">
        <f>IF(OR(A1979="",'Skill Matrix'!N129=""),"",'Skill Matrix'!N129)</f>
        <v/>
      </c>
      <c r="H1979">
        <f>IF(A1979="","",'Employees'!F13)</f>
        <v/>
      </c>
    </row>
    <row r="1980">
      <c r="A1980">
        <f>IF(AND('Skill Matrix'!A129&lt;&gt;"",'Skill Matrix'!O5&lt;&gt;""),'Skill Matrix'!A129,"")</f>
        <v/>
      </c>
      <c r="B1980">
        <f>IF(A1980="","",'Employees'!C13)</f>
        <v/>
      </c>
      <c r="C1980">
        <f>IF(A1980="","",'Employees'!D13)</f>
        <v/>
      </c>
      <c r="D1980">
        <f>IF(A1980="","",'Skill Matrix'!C129)</f>
        <v/>
      </c>
      <c r="E1980">
        <f>IF(A1980="","",'Skill Matrix'!D129)</f>
        <v/>
      </c>
      <c r="F1980">
        <f>IF(AND('Skill Matrix'!A129&lt;&gt;"",'Skill Matrix'!O5&lt;&gt;""),'Skill Matrix'!O5,"")</f>
        <v/>
      </c>
      <c r="G1980">
        <f>IF(OR(A1980="",'Skill Matrix'!O129=""),"",'Skill Matrix'!O129)</f>
        <v/>
      </c>
      <c r="H1980">
        <f>IF(A1980="","",'Employees'!F13)</f>
        <v/>
      </c>
    </row>
    <row r="1981">
      <c r="A1981">
        <f>IF(AND('Skill Matrix'!A129&lt;&gt;"",'Skill Matrix'!P5&lt;&gt;""),'Skill Matrix'!A129,"")</f>
        <v/>
      </c>
      <c r="B1981">
        <f>IF(A1981="","",'Employees'!C13)</f>
        <v/>
      </c>
      <c r="C1981">
        <f>IF(A1981="","",'Employees'!D13)</f>
        <v/>
      </c>
      <c r="D1981">
        <f>IF(A1981="","",'Skill Matrix'!C129)</f>
        <v/>
      </c>
      <c r="E1981">
        <f>IF(A1981="","",'Skill Matrix'!D129)</f>
        <v/>
      </c>
      <c r="F1981">
        <f>IF(AND('Skill Matrix'!A129&lt;&gt;"",'Skill Matrix'!P5&lt;&gt;""),'Skill Matrix'!P5,"")</f>
        <v/>
      </c>
      <c r="G1981">
        <f>IF(OR(A1981="",'Skill Matrix'!P129=""),"",'Skill Matrix'!P129)</f>
        <v/>
      </c>
      <c r="H1981">
        <f>IF(A1981="","",'Employees'!F13)</f>
        <v/>
      </c>
    </row>
    <row r="1982">
      <c r="A1982">
        <f>IF(AND('Skill Matrix'!A129&lt;&gt;"",'Skill Matrix'!Q5&lt;&gt;""),'Skill Matrix'!A129,"")</f>
        <v/>
      </c>
      <c r="B1982">
        <f>IF(A1982="","",'Employees'!C13)</f>
        <v/>
      </c>
      <c r="C1982">
        <f>IF(A1982="","",'Employees'!D13)</f>
        <v/>
      </c>
      <c r="D1982">
        <f>IF(A1982="","",'Skill Matrix'!C129)</f>
        <v/>
      </c>
      <c r="E1982">
        <f>IF(A1982="","",'Skill Matrix'!D129)</f>
        <v/>
      </c>
      <c r="F1982">
        <f>IF(AND('Skill Matrix'!A129&lt;&gt;"",'Skill Matrix'!Q5&lt;&gt;""),'Skill Matrix'!Q5,"")</f>
        <v/>
      </c>
      <c r="G1982">
        <f>IF(OR(A1982="",'Skill Matrix'!Q129=""),"",'Skill Matrix'!Q129)</f>
        <v/>
      </c>
      <c r="H1982">
        <f>IF(A1982="","",'Employees'!F13)</f>
        <v/>
      </c>
    </row>
    <row r="1983">
      <c r="A1983">
        <f>IF(AND('Skill Matrix'!A129&lt;&gt;"",'Skill Matrix'!R5&lt;&gt;""),'Skill Matrix'!A129,"")</f>
        <v/>
      </c>
      <c r="B1983">
        <f>IF(A1983="","",'Employees'!C13)</f>
        <v/>
      </c>
      <c r="C1983">
        <f>IF(A1983="","",'Employees'!D13)</f>
        <v/>
      </c>
      <c r="D1983">
        <f>IF(A1983="","",'Skill Matrix'!C129)</f>
        <v/>
      </c>
      <c r="E1983">
        <f>IF(A1983="","",'Skill Matrix'!D129)</f>
        <v/>
      </c>
      <c r="F1983">
        <f>IF(AND('Skill Matrix'!A129&lt;&gt;"",'Skill Matrix'!R5&lt;&gt;""),'Skill Matrix'!R5,"")</f>
        <v/>
      </c>
      <c r="G1983">
        <f>IF(OR(A1983="",'Skill Matrix'!R129=""),"",'Skill Matrix'!R129)</f>
        <v/>
      </c>
      <c r="H1983">
        <f>IF(A1983="","",'Employees'!F13)</f>
        <v/>
      </c>
    </row>
    <row r="1984">
      <c r="A1984">
        <f>IF(AND('Skill Matrix'!A129&lt;&gt;"",'Skill Matrix'!S5&lt;&gt;""),'Skill Matrix'!A129,"")</f>
        <v/>
      </c>
      <c r="B1984">
        <f>IF(A1984="","",'Employees'!C13)</f>
        <v/>
      </c>
      <c r="C1984">
        <f>IF(A1984="","",'Employees'!D13)</f>
        <v/>
      </c>
      <c r="D1984">
        <f>IF(A1984="","",'Skill Matrix'!C129)</f>
        <v/>
      </c>
      <c r="E1984">
        <f>IF(A1984="","",'Skill Matrix'!D129)</f>
        <v/>
      </c>
      <c r="F1984">
        <f>IF(AND('Skill Matrix'!A129&lt;&gt;"",'Skill Matrix'!S5&lt;&gt;""),'Skill Matrix'!S5,"")</f>
        <v/>
      </c>
      <c r="G1984">
        <f>IF(OR(A1984="",'Skill Matrix'!S129=""),"",'Skill Matrix'!S129)</f>
        <v/>
      </c>
      <c r="H1984">
        <f>IF(A1984="","",'Employees'!F13)</f>
        <v/>
      </c>
    </row>
    <row r="1985">
      <c r="A1985">
        <f>IF(AND('Skill Matrix'!A129&lt;&gt;"",'Skill Matrix'!T5&lt;&gt;""),'Skill Matrix'!A129,"")</f>
        <v/>
      </c>
      <c r="B1985">
        <f>IF(A1985="","",'Employees'!C13)</f>
        <v/>
      </c>
      <c r="C1985">
        <f>IF(A1985="","",'Employees'!D13)</f>
        <v/>
      </c>
      <c r="D1985">
        <f>IF(A1985="","",'Skill Matrix'!C129)</f>
        <v/>
      </c>
      <c r="E1985">
        <f>IF(A1985="","",'Skill Matrix'!D129)</f>
        <v/>
      </c>
      <c r="F1985">
        <f>IF(AND('Skill Matrix'!A129&lt;&gt;"",'Skill Matrix'!T5&lt;&gt;""),'Skill Matrix'!T5,"")</f>
        <v/>
      </c>
      <c r="G1985">
        <f>IF(OR(A1985="",'Skill Matrix'!T129=""),"",'Skill Matrix'!T129)</f>
        <v/>
      </c>
      <c r="H1985">
        <f>IF(A1985="","",'Employees'!F13)</f>
        <v/>
      </c>
    </row>
    <row r="1986">
      <c r="A1986">
        <f>IF(AND('Skill Matrix'!A130&lt;&gt;"",'Skill Matrix'!E5&lt;&gt;""),'Skill Matrix'!A130,"")</f>
        <v/>
      </c>
      <c r="B1986">
        <f>IF(A1986="","",'Employees'!C13)</f>
        <v/>
      </c>
      <c r="C1986">
        <f>IF(A1986="","",'Employees'!D13)</f>
        <v/>
      </c>
      <c r="D1986">
        <f>IF(A1986="","",'Skill Matrix'!C130)</f>
        <v/>
      </c>
      <c r="E1986">
        <f>IF(A1986="","",'Skill Matrix'!D130)</f>
        <v/>
      </c>
      <c r="F1986">
        <f>IF(AND('Skill Matrix'!A130&lt;&gt;"",'Skill Matrix'!E5&lt;&gt;""),'Skill Matrix'!E5,"")</f>
        <v/>
      </c>
      <c r="G1986">
        <f>IF(OR(A1986="",'Skill Matrix'!E130=""),"",'Skill Matrix'!E130)</f>
        <v/>
      </c>
      <c r="H1986">
        <f>IF(A1986="","",'Employees'!F13)</f>
        <v/>
      </c>
    </row>
    <row r="1987">
      <c r="A1987">
        <f>IF(AND('Skill Matrix'!A130&lt;&gt;"",'Skill Matrix'!F5&lt;&gt;""),'Skill Matrix'!A130,"")</f>
        <v/>
      </c>
      <c r="B1987">
        <f>IF(A1987="","",'Employees'!C13)</f>
        <v/>
      </c>
      <c r="C1987">
        <f>IF(A1987="","",'Employees'!D13)</f>
        <v/>
      </c>
      <c r="D1987">
        <f>IF(A1987="","",'Skill Matrix'!C130)</f>
        <v/>
      </c>
      <c r="E1987">
        <f>IF(A1987="","",'Skill Matrix'!D130)</f>
        <v/>
      </c>
      <c r="F1987">
        <f>IF(AND('Skill Matrix'!A130&lt;&gt;"",'Skill Matrix'!F5&lt;&gt;""),'Skill Matrix'!F5,"")</f>
        <v/>
      </c>
      <c r="G1987">
        <f>IF(OR(A1987="",'Skill Matrix'!F130=""),"",'Skill Matrix'!F130)</f>
        <v/>
      </c>
      <c r="H1987">
        <f>IF(A1987="","",'Employees'!F13)</f>
        <v/>
      </c>
    </row>
    <row r="1988">
      <c r="A1988">
        <f>IF(AND('Skill Matrix'!A130&lt;&gt;"",'Skill Matrix'!G5&lt;&gt;""),'Skill Matrix'!A130,"")</f>
        <v/>
      </c>
      <c r="B1988">
        <f>IF(A1988="","",'Employees'!C13)</f>
        <v/>
      </c>
      <c r="C1988">
        <f>IF(A1988="","",'Employees'!D13)</f>
        <v/>
      </c>
      <c r="D1988">
        <f>IF(A1988="","",'Skill Matrix'!C130)</f>
        <v/>
      </c>
      <c r="E1988">
        <f>IF(A1988="","",'Skill Matrix'!D130)</f>
        <v/>
      </c>
      <c r="F1988">
        <f>IF(AND('Skill Matrix'!A130&lt;&gt;"",'Skill Matrix'!G5&lt;&gt;""),'Skill Matrix'!G5,"")</f>
        <v/>
      </c>
      <c r="G1988">
        <f>IF(OR(A1988="",'Skill Matrix'!G130=""),"",'Skill Matrix'!G130)</f>
        <v/>
      </c>
      <c r="H1988">
        <f>IF(A1988="","",'Employees'!F13)</f>
        <v/>
      </c>
    </row>
    <row r="1989">
      <c r="A1989">
        <f>IF(AND('Skill Matrix'!A130&lt;&gt;"",'Skill Matrix'!H5&lt;&gt;""),'Skill Matrix'!A130,"")</f>
        <v/>
      </c>
      <c r="B1989">
        <f>IF(A1989="","",'Employees'!C13)</f>
        <v/>
      </c>
      <c r="C1989">
        <f>IF(A1989="","",'Employees'!D13)</f>
        <v/>
      </c>
      <c r="D1989">
        <f>IF(A1989="","",'Skill Matrix'!C130)</f>
        <v/>
      </c>
      <c r="E1989">
        <f>IF(A1989="","",'Skill Matrix'!D130)</f>
        <v/>
      </c>
      <c r="F1989">
        <f>IF(AND('Skill Matrix'!A130&lt;&gt;"",'Skill Matrix'!H5&lt;&gt;""),'Skill Matrix'!H5,"")</f>
        <v/>
      </c>
      <c r="G1989">
        <f>IF(OR(A1989="",'Skill Matrix'!H130=""),"",'Skill Matrix'!H130)</f>
        <v/>
      </c>
      <c r="H1989">
        <f>IF(A1989="","",'Employees'!F13)</f>
        <v/>
      </c>
    </row>
    <row r="1990">
      <c r="A1990">
        <f>IF(AND('Skill Matrix'!A130&lt;&gt;"",'Skill Matrix'!I5&lt;&gt;""),'Skill Matrix'!A130,"")</f>
        <v/>
      </c>
      <c r="B1990">
        <f>IF(A1990="","",'Employees'!C13)</f>
        <v/>
      </c>
      <c r="C1990">
        <f>IF(A1990="","",'Employees'!D13)</f>
        <v/>
      </c>
      <c r="D1990">
        <f>IF(A1990="","",'Skill Matrix'!C130)</f>
        <v/>
      </c>
      <c r="E1990">
        <f>IF(A1990="","",'Skill Matrix'!D130)</f>
        <v/>
      </c>
      <c r="F1990">
        <f>IF(AND('Skill Matrix'!A130&lt;&gt;"",'Skill Matrix'!I5&lt;&gt;""),'Skill Matrix'!I5,"")</f>
        <v/>
      </c>
      <c r="G1990">
        <f>IF(OR(A1990="",'Skill Matrix'!I130=""),"",'Skill Matrix'!I130)</f>
        <v/>
      </c>
      <c r="H1990">
        <f>IF(A1990="","",'Employees'!F13)</f>
        <v/>
      </c>
    </row>
    <row r="1991">
      <c r="A1991">
        <f>IF(AND('Skill Matrix'!A130&lt;&gt;"",'Skill Matrix'!J5&lt;&gt;""),'Skill Matrix'!A130,"")</f>
        <v/>
      </c>
      <c r="B1991">
        <f>IF(A1991="","",'Employees'!C13)</f>
        <v/>
      </c>
      <c r="C1991">
        <f>IF(A1991="","",'Employees'!D13)</f>
        <v/>
      </c>
      <c r="D1991">
        <f>IF(A1991="","",'Skill Matrix'!C130)</f>
        <v/>
      </c>
      <c r="E1991">
        <f>IF(A1991="","",'Skill Matrix'!D130)</f>
        <v/>
      </c>
      <c r="F1991">
        <f>IF(AND('Skill Matrix'!A130&lt;&gt;"",'Skill Matrix'!J5&lt;&gt;""),'Skill Matrix'!J5,"")</f>
        <v/>
      </c>
      <c r="G1991">
        <f>IF(OR(A1991="",'Skill Matrix'!J130=""),"",'Skill Matrix'!J130)</f>
        <v/>
      </c>
      <c r="H1991">
        <f>IF(A1991="","",'Employees'!F13)</f>
        <v/>
      </c>
    </row>
    <row r="1992">
      <c r="A1992">
        <f>IF(AND('Skill Matrix'!A130&lt;&gt;"",'Skill Matrix'!K5&lt;&gt;""),'Skill Matrix'!A130,"")</f>
        <v/>
      </c>
      <c r="B1992">
        <f>IF(A1992="","",'Employees'!C13)</f>
        <v/>
      </c>
      <c r="C1992">
        <f>IF(A1992="","",'Employees'!D13)</f>
        <v/>
      </c>
      <c r="D1992">
        <f>IF(A1992="","",'Skill Matrix'!C130)</f>
        <v/>
      </c>
      <c r="E1992">
        <f>IF(A1992="","",'Skill Matrix'!D130)</f>
        <v/>
      </c>
      <c r="F1992">
        <f>IF(AND('Skill Matrix'!A130&lt;&gt;"",'Skill Matrix'!K5&lt;&gt;""),'Skill Matrix'!K5,"")</f>
        <v/>
      </c>
      <c r="G1992">
        <f>IF(OR(A1992="",'Skill Matrix'!K130=""),"",'Skill Matrix'!K130)</f>
        <v/>
      </c>
      <c r="H1992">
        <f>IF(A1992="","",'Employees'!F13)</f>
        <v/>
      </c>
    </row>
    <row r="1993">
      <c r="A1993">
        <f>IF(AND('Skill Matrix'!A130&lt;&gt;"",'Skill Matrix'!L5&lt;&gt;""),'Skill Matrix'!A130,"")</f>
        <v/>
      </c>
      <c r="B1993">
        <f>IF(A1993="","",'Employees'!C13)</f>
        <v/>
      </c>
      <c r="C1993">
        <f>IF(A1993="","",'Employees'!D13)</f>
        <v/>
      </c>
      <c r="D1993">
        <f>IF(A1993="","",'Skill Matrix'!C130)</f>
        <v/>
      </c>
      <c r="E1993">
        <f>IF(A1993="","",'Skill Matrix'!D130)</f>
        <v/>
      </c>
      <c r="F1993">
        <f>IF(AND('Skill Matrix'!A130&lt;&gt;"",'Skill Matrix'!L5&lt;&gt;""),'Skill Matrix'!L5,"")</f>
        <v/>
      </c>
      <c r="G1993">
        <f>IF(OR(A1993="",'Skill Matrix'!L130=""),"",'Skill Matrix'!L130)</f>
        <v/>
      </c>
      <c r="H1993">
        <f>IF(A1993="","",'Employees'!F13)</f>
        <v/>
      </c>
    </row>
    <row r="1994">
      <c r="A1994">
        <f>IF(AND('Skill Matrix'!A130&lt;&gt;"",'Skill Matrix'!M5&lt;&gt;""),'Skill Matrix'!A130,"")</f>
        <v/>
      </c>
      <c r="B1994">
        <f>IF(A1994="","",'Employees'!C13)</f>
        <v/>
      </c>
      <c r="C1994">
        <f>IF(A1994="","",'Employees'!D13)</f>
        <v/>
      </c>
      <c r="D1994">
        <f>IF(A1994="","",'Skill Matrix'!C130)</f>
        <v/>
      </c>
      <c r="E1994">
        <f>IF(A1994="","",'Skill Matrix'!D130)</f>
        <v/>
      </c>
      <c r="F1994">
        <f>IF(AND('Skill Matrix'!A130&lt;&gt;"",'Skill Matrix'!M5&lt;&gt;""),'Skill Matrix'!M5,"")</f>
        <v/>
      </c>
      <c r="G1994">
        <f>IF(OR(A1994="",'Skill Matrix'!M130=""),"",'Skill Matrix'!M130)</f>
        <v/>
      </c>
      <c r="H1994">
        <f>IF(A1994="","",'Employees'!F13)</f>
        <v/>
      </c>
    </row>
    <row r="1995">
      <c r="A1995">
        <f>IF(AND('Skill Matrix'!A130&lt;&gt;"",'Skill Matrix'!N5&lt;&gt;""),'Skill Matrix'!A130,"")</f>
        <v/>
      </c>
      <c r="B1995">
        <f>IF(A1995="","",'Employees'!C13)</f>
        <v/>
      </c>
      <c r="C1995">
        <f>IF(A1995="","",'Employees'!D13)</f>
        <v/>
      </c>
      <c r="D1995">
        <f>IF(A1995="","",'Skill Matrix'!C130)</f>
        <v/>
      </c>
      <c r="E1995">
        <f>IF(A1995="","",'Skill Matrix'!D130)</f>
        <v/>
      </c>
      <c r="F1995">
        <f>IF(AND('Skill Matrix'!A130&lt;&gt;"",'Skill Matrix'!N5&lt;&gt;""),'Skill Matrix'!N5,"")</f>
        <v/>
      </c>
      <c r="G1995">
        <f>IF(OR(A1995="",'Skill Matrix'!N130=""),"",'Skill Matrix'!N130)</f>
        <v/>
      </c>
      <c r="H1995">
        <f>IF(A1995="","",'Employees'!F13)</f>
        <v/>
      </c>
    </row>
    <row r="1996">
      <c r="A1996">
        <f>IF(AND('Skill Matrix'!A130&lt;&gt;"",'Skill Matrix'!O5&lt;&gt;""),'Skill Matrix'!A130,"")</f>
        <v/>
      </c>
      <c r="B1996">
        <f>IF(A1996="","",'Employees'!C13)</f>
        <v/>
      </c>
      <c r="C1996">
        <f>IF(A1996="","",'Employees'!D13)</f>
        <v/>
      </c>
      <c r="D1996">
        <f>IF(A1996="","",'Skill Matrix'!C130)</f>
        <v/>
      </c>
      <c r="E1996">
        <f>IF(A1996="","",'Skill Matrix'!D130)</f>
        <v/>
      </c>
      <c r="F1996">
        <f>IF(AND('Skill Matrix'!A130&lt;&gt;"",'Skill Matrix'!O5&lt;&gt;""),'Skill Matrix'!O5,"")</f>
        <v/>
      </c>
      <c r="G1996">
        <f>IF(OR(A1996="",'Skill Matrix'!O130=""),"",'Skill Matrix'!O130)</f>
        <v/>
      </c>
      <c r="H1996">
        <f>IF(A1996="","",'Employees'!F13)</f>
        <v/>
      </c>
    </row>
    <row r="1997">
      <c r="A1997">
        <f>IF(AND('Skill Matrix'!A130&lt;&gt;"",'Skill Matrix'!P5&lt;&gt;""),'Skill Matrix'!A130,"")</f>
        <v/>
      </c>
      <c r="B1997">
        <f>IF(A1997="","",'Employees'!C13)</f>
        <v/>
      </c>
      <c r="C1997">
        <f>IF(A1997="","",'Employees'!D13)</f>
        <v/>
      </c>
      <c r="D1997">
        <f>IF(A1997="","",'Skill Matrix'!C130)</f>
        <v/>
      </c>
      <c r="E1997">
        <f>IF(A1997="","",'Skill Matrix'!D130)</f>
        <v/>
      </c>
      <c r="F1997">
        <f>IF(AND('Skill Matrix'!A130&lt;&gt;"",'Skill Matrix'!P5&lt;&gt;""),'Skill Matrix'!P5,"")</f>
        <v/>
      </c>
      <c r="G1997">
        <f>IF(OR(A1997="",'Skill Matrix'!P130=""),"",'Skill Matrix'!P130)</f>
        <v/>
      </c>
      <c r="H1997">
        <f>IF(A1997="","",'Employees'!F13)</f>
        <v/>
      </c>
    </row>
    <row r="1998">
      <c r="A1998">
        <f>IF(AND('Skill Matrix'!A130&lt;&gt;"",'Skill Matrix'!Q5&lt;&gt;""),'Skill Matrix'!A130,"")</f>
        <v/>
      </c>
      <c r="B1998">
        <f>IF(A1998="","",'Employees'!C13)</f>
        <v/>
      </c>
      <c r="C1998">
        <f>IF(A1998="","",'Employees'!D13)</f>
        <v/>
      </c>
      <c r="D1998">
        <f>IF(A1998="","",'Skill Matrix'!C130)</f>
        <v/>
      </c>
      <c r="E1998">
        <f>IF(A1998="","",'Skill Matrix'!D130)</f>
        <v/>
      </c>
      <c r="F1998">
        <f>IF(AND('Skill Matrix'!A130&lt;&gt;"",'Skill Matrix'!Q5&lt;&gt;""),'Skill Matrix'!Q5,"")</f>
        <v/>
      </c>
      <c r="G1998">
        <f>IF(OR(A1998="",'Skill Matrix'!Q130=""),"",'Skill Matrix'!Q130)</f>
        <v/>
      </c>
      <c r="H1998">
        <f>IF(A1998="","",'Employees'!F13)</f>
        <v/>
      </c>
    </row>
    <row r="1999">
      <c r="A1999">
        <f>IF(AND('Skill Matrix'!A130&lt;&gt;"",'Skill Matrix'!R5&lt;&gt;""),'Skill Matrix'!A130,"")</f>
        <v/>
      </c>
      <c r="B1999">
        <f>IF(A1999="","",'Employees'!C13)</f>
        <v/>
      </c>
      <c r="C1999">
        <f>IF(A1999="","",'Employees'!D13)</f>
        <v/>
      </c>
      <c r="D1999">
        <f>IF(A1999="","",'Skill Matrix'!C130)</f>
        <v/>
      </c>
      <c r="E1999">
        <f>IF(A1999="","",'Skill Matrix'!D130)</f>
        <v/>
      </c>
      <c r="F1999">
        <f>IF(AND('Skill Matrix'!A130&lt;&gt;"",'Skill Matrix'!R5&lt;&gt;""),'Skill Matrix'!R5,"")</f>
        <v/>
      </c>
      <c r="G1999">
        <f>IF(OR(A1999="",'Skill Matrix'!R130=""),"",'Skill Matrix'!R130)</f>
        <v/>
      </c>
      <c r="H1999">
        <f>IF(A1999="","",'Employees'!F13)</f>
        <v/>
      </c>
    </row>
    <row r="2000">
      <c r="A2000">
        <f>IF(AND('Skill Matrix'!A130&lt;&gt;"",'Skill Matrix'!S5&lt;&gt;""),'Skill Matrix'!A130,"")</f>
        <v/>
      </c>
      <c r="B2000">
        <f>IF(A2000="","",'Employees'!C13)</f>
        <v/>
      </c>
      <c r="C2000">
        <f>IF(A2000="","",'Employees'!D13)</f>
        <v/>
      </c>
      <c r="D2000">
        <f>IF(A2000="","",'Skill Matrix'!C130)</f>
        <v/>
      </c>
      <c r="E2000">
        <f>IF(A2000="","",'Skill Matrix'!D130)</f>
        <v/>
      </c>
      <c r="F2000">
        <f>IF(AND('Skill Matrix'!A130&lt;&gt;"",'Skill Matrix'!S5&lt;&gt;""),'Skill Matrix'!S5,"")</f>
        <v/>
      </c>
      <c r="G2000">
        <f>IF(OR(A2000="",'Skill Matrix'!S130=""),"",'Skill Matrix'!S130)</f>
        <v/>
      </c>
      <c r="H2000">
        <f>IF(A2000="","",'Employees'!F13)</f>
        <v/>
      </c>
    </row>
    <row r="2001">
      <c r="A2001">
        <f>IF(AND('Skill Matrix'!A130&lt;&gt;"",'Skill Matrix'!T5&lt;&gt;""),'Skill Matrix'!A130,"")</f>
        <v/>
      </c>
      <c r="B2001">
        <f>IF(A2001="","",'Employees'!C13)</f>
        <v/>
      </c>
      <c r="C2001">
        <f>IF(A2001="","",'Employees'!D13)</f>
        <v/>
      </c>
      <c r="D2001">
        <f>IF(A2001="","",'Skill Matrix'!C130)</f>
        <v/>
      </c>
      <c r="E2001">
        <f>IF(A2001="","",'Skill Matrix'!D130)</f>
        <v/>
      </c>
      <c r="F2001">
        <f>IF(AND('Skill Matrix'!A130&lt;&gt;"",'Skill Matrix'!T5&lt;&gt;""),'Skill Matrix'!T5,"")</f>
        <v/>
      </c>
      <c r="G2001">
        <f>IF(OR(A2001="",'Skill Matrix'!T130=""),"",'Skill Matrix'!T130)</f>
        <v/>
      </c>
      <c r="H2001">
        <f>IF(A2001="","",'Employees'!F13)</f>
        <v/>
      </c>
    </row>
    <row r="2002">
      <c r="A2002">
        <f>IF(AND('Skill Matrix'!A131&lt;&gt;"",'Skill Matrix'!E5&lt;&gt;""),'Skill Matrix'!A131,"")</f>
        <v/>
      </c>
      <c r="B2002">
        <f>IF(A2002="","",'Employees'!C13)</f>
        <v/>
      </c>
      <c r="C2002">
        <f>IF(A2002="","",'Employees'!D13)</f>
        <v/>
      </c>
      <c r="D2002">
        <f>IF(A2002="","",'Skill Matrix'!C131)</f>
        <v/>
      </c>
      <c r="E2002">
        <f>IF(A2002="","",'Skill Matrix'!D131)</f>
        <v/>
      </c>
      <c r="F2002">
        <f>IF(AND('Skill Matrix'!A131&lt;&gt;"",'Skill Matrix'!E5&lt;&gt;""),'Skill Matrix'!E5,"")</f>
        <v/>
      </c>
      <c r="G2002">
        <f>IF(OR(A2002="",'Skill Matrix'!E131=""),"",'Skill Matrix'!E131)</f>
        <v/>
      </c>
      <c r="H2002">
        <f>IF(A2002="","",'Employees'!F13)</f>
        <v/>
      </c>
    </row>
    <row r="2003">
      <c r="A2003">
        <f>IF(AND('Skill Matrix'!A131&lt;&gt;"",'Skill Matrix'!F5&lt;&gt;""),'Skill Matrix'!A131,"")</f>
        <v/>
      </c>
      <c r="B2003">
        <f>IF(A2003="","",'Employees'!C13)</f>
        <v/>
      </c>
      <c r="C2003">
        <f>IF(A2003="","",'Employees'!D13)</f>
        <v/>
      </c>
      <c r="D2003">
        <f>IF(A2003="","",'Skill Matrix'!C131)</f>
        <v/>
      </c>
      <c r="E2003">
        <f>IF(A2003="","",'Skill Matrix'!D131)</f>
        <v/>
      </c>
      <c r="F2003">
        <f>IF(AND('Skill Matrix'!A131&lt;&gt;"",'Skill Matrix'!F5&lt;&gt;""),'Skill Matrix'!F5,"")</f>
        <v/>
      </c>
      <c r="G2003">
        <f>IF(OR(A2003="",'Skill Matrix'!F131=""),"",'Skill Matrix'!F131)</f>
        <v/>
      </c>
      <c r="H2003">
        <f>IF(A2003="","",'Employees'!F13)</f>
        <v/>
      </c>
    </row>
    <row r="2004">
      <c r="A2004">
        <f>IF(AND('Skill Matrix'!A131&lt;&gt;"",'Skill Matrix'!G5&lt;&gt;""),'Skill Matrix'!A131,"")</f>
        <v/>
      </c>
      <c r="B2004">
        <f>IF(A2004="","",'Employees'!C13)</f>
        <v/>
      </c>
      <c r="C2004">
        <f>IF(A2004="","",'Employees'!D13)</f>
        <v/>
      </c>
      <c r="D2004">
        <f>IF(A2004="","",'Skill Matrix'!C131)</f>
        <v/>
      </c>
      <c r="E2004">
        <f>IF(A2004="","",'Skill Matrix'!D131)</f>
        <v/>
      </c>
      <c r="F2004">
        <f>IF(AND('Skill Matrix'!A131&lt;&gt;"",'Skill Matrix'!G5&lt;&gt;""),'Skill Matrix'!G5,"")</f>
        <v/>
      </c>
      <c r="G2004">
        <f>IF(OR(A2004="",'Skill Matrix'!G131=""),"",'Skill Matrix'!G131)</f>
        <v/>
      </c>
      <c r="H2004">
        <f>IF(A2004="","",'Employees'!F13)</f>
        <v/>
      </c>
    </row>
    <row r="2005">
      <c r="A2005">
        <f>IF(AND('Skill Matrix'!A131&lt;&gt;"",'Skill Matrix'!H5&lt;&gt;""),'Skill Matrix'!A131,"")</f>
        <v/>
      </c>
      <c r="B2005">
        <f>IF(A2005="","",'Employees'!C13)</f>
        <v/>
      </c>
      <c r="C2005">
        <f>IF(A2005="","",'Employees'!D13)</f>
        <v/>
      </c>
      <c r="D2005">
        <f>IF(A2005="","",'Skill Matrix'!C131)</f>
        <v/>
      </c>
      <c r="E2005">
        <f>IF(A2005="","",'Skill Matrix'!D131)</f>
        <v/>
      </c>
      <c r="F2005">
        <f>IF(AND('Skill Matrix'!A131&lt;&gt;"",'Skill Matrix'!H5&lt;&gt;""),'Skill Matrix'!H5,"")</f>
        <v/>
      </c>
      <c r="G2005">
        <f>IF(OR(A2005="",'Skill Matrix'!H131=""),"",'Skill Matrix'!H131)</f>
        <v/>
      </c>
      <c r="H2005">
        <f>IF(A2005="","",'Employees'!F13)</f>
        <v/>
      </c>
    </row>
    <row r="2006">
      <c r="A2006">
        <f>IF(AND('Skill Matrix'!A131&lt;&gt;"",'Skill Matrix'!I5&lt;&gt;""),'Skill Matrix'!A131,"")</f>
        <v/>
      </c>
      <c r="B2006">
        <f>IF(A2006="","",'Employees'!C13)</f>
        <v/>
      </c>
      <c r="C2006">
        <f>IF(A2006="","",'Employees'!D13)</f>
        <v/>
      </c>
      <c r="D2006">
        <f>IF(A2006="","",'Skill Matrix'!C131)</f>
        <v/>
      </c>
      <c r="E2006">
        <f>IF(A2006="","",'Skill Matrix'!D131)</f>
        <v/>
      </c>
      <c r="F2006">
        <f>IF(AND('Skill Matrix'!A131&lt;&gt;"",'Skill Matrix'!I5&lt;&gt;""),'Skill Matrix'!I5,"")</f>
        <v/>
      </c>
      <c r="G2006">
        <f>IF(OR(A2006="",'Skill Matrix'!I131=""),"",'Skill Matrix'!I131)</f>
        <v/>
      </c>
      <c r="H2006">
        <f>IF(A2006="","",'Employees'!F13)</f>
        <v/>
      </c>
    </row>
    <row r="2007">
      <c r="A2007">
        <f>IF(AND('Skill Matrix'!A131&lt;&gt;"",'Skill Matrix'!J5&lt;&gt;""),'Skill Matrix'!A131,"")</f>
        <v/>
      </c>
      <c r="B2007">
        <f>IF(A2007="","",'Employees'!C13)</f>
        <v/>
      </c>
      <c r="C2007">
        <f>IF(A2007="","",'Employees'!D13)</f>
        <v/>
      </c>
      <c r="D2007">
        <f>IF(A2007="","",'Skill Matrix'!C131)</f>
        <v/>
      </c>
      <c r="E2007">
        <f>IF(A2007="","",'Skill Matrix'!D131)</f>
        <v/>
      </c>
      <c r="F2007">
        <f>IF(AND('Skill Matrix'!A131&lt;&gt;"",'Skill Matrix'!J5&lt;&gt;""),'Skill Matrix'!J5,"")</f>
        <v/>
      </c>
      <c r="G2007">
        <f>IF(OR(A2007="",'Skill Matrix'!J131=""),"",'Skill Matrix'!J131)</f>
        <v/>
      </c>
      <c r="H2007">
        <f>IF(A2007="","",'Employees'!F13)</f>
        <v/>
      </c>
    </row>
    <row r="2008">
      <c r="A2008">
        <f>IF(AND('Skill Matrix'!A131&lt;&gt;"",'Skill Matrix'!K5&lt;&gt;""),'Skill Matrix'!A131,"")</f>
        <v/>
      </c>
      <c r="B2008">
        <f>IF(A2008="","",'Employees'!C13)</f>
        <v/>
      </c>
      <c r="C2008">
        <f>IF(A2008="","",'Employees'!D13)</f>
        <v/>
      </c>
      <c r="D2008">
        <f>IF(A2008="","",'Skill Matrix'!C131)</f>
        <v/>
      </c>
      <c r="E2008">
        <f>IF(A2008="","",'Skill Matrix'!D131)</f>
        <v/>
      </c>
      <c r="F2008">
        <f>IF(AND('Skill Matrix'!A131&lt;&gt;"",'Skill Matrix'!K5&lt;&gt;""),'Skill Matrix'!K5,"")</f>
        <v/>
      </c>
      <c r="G2008">
        <f>IF(OR(A2008="",'Skill Matrix'!K131=""),"",'Skill Matrix'!K131)</f>
        <v/>
      </c>
      <c r="H2008">
        <f>IF(A2008="","",'Employees'!F13)</f>
        <v/>
      </c>
    </row>
    <row r="2009">
      <c r="A2009">
        <f>IF(AND('Skill Matrix'!A131&lt;&gt;"",'Skill Matrix'!L5&lt;&gt;""),'Skill Matrix'!A131,"")</f>
        <v/>
      </c>
      <c r="B2009">
        <f>IF(A2009="","",'Employees'!C13)</f>
        <v/>
      </c>
      <c r="C2009">
        <f>IF(A2009="","",'Employees'!D13)</f>
        <v/>
      </c>
      <c r="D2009">
        <f>IF(A2009="","",'Skill Matrix'!C131)</f>
        <v/>
      </c>
      <c r="E2009">
        <f>IF(A2009="","",'Skill Matrix'!D131)</f>
        <v/>
      </c>
      <c r="F2009">
        <f>IF(AND('Skill Matrix'!A131&lt;&gt;"",'Skill Matrix'!L5&lt;&gt;""),'Skill Matrix'!L5,"")</f>
        <v/>
      </c>
      <c r="G2009">
        <f>IF(OR(A2009="",'Skill Matrix'!L131=""),"",'Skill Matrix'!L131)</f>
        <v/>
      </c>
      <c r="H2009">
        <f>IF(A2009="","",'Employees'!F13)</f>
        <v/>
      </c>
    </row>
    <row r="2010">
      <c r="A2010">
        <f>IF(AND('Skill Matrix'!A131&lt;&gt;"",'Skill Matrix'!M5&lt;&gt;""),'Skill Matrix'!A131,"")</f>
        <v/>
      </c>
      <c r="B2010">
        <f>IF(A2010="","",'Employees'!C13)</f>
        <v/>
      </c>
      <c r="C2010">
        <f>IF(A2010="","",'Employees'!D13)</f>
        <v/>
      </c>
      <c r="D2010">
        <f>IF(A2010="","",'Skill Matrix'!C131)</f>
        <v/>
      </c>
      <c r="E2010">
        <f>IF(A2010="","",'Skill Matrix'!D131)</f>
        <v/>
      </c>
      <c r="F2010">
        <f>IF(AND('Skill Matrix'!A131&lt;&gt;"",'Skill Matrix'!M5&lt;&gt;""),'Skill Matrix'!M5,"")</f>
        <v/>
      </c>
      <c r="G2010">
        <f>IF(OR(A2010="",'Skill Matrix'!M131=""),"",'Skill Matrix'!M131)</f>
        <v/>
      </c>
      <c r="H2010">
        <f>IF(A2010="","",'Employees'!F13)</f>
        <v/>
      </c>
    </row>
    <row r="2011">
      <c r="A2011">
        <f>IF(AND('Skill Matrix'!A131&lt;&gt;"",'Skill Matrix'!N5&lt;&gt;""),'Skill Matrix'!A131,"")</f>
        <v/>
      </c>
      <c r="B2011">
        <f>IF(A2011="","",'Employees'!C13)</f>
        <v/>
      </c>
      <c r="C2011">
        <f>IF(A2011="","",'Employees'!D13)</f>
        <v/>
      </c>
      <c r="D2011">
        <f>IF(A2011="","",'Skill Matrix'!C131)</f>
        <v/>
      </c>
      <c r="E2011">
        <f>IF(A2011="","",'Skill Matrix'!D131)</f>
        <v/>
      </c>
      <c r="F2011">
        <f>IF(AND('Skill Matrix'!A131&lt;&gt;"",'Skill Matrix'!N5&lt;&gt;""),'Skill Matrix'!N5,"")</f>
        <v/>
      </c>
      <c r="G2011">
        <f>IF(OR(A2011="",'Skill Matrix'!N131=""),"",'Skill Matrix'!N131)</f>
        <v/>
      </c>
      <c r="H2011">
        <f>IF(A2011="","",'Employees'!F13)</f>
        <v/>
      </c>
    </row>
    <row r="2012">
      <c r="A2012">
        <f>IF(AND('Skill Matrix'!A131&lt;&gt;"",'Skill Matrix'!O5&lt;&gt;""),'Skill Matrix'!A131,"")</f>
        <v/>
      </c>
      <c r="B2012">
        <f>IF(A2012="","",'Employees'!C13)</f>
        <v/>
      </c>
      <c r="C2012">
        <f>IF(A2012="","",'Employees'!D13)</f>
        <v/>
      </c>
      <c r="D2012">
        <f>IF(A2012="","",'Skill Matrix'!C131)</f>
        <v/>
      </c>
      <c r="E2012">
        <f>IF(A2012="","",'Skill Matrix'!D131)</f>
        <v/>
      </c>
      <c r="F2012">
        <f>IF(AND('Skill Matrix'!A131&lt;&gt;"",'Skill Matrix'!O5&lt;&gt;""),'Skill Matrix'!O5,"")</f>
        <v/>
      </c>
      <c r="G2012">
        <f>IF(OR(A2012="",'Skill Matrix'!O131=""),"",'Skill Matrix'!O131)</f>
        <v/>
      </c>
      <c r="H2012">
        <f>IF(A2012="","",'Employees'!F13)</f>
        <v/>
      </c>
    </row>
    <row r="2013">
      <c r="A2013">
        <f>IF(AND('Skill Matrix'!A131&lt;&gt;"",'Skill Matrix'!P5&lt;&gt;""),'Skill Matrix'!A131,"")</f>
        <v/>
      </c>
      <c r="B2013">
        <f>IF(A2013="","",'Employees'!C13)</f>
        <v/>
      </c>
      <c r="C2013">
        <f>IF(A2013="","",'Employees'!D13)</f>
        <v/>
      </c>
      <c r="D2013">
        <f>IF(A2013="","",'Skill Matrix'!C131)</f>
        <v/>
      </c>
      <c r="E2013">
        <f>IF(A2013="","",'Skill Matrix'!D131)</f>
        <v/>
      </c>
      <c r="F2013">
        <f>IF(AND('Skill Matrix'!A131&lt;&gt;"",'Skill Matrix'!P5&lt;&gt;""),'Skill Matrix'!P5,"")</f>
        <v/>
      </c>
      <c r="G2013">
        <f>IF(OR(A2013="",'Skill Matrix'!P131=""),"",'Skill Matrix'!P131)</f>
        <v/>
      </c>
      <c r="H2013">
        <f>IF(A2013="","",'Employees'!F13)</f>
        <v/>
      </c>
    </row>
    <row r="2014">
      <c r="A2014">
        <f>IF(AND('Skill Matrix'!A131&lt;&gt;"",'Skill Matrix'!Q5&lt;&gt;""),'Skill Matrix'!A131,"")</f>
        <v/>
      </c>
      <c r="B2014">
        <f>IF(A2014="","",'Employees'!C13)</f>
        <v/>
      </c>
      <c r="C2014">
        <f>IF(A2014="","",'Employees'!D13)</f>
        <v/>
      </c>
      <c r="D2014">
        <f>IF(A2014="","",'Skill Matrix'!C131)</f>
        <v/>
      </c>
      <c r="E2014">
        <f>IF(A2014="","",'Skill Matrix'!D131)</f>
        <v/>
      </c>
      <c r="F2014">
        <f>IF(AND('Skill Matrix'!A131&lt;&gt;"",'Skill Matrix'!Q5&lt;&gt;""),'Skill Matrix'!Q5,"")</f>
        <v/>
      </c>
      <c r="G2014">
        <f>IF(OR(A2014="",'Skill Matrix'!Q131=""),"",'Skill Matrix'!Q131)</f>
        <v/>
      </c>
      <c r="H2014">
        <f>IF(A2014="","",'Employees'!F13)</f>
        <v/>
      </c>
    </row>
    <row r="2015">
      <c r="A2015">
        <f>IF(AND('Skill Matrix'!A131&lt;&gt;"",'Skill Matrix'!R5&lt;&gt;""),'Skill Matrix'!A131,"")</f>
        <v/>
      </c>
      <c r="B2015">
        <f>IF(A2015="","",'Employees'!C13)</f>
        <v/>
      </c>
      <c r="C2015">
        <f>IF(A2015="","",'Employees'!D13)</f>
        <v/>
      </c>
      <c r="D2015">
        <f>IF(A2015="","",'Skill Matrix'!C131)</f>
        <v/>
      </c>
      <c r="E2015">
        <f>IF(A2015="","",'Skill Matrix'!D131)</f>
        <v/>
      </c>
      <c r="F2015">
        <f>IF(AND('Skill Matrix'!A131&lt;&gt;"",'Skill Matrix'!R5&lt;&gt;""),'Skill Matrix'!R5,"")</f>
        <v/>
      </c>
      <c r="G2015">
        <f>IF(OR(A2015="",'Skill Matrix'!R131=""),"",'Skill Matrix'!R131)</f>
        <v/>
      </c>
      <c r="H2015">
        <f>IF(A2015="","",'Employees'!F13)</f>
        <v/>
      </c>
    </row>
    <row r="2016">
      <c r="A2016">
        <f>IF(AND('Skill Matrix'!A131&lt;&gt;"",'Skill Matrix'!S5&lt;&gt;""),'Skill Matrix'!A131,"")</f>
        <v/>
      </c>
      <c r="B2016">
        <f>IF(A2016="","",'Employees'!C13)</f>
        <v/>
      </c>
      <c r="C2016">
        <f>IF(A2016="","",'Employees'!D13)</f>
        <v/>
      </c>
      <c r="D2016">
        <f>IF(A2016="","",'Skill Matrix'!C131)</f>
        <v/>
      </c>
      <c r="E2016">
        <f>IF(A2016="","",'Skill Matrix'!D131)</f>
        <v/>
      </c>
      <c r="F2016">
        <f>IF(AND('Skill Matrix'!A131&lt;&gt;"",'Skill Matrix'!S5&lt;&gt;""),'Skill Matrix'!S5,"")</f>
        <v/>
      </c>
      <c r="G2016">
        <f>IF(OR(A2016="",'Skill Matrix'!S131=""),"",'Skill Matrix'!S131)</f>
        <v/>
      </c>
      <c r="H2016">
        <f>IF(A2016="","",'Employees'!F13)</f>
        <v/>
      </c>
    </row>
    <row r="2017">
      <c r="A2017">
        <f>IF(AND('Skill Matrix'!A131&lt;&gt;"",'Skill Matrix'!T5&lt;&gt;""),'Skill Matrix'!A131,"")</f>
        <v/>
      </c>
      <c r="B2017">
        <f>IF(A2017="","",'Employees'!C13)</f>
        <v/>
      </c>
      <c r="C2017">
        <f>IF(A2017="","",'Employees'!D13)</f>
        <v/>
      </c>
      <c r="D2017">
        <f>IF(A2017="","",'Skill Matrix'!C131)</f>
        <v/>
      </c>
      <c r="E2017">
        <f>IF(A2017="","",'Skill Matrix'!D131)</f>
        <v/>
      </c>
      <c r="F2017">
        <f>IF(AND('Skill Matrix'!A131&lt;&gt;"",'Skill Matrix'!T5&lt;&gt;""),'Skill Matrix'!T5,"")</f>
        <v/>
      </c>
      <c r="G2017">
        <f>IF(OR(A2017="",'Skill Matrix'!T131=""),"",'Skill Matrix'!T131)</f>
        <v/>
      </c>
      <c r="H2017">
        <f>IF(A2017="","",'Employees'!F13)</f>
        <v/>
      </c>
    </row>
    <row r="2018">
      <c r="A2018">
        <f>IF(AND('Skill Matrix'!A132&lt;&gt;"",'Skill Matrix'!E5&lt;&gt;""),'Skill Matrix'!A132,"")</f>
        <v/>
      </c>
      <c r="B2018">
        <f>IF(A2018="","",'Employees'!C13)</f>
        <v/>
      </c>
      <c r="C2018">
        <f>IF(A2018="","",'Employees'!D13)</f>
        <v/>
      </c>
      <c r="D2018">
        <f>IF(A2018="","",'Skill Matrix'!C132)</f>
        <v/>
      </c>
      <c r="E2018">
        <f>IF(A2018="","",'Skill Matrix'!D132)</f>
        <v/>
      </c>
      <c r="F2018">
        <f>IF(AND('Skill Matrix'!A132&lt;&gt;"",'Skill Matrix'!E5&lt;&gt;""),'Skill Matrix'!E5,"")</f>
        <v/>
      </c>
      <c r="G2018">
        <f>IF(OR(A2018="",'Skill Matrix'!E132=""),"",'Skill Matrix'!E132)</f>
        <v/>
      </c>
      <c r="H2018">
        <f>IF(A2018="","",'Employees'!F13)</f>
        <v/>
      </c>
    </row>
    <row r="2019">
      <c r="A2019">
        <f>IF(AND('Skill Matrix'!A132&lt;&gt;"",'Skill Matrix'!F5&lt;&gt;""),'Skill Matrix'!A132,"")</f>
        <v/>
      </c>
      <c r="B2019">
        <f>IF(A2019="","",'Employees'!C13)</f>
        <v/>
      </c>
      <c r="C2019">
        <f>IF(A2019="","",'Employees'!D13)</f>
        <v/>
      </c>
      <c r="D2019">
        <f>IF(A2019="","",'Skill Matrix'!C132)</f>
        <v/>
      </c>
      <c r="E2019">
        <f>IF(A2019="","",'Skill Matrix'!D132)</f>
        <v/>
      </c>
      <c r="F2019">
        <f>IF(AND('Skill Matrix'!A132&lt;&gt;"",'Skill Matrix'!F5&lt;&gt;""),'Skill Matrix'!F5,"")</f>
        <v/>
      </c>
      <c r="G2019">
        <f>IF(OR(A2019="",'Skill Matrix'!F132=""),"",'Skill Matrix'!F132)</f>
        <v/>
      </c>
      <c r="H2019">
        <f>IF(A2019="","",'Employees'!F13)</f>
        <v/>
      </c>
    </row>
    <row r="2020">
      <c r="A2020">
        <f>IF(AND('Skill Matrix'!A132&lt;&gt;"",'Skill Matrix'!G5&lt;&gt;""),'Skill Matrix'!A132,"")</f>
        <v/>
      </c>
      <c r="B2020">
        <f>IF(A2020="","",'Employees'!C13)</f>
        <v/>
      </c>
      <c r="C2020">
        <f>IF(A2020="","",'Employees'!D13)</f>
        <v/>
      </c>
      <c r="D2020">
        <f>IF(A2020="","",'Skill Matrix'!C132)</f>
        <v/>
      </c>
      <c r="E2020">
        <f>IF(A2020="","",'Skill Matrix'!D132)</f>
        <v/>
      </c>
      <c r="F2020">
        <f>IF(AND('Skill Matrix'!A132&lt;&gt;"",'Skill Matrix'!G5&lt;&gt;""),'Skill Matrix'!G5,"")</f>
        <v/>
      </c>
      <c r="G2020">
        <f>IF(OR(A2020="",'Skill Matrix'!G132=""),"",'Skill Matrix'!G132)</f>
        <v/>
      </c>
      <c r="H2020">
        <f>IF(A2020="","",'Employees'!F13)</f>
        <v/>
      </c>
    </row>
    <row r="2021">
      <c r="A2021">
        <f>IF(AND('Skill Matrix'!A132&lt;&gt;"",'Skill Matrix'!H5&lt;&gt;""),'Skill Matrix'!A132,"")</f>
        <v/>
      </c>
      <c r="B2021">
        <f>IF(A2021="","",'Employees'!C13)</f>
        <v/>
      </c>
      <c r="C2021">
        <f>IF(A2021="","",'Employees'!D13)</f>
        <v/>
      </c>
      <c r="D2021">
        <f>IF(A2021="","",'Skill Matrix'!C132)</f>
        <v/>
      </c>
      <c r="E2021">
        <f>IF(A2021="","",'Skill Matrix'!D132)</f>
        <v/>
      </c>
      <c r="F2021">
        <f>IF(AND('Skill Matrix'!A132&lt;&gt;"",'Skill Matrix'!H5&lt;&gt;""),'Skill Matrix'!H5,"")</f>
        <v/>
      </c>
      <c r="G2021">
        <f>IF(OR(A2021="",'Skill Matrix'!H132=""),"",'Skill Matrix'!H132)</f>
        <v/>
      </c>
      <c r="H2021">
        <f>IF(A2021="","",'Employees'!F13)</f>
        <v/>
      </c>
    </row>
    <row r="2022">
      <c r="A2022">
        <f>IF(AND('Skill Matrix'!A132&lt;&gt;"",'Skill Matrix'!I5&lt;&gt;""),'Skill Matrix'!A132,"")</f>
        <v/>
      </c>
      <c r="B2022">
        <f>IF(A2022="","",'Employees'!C13)</f>
        <v/>
      </c>
      <c r="C2022">
        <f>IF(A2022="","",'Employees'!D13)</f>
        <v/>
      </c>
      <c r="D2022">
        <f>IF(A2022="","",'Skill Matrix'!C132)</f>
        <v/>
      </c>
      <c r="E2022">
        <f>IF(A2022="","",'Skill Matrix'!D132)</f>
        <v/>
      </c>
      <c r="F2022">
        <f>IF(AND('Skill Matrix'!A132&lt;&gt;"",'Skill Matrix'!I5&lt;&gt;""),'Skill Matrix'!I5,"")</f>
        <v/>
      </c>
      <c r="G2022">
        <f>IF(OR(A2022="",'Skill Matrix'!I132=""),"",'Skill Matrix'!I132)</f>
        <v/>
      </c>
      <c r="H2022">
        <f>IF(A2022="","",'Employees'!F13)</f>
        <v/>
      </c>
    </row>
    <row r="2023">
      <c r="A2023">
        <f>IF(AND('Skill Matrix'!A132&lt;&gt;"",'Skill Matrix'!J5&lt;&gt;""),'Skill Matrix'!A132,"")</f>
        <v/>
      </c>
      <c r="B2023">
        <f>IF(A2023="","",'Employees'!C13)</f>
        <v/>
      </c>
      <c r="C2023">
        <f>IF(A2023="","",'Employees'!D13)</f>
        <v/>
      </c>
      <c r="D2023">
        <f>IF(A2023="","",'Skill Matrix'!C132)</f>
        <v/>
      </c>
      <c r="E2023">
        <f>IF(A2023="","",'Skill Matrix'!D132)</f>
        <v/>
      </c>
      <c r="F2023">
        <f>IF(AND('Skill Matrix'!A132&lt;&gt;"",'Skill Matrix'!J5&lt;&gt;""),'Skill Matrix'!J5,"")</f>
        <v/>
      </c>
      <c r="G2023">
        <f>IF(OR(A2023="",'Skill Matrix'!J132=""),"",'Skill Matrix'!J132)</f>
        <v/>
      </c>
      <c r="H2023">
        <f>IF(A2023="","",'Employees'!F13)</f>
        <v/>
      </c>
    </row>
    <row r="2024">
      <c r="A2024">
        <f>IF(AND('Skill Matrix'!A132&lt;&gt;"",'Skill Matrix'!K5&lt;&gt;""),'Skill Matrix'!A132,"")</f>
        <v/>
      </c>
      <c r="B2024">
        <f>IF(A2024="","",'Employees'!C13)</f>
        <v/>
      </c>
      <c r="C2024">
        <f>IF(A2024="","",'Employees'!D13)</f>
        <v/>
      </c>
      <c r="D2024">
        <f>IF(A2024="","",'Skill Matrix'!C132)</f>
        <v/>
      </c>
      <c r="E2024">
        <f>IF(A2024="","",'Skill Matrix'!D132)</f>
        <v/>
      </c>
      <c r="F2024">
        <f>IF(AND('Skill Matrix'!A132&lt;&gt;"",'Skill Matrix'!K5&lt;&gt;""),'Skill Matrix'!K5,"")</f>
        <v/>
      </c>
      <c r="G2024">
        <f>IF(OR(A2024="",'Skill Matrix'!K132=""),"",'Skill Matrix'!K132)</f>
        <v/>
      </c>
      <c r="H2024">
        <f>IF(A2024="","",'Employees'!F13)</f>
        <v/>
      </c>
    </row>
    <row r="2025">
      <c r="A2025">
        <f>IF(AND('Skill Matrix'!A132&lt;&gt;"",'Skill Matrix'!L5&lt;&gt;""),'Skill Matrix'!A132,"")</f>
        <v/>
      </c>
      <c r="B2025">
        <f>IF(A2025="","",'Employees'!C13)</f>
        <v/>
      </c>
      <c r="C2025">
        <f>IF(A2025="","",'Employees'!D13)</f>
        <v/>
      </c>
      <c r="D2025">
        <f>IF(A2025="","",'Skill Matrix'!C132)</f>
        <v/>
      </c>
      <c r="E2025">
        <f>IF(A2025="","",'Skill Matrix'!D132)</f>
        <v/>
      </c>
      <c r="F2025">
        <f>IF(AND('Skill Matrix'!A132&lt;&gt;"",'Skill Matrix'!L5&lt;&gt;""),'Skill Matrix'!L5,"")</f>
        <v/>
      </c>
      <c r="G2025">
        <f>IF(OR(A2025="",'Skill Matrix'!L132=""),"",'Skill Matrix'!L132)</f>
        <v/>
      </c>
      <c r="H2025">
        <f>IF(A2025="","",'Employees'!F13)</f>
        <v/>
      </c>
    </row>
    <row r="2026">
      <c r="A2026">
        <f>IF(AND('Skill Matrix'!A132&lt;&gt;"",'Skill Matrix'!M5&lt;&gt;""),'Skill Matrix'!A132,"")</f>
        <v/>
      </c>
      <c r="B2026">
        <f>IF(A2026="","",'Employees'!C13)</f>
        <v/>
      </c>
      <c r="C2026">
        <f>IF(A2026="","",'Employees'!D13)</f>
        <v/>
      </c>
      <c r="D2026">
        <f>IF(A2026="","",'Skill Matrix'!C132)</f>
        <v/>
      </c>
      <c r="E2026">
        <f>IF(A2026="","",'Skill Matrix'!D132)</f>
        <v/>
      </c>
      <c r="F2026">
        <f>IF(AND('Skill Matrix'!A132&lt;&gt;"",'Skill Matrix'!M5&lt;&gt;""),'Skill Matrix'!M5,"")</f>
        <v/>
      </c>
      <c r="G2026">
        <f>IF(OR(A2026="",'Skill Matrix'!M132=""),"",'Skill Matrix'!M132)</f>
        <v/>
      </c>
      <c r="H2026">
        <f>IF(A2026="","",'Employees'!F13)</f>
        <v/>
      </c>
    </row>
    <row r="2027">
      <c r="A2027">
        <f>IF(AND('Skill Matrix'!A132&lt;&gt;"",'Skill Matrix'!N5&lt;&gt;""),'Skill Matrix'!A132,"")</f>
        <v/>
      </c>
      <c r="B2027">
        <f>IF(A2027="","",'Employees'!C13)</f>
        <v/>
      </c>
      <c r="C2027">
        <f>IF(A2027="","",'Employees'!D13)</f>
        <v/>
      </c>
      <c r="D2027">
        <f>IF(A2027="","",'Skill Matrix'!C132)</f>
        <v/>
      </c>
      <c r="E2027">
        <f>IF(A2027="","",'Skill Matrix'!D132)</f>
        <v/>
      </c>
      <c r="F2027">
        <f>IF(AND('Skill Matrix'!A132&lt;&gt;"",'Skill Matrix'!N5&lt;&gt;""),'Skill Matrix'!N5,"")</f>
        <v/>
      </c>
      <c r="G2027">
        <f>IF(OR(A2027="",'Skill Matrix'!N132=""),"",'Skill Matrix'!N132)</f>
        <v/>
      </c>
      <c r="H2027">
        <f>IF(A2027="","",'Employees'!F13)</f>
        <v/>
      </c>
    </row>
    <row r="2028">
      <c r="A2028">
        <f>IF(AND('Skill Matrix'!A132&lt;&gt;"",'Skill Matrix'!O5&lt;&gt;""),'Skill Matrix'!A132,"")</f>
        <v/>
      </c>
      <c r="B2028">
        <f>IF(A2028="","",'Employees'!C13)</f>
        <v/>
      </c>
      <c r="C2028">
        <f>IF(A2028="","",'Employees'!D13)</f>
        <v/>
      </c>
      <c r="D2028">
        <f>IF(A2028="","",'Skill Matrix'!C132)</f>
        <v/>
      </c>
      <c r="E2028">
        <f>IF(A2028="","",'Skill Matrix'!D132)</f>
        <v/>
      </c>
      <c r="F2028">
        <f>IF(AND('Skill Matrix'!A132&lt;&gt;"",'Skill Matrix'!O5&lt;&gt;""),'Skill Matrix'!O5,"")</f>
        <v/>
      </c>
      <c r="G2028">
        <f>IF(OR(A2028="",'Skill Matrix'!O132=""),"",'Skill Matrix'!O132)</f>
        <v/>
      </c>
      <c r="H2028">
        <f>IF(A2028="","",'Employees'!F13)</f>
        <v/>
      </c>
    </row>
    <row r="2029">
      <c r="A2029">
        <f>IF(AND('Skill Matrix'!A132&lt;&gt;"",'Skill Matrix'!P5&lt;&gt;""),'Skill Matrix'!A132,"")</f>
        <v/>
      </c>
      <c r="B2029">
        <f>IF(A2029="","",'Employees'!C13)</f>
        <v/>
      </c>
      <c r="C2029">
        <f>IF(A2029="","",'Employees'!D13)</f>
        <v/>
      </c>
      <c r="D2029">
        <f>IF(A2029="","",'Skill Matrix'!C132)</f>
        <v/>
      </c>
      <c r="E2029">
        <f>IF(A2029="","",'Skill Matrix'!D132)</f>
        <v/>
      </c>
      <c r="F2029">
        <f>IF(AND('Skill Matrix'!A132&lt;&gt;"",'Skill Matrix'!P5&lt;&gt;""),'Skill Matrix'!P5,"")</f>
        <v/>
      </c>
      <c r="G2029">
        <f>IF(OR(A2029="",'Skill Matrix'!P132=""),"",'Skill Matrix'!P132)</f>
        <v/>
      </c>
      <c r="H2029">
        <f>IF(A2029="","",'Employees'!F13)</f>
        <v/>
      </c>
    </row>
    <row r="2030">
      <c r="A2030">
        <f>IF(AND('Skill Matrix'!A132&lt;&gt;"",'Skill Matrix'!Q5&lt;&gt;""),'Skill Matrix'!A132,"")</f>
        <v/>
      </c>
      <c r="B2030">
        <f>IF(A2030="","",'Employees'!C13)</f>
        <v/>
      </c>
      <c r="C2030">
        <f>IF(A2030="","",'Employees'!D13)</f>
        <v/>
      </c>
      <c r="D2030">
        <f>IF(A2030="","",'Skill Matrix'!C132)</f>
        <v/>
      </c>
      <c r="E2030">
        <f>IF(A2030="","",'Skill Matrix'!D132)</f>
        <v/>
      </c>
      <c r="F2030">
        <f>IF(AND('Skill Matrix'!A132&lt;&gt;"",'Skill Matrix'!Q5&lt;&gt;""),'Skill Matrix'!Q5,"")</f>
        <v/>
      </c>
      <c r="G2030">
        <f>IF(OR(A2030="",'Skill Matrix'!Q132=""),"",'Skill Matrix'!Q132)</f>
        <v/>
      </c>
      <c r="H2030">
        <f>IF(A2030="","",'Employees'!F13)</f>
        <v/>
      </c>
    </row>
    <row r="2031">
      <c r="A2031">
        <f>IF(AND('Skill Matrix'!A132&lt;&gt;"",'Skill Matrix'!R5&lt;&gt;""),'Skill Matrix'!A132,"")</f>
        <v/>
      </c>
      <c r="B2031">
        <f>IF(A2031="","",'Employees'!C13)</f>
        <v/>
      </c>
      <c r="C2031">
        <f>IF(A2031="","",'Employees'!D13)</f>
        <v/>
      </c>
      <c r="D2031">
        <f>IF(A2031="","",'Skill Matrix'!C132)</f>
        <v/>
      </c>
      <c r="E2031">
        <f>IF(A2031="","",'Skill Matrix'!D132)</f>
        <v/>
      </c>
      <c r="F2031">
        <f>IF(AND('Skill Matrix'!A132&lt;&gt;"",'Skill Matrix'!R5&lt;&gt;""),'Skill Matrix'!R5,"")</f>
        <v/>
      </c>
      <c r="G2031">
        <f>IF(OR(A2031="",'Skill Matrix'!R132=""),"",'Skill Matrix'!R132)</f>
        <v/>
      </c>
      <c r="H2031">
        <f>IF(A2031="","",'Employees'!F13)</f>
        <v/>
      </c>
    </row>
    <row r="2032">
      <c r="A2032">
        <f>IF(AND('Skill Matrix'!A132&lt;&gt;"",'Skill Matrix'!S5&lt;&gt;""),'Skill Matrix'!A132,"")</f>
        <v/>
      </c>
      <c r="B2032">
        <f>IF(A2032="","",'Employees'!C13)</f>
        <v/>
      </c>
      <c r="C2032">
        <f>IF(A2032="","",'Employees'!D13)</f>
        <v/>
      </c>
      <c r="D2032">
        <f>IF(A2032="","",'Skill Matrix'!C132)</f>
        <v/>
      </c>
      <c r="E2032">
        <f>IF(A2032="","",'Skill Matrix'!D132)</f>
        <v/>
      </c>
      <c r="F2032">
        <f>IF(AND('Skill Matrix'!A132&lt;&gt;"",'Skill Matrix'!S5&lt;&gt;""),'Skill Matrix'!S5,"")</f>
        <v/>
      </c>
      <c r="G2032">
        <f>IF(OR(A2032="",'Skill Matrix'!S132=""),"",'Skill Matrix'!S132)</f>
        <v/>
      </c>
      <c r="H2032">
        <f>IF(A2032="","",'Employees'!F13)</f>
        <v/>
      </c>
    </row>
    <row r="2033">
      <c r="A2033">
        <f>IF(AND('Skill Matrix'!A132&lt;&gt;"",'Skill Matrix'!T5&lt;&gt;""),'Skill Matrix'!A132,"")</f>
        <v/>
      </c>
      <c r="B2033">
        <f>IF(A2033="","",'Employees'!C13)</f>
        <v/>
      </c>
      <c r="C2033">
        <f>IF(A2033="","",'Employees'!D13)</f>
        <v/>
      </c>
      <c r="D2033">
        <f>IF(A2033="","",'Skill Matrix'!C132)</f>
        <v/>
      </c>
      <c r="E2033">
        <f>IF(A2033="","",'Skill Matrix'!D132)</f>
        <v/>
      </c>
      <c r="F2033">
        <f>IF(AND('Skill Matrix'!A132&lt;&gt;"",'Skill Matrix'!T5&lt;&gt;""),'Skill Matrix'!T5,"")</f>
        <v/>
      </c>
      <c r="G2033">
        <f>IF(OR(A2033="",'Skill Matrix'!T132=""),"",'Skill Matrix'!T132)</f>
        <v/>
      </c>
      <c r="H2033">
        <f>IF(A2033="","",'Employees'!F13)</f>
        <v/>
      </c>
    </row>
    <row r="2034">
      <c r="A2034">
        <f>IF(AND('Skill Matrix'!A133&lt;&gt;"",'Skill Matrix'!E5&lt;&gt;""),'Skill Matrix'!A133,"")</f>
        <v/>
      </c>
      <c r="B2034">
        <f>IF(A2034="","",'Employees'!C13)</f>
        <v/>
      </c>
      <c r="C2034">
        <f>IF(A2034="","",'Employees'!D13)</f>
        <v/>
      </c>
      <c r="D2034">
        <f>IF(A2034="","",'Skill Matrix'!C133)</f>
        <v/>
      </c>
      <c r="E2034">
        <f>IF(A2034="","",'Skill Matrix'!D133)</f>
        <v/>
      </c>
      <c r="F2034">
        <f>IF(AND('Skill Matrix'!A133&lt;&gt;"",'Skill Matrix'!E5&lt;&gt;""),'Skill Matrix'!E5,"")</f>
        <v/>
      </c>
      <c r="G2034">
        <f>IF(OR(A2034="",'Skill Matrix'!E133=""),"",'Skill Matrix'!E133)</f>
        <v/>
      </c>
      <c r="H2034">
        <f>IF(A2034="","",'Employees'!F13)</f>
        <v/>
      </c>
    </row>
    <row r="2035">
      <c r="A2035">
        <f>IF(AND('Skill Matrix'!A133&lt;&gt;"",'Skill Matrix'!F5&lt;&gt;""),'Skill Matrix'!A133,"")</f>
        <v/>
      </c>
      <c r="B2035">
        <f>IF(A2035="","",'Employees'!C13)</f>
        <v/>
      </c>
      <c r="C2035">
        <f>IF(A2035="","",'Employees'!D13)</f>
        <v/>
      </c>
      <c r="D2035">
        <f>IF(A2035="","",'Skill Matrix'!C133)</f>
        <v/>
      </c>
      <c r="E2035">
        <f>IF(A2035="","",'Skill Matrix'!D133)</f>
        <v/>
      </c>
      <c r="F2035">
        <f>IF(AND('Skill Matrix'!A133&lt;&gt;"",'Skill Matrix'!F5&lt;&gt;""),'Skill Matrix'!F5,"")</f>
        <v/>
      </c>
      <c r="G2035">
        <f>IF(OR(A2035="",'Skill Matrix'!F133=""),"",'Skill Matrix'!F133)</f>
        <v/>
      </c>
      <c r="H2035">
        <f>IF(A2035="","",'Employees'!F13)</f>
        <v/>
      </c>
    </row>
    <row r="2036">
      <c r="A2036">
        <f>IF(AND('Skill Matrix'!A133&lt;&gt;"",'Skill Matrix'!G5&lt;&gt;""),'Skill Matrix'!A133,"")</f>
        <v/>
      </c>
      <c r="B2036">
        <f>IF(A2036="","",'Employees'!C13)</f>
        <v/>
      </c>
      <c r="C2036">
        <f>IF(A2036="","",'Employees'!D13)</f>
        <v/>
      </c>
      <c r="D2036">
        <f>IF(A2036="","",'Skill Matrix'!C133)</f>
        <v/>
      </c>
      <c r="E2036">
        <f>IF(A2036="","",'Skill Matrix'!D133)</f>
        <v/>
      </c>
      <c r="F2036">
        <f>IF(AND('Skill Matrix'!A133&lt;&gt;"",'Skill Matrix'!G5&lt;&gt;""),'Skill Matrix'!G5,"")</f>
        <v/>
      </c>
      <c r="G2036">
        <f>IF(OR(A2036="",'Skill Matrix'!G133=""),"",'Skill Matrix'!G133)</f>
        <v/>
      </c>
      <c r="H2036">
        <f>IF(A2036="","",'Employees'!F13)</f>
        <v/>
      </c>
    </row>
    <row r="2037">
      <c r="A2037">
        <f>IF(AND('Skill Matrix'!A133&lt;&gt;"",'Skill Matrix'!H5&lt;&gt;""),'Skill Matrix'!A133,"")</f>
        <v/>
      </c>
      <c r="B2037">
        <f>IF(A2037="","",'Employees'!C13)</f>
        <v/>
      </c>
      <c r="C2037">
        <f>IF(A2037="","",'Employees'!D13)</f>
        <v/>
      </c>
      <c r="D2037">
        <f>IF(A2037="","",'Skill Matrix'!C133)</f>
        <v/>
      </c>
      <c r="E2037">
        <f>IF(A2037="","",'Skill Matrix'!D133)</f>
        <v/>
      </c>
      <c r="F2037">
        <f>IF(AND('Skill Matrix'!A133&lt;&gt;"",'Skill Matrix'!H5&lt;&gt;""),'Skill Matrix'!H5,"")</f>
        <v/>
      </c>
      <c r="G2037">
        <f>IF(OR(A2037="",'Skill Matrix'!H133=""),"",'Skill Matrix'!H133)</f>
        <v/>
      </c>
      <c r="H2037">
        <f>IF(A2037="","",'Employees'!F13)</f>
        <v/>
      </c>
    </row>
    <row r="2038">
      <c r="A2038">
        <f>IF(AND('Skill Matrix'!A133&lt;&gt;"",'Skill Matrix'!I5&lt;&gt;""),'Skill Matrix'!A133,"")</f>
        <v/>
      </c>
      <c r="B2038">
        <f>IF(A2038="","",'Employees'!C13)</f>
        <v/>
      </c>
      <c r="C2038">
        <f>IF(A2038="","",'Employees'!D13)</f>
        <v/>
      </c>
      <c r="D2038">
        <f>IF(A2038="","",'Skill Matrix'!C133)</f>
        <v/>
      </c>
      <c r="E2038">
        <f>IF(A2038="","",'Skill Matrix'!D133)</f>
        <v/>
      </c>
      <c r="F2038">
        <f>IF(AND('Skill Matrix'!A133&lt;&gt;"",'Skill Matrix'!I5&lt;&gt;""),'Skill Matrix'!I5,"")</f>
        <v/>
      </c>
      <c r="G2038">
        <f>IF(OR(A2038="",'Skill Matrix'!I133=""),"",'Skill Matrix'!I133)</f>
        <v/>
      </c>
      <c r="H2038">
        <f>IF(A2038="","",'Employees'!F13)</f>
        <v/>
      </c>
    </row>
    <row r="2039">
      <c r="A2039">
        <f>IF(AND('Skill Matrix'!A133&lt;&gt;"",'Skill Matrix'!J5&lt;&gt;""),'Skill Matrix'!A133,"")</f>
        <v/>
      </c>
      <c r="B2039">
        <f>IF(A2039="","",'Employees'!C13)</f>
        <v/>
      </c>
      <c r="C2039">
        <f>IF(A2039="","",'Employees'!D13)</f>
        <v/>
      </c>
      <c r="D2039">
        <f>IF(A2039="","",'Skill Matrix'!C133)</f>
        <v/>
      </c>
      <c r="E2039">
        <f>IF(A2039="","",'Skill Matrix'!D133)</f>
        <v/>
      </c>
      <c r="F2039">
        <f>IF(AND('Skill Matrix'!A133&lt;&gt;"",'Skill Matrix'!J5&lt;&gt;""),'Skill Matrix'!J5,"")</f>
        <v/>
      </c>
      <c r="G2039">
        <f>IF(OR(A2039="",'Skill Matrix'!J133=""),"",'Skill Matrix'!J133)</f>
        <v/>
      </c>
      <c r="H2039">
        <f>IF(A2039="","",'Employees'!F13)</f>
        <v/>
      </c>
    </row>
    <row r="2040">
      <c r="A2040">
        <f>IF(AND('Skill Matrix'!A133&lt;&gt;"",'Skill Matrix'!K5&lt;&gt;""),'Skill Matrix'!A133,"")</f>
        <v/>
      </c>
      <c r="B2040">
        <f>IF(A2040="","",'Employees'!C13)</f>
        <v/>
      </c>
      <c r="C2040">
        <f>IF(A2040="","",'Employees'!D13)</f>
        <v/>
      </c>
      <c r="D2040">
        <f>IF(A2040="","",'Skill Matrix'!C133)</f>
        <v/>
      </c>
      <c r="E2040">
        <f>IF(A2040="","",'Skill Matrix'!D133)</f>
        <v/>
      </c>
      <c r="F2040">
        <f>IF(AND('Skill Matrix'!A133&lt;&gt;"",'Skill Matrix'!K5&lt;&gt;""),'Skill Matrix'!K5,"")</f>
        <v/>
      </c>
      <c r="G2040">
        <f>IF(OR(A2040="",'Skill Matrix'!K133=""),"",'Skill Matrix'!K133)</f>
        <v/>
      </c>
      <c r="H2040">
        <f>IF(A2040="","",'Employees'!F13)</f>
        <v/>
      </c>
    </row>
    <row r="2041">
      <c r="A2041">
        <f>IF(AND('Skill Matrix'!A133&lt;&gt;"",'Skill Matrix'!L5&lt;&gt;""),'Skill Matrix'!A133,"")</f>
        <v/>
      </c>
      <c r="B2041">
        <f>IF(A2041="","",'Employees'!C13)</f>
        <v/>
      </c>
      <c r="C2041">
        <f>IF(A2041="","",'Employees'!D13)</f>
        <v/>
      </c>
      <c r="D2041">
        <f>IF(A2041="","",'Skill Matrix'!C133)</f>
        <v/>
      </c>
      <c r="E2041">
        <f>IF(A2041="","",'Skill Matrix'!D133)</f>
        <v/>
      </c>
      <c r="F2041">
        <f>IF(AND('Skill Matrix'!A133&lt;&gt;"",'Skill Matrix'!L5&lt;&gt;""),'Skill Matrix'!L5,"")</f>
        <v/>
      </c>
      <c r="G2041">
        <f>IF(OR(A2041="",'Skill Matrix'!L133=""),"",'Skill Matrix'!L133)</f>
        <v/>
      </c>
      <c r="H2041">
        <f>IF(A2041="","",'Employees'!F13)</f>
        <v/>
      </c>
    </row>
    <row r="2042">
      <c r="A2042">
        <f>IF(AND('Skill Matrix'!A133&lt;&gt;"",'Skill Matrix'!M5&lt;&gt;""),'Skill Matrix'!A133,"")</f>
        <v/>
      </c>
      <c r="B2042">
        <f>IF(A2042="","",'Employees'!C13)</f>
        <v/>
      </c>
      <c r="C2042">
        <f>IF(A2042="","",'Employees'!D13)</f>
        <v/>
      </c>
      <c r="D2042">
        <f>IF(A2042="","",'Skill Matrix'!C133)</f>
        <v/>
      </c>
      <c r="E2042">
        <f>IF(A2042="","",'Skill Matrix'!D133)</f>
        <v/>
      </c>
      <c r="F2042">
        <f>IF(AND('Skill Matrix'!A133&lt;&gt;"",'Skill Matrix'!M5&lt;&gt;""),'Skill Matrix'!M5,"")</f>
        <v/>
      </c>
      <c r="G2042">
        <f>IF(OR(A2042="",'Skill Matrix'!M133=""),"",'Skill Matrix'!M133)</f>
        <v/>
      </c>
      <c r="H2042">
        <f>IF(A2042="","",'Employees'!F13)</f>
        <v/>
      </c>
    </row>
    <row r="2043">
      <c r="A2043">
        <f>IF(AND('Skill Matrix'!A133&lt;&gt;"",'Skill Matrix'!N5&lt;&gt;""),'Skill Matrix'!A133,"")</f>
        <v/>
      </c>
      <c r="B2043">
        <f>IF(A2043="","",'Employees'!C13)</f>
        <v/>
      </c>
      <c r="C2043">
        <f>IF(A2043="","",'Employees'!D13)</f>
        <v/>
      </c>
      <c r="D2043">
        <f>IF(A2043="","",'Skill Matrix'!C133)</f>
        <v/>
      </c>
      <c r="E2043">
        <f>IF(A2043="","",'Skill Matrix'!D133)</f>
        <v/>
      </c>
      <c r="F2043">
        <f>IF(AND('Skill Matrix'!A133&lt;&gt;"",'Skill Matrix'!N5&lt;&gt;""),'Skill Matrix'!N5,"")</f>
        <v/>
      </c>
      <c r="G2043">
        <f>IF(OR(A2043="",'Skill Matrix'!N133=""),"",'Skill Matrix'!N133)</f>
        <v/>
      </c>
      <c r="H2043">
        <f>IF(A2043="","",'Employees'!F13)</f>
        <v/>
      </c>
    </row>
    <row r="2044">
      <c r="A2044">
        <f>IF(AND('Skill Matrix'!A133&lt;&gt;"",'Skill Matrix'!O5&lt;&gt;""),'Skill Matrix'!A133,"")</f>
        <v/>
      </c>
      <c r="B2044">
        <f>IF(A2044="","",'Employees'!C13)</f>
        <v/>
      </c>
      <c r="C2044">
        <f>IF(A2044="","",'Employees'!D13)</f>
        <v/>
      </c>
      <c r="D2044">
        <f>IF(A2044="","",'Skill Matrix'!C133)</f>
        <v/>
      </c>
      <c r="E2044">
        <f>IF(A2044="","",'Skill Matrix'!D133)</f>
        <v/>
      </c>
      <c r="F2044">
        <f>IF(AND('Skill Matrix'!A133&lt;&gt;"",'Skill Matrix'!O5&lt;&gt;""),'Skill Matrix'!O5,"")</f>
        <v/>
      </c>
      <c r="G2044">
        <f>IF(OR(A2044="",'Skill Matrix'!O133=""),"",'Skill Matrix'!O133)</f>
        <v/>
      </c>
      <c r="H2044">
        <f>IF(A2044="","",'Employees'!F13)</f>
        <v/>
      </c>
    </row>
    <row r="2045">
      <c r="A2045">
        <f>IF(AND('Skill Matrix'!A133&lt;&gt;"",'Skill Matrix'!P5&lt;&gt;""),'Skill Matrix'!A133,"")</f>
        <v/>
      </c>
      <c r="B2045">
        <f>IF(A2045="","",'Employees'!C13)</f>
        <v/>
      </c>
      <c r="C2045">
        <f>IF(A2045="","",'Employees'!D13)</f>
        <v/>
      </c>
      <c r="D2045">
        <f>IF(A2045="","",'Skill Matrix'!C133)</f>
        <v/>
      </c>
      <c r="E2045">
        <f>IF(A2045="","",'Skill Matrix'!D133)</f>
        <v/>
      </c>
      <c r="F2045">
        <f>IF(AND('Skill Matrix'!A133&lt;&gt;"",'Skill Matrix'!P5&lt;&gt;""),'Skill Matrix'!P5,"")</f>
        <v/>
      </c>
      <c r="G2045">
        <f>IF(OR(A2045="",'Skill Matrix'!P133=""),"",'Skill Matrix'!P133)</f>
        <v/>
      </c>
      <c r="H2045">
        <f>IF(A2045="","",'Employees'!F13)</f>
        <v/>
      </c>
    </row>
    <row r="2046">
      <c r="A2046">
        <f>IF(AND('Skill Matrix'!A133&lt;&gt;"",'Skill Matrix'!Q5&lt;&gt;""),'Skill Matrix'!A133,"")</f>
        <v/>
      </c>
      <c r="B2046">
        <f>IF(A2046="","",'Employees'!C13)</f>
        <v/>
      </c>
      <c r="C2046">
        <f>IF(A2046="","",'Employees'!D13)</f>
        <v/>
      </c>
      <c r="D2046">
        <f>IF(A2046="","",'Skill Matrix'!C133)</f>
        <v/>
      </c>
      <c r="E2046">
        <f>IF(A2046="","",'Skill Matrix'!D133)</f>
        <v/>
      </c>
      <c r="F2046">
        <f>IF(AND('Skill Matrix'!A133&lt;&gt;"",'Skill Matrix'!Q5&lt;&gt;""),'Skill Matrix'!Q5,"")</f>
        <v/>
      </c>
      <c r="G2046">
        <f>IF(OR(A2046="",'Skill Matrix'!Q133=""),"",'Skill Matrix'!Q133)</f>
        <v/>
      </c>
      <c r="H2046">
        <f>IF(A2046="","",'Employees'!F13)</f>
        <v/>
      </c>
    </row>
    <row r="2047">
      <c r="A2047">
        <f>IF(AND('Skill Matrix'!A133&lt;&gt;"",'Skill Matrix'!R5&lt;&gt;""),'Skill Matrix'!A133,"")</f>
        <v/>
      </c>
      <c r="B2047">
        <f>IF(A2047="","",'Employees'!C13)</f>
        <v/>
      </c>
      <c r="C2047">
        <f>IF(A2047="","",'Employees'!D13)</f>
        <v/>
      </c>
      <c r="D2047">
        <f>IF(A2047="","",'Skill Matrix'!C133)</f>
        <v/>
      </c>
      <c r="E2047">
        <f>IF(A2047="","",'Skill Matrix'!D133)</f>
        <v/>
      </c>
      <c r="F2047">
        <f>IF(AND('Skill Matrix'!A133&lt;&gt;"",'Skill Matrix'!R5&lt;&gt;""),'Skill Matrix'!R5,"")</f>
        <v/>
      </c>
      <c r="G2047">
        <f>IF(OR(A2047="",'Skill Matrix'!R133=""),"",'Skill Matrix'!R133)</f>
        <v/>
      </c>
      <c r="H2047">
        <f>IF(A2047="","",'Employees'!F13)</f>
        <v/>
      </c>
    </row>
    <row r="2048">
      <c r="A2048">
        <f>IF(AND('Skill Matrix'!A133&lt;&gt;"",'Skill Matrix'!S5&lt;&gt;""),'Skill Matrix'!A133,"")</f>
        <v/>
      </c>
      <c r="B2048">
        <f>IF(A2048="","",'Employees'!C13)</f>
        <v/>
      </c>
      <c r="C2048">
        <f>IF(A2048="","",'Employees'!D13)</f>
        <v/>
      </c>
      <c r="D2048">
        <f>IF(A2048="","",'Skill Matrix'!C133)</f>
        <v/>
      </c>
      <c r="E2048">
        <f>IF(A2048="","",'Skill Matrix'!D133)</f>
        <v/>
      </c>
      <c r="F2048">
        <f>IF(AND('Skill Matrix'!A133&lt;&gt;"",'Skill Matrix'!S5&lt;&gt;""),'Skill Matrix'!S5,"")</f>
        <v/>
      </c>
      <c r="G2048">
        <f>IF(OR(A2048="",'Skill Matrix'!S133=""),"",'Skill Matrix'!S133)</f>
        <v/>
      </c>
      <c r="H2048">
        <f>IF(A2048="","",'Employees'!F13)</f>
        <v/>
      </c>
    </row>
    <row r="2049">
      <c r="A2049">
        <f>IF(AND('Skill Matrix'!A133&lt;&gt;"",'Skill Matrix'!T5&lt;&gt;""),'Skill Matrix'!A133,"")</f>
        <v/>
      </c>
      <c r="B2049">
        <f>IF(A2049="","",'Employees'!C13)</f>
        <v/>
      </c>
      <c r="C2049">
        <f>IF(A2049="","",'Employees'!D13)</f>
        <v/>
      </c>
      <c r="D2049">
        <f>IF(A2049="","",'Skill Matrix'!C133)</f>
        <v/>
      </c>
      <c r="E2049">
        <f>IF(A2049="","",'Skill Matrix'!D133)</f>
        <v/>
      </c>
      <c r="F2049">
        <f>IF(AND('Skill Matrix'!A133&lt;&gt;"",'Skill Matrix'!T5&lt;&gt;""),'Skill Matrix'!T5,"")</f>
        <v/>
      </c>
      <c r="G2049">
        <f>IF(OR(A2049="",'Skill Matrix'!T133=""),"",'Skill Matrix'!T133)</f>
        <v/>
      </c>
      <c r="H2049">
        <f>IF(A2049="","",'Employees'!F13)</f>
        <v/>
      </c>
    </row>
    <row r="2050">
      <c r="A2050">
        <f>IF(AND('Skill Matrix'!A134&lt;&gt;"",'Skill Matrix'!E5&lt;&gt;""),'Skill Matrix'!A134,"")</f>
        <v/>
      </c>
      <c r="B2050">
        <f>IF(A2050="","",'Employees'!C14)</f>
        <v/>
      </c>
      <c r="C2050">
        <f>IF(A2050="","",'Employees'!D14)</f>
        <v/>
      </c>
      <c r="D2050">
        <f>IF(A2050="","",'Skill Matrix'!C134)</f>
        <v/>
      </c>
      <c r="E2050">
        <f>IF(A2050="","",'Skill Matrix'!D134)</f>
        <v/>
      </c>
      <c r="F2050">
        <f>IF(AND('Skill Matrix'!A134&lt;&gt;"",'Skill Matrix'!E5&lt;&gt;""),'Skill Matrix'!E5,"")</f>
        <v/>
      </c>
      <c r="G2050">
        <f>IF(OR(A2050="",'Skill Matrix'!E134=""),"",'Skill Matrix'!E134)</f>
        <v/>
      </c>
      <c r="H2050">
        <f>IF(A2050="","",'Employees'!F14)</f>
        <v/>
      </c>
    </row>
    <row r="2051">
      <c r="A2051">
        <f>IF(AND('Skill Matrix'!A134&lt;&gt;"",'Skill Matrix'!F5&lt;&gt;""),'Skill Matrix'!A134,"")</f>
        <v/>
      </c>
      <c r="B2051">
        <f>IF(A2051="","",'Employees'!C14)</f>
        <v/>
      </c>
      <c r="C2051">
        <f>IF(A2051="","",'Employees'!D14)</f>
        <v/>
      </c>
      <c r="D2051">
        <f>IF(A2051="","",'Skill Matrix'!C134)</f>
        <v/>
      </c>
      <c r="E2051">
        <f>IF(A2051="","",'Skill Matrix'!D134)</f>
        <v/>
      </c>
      <c r="F2051">
        <f>IF(AND('Skill Matrix'!A134&lt;&gt;"",'Skill Matrix'!F5&lt;&gt;""),'Skill Matrix'!F5,"")</f>
        <v/>
      </c>
      <c r="G2051">
        <f>IF(OR(A2051="",'Skill Matrix'!F134=""),"",'Skill Matrix'!F134)</f>
        <v/>
      </c>
      <c r="H2051">
        <f>IF(A2051="","",'Employees'!F14)</f>
        <v/>
      </c>
    </row>
    <row r="2052">
      <c r="A2052">
        <f>IF(AND('Skill Matrix'!A134&lt;&gt;"",'Skill Matrix'!G5&lt;&gt;""),'Skill Matrix'!A134,"")</f>
        <v/>
      </c>
      <c r="B2052">
        <f>IF(A2052="","",'Employees'!C14)</f>
        <v/>
      </c>
      <c r="C2052">
        <f>IF(A2052="","",'Employees'!D14)</f>
        <v/>
      </c>
      <c r="D2052">
        <f>IF(A2052="","",'Skill Matrix'!C134)</f>
        <v/>
      </c>
      <c r="E2052">
        <f>IF(A2052="","",'Skill Matrix'!D134)</f>
        <v/>
      </c>
      <c r="F2052">
        <f>IF(AND('Skill Matrix'!A134&lt;&gt;"",'Skill Matrix'!G5&lt;&gt;""),'Skill Matrix'!G5,"")</f>
        <v/>
      </c>
      <c r="G2052">
        <f>IF(OR(A2052="",'Skill Matrix'!G134=""),"",'Skill Matrix'!G134)</f>
        <v/>
      </c>
      <c r="H2052">
        <f>IF(A2052="","",'Employees'!F14)</f>
        <v/>
      </c>
    </row>
    <row r="2053">
      <c r="A2053">
        <f>IF(AND('Skill Matrix'!A134&lt;&gt;"",'Skill Matrix'!H5&lt;&gt;""),'Skill Matrix'!A134,"")</f>
        <v/>
      </c>
      <c r="B2053">
        <f>IF(A2053="","",'Employees'!C14)</f>
        <v/>
      </c>
      <c r="C2053">
        <f>IF(A2053="","",'Employees'!D14)</f>
        <v/>
      </c>
      <c r="D2053">
        <f>IF(A2053="","",'Skill Matrix'!C134)</f>
        <v/>
      </c>
      <c r="E2053">
        <f>IF(A2053="","",'Skill Matrix'!D134)</f>
        <v/>
      </c>
      <c r="F2053">
        <f>IF(AND('Skill Matrix'!A134&lt;&gt;"",'Skill Matrix'!H5&lt;&gt;""),'Skill Matrix'!H5,"")</f>
        <v/>
      </c>
      <c r="G2053">
        <f>IF(OR(A2053="",'Skill Matrix'!H134=""),"",'Skill Matrix'!H134)</f>
        <v/>
      </c>
      <c r="H2053">
        <f>IF(A2053="","",'Employees'!F14)</f>
        <v/>
      </c>
    </row>
    <row r="2054">
      <c r="A2054">
        <f>IF(AND('Skill Matrix'!A134&lt;&gt;"",'Skill Matrix'!I5&lt;&gt;""),'Skill Matrix'!A134,"")</f>
        <v/>
      </c>
      <c r="B2054">
        <f>IF(A2054="","",'Employees'!C14)</f>
        <v/>
      </c>
      <c r="C2054">
        <f>IF(A2054="","",'Employees'!D14)</f>
        <v/>
      </c>
      <c r="D2054">
        <f>IF(A2054="","",'Skill Matrix'!C134)</f>
        <v/>
      </c>
      <c r="E2054">
        <f>IF(A2054="","",'Skill Matrix'!D134)</f>
        <v/>
      </c>
      <c r="F2054">
        <f>IF(AND('Skill Matrix'!A134&lt;&gt;"",'Skill Matrix'!I5&lt;&gt;""),'Skill Matrix'!I5,"")</f>
        <v/>
      </c>
      <c r="G2054">
        <f>IF(OR(A2054="",'Skill Matrix'!I134=""),"",'Skill Matrix'!I134)</f>
        <v/>
      </c>
      <c r="H2054">
        <f>IF(A2054="","",'Employees'!F14)</f>
        <v/>
      </c>
    </row>
    <row r="2055">
      <c r="A2055">
        <f>IF(AND('Skill Matrix'!A134&lt;&gt;"",'Skill Matrix'!J5&lt;&gt;""),'Skill Matrix'!A134,"")</f>
        <v/>
      </c>
      <c r="B2055">
        <f>IF(A2055="","",'Employees'!C14)</f>
        <v/>
      </c>
      <c r="C2055">
        <f>IF(A2055="","",'Employees'!D14)</f>
        <v/>
      </c>
      <c r="D2055">
        <f>IF(A2055="","",'Skill Matrix'!C134)</f>
        <v/>
      </c>
      <c r="E2055">
        <f>IF(A2055="","",'Skill Matrix'!D134)</f>
        <v/>
      </c>
      <c r="F2055">
        <f>IF(AND('Skill Matrix'!A134&lt;&gt;"",'Skill Matrix'!J5&lt;&gt;""),'Skill Matrix'!J5,"")</f>
        <v/>
      </c>
      <c r="G2055">
        <f>IF(OR(A2055="",'Skill Matrix'!J134=""),"",'Skill Matrix'!J134)</f>
        <v/>
      </c>
      <c r="H2055">
        <f>IF(A2055="","",'Employees'!F14)</f>
        <v/>
      </c>
    </row>
    <row r="2056">
      <c r="A2056">
        <f>IF(AND('Skill Matrix'!A134&lt;&gt;"",'Skill Matrix'!K5&lt;&gt;""),'Skill Matrix'!A134,"")</f>
        <v/>
      </c>
      <c r="B2056">
        <f>IF(A2056="","",'Employees'!C14)</f>
        <v/>
      </c>
      <c r="C2056">
        <f>IF(A2056="","",'Employees'!D14)</f>
        <v/>
      </c>
      <c r="D2056">
        <f>IF(A2056="","",'Skill Matrix'!C134)</f>
        <v/>
      </c>
      <c r="E2056">
        <f>IF(A2056="","",'Skill Matrix'!D134)</f>
        <v/>
      </c>
      <c r="F2056">
        <f>IF(AND('Skill Matrix'!A134&lt;&gt;"",'Skill Matrix'!K5&lt;&gt;""),'Skill Matrix'!K5,"")</f>
        <v/>
      </c>
      <c r="G2056">
        <f>IF(OR(A2056="",'Skill Matrix'!K134=""),"",'Skill Matrix'!K134)</f>
        <v/>
      </c>
      <c r="H2056">
        <f>IF(A2056="","",'Employees'!F14)</f>
        <v/>
      </c>
    </row>
    <row r="2057">
      <c r="A2057">
        <f>IF(AND('Skill Matrix'!A134&lt;&gt;"",'Skill Matrix'!L5&lt;&gt;""),'Skill Matrix'!A134,"")</f>
        <v/>
      </c>
      <c r="B2057">
        <f>IF(A2057="","",'Employees'!C14)</f>
        <v/>
      </c>
      <c r="C2057">
        <f>IF(A2057="","",'Employees'!D14)</f>
        <v/>
      </c>
      <c r="D2057">
        <f>IF(A2057="","",'Skill Matrix'!C134)</f>
        <v/>
      </c>
      <c r="E2057">
        <f>IF(A2057="","",'Skill Matrix'!D134)</f>
        <v/>
      </c>
      <c r="F2057">
        <f>IF(AND('Skill Matrix'!A134&lt;&gt;"",'Skill Matrix'!L5&lt;&gt;""),'Skill Matrix'!L5,"")</f>
        <v/>
      </c>
      <c r="G2057">
        <f>IF(OR(A2057="",'Skill Matrix'!L134=""),"",'Skill Matrix'!L134)</f>
        <v/>
      </c>
      <c r="H2057">
        <f>IF(A2057="","",'Employees'!F14)</f>
        <v/>
      </c>
    </row>
    <row r="2058">
      <c r="A2058">
        <f>IF(AND('Skill Matrix'!A134&lt;&gt;"",'Skill Matrix'!M5&lt;&gt;""),'Skill Matrix'!A134,"")</f>
        <v/>
      </c>
      <c r="B2058">
        <f>IF(A2058="","",'Employees'!C14)</f>
        <v/>
      </c>
      <c r="C2058">
        <f>IF(A2058="","",'Employees'!D14)</f>
        <v/>
      </c>
      <c r="D2058">
        <f>IF(A2058="","",'Skill Matrix'!C134)</f>
        <v/>
      </c>
      <c r="E2058">
        <f>IF(A2058="","",'Skill Matrix'!D134)</f>
        <v/>
      </c>
      <c r="F2058">
        <f>IF(AND('Skill Matrix'!A134&lt;&gt;"",'Skill Matrix'!M5&lt;&gt;""),'Skill Matrix'!M5,"")</f>
        <v/>
      </c>
      <c r="G2058">
        <f>IF(OR(A2058="",'Skill Matrix'!M134=""),"",'Skill Matrix'!M134)</f>
        <v/>
      </c>
      <c r="H2058">
        <f>IF(A2058="","",'Employees'!F14)</f>
        <v/>
      </c>
    </row>
    <row r="2059">
      <c r="A2059">
        <f>IF(AND('Skill Matrix'!A134&lt;&gt;"",'Skill Matrix'!N5&lt;&gt;""),'Skill Matrix'!A134,"")</f>
        <v/>
      </c>
      <c r="B2059">
        <f>IF(A2059="","",'Employees'!C14)</f>
        <v/>
      </c>
      <c r="C2059">
        <f>IF(A2059="","",'Employees'!D14)</f>
        <v/>
      </c>
      <c r="D2059">
        <f>IF(A2059="","",'Skill Matrix'!C134)</f>
        <v/>
      </c>
      <c r="E2059">
        <f>IF(A2059="","",'Skill Matrix'!D134)</f>
        <v/>
      </c>
      <c r="F2059">
        <f>IF(AND('Skill Matrix'!A134&lt;&gt;"",'Skill Matrix'!N5&lt;&gt;""),'Skill Matrix'!N5,"")</f>
        <v/>
      </c>
      <c r="G2059">
        <f>IF(OR(A2059="",'Skill Matrix'!N134=""),"",'Skill Matrix'!N134)</f>
        <v/>
      </c>
      <c r="H2059">
        <f>IF(A2059="","",'Employees'!F14)</f>
        <v/>
      </c>
    </row>
    <row r="2060">
      <c r="A2060">
        <f>IF(AND('Skill Matrix'!A134&lt;&gt;"",'Skill Matrix'!O5&lt;&gt;""),'Skill Matrix'!A134,"")</f>
        <v/>
      </c>
      <c r="B2060">
        <f>IF(A2060="","",'Employees'!C14)</f>
        <v/>
      </c>
      <c r="C2060">
        <f>IF(A2060="","",'Employees'!D14)</f>
        <v/>
      </c>
      <c r="D2060">
        <f>IF(A2060="","",'Skill Matrix'!C134)</f>
        <v/>
      </c>
      <c r="E2060">
        <f>IF(A2060="","",'Skill Matrix'!D134)</f>
        <v/>
      </c>
      <c r="F2060">
        <f>IF(AND('Skill Matrix'!A134&lt;&gt;"",'Skill Matrix'!O5&lt;&gt;""),'Skill Matrix'!O5,"")</f>
        <v/>
      </c>
      <c r="G2060">
        <f>IF(OR(A2060="",'Skill Matrix'!O134=""),"",'Skill Matrix'!O134)</f>
        <v/>
      </c>
      <c r="H2060">
        <f>IF(A2060="","",'Employees'!F14)</f>
        <v/>
      </c>
    </row>
    <row r="2061">
      <c r="A2061">
        <f>IF(AND('Skill Matrix'!A134&lt;&gt;"",'Skill Matrix'!P5&lt;&gt;""),'Skill Matrix'!A134,"")</f>
        <v/>
      </c>
      <c r="B2061">
        <f>IF(A2061="","",'Employees'!C14)</f>
        <v/>
      </c>
      <c r="C2061">
        <f>IF(A2061="","",'Employees'!D14)</f>
        <v/>
      </c>
      <c r="D2061">
        <f>IF(A2061="","",'Skill Matrix'!C134)</f>
        <v/>
      </c>
      <c r="E2061">
        <f>IF(A2061="","",'Skill Matrix'!D134)</f>
        <v/>
      </c>
      <c r="F2061">
        <f>IF(AND('Skill Matrix'!A134&lt;&gt;"",'Skill Matrix'!P5&lt;&gt;""),'Skill Matrix'!P5,"")</f>
        <v/>
      </c>
      <c r="G2061">
        <f>IF(OR(A2061="",'Skill Matrix'!P134=""),"",'Skill Matrix'!P134)</f>
        <v/>
      </c>
      <c r="H2061">
        <f>IF(A2061="","",'Employees'!F14)</f>
        <v/>
      </c>
    </row>
    <row r="2062">
      <c r="A2062">
        <f>IF(AND('Skill Matrix'!A134&lt;&gt;"",'Skill Matrix'!Q5&lt;&gt;""),'Skill Matrix'!A134,"")</f>
        <v/>
      </c>
      <c r="B2062">
        <f>IF(A2062="","",'Employees'!C14)</f>
        <v/>
      </c>
      <c r="C2062">
        <f>IF(A2062="","",'Employees'!D14)</f>
        <v/>
      </c>
      <c r="D2062">
        <f>IF(A2062="","",'Skill Matrix'!C134)</f>
        <v/>
      </c>
      <c r="E2062">
        <f>IF(A2062="","",'Skill Matrix'!D134)</f>
        <v/>
      </c>
      <c r="F2062">
        <f>IF(AND('Skill Matrix'!A134&lt;&gt;"",'Skill Matrix'!Q5&lt;&gt;""),'Skill Matrix'!Q5,"")</f>
        <v/>
      </c>
      <c r="G2062">
        <f>IF(OR(A2062="",'Skill Matrix'!Q134=""),"",'Skill Matrix'!Q134)</f>
        <v/>
      </c>
      <c r="H2062">
        <f>IF(A2062="","",'Employees'!F14)</f>
        <v/>
      </c>
    </row>
    <row r="2063">
      <c r="A2063">
        <f>IF(AND('Skill Matrix'!A134&lt;&gt;"",'Skill Matrix'!R5&lt;&gt;""),'Skill Matrix'!A134,"")</f>
        <v/>
      </c>
      <c r="B2063">
        <f>IF(A2063="","",'Employees'!C14)</f>
        <v/>
      </c>
      <c r="C2063">
        <f>IF(A2063="","",'Employees'!D14)</f>
        <v/>
      </c>
      <c r="D2063">
        <f>IF(A2063="","",'Skill Matrix'!C134)</f>
        <v/>
      </c>
      <c r="E2063">
        <f>IF(A2063="","",'Skill Matrix'!D134)</f>
        <v/>
      </c>
      <c r="F2063">
        <f>IF(AND('Skill Matrix'!A134&lt;&gt;"",'Skill Matrix'!R5&lt;&gt;""),'Skill Matrix'!R5,"")</f>
        <v/>
      </c>
      <c r="G2063">
        <f>IF(OR(A2063="",'Skill Matrix'!R134=""),"",'Skill Matrix'!R134)</f>
        <v/>
      </c>
      <c r="H2063">
        <f>IF(A2063="","",'Employees'!F14)</f>
        <v/>
      </c>
    </row>
    <row r="2064">
      <c r="A2064">
        <f>IF(AND('Skill Matrix'!A134&lt;&gt;"",'Skill Matrix'!S5&lt;&gt;""),'Skill Matrix'!A134,"")</f>
        <v/>
      </c>
      <c r="B2064">
        <f>IF(A2064="","",'Employees'!C14)</f>
        <v/>
      </c>
      <c r="C2064">
        <f>IF(A2064="","",'Employees'!D14)</f>
        <v/>
      </c>
      <c r="D2064">
        <f>IF(A2064="","",'Skill Matrix'!C134)</f>
        <v/>
      </c>
      <c r="E2064">
        <f>IF(A2064="","",'Skill Matrix'!D134)</f>
        <v/>
      </c>
      <c r="F2064">
        <f>IF(AND('Skill Matrix'!A134&lt;&gt;"",'Skill Matrix'!S5&lt;&gt;""),'Skill Matrix'!S5,"")</f>
        <v/>
      </c>
      <c r="G2064">
        <f>IF(OR(A2064="",'Skill Matrix'!S134=""),"",'Skill Matrix'!S134)</f>
        <v/>
      </c>
      <c r="H2064">
        <f>IF(A2064="","",'Employees'!F14)</f>
        <v/>
      </c>
    </row>
    <row r="2065">
      <c r="A2065">
        <f>IF(AND('Skill Matrix'!A134&lt;&gt;"",'Skill Matrix'!T5&lt;&gt;""),'Skill Matrix'!A134,"")</f>
        <v/>
      </c>
      <c r="B2065">
        <f>IF(A2065="","",'Employees'!C14)</f>
        <v/>
      </c>
      <c r="C2065">
        <f>IF(A2065="","",'Employees'!D14)</f>
        <v/>
      </c>
      <c r="D2065">
        <f>IF(A2065="","",'Skill Matrix'!C134)</f>
        <v/>
      </c>
      <c r="E2065">
        <f>IF(A2065="","",'Skill Matrix'!D134)</f>
        <v/>
      </c>
      <c r="F2065">
        <f>IF(AND('Skill Matrix'!A134&lt;&gt;"",'Skill Matrix'!T5&lt;&gt;""),'Skill Matrix'!T5,"")</f>
        <v/>
      </c>
      <c r="G2065">
        <f>IF(OR(A2065="",'Skill Matrix'!T134=""),"",'Skill Matrix'!T134)</f>
        <v/>
      </c>
      <c r="H2065">
        <f>IF(A2065="","",'Employees'!F14)</f>
        <v/>
      </c>
    </row>
    <row r="2066">
      <c r="A2066">
        <f>IF(AND('Skill Matrix'!A135&lt;&gt;"",'Skill Matrix'!E5&lt;&gt;""),'Skill Matrix'!A135,"")</f>
        <v/>
      </c>
      <c r="B2066">
        <f>IF(A2066="","",'Employees'!C14)</f>
        <v/>
      </c>
      <c r="C2066">
        <f>IF(A2066="","",'Employees'!D14)</f>
        <v/>
      </c>
      <c r="D2066">
        <f>IF(A2066="","",'Skill Matrix'!C135)</f>
        <v/>
      </c>
      <c r="E2066">
        <f>IF(A2066="","",'Skill Matrix'!D135)</f>
        <v/>
      </c>
      <c r="F2066">
        <f>IF(AND('Skill Matrix'!A135&lt;&gt;"",'Skill Matrix'!E5&lt;&gt;""),'Skill Matrix'!E5,"")</f>
        <v/>
      </c>
      <c r="G2066">
        <f>IF(OR(A2066="",'Skill Matrix'!E135=""),"",'Skill Matrix'!E135)</f>
        <v/>
      </c>
      <c r="H2066">
        <f>IF(A2066="","",'Employees'!F14)</f>
        <v/>
      </c>
    </row>
    <row r="2067">
      <c r="A2067">
        <f>IF(AND('Skill Matrix'!A135&lt;&gt;"",'Skill Matrix'!F5&lt;&gt;""),'Skill Matrix'!A135,"")</f>
        <v/>
      </c>
      <c r="B2067">
        <f>IF(A2067="","",'Employees'!C14)</f>
        <v/>
      </c>
      <c r="C2067">
        <f>IF(A2067="","",'Employees'!D14)</f>
        <v/>
      </c>
      <c r="D2067">
        <f>IF(A2067="","",'Skill Matrix'!C135)</f>
        <v/>
      </c>
      <c r="E2067">
        <f>IF(A2067="","",'Skill Matrix'!D135)</f>
        <v/>
      </c>
      <c r="F2067">
        <f>IF(AND('Skill Matrix'!A135&lt;&gt;"",'Skill Matrix'!F5&lt;&gt;""),'Skill Matrix'!F5,"")</f>
        <v/>
      </c>
      <c r="G2067">
        <f>IF(OR(A2067="",'Skill Matrix'!F135=""),"",'Skill Matrix'!F135)</f>
        <v/>
      </c>
      <c r="H2067">
        <f>IF(A2067="","",'Employees'!F14)</f>
        <v/>
      </c>
    </row>
    <row r="2068">
      <c r="A2068">
        <f>IF(AND('Skill Matrix'!A135&lt;&gt;"",'Skill Matrix'!G5&lt;&gt;""),'Skill Matrix'!A135,"")</f>
        <v/>
      </c>
      <c r="B2068">
        <f>IF(A2068="","",'Employees'!C14)</f>
        <v/>
      </c>
      <c r="C2068">
        <f>IF(A2068="","",'Employees'!D14)</f>
        <v/>
      </c>
      <c r="D2068">
        <f>IF(A2068="","",'Skill Matrix'!C135)</f>
        <v/>
      </c>
      <c r="E2068">
        <f>IF(A2068="","",'Skill Matrix'!D135)</f>
        <v/>
      </c>
      <c r="F2068">
        <f>IF(AND('Skill Matrix'!A135&lt;&gt;"",'Skill Matrix'!G5&lt;&gt;""),'Skill Matrix'!G5,"")</f>
        <v/>
      </c>
      <c r="G2068">
        <f>IF(OR(A2068="",'Skill Matrix'!G135=""),"",'Skill Matrix'!G135)</f>
        <v/>
      </c>
      <c r="H2068">
        <f>IF(A2068="","",'Employees'!F14)</f>
        <v/>
      </c>
    </row>
    <row r="2069">
      <c r="A2069">
        <f>IF(AND('Skill Matrix'!A135&lt;&gt;"",'Skill Matrix'!H5&lt;&gt;""),'Skill Matrix'!A135,"")</f>
        <v/>
      </c>
      <c r="B2069">
        <f>IF(A2069="","",'Employees'!C14)</f>
        <v/>
      </c>
      <c r="C2069">
        <f>IF(A2069="","",'Employees'!D14)</f>
        <v/>
      </c>
      <c r="D2069">
        <f>IF(A2069="","",'Skill Matrix'!C135)</f>
        <v/>
      </c>
      <c r="E2069">
        <f>IF(A2069="","",'Skill Matrix'!D135)</f>
        <v/>
      </c>
      <c r="F2069">
        <f>IF(AND('Skill Matrix'!A135&lt;&gt;"",'Skill Matrix'!H5&lt;&gt;""),'Skill Matrix'!H5,"")</f>
        <v/>
      </c>
      <c r="G2069">
        <f>IF(OR(A2069="",'Skill Matrix'!H135=""),"",'Skill Matrix'!H135)</f>
        <v/>
      </c>
      <c r="H2069">
        <f>IF(A2069="","",'Employees'!F14)</f>
        <v/>
      </c>
    </row>
    <row r="2070">
      <c r="A2070">
        <f>IF(AND('Skill Matrix'!A135&lt;&gt;"",'Skill Matrix'!I5&lt;&gt;""),'Skill Matrix'!A135,"")</f>
        <v/>
      </c>
      <c r="B2070">
        <f>IF(A2070="","",'Employees'!C14)</f>
        <v/>
      </c>
      <c r="C2070">
        <f>IF(A2070="","",'Employees'!D14)</f>
        <v/>
      </c>
      <c r="D2070">
        <f>IF(A2070="","",'Skill Matrix'!C135)</f>
        <v/>
      </c>
      <c r="E2070">
        <f>IF(A2070="","",'Skill Matrix'!D135)</f>
        <v/>
      </c>
      <c r="F2070">
        <f>IF(AND('Skill Matrix'!A135&lt;&gt;"",'Skill Matrix'!I5&lt;&gt;""),'Skill Matrix'!I5,"")</f>
        <v/>
      </c>
      <c r="G2070">
        <f>IF(OR(A2070="",'Skill Matrix'!I135=""),"",'Skill Matrix'!I135)</f>
        <v/>
      </c>
      <c r="H2070">
        <f>IF(A2070="","",'Employees'!F14)</f>
        <v/>
      </c>
    </row>
    <row r="2071">
      <c r="A2071">
        <f>IF(AND('Skill Matrix'!A135&lt;&gt;"",'Skill Matrix'!J5&lt;&gt;""),'Skill Matrix'!A135,"")</f>
        <v/>
      </c>
      <c r="B2071">
        <f>IF(A2071="","",'Employees'!C14)</f>
        <v/>
      </c>
      <c r="C2071">
        <f>IF(A2071="","",'Employees'!D14)</f>
        <v/>
      </c>
      <c r="D2071">
        <f>IF(A2071="","",'Skill Matrix'!C135)</f>
        <v/>
      </c>
      <c r="E2071">
        <f>IF(A2071="","",'Skill Matrix'!D135)</f>
        <v/>
      </c>
      <c r="F2071">
        <f>IF(AND('Skill Matrix'!A135&lt;&gt;"",'Skill Matrix'!J5&lt;&gt;""),'Skill Matrix'!J5,"")</f>
        <v/>
      </c>
      <c r="G2071">
        <f>IF(OR(A2071="",'Skill Matrix'!J135=""),"",'Skill Matrix'!J135)</f>
        <v/>
      </c>
      <c r="H2071">
        <f>IF(A2071="","",'Employees'!F14)</f>
        <v/>
      </c>
    </row>
    <row r="2072">
      <c r="A2072">
        <f>IF(AND('Skill Matrix'!A135&lt;&gt;"",'Skill Matrix'!K5&lt;&gt;""),'Skill Matrix'!A135,"")</f>
        <v/>
      </c>
      <c r="B2072">
        <f>IF(A2072="","",'Employees'!C14)</f>
        <v/>
      </c>
      <c r="C2072">
        <f>IF(A2072="","",'Employees'!D14)</f>
        <v/>
      </c>
      <c r="D2072">
        <f>IF(A2072="","",'Skill Matrix'!C135)</f>
        <v/>
      </c>
      <c r="E2072">
        <f>IF(A2072="","",'Skill Matrix'!D135)</f>
        <v/>
      </c>
      <c r="F2072">
        <f>IF(AND('Skill Matrix'!A135&lt;&gt;"",'Skill Matrix'!K5&lt;&gt;""),'Skill Matrix'!K5,"")</f>
        <v/>
      </c>
      <c r="G2072">
        <f>IF(OR(A2072="",'Skill Matrix'!K135=""),"",'Skill Matrix'!K135)</f>
        <v/>
      </c>
      <c r="H2072">
        <f>IF(A2072="","",'Employees'!F14)</f>
        <v/>
      </c>
    </row>
    <row r="2073">
      <c r="A2073">
        <f>IF(AND('Skill Matrix'!A135&lt;&gt;"",'Skill Matrix'!L5&lt;&gt;""),'Skill Matrix'!A135,"")</f>
        <v/>
      </c>
      <c r="B2073">
        <f>IF(A2073="","",'Employees'!C14)</f>
        <v/>
      </c>
      <c r="C2073">
        <f>IF(A2073="","",'Employees'!D14)</f>
        <v/>
      </c>
      <c r="D2073">
        <f>IF(A2073="","",'Skill Matrix'!C135)</f>
        <v/>
      </c>
      <c r="E2073">
        <f>IF(A2073="","",'Skill Matrix'!D135)</f>
        <v/>
      </c>
      <c r="F2073">
        <f>IF(AND('Skill Matrix'!A135&lt;&gt;"",'Skill Matrix'!L5&lt;&gt;""),'Skill Matrix'!L5,"")</f>
        <v/>
      </c>
      <c r="G2073">
        <f>IF(OR(A2073="",'Skill Matrix'!L135=""),"",'Skill Matrix'!L135)</f>
        <v/>
      </c>
      <c r="H2073">
        <f>IF(A2073="","",'Employees'!F14)</f>
        <v/>
      </c>
    </row>
    <row r="2074">
      <c r="A2074">
        <f>IF(AND('Skill Matrix'!A135&lt;&gt;"",'Skill Matrix'!M5&lt;&gt;""),'Skill Matrix'!A135,"")</f>
        <v/>
      </c>
      <c r="B2074">
        <f>IF(A2074="","",'Employees'!C14)</f>
        <v/>
      </c>
      <c r="C2074">
        <f>IF(A2074="","",'Employees'!D14)</f>
        <v/>
      </c>
      <c r="D2074">
        <f>IF(A2074="","",'Skill Matrix'!C135)</f>
        <v/>
      </c>
      <c r="E2074">
        <f>IF(A2074="","",'Skill Matrix'!D135)</f>
        <v/>
      </c>
      <c r="F2074">
        <f>IF(AND('Skill Matrix'!A135&lt;&gt;"",'Skill Matrix'!M5&lt;&gt;""),'Skill Matrix'!M5,"")</f>
        <v/>
      </c>
      <c r="G2074">
        <f>IF(OR(A2074="",'Skill Matrix'!M135=""),"",'Skill Matrix'!M135)</f>
        <v/>
      </c>
      <c r="H2074">
        <f>IF(A2074="","",'Employees'!F14)</f>
        <v/>
      </c>
    </row>
    <row r="2075">
      <c r="A2075">
        <f>IF(AND('Skill Matrix'!A135&lt;&gt;"",'Skill Matrix'!N5&lt;&gt;""),'Skill Matrix'!A135,"")</f>
        <v/>
      </c>
      <c r="B2075">
        <f>IF(A2075="","",'Employees'!C14)</f>
        <v/>
      </c>
      <c r="C2075">
        <f>IF(A2075="","",'Employees'!D14)</f>
        <v/>
      </c>
      <c r="D2075">
        <f>IF(A2075="","",'Skill Matrix'!C135)</f>
        <v/>
      </c>
      <c r="E2075">
        <f>IF(A2075="","",'Skill Matrix'!D135)</f>
        <v/>
      </c>
      <c r="F2075">
        <f>IF(AND('Skill Matrix'!A135&lt;&gt;"",'Skill Matrix'!N5&lt;&gt;""),'Skill Matrix'!N5,"")</f>
        <v/>
      </c>
      <c r="G2075">
        <f>IF(OR(A2075="",'Skill Matrix'!N135=""),"",'Skill Matrix'!N135)</f>
        <v/>
      </c>
      <c r="H2075">
        <f>IF(A2075="","",'Employees'!F14)</f>
        <v/>
      </c>
    </row>
    <row r="2076">
      <c r="A2076">
        <f>IF(AND('Skill Matrix'!A135&lt;&gt;"",'Skill Matrix'!O5&lt;&gt;""),'Skill Matrix'!A135,"")</f>
        <v/>
      </c>
      <c r="B2076">
        <f>IF(A2076="","",'Employees'!C14)</f>
        <v/>
      </c>
      <c r="C2076">
        <f>IF(A2076="","",'Employees'!D14)</f>
        <v/>
      </c>
      <c r="D2076">
        <f>IF(A2076="","",'Skill Matrix'!C135)</f>
        <v/>
      </c>
      <c r="E2076">
        <f>IF(A2076="","",'Skill Matrix'!D135)</f>
        <v/>
      </c>
      <c r="F2076">
        <f>IF(AND('Skill Matrix'!A135&lt;&gt;"",'Skill Matrix'!O5&lt;&gt;""),'Skill Matrix'!O5,"")</f>
        <v/>
      </c>
      <c r="G2076">
        <f>IF(OR(A2076="",'Skill Matrix'!O135=""),"",'Skill Matrix'!O135)</f>
        <v/>
      </c>
      <c r="H2076">
        <f>IF(A2076="","",'Employees'!F14)</f>
        <v/>
      </c>
    </row>
    <row r="2077">
      <c r="A2077">
        <f>IF(AND('Skill Matrix'!A135&lt;&gt;"",'Skill Matrix'!P5&lt;&gt;""),'Skill Matrix'!A135,"")</f>
        <v/>
      </c>
      <c r="B2077">
        <f>IF(A2077="","",'Employees'!C14)</f>
        <v/>
      </c>
      <c r="C2077">
        <f>IF(A2077="","",'Employees'!D14)</f>
        <v/>
      </c>
      <c r="D2077">
        <f>IF(A2077="","",'Skill Matrix'!C135)</f>
        <v/>
      </c>
      <c r="E2077">
        <f>IF(A2077="","",'Skill Matrix'!D135)</f>
        <v/>
      </c>
      <c r="F2077">
        <f>IF(AND('Skill Matrix'!A135&lt;&gt;"",'Skill Matrix'!P5&lt;&gt;""),'Skill Matrix'!P5,"")</f>
        <v/>
      </c>
      <c r="G2077">
        <f>IF(OR(A2077="",'Skill Matrix'!P135=""),"",'Skill Matrix'!P135)</f>
        <v/>
      </c>
      <c r="H2077">
        <f>IF(A2077="","",'Employees'!F14)</f>
        <v/>
      </c>
    </row>
    <row r="2078">
      <c r="A2078">
        <f>IF(AND('Skill Matrix'!A135&lt;&gt;"",'Skill Matrix'!Q5&lt;&gt;""),'Skill Matrix'!A135,"")</f>
        <v/>
      </c>
      <c r="B2078">
        <f>IF(A2078="","",'Employees'!C14)</f>
        <v/>
      </c>
      <c r="C2078">
        <f>IF(A2078="","",'Employees'!D14)</f>
        <v/>
      </c>
      <c r="D2078">
        <f>IF(A2078="","",'Skill Matrix'!C135)</f>
        <v/>
      </c>
      <c r="E2078">
        <f>IF(A2078="","",'Skill Matrix'!D135)</f>
        <v/>
      </c>
      <c r="F2078">
        <f>IF(AND('Skill Matrix'!A135&lt;&gt;"",'Skill Matrix'!Q5&lt;&gt;""),'Skill Matrix'!Q5,"")</f>
        <v/>
      </c>
      <c r="G2078">
        <f>IF(OR(A2078="",'Skill Matrix'!Q135=""),"",'Skill Matrix'!Q135)</f>
        <v/>
      </c>
      <c r="H2078">
        <f>IF(A2078="","",'Employees'!F14)</f>
        <v/>
      </c>
    </row>
    <row r="2079">
      <c r="A2079">
        <f>IF(AND('Skill Matrix'!A135&lt;&gt;"",'Skill Matrix'!R5&lt;&gt;""),'Skill Matrix'!A135,"")</f>
        <v/>
      </c>
      <c r="B2079">
        <f>IF(A2079="","",'Employees'!C14)</f>
        <v/>
      </c>
      <c r="C2079">
        <f>IF(A2079="","",'Employees'!D14)</f>
        <v/>
      </c>
      <c r="D2079">
        <f>IF(A2079="","",'Skill Matrix'!C135)</f>
        <v/>
      </c>
      <c r="E2079">
        <f>IF(A2079="","",'Skill Matrix'!D135)</f>
        <v/>
      </c>
      <c r="F2079">
        <f>IF(AND('Skill Matrix'!A135&lt;&gt;"",'Skill Matrix'!R5&lt;&gt;""),'Skill Matrix'!R5,"")</f>
        <v/>
      </c>
      <c r="G2079">
        <f>IF(OR(A2079="",'Skill Matrix'!R135=""),"",'Skill Matrix'!R135)</f>
        <v/>
      </c>
      <c r="H2079">
        <f>IF(A2079="","",'Employees'!F14)</f>
        <v/>
      </c>
    </row>
    <row r="2080">
      <c r="A2080">
        <f>IF(AND('Skill Matrix'!A135&lt;&gt;"",'Skill Matrix'!S5&lt;&gt;""),'Skill Matrix'!A135,"")</f>
        <v/>
      </c>
      <c r="B2080">
        <f>IF(A2080="","",'Employees'!C14)</f>
        <v/>
      </c>
      <c r="C2080">
        <f>IF(A2080="","",'Employees'!D14)</f>
        <v/>
      </c>
      <c r="D2080">
        <f>IF(A2080="","",'Skill Matrix'!C135)</f>
        <v/>
      </c>
      <c r="E2080">
        <f>IF(A2080="","",'Skill Matrix'!D135)</f>
        <v/>
      </c>
      <c r="F2080">
        <f>IF(AND('Skill Matrix'!A135&lt;&gt;"",'Skill Matrix'!S5&lt;&gt;""),'Skill Matrix'!S5,"")</f>
        <v/>
      </c>
      <c r="G2080">
        <f>IF(OR(A2080="",'Skill Matrix'!S135=""),"",'Skill Matrix'!S135)</f>
        <v/>
      </c>
      <c r="H2080">
        <f>IF(A2080="","",'Employees'!F14)</f>
        <v/>
      </c>
    </row>
    <row r="2081">
      <c r="A2081">
        <f>IF(AND('Skill Matrix'!A135&lt;&gt;"",'Skill Matrix'!T5&lt;&gt;""),'Skill Matrix'!A135,"")</f>
        <v/>
      </c>
      <c r="B2081">
        <f>IF(A2081="","",'Employees'!C14)</f>
        <v/>
      </c>
      <c r="C2081">
        <f>IF(A2081="","",'Employees'!D14)</f>
        <v/>
      </c>
      <c r="D2081">
        <f>IF(A2081="","",'Skill Matrix'!C135)</f>
        <v/>
      </c>
      <c r="E2081">
        <f>IF(A2081="","",'Skill Matrix'!D135)</f>
        <v/>
      </c>
      <c r="F2081">
        <f>IF(AND('Skill Matrix'!A135&lt;&gt;"",'Skill Matrix'!T5&lt;&gt;""),'Skill Matrix'!T5,"")</f>
        <v/>
      </c>
      <c r="G2081">
        <f>IF(OR(A2081="",'Skill Matrix'!T135=""),"",'Skill Matrix'!T135)</f>
        <v/>
      </c>
      <c r="H2081">
        <f>IF(A2081="","",'Employees'!F14)</f>
        <v/>
      </c>
    </row>
    <row r="2082">
      <c r="A2082">
        <f>IF(AND('Skill Matrix'!A136&lt;&gt;"",'Skill Matrix'!E5&lt;&gt;""),'Skill Matrix'!A136,"")</f>
        <v/>
      </c>
      <c r="B2082">
        <f>IF(A2082="","",'Employees'!C14)</f>
        <v/>
      </c>
      <c r="C2082">
        <f>IF(A2082="","",'Employees'!D14)</f>
        <v/>
      </c>
      <c r="D2082">
        <f>IF(A2082="","",'Skill Matrix'!C136)</f>
        <v/>
      </c>
      <c r="E2082">
        <f>IF(A2082="","",'Skill Matrix'!D136)</f>
        <v/>
      </c>
      <c r="F2082">
        <f>IF(AND('Skill Matrix'!A136&lt;&gt;"",'Skill Matrix'!E5&lt;&gt;""),'Skill Matrix'!E5,"")</f>
        <v/>
      </c>
      <c r="G2082">
        <f>IF(OR(A2082="",'Skill Matrix'!E136=""),"",'Skill Matrix'!E136)</f>
        <v/>
      </c>
      <c r="H2082">
        <f>IF(A2082="","",'Employees'!F14)</f>
        <v/>
      </c>
    </row>
    <row r="2083">
      <c r="A2083">
        <f>IF(AND('Skill Matrix'!A136&lt;&gt;"",'Skill Matrix'!F5&lt;&gt;""),'Skill Matrix'!A136,"")</f>
        <v/>
      </c>
      <c r="B2083">
        <f>IF(A2083="","",'Employees'!C14)</f>
        <v/>
      </c>
      <c r="C2083">
        <f>IF(A2083="","",'Employees'!D14)</f>
        <v/>
      </c>
      <c r="D2083">
        <f>IF(A2083="","",'Skill Matrix'!C136)</f>
        <v/>
      </c>
      <c r="E2083">
        <f>IF(A2083="","",'Skill Matrix'!D136)</f>
        <v/>
      </c>
      <c r="F2083">
        <f>IF(AND('Skill Matrix'!A136&lt;&gt;"",'Skill Matrix'!F5&lt;&gt;""),'Skill Matrix'!F5,"")</f>
        <v/>
      </c>
      <c r="G2083">
        <f>IF(OR(A2083="",'Skill Matrix'!F136=""),"",'Skill Matrix'!F136)</f>
        <v/>
      </c>
      <c r="H2083">
        <f>IF(A2083="","",'Employees'!F14)</f>
        <v/>
      </c>
    </row>
    <row r="2084">
      <c r="A2084">
        <f>IF(AND('Skill Matrix'!A136&lt;&gt;"",'Skill Matrix'!G5&lt;&gt;""),'Skill Matrix'!A136,"")</f>
        <v/>
      </c>
      <c r="B2084">
        <f>IF(A2084="","",'Employees'!C14)</f>
        <v/>
      </c>
      <c r="C2084">
        <f>IF(A2084="","",'Employees'!D14)</f>
        <v/>
      </c>
      <c r="D2084">
        <f>IF(A2084="","",'Skill Matrix'!C136)</f>
        <v/>
      </c>
      <c r="E2084">
        <f>IF(A2084="","",'Skill Matrix'!D136)</f>
        <v/>
      </c>
      <c r="F2084">
        <f>IF(AND('Skill Matrix'!A136&lt;&gt;"",'Skill Matrix'!G5&lt;&gt;""),'Skill Matrix'!G5,"")</f>
        <v/>
      </c>
      <c r="G2084">
        <f>IF(OR(A2084="",'Skill Matrix'!G136=""),"",'Skill Matrix'!G136)</f>
        <v/>
      </c>
      <c r="H2084">
        <f>IF(A2084="","",'Employees'!F14)</f>
        <v/>
      </c>
    </row>
    <row r="2085">
      <c r="A2085">
        <f>IF(AND('Skill Matrix'!A136&lt;&gt;"",'Skill Matrix'!H5&lt;&gt;""),'Skill Matrix'!A136,"")</f>
        <v/>
      </c>
      <c r="B2085">
        <f>IF(A2085="","",'Employees'!C14)</f>
        <v/>
      </c>
      <c r="C2085">
        <f>IF(A2085="","",'Employees'!D14)</f>
        <v/>
      </c>
      <c r="D2085">
        <f>IF(A2085="","",'Skill Matrix'!C136)</f>
        <v/>
      </c>
      <c r="E2085">
        <f>IF(A2085="","",'Skill Matrix'!D136)</f>
        <v/>
      </c>
      <c r="F2085">
        <f>IF(AND('Skill Matrix'!A136&lt;&gt;"",'Skill Matrix'!H5&lt;&gt;""),'Skill Matrix'!H5,"")</f>
        <v/>
      </c>
      <c r="G2085">
        <f>IF(OR(A2085="",'Skill Matrix'!H136=""),"",'Skill Matrix'!H136)</f>
        <v/>
      </c>
      <c r="H2085">
        <f>IF(A2085="","",'Employees'!F14)</f>
        <v/>
      </c>
    </row>
    <row r="2086">
      <c r="A2086">
        <f>IF(AND('Skill Matrix'!A136&lt;&gt;"",'Skill Matrix'!I5&lt;&gt;""),'Skill Matrix'!A136,"")</f>
        <v/>
      </c>
      <c r="B2086">
        <f>IF(A2086="","",'Employees'!C14)</f>
        <v/>
      </c>
      <c r="C2086">
        <f>IF(A2086="","",'Employees'!D14)</f>
        <v/>
      </c>
      <c r="D2086">
        <f>IF(A2086="","",'Skill Matrix'!C136)</f>
        <v/>
      </c>
      <c r="E2086">
        <f>IF(A2086="","",'Skill Matrix'!D136)</f>
        <v/>
      </c>
      <c r="F2086">
        <f>IF(AND('Skill Matrix'!A136&lt;&gt;"",'Skill Matrix'!I5&lt;&gt;""),'Skill Matrix'!I5,"")</f>
        <v/>
      </c>
      <c r="G2086">
        <f>IF(OR(A2086="",'Skill Matrix'!I136=""),"",'Skill Matrix'!I136)</f>
        <v/>
      </c>
      <c r="H2086">
        <f>IF(A2086="","",'Employees'!F14)</f>
        <v/>
      </c>
    </row>
    <row r="2087">
      <c r="A2087">
        <f>IF(AND('Skill Matrix'!A136&lt;&gt;"",'Skill Matrix'!J5&lt;&gt;""),'Skill Matrix'!A136,"")</f>
        <v/>
      </c>
      <c r="B2087">
        <f>IF(A2087="","",'Employees'!C14)</f>
        <v/>
      </c>
      <c r="C2087">
        <f>IF(A2087="","",'Employees'!D14)</f>
        <v/>
      </c>
      <c r="D2087">
        <f>IF(A2087="","",'Skill Matrix'!C136)</f>
        <v/>
      </c>
      <c r="E2087">
        <f>IF(A2087="","",'Skill Matrix'!D136)</f>
        <v/>
      </c>
      <c r="F2087">
        <f>IF(AND('Skill Matrix'!A136&lt;&gt;"",'Skill Matrix'!J5&lt;&gt;""),'Skill Matrix'!J5,"")</f>
        <v/>
      </c>
      <c r="G2087">
        <f>IF(OR(A2087="",'Skill Matrix'!J136=""),"",'Skill Matrix'!J136)</f>
        <v/>
      </c>
      <c r="H2087">
        <f>IF(A2087="","",'Employees'!F14)</f>
        <v/>
      </c>
    </row>
    <row r="2088">
      <c r="A2088">
        <f>IF(AND('Skill Matrix'!A136&lt;&gt;"",'Skill Matrix'!K5&lt;&gt;""),'Skill Matrix'!A136,"")</f>
        <v/>
      </c>
      <c r="B2088">
        <f>IF(A2088="","",'Employees'!C14)</f>
        <v/>
      </c>
      <c r="C2088">
        <f>IF(A2088="","",'Employees'!D14)</f>
        <v/>
      </c>
      <c r="D2088">
        <f>IF(A2088="","",'Skill Matrix'!C136)</f>
        <v/>
      </c>
      <c r="E2088">
        <f>IF(A2088="","",'Skill Matrix'!D136)</f>
        <v/>
      </c>
      <c r="F2088">
        <f>IF(AND('Skill Matrix'!A136&lt;&gt;"",'Skill Matrix'!K5&lt;&gt;""),'Skill Matrix'!K5,"")</f>
        <v/>
      </c>
      <c r="G2088">
        <f>IF(OR(A2088="",'Skill Matrix'!K136=""),"",'Skill Matrix'!K136)</f>
        <v/>
      </c>
      <c r="H2088">
        <f>IF(A2088="","",'Employees'!F14)</f>
        <v/>
      </c>
    </row>
    <row r="2089">
      <c r="A2089">
        <f>IF(AND('Skill Matrix'!A136&lt;&gt;"",'Skill Matrix'!L5&lt;&gt;""),'Skill Matrix'!A136,"")</f>
        <v/>
      </c>
      <c r="B2089">
        <f>IF(A2089="","",'Employees'!C14)</f>
        <v/>
      </c>
      <c r="C2089">
        <f>IF(A2089="","",'Employees'!D14)</f>
        <v/>
      </c>
      <c r="D2089">
        <f>IF(A2089="","",'Skill Matrix'!C136)</f>
        <v/>
      </c>
      <c r="E2089">
        <f>IF(A2089="","",'Skill Matrix'!D136)</f>
        <v/>
      </c>
      <c r="F2089">
        <f>IF(AND('Skill Matrix'!A136&lt;&gt;"",'Skill Matrix'!L5&lt;&gt;""),'Skill Matrix'!L5,"")</f>
        <v/>
      </c>
      <c r="G2089">
        <f>IF(OR(A2089="",'Skill Matrix'!L136=""),"",'Skill Matrix'!L136)</f>
        <v/>
      </c>
      <c r="H2089">
        <f>IF(A2089="","",'Employees'!F14)</f>
        <v/>
      </c>
    </row>
    <row r="2090">
      <c r="A2090">
        <f>IF(AND('Skill Matrix'!A136&lt;&gt;"",'Skill Matrix'!M5&lt;&gt;""),'Skill Matrix'!A136,"")</f>
        <v/>
      </c>
      <c r="B2090">
        <f>IF(A2090="","",'Employees'!C14)</f>
        <v/>
      </c>
      <c r="C2090">
        <f>IF(A2090="","",'Employees'!D14)</f>
        <v/>
      </c>
      <c r="D2090">
        <f>IF(A2090="","",'Skill Matrix'!C136)</f>
        <v/>
      </c>
      <c r="E2090">
        <f>IF(A2090="","",'Skill Matrix'!D136)</f>
        <v/>
      </c>
      <c r="F2090">
        <f>IF(AND('Skill Matrix'!A136&lt;&gt;"",'Skill Matrix'!M5&lt;&gt;""),'Skill Matrix'!M5,"")</f>
        <v/>
      </c>
      <c r="G2090">
        <f>IF(OR(A2090="",'Skill Matrix'!M136=""),"",'Skill Matrix'!M136)</f>
        <v/>
      </c>
      <c r="H2090">
        <f>IF(A2090="","",'Employees'!F14)</f>
        <v/>
      </c>
    </row>
    <row r="2091">
      <c r="A2091">
        <f>IF(AND('Skill Matrix'!A136&lt;&gt;"",'Skill Matrix'!N5&lt;&gt;""),'Skill Matrix'!A136,"")</f>
        <v/>
      </c>
      <c r="B2091">
        <f>IF(A2091="","",'Employees'!C14)</f>
        <v/>
      </c>
      <c r="C2091">
        <f>IF(A2091="","",'Employees'!D14)</f>
        <v/>
      </c>
      <c r="D2091">
        <f>IF(A2091="","",'Skill Matrix'!C136)</f>
        <v/>
      </c>
      <c r="E2091">
        <f>IF(A2091="","",'Skill Matrix'!D136)</f>
        <v/>
      </c>
      <c r="F2091">
        <f>IF(AND('Skill Matrix'!A136&lt;&gt;"",'Skill Matrix'!N5&lt;&gt;""),'Skill Matrix'!N5,"")</f>
        <v/>
      </c>
      <c r="G2091">
        <f>IF(OR(A2091="",'Skill Matrix'!N136=""),"",'Skill Matrix'!N136)</f>
        <v/>
      </c>
      <c r="H2091">
        <f>IF(A2091="","",'Employees'!F14)</f>
        <v/>
      </c>
    </row>
    <row r="2092">
      <c r="A2092">
        <f>IF(AND('Skill Matrix'!A136&lt;&gt;"",'Skill Matrix'!O5&lt;&gt;""),'Skill Matrix'!A136,"")</f>
        <v/>
      </c>
      <c r="B2092">
        <f>IF(A2092="","",'Employees'!C14)</f>
        <v/>
      </c>
      <c r="C2092">
        <f>IF(A2092="","",'Employees'!D14)</f>
        <v/>
      </c>
      <c r="D2092">
        <f>IF(A2092="","",'Skill Matrix'!C136)</f>
        <v/>
      </c>
      <c r="E2092">
        <f>IF(A2092="","",'Skill Matrix'!D136)</f>
        <v/>
      </c>
      <c r="F2092">
        <f>IF(AND('Skill Matrix'!A136&lt;&gt;"",'Skill Matrix'!O5&lt;&gt;""),'Skill Matrix'!O5,"")</f>
        <v/>
      </c>
      <c r="G2092">
        <f>IF(OR(A2092="",'Skill Matrix'!O136=""),"",'Skill Matrix'!O136)</f>
        <v/>
      </c>
      <c r="H2092">
        <f>IF(A2092="","",'Employees'!F14)</f>
        <v/>
      </c>
    </row>
    <row r="2093">
      <c r="A2093">
        <f>IF(AND('Skill Matrix'!A136&lt;&gt;"",'Skill Matrix'!P5&lt;&gt;""),'Skill Matrix'!A136,"")</f>
        <v/>
      </c>
      <c r="B2093">
        <f>IF(A2093="","",'Employees'!C14)</f>
        <v/>
      </c>
      <c r="C2093">
        <f>IF(A2093="","",'Employees'!D14)</f>
        <v/>
      </c>
      <c r="D2093">
        <f>IF(A2093="","",'Skill Matrix'!C136)</f>
        <v/>
      </c>
      <c r="E2093">
        <f>IF(A2093="","",'Skill Matrix'!D136)</f>
        <v/>
      </c>
      <c r="F2093">
        <f>IF(AND('Skill Matrix'!A136&lt;&gt;"",'Skill Matrix'!P5&lt;&gt;""),'Skill Matrix'!P5,"")</f>
        <v/>
      </c>
      <c r="G2093">
        <f>IF(OR(A2093="",'Skill Matrix'!P136=""),"",'Skill Matrix'!P136)</f>
        <v/>
      </c>
      <c r="H2093">
        <f>IF(A2093="","",'Employees'!F14)</f>
        <v/>
      </c>
    </row>
    <row r="2094">
      <c r="A2094">
        <f>IF(AND('Skill Matrix'!A136&lt;&gt;"",'Skill Matrix'!Q5&lt;&gt;""),'Skill Matrix'!A136,"")</f>
        <v/>
      </c>
      <c r="B2094">
        <f>IF(A2094="","",'Employees'!C14)</f>
        <v/>
      </c>
      <c r="C2094">
        <f>IF(A2094="","",'Employees'!D14)</f>
        <v/>
      </c>
      <c r="D2094">
        <f>IF(A2094="","",'Skill Matrix'!C136)</f>
        <v/>
      </c>
      <c r="E2094">
        <f>IF(A2094="","",'Skill Matrix'!D136)</f>
        <v/>
      </c>
      <c r="F2094">
        <f>IF(AND('Skill Matrix'!A136&lt;&gt;"",'Skill Matrix'!Q5&lt;&gt;""),'Skill Matrix'!Q5,"")</f>
        <v/>
      </c>
      <c r="G2094">
        <f>IF(OR(A2094="",'Skill Matrix'!Q136=""),"",'Skill Matrix'!Q136)</f>
        <v/>
      </c>
      <c r="H2094">
        <f>IF(A2094="","",'Employees'!F14)</f>
        <v/>
      </c>
    </row>
    <row r="2095">
      <c r="A2095">
        <f>IF(AND('Skill Matrix'!A136&lt;&gt;"",'Skill Matrix'!R5&lt;&gt;""),'Skill Matrix'!A136,"")</f>
        <v/>
      </c>
      <c r="B2095">
        <f>IF(A2095="","",'Employees'!C14)</f>
        <v/>
      </c>
      <c r="C2095">
        <f>IF(A2095="","",'Employees'!D14)</f>
        <v/>
      </c>
      <c r="D2095">
        <f>IF(A2095="","",'Skill Matrix'!C136)</f>
        <v/>
      </c>
      <c r="E2095">
        <f>IF(A2095="","",'Skill Matrix'!D136)</f>
        <v/>
      </c>
      <c r="F2095">
        <f>IF(AND('Skill Matrix'!A136&lt;&gt;"",'Skill Matrix'!R5&lt;&gt;""),'Skill Matrix'!R5,"")</f>
        <v/>
      </c>
      <c r="G2095">
        <f>IF(OR(A2095="",'Skill Matrix'!R136=""),"",'Skill Matrix'!R136)</f>
        <v/>
      </c>
      <c r="H2095">
        <f>IF(A2095="","",'Employees'!F14)</f>
        <v/>
      </c>
    </row>
    <row r="2096">
      <c r="A2096">
        <f>IF(AND('Skill Matrix'!A136&lt;&gt;"",'Skill Matrix'!S5&lt;&gt;""),'Skill Matrix'!A136,"")</f>
        <v/>
      </c>
      <c r="B2096">
        <f>IF(A2096="","",'Employees'!C14)</f>
        <v/>
      </c>
      <c r="C2096">
        <f>IF(A2096="","",'Employees'!D14)</f>
        <v/>
      </c>
      <c r="D2096">
        <f>IF(A2096="","",'Skill Matrix'!C136)</f>
        <v/>
      </c>
      <c r="E2096">
        <f>IF(A2096="","",'Skill Matrix'!D136)</f>
        <v/>
      </c>
      <c r="F2096">
        <f>IF(AND('Skill Matrix'!A136&lt;&gt;"",'Skill Matrix'!S5&lt;&gt;""),'Skill Matrix'!S5,"")</f>
        <v/>
      </c>
      <c r="G2096">
        <f>IF(OR(A2096="",'Skill Matrix'!S136=""),"",'Skill Matrix'!S136)</f>
        <v/>
      </c>
      <c r="H2096">
        <f>IF(A2096="","",'Employees'!F14)</f>
        <v/>
      </c>
    </row>
    <row r="2097">
      <c r="A2097">
        <f>IF(AND('Skill Matrix'!A136&lt;&gt;"",'Skill Matrix'!T5&lt;&gt;""),'Skill Matrix'!A136,"")</f>
        <v/>
      </c>
      <c r="B2097">
        <f>IF(A2097="","",'Employees'!C14)</f>
        <v/>
      </c>
      <c r="C2097">
        <f>IF(A2097="","",'Employees'!D14)</f>
        <v/>
      </c>
      <c r="D2097">
        <f>IF(A2097="","",'Skill Matrix'!C136)</f>
        <v/>
      </c>
      <c r="E2097">
        <f>IF(A2097="","",'Skill Matrix'!D136)</f>
        <v/>
      </c>
      <c r="F2097">
        <f>IF(AND('Skill Matrix'!A136&lt;&gt;"",'Skill Matrix'!T5&lt;&gt;""),'Skill Matrix'!T5,"")</f>
        <v/>
      </c>
      <c r="G2097">
        <f>IF(OR(A2097="",'Skill Matrix'!T136=""),"",'Skill Matrix'!T136)</f>
        <v/>
      </c>
      <c r="H2097">
        <f>IF(A2097="","",'Employees'!F14)</f>
        <v/>
      </c>
    </row>
    <row r="2098">
      <c r="A2098">
        <f>IF(AND('Skill Matrix'!A137&lt;&gt;"",'Skill Matrix'!E5&lt;&gt;""),'Skill Matrix'!A137,"")</f>
        <v/>
      </c>
      <c r="B2098">
        <f>IF(A2098="","",'Employees'!C14)</f>
        <v/>
      </c>
      <c r="C2098">
        <f>IF(A2098="","",'Employees'!D14)</f>
        <v/>
      </c>
      <c r="D2098">
        <f>IF(A2098="","",'Skill Matrix'!C137)</f>
        <v/>
      </c>
      <c r="E2098">
        <f>IF(A2098="","",'Skill Matrix'!D137)</f>
        <v/>
      </c>
      <c r="F2098">
        <f>IF(AND('Skill Matrix'!A137&lt;&gt;"",'Skill Matrix'!E5&lt;&gt;""),'Skill Matrix'!E5,"")</f>
        <v/>
      </c>
      <c r="G2098">
        <f>IF(OR(A2098="",'Skill Matrix'!E137=""),"",'Skill Matrix'!E137)</f>
        <v/>
      </c>
      <c r="H2098">
        <f>IF(A2098="","",'Employees'!F14)</f>
        <v/>
      </c>
    </row>
    <row r="2099">
      <c r="A2099">
        <f>IF(AND('Skill Matrix'!A137&lt;&gt;"",'Skill Matrix'!F5&lt;&gt;""),'Skill Matrix'!A137,"")</f>
        <v/>
      </c>
      <c r="B2099">
        <f>IF(A2099="","",'Employees'!C14)</f>
        <v/>
      </c>
      <c r="C2099">
        <f>IF(A2099="","",'Employees'!D14)</f>
        <v/>
      </c>
      <c r="D2099">
        <f>IF(A2099="","",'Skill Matrix'!C137)</f>
        <v/>
      </c>
      <c r="E2099">
        <f>IF(A2099="","",'Skill Matrix'!D137)</f>
        <v/>
      </c>
      <c r="F2099">
        <f>IF(AND('Skill Matrix'!A137&lt;&gt;"",'Skill Matrix'!F5&lt;&gt;""),'Skill Matrix'!F5,"")</f>
        <v/>
      </c>
      <c r="G2099">
        <f>IF(OR(A2099="",'Skill Matrix'!F137=""),"",'Skill Matrix'!F137)</f>
        <v/>
      </c>
      <c r="H2099">
        <f>IF(A2099="","",'Employees'!F14)</f>
        <v/>
      </c>
    </row>
    <row r="2100">
      <c r="A2100">
        <f>IF(AND('Skill Matrix'!A137&lt;&gt;"",'Skill Matrix'!G5&lt;&gt;""),'Skill Matrix'!A137,"")</f>
        <v/>
      </c>
      <c r="B2100">
        <f>IF(A2100="","",'Employees'!C14)</f>
        <v/>
      </c>
      <c r="C2100">
        <f>IF(A2100="","",'Employees'!D14)</f>
        <v/>
      </c>
      <c r="D2100">
        <f>IF(A2100="","",'Skill Matrix'!C137)</f>
        <v/>
      </c>
      <c r="E2100">
        <f>IF(A2100="","",'Skill Matrix'!D137)</f>
        <v/>
      </c>
      <c r="F2100">
        <f>IF(AND('Skill Matrix'!A137&lt;&gt;"",'Skill Matrix'!G5&lt;&gt;""),'Skill Matrix'!G5,"")</f>
        <v/>
      </c>
      <c r="G2100">
        <f>IF(OR(A2100="",'Skill Matrix'!G137=""),"",'Skill Matrix'!G137)</f>
        <v/>
      </c>
      <c r="H2100">
        <f>IF(A2100="","",'Employees'!F14)</f>
        <v/>
      </c>
    </row>
    <row r="2101">
      <c r="A2101">
        <f>IF(AND('Skill Matrix'!A137&lt;&gt;"",'Skill Matrix'!H5&lt;&gt;""),'Skill Matrix'!A137,"")</f>
        <v/>
      </c>
      <c r="B2101">
        <f>IF(A2101="","",'Employees'!C14)</f>
        <v/>
      </c>
      <c r="C2101">
        <f>IF(A2101="","",'Employees'!D14)</f>
        <v/>
      </c>
      <c r="D2101">
        <f>IF(A2101="","",'Skill Matrix'!C137)</f>
        <v/>
      </c>
      <c r="E2101">
        <f>IF(A2101="","",'Skill Matrix'!D137)</f>
        <v/>
      </c>
      <c r="F2101">
        <f>IF(AND('Skill Matrix'!A137&lt;&gt;"",'Skill Matrix'!H5&lt;&gt;""),'Skill Matrix'!H5,"")</f>
        <v/>
      </c>
      <c r="G2101">
        <f>IF(OR(A2101="",'Skill Matrix'!H137=""),"",'Skill Matrix'!H137)</f>
        <v/>
      </c>
      <c r="H2101">
        <f>IF(A2101="","",'Employees'!F14)</f>
        <v/>
      </c>
    </row>
    <row r="2102">
      <c r="A2102">
        <f>IF(AND('Skill Matrix'!A137&lt;&gt;"",'Skill Matrix'!I5&lt;&gt;""),'Skill Matrix'!A137,"")</f>
        <v/>
      </c>
      <c r="B2102">
        <f>IF(A2102="","",'Employees'!C14)</f>
        <v/>
      </c>
      <c r="C2102">
        <f>IF(A2102="","",'Employees'!D14)</f>
        <v/>
      </c>
      <c r="D2102">
        <f>IF(A2102="","",'Skill Matrix'!C137)</f>
        <v/>
      </c>
      <c r="E2102">
        <f>IF(A2102="","",'Skill Matrix'!D137)</f>
        <v/>
      </c>
      <c r="F2102">
        <f>IF(AND('Skill Matrix'!A137&lt;&gt;"",'Skill Matrix'!I5&lt;&gt;""),'Skill Matrix'!I5,"")</f>
        <v/>
      </c>
      <c r="G2102">
        <f>IF(OR(A2102="",'Skill Matrix'!I137=""),"",'Skill Matrix'!I137)</f>
        <v/>
      </c>
      <c r="H2102">
        <f>IF(A2102="","",'Employees'!F14)</f>
        <v/>
      </c>
    </row>
    <row r="2103">
      <c r="A2103">
        <f>IF(AND('Skill Matrix'!A137&lt;&gt;"",'Skill Matrix'!J5&lt;&gt;""),'Skill Matrix'!A137,"")</f>
        <v/>
      </c>
      <c r="B2103">
        <f>IF(A2103="","",'Employees'!C14)</f>
        <v/>
      </c>
      <c r="C2103">
        <f>IF(A2103="","",'Employees'!D14)</f>
        <v/>
      </c>
      <c r="D2103">
        <f>IF(A2103="","",'Skill Matrix'!C137)</f>
        <v/>
      </c>
      <c r="E2103">
        <f>IF(A2103="","",'Skill Matrix'!D137)</f>
        <v/>
      </c>
      <c r="F2103">
        <f>IF(AND('Skill Matrix'!A137&lt;&gt;"",'Skill Matrix'!J5&lt;&gt;""),'Skill Matrix'!J5,"")</f>
        <v/>
      </c>
      <c r="G2103">
        <f>IF(OR(A2103="",'Skill Matrix'!J137=""),"",'Skill Matrix'!J137)</f>
        <v/>
      </c>
      <c r="H2103">
        <f>IF(A2103="","",'Employees'!F14)</f>
        <v/>
      </c>
    </row>
    <row r="2104">
      <c r="A2104">
        <f>IF(AND('Skill Matrix'!A137&lt;&gt;"",'Skill Matrix'!K5&lt;&gt;""),'Skill Matrix'!A137,"")</f>
        <v/>
      </c>
      <c r="B2104">
        <f>IF(A2104="","",'Employees'!C14)</f>
        <v/>
      </c>
      <c r="C2104">
        <f>IF(A2104="","",'Employees'!D14)</f>
        <v/>
      </c>
      <c r="D2104">
        <f>IF(A2104="","",'Skill Matrix'!C137)</f>
        <v/>
      </c>
      <c r="E2104">
        <f>IF(A2104="","",'Skill Matrix'!D137)</f>
        <v/>
      </c>
      <c r="F2104">
        <f>IF(AND('Skill Matrix'!A137&lt;&gt;"",'Skill Matrix'!K5&lt;&gt;""),'Skill Matrix'!K5,"")</f>
        <v/>
      </c>
      <c r="G2104">
        <f>IF(OR(A2104="",'Skill Matrix'!K137=""),"",'Skill Matrix'!K137)</f>
        <v/>
      </c>
      <c r="H2104">
        <f>IF(A2104="","",'Employees'!F14)</f>
        <v/>
      </c>
    </row>
    <row r="2105">
      <c r="A2105">
        <f>IF(AND('Skill Matrix'!A137&lt;&gt;"",'Skill Matrix'!L5&lt;&gt;""),'Skill Matrix'!A137,"")</f>
        <v/>
      </c>
      <c r="B2105">
        <f>IF(A2105="","",'Employees'!C14)</f>
        <v/>
      </c>
      <c r="C2105">
        <f>IF(A2105="","",'Employees'!D14)</f>
        <v/>
      </c>
      <c r="D2105">
        <f>IF(A2105="","",'Skill Matrix'!C137)</f>
        <v/>
      </c>
      <c r="E2105">
        <f>IF(A2105="","",'Skill Matrix'!D137)</f>
        <v/>
      </c>
      <c r="F2105">
        <f>IF(AND('Skill Matrix'!A137&lt;&gt;"",'Skill Matrix'!L5&lt;&gt;""),'Skill Matrix'!L5,"")</f>
        <v/>
      </c>
      <c r="G2105">
        <f>IF(OR(A2105="",'Skill Matrix'!L137=""),"",'Skill Matrix'!L137)</f>
        <v/>
      </c>
      <c r="H2105">
        <f>IF(A2105="","",'Employees'!F14)</f>
        <v/>
      </c>
    </row>
    <row r="2106">
      <c r="A2106">
        <f>IF(AND('Skill Matrix'!A137&lt;&gt;"",'Skill Matrix'!M5&lt;&gt;""),'Skill Matrix'!A137,"")</f>
        <v/>
      </c>
      <c r="B2106">
        <f>IF(A2106="","",'Employees'!C14)</f>
        <v/>
      </c>
      <c r="C2106">
        <f>IF(A2106="","",'Employees'!D14)</f>
        <v/>
      </c>
      <c r="D2106">
        <f>IF(A2106="","",'Skill Matrix'!C137)</f>
        <v/>
      </c>
      <c r="E2106">
        <f>IF(A2106="","",'Skill Matrix'!D137)</f>
        <v/>
      </c>
      <c r="F2106">
        <f>IF(AND('Skill Matrix'!A137&lt;&gt;"",'Skill Matrix'!M5&lt;&gt;""),'Skill Matrix'!M5,"")</f>
        <v/>
      </c>
      <c r="G2106">
        <f>IF(OR(A2106="",'Skill Matrix'!M137=""),"",'Skill Matrix'!M137)</f>
        <v/>
      </c>
      <c r="H2106">
        <f>IF(A2106="","",'Employees'!F14)</f>
        <v/>
      </c>
    </row>
    <row r="2107">
      <c r="A2107">
        <f>IF(AND('Skill Matrix'!A137&lt;&gt;"",'Skill Matrix'!N5&lt;&gt;""),'Skill Matrix'!A137,"")</f>
        <v/>
      </c>
      <c r="B2107">
        <f>IF(A2107="","",'Employees'!C14)</f>
        <v/>
      </c>
      <c r="C2107">
        <f>IF(A2107="","",'Employees'!D14)</f>
        <v/>
      </c>
      <c r="D2107">
        <f>IF(A2107="","",'Skill Matrix'!C137)</f>
        <v/>
      </c>
      <c r="E2107">
        <f>IF(A2107="","",'Skill Matrix'!D137)</f>
        <v/>
      </c>
      <c r="F2107">
        <f>IF(AND('Skill Matrix'!A137&lt;&gt;"",'Skill Matrix'!N5&lt;&gt;""),'Skill Matrix'!N5,"")</f>
        <v/>
      </c>
      <c r="G2107">
        <f>IF(OR(A2107="",'Skill Matrix'!N137=""),"",'Skill Matrix'!N137)</f>
        <v/>
      </c>
      <c r="H2107">
        <f>IF(A2107="","",'Employees'!F14)</f>
        <v/>
      </c>
    </row>
    <row r="2108">
      <c r="A2108">
        <f>IF(AND('Skill Matrix'!A137&lt;&gt;"",'Skill Matrix'!O5&lt;&gt;""),'Skill Matrix'!A137,"")</f>
        <v/>
      </c>
      <c r="B2108">
        <f>IF(A2108="","",'Employees'!C14)</f>
        <v/>
      </c>
      <c r="C2108">
        <f>IF(A2108="","",'Employees'!D14)</f>
        <v/>
      </c>
      <c r="D2108">
        <f>IF(A2108="","",'Skill Matrix'!C137)</f>
        <v/>
      </c>
      <c r="E2108">
        <f>IF(A2108="","",'Skill Matrix'!D137)</f>
        <v/>
      </c>
      <c r="F2108">
        <f>IF(AND('Skill Matrix'!A137&lt;&gt;"",'Skill Matrix'!O5&lt;&gt;""),'Skill Matrix'!O5,"")</f>
        <v/>
      </c>
      <c r="G2108">
        <f>IF(OR(A2108="",'Skill Matrix'!O137=""),"",'Skill Matrix'!O137)</f>
        <v/>
      </c>
      <c r="H2108">
        <f>IF(A2108="","",'Employees'!F14)</f>
        <v/>
      </c>
    </row>
    <row r="2109">
      <c r="A2109">
        <f>IF(AND('Skill Matrix'!A137&lt;&gt;"",'Skill Matrix'!P5&lt;&gt;""),'Skill Matrix'!A137,"")</f>
        <v/>
      </c>
      <c r="B2109">
        <f>IF(A2109="","",'Employees'!C14)</f>
        <v/>
      </c>
      <c r="C2109">
        <f>IF(A2109="","",'Employees'!D14)</f>
        <v/>
      </c>
      <c r="D2109">
        <f>IF(A2109="","",'Skill Matrix'!C137)</f>
        <v/>
      </c>
      <c r="E2109">
        <f>IF(A2109="","",'Skill Matrix'!D137)</f>
        <v/>
      </c>
      <c r="F2109">
        <f>IF(AND('Skill Matrix'!A137&lt;&gt;"",'Skill Matrix'!P5&lt;&gt;""),'Skill Matrix'!P5,"")</f>
        <v/>
      </c>
      <c r="G2109">
        <f>IF(OR(A2109="",'Skill Matrix'!P137=""),"",'Skill Matrix'!P137)</f>
        <v/>
      </c>
      <c r="H2109">
        <f>IF(A2109="","",'Employees'!F14)</f>
        <v/>
      </c>
    </row>
    <row r="2110">
      <c r="A2110">
        <f>IF(AND('Skill Matrix'!A137&lt;&gt;"",'Skill Matrix'!Q5&lt;&gt;""),'Skill Matrix'!A137,"")</f>
        <v/>
      </c>
      <c r="B2110">
        <f>IF(A2110="","",'Employees'!C14)</f>
        <v/>
      </c>
      <c r="C2110">
        <f>IF(A2110="","",'Employees'!D14)</f>
        <v/>
      </c>
      <c r="D2110">
        <f>IF(A2110="","",'Skill Matrix'!C137)</f>
        <v/>
      </c>
      <c r="E2110">
        <f>IF(A2110="","",'Skill Matrix'!D137)</f>
        <v/>
      </c>
      <c r="F2110">
        <f>IF(AND('Skill Matrix'!A137&lt;&gt;"",'Skill Matrix'!Q5&lt;&gt;""),'Skill Matrix'!Q5,"")</f>
        <v/>
      </c>
      <c r="G2110">
        <f>IF(OR(A2110="",'Skill Matrix'!Q137=""),"",'Skill Matrix'!Q137)</f>
        <v/>
      </c>
      <c r="H2110">
        <f>IF(A2110="","",'Employees'!F14)</f>
        <v/>
      </c>
    </row>
    <row r="2111">
      <c r="A2111">
        <f>IF(AND('Skill Matrix'!A137&lt;&gt;"",'Skill Matrix'!R5&lt;&gt;""),'Skill Matrix'!A137,"")</f>
        <v/>
      </c>
      <c r="B2111">
        <f>IF(A2111="","",'Employees'!C14)</f>
        <v/>
      </c>
      <c r="C2111">
        <f>IF(A2111="","",'Employees'!D14)</f>
        <v/>
      </c>
      <c r="D2111">
        <f>IF(A2111="","",'Skill Matrix'!C137)</f>
        <v/>
      </c>
      <c r="E2111">
        <f>IF(A2111="","",'Skill Matrix'!D137)</f>
        <v/>
      </c>
      <c r="F2111">
        <f>IF(AND('Skill Matrix'!A137&lt;&gt;"",'Skill Matrix'!R5&lt;&gt;""),'Skill Matrix'!R5,"")</f>
        <v/>
      </c>
      <c r="G2111">
        <f>IF(OR(A2111="",'Skill Matrix'!R137=""),"",'Skill Matrix'!R137)</f>
        <v/>
      </c>
      <c r="H2111">
        <f>IF(A2111="","",'Employees'!F14)</f>
        <v/>
      </c>
    </row>
    <row r="2112">
      <c r="A2112">
        <f>IF(AND('Skill Matrix'!A137&lt;&gt;"",'Skill Matrix'!S5&lt;&gt;""),'Skill Matrix'!A137,"")</f>
        <v/>
      </c>
      <c r="B2112">
        <f>IF(A2112="","",'Employees'!C14)</f>
        <v/>
      </c>
      <c r="C2112">
        <f>IF(A2112="","",'Employees'!D14)</f>
        <v/>
      </c>
      <c r="D2112">
        <f>IF(A2112="","",'Skill Matrix'!C137)</f>
        <v/>
      </c>
      <c r="E2112">
        <f>IF(A2112="","",'Skill Matrix'!D137)</f>
        <v/>
      </c>
      <c r="F2112">
        <f>IF(AND('Skill Matrix'!A137&lt;&gt;"",'Skill Matrix'!S5&lt;&gt;""),'Skill Matrix'!S5,"")</f>
        <v/>
      </c>
      <c r="G2112">
        <f>IF(OR(A2112="",'Skill Matrix'!S137=""),"",'Skill Matrix'!S137)</f>
        <v/>
      </c>
      <c r="H2112">
        <f>IF(A2112="","",'Employees'!F14)</f>
        <v/>
      </c>
    </row>
    <row r="2113">
      <c r="A2113">
        <f>IF(AND('Skill Matrix'!A137&lt;&gt;"",'Skill Matrix'!T5&lt;&gt;""),'Skill Matrix'!A137,"")</f>
        <v/>
      </c>
      <c r="B2113">
        <f>IF(A2113="","",'Employees'!C14)</f>
        <v/>
      </c>
      <c r="C2113">
        <f>IF(A2113="","",'Employees'!D14)</f>
        <v/>
      </c>
      <c r="D2113">
        <f>IF(A2113="","",'Skill Matrix'!C137)</f>
        <v/>
      </c>
      <c r="E2113">
        <f>IF(A2113="","",'Skill Matrix'!D137)</f>
        <v/>
      </c>
      <c r="F2113">
        <f>IF(AND('Skill Matrix'!A137&lt;&gt;"",'Skill Matrix'!T5&lt;&gt;""),'Skill Matrix'!T5,"")</f>
        <v/>
      </c>
      <c r="G2113">
        <f>IF(OR(A2113="",'Skill Matrix'!T137=""),"",'Skill Matrix'!T137)</f>
        <v/>
      </c>
      <c r="H2113">
        <f>IF(A2113="","",'Employees'!F14)</f>
        <v/>
      </c>
    </row>
    <row r="2114">
      <c r="A2114">
        <f>IF(AND('Skill Matrix'!A138&lt;&gt;"",'Skill Matrix'!E5&lt;&gt;""),'Skill Matrix'!A138,"")</f>
        <v/>
      </c>
      <c r="B2114">
        <f>IF(A2114="","",'Employees'!C14)</f>
        <v/>
      </c>
      <c r="C2114">
        <f>IF(A2114="","",'Employees'!D14)</f>
        <v/>
      </c>
      <c r="D2114">
        <f>IF(A2114="","",'Skill Matrix'!C138)</f>
        <v/>
      </c>
      <c r="E2114">
        <f>IF(A2114="","",'Skill Matrix'!D138)</f>
        <v/>
      </c>
      <c r="F2114">
        <f>IF(AND('Skill Matrix'!A138&lt;&gt;"",'Skill Matrix'!E5&lt;&gt;""),'Skill Matrix'!E5,"")</f>
        <v/>
      </c>
      <c r="G2114">
        <f>IF(OR(A2114="",'Skill Matrix'!E138=""),"",'Skill Matrix'!E138)</f>
        <v/>
      </c>
      <c r="H2114">
        <f>IF(A2114="","",'Employees'!F14)</f>
        <v/>
      </c>
    </row>
    <row r="2115">
      <c r="A2115">
        <f>IF(AND('Skill Matrix'!A138&lt;&gt;"",'Skill Matrix'!F5&lt;&gt;""),'Skill Matrix'!A138,"")</f>
        <v/>
      </c>
      <c r="B2115">
        <f>IF(A2115="","",'Employees'!C14)</f>
        <v/>
      </c>
      <c r="C2115">
        <f>IF(A2115="","",'Employees'!D14)</f>
        <v/>
      </c>
      <c r="D2115">
        <f>IF(A2115="","",'Skill Matrix'!C138)</f>
        <v/>
      </c>
      <c r="E2115">
        <f>IF(A2115="","",'Skill Matrix'!D138)</f>
        <v/>
      </c>
      <c r="F2115">
        <f>IF(AND('Skill Matrix'!A138&lt;&gt;"",'Skill Matrix'!F5&lt;&gt;""),'Skill Matrix'!F5,"")</f>
        <v/>
      </c>
      <c r="G2115">
        <f>IF(OR(A2115="",'Skill Matrix'!F138=""),"",'Skill Matrix'!F138)</f>
        <v/>
      </c>
      <c r="H2115">
        <f>IF(A2115="","",'Employees'!F14)</f>
        <v/>
      </c>
    </row>
    <row r="2116">
      <c r="A2116">
        <f>IF(AND('Skill Matrix'!A138&lt;&gt;"",'Skill Matrix'!G5&lt;&gt;""),'Skill Matrix'!A138,"")</f>
        <v/>
      </c>
      <c r="B2116">
        <f>IF(A2116="","",'Employees'!C14)</f>
        <v/>
      </c>
      <c r="C2116">
        <f>IF(A2116="","",'Employees'!D14)</f>
        <v/>
      </c>
      <c r="D2116">
        <f>IF(A2116="","",'Skill Matrix'!C138)</f>
        <v/>
      </c>
      <c r="E2116">
        <f>IF(A2116="","",'Skill Matrix'!D138)</f>
        <v/>
      </c>
      <c r="F2116">
        <f>IF(AND('Skill Matrix'!A138&lt;&gt;"",'Skill Matrix'!G5&lt;&gt;""),'Skill Matrix'!G5,"")</f>
        <v/>
      </c>
      <c r="G2116">
        <f>IF(OR(A2116="",'Skill Matrix'!G138=""),"",'Skill Matrix'!G138)</f>
        <v/>
      </c>
      <c r="H2116">
        <f>IF(A2116="","",'Employees'!F14)</f>
        <v/>
      </c>
    </row>
    <row r="2117">
      <c r="A2117">
        <f>IF(AND('Skill Matrix'!A138&lt;&gt;"",'Skill Matrix'!H5&lt;&gt;""),'Skill Matrix'!A138,"")</f>
        <v/>
      </c>
      <c r="B2117">
        <f>IF(A2117="","",'Employees'!C14)</f>
        <v/>
      </c>
      <c r="C2117">
        <f>IF(A2117="","",'Employees'!D14)</f>
        <v/>
      </c>
      <c r="D2117">
        <f>IF(A2117="","",'Skill Matrix'!C138)</f>
        <v/>
      </c>
      <c r="E2117">
        <f>IF(A2117="","",'Skill Matrix'!D138)</f>
        <v/>
      </c>
      <c r="F2117">
        <f>IF(AND('Skill Matrix'!A138&lt;&gt;"",'Skill Matrix'!H5&lt;&gt;""),'Skill Matrix'!H5,"")</f>
        <v/>
      </c>
      <c r="G2117">
        <f>IF(OR(A2117="",'Skill Matrix'!H138=""),"",'Skill Matrix'!H138)</f>
        <v/>
      </c>
      <c r="H2117">
        <f>IF(A2117="","",'Employees'!F14)</f>
        <v/>
      </c>
    </row>
    <row r="2118">
      <c r="A2118">
        <f>IF(AND('Skill Matrix'!A138&lt;&gt;"",'Skill Matrix'!I5&lt;&gt;""),'Skill Matrix'!A138,"")</f>
        <v/>
      </c>
      <c r="B2118">
        <f>IF(A2118="","",'Employees'!C14)</f>
        <v/>
      </c>
      <c r="C2118">
        <f>IF(A2118="","",'Employees'!D14)</f>
        <v/>
      </c>
      <c r="D2118">
        <f>IF(A2118="","",'Skill Matrix'!C138)</f>
        <v/>
      </c>
      <c r="E2118">
        <f>IF(A2118="","",'Skill Matrix'!D138)</f>
        <v/>
      </c>
      <c r="F2118">
        <f>IF(AND('Skill Matrix'!A138&lt;&gt;"",'Skill Matrix'!I5&lt;&gt;""),'Skill Matrix'!I5,"")</f>
        <v/>
      </c>
      <c r="G2118">
        <f>IF(OR(A2118="",'Skill Matrix'!I138=""),"",'Skill Matrix'!I138)</f>
        <v/>
      </c>
      <c r="H2118">
        <f>IF(A2118="","",'Employees'!F14)</f>
        <v/>
      </c>
    </row>
    <row r="2119">
      <c r="A2119">
        <f>IF(AND('Skill Matrix'!A138&lt;&gt;"",'Skill Matrix'!J5&lt;&gt;""),'Skill Matrix'!A138,"")</f>
        <v/>
      </c>
      <c r="B2119">
        <f>IF(A2119="","",'Employees'!C14)</f>
        <v/>
      </c>
      <c r="C2119">
        <f>IF(A2119="","",'Employees'!D14)</f>
        <v/>
      </c>
      <c r="D2119">
        <f>IF(A2119="","",'Skill Matrix'!C138)</f>
        <v/>
      </c>
      <c r="E2119">
        <f>IF(A2119="","",'Skill Matrix'!D138)</f>
        <v/>
      </c>
      <c r="F2119">
        <f>IF(AND('Skill Matrix'!A138&lt;&gt;"",'Skill Matrix'!J5&lt;&gt;""),'Skill Matrix'!J5,"")</f>
        <v/>
      </c>
      <c r="G2119">
        <f>IF(OR(A2119="",'Skill Matrix'!J138=""),"",'Skill Matrix'!J138)</f>
        <v/>
      </c>
      <c r="H2119">
        <f>IF(A2119="","",'Employees'!F14)</f>
        <v/>
      </c>
    </row>
    <row r="2120">
      <c r="A2120">
        <f>IF(AND('Skill Matrix'!A138&lt;&gt;"",'Skill Matrix'!K5&lt;&gt;""),'Skill Matrix'!A138,"")</f>
        <v/>
      </c>
      <c r="B2120">
        <f>IF(A2120="","",'Employees'!C14)</f>
        <v/>
      </c>
      <c r="C2120">
        <f>IF(A2120="","",'Employees'!D14)</f>
        <v/>
      </c>
      <c r="D2120">
        <f>IF(A2120="","",'Skill Matrix'!C138)</f>
        <v/>
      </c>
      <c r="E2120">
        <f>IF(A2120="","",'Skill Matrix'!D138)</f>
        <v/>
      </c>
      <c r="F2120">
        <f>IF(AND('Skill Matrix'!A138&lt;&gt;"",'Skill Matrix'!K5&lt;&gt;""),'Skill Matrix'!K5,"")</f>
        <v/>
      </c>
      <c r="G2120">
        <f>IF(OR(A2120="",'Skill Matrix'!K138=""),"",'Skill Matrix'!K138)</f>
        <v/>
      </c>
      <c r="H2120">
        <f>IF(A2120="","",'Employees'!F14)</f>
        <v/>
      </c>
    </row>
    <row r="2121">
      <c r="A2121">
        <f>IF(AND('Skill Matrix'!A138&lt;&gt;"",'Skill Matrix'!L5&lt;&gt;""),'Skill Matrix'!A138,"")</f>
        <v/>
      </c>
      <c r="B2121">
        <f>IF(A2121="","",'Employees'!C14)</f>
        <v/>
      </c>
      <c r="C2121">
        <f>IF(A2121="","",'Employees'!D14)</f>
        <v/>
      </c>
      <c r="D2121">
        <f>IF(A2121="","",'Skill Matrix'!C138)</f>
        <v/>
      </c>
      <c r="E2121">
        <f>IF(A2121="","",'Skill Matrix'!D138)</f>
        <v/>
      </c>
      <c r="F2121">
        <f>IF(AND('Skill Matrix'!A138&lt;&gt;"",'Skill Matrix'!L5&lt;&gt;""),'Skill Matrix'!L5,"")</f>
        <v/>
      </c>
      <c r="G2121">
        <f>IF(OR(A2121="",'Skill Matrix'!L138=""),"",'Skill Matrix'!L138)</f>
        <v/>
      </c>
      <c r="H2121">
        <f>IF(A2121="","",'Employees'!F14)</f>
        <v/>
      </c>
    </row>
    <row r="2122">
      <c r="A2122">
        <f>IF(AND('Skill Matrix'!A138&lt;&gt;"",'Skill Matrix'!M5&lt;&gt;""),'Skill Matrix'!A138,"")</f>
        <v/>
      </c>
      <c r="B2122">
        <f>IF(A2122="","",'Employees'!C14)</f>
        <v/>
      </c>
      <c r="C2122">
        <f>IF(A2122="","",'Employees'!D14)</f>
        <v/>
      </c>
      <c r="D2122">
        <f>IF(A2122="","",'Skill Matrix'!C138)</f>
        <v/>
      </c>
      <c r="E2122">
        <f>IF(A2122="","",'Skill Matrix'!D138)</f>
        <v/>
      </c>
      <c r="F2122">
        <f>IF(AND('Skill Matrix'!A138&lt;&gt;"",'Skill Matrix'!M5&lt;&gt;""),'Skill Matrix'!M5,"")</f>
        <v/>
      </c>
      <c r="G2122">
        <f>IF(OR(A2122="",'Skill Matrix'!M138=""),"",'Skill Matrix'!M138)</f>
        <v/>
      </c>
      <c r="H2122">
        <f>IF(A2122="","",'Employees'!F14)</f>
        <v/>
      </c>
    </row>
    <row r="2123">
      <c r="A2123">
        <f>IF(AND('Skill Matrix'!A138&lt;&gt;"",'Skill Matrix'!N5&lt;&gt;""),'Skill Matrix'!A138,"")</f>
        <v/>
      </c>
      <c r="B2123">
        <f>IF(A2123="","",'Employees'!C14)</f>
        <v/>
      </c>
      <c r="C2123">
        <f>IF(A2123="","",'Employees'!D14)</f>
        <v/>
      </c>
      <c r="D2123">
        <f>IF(A2123="","",'Skill Matrix'!C138)</f>
        <v/>
      </c>
      <c r="E2123">
        <f>IF(A2123="","",'Skill Matrix'!D138)</f>
        <v/>
      </c>
      <c r="F2123">
        <f>IF(AND('Skill Matrix'!A138&lt;&gt;"",'Skill Matrix'!N5&lt;&gt;""),'Skill Matrix'!N5,"")</f>
        <v/>
      </c>
      <c r="G2123">
        <f>IF(OR(A2123="",'Skill Matrix'!N138=""),"",'Skill Matrix'!N138)</f>
        <v/>
      </c>
      <c r="H2123">
        <f>IF(A2123="","",'Employees'!F14)</f>
        <v/>
      </c>
    </row>
    <row r="2124">
      <c r="A2124">
        <f>IF(AND('Skill Matrix'!A138&lt;&gt;"",'Skill Matrix'!O5&lt;&gt;""),'Skill Matrix'!A138,"")</f>
        <v/>
      </c>
      <c r="B2124">
        <f>IF(A2124="","",'Employees'!C14)</f>
        <v/>
      </c>
      <c r="C2124">
        <f>IF(A2124="","",'Employees'!D14)</f>
        <v/>
      </c>
      <c r="D2124">
        <f>IF(A2124="","",'Skill Matrix'!C138)</f>
        <v/>
      </c>
      <c r="E2124">
        <f>IF(A2124="","",'Skill Matrix'!D138)</f>
        <v/>
      </c>
      <c r="F2124">
        <f>IF(AND('Skill Matrix'!A138&lt;&gt;"",'Skill Matrix'!O5&lt;&gt;""),'Skill Matrix'!O5,"")</f>
        <v/>
      </c>
      <c r="G2124">
        <f>IF(OR(A2124="",'Skill Matrix'!O138=""),"",'Skill Matrix'!O138)</f>
        <v/>
      </c>
      <c r="H2124">
        <f>IF(A2124="","",'Employees'!F14)</f>
        <v/>
      </c>
    </row>
    <row r="2125">
      <c r="A2125">
        <f>IF(AND('Skill Matrix'!A138&lt;&gt;"",'Skill Matrix'!P5&lt;&gt;""),'Skill Matrix'!A138,"")</f>
        <v/>
      </c>
      <c r="B2125">
        <f>IF(A2125="","",'Employees'!C14)</f>
        <v/>
      </c>
      <c r="C2125">
        <f>IF(A2125="","",'Employees'!D14)</f>
        <v/>
      </c>
      <c r="D2125">
        <f>IF(A2125="","",'Skill Matrix'!C138)</f>
        <v/>
      </c>
      <c r="E2125">
        <f>IF(A2125="","",'Skill Matrix'!D138)</f>
        <v/>
      </c>
      <c r="F2125">
        <f>IF(AND('Skill Matrix'!A138&lt;&gt;"",'Skill Matrix'!P5&lt;&gt;""),'Skill Matrix'!P5,"")</f>
        <v/>
      </c>
      <c r="G2125">
        <f>IF(OR(A2125="",'Skill Matrix'!P138=""),"",'Skill Matrix'!P138)</f>
        <v/>
      </c>
      <c r="H2125">
        <f>IF(A2125="","",'Employees'!F14)</f>
        <v/>
      </c>
    </row>
    <row r="2126">
      <c r="A2126">
        <f>IF(AND('Skill Matrix'!A138&lt;&gt;"",'Skill Matrix'!Q5&lt;&gt;""),'Skill Matrix'!A138,"")</f>
        <v/>
      </c>
      <c r="B2126">
        <f>IF(A2126="","",'Employees'!C14)</f>
        <v/>
      </c>
      <c r="C2126">
        <f>IF(A2126="","",'Employees'!D14)</f>
        <v/>
      </c>
      <c r="D2126">
        <f>IF(A2126="","",'Skill Matrix'!C138)</f>
        <v/>
      </c>
      <c r="E2126">
        <f>IF(A2126="","",'Skill Matrix'!D138)</f>
        <v/>
      </c>
      <c r="F2126">
        <f>IF(AND('Skill Matrix'!A138&lt;&gt;"",'Skill Matrix'!Q5&lt;&gt;""),'Skill Matrix'!Q5,"")</f>
        <v/>
      </c>
      <c r="G2126">
        <f>IF(OR(A2126="",'Skill Matrix'!Q138=""),"",'Skill Matrix'!Q138)</f>
        <v/>
      </c>
      <c r="H2126">
        <f>IF(A2126="","",'Employees'!F14)</f>
        <v/>
      </c>
    </row>
    <row r="2127">
      <c r="A2127">
        <f>IF(AND('Skill Matrix'!A138&lt;&gt;"",'Skill Matrix'!R5&lt;&gt;""),'Skill Matrix'!A138,"")</f>
        <v/>
      </c>
      <c r="B2127">
        <f>IF(A2127="","",'Employees'!C14)</f>
        <v/>
      </c>
      <c r="C2127">
        <f>IF(A2127="","",'Employees'!D14)</f>
        <v/>
      </c>
      <c r="D2127">
        <f>IF(A2127="","",'Skill Matrix'!C138)</f>
        <v/>
      </c>
      <c r="E2127">
        <f>IF(A2127="","",'Skill Matrix'!D138)</f>
        <v/>
      </c>
      <c r="F2127">
        <f>IF(AND('Skill Matrix'!A138&lt;&gt;"",'Skill Matrix'!R5&lt;&gt;""),'Skill Matrix'!R5,"")</f>
        <v/>
      </c>
      <c r="G2127">
        <f>IF(OR(A2127="",'Skill Matrix'!R138=""),"",'Skill Matrix'!R138)</f>
        <v/>
      </c>
      <c r="H2127">
        <f>IF(A2127="","",'Employees'!F14)</f>
        <v/>
      </c>
    </row>
    <row r="2128">
      <c r="A2128">
        <f>IF(AND('Skill Matrix'!A138&lt;&gt;"",'Skill Matrix'!S5&lt;&gt;""),'Skill Matrix'!A138,"")</f>
        <v/>
      </c>
      <c r="B2128">
        <f>IF(A2128="","",'Employees'!C14)</f>
        <v/>
      </c>
      <c r="C2128">
        <f>IF(A2128="","",'Employees'!D14)</f>
        <v/>
      </c>
      <c r="D2128">
        <f>IF(A2128="","",'Skill Matrix'!C138)</f>
        <v/>
      </c>
      <c r="E2128">
        <f>IF(A2128="","",'Skill Matrix'!D138)</f>
        <v/>
      </c>
      <c r="F2128">
        <f>IF(AND('Skill Matrix'!A138&lt;&gt;"",'Skill Matrix'!S5&lt;&gt;""),'Skill Matrix'!S5,"")</f>
        <v/>
      </c>
      <c r="G2128">
        <f>IF(OR(A2128="",'Skill Matrix'!S138=""),"",'Skill Matrix'!S138)</f>
        <v/>
      </c>
      <c r="H2128">
        <f>IF(A2128="","",'Employees'!F14)</f>
        <v/>
      </c>
    </row>
    <row r="2129">
      <c r="A2129">
        <f>IF(AND('Skill Matrix'!A138&lt;&gt;"",'Skill Matrix'!T5&lt;&gt;""),'Skill Matrix'!A138,"")</f>
        <v/>
      </c>
      <c r="B2129">
        <f>IF(A2129="","",'Employees'!C14)</f>
        <v/>
      </c>
      <c r="C2129">
        <f>IF(A2129="","",'Employees'!D14)</f>
        <v/>
      </c>
      <c r="D2129">
        <f>IF(A2129="","",'Skill Matrix'!C138)</f>
        <v/>
      </c>
      <c r="E2129">
        <f>IF(A2129="","",'Skill Matrix'!D138)</f>
        <v/>
      </c>
      <c r="F2129">
        <f>IF(AND('Skill Matrix'!A138&lt;&gt;"",'Skill Matrix'!T5&lt;&gt;""),'Skill Matrix'!T5,"")</f>
        <v/>
      </c>
      <c r="G2129">
        <f>IF(OR(A2129="",'Skill Matrix'!T138=""),"",'Skill Matrix'!T138)</f>
        <v/>
      </c>
      <c r="H2129">
        <f>IF(A2129="","",'Employees'!F14)</f>
        <v/>
      </c>
    </row>
    <row r="2130">
      <c r="A2130">
        <f>IF(AND('Skill Matrix'!A139&lt;&gt;"",'Skill Matrix'!E5&lt;&gt;""),'Skill Matrix'!A139,"")</f>
        <v/>
      </c>
      <c r="B2130">
        <f>IF(A2130="","",'Employees'!C14)</f>
        <v/>
      </c>
      <c r="C2130">
        <f>IF(A2130="","",'Employees'!D14)</f>
        <v/>
      </c>
      <c r="D2130">
        <f>IF(A2130="","",'Skill Matrix'!C139)</f>
        <v/>
      </c>
      <c r="E2130">
        <f>IF(A2130="","",'Skill Matrix'!D139)</f>
        <v/>
      </c>
      <c r="F2130">
        <f>IF(AND('Skill Matrix'!A139&lt;&gt;"",'Skill Matrix'!E5&lt;&gt;""),'Skill Matrix'!E5,"")</f>
        <v/>
      </c>
      <c r="G2130">
        <f>IF(OR(A2130="",'Skill Matrix'!E139=""),"",'Skill Matrix'!E139)</f>
        <v/>
      </c>
      <c r="H2130">
        <f>IF(A2130="","",'Employees'!F14)</f>
        <v/>
      </c>
    </row>
    <row r="2131">
      <c r="A2131">
        <f>IF(AND('Skill Matrix'!A139&lt;&gt;"",'Skill Matrix'!F5&lt;&gt;""),'Skill Matrix'!A139,"")</f>
        <v/>
      </c>
      <c r="B2131">
        <f>IF(A2131="","",'Employees'!C14)</f>
        <v/>
      </c>
      <c r="C2131">
        <f>IF(A2131="","",'Employees'!D14)</f>
        <v/>
      </c>
      <c r="D2131">
        <f>IF(A2131="","",'Skill Matrix'!C139)</f>
        <v/>
      </c>
      <c r="E2131">
        <f>IF(A2131="","",'Skill Matrix'!D139)</f>
        <v/>
      </c>
      <c r="F2131">
        <f>IF(AND('Skill Matrix'!A139&lt;&gt;"",'Skill Matrix'!F5&lt;&gt;""),'Skill Matrix'!F5,"")</f>
        <v/>
      </c>
      <c r="G2131">
        <f>IF(OR(A2131="",'Skill Matrix'!F139=""),"",'Skill Matrix'!F139)</f>
        <v/>
      </c>
      <c r="H2131">
        <f>IF(A2131="","",'Employees'!F14)</f>
        <v/>
      </c>
    </row>
    <row r="2132">
      <c r="A2132">
        <f>IF(AND('Skill Matrix'!A139&lt;&gt;"",'Skill Matrix'!G5&lt;&gt;""),'Skill Matrix'!A139,"")</f>
        <v/>
      </c>
      <c r="B2132">
        <f>IF(A2132="","",'Employees'!C14)</f>
        <v/>
      </c>
      <c r="C2132">
        <f>IF(A2132="","",'Employees'!D14)</f>
        <v/>
      </c>
      <c r="D2132">
        <f>IF(A2132="","",'Skill Matrix'!C139)</f>
        <v/>
      </c>
      <c r="E2132">
        <f>IF(A2132="","",'Skill Matrix'!D139)</f>
        <v/>
      </c>
      <c r="F2132">
        <f>IF(AND('Skill Matrix'!A139&lt;&gt;"",'Skill Matrix'!G5&lt;&gt;""),'Skill Matrix'!G5,"")</f>
        <v/>
      </c>
      <c r="G2132">
        <f>IF(OR(A2132="",'Skill Matrix'!G139=""),"",'Skill Matrix'!G139)</f>
        <v/>
      </c>
      <c r="H2132">
        <f>IF(A2132="","",'Employees'!F14)</f>
        <v/>
      </c>
    </row>
    <row r="2133">
      <c r="A2133">
        <f>IF(AND('Skill Matrix'!A139&lt;&gt;"",'Skill Matrix'!H5&lt;&gt;""),'Skill Matrix'!A139,"")</f>
        <v/>
      </c>
      <c r="B2133">
        <f>IF(A2133="","",'Employees'!C14)</f>
        <v/>
      </c>
      <c r="C2133">
        <f>IF(A2133="","",'Employees'!D14)</f>
        <v/>
      </c>
      <c r="D2133">
        <f>IF(A2133="","",'Skill Matrix'!C139)</f>
        <v/>
      </c>
      <c r="E2133">
        <f>IF(A2133="","",'Skill Matrix'!D139)</f>
        <v/>
      </c>
      <c r="F2133">
        <f>IF(AND('Skill Matrix'!A139&lt;&gt;"",'Skill Matrix'!H5&lt;&gt;""),'Skill Matrix'!H5,"")</f>
        <v/>
      </c>
      <c r="G2133">
        <f>IF(OR(A2133="",'Skill Matrix'!H139=""),"",'Skill Matrix'!H139)</f>
        <v/>
      </c>
      <c r="H2133">
        <f>IF(A2133="","",'Employees'!F14)</f>
        <v/>
      </c>
    </row>
    <row r="2134">
      <c r="A2134">
        <f>IF(AND('Skill Matrix'!A139&lt;&gt;"",'Skill Matrix'!I5&lt;&gt;""),'Skill Matrix'!A139,"")</f>
        <v/>
      </c>
      <c r="B2134">
        <f>IF(A2134="","",'Employees'!C14)</f>
        <v/>
      </c>
      <c r="C2134">
        <f>IF(A2134="","",'Employees'!D14)</f>
        <v/>
      </c>
      <c r="D2134">
        <f>IF(A2134="","",'Skill Matrix'!C139)</f>
        <v/>
      </c>
      <c r="E2134">
        <f>IF(A2134="","",'Skill Matrix'!D139)</f>
        <v/>
      </c>
      <c r="F2134">
        <f>IF(AND('Skill Matrix'!A139&lt;&gt;"",'Skill Matrix'!I5&lt;&gt;""),'Skill Matrix'!I5,"")</f>
        <v/>
      </c>
      <c r="G2134">
        <f>IF(OR(A2134="",'Skill Matrix'!I139=""),"",'Skill Matrix'!I139)</f>
        <v/>
      </c>
      <c r="H2134">
        <f>IF(A2134="","",'Employees'!F14)</f>
        <v/>
      </c>
    </row>
    <row r="2135">
      <c r="A2135">
        <f>IF(AND('Skill Matrix'!A139&lt;&gt;"",'Skill Matrix'!J5&lt;&gt;""),'Skill Matrix'!A139,"")</f>
        <v/>
      </c>
      <c r="B2135">
        <f>IF(A2135="","",'Employees'!C14)</f>
        <v/>
      </c>
      <c r="C2135">
        <f>IF(A2135="","",'Employees'!D14)</f>
        <v/>
      </c>
      <c r="D2135">
        <f>IF(A2135="","",'Skill Matrix'!C139)</f>
        <v/>
      </c>
      <c r="E2135">
        <f>IF(A2135="","",'Skill Matrix'!D139)</f>
        <v/>
      </c>
      <c r="F2135">
        <f>IF(AND('Skill Matrix'!A139&lt;&gt;"",'Skill Matrix'!J5&lt;&gt;""),'Skill Matrix'!J5,"")</f>
        <v/>
      </c>
      <c r="G2135">
        <f>IF(OR(A2135="",'Skill Matrix'!J139=""),"",'Skill Matrix'!J139)</f>
        <v/>
      </c>
      <c r="H2135">
        <f>IF(A2135="","",'Employees'!F14)</f>
        <v/>
      </c>
    </row>
    <row r="2136">
      <c r="A2136">
        <f>IF(AND('Skill Matrix'!A139&lt;&gt;"",'Skill Matrix'!K5&lt;&gt;""),'Skill Matrix'!A139,"")</f>
        <v/>
      </c>
      <c r="B2136">
        <f>IF(A2136="","",'Employees'!C14)</f>
        <v/>
      </c>
      <c r="C2136">
        <f>IF(A2136="","",'Employees'!D14)</f>
        <v/>
      </c>
      <c r="D2136">
        <f>IF(A2136="","",'Skill Matrix'!C139)</f>
        <v/>
      </c>
      <c r="E2136">
        <f>IF(A2136="","",'Skill Matrix'!D139)</f>
        <v/>
      </c>
      <c r="F2136">
        <f>IF(AND('Skill Matrix'!A139&lt;&gt;"",'Skill Matrix'!K5&lt;&gt;""),'Skill Matrix'!K5,"")</f>
        <v/>
      </c>
      <c r="G2136">
        <f>IF(OR(A2136="",'Skill Matrix'!K139=""),"",'Skill Matrix'!K139)</f>
        <v/>
      </c>
      <c r="H2136">
        <f>IF(A2136="","",'Employees'!F14)</f>
        <v/>
      </c>
    </row>
    <row r="2137">
      <c r="A2137">
        <f>IF(AND('Skill Matrix'!A139&lt;&gt;"",'Skill Matrix'!L5&lt;&gt;""),'Skill Matrix'!A139,"")</f>
        <v/>
      </c>
      <c r="B2137">
        <f>IF(A2137="","",'Employees'!C14)</f>
        <v/>
      </c>
      <c r="C2137">
        <f>IF(A2137="","",'Employees'!D14)</f>
        <v/>
      </c>
      <c r="D2137">
        <f>IF(A2137="","",'Skill Matrix'!C139)</f>
        <v/>
      </c>
      <c r="E2137">
        <f>IF(A2137="","",'Skill Matrix'!D139)</f>
        <v/>
      </c>
      <c r="F2137">
        <f>IF(AND('Skill Matrix'!A139&lt;&gt;"",'Skill Matrix'!L5&lt;&gt;""),'Skill Matrix'!L5,"")</f>
        <v/>
      </c>
      <c r="G2137">
        <f>IF(OR(A2137="",'Skill Matrix'!L139=""),"",'Skill Matrix'!L139)</f>
        <v/>
      </c>
      <c r="H2137">
        <f>IF(A2137="","",'Employees'!F14)</f>
        <v/>
      </c>
    </row>
    <row r="2138">
      <c r="A2138">
        <f>IF(AND('Skill Matrix'!A139&lt;&gt;"",'Skill Matrix'!M5&lt;&gt;""),'Skill Matrix'!A139,"")</f>
        <v/>
      </c>
      <c r="B2138">
        <f>IF(A2138="","",'Employees'!C14)</f>
        <v/>
      </c>
      <c r="C2138">
        <f>IF(A2138="","",'Employees'!D14)</f>
        <v/>
      </c>
      <c r="D2138">
        <f>IF(A2138="","",'Skill Matrix'!C139)</f>
        <v/>
      </c>
      <c r="E2138">
        <f>IF(A2138="","",'Skill Matrix'!D139)</f>
        <v/>
      </c>
      <c r="F2138">
        <f>IF(AND('Skill Matrix'!A139&lt;&gt;"",'Skill Matrix'!M5&lt;&gt;""),'Skill Matrix'!M5,"")</f>
        <v/>
      </c>
      <c r="G2138">
        <f>IF(OR(A2138="",'Skill Matrix'!M139=""),"",'Skill Matrix'!M139)</f>
        <v/>
      </c>
      <c r="H2138">
        <f>IF(A2138="","",'Employees'!F14)</f>
        <v/>
      </c>
    </row>
    <row r="2139">
      <c r="A2139">
        <f>IF(AND('Skill Matrix'!A139&lt;&gt;"",'Skill Matrix'!N5&lt;&gt;""),'Skill Matrix'!A139,"")</f>
        <v/>
      </c>
      <c r="B2139">
        <f>IF(A2139="","",'Employees'!C14)</f>
        <v/>
      </c>
      <c r="C2139">
        <f>IF(A2139="","",'Employees'!D14)</f>
        <v/>
      </c>
      <c r="D2139">
        <f>IF(A2139="","",'Skill Matrix'!C139)</f>
        <v/>
      </c>
      <c r="E2139">
        <f>IF(A2139="","",'Skill Matrix'!D139)</f>
        <v/>
      </c>
      <c r="F2139">
        <f>IF(AND('Skill Matrix'!A139&lt;&gt;"",'Skill Matrix'!N5&lt;&gt;""),'Skill Matrix'!N5,"")</f>
        <v/>
      </c>
      <c r="G2139">
        <f>IF(OR(A2139="",'Skill Matrix'!N139=""),"",'Skill Matrix'!N139)</f>
        <v/>
      </c>
      <c r="H2139">
        <f>IF(A2139="","",'Employees'!F14)</f>
        <v/>
      </c>
    </row>
    <row r="2140">
      <c r="A2140">
        <f>IF(AND('Skill Matrix'!A139&lt;&gt;"",'Skill Matrix'!O5&lt;&gt;""),'Skill Matrix'!A139,"")</f>
        <v/>
      </c>
      <c r="B2140">
        <f>IF(A2140="","",'Employees'!C14)</f>
        <v/>
      </c>
      <c r="C2140">
        <f>IF(A2140="","",'Employees'!D14)</f>
        <v/>
      </c>
      <c r="D2140">
        <f>IF(A2140="","",'Skill Matrix'!C139)</f>
        <v/>
      </c>
      <c r="E2140">
        <f>IF(A2140="","",'Skill Matrix'!D139)</f>
        <v/>
      </c>
      <c r="F2140">
        <f>IF(AND('Skill Matrix'!A139&lt;&gt;"",'Skill Matrix'!O5&lt;&gt;""),'Skill Matrix'!O5,"")</f>
        <v/>
      </c>
      <c r="G2140">
        <f>IF(OR(A2140="",'Skill Matrix'!O139=""),"",'Skill Matrix'!O139)</f>
        <v/>
      </c>
      <c r="H2140">
        <f>IF(A2140="","",'Employees'!F14)</f>
        <v/>
      </c>
    </row>
    <row r="2141">
      <c r="A2141">
        <f>IF(AND('Skill Matrix'!A139&lt;&gt;"",'Skill Matrix'!P5&lt;&gt;""),'Skill Matrix'!A139,"")</f>
        <v/>
      </c>
      <c r="B2141">
        <f>IF(A2141="","",'Employees'!C14)</f>
        <v/>
      </c>
      <c r="C2141">
        <f>IF(A2141="","",'Employees'!D14)</f>
        <v/>
      </c>
      <c r="D2141">
        <f>IF(A2141="","",'Skill Matrix'!C139)</f>
        <v/>
      </c>
      <c r="E2141">
        <f>IF(A2141="","",'Skill Matrix'!D139)</f>
        <v/>
      </c>
      <c r="F2141">
        <f>IF(AND('Skill Matrix'!A139&lt;&gt;"",'Skill Matrix'!P5&lt;&gt;""),'Skill Matrix'!P5,"")</f>
        <v/>
      </c>
      <c r="G2141">
        <f>IF(OR(A2141="",'Skill Matrix'!P139=""),"",'Skill Matrix'!P139)</f>
        <v/>
      </c>
      <c r="H2141">
        <f>IF(A2141="","",'Employees'!F14)</f>
        <v/>
      </c>
    </row>
    <row r="2142">
      <c r="A2142">
        <f>IF(AND('Skill Matrix'!A139&lt;&gt;"",'Skill Matrix'!Q5&lt;&gt;""),'Skill Matrix'!A139,"")</f>
        <v/>
      </c>
      <c r="B2142">
        <f>IF(A2142="","",'Employees'!C14)</f>
        <v/>
      </c>
      <c r="C2142">
        <f>IF(A2142="","",'Employees'!D14)</f>
        <v/>
      </c>
      <c r="D2142">
        <f>IF(A2142="","",'Skill Matrix'!C139)</f>
        <v/>
      </c>
      <c r="E2142">
        <f>IF(A2142="","",'Skill Matrix'!D139)</f>
        <v/>
      </c>
      <c r="F2142">
        <f>IF(AND('Skill Matrix'!A139&lt;&gt;"",'Skill Matrix'!Q5&lt;&gt;""),'Skill Matrix'!Q5,"")</f>
        <v/>
      </c>
      <c r="G2142">
        <f>IF(OR(A2142="",'Skill Matrix'!Q139=""),"",'Skill Matrix'!Q139)</f>
        <v/>
      </c>
      <c r="H2142">
        <f>IF(A2142="","",'Employees'!F14)</f>
        <v/>
      </c>
    </row>
    <row r="2143">
      <c r="A2143">
        <f>IF(AND('Skill Matrix'!A139&lt;&gt;"",'Skill Matrix'!R5&lt;&gt;""),'Skill Matrix'!A139,"")</f>
        <v/>
      </c>
      <c r="B2143">
        <f>IF(A2143="","",'Employees'!C14)</f>
        <v/>
      </c>
      <c r="C2143">
        <f>IF(A2143="","",'Employees'!D14)</f>
        <v/>
      </c>
      <c r="D2143">
        <f>IF(A2143="","",'Skill Matrix'!C139)</f>
        <v/>
      </c>
      <c r="E2143">
        <f>IF(A2143="","",'Skill Matrix'!D139)</f>
        <v/>
      </c>
      <c r="F2143">
        <f>IF(AND('Skill Matrix'!A139&lt;&gt;"",'Skill Matrix'!R5&lt;&gt;""),'Skill Matrix'!R5,"")</f>
        <v/>
      </c>
      <c r="G2143">
        <f>IF(OR(A2143="",'Skill Matrix'!R139=""),"",'Skill Matrix'!R139)</f>
        <v/>
      </c>
      <c r="H2143">
        <f>IF(A2143="","",'Employees'!F14)</f>
        <v/>
      </c>
    </row>
    <row r="2144">
      <c r="A2144">
        <f>IF(AND('Skill Matrix'!A139&lt;&gt;"",'Skill Matrix'!S5&lt;&gt;""),'Skill Matrix'!A139,"")</f>
        <v/>
      </c>
      <c r="B2144">
        <f>IF(A2144="","",'Employees'!C14)</f>
        <v/>
      </c>
      <c r="C2144">
        <f>IF(A2144="","",'Employees'!D14)</f>
        <v/>
      </c>
      <c r="D2144">
        <f>IF(A2144="","",'Skill Matrix'!C139)</f>
        <v/>
      </c>
      <c r="E2144">
        <f>IF(A2144="","",'Skill Matrix'!D139)</f>
        <v/>
      </c>
      <c r="F2144">
        <f>IF(AND('Skill Matrix'!A139&lt;&gt;"",'Skill Matrix'!S5&lt;&gt;""),'Skill Matrix'!S5,"")</f>
        <v/>
      </c>
      <c r="G2144">
        <f>IF(OR(A2144="",'Skill Matrix'!S139=""),"",'Skill Matrix'!S139)</f>
        <v/>
      </c>
      <c r="H2144">
        <f>IF(A2144="","",'Employees'!F14)</f>
        <v/>
      </c>
    </row>
    <row r="2145">
      <c r="A2145">
        <f>IF(AND('Skill Matrix'!A139&lt;&gt;"",'Skill Matrix'!T5&lt;&gt;""),'Skill Matrix'!A139,"")</f>
        <v/>
      </c>
      <c r="B2145">
        <f>IF(A2145="","",'Employees'!C14)</f>
        <v/>
      </c>
      <c r="C2145">
        <f>IF(A2145="","",'Employees'!D14)</f>
        <v/>
      </c>
      <c r="D2145">
        <f>IF(A2145="","",'Skill Matrix'!C139)</f>
        <v/>
      </c>
      <c r="E2145">
        <f>IF(A2145="","",'Skill Matrix'!D139)</f>
        <v/>
      </c>
      <c r="F2145">
        <f>IF(AND('Skill Matrix'!A139&lt;&gt;"",'Skill Matrix'!T5&lt;&gt;""),'Skill Matrix'!T5,"")</f>
        <v/>
      </c>
      <c r="G2145">
        <f>IF(OR(A2145="",'Skill Matrix'!T139=""),"",'Skill Matrix'!T139)</f>
        <v/>
      </c>
      <c r="H2145">
        <f>IF(A2145="","",'Employees'!F14)</f>
        <v/>
      </c>
    </row>
    <row r="2146">
      <c r="A2146">
        <f>IF(AND('Skill Matrix'!A140&lt;&gt;"",'Skill Matrix'!E5&lt;&gt;""),'Skill Matrix'!A140,"")</f>
        <v/>
      </c>
      <c r="B2146">
        <f>IF(A2146="","",'Employees'!C14)</f>
        <v/>
      </c>
      <c r="C2146">
        <f>IF(A2146="","",'Employees'!D14)</f>
        <v/>
      </c>
      <c r="D2146">
        <f>IF(A2146="","",'Skill Matrix'!C140)</f>
        <v/>
      </c>
      <c r="E2146">
        <f>IF(A2146="","",'Skill Matrix'!D140)</f>
        <v/>
      </c>
      <c r="F2146">
        <f>IF(AND('Skill Matrix'!A140&lt;&gt;"",'Skill Matrix'!E5&lt;&gt;""),'Skill Matrix'!E5,"")</f>
        <v/>
      </c>
      <c r="G2146">
        <f>IF(OR(A2146="",'Skill Matrix'!E140=""),"",'Skill Matrix'!E140)</f>
        <v/>
      </c>
      <c r="H2146">
        <f>IF(A2146="","",'Employees'!F14)</f>
        <v/>
      </c>
    </row>
    <row r="2147">
      <c r="A2147">
        <f>IF(AND('Skill Matrix'!A140&lt;&gt;"",'Skill Matrix'!F5&lt;&gt;""),'Skill Matrix'!A140,"")</f>
        <v/>
      </c>
      <c r="B2147">
        <f>IF(A2147="","",'Employees'!C14)</f>
        <v/>
      </c>
      <c r="C2147">
        <f>IF(A2147="","",'Employees'!D14)</f>
        <v/>
      </c>
      <c r="D2147">
        <f>IF(A2147="","",'Skill Matrix'!C140)</f>
        <v/>
      </c>
      <c r="E2147">
        <f>IF(A2147="","",'Skill Matrix'!D140)</f>
        <v/>
      </c>
      <c r="F2147">
        <f>IF(AND('Skill Matrix'!A140&lt;&gt;"",'Skill Matrix'!F5&lt;&gt;""),'Skill Matrix'!F5,"")</f>
        <v/>
      </c>
      <c r="G2147">
        <f>IF(OR(A2147="",'Skill Matrix'!F140=""),"",'Skill Matrix'!F140)</f>
        <v/>
      </c>
      <c r="H2147">
        <f>IF(A2147="","",'Employees'!F14)</f>
        <v/>
      </c>
    </row>
    <row r="2148">
      <c r="A2148">
        <f>IF(AND('Skill Matrix'!A140&lt;&gt;"",'Skill Matrix'!G5&lt;&gt;""),'Skill Matrix'!A140,"")</f>
        <v/>
      </c>
      <c r="B2148">
        <f>IF(A2148="","",'Employees'!C14)</f>
        <v/>
      </c>
      <c r="C2148">
        <f>IF(A2148="","",'Employees'!D14)</f>
        <v/>
      </c>
      <c r="D2148">
        <f>IF(A2148="","",'Skill Matrix'!C140)</f>
        <v/>
      </c>
      <c r="E2148">
        <f>IF(A2148="","",'Skill Matrix'!D140)</f>
        <v/>
      </c>
      <c r="F2148">
        <f>IF(AND('Skill Matrix'!A140&lt;&gt;"",'Skill Matrix'!G5&lt;&gt;""),'Skill Matrix'!G5,"")</f>
        <v/>
      </c>
      <c r="G2148">
        <f>IF(OR(A2148="",'Skill Matrix'!G140=""),"",'Skill Matrix'!G140)</f>
        <v/>
      </c>
      <c r="H2148">
        <f>IF(A2148="","",'Employees'!F14)</f>
        <v/>
      </c>
    </row>
    <row r="2149">
      <c r="A2149">
        <f>IF(AND('Skill Matrix'!A140&lt;&gt;"",'Skill Matrix'!H5&lt;&gt;""),'Skill Matrix'!A140,"")</f>
        <v/>
      </c>
      <c r="B2149">
        <f>IF(A2149="","",'Employees'!C14)</f>
        <v/>
      </c>
      <c r="C2149">
        <f>IF(A2149="","",'Employees'!D14)</f>
        <v/>
      </c>
      <c r="D2149">
        <f>IF(A2149="","",'Skill Matrix'!C140)</f>
        <v/>
      </c>
      <c r="E2149">
        <f>IF(A2149="","",'Skill Matrix'!D140)</f>
        <v/>
      </c>
      <c r="F2149">
        <f>IF(AND('Skill Matrix'!A140&lt;&gt;"",'Skill Matrix'!H5&lt;&gt;""),'Skill Matrix'!H5,"")</f>
        <v/>
      </c>
      <c r="G2149">
        <f>IF(OR(A2149="",'Skill Matrix'!H140=""),"",'Skill Matrix'!H140)</f>
        <v/>
      </c>
      <c r="H2149">
        <f>IF(A2149="","",'Employees'!F14)</f>
        <v/>
      </c>
    </row>
    <row r="2150">
      <c r="A2150">
        <f>IF(AND('Skill Matrix'!A140&lt;&gt;"",'Skill Matrix'!I5&lt;&gt;""),'Skill Matrix'!A140,"")</f>
        <v/>
      </c>
      <c r="B2150">
        <f>IF(A2150="","",'Employees'!C14)</f>
        <v/>
      </c>
      <c r="C2150">
        <f>IF(A2150="","",'Employees'!D14)</f>
        <v/>
      </c>
      <c r="D2150">
        <f>IF(A2150="","",'Skill Matrix'!C140)</f>
        <v/>
      </c>
      <c r="E2150">
        <f>IF(A2150="","",'Skill Matrix'!D140)</f>
        <v/>
      </c>
      <c r="F2150">
        <f>IF(AND('Skill Matrix'!A140&lt;&gt;"",'Skill Matrix'!I5&lt;&gt;""),'Skill Matrix'!I5,"")</f>
        <v/>
      </c>
      <c r="G2150">
        <f>IF(OR(A2150="",'Skill Matrix'!I140=""),"",'Skill Matrix'!I140)</f>
        <v/>
      </c>
      <c r="H2150">
        <f>IF(A2150="","",'Employees'!F14)</f>
        <v/>
      </c>
    </row>
    <row r="2151">
      <c r="A2151">
        <f>IF(AND('Skill Matrix'!A140&lt;&gt;"",'Skill Matrix'!J5&lt;&gt;""),'Skill Matrix'!A140,"")</f>
        <v/>
      </c>
      <c r="B2151">
        <f>IF(A2151="","",'Employees'!C14)</f>
        <v/>
      </c>
      <c r="C2151">
        <f>IF(A2151="","",'Employees'!D14)</f>
        <v/>
      </c>
      <c r="D2151">
        <f>IF(A2151="","",'Skill Matrix'!C140)</f>
        <v/>
      </c>
      <c r="E2151">
        <f>IF(A2151="","",'Skill Matrix'!D140)</f>
        <v/>
      </c>
      <c r="F2151">
        <f>IF(AND('Skill Matrix'!A140&lt;&gt;"",'Skill Matrix'!J5&lt;&gt;""),'Skill Matrix'!J5,"")</f>
        <v/>
      </c>
      <c r="G2151">
        <f>IF(OR(A2151="",'Skill Matrix'!J140=""),"",'Skill Matrix'!J140)</f>
        <v/>
      </c>
      <c r="H2151">
        <f>IF(A2151="","",'Employees'!F14)</f>
        <v/>
      </c>
    </row>
    <row r="2152">
      <c r="A2152">
        <f>IF(AND('Skill Matrix'!A140&lt;&gt;"",'Skill Matrix'!K5&lt;&gt;""),'Skill Matrix'!A140,"")</f>
        <v/>
      </c>
      <c r="B2152">
        <f>IF(A2152="","",'Employees'!C14)</f>
        <v/>
      </c>
      <c r="C2152">
        <f>IF(A2152="","",'Employees'!D14)</f>
        <v/>
      </c>
      <c r="D2152">
        <f>IF(A2152="","",'Skill Matrix'!C140)</f>
        <v/>
      </c>
      <c r="E2152">
        <f>IF(A2152="","",'Skill Matrix'!D140)</f>
        <v/>
      </c>
      <c r="F2152">
        <f>IF(AND('Skill Matrix'!A140&lt;&gt;"",'Skill Matrix'!K5&lt;&gt;""),'Skill Matrix'!K5,"")</f>
        <v/>
      </c>
      <c r="G2152">
        <f>IF(OR(A2152="",'Skill Matrix'!K140=""),"",'Skill Matrix'!K140)</f>
        <v/>
      </c>
      <c r="H2152">
        <f>IF(A2152="","",'Employees'!F14)</f>
        <v/>
      </c>
    </row>
    <row r="2153">
      <c r="A2153">
        <f>IF(AND('Skill Matrix'!A140&lt;&gt;"",'Skill Matrix'!L5&lt;&gt;""),'Skill Matrix'!A140,"")</f>
        <v/>
      </c>
      <c r="B2153">
        <f>IF(A2153="","",'Employees'!C14)</f>
        <v/>
      </c>
      <c r="C2153">
        <f>IF(A2153="","",'Employees'!D14)</f>
        <v/>
      </c>
      <c r="D2153">
        <f>IF(A2153="","",'Skill Matrix'!C140)</f>
        <v/>
      </c>
      <c r="E2153">
        <f>IF(A2153="","",'Skill Matrix'!D140)</f>
        <v/>
      </c>
      <c r="F2153">
        <f>IF(AND('Skill Matrix'!A140&lt;&gt;"",'Skill Matrix'!L5&lt;&gt;""),'Skill Matrix'!L5,"")</f>
        <v/>
      </c>
      <c r="G2153">
        <f>IF(OR(A2153="",'Skill Matrix'!L140=""),"",'Skill Matrix'!L140)</f>
        <v/>
      </c>
      <c r="H2153">
        <f>IF(A2153="","",'Employees'!F14)</f>
        <v/>
      </c>
    </row>
    <row r="2154">
      <c r="A2154">
        <f>IF(AND('Skill Matrix'!A140&lt;&gt;"",'Skill Matrix'!M5&lt;&gt;""),'Skill Matrix'!A140,"")</f>
        <v/>
      </c>
      <c r="B2154">
        <f>IF(A2154="","",'Employees'!C14)</f>
        <v/>
      </c>
      <c r="C2154">
        <f>IF(A2154="","",'Employees'!D14)</f>
        <v/>
      </c>
      <c r="D2154">
        <f>IF(A2154="","",'Skill Matrix'!C140)</f>
        <v/>
      </c>
      <c r="E2154">
        <f>IF(A2154="","",'Skill Matrix'!D140)</f>
        <v/>
      </c>
      <c r="F2154">
        <f>IF(AND('Skill Matrix'!A140&lt;&gt;"",'Skill Matrix'!M5&lt;&gt;""),'Skill Matrix'!M5,"")</f>
        <v/>
      </c>
      <c r="G2154">
        <f>IF(OR(A2154="",'Skill Matrix'!M140=""),"",'Skill Matrix'!M140)</f>
        <v/>
      </c>
      <c r="H2154">
        <f>IF(A2154="","",'Employees'!F14)</f>
        <v/>
      </c>
    </row>
    <row r="2155">
      <c r="A2155">
        <f>IF(AND('Skill Matrix'!A140&lt;&gt;"",'Skill Matrix'!N5&lt;&gt;""),'Skill Matrix'!A140,"")</f>
        <v/>
      </c>
      <c r="B2155">
        <f>IF(A2155="","",'Employees'!C14)</f>
        <v/>
      </c>
      <c r="C2155">
        <f>IF(A2155="","",'Employees'!D14)</f>
        <v/>
      </c>
      <c r="D2155">
        <f>IF(A2155="","",'Skill Matrix'!C140)</f>
        <v/>
      </c>
      <c r="E2155">
        <f>IF(A2155="","",'Skill Matrix'!D140)</f>
        <v/>
      </c>
      <c r="F2155">
        <f>IF(AND('Skill Matrix'!A140&lt;&gt;"",'Skill Matrix'!N5&lt;&gt;""),'Skill Matrix'!N5,"")</f>
        <v/>
      </c>
      <c r="G2155">
        <f>IF(OR(A2155="",'Skill Matrix'!N140=""),"",'Skill Matrix'!N140)</f>
        <v/>
      </c>
      <c r="H2155">
        <f>IF(A2155="","",'Employees'!F14)</f>
        <v/>
      </c>
    </row>
    <row r="2156">
      <c r="A2156">
        <f>IF(AND('Skill Matrix'!A140&lt;&gt;"",'Skill Matrix'!O5&lt;&gt;""),'Skill Matrix'!A140,"")</f>
        <v/>
      </c>
      <c r="B2156">
        <f>IF(A2156="","",'Employees'!C14)</f>
        <v/>
      </c>
      <c r="C2156">
        <f>IF(A2156="","",'Employees'!D14)</f>
        <v/>
      </c>
      <c r="D2156">
        <f>IF(A2156="","",'Skill Matrix'!C140)</f>
        <v/>
      </c>
      <c r="E2156">
        <f>IF(A2156="","",'Skill Matrix'!D140)</f>
        <v/>
      </c>
      <c r="F2156">
        <f>IF(AND('Skill Matrix'!A140&lt;&gt;"",'Skill Matrix'!O5&lt;&gt;""),'Skill Matrix'!O5,"")</f>
        <v/>
      </c>
      <c r="G2156">
        <f>IF(OR(A2156="",'Skill Matrix'!O140=""),"",'Skill Matrix'!O140)</f>
        <v/>
      </c>
      <c r="H2156">
        <f>IF(A2156="","",'Employees'!F14)</f>
        <v/>
      </c>
    </row>
    <row r="2157">
      <c r="A2157">
        <f>IF(AND('Skill Matrix'!A140&lt;&gt;"",'Skill Matrix'!P5&lt;&gt;""),'Skill Matrix'!A140,"")</f>
        <v/>
      </c>
      <c r="B2157">
        <f>IF(A2157="","",'Employees'!C14)</f>
        <v/>
      </c>
      <c r="C2157">
        <f>IF(A2157="","",'Employees'!D14)</f>
        <v/>
      </c>
      <c r="D2157">
        <f>IF(A2157="","",'Skill Matrix'!C140)</f>
        <v/>
      </c>
      <c r="E2157">
        <f>IF(A2157="","",'Skill Matrix'!D140)</f>
        <v/>
      </c>
      <c r="F2157">
        <f>IF(AND('Skill Matrix'!A140&lt;&gt;"",'Skill Matrix'!P5&lt;&gt;""),'Skill Matrix'!P5,"")</f>
        <v/>
      </c>
      <c r="G2157">
        <f>IF(OR(A2157="",'Skill Matrix'!P140=""),"",'Skill Matrix'!P140)</f>
        <v/>
      </c>
      <c r="H2157">
        <f>IF(A2157="","",'Employees'!F14)</f>
        <v/>
      </c>
    </row>
    <row r="2158">
      <c r="A2158">
        <f>IF(AND('Skill Matrix'!A140&lt;&gt;"",'Skill Matrix'!Q5&lt;&gt;""),'Skill Matrix'!A140,"")</f>
        <v/>
      </c>
      <c r="B2158">
        <f>IF(A2158="","",'Employees'!C14)</f>
        <v/>
      </c>
      <c r="C2158">
        <f>IF(A2158="","",'Employees'!D14)</f>
        <v/>
      </c>
      <c r="D2158">
        <f>IF(A2158="","",'Skill Matrix'!C140)</f>
        <v/>
      </c>
      <c r="E2158">
        <f>IF(A2158="","",'Skill Matrix'!D140)</f>
        <v/>
      </c>
      <c r="F2158">
        <f>IF(AND('Skill Matrix'!A140&lt;&gt;"",'Skill Matrix'!Q5&lt;&gt;""),'Skill Matrix'!Q5,"")</f>
        <v/>
      </c>
      <c r="G2158">
        <f>IF(OR(A2158="",'Skill Matrix'!Q140=""),"",'Skill Matrix'!Q140)</f>
        <v/>
      </c>
      <c r="H2158">
        <f>IF(A2158="","",'Employees'!F14)</f>
        <v/>
      </c>
    </row>
    <row r="2159">
      <c r="A2159">
        <f>IF(AND('Skill Matrix'!A140&lt;&gt;"",'Skill Matrix'!R5&lt;&gt;""),'Skill Matrix'!A140,"")</f>
        <v/>
      </c>
      <c r="B2159">
        <f>IF(A2159="","",'Employees'!C14)</f>
        <v/>
      </c>
      <c r="C2159">
        <f>IF(A2159="","",'Employees'!D14)</f>
        <v/>
      </c>
      <c r="D2159">
        <f>IF(A2159="","",'Skill Matrix'!C140)</f>
        <v/>
      </c>
      <c r="E2159">
        <f>IF(A2159="","",'Skill Matrix'!D140)</f>
        <v/>
      </c>
      <c r="F2159">
        <f>IF(AND('Skill Matrix'!A140&lt;&gt;"",'Skill Matrix'!R5&lt;&gt;""),'Skill Matrix'!R5,"")</f>
        <v/>
      </c>
      <c r="G2159">
        <f>IF(OR(A2159="",'Skill Matrix'!R140=""),"",'Skill Matrix'!R140)</f>
        <v/>
      </c>
      <c r="H2159">
        <f>IF(A2159="","",'Employees'!F14)</f>
        <v/>
      </c>
    </row>
    <row r="2160">
      <c r="A2160">
        <f>IF(AND('Skill Matrix'!A140&lt;&gt;"",'Skill Matrix'!S5&lt;&gt;""),'Skill Matrix'!A140,"")</f>
        <v/>
      </c>
      <c r="B2160">
        <f>IF(A2160="","",'Employees'!C14)</f>
        <v/>
      </c>
      <c r="C2160">
        <f>IF(A2160="","",'Employees'!D14)</f>
        <v/>
      </c>
      <c r="D2160">
        <f>IF(A2160="","",'Skill Matrix'!C140)</f>
        <v/>
      </c>
      <c r="E2160">
        <f>IF(A2160="","",'Skill Matrix'!D140)</f>
        <v/>
      </c>
      <c r="F2160">
        <f>IF(AND('Skill Matrix'!A140&lt;&gt;"",'Skill Matrix'!S5&lt;&gt;""),'Skill Matrix'!S5,"")</f>
        <v/>
      </c>
      <c r="G2160">
        <f>IF(OR(A2160="",'Skill Matrix'!S140=""),"",'Skill Matrix'!S140)</f>
        <v/>
      </c>
      <c r="H2160">
        <f>IF(A2160="","",'Employees'!F14)</f>
        <v/>
      </c>
    </row>
    <row r="2161">
      <c r="A2161">
        <f>IF(AND('Skill Matrix'!A140&lt;&gt;"",'Skill Matrix'!T5&lt;&gt;""),'Skill Matrix'!A140,"")</f>
        <v/>
      </c>
      <c r="B2161">
        <f>IF(A2161="","",'Employees'!C14)</f>
        <v/>
      </c>
      <c r="C2161">
        <f>IF(A2161="","",'Employees'!D14)</f>
        <v/>
      </c>
      <c r="D2161">
        <f>IF(A2161="","",'Skill Matrix'!C140)</f>
        <v/>
      </c>
      <c r="E2161">
        <f>IF(A2161="","",'Skill Matrix'!D140)</f>
        <v/>
      </c>
      <c r="F2161">
        <f>IF(AND('Skill Matrix'!A140&lt;&gt;"",'Skill Matrix'!T5&lt;&gt;""),'Skill Matrix'!T5,"")</f>
        <v/>
      </c>
      <c r="G2161">
        <f>IF(OR(A2161="",'Skill Matrix'!T140=""),"",'Skill Matrix'!T140)</f>
        <v/>
      </c>
      <c r="H2161">
        <f>IF(A2161="","",'Employees'!F14)</f>
        <v/>
      </c>
    </row>
    <row r="2162">
      <c r="A2162">
        <f>IF(AND('Skill Matrix'!A141&lt;&gt;"",'Skill Matrix'!E5&lt;&gt;""),'Skill Matrix'!A141,"")</f>
        <v/>
      </c>
      <c r="B2162">
        <f>IF(A2162="","",'Employees'!C14)</f>
        <v/>
      </c>
      <c r="C2162">
        <f>IF(A2162="","",'Employees'!D14)</f>
        <v/>
      </c>
      <c r="D2162">
        <f>IF(A2162="","",'Skill Matrix'!C141)</f>
        <v/>
      </c>
      <c r="E2162">
        <f>IF(A2162="","",'Skill Matrix'!D141)</f>
        <v/>
      </c>
      <c r="F2162">
        <f>IF(AND('Skill Matrix'!A141&lt;&gt;"",'Skill Matrix'!E5&lt;&gt;""),'Skill Matrix'!E5,"")</f>
        <v/>
      </c>
      <c r="G2162">
        <f>IF(OR(A2162="",'Skill Matrix'!E141=""),"",'Skill Matrix'!E141)</f>
        <v/>
      </c>
      <c r="H2162">
        <f>IF(A2162="","",'Employees'!F14)</f>
        <v/>
      </c>
    </row>
    <row r="2163">
      <c r="A2163">
        <f>IF(AND('Skill Matrix'!A141&lt;&gt;"",'Skill Matrix'!F5&lt;&gt;""),'Skill Matrix'!A141,"")</f>
        <v/>
      </c>
      <c r="B2163">
        <f>IF(A2163="","",'Employees'!C14)</f>
        <v/>
      </c>
      <c r="C2163">
        <f>IF(A2163="","",'Employees'!D14)</f>
        <v/>
      </c>
      <c r="D2163">
        <f>IF(A2163="","",'Skill Matrix'!C141)</f>
        <v/>
      </c>
      <c r="E2163">
        <f>IF(A2163="","",'Skill Matrix'!D141)</f>
        <v/>
      </c>
      <c r="F2163">
        <f>IF(AND('Skill Matrix'!A141&lt;&gt;"",'Skill Matrix'!F5&lt;&gt;""),'Skill Matrix'!F5,"")</f>
        <v/>
      </c>
      <c r="G2163">
        <f>IF(OR(A2163="",'Skill Matrix'!F141=""),"",'Skill Matrix'!F141)</f>
        <v/>
      </c>
      <c r="H2163">
        <f>IF(A2163="","",'Employees'!F14)</f>
        <v/>
      </c>
    </row>
    <row r="2164">
      <c r="A2164">
        <f>IF(AND('Skill Matrix'!A141&lt;&gt;"",'Skill Matrix'!G5&lt;&gt;""),'Skill Matrix'!A141,"")</f>
        <v/>
      </c>
      <c r="B2164">
        <f>IF(A2164="","",'Employees'!C14)</f>
        <v/>
      </c>
      <c r="C2164">
        <f>IF(A2164="","",'Employees'!D14)</f>
        <v/>
      </c>
      <c r="D2164">
        <f>IF(A2164="","",'Skill Matrix'!C141)</f>
        <v/>
      </c>
      <c r="E2164">
        <f>IF(A2164="","",'Skill Matrix'!D141)</f>
        <v/>
      </c>
      <c r="F2164">
        <f>IF(AND('Skill Matrix'!A141&lt;&gt;"",'Skill Matrix'!G5&lt;&gt;""),'Skill Matrix'!G5,"")</f>
        <v/>
      </c>
      <c r="G2164">
        <f>IF(OR(A2164="",'Skill Matrix'!G141=""),"",'Skill Matrix'!G141)</f>
        <v/>
      </c>
      <c r="H2164">
        <f>IF(A2164="","",'Employees'!F14)</f>
        <v/>
      </c>
    </row>
    <row r="2165">
      <c r="A2165">
        <f>IF(AND('Skill Matrix'!A141&lt;&gt;"",'Skill Matrix'!H5&lt;&gt;""),'Skill Matrix'!A141,"")</f>
        <v/>
      </c>
      <c r="B2165">
        <f>IF(A2165="","",'Employees'!C14)</f>
        <v/>
      </c>
      <c r="C2165">
        <f>IF(A2165="","",'Employees'!D14)</f>
        <v/>
      </c>
      <c r="D2165">
        <f>IF(A2165="","",'Skill Matrix'!C141)</f>
        <v/>
      </c>
      <c r="E2165">
        <f>IF(A2165="","",'Skill Matrix'!D141)</f>
        <v/>
      </c>
      <c r="F2165">
        <f>IF(AND('Skill Matrix'!A141&lt;&gt;"",'Skill Matrix'!H5&lt;&gt;""),'Skill Matrix'!H5,"")</f>
        <v/>
      </c>
      <c r="G2165">
        <f>IF(OR(A2165="",'Skill Matrix'!H141=""),"",'Skill Matrix'!H141)</f>
        <v/>
      </c>
      <c r="H2165">
        <f>IF(A2165="","",'Employees'!F14)</f>
        <v/>
      </c>
    </row>
    <row r="2166">
      <c r="A2166">
        <f>IF(AND('Skill Matrix'!A141&lt;&gt;"",'Skill Matrix'!I5&lt;&gt;""),'Skill Matrix'!A141,"")</f>
        <v/>
      </c>
      <c r="B2166">
        <f>IF(A2166="","",'Employees'!C14)</f>
        <v/>
      </c>
      <c r="C2166">
        <f>IF(A2166="","",'Employees'!D14)</f>
        <v/>
      </c>
      <c r="D2166">
        <f>IF(A2166="","",'Skill Matrix'!C141)</f>
        <v/>
      </c>
      <c r="E2166">
        <f>IF(A2166="","",'Skill Matrix'!D141)</f>
        <v/>
      </c>
      <c r="F2166">
        <f>IF(AND('Skill Matrix'!A141&lt;&gt;"",'Skill Matrix'!I5&lt;&gt;""),'Skill Matrix'!I5,"")</f>
        <v/>
      </c>
      <c r="G2166">
        <f>IF(OR(A2166="",'Skill Matrix'!I141=""),"",'Skill Matrix'!I141)</f>
        <v/>
      </c>
      <c r="H2166">
        <f>IF(A2166="","",'Employees'!F14)</f>
        <v/>
      </c>
    </row>
    <row r="2167">
      <c r="A2167">
        <f>IF(AND('Skill Matrix'!A141&lt;&gt;"",'Skill Matrix'!J5&lt;&gt;""),'Skill Matrix'!A141,"")</f>
        <v/>
      </c>
      <c r="B2167">
        <f>IF(A2167="","",'Employees'!C14)</f>
        <v/>
      </c>
      <c r="C2167">
        <f>IF(A2167="","",'Employees'!D14)</f>
        <v/>
      </c>
      <c r="D2167">
        <f>IF(A2167="","",'Skill Matrix'!C141)</f>
        <v/>
      </c>
      <c r="E2167">
        <f>IF(A2167="","",'Skill Matrix'!D141)</f>
        <v/>
      </c>
      <c r="F2167">
        <f>IF(AND('Skill Matrix'!A141&lt;&gt;"",'Skill Matrix'!J5&lt;&gt;""),'Skill Matrix'!J5,"")</f>
        <v/>
      </c>
      <c r="G2167">
        <f>IF(OR(A2167="",'Skill Matrix'!J141=""),"",'Skill Matrix'!J141)</f>
        <v/>
      </c>
      <c r="H2167">
        <f>IF(A2167="","",'Employees'!F14)</f>
        <v/>
      </c>
    </row>
    <row r="2168">
      <c r="A2168">
        <f>IF(AND('Skill Matrix'!A141&lt;&gt;"",'Skill Matrix'!K5&lt;&gt;""),'Skill Matrix'!A141,"")</f>
        <v/>
      </c>
      <c r="B2168">
        <f>IF(A2168="","",'Employees'!C14)</f>
        <v/>
      </c>
      <c r="C2168">
        <f>IF(A2168="","",'Employees'!D14)</f>
        <v/>
      </c>
      <c r="D2168">
        <f>IF(A2168="","",'Skill Matrix'!C141)</f>
        <v/>
      </c>
      <c r="E2168">
        <f>IF(A2168="","",'Skill Matrix'!D141)</f>
        <v/>
      </c>
      <c r="F2168">
        <f>IF(AND('Skill Matrix'!A141&lt;&gt;"",'Skill Matrix'!K5&lt;&gt;""),'Skill Matrix'!K5,"")</f>
        <v/>
      </c>
      <c r="G2168">
        <f>IF(OR(A2168="",'Skill Matrix'!K141=""),"",'Skill Matrix'!K141)</f>
        <v/>
      </c>
      <c r="H2168">
        <f>IF(A2168="","",'Employees'!F14)</f>
        <v/>
      </c>
    </row>
    <row r="2169">
      <c r="A2169">
        <f>IF(AND('Skill Matrix'!A141&lt;&gt;"",'Skill Matrix'!L5&lt;&gt;""),'Skill Matrix'!A141,"")</f>
        <v/>
      </c>
      <c r="B2169">
        <f>IF(A2169="","",'Employees'!C14)</f>
        <v/>
      </c>
      <c r="C2169">
        <f>IF(A2169="","",'Employees'!D14)</f>
        <v/>
      </c>
      <c r="D2169">
        <f>IF(A2169="","",'Skill Matrix'!C141)</f>
        <v/>
      </c>
      <c r="E2169">
        <f>IF(A2169="","",'Skill Matrix'!D141)</f>
        <v/>
      </c>
      <c r="F2169">
        <f>IF(AND('Skill Matrix'!A141&lt;&gt;"",'Skill Matrix'!L5&lt;&gt;""),'Skill Matrix'!L5,"")</f>
        <v/>
      </c>
      <c r="G2169">
        <f>IF(OR(A2169="",'Skill Matrix'!L141=""),"",'Skill Matrix'!L141)</f>
        <v/>
      </c>
      <c r="H2169">
        <f>IF(A2169="","",'Employees'!F14)</f>
        <v/>
      </c>
    </row>
    <row r="2170">
      <c r="A2170">
        <f>IF(AND('Skill Matrix'!A141&lt;&gt;"",'Skill Matrix'!M5&lt;&gt;""),'Skill Matrix'!A141,"")</f>
        <v/>
      </c>
      <c r="B2170">
        <f>IF(A2170="","",'Employees'!C14)</f>
        <v/>
      </c>
      <c r="C2170">
        <f>IF(A2170="","",'Employees'!D14)</f>
        <v/>
      </c>
      <c r="D2170">
        <f>IF(A2170="","",'Skill Matrix'!C141)</f>
        <v/>
      </c>
      <c r="E2170">
        <f>IF(A2170="","",'Skill Matrix'!D141)</f>
        <v/>
      </c>
      <c r="F2170">
        <f>IF(AND('Skill Matrix'!A141&lt;&gt;"",'Skill Matrix'!M5&lt;&gt;""),'Skill Matrix'!M5,"")</f>
        <v/>
      </c>
      <c r="G2170">
        <f>IF(OR(A2170="",'Skill Matrix'!M141=""),"",'Skill Matrix'!M141)</f>
        <v/>
      </c>
      <c r="H2170">
        <f>IF(A2170="","",'Employees'!F14)</f>
        <v/>
      </c>
    </row>
    <row r="2171">
      <c r="A2171">
        <f>IF(AND('Skill Matrix'!A141&lt;&gt;"",'Skill Matrix'!N5&lt;&gt;""),'Skill Matrix'!A141,"")</f>
        <v/>
      </c>
      <c r="B2171">
        <f>IF(A2171="","",'Employees'!C14)</f>
        <v/>
      </c>
      <c r="C2171">
        <f>IF(A2171="","",'Employees'!D14)</f>
        <v/>
      </c>
      <c r="D2171">
        <f>IF(A2171="","",'Skill Matrix'!C141)</f>
        <v/>
      </c>
      <c r="E2171">
        <f>IF(A2171="","",'Skill Matrix'!D141)</f>
        <v/>
      </c>
      <c r="F2171">
        <f>IF(AND('Skill Matrix'!A141&lt;&gt;"",'Skill Matrix'!N5&lt;&gt;""),'Skill Matrix'!N5,"")</f>
        <v/>
      </c>
      <c r="G2171">
        <f>IF(OR(A2171="",'Skill Matrix'!N141=""),"",'Skill Matrix'!N141)</f>
        <v/>
      </c>
      <c r="H2171">
        <f>IF(A2171="","",'Employees'!F14)</f>
        <v/>
      </c>
    </row>
    <row r="2172">
      <c r="A2172">
        <f>IF(AND('Skill Matrix'!A141&lt;&gt;"",'Skill Matrix'!O5&lt;&gt;""),'Skill Matrix'!A141,"")</f>
        <v/>
      </c>
      <c r="B2172">
        <f>IF(A2172="","",'Employees'!C14)</f>
        <v/>
      </c>
      <c r="C2172">
        <f>IF(A2172="","",'Employees'!D14)</f>
        <v/>
      </c>
      <c r="D2172">
        <f>IF(A2172="","",'Skill Matrix'!C141)</f>
        <v/>
      </c>
      <c r="E2172">
        <f>IF(A2172="","",'Skill Matrix'!D141)</f>
        <v/>
      </c>
      <c r="F2172">
        <f>IF(AND('Skill Matrix'!A141&lt;&gt;"",'Skill Matrix'!O5&lt;&gt;""),'Skill Matrix'!O5,"")</f>
        <v/>
      </c>
      <c r="G2172">
        <f>IF(OR(A2172="",'Skill Matrix'!O141=""),"",'Skill Matrix'!O141)</f>
        <v/>
      </c>
      <c r="H2172">
        <f>IF(A2172="","",'Employees'!F14)</f>
        <v/>
      </c>
    </row>
    <row r="2173">
      <c r="A2173">
        <f>IF(AND('Skill Matrix'!A141&lt;&gt;"",'Skill Matrix'!P5&lt;&gt;""),'Skill Matrix'!A141,"")</f>
        <v/>
      </c>
      <c r="B2173">
        <f>IF(A2173="","",'Employees'!C14)</f>
        <v/>
      </c>
      <c r="C2173">
        <f>IF(A2173="","",'Employees'!D14)</f>
        <v/>
      </c>
      <c r="D2173">
        <f>IF(A2173="","",'Skill Matrix'!C141)</f>
        <v/>
      </c>
      <c r="E2173">
        <f>IF(A2173="","",'Skill Matrix'!D141)</f>
        <v/>
      </c>
      <c r="F2173">
        <f>IF(AND('Skill Matrix'!A141&lt;&gt;"",'Skill Matrix'!P5&lt;&gt;""),'Skill Matrix'!P5,"")</f>
        <v/>
      </c>
      <c r="G2173">
        <f>IF(OR(A2173="",'Skill Matrix'!P141=""),"",'Skill Matrix'!P141)</f>
        <v/>
      </c>
      <c r="H2173">
        <f>IF(A2173="","",'Employees'!F14)</f>
        <v/>
      </c>
    </row>
    <row r="2174">
      <c r="A2174">
        <f>IF(AND('Skill Matrix'!A141&lt;&gt;"",'Skill Matrix'!Q5&lt;&gt;""),'Skill Matrix'!A141,"")</f>
        <v/>
      </c>
      <c r="B2174">
        <f>IF(A2174="","",'Employees'!C14)</f>
        <v/>
      </c>
      <c r="C2174">
        <f>IF(A2174="","",'Employees'!D14)</f>
        <v/>
      </c>
      <c r="D2174">
        <f>IF(A2174="","",'Skill Matrix'!C141)</f>
        <v/>
      </c>
      <c r="E2174">
        <f>IF(A2174="","",'Skill Matrix'!D141)</f>
        <v/>
      </c>
      <c r="F2174">
        <f>IF(AND('Skill Matrix'!A141&lt;&gt;"",'Skill Matrix'!Q5&lt;&gt;""),'Skill Matrix'!Q5,"")</f>
        <v/>
      </c>
      <c r="G2174">
        <f>IF(OR(A2174="",'Skill Matrix'!Q141=""),"",'Skill Matrix'!Q141)</f>
        <v/>
      </c>
      <c r="H2174">
        <f>IF(A2174="","",'Employees'!F14)</f>
        <v/>
      </c>
    </row>
    <row r="2175">
      <c r="A2175">
        <f>IF(AND('Skill Matrix'!A141&lt;&gt;"",'Skill Matrix'!R5&lt;&gt;""),'Skill Matrix'!A141,"")</f>
        <v/>
      </c>
      <c r="B2175">
        <f>IF(A2175="","",'Employees'!C14)</f>
        <v/>
      </c>
      <c r="C2175">
        <f>IF(A2175="","",'Employees'!D14)</f>
        <v/>
      </c>
      <c r="D2175">
        <f>IF(A2175="","",'Skill Matrix'!C141)</f>
        <v/>
      </c>
      <c r="E2175">
        <f>IF(A2175="","",'Skill Matrix'!D141)</f>
        <v/>
      </c>
      <c r="F2175">
        <f>IF(AND('Skill Matrix'!A141&lt;&gt;"",'Skill Matrix'!R5&lt;&gt;""),'Skill Matrix'!R5,"")</f>
        <v/>
      </c>
      <c r="G2175">
        <f>IF(OR(A2175="",'Skill Matrix'!R141=""),"",'Skill Matrix'!R141)</f>
        <v/>
      </c>
      <c r="H2175">
        <f>IF(A2175="","",'Employees'!F14)</f>
        <v/>
      </c>
    </row>
    <row r="2176">
      <c r="A2176">
        <f>IF(AND('Skill Matrix'!A141&lt;&gt;"",'Skill Matrix'!S5&lt;&gt;""),'Skill Matrix'!A141,"")</f>
        <v/>
      </c>
      <c r="B2176">
        <f>IF(A2176="","",'Employees'!C14)</f>
        <v/>
      </c>
      <c r="C2176">
        <f>IF(A2176="","",'Employees'!D14)</f>
        <v/>
      </c>
      <c r="D2176">
        <f>IF(A2176="","",'Skill Matrix'!C141)</f>
        <v/>
      </c>
      <c r="E2176">
        <f>IF(A2176="","",'Skill Matrix'!D141)</f>
        <v/>
      </c>
      <c r="F2176">
        <f>IF(AND('Skill Matrix'!A141&lt;&gt;"",'Skill Matrix'!S5&lt;&gt;""),'Skill Matrix'!S5,"")</f>
        <v/>
      </c>
      <c r="G2176">
        <f>IF(OR(A2176="",'Skill Matrix'!S141=""),"",'Skill Matrix'!S141)</f>
        <v/>
      </c>
      <c r="H2176">
        <f>IF(A2176="","",'Employees'!F14)</f>
        <v/>
      </c>
    </row>
    <row r="2177">
      <c r="A2177">
        <f>IF(AND('Skill Matrix'!A141&lt;&gt;"",'Skill Matrix'!T5&lt;&gt;""),'Skill Matrix'!A141,"")</f>
        <v/>
      </c>
      <c r="B2177">
        <f>IF(A2177="","",'Employees'!C14)</f>
        <v/>
      </c>
      <c r="C2177">
        <f>IF(A2177="","",'Employees'!D14)</f>
        <v/>
      </c>
      <c r="D2177">
        <f>IF(A2177="","",'Skill Matrix'!C141)</f>
        <v/>
      </c>
      <c r="E2177">
        <f>IF(A2177="","",'Skill Matrix'!D141)</f>
        <v/>
      </c>
      <c r="F2177">
        <f>IF(AND('Skill Matrix'!A141&lt;&gt;"",'Skill Matrix'!T5&lt;&gt;""),'Skill Matrix'!T5,"")</f>
        <v/>
      </c>
      <c r="G2177">
        <f>IF(OR(A2177="",'Skill Matrix'!T141=""),"",'Skill Matrix'!T141)</f>
        <v/>
      </c>
      <c r="H2177">
        <f>IF(A2177="","",'Employees'!F14)</f>
        <v/>
      </c>
    </row>
    <row r="2178">
      <c r="A2178">
        <f>IF(AND('Skill Matrix'!A142&lt;&gt;"",'Skill Matrix'!E5&lt;&gt;""),'Skill Matrix'!A142,"")</f>
        <v/>
      </c>
      <c r="B2178">
        <f>IF(A2178="","",'Employees'!C14)</f>
        <v/>
      </c>
      <c r="C2178">
        <f>IF(A2178="","",'Employees'!D14)</f>
        <v/>
      </c>
      <c r="D2178">
        <f>IF(A2178="","",'Skill Matrix'!C142)</f>
        <v/>
      </c>
      <c r="E2178">
        <f>IF(A2178="","",'Skill Matrix'!D142)</f>
        <v/>
      </c>
      <c r="F2178">
        <f>IF(AND('Skill Matrix'!A142&lt;&gt;"",'Skill Matrix'!E5&lt;&gt;""),'Skill Matrix'!E5,"")</f>
        <v/>
      </c>
      <c r="G2178">
        <f>IF(OR(A2178="",'Skill Matrix'!E142=""),"",'Skill Matrix'!E142)</f>
        <v/>
      </c>
      <c r="H2178">
        <f>IF(A2178="","",'Employees'!F14)</f>
        <v/>
      </c>
    </row>
    <row r="2179">
      <c r="A2179">
        <f>IF(AND('Skill Matrix'!A142&lt;&gt;"",'Skill Matrix'!F5&lt;&gt;""),'Skill Matrix'!A142,"")</f>
        <v/>
      </c>
      <c r="B2179">
        <f>IF(A2179="","",'Employees'!C14)</f>
        <v/>
      </c>
      <c r="C2179">
        <f>IF(A2179="","",'Employees'!D14)</f>
        <v/>
      </c>
      <c r="D2179">
        <f>IF(A2179="","",'Skill Matrix'!C142)</f>
        <v/>
      </c>
      <c r="E2179">
        <f>IF(A2179="","",'Skill Matrix'!D142)</f>
        <v/>
      </c>
      <c r="F2179">
        <f>IF(AND('Skill Matrix'!A142&lt;&gt;"",'Skill Matrix'!F5&lt;&gt;""),'Skill Matrix'!F5,"")</f>
        <v/>
      </c>
      <c r="G2179">
        <f>IF(OR(A2179="",'Skill Matrix'!F142=""),"",'Skill Matrix'!F142)</f>
        <v/>
      </c>
      <c r="H2179">
        <f>IF(A2179="","",'Employees'!F14)</f>
        <v/>
      </c>
    </row>
    <row r="2180">
      <c r="A2180">
        <f>IF(AND('Skill Matrix'!A142&lt;&gt;"",'Skill Matrix'!G5&lt;&gt;""),'Skill Matrix'!A142,"")</f>
        <v/>
      </c>
      <c r="B2180">
        <f>IF(A2180="","",'Employees'!C14)</f>
        <v/>
      </c>
      <c r="C2180">
        <f>IF(A2180="","",'Employees'!D14)</f>
        <v/>
      </c>
      <c r="D2180">
        <f>IF(A2180="","",'Skill Matrix'!C142)</f>
        <v/>
      </c>
      <c r="E2180">
        <f>IF(A2180="","",'Skill Matrix'!D142)</f>
        <v/>
      </c>
      <c r="F2180">
        <f>IF(AND('Skill Matrix'!A142&lt;&gt;"",'Skill Matrix'!G5&lt;&gt;""),'Skill Matrix'!G5,"")</f>
        <v/>
      </c>
      <c r="G2180">
        <f>IF(OR(A2180="",'Skill Matrix'!G142=""),"",'Skill Matrix'!G142)</f>
        <v/>
      </c>
      <c r="H2180">
        <f>IF(A2180="","",'Employees'!F14)</f>
        <v/>
      </c>
    </row>
    <row r="2181">
      <c r="A2181">
        <f>IF(AND('Skill Matrix'!A142&lt;&gt;"",'Skill Matrix'!H5&lt;&gt;""),'Skill Matrix'!A142,"")</f>
        <v/>
      </c>
      <c r="B2181">
        <f>IF(A2181="","",'Employees'!C14)</f>
        <v/>
      </c>
      <c r="C2181">
        <f>IF(A2181="","",'Employees'!D14)</f>
        <v/>
      </c>
      <c r="D2181">
        <f>IF(A2181="","",'Skill Matrix'!C142)</f>
        <v/>
      </c>
      <c r="E2181">
        <f>IF(A2181="","",'Skill Matrix'!D142)</f>
        <v/>
      </c>
      <c r="F2181">
        <f>IF(AND('Skill Matrix'!A142&lt;&gt;"",'Skill Matrix'!H5&lt;&gt;""),'Skill Matrix'!H5,"")</f>
        <v/>
      </c>
      <c r="G2181">
        <f>IF(OR(A2181="",'Skill Matrix'!H142=""),"",'Skill Matrix'!H142)</f>
        <v/>
      </c>
      <c r="H2181">
        <f>IF(A2181="","",'Employees'!F14)</f>
        <v/>
      </c>
    </row>
    <row r="2182">
      <c r="A2182">
        <f>IF(AND('Skill Matrix'!A142&lt;&gt;"",'Skill Matrix'!I5&lt;&gt;""),'Skill Matrix'!A142,"")</f>
        <v/>
      </c>
      <c r="B2182">
        <f>IF(A2182="","",'Employees'!C14)</f>
        <v/>
      </c>
      <c r="C2182">
        <f>IF(A2182="","",'Employees'!D14)</f>
        <v/>
      </c>
      <c r="D2182">
        <f>IF(A2182="","",'Skill Matrix'!C142)</f>
        <v/>
      </c>
      <c r="E2182">
        <f>IF(A2182="","",'Skill Matrix'!D142)</f>
        <v/>
      </c>
      <c r="F2182">
        <f>IF(AND('Skill Matrix'!A142&lt;&gt;"",'Skill Matrix'!I5&lt;&gt;""),'Skill Matrix'!I5,"")</f>
        <v/>
      </c>
      <c r="G2182">
        <f>IF(OR(A2182="",'Skill Matrix'!I142=""),"",'Skill Matrix'!I142)</f>
        <v/>
      </c>
      <c r="H2182">
        <f>IF(A2182="","",'Employees'!F14)</f>
        <v/>
      </c>
    </row>
    <row r="2183">
      <c r="A2183">
        <f>IF(AND('Skill Matrix'!A142&lt;&gt;"",'Skill Matrix'!J5&lt;&gt;""),'Skill Matrix'!A142,"")</f>
        <v/>
      </c>
      <c r="B2183">
        <f>IF(A2183="","",'Employees'!C14)</f>
        <v/>
      </c>
      <c r="C2183">
        <f>IF(A2183="","",'Employees'!D14)</f>
        <v/>
      </c>
      <c r="D2183">
        <f>IF(A2183="","",'Skill Matrix'!C142)</f>
        <v/>
      </c>
      <c r="E2183">
        <f>IF(A2183="","",'Skill Matrix'!D142)</f>
        <v/>
      </c>
      <c r="F2183">
        <f>IF(AND('Skill Matrix'!A142&lt;&gt;"",'Skill Matrix'!J5&lt;&gt;""),'Skill Matrix'!J5,"")</f>
        <v/>
      </c>
      <c r="G2183">
        <f>IF(OR(A2183="",'Skill Matrix'!J142=""),"",'Skill Matrix'!J142)</f>
        <v/>
      </c>
      <c r="H2183">
        <f>IF(A2183="","",'Employees'!F14)</f>
        <v/>
      </c>
    </row>
    <row r="2184">
      <c r="A2184">
        <f>IF(AND('Skill Matrix'!A142&lt;&gt;"",'Skill Matrix'!K5&lt;&gt;""),'Skill Matrix'!A142,"")</f>
        <v/>
      </c>
      <c r="B2184">
        <f>IF(A2184="","",'Employees'!C14)</f>
        <v/>
      </c>
      <c r="C2184">
        <f>IF(A2184="","",'Employees'!D14)</f>
        <v/>
      </c>
      <c r="D2184">
        <f>IF(A2184="","",'Skill Matrix'!C142)</f>
        <v/>
      </c>
      <c r="E2184">
        <f>IF(A2184="","",'Skill Matrix'!D142)</f>
        <v/>
      </c>
      <c r="F2184">
        <f>IF(AND('Skill Matrix'!A142&lt;&gt;"",'Skill Matrix'!K5&lt;&gt;""),'Skill Matrix'!K5,"")</f>
        <v/>
      </c>
      <c r="G2184">
        <f>IF(OR(A2184="",'Skill Matrix'!K142=""),"",'Skill Matrix'!K142)</f>
        <v/>
      </c>
      <c r="H2184">
        <f>IF(A2184="","",'Employees'!F14)</f>
        <v/>
      </c>
    </row>
    <row r="2185">
      <c r="A2185">
        <f>IF(AND('Skill Matrix'!A142&lt;&gt;"",'Skill Matrix'!L5&lt;&gt;""),'Skill Matrix'!A142,"")</f>
        <v/>
      </c>
      <c r="B2185">
        <f>IF(A2185="","",'Employees'!C14)</f>
        <v/>
      </c>
      <c r="C2185">
        <f>IF(A2185="","",'Employees'!D14)</f>
        <v/>
      </c>
      <c r="D2185">
        <f>IF(A2185="","",'Skill Matrix'!C142)</f>
        <v/>
      </c>
      <c r="E2185">
        <f>IF(A2185="","",'Skill Matrix'!D142)</f>
        <v/>
      </c>
      <c r="F2185">
        <f>IF(AND('Skill Matrix'!A142&lt;&gt;"",'Skill Matrix'!L5&lt;&gt;""),'Skill Matrix'!L5,"")</f>
        <v/>
      </c>
      <c r="G2185">
        <f>IF(OR(A2185="",'Skill Matrix'!L142=""),"",'Skill Matrix'!L142)</f>
        <v/>
      </c>
      <c r="H2185">
        <f>IF(A2185="","",'Employees'!F14)</f>
        <v/>
      </c>
    </row>
    <row r="2186">
      <c r="A2186">
        <f>IF(AND('Skill Matrix'!A142&lt;&gt;"",'Skill Matrix'!M5&lt;&gt;""),'Skill Matrix'!A142,"")</f>
        <v/>
      </c>
      <c r="B2186">
        <f>IF(A2186="","",'Employees'!C14)</f>
        <v/>
      </c>
      <c r="C2186">
        <f>IF(A2186="","",'Employees'!D14)</f>
        <v/>
      </c>
      <c r="D2186">
        <f>IF(A2186="","",'Skill Matrix'!C142)</f>
        <v/>
      </c>
      <c r="E2186">
        <f>IF(A2186="","",'Skill Matrix'!D142)</f>
        <v/>
      </c>
      <c r="F2186">
        <f>IF(AND('Skill Matrix'!A142&lt;&gt;"",'Skill Matrix'!M5&lt;&gt;""),'Skill Matrix'!M5,"")</f>
        <v/>
      </c>
      <c r="G2186">
        <f>IF(OR(A2186="",'Skill Matrix'!M142=""),"",'Skill Matrix'!M142)</f>
        <v/>
      </c>
      <c r="H2186">
        <f>IF(A2186="","",'Employees'!F14)</f>
        <v/>
      </c>
    </row>
    <row r="2187">
      <c r="A2187">
        <f>IF(AND('Skill Matrix'!A142&lt;&gt;"",'Skill Matrix'!N5&lt;&gt;""),'Skill Matrix'!A142,"")</f>
        <v/>
      </c>
      <c r="B2187">
        <f>IF(A2187="","",'Employees'!C14)</f>
        <v/>
      </c>
      <c r="C2187">
        <f>IF(A2187="","",'Employees'!D14)</f>
        <v/>
      </c>
      <c r="D2187">
        <f>IF(A2187="","",'Skill Matrix'!C142)</f>
        <v/>
      </c>
      <c r="E2187">
        <f>IF(A2187="","",'Skill Matrix'!D142)</f>
        <v/>
      </c>
      <c r="F2187">
        <f>IF(AND('Skill Matrix'!A142&lt;&gt;"",'Skill Matrix'!N5&lt;&gt;""),'Skill Matrix'!N5,"")</f>
        <v/>
      </c>
      <c r="G2187">
        <f>IF(OR(A2187="",'Skill Matrix'!N142=""),"",'Skill Matrix'!N142)</f>
        <v/>
      </c>
      <c r="H2187">
        <f>IF(A2187="","",'Employees'!F14)</f>
        <v/>
      </c>
    </row>
    <row r="2188">
      <c r="A2188">
        <f>IF(AND('Skill Matrix'!A142&lt;&gt;"",'Skill Matrix'!O5&lt;&gt;""),'Skill Matrix'!A142,"")</f>
        <v/>
      </c>
      <c r="B2188">
        <f>IF(A2188="","",'Employees'!C14)</f>
        <v/>
      </c>
      <c r="C2188">
        <f>IF(A2188="","",'Employees'!D14)</f>
        <v/>
      </c>
      <c r="D2188">
        <f>IF(A2188="","",'Skill Matrix'!C142)</f>
        <v/>
      </c>
      <c r="E2188">
        <f>IF(A2188="","",'Skill Matrix'!D142)</f>
        <v/>
      </c>
      <c r="F2188">
        <f>IF(AND('Skill Matrix'!A142&lt;&gt;"",'Skill Matrix'!O5&lt;&gt;""),'Skill Matrix'!O5,"")</f>
        <v/>
      </c>
      <c r="G2188">
        <f>IF(OR(A2188="",'Skill Matrix'!O142=""),"",'Skill Matrix'!O142)</f>
        <v/>
      </c>
      <c r="H2188">
        <f>IF(A2188="","",'Employees'!F14)</f>
        <v/>
      </c>
    </row>
    <row r="2189">
      <c r="A2189">
        <f>IF(AND('Skill Matrix'!A142&lt;&gt;"",'Skill Matrix'!P5&lt;&gt;""),'Skill Matrix'!A142,"")</f>
        <v/>
      </c>
      <c r="B2189">
        <f>IF(A2189="","",'Employees'!C14)</f>
        <v/>
      </c>
      <c r="C2189">
        <f>IF(A2189="","",'Employees'!D14)</f>
        <v/>
      </c>
      <c r="D2189">
        <f>IF(A2189="","",'Skill Matrix'!C142)</f>
        <v/>
      </c>
      <c r="E2189">
        <f>IF(A2189="","",'Skill Matrix'!D142)</f>
        <v/>
      </c>
      <c r="F2189">
        <f>IF(AND('Skill Matrix'!A142&lt;&gt;"",'Skill Matrix'!P5&lt;&gt;""),'Skill Matrix'!P5,"")</f>
        <v/>
      </c>
      <c r="G2189">
        <f>IF(OR(A2189="",'Skill Matrix'!P142=""),"",'Skill Matrix'!P142)</f>
        <v/>
      </c>
      <c r="H2189">
        <f>IF(A2189="","",'Employees'!F14)</f>
        <v/>
      </c>
    </row>
    <row r="2190">
      <c r="A2190">
        <f>IF(AND('Skill Matrix'!A142&lt;&gt;"",'Skill Matrix'!Q5&lt;&gt;""),'Skill Matrix'!A142,"")</f>
        <v/>
      </c>
      <c r="B2190">
        <f>IF(A2190="","",'Employees'!C14)</f>
        <v/>
      </c>
      <c r="C2190">
        <f>IF(A2190="","",'Employees'!D14)</f>
        <v/>
      </c>
      <c r="D2190">
        <f>IF(A2190="","",'Skill Matrix'!C142)</f>
        <v/>
      </c>
      <c r="E2190">
        <f>IF(A2190="","",'Skill Matrix'!D142)</f>
        <v/>
      </c>
      <c r="F2190">
        <f>IF(AND('Skill Matrix'!A142&lt;&gt;"",'Skill Matrix'!Q5&lt;&gt;""),'Skill Matrix'!Q5,"")</f>
        <v/>
      </c>
      <c r="G2190">
        <f>IF(OR(A2190="",'Skill Matrix'!Q142=""),"",'Skill Matrix'!Q142)</f>
        <v/>
      </c>
      <c r="H2190">
        <f>IF(A2190="","",'Employees'!F14)</f>
        <v/>
      </c>
    </row>
    <row r="2191">
      <c r="A2191">
        <f>IF(AND('Skill Matrix'!A142&lt;&gt;"",'Skill Matrix'!R5&lt;&gt;""),'Skill Matrix'!A142,"")</f>
        <v/>
      </c>
      <c r="B2191">
        <f>IF(A2191="","",'Employees'!C14)</f>
        <v/>
      </c>
      <c r="C2191">
        <f>IF(A2191="","",'Employees'!D14)</f>
        <v/>
      </c>
      <c r="D2191">
        <f>IF(A2191="","",'Skill Matrix'!C142)</f>
        <v/>
      </c>
      <c r="E2191">
        <f>IF(A2191="","",'Skill Matrix'!D142)</f>
        <v/>
      </c>
      <c r="F2191">
        <f>IF(AND('Skill Matrix'!A142&lt;&gt;"",'Skill Matrix'!R5&lt;&gt;""),'Skill Matrix'!R5,"")</f>
        <v/>
      </c>
      <c r="G2191">
        <f>IF(OR(A2191="",'Skill Matrix'!R142=""),"",'Skill Matrix'!R142)</f>
        <v/>
      </c>
      <c r="H2191">
        <f>IF(A2191="","",'Employees'!F14)</f>
        <v/>
      </c>
    </row>
    <row r="2192">
      <c r="A2192">
        <f>IF(AND('Skill Matrix'!A142&lt;&gt;"",'Skill Matrix'!S5&lt;&gt;""),'Skill Matrix'!A142,"")</f>
        <v/>
      </c>
      <c r="B2192">
        <f>IF(A2192="","",'Employees'!C14)</f>
        <v/>
      </c>
      <c r="C2192">
        <f>IF(A2192="","",'Employees'!D14)</f>
        <v/>
      </c>
      <c r="D2192">
        <f>IF(A2192="","",'Skill Matrix'!C142)</f>
        <v/>
      </c>
      <c r="E2192">
        <f>IF(A2192="","",'Skill Matrix'!D142)</f>
        <v/>
      </c>
      <c r="F2192">
        <f>IF(AND('Skill Matrix'!A142&lt;&gt;"",'Skill Matrix'!S5&lt;&gt;""),'Skill Matrix'!S5,"")</f>
        <v/>
      </c>
      <c r="G2192">
        <f>IF(OR(A2192="",'Skill Matrix'!S142=""),"",'Skill Matrix'!S142)</f>
        <v/>
      </c>
      <c r="H2192">
        <f>IF(A2192="","",'Employees'!F14)</f>
        <v/>
      </c>
    </row>
    <row r="2193">
      <c r="A2193">
        <f>IF(AND('Skill Matrix'!A142&lt;&gt;"",'Skill Matrix'!T5&lt;&gt;""),'Skill Matrix'!A142,"")</f>
        <v/>
      </c>
      <c r="B2193">
        <f>IF(A2193="","",'Employees'!C14)</f>
        <v/>
      </c>
      <c r="C2193">
        <f>IF(A2193="","",'Employees'!D14)</f>
        <v/>
      </c>
      <c r="D2193">
        <f>IF(A2193="","",'Skill Matrix'!C142)</f>
        <v/>
      </c>
      <c r="E2193">
        <f>IF(A2193="","",'Skill Matrix'!D142)</f>
        <v/>
      </c>
      <c r="F2193">
        <f>IF(AND('Skill Matrix'!A142&lt;&gt;"",'Skill Matrix'!T5&lt;&gt;""),'Skill Matrix'!T5,"")</f>
        <v/>
      </c>
      <c r="G2193">
        <f>IF(OR(A2193="",'Skill Matrix'!T142=""),"",'Skill Matrix'!T142)</f>
        <v/>
      </c>
      <c r="H2193">
        <f>IF(A2193="","",'Employees'!F14)</f>
        <v/>
      </c>
    </row>
    <row r="2194">
      <c r="A2194">
        <f>IF(AND('Skill Matrix'!A143&lt;&gt;"",'Skill Matrix'!E5&lt;&gt;""),'Skill Matrix'!A143,"")</f>
        <v/>
      </c>
      <c r="B2194">
        <f>IF(A2194="","",'Employees'!C14)</f>
        <v/>
      </c>
      <c r="C2194">
        <f>IF(A2194="","",'Employees'!D14)</f>
        <v/>
      </c>
      <c r="D2194">
        <f>IF(A2194="","",'Skill Matrix'!C143)</f>
        <v/>
      </c>
      <c r="E2194">
        <f>IF(A2194="","",'Skill Matrix'!D143)</f>
        <v/>
      </c>
      <c r="F2194">
        <f>IF(AND('Skill Matrix'!A143&lt;&gt;"",'Skill Matrix'!E5&lt;&gt;""),'Skill Matrix'!E5,"")</f>
        <v/>
      </c>
      <c r="G2194">
        <f>IF(OR(A2194="",'Skill Matrix'!E143=""),"",'Skill Matrix'!E143)</f>
        <v/>
      </c>
      <c r="H2194">
        <f>IF(A2194="","",'Employees'!F14)</f>
        <v/>
      </c>
    </row>
    <row r="2195">
      <c r="A2195">
        <f>IF(AND('Skill Matrix'!A143&lt;&gt;"",'Skill Matrix'!F5&lt;&gt;""),'Skill Matrix'!A143,"")</f>
        <v/>
      </c>
      <c r="B2195">
        <f>IF(A2195="","",'Employees'!C14)</f>
        <v/>
      </c>
      <c r="C2195">
        <f>IF(A2195="","",'Employees'!D14)</f>
        <v/>
      </c>
      <c r="D2195">
        <f>IF(A2195="","",'Skill Matrix'!C143)</f>
        <v/>
      </c>
      <c r="E2195">
        <f>IF(A2195="","",'Skill Matrix'!D143)</f>
        <v/>
      </c>
      <c r="F2195">
        <f>IF(AND('Skill Matrix'!A143&lt;&gt;"",'Skill Matrix'!F5&lt;&gt;""),'Skill Matrix'!F5,"")</f>
        <v/>
      </c>
      <c r="G2195">
        <f>IF(OR(A2195="",'Skill Matrix'!F143=""),"",'Skill Matrix'!F143)</f>
        <v/>
      </c>
      <c r="H2195">
        <f>IF(A2195="","",'Employees'!F14)</f>
        <v/>
      </c>
    </row>
    <row r="2196">
      <c r="A2196">
        <f>IF(AND('Skill Matrix'!A143&lt;&gt;"",'Skill Matrix'!G5&lt;&gt;""),'Skill Matrix'!A143,"")</f>
        <v/>
      </c>
      <c r="B2196">
        <f>IF(A2196="","",'Employees'!C14)</f>
        <v/>
      </c>
      <c r="C2196">
        <f>IF(A2196="","",'Employees'!D14)</f>
        <v/>
      </c>
      <c r="D2196">
        <f>IF(A2196="","",'Skill Matrix'!C143)</f>
        <v/>
      </c>
      <c r="E2196">
        <f>IF(A2196="","",'Skill Matrix'!D143)</f>
        <v/>
      </c>
      <c r="F2196">
        <f>IF(AND('Skill Matrix'!A143&lt;&gt;"",'Skill Matrix'!G5&lt;&gt;""),'Skill Matrix'!G5,"")</f>
        <v/>
      </c>
      <c r="G2196">
        <f>IF(OR(A2196="",'Skill Matrix'!G143=""),"",'Skill Matrix'!G143)</f>
        <v/>
      </c>
      <c r="H2196">
        <f>IF(A2196="","",'Employees'!F14)</f>
        <v/>
      </c>
    </row>
    <row r="2197">
      <c r="A2197">
        <f>IF(AND('Skill Matrix'!A143&lt;&gt;"",'Skill Matrix'!H5&lt;&gt;""),'Skill Matrix'!A143,"")</f>
        <v/>
      </c>
      <c r="B2197">
        <f>IF(A2197="","",'Employees'!C14)</f>
        <v/>
      </c>
      <c r="C2197">
        <f>IF(A2197="","",'Employees'!D14)</f>
        <v/>
      </c>
      <c r="D2197">
        <f>IF(A2197="","",'Skill Matrix'!C143)</f>
        <v/>
      </c>
      <c r="E2197">
        <f>IF(A2197="","",'Skill Matrix'!D143)</f>
        <v/>
      </c>
      <c r="F2197">
        <f>IF(AND('Skill Matrix'!A143&lt;&gt;"",'Skill Matrix'!H5&lt;&gt;""),'Skill Matrix'!H5,"")</f>
        <v/>
      </c>
      <c r="G2197">
        <f>IF(OR(A2197="",'Skill Matrix'!H143=""),"",'Skill Matrix'!H143)</f>
        <v/>
      </c>
      <c r="H2197">
        <f>IF(A2197="","",'Employees'!F14)</f>
        <v/>
      </c>
    </row>
    <row r="2198">
      <c r="A2198">
        <f>IF(AND('Skill Matrix'!A143&lt;&gt;"",'Skill Matrix'!I5&lt;&gt;""),'Skill Matrix'!A143,"")</f>
        <v/>
      </c>
      <c r="B2198">
        <f>IF(A2198="","",'Employees'!C14)</f>
        <v/>
      </c>
      <c r="C2198">
        <f>IF(A2198="","",'Employees'!D14)</f>
        <v/>
      </c>
      <c r="D2198">
        <f>IF(A2198="","",'Skill Matrix'!C143)</f>
        <v/>
      </c>
      <c r="E2198">
        <f>IF(A2198="","",'Skill Matrix'!D143)</f>
        <v/>
      </c>
      <c r="F2198">
        <f>IF(AND('Skill Matrix'!A143&lt;&gt;"",'Skill Matrix'!I5&lt;&gt;""),'Skill Matrix'!I5,"")</f>
        <v/>
      </c>
      <c r="G2198">
        <f>IF(OR(A2198="",'Skill Matrix'!I143=""),"",'Skill Matrix'!I143)</f>
        <v/>
      </c>
      <c r="H2198">
        <f>IF(A2198="","",'Employees'!F14)</f>
        <v/>
      </c>
    </row>
    <row r="2199">
      <c r="A2199">
        <f>IF(AND('Skill Matrix'!A143&lt;&gt;"",'Skill Matrix'!J5&lt;&gt;""),'Skill Matrix'!A143,"")</f>
        <v/>
      </c>
      <c r="B2199">
        <f>IF(A2199="","",'Employees'!C14)</f>
        <v/>
      </c>
      <c r="C2199">
        <f>IF(A2199="","",'Employees'!D14)</f>
        <v/>
      </c>
      <c r="D2199">
        <f>IF(A2199="","",'Skill Matrix'!C143)</f>
        <v/>
      </c>
      <c r="E2199">
        <f>IF(A2199="","",'Skill Matrix'!D143)</f>
        <v/>
      </c>
      <c r="F2199">
        <f>IF(AND('Skill Matrix'!A143&lt;&gt;"",'Skill Matrix'!J5&lt;&gt;""),'Skill Matrix'!J5,"")</f>
        <v/>
      </c>
      <c r="G2199">
        <f>IF(OR(A2199="",'Skill Matrix'!J143=""),"",'Skill Matrix'!J143)</f>
        <v/>
      </c>
      <c r="H2199">
        <f>IF(A2199="","",'Employees'!F14)</f>
        <v/>
      </c>
    </row>
    <row r="2200">
      <c r="A2200">
        <f>IF(AND('Skill Matrix'!A143&lt;&gt;"",'Skill Matrix'!K5&lt;&gt;""),'Skill Matrix'!A143,"")</f>
        <v/>
      </c>
      <c r="B2200">
        <f>IF(A2200="","",'Employees'!C14)</f>
        <v/>
      </c>
      <c r="C2200">
        <f>IF(A2200="","",'Employees'!D14)</f>
        <v/>
      </c>
      <c r="D2200">
        <f>IF(A2200="","",'Skill Matrix'!C143)</f>
        <v/>
      </c>
      <c r="E2200">
        <f>IF(A2200="","",'Skill Matrix'!D143)</f>
        <v/>
      </c>
      <c r="F2200">
        <f>IF(AND('Skill Matrix'!A143&lt;&gt;"",'Skill Matrix'!K5&lt;&gt;""),'Skill Matrix'!K5,"")</f>
        <v/>
      </c>
      <c r="G2200">
        <f>IF(OR(A2200="",'Skill Matrix'!K143=""),"",'Skill Matrix'!K143)</f>
        <v/>
      </c>
      <c r="H2200">
        <f>IF(A2200="","",'Employees'!F14)</f>
        <v/>
      </c>
    </row>
    <row r="2201">
      <c r="A2201">
        <f>IF(AND('Skill Matrix'!A143&lt;&gt;"",'Skill Matrix'!L5&lt;&gt;""),'Skill Matrix'!A143,"")</f>
        <v/>
      </c>
      <c r="B2201">
        <f>IF(A2201="","",'Employees'!C14)</f>
        <v/>
      </c>
      <c r="C2201">
        <f>IF(A2201="","",'Employees'!D14)</f>
        <v/>
      </c>
      <c r="D2201">
        <f>IF(A2201="","",'Skill Matrix'!C143)</f>
        <v/>
      </c>
      <c r="E2201">
        <f>IF(A2201="","",'Skill Matrix'!D143)</f>
        <v/>
      </c>
      <c r="F2201">
        <f>IF(AND('Skill Matrix'!A143&lt;&gt;"",'Skill Matrix'!L5&lt;&gt;""),'Skill Matrix'!L5,"")</f>
        <v/>
      </c>
      <c r="G2201">
        <f>IF(OR(A2201="",'Skill Matrix'!L143=""),"",'Skill Matrix'!L143)</f>
        <v/>
      </c>
      <c r="H2201">
        <f>IF(A2201="","",'Employees'!F14)</f>
        <v/>
      </c>
    </row>
    <row r="2202">
      <c r="A2202">
        <f>IF(AND('Skill Matrix'!A143&lt;&gt;"",'Skill Matrix'!M5&lt;&gt;""),'Skill Matrix'!A143,"")</f>
        <v/>
      </c>
      <c r="B2202">
        <f>IF(A2202="","",'Employees'!C14)</f>
        <v/>
      </c>
      <c r="C2202">
        <f>IF(A2202="","",'Employees'!D14)</f>
        <v/>
      </c>
      <c r="D2202">
        <f>IF(A2202="","",'Skill Matrix'!C143)</f>
        <v/>
      </c>
      <c r="E2202">
        <f>IF(A2202="","",'Skill Matrix'!D143)</f>
        <v/>
      </c>
      <c r="F2202">
        <f>IF(AND('Skill Matrix'!A143&lt;&gt;"",'Skill Matrix'!M5&lt;&gt;""),'Skill Matrix'!M5,"")</f>
        <v/>
      </c>
      <c r="G2202">
        <f>IF(OR(A2202="",'Skill Matrix'!M143=""),"",'Skill Matrix'!M143)</f>
        <v/>
      </c>
      <c r="H2202">
        <f>IF(A2202="","",'Employees'!F14)</f>
        <v/>
      </c>
    </row>
    <row r="2203">
      <c r="A2203">
        <f>IF(AND('Skill Matrix'!A143&lt;&gt;"",'Skill Matrix'!N5&lt;&gt;""),'Skill Matrix'!A143,"")</f>
        <v/>
      </c>
      <c r="B2203">
        <f>IF(A2203="","",'Employees'!C14)</f>
        <v/>
      </c>
      <c r="C2203">
        <f>IF(A2203="","",'Employees'!D14)</f>
        <v/>
      </c>
      <c r="D2203">
        <f>IF(A2203="","",'Skill Matrix'!C143)</f>
        <v/>
      </c>
      <c r="E2203">
        <f>IF(A2203="","",'Skill Matrix'!D143)</f>
        <v/>
      </c>
      <c r="F2203">
        <f>IF(AND('Skill Matrix'!A143&lt;&gt;"",'Skill Matrix'!N5&lt;&gt;""),'Skill Matrix'!N5,"")</f>
        <v/>
      </c>
      <c r="G2203">
        <f>IF(OR(A2203="",'Skill Matrix'!N143=""),"",'Skill Matrix'!N143)</f>
        <v/>
      </c>
      <c r="H2203">
        <f>IF(A2203="","",'Employees'!F14)</f>
        <v/>
      </c>
    </row>
    <row r="2204">
      <c r="A2204">
        <f>IF(AND('Skill Matrix'!A143&lt;&gt;"",'Skill Matrix'!O5&lt;&gt;""),'Skill Matrix'!A143,"")</f>
        <v/>
      </c>
      <c r="B2204">
        <f>IF(A2204="","",'Employees'!C14)</f>
        <v/>
      </c>
      <c r="C2204">
        <f>IF(A2204="","",'Employees'!D14)</f>
        <v/>
      </c>
      <c r="D2204">
        <f>IF(A2204="","",'Skill Matrix'!C143)</f>
        <v/>
      </c>
      <c r="E2204">
        <f>IF(A2204="","",'Skill Matrix'!D143)</f>
        <v/>
      </c>
      <c r="F2204">
        <f>IF(AND('Skill Matrix'!A143&lt;&gt;"",'Skill Matrix'!O5&lt;&gt;""),'Skill Matrix'!O5,"")</f>
        <v/>
      </c>
      <c r="G2204">
        <f>IF(OR(A2204="",'Skill Matrix'!O143=""),"",'Skill Matrix'!O143)</f>
        <v/>
      </c>
      <c r="H2204">
        <f>IF(A2204="","",'Employees'!F14)</f>
        <v/>
      </c>
    </row>
    <row r="2205">
      <c r="A2205">
        <f>IF(AND('Skill Matrix'!A143&lt;&gt;"",'Skill Matrix'!P5&lt;&gt;""),'Skill Matrix'!A143,"")</f>
        <v/>
      </c>
      <c r="B2205">
        <f>IF(A2205="","",'Employees'!C14)</f>
        <v/>
      </c>
      <c r="C2205">
        <f>IF(A2205="","",'Employees'!D14)</f>
        <v/>
      </c>
      <c r="D2205">
        <f>IF(A2205="","",'Skill Matrix'!C143)</f>
        <v/>
      </c>
      <c r="E2205">
        <f>IF(A2205="","",'Skill Matrix'!D143)</f>
        <v/>
      </c>
      <c r="F2205">
        <f>IF(AND('Skill Matrix'!A143&lt;&gt;"",'Skill Matrix'!P5&lt;&gt;""),'Skill Matrix'!P5,"")</f>
        <v/>
      </c>
      <c r="G2205">
        <f>IF(OR(A2205="",'Skill Matrix'!P143=""),"",'Skill Matrix'!P143)</f>
        <v/>
      </c>
      <c r="H2205">
        <f>IF(A2205="","",'Employees'!F14)</f>
        <v/>
      </c>
    </row>
    <row r="2206">
      <c r="A2206">
        <f>IF(AND('Skill Matrix'!A143&lt;&gt;"",'Skill Matrix'!Q5&lt;&gt;""),'Skill Matrix'!A143,"")</f>
        <v/>
      </c>
      <c r="B2206">
        <f>IF(A2206="","",'Employees'!C14)</f>
        <v/>
      </c>
      <c r="C2206">
        <f>IF(A2206="","",'Employees'!D14)</f>
        <v/>
      </c>
      <c r="D2206">
        <f>IF(A2206="","",'Skill Matrix'!C143)</f>
        <v/>
      </c>
      <c r="E2206">
        <f>IF(A2206="","",'Skill Matrix'!D143)</f>
        <v/>
      </c>
      <c r="F2206">
        <f>IF(AND('Skill Matrix'!A143&lt;&gt;"",'Skill Matrix'!Q5&lt;&gt;""),'Skill Matrix'!Q5,"")</f>
        <v/>
      </c>
      <c r="G2206">
        <f>IF(OR(A2206="",'Skill Matrix'!Q143=""),"",'Skill Matrix'!Q143)</f>
        <v/>
      </c>
      <c r="H2206">
        <f>IF(A2206="","",'Employees'!F14)</f>
        <v/>
      </c>
    </row>
    <row r="2207">
      <c r="A2207">
        <f>IF(AND('Skill Matrix'!A143&lt;&gt;"",'Skill Matrix'!R5&lt;&gt;""),'Skill Matrix'!A143,"")</f>
        <v/>
      </c>
      <c r="B2207">
        <f>IF(A2207="","",'Employees'!C14)</f>
        <v/>
      </c>
      <c r="C2207">
        <f>IF(A2207="","",'Employees'!D14)</f>
        <v/>
      </c>
      <c r="D2207">
        <f>IF(A2207="","",'Skill Matrix'!C143)</f>
        <v/>
      </c>
      <c r="E2207">
        <f>IF(A2207="","",'Skill Matrix'!D143)</f>
        <v/>
      </c>
      <c r="F2207">
        <f>IF(AND('Skill Matrix'!A143&lt;&gt;"",'Skill Matrix'!R5&lt;&gt;""),'Skill Matrix'!R5,"")</f>
        <v/>
      </c>
      <c r="G2207">
        <f>IF(OR(A2207="",'Skill Matrix'!R143=""),"",'Skill Matrix'!R143)</f>
        <v/>
      </c>
      <c r="H2207">
        <f>IF(A2207="","",'Employees'!F14)</f>
        <v/>
      </c>
    </row>
    <row r="2208">
      <c r="A2208">
        <f>IF(AND('Skill Matrix'!A143&lt;&gt;"",'Skill Matrix'!S5&lt;&gt;""),'Skill Matrix'!A143,"")</f>
        <v/>
      </c>
      <c r="B2208">
        <f>IF(A2208="","",'Employees'!C14)</f>
        <v/>
      </c>
      <c r="C2208">
        <f>IF(A2208="","",'Employees'!D14)</f>
        <v/>
      </c>
      <c r="D2208">
        <f>IF(A2208="","",'Skill Matrix'!C143)</f>
        <v/>
      </c>
      <c r="E2208">
        <f>IF(A2208="","",'Skill Matrix'!D143)</f>
        <v/>
      </c>
      <c r="F2208">
        <f>IF(AND('Skill Matrix'!A143&lt;&gt;"",'Skill Matrix'!S5&lt;&gt;""),'Skill Matrix'!S5,"")</f>
        <v/>
      </c>
      <c r="G2208">
        <f>IF(OR(A2208="",'Skill Matrix'!S143=""),"",'Skill Matrix'!S143)</f>
        <v/>
      </c>
      <c r="H2208">
        <f>IF(A2208="","",'Employees'!F14)</f>
        <v/>
      </c>
    </row>
    <row r="2209">
      <c r="A2209">
        <f>IF(AND('Skill Matrix'!A143&lt;&gt;"",'Skill Matrix'!T5&lt;&gt;""),'Skill Matrix'!A143,"")</f>
        <v/>
      </c>
      <c r="B2209">
        <f>IF(A2209="","",'Employees'!C14)</f>
        <v/>
      </c>
      <c r="C2209">
        <f>IF(A2209="","",'Employees'!D14)</f>
        <v/>
      </c>
      <c r="D2209">
        <f>IF(A2209="","",'Skill Matrix'!C143)</f>
        <v/>
      </c>
      <c r="E2209">
        <f>IF(A2209="","",'Skill Matrix'!D143)</f>
        <v/>
      </c>
      <c r="F2209">
        <f>IF(AND('Skill Matrix'!A143&lt;&gt;"",'Skill Matrix'!T5&lt;&gt;""),'Skill Matrix'!T5,"")</f>
        <v/>
      </c>
      <c r="G2209">
        <f>IF(OR(A2209="",'Skill Matrix'!T143=""),"",'Skill Matrix'!T143)</f>
        <v/>
      </c>
      <c r="H2209">
        <f>IF(A2209="","",'Employees'!F14)</f>
        <v/>
      </c>
    </row>
    <row r="2210">
      <c r="A2210">
        <f>IF(AND('Skill Matrix'!A144&lt;&gt;"",'Skill Matrix'!E5&lt;&gt;""),'Skill Matrix'!A144,"")</f>
        <v/>
      </c>
      <c r="B2210">
        <f>IF(A2210="","",'Employees'!C14)</f>
        <v/>
      </c>
      <c r="C2210">
        <f>IF(A2210="","",'Employees'!D14)</f>
        <v/>
      </c>
      <c r="D2210">
        <f>IF(A2210="","",'Skill Matrix'!C144)</f>
        <v/>
      </c>
      <c r="E2210">
        <f>IF(A2210="","",'Skill Matrix'!D144)</f>
        <v/>
      </c>
      <c r="F2210">
        <f>IF(AND('Skill Matrix'!A144&lt;&gt;"",'Skill Matrix'!E5&lt;&gt;""),'Skill Matrix'!E5,"")</f>
        <v/>
      </c>
      <c r="G2210">
        <f>IF(OR(A2210="",'Skill Matrix'!E144=""),"",'Skill Matrix'!E144)</f>
        <v/>
      </c>
      <c r="H2210">
        <f>IF(A2210="","",'Employees'!F14)</f>
        <v/>
      </c>
    </row>
    <row r="2211">
      <c r="A2211">
        <f>IF(AND('Skill Matrix'!A144&lt;&gt;"",'Skill Matrix'!F5&lt;&gt;""),'Skill Matrix'!A144,"")</f>
        <v/>
      </c>
      <c r="B2211">
        <f>IF(A2211="","",'Employees'!C14)</f>
        <v/>
      </c>
      <c r="C2211">
        <f>IF(A2211="","",'Employees'!D14)</f>
        <v/>
      </c>
      <c r="D2211">
        <f>IF(A2211="","",'Skill Matrix'!C144)</f>
        <v/>
      </c>
      <c r="E2211">
        <f>IF(A2211="","",'Skill Matrix'!D144)</f>
        <v/>
      </c>
      <c r="F2211">
        <f>IF(AND('Skill Matrix'!A144&lt;&gt;"",'Skill Matrix'!F5&lt;&gt;""),'Skill Matrix'!F5,"")</f>
        <v/>
      </c>
      <c r="G2211">
        <f>IF(OR(A2211="",'Skill Matrix'!F144=""),"",'Skill Matrix'!F144)</f>
        <v/>
      </c>
      <c r="H2211">
        <f>IF(A2211="","",'Employees'!F14)</f>
        <v/>
      </c>
    </row>
    <row r="2212">
      <c r="A2212">
        <f>IF(AND('Skill Matrix'!A144&lt;&gt;"",'Skill Matrix'!G5&lt;&gt;""),'Skill Matrix'!A144,"")</f>
        <v/>
      </c>
      <c r="B2212">
        <f>IF(A2212="","",'Employees'!C14)</f>
        <v/>
      </c>
      <c r="C2212">
        <f>IF(A2212="","",'Employees'!D14)</f>
        <v/>
      </c>
      <c r="D2212">
        <f>IF(A2212="","",'Skill Matrix'!C144)</f>
        <v/>
      </c>
      <c r="E2212">
        <f>IF(A2212="","",'Skill Matrix'!D144)</f>
        <v/>
      </c>
      <c r="F2212">
        <f>IF(AND('Skill Matrix'!A144&lt;&gt;"",'Skill Matrix'!G5&lt;&gt;""),'Skill Matrix'!G5,"")</f>
        <v/>
      </c>
      <c r="G2212">
        <f>IF(OR(A2212="",'Skill Matrix'!G144=""),"",'Skill Matrix'!G144)</f>
        <v/>
      </c>
      <c r="H2212">
        <f>IF(A2212="","",'Employees'!F14)</f>
        <v/>
      </c>
    </row>
    <row r="2213">
      <c r="A2213">
        <f>IF(AND('Skill Matrix'!A144&lt;&gt;"",'Skill Matrix'!H5&lt;&gt;""),'Skill Matrix'!A144,"")</f>
        <v/>
      </c>
      <c r="B2213">
        <f>IF(A2213="","",'Employees'!C14)</f>
        <v/>
      </c>
      <c r="C2213">
        <f>IF(A2213="","",'Employees'!D14)</f>
        <v/>
      </c>
      <c r="D2213">
        <f>IF(A2213="","",'Skill Matrix'!C144)</f>
        <v/>
      </c>
      <c r="E2213">
        <f>IF(A2213="","",'Skill Matrix'!D144)</f>
        <v/>
      </c>
      <c r="F2213">
        <f>IF(AND('Skill Matrix'!A144&lt;&gt;"",'Skill Matrix'!H5&lt;&gt;""),'Skill Matrix'!H5,"")</f>
        <v/>
      </c>
      <c r="G2213">
        <f>IF(OR(A2213="",'Skill Matrix'!H144=""),"",'Skill Matrix'!H144)</f>
        <v/>
      </c>
      <c r="H2213">
        <f>IF(A2213="","",'Employees'!F14)</f>
        <v/>
      </c>
    </row>
    <row r="2214">
      <c r="A2214">
        <f>IF(AND('Skill Matrix'!A144&lt;&gt;"",'Skill Matrix'!I5&lt;&gt;""),'Skill Matrix'!A144,"")</f>
        <v/>
      </c>
      <c r="B2214">
        <f>IF(A2214="","",'Employees'!C14)</f>
        <v/>
      </c>
      <c r="C2214">
        <f>IF(A2214="","",'Employees'!D14)</f>
        <v/>
      </c>
      <c r="D2214">
        <f>IF(A2214="","",'Skill Matrix'!C144)</f>
        <v/>
      </c>
      <c r="E2214">
        <f>IF(A2214="","",'Skill Matrix'!D144)</f>
        <v/>
      </c>
      <c r="F2214">
        <f>IF(AND('Skill Matrix'!A144&lt;&gt;"",'Skill Matrix'!I5&lt;&gt;""),'Skill Matrix'!I5,"")</f>
        <v/>
      </c>
      <c r="G2214">
        <f>IF(OR(A2214="",'Skill Matrix'!I144=""),"",'Skill Matrix'!I144)</f>
        <v/>
      </c>
      <c r="H2214">
        <f>IF(A2214="","",'Employees'!F14)</f>
        <v/>
      </c>
    </row>
    <row r="2215">
      <c r="A2215">
        <f>IF(AND('Skill Matrix'!A144&lt;&gt;"",'Skill Matrix'!J5&lt;&gt;""),'Skill Matrix'!A144,"")</f>
        <v/>
      </c>
      <c r="B2215">
        <f>IF(A2215="","",'Employees'!C14)</f>
        <v/>
      </c>
      <c r="C2215">
        <f>IF(A2215="","",'Employees'!D14)</f>
        <v/>
      </c>
      <c r="D2215">
        <f>IF(A2215="","",'Skill Matrix'!C144)</f>
        <v/>
      </c>
      <c r="E2215">
        <f>IF(A2215="","",'Skill Matrix'!D144)</f>
        <v/>
      </c>
      <c r="F2215">
        <f>IF(AND('Skill Matrix'!A144&lt;&gt;"",'Skill Matrix'!J5&lt;&gt;""),'Skill Matrix'!J5,"")</f>
        <v/>
      </c>
      <c r="G2215">
        <f>IF(OR(A2215="",'Skill Matrix'!J144=""),"",'Skill Matrix'!J144)</f>
        <v/>
      </c>
      <c r="H2215">
        <f>IF(A2215="","",'Employees'!F14)</f>
        <v/>
      </c>
    </row>
    <row r="2216">
      <c r="A2216">
        <f>IF(AND('Skill Matrix'!A144&lt;&gt;"",'Skill Matrix'!K5&lt;&gt;""),'Skill Matrix'!A144,"")</f>
        <v/>
      </c>
      <c r="B2216">
        <f>IF(A2216="","",'Employees'!C14)</f>
        <v/>
      </c>
      <c r="C2216">
        <f>IF(A2216="","",'Employees'!D14)</f>
        <v/>
      </c>
      <c r="D2216">
        <f>IF(A2216="","",'Skill Matrix'!C144)</f>
        <v/>
      </c>
      <c r="E2216">
        <f>IF(A2216="","",'Skill Matrix'!D144)</f>
        <v/>
      </c>
      <c r="F2216">
        <f>IF(AND('Skill Matrix'!A144&lt;&gt;"",'Skill Matrix'!K5&lt;&gt;""),'Skill Matrix'!K5,"")</f>
        <v/>
      </c>
      <c r="G2216">
        <f>IF(OR(A2216="",'Skill Matrix'!K144=""),"",'Skill Matrix'!K144)</f>
        <v/>
      </c>
      <c r="H2216">
        <f>IF(A2216="","",'Employees'!F14)</f>
        <v/>
      </c>
    </row>
    <row r="2217">
      <c r="A2217">
        <f>IF(AND('Skill Matrix'!A144&lt;&gt;"",'Skill Matrix'!L5&lt;&gt;""),'Skill Matrix'!A144,"")</f>
        <v/>
      </c>
      <c r="B2217">
        <f>IF(A2217="","",'Employees'!C14)</f>
        <v/>
      </c>
      <c r="C2217">
        <f>IF(A2217="","",'Employees'!D14)</f>
        <v/>
      </c>
      <c r="D2217">
        <f>IF(A2217="","",'Skill Matrix'!C144)</f>
        <v/>
      </c>
      <c r="E2217">
        <f>IF(A2217="","",'Skill Matrix'!D144)</f>
        <v/>
      </c>
      <c r="F2217">
        <f>IF(AND('Skill Matrix'!A144&lt;&gt;"",'Skill Matrix'!L5&lt;&gt;""),'Skill Matrix'!L5,"")</f>
        <v/>
      </c>
      <c r="G2217">
        <f>IF(OR(A2217="",'Skill Matrix'!L144=""),"",'Skill Matrix'!L144)</f>
        <v/>
      </c>
      <c r="H2217">
        <f>IF(A2217="","",'Employees'!F14)</f>
        <v/>
      </c>
    </row>
    <row r="2218">
      <c r="A2218">
        <f>IF(AND('Skill Matrix'!A144&lt;&gt;"",'Skill Matrix'!M5&lt;&gt;""),'Skill Matrix'!A144,"")</f>
        <v/>
      </c>
      <c r="B2218">
        <f>IF(A2218="","",'Employees'!C14)</f>
        <v/>
      </c>
      <c r="C2218">
        <f>IF(A2218="","",'Employees'!D14)</f>
        <v/>
      </c>
      <c r="D2218">
        <f>IF(A2218="","",'Skill Matrix'!C144)</f>
        <v/>
      </c>
      <c r="E2218">
        <f>IF(A2218="","",'Skill Matrix'!D144)</f>
        <v/>
      </c>
      <c r="F2218">
        <f>IF(AND('Skill Matrix'!A144&lt;&gt;"",'Skill Matrix'!M5&lt;&gt;""),'Skill Matrix'!M5,"")</f>
        <v/>
      </c>
      <c r="G2218">
        <f>IF(OR(A2218="",'Skill Matrix'!M144=""),"",'Skill Matrix'!M144)</f>
        <v/>
      </c>
      <c r="H2218">
        <f>IF(A2218="","",'Employees'!F14)</f>
        <v/>
      </c>
    </row>
    <row r="2219">
      <c r="A2219">
        <f>IF(AND('Skill Matrix'!A144&lt;&gt;"",'Skill Matrix'!N5&lt;&gt;""),'Skill Matrix'!A144,"")</f>
        <v/>
      </c>
      <c r="B2219">
        <f>IF(A2219="","",'Employees'!C14)</f>
        <v/>
      </c>
      <c r="C2219">
        <f>IF(A2219="","",'Employees'!D14)</f>
        <v/>
      </c>
      <c r="D2219">
        <f>IF(A2219="","",'Skill Matrix'!C144)</f>
        <v/>
      </c>
      <c r="E2219">
        <f>IF(A2219="","",'Skill Matrix'!D144)</f>
        <v/>
      </c>
      <c r="F2219">
        <f>IF(AND('Skill Matrix'!A144&lt;&gt;"",'Skill Matrix'!N5&lt;&gt;""),'Skill Matrix'!N5,"")</f>
        <v/>
      </c>
      <c r="G2219">
        <f>IF(OR(A2219="",'Skill Matrix'!N144=""),"",'Skill Matrix'!N144)</f>
        <v/>
      </c>
      <c r="H2219">
        <f>IF(A2219="","",'Employees'!F14)</f>
        <v/>
      </c>
    </row>
    <row r="2220">
      <c r="A2220">
        <f>IF(AND('Skill Matrix'!A144&lt;&gt;"",'Skill Matrix'!O5&lt;&gt;""),'Skill Matrix'!A144,"")</f>
        <v/>
      </c>
      <c r="B2220">
        <f>IF(A2220="","",'Employees'!C14)</f>
        <v/>
      </c>
      <c r="C2220">
        <f>IF(A2220="","",'Employees'!D14)</f>
        <v/>
      </c>
      <c r="D2220">
        <f>IF(A2220="","",'Skill Matrix'!C144)</f>
        <v/>
      </c>
      <c r="E2220">
        <f>IF(A2220="","",'Skill Matrix'!D144)</f>
        <v/>
      </c>
      <c r="F2220">
        <f>IF(AND('Skill Matrix'!A144&lt;&gt;"",'Skill Matrix'!O5&lt;&gt;""),'Skill Matrix'!O5,"")</f>
        <v/>
      </c>
      <c r="G2220">
        <f>IF(OR(A2220="",'Skill Matrix'!O144=""),"",'Skill Matrix'!O144)</f>
        <v/>
      </c>
      <c r="H2220">
        <f>IF(A2220="","",'Employees'!F14)</f>
        <v/>
      </c>
    </row>
    <row r="2221">
      <c r="A2221">
        <f>IF(AND('Skill Matrix'!A144&lt;&gt;"",'Skill Matrix'!P5&lt;&gt;""),'Skill Matrix'!A144,"")</f>
        <v/>
      </c>
      <c r="B2221">
        <f>IF(A2221="","",'Employees'!C14)</f>
        <v/>
      </c>
      <c r="C2221">
        <f>IF(A2221="","",'Employees'!D14)</f>
        <v/>
      </c>
      <c r="D2221">
        <f>IF(A2221="","",'Skill Matrix'!C144)</f>
        <v/>
      </c>
      <c r="E2221">
        <f>IF(A2221="","",'Skill Matrix'!D144)</f>
        <v/>
      </c>
      <c r="F2221">
        <f>IF(AND('Skill Matrix'!A144&lt;&gt;"",'Skill Matrix'!P5&lt;&gt;""),'Skill Matrix'!P5,"")</f>
        <v/>
      </c>
      <c r="G2221">
        <f>IF(OR(A2221="",'Skill Matrix'!P144=""),"",'Skill Matrix'!P144)</f>
        <v/>
      </c>
      <c r="H2221">
        <f>IF(A2221="","",'Employees'!F14)</f>
        <v/>
      </c>
    </row>
    <row r="2222">
      <c r="A2222">
        <f>IF(AND('Skill Matrix'!A144&lt;&gt;"",'Skill Matrix'!Q5&lt;&gt;""),'Skill Matrix'!A144,"")</f>
        <v/>
      </c>
      <c r="B2222">
        <f>IF(A2222="","",'Employees'!C14)</f>
        <v/>
      </c>
      <c r="C2222">
        <f>IF(A2222="","",'Employees'!D14)</f>
        <v/>
      </c>
      <c r="D2222">
        <f>IF(A2222="","",'Skill Matrix'!C144)</f>
        <v/>
      </c>
      <c r="E2222">
        <f>IF(A2222="","",'Skill Matrix'!D144)</f>
        <v/>
      </c>
      <c r="F2222">
        <f>IF(AND('Skill Matrix'!A144&lt;&gt;"",'Skill Matrix'!Q5&lt;&gt;""),'Skill Matrix'!Q5,"")</f>
        <v/>
      </c>
      <c r="G2222">
        <f>IF(OR(A2222="",'Skill Matrix'!Q144=""),"",'Skill Matrix'!Q144)</f>
        <v/>
      </c>
      <c r="H2222">
        <f>IF(A2222="","",'Employees'!F14)</f>
        <v/>
      </c>
    </row>
    <row r="2223">
      <c r="A2223">
        <f>IF(AND('Skill Matrix'!A144&lt;&gt;"",'Skill Matrix'!R5&lt;&gt;""),'Skill Matrix'!A144,"")</f>
        <v/>
      </c>
      <c r="B2223">
        <f>IF(A2223="","",'Employees'!C14)</f>
        <v/>
      </c>
      <c r="C2223">
        <f>IF(A2223="","",'Employees'!D14)</f>
        <v/>
      </c>
      <c r="D2223">
        <f>IF(A2223="","",'Skill Matrix'!C144)</f>
        <v/>
      </c>
      <c r="E2223">
        <f>IF(A2223="","",'Skill Matrix'!D144)</f>
        <v/>
      </c>
      <c r="F2223">
        <f>IF(AND('Skill Matrix'!A144&lt;&gt;"",'Skill Matrix'!R5&lt;&gt;""),'Skill Matrix'!R5,"")</f>
        <v/>
      </c>
      <c r="G2223">
        <f>IF(OR(A2223="",'Skill Matrix'!R144=""),"",'Skill Matrix'!R144)</f>
        <v/>
      </c>
      <c r="H2223">
        <f>IF(A2223="","",'Employees'!F14)</f>
        <v/>
      </c>
    </row>
    <row r="2224">
      <c r="A2224">
        <f>IF(AND('Skill Matrix'!A144&lt;&gt;"",'Skill Matrix'!S5&lt;&gt;""),'Skill Matrix'!A144,"")</f>
        <v/>
      </c>
      <c r="B2224">
        <f>IF(A2224="","",'Employees'!C14)</f>
        <v/>
      </c>
      <c r="C2224">
        <f>IF(A2224="","",'Employees'!D14)</f>
        <v/>
      </c>
      <c r="D2224">
        <f>IF(A2224="","",'Skill Matrix'!C144)</f>
        <v/>
      </c>
      <c r="E2224">
        <f>IF(A2224="","",'Skill Matrix'!D144)</f>
        <v/>
      </c>
      <c r="F2224">
        <f>IF(AND('Skill Matrix'!A144&lt;&gt;"",'Skill Matrix'!S5&lt;&gt;""),'Skill Matrix'!S5,"")</f>
        <v/>
      </c>
      <c r="G2224">
        <f>IF(OR(A2224="",'Skill Matrix'!S144=""),"",'Skill Matrix'!S144)</f>
        <v/>
      </c>
      <c r="H2224">
        <f>IF(A2224="","",'Employees'!F14)</f>
        <v/>
      </c>
    </row>
    <row r="2225">
      <c r="A2225">
        <f>IF(AND('Skill Matrix'!A144&lt;&gt;"",'Skill Matrix'!T5&lt;&gt;""),'Skill Matrix'!A144,"")</f>
        <v/>
      </c>
      <c r="B2225">
        <f>IF(A2225="","",'Employees'!C14)</f>
        <v/>
      </c>
      <c r="C2225">
        <f>IF(A2225="","",'Employees'!D14)</f>
        <v/>
      </c>
      <c r="D2225">
        <f>IF(A2225="","",'Skill Matrix'!C144)</f>
        <v/>
      </c>
      <c r="E2225">
        <f>IF(A2225="","",'Skill Matrix'!D144)</f>
        <v/>
      </c>
      <c r="F2225">
        <f>IF(AND('Skill Matrix'!A144&lt;&gt;"",'Skill Matrix'!T5&lt;&gt;""),'Skill Matrix'!T5,"")</f>
        <v/>
      </c>
      <c r="G2225">
        <f>IF(OR(A2225="",'Skill Matrix'!T144=""),"",'Skill Matrix'!T144)</f>
        <v/>
      </c>
      <c r="H2225">
        <f>IF(A2225="","",'Employees'!F14)</f>
        <v/>
      </c>
    </row>
    <row r="2226">
      <c r="A2226">
        <f>IF(AND('Skill Matrix'!A145&lt;&gt;"",'Skill Matrix'!E5&lt;&gt;""),'Skill Matrix'!A145,"")</f>
        <v/>
      </c>
      <c r="B2226">
        <f>IF(A2226="","",'Employees'!C14)</f>
        <v/>
      </c>
      <c r="C2226">
        <f>IF(A2226="","",'Employees'!D14)</f>
        <v/>
      </c>
      <c r="D2226">
        <f>IF(A2226="","",'Skill Matrix'!C145)</f>
        <v/>
      </c>
      <c r="E2226">
        <f>IF(A2226="","",'Skill Matrix'!D145)</f>
        <v/>
      </c>
      <c r="F2226">
        <f>IF(AND('Skill Matrix'!A145&lt;&gt;"",'Skill Matrix'!E5&lt;&gt;""),'Skill Matrix'!E5,"")</f>
        <v/>
      </c>
      <c r="G2226">
        <f>IF(OR(A2226="",'Skill Matrix'!E145=""),"",'Skill Matrix'!E145)</f>
        <v/>
      </c>
      <c r="H2226">
        <f>IF(A2226="","",'Employees'!F14)</f>
        <v/>
      </c>
    </row>
    <row r="2227">
      <c r="A2227">
        <f>IF(AND('Skill Matrix'!A145&lt;&gt;"",'Skill Matrix'!F5&lt;&gt;""),'Skill Matrix'!A145,"")</f>
        <v/>
      </c>
      <c r="B2227">
        <f>IF(A2227="","",'Employees'!C14)</f>
        <v/>
      </c>
      <c r="C2227">
        <f>IF(A2227="","",'Employees'!D14)</f>
        <v/>
      </c>
      <c r="D2227">
        <f>IF(A2227="","",'Skill Matrix'!C145)</f>
        <v/>
      </c>
      <c r="E2227">
        <f>IF(A2227="","",'Skill Matrix'!D145)</f>
        <v/>
      </c>
      <c r="F2227">
        <f>IF(AND('Skill Matrix'!A145&lt;&gt;"",'Skill Matrix'!F5&lt;&gt;""),'Skill Matrix'!F5,"")</f>
        <v/>
      </c>
      <c r="G2227">
        <f>IF(OR(A2227="",'Skill Matrix'!F145=""),"",'Skill Matrix'!F145)</f>
        <v/>
      </c>
      <c r="H2227">
        <f>IF(A2227="","",'Employees'!F14)</f>
        <v/>
      </c>
    </row>
    <row r="2228">
      <c r="A2228">
        <f>IF(AND('Skill Matrix'!A145&lt;&gt;"",'Skill Matrix'!G5&lt;&gt;""),'Skill Matrix'!A145,"")</f>
        <v/>
      </c>
      <c r="B2228">
        <f>IF(A2228="","",'Employees'!C14)</f>
        <v/>
      </c>
      <c r="C2228">
        <f>IF(A2228="","",'Employees'!D14)</f>
        <v/>
      </c>
      <c r="D2228">
        <f>IF(A2228="","",'Skill Matrix'!C145)</f>
        <v/>
      </c>
      <c r="E2228">
        <f>IF(A2228="","",'Skill Matrix'!D145)</f>
        <v/>
      </c>
      <c r="F2228">
        <f>IF(AND('Skill Matrix'!A145&lt;&gt;"",'Skill Matrix'!G5&lt;&gt;""),'Skill Matrix'!G5,"")</f>
        <v/>
      </c>
      <c r="G2228">
        <f>IF(OR(A2228="",'Skill Matrix'!G145=""),"",'Skill Matrix'!G145)</f>
        <v/>
      </c>
      <c r="H2228">
        <f>IF(A2228="","",'Employees'!F14)</f>
        <v/>
      </c>
    </row>
    <row r="2229">
      <c r="A2229">
        <f>IF(AND('Skill Matrix'!A145&lt;&gt;"",'Skill Matrix'!H5&lt;&gt;""),'Skill Matrix'!A145,"")</f>
        <v/>
      </c>
      <c r="B2229">
        <f>IF(A2229="","",'Employees'!C14)</f>
        <v/>
      </c>
      <c r="C2229">
        <f>IF(A2229="","",'Employees'!D14)</f>
        <v/>
      </c>
      <c r="D2229">
        <f>IF(A2229="","",'Skill Matrix'!C145)</f>
        <v/>
      </c>
      <c r="E2229">
        <f>IF(A2229="","",'Skill Matrix'!D145)</f>
        <v/>
      </c>
      <c r="F2229">
        <f>IF(AND('Skill Matrix'!A145&lt;&gt;"",'Skill Matrix'!H5&lt;&gt;""),'Skill Matrix'!H5,"")</f>
        <v/>
      </c>
      <c r="G2229">
        <f>IF(OR(A2229="",'Skill Matrix'!H145=""),"",'Skill Matrix'!H145)</f>
        <v/>
      </c>
      <c r="H2229">
        <f>IF(A2229="","",'Employees'!F14)</f>
        <v/>
      </c>
    </row>
    <row r="2230">
      <c r="A2230">
        <f>IF(AND('Skill Matrix'!A145&lt;&gt;"",'Skill Matrix'!I5&lt;&gt;""),'Skill Matrix'!A145,"")</f>
        <v/>
      </c>
      <c r="B2230">
        <f>IF(A2230="","",'Employees'!C14)</f>
        <v/>
      </c>
      <c r="C2230">
        <f>IF(A2230="","",'Employees'!D14)</f>
        <v/>
      </c>
      <c r="D2230">
        <f>IF(A2230="","",'Skill Matrix'!C145)</f>
        <v/>
      </c>
      <c r="E2230">
        <f>IF(A2230="","",'Skill Matrix'!D145)</f>
        <v/>
      </c>
      <c r="F2230">
        <f>IF(AND('Skill Matrix'!A145&lt;&gt;"",'Skill Matrix'!I5&lt;&gt;""),'Skill Matrix'!I5,"")</f>
        <v/>
      </c>
      <c r="G2230">
        <f>IF(OR(A2230="",'Skill Matrix'!I145=""),"",'Skill Matrix'!I145)</f>
        <v/>
      </c>
      <c r="H2230">
        <f>IF(A2230="","",'Employees'!F14)</f>
        <v/>
      </c>
    </row>
    <row r="2231">
      <c r="A2231">
        <f>IF(AND('Skill Matrix'!A145&lt;&gt;"",'Skill Matrix'!J5&lt;&gt;""),'Skill Matrix'!A145,"")</f>
        <v/>
      </c>
      <c r="B2231">
        <f>IF(A2231="","",'Employees'!C14)</f>
        <v/>
      </c>
      <c r="C2231">
        <f>IF(A2231="","",'Employees'!D14)</f>
        <v/>
      </c>
      <c r="D2231">
        <f>IF(A2231="","",'Skill Matrix'!C145)</f>
        <v/>
      </c>
      <c r="E2231">
        <f>IF(A2231="","",'Skill Matrix'!D145)</f>
        <v/>
      </c>
      <c r="F2231">
        <f>IF(AND('Skill Matrix'!A145&lt;&gt;"",'Skill Matrix'!J5&lt;&gt;""),'Skill Matrix'!J5,"")</f>
        <v/>
      </c>
      <c r="G2231">
        <f>IF(OR(A2231="",'Skill Matrix'!J145=""),"",'Skill Matrix'!J145)</f>
        <v/>
      </c>
      <c r="H2231">
        <f>IF(A2231="","",'Employees'!F14)</f>
        <v/>
      </c>
    </row>
    <row r="2232">
      <c r="A2232">
        <f>IF(AND('Skill Matrix'!A145&lt;&gt;"",'Skill Matrix'!K5&lt;&gt;""),'Skill Matrix'!A145,"")</f>
        <v/>
      </c>
      <c r="B2232">
        <f>IF(A2232="","",'Employees'!C14)</f>
        <v/>
      </c>
      <c r="C2232">
        <f>IF(A2232="","",'Employees'!D14)</f>
        <v/>
      </c>
      <c r="D2232">
        <f>IF(A2232="","",'Skill Matrix'!C145)</f>
        <v/>
      </c>
      <c r="E2232">
        <f>IF(A2232="","",'Skill Matrix'!D145)</f>
        <v/>
      </c>
      <c r="F2232">
        <f>IF(AND('Skill Matrix'!A145&lt;&gt;"",'Skill Matrix'!K5&lt;&gt;""),'Skill Matrix'!K5,"")</f>
        <v/>
      </c>
      <c r="G2232">
        <f>IF(OR(A2232="",'Skill Matrix'!K145=""),"",'Skill Matrix'!K145)</f>
        <v/>
      </c>
      <c r="H2232">
        <f>IF(A2232="","",'Employees'!F14)</f>
        <v/>
      </c>
    </row>
    <row r="2233">
      <c r="A2233">
        <f>IF(AND('Skill Matrix'!A145&lt;&gt;"",'Skill Matrix'!L5&lt;&gt;""),'Skill Matrix'!A145,"")</f>
        <v/>
      </c>
      <c r="B2233">
        <f>IF(A2233="","",'Employees'!C14)</f>
        <v/>
      </c>
      <c r="C2233">
        <f>IF(A2233="","",'Employees'!D14)</f>
        <v/>
      </c>
      <c r="D2233">
        <f>IF(A2233="","",'Skill Matrix'!C145)</f>
        <v/>
      </c>
      <c r="E2233">
        <f>IF(A2233="","",'Skill Matrix'!D145)</f>
        <v/>
      </c>
      <c r="F2233">
        <f>IF(AND('Skill Matrix'!A145&lt;&gt;"",'Skill Matrix'!L5&lt;&gt;""),'Skill Matrix'!L5,"")</f>
        <v/>
      </c>
      <c r="G2233">
        <f>IF(OR(A2233="",'Skill Matrix'!L145=""),"",'Skill Matrix'!L145)</f>
        <v/>
      </c>
      <c r="H2233">
        <f>IF(A2233="","",'Employees'!F14)</f>
        <v/>
      </c>
    </row>
    <row r="2234">
      <c r="A2234">
        <f>IF(AND('Skill Matrix'!A145&lt;&gt;"",'Skill Matrix'!M5&lt;&gt;""),'Skill Matrix'!A145,"")</f>
        <v/>
      </c>
      <c r="B2234">
        <f>IF(A2234="","",'Employees'!C14)</f>
        <v/>
      </c>
      <c r="C2234">
        <f>IF(A2234="","",'Employees'!D14)</f>
        <v/>
      </c>
      <c r="D2234">
        <f>IF(A2234="","",'Skill Matrix'!C145)</f>
        <v/>
      </c>
      <c r="E2234">
        <f>IF(A2234="","",'Skill Matrix'!D145)</f>
        <v/>
      </c>
      <c r="F2234">
        <f>IF(AND('Skill Matrix'!A145&lt;&gt;"",'Skill Matrix'!M5&lt;&gt;""),'Skill Matrix'!M5,"")</f>
        <v/>
      </c>
      <c r="G2234">
        <f>IF(OR(A2234="",'Skill Matrix'!M145=""),"",'Skill Matrix'!M145)</f>
        <v/>
      </c>
      <c r="H2234">
        <f>IF(A2234="","",'Employees'!F14)</f>
        <v/>
      </c>
    </row>
    <row r="2235">
      <c r="A2235">
        <f>IF(AND('Skill Matrix'!A145&lt;&gt;"",'Skill Matrix'!N5&lt;&gt;""),'Skill Matrix'!A145,"")</f>
        <v/>
      </c>
      <c r="B2235">
        <f>IF(A2235="","",'Employees'!C14)</f>
        <v/>
      </c>
      <c r="C2235">
        <f>IF(A2235="","",'Employees'!D14)</f>
        <v/>
      </c>
      <c r="D2235">
        <f>IF(A2235="","",'Skill Matrix'!C145)</f>
        <v/>
      </c>
      <c r="E2235">
        <f>IF(A2235="","",'Skill Matrix'!D145)</f>
        <v/>
      </c>
      <c r="F2235">
        <f>IF(AND('Skill Matrix'!A145&lt;&gt;"",'Skill Matrix'!N5&lt;&gt;""),'Skill Matrix'!N5,"")</f>
        <v/>
      </c>
      <c r="G2235">
        <f>IF(OR(A2235="",'Skill Matrix'!N145=""),"",'Skill Matrix'!N145)</f>
        <v/>
      </c>
      <c r="H2235">
        <f>IF(A2235="","",'Employees'!F14)</f>
        <v/>
      </c>
    </row>
    <row r="2236">
      <c r="A2236">
        <f>IF(AND('Skill Matrix'!A145&lt;&gt;"",'Skill Matrix'!O5&lt;&gt;""),'Skill Matrix'!A145,"")</f>
        <v/>
      </c>
      <c r="B2236">
        <f>IF(A2236="","",'Employees'!C14)</f>
        <v/>
      </c>
      <c r="C2236">
        <f>IF(A2236="","",'Employees'!D14)</f>
        <v/>
      </c>
      <c r="D2236">
        <f>IF(A2236="","",'Skill Matrix'!C145)</f>
        <v/>
      </c>
      <c r="E2236">
        <f>IF(A2236="","",'Skill Matrix'!D145)</f>
        <v/>
      </c>
      <c r="F2236">
        <f>IF(AND('Skill Matrix'!A145&lt;&gt;"",'Skill Matrix'!O5&lt;&gt;""),'Skill Matrix'!O5,"")</f>
        <v/>
      </c>
      <c r="G2236">
        <f>IF(OR(A2236="",'Skill Matrix'!O145=""),"",'Skill Matrix'!O145)</f>
        <v/>
      </c>
      <c r="H2236">
        <f>IF(A2236="","",'Employees'!F14)</f>
        <v/>
      </c>
    </row>
    <row r="2237">
      <c r="A2237">
        <f>IF(AND('Skill Matrix'!A145&lt;&gt;"",'Skill Matrix'!P5&lt;&gt;""),'Skill Matrix'!A145,"")</f>
        <v/>
      </c>
      <c r="B2237">
        <f>IF(A2237="","",'Employees'!C14)</f>
        <v/>
      </c>
      <c r="C2237">
        <f>IF(A2237="","",'Employees'!D14)</f>
        <v/>
      </c>
      <c r="D2237">
        <f>IF(A2237="","",'Skill Matrix'!C145)</f>
        <v/>
      </c>
      <c r="E2237">
        <f>IF(A2237="","",'Skill Matrix'!D145)</f>
        <v/>
      </c>
      <c r="F2237">
        <f>IF(AND('Skill Matrix'!A145&lt;&gt;"",'Skill Matrix'!P5&lt;&gt;""),'Skill Matrix'!P5,"")</f>
        <v/>
      </c>
      <c r="G2237">
        <f>IF(OR(A2237="",'Skill Matrix'!P145=""),"",'Skill Matrix'!P145)</f>
        <v/>
      </c>
      <c r="H2237">
        <f>IF(A2237="","",'Employees'!F14)</f>
        <v/>
      </c>
    </row>
    <row r="2238">
      <c r="A2238">
        <f>IF(AND('Skill Matrix'!A145&lt;&gt;"",'Skill Matrix'!Q5&lt;&gt;""),'Skill Matrix'!A145,"")</f>
        <v/>
      </c>
      <c r="B2238">
        <f>IF(A2238="","",'Employees'!C14)</f>
        <v/>
      </c>
      <c r="C2238">
        <f>IF(A2238="","",'Employees'!D14)</f>
        <v/>
      </c>
      <c r="D2238">
        <f>IF(A2238="","",'Skill Matrix'!C145)</f>
        <v/>
      </c>
      <c r="E2238">
        <f>IF(A2238="","",'Skill Matrix'!D145)</f>
        <v/>
      </c>
      <c r="F2238">
        <f>IF(AND('Skill Matrix'!A145&lt;&gt;"",'Skill Matrix'!Q5&lt;&gt;""),'Skill Matrix'!Q5,"")</f>
        <v/>
      </c>
      <c r="G2238">
        <f>IF(OR(A2238="",'Skill Matrix'!Q145=""),"",'Skill Matrix'!Q145)</f>
        <v/>
      </c>
      <c r="H2238">
        <f>IF(A2238="","",'Employees'!F14)</f>
        <v/>
      </c>
    </row>
    <row r="2239">
      <c r="A2239">
        <f>IF(AND('Skill Matrix'!A145&lt;&gt;"",'Skill Matrix'!R5&lt;&gt;""),'Skill Matrix'!A145,"")</f>
        <v/>
      </c>
      <c r="B2239">
        <f>IF(A2239="","",'Employees'!C14)</f>
        <v/>
      </c>
      <c r="C2239">
        <f>IF(A2239="","",'Employees'!D14)</f>
        <v/>
      </c>
      <c r="D2239">
        <f>IF(A2239="","",'Skill Matrix'!C145)</f>
        <v/>
      </c>
      <c r="E2239">
        <f>IF(A2239="","",'Skill Matrix'!D145)</f>
        <v/>
      </c>
      <c r="F2239">
        <f>IF(AND('Skill Matrix'!A145&lt;&gt;"",'Skill Matrix'!R5&lt;&gt;""),'Skill Matrix'!R5,"")</f>
        <v/>
      </c>
      <c r="G2239">
        <f>IF(OR(A2239="",'Skill Matrix'!R145=""),"",'Skill Matrix'!R145)</f>
        <v/>
      </c>
      <c r="H2239">
        <f>IF(A2239="","",'Employees'!F14)</f>
        <v/>
      </c>
    </row>
    <row r="2240">
      <c r="A2240">
        <f>IF(AND('Skill Matrix'!A145&lt;&gt;"",'Skill Matrix'!S5&lt;&gt;""),'Skill Matrix'!A145,"")</f>
        <v/>
      </c>
      <c r="B2240">
        <f>IF(A2240="","",'Employees'!C14)</f>
        <v/>
      </c>
      <c r="C2240">
        <f>IF(A2240="","",'Employees'!D14)</f>
        <v/>
      </c>
      <c r="D2240">
        <f>IF(A2240="","",'Skill Matrix'!C145)</f>
        <v/>
      </c>
      <c r="E2240">
        <f>IF(A2240="","",'Skill Matrix'!D145)</f>
        <v/>
      </c>
      <c r="F2240">
        <f>IF(AND('Skill Matrix'!A145&lt;&gt;"",'Skill Matrix'!S5&lt;&gt;""),'Skill Matrix'!S5,"")</f>
        <v/>
      </c>
      <c r="G2240">
        <f>IF(OR(A2240="",'Skill Matrix'!S145=""),"",'Skill Matrix'!S145)</f>
        <v/>
      </c>
      <c r="H2240">
        <f>IF(A2240="","",'Employees'!F14)</f>
        <v/>
      </c>
    </row>
    <row r="2241">
      <c r="A2241">
        <f>IF(AND('Skill Matrix'!A145&lt;&gt;"",'Skill Matrix'!T5&lt;&gt;""),'Skill Matrix'!A145,"")</f>
        <v/>
      </c>
      <c r="B2241">
        <f>IF(A2241="","",'Employees'!C14)</f>
        <v/>
      </c>
      <c r="C2241">
        <f>IF(A2241="","",'Employees'!D14)</f>
        <v/>
      </c>
      <c r="D2241">
        <f>IF(A2241="","",'Skill Matrix'!C145)</f>
        <v/>
      </c>
      <c r="E2241">
        <f>IF(A2241="","",'Skill Matrix'!D145)</f>
        <v/>
      </c>
      <c r="F2241">
        <f>IF(AND('Skill Matrix'!A145&lt;&gt;"",'Skill Matrix'!T5&lt;&gt;""),'Skill Matrix'!T5,"")</f>
        <v/>
      </c>
      <c r="G2241">
        <f>IF(OR(A2241="",'Skill Matrix'!T145=""),"",'Skill Matrix'!T145)</f>
        <v/>
      </c>
      <c r="H2241">
        <f>IF(A2241="","",'Employees'!F14)</f>
        <v/>
      </c>
    </row>
    <row r="2242">
      <c r="A2242">
        <f>IF(AND('Skill Matrix'!A146&lt;&gt;"",'Skill Matrix'!E5&lt;&gt;""),'Skill Matrix'!A146,"")</f>
        <v/>
      </c>
      <c r="B2242">
        <f>IF(A2242="","",'Employees'!C14)</f>
        <v/>
      </c>
      <c r="C2242">
        <f>IF(A2242="","",'Employees'!D14)</f>
        <v/>
      </c>
      <c r="D2242">
        <f>IF(A2242="","",'Skill Matrix'!C146)</f>
        <v/>
      </c>
      <c r="E2242">
        <f>IF(A2242="","",'Skill Matrix'!D146)</f>
        <v/>
      </c>
      <c r="F2242">
        <f>IF(AND('Skill Matrix'!A146&lt;&gt;"",'Skill Matrix'!E5&lt;&gt;""),'Skill Matrix'!E5,"")</f>
        <v/>
      </c>
      <c r="G2242">
        <f>IF(OR(A2242="",'Skill Matrix'!E146=""),"",'Skill Matrix'!E146)</f>
        <v/>
      </c>
      <c r="H2242">
        <f>IF(A2242="","",'Employees'!F14)</f>
        <v/>
      </c>
    </row>
    <row r="2243">
      <c r="A2243">
        <f>IF(AND('Skill Matrix'!A146&lt;&gt;"",'Skill Matrix'!F5&lt;&gt;""),'Skill Matrix'!A146,"")</f>
        <v/>
      </c>
      <c r="B2243">
        <f>IF(A2243="","",'Employees'!C14)</f>
        <v/>
      </c>
      <c r="C2243">
        <f>IF(A2243="","",'Employees'!D14)</f>
        <v/>
      </c>
      <c r="D2243">
        <f>IF(A2243="","",'Skill Matrix'!C146)</f>
        <v/>
      </c>
      <c r="E2243">
        <f>IF(A2243="","",'Skill Matrix'!D146)</f>
        <v/>
      </c>
      <c r="F2243">
        <f>IF(AND('Skill Matrix'!A146&lt;&gt;"",'Skill Matrix'!F5&lt;&gt;""),'Skill Matrix'!F5,"")</f>
        <v/>
      </c>
      <c r="G2243">
        <f>IF(OR(A2243="",'Skill Matrix'!F146=""),"",'Skill Matrix'!F146)</f>
        <v/>
      </c>
      <c r="H2243">
        <f>IF(A2243="","",'Employees'!F14)</f>
        <v/>
      </c>
    </row>
    <row r="2244">
      <c r="A2244">
        <f>IF(AND('Skill Matrix'!A146&lt;&gt;"",'Skill Matrix'!G5&lt;&gt;""),'Skill Matrix'!A146,"")</f>
        <v/>
      </c>
      <c r="B2244">
        <f>IF(A2244="","",'Employees'!C14)</f>
        <v/>
      </c>
      <c r="C2244">
        <f>IF(A2244="","",'Employees'!D14)</f>
        <v/>
      </c>
      <c r="D2244">
        <f>IF(A2244="","",'Skill Matrix'!C146)</f>
        <v/>
      </c>
      <c r="E2244">
        <f>IF(A2244="","",'Skill Matrix'!D146)</f>
        <v/>
      </c>
      <c r="F2244">
        <f>IF(AND('Skill Matrix'!A146&lt;&gt;"",'Skill Matrix'!G5&lt;&gt;""),'Skill Matrix'!G5,"")</f>
        <v/>
      </c>
      <c r="G2244">
        <f>IF(OR(A2244="",'Skill Matrix'!G146=""),"",'Skill Matrix'!G146)</f>
        <v/>
      </c>
      <c r="H2244">
        <f>IF(A2244="","",'Employees'!F14)</f>
        <v/>
      </c>
    </row>
    <row r="2245">
      <c r="A2245">
        <f>IF(AND('Skill Matrix'!A146&lt;&gt;"",'Skill Matrix'!H5&lt;&gt;""),'Skill Matrix'!A146,"")</f>
        <v/>
      </c>
      <c r="B2245">
        <f>IF(A2245="","",'Employees'!C14)</f>
        <v/>
      </c>
      <c r="C2245">
        <f>IF(A2245="","",'Employees'!D14)</f>
        <v/>
      </c>
      <c r="D2245">
        <f>IF(A2245="","",'Skill Matrix'!C146)</f>
        <v/>
      </c>
      <c r="E2245">
        <f>IF(A2245="","",'Skill Matrix'!D146)</f>
        <v/>
      </c>
      <c r="F2245">
        <f>IF(AND('Skill Matrix'!A146&lt;&gt;"",'Skill Matrix'!H5&lt;&gt;""),'Skill Matrix'!H5,"")</f>
        <v/>
      </c>
      <c r="G2245">
        <f>IF(OR(A2245="",'Skill Matrix'!H146=""),"",'Skill Matrix'!H146)</f>
        <v/>
      </c>
      <c r="H2245">
        <f>IF(A2245="","",'Employees'!F14)</f>
        <v/>
      </c>
    </row>
    <row r="2246">
      <c r="A2246">
        <f>IF(AND('Skill Matrix'!A146&lt;&gt;"",'Skill Matrix'!I5&lt;&gt;""),'Skill Matrix'!A146,"")</f>
        <v/>
      </c>
      <c r="B2246">
        <f>IF(A2246="","",'Employees'!C14)</f>
        <v/>
      </c>
      <c r="C2246">
        <f>IF(A2246="","",'Employees'!D14)</f>
        <v/>
      </c>
      <c r="D2246">
        <f>IF(A2246="","",'Skill Matrix'!C146)</f>
        <v/>
      </c>
      <c r="E2246">
        <f>IF(A2246="","",'Skill Matrix'!D146)</f>
        <v/>
      </c>
      <c r="F2246">
        <f>IF(AND('Skill Matrix'!A146&lt;&gt;"",'Skill Matrix'!I5&lt;&gt;""),'Skill Matrix'!I5,"")</f>
        <v/>
      </c>
      <c r="G2246">
        <f>IF(OR(A2246="",'Skill Matrix'!I146=""),"",'Skill Matrix'!I146)</f>
        <v/>
      </c>
      <c r="H2246">
        <f>IF(A2246="","",'Employees'!F14)</f>
        <v/>
      </c>
    </row>
    <row r="2247">
      <c r="A2247">
        <f>IF(AND('Skill Matrix'!A146&lt;&gt;"",'Skill Matrix'!J5&lt;&gt;""),'Skill Matrix'!A146,"")</f>
        <v/>
      </c>
      <c r="B2247">
        <f>IF(A2247="","",'Employees'!C14)</f>
        <v/>
      </c>
      <c r="C2247">
        <f>IF(A2247="","",'Employees'!D14)</f>
        <v/>
      </c>
      <c r="D2247">
        <f>IF(A2247="","",'Skill Matrix'!C146)</f>
        <v/>
      </c>
      <c r="E2247">
        <f>IF(A2247="","",'Skill Matrix'!D146)</f>
        <v/>
      </c>
      <c r="F2247">
        <f>IF(AND('Skill Matrix'!A146&lt;&gt;"",'Skill Matrix'!J5&lt;&gt;""),'Skill Matrix'!J5,"")</f>
        <v/>
      </c>
      <c r="G2247">
        <f>IF(OR(A2247="",'Skill Matrix'!J146=""),"",'Skill Matrix'!J146)</f>
        <v/>
      </c>
      <c r="H2247">
        <f>IF(A2247="","",'Employees'!F14)</f>
        <v/>
      </c>
    </row>
    <row r="2248">
      <c r="A2248">
        <f>IF(AND('Skill Matrix'!A146&lt;&gt;"",'Skill Matrix'!K5&lt;&gt;""),'Skill Matrix'!A146,"")</f>
        <v/>
      </c>
      <c r="B2248">
        <f>IF(A2248="","",'Employees'!C14)</f>
        <v/>
      </c>
      <c r="C2248">
        <f>IF(A2248="","",'Employees'!D14)</f>
        <v/>
      </c>
      <c r="D2248">
        <f>IF(A2248="","",'Skill Matrix'!C146)</f>
        <v/>
      </c>
      <c r="E2248">
        <f>IF(A2248="","",'Skill Matrix'!D146)</f>
        <v/>
      </c>
      <c r="F2248">
        <f>IF(AND('Skill Matrix'!A146&lt;&gt;"",'Skill Matrix'!K5&lt;&gt;""),'Skill Matrix'!K5,"")</f>
        <v/>
      </c>
      <c r="G2248">
        <f>IF(OR(A2248="",'Skill Matrix'!K146=""),"",'Skill Matrix'!K146)</f>
        <v/>
      </c>
      <c r="H2248">
        <f>IF(A2248="","",'Employees'!F14)</f>
        <v/>
      </c>
    </row>
    <row r="2249">
      <c r="A2249">
        <f>IF(AND('Skill Matrix'!A146&lt;&gt;"",'Skill Matrix'!L5&lt;&gt;""),'Skill Matrix'!A146,"")</f>
        <v/>
      </c>
      <c r="B2249">
        <f>IF(A2249="","",'Employees'!C14)</f>
        <v/>
      </c>
      <c r="C2249">
        <f>IF(A2249="","",'Employees'!D14)</f>
        <v/>
      </c>
      <c r="D2249">
        <f>IF(A2249="","",'Skill Matrix'!C146)</f>
        <v/>
      </c>
      <c r="E2249">
        <f>IF(A2249="","",'Skill Matrix'!D146)</f>
        <v/>
      </c>
      <c r="F2249">
        <f>IF(AND('Skill Matrix'!A146&lt;&gt;"",'Skill Matrix'!L5&lt;&gt;""),'Skill Matrix'!L5,"")</f>
        <v/>
      </c>
      <c r="G2249">
        <f>IF(OR(A2249="",'Skill Matrix'!L146=""),"",'Skill Matrix'!L146)</f>
        <v/>
      </c>
      <c r="H2249">
        <f>IF(A2249="","",'Employees'!F14)</f>
        <v/>
      </c>
    </row>
    <row r="2250">
      <c r="A2250">
        <f>IF(AND('Skill Matrix'!A146&lt;&gt;"",'Skill Matrix'!M5&lt;&gt;""),'Skill Matrix'!A146,"")</f>
        <v/>
      </c>
      <c r="B2250">
        <f>IF(A2250="","",'Employees'!C14)</f>
        <v/>
      </c>
      <c r="C2250">
        <f>IF(A2250="","",'Employees'!D14)</f>
        <v/>
      </c>
      <c r="D2250">
        <f>IF(A2250="","",'Skill Matrix'!C146)</f>
        <v/>
      </c>
      <c r="E2250">
        <f>IF(A2250="","",'Skill Matrix'!D146)</f>
        <v/>
      </c>
      <c r="F2250">
        <f>IF(AND('Skill Matrix'!A146&lt;&gt;"",'Skill Matrix'!M5&lt;&gt;""),'Skill Matrix'!M5,"")</f>
        <v/>
      </c>
      <c r="G2250">
        <f>IF(OR(A2250="",'Skill Matrix'!M146=""),"",'Skill Matrix'!M146)</f>
        <v/>
      </c>
      <c r="H2250">
        <f>IF(A2250="","",'Employees'!F14)</f>
        <v/>
      </c>
    </row>
    <row r="2251">
      <c r="A2251">
        <f>IF(AND('Skill Matrix'!A146&lt;&gt;"",'Skill Matrix'!N5&lt;&gt;""),'Skill Matrix'!A146,"")</f>
        <v/>
      </c>
      <c r="B2251">
        <f>IF(A2251="","",'Employees'!C14)</f>
        <v/>
      </c>
      <c r="C2251">
        <f>IF(A2251="","",'Employees'!D14)</f>
        <v/>
      </c>
      <c r="D2251">
        <f>IF(A2251="","",'Skill Matrix'!C146)</f>
        <v/>
      </c>
      <c r="E2251">
        <f>IF(A2251="","",'Skill Matrix'!D146)</f>
        <v/>
      </c>
      <c r="F2251">
        <f>IF(AND('Skill Matrix'!A146&lt;&gt;"",'Skill Matrix'!N5&lt;&gt;""),'Skill Matrix'!N5,"")</f>
        <v/>
      </c>
      <c r="G2251">
        <f>IF(OR(A2251="",'Skill Matrix'!N146=""),"",'Skill Matrix'!N146)</f>
        <v/>
      </c>
      <c r="H2251">
        <f>IF(A2251="","",'Employees'!F14)</f>
        <v/>
      </c>
    </row>
    <row r="2252">
      <c r="A2252">
        <f>IF(AND('Skill Matrix'!A146&lt;&gt;"",'Skill Matrix'!O5&lt;&gt;""),'Skill Matrix'!A146,"")</f>
        <v/>
      </c>
      <c r="B2252">
        <f>IF(A2252="","",'Employees'!C14)</f>
        <v/>
      </c>
      <c r="C2252">
        <f>IF(A2252="","",'Employees'!D14)</f>
        <v/>
      </c>
      <c r="D2252">
        <f>IF(A2252="","",'Skill Matrix'!C146)</f>
        <v/>
      </c>
      <c r="E2252">
        <f>IF(A2252="","",'Skill Matrix'!D146)</f>
        <v/>
      </c>
      <c r="F2252">
        <f>IF(AND('Skill Matrix'!A146&lt;&gt;"",'Skill Matrix'!O5&lt;&gt;""),'Skill Matrix'!O5,"")</f>
        <v/>
      </c>
      <c r="G2252">
        <f>IF(OR(A2252="",'Skill Matrix'!O146=""),"",'Skill Matrix'!O146)</f>
        <v/>
      </c>
      <c r="H2252">
        <f>IF(A2252="","",'Employees'!F14)</f>
        <v/>
      </c>
    </row>
    <row r="2253">
      <c r="A2253">
        <f>IF(AND('Skill Matrix'!A146&lt;&gt;"",'Skill Matrix'!P5&lt;&gt;""),'Skill Matrix'!A146,"")</f>
        <v/>
      </c>
      <c r="B2253">
        <f>IF(A2253="","",'Employees'!C14)</f>
        <v/>
      </c>
      <c r="C2253">
        <f>IF(A2253="","",'Employees'!D14)</f>
        <v/>
      </c>
      <c r="D2253">
        <f>IF(A2253="","",'Skill Matrix'!C146)</f>
        <v/>
      </c>
      <c r="E2253">
        <f>IF(A2253="","",'Skill Matrix'!D146)</f>
        <v/>
      </c>
      <c r="F2253">
        <f>IF(AND('Skill Matrix'!A146&lt;&gt;"",'Skill Matrix'!P5&lt;&gt;""),'Skill Matrix'!P5,"")</f>
        <v/>
      </c>
      <c r="G2253">
        <f>IF(OR(A2253="",'Skill Matrix'!P146=""),"",'Skill Matrix'!P146)</f>
        <v/>
      </c>
      <c r="H2253">
        <f>IF(A2253="","",'Employees'!F14)</f>
        <v/>
      </c>
    </row>
    <row r="2254">
      <c r="A2254">
        <f>IF(AND('Skill Matrix'!A146&lt;&gt;"",'Skill Matrix'!Q5&lt;&gt;""),'Skill Matrix'!A146,"")</f>
        <v/>
      </c>
      <c r="B2254">
        <f>IF(A2254="","",'Employees'!C14)</f>
        <v/>
      </c>
      <c r="C2254">
        <f>IF(A2254="","",'Employees'!D14)</f>
        <v/>
      </c>
      <c r="D2254">
        <f>IF(A2254="","",'Skill Matrix'!C146)</f>
        <v/>
      </c>
      <c r="E2254">
        <f>IF(A2254="","",'Skill Matrix'!D146)</f>
        <v/>
      </c>
      <c r="F2254">
        <f>IF(AND('Skill Matrix'!A146&lt;&gt;"",'Skill Matrix'!Q5&lt;&gt;""),'Skill Matrix'!Q5,"")</f>
        <v/>
      </c>
      <c r="G2254">
        <f>IF(OR(A2254="",'Skill Matrix'!Q146=""),"",'Skill Matrix'!Q146)</f>
        <v/>
      </c>
      <c r="H2254">
        <f>IF(A2254="","",'Employees'!F14)</f>
        <v/>
      </c>
    </row>
    <row r="2255">
      <c r="A2255">
        <f>IF(AND('Skill Matrix'!A146&lt;&gt;"",'Skill Matrix'!R5&lt;&gt;""),'Skill Matrix'!A146,"")</f>
        <v/>
      </c>
      <c r="B2255">
        <f>IF(A2255="","",'Employees'!C14)</f>
        <v/>
      </c>
      <c r="C2255">
        <f>IF(A2255="","",'Employees'!D14)</f>
        <v/>
      </c>
      <c r="D2255">
        <f>IF(A2255="","",'Skill Matrix'!C146)</f>
        <v/>
      </c>
      <c r="E2255">
        <f>IF(A2255="","",'Skill Matrix'!D146)</f>
        <v/>
      </c>
      <c r="F2255">
        <f>IF(AND('Skill Matrix'!A146&lt;&gt;"",'Skill Matrix'!R5&lt;&gt;""),'Skill Matrix'!R5,"")</f>
        <v/>
      </c>
      <c r="G2255">
        <f>IF(OR(A2255="",'Skill Matrix'!R146=""),"",'Skill Matrix'!R146)</f>
        <v/>
      </c>
      <c r="H2255">
        <f>IF(A2255="","",'Employees'!F14)</f>
        <v/>
      </c>
    </row>
    <row r="2256">
      <c r="A2256">
        <f>IF(AND('Skill Matrix'!A146&lt;&gt;"",'Skill Matrix'!S5&lt;&gt;""),'Skill Matrix'!A146,"")</f>
        <v/>
      </c>
      <c r="B2256">
        <f>IF(A2256="","",'Employees'!C14)</f>
        <v/>
      </c>
      <c r="C2256">
        <f>IF(A2256="","",'Employees'!D14)</f>
        <v/>
      </c>
      <c r="D2256">
        <f>IF(A2256="","",'Skill Matrix'!C146)</f>
        <v/>
      </c>
      <c r="E2256">
        <f>IF(A2256="","",'Skill Matrix'!D146)</f>
        <v/>
      </c>
      <c r="F2256">
        <f>IF(AND('Skill Matrix'!A146&lt;&gt;"",'Skill Matrix'!S5&lt;&gt;""),'Skill Matrix'!S5,"")</f>
        <v/>
      </c>
      <c r="G2256">
        <f>IF(OR(A2256="",'Skill Matrix'!S146=""),"",'Skill Matrix'!S146)</f>
        <v/>
      </c>
      <c r="H2256">
        <f>IF(A2256="","",'Employees'!F14)</f>
        <v/>
      </c>
    </row>
    <row r="2257">
      <c r="A2257">
        <f>IF(AND('Skill Matrix'!A146&lt;&gt;"",'Skill Matrix'!T5&lt;&gt;""),'Skill Matrix'!A146,"")</f>
        <v/>
      </c>
      <c r="B2257">
        <f>IF(A2257="","",'Employees'!C14)</f>
        <v/>
      </c>
      <c r="C2257">
        <f>IF(A2257="","",'Employees'!D14)</f>
        <v/>
      </c>
      <c r="D2257">
        <f>IF(A2257="","",'Skill Matrix'!C146)</f>
        <v/>
      </c>
      <c r="E2257">
        <f>IF(A2257="","",'Skill Matrix'!D146)</f>
        <v/>
      </c>
      <c r="F2257">
        <f>IF(AND('Skill Matrix'!A146&lt;&gt;"",'Skill Matrix'!T5&lt;&gt;""),'Skill Matrix'!T5,"")</f>
        <v/>
      </c>
      <c r="G2257">
        <f>IF(OR(A2257="",'Skill Matrix'!T146=""),"",'Skill Matrix'!T146)</f>
        <v/>
      </c>
      <c r="H2257">
        <f>IF(A2257="","",'Employees'!F14)</f>
        <v/>
      </c>
    </row>
    <row r="2258">
      <c r="A2258">
        <f>IF(AND('Skill Matrix'!A147&lt;&gt;"",'Skill Matrix'!E5&lt;&gt;""),'Skill Matrix'!A147,"")</f>
        <v/>
      </c>
      <c r="B2258">
        <f>IF(A2258="","",'Employees'!C14)</f>
        <v/>
      </c>
      <c r="C2258">
        <f>IF(A2258="","",'Employees'!D14)</f>
        <v/>
      </c>
      <c r="D2258">
        <f>IF(A2258="","",'Skill Matrix'!C147)</f>
        <v/>
      </c>
      <c r="E2258">
        <f>IF(A2258="","",'Skill Matrix'!D147)</f>
        <v/>
      </c>
      <c r="F2258">
        <f>IF(AND('Skill Matrix'!A147&lt;&gt;"",'Skill Matrix'!E5&lt;&gt;""),'Skill Matrix'!E5,"")</f>
        <v/>
      </c>
      <c r="G2258">
        <f>IF(OR(A2258="",'Skill Matrix'!E147=""),"",'Skill Matrix'!E147)</f>
        <v/>
      </c>
      <c r="H2258">
        <f>IF(A2258="","",'Employees'!F14)</f>
        <v/>
      </c>
    </row>
    <row r="2259">
      <c r="A2259">
        <f>IF(AND('Skill Matrix'!A147&lt;&gt;"",'Skill Matrix'!F5&lt;&gt;""),'Skill Matrix'!A147,"")</f>
        <v/>
      </c>
      <c r="B2259">
        <f>IF(A2259="","",'Employees'!C14)</f>
        <v/>
      </c>
      <c r="C2259">
        <f>IF(A2259="","",'Employees'!D14)</f>
        <v/>
      </c>
      <c r="D2259">
        <f>IF(A2259="","",'Skill Matrix'!C147)</f>
        <v/>
      </c>
      <c r="E2259">
        <f>IF(A2259="","",'Skill Matrix'!D147)</f>
        <v/>
      </c>
      <c r="F2259">
        <f>IF(AND('Skill Matrix'!A147&lt;&gt;"",'Skill Matrix'!F5&lt;&gt;""),'Skill Matrix'!F5,"")</f>
        <v/>
      </c>
      <c r="G2259">
        <f>IF(OR(A2259="",'Skill Matrix'!F147=""),"",'Skill Matrix'!F147)</f>
        <v/>
      </c>
      <c r="H2259">
        <f>IF(A2259="","",'Employees'!F14)</f>
        <v/>
      </c>
    </row>
    <row r="2260">
      <c r="A2260">
        <f>IF(AND('Skill Matrix'!A147&lt;&gt;"",'Skill Matrix'!G5&lt;&gt;""),'Skill Matrix'!A147,"")</f>
        <v/>
      </c>
      <c r="B2260">
        <f>IF(A2260="","",'Employees'!C14)</f>
        <v/>
      </c>
      <c r="C2260">
        <f>IF(A2260="","",'Employees'!D14)</f>
        <v/>
      </c>
      <c r="D2260">
        <f>IF(A2260="","",'Skill Matrix'!C147)</f>
        <v/>
      </c>
      <c r="E2260">
        <f>IF(A2260="","",'Skill Matrix'!D147)</f>
        <v/>
      </c>
      <c r="F2260">
        <f>IF(AND('Skill Matrix'!A147&lt;&gt;"",'Skill Matrix'!G5&lt;&gt;""),'Skill Matrix'!G5,"")</f>
        <v/>
      </c>
      <c r="G2260">
        <f>IF(OR(A2260="",'Skill Matrix'!G147=""),"",'Skill Matrix'!G147)</f>
        <v/>
      </c>
      <c r="H2260">
        <f>IF(A2260="","",'Employees'!F14)</f>
        <v/>
      </c>
    </row>
    <row r="2261">
      <c r="A2261">
        <f>IF(AND('Skill Matrix'!A147&lt;&gt;"",'Skill Matrix'!H5&lt;&gt;""),'Skill Matrix'!A147,"")</f>
        <v/>
      </c>
      <c r="B2261">
        <f>IF(A2261="","",'Employees'!C14)</f>
        <v/>
      </c>
      <c r="C2261">
        <f>IF(A2261="","",'Employees'!D14)</f>
        <v/>
      </c>
      <c r="D2261">
        <f>IF(A2261="","",'Skill Matrix'!C147)</f>
        <v/>
      </c>
      <c r="E2261">
        <f>IF(A2261="","",'Skill Matrix'!D147)</f>
        <v/>
      </c>
      <c r="F2261">
        <f>IF(AND('Skill Matrix'!A147&lt;&gt;"",'Skill Matrix'!H5&lt;&gt;""),'Skill Matrix'!H5,"")</f>
        <v/>
      </c>
      <c r="G2261">
        <f>IF(OR(A2261="",'Skill Matrix'!H147=""),"",'Skill Matrix'!H147)</f>
        <v/>
      </c>
      <c r="H2261">
        <f>IF(A2261="","",'Employees'!F14)</f>
        <v/>
      </c>
    </row>
    <row r="2262">
      <c r="A2262">
        <f>IF(AND('Skill Matrix'!A147&lt;&gt;"",'Skill Matrix'!I5&lt;&gt;""),'Skill Matrix'!A147,"")</f>
        <v/>
      </c>
      <c r="B2262">
        <f>IF(A2262="","",'Employees'!C14)</f>
        <v/>
      </c>
      <c r="C2262">
        <f>IF(A2262="","",'Employees'!D14)</f>
        <v/>
      </c>
      <c r="D2262">
        <f>IF(A2262="","",'Skill Matrix'!C147)</f>
        <v/>
      </c>
      <c r="E2262">
        <f>IF(A2262="","",'Skill Matrix'!D147)</f>
        <v/>
      </c>
      <c r="F2262">
        <f>IF(AND('Skill Matrix'!A147&lt;&gt;"",'Skill Matrix'!I5&lt;&gt;""),'Skill Matrix'!I5,"")</f>
        <v/>
      </c>
      <c r="G2262">
        <f>IF(OR(A2262="",'Skill Matrix'!I147=""),"",'Skill Matrix'!I147)</f>
        <v/>
      </c>
      <c r="H2262">
        <f>IF(A2262="","",'Employees'!F14)</f>
        <v/>
      </c>
    </row>
    <row r="2263">
      <c r="A2263">
        <f>IF(AND('Skill Matrix'!A147&lt;&gt;"",'Skill Matrix'!J5&lt;&gt;""),'Skill Matrix'!A147,"")</f>
        <v/>
      </c>
      <c r="B2263">
        <f>IF(A2263="","",'Employees'!C14)</f>
        <v/>
      </c>
      <c r="C2263">
        <f>IF(A2263="","",'Employees'!D14)</f>
        <v/>
      </c>
      <c r="D2263">
        <f>IF(A2263="","",'Skill Matrix'!C147)</f>
        <v/>
      </c>
      <c r="E2263">
        <f>IF(A2263="","",'Skill Matrix'!D147)</f>
        <v/>
      </c>
      <c r="F2263">
        <f>IF(AND('Skill Matrix'!A147&lt;&gt;"",'Skill Matrix'!J5&lt;&gt;""),'Skill Matrix'!J5,"")</f>
        <v/>
      </c>
      <c r="G2263">
        <f>IF(OR(A2263="",'Skill Matrix'!J147=""),"",'Skill Matrix'!J147)</f>
        <v/>
      </c>
      <c r="H2263">
        <f>IF(A2263="","",'Employees'!F14)</f>
        <v/>
      </c>
    </row>
    <row r="2264">
      <c r="A2264">
        <f>IF(AND('Skill Matrix'!A147&lt;&gt;"",'Skill Matrix'!K5&lt;&gt;""),'Skill Matrix'!A147,"")</f>
        <v/>
      </c>
      <c r="B2264">
        <f>IF(A2264="","",'Employees'!C14)</f>
        <v/>
      </c>
      <c r="C2264">
        <f>IF(A2264="","",'Employees'!D14)</f>
        <v/>
      </c>
      <c r="D2264">
        <f>IF(A2264="","",'Skill Matrix'!C147)</f>
        <v/>
      </c>
      <c r="E2264">
        <f>IF(A2264="","",'Skill Matrix'!D147)</f>
        <v/>
      </c>
      <c r="F2264">
        <f>IF(AND('Skill Matrix'!A147&lt;&gt;"",'Skill Matrix'!K5&lt;&gt;""),'Skill Matrix'!K5,"")</f>
        <v/>
      </c>
      <c r="G2264">
        <f>IF(OR(A2264="",'Skill Matrix'!K147=""),"",'Skill Matrix'!K147)</f>
        <v/>
      </c>
      <c r="H2264">
        <f>IF(A2264="","",'Employees'!F14)</f>
        <v/>
      </c>
    </row>
    <row r="2265">
      <c r="A2265">
        <f>IF(AND('Skill Matrix'!A147&lt;&gt;"",'Skill Matrix'!L5&lt;&gt;""),'Skill Matrix'!A147,"")</f>
        <v/>
      </c>
      <c r="B2265">
        <f>IF(A2265="","",'Employees'!C14)</f>
        <v/>
      </c>
      <c r="C2265">
        <f>IF(A2265="","",'Employees'!D14)</f>
        <v/>
      </c>
      <c r="D2265">
        <f>IF(A2265="","",'Skill Matrix'!C147)</f>
        <v/>
      </c>
      <c r="E2265">
        <f>IF(A2265="","",'Skill Matrix'!D147)</f>
        <v/>
      </c>
      <c r="F2265">
        <f>IF(AND('Skill Matrix'!A147&lt;&gt;"",'Skill Matrix'!L5&lt;&gt;""),'Skill Matrix'!L5,"")</f>
        <v/>
      </c>
      <c r="G2265">
        <f>IF(OR(A2265="",'Skill Matrix'!L147=""),"",'Skill Matrix'!L147)</f>
        <v/>
      </c>
      <c r="H2265">
        <f>IF(A2265="","",'Employees'!F14)</f>
        <v/>
      </c>
    </row>
    <row r="2266">
      <c r="A2266">
        <f>IF(AND('Skill Matrix'!A147&lt;&gt;"",'Skill Matrix'!M5&lt;&gt;""),'Skill Matrix'!A147,"")</f>
        <v/>
      </c>
      <c r="B2266">
        <f>IF(A2266="","",'Employees'!C14)</f>
        <v/>
      </c>
      <c r="C2266">
        <f>IF(A2266="","",'Employees'!D14)</f>
        <v/>
      </c>
      <c r="D2266">
        <f>IF(A2266="","",'Skill Matrix'!C147)</f>
        <v/>
      </c>
      <c r="E2266">
        <f>IF(A2266="","",'Skill Matrix'!D147)</f>
        <v/>
      </c>
      <c r="F2266">
        <f>IF(AND('Skill Matrix'!A147&lt;&gt;"",'Skill Matrix'!M5&lt;&gt;""),'Skill Matrix'!M5,"")</f>
        <v/>
      </c>
      <c r="G2266">
        <f>IF(OR(A2266="",'Skill Matrix'!M147=""),"",'Skill Matrix'!M147)</f>
        <v/>
      </c>
      <c r="H2266">
        <f>IF(A2266="","",'Employees'!F14)</f>
        <v/>
      </c>
    </row>
    <row r="2267">
      <c r="A2267">
        <f>IF(AND('Skill Matrix'!A147&lt;&gt;"",'Skill Matrix'!N5&lt;&gt;""),'Skill Matrix'!A147,"")</f>
        <v/>
      </c>
      <c r="B2267">
        <f>IF(A2267="","",'Employees'!C14)</f>
        <v/>
      </c>
      <c r="C2267">
        <f>IF(A2267="","",'Employees'!D14)</f>
        <v/>
      </c>
      <c r="D2267">
        <f>IF(A2267="","",'Skill Matrix'!C147)</f>
        <v/>
      </c>
      <c r="E2267">
        <f>IF(A2267="","",'Skill Matrix'!D147)</f>
        <v/>
      </c>
      <c r="F2267">
        <f>IF(AND('Skill Matrix'!A147&lt;&gt;"",'Skill Matrix'!N5&lt;&gt;""),'Skill Matrix'!N5,"")</f>
        <v/>
      </c>
      <c r="G2267">
        <f>IF(OR(A2267="",'Skill Matrix'!N147=""),"",'Skill Matrix'!N147)</f>
        <v/>
      </c>
      <c r="H2267">
        <f>IF(A2267="","",'Employees'!F14)</f>
        <v/>
      </c>
    </row>
    <row r="2268">
      <c r="A2268">
        <f>IF(AND('Skill Matrix'!A147&lt;&gt;"",'Skill Matrix'!O5&lt;&gt;""),'Skill Matrix'!A147,"")</f>
        <v/>
      </c>
      <c r="B2268">
        <f>IF(A2268="","",'Employees'!C14)</f>
        <v/>
      </c>
      <c r="C2268">
        <f>IF(A2268="","",'Employees'!D14)</f>
        <v/>
      </c>
      <c r="D2268">
        <f>IF(A2268="","",'Skill Matrix'!C147)</f>
        <v/>
      </c>
      <c r="E2268">
        <f>IF(A2268="","",'Skill Matrix'!D147)</f>
        <v/>
      </c>
      <c r="F2268">
        <f>IF(AND('Skill Matrix'!A147&lt;&gt;"",'Skill Matrix'!O5&lt;&gt;""),'Skill Matrix'!O5,"")</f>
        <v/>
      </c>
      <c r="G2268">
        <f>IF(OR(A2268="",'Skill Matrix'!O147=""),"",'Skill Matrix'!O147)</f>
        <v/>
      </c>
      <c r="H2268">
        <f>IF(A2268="","",'Employees'!F14)</f>
        <v/>
      </c>
    </row>
    <row r="2269">
      <c r="A2269">
        <f>IF(AND('Skill Matrix'!A147&lt;&gt;"",'Skill Matrix'!P5&lt;&gt;""),'Skill Matrix'!A147,"")</f>
        <v/>
      </c>
      <c r="B2269">
        <f>IF(A2269="","",'Employees'!C14)</f>
        <v/>
      </c>
      <c r="C2269">
        <f>IF(A2269="","",'Employees'!D14)</f>
        <v/>
      </c>
      <c r="D2269">
        <f>IF(A2269="","",'Skill Matrix'!C147)</f>
        <v/>
      </c>
      <c r="E2269">
        <f>IF(A2269="","",'Skill Matrix'!D147)</f>
        <v/>
      </c>
      <c r="F2269">
        <f>IF(AND('Skill Matrix'!A147&lt;&gt;"",'Skill Matrix'!P5&lt;&gt;""),'Skill Matrix'!P5,"")</f>
        <v/>
      </c>
      <c r="G2269">
        <f>IF(OR(A2269="",'Skill Matrix'!P147=""),"",'Skill Matrix'!P147)</f>
        <v/>
      </c>
      <c r="H2269">
        <f>IF(A2269="","",'Employees'!F14)</f>
        <v/>
      </c>
    </row>
    <row r="2270">
      <c r="A2270">
        <f>IF(AND('Skill Matrix'!A147&lt;&gt;"",'Skill Matrix'!Q5&lt;&gt;""),'Skill Matrix'!A147,"")</f>
        <v/>
      </c>
      <c r="B2270">
        <f>IF(A2270="","",'Employees'!C14)</f>
        <v/>
      </c>
      <c r="C2270">
        <f>IF(A2270="","",'Employees'!D14)</f>
        <v/>
      </c>
      <c r="D2270">
        <f>IF(A2270="","",'Skill Matrix'!C147)</f>
        <v/>
      </c>
      <c r="E2270">
        <f>IF(A2270="","",'Skill Matrix'!D147)</f>
        <v/>
      </c>
      <c r="F2270">
        <f>IF(AND('Skill Matrix'!A147&lt;&gt;"",'Skill Matrix'!Q5&lt;&gt;""),'Skill Matrix'!Q5,"")</f>
        <v/>
      </c>
      <c r="G2270">
        <f>IF(OR(A2270="",'Skill Matrix'!Q147=""),"",'Skill Matrix'!Q147)</f>
        <v/>
      </c>
      <c r="H2270">
        <f>IF(A2270="","",'Employees'!F14)</f>
        <v/>
      </c>
    </row>
    <row r="2271">
      <c r="A2271">
        <f>IF(AND('Skill Matrix'!A147&lt;&gt;"",'Skill Matrix'!R5&lt;&gt;""),'Skill Matrix'!A147,"")</f>
        <v/>
      </c>
      <c r="B2271">
        <f>IF(A2271="","",'Employees'!C14)</f>
        <v/>
      </c>
      <c r="C2271">
        <f>IF(A2271="","",'Employees'!D14)</f>
        <v/>
      </c>
      <c r="D2271">
        <f>IF(A2271="","",'Skill Matrix'!C147)</f>
        <v/>
      </c>
      <c r="E2271">
        <f>IF(A2271="","",'Skill Matrix'!D147)</f>
        <v/>
      </c>
      <c r="F2271">
        <f>IF(AND('Skill Matrix'!A147&lt;&gt;"",'Skill Matrix'!R5&lt;&gt;""),'Skill Matrix'!R5,"")</f>
        <v/>
      </c>
      <c r="G2271">
        <f>IF(OR(A2271="",'Skill Matrix'!R147=""),"",'Skill Matrix'!R147)</f>
        <v/>
      </c>
      <c r="H2271">
        <f>IF(A2271="","",'Employees'!F14)</f>
        <v/>
      </c>
    </row>
    <row r="2272">
      <c r="A2272">
        <f>IF(AND('Skill Matrix'!A147&lt;&gt;"",'Skill Matrix'!S5&lt;&gt;""),'Skill Matrix'!A147,"")</f>
        <v/>
      </c>
      <c r="B2272">
        <f>IF(A2272="","",'Employees'!C14)</f>
        <v/>
      </c>
      <c r="C2272">
        <f>IF(A2272="","",'Employees'!D14)</f>
        <v/>
      </c>
      <c r="D2272">
        <f>IF(A2272="","",'Skill Matrix'!C147)</f>
        <v/>
      </c>
      <c r="E2272">
        <f>IF(A2272="","",'Skill Matrix'!D147)</f>
        <v/>
      </c>
      <c r="F2272">
        <f>IF(AND('Skill Matrix'!A147&lt;&gt;"",'Skill Matrix'!S5&lt;&gt;""),'Skill Matrix'!S5,"")</f>
        <v/>
      </c>
      <c r="G2272">
        <f>IF(OR(A2272="",'Skill Matrix'!S147=""),"",'Skill Matrix'!S147)</f>
        <v/>
      </c>
      <c r="H2272">
        <f>IF(A2272="","",'Employees'!F14)</f>
        <v/>
      </c>
    </row>
    <row r="2273">
      <c r="A2273">
        <f>IF(AND('Skill Matrix'!A147&lt;&gt;"",'Skill Matrix'!T5&lt;&gt;""),'Skill Matrix'!A147,"")</f>
        <v/>
      </c>
      <c r="B2273">
        <f>IF(A2273="","",'Employees'!C14)</f>
        <v/>
      </c>
      <c r="C2273">
        <f>IF(A2273="","",'Employees'!D14)</f>
        <v/>
      </c>
      <c r="D2273">
        <f>IF(A2273="","",'Skill Matrix'!C147)</f>
        <v/>
      </c>
      <c r="E2273">
        <f>IF(A2273="","",'Skill Matrix'!D147)</f>
        <v/>
      </c>
      <c r="F2273">
        <f>IF(AND('Skill Matrix'!A147&lt;&gt;"",'Skill Matrix'!T5&lt;&gt;""),'Skill Matrix'!T5,"")</f>
        <v/>
      </c>
      <c r="G2273">
        <f>IF(OR(A2273="",'Skill Matrix'!T147=""),"",'Skill Matrix'!T147)</f>
        <v/>
      </c>
      <c r="H2273">
        <f>IF(A2273="","",'Employees'!F14)</f>
        <v/>
      </c>
    </row>
    <row r="2274">
      <c r="A2274">
        <f>IF(AND('Skill Matrix'!A148&lt;&gt;"",'Skill Matrix'!E5&lt;&gt;""),'Skill Matrix'!A148,"")</f>
        <v/>
      </c>
      <c r="B2274">
        <f>IF(A2274="","",'Employees'!C14)</f>
        <v/>
      </c>
      <c r="C2274">
        <f>IF(A2274="","",'Employees'!D14)</f>
        <v/>
      </c>
      <c r="D2274">
        <f>IF(A2274="","",'Skill Matrix'!C148)</f>
        <v/>
      </c>
      <c r="E2274">
        <f>IF(A2274="","",'Skill Matrix'!D148)</f>
        <v/>
      </c>
      <c r="F2274">
        <f>IF(AND('Skill Matrix'!A148&lt;&gt;"",'Skill Matrix'!E5&lt;&gt;""),'Skill Matrix'!E5,"")</f>
        <v/>
      </c>
      <c r="G2274">
        <f>IF(OR(A2274="",'Skill Matrix'!E148=""),"",'Skill Matrix'!E148)</f>
        <v/>
      </c>
      <c r="H2274">
        <f>IF(A2274="","",'Employees'!F14)</f>
        <v/>
      </c>
    </row>
    <row r="2275">
      <c r="A2275">
        <f>IF(AND('Skill Matrix'!A148&lt;&gt;"",'Skill Matrix'!F5&lt;&gt;""),'Skill Matrix'!A148,"")</f>
        <v/>
      </c>
      <c r="B2275">
        <f>IF(A2275="","",'Employees'!C14)</f>
        <v/>
      </c>
      <c r="C2275">
        <f>IF(A2275="","",'Employees'!D14)</f>
        <v/>
      </c>
      <c r="D2275">
        <f>IF(A2275="","",'Skill Matrix'!C148)</f>
        <v/>
      </c>
      <c r="E2275">
        <f>IF(A2275="","",'Skill Matrix'!D148)</f>
        <v/>
      </c>
      <c r="F2275">
        <f>IF(AND('Skill Matrix'!A148&lt;&gt;"",'Skill Matrix'!F5&lt;&gt;""),'Skill Matrix'!F5,"")</f>
        <v/>
      </c>
      <c r="G2275">
        <f>IF(OR(A2275="",'Skill Matrix'!F148=""),"",'Skill Matrix'!F148)</f>
        <v/>
      </c>
      <c r="H2275">
        <f>IF(A2275="","",'Employees'!F14)</f>
        <v/>
      </c>
    </row>
    <row r="2276">
      <c r="A2276">
        <f>IF(AND('Skill Matrix'!A148&lt;&gt;"",'Skill Matrix'!G5&lt;&gt;""),'Skill Matrix'!A148,"")</f>
        <v/>
      </c>
      <c r="B2276">
        <f>IF(A2276="","",'Employees'!C14)</f>
        <v/>
      </c>
      <c r="C2276">
        <f>IF(A2276="","",'Employees'!D14)</f>
        <v/>
      </c>
      <c r="D2276">
        <f>IF(A2276="","",'Skill Matrix'!C148)</f>
        <v/>
      </c>
      <c r="E2276">
        <f>IF(A2276="","",'Skill Matrix'!D148)</f>
        <v/>
      </c>
      <c r="F2276">
        <f>IF(AND('Skill Matrix'!A148&lt;&gt;"",'Skill Matrix'!G5&lt;&gt;""),'Skill Matrix'!G5,"")</f>
        <v/>
      </c>
      <c r="G2276">
        <f>IF(OR(A2276="",'Skill Matrix'!G148=""),"",'Skill Matrix'!G148)</f>
        <v/>
      </c>
      <c r="H2276">
        <f>IF(A2276="","",'Employees'!F14)</f>
        <v/>
      </c>
    </row>
    <row r="2277">
      <c r="A2277">
        <f>IF(AND('Skill Matrix'!A148&lt;&gt;"",'Skill Matrix'!H5&lt;&gt;""),'Skill Matrix'!A148,"")</f>
        <v/>
      </c>
      <c r="B2277">
        <f>IF(A2277="","",'Employees'!C14)</f>
        <v/>
      </c>
      <c r="C2277">
        <f>IF(A2277="","",'Employees'!D14)</f>
        <v/>
      </c>
      <c r="D2277">
        <f>IF(A2277="","",'Skill Matrix'!C148)</f>
        <v/>
      </c>
      <c r="E2277">
        <f>IF(A2277="","",'Skill Matrix'!D148)</f>
        <v/>
      </c>
      <c r="F2277">
        <f>IF(AND('Skill Matrix'!A148&lt;&gt;"",'Skill Matrix'!H5&lt;&gt;""),'Skill Matrix'!H5,"")</f>
        <v/>
      </c>
      <c r="G2277">
        <f>IF(OR(A2277="",'Skill Matrix'!H148=""),"",'Skill Matrix'!H148)</f>
        <v/>
      </c>
      <c r="H2277">
        <f>IF(A2277="","",'Employees'!F14)</f>
        <v/>
      </c>
    </row>
    <row r="2278">
      <c r="A2278">
        <f>IF(AND('Skill Matrix'!A148&lt;&gt;"",'Skill Matrix'!I5&lt;&gt;""),'Skill Matrix'!A148,"")</f>
        <v/>
      </c>
      <c r="B2278">
        <f>IF(A2278="","",'Employees'!C14)</f>
        <v/>
      </c>
      <c r="C2278">
        <f>IF(A2278="","",'Employees'!D14)</f>
        <v/>
      </c>
      <c r="D2278">
        <f>IF(A2278="","",'Skill Matrix'!C148)</f>
        <v/>
      </c>
      <c r="E2278">
        <f>IF(A2278="","",'Skill Matrix'!D148)</f>
        <v/>
      </c>
      <c r="F2278">
        <f>IF(AND('Skill Matrix'!A148&lt;&gt;"",'Skill Matrix'!I5&lt;&gt;""),'Skill Matrix'!I5,"")</f>
        <v/>
      </c>
      <c r="G2278">
        <f>IF(OR(A2278="",'Skill Matrix'!I148=""),"",'Skill Matrix'!I148)</f>
        <v/>
      </c>
      <c r="H2278">
        <f>IF(A2278="","",'Employees'!F14)</f>
        <v/>
      </c>
    </row>
    <row r="2279">
      <c r="A2279">
        <f>IF(AND('Skill Matrix'!A148&lt;&gt;"",'Skill Matrix'!J5&lt;&gt;""),'Skill Matrix'!A148,"")</f>
        <v/>
      </c>
      <c r="B2279">
        <f>IF(A2279="","",'Employees'!C14)</f>
        <v/>
      </c>
      <c r="C2279">
        <f>IF(A2279="","",'Employees'!D14)</f>
        <v/>
      </c>
      <c r="D2279">
        <f>IF(A2279="","",'Skill Matrix'!C148)</f>
        <v/>
      </c>
      <c r="E2279">
        <f>IF(A2279="","",'Skill Matrix'!D148)</f>
        <v/>
      </c>
      <c r="F2279">
        <f>IF(AND('Skill Matrix'!A148&lt;&gt;"",'Skill Matrix'!J5&lt;&gt;""),'Skill Matrix'!J5,"")</f>
        <v/>
      </c>
      <c r="G2279">
        <f>IF(OR(A2279="",'Skill Matrix'!J148=""),"",'Skill Matrix'!J148)</f>
        <v/>
      </c>
      <c r="H2279">
        <f>IF(A2279="","",'Employees'!F14)</f>
        <v/>
      </c>
    </row>
    <row r="2280">
      <c r="A2280">
        <f>IF(AND('Skill Matrix'!A148&lt;&gt;"",'Skill Matrix'!K5&lt;&gt;""),'Skill Matrix'!A148,"")</f>
        <v/>
      </c>
      <c r="B2280">
        <f>IF(A2280="","",'Employees'!C14)</f>
        <v/>
      </c>
      <c r="C2280">
        <f>IF(A2280="","",'Employees'!D14)</f>
        <v/>
      </c>
      <c r="D2280">
        <f>IF(A2280="","",'Skill Matrix'!C148)</f>
        <v/>
      </c>
      <c r="E2280">
        <f>IF(A2280="","",'Skill Matrix'!D148)</f>
        <v/>
      </c>
      <c r="F2280">
        <f>IF(AND('Skill Matrix'!A148&lt;&gt;"",'Skill Matrix'!K5&lt;&gt;""),'Skill Matrix'!K5,"")</f>
        <v/>
      </c>
      <c r="G2280">
        <f>IF(OR(A2280="",'Skill Matrix'!K148=""),"",'Skill Matrix'!K148)</f>
        <v/>
      </c>
      <c r="H2280">
        <f>IF(A2280="","",'Employees'!F14)</f>
        <v/>
      </c>
    </row>
    <row r="2281">
      <c r="A2281">
        <f>IF(AND('Skill Matrix'!A148&lt;&gt;"",'Skill Matrix'!L5&lt;&gt;""),'Skill Matrix'!A148,"")</f>
        <v/>
      </c>
      <c r="B2281">
        <f>IF(A2281="","",'Employees'!C14)</f>
        <v/>
      </c>
      <c r="C2281">
        <f>IF(A2281="","",'Employees'!D14)</f>
        <v/>
      </c>
      <c r="D2281">
        <f>IF(A2281="","",'Skill Matrix'!C148)</f>
        <v/>
      </c>
      <c r="E2281">
        <f>IF(A2281="","",'Skill Matrix'!D148)</f>
        <v/>
      </c>
      <c r="F2281">
        <f>IF(AND('Skill Matrix'!A148&lt;&gt;"",'Skill Matrix'!L5&lt;&gt;""),'Skill Matrix'!L5,"")</f>
        <v/>
      </c>
      <c r="G2281">
        <f>IF(OR(A2281="",'Skill Matrix'!L148=""),"",'Skill Matrix'!L148)</f>
        <v/>
      </c>
      <c r="H2281">
        <f>IF(A2281="","",'Employees'!F14)</f>
        <v/>
      </c>
    </row>
    <row r="2282">
      <c r="A2282">
        <f>IF(AND('Skill Matrix'!A148&lt;&gt;"",'Skill Matrix'!M5&lt;&gt;""),'Skill Matrix'!A148,"")</f>
        <v/>
      </c>
      <c r="B2282">
        <f>IF(A2282="","",'Employees'!C14)</f>
        <v/>
      </c>
      <c r="C2282">
        <f>IF(A2282="","",'Employees'!D14)</f>
        <v/>
      </c>
      <c r="D2282">
        <f>IF(A2282="","",'Skill Matrix'!C148)</f>
        <v/>
      </c>
      <c r="E2282">
        <f>IF(A2282="","",'Skill Matrix'!D148)</f>
        <v/>
      </c>
      <c r="F2282">
        <f>IF(AND('Skill Matrix'!A148&lt;&gt;"",'Skill Matrix'!M5&lt;&gt;""),'Skill Matrix'!M5,"")</f>
        <v/>
      </c>
      <c r="G2282">
        <f>IF(OR(A2282="",'Skill Matrix'!M148=""),"",'Skill Matrix'!M148)</f>
        <v/>
      </c>
      <c r="H2282">
        <f>IF(A2282="","",'Employees'!F14)</f>
        <v/>
      </c>
    </row>
    <row r="2283">
      <c r="A2283">
        <f>IF(AND('Skill Matrix'!A148&lt;&gt;"",'Skill Matrix'!N5&lt;&gt;""),'Skill Matrix'!A148,"")</f>
        <v/>
      </c>
      <c r="B2283">
        <f>IF(A2283="","",'Employees'!C14)</f>
        <v/>
      </c>
      <c r="C2283">
        <f>IF(A2283="","",'Employees'!D14)</f>
        <v/>
      </c>
      <c r="D2283">
        <f>IF(A2283="","",'Skill Matrix'!C148)</f>
        <v/>
      </c>
      <c r="E2283">
        <f>IF(A2283="","",'Skill Matrix'!D148)</f>
        <v/>
      </c>
      <c r="F2283">
        <f>IF(AND('Skill Matrix'!A148&lt;&gt;"",'Skill Matrix'!N5&lt;&gt;""),'Skill Matrix'!N5,"")</f>
        <v/>
      </c>
      <c r="G2283">
        <f>IF(OR(A2283="",'Skill Matrix'!N148=""),"",'Skill Matrix'!N148)</f>
        <v/>
      </c>
      <c r="H2283">
        <f>IF(A2283="","",'Employees'!F14)</f>
        <v/>
      </c>
    </row>
    <row r="2284">
      <c r="A2284">
        <f>IF(AND('Skill Matrix'!A148&lt;&gt;"",'Skill Matrix'!O5&lt;&gt;""),'Skill Matrix'!A148,"")</f>
        <v/>
      </c>
      <c r="B2284">
        <f>IF(A2284="","",'Employees'!C14)</f>
        <v/>
      </c>
      <c r="C2284">
        <f>IF(A2284="","",'Employees'!D14)</f>
        <v/>
      </c>
      <c r="D2284">
        <f>IF(A2284="","",'Skill Matrix'!C148)</f>
        <v/>
      </c>
      <c r="E2284">
        <f>IF(A2284="","",'Skill Matrix'!D148)</f>
        <v/>
      </c>
      <c r="F2284">
        <f>IF(AND('Skill Matrix'!A148&lt;&gt;"",'Skill Matrix'!O5&lt;&gt;""),'Skill Matrix'!O5,"")</f>
        <v/>
      </c>
      <c r="G2284">
        <f>IF(OR(A2284="",'Skill Matrix'!O148=""),"",'Skill Matrix'!O148)</f>
        <v/>
      </c>
      <c r="H2284">
        <f>IF(A2284="","",'Employees'!F14)</f>
        <v/>
      </c>
    </row>
    <row r="2285">
      <c r="A2285">
        <f>IF(AND('Skill Matrix'!A148&lt;&gt;"",'Skill Matrix'!P5&lt;&gt;""),'Skill Matrix'!A148,"")</f>
        <v/>
      </c>
      <c r="B2285">
        <f>IF(A2285="","",'Employees'!C14)</f>
        <v/>
      </c>
      <c r="C2285">
        <f>IF(A2285="","",'Employees'!D14)</f>
        <v/>
      </c>
      <c r="D2285">
        <f>IF(A2285="","",'Skill Matrix'!C148)</f>
        <v/>
      </c>
      <c r="E2285">
        <f>IF(A2285="","",'Skill Matrix'!D148)</f>
        <v/>
      </c>
      <c r="F2285">
        <f>IF(AND('Skill Matrix'!A148&lt;&gt;"",'Skill Matrix'!P5&lt;&gt;""),'Skill Matrix'!P5,"")</f>
        <v/>
      </c>
      <c r="G2285">
        <f>IF(OR(A2285="",'Skill Matrix'!P148=""),"",'Skill Matrix'!P148)</f>
        <v/>
      </c>
      <c r="H2285">
        <f>IF(A2285="","",'Employees'!F14)</f>
        <v/>
      </c>
    </row>
    <row r="2286">
      <c r="A2286">
        <f>IF(AND('Skill Matrix'!A148&lt;&gt;"",'Skill Matrix'!Q5&lt;&gt;""),'Skill Matrix'!A148,"")</f>
        <v/>
      </c>
      <c r="B2286">
        <f>IF(A2286="","",'Employees'!C14)</f>
        <v/>
      </c>
      <c r="C2286">
        <f>IF(A2286="","",'Employees'!D14)</f>
        <v/>
      </c>
      <c r="D2286">
        <f>IF(A2286="","",'Skill Matrix'!C148)</f>
        <v/>
      </c>
      <c r="E2286">
        <f>IF(A2286="","",'Skill Matrix'!D148)</f>
        <v/>
      </c>
      <c r="F2286">
        <f>IF(AND('Skill Matrix'!A148&lt;&gt;"",'Skill Matrix'!Q5&lt;&gt;""),'Skill Matrix'!Q5,"")</f>
        <v/>
      </c>
      <c r="G2286">
        <f>IF(OR(A2286="",'Skill Matrix'!Q148=""),"",'Skill Matrix'!Q148)</f>
        <v/>
      </c>
      <c r="H2286">
        <f>IF(A2286="","",'Employees'!F14)</f>
        <v/>
      </c>
    </row>
    <row r="2287">
      <c r="A2287">
        <f>IF(AND('Skill Matrix'!A148&lt;&gt;"",'Skill Matrix'!R5&lt;&gt;""),'Skill Matrix'!A148,"")</f>
        <v/>
      </c>
      <c r="B2287">
        <f>IF(A2287="","",'Employees'!C14)</f>
        <v/>
      </c>
      <c r="C2287">
        <f>IF(A2287="","",'Employees'!D14)</f>
        <v/>
      </c>
      <c r="D2287">
        <f>IF(A2287="","",'Skill Matrix'!C148)</f>
        <v/>
      </c>
      <c r="E2287">
        <f>IF(A2287="","",'Skill Matrix'!D148)</f>
        <v/>
      </c>
      <c r="F2287">
        <f>IF(AND('Skill Matrix'!A148&lt;&gt;"",'Skill Matrix'!R5&lt;&gt;""),'Skill Matrix'!R5,"")</f>
        <v/>
      </c>
      <c r="G2287">
        <f>IF(OR(A2287="",'Skill Matrix'!R148=""),"",'Skill Matrix'!R148)</f>
        <v/>
      </c>
      <c r="H2287">
        <f>IF(A2287="","",'Employees'!F14)</f>
        <v/>
      </c>
    </row>
    <row r="2288">
      <c r="A2288">
        <f>IF(AND('Skill Matrix'!A148&lt;&gt;"",'Skill Matrix'!S5&lt;&gt;""),'Skill Matrix'!A148,"")</f>
        <v/>
      </c>
      <c r="B2288">
        <f>IF(A2288="","",'Employees'!C14)</f>
        <v/>
      </c>
      <c r="C2288">
        <f>IF(A2288="","",'Employees'!D14)</f>
        <v/>
      </c>
      <c r="D2288">
        <f>IF(A2288="","",'Skill Matrix'!C148)</f>
        <v/>
      </c>
      <c r="E2288">
        <f>IF(A2288="","",'Skill Matrix'!D148)</f>
        <v/>
      </c>
      <c r="F2288">
        <f>IF(AND('Skill Matrix'!A148&lt;&gt;"",'Skill Matrix'!S5&lt;&gt;""),'Skill Matrix'!S5,"")</f>
        <v/>
      </c>
      <c r="G2288">
        <f>IF(OR(A2288="",'Skill Matrix'!S148=""),"",'Skill Matrix'!S148)</f>
        <v/>
      </c>
      <c r="H2288">
        <f>IF(A2288="","",'Employees'!F14)</f>
        <v/>
      </c>
    </row>
    <row r="2289">
      <c r="A2289">
        <f>IF(AND('Skill Matrix'!A148&lt;&gt;"",'Skill Matrix'!T5&lt;&gt;""),'Skill Matrix'!A148,"")</f>
        <v/>
      </c>
      <c r="B2289">
        <f>IF(A2289="","",'Employees'!C14)</f>
        <v/>
      </c>
      <c r="C2289">
        <f>IF(A2289="","",'Employees'!D14)</f>
        <v/>
      </c>
      <c r="D2289">
        <f>IF(A2289="","",'Skill Matrix'!C148)</f>
        <v/>
      </c>
      <c r="E2289">
        <f>IF(A2289="","",'Skill Matrix'!D148)</f>
        <v/>
      </c>
      <c r="F2289">
        <f>IF(AND('Skill Matrix'!A148&lt;&gt;"",'Skill Matrix'!T5&lt;&gt;""),'Skill Matrix'!T5,"")</f>
        <v/>
      </c>
      <c r="G2289">
        <f>IF(OR(A2289="",'Skill Matrix'!T148=""),"",'Skill Matrix'!T148)</f>
        <v/>
      </c>
      <c r="H2289">
        <f>IF(A2289="","",'Employees'!F14)</f>
        <v/>
      </c>
    </row>
    <row r="2290">
      <c r="A2290">
        <f>IF(AND('Skill Matrix'!A149&lt;&gt;"",'Skill Matrix'!E5&lt;&gt;""),'Skill Matrix'!A149,"")</f>
        <v/>
      </c>
      <c r="B2290">
        <f>IF(A2290="","",'Employees'!C14)</f>
        <v/>
      </c>
      <c r="C2290">
        <f>IF(A2290="","",'Employees'!D14)</f>
        <v/>
      </c>
      <c r="D2290">
        <f>IF(A2290="","",'Skill Matrix'!C149)</f>
        <v/>
      </c>
      <c r="E2290">
        <f>IF(A2290="","",'Skill Matrix'!D149)</f>
        <v/>
      </c>
      <c r="F2290">
        <f>IF(AND('Skill Matrix'!A149&lt;&gt;"",'Skill Matrix'!E5&lt;&gt;""),'Skill Matrix'!E5,"")</f>
        <v/>
      </c>
      <c r="G2290">
        <f>IF(OR(A2290="",'Skill Matrix'!E149=""),"",'Skill Matrix'!E149)</f>
        <v/>
      </c>
      <c r="H2290">
        <f>IF(A2290="","",'Employees'!F14)</f>
        <v/>
      </c>
    </row>
    <row r="2291">
      <c r="A2291">
        <f>IF(AND('Skill Matrix'!A149&lt;&gt;"",'Skill Matrix'!F5&lt;&gt;""),'Skill Matrix'!A149,"")</f>
        <v/>
      </c>
      <c r="B2291">
        <f>IF(A2291="","",'Employees'!C14)</f>
        <v/>
      </c>
      <c r="C2291">
        <f>IF(A2291="","",'Employees'!D14)</f>
        <v/>
      </c>
      <c r="D2291">
        <f>IF(A2291="","",'Skill Matrix'!C149)</f>
        <v/>
      </c>
      <c r="E2291">
        <f>IF(A2291="","",'Skill Matrix'!D149)</f>
        <v/>
      </c>
      <c r="F2291">
        <f>IF(AND('Skill Matrix'!A149&lt;&gt;"",'Skill Matrix'!F5&lt;&gt;""),'Skill Matrix'!F5,"")</f>
        <v/>
      </c>
      <c r="G2291">
        <f>IF(OR(A2291="",'Skill Matrix'!F149=""),"",'Skill Matrix'!F149)</f>
        <v/>
      </c>
      <c r="H2291">
        <f>IF(A2291="","",'Employees'!F14)</f>
        <v/>
      </c>
    </row>
    <row r="2292">
      <c r="A2292">
        <f>IF(AND('Skill Matrix'!A149&lt;&gt;"",'Skill Matrix'!G5&lt;&gt;""),'Skill Matrix'!A149,"")</f>
        <v/>
      </c>
      <c r="B2292">
        <f>IF(A2292="","",'Employees'!C14)</f>
        <v/>
      </c>
      <c r="C2292">
        <f>IF(A2292="","",'Employees'!D14)</f>
        <v/>
      </c>
      <c r="D2292">
        <f>IF(A2292="","",'Skill Matrix'!C149)</f>
        <v/>
      </c>
      <c r="E2292">
        <f>IF(A2292="","",'Skill Matrix'!D149)</f>
        <v/>
      </c>
      <c r="F2292">
        <f>IF(AND('Skill Matrix'!A149&lt;&gt;"",'Skill Matrix'!G5&lt;&gt;""),'Skill Matrix'!G5,"")</f>
        <v/>
      </c>
      <c r="G2292">
        <f>IF(OR(A2292="",'Skill Matrix'!G149=""),"",'Skill Matrix'!G149)</f>
        <v/>
      </c>
      <c r="H2292">
        <f>IF(A2292="","",'Employees'!F14)</f>
        <v/>
      </c>
    </row>
    <row r="2293">
      <c r="A2293">
        <f>IF(AND('Skill Matrix'!A149&lt;&gt;"",'Skill Matrix'!H5&lt;&gt;""),'Skill Matrix'!A149,"")</f>
        <v/>
      </c>
      <c r="B2293">
        <f>IF(A2293="","",'Employees'!C14)</f>
        <v/>
      </c>
      <c r="C2293">
        <f>IF(A2293="","",'Employees'!D14)</f>
        <v/>
      </c>
      <c r="D2293">
        <f>IF(A2293="","",'Skill Matrix'!C149)</f>
        <v/>
      </c>
      <c r="E2293">
        <f>IF(A2293="","",'Skill Matrix'!D149)</f>
        <v/>
      </c>
      <c r="F2293">
        <f>IF(AND('Skill Matrix'!A149&lt;&gt;"",'Skill Matrix'!H5&lt;&gt;""),'Skill Matrix'!H5,"")</f>
        <v/>
      </c>
      <c r="G2293">
        <f>IF(OR(A2293="",'Skill Matrix'!H149=""),"",'Skill Matrix'!H149)</f>
        <v/>
      </c>
      <c r="H2293">
        <f>IF(A2293="","",'Employees'!F14)</f>
        <v/>
      </c>
    </row>
    <row r="2294">
      <c r="A2294">
        <f>IF(AND('Skill Matrix'!A149&lt;&gt;"",'Skill Matrix'!I5&lt;&gt;""),'Skill Matrix'!A149,"")</f>
        <v/>
      </c>
      <c r="B2294">
        <f>IF(A2294="","",'Employees'!C14)</f>
        <v/>
      </c>
      <c r="C2294">
        <f>IF(A2294="","",'Employees'!D14)</f>
        <v/>
      </c>
      <c r="D2294">
        <f>IF(A2294="","",'Skill Matrix'!C149)</f>
        <v/>
      </c>
      <c r="E2294">
        <f>IF(A2294="","",'Skill Matrix'!D149)</f>
        <v/>
      </c>
      <c r="F2294">
        <f>IF(AND('Skill Matrix'!A149&lt;&gt;"",'Skill Matrix'!I5&lt;&gt;""),'Skill Matrix'!I5,"")</f>
        <v/>
      </c>
      <c r="G2294">
        <f>IF(OR(A2294="",'Skill Matrix'!I149=""),"",'Skill Matrix'!I149)</f>
        <v/>
      </c>
      <c r="H2294">
        <f>IF(A2294="","",'Employees'!F14)</f>
        <v/>
      </c>
    </row>
    <row r="2295">
      <c r="A2295">
        <f>IF(AND('Skill Matrix'!A149&lt;&gt;"",'Skill Matrix'!J5&lt;&gt;""),'Skill Matrix'!A149,"")</f>
        <v/>
      </c>
      <c r="B2295">
        <f>IF(A2295="","",'Employees'!C14)</f>
        <v/>
      </c>
      <c r="C2295">
        <f>IF(A2295="","",'Employees'!D14)</f>
        <v/>
      </c>
      <c r="D2295">
        <f>IF(A2295="","",'Skill Matrix'!C149)</f>
        <v/>
      </c>
      <c r="E2295">
        <f>IF(A2295="","",'Skill Matrix'!D149)</f>
        <v/>
      </c>
      <c r="F2295">
        <f>IF(AND('Skill Matrix'!A149&lt;&gt;"",'Skill Matrix'!J5&lt;&gt;""),'Skill Matrix'!J5,"")</f>
        <v/>
      </c>
      <c r="G2295">
        <f>IF(OR(A2295="",'Skill Matrix'!J149=""),"",'Skill Matrix'!J149)</f>
        <v/>
      </c>
      <c r="H2295">
        <f>IF(A2295="","",'Employees'!F14)</f>
        <v/>
      </c>
    </row>
    <row r="2296">
      <c r="A2296">
        <f>IF(AND('Skill Matrix'!A149&lt;&gt;"",'Skill Matrix'!K5&lt;&gt;""),'Skill Matrix'!A149,"")</f>
        <v/>
      </c>
      <c r="B2296">
        <f>IF(A2296="","",'Employees'!C14)</f>
        <v/>
      </c>
      <c r="C2296">
        <f>IF(A2296="","",'Employees'!D14)</f>
        <v/>
      </c>
      <c r="D2296">
        <f>IF(A2296="","",'Skill Matrix'!C149)</f>
        <v/>
      </c>
      <c r="E2296">
        <f>IF(A2296="","",'Skill Matrix'!D149)</f>
        <v/>
      </c>
      <c r="F2296">
        <f>IF(AND('Skill Matrix'!A149&lt;&gt;"",'Skill Matrix'!K5&lt;&gt;""),'Skill Matrix'!K5,"")</f>
        <v/>
      </c>
      <c r="G2296">
        <f>IF(OR(A2296="",'Skill Matrix'!K149=""),"",'Skill Matrix'!K149)</f>
        <v/>
      </c>
      <c r="H2296">
        <f>IF(A2296="","",'Employees'!F14)</f>
        <v/>
      </c>
    </row>
    <row r="2297">
      <c r="A2297">
        <f>IF(AND('Skill Matrix'!A149&lt;&gt;"",'Skill Matrix'!L5&lt;&gt;""),'Skill Matrix'!A149,"")</f>
        <v/>
      </c>
      <c r="B2297">
        <f>IF(A2297="","",'Employees'!C14)</f>
        <v/>
      </c>
      <c r="C2297">
        <f>IF(A2297="","",'Employees'!D14)</f>
        <v/>
      </c>
      <c r="D2297">
        <f>IF(A2297="","",'Skill Matrix'!C149)</f>
        <v/>
      </c>
      <c r="E2297">
        <f>IF(A2297="","",'Skill Matrix'!D149)</f>
        <v/>
      </c>
      <c r="F2297">
        <f>IF(AND('Skill Matrix'!A149&lt;&gt;"",'Skill Matrix'!L5&lt;&gt;""),'Skill Matrix'!L5,"")</f>
        <v/>
      </c>
      <c r="G2297">
        <f>IF(OR(A2297="",'Skill Matrix'!L149=""),"",'Skill Matrix'!L149)</f>
        <v/>
      </c>
      <c r="H2297">
        <f>IF(A2297="","",'Employees'!F14)</f>
        <v/>
      </c>
    </row>
    <row r="2298">
      <c r="A2298">
        <f>IF(AND('Skill Matrix'!A149&lt;&gt;"",'Skill Matrix'!M5&lt;&gt;""),'Skill Matrix'!A149,"")</f>
        <v/>
      </c>
      <c r="B2298">
        <f>IF(A2298="","",'Employees'!C14)</f>
        <v/>
      </c>
      <c r="C2298">
        <f>IF(A2298="","",'Employees'!D14)</f>
        <v/>
      </c>
      <c r="D2298">
        <f>IF(A2298="","",'Skill Matrix'!C149)</f>
        <v/>
      </c>
      <c r="E2298">
        <f>IF(A2298="","",'Skill Matrix'!D149)</f>
        <v/>
      </c>
      <c r="F2298">
        <f>IF(AND('Skill Matrix'!A149&lt;&gt;"",'Skill Matrix'!M5&lt;&gt;""),'Skill Matrix'!M5,"")</f>
        <v/>
      </c>
      <c r="G2298">
        <f>IF(OR(A2298="",'Skill Matrix'!M149=""),"",'Skill Matrix'!M149)</f>
        <v/>
      </c>
      <c r="H2298">
        <f>IF(A2298="","",'Employees'!F14)</f>
        <v/>
      </c>
    </row>
    <row r="2299">
      <c r="A2299">
        <f>IF(AND('Skill Matrix'!A149&lt;&gt;"",'Skill Matrix'!N5&lt;&gt;""),'Skill Matrix'!A149,"")</f>
        <v/>
      </c>
      <c r="B2299">
        <f>IF(A2299="","",'Employees'!C14)</f>
        <v/>
      </c>
      <c r="C2299">
        <f>IF(A2299="","",'Employees'!D14)</f>
        <v/>
      </c>
      <c r="D2299">
        <f>IF(A2299="","",'Skill Matrix'!C149)</f>
        <v/>
      </c>
      <c r="E2299">
        <f>IF(A2299="","",'Skill Matrix'!D149)</f>
        <v/>
      </c>
      <c r="F2299">
        <f>IF(AND('Skill Matrix'!A149&lt;&gt;"",'Skill Matrix'!N5&lt;&gt;""),'Skill Matrix'!N5,"")</f>
        <v/>
      </c>
      <c r="G2299">
        <f>IF(OR(A2299="",'Skill Matrix'!N149=""),"",'Skill Matrix'!N149)</f>
        <v/>
      </c>
      <c r="H2299">
        <f>IF(A2299="","",'Employees'!F14)</f>
        <v/>
      </c>
    </row>
    <row r="2300">
      <c r="A2300">
        <f>IF(AND('Skill Matrix'!A149&lt;&gt;"",'Skill Matrix'!O5&lt;&gt;""),'Skill Matrix'!A149,"")</f>
        <v/>
      </c>
      <c r="B2300">
        <f>IF(A2300="","",'Employees'!C14)</f>
        <v/>
      </c>
      <c r="C2300">
        <f>IF(A2300="","",'Employees'!D14)</f>
        <v/>
      </c>
      <c r="D2300">
        <f>IF(A2300="","",'Skill Matrix'!C149)</f>
        <v/>
      </c>
      <c r="E2300">
        <f>IF(A2300="","",'Skill Matrix'!D149)</f>
        <v/>
      </c>
      <c r="F2300">
        <f>IF(AND('Skill Matrix'!A149&lt;&gt;"",'Skill Matrix'!O5&lt;&gt;""),'Skill Matrix'!O5,"")</f>
        <v/>
      </c>
      <c r="G2300">
        <f>IF(OR(A2300="",'Skill Matrix'!O149=""),"",'Skill Matrix'!O149)</f>
        <v/>
      </c>
      <c r="H2300">
        <f>IF(A2300="","",'Employees'!F14)</f>
        <v/>
      </c>
    </row>
    <row r="2301">
      <c r="A2301">
        <f>IF(AND('Skill Matrix'!A149&lt;&gt;"",'Skill Matrix'!P5&lt;&gt;""),'Skill Matrix'!A149,"")</f>
        <v/>
      </c>
      <c r="B2301">
        <f>IF(A2301="","",'Employees'!C14)</f>
        <v/>
      </c>
      <c r="C2301">
        <f>IF(A2301="","",'Employees'!D14)</f>
        <v/>
      </c>
      <c r="D2301">
        <f>IF(A2301="","",'Skill Matrix'!C149)</f>
        <v/>
      </c>
      <c r="E2301">
        <f>IF(A2301="","",'Skill Matrix'!D149)</f>
        <v/>
      </c>
      <c r="F2301">
        <f>IF(AND('Skill Matrix'!A149&lt;&gt;"",'Skill Matrix'!P5&lt;&gt;""),'Skill Matrix'!P5,"")</f>
        <v/>
      </c>
      <c r="G2301">
        <f>IF(OR(A2301="",'Skill Matrix'!P149=""),"",'Skill Matrix'!P149)</f>
        <v/>
      </c>
      <c r="H2301">
        <f>IF(A2301="","",'Employees'!F14)</f>
        <v/>
      </c>
    </row>
    <row r="2302">
      <c r="A2302">
        <f>IF(AND('Skill Matrix'!A149&lt;&gt;"",'Skill Matrix'!Q5&lt;&gt;""),'Skill Matrix'!A149,"")</f>
        <v/>
      </c>
      <c r="B2302">
        <f>IF(A2302="","",'Employees'!C14)</f>
        <v/>
      </c>
      <c r="C2302">
        <f>IF(A2302="","",'Employees'!D14)</f>
        <v/>
      </c>
      <c r="D2302">
        <f>IF(A2302="","",'Skill Matrix'!C149)</f>
        <v/>
      </c>
      <c r="E2302">
        <f>IF(A2302="","",'Skill Matrix'!D149)</f>
        <v/>
      </c>
      <c r="F2302">
        <f>IF(AND('Skill Matrix'!A149&lt;&gt;"",'Skill Matrix'!Q5&lt;&gt;""),'Skill Matrix'!Q5,"")</f>
        <v/>
      </c>
      <c r="G2302">
        <f>IF(OR(A2302="",'Skill Matrix'!Q149=""),"",'Skill Matrix'!Q149)</f>
        <v/>
      </c>
      <c r="H2302">
        <f>IF(A2302="","",'Employees'!F14)</f>
        <v/>
      </c>
    </row>
    <row r="2303">
      <c r="A2303">
        <f>IF(AND('Skill Matrix'!A149&lt;&gt;"",'Skill Matrix'!R5&lt;&gt;""),'Skill Matrix'!A149,"")</f>
        <v/>
      </c>
      <c r="B2303">
        <f>IF(A2303="","",'Employees'!C14)</f>
        <v/>
      </c>
      <c r="C2303">
        <f>IF(A2303="","",'Employees'!D14)</f>
        <v/>
      </c>
      <c r="D2303">
        <f>IF(A2303="","",'Skill Matrix'!C149)</f>
        <v/>
      </c>
      <c r="E2303">
        <f>IF(A2303="","",'Skill Matrix'!D149)</f>
        <v/>
      </c>
      <c r="F2303">
        <f>IF(AND('Skill Matrix'!A149&lt;&gt;"",'Skill Matrix'!R5&lt;&gt;""),'Skill Matrix'!R5,"")</f>
        <v/>
      </c>
      <c r="G2303">
        <f>IF(OR(A2303="",'Skill Matrix'!R149=""),"",'Skill Matrix'!R149)</f>
        <v/>
      </c>
      <c r="H2303">
        <f>IF(A2303="","",'Employees'!F14)</f>
        <v/>
      </c>
    </row>
    <row r="2304">
      <c r="A2304">
        <f>IF(AND('Skill Matrix'!A149&lt;&gt;"",'Skill Matrix'!S5&lt;&gt;""),'Skill Matrix'!A149,"")</f>
        <v/>
      </c>
      <c r="B2304">
        <f>IF(A2304="","",'Employees'!C14)</f>
        <v/>
      </c>
      <c r="C2304">
        <f>IF(A2304="","",'Employees'!D14)</f>
        <v/>
      </c>
      <c r="D2304">
        <f>IF(A2304="","",'Skill Matrix'!C149)</f>
        <v/>
      </c>
      <c r="E2304">
        <f>IF(A2304="","",'Skill Matrix'!D149)</f>
        <v/>
      </c>
      <c r="F2304">
        <f>IF(AND('Skill Matrix'!A149&lt;&gt;"",'Skill Matrix'!S5&lt;&gt;""),'Skill Matrix'!S5,"")</f>
        <v/>
      </c>
      <c r="G2304">
        <f>IF(OR(A2304="",'Skill Matrix'!S149=""),"",'Skill Matrix'!S149)</f>
        <v/>
      </c>
      <c r="H2304">
        <f>IF(A2304="","",'Employees'!F14)</f>
        <v/>
      </c>
    </row>
    <row r="2305">
      <c r="A2305">
        <f>IF(AND('Skill Matrix'!A149&lt;&gt;"",'Skill Matrix'!T5&lt;&gt;""),'Skill Matrix'!A149,"")</f>
        <v/>
      </c>
      <c r="B2305">
        <f>IF(A2305="","",'Employees'!C14)</f>
        <v/>
      </c>
      <c r="C2305">
        <f>IF(A2305="","",'Employees'!D14)</f>
        <v/>
      </c>
      <c r="D2305">
        <f>IF(A2305="","",'Skill Matrix'!C149)</f>
        <v/>
      </c>
      <c r="E2305">
        <f>IF(A2305="","",'Skill Matrix'!D149)</f>
        <v/>
      </c>
      <c r="F2305">
        <f>IF(AND('Skill Matrix'!A149&lt;&gt;"",'Skill Matrix'!T5&lt;&gt;""),'Skill Matrix'!T5,"")</f>
        <v/>
      </c>
      <c r="G2305">
        <f>IF(OR(A2305="",'Skill Matrix'!T149=""),"",'Skill Matrix'!T149)</f>
        <v/>
      </c>
      <c r="H2305">
        <f>IF(A2305="","",'Employees'!F14)</f>
        <v/>
      </c>
    </row>
    <row r="2306">
      <c r="A2306">
        <f>IF(AND('Skill Matrix'!A150&lt;&gt;"",'Skill Matrix'!E5&lt;&gt;""),'Skill Matrix'!A150,"")</f>
        <v/>
      </c>
      <c r="B2306">
        <f>IF(A2306="","",'Employees'!C15)</f>
        <v/>
      </c>
      <c r="C2306">
        <f>IF(A2306="","",'Employees'!D15)</f>
        <v/>
      </c>
      <c r="D2306">
        <f>IF(A2306="","",'Skill Matrix'!C150)</f>
        <v/>
      </c>
      <c r="E2306">
        <f>IF(A2306="","",'Skill Matrix'!D150)</f>
        <v/>
      </c>
      <c r="F2306">
        <f>IF(AND('Skill Matrix'!A150&lt;&gt;"",'Skill Matrix'!E5&lt;&gt;""),'Skill Matrix'!E5,"")</f>
        <v/>
      </c>
      <c r="G2306">
        <f>IF(OR(A2306="",'Skill Matrix'!E150=""),"",'Skill Matrix'!E150)</f>
        <v/>
      </c>
      <c r="H2306">
        <f>IF(A2306="","",'Employees'!F15)</f>
        <v/>
      </c>
    </row>
    <row r="2307">
      <c r="A2307">
        <f>IF(AND('Skill Matrix'!A150&lt;&gt;"",'Skill Matrix'!F5&lt;&gt;""),'Skill Matrix'!A150,"")</f>
        <v/>
      </c>
      <c r="B2307">
        <f>IF(A2307="","",'Employees'!C15)</f>
        <v/>
      </c>
      <c r="C2307">
        <f>IF(A2307="","",'Employees'!D15)</f>
        <v/>
      </c>
      <c r="D2307">
        <f>IF(A2307="","",'Skill Matrix'!C150)</f>
        <v/>
      </c>
      <c r="E2307">
        <f>IF(A2307="","",'Skill Matrix'!D150)</f>
        <v/>
      </c>
      <c r="F2307">
        <f>IF(AND('Skill Matrix'!A150&lt;&gt;"",'Skill Matrix'!F5&lt;&gt;""),'Skill Matrix'!F5,"")</f>
        <v/>
      </c>
      <c r="G2307">
        <f>IF(OR(A2307="",'Skill Matrix'!F150=""),"",'Skill Matrix'!F150)</f>
        <v/>
      </c>
      <c r="H2307">
        <f>IF(A2307="","",'Employees'!F15)</f>
        <v/>
      </c>
    </row>
    <row r="2308">
      <c r="A2308">
        <f>IF(AND('Skill Matrix'!A150&lt;&gt;"",'Skill Matrix'!G5&lt;&gt;""),'Skill Matrix'!A150,"")</f>
        <v/>
      </c>
      <c r="B2308">
        <f>IF(A2308="","",'Employees'!C15)</f>
        <v/>
      </c>
      <c r="C2308">
        <f>IF(A2308="","",'Employees'!D15)</f>
        <v/>
      </c>
      <c r="D2308">
        <f>IF(A2308="","",'Skill Matrix'!C150)</f>
        <v/>
      </c>
      <c r="E2308">
        <f>IF(A2308="","",'Skill Matrix'!D150)</f>
        <v/>
      </c>
      <c r="F2308">
        <f>IF(AND('Skill Matrix'!A150&lt;&gt;"",'Skill Matrix'!G5&lt;&gt;""),'Skill Matrix'!G5,"")</f>
        <v/>
      </c>
      <c r="G2308">
        <f>IF(OR(A2308="",'Skill Matrix'!G150=""),"",'Skill Matrix'!G150)</f>
        <v/>
      </c>
      <c r="H2308">
        <f>IF(A2308="","",'Employees'!F15)</f>
        <v/>
      </c>
    </row>
    <row r="2309">
      <c r="A2309">
        <f>IF(AND('Skill Matrix'!A150&lt;&gt;"",'Skill Matrix'!H5&lt;&gt;""),'Skill Matrix'!A150,"")</f>
        <v/>
      </c>
      <c r="B2309">
        <f>IF(A2309="","",'Employees'!C15)</f>
        <v/>
      </c>
      <c r="C2309">
        <f>IF(A2309="","",'Employees'!D15)</f>
        <v/>
      </c>
      <c r="D2309">
        <f>IF(A2309="","",'Skill Matrix'!C150)</f>
        <v/>
      </c>
      <c r="E2309">
        <f>IF(A2309="","",'Skill Matrix'!D150)</f>
        <v/>
      </c>
      <c r="F2309">
        <f>IF(AND('Skill Matrix'!A150&lt;&gt;"",'Skill Matrix'!H5&lt;&gt;""),'Skill Matrix'!H5,"")</f>
        <v/>
      </c>
      <c r="G2309">
        <f>IF(OR(A2309="",'Skill Matrix'!H150=""),"",'Skill Matrix'!H150)</f>
        <v/>
      </c>
      <c r="H2309">
        <f>IF(A2309="","",'Employees'!F15)</f>
        <v/>
      </c>
    </row>
    <row r="2310">
      <c r="A2310">
        <f>IF(AND('Skill Matrix'!A150&lt;&gt;"",'Skill Matrix'!I5&lt;&gt;""),'Skill Matrix'!A150,"")</f>
        <v/>
      </c>
      <c r="B2310">
        <f>IF(A2310="","",'Employees'!C15)</f>
        <v/>
      </c>
      <c r="C2310">
        <f>IF(A2310="","",'Employees'!D15)</f>
        <v/>
      </c>
      <c r="D2310">
        <f>IF(A2310="","",'Skill Matrix'!C150)</f>
        <v/>
      </c>
      <c r="E2310">
        <f>IF(A2310="","",'Skill Matrix'!D150)</f>
        <v/>
      </c>
      <c r="F2310">
        <f>IF(AND('Skill Matrix'!A150&lt;&gt;"",'Skill Matrix'!I5&lt;&gt;""),'Skill Matrix'!I5,"")</f>
        <v/>
      </c>
      <c r="G2310">
        <f>IF(OR(A2310="",'Skill Matrix'!I150=""),"",'Skill Matrix'!I150)</f>
        <v/>
      </c>
      <c r="H2310">
        <f>IF(A2310="","",'Employees'!F15)</f>
        <v/>
      </c>
    </row>
    <row r="2311">
      <c r="A2311">
        <f>IF(AND('Skill Matrix'!A150&lt;&gt;"",'Skill Matrix'!J5&lt;&gt;""),'Skill Matrix'!A150,"")</f>
        <v/>
      </c>
      <c r="B2311">
        <f>IF(A2311="","",'Employees'!C15)</f>
        <v/>
      </c>
      <c r="C2311">
        <f>IF(A2311="","",'Employees'!D15)</f>
        <v/>
      </c>
      <c r="D2311">
        <f>IF(A2311="","",'Skill Matrix'!C150)</f>
        <v/>
      </c>
      <c r="E2311">
        <f>IF(A2311="","",'Skill Matrix'!D150)</f>
        <v/>
      </c>
      <c r="F2311">
        <f>IF(AND('Skill Matrix'!A150&lt;&gt;"",'Skill Matrix'!J5&lt;&gt;""),'Skill Matrix'!J5,"")</f>
        <v/>
      </c>
      <c r="G2311">
        <f>IF(OR(A2311="",'Skill Matrix'!J150=""),"",'Skill Matrix'!J150)</f>
        <v/>
      </c>
      <c r="H2311">
        <f>IF(A2311="","",'Employees'!F15)</f>
        <v/>
      </c>
    </row>
    <row r="2312">
      <c r="A2312">
        <f>IF(AND('Skill Matrix'!A150&lt;&gt;"",'Skill Matrix'!K5&lt;&gt;""),'Skill Matrix'!A150,"")</f>
        <v/>
      </c>
      <c r="B2312">
        <f>IF(A2312="","",'Employees'!C15)</f>
        <v/>
      </c>
      <c r="C2312">
        <f>IF(A2312="","",'Employees'!D15)</f>
        <v/>
      </c>
      <c r="D2312">
        <f>IF(A2312="","",'Skill Matrix'!C150)</f>
        <v/>
      </c>
      <c r="E2312">
        <f>IF(A2312="","",'Skill Matrix'!D150)</f>
        <v/>
      </c>
      <c r="F2312">
        <f>IF(AND('Skill Matrix'!A150&lt;&gt;"",'Skill Matrix'!K5&lt;&gt;""),'Skill Matrix'!K5,"")</f>
        <v/>
      </c>
      <c r="G2312">
        <f>IF(OR(A2312="",'Skill Matrix'!K150=""),"",'Skill Matrix'!K150)</f>
        <v/>
      </c>
      <c r="H2312">
        <f>IF(A2312="","",'Employees'!F15)</f>
        <v/>
      </c>
    </row>
    <row r="2313">
      <c r="A2313">
        <f>IF(AND('Skill Matrix'!A150&lt;&gt;"",'Skill Matrix'!L5&lt;&gt;""),'Skill Matrix'!A150,"")</f>
        <v/>
      </c>
      <c r="B2313">
        <f>IF(A2313="","",'Employees'!C15)</f>
        <v/>
      </c>
      <c r="C2313">
        <f>IF(A2313="","",'Employees'!D15)</f>
        <v/>
      </c>
      <c r="D2313">
        <f>IF(A2313="","",'Skill Matrix'!C150)</f>
        <v/>
      </c>
      <c r="E2313">
        <f>IF(A2313="","",'Skill Matrix'!D150)</f>
        <v/>
      </c>
      <c r="F2313">
        <f>IF(AND('Skill Matrix'!A150&lt;&gt;"",'Skill Matrix'!L5&lt;&gt;""),'Skill Matrix'!L5,"")</f>
        <v/>
      </c>
      <c r="G2313">
        <f>IF(OR(A2313="",'Skill Matrix'!L150=""),"",'Skill Matrix'!L150)</f>
        <v/>
      </c>
      <c r="H2313">
        <f>IF(A2313="","",'Employees'!F15)</f>
        <v/>
      </c>
    </row>
    <row r="2314">
      <c r="A2314">
        <f>IF(AND('Skill Matrix'!A150&lt;&gt;"",'Skill Matrix'!M5&lt;&gt;""),'Skill Matrix'!A150,"")</f>
        <v/>
      </c>
      <c r="B2314">
        <f>IF(A2314="","",'Employees'!C15)</f>
        <v/>
      </c>
      <c r="C2314">
        <f>IF(A2314="","",'Employees'!D15)</f>
        <v/>
      </c>
      <c r="D2314">
        <f>IF(A2314="","",'Skill Matrix'!C150)</f>
        <v/>
      </c>
      <c r="E2314">
        <f>IF(A2314="","",'Skill Matrix'!D150)</f>
        <v/>
      </c>
      <c r="F2314">
        <f>IF(AND('Skill Matrix'!A150&lt;&gt;"",'Skill Matrix'!M5&lt;&gt;""),'Skill Matrix'!M5,"")</f>
        <v/>
      </c>
      <c r="G2314">
        <f>IF(OR(A2314="",'Skill Matrix'!M150=""),"",'Skill Matrix'!M150)</f>
        <v/>
      </c>
      <c r="H2314">
        <f>IF(A2314="","",'Employees'!F15)</f>
        <v/>
      </c>
    </row>
    <row r="2315">
      <c r="A2315">
        <f>IF(AND('Skill Matrix'!A150&lt;&gt;"",'Skill Matrix'!N5&lt;&gt;""),'Skill Matrix'!A150,"")</f>
        <v/>
      </c>
      <c r="B2315">
        <f>IF(A2315="","",'Employees'!C15)</f>
        <v/>
      </c>
      <c r="C2315">
        <f>IF(A2315="","",'Employees'!D15)</f>
        <v/>
      </c>
      <c r="D2315">
        <f>IF(A2315="","",'Skill Matrix'!C150)</f>
        <v/>
      </c>
      <c r="E2315">
        <f>IF(A2315="","",'Skill Matrix'!D150)</f>
        <v/>
      </c>
      <c r="F2315">
        <f>IF(AND('Skill Matrix'!A150&lt;&gt;"",'Skill Matrix'!N5&lt;&gt;""),'Skill Matrix'!N5,"")</f>
        <v/>
      </c>
      <c r="G2315">
        <f>IF(OR(A2315="",'Skill Matrix'!N150=""),"",'Skill Matrix'!N150)</f>
        <v/>
      </c>
      <c r="H2315">
        <f>IF(A2315="","",'Employees'!F15)</f>
        <v/>
      </c>
    </row>
    <row r="2316">
      <c r="A2316">
        <f>IF(AND('Skill Matrix'!A150&lt;&gt;"",'Skill Matrix'!O5&lt;&gt;""),'Skill Matrix'!A150,"")</f>
        <v/>
      </c>
      <c r="B2316">
        <f>IF(A2316="","",'Employees'!C15)</f>
        <v/>
      </c>
      <c r="C2316">
        <f>IF(A2316="","",'Employees'!D15)</f>
        <v/>
      </c>
      <c r="D2316">
        <f>IF(A2316="","",'Skill Matrix'!C150)</f>
        <v/>
      </c>
      <c r="E2316">
        <f>IF(A2316="","",'Skill Matrix'!D150)</f>
        <v/>
      </c>
      <c r="F2316">
        <f>IF(AND('Skill Matrix'!A150&lt;&gt;"",'Skill Matrix'!O5&lt;&gt;""),'Skill Matrix'!O5,"")</f>
        <v/>
      </c>
      <c r="G2316">
        <f>IF(OR(A2316="",'Skill Matrix'!O150=""),"",'Skill Matrix'!O150)</f>
        <v/>
      </c>
      <c r="H2316">
        <f>IF(A2316="","",'Employees'!F15)</f>
        <v/>
      </c>
    </row>
    <row r="2317">
      <c r="A2317">
        <f>IF(AND('Skill Matrix'!A150&lt;&gt;"",'Skill Matrix'!P5&lt;&gt;""),'Skill Matrix'!A150,"")</f>
        <v/>
      </c>
      <c r="B2317">
        <f>IF(A2317="","",'Employees'!C15)</f>
        <v/>
      </c>
      <c r="C2317">
        <f>IF(A2317="","",'Employees'!D15)</f>
        <v/>
      </c>
      <c r="D2317">
        <f>IF(A2317="","",'Skill Matrix'!C150)</f>
        <v/>
      </c>
      <c r="E2317">
        <f>IF(A2317="","",'Skill Matrix'!D150)</f>
        <v/>
      </c>
      <c r="F2317">
        <f>IF(AND('Skill Matrix'!A150&lt;&gt;"",'Skill Matrix'!P5&lt;&gt;""),'Skill Matrix'!P5,"")</f>
        <v/>
      </c>
      <c r="G2317">
        <f>IF(OR(A2317="",'Skill Matrix'!P150=""),"",'Skill Matrix'!P150)</f>
        <v/>
      </c>
      <c r="H2317">
        <f>IF(A2317="","",'Employees'!F15)</f>
        <v/>
      </c>
    </row>
    <row r="2318">
      <c r="A2318">
        <f>IF(AND('Skill Matrix'!A150&lt;&gt;"",'Skill Matrix'!Q5&lt;&gt;""),'Skill Matrix'!A150,"")</f>
        <v/>
      </c>
      <c r="B2318">
        <f>IF(A2318="","",'Employees'!C15)</f>
        <v/>
      </c>
      <c r="C2318">
        <f>IF(A2318="","",'Employees'!D15)</f>
        <v/>
      </c>
      <c r="D2318">
        <f>IF(A2318="","",'Skill Matrix'!C150)</f>
        <v/>
      </c>
      <c r="E2318">
        <f>IF(A2318="","",'Skill Matrix'!D150)</f>
        <v/>
      </c>
      <c r="F2318">
        <f>IF(AND('Skill Matrix'!A150&lt;&gt;"",'Skill Matrix'!Q5&lt;&gt;""),'Skill Matrix'!Q5,"")</f>
        <v/>
      </c>
      <c r="G2318">
        <f>IF(OR(A2318="",'Skill Matrix'!Q150=""),"",'Skill Matrix'!Q150)</f>
        <v/>
      </c>
      <c r="H2318">
        <f>IF(A2318="","",'Employees'!F15)</f>
        <v/>
      </c>
    </row>
    <row r="2319">
      <c r="A2319">
        <f>IF(AND('Skill Matrix'!A150&lt;&gt;"",'Skill Matrix'!R5&lt;&gt;""),'Skill Matrix'!A150,"")</f>
        <v/>
      </c>
      <c r="B2319">
        <f>IF(A2319="","",'Employees'!C15)</f>
        <v/>
      </c>
      <c r="C2319">
        <f>IF(A2319="","",'Employees'!D15)</f>
        <v/>
      </c>
      <c r="D2319">
        <f>IF(A2319="","",'Skill Matrix'!C150)</f>
        <v/>
      </c>
      <c r="E2319">
        <f>IF(A2319="","",'Skill Matrix'!D150)</f>
        <v/>
      </c>
      <c r="F2319">
        <f>IF(AND('Skill Matrix'!A150&lt;&gt;"",'Skill Matrix'!R5&lt;&gt;""),'Skill Matrix'!R5,"")</f>
        <v/>
      </c>
      <c r="G2319">
        <f>IF(OR(A2319="",'Skill Matrix'!R150=""),"",'Skill Matrix'!R150)</f>
        <v/>
      </c>
      <c r="H2319">
        <f>IF(A2319="","",'Employees'!F15)</f>
        <v/>
      </c>
    </row>
    <row r="2320">
      <c r="A2320">
        <f>IF(AND('Skill Matrix'!A150&lt;&gt;"",'Skill Matrix'!S5&lt;&gt;""),'Skill Matrix'!A150,"")</f>
        <v/>
      </c>
      <c r="B2320">
        <f>IF(A2320="","",'Employees'!C15)</f>
        <v/>
      </c>
      <c r="C2320">
        <f>IF(A2320="","",'Employees'!D15)</f>
        <v/>
      </c>
      <c r="D2320">
        <f>IF(A2320="","",'Skill Matrix'!C150)</f>
        <v/>
      </c>
      <c r="E2320">
        <f>IF(A2320="","",'Skill Matrix'!D150)</f>
        <v/>
      </c>
      <c r="F2320">
        <f>IF(AND('Skill Matrix'!A150&lt;&gt;"",'Skill Matrix'!S5&lt;&gt;""),'Skill Matrix'!S5,"")</f>
        <v/>
      </c>
      <c r="G2320">
        <f>IF(OR(A2320="",'Skill Matrix'!S150=""),"",'Skill Matrix'!S150)</f>
        <v/>
      </c>
      <c r="H2320">
        <f>IF(A2320="","",'Employees'!F15)</f>
        <v/>
      </c>
    </row>
    <row r="2321">
      <c r="A2321">
        <f>IF(AND('Skill Matrix'!A150&lt;&gt;"",'Skill Matrix'!T5&lt;&gt;""),'Skill Matrix'!A150,"")</f>
        <v/>
      </c>
      <c r="B2321">
        <f>IF(A2321="","",'Employees'!C15)</f>
        <v/>
      </c>
      <c r="C2321">
        <f>IF(A2321="","",'Employees'!D15)</f>
        <v/>
      </c>
      <c r="D2321">
        <f>IF(A2321="","",'Skill Matrix'!C150)</f>
        <v/>
      </c>
      <c r="E2321">
        <f>IF(A2321="","",'Skill Matrix'!D150)</f>
        <v/>
      </c>
      <c r="F2321">
        <f>IF(AND('Skill Matrix'!A150&lt;&gt;"",'Skill Matrix'!T5&lt;&gt;""),'Skill Matrix'!T5,"")</f>
        <v/>
      </c>
      <c r="G2321">
        <f>IF(OR(A2321="",'Skill Matrix'!T150=""),"",'Skill Matrix'!T150)</f>
        <v/>
      </c>
      <c r="H2321">
        <f>IF(A2321="","",'Employees'!F15)</f>
        <v/>
      </c>
    </row>
    <row r="2322">
      <c r="A2322">
        <f>IF(AND('Skill Matrix'!A151&lt;&gt;"",'Skill Matrix'!E5&lt;&gt;""),'Skill Matrix'!A151,"")</f>
        <v/>
      </c>
      <c r="B2322">
        <f>IF(A2322="","",'Employees'!C15)</f>
        <v/>
      </c>
      <c r="C2322">
        <f>IF(A2322="","",'Employees'!D15)</f>
        <v/>
      </c>
      <c r="D2322">
        <f>IF(A2322="","",'Skill Matrix'!C151)</f>
        <v/>
      </c>
      <c r="E2322">
        <f>IF(A2322="","",'Skill Matrix'!D151)</f>
        <v/>
      </c>
      <c r="F2322">
        <f>IF(AND('Skill Matrix'!A151&lt;&gt;"",'Skill Matrix'!E5&lt;&gt;""),'Skill Matrix'!E5,"")</f>
        <v/>
      </c>
      <c r="G2322">
        <f>IF(OR(A2322="",'Skill Matrix'!E151=""),"",'Skill Matrix'!E151)</f>
        <v/>
      </c>
      <c r="H2322">
        <f>IF(A2322="","",'Employees'!F15)</f>
        <v/>
      </c>
    </row>
    <row r="2323">
      <c r="A2323">
        <f>IF(AND('Skill Matrix'!A151&lt;&gt;"",'Skill Matrix'!F5&lt;&gt;""),'Skill Matrix'!A151,"")</f>
        <v/>
      </c>
      <c r="B2323">
        <f>IF(A2323="","",'Employees'!C15)</f>
        <v/>
      </c>
      <c r="C2323">
        <f>IF(A2323="","",'Employees'!D15)</f>
        <v/>
      </c>
      <c r="D2323">
        <f>IF(A2323="","",'Skill Matrix'!C151)</f>
        <v/>
      </c>
      <c r="E2323">
        <f>IF(A2323="","",'Skill Matrix'!D151)</f>
        <v/>
      </c>
      <c r="F2323">
        <f>IF(AND('Skill Matrix'!A151&lt;&gt;"",'Skill Matrix'!F5&lt;&gt;""),'Skill Matrix'!F5,"")</f>
        <v/>
      </c>
      <c r="G2323">
        <f>IF(OR(A2323="",'Skill Matrix'!F151=""),"",'Skill Matrix'!F151)</f>
        <v/>
      </c>
      <c r="H2323">
        <f>IF(A2323="","",'Employees'!F15)</f>
        <v/>
      </c>
    </row>
    <row r="2324">
      <c r="A2324">
        <f>IF(AND('Skill Matrix'!A151&lt;&gt;"",'Skill Matrix'!G5&lt;&gt;""),'Skill Matrix'!A151,"")</f>
        <v/>
      </c>
      <c r="B2324">
        <f>IF(A2324="","",'Employees'!C15)</f>
        <v/>
      </c>
      <c r="C2324">
        <f>IF(A2324="","",'Employees'!D15)</f>
        <v/>
      </c>
      <c r="D2324">
        <f>IF(A2324="","",'Skill Matrix'!C151)</f>
        <v/>
      </c>
      <c r="E2324">
        <f>IF(A2324="","",'Skill Matrix'!D151)</f>
        <v/>
      </c>
      <c r="F2324">
        <f>IF(AND('Skill Matrix'!A151&lt;&gt;"",'Skill Matrix'!G5&lt;&gt;""),'Skill Matrix'!G5,"")</f>
        <v/>
      </c>
      <c r="G2324">
        <f>IF(OR(A2324="",'Skill Matrix'!G151=""),"",'Skill Matrix'!G151)</f>
        <v/>
      </c>
      <c r="H2324">
        <f>IF(A2324="","",'Employees'!F15)</f>
        <v/>
      </c>
    </row>
    <row r="2325">
      <c r="A2325">
        <f>IF(AND('Skill Matrix'!A151&lt;&gt;"",'Skill Matrix'!H5&lt;&gt;""),'Skill Matrix'!A151,"")</f>
        <v/>
      </c>
      <c r="B2325">
        <f>IF(A2325="","",'Employees'!C15)</f>
        <v/>
      </c>
      <c r="C2325">
        <f>IF(A2325="","",'Employees'!D15)</f>
        <v/>
      </c>
      <c r="D2325">
        <f>IF(A2325="","",'Skill Matrix'!C151)</f>
        <v/>
      </c>
      <c r="E2325">
        <f>IF(A2325="","",'Skill Matrix'!D151)</f>
        <v/>
      </c>
      <c r="F2325">
        <f>IF(AND('Skill Matrix'!A151&lt;&gt;"",'Skill Matrix'!H5&lt;&gt;""),'Skill Matrix'!H5,"")</f>
        <v/>
      </c>
      <c r="G2325">
        <f>IF(OR(A2325="",'Skill Matrix'!H151=""),"",'Skill Matrix'!H151)</f>
        <v/>
      </c>
      <c r="H2325">
        <f>IF(A2325="","",'Employees'!F15)</f>
        <v/>
      </c>
    </row>
    <row r="2326">
      <c r="A2326">
        <f>IF(AND('Skill Matrix'!A151&lt;&gt;"",'Skill Matrix'!I5&lt;&gt;""),'Skill Matrix'!A151,"")</f>
        <v/>
      </c>
      <c r="B2326">
        <f>IF(A2326="","",'Employees'!C15)</f>
        <v/>
      </c>
      <c r="C2326">
        <f>IF(A2326="","",'Employees'!D15)</f>
        <v/>
      </c>
      <c r="D2326">
        <f>IF(A2326="","",'Skill Matrix'!C151)</f>
        <v/>
      </c>
      <c r="E2326">
        <f>IF(A2326="","",'Skill Matrix'!D151)</f>
        <v/>
      </c>
      <c r="F2326">
        <f>IF(AND('Skill Matrix'!A151&lt;&gt;"",'Skill Matrix'!I5&lt;&gt;""),'Skill Matrix'!I5,"")</f>
        <v/>
      </c>
      <c r="G2326">
        <f>IF(OR(A2326="",'Skill Matrix'!I151=""),"",'Skill Matrix'!I151)</f>
        <v/>
      </c>
      <c r="H2326">
        <f>IF(A2326="","",'Employees'!F15)</f>
        <v/>
      </c>
    </row>
    <row r="2327">
      <c r="A2327">
        <f>IF(AND('Skill Matrix'!A151&lt;&gt;"",'Skill Matrix'!J5&lt;&gt;""),'Skill Matrix'!A151,"")</f>
        <v/>
      </c>
      <c r="B2327">
        <f>IF(A2327="","",'Employees'!C15)</f>
        <v/>
      </c>
      <c r="C2327">
        <f>IF(A2327="","",'Employees'!D15)</f>
        <v/>
      </c>
      <c r="D2327">
        <f>IF(A2327="","",'Skill Matrix'!C151)</f>
        <v/>
      </c>
      <c r="E2327">
        <f>IF(A2327="","",'Skill Matrix'!D151)</f>
        <v/>
      </c>
      <c r="F2327">
        <f>IF(AND('Skill Matrix'!A151&lt;&gt;"",'Skill Matrix'!J5&lt;&gt;""),'Skill Matrix'!J5,"")</f>
        <v/>
      </c>
      <c r="G2327">
        <f>IF(OR(A2327="",'Skill Matrix'!J151=""),"",'Skill Matrix'!J151)</f>
        <v/>
      </c>
      <c r="H2327">
        <f>IF(A2327="","",'Employees'!F15)</f>
        <v/>
      </c>
    </row>
    <row r="2328">
      <c r="A2328">
        <f>IF(AND('Skill Matrix'!A151&lt;&gt;"",'Skill Matrix'!K5&lt;&gt;""),'Skill Matrix'!A151,"")</f>
        <v/>
      </c>
      <c r="B2328">
        <f>IF(A2328="","",'Employees'!C15)</f>
        <v/>
      </c>
      <c r="C2328">
        <f>IF(A2328="","",'Employees'!D15)</f>
        <v/>
      </c>
      <c r="D2328">
        <f>IF(A2328="","",'Skill Matrix'!C151)</f>
        <v/>
      </c>
      <c r="E2328">
        <f>IF(A2328="","",'Skill Matrix'!D151)</f>
        <v/>
      </c>
      <c r="F2328">
        <f>IF(AND('Skill Matrix'!A151&lt;&gt;"",'Skill Matrix'!K5&lt;&gt;""),'Skill Matrix'!K5,"")</f>
        <v/>
      </c>
      <c r="G2328">
        <f>IF(OR(A2328="",'Skill Matrix'!K151=""),"",'Skill Matrix'!K151)</f>
        <v/>
      </c>
      <c r="H2328">
        <f>IF(A2328="","",'Employees'!F15)</f>
        <v/>
      </c>
    </row>
    <row r="2329">
      <c r="A2329">
        <f>IF(AND('Skill Matrix'!A151&lt;&gt;"",'Skill Matrix'!L5&lt;&gt;""),'Skill Matrix'!A151,"")</f>
        <v/>
      </c>
      <c r="B2329">
        <f>IF(A2329="","",'Employees'!C15)</f>
        <v/>
      </c>
      <c r="C2329">
        <f>IF(A2329="","",'Employees'!D15)</f>
        <v/>
      </c>
      <c r="D2329">
        <f>IF(A2329="","",'Skill Matrix'!C151)</f>
        <v/>
      </c>
      <c r="E2329">
        <f>IF(A2329="","",'Skill Matrix'!D151)</f>
        <v/>
      </c>
      <c r="F2329">
        <f>IF(AND('Skill Matrix'!A151&lt;&gt;"",'Skill Matrix'!L5&lt;&gt;""),'Skill Matrix'!L5,"")</f>
        <v/>
      </c>
      <c r="G2329">
        <f>IF(OR(A2329="",'Skill Matrix'!L151=""),"",'Skill Matrix'!L151)</f>
        <v/>
      </c>
      <c r="H2329">
        <f>IF(A2329="","",'Employees'!F15)</f>
        <v/>
      </c>
    </row>
    <row r="2330">
      <c r="A2330">
        <f>IF(AND('Skill Matrix'!A151&lt;&gt;"",'Skill Matrix'!M5&lt;&gt;""),'Skill Matrix'!A151,"")</f>
        <v/>
      </c>
      <c r="B2330">
        <f>IF(A2330="","",'Employees'!C15)</f>
        <v/>
      </c>
      <c r="C2330">
        <f>IF(A2330="","",'Employees'!D15)</f>
        <v/>
      </c>
      <c r="D2330">
        <f>IF(A2330="","",'Skill Matrix'!C151)</f>
        <v/>
      </c>
      <c r="E2330">
        <f>IF(A2330="","",'Skill Matrix'!D151)</f>
        <v/>
      </c>
      <c r="F2330">
        <f>IF(AND('Skill Matrix'!A151&lt;&gt;"",'Skill Matrix'!M5&lt;&gt;""),'Skill Matrix'!M5,"")</f>
        <v/>
      </c>
      <c r="G2330">
        <f>IF(OR(A2330="",'Skill Matrix'!M151=""),"",'Skill Matrix'!M151)</f>
        <v/>
      </c>
      <c r="H2330">
        <f>IF(A2330="","",'Employees'!F15)</f>
        <v/>
      </c>
    </row>
    <row r="2331">
      <c r="A2331">
        <f>IF(AND('Skill Matrix'!A151&lt;&gt;"",'Skill Matrix'!N5&lt;&gt;""),'Skill Matrix'!A151,"")</f>
        <v/>
      </c>
      <c r="B2331">
        <f>IF(A2331="","",'Employees'!C15)</f>
        <v/>
      </c>
      <c r="C2331">
        <f>IF(A2331="","",'Employees'!D15)</f>
        <v/>
      </c>
      <c r="D2331">
        <f>IF(A2331="","",'Skill Matrix'!C151)</f>
        <v/>
      </c>
      <c r="E2331">
        <f>IF(A2331="","",'Skill Matrix'!D151)</f>
        <v/>
      </c>
      <c r="F2331">
        <f>IF(AND('Skill Matrix'!A151&lt;&gt;"",'Skill Matrix'!N5&lt;&gt;""),'Skill Matrix'!N5,"")</f>
        <v/>
      </c>
      <c r="G2331">
        <f>IF(OR(A2331="",'Skill Matrix'!N151=""),"",'Skill Matrix'!N151)</f>
        <v/>
      </c>
      <c r="H2331">
        <f>IF(A2331="","",'Employees'!F15)</f>
        <v/>
      </c>
    </row>
    <row r="2332">
      <c r="A2332">
        <f>IF(AND('Skill Matrix'!A151&lt;&gt;"",'Skill Matrix'!O5&lt;&gt;""),'Skill Matrix'!A151,"")</f>
        <v/>
      </c>
      <c r="B2332">
        <f>IF(A2332="","",'Employees'!C15)</f>
        <v/>
      </c>
      <c r="C2332">
        <f>IF(A2332="","",'Employees'!D15)</f>
        <v/>
      </c>
      <c r="D2332">
        <f>IF(A2332="","",'Skill Matrix'!C151)</f>
        <v/>
      </c>
      <c r="E2332">
        <f>IF(A2332="","",'Skill Matrix'!D151)</f>
        <v/>
      </c>
      <c r="F2332">
        <f>IF(AND('Skill Matrix'!A151&lt;&gt;"",'Skill Matrix'!O5&lt;&gt;""),'Skill Matrix'!O5,"")</f>
        <v/>
      </c>
      <c r="G2332">
        <f>IF(OR(A2332="",'Skill Matrix'!O151=""),"",'Skill Matrix'!O151)</f>
        <v/>
      </c>
      <c r="H2332">
        <f>IF(A2332="","",'Employees'!F15)</f>
        <v/>
      </c>
    </row>
    <row r="2333">
      <c r="A2333">
        <f>IF(AND('Skill Matrix'!A151&lt;&gt;"",'Skill Matrix'!P5&lt;&gt;""),'Skill Matrix'!A151,"")</f>
        <v/>
      </c>
      <c r="B2333">
        <f>IF(A2333="","",'Employees'!C15)</f>
        <v/>
      </c>
      <c r="C2333">
        <f>IF(A2333="","",'Employees'!D15)</f>
        <v/>
      </c>
      <c r="D2333">
        <f>IF(A2333="","",'Skill Matrix'!C151)</f>
        <v/>
      </c>
      <c r="E2333">
        <f>IF(A2333="","",'Skill Matrix'!D151)</f>
        <v/>
      </c>
      <c r="F2333">
        <f>IF(AND('Skill Matrix'!A151&lt;&gt;"",'Skill Matrix'!P5&lt;&gt;""),'Skill Matrix'!P5,"")</f>
        <v/>
      </c>
      <c r="G2333">
        <f>IF(OR(A2333="",'Skill Matrix'!P151=""),"",'Skill Matrix'!P151)</f>
        <v/>
      </c>
      <c r="H2333">
        <f>IF(A2333="","",'Employees'!F15)</f>
        <v/>
      </c>
    </row>
    <row r="2334">
      <c r="A2334">
        <f>IF(AND('Skill Matrix'!A151&lt;&gt;"",'Skill Matrix'!Q5&lt;&gt;""),'Skill Matrix'!A151,"")</f>
        <v/>
      </c>
      <c r="B2334">
        <f>IF(A2334="","",'Employees'!C15)</f>
        <v/>
      </c>
      <c r="C2334">
        <f>IF(A2334="","",'Employees'!D15)</f>
        <v/>
      </c>
      <c r="D2334">
        <f>IF(A2334="","",'Skill Matrix'!C151)</f>
        <v/>
      </c>
      <c r="E2334">
        <f>IF(A2334="","",'Skill Matrix'!D151)</f>
        <v/>
      </c>
      <c r="F2334">
        <f>IF(AND('Skill Matrix'!A151&lt;&gt;"",'Skill Matrix'!Q5&lt;&gt;""),'Skill Matrix'!Q5,"")</f>
        <v/>
      </c>
      <c r="G2334">
        <f>IF(OR(A2334="",'Skill Matrix'!Q151=""),"",'Skill Matrix'!Q151)</f>
        <v/>
      </c>
      <c r="H2334">
        <f>IF(A2334="","",'Employees'!F15)</f>
        <v/>
      </c>
    </row>
    <row r="2335">
      <c r="A2335">
        <f>IF(AND('Skill Matrix'!A151&lt;&gt;"",'Skill Matrix'!R5&lt;&gt;""),'Skill Matrix'!A151,"")</f>
        <v/>
      </c>
      <c r="B2335">
        <f>IF(A2335="","",'Employees'!C15)</f>
        <v/>
      </c>
      <c r="C2335">
        <f>IF(A2335="","",'Employees'!D15)</f>
        <v/>
      </c>
      <c r="D2335">
        <f>IF(A2335="","",'Skill Matrix'!C151)</f>
        <v/>
      </c>
      <c r="E2335">
        <f>IF(A2335="","",'Skill Matrix'!D151)</f>
        <v/>
      </c>
      <c r="F2335">
        <f>IF(AND('Skill Matrix'!A151&lt;&gt;"",'Skill Matrix'!R5&lt;&gt;""),'Skill Matrix'!R5,"")</f>
        <v/>
      </c>
      <c r="G2335">
        <f>IF(OR(A2335="",'Skill Matrix'!R151=""),"",'Skill Matrix'!R151)</f>
        <v/>
      </c>
      <c r="H2335">
        <f>IF(A2335="","",'Employees'!F15)</f>
        <v/>
      </c>
    </row>
    <row r="2336">
      <c r="A2336">
        <f>IF(AND('Skill Matrix'!A151&lt;&gt;"",'Skill Matrix'!S5&lt;&gt;""),'Skill Matrix'!A151,"")</f>
        <v/>
      </c>
      <c r="B2336">
        <f>IF(A2336="","",'Employees'!C15)</f>
        <v/>
      </c>
      <c r="C2336">
        <f>IF(A2336="","",'Employees'!D15)</f>
        <v/>
      </c>
      <c r="D2336">
        <f>IF(A2336="","",'Skill Matrix'!C151)</f>
        <v/>
      </c>
      <c r="E2336">
        <f>IF(A2336="","",'Skill Matrix'!D151)</f>
        <v/>
      </c>
      <c r="F2336">
        <f>IF(AND('Skill Matrix'!A151&lt;&gt;"",'Skill Matrix'!S5&lt;&gt;""),'Skill Matrix'!S5,"")</f>
        <v/>
      </c>
      <c r="G2336">
        <f>IF(OR(A2336="",'Skill Matrix'!S151=""),"",'Skill Matrix'!S151)</f>
        <v/>
      </c>
      <c r="H2336">
        <f>IF(A2336="","",'Employees'!F15)</f>
        <v/>
      </c>
    </row>
    <row r="2337">
      <c r="A2337">
        <f>IF(AND('Skill Matrix'!A151&lt;&gt;"",'Skill Matrix'!T5&lt;&gt;""),'Skill Matrix'!A151,"")</f>
        <v/>
      </c>
      <c r="B2337">
        <f>IF(A2337="","",'Employees'!C15)</f>
        <v/>
      </c>
      <c r="C2337">
        <f>IF(A2337="","",'Employees'!D15)</f>
        <v/>
      </c>
      <c r="D2337">
        <f>IF(A2337="","",'Skill Matrix'!C151)</f>
        <v/>
      </c>
      <c r="E2337">
        <f>IF(A2337="","",'Skill Matrix'!D151)</f>
        <v/>
      </c>
      <c r="F2337">
        <f>IF(AND('Skill Matrix'!A151&lt;&gt;"",'Skill Matrix'!T5&lt;&gt;""),'Skill Matrix'!T5,"")</f>
        <v/>
      </c>
      <c r="G2337">
        <f>IF(OR(A2337="",'Skill Matrix'!T151=""),"",'Skill Matrix'!T151)</f>
        <v/>
      </c>
      <c r="H2337">
        <f>IF(A2337="","",'Employees'!F15)</f>
        <v/>
      </c>
    </row>
    <row r="2338">
      <c r="A2338">
        <f>IF(AND('Skill Matrix'!A152&lt;&gt;"",'Skill Matrix'!E5&lt;&gt;""),'Skill Matrix'!A152,"")</f>
        <v/>
      </c>
      <c r="B2338">
        <f>IF(A2338="","",'Employees'!C15)</f>
        <v/>
      </c>
      <c r="C2338">
        <f>IF(A2338="","",'Employees'!D15)</f>
        <v/>
      </c>
      <c r="D2338">
        <f>IF(A2338="","",'Skill Matrix'!C152)</f>
        <v/>
      </c>
      <c r="E2338">
        <f>IF(A2338="","",'Skill Matrix'!D152)</f>
        <v/>
      </c>
      <c r="F2338">
        <f>IF(AND('Skill Matrix'!A152&lt;&gt;"",'Skill Matrix'!E5&lt;&gt;""),'Skill Matrix'!E5,"")</f>
        <v/>
      </c>
      <c r="G2338">
        <f>IF(OR(A2338="",'Skill Matrix'!E152=""),"",'Skill Matrix'!E152)</f>
        <v/>
      </c>
      <c r="H2338">
        <f>IF(A2338="","",'Employees'!F15)</f>
        <v/>
      </c>
    </row>
    <row r="2339">
      <c r="A2339">
        <f>IF(AND('Skill Matrix'!A152&lt;&gt;"",'Skill Matrix'!F5&lt;&gt;""),'Skill Matrix'!A152,"")</f>
        <v/>
      </c>
      <c r="B2339">
        <f>IF(A2339="","",'Employees'!C15)</f>
        <v/>
      </c>
      <c r="C2339">
        <f>IF(A2339="","",'Employees'!D15)</f>
        <v/>
      </c>
      <c r="D2339">
        <f>IF(A2339="","",'Skill Matrix'!C152)</f>
        <v/>
      </c>
      <c r="E2339">
        <f>IF(A2339="","",'Skill Matrix'!D152)</f>
        <v/>
      </c>
      <c r="F2339">
        <f>IF(AND('Skill Matrix'!A152&lt;&gt;"",'Skill Matrix'!F5&lt;&gt;""),'Skill Matrix'!F5,"")</f>
        <v/>
      </c>
      <c r="G2339">
        <f>IF(OR(A2339="",'Skill Matrix'!F152=""),"",'Skill Matrix'!F152)</f>
        <v/>
      </c>
      <c r="H2339">
        <f>IF(A2339="","",'Employees'!F15)</f>
        <v/>
      </c>
    </row>
    <row r="2340">
      <c r="A2340">
        <f>IF(AND('Skill Matrix'!A152&lt;&gt;"",'Skill Matrix'!G5&lt;&gt;""),'Skill Matrix'!A152,"")</f>
        <v/>
      </c>
      <c r="B2340">
        <f>IF(A2340="","",'Employees'!C15)</f>
        <v/>
      </c>
      <c r="C2340">
        <f>IF(A2340="","",'Employees'!D15)</f>
        <v/>
      </c>
      <c r="D2340">
        <f>IF(A2340="","",'Skill Matrix'!C152)</f>
        <v/>
      </c>
      <c r="E2340">
        <f>IF(A2340="","",'Skill Matrix'!D152)</f>
        <v/>
      </c>
      <c r="F2340">
        <f>IF(AND('Skill Matrix'!A152&lt;&gt;"",'Skill Matrix'!G5&lt;&gt;""),'Skill Matrix'!G5,"")</f>
        <v/>
      </c>
      <c r="G2340">
        <f>IF(OR(A2340="",'Skill Matrix'!G152=""),"",'Skill Matrix'!G152)</f>
        <v/>
      </c>
      <c r="H2340">
        <f>IF(A2340="","",'Employees'!F15)</f>
        <v/>
      </c>
    </row>
    <row r="2341">
      <c r="A2341">
        <f>IF(AND('Skill Matrix'!A152&lt;&gt;"",'Skill Matrix'!H5&lt;&gt;""),'Skill Matrix'!A152,"")</f>
        <v/>
      </c>
      <c r="B2341">
        <f>IF(A2341="","",'Employees'!C15)</f>
        <v/>
      </c>
      <c r="C2341">
        <f>IF(A2341="","",'Employees'!D15)</f>
        <v/>
      </c>
      <c r="D2341">
        <f>IF(A2341="","",'Skill Matrix'!C152)</f>
        <v/>
      </c>
      <c r="E2341">
        <f>IF(A2341="","",'Skill Matrix'!D152)</f>
        <v/>
      </c>
      <c r="F2341">
        <f>IF(AND('Skill Matrix'!A152&lt;&gt;"",'Skill Matrix'!H5&lt;&gt;""),'Skill Matrix'!H5,"")</f>
        <v/>
      </c>
      <c r="G2341">
        <f>IF(OR(A2341="",'Skill Matrix'!H152=""),"",'Skill Matrix'!H152)</f>
        <v/>
      </c>
      <c r="H2341">
        <f>IF(A2341="","",'Employees'!F15)</f>
        <v/>
      </c>
    </row>
    <row r="2342">
      <c r="A2342">
        <f>IF(AND('Skill Matrix'!A152&lt;&gt;"",'Skill Matrix'!I5&lt;&gt;""),'Skill Matrix'!A152,"")</f>
        <v/>
      </c>
      <c r="B2342">
        <f>IF(A2342="","",'Employees'!C15)</f>
        <v/>
      </c>
      <c r="C2342">
        <f>IF(A2342="","",'Employees'!D15)</f>
        <v/>
      </c>
      <c r="D2342">
        <f>IF(A2342="","",'Skill Matrix'!C152)</f>
        <v/>
      </c>
      <c r="E2342">
        <f>IF(A2342="","",'Skill Matrix'!D152)</f>
        <v/>
      </c>
      <c r="F2342">
        <f>IF(AND('Skill Matrix'!A152&lt;&gt;"",'Skill Matrix'!I5&lt;&gt;""),'Skill Matrix'!I5,"")</f>
        <v/>
      </c>
      <c r="G2342">
        <f>IF(OR(A2342="",'Skill Matrix'!I152=""),"",'Skill Matrix'!I152)</f>
        <v/>
      </c>
      <c r="H2342">
        <f>IF(A2342="","",'Employees'!F15)</f>
        <v/>
      </c>
    </row>
    <row r="2343">
      <c r="A2343">
        <f>IF(AND('Skill Matrix'!A152&lt;&gt;"",'Skill Matrix'!J5&lt;&gt;""),'Skill Matrix'!A152,"")</f>
        <v/>
      </c>
      <c r="B2343">
        <f>IF(A2343="","",'Employees'!C15)</f>
        <v/>
      </c>
      <c r="C2343">
        <f>IF(A2343="","",'Employees'!D15)</f>
        <v/>
      </c>
      <c r="D2343">
        <f>IF(A2343="","",'Skill Matrix'!C152)</f>
        <v/>
      </c>
      <c r="E2343">
        <f>IF(A2343="","",'Skill Matrix'!D152)</f>
        <v/>
      </c>
      <c r="F2343">
        <f>IF(AND('Skill Matrix'!A152&lt;&gt;"",'Skill Matrix'!J5&lt;&gt;""),'Skill Matrix'!J5,"")</f>
        <v/>
      </c>
      <c r="G2343">
        <f>IF(OR(A2343="",'Skill Matrix'!J152=""),"",'Skill Matrix'!J152)</f>
        <v/>
      </c>
      <c r="H2343">
        <f>IF(A2343="","",'Employees'!F15)</f>
        <v/>
      </c>
    </row>
    <row r="2344">
      <c r="A2344">
        <f>IF(AND('Skill Matrix'!A152&lt;&gt;"",'Skill Matrix'!K5&lt;&gt;""),'Skill Matrix'!A152,"")</f>
        <v/>
      </c>
      <c r="B2344">
        <f>IF(A2344="","",'Employees'!C15)</f>
        <v/>
      </c>
      <c r="C2344">
        <f>IF(A2344="","",'Employees'!D15)</f>
        <v/>
      </c>
      <c r="D2344">
        <f>IF(A2344="","",'Skill Matrix'!C152)</f>
        <v/>
      </c>
      <c r="E2344">
        <f>IF(A2344="","",'Skill Matrix'!D152)</f>
        <v/>
      </c>
      <c r="F2344">
        <f>IF(AND('Skill Matrix'!A152&lt;&gt;"",'Skill Matrix'!K5&lt;&gt;""),'Skill Matrix'!K5,"")</f>
        <v/>
      </c>
      <c r="G2344">
        <f>IF(OR(A2344="",'Skill Matrix'!K152=""),"",'Skill Matrix'!K152)</f>
        <v/>
      </c>
      <c r="H2344">
        <f>IF(A2344="","",'Employees'!F15)</f>
        <v/>
      </c>
    </row>
    <row r="2345">
      <c r="A2345">
        <f>IF(AND('Skill Matrix'!A152&lt;&gt;"",'Skill Matrix'!L5&lt;&gt;""),'Skill Matrix'!A152,"")</f>
        <v/>
      </c>
      <c r="B2345">
        <f>IF(A2345="","",'Employees'!C15)</f>
        <v/>
      </c>
      <c r="C2345">
        <f>IF(A2345="","",'Employees'!D15)</f>
        <v/>
      </c>
      <c r="D2345">
        <f>IF(A2345="","",'Skill Matrix'!C152)</f>
        <v/>
      </c>
      <c r="E2345">
        <f>IF(A2345="","",'Skill Matrix'!D152)</f>
        <v/>
      </c>
      <c r="F2345">
        <f>IF(AND('Skill Matrix'!A152&lt;&gt;"",'Skill Matrix'!L5&lt;&gt;""),'Skill Matrix'!L5,"")</f>
        <v/>
      </c>
      <c r="G2345">
        <f>IF(OR(A2345="",'Skill Matrix'!L152=""),"",'Skill Matrix'!L152)</f>
        <v/>
      </c>
      <c r="H2345">
        <f>IF(A2345="","",'Employees'!F15)</f>
        <v/>
      </c>
    </row>
    <row r="2346">
      <c r="A2346">
        <f>IF(AND('Skill Matrix'!A152&lt;&gt;"",'Skill Matrix'!M5&lt;&gt;""),'Skill Matrix'!A152,"")</f>
        <v/>
      </c>
      <c r="B2346">
        <f>IF(A2346="","",'Employees'!C15)</f>
        <v/>
      </c>
      <c r="C2346">
        <f>IF(A2346="","",'Employees'!D15)</f>
        <v/>
      </c>
      <c r="D2346">
        <f>IF(A2346="","",'Skill Matrix'!C152)</f>
        <v/>
      </c>
      <c r="E2346">
        <f>IF(A2346="","",'Skill Matrix'!D152)</f>
        <v/>
      </c>
      <c r="F2346">
        <f>IF(AND('Skill Matrix'!A152&lt;&gt;"",'Skill Matrix'!M5&lt;&gt;""),'Skill Matrix'!M5,"")</f>
        <v/>
      </c>
      <c r="G2346">
        <f>IF(OR(A2346="",'Skill Matrix'!M152=""),"",'Skill Matrix'!M152)</f>
        <v/>
      </c>
      <c r="H2346">
        <f>IF(A2346="","",'Employees'!F15)</f>
        <v/>
      </c>
    </row>
    <row r="2347">
      <c r="A2347">
        <f>IF(AND('Skill Matrix'!A152&lt;&gt;"",'Skill Matrix'!N5&lt;&gt;""),'Skill Matrix'!A152,"")</f>
        <v/>
      </c>
      <c r="B2347">
        <f>IF(A2347="","",'Employees'!C15)</f>
        <v/>
      </c>
      <c r="C2347">
        <f>IF(A2347="","",'Employees'!D15)</f>
        <v/>
      </c>
      <c r="D2347">
        <f>IF(A2347="","",'Skill Matrix'!C152)</f>
        <v/>
      </c>
      <c r="E2347">
        <f>IF(A2347="","",'Skill Matrix'!D152)</f>
        <v/>
      </c>
      <c r="F2347">
        <f>IF(AND('Skill Matrix'!A152&lt;&gt;"",'Skill Matrix'!N5&lt;&gt;""),'Skill Matrix'!N5,"")</f>
        <v/>
      </c>
      <c r="G2347">
        <f>IF(OR(A2347="",'Skill Matrix'!N152=""),"",'Skill Matrix'!N152)</f>
        <v/>
      </c>
      <c r="H2347">
        <f>IF(A2347="","",'Employees'!F15)</f>
        <v/>
      </c>
    </row>
    <row r="2348">
      <c r="A2348">
        <f>IF(AND('Skill Matrix'!A152&lt;&gt;"",'Skill Matrix'!O5&lt;&gt;""),'Skill Matrix'!A152,"")</f>
        <v/>
      </c>
      <c r="B2348">
        <f>IF(A2348="","",'Employees'!C15)</f>
        <v/>
      </c>
      <c r="C2348">
        <f>IF(A2348="","",'Employees'!D15)</f>
        <v/>
      </c>
      <c r="D2348">
        <f>IF(A2348="","",'Skill Matrix'!C152)</f>
        <v/>
      </c>
      <c r="E2348">
        <f>IF(A2348="","",'Skill Matrix'!D152)</f>
        <v/>
      </c>
      <c r="F2348">
        <f>IF(AND('Skill Matrix'!A152&lt;&gt;"",'Skill Matrix'!O5&lt;&gt;""),'Skill Matrix'!O5,"")</f>
        <v/>
      </c>
      <c r="G2348">
        <f>IF(OR(A2348="",'Skill Matrix'!O152=""),"",'Skill Matrix'!O152)</f>
        <v/>
      </c>
      <c r="H2348">
        <f>IF(A2348="","",'Employees'!F15)</f>
        <v/>
      </c>
    </row>
    <row r="2349">
      <c r="A2349">
        <f>IF(AND('Skill Matrix'!A152&lt;&gt;"",'Skill Matrix'!P5&lt;&gt;""),'Skill Matrix'!A152,"")</f>
        <v/>
      </c>
      <c r="B2349">
        <f>IF(A2349="","",'Employees'!C15)</f>
        <v/>
      </c>
      <c r="C2349">
        <f>IF(A2349="","",'Employees'!D15)</f>
        <v/>
      </c>
      <c r="D2349">
        <f>IF(A2349="","",'Skill Matrix'!C152)</f>
        <v/>
      </c>
      <c r="E2349">
        <f>IF(A2349="","",'Skill Matrix'!D152)</f>
        <v/>
      </c>
      <c r="F2349">
        <f>IF(AND('Skill Matrix'!A152&lt;&gt;"",'Skill Matrix'!P5&lt;&gt;""),'Skill Matrix'!P5,"")</f>
        <v/>
      </c>
      <c r="G2349">
        <f>IF(OR(A2349="",'Skill Matrix'!P152=""),"",'Skill Matrix'!P152)</f>
        <v/>
      </c>
      <c r="H2349">
        <f>IF(A2349="","",'Employees'!F15)</f>
        <v/>
      </c>
    </row>
    <row r="2350">
      <c r="A2350">
        <f>IF(AND('Skill Matrix'!A152&lt;&gt;"",'Skill Matrix'!Q5&lt;&gt;""),'Skill Matrix'!A152,"")</f>
        <v/>
      </c>
      <c r="B2350">
        <f>IF(A2350="","",'Employees'!C15)</f>
        <v/>
      </c>
      <c r="C2350">
        <f>IF(A2350="","",'Employees'!D15)</f>
        <v/>
      </c>
      <c r="D2350">
        <f>IF(A2350="","",'Skill Matrix'!C152)</f>
        <v/>
      </c>
      <c r="E2350">
        <f>IF(A2350="","",'Skill Matrix'!D152)</f>
        <v/>
      </c>
      <c r="F2350">
        <f>IF(AND('Skill Matrix'!A152&lt;&gt;"",'Skill Matrix'!Q5&lt;&gt;""),'Skill Matrix'!Q5,"")</f>
        <v/>
      </c>
      <c r="G2350">
        <f>IF(OR(A2350="",'Skill Matrix'!Q152=""),"",'Skill Matrix'!Q152)</f>
        <v/>
      </c>
      <c r="H2350">
        <f>IF(A2350="","",'Employees'!F15)</f>
        <v/>
      </c>
    </row>
    <row r="2351">
      <c r="A2351">
        <f>IF(AND('Skill Matrix'!A152&lt;&gt;"",'Skill Matrix'!R5&lt;&gt;""),'Skill Matrix'!A152,"")</f>
        <v/>
      </c>
      <c r="B2351">
        <f>IF(A2351="","",'Employees'!C15)</f>
        <v/>
      </c>
      <c r="C2351">
        <f>IF(A2351="","",'Employees'!D15)</f>
        <v/>
      </c>
      <c r="D2351">
        <f>IF(A2351="","",'Skill Matrix'!C152)</f>
        <v/>
      </c>
      <c r="E2351">
        <f>IF(A2351="","",'Skill Matrix'!D152)</f>
        <v/>
      </c>
      <c r="F2351">
        <f>IF(AND('Skill Matrix'!A152&lt;&gt;"",'Skill Matrix'!R5&lt;&gt;""),'Skill Matrix'!R5,"")</f>
        <v/>
      </c>
      <c r="G2351">
        <f>IF(OR(A2351="",'Skill Matrix'!R152=""),"",'Skill Matrix'!R152)</f>
        <v/>
      </c>
      <c r="H2351">
        <f>IF(A2351="","",'Employees'!F15)</f>
        <v/>
      </c>
    </row>
    <row r="2352">
      <c r="A2352">
        <f>IF(AND('Skill Matrix'!A152&lt;&gt;"",'Skill Matrix'!S5&lt;&gt;""),'Skill Matrix'!A152,"")</f>
        <v/>
      </c>
      <c r="B2352">
        <f>IF(A2352="","",'Employees'!C15)</f>
        <v/>
      </c>
      <c r="C2352">
        <f>IF(A2352="","",'Employees'!D15)</f>
        <v/>
      </c>
      <c r="D2352">
        <f>IF(A2352="","",'Skill Matrix'!C152)</f>
        <v/>
      </c>
      <c r="E2352">
        <f>IF(A2352="","",'Skill Matrix'!D152)</f>
        <v/>
      </c>
      <c r="F2352">
        <f>IF(AND('Skill Matrix'!A152&lt;&gt;"",'Skill Matrix'!S5&lt;&gt;""),'Skill Matrix'!S5,"")</f>
        <v/>
      </c>
      <c r="G2352">
        <f>IF(OR(A2352="",'Skill Matrix'!S152=""),"",'Skill Matrix'!S152)</f>
        <v/>
      </c>
      <c r="H2352">
        <f>IF(A2352="","",'Employees'!F15)</f>
        <v/>
      </c>
    </row>
    <row r="2353">
      <c r="A2353">
        <f>IF(AND('Skill Matrix'!A152&lt;&gt;"",'Skill Matrix'!T5&lt;&gt;""),'Skill Matrix'!A152,"")</f>
        <v/>
      </c>
      <c r="B2353">
        <f>IF(A2353="","",'Employees'!C15)</f>
        <v/>
      </c>
      <c r="C2353">
        <f>IF(A2353="","",'Employees'!D15)</f>
        <v/>
      </c>
      <c r="D2353">
        <f>IF(A2353="","",'Skill Matrix'!C152)</f>
        <v/>
      </c>
      <c r="E2353">
        <f>IF(A2353="","",'Skill Matrix'!D152)</f>
        <v/>
      </c>
      <c r="F2353">
        <f>IF(AND('Skill Matrix'!A152&lt;&gt;"",'Skill Matrix'!T5&lt;&gt;""),'Skill Matrix'!T5,"")</f>
        <v/>
      </c>
      <c r="G2353">
        <f>IF(OR(A2353="",'Skill Matrix'!T152=""),"",'Skill Matrix'!T152)</f>
        <v/>
      </c>
      <c r="H2353">
        <f>IF(A2353="","",'Employees'!F15)</f>
        <v/>
      </c>
    </row>
    <row r="2354">
      <c r="A2354">
        <f>IF(AND('Skill Matrix'!A153&lt;&gt;"",'Skill Matrix'!E5&lt;&gt;""),'Skill Matrix'!A153,"")</f>
        <v/>
      </c>
      <c r="B2354">
        <f>IF(A2354="","",'Employees'!C15)</f>
        <v/>
      </c>
      <c r="C2354">
        <f>IF(A2354="","",'Employees'!D15)</f>
        <v/>
      </c>
      <c r="D2354">
        <f>IF(A2354="","",'Skill Matrix'!C153)</f>
        <v/>
      </c>
      <c r="E2354">
        <f>IF(A2354="","",'Skill Matrix'!D153)</f>
        <v/>
      </c>
      <c r="F2354">
        <f>IF(AND('Skill Matrix'!A153&lt;&gt;"",'Skill Matrix'!E5&lt;&gt;""),'Skill Matrix'!E5,"")</f>
        <v/>
      </c>
      <c r="G2354">
        <f>IF(OR(A2354="",'Skill Matrix'!E153=""),"",'Skill Matrix'!E153)</f>
        <v/>
      </c>
      <c r="H2354">
        <f>IF(A2354="","",'Employees'!F15)</f>
        <v/>
      </c>
    </row>
    <row r="2355">
      <c r="A2355">
        <f>IF(AND('Skill Matrix'!A153&lt;&gt;"",'Skill Matrix'!F5&lt;&gt;""),'Skill Matrix'!A153,"")</f>
        <v/>
      </c>
      <c r="B2355">
        <f>IF(A2355="","",'Employees'!C15)</f>
        <v/>
      </c>
      <c r="C2355">
        <f>IF(A2355="","",'Employees'!D15)</f>
        <v/>
      </c>
      <c r="D2355">
        <f>IF(A2355="","",'Skill Matrix'!C153)</f>
        <v/>
      </c>
      <c r="E2355">
        <f>IF(A2355="","",'Skill Matrix'!D153)</f>
        <v/>
      </c>
      <c r="F2355">
        <f>IF(AND('Skill Matrix'!A153&lt;&gt;"",'Skill Matrix'!F5&lt;&gt;""),'Skill Matrix'!F5,"")</f>
        <v/>
      </c>
      <c r="G2355">
        <f>IF(OR(A2355="",'Skill Matrix'!F153=""),"",'Skill Matrix'!F153)</f>
        <v/>
      </c>
      <c r="H2355">
        <f>IF(A2355="","",'Employees'!F15)</f>
        <v/>
      </c>
    </row>
    <row r="2356">
      <c r="A2356">
        <f>IF(AND('Skill Matrix'!A153&lt;&gt;"",'Skill Matrix'!G5&lt;&gt;""),'Skill Matrix'!A153,"")</f>
        <v/>
      </c>
      <c r="B2356">
        <f>IF(A2356="","",'Employees'!C15)</f>
        <v/>
      </c>
      <c r="C2356">
        <f>IF(A2356="","",'Employees'!D15)</f>
        <v/>
      </c>
      <c r="D2356">
        <f>IF(A2356="","",'Skill Matrix'!C153)</f>
        <v/>
      </c>
      <c r="E2356">
        <f>IF(A2356="","",'Skill Matrix'!D153)</f>
        <v/>
      </c>
      <c r="F2356">
        <f>IF(AND('Skill Matrix'!A153&lt;&gt;"",'Skill Matrix'!G5&lt;&gt;""),'Skill Matrix'!G5,"")</f>
        <v/>
      </c>
      <c r="G2356">
        <f>IF(OR(A2356="",'Skill Matrix'!G153=""),"",'Skill Matrix'!G153)</f>
        <v/>
      </c>
      <c r="H2356">
        <f>IF(A2356="","",'Employees'!F15)</f>
        <v/>
      </c>
    </row>
    <row r="2357">
      <c r="A2357">
        <f>IF(AND('Skill Matrix'!A153&lt;&gt;"",'Skill Matrix'!H5&lt;&gt;""),'Skill Matrix'!A153,"")</f>
        <v/>
      </c>
      <c r="B2357">
        <f>IF(A2357="","",'Employees'!C15)</f>
        <v/>
      </c>
      <c r="C2357">
        <f>IF(A2357="","",'Employees'!D15)</f>
        <v/>
      </c>
      <c r="D2357">
        <f>IF(A2357="","",'Skill Matrix'!C153)</f>
        <v/>
      </c>
      <c r="E2357">
        <f>IF(A2357="","",'Skill Matrix'!D153)</f>
        <v/>
      </c>
      <c r="F2357">
        <f>IF(AND('Skill Matrix'!A153&lt;&gt;"",'Skill Matrix'!H5&lt;&gt;""),'Skill Matrix'!H5,"")</f>
        <v/>
      </c>
      <c r="G2357">
        <f>IF(OR(A2357="",'Skill Matrix'!H153=""),"",'Skill Matrix'!H153)</f>
        <v/>
      </c>
      <c r="H2357">
        <f>IF(A2357="","",'Employees'!F15)</f>
        <v/>
      </c>
    </row>
    <row r="2358">
      <c r="A2358">
        <f>IF(AND('Skill Matrix'!A153&lt;&gt;"",'Skill Matrix'!I5&lt;&gt;""),'Skill Matrix'!A153,"")</f>
        <v/>
      </c>
      <c r="B2358">
        <f>IF(A2358="","",'Employees'!C15)</f>
        <v/>
      </c>
      <c r="C2358">
        <f>IF(A2358="","",'Employees'!D15)</f>
        <v/>
      </c>
      <c r="D2358">
        <f>IF(A2358="","",'Skill Matrix'!C153)</f>
        <v/>
      </c>
      <c r="E2358">
        <f>IF(A2358="","",'Skill Matrix'!D153)</f>
        <v/>
      </c>
      <c r="F2358">
        <f>IF(AND('Skill Matrix'!A153&lt;&gt;"",'Skill Matrix'!I5&lt;&gt;""),'Skill Matrix'!I5,"")</f>
        <v/>
      </c>
      <c r="G2358">
        <f>IF(OR(A2358="",'Skill Matrix'!I153=""),"",'Skill Matrix'!I153)</f>
        <v/>
      </c>
      <c r="H2358">
        <f>IF(A2358="","",'Employees'!F15)</f>
        <v/>
      </c>
    </row>
    <row r="2359">
      <c r="A2359">
        <f>IF(AND('Skill Matrix'!A153&lt;&gt;"",'Skill Matrix'!J5&lt;&gt;""),'Skill Matrix'!A153,"")</f>
        <v/>
      </c>
      <c r="B2359">
        <f>IF(A2359="","",'Employees'!C15)</f>
        <v/>
      </c>
      <c r="C2359">
        <f>IF(A2359="","",'Employees'!D15)</f>
        <v/>
      </c>
      <c r="D2359">
        <f>IF(A2359="","",'Skill Matrix'!C153)</f>
        <v/>
      </c>
      <c r="E2359">
        <f>IF(A2359="","",'Skill Matrix'!D153)</f>
        <v/>
      </c>
      <c r="F2359">
        <f>IF(AND('Skill Matrix'!A153&lt;&gt;"",'Skill Matrix'!J5&lt;&gt;""),'Skill Matrix'!J5,"")</f>
        <v/>
      </c>
      <c r="G2359">
        <f>IF(OR(A2359="",'Skill Matrix'!J153=""),"",'Skill Matrix'!J153)</f>
        <v/>
      </c>
      <c r="H2359">
        <f>IF(A2359="","",'Employees'!F15)</f>
        <v/>
      </c>
    </row>
    <row r="2360">
      <c r="A2360">
        <f>IF(AND('Skill Matrix'!A153&lt;&gt;"",'Skill Matrix'!K5&lt;&gt;""),'Skill Matrix'!A153,"")</f>
        <v/>
      </c>
      <c r="B2360">
        <f>IF(A2360="","",'Employees'!C15)</f>
        <v/>
      </c>
      <c r="C2360">
        <f>IF(A2360="","",'Employees'!D15)</f>
        <v/>
      </c>
      <c r="D2360">
        <f>IF(A2360="","",'Skill Matrix'!C153)</f>
        <v/>
      </c>
      <c r="E2360">
        <f>IF(A2360="","",'Skill Matrix'!D153)</f>
        <v/>
      </c>
      <c r="F2360">
        <f>IF(AND('Skill Matrix'!A153&lt;&gt;"",'Skill Matrix'!K5&lt;&gt;""),'Skill Matrix'!K5,"")</f>
        <v/>
      </c>
      <c r="G2360">
        <f>IF(OR(A2360="",'Skill Matrix'!K153=""),"",'Skill Matrix'!K153)</f>
        <v/>
      </c>
      <c r="H2360">
        <f>IF(A2360="","",'Employees'!F15)</f>
        <v/>
      </c>
    </row>
    <row r="2361">
      <c r="A2361">
        <f>IF(AND('Skill Matrix'!A153&lt;&gt;"",'Skill Matrix'!L5&lt;&gt;""),'Skill Matrix'!A153,"")</f>
        <v/>
      </c>
      <c r="B2361">
        <f>IF(A2361="","",'Employees'!C15)</f>
        <v/>
      </c>
      <c r="C2361">
        <f>IF(A2361="","",'Employees'!D15)</f>
        <v/>
      </c>
      <c r="D2361">
        <f>IF(A2361="","",'Skill Matrix'!C153)</f>
        <v/>
      </c>
      <c r="E2361">
        <f>IF(A2361="","",'Skill Matrix'!D153)</f>
        <v/>
      </c>
      <c r="F2361">
        <f>IF(AND('Skill Matrix'!A153&lt;&gt;"",'Skill Matrix'!L5&lt;&gt;""),'Skill Matrix'!L5,"")</f>
        <v/>
      </c>
      <c r="G2361">
        <f>IF(OR(A2361="",'Skill Matrix'!L153=""),"",'Skill Matrix'!L153)</f>
        <v/>
      </c>
      <c r="H2361">
        <f>IF(A2361="","",'Employees'!F15)</f>
        <v/>
      </c>
    </row>
    <row r="2362">
      <c r="A2362">
        <f>IF(AND('Skill Matrix'!A153&lt;&gt;"",'Skill Matrix'!M5&lt;&gt;""),'Skill Matrix'!A153,"")</f>
        <v/>
      </c>
      <c r="B2362">
        <f>IF(A2362="","",'Employees'!C15)</f>
        <v/>
      </c>
      <c r="C2362">
        <f>IF(A2362="","",'Employees'!D15)</f>
        <v/>
      </c>
      <c r="D2362">
        <f>IF(A2362="","",'Skill Matrix'!C153)</f>
        <v/>
      </c>
      <c r="E2362">
        <f>IF(A2362="","",'Skill Matrix'!D153)</f>
        <v/>
      </c>
      <c r="F2362">
        <f>IF(AND('Skill Matrix'!A153&lt;&gt;"",'Skill Matrix'!M5&lt;&gt;""),'Skill Matrix'!M5,"")</f>
        <v/>
      </c>
      <c r="G2362">
        <f>IF(OR(A2362="",'Skill Matrix'!M153=""),"",'Skill Matrix'!M153)</f>
        <v/>
      </c>
      <c r="H2362">
        <f>IF(A2362="","",'Employees'!F15)</f>
        <v/>
      </c>
    </row>
    <row r="2363">
      <c r="A2363">
        <f>IF(AND('Skill Matrix'!A153&lt;&gt;"",'Skill Matrix'!N5&lt;&gt;""),'Skill Matrix'!A153,"")</f>
        <v/>
      </c>
      <c r="B2363">
        <f>IF(A2363="","",'Employees'!C15)</f>
        <v/>
      </c>
      <c r="C2363">
        <f>IF(A2363="","",'Employees'!D15)</f>
        <v/>
      </c>
      <c r="D2363">
        <f>IF(A2363="","",'Skill Matrix'!C153)</f>
        <v/>
      </c>
      <c r="E2363">
        <f>IF(A2363="","",'Skill Matrix'!D153)</f>
        <v/>
      </c>
      <c r="F2363">
        <f>IF(AND('Skill Matrix'!A153&lt;&gt;"",'Skill Matrix'!N5&lt;&gt;""),'Skill Matrix'!N5,"")</f>
        <v/>
      </c>
      <c r="G2363">
        <f>IF(OR(A2363="",'Skill Matrix'!N153=""),"",'Skill Matrix'!N153)</f>
        <v/>
      </c>
      <c r="H2363">
        <f>IF(A2363="","",'Employees'!F15)</f>
        <v/>
      </c>
    </row>
    <row r="2364">
      <c r="A2364">
        <f>IF(AND('Skill Matrix'!A153&lt;&gt;"",'Skill Matrix'!O5&lt;&gt;""),'Skill Matrix'!A153,"")</f>
        <v/>
      </c>
      <c r="B2364">
        <f>IF(A2364="","",'Employees'!C15)</f>
        <v/>
      </c>
      <c r="C2364">
        <f>IF(A2364="","",'Employees'!D15)</f>
        <v/>
      </c>
      <c r="D2364">
        <f>IF(A2364="","",'Skill Matrix'!C153)</f>
        <v/>
      </c>
      <c r="E2364">
        <f>IF(A2364="","",'Skill Matrix'!D153)</f>
        <v/>
      </c>
      <c r="F2364">
        <f>IF(AND('Skill Matrix'!A153&lt;&gt;"",'Skill Matrix'!O5&lt;&gt;""),'Skill Matrix'!O5,"")</f>
        <v/>
      </c>
      <c r="G2364">
        <f>IF(OR(A2364="",'Skill Matrix'!O153=""),"",'Skill Matrix'!O153)</f>
        <v/>
      </c>
      <c r="H2364">
        <f>IF(A2364="","",'Employees'!F15)</f>
        <v/>
      </c>
    </row>
    <row r="2365">
      <c r="A2365">
        <f>IF(AND('Skill Matrix'!A153&lt;&gt;"",'Skill Matrix'!P5&lt;&gt;""),'Skill Matrix'!A153,"")</f>
        <v/>
      </c>
      <c r="B2365">
        <f>IF(A2365="","",'Employees'!C15)</f>
        <v/>
      </c>
      <c r="C2365">
        <f>IF(A2365="","",'Employees'!D15)</f>
        <v/>
      </c>
      <c r="D2365">
        <f>IF(A2365="","",'Skill Matrix'!C153)</f>
        <v/>
      </c>
      <c r="E2365">
        <f>IF(A2365="","",'Skill Matrix'!D153)</f>
        <v/>
      </c>
      <c r="F2365">
        <f>IF(AND('Skill Matrix'!A153&lt;&gt;"",'Skill Matrix'!P5&lt;&gt;""),'Skill Matrix'!P5,"")</f>
        <v/>
      </c>
      <c r="G2365">
        <f>IF(OR(A2365="",'Skill Matrix'!P153=""),"",'Skill Matrix'!P153)</f>
        <v/>
      </c>
      <c r="H2365">
        <f>IF(A2365="","",'Employees'!F15)</f>
        <v/>
      </c>
    </row>
    <row r="2366">
      <c r="A2366">
        <f>IF(AND('Skill Matrix'!A153&lt;&gt;"",'Skill Matrix'!Q5&lt;&gt;""),'Skill Matrix'!A153,"")</f>
        <v/>
      </c>
      <c r="B2366">
        <f>IF(A2366="","",'Employees'!C15)</f>
        <v/>
      </c>
      <c r="C2366">
        <f>IF(A2366="","",'Employees'!D15)</f>
        <v/>
      </c>
      <c r="D2366">
        <f>IF(A2366="","",'Skill Matrix'!C153)</f>
        <v/>
      </c>
      <c r="E2366">
        <f>IF(A2366="","",'Skill Matrix'!D153)</f>
        <v/>
      </c>
      <c r="F2366">
        <f>IF(AND('Skill Matrix'!A153&lt;&gt;"",'Skill Matrix'!Q5&lt;&gt;""),'Skill Matrix'!Q5,"")</f>
        <v/>
      </c>
      <c r="G2366">
        <f>IF(OR(A2366="",'Skill Matrix'!Q153=""),"",'Skill Matrix'!Q153)</f>
        <v/>
      </c>
      <c r="H2366">
        <f>IF(A2366="","",'Employees'!F15)</f>
        <v/>
      </c>
    </row>
    <row r="2367">
      <c r="A2367">
        <f>IF(AND('Skill Matrix'!A153&lt;&gt;"",'Skill Matrix'!R5&lt;&gt;""),'Skill Matrix'!A153,"")</f>
        <v/>
      </c>
      <c r="B2367">
        <f>IF(A2367="","",'Employees'!C15)</f>
        <v/>
      </c>
      <c r="C2367">
        <f>IF(A2367="","",'Employees'!D15)</f>
        <v/>
      </c>
      <c r="D2367">
        <f>IF(A2367="","",'Skill Matrix'!C153)</f>
        <v/>
      </c>
      <c r="E2367">
        <f>IF(A2367="","",'Skill Matrix'!D153)</f>
        <v/>
      </c>
      <c r="F2367">
        <f>IF(AND('Skill Matrix'!A153&lt;&gt;"",'Skill Matrix'!R5&lt;&gt;""),'Skill Matrix'!R5,"")</f>
        <v/>
      </c>
      <c r="G2367">
        <f>IF(OR(A2367="",'Skill Matrix'!R153=""),"",'Skill Matrix'!R153)</f>
        <v/>
      </c>
      <c r="H2367">
        <f>IF(A2367="","",'Employees'!F15)</f>
        <v/>
      </c>
    </row>
    <row r="2368">
      <c r="A2368">
        <f>IF(AND('Skill Matrix'!A153&lt;&gt;"",'Skill Matrix'!S5&lt;&gt;""),'Skill Matrix'!A153,"")</f>
        <v/>
      </c>
      <c r="B2368">
        <f>IF(A2368="","",'Employees'!C15)</f>
        <v/>
      </c>
      <c r="C2368">
        <f>IF(A2368="","",'Employees'!D15)</f>
        <v/>
      </c>
      <c r="D2368">
        <f>IF(A2368="","",'Skill Matrix'!C153)</f>
        <v/>
      </c>
      <c r="E2368">
        <f>IF(A2368="","",'Skill Matrix'!D153)</f>
        <v/>
      </c>
      <c r="F2368">
        <f>IF(AND('Skill Matrix'!A153&lt;&gt;"",'Skill Matrix'!S5&lt;&gt;""),'Skill Matrix'!S5,"")</f>
        <v/>
      </c>
      <c r="G2368">
        <f>IF(OR(A2368="",'Skill Matrix'!S153=""),"",'Skill Matrix'!S153)</f>
        <v/>
      </c>
      <c r="H2368">
        <f>IF(A2368="","",'Employees'!F15)</f>
        <v/>
      </c>
    </row>
    <row r="2369">
      <c r="A2369">
        <f>IF(AND('Skill Matrix'!A153&lt;&gt;"",'Skill Matrix'!T5&lt;&gt;""),'Skill Matrix'!A153,"")</f>
        <v/>
      </c>
      <c r="B2369">
        <f>IF(A2369="","",'Employees'!C15)</f>
        <v/>
      </c>
      <c r="C2369">
        <f>IF(A2369="","",'Employees'!D15)</f>
        <v/>
      </c>
      <c r="D2369">
        <f>IF(A2369="","",'Skill Matrix'!C153)</f>
        <v/>
      </c>
      <c r="E2369">
        <f>IF(A2369="","",'Skill Matrix'!D153)</f>
        <v/>
      </c>
      <c r="F2369">
        <f>IF(AND('Skill Matrix'!A153&lt;&gt;"",'Skill Matrix'!T5&lt;&gt;""),'Skill Matrix'!T5,"")</f>
        <v/>
      </c>
      <c r="G2369">
        <f>IF(OR(A2369="",'Skill Matrix'!T153=""),"",'Skill Matrix'!T153)</f>
        <v/>
      </c>
      <c r="H2369">
        <f>IF(A2369="","",'Employees'!F15)</f>
        <v/>
      </c>
    </row>
    <row r="2370">
      <c r="A2370">
        <f>IF(AND('Skill Matrix'!A154&lt;&gt;"",'Skill Matrix'!E5&lt;&gt;""),'Skill Matrix'!A154,"")</f>
        <v/>
      </c>
      <c r="B2370">
        <f>IF(A2370="","",'Employees'!C15)</f>
        <v/>
      </c>
      <c r="C2370">
        <f>IF(A2370="","",'Employees'!D15)</f>
        <v/>
      </c>
      <c r="D2370">
        <f>IF(A2370="","",'Skill Matrix'!C154)</f>
        <v/>
      </c>
      <c r="E2370">
        <f>IF(A2370="","",'Skill Matrix'!D154)</f>
        <v/>
      </c>
      <c r="F2370">
        <f>IF(AND('Skill Matrix'!A154&lt;&gt;"",'Skill Matrix'!E5&lt;&gt;""),'Skill Matrix'!E5,"")</f>
        <v/>
      </c>
      <c r="G2370">
        <f>IF(OR(A2370="",'Skill Matrix'!E154=""),"",'Skill Matrix'!E154)</f>
        <v/>
      </c>
      <c r="H2370">
        <f>IF(A2370="","",'Employees'!F15)</f>
        <v/>
      </c>
    </row>
    <row r="2371">
      <c r="A2371">
        <f>IF(AND('Skill Matrix'!A154&lt;&gt;"",'Skill Matrix'!F5&lt;&gt;""),'Skill Matrix'!A154,"")</f>
        <v/>
      </c>
      <c r="B2371">
        <f>IF(A2371="","",'Employees'!C15)</f>
        <v/>
      </c>
      <c r="C2371">
        <f>IF(A2371="","",'Employees'!D15)</f>
        <v/>
      </c>
      <c r="D2371">
        <f>IF(A2371="","",'Skill Matrix'!C154)</f>
        <v/>
      </c>
      <c r="E2371">
        <f>IF(A2371="","",'Skill Matrix'!D154)</f>
        <v/>
      </c>
      <c r="F2371">
        <f>IF(AND('Skill Matrix'!A154&lt;&gt;"",'Skill Matrix'!F5&lt;&gt;""),'Skill Matrix'!F5,"")</f>
        <v/>
      </c>
      <c r="G2371">
        <f>IF(OR(A2371="",'Skill Matrix'!F154=""),"",'Skill Matrix'!F154)</f>
        <v/>
      </c>
      <c r="H2371">
        <f>IF(A2371="","",'Employees'!F15)</f>
        <v/>
      </c>
    </row>
    <row r="2372">
      <c r="A2372">
        <f>IF(AND('Skill Matrix'!A154&lt;&gt;"",'Skill Matrix'!G5&lt;&gt;""),'Skill Matrix'!A154,"")</f>
        <v/>
      </c>
      <c r="B2372">
        <f>IF(A2372="","",'Employees'!C15)</f>
        <v/>
      </c>
      <c r="C2372">
        <f>IF(A2372="","",'Employees'!D15)</f>
        <v/>
      </c>
      <c r="D2372">
        <f>IF(A2372="","",'Skill Matrix'!C154)</f>
        <v/>
      </c>
      <c r="E2372">
        <f>IF(A2372="","",'Skill Matrix'!D154)</f>
        <v/>
      </c>
      <c r="F2372">
        <f>IF(AND('Skill Matrix'!A154&lt;&gt;"",'Skill Matrix'!G5&lt;&gt;""),'Skill Matrix'!G5,"")</f>
        <v/>
      </c>
      <c r="G2372">
        <f>IF(OR(A2372="",'Skill Matrix'!G154=""),"",'Skill Matrix'!G154)</f>
        <v/>
      </c>
      <c r="H2372">
        <f>IF(A2372="","",'Employees'!F15)</f>
        <v/>
      </c>
    </row>
    <row r="2373">
      <c r="A2373">
        <f>IF(AND('Skill Matrix'!A154&lt;&gt;"",'Skill Matrix'!H5&lt;&gt;""),'Skill Matrix'!A154,"")</f>
        <v/>
      </c>
      <c r="B2373">
        <f>IF(A2373="","",'Employees'!C15)</f>
        <v/>
      </c>
      <c r="C2373">
        <f>IF(A2373="","",'Employees'!D15)</f>
        <v/>
      </c>
      <c r="D2373">
        <f>IF(A2373="","",'Skill Matrix'!C154)</f>
        <v/>
      </c>
      <c r="E2373">
        <f>IF(A2373="","",'Skill Matrix'!D154)</f>
        <v/>
      </c>
      <c r="F2373">
        <f>IF(AND('Skill Matrix'!A154&lt;&gt;"",'Skill Matrix'!H5&lt;&gt;""),'Skill Matrix'!H5,"")</f>
        <v/>
      </c>
      <c r="G2373">
        <f>IF(OR(A2373="",'Skill Matrix'!H154=""),"",'Skill Matrix'!H154)</f>
        <v/>
      </c>
      <c r="H2373">
        <f>IF(A2373="","",'Employees'!F15)</f>
        <v/>
      </c>
    </row>
    <row r="2374">
      <c r="A2374">
        <f>IF(AND('Skill Matrix'!A154&lt;&gt;"",'Skill Matrix'!I5&lt;&gt;""),'Skill Matrix'!A154,"")</f>
        <v/>
      </c>
      <c r="B2374">
        <f>IF(A2374="","",'Employees'!C15)</f>
        <v/>
      </c>
      <c r="C2374">
        <f>IF(A2374="","",'Employees'!D15)</f>
        <v/>
      </c>
      <c r="D2374">
        <f>IF(A2374="","",'Skill Matrix'!C154)</f>
        <v/>
      </c>
      <c r="E2374">
        <f>IF(A2374="","",'Skill Matrix'!D154)</f>
        <v/>
      </c>
      <c r="F2374">
        <f>IF(AND('Skill Matrix'!A154&lt;&gt;"",'Skill Matrix'!I5&lt;&gt;""),'Skill Matrix'!I5,"")</f>
        <v/>
      </c>
      <c r="G2374">
        <f>IF(OR(A2374="",'Skill Matrix'!I154=""),"",'Skill Matrix'!I154)</f>
        <v/>
      </c>
      <c r="H2374">
        <f>IF(A2374="","",'Employees'!F15)</f>
        <v/>
      </c>
    </row>
    <row r="2375">
      <c r="A2375">
        <f>IF(AND('Skill Matrix'!A154&lt;&gt;"",'Skill Matrix'!J5&lt;&gt;""),'Skill Matrix'!A154,"")</f>
        <v/>
      </c>
      <c r="B2375">
        <f>IF(A2375="","",'Employees'!C15)</f>
        <v/>
      </c>
      <c r="C2375">
        <f>IF(A2375="","",'Employees'!D15)</f>
        <v/>
      </c>
      <c r="D2375">
        <f>IF(A2375="","",'Skill Matrix'!C154)</f>
        <v/>
      </c>
      <c r="E2375">
        <f>IF(A2375="","",'Skill Matrix'!D154)</f>
        <v/>
      </c>
      <c r="F2375">
        <f>IF(AND('Skill Matrix'!A154&lt;&gt;"",'Skill Matrix'!J5&lt;&gt;""),'Skill Matrix'!J5,"")</f>
        <v/>
      </c>
      <c r="G2375">
        <f>IF(OR(A2375="",'Skill Matrix'!J154=""),"",'Skill Matrix'!J154)</f>
        <v/>
      </c>
      <c r="H2375">
        <f>IF(A2375="","",'Employees'!F15)</f>
        <v/>
      </c>
    </row>
    <row r="2376">
      <c r="A2376">
        <f>IF(AND('Skill Matrix'!A154&lt;&gt;"",'Skill Matrix'!K5&lt;&gt;""),'Skill Matrix'!A154,"")</f>
        <v/>
      </c>
      <c r="B2376">
        <f>IF(A2376="","",'Employees'!C15)</f>
        <v/>
      </c>
      <c r="C2376">
        <f>IF(A2376="","",'Employees'!D15)</f>
        <v/>
      </c>
      <c r="D2376">
        <f>IF(A2376="","",'Skill Matrix'!C154)</f>
        <v/>
      </c>
      <c r="E2376">
        <f>IF(A2376="","",'Skill Matrix'!D154)</f>
        <v/>
      </c>
      <c r="F2376">
        <f>IF(AND('Skill Matrix'!A154&lt;&gt;"",'Skill Matrix'!K5&lt;&gt;""),'Skill Matrix'!K5,"")</f>
        <v/>
      </c>
      <c r="G2376">
        <f>IF(OR(A2376="",'Skill Matrix'!K154=""),"",'Skill Matrix'!K154)</f>
        <v/>
      </c>
      <c r="H2376">
        <f>IF(A2376="","",'Employees'!F15)</f>
        <v/>
      </c>
    </row>
    <row r="2377">
      <c r="A2377">
        <f>IF(AND('Skill Matrix'!A154&lt;&gt;"",'Skill Matrix'!L5&lt;&gt;""),'Skill Matrix'!A154,"")</f>
        <v/>
      </c>
      <c r="B2377">
        <f>IF(A2377="","",'Employees'!C15)</f>
        <v/>
      </c>
      <c r="C2377">
        <f>IF(A2377="","",'Employees'!D15)</f>
        <v/>
      </c>
      <c r="D2377">
        <f>IF(A2377="","",'Skill Matrix'!C154)</f>
        <v/>
      </c>
      <c r="E2377">
        <f>IF(A2377="","",'Skill Matrix'!D154)</f>
        <v/>
      </c>
      <c r="F2377">
        <f>IF(AND('Skill Matrix'!A154&lt;&gt;"",'Skill Matrix'!L5&lt;&gt;""),'Skill Matrix'!L5,"")</f>
        <v/>
      </c>
      <c r="G2377">
        <f>IF(OR(A2377="",'Skill Matrix'!L154=""),"",'Skill Matrix'!L154)</f>
        <v/>
      </c>
      <c r="H2377">
        <f>IF(A2377="","",'Employees'!F15)</f>
        <v/>
      </c>
    </row>
    <row r="2378">
      <c r="A2378">
        <f>IF(AND('Skill Matrix'!A154&lt;&gt;"",'Skill Matrix'!M5&lt;&gt;""),'Skill Matrix'!A154,"")</f>
        <v/>
      </c>
      <c r="B2378">
        <f>IF(A2378="","",'Employees'!C15)</f>
        <v/>
      </c>
      <c r="C2378">
        <f>IF(A2378="","",'Employees'!D15)</f>
        <v/>
      </c>
      <c r="D2378">
        <f>IF(A2378="","",'Skill Matrix'!C154)</f>
        <v/>
      </c>
      <c r="E2378">
        <f>IF(A2378="","",'Skill Matrix'!D154)</f>
        <v/>
      </c>
      <c r="F2378">
        <f>IF(AND('Skill Matrix'!A154&lt;&gt;"",'Skill Matrix'!M5&lt;&gt;""),'Skill Matrix'!M5,"")</f>
        <v/>
      </c>
      <c r="G2378">
        <f>IF(OR(A2378="",'Skill Matrix'!M154=""),"",'Skill Matrix'!M154)</f>
        <v/>
      </c>
      <c r="H2378">
        <f>IF(A2378="","",'Employees'!F15)</f>
        <v/>
      </c>
    </row>
    <row r="2379">
      <c r="A2379">
        <f>IF(AND('Skill Matrix'!A154&lt;&gt;"",'Skill Matrix'!N5&lt;&gt;""),'Skill Matrix'!A154,"")</f>
        <v/>
      </c>
      <c r="B2379">
        <f>IF(A2379="","",'Employees'!C15)</f>
        <v/>
      </c>
      <c r="C2379">
        <f>IF(A2379="","",'Employees'!D15)</f>
        <v/>
      </c>
      <c r="D2379">
        <f>IF(A2379="","",'Skill Matrix'!C154)</f>
        <v/>
      </c>
      <c r="E2379">
        <f>IF(A2379="","",'Skill Matrix'!D154)</f>
        <v/>
      </c>
      <c r="F2379">
        <f>IF(AND('Skill Matrix'!A154&lt;&gt;"",'Skill Matrix'!N5&lt;&gt;""),'Skill Matrix'!N5,"")</f>
        <v/>
      </c>
      <c r="G2379">
        <f>IF(OR(A2379="",'Skill Matrix'!N154=""),"",'Skill Matrix'!N154)</f>
        <v/>
      </c>
      <c r="H2379">
        <f>IF(A2379="","",'Employees'!F15)</f>
        <v/>
      </c>
    </row>
    <row r="2380">
      <c r="A2380">
        <f>IF(AND('Skill Matrix'!A154&lt;&gt;"",'Skill Matrix'!O5&lt;&gt;""),'Skill Matrix'!A154,"")</f>
        <v/>
      </c>
      <c r="B2380">
        <f>IF(A2380="","",'Employees'!C15)</f>
        <v/>
      </c>
      <c r="C2380">
        <f>IF(A2380="","",'Employees'!D15)</f>
        <v/>
      </c>
      <c r="D2380">
        <f>IF(A2380="","",'Skill Matrix'!C154)</f>
        <v/>
      </c>
      <c r="E2380">
        <f>IF(A2380="","",'Skill Matrix'!D154)</f>
        <v/>
      </c>
      <c r="F2380">
        <f>IF(AND('Skill Matrix'!A154&lt;&gt;"",'Skill Matrix'!O5&lt;&gt;""),'Skill Matrix'!O5,"")</f>
        <v/>
      </c>
      <c r="G2380">
        <f>IF(OR(A2380="",'Skill Matrix'!O154=""),"",'Skill Matrix'!O154)</f>
        <v/>
      </c>
      <c r="H2380">
        <f>IF(A2380="","",'Employees'!F15)</f>
        <v/>
      </c>
    </row>
    <row r="2381">
      <c r="A2381">
        <f>IF(AND('Skill Matrix'!A154&lt;&gt;"",'Skill Matrix'!P5&lt;&gt;""),'Skill Matrix'!A154,"")</f>
        <v/>
      </c>
      <c r="B2381">
        <f>IF(A2381="","",'Employees'!C15)</f>
        <v/>
      </c>
      <c r="C2381">
        <f>IF(A2381="","",'Employees'!D15)</f>
        <v/>
      </c>
      <c r="D2381">
        <f>IF(A2381="","",'Skill Matrix'!C154)</f>
        <v/>
      </c>
      <c r="E2381">
        <f>IF(A2381="","",'Skill Matrix'!D154)</f>
        <v/>
      </c>
      <c r="F2381">
        <f>IF(AND('Skill Matrix'!A154&lt;&gt;"",'Skill Matrix'!P5&lt;&gt;""),'Skill Matrix'!P5,"")</f>
        <v/>
      </c>
      <c r="G2381">
        <f>IF(OR(A2381="",'Skill Matrix'!P154=""),"",'Skill Matrix'!P154)</f>
        <v/>
      </c>
      <c r="H2381">
        <f>IF(A2381="","",'Employees'!F15)</f>
        <v/>
      </c>
    </row>
    <row r="2382">
      <c r="A2382">
        <f>IF(AND('Skill Matrix'!A154&lt;&gt;"",'Skill Matrix'!Q5&lt;&gt;""),'Skill Matrix'!A154,"")</f>
        <v/>
      </c>
      <c r="B2382">
        <f>IF(A2382="","",'Employees'!C15)</f>
        <v/>
      </c>
      <c r="C2382">
        <f>IF(A2382="","",'Employees'!D15)</f>
        <v/>
      </c>
      <c r="D2382">
        <f>IF(A2382="","",'Skill Matrix'!C154)</f>
        <v/>
      </c>
      <c r="E2382">
        <f>IF(A2382="","",'Skill Matrix'!D154)</f>
        <v/>
      </c>
      <c r="F2382">
        <f>IF(AND('Skill Matrix'!A154&lt;&gt;"",'Skill Matrix'!Q5&lt;&gt;""),'Skill Matrix'!Q5,"")</f>
        <v/>
      </c>
      <c r="G2382">
        <f>IF(OR(A2382="",'Skill Matrix'!Q154=""),"",'Skill Matrix'!Q154)</f>
        <v/>
      </c>
      <c r="H2382">
        <f>IF(A2382="","",'Employees'!F15)</f>
        <v/>
      </c>
    </row>
    <row r="2383">
      <c r="A2383">
        <f>IF(AND('Skill Matrix'!A154&lt;&gt;"",'Skill Matrix'!R5&lt;&gt;""),'Skill Matrix'!A154,"")</f>
        <v/>
      </c>
      <c r="B2383">
        <f>IF(A2383="","",'Employees'!C15)</f>
        <v/>
      </c>
      <c r="C2383">
        <f>IF(A2383="","",'Employees'!D15)</f>
        <v/>
      </c>
      <c r="D2383">
        <f>IF(A2383="","",'Skill Matrix'!C154)</f>
        <v/>
      </c>
      <c r="E2383">
        <f>IF(A2383="","",'Skill Matrix'!D154)</f>
        <v/>
      </c>
      <c r="F2383">
        <f>IF(AND('Skill Matrix'!A154&lt;&gt;"",'Skill Matrix'!R5&lt;&gt;""),'Skill Matrix'!R5,"")</f>
        <v/>
      </c>
      <c r="G2383">
        <f>IF(OR(A2383="",'Skill Matrix'!R154=""),"",'Skill Matrix'!R154)</f>
        <v/>
      </c>
      <c r="H2383">
        <f>IF(A2383="","",'Employees'!F15)</f>
        <v/>
      </c>
    </row>
    <row r="2384">
      <c r="A2384">
        <f>IF(AND('Skill Matrix'!A154&lt;&gt;"",'Skill Matrix'!S5&lt;&gt;""),'Skill Matrix'!A154,"")</f>
        <v/>
      </c>
      <c r="B2384">
        <f>IF(A2384="","",'Employees'!C15)</f>
        <v/>
      </c>
      <c r="C2384">
        <f>IF(A2384="","",'Employees'!D15)</f>
        <v/>
      </c>
      <c r="D2384">
        <f>IF(A2384="","",'Skill Matrix'!C154)</f>
        <v/>
      </c>
      <c r="E2384">
        <f>IF(A2384="","",'Skill Matrix'!D154)</f>
        <v/>
      </c>
      <c r="F2384">
        <f>IF(AND('Skill Matrix'!A154&lt;&gt;"",'Skill Matrix'!S5&lt;&gt;""),'Skill Matrix'!S5,"")</f>
        <v/>
      </c>
      <c r="G2384">
        <f>IF(OR(A2384="",'Skill Matrix'!S154=""),"",'Skill Matrix'!S154)</f>
        <v/>
      </c>
      <c r="H2384">
        <f>IF(A2384="","",'Employees'!F15)</f>
        <v/>
      </c>
    </row>
    <row r="2385">
      <c r="A2385">
        <f>IF(AND('Skill Matrix'!A154&lt;&gt;"",'Skill Matrix'!T5&lt;&gt;""),'Skill Matrix'!A154,"")</f>
        <v/>
      </c>
      <c r="B2385">
        <f>IF(A2385="","",'Employees'!C15)</f>
        <v/>
      </c>
      <c r="C2385">
        <f>IF(A2385="","",'Employees'!D15)</f>
        <v/>
      </c>
      <c r="D2385">
        <f>IF(A2385="","",'Skill Matrix'!C154)</f>
        <v/>
      </c>
      <c r="E2385">
        <f>IF(A2385="","",'Skill Matrix'!D154)</f>
        <v/>
      </c>
      <c r="F2385">
        <f>IF(AND('Skill Matrix'!A154&lt;&gt;"",'Skill Matrix'!T5&lt;&gt;""),'Skill Matrix'!T5,"")</f>
        <v/>
      </c>
      <c r="G2385">
        <f>IF(OR(A2385="",'Skill Matrix'!T154=""),"",'Skill Matrix'!T154)</f>
        <v/>
      </c>
      <c r="H2385">
        <f>IF(A2385="","",'Employees'!F15)</f>
        <v/>
      </c>
    </row>
    <row r="2386">
      <c r="A2386">
        <f>IF(AND('Skill Matrix'!A155&lt;&gt;"",'Skill Matrix'!E5&lt;&gt;""),'Skill Matrix'!A155,"")</f>
        <v/>
      </c>
      <c r="B2386">
        <f>IF(A2386="","",'Employees'!C15)</f>
        <v/>
      </c>
      <c r="C2386">
        <f>IF(A2386="","",'Employees'!D15)</f>
        <v/>
      </c>
      <c r="D2386">
        <f>IF(A2386="","",'Skill Matrix'!C155)</f>
        <v/>
      </c>
      <c r="E2386">
        <f>IF(A2386="","",'Skill Matrix'!D155)</f>
        <v/>
      </c>
      <c r="F2386">
        <f>IF(AND('Skill Matrix'!A155&lt;&gt;"",'Skill Matrix'!E5&lt;&gt;""),'Skill Matrix'!E5,"")</f>
        <v/>
      </c>
      <c r="G2386">
        <f>IF(OR(A2386="",'Skill Matrix'!E155=""),"",'Skill Matrix'!E155)</f>
        <v/>
      </c>
      <c r="H2386">
        <f>IF(A2386="","",'Employees'!F15)</f>
        <v/>
      </c>
    </row>
    <row r="2387">
      <c r="A2387">
        <f>IF(AND('Skill Matrix'!A155&lt;&gt;"",'Skill Matrix'!F5&lt;&gt;""),'Skill Matrix'!A155,"")</f>
        <v/>
      </c>
      <c r="B2387">
        <f>IF(A2387="","",'Employees'!C15)</f>
        <v/>
      </c>
      <c r="C2387">
        <f>IF(A2387="","",'Employees'!D15)</f>
        <v/>
      </c>
      <c r="D2387">
        <f>IF(A2387="","",'Skill Matrix'!C155)</f>
        <v/>
      </c>
      <c r="E2387">
        <f>IF(A2387="","",'Skill Matrix'!D155)</f>
        <v/>
      </c>
      <c r="F2387">
        <f>IF(AND('Skill Matrix'!A155&lt;&gt;"",'Skill Matrix'!F5&lt;&gt;""),'Skill Matrix'!F5,"")</f>
        <v/>
      </c>
      <c r="G2387">
        <f>IF(OR(A2387="",'Skill Matrix'!F155=""),"",'Skill Matrix'!F155)</f>
        <v/>
      </c>
      <c r="H2387">
        <f>IF(A2387="","",'Employees'!F15)</f>
        <v/>
      </c>
    </row>
    <row r="2388">
      <c r="A2388">
        <f>IF(AND('Skill Matrix'!A155&lt;&gt;"",'Skill Matrix'!G5&lt;&gt;""),'Skill Matrix'!A155,"")</f>
        <v/>
      </c>
      <c r="B2388">
        <f>IF(A2388="","",'Employees'!C15)</f>
        <v/>
      </c>
      <c r="C2388">
        <f>IF(A2388="","",'Employees'!D15)</f>
        <v/>
      </c>
      <c r="D2388">
        <f>IF(A2388="","",'Skill Matrix'!C155)</f>
        <v/>
      </c>
      <c r="E2388">
        <f>IF(A2388="","",'Skill Matrix'!D155)</f>
        <v/>
      </c>
      <c r="F2388">
        <f>IF(AND('Skill Matrix'!A155&lt;&gt;"",'Skill Matrix'!G5&lt;&gt;""),'Skill Matrix'!G5,"")</f>
        <v/>
      </c>
      <c r="G2388">
        <f>IF(OR(A2388="",'Skill Matrix'!G155=""),"",'Skill Matrix'!G155)</f>
        <v/>
      </c>
      <c r="H2388">
        <f>IF(A2388="","",'Employees'!F15)</f>
        <v/>
      </c>
    </row>
    <row r="2389">
      <c r="A2389">
        <f>IF(AND('Skill Matrix'!A155&lt;&gt;"",'Skill Matrix'!H5&lt;&gt;""),'Skill Matrix'!A155,"")</f>
        <v/>
      </c>
      <c r="B2389">
        <f>IF(A2389="","",'Employees'!C15)</f>
        <v/>
      </c>
      <c r="C2389">
        <f>IF(A2389="","",'Employees'!D15)</f>
        <v/>
      </c>
      <c r="D2389">
        <f>IF(A2389="","",'Skill Matrix'!C155)</f>
        <v/>
      </c>
      <c r="E2389">
        <f>IF(A2389="","",'Skill Matrix'!D155)</f>
        <v/>
      </c>
      <c r="F2389">
        <f>IF(AND('Skill Matrix'!A155&lt;&gt;"",'Skill Matrix'!H5&lt;&gt;""),'Skill Matrix'!H5,"")</f>
        <v/>
      </c>
      <c r="G2389">
        <f>IF(OR(A2389="",'Skill Matrix'!H155=""),"",'Skill Matrix'!H155)</f>
        <v/>
      </c>
      <c r="H2389">
        <f>IF(A2389="","",'Employees'!F15)</f>
        <v/>
      </c>
    </row>
    <row r="2390">
      <c r="A2390">
        <f>IF(AND('Skill Matrix'!A155&lt;&gt;"",'Skill Matrix'!I5&lt;&gt;""),'Skill Matrix'!A155,"")</f>
        <v/>
      </c>
      <c r="B2390">
        <f>IF(A2390="","",'Employees'!C15)</f>
        <v/>
      </c>
      <c r="C2390">
        <f>IF(A2390="","",'Employees'!D15)</f>
        <v/>
      </c>
      <c r="D2390">
        <f>IF(A2390="","",'Skill Matrix'!C155)</f>
        <v/>
      </c>
      <c r="E2390">
        <f>IF(A2390="","",'Skill Matrix'!D155)</f>
        <v/>
      </c>
      <c r="F2390">
        <f>IF(AND('Skill Matrix'!A155&lt;&gt;"",'Skill Matrix'!I5&lt;&gt;""),'Skill Matrix'!I5,"")</f>
        <v/>
      </c>
      <c r="G2390">
        <f>IF(OR(A2390="",'Skill Matrix'!I155=""),"",'Skill Matrix'!I155)</f>
        <v/>
      </c>
      <c r="H2390">
        <f>IF(A2390="","",'Employees'!F15)</f>
        <v/>
      </c>
    </row>
    <row r="2391">
      <c r="A2391">
        <f>IF(AND('Skill Matrix'!A155&lt;&gt;"",'Skill Matrix'!J5&lt;&gt;""),'Skill Matrix'!A155,"")</f>
        <v/>
      </c>
      <c r="B2391">
        <f>IF(A2391="","",'Employees'!C15)</f>
        <v/>
      </c>
      <c r="C2391">
        <f>IF(A2391="","",'Employees'!D15)</f>
        <v/>
      </c>
      <c r="D2391">
        <f>IF(A2391="","",'Skill Matrix'!C155)</f>
        <v/>
      </c>
      <c r="E2391">
        <f>IF(A2391="","",'Skill Matrix'!D155)</f>
        <v/>
      </c>
      <c r="F2391">
        <f>IF(AND('Skill Matrix'!A155&lt;&gt;"",'Skill Matrix'!J5&lt;&gt;""),'Skill Matrix'!J5,"")</f>
        <v/>
      </c>
      <c r="G2391">
        <f>IF(OR(A2391="",'Skill Matrix'!J155=""),"",'Skill Matrix'!J155)</f>
        <v/>
      </c>
      <c r="H2391">
        <f>IF(A2391="","",'Employees'!F15)</f>
        <v/>
      </c>
    </row>
    <row r="2392">
      <c r="A2392">
        <f>IF(AND('Skill Matrix'!A155&lt;&gt;"",'Skill Matrix'!K5&lt;&gt;""),'Skill Matrix'!A155,"")</f>
        <v/>
      </c>
      <c r="B2392">
        <f>IF(A2392="","",'Employees'!C15)</f>
        <v/>
      </c>
      <c r="C2392">
        <f>IF(A2392="","",'Employees'!D15)</f>
        <v/>
      </c>
      <c r="D2392">
        <f>IF(A2392="","",'Skill Matrix'!C155)</f>
        <v/>
      </c>
      <c r="E2392">
        <f>IF(A2392="","",'Skill Matrix'!D155)</f>
        <v/>
      </c>
      <c r="F2392">
        <f>IF(AND('Skill Matrix'!A155&lt;&gt;"",'Skill Matrix'!K5&lt;&gt;""),'Skill Matrix'!K5,"")</f>
        <v/>
      </c>
      <c r="G2392">
        <f>IF(OR(A2392="",'Skill Matrix'!K155=""),"",'Skill Matrix'!K155)</f>
        <v/>
      </c>
      <c r="H2392">
        <f>IF(A2392="","",'Employees'!F15)</f>
        <v/>
      </c>
    </row>
    <row r="2393">
      <c r="A2393">
        <f>IF(AND('Skill Matrix'!A155&lt;&gt;"",'Skill Matrix'!L5&lt;&gt;""),'Skill Matrix'!A155,"")</f>
        <v/>
      </c>
      <c r="B2393">
        <f>IF(A2393="","",'Employees'!C15)</f>
        <v/>
      </c>
      <c r="C2393">
        <f>IF(A2393="","",'Employees'!D15)</f>
        <v/>
      </c>
      <c r="D2393">
        <f>IF(A2393="","",'Skill Matrix'!C155)</f>
        <v/>
      </c>
      <c r="E2393">
        <f>IF(A2393="","",'Skill Matrix'!D155)</f>
        <v/>
      </c>
      <c r="F2393">
        <f>IF(AND('Skill Matrix'!A155&lt;&gt;"",'Skill Matrix'!L5&lt;&gt;""),'Skill Matrix'!L5,"")</f>
        <v/>
      </c>
      <c r="G2393">
        <f>IF(OR(A2393="",'Skill Matrix'!L155=""),"",'Skill Matrix'!L155)</f>
        <v/>
      </c>
      <c r="H2393">
        <f>IF(A2393="","",'Employees'!F15)</f>
        <v/>
      </c>
    </row>
    <row r="2394">
      <c r="A2394">
        <f>IF(AND('Skill Matrix'!A155&lt;&gt;"",'Skill Matrix'!M5&lt;&gt;""),'Skill Matrix'!A155,"")</f>
        <v/>
      </c>
      <c r="B2394">
        <f>IF(A2394="","",'Employees'!C15)</f>
        <v/>
      </c>
      <c r="C2394">
        <f>IF(A2394="","",'Employees'!D15)</f>
        <v/>
      </c>
      <c r="D2394">
        <f>IF(A2394="","",'Skill Matrix'!C155)</f>
        <v/>
      </c>
      <c r="E2394">
        <f>IF(A2394="","",'Skill Matrix'!D155)</f>
        <v/>
      </c>
      <c r="F2394">
        <f>IF(AND('Skill Matrix'!A155&lt;&gt;"",'Skill Matrix'!M5&lt;&gt;""),'Skill Matrix'!M5,"")</f>
        <v/>
      </c>
      <c r="G2394">
        <f>IF(OR(A2394="",'Skill Matrix'!M155=""),"",'Skill Matrix'!M155)</f>
        <v/>
      </c>
      <c r="H2394">
        <f>IF(A2394="","",'Employees'!F15)</f>
        <v/>
      </c>
    </row>
    <row r="2395">
      <c r="A2395">
        <f>IF(AND('Skill Matrix'!A155&lt;&gt;"",'Skill Matrix'!N5&lt;&gt;""),'Skill Matrix'!A155,"")</f>
        <v/>
      </c>
      <c r="B2395">
        <f>IF(A2395="","",'Employees'!C15)</f>
        <v/>
      </c>
      <c r="C2395">
        <f>IF(A2395="","",'Employees'!D15)</f>
        <v/>
      </c>
      <c r="D2395">
        <f>IF(A2395="","",'Skill Matrix'!C155)</f>
        <v/>
      </c>
      <c r="E2395">
        <f>IF(A2395="","",'Skill Matrix'!D155)</f>
        <v/>
      </c>
      <c r="F2395">
        <f>IF(AND('Skill Matrix'!A155&lt;&gt;"",'Skill Matrix'!N5&lt;&gt;""),'Skill Matrix'!N5,"")</f>
        <v/>
      </c>
      <c r="G2395">
        <f>IF(OR(A2395="",'Skill Matrix'!N155=""),"",'Skill Matrix'!N155)</f>
        <v/>
      </c>
      <c r="H2395">
        <f>IF(A2395="","",'Employees'!F15)</f>
        <v/>
      </c>
    </row>
    <row r="2396">
      <c r="A2396">
        <f>IF(AND('Skill Matrix'!A155&lt;&gt;"",'Skill Matrix'!O5&lt;&gt;""),'Skill Matrix'!A155,"")</f>
        <v/>
      </c>
      <c r="B2396">
        <f>IF(A2396="","",'Employees'!C15)</f>
        <v/>
      </c>
      <c r="C2396">
        <f>IF(A2396="","",'Employees'!D15)</f>
        <v/>
      </c>
      <c r="D2396">
        <f>IF(A2396="","",'Skill Matrix'!C155)</f>
        <v/>
      </c>
      <c r="E2396">
        <f>IF(A2396="","",'Skill Matrix'!D155)</f>
        <v/>
      </c>
      <c r="F2396">
        <f>IF(AND('Skill Matrix'!A155&lt;&gt;"",'Skill Matrix'!O5&lt;&gt;""),'Skill Matrix'!O5,"")</f>
        <v/>
      </c>
      <c r="G2396">
        <f>IF(OR(A2396="",'Skill Matrix'!O155=""),"",'Skill Matrix'!O155)</f>
        <v/>
      </c>
      <c r="H2396">
        <f>IF(A2396="","",'Employees'!F15)</f>
        <v/>
      </c>
    </row>
    <row r="2397">
      <c r="A2397">
        <f>IF(AND('Skill Matrix'!A155&lt;&gt;"",'Skill Matrix'!P5&lt;&gt;""),'Skill Matrix'!A155,"")</f>
        <v/>
      </c>
      <c r="B2397">
        <f>IF(A2397="","",'Employees'!C15)</f>
        <v/>
      </c>
      <c r="C2397">
        <f>IF(A2397="","",'Employees'!D15)</f>
        <v/>
      </c>
      <c r="D2397">
        <f>IF(A2397="","",'Skill Matrix'!C155)</f>
        <v/>
      </c>
      <c r="E2397">
        <f>IF(A2397="","",'Skill Matrix'!D155)</f>
        <v/>
      </c>
      <c r="F2397">
        <f>IF(AND('Skill Matrix'!A155&lt;&gt;"",'Skill Matrix'!P5&lt;&gt;""),'Skill Matrix'!P5,"")</f>
        <v/>
      </c>
      <c r="G2397">
        <f>IF(OR(A2397="",'Skill Matrix'!P155=""),"",'Skill Matrix'!P155)</f>
        <v/>
      </c>
      <c r="H2397">
        <f>IF(A2397="","",'Employees'!F15)</f>
        <v/>
      </c>
    </row>
    <row r="2398">
      <c r="A2398">
        <f>IF(AND('Skill Matrix'!A155&lt;&gt;"",'Skill Matrix'!Q5&lt;&gt;""),'Skill Matrix'!A155,"")</f>
        <v/>
      </c>
      <c r="B2398">
        <f>IF(A2398="","",'Employees'!C15)</f>
        <v/>
      </c>
      <c r="C2398">
        <f>IF(A2398="","",'Employees'!D15)</f>
        <v/>
      </c>
      <c r="D2398">
        <f>IF(A2398="","",'Skill Matrix'!C155)</f>
        <v/>
      </c>
      <c r="E2398">
        <f>IF(A2398="","",'Skill Matrix'!D155)</f>
        <v/>
      </c>
      <c r="F2398">
        <f>IF(AND('Skill Matrix'!A155&lt;&gt;"",'Skill Matrix'!Q5&lt;&gt;""),'Skill Matrix'!Q5,"")</f>
        <v/>
      </c>
      <c r="G2398">
        <f>IF(OR(A2398="",'Skill Matrix'!Q155=""),"",'Skill Matrix'!Q155)</f>
        <v/>
      </c>
      <c r="H2398">
        <f>IF(A2398="","",'Employees'!F15)</f>
        <v/>
      </c>
    </row>
    <row r="2399">
      <c r="A2399">
        <f>IF(AND('Skill Matrix'!A155&lt;&gt;"",'Skill Matrix'!R5&lt;&gt;""),'Skill Matrix'!A155,"")</f>
        <v/>
      </c>
      <c r="B2399">
        <f>IF(A2399="","",'Employees'!C15)</f>
        <v/>
      </c>
      <c r="C2399">
        <f>IF(A2399="","",'Employees'!D15)</f>
        <v/>
      </c>
      <c r="D2399">
        <f>IF(A2399="","",'Skill Matrix'!C155)</f>
        <v/>
      </c>
      <c r="E2399">
        <f>IF(A2399="","",'Skill Matrix'!D155)</f>
        <v/>
      </c>
      <c r="F2399">
        <f>IF(AND('Skill Matrix'!A155&lt;&gt;"",'Skill Matrix'!R5&lt;&gt;""),'Skill Matrix'!R5,"")</f>
        <v/>
      </c>
      <c r="G2399">
        <f>IF(OR(A2399="",'Skill Matrix'!R155=""),"",'Skill Matrix'!R155)</f>
        <v/>
      </c>
      <c r="H2399">
        <f>IF(A2399="","",'Employees'!F15)</f>
        <v/>
      </c>
    </row>
    <row r="2400">
      <c r="A2400">
        <f>IF(AND('Skill Matrix'!A155&lt;&gt;"",'Skill Matrix'!S5&lt;&gt;""),'Skill Matrix'!A155,"")</f>
        <v/>
      </c>
      <c r="B2400">
        <f>IF(A2400="","",'Employees'!C15)</f>
        <v/>
      </c>
      <c r="C2400">
        <f>IF(A2400="","",'Employees'!D15)</f>
        <v/>
      </c>
      <c r="D2400">
        <f>IF(A2400="","",'Skill Matrix'!C155)</f>
        <v/>
      </c>
      <c r="E2400">
        <f>IF(A2400="","",'Skill Matrix'!D155)</f>
        <v/>
      </c>
      <c r="F2400">
        <f>IF(AND('Skill Matrix'!A155&lt;&gt;"",'Skill Matrix'!S5&lt;&gt;""),'Skill Matrix'!S5,"")</f>
        <v/>
      </c>
      <c r="G2400">
        <f>IF(OR(A2400="",'Skill Matrix'!S155=""),"",'Skill Matrix'!S155)</f>
        <v/>
      </c>
      <c r="H2400">
        <f>IF(A2400="","",'Employees'!F15)</f>
        <v/>
      </c>
    </row>
    <row r="2401">
      <c r="A2401">
        <f>IF(AND('Skill Matrix'!A155&lt;&gt;"",'Skill Matrix'!T5&lt;&gt;""),'Skill Matrix'!A155,"")</f>
        <v/>
      </c>
      <c r="B2401">
        <f>IF(A2401="","",'Employees'!C15)</f>
        <v/>
      </c>
      <c r="C2401">
        <f>IF(A2401="","",'Employees'!D15)</f>
        <v/>
      </c>
      <c r="D2401">
        <f>IF(A2401="","",'Skill Matrix'!C155)</f>
        <v/>
      </c>
      <c r="E2401">
        <f>IF(A2401="","",'Skill Matrix'!D155)</f>
        <v/>
      </c>
      <c r="F2401">
        <f>IF(AND('Skill Matrix'!A155&lt;&gt;"",'Skill Matrix'!T5&lt;&gt;""),'Skill Matrix'!T5,"")</f>
        <v/>
      </c>
      <c r="G2401">
        <f>IF(OR(A2401="",'Skill Matrix'!T155=""),"",'Skill Matrix'!T155)</f>
        <v/>
      </c>
      <c r="H2401">
        <f>IF(A2401="","",'Employees'!F15)</f>
        <v/>
      </c>
    </row>
    <row r="2402">
      <c r="A2402">
        <f>IF(AND('Skill Matrix'!A156&lt;&gt;"",'Skill Matrix'!E5&lt;&gt;""),'Skill Matrix'!A156,"")</f>
        <v/>
      </c>
      <c r="B2402">
        <f>IF(A2402="","",'Employees'!C15)</f>
        <v/>
      </c>
      <c r="C2402">
        <f>IF(A2402="","",'Employees'!D15)</f>
        <v/>
      </c>
      <c r="D2402">
        <f>IF(A2402="","",'Skill Matrix'!C156)</f>
        <v/>
      </c>
      <c r="E2402">
        <f>IF(A2402="","",'Skill Matrix'!D156)</f>
        <v/>
      </c>
      <c r="F2402">
        <f>IF(AND('Skill Matrix'!A156&lt;&gt;"",'Skill Matrix'!E5&lt;&gt;""),'Skill Matrix'!E5,"")</f>
        <v/>
      </c>
      <c r="G2402">
        <f>IF(OR(A2402="",'Skill Matrix'!E156=""),"",'Skill Matrix'!E156)</f>
        <v/>
      </c>
      <c r="H2402">
        <f>IF(A2402="","",'Employees'!F15)</f>
        <v/>
      </c>
    </row>
    <row r="2403">
      <c r="A2403">
        <f>IF(AND('Skill Matrix'!A156&lt;&gt;"",'Skill Matrix'!F5&lt;&gt;""),'Skill Matrix'!A156,"")</f>
        <v/>
      </c>
      <c r="B2403">
        <f>IF(A2403="","",'Employees'!C15)</f>
        <v/>
      </c>
      <c r="C2403">
        <f>IF(A2403="","",'Employees'!D15)</f>
        <v/>
      </c>
      <c r="D2403">
        <f>IF(A2403="","",'Skill Matrix'!C156)</f>
        <v/>
      </c>
      <c r="E2403">
        <f>IF(A2403="","",'Skill Matrix'!D156)</f>
        <v/>
      </c>
      <c r="F2403">
        <f>IF(AND('Skill Matrix'!A156&lt;&gt;"",'Skill Matrix'!F5&lt;&gt;""),'Skill Matrix'!F5,"")</f>
        <v/>
      </c>
      <c r="G2403">
        <f>IF(OR(A2403="",'Skill Matrix'!F156=""),"",'Skill Matrix'!F156)</f>
        <v/>
      </c>
      <c r="H2403">
        <f>IF(A2403="","",'Employees'!F15)</f>
        <v/>
      </c>
    </row>
    <row r="2404">
      <c r="A2404">
        <f>IF(AND('Skill Matrix'!A156&lt;&gt;"",'Skill Matrix'!G5&lt;&gt;""),'Skill Matrix'!A156,"")</f>
        <v/>
      </c>
      <c r="B2404">
        <f>IF(A2404="","",'Employees'!C15)</f>
        <v/>
      </c>
      <c r="C2404">
        <f>IF(A2404="","",'Employees'!D15)</f>
        <v/>
      </c>
      <c r="D2404">
        <f>IF(A2404="","",'Skill Matrix'!C156)</f>
        <v/>
      </c>
      <c r="E2404">
        <f>IF(A2404="","",'Skill Matrix'!D156)</f>
        <v/>
      </c>
      <c r="F2404">
        <f>IF(AND('Skill Matrix'!A156&lt;&gt;"",'Skill Matrix'!G5&lt;&gt;""),'Skill Matrix'!G5,"")</f>
        <v/>
      </c>
      <c r="G2404">
        <f>IF(OR(A2404="",'Skill Matrix'!G156=""),"",'Skill Matrix'!G156)</f>
        <v/>
      </c>
      <c r="H2404">
        <f>IF(A2404="","",'Employees'!F15)</f>
        <v/>
      </c>
    </row>
    <row r="2405">
      <c r="A2405">
        <f>IF(AND('Skill Matrix'!A156&lt;&gt;"",'Skill Matrix'!H5&lt;&gt;""),'Skill Matrix'!A156,"")</f>
        <v/>
      </c>
      <c r="B2405">
        <f>IF(A2405="","",'Employees'!C15)</f>
        <v/>
      </c>
      <c r="C2405">
        <f>IF(A2405="","",'Employees'!D15)</f>
        <v/>
      </c>
      <c r="D2405">
        <f>IF(A2405="","",'Skill Matrix'!C156)</f>
        <v/>
      </c>
      <c r="E2405">
        <f>IF(A2405="","",'Skill Matrix'!D156)</f>
        <v/>
      </c>
      <c r="F2405">
        <f>IF(AND('Skill Matrix'!A156&lt;&gt;"",'Skill Matrix'!H5&lt;&gt;""),'Skill Matrix'!H5,"")</f>
        <v/>
      </c>
      <c r="G2405">
        <f>IF(OR(A2405="",'Skill Matrix'!H156=""),"",'Skill Matrix'!H156)</f>
        <v/>
      </c>
      <c r="H2405">
        <f>IF(A2405="","",'Employees'!F15)</f>
        <v/>
      </c>
    </row>
    <row r="2406">
      <c r="A2406">
        <f>IF(AND('Skill Matrix'!A156&lt;&gt;"",'Skill Matrix'!I5&lt;&gt;""),'Skill Matrix'!A156,"")</f>
        <v/>
      </c>
      <c r="B2406">
        <f>IF(A2406="","",'Employees'!C15)</f>
        <v/>
      </c>
      <c r="C2406">
        <f>IF(A2406="","",'Employees'!D15)</f>
        <v/>
      </c>
      <c r="D2406">
        <f>IF(A2406="","",'Skill Matrix'!C156)</f>
        <v/>
      </c>
      <c r="E2406">
        <f>IF(A2406="","",'Skill Matrix'!D156)</f>
        <v/>
      </c>
      <c r="F2406">
        <f>IF(AND('Skill Matrix'!A156&lt;&gt;"",'Skill Matrix'!I5&lt;&gt;""),'Skill Matrix'!I5,"")</f>
        <v/>
      </c>
      <c r="G2406">
        <f>IF(OR(A2406="",'Skill Matrix'!I156=""),"",'Skill Matrix'!I156)</f>
        <v/>
      </c>
      <c r="H2406">
        <f>IF(A2406="","",'Employees'!F15)</f>
        <v/>
      </c>
    </row>
    <row r="2407">
      <c r="A2407">
        <f>IF(AND('Skill Matrix'!A156&lt;&gt;"",'Skill Matrix'!J5&lt;&gt;""),'Skill Matrix'!A156,"")</f>
        <v/>
      </c>
      <c r="B2407">
        <f>IF(A2407="","",'Employees'!C15)</f>
        <v/>
      </c>
      <c r="C2407">
        <f>IF(A2407="","",'Employees'!D15)</f>
        <v/>
      </c>
      <c r="D2407">
        <f>IF(A2407="","",'Skill Matrix'!C156)</f>
        <v/>
      </c>
      <c r="E2407">
        <f>IF(A2407="","",'Skill Matrix'!D156)</f>
        <v/>
      </c>
      <c r="F2407">
        <f>IF(AND('Skill Matrix'!A156&lt;&gt;"",'Skill Matrix'!J5&lt;&gt;""),'Skill Matrix'!J5,"")</f>
        <v/>
      </c>
      <c r="G2407">
        <f>IF(OR(A2407="",'Skill Matrix'!J156=""),"",'Skill Matrix'!J156)</f>
        <v/>
      </c>
      <c r="H2407">
        <f>IF(A2407="","",'Employees'!F15)</f>
        <v/>
      </c>
    </row>
    <row r="2408">
      <c r="A2408">
        <f>IF(AND('Skill Matrix'!A156&lt;&gt;"",'Skill Matrix'!K5&lt;&gt;""),'Skill Matrix'!A156,"")</f>
        <v/>
      </c>
      <c r="B2408">
        <f>IF(A2408="","",'Employees'!C15)</f>
        <v/>
      </c>
      <c r="C2408">
        <f>IF(A2408="","",'Employees'!D15)</f>
        <v/>
      </c>
      <c r="D2408">
        <f>IF(A2408="","",'Skill Matrix'!C156)</f>
        <v/>
      </c>
      <c r="E2408">
        <f>IF(A2408="","",'Skill Matrix'!D156)</f>
        <v/>
      </c>
      <c r="F2408">
        <f>IF(AND('Skill Matrix'!A156&lt;&gt;"",'Skill Matrix'!K5&lt;&gt;""),'Skill Matrix'!K5,"")</f>
        <v/>
      </c>
      <c r="G2408">
        <f>IF(OR(A2408="",'Skill Matrix'!K156=""),"",'Skill Matrix'!K156)</f>
        <v/>
      </c>
      <c r="H2408">
        <f>IF(A2408="","",'Employees'!F15)</f>
        <v/>
      </c>
    </row>
    <row r="2409">
      <c r="A2409">
        <f>IF(AND('Skill Matrix'!A156&lt;&gt;"",'Skill Matrix'!L5&lt;&gt;""),'Skill Matrix'!A156,"")</f>
        <v/>
      </c>
      <c r="B2409">
        <f>IF(A2409="","",'Employees'!C15)</f>
        <v/>
      </c>
      <c r="C2409">
        <f>IF(A2409="","",'Employees'!D15)</f>
        <v/>
      </c>
      <c r="D2409">
        <f>IF(A2409="","",'Skill Matrix'!C156)</f>
        <v/>
      </c>
      <c r="E2409">
        <f>IF(A2409="","",'Skill Matrix'!D156)</f>
        <v/>
      </c>
      <c r="F2409">
        <f>IF(AND('Skill Matrix'!A156&lt;&gt;"",'Skill Matrix'!L5&lt;&gt;""),'Skill Matrix'!L5,"")</f>
        <v/>
      </c>
      <c r="G2409">
        <f>IF(OR(A2409="",'Skill Matrix'!L156=""),"",'Skill Matrix'!L156)</f>
        <v/>
      </c>
      <c r="H2409">
        <f>IF(A2409="","",'Employees'!F15)</f>
        <v/>
      </c>
    </row>
    <row r="2410">
      <c r="A2410">
        <f>IF(AND('Skill Matrix'!A156&lt;&gt;"",'Skill Matrix'!M5&lt;&gt;""),'Skill Matrix'!A156,"")</f>
        <v/>
      </c>
      <c r="B2410">
        <f>IF(A2410="","",'Employees'!C15)</f>
        <v/>
      </c>
      <c r="C2410">
        <f>IF(A2410="","",'Employees'!D15)</f>
        <v/>
      </c>
      <c r="D2410">
        <f>IF(A2410="","",'Skill Matrix'!C156)</f>
        <v/>
      </c>
      <c r="E2410">
        <f>IF(A2410="","",'Skill Matrix'!D156)</f>
        <v/>
      </c>
      <c r="F2410">
        <f>IF(AND('Skill Matrix'!A156&lt;&gt;"",'Skill Matrix'!M5&lt;&gt;""),'Skill Matrix'!M5,"")</f>
        <v/>
      </c>
      <c r="G2410">
        <f>IF(OR(A2410="",'Skill Matrix'!M156=""),"",'Skill Matrix'!M156)</f>
        <v/>
      </c>
      <c r="H2410">
        <f>IF(A2410="","",'Employees'!F15)</f>
        <v/>
      </c>
    </row>
    <row r="2411">
      <c r="A2411">
        <f>IF(AND('Skill Matrix'!A156&lt;&gt;"",'Skill Matrix'!N5&lt;&gt;""),'Skill Matrix'!A156,"")</f>
        <v/>
      </c>
      <c r="B2411">
        <f>IF(A2411="","",'Employees'!C15)</f>
        <v/>
      </c>
      <c r="C2411">
        <f>IF(A2411="","",'Employees'!D15)</f>
        <v/>
      </c>
      <c r="D2411">
        <f>IF(A2411="","",'Skill Matrix'!C156)</f>
        <v/>
      </c>
      <c r="E2411">
        <f>IF(A2411="","",'Skill Matrix'!D156)</f>
        <v/>
      </c>
      <c r="F2411">
        <f>IF(AND('Skill Matrix'!A156&lt;&gt;"",'Skill Matrix'!N5&lt;&gt;""),'Skill Matrix'!N5,"")</f>
        <v/>
      </c>
      <c r="G2411">
        <f>IF(OR(A2411="",'Skill Matrix'!N156=""),"",'Skill Matrix'!N156)</f>
        <v/>
      </c>
      <c r="H2411">
        <f>IF(A2411="","",'Employees'!F15)</f>
        <v/>
      </c>
    </row>
    <row r="2412">
      <c r="A2412">
        <f>IF(AND('Skill Matrix'!A156&lt;&gt;"",'Skill Matrix'!O5&lt;&gt;""),'Skill Matrix'!A156,"")</f>
        <v/>
      </c>
      <c r="B2412">
        <f>IF(A2412="","",'Employees'!C15)</f>
        <v/>
      </c>
      <c r="C2412">
        <f>IF(A2412="","",'Employees'!D15)</f>
        <v/>
      </c>
      <c r="D2412">
        <f>IF(A2412="","",'Skill Matrix'!C156)</f>
        <v/>
      </c>
      <c r="E2412">
        <f>IF(A2412="","",'Skill Matrix'!D156)</f>
        <v/>
      </c>
      <c r="F2412">
        <f>IF(AND('Skill Matrix'!A156&lt;&gt;"",'Skill Matrix'!O5&lt;&gt;""),'Skill Matrix'!O5,"")</f>
        <v/>
      </c>
      <c r="G2412">
        <f>IF(OR(A2412="",'Skill Matrix'!O156=""),"",'Skill Matrix'!O156)</f>
        <v/>
      </c>
      <c r="H2412">
        <f>IF(A2412="","",'Employees'!F15)</f>
        <v/>
      </c>
    </row>
    <row r="2413">
      <c r="A2413">
        <f>IF(AND('Skill Matrix'!A156&lt;&gt;"",'Skill Matrix'!P5&lt;&gt;""),'Skill Matrix'!A156,"")</f>
        <v/>
      </c>
      <c r="B2413">
        <f>IF(A2413="","",'Employees'!C15)</f>
        <v/>
      </c>
      <c r="C2413">
        <f>IF(A2413="","",'Employees'!D15)</f>
        <v/>
      </c>
      <c r="D2413">
        <f>IF(A2413="","",'Skill Matrix'!C156)</f>
        <v/>
      </c>
      <c r="E2413">
        <f>IF(A2413="","",'Skill Matrix'!D156)</f>
        <v/>
      </c>
      <c r="F2413">
        <f>IF(AND('Skill Matrix'!A156&lt;&gt;"",'Skill Matrix'!P5&lt;&gt;""),'Skill Matrix'!P5,"")</f>
        <v/>
      </c>
      <c r="G2413">
        <f>IF(OR(A2413="",'Skill Matrix'!P156=""),"",'Skill Matrix'!P156)</f>
        <v/>
      </c>
      <c r="H2413">
        <f>IF(A2413="","",'Employees'!F15)</f>
        <v/>
      </c>
    </row>
    <row r="2414">
      <c r="A2414">
        <f>IF(AND('Skill Matrix'!A156&lt;&gt;"",'Skill Matrix'!Q5&lt;&gt;""),'Skill Matrix'!A156,"")</f>
        <v/>
      </c>
      <c r="B2414">
        <f>IF(A2414="","",'Employees'!C15)</f>
        <v/>
      </c>
      <c r="C2414">
        <f>IF(A2414="","",'Employees'!D15)</f>
        <v/>
      </c>
      <c r="D2414">
        <f>IF(A2414="","",'Skill Matrix'!C156)</f>
        <v/>
      </c>
      <c r="E2414">
        <f>IF(A2414="","",'Skill Matrix'!D156)</f>
        <v/>
      </c>
      <c r="F2414">
        <f>IF(AND('Skill Matrix'!A156&lt;&gt;"",'Skill Matrix'!Q5&lt;&gt;""),'Skill Matrix'!Q5,"")</f>
        <v/>
      </c>
      <c r="G2414">
        <f>IF(OR(A2414="",'Skill Matrix'!Q156=""),"",'Skill Matrix'!Q156)</f>
        <v/>
      </c>
      <c r="H2414">
        <f>IF(A2414="","",'Employees'!F15)</f>
        <v/>
      </c>
    </row>
    <row r="2415">
      <c r="A2415">
        <f>IF(AND('Skill Matrix'!A156&lt;&gt;"",'Skill Matrix'!R5&lt;&gt;""),'Skill Matrix'!A156,"")</f>
        <v/>
      </c>
      <c r="B2415">
        <f>IF(A2415="","",'Employees'!C15)</f>
        <v/>
      </c>
      <c r="C2415">
        <f>IF(A2415="","",'Employees'!D15)</f>
        <v/>
      </c>
      <c r="D2415">
        <f>IF(A2415="","",'Skill Matrix'!C156)</f>
        <v/>
      </c>
      <c r="E2415">
        <f>IF(A2415="","",'Skill Matrix'!D156)</f>
        <v/>
      </c>
      <c r="F2415">
        <f>IF(AND('Skill Matrix'!A156&lt;&gt;"",'Skill Matrix'!R5&lt;&gt;""),'Skill Matrix'!R5,"")</f>
        <v/>
      </c>
      <c r="G2415">
        <f>IF(OR(A2415="",'Skill Matrix'!R156=""),"",'Skill Matrix'!R156)</f>
        <v/>
      </c>
      <c r="H2415">
        <f>IF(A2415="","",'Employees'!F15)</f>
        <v/>
      </c>
    </row>
    <row r="2416">
      <c r="A2416">
        <f>IF(AND('Skill Matrix'!A156&lt;&gt;"",'Skill Matrix'!S5&lt;&gt;""),'Skill Matrix'!A156,"")</f>
        <v/>
      </c>
      <c r="B2416">
        <f>IF(A2416="","",'Employees'!C15)</f>
        <v/>
      </c>
      <c r="C2416">
        <f>IF(A2416="","",'Employees'!D15)</f>
        <v/>
      </c>
      <c r="D2416">
        <f>IF(A2416="","",'Skill Matrix'!C156)</f>
        <v/>
      </c>
      <c r="E2416">
        <f>IF(A2416="","",'Skill Matrix'!D156)</f>
        <v/>
      </c>
      <c r="F2416">
        <f>IF(AND('Skill Matrix'!A156&lt;&gt;"",'Skill Matrix'!S5&lt;&gt;""),'Skill Matrix'!S5,"")</f>
        <v/>
      </c>
      <c r="G2416">
        <f>IF(OR(A2416="",'Skill Matrix'!S156=""),"",'Skill Matrix'!S156)</f>
        <v/>
      </c>
      <c r="H2416">
        <f>IF(A2416="","",'Employees'!F15)</f>
        <v/>
      </c>
    </row>
    <row r="2417">
      <c r="A2417">
        <f>IF(AND('Skill Matrix'!A156&lt;&gt;"",'Skill Matrix'!T5&lt;&gt;""),'Skill Matrix'!A156,"")</f>
        <v/>
      </c>
      <c r="B2417">
        <f>IF(A2417="","",'Employees'!C15)</f>
        <v/>
      </c>
      <c r="C2417">
        <f>IF(A2417="","",'Employees'!D15)</f>
        <v/>
      </c>
      <c r="D2417">
        <f>IF(A2417="","",'Skill Matrix'!C156)</f>
        <v/>
      </c>
      <c r="E2417">
        <f>IF(A2417="","",'Skill Matrix'!D156)</f>
        <v/>
      </c>
      <c r="F2417">
        <f>IF(AND('Skill Matrix'!A156&lt;&gt;"",'Skill Matrix'!T5&lt;&gt;""),'Skill Matrix'!T5,"")</f>
        <v/>
      </c>
      <c r="G2417">
        <f>IF(OR(A2417="",'Skill Matrix'!T156=""),"",'Skill Matrix'!T156)</f>
        <v/>
      </c>
      <c r="H2417">
        <f>IF(A2417="","",'Employees'!F15)</f>
        <v/>
      </c>
    </row>
    <row r="2418">
      <c r="A2418">
        <f>IF(AND('Skill Matrix'!A157&lt;&gt;"",'Skill Matrix'!E5&lt;&gt;""),'Skill Matrix'!A157,"")</f>
        <v/>
      </c>
      <c r="B2418">
        <f>IF(A2418="","",'Employees'!C15)</f>
        <v/>
      </c>
      <c r="C2418">
        <f>IF(A2418="","",'Employees'!D15)</f>
        <v/>
      </c>
      <c r="D2418">
        <f>IF(A2418="","",'Skill Matrix'!C157)</f>
        <v/>
      </c>
      <c r="E2418">
        <f>IF(A2418="","",'Skill Matrix'!D157)</f>
        <v/>
      </c>
      <c r="F2418">
        <f>IF(AND('Skill Matrix'!A157&lt;&gt;"",'Skill Matrix'!E5&lt;&gt;""),'Skill Matrix'!E5,"")</f>
        <v/>
      </c>
      <c r="G2418">
        <f>IF(OR(A2418="",'Skill Matrix'!E157=""),"",'Skill Matrix'!E157)</f>
        <v/>
      </c>
      <c r="H2418">
        <f>IF(A2418="","",'Employees'!F15)</f>
        <v/>
      </c>
    </row>
    <row r="2419">
      <c r="A2419">
        <f>IF(AND('Skill Matrix'!A157&lt;&gt;"",'Skill Matrix'!F5&lt;&gt;""),'Skill Matrix'!A157,"")</f>
        <v/>
      </c>
      <c r="B2419">
        <f>IF(A2419="","",'Employees'!C15)</f>
        <v/>
      </c>
      <c r="C2419">
        <f>IF(A2419="","",'Employees'!D15)</f>
        <v/>
      </c>
      <c r="D2419">
        <f>IF(A2419="","",'Skill Matrix'!C157)</f>
        <v/>
      </c>
      <c r="E2419">
        <f>IF(A2419="","",'Skill Matrix'!D157)</f>
        <v/>
      </c>
      <c r="F2419">
        <f>IF(AND('Skill Matrix'!A157&lt;&gt;"",'Skill Matrix'!F5&lt;&gt;""),'Skill Matrix'!F5,"")</f>
        <v/>
      </c>
      <c r="G2419">
        <f>IF(OR(A2419="",'Skill Matrix'!F157=""),"",'Skill Matrix'!F157)</f>
        <v/>
      </c>
      <c r="H2419">
        <f>IF(A2419="","",'Employees'!F15)</f>
        <v/>
      </c>
    </row>
    <row r="2420">
      <c r="A2420">
        <f>IF(AND('Skill Matrix'!A157&lt;&gt;"",'Skill Matrix'!G5&lt;&gt;""),'Skill Matrix'!A157,"")</f>
        <v/>
      </c>
      <c r="B2420">
        <f>IF(A2420="","",'Employees'!C15)</f>
        <v/>
      </c>
      <c r="C2420">
        <f>IF(A2420="","",'Employees'!D15)</f>
        <v/>
      </c>
      <c r="D2420">
        <f>IF(A2420="","",'Skill Matrix'!C157)</f>
        <v/>
      </c>
      <c r="E2420">
        <f>IF(A2420="","",'Skill Matrix'!D157)</f>
        <v/>
      </c>
      <c r="F2420">
        <f>IF(AND('Skill Matrix'!A157&lt;&gt;"",'Skill Matrix'!G5&lt;&gt;""),'Skill Matrix'!G5,"")</f>
        <v/>
      </c>
      <c r="G2420">
        <f>IF(OR(A2420="",'Skill Matrix'!G157=""),"",'Skill Matrix'!G157)</f>
        <v/>
      </c>
      <c r="H2420">
        <f>IF(A2420="","",'Employees'!F15)</f>
        <v/>
      </c>
    </row>
    <row r="2421">
      <c r="A2421">
        <f>IF(AND('Skill Matrix'!A157&lt;&gt;"",'Skill Matrix'!H5&lt;&gt;""),'Skill Matrix'!A157,"")</f>
        <v/>
      </c>
      <c r="B2421">
        <f>IF(A2421="","",'Employees'!C15)</f>
        <v/>
      </c>
      <c r="C2421">
        <f>IF(A2421="","",'Employees'!D15)</f>
        <v/>
      </c>
      <c r="D2421">
        <f>IF(A2421="","",'Skill Matrix'!C157)</f>
        <v/>
      </c>
      <c r="E2421">
        <f>IF(A2421="","",'Skill Matrix'!D157)</f>
        <v/>
      </c>
      <c r="F2421">
        <f>IF(AND('Skill Matrix'!A157&lt;&gt;"",'Skill Matrix'!H5&lt;&gt;""),'Skill Matrix'!H5,"")</f>
        <v/>
      </c>
      <c r="G2421">
        <f>IF(OR(A2421="",'Skill Matrix'!H157=""),"",'Skill Matrix'!H157)</f>
        <v/>
      </c>
      <c r="H2421">
        <f>IF(A2421="","",'Employees'!F15)</f>
        <v/>
      </c>
    </row>
    <row r="2422">
      <c r="A2422">
        <f>IF(AND('Skill Matrix'!A157&lt;&gt;"",'Skill Matrix'!I5&lt;&gt;""),'Skill Matrix'!A157,"")</f>
        <v/>
      </c>
      <c r="B2422">
        <f>IF(A2422="","",'Employees'!C15)</f>
        <v/>
      </c>
      <c r="C2422">
        <f>IF(A2422="","",'Employees'!D15)</f>
        <v/>
      </c>
      <c r="D2422">
        <f>IF(A2422="","",'Skill Matrix'!C157)</f>
        <v/>
      </c>
      <c r="E2422">
        <f>IF(A2422="","",'Skill Matrix'!D157)</f>
        <v/>
      </c>
      <c r="F2422">
        <f>IF(AND('Skill Matrix'!A157&lt;&gt;"",'Skill Matrix'!I5&lt;&gt;""),'Skill Matrix'!I5,"")</f>
        <v/>
      </c>
      <c r="G2422">
        <f>IF(OR(A2422="",'Skill Matrix'!I157=""),"",'Skill Matrix'!I157)</f>
        <v/>
      </c>
      <c r="H2422">
        <f>IF(A2422="","",'Employees'!F15)</f>
        <v/>
      </c>
    </row>
    <row r="2423">
      <c r="A2423">
        <f>IF(AND('Skill Matrix'!A157&lt;&gt;"",'Skill Matrix'!J5&lt;&gt;""),'Skill Matrix'!A157,"")</f>
        <v/>
      </c>
      <c r="B2423">
        <f>IF(A2423="","",'Employees'!C15)</f>
        <v/>
      </c>
      <c r="C2423">
        <f>IF(A2423="","",'Employees'!D15)</f>
        <v/>
      </c>
      <c r="D2423">
        <f>IF(A2423="","",'Skill Matrix'!C157)</f>
        <v/>
      </c>
      <c r="E2423">
        <f>IF(A2423="","",'Skill Matrix'!D157)</f>
        <v/>
      </c>
      <c r="F2423">
        <f>IF(AND('Skill Matrix'!A157&lt;&gt;"",'Skill Matrix'!J5&lt;&gt;""),'Skill Matrix'!J5,"")</f>
        <v/>
      </c>
      <c r="G2423">
        <f>IF(OR(A2423="",'Skill Matrix'!J157=""),"",'Skill Matrix'!J157)</f>
        <v/>
      </c>
      <c r="H2423">
        <f>IF(A2423="","",'Employees'!F15)</f>
        <v/>
      </c>
    </row>
    <row r="2424">
      <c r="A2424">
        <f>IF(AND('Skill Matrix'!A157&lt;&gt;"",'Skill Matrix'!K5&lt;&gt;""),'Skill Matrix'!A157,"")</f>
        <v/>
      </c>
      <c r="B2424">
        <f>IF(A2424="","",'Employees'!C15)</f>
        <v/>
      </c>
      <c r="C2424">
        <f>IF(A2424="","",'Employees'!D15)</f>
        <v/>
      </c>
      <c r="D2424">
        <f>IF(A2424="","",'Skill Matrix'!C157)</f>
        <v/>
      </c>
      <c r="E2424">
        <f>IF(A2424="","",'Skill Matrix'!D157)</f>
        <v/>
      </c>
      <c r="F2424">
        <f>IF(AND('Skill Matrix'!A157&lt;&gt;"",'Skill Matrix'!K5&lt;&gt;""),'Skill Matrix'!K5,"")</f>
        <v/>
      </c>
      <c r="G2424">
        <f>IF(OR(A2424="",'Skill Matrix'!K157=""),"",'Skill Matrix'!K157)</f>
        <v/>
      </c>
      <c r="H2424">
        <f>IF(A2424="","",'Employees'!F15)</f>
        <v/>
      </c>
    </row>
    <row r="2425">
      <c r="A2425">
        <f>IF(AND('Skill Matrix'!A157&lt;&gt;"",'Skill Matrix'!L5&lt;&gt;""),'Skill Matrix'!A157,"")</f>
        <v/>
      </c>
      <c r="B2425">
        <f>IF(A2425="","",'Employees'!C15)</f>
        <v/>
      </c>
      <c r="C2425">
        <f>IF(A2425="","",'Employees'!D15)</f>
        <v/>
      </c>
      <c r="D2425">
        <f>IF(A2425="","",'Skill Matrix'!C157)</f>
        <v/>
      </c>
      <c r="E2425">
        <f>IF(A2425="","",'Skill Matrix'!D157)</f>
        <v/>
      </c>
      <c r="F2425">
        <f>IF(AND('Skill Matrix'!A157&lt;&gt;"",'Skill Matrix'!L5&lt;&gt;""),'Skill Matrix'!L5,"")</f>
        <v/>
      </c>
      <c r="G2425">
        <f>IF(OR(A2425="",'Skill Matrix'!L157=""),"",'Skill Matrix'!L157)</f>
        <v/>
      </c>
      <c r="H2425">
        <f>IF(A2425="","",'Employees'!F15)</f>
        <v/>
      </c>
    </row>
    <row r="2426">
      <c r="A2426">
        <f>IF(AND('Skill Matrix'!A157&lt;&gt;"",'Skill Matrix'!M5&lt;&gt;""),'Skill Matrix'!A157,"")</f>
        <v/>
      </c>
      <c r="B2426">
        <f>IF(A2426="","",'Employees'!C15)</f>
        <v/>
      </c>
      <c r="C2426">
        <f>IF(A2426="","",'Employees'!D15)</f>
        <v/>
      </c>
      <c r="D2426">
        <f>IF(A2426="","",'Skill Matrix'!C157)</f>
        <v/>
      </c>
      <c r="E2426">
        <f>IF(A2426="","",'Skill Matrix'!D157)</f>
        <v/>
      </c>
      <c r="F2426">
        <f>IF(AND('Skill Matrix'!A157&lt;&gt;"",'Skill Matrix'!M5&lt;&gt;""),'Skill Matrix'!M5,"")</f>
        <v/>
      </c>
      <c r="G2426">
        <f>IF(OR(A2426="",'Skill Matrix'!M157=""),"",'Skill Matrix'!M157)</f>
        <v/>
      </c>
      <c r="H2426">
        <f>IF(A2426="","",'Employees'!F15)</f>
        <v/>
      </c>
    </row>
    <row r="2427">
      <c r="A2427">
        <f>IF(AND('Skill Matrix'!A157&lt;&gt;"",'Skill Matrix'!N5&lt;&gt;""),'Skill Matrix'!A157,"")</f>
        <v/>
      </c>
      <c r="B2427">
        <f>IF(A2427="","",'Employees'!C15)</f>
        <v/>
      </c>
      <c r="C2427">
        <f>IF(A2427="","",'Employees'!D15)</f>
        <v/>
      </c>
      <c r="D2427">
        <f>IF(A2427="","",'Skill Matrix'!C157)</f>
        <v/>
      </c>
      <c r="E2427">
        <f>IF(A2427="","",'Skill Matrix'!D157)</f>
        <v/>
      </c>
      <c r="F2427">
        <f>IF(AND('Skill Matrix'!A157&lt;&gt;"",'Skill Matrix'!N5&lt;&gt;""),'Skill Matrix'!N5,"")</f>
        <v/>
      </c>
      <c r="G2427">
        <f>IF(OR(A2427="",'Skill Matrix'!N157=""),"",'Skill Matrix'!N157)</f>
        <v/>
      </c>
      <c r="H2427">
        <f>IF(A2427="","",'Employees'!F15)</f>
        <v/>
      </c>
    </row>
    <row r="2428">
      <c r="A2428">
        <f>IF(AND('Skill Matrix'!A157&lt;&gt;"",'Skill Matrix'!O5&lt;&gt;""),'Skill Matrix'!A157,"")</f>
        <v/>
      </c>
      <c r="B2428">
        <f>IF(A2428="","",'Employees'!C15)</f>
        <v/>
      </c>
      <c r="C2428">
        <f>IF(A2428="","",'Employees'!D15)</f>
        <v/>
      </c>
      <c r="D2428">
        <f>IF(A2428="","",'Skill Matrix'!C157)</f>
        <v/>
      </c>
      <c r="E2428">
        <f>IF(A2428="","",'Skill Matrix'!D157)</f>
        <v/>
      </c>
      <c r="F2428">
        <f>IF(AND('Skill Matrix'!A157&lt;&gt;"",'Skill Matrix'!O5&lt;&gt;""),'Skill Matrix'!O5,"")</f>
        <v/>
      </c>
      <c r="G2428">
        <f>IF(OR(A2428="",'Skill Matrix'!O157=""),"",'Skill Matrix'!O157)</f>
        <v/>
      </c>
      <c r="H2428">
        <f>IF(A2428="","",'Employees'!F15)</f>
        <v/>
      </c>
    </row>
    <row r="2429">
      <c r="A2429">
        <f>IF(AND('Skill Matrix'!A157&lt;&gt;"",'Skill Matrix'!P5&lt;&gt;""),'Skill Matrix'!A157,"")</f>
        <v/>
      </c>
      <c r="B2429">
        <f>IF(A2429="","",'Employees'!C15)</f>
        <v/>
      </c>
      <c r="C2429">
        <f>IF(A2429="","",'Employees'!D15)</f>
        <v/>
      </c>
      <c r="D2429">
        <f>IF(A2429="","",'Skill Matrix'!C157)</f>
        <v/>
      </c>
      <c r="E2429">
        <f>IF(A2429="","",'Skill Matrix'!D157)</f>
        <v/>
      </c>
      <c r="F2429">
        <f>IF(AND('Skill Matrix'!A157&lt;&gt;"",'Skill Matrix'!P5&lt;&gt;""),'Skill Matrix'!P5,"")</f>
        <v/>
      </c>
      <c r="G2429">
        <f>IF(OR(A2429="",'Skill Matrix'!P157=""),"",'Skill Matrix'!P157)</f>
        <v/>
      </c>
      <c r="H2429">
        <f>IF(A2429="","",'Employees'!F15)</f>
        <v/>
      </c>
    </row>
    <row r="2430">
      <c r="A2430">
        <f>IF(AND('Skill Matrix'!A157&lt;&gt;"",'Skill Matrix'!Q5&lt;&gt;""),'Skill Matrix'!A157,"")</f>
        <v/>
      </c>
      <c r="B2430">
        <f>IF(A2430="","",'Employees'!C15)</f>
        <v/>
      </c>
      <c r="C2430">
        <f>IF(A2430="","",'Employees'!D15)</f>
        <v/>
      </c>
      <c r="D2430">
        <f>IF(A2430="","",'Skill Matrix'!C157)</f>
        <v/>
      </c>
      <c r="E2430">
        <f>IF(A2430="","",'Skill Matrix'!D157)</f>
        <v/>
      </c>
      <c r="F2430">
        <f>IF(AND('Skill Matrix'!A157&lt;&gt;"",'Skill Matrix'!Q5&lt;&gt;""),'Skill Matrix'!Q5,"")</f>
        <v/>
      </c>
      <c r="G2430">
        <f>IF(OR(A2430="",'Skill Matrix'!Q157=""),"",'Skill Matrix'!Q157)</f>
        <v/>
      </c>
      <c r="H2430">
        <f>IF(A2430="","",'Employees'!F15)</f>
        <v/>
      </c>
    </row>
    <row r="2431">
      <c r="A2431">
        <f>IF(AND('Skill Matrix'!A157&lt;&gt;"",'Skill Matrix'!R5&lt;&gt;""),'Skill Matrix'!A157,"")</f>
        <v/>
      </c>
      <c r="B2431">
        <f>IF(A2431="","",'Employees'!C15)</f>
        <v/>
      </c>
      <c r="C2431">
        <f>IF(A2431="","",'Employees'!D15)</f>
        <v/>
      </c>
      <c r="D2431">
        <f>IF(A2431="","",'Skill Matrix'!C157)</f>
        <v/>
      </c>
      <c r="E2431">
        <f>IF(A2431="","",'Skill Matrix'!D157)</f>
        <v/>
      </c>
      <c r="F2431">
        <f>IF(AND('Skill Matrix'!A157&lt;&gt;"",'Skill Matrix'!R5&lt;&gt;""),'Skill Matrix'!R5,"")</f>
        <v/>
      </c>
      <c r="G2431">
        <f>IF(OR(A2431="",'Skill Matrix'!R157=""),"",'Skill Matrix'!R157)</f>
        <v/>
      </c>
      <c r="H2431">
        <f>IF(A2431="","",'Employees'!F15)</f>
        <v/>
      </c>
    </row>
    <row r="2432">
      <c r="A2432">
        <f>IF(AND('Skill Matrix'!A157&lt;&gt;"",'Skill Matrix'!S5&lt;&gt;""),'Skill Matrix'!A157,"")</f>
        <v/>
      </c>
      <c r="B2432">
        <f>IF(A2432="","",'Employees'!C15)</f>
        <v/>
      </c>
      <c r="C2432">
        <f>IF(A2432="","",'Employees'!D15)</f>
        <v/>
      </c>
      <c r="D2432">
        <f>IF(A2432="","",'Skill Matrix'!C157)</f>
        <v/>
      </c>
      <c r="E2432">
        <f>IF(A2432="","",'Skill Matrix'!D157)</f>
        <v/>
      </c>
      <c r="F2432">
        <f>IF(AND('Skill Matrix'!A157&lt;&gt;"",'Skill Matrix'!S5&lt;&gt;""),'Skill Matrix'!S5,"")</f>
        <v/>
      </c>
      <c r="G2432">
        <f>IF(OR(A2432="",'Skill Matrix'!S157=""),"",'Skill Matrix'!S157)</f>
        <v/>
      </c>
      <c r="H2432">
        <f>IF(A2432="","",'Employees'!F15)</f>
        <v/>
      </c>
    </row>
    <row r="2433">
      <c r="A2433">
        <f>IF(AND('Skill Matrix'!A157&lt;&gt;"",'Skill Matrix'!T5&lt;&gt;""),'Skill Matrix'!A157,"")</f>
        <v/>
      </c>
      <c r="B2433">
        <f>IF(A2433="","",'Employees'!C15)</f>
        <v/>
      </c>
      <c r="C2433">
        <f>IF(A2433="","",'Employees'!D15)</f>
        <v/>
      </c>
      <c r="D2433">
        <f>IF(A2433="","",'Skill Matrix'!C157)</f>
        <v/>
      </c>
      <c r="E2433">
        <f>IF(A2433="","",'Skill Matrix'!D157)</f>
        <v/>
      </c>
      <c r="F2433">
        <f>IF(AND('Skill Matrix'!A157&lt;&gt;"",'Skill Matrix'!T5&lt;&gt;""),'Skill Matrix'!T5,"")</f>
        <v/>
      </c>
      <c r="G2433">
        <f>IF(OR(A2433="",'Skill Matrix'!T157=""),"",'Skill Matrix'!T157)</f>
        <v/>
      </c>
      <c r="H2433">
        <f>IF(A2433="","",'Employees'!F15)</f>
        <v/>
      </c>
    </row>
    <row r="2434">
      <c r="A2434">
        <f>IF(AND('Skill Matrix'!A158&lt;&gt;"",'Skill Matrix'!E5&lt;&gt;""),'Skill Matrix'!A158,"")</f>
        <v/>
      </c>
      <c r="B2434">
        <f>IF(A2434="","",'Employees'!C15)</f>
        <v/>
      </c>
      <c r="C2434">
        <f>IF(A2434="","",'Employees'!D15)</f>
        <v/>
      </c>
      <c r="D2434">
        <f>IF(A2434="","",'Skill Matrix'!C158)</f>
        <v/>
      </c>
      <c r="E2434">
        <f>IF(A2434="","",'Skill Matrix'!D158)</f>
        <v/>
      </c>
      <c r="F2434">
        <f>IF(AND('Skill Matrix'!A158&lt;&gt;"",'Skill Matrix'!E5&lt;&gt;""),'Skill Matrix'!E5,"")</f>
        <v/>
      </c>
      <c r="G2434">
        <f>IF(OR(A2434="",'Skill Matrix'!E158=""),"",'Skill Matrix'!E158)</f>
        <v/>
      </c>
      <c r="H2434">
        <f>IF(A2434="","",'Employees'!F15)</f>
        <v/>
      </c>
    </row>
    <row r="2435">
      <c r="A2435">
        <f>IF(AND('Skill Matrix'!A158&lt;&gt;"",'Skill Matrix'!F5&lt;&gt;""),'Skill Matrix'!A158,"")</f>
        <v/>
      </c>
      <c r="B2435">
        <f>IF(A2435="","",'Employees'!C15)</f>
        <v/>
      </c>
      <c r="C2435">
        <f>IF(A2435="","",'Employees'!D15)</f>
        <v/>
      </c>
      <c r="D2435">
        <f>IF(A2435="","",'Skill Matrix'!C158)</f>
        <v/>
      </c>
      <c r="E2435">
        <f>IF(A2435="","",'Skill Matrix'!D158)</f>
        <v/>
      </c>
      <c r="F2435">
        <f>IF(AND('Skill Matrix'!A158&lt;&gt;"",'Skill Matrix'!F5&lt;&gt;""),'Skill Matrix'!F5,"")</f>
        <v/>
      </c>
      <c r="G2435">
        <f>IF(OR(A2435="",'Skill Matrix'!F158=""),"",'Skill Matrix'!F158)</f>
        <v/>
      </c>
      <c r="H2435">
        <f>IF(A2435="","",'Employees'!F15)</f>
        <v/>
      </c>
    </row>
    <row r="2436">
      <c r="A2436">
        <f>IF(AND('Skill Matrix'!A158&lt;&gt;"",'Skill Matrix'!G5&lt;&gt;""),'Skill Matrix'!A158,"")</f>
        <v/>
      </c>
      <c r="B2436">
        <f>IF(A2436="","",'Employees'!C15)</f>
        <v/>
      </c>
      <c r="C2436">
        <f>IF(A2436="","",'Employees'!D15)</f>
        <v/>
      </c>
      <c r="D2436">
        <f>IF(A2436="","",'Skill Matrix'!C158)</f>
        <v/>
      </c>
      <c r="E2436">
        <f>IF(A2436="","",'Skill Matrix'!D158)</f>
        <v/>
      </c>
      <c r="F2436">
        <f>IF(AND('Skill Matrix'!A158&lt;&gt;"",'Skill Matrix'!G5&lt;&gt;""),'Skill Matrix'!G5,"")</f>
        <v/>
      </c>
      <c r="G2436">
        <f>IF(OR(A2436="",'Skill Matrix'!G158=""),"",'Skill Matrix'!G158)</f>
        <v/>
      </c>
      <c r="H2436">
        <f>IF(A2436="","",'Employees'!F15)</f>
        <v/>
      </c>
    </row>
    <row r="2437">
      <c r="A2437">
        <f>IF(AND('Skill Matrix'!A158&lt;&gt;"",'Skill Matrix'!H5&lt;&gt;""),'Skill Matrix'!A158,"")</f>
        <v/>
      </c>
      <c r="B2437">
        <f>IF(A2437="","",'Employees'!C15)</f>
        <v/>
      </c>
      <c r="C2437">
        <f>IF(A2437="","",'Employees'!D15)</f>
        <v/>
      </c>
      <c r="D2437">
        <f>IF(A2437="","",'Skill Matrix'!C158)</f>
        <v/>
      </c>
      <c r="E2437">
        <f>IF(A2437="","",'Skill Matrix'!D158)</f>
        <v/>
      </c>
      <c r="F2437">
        <f>IF(AND('Skill Matrix'!A158&lt;&gt;"",'Skill Matrix'!H5&lt;&gt;""),'Skill Matrix'!H5,"")</f>
        <v/>
      </c>
      <c r="G2437">
        <f>IF(OR(A2437="",'Skill Matrix'!H158=""),"",'Skill Matrix'!H158)</f>
        <v/>
      </c>
      <c r="H2437">
        <f>IF(A2437="","",'Employees'!F15)</f>
        <v/>
      </c>
    </row>
    <row r="2438">
      <c r="A2438">
        <f>IF(AND('Skill Matrix'!A158&lt;&gt;"",'Skill Matrix'!I5&lt;&gt;""),'Skill Matrix'!A158,"")</f>
        <v/>
      </c>
      <c r="B2438">
        <f>IF(A2438="","",'Employees'!C15)</f>
        <v/>
      </c>
      <c r="C2438">
        <f>IF(A2438="","",'Employees'!D15)</f>
        <v/>
      </c>
      <c r="D2438">
        <f>IF(A2438="","",'Skill Matrix'!C158)</f>
        <v/>
      </c>
      <c r="E2438">
        <f>IF(A2438="","",'Skill Matrix'!D158)</f>
        <v/>
      </c>
      <c r="F2438">
        <f>IF(AND('Skill Matrix'!A158&lt;&gt;"",'Skill Matrix'!I5&lt;&gt;""),'Skill Matrix'!I5,"")</f>
        <v/>
      </c>
      <c r="G2438">
        <f>IF(OR(A2438="",'Skill Matrix'!I158=""),"",'Skill Matrix'!I158)</f>
        <v/>
      </c>
      <c r="H2438">
        <f>IF(A2438="","",'Employees'!F15)</f>
        <v/>
      </c>
    </row>
    <row r="2439">
      <c r="A2439">
        <f>IF(AND('Skill Matrix'!A158&lt;&gt;"",'Skill Matrix'!J5&lt;&gt;""),'Skill Matrix'!A158,"")</f>
        <v/>
      </c>
      <c r="B2439">
        <f>IF(A2439="","",'Employees'!C15)</f>
        <v/>
      </c>
      <c r="C2439">
        <f>IF(A2439="","",'Employees'!D15)</f>
        <v/>
      </c>
      <c r="D2439">
        <f>IF(A2439="","",'Skill Matrix'!C158)</f>
        <v/>
      </c>
      <c r="E2439">
        <f>IF(A2439="","",'Skill Matrix'!D158)</f>
        <v/>
      </c>
      <c r="F2439">
        <f>IF(AND('Skill Matrix'!A158&lt;&gt;"",'Skill Matrix'!J5&lt;&gt;""),'Skill Matrix'!J5,"")</f>
        <v/>
      </c>
      <c r="G2439">
        <f>IF(OR(A2439="",'Skill Matrix'!J158=""),"",'Skill Matrix'!J158)</f>
        <v/>
      </c>
      <c r="H2439">
        <f>IF(A2439="","",'Employees'!F15)</f>
        <v/>
      </c>
    </row>
    <row r="2440">
      <c r="A2440">
        <f>IF(AND('Skill Matrix'!A158&lt;&gt;"",'Skill Matrix'!K5&lt;&gt;""),'Skill Matrix'!A158,"")</f>
        <v/>
      </c>
      <c r="B2440">
        <f>IF(A2440="","",'Employees'!C15)</f>
        <v/>
      </c>
      <c r="C2440">
        <f>IF(A2440="","",'Employees'!D15)</f>
        <v/>
      </c>
      <c r="D2440">
        <f>IF(A2440="","",'Skill Matrix'!C158)</f>
        <v/>
      </c>
      <c r="E2440">
        <f>IF(A2440="","",'Skill Matrix'!D158)</f>
        <v/>
      </c>
      <c r="F2440">
        <f>IF(AND('Skill Matrix'!A158&lt;&gt;"",'Skill Matrix'!K5&lt;&gt;""),'Skill Matrix'!K5,"")</f>
        <v/>
      </c>
      <c r="G2440">
        <f>IF(OR(A2440="",'Skill Matrix'!K158=""),"",'Skill Matrix'!K158)</f>
        <v/>
      </c>
      <c r="H2440">
        <f>IF(A2440="","",'Employees'!F15)</f>
        <v/>
      </c>
    </row>
    <row r="2441">
      <c r="A2441">
        <f>IF(AND('Skill Matrix'!A158&lt;&gt;"",'Skill Matrix'!L5&lt;&gt;""),'Skill Matrix'!A158,"")</f>
        <v/>
      </c>
      <c r="B2441">
        <f>IF(A2441="","",'Employees'!C15)</f>
        <v/>
      </c>
      <c r="C2441">
        <f>IF(A2441="","",'Employees'!D15)</f>
        <v/>
      </c>
      <c r="D2441">
        <f>IF(A2441="","",'Skill Matrix'!C158)</f>
        <v/>
      </c>
      <c r="E2441">
        <f>IF(A2441="","",'Skill Matrix'!D158)</f>
        <v/>
      </c>
      <c r="F2441">
        <f>IF(AND('Skill Matrix'!A158&lt;&gt;"",'Skill Matrix'!L5&lt;&gt;""),'Skill Matrix'!L5,"")</f>
        <v/>
      </c>
      <c r="G2441">
        <f>IF(OR(A2441="",'Skill Matrix'!L158=""),"",'Skill Matrix'!L158)</f>
        <v/>
      </c>
      <c r="H2441">
        <f>IF(A2441="","",'Employees'!F15)</f>
        <v/>
      </c>
    </row>
    <row r="2442">
      <c r="A2442">
        <f>IF(AND('Skill Matrix'!A158&lt;&gt;"",'Skill Matrix'!M5&lt;&gt;""),'Skill Matrix'!A158,"")</f>
        <v/>
      </c>
      <c r="B2442">
        <f>IF(A2442="","",'Employees'!C15)</f>
        <v/>
      </c>
      <c r="C2442">
        <f>IF(A2442="","",'Employees'!D15)</f>
        <v/>
      </c>
      <c r="D2442">
        <f>IF(A2442="","",'Skill Matrix'!C158)</f>
        <v/>
      </c>
      <c r="E2442">
        <f>IF(A2442="","",'Skill Matrix'!D158)</f>
        <v/>
      </c>
      <c r="F2442">
        <f>IF(AND('Skill Matrix'!A158&lt;&gt;"",'Skill Matrix'!M5&lt;&gt;""),'Skill Matrix'!M5,"")</f>
        <v/>
      </c>
      <c r="G2442">
        <f>IF(OR(A2442="",'Skill Matrix'!M158=""),"",'Skill Matrix'!M158)</f>
        <v/>
      </c>
      <c r="H2442">
        <f>IF(A2442="","",'Employees'!F15)</f>
        <v/>
      </c>
    </row>
    <row r="2443">
      <c r="A2443">
        <f>IF(AND('Skill Matrix'!A158&lt;&gt;"",'Skill Matrix'!N5&lt;&gt;""),'Skill Matrix'!A158,"")</f>
        <v/>
      </c>
      <c r="B2443">
        <f>IF(A2443="","",'Employees'!C15)</f>
        <v/>
      </c>
      <c r="C2443">
        <f>IF(A2443="","",'Employees'!D15)</f>
        <v/>
      </c>
      <c r="D2443">
        <f>IF(A2443="","",'Skill Matrix'!C158)</f>
        <v/>
      </c>
      <c r="E2443">
        <f>IF(A2443="","",'Skill Matrix'!D158)</f>
        <v/>
      </c>
      <c r="F2443">
        <f>IF(AND('Skill Matrix'!A158&lt;&gt;"",'Skill Matrix'!N5&lt;&gt;""),'Skill Matrix'!N5,"")</f>
        <v/>
      </c>
      <c r="G2443">
        <f>IF(OR(A2443="",'Skill Matrix'!N158=""),"",'Skill Matrix'!N158)</f>
        <v/>
      </c>
      <c r="H2443">
        <f>IF(A2443="","",'Employees'!F15)</f>
        <v/>
      </c>
    </row>
    <row r="2444">
      <c r="A2444">
        <f>IF(AND('Skill Matrix'!A158&lt;&gt;"",'Skill Matrix'!O5&lt;&gt;""),'Skill Matrix'!A158,"")</f>
        <v/>
      </c>
      <c r="B2444">
        <f>IF(A2444="","",'Employees'!C15)</f>
        <v/>
      </c>
      <c r="C2444">
        <f>IF(A2444="","",'Employees'!D15)</f>
        <v/>
      </c>
      <c r="D2444">
        <f>IF(A2444="","",'Skill Matrix'!C158)</f>
        <v/>
      </c>
      <c r="E2444">
        <f>IF(A2444="","",'Skill Matrix'!D158)</f>
        <v/>
      </c>
      <c r="F2444">
        <f>IF(AND('Skill Matrix'!A158&lt;&gt;"",'Skill Matrix'!O5&lt;&gt;""),'Skill Matrix'!O5,"")</f>
        <v/>
      </c>
      <c r="G2444">
        <f>IF(OR(A2444="",'Skill Matrix'!O158=""),"",'Skill Matrix'!O158)</f>
        <v/>
      </c>
      <c r="H2444">
        <f>IF(A2444="","",'Employees'!F15)</f>
        <v/>
      </c>
    </row>
    <row r="2445">
      <c r="A2445">
        <f>IF(AND('Skill Matrix'!A158&lt;&gt;"",'Skill Matrix'!P5&lt;&gt;""),'Skill Matrix'!A158,"")</f>
        <v/>
      </c>
      <c r="B2445">
        <f>IF(A2445="","",'Employees'!C15)</f>
        <v/>
      </c>
      <c r="C2445">
        <f>IF(A2445="","",'Employees'!D15)</f>
        <v/>
      </c>
      <c r="D2445">
        <f>IF(A2445="","",'Skill Matrix'!C158)</f>
        <v/>
      </c>
      <c r="E2445">
        <f>IF(A2445="","",'Skill Matrix'!D158)</f>
        <v/>
      </c>
      <c r="F2445">
        <f>IF(AND('Skill Matrix'!A158&lt;&gt;"",'Skill Matrix'!P5&lt;&gt;""),'Skill Matrix'!P5,"")</f>
        <v/>
      </c>
      <c r="G2445">
        <f>IF(OR(A2445="",'Skill Matrix'!P158=""),"",'Skill Matrix'!P158)</f>
        <v/>
      </c>
      <c r="H2445">
        <f>IF(A2445="","",'Employees'!F15)</f>
        <v/>
      </c>
    </row>
    <row r="2446">
      <c r="A2446">
        <f>IF(AND('Skill Matrix'!A158&lt;&gt;"",'Skill Matrix'!Q5&lt;&gt;""),'Skill Matrix'!A158,"")</f>
        <v/>
      </c>
      <c r="B2446">
        <f>IF(A2446="","",'Employees'!C15)</f>
        <v/>
      </c>
      <c r="C2446">
        <f>IF(A2446="","",'Employees'!D15)</f>
        <v/>
      </c>
      <c r="D2446">
        <f>IF(A2446="","",'Skill Matrix'!C158)</f>
        <v/>
      </c>
      <c r="E2446">
        <f>IF(A2446="","",'Skill Matrix'!D158)</f>
        <v/>
      </c>
      <c r="F2446">
        <f>IF(AND('Skill Matrix'!A158&lt;&gt;"",'Skill Matrix'!Q5&lt;&gt;""),'Skill Matrix'!Q5,"")</f>
        <v/>
      </c>
      <c r="G2446">
        <f>IF(OR(A2446="",'Skill Matrix'!Q158=""),"",'Skill Matrix'!Q158)</f>
        <v/>
      </c>
      <c r="H2446">
        <f>IF(A2446="","",'Employees'!F15)</f>
        <v/>
      </c>
    </row>
    <row r="2447">
      <c r="A2447">
        <f>IF(AND('Skill Matrix'!A158&lt;&gt;"",'Skill Matrix'!R5&lt;&gt;""),'Skill Matrix'!A158,"")</f>
        <v/>
      </c>
      <c r="B2447">
        <f>IF(A2447="","",'Employees'!C15)</f>
        <v/>
      </c>
      <c r="C2447">
        <f>IF(A2447="","",'Employees'!D15)</f>
        <v/>
      </c>
      <c r="D2447">
        <f>IF(A2447="","",'Skill Matrix'!C158)</f>
        <v/>
      </c>
      <c r="E2447">
        <f>IF(A2447="","",'Skill Matrix'!D158)</f>
        <v/>
      </c>
      <c r="F2447">
        <f>IF(AND('Skill Matrix'!A158&lt;&gt;"",'Skill Matrix'!R5&lt;&gt;""),'Skill Matrix'!R5,"")</f>
        <v/>
      </c>
      <c r="G2447">
        <f>IF(OR(A2447="",'Skill Matrix'!R158=""),"",'Skill Matrix'!R158)</f>
        <v/>
      </c>
      <c r="H2447">
        <f>IF(A2447="","",'Employees'!F15)</f>
        <v/>
      </c>
    </row>
    <row r="2448">
      <c r="A2448">
        <f>IF(AND('Skill Matrix'!A158&lt;&gt;"",'Skill Matrix'!S5&lt;&gt;""),'Skill Matrix'!A158,"")</f>
        <v/>
      </c>
      <c r="B2448">
        <f>IF(A2448="","",'Employees'!C15)</f>
        <v/>
      </c>
      <c r="C2448">
        <f>IF(A2448="","",'Employees'!D15)</f>
        <v/>
      </c>
      <c r="D2448">
        <f>IF(A2448="","",'Skill Matrix'!C158)</f>
        <v/>
      </c>
      <c r="E2448">
        <f>IF(A2448="","",'Skill Matrix'!D158)</f>
        <v/>
      </c>
      <c r="F2448">
        <f>IF(AND('Skill Matrix'!A158&lt;&gt;"",'Skill Matrix'!S5&lt;&gt;""),'Skill Matrix'!S5,"")</f>
        <v/>
      </c>
      <c r="G2448">
        <f>IF(OR(A2448="",'Skill Matrix'!S158=""),"",'Skill Matrix'!S158)</f>
        <v/>
      </c>
      <c r="H2448">
        <f>IF(A2448="","",'Employees'!F15)</f>
        <v/>
      </c>
    </row>
    <row r="2449">
      <c r="A2449">
        <f>IF(AND('Skill Matrix'!A158&lt;&gt;"",'Skill Matrix'!T5&lt;&gt;""),'Skill Matrix'!A158,"")</f>
        <v/>
      </c>
      <c r="B2449">
        <f>IF(A2449="","",'Employees'!C15)</f>
        <v/>
      </c>
      <c r="C2449">
        <f>IF(A2449="","",'Employees'!D15)</f>
        <v/>
      </c>
      <c r="D2449">
        <f>IF(A2449="","",'Skill Matrix'!C158)</f>
        <v/>
      </c>
      <c r="E2449">
        <f>IF(A2449="","",'Skill Matrix'!D158)</f>
        <v/>
      </c>
      <c r="F2449">
        <f>IF(AND('Skill Matrix'!A158&lt;&gt;"",'Skill Matrix'!T5&lt;&gt;""),'Skill Matrix'!T5,"")</f>
        <v/>
      </c>
      <c r="G2449">
        <f>IF(OR(A2449="",'Skill Matrix'!T158=""),"",'Skill Matrix'!T158)</f>
        <v/>
      </c>
      <c r="H2449">
        <f>IF(A2449="","",'Employees'!F15)</f>
        <v/>
      </c>
    </row>
    <row r="2450">
      <c r="A2450">
        <f>IF(AND('Skill Matrix'!A159&lt;&gt;"",'Skill Matrix'!E5&lt;&gt;""),'Skill Matrix'!A159,"")</f>
        <v/>
      </c>
      <c r="B2450">
        <f>IF(A2450="","",'Employees'!C15)</f>
        <v/>
      </c>
      <c r="C2450">
        <f>IF(A2450="","",'Employees'!D15)</f>
        <v/>
      </c>
      <c r="D2450">
        <f>IF(A2450="","",'Skill Matrix'!C159)</f>
        <v/>
      </c>
      <c r="E2450">
        <f>IF(A2450="","",'Skill Matrix'!D159)</f>
        <v/>
      </c>
      <c r="F2450">
        <f>IF(AND('Skill Matrix'!A159&lt;&gt;"",'Skill Matrix'!E5&lt;&gt;""),'Skill Matrix'!E5,"")</f>
        <v/>
      </c>
      <c r="G2450">
        <f>IF(OR(A2450="",'Skill Matrix'!E159=""),"",'Skill Matrix'!E159)</f>
        <v/>
      </c>
      <c r="H2450">
        <f>IF(A2450="","",'Employees'!F15)</f>
        <v/>
      </c>
    </row>
    <row r="2451">
      <c r="A2451">
        <f>IF(AND('Skill Matrix'!A159&lt;&gt;"",'Skill Matrix'!F5&lt;&gt;""),'Skill Matrix'!A159,"")</f>
        <v/>
      </c>
      <c r="B2451">
        <f>IF(A2451="","",'Employees'!C15)</f>
        <v/>
      </c>
      <c r="C2451">
        <f>IF(A2451="","",'Employees'!D15)</f>
        <v/>
      </c>
      <c r="D2451">
        <f>IF(A2451="","",'Skill Matrix'!C159)</f>
        <v/>
      </c>
      <c r="E2451">
        <f>IF(A2451="","",'Skill Matrix'!D159)</f>
        <v/>
      </c>
      <c r="F2451">
        <f>IF(AND('Skill Matrix'!A159&lt;&gt;"",'Skill Matrix'!F5&lt;&gt;""),'Skill Matrix'!F5,"")</f>
        <v/>
      </c>
      <c r="G2451">
        <f>IF(OR(A2451="",'Skill Matrix'!F159=""),"",'Skill Matrix'!F159)</f>
        <v/>
      </c>
      <c r="H2451">
        <f>IF(A2451="","",'Employees'!F15)</f>
        <v/>
      </c>
    </row>
    <row r="2452">
      <c r="A2452">
        <f>IF(AND('Skill Matrix'!A159&lt;&gt;"",'Skill Matrix'!G5&lt;&gt;""),'Skill Matrix'!A159,"")</f>
        <v/>
      </c>
      <c r="B2452">
        <f>IF(A2452="","",'Employees'!C15)</f>
        <v/>
      </c>
      <c r="C2452">
        <f>IF(A2452="","",'Employees'!D15)</f>
        <v/>
      </c>
      <c r="D2452">
        <f>IF(A2452="","",'Skill Matrix'!C159)</f>
        <v/>
      </c>
      <c r="E2452">
        <f>IF(A2452="","",'Skill Matrix'!D159)</f>
        <v/>
      </c>
      <c r="F2452">
        <f>IF(AND('Skill Matrix'!A159&lt;&gt;"",'Skill Matrix'!G5&lt;&gt;""),'Skill Matrix'!G5,"")</f>
        <v/>
      </c>
      <c r="G2452">
        <f>IF(OR(A2452="",'Skill Matrix'!G159=""),"",'Skill Matrix'!G159)</f>
        <v/>
      </c>
      <c r="H2452">
        <f>IF(A2452="","",'Employees'!F15)</f>
        <v/>
      </c>
    </row>
    <row r="2453">
      <c r="A2453">
        <f>IF(AND('Skill Matrix'!A159&lt;&gt;"",'Skill Matrix'!H5&lt;&gt;""),'Skill Matrix'!A159,"")</f>
        <v/>
      </c>
      <c r="B2453">
        <f>IF(A2453="","",'Employees'!C15)</f>
        <v/>
      </c>
      <c r="C2453">
        <f>IF(A2453="","",'Employees'!D15)</f>
        <v/>
      </c>
      <c r="D2453">
        <f>IF(A2453="","",'Skill Matrix'!C159)</f>
        <v/>
      </c>
      <c r="E2453">
        <f>IF(A2453="","",'Skill Matrix'!D159)</f>
        <v/>
      </c>
      <c r="F2453">
        <f>IF(AND('Skill Matrix'!A159&lt;&gt;"",'Skill Matrix'!H5&lt;&gt;""),'Skill Matrix'!H5,"")</f>
        <v/>
      </c>
      <c r="G2453">
        <f>IF(OR(A2453="",'Skill Matrix'!H159=""),"",'Skill Matrix'!H159)</f>
        <v/>
      </c>
      <c r="H2453">
        <f>IF(A2453="","",'Employees'!F15)</f>
        <v/>
      </c>
    </row>
    <row r="2454">
      <c r="A2454">
        <f>IF(AND('Skill Matrix'!A159&lt;&gt;"",'Skill Matrix'!I5&lt;&gt;""),'Skill Matrix'!A159,"")</f>
        <v/>
      </c>
      <c r="B2454">
        <f>IF(A2454="","",'Employees'!C15)</f>
        <v/>
      </c>
      <c r="C2454">
        <f>IF(A2454="","",'Employees'!D15)</f>
        <v/>
      </c>
      <c r="D2454">
        <f>IF(A2454="","",'Skill Matrix'!C159)</f>
        <v/>
      </c>
      <c r="E2454">
        <f>IF(A2454="","",'Skill Matrix'!D159)</f>
        <v/>
      </c>
      <c r="F2454">
        <f>IF(AND('Skill Matrix'!A159&lt;&gt;"",'Skill Matrix'!I5&lt;&gt;""),'Skill Matrix'!I5,"")</f>
        <v/>
      </c>
      <c r="G2454">
        <f>IF(OR(A2454="",'Skill Matrix'!I159=""),"",'Skill Matrix'!I159)</f>
        <v/>
      </c>
      <c r="H2454">
        <f>IF(A2454="","",'Employees'!F15)</f>
        <v/>
      </c>
    </row>
    <row r="2455">
      <c r="A2455">
        <f>IF(AND('Skill Matrix'!A159&lt;&gt;"",'Skill Matrix'!J5&lt;&gt;""),'Skill Matrix'!A159,"")</f>
        <v/>
      </c>
      <c r="B2455">
        <f>IF(A2455="","",'Employees'!C15)</f>
        <v/>
      </c>
      <c r="C2455">
        <f>IF(A2455="","",'Employees'!D15)</f>
        <v/>
      </c>
      <c r="D2455">
        <f>IF(A2455="","",'Skill Matrix'!C159)</f>
        <v/>
      </c>
      <c r="E2455">
        <f>IF(A2455="","",'Skill Matrix'!D159)</f>
        <v/>
      </c>
      <c r="F2455">
        <f>IF(AND('Skill Matrix'!A159&lt;&gt;"",'Skill Matrix'!J5&lt;&gt;""),'Skill Matrix'!J5,"")</f>
        <v/>
      </c>
      <c r="G2455">
        <f>IF(OR(A2455="",'Skill Matrix'!J159=""),"",'Skill Matrix'!J159)</f>
        <v/>
      </c>
      <c r="H2455">
        <f>IF(A2455="","",'Employees'!F15)</f>
        <v/>
      </c>
    </row>
    <row r="2456">
      <c r="A2456">
        <f>IF(AND('Skill Matrix'!A159&lt;&gt;"",'Skill Matrix'!K5&lt;&gt;""),'Skill Matrix'!A159,"")</f>
        <v/>
      </c>
      <c r="B2456">
        <f>IF(A2456="","",'Employees'!C15)</f>
        <v/>
      </c>
      <c r="C2456">
        <f>IF(A2456="","",'Employees'!D15)</f>
        <v/>
      </c>
      <c r="D2456">
        <f>IF(A2456="","",'Skill Matrix'!C159)</f>
        <v/>
      </c>
      <c r="E2456">
        <f>IF(A2456="","",'Skill Matrix'!D159)</f>
        <v/>
      </c>
      <c r="F2456">
        <f>IF(AND('Skill Matrix'!A159&lt;&gt;"",'Skill Matrix'!K5&lt;&gt;""),'Skill Matrix'!K5,"")</f>
        <v/>
      </c>
      <c r="G2456">
        <f>IF(OR(A2456="",'Skill Matrix'!K159=""),"",'Skill Matrix'!K159)</f>
        <v/>
      </c>
      <c r="H2456">
        <f>IF(A2456="","",'Employees'!F15)</f>
        <v/>
      </c>
    </row>
    <row r="2457">
      <c r="A2457">
        <f>IF(AND('Skill Matrix'!A159&lt;&gt;"",'Skill Matrix'!L5&lt;&gt;""),'Skill Matrix'!A159,"")</f>
        <v/>
      </c>
      <c r="B2457">
        <f>IF(A2457="","",'Employees'!C15)</f>
        <v/>
      </c>
      <c r="C2457">
        <f>IF(A2457="","",'Employees'!D15)</f>
        <v/>
      </c>
      <c r="D2457">
        <f>IF(A2457="","",'Skill Matrix'!C159)</f>
        <v/>
      </c>
      <c r="E2457">
        <f>IF(A2457="","",'Skill Matrix'!D159)</f>
        <v/>
      </c>
      <c r="F2457">
        <f>IF(AND('Skill Matrix'!A159&lt;&gt;"",'Skill Matrix'!L5&lt;&gt;""),'Skill Matrix'!L5,"")</f>
        <v/>
      </c>
      <c r="G2457">
        <f>IF(OR(A2457="",'Skill Matrix'!L159=""),"",'Skill Matrix'!L159)</f>
        <v/>
      </c>
      <c r="H2457">
        <f>IF(A2457="","",'Employees'!F15)</f>
        <v/>
      </c>
    </row>
    <row r="2458">
      <c r="A2458">
        <f>IF(AND('Skill Matrix'!A159&lt;&gt;"",'Skill Matrix'!M5&lt;&gt;""),'Skill Matrix'!A159,"")</f>
        <v/>
      </c>
      <c r="B2458">
        <f>IF(A2458="","",'Employees'!C15)</f>
        <v/>
      </c>
      <c r="C2458">
        <f>IF(A2458="","",'Employees'!D15)</f>
        <v/>
      </c>
      <c r="D2458">
        <f>IF(A2458="","",'Skill Matrix'!C159)</f>
        <v/>
      </c>
      <c r="E2458">
        <f>IF(A2458="","",'Skill Matrix'!D159)</f>
        <v/>
      </c>
      <c r="F2458">
        <f>IF(AND('Skill Matrix'!A159&lt;&gt;"",'Skill Matrix'!M5&lt;&gt;""),'Skill Matrix'!M5,"")</f>
        <v/>
      </c>
      <c r="G2458">
        <f>IF(OR(A2458="",'Skill Matrix'!M159=""),"",'Skill Matrix'!M159)</f>
        <v/>
      </c>
      <c r="H2458">
        <f>IF(A2458="","",'Employees'!F15)</f>
        <v/>
      </c>
    </row>
    <row r="2459">
      <c r="A2459">
        <f>IF(AND('Skill Matrix'!A159&lt;&gt;"",'Skill Matrix'!N5&lt;&gt;""),'Skill Matrix'!A159,"")</f>
        <v/>
      </c>
      <c r="B2459">
        <f>IF(A2459="","",'Employees'!C15)</f>
        <v/>
      </c>
      <c r="C2459">
        <f>IF(A2459="","",'Employees'!D15)</f>
        <v/>
      </c>
      <c r="D2459">
        <f>IF(A2459="","",'Skill Matrix'!C159)</f>
        <v/>
      </c>
      <c r="E2459">
        <f>IF(A2459="","",'Skill Matrix'!D159)</f>
        <v/>
      </c>
      <c r="F2459">
        <f>IF(AND('Skill Matrix'!A159&lt;&gt;"",'Skill Matrix'!N5&lt;&gt;""),'Skill Matrix'!N5,"")</f>
        <v/>
      </c>
      <c r="G2459">
        <f>IF(OR(A2459="",'Skill Matrix'!N159=""),"",'Skill Matrix'!N159)</f>
        <v/>
      </c>
      <c r="H2459">
        <f>IF(A2459="","",'Employees'!F15)</f>
        <v/>
      </c>
    </row>
    <row r="2460">
      <c r="A2460">
        <f>IF(AND('Skill Matrix'!A159&lt;&gt;"",'Skill Matrix'!O5&lt;&gt;""),'Skill Matrix'!A159,"")</f>
        <v/>
      </c>
      <c r="B2460">
        <f>IF(A2460="","",'Employees'!C15)</f>
        <v/>
      </c>
      <c r="C2460">
        <f>IF(A2460="","",'Employees'!D15)</f>
        <v/>
      </c>
      <c r="D2460">
        <f>IF(A2460="","",'Skill Matrix'!C159)</f>
        <v/>
      </c>
      <c r="E2460">
        <f>IF(A2460="","",'Skill Matrix'!D159)</f>
        <v/>
      </c>
      <c r="F2460">
        <f>IF(AND('Skill Matrix'!A159&lt;&gt;"",'Skill Matrix'!O5&lt;&gt;""),'Skill Matrix'!O5,"")</f>
        <v/>
      </c>
      <c r="G2460">
        <f>IF(OR(A2460="",'Skill Matrix'!O159=""),"",'Skill Matrix'!O159)</f>
        <v/>
      </c>
      <c r="H2460">
        <f>IF(A2460="","",'Employees'!F15)</f>
        <v/>
      </c>
    </row>
    <row r="2461">
      <c r="A2461">
        <f>IF(AND('Skill Matrix'!A159&lt;&gt;"",'Skill Matrix'!P5&lt;&gt;""),'Skill Matrix'!A159,"")</f>
        <v/>
      </c>
      <c r="B2461">
        <f>IF(A2461="","",'Employees'!C15)</f>
        <v/>
      </c>
      <c r="C2461">
        <f>IF(A2461="","",'Employees'!D15)</f>
        <v/>
      </c>
      <c r="D2461">
        <f>IF(A2461="","",'Skill Matrix'!C159)</f>
        <v/>
      </c>
      <c r="E2461">
        <f>IF(A2461="","",'Skill Matrix'!D159)</f>
        <v/>
      </c>
      <c r="F2461">
        <f>IF(AND('Skill Matrix'!A159&lt;&gt;"",'Skill Matrix'!P5&lt;&gt;""),'Skill Matrix'!P5,"")</f>
        <v/>
      </c>
      <c r="G2461">
        <f>IF(OR(A2461="",'Skill Matrix'!P159=""),"",'Skill Matrix'!P159)</f>
        <v/>
      </c>
      <c r="H2461">
        <f>IF(A2461="","",'Employees'!F15)</f>
        <v/>
      </c>
    </row>
    <row r="2462">
      <c r="A2462">
        <f>IF(AND('Skill Matrix'!A159&lt;&gt;"",'Skill Matrix'!Q5&lt;&gt;""),'Skill Matrix'!A159,"")</f>
        <v/>
      </c>
      <c r="B2462">
        <f>IF(A2462="","",'Employees'!C15)</f>
        <v/>
      </c>
      <c r="C2462">
        <f>IF(A2462="","",'Employees'!D15)</f>
        <v/>
      </c>
      <c r="D2462">
        <f>IF(A2462="","",'Skill Matrix'!C159)</f>
        <v/>
      </c>
      <c r="E2462">
        <f>IF(A2462="","",'Skill Matrix'!D159)</f>
        <v/>
      </c>
      <c r="F2462">
        <f>IF(AND('Skill Matrix'!A159&lt;&gt;"",'Skill Matrix'!Q5&lt;&gt;""),'Skill Matrix'!Q5,"")</f>
        <v/>
      </c>
      <c r="G2462">
        <f>IF(OR(A2462="",'Skill Matrix'!Q159=""),"",'Skill Matrix'!Q159)</f>
        <v/>
      </c>
      <c r="H2462">
        <f>IF(A2462="","",'Employees'!F15)</f>
        <v/>
      </c>
    </row>
    <row r="2463">
      <c r="A2463">
        <f>IF(AND('Skill Matrix'!A159&lt;&gt;"",'Skill Matrix'!R5&lt;&gt;""),'Skill Matrix'!A159,"")</f>
        <v/>
      </c>
      <c r="B2463">
        <f>IF(A2463="","",'Employees'!C15)</f>
        <v/>
      </c>
      <c r="C2463">
        <f>IF(A2463="","",'Employees'!D15)</f>
        <v/>
      </c>
      <c r="D2463">
        <f>IF(A2463="","",'Skill Matrix'!C159)</f>
        <v/>
      </c>
      <c r="E2463">
        <f>IF(A2463="","",'Skill Matrix'!D159)</f>
        <v/>
      </c>
      <c r="F2463">
        <f>IF(AND('Skill Matrix'!A159&lt;&gt;"",'Skill Matrix'!R5&lt;&gt;""),'Skill Matrix'!R5,"")</f>
        <v/>
      </c>
      <c r="G2463">
        <f>IF(OR(A2463="",'Skill Matrix'!R159=""),"",'Skill Matrix'!R159)</f>
        <v/>
      </c>
      <c r="H2463">
        <f>IF(A2463="","",'Employees'!F15)</f>
        <v/>
      </c>
    </row>
    <row r="2464">
      <c r="A2464">
        <f>IF(AND('Skill Matrix'!A159&lt;&gt;"",'Skill Matrix'!S5&lt;&gt;""),'Skill Matrix'!A159,"")</f>
        <v/>
      </c>
      <c r="B2464">
        <f>IF(A2464="","",'Employees'!C15)</f>
        <v/>
      </c>
      <c r="C2464">
        <f>IF(A2464="","",'Employees'!D15)</f>
        <v/>
      </c>
      <c r="D2464">
        <f>IF(A2464="","",'Skill Matrix'!C159)</f>
        <v/>
      </c>
      <c r="E2464">
        <f>IF(A2464="","",'Skill Matrix'!D159)</f>
        <v/>
      </c>
      <c r="F2464">
        <f>IF(AND('Skill Matrix'!A159&lt;&gt;"",'Skill Matrix'!S5&lt;&gt;""),'Skill Matrix'!S5,"")</f>
        <v/>
      </c>
      <c r="G2464">
        <f>IF(OR(A2464="",'Skill Matrix'!S159=""),"",'Skill Matrix'!S159)</f>
        <v/>
      </c>
      <c r="H2464">
        <f>IF(A2464="","",'Employees'!F15)</f>
        <v/>
      </c>
    </row>
    <row r="2465">
      <c r="A2465">
        <f>IF(AND('Skill Matrix'!A159&lt;&gt;"",'Skill Matrix'!T5&lt;&gt;""),'Skill Matrix'!A159,"")</f>
        <v/>
      </c>
      <c r="B2465">
        <f>IF(A2465="","",'Employees'!C15)</f>
        <v/>
      </c>
      <c r="C2465">
        <f>IF(A2465="","",'Employees'!D15)</f>
        <v/>
      </c>
      <c r="D2465">
        <f>IF(A2465="","",'Skill Matrix'!C159)</f>
        <v/>
      </c>
      <c r="E2465">
        <f>IF(A2465="","",'Skill Matrix'!D159)</f>
        <v/>
      </c>
      <c r="F2465">
        <f>IF(AND('Skill Matrix'!A159&lt;&gt;"",'Skill Matrix'!T5&lt;&gt;""),'Skill Matrix'!T5,"")</f>
        <v/>
      </c>
      <c r="G2465">
        <f>IF(OR(A2465="",'Skill Matrix'!T159=""),"",'Skill Matrix'!T159)</f>
        <v/>
      </c>
      <c r="H2465">
        <f>IF(A2465="","",'Employees'!F15)</f>
        <v/>
      </c>
    </row>
    <row r="2466">
      <c r="A2466">
        <f>IF(AND('Skill Matrix'!A160&lt;&gt;"",'Skill Matrix'!E5&lt;&gt;""),'Skill Matrix'!A160,"")</f>
        <v/>
      </c>
      <c r="B2466">
        <f>IF(A2466="","",'Employees'!C15)</f>
        <v/>
      </c>
      <c r="C2466">
        <f>IF(A2466="","",'Employees'!D15)</f>
        <v/>
      </c>
      <c r="D2466">
        <f>IF(A2466="","",'Skill Matrix'!C160)</f>
        <v/>
      </c>
      <c r="E2466">
        <f>IF(A2466="","",'Skill Matrix'!D160)</f>
        <v/>
      </c>
      <c r="F2466">
        <f>IF(AND('Skill Matrix'!A160&lt;&gt;"",'Skill Matrix'!E5&lt;&gt;""),'Skill Matrix'!E5,"")</f>
        <v/>
      </c>
      <c r="G2466">
        <f>IF(OR(A2466="",'Skill Matrix'!E160=""),"",'Skill Matrix'!E160)</f>
        <v/>
      </c>
      <c r="H2466">
        <f>IF(A2466="","",'Employees'!F15)</f>
        <v/>
      </c>
    </row>
    <row r="2467">
      <c r="A2467">
        <f>IF(AND('Skill Matrix'!A160&lt;&gt;"",'Skill Matrix'!F5&lt;&gt;""),'Skill Matrix'!A160,"")</f>
        <v/>
      </c>
      <c r="B2467">
        <f>IF(A2467="","",'Employees'!C15)</f>
        <v/>
      </c>
      <c r="C2467">
        <f>IF(A2467="","",'Employees'!D15)</f>
        <v/>
      </c>
      <c r="D2467">
        <f>IF(A2467="","",'Skill Matrix'!C160)</f>
        <v/>
      </c>
      <c r="E2467">
        <f>IF(A2467="","",'Skill Matrix'!D160)</f>
        <v/>
      </c>
      <c r="F2467">
        <f>IF(AND('Skill Matrix'!A160&lt;&gt;"",'Skill Matrix'!F5&lt;&gt;""),'Skill Matrix'!F5,"")</f>
        <v/>
      </c>
      <c r="G2467">
        <f>IF(OR(A2467="",'Skill Matrix'!F160=""),"",'Skill Matrix'!F160)</f>
        <v/>
      </c>
      <c r="H2467">
        <f>IF(A2467="","",'Employees'!F15)</f>
        <v/>
      </c>
    </row>
    <row r="2468">
      <c r="A2468">
        <f>IF(AND('Skill Matrix'!A160&lt;&gt;"",'Skill Matrix'!G5&lt;&gt;""),'Skill Matrix'!A160,"")</f>
        <v/>
      </c>
      <c r="B2468">
        <f>IF(A2468="","",'Employees'!C15)</f>
        <v/>
      </c>
      <c r="C2468">
        <f>IF(A2468="","",'Employees'!D15)</f>
        <v/>
      </c>
      <c r="D2468">
        <f>IF(A2468="","",'Skill Matrix'!C160)</f>
        <v/>
      </c>
      <c r="E2468">
        <f>IF(A2468="","",'Skill Matrix'!D160)</f>
        <v/>
      </c>
      <c r="F2468">
        <f>IF(AND('Skill Matrix'!A160&lt;&gt;"",'Skill Matrix'!G5&lt;&gt;""),'Skill Matrix'!G5,"")</f>
        <v/>
      </c>
      <c r="G2468">
        <f>IF(OR(A2468="",'Skill Matrix'!G160=""),"",'Skill Matrix'!G160)</f>
        <v/>
      </c>
      <c r="H2468">
        <f>IF(A2468="","",'Employees'!F15)</f>
        <v/>
      </c>
    </row>
    <row r="2469">
      <c r="A2469">
        <f>IF(AND('Skill Matrix'!A160&lt;&gt;"",'Skill Matrix'!H5&lt;&gt;""),'Skill Matrix'!A160,"")</f>
        <v/>
      </c>
      <c r="B2469">
        <f>IF(A2469="","",'Employees'!C15)</f>
        <v/>
      </c>
      <c r="C2469">
        <f>IF(A2469="","",'Employees'!D15)</f>
        <v/>
      </c>
      <c r="D2469">
        <f>IF(A2469="","",'Skill Matrix'!C160)</f>
        <v/>
      </c>
      <c r="E2469">
        <f>IF(A2469="","",'Skill Matrix'!D160)</f>
        <v/>
      </c>
      <c r="F2469">
        <f>IF(AND('Skill Matrix'!A160&lt;&gt;"",'Skill Matrix'!H5&lt;&gt;""),'Skill Matrix'!H5,"")</f>
        <v/>
      </c>
      <c r="G2469">
        <f>IF(OR(A2469="",'Skill Matrix'!H160=""),"",'Skill Matrix'!H160)</f>
        <v/>
      </c>
      <c r="H2469">
        <f>IF(A2469="","",'Employees'!F15)</f>
        <v/>
      </c>
    </row>
    <row r="2470">
      <c r="A2470">
        <f>IF(AND('Skill Matrix'!A160&lt;&gt;"",'Skill Matrix'!I5&lt;&gt;""),'Skill Matrix'!A160,"")</f>
        <v/>
      </c>
      <c r="B2470">
        <f>IF(A2470="","",'Employees'!C15)</f>
        <v/>
      </c>
      <c r="C2470">
        <f>IF(A2470="","",'Employees'!D15)</f>
        <v/>
      </c>
      <c r="D2470">
        <f>IF(A2470="","",'Skill Matrix'!C160)</f>
        <v/>
      </c>
      <c r="E2470">
        <f>IF(A2470="","",'Skill Matrix'!D160)</f>
        <v/>
      </c>
      <c r="F2470">
        <f>IF(AND('Skill Matrix'!A160&lt;&gt;"",'Skill Matrix'!I5&lt;&gt;""),'Skill Matrix'!I5,"")</f>
        <v/>
      </c>
      <c r="G2470">
        <f>IF(OR(A2470="",'Skill Matrix'!I160=""),"",'Skill Matrix'!I160)</f>
        <v/>
      </c>
      <c r="H2470">
        <f>IF(A2470="","",'Employees'!F15)</f>
        <v/>
      </c>
    </row>
    <row r="2471">
      <c r="A2471">
        <f>IF(AND('Skill Matrix'!A160&lt;&gt;"",'Skill Matrix'!J5&lt;&gt;""),'Skill Matrix'!A160,"")</f>
        <v/>
      </c>
      <c r="B2471">
        <f>IF(A2471="","",'Employees'!C15)</f>
        <v/>
      </c>
      <c r="C2471">
        <f>IF(A2471="","",'Employees'!D15)</f>
        <v/>
      </c>
      <c r="D2471">
        <f>IF(A2471="","",'Skill Matrix'!C160)</f>
        <v/>
      </c>
      <c r="E2471">
        <f>IF(A2471="","",'Skill Matrix'!D160)</f>
        <v/>
      </c>
      <c r="F2471">
        <f>IF(AND('Skill Matrix'!A160&lt;&gt;"",'Skill Matrix'!J5&lt;&gt;""),'Skill Matrix'!J5,"")</f>
        <v/>
      </c>
      <c r="G2471">
        <f>IF(OR(A2471="",'Skill Matrix'!J160=""),"",'Skill Matrix'!J160)</f>
        <v/>
      </c>
      <c r="H2471">
        <f>IF(A2471="","",'Employees'!F15)</f>
        <v/>
      </c>
    </row>
    <row r="2472">
      <c r="A2472">
        <f>IF(AND('Skill Matrix'!A160&lt;&gt;"",'Skill Matrix'!K5&lt;&gt;""),'Skill Matrix'!A160,"")</f>
        <v/>
      </c>
      <c r="B2472">
        <f>IF(A2472="","",'Employees'!C15)</f>
        <v/>
      </c>
      <c r="C2472">
        <f>IF(A2472="","",'Employees'!D15)</f>
        <v/>
      </c>
      <c r="D2472">
        <f>IF(A2472="","",'Skill Matrix'!C160)</f>
        <v/>
      </c>
      <c r="E2472">
        <f>IF(A2472="","",'Skill Matrix'!D160)</f>
        <v/>
      </c>
      <c r="F2472">
        <f>IF(AND('Skill Matrix'!A160&lt;&gt;"",'Skill Matrix'!K5&lt;&gt;""),'Skill Matrix'!K5,"")</f>
        <v/>
      </c>
      <c r="G2472">
        <f>IF(OR(A2472="",'Skill Matrix'!K160=""),"",'Skill Matrix'!K160)</f>
        <v/>
      </c>
      <c r="H2472">
        <f>IF(A2472="","",'Employees'!F15)</f>
        <v/>
      </c>
    </row>
    <row r="2473">
      <c r="A2473">
        <f>IF(AND('Skill Matrix'!A160&lt;&gt;"",'Skill Matrix'!L5&lt;&gt;""),'Skill Matrix'!A160,"")</f>
        <v/>
      </c>
      <c r="B2473">
        <f>IF(A2473="","",'Employees'!C15)</f>
        <v/>
      </c>
      <c r="C2473">
        <f>IF(A2473="","",'Employees'!D15)</f>
        <v/>
      </c>
      <c r="D2473">
        <f>IF(A2473="","",'Skill Matrix'!C160)</f>
        <v/>
      </c>
      <c r="E2473">
        <f>IF(A2473="","",'Skill Matrix'!D160)</f>
        <v/>
      </c>
      <c r="F2473">
        <f>IF(AND('Skill Matrix'!A160&lt;&gt;"",'Skill Matrix'!L5&lt;&gt;""),'Skill Matrix'!L5,"")</f>
        <v/>
      </c>
      <c r="G2473">
        <f>IF(OR(A2473="",'Skill Matrix'!L160=""),"",'Skill Matrix'!L160)</f>
        <v/>
      </c>
      <c r="H2473">
        <f>IF(A2473="","",'Employees'!F15)</f>
        <v/>
      </c>
    </row>
    <row r="2474">
      <c r="A2474">
        <f>IF(AND('Skill Matrix'!A160&lt;&gt;"",'Skill Matrix'!M5&lt;&gt;""),'Skill Matrix'!A160,"")</f>
        <v/>
      </c>
      <c r="B2474">
        <f>IF(A2474="","",'Employees'!C15)</f>
        <v/>
      </c>
      <c r="C2474">
        <f>IF(A2474="","",'Employees'!D15)</f>
        <v/>
      </c>
      <c r="D2474">
        <f>IF(A2474="","",'Skill Matrix'!C160)</f>
        <v/>
      </c>
      <c r="E2474">
        <f>IF(A2474="","",'Skill Matrix'!D160)</f>
        <v/>
      </c>
      <c r="F2474">
        <f>IF(AND('Skill Matrix'!A160&lt;&gt;"",'Skill Matrix'!M5&lt;&gt;""),'Skill Matrix'!M5,"")</f>
        <v/>
      </c>
      <c r="G2474">
        <f>IF(OR(A2474="",'Skill Matrix'!M160=""),"",'Skill Matrix'!M160)</f>
        <v/>
      </c>
      <c r="H2474">
        <f>IF(A2474="","",'Employees'!F15)</f>
        <v/>
      </c>
    </row>
    <row r="2475">
      <c r="A2475">
        <f>IF(AND('Skill Matrix'!A160&lt;&gt;"",'Skill Matrix'!N5&lt;&gt;""),'Skill Matrix'!A160,"")</f>
        <v/>
      </c>
      <c r="B2475">
        <f>IF(A2475="","",'Employees'!C15)</f>
        <v/>
      </c>
      <c r="C2475">
        <f>IF(A2475="","",'Employees'!D15)</f>
        <v/>
      </c>
      <c r="D2475">
        <f>IF(A2475="","",'Skill Matrix'!C160)</f>
        <v/>
      </c>
      <c r="E2475">
        <f>IF(A2475="","",'Skill Matrix'!D160)</f>
        <v/>
      </c>
      <c r="F2475">
        <f>IF(AND('Skill Matrix'!A160&lt;&gt;"",'Skill Matrix'!N5&lt;&gt;""),'Skill Matrix'!N5,"")</f>
        <v/>
      </c>
      <c r="G2475">
        <f>IF(OR(A2475="",'Skill Matrix'!N160=""),"",'Skill Matrix'!N160)</f>
        <v/>
      </c>
      <c r="H2475">
        <f>IF(A2475="","",'Employees'!F15)</f>
        <v/>
      </c>
    </row>
    <row r="2476">
      <c r="A2476">
        <f>IF(AND('Skill Matrix'!A160&lt;&gt;"",'Skill Matrix'!O5&lt;&gt;""),'Skill Matrix'!A160,"")</f>
        <v/>
      </c>
      <c r="B2476">
        <f>IF(A2476="","",'Employees'!C15)</f>
        <v/>
      </c>
      <c r="C2476">
        <f>IF(A2476="","",'Employees'!D15)</f>
        <v/>
      </c>
      <c r="D2476">
        <f>IF(A2476="","",'Skill Matrix'!C160)</f>
        <v/>
      </c>
      <c r="E2476">
        <f>IF(A2476="","",'Skill Matrix'!D160)</f>
        <v/>
      </c>
      <c r="F2476">
        <f>IF(AND('Skill Matrix'!A160&lt;&gt;"",'Skill Matrix'!O5&lt;&gt;""),'Skill Matrix'!O5,"")</f>
        <v/>
      </c>
      <c r="G2476">
        <f>IF(OR(A2476="",'Skill Matrix'!O160=""),"",'Skill Matrix'!O160)</f>
        <v/>
      </c>
      <c r="H2476">
        <f>IF(A2476="","",'Employees'!F15)</f>
        <v/>
      </c>
    </row>
    <row r="2477">
      <c r="A2477">
        <f>IF(AND('Skill Matrix'!A160&lt;&gt;"",'Skill Matrix'!P5&lt;&gt;""),'Skill Matrix'!A160,"")</f>
        <v/>
      </c>
      <c r="B2477">
        <f>IF(A2477="","",'Employees'!C15)</f>
        <v/>
      </c>
      <c r="C2477">
        <f>IF(A2477="","",'Employees'!D15)</f>
        <v/>
      </c>
      <c r="D2477">
        <f>IF(A2477="","",'Skill Matrix'!C160)</f>
        <v/>
      </c>
      <c r="E2477">
        <f>IF(A2477="","",'Skill Matrix'!D160)</f>
        <v/>
      </c>
      <c r="F2477">
        <f>IF(AND('Skill Matrix'!A160&lt;&gt;"",'Skill Matrix'!P5&lt;&gt;""),'Skill Matrix'!P5,"")</f>
        <v/>
      </c>
      <c r="G2477">
        <f>IF(OR(A2477="",'Skill Matrix'!P160=""),"",'Skill Matrix'!P160)</f>
        <v/>
      </c>
      <c r="H2477">
        <f>IF(A2477="","",'Employees'!F15)</f>
        <v/>
      </c>
    </row>
    <row r="2478">
      <c r="A2478">
        <f>IF(AND('Skill Matrix'!A160&lt;&gt;"",'Skill Matrix'!Q5&lt;&gt;""),'Skill Matrix'!A160,"")</f>
        <v/>
      </c>
      <c r="B2478">
        <f>IF(A2478="","",'Employees'!C15)</f>
        <v/>
      </c>
      <c r="C2478">
        <f>IF(A2478="","",'Employees'!D15)</f>
        <v/>
      </c>
      <c r="D2478">
        <f>IF(A2478="","",'Skill Matrix'!C160)</f>
        <v/>
      </c>
      <c r="E2478">
        <f>IF(A2478="","",'Skill Matrix'!D160)</f>
        <v/>
      </c>
      <c r="F2478">
        <f>IF(AND('Skill Matrix'!A160&lt;&gt;"",'Skill Matrix'!Q5&lt;&gt;""),'Skill Matrix'!Q5,"")</f>
        <v/>
      </c>
      <c r="G2478">
        <f>IF(OR(A2478="",'Skill Matrix'!Q160=""),"",'Skill Matrix'!Q160)</f>
        <v/>
      </c>
      <c r="H2478">
        <f>IF(A2478="","",'Employees'!F15)</f>
        <v/>
      </c>
    </row>
    <row r="2479">
      <c r="A2479">
        <f>IF(AND('Skill Matrix'!A160&lt;&gt;"",'Skill Matrix'!R5&lt;&gt;""),'Skill Matrix'!A160,"")</f>
        <v/>
      </c>
      <c r="B2479">
        <f>IF(A2479="","",'Employees'!C15)</f>
        <v/>
      </c>
      <c r="C2479">
        <f>IF(A2479="","",'Employees'!D15)</f>
        <v/>
      </c>
      <c r="D2479">
        <f>IF(A2479="","",'Skill Matrix'!C160)</f>
        <v/>
      </c>
      <c r="E2479">
        <f>IF(A2479="","",'Skill Matrix'!D160)</f>
        <v/>
      </c>
      <c r="F2479">
        <f>IF(AND('Skill Matrix'!A160&lt;&gt;"",'Skill Matrix'!R5&lt;&gt;""),'Skill Matrix'!R5,"")</f>
        <v/>
      </c>
      <c r="G2479">
        <f>IF(OR(A2479="",'Skill Matrix'!R160=""),"",'Skill Matrix'!R160)</f>
        <v/>
      </c>
      <c r="H2479">
        <f>IF(A2479="","",'Employees'!F15)</f>
        <v/>
      </c>
    </row>
    <row r="2480">
      <c r="A2480">
        <f>IF(AND('Skill Matrix'!A160&lt;&gt;"",'Skill Matrix'!S5&lt;&gt;""),'Skill Matrix'!A160,"")</f>
        <v/>
      </c>
      <c r="B2480">
        <f>IF(A2480="","",'Employees'!C15)</f>
        <v/>
      </c>
      <c r="C2480">
        <f>IF(A2480="","",'Employees'!D15)</f>
        <v/>
      </c>
      <c r="D2480">
        <f>IF(A2480="","",'Skill Matrix'!C160)</f>
        <v/>
      </c>
      <c r="E2480">
        <f>IF(A2480="","",'Skill Matrix'!D160)</f>
        <v/>
      </c>
      <c r="F2480">
        <f>IF(AND('Skill Matrix'!A160&lt;&gt;"",'Skill Matrix'!S5&lt;&gt;""),'Skill Matrix'!S5,"")</f>
        <v/>
      </c>
      <c r="G2480">
        <f>IF(OR(A2480="",'Skill Matrix'!S160=""),"",'Skill Matrix'!S160)</f>
        <v/>
      </c>
      <c r="H2480">
        <f>IF(A2480="","",'Employees'!F15)</f>
        <v/>
      </c>
    </row>
    <row r="2481">
      <c r="A2481">
        <f>IF(AND('Skill Matrix'!A160&lt;&gt;"",'Skill Matrix'!T5&lt;&gt;""),'Skill Matrix'!A160,"")</f>
        <v/>
      </c>
      <c r="B2481">
        <f>IF(A2481="","",'Employees'!C15)</f>
        <v/>
      </c>
      <c r="C2481">
        <f>IF(A2481="","",'Employees'!D15)</f>
        <v/>
      </c>
      <c r="D2481">
        <f>IF(A2481="","",'Skill Matrix'!C160)</f>
        <v/>
      </c>
      <c r="E2481">
        <f>IF(A2481="","",'Skill Matrix'!D160)</f>
        <v/>
      </c>
      <c r="F2481">
        <f>IF(AND('Skill Matrix'!A160&lt;&gt;"",'Skill Matrix'!T5&lt;&gt;""),'Skill Matrix'!T5,"")</f>
        <v/>
      </c>
      <c r="G2481">
        <f>IF(OR(A2481="",'Skill Matrix'!T160=""),"",'Skill Matrix'!T160)</f>
        <v/>
      </c>
      <c r="H2481">
        <f>IF(A2481="","",'Employees'!F15)</f>
        <v/>
      </c>
    </row>
    <row r="2482">
      <c r="A2482">
        <f>IF(AND('Skill Matrix'!A161&lt;&gt;"",'Skill Matrix'!E5&lt;&gt;""),'Skill Matrix'!A161,"")</f>
        <v/>
      </c>
      <c r="B2482">
        <f>IF(A2482="","",'Employees'!C15)</f>
        <v/>
      </c>
      <c r="C2482">
        <f>IF(A2482="","",'Employees'!D15)</f>
        <v/>
      </c>
      <c r="D2482">
        <f>IF(A2482="","",'Skill Matrix'!C161)</f>
        <v/>
      </c>
      <c r="E2482">
        <f>IF(A2482="","",'Skill Matrix'!D161)</f>
        <v/>
      </c>
      <c r="F2482">
        <f>IF(AND('Skill Matrix'!A161&lt;&gt;"",'Skill Matrix'!E5&lt;&gt;""),'Skill Matrix'!E5,"")</f>
        <v/>
      </c>
      <c r="G2482">
        <f>IF(OR(A2482="",'Skill Matrix'!E161=""),"",'Skill Matrix'!E161)</f>
        <v/>
      </c>
      <c r="H2482">
        <f>IF(A2482="","",'Employees'!F15)</f>
        <v/>
      </c>
    </row>
    <row r="2483">
      <c r="A2483">
        <f>IF(AND('Skill Matrix'!A161&lt;&gt;"",'Skill Matrix'!F5&lt;&gt;""),'Skill Matrix'!A161,"")</f>
        <v/>
      </c>
      <c r="B2483">
        <f>IF(A2483="","",'Employees'!C15)</f>
        <v/>
      </c>
      <c r="C2483">
        <f>IF(A2483="","",'Employees'!D15)</f>
        <v/>
      </c>
      <c r="D2483">
        <f>IF(A2483="","",'Skill Matrix'!C161)</f>
        <v/>
      </c>
      <c r="E2483">
        <f>IF(A2483="","",'Skill Matrix'!D161)</f>
        <v/>
      </c>
      <c r="F2483">
        <f>IF(AND('Skill Matrix'!A161&lt;&gt;"",'Skill Matrix'!F5&lt;&gt;""),'Skill Matrix'!F5,"")</f>
        <v/>
      </c>
      <c r="G2483">
        <f>IF(OR(A2483="",'Skill Matrix'!F161=""),"",'Skill Matrix'!F161)</f>
        <v/>
      </c>
      <c r="H2483">
        <f>IF(A2483="","",'Employees'!F15)</f>
        <v/>
      </c>
    </row>
    <row r="2484">
      <c r="A2484">
        <f>IF(AND('Skill Matrix'!A161&lt;&gt;"",'Skill Matrix'!G5&lt;&gt;""),'Skill Matrix'!A161,"")</f>
        <v/>
      </c>
      <c r="B2484">
        <f>IF(A2484="","",'Employees'!C15)</f>
        <v/>
      </c>
      <c r="C2484">
        <f>IF(A2484="","",'Employees'!D15)</f>
        <v/>
      </c>
      <c r="D2484">
        <f>IF(A2484="","",'Skill Matrix'!C161)</f>
        <v/>
      </c>
      <c r="E2484">
        <f>IF(A2484="","",'Skill Matrix'!D161)</f>
        <v/>
      </c>
      <c r="F2484">
        <f>IF(AND('Skill Matrix'!A161&lt;&gt;"",'Skill Matrix'!G5&lt;&gt;""),'Skill Matrix'!G5,"")</f>
        <v/>
      </c>
      <c r="G2484">
        <f>IF(OR(A2484="",'Skill Matrix'!G161=""),"",'Skill Matrix'!G161)</f>
        <v/>
      </c>
      <c r="H2484">
        <f>IF(A2484="","",'Employees'!F15)</f>
        <v/>
      </c>
    </row>
    <row r="2485">
      <c r="A2485">
        <f>IF(AND('Skill Matrix'!A161&lt;&gt;"",'Skill Matrix'!H5&lt;&gt;""),'Skill Matrix'!A161,"")</f>
        <v/>
      </c>
      <c r="B2485">
        <f>IF(A2485="","",'Employees'!C15)</f>
        <v/>
      </c>
      <c r="C2485">
        <f>IF(A2485="","",'Employees'!D15)</f>
        <v/>
      </c>
      <c r="D2485">
        <f>IF(A2485="","",'Skill Matrix'!C161)</f>
        <v/>
      </c>
      <c r="E2485">
        <f>IF(A2485="","",'Skill Matrix'!D161)</f>
        <v/>
      </c>
      <c r="F2485">
        <f>IF(AND('Skill Matrix'!A161&lt;&gt;"",'Skill Matrix'!H5&lt;&gt;""),'Skill Matrix'!H5,"")</f>
        <v/>
      </c>
      <c r="G2485">
        <f>IF(OR(A2485="",'Skill Matrix'!H161=""),"",'Skill Matrix'!H161)</f>
        <v/>
      </c>
      <c r="H2485">
        <f>IF(A2485="","",'Employees'!F15)</f>
        <v/>
      </c>
    </row>
    <row r="2486">
      <c r="A2486">
        <f>IF(AND('Skill Matrix'!A161&lt;&gt;"",'Skill Matrix'!I5&lt;&gt;""),'Skill Matrix'!A161,"")</f>
        <v/>
      </c>
      <c r="B2486">
        <f>IF(A2486="","",'Employees'!C15)</f>
        <v/>
      </c>
      <c r="C2486">
        <f>IF(A2486="","",'Employees'!D15)</f>
        <v/>
      </c>
      <c r="D2486">
        <f>IF(A2486="","",'Skill Matrix'!C161)</f>
        <v/>
      </c>
      <c r="E2486">
        <f>IF(A2486="","",'Skill Matrix'!D161)</f>
        <v/>
      </c>
      <c r="F2486">
        <f>IF(AND('Skill Matrix'!A161&lt;&gt;"",'Skill Matrix'!I5&lt;&gt;""),'Skill Matrix'!I5,"")</f>
        <v/>
      </c>
      <c r="G2486">
        <f>IF(OR(A2486="",'Skill Matrix'!I161=""),"",'Skill Matrix'!I161)</f>
        <v/>
      </c>
      <c r="H2486">
        <f>IF(A2486="","",'Employees'!F15)</f>
        <v/>
      </c>
    </row>
    <row r="2487">
      <c r="A2487">
        <f>IF(AND('Skill Matrix'!A161&lt;&gt;"",'Skill Matrix'!J5&lt;&gt;""),'Skill Matrix'!A161,"")</f>
        <v/>
      </c>
      <c r="B2487">
        <f>IF(A2487="","",'Employees'!C15)</f>
        <v/>
      </c>
      <c r="C2487">
        <f>IF(A2487="","",'Employees'!D15)</f>
        <v/>
      </c>
      <c r="D2487">
        <f>IF(A2487="","",'Skill Matrix'!C161)</f>
        <v/>
      </c>
      <c r="E2487">
        <f>IF(A2487="","",'Skill Matrix'!D161)</f>
        <v/>
      </c>
      <c r="F2487">
        <f>IF(AND('Skill Matrix'!A161&lt;&gt;"",'Skill Matrix'!J5&lt;&gt;""),'Skill Matrix'!J5,"")</f>
        <v/>
      </c>
      <c r="G2487">
        <f>IF(OR(A2487="",'Skill Matrix'!J161=""),"",'Skill Matrix'!J161)</f>
        <v/>
      </c>
      <c r="H2487">
        <f>IF(A2487="","",'Employees'!F15)</f>
        <v/>
      </c>
    </row>
    <row r="2488">
      <c r="A2488">
        <f>IF(AND('Skill Matrix'!A161&lt;&gt;"",'Skill Matrix'!K5&lt;&gt;""),'Skill Matrix'!A161,"")</f>
        <v/>
      </c>
      <c r="B2488">
        <f>IF(A2488="","",'Employees'!C15)</f>
        <v/>
      </c>
      <c r="C2488">
        <f>IF(A2488="","",'Employees'!D15)</f>
        <v/>
      </c>
      <c r="D2488">
        <f>IF(A2488="","",'Skill Matrix'!C161)</f>
        <v/>
      </c>
      <c r="E2488">
        <f>IF(A2488="","",'Skill Matrix'!D161)</f>
        <v/>
      </c>
      <c r="F2488">
        <f>IF(AND('Skill Matrix'!A161&lt;&gt;"",'Skill Matrix'!K5&lt;&gt;""),'Skill Matrix'!K5,"")</f>
        <v/>
      </c>
      <c r="G2488">
        <f>IF(OR(A2488="",'Skill Matrix'!K161=""),"",'Skill Matrix'!K161)</f>
        <v/>
      </c>
      <c r="H2488">
        <f>IF(A2488="","",'Employees'!F15)</f>
        <v/>
      </c>
    </row>
    <row r="2489">
      <c r="A2489">
        <f>IF(AND('Skill Matrix'!A161&lt;&gt;"",'Skill Matrix'!L5&lt;&gt;""),'Skill Matrix'!A161,"")</f>
        <v/>
      </c>
      <c r="B2489">
        <f>IF(A2489="","",'Employees'!C15)</f>
        <v/>
      </c>
      <c r="C2489">
        <f>IF(A2489="","",'Employees'!D15)</f>
        <v/>
      </c>
      <c r="D2489">
        <f>IF(A2489="","",'Skill Matrix'!C161)</f>
        <v/>
      </c>
      <c r="E2489">
        <f>IF(A2489="","",'Skill Matrix'!D161)</f>
        <v/>
      </c>
      <c r="F2489">
        <f>IF(AND('Skill Matrix'!A161&lt;&gt;"",'Skill Matrix'!L5&lt;&gt;""),'Skill Matrix'!L5,"")</f>
        <v/>
      </c>
      <c r="G2489">
        <f>IF(OR(A2489="",'Skill Matrix'!L161=""),"",'Skill Matrix'!L161)</f>
        <v/>
      </c>
      <c r="H2489">
        <f>IF(A2489="","",'Employees'!F15)</f>
        <v/>
      </c>
    </row>
    <row r="2490">
      <c r="A2490">
        <f>IF(AND('Skill Matrix'!A161&lt;&gt;"",'Skill Matrix'!M5&lt;&gt;""),'Skill Matrix'!A161,"")</f>
        <v/>
      </c>
      <c r="B2490">
        <f>IF(A2490="","",'Employees'!C15)</f>
        <v/>
      </c>
      <c r="C2490">
        <f>IF(A2490="","",'Employees'!D15)</f>
        <v/>
      </c>
      <c r="D2490">
        <f>IF(A2490="","",'Skill Matrix'!C161)</f>
        <v/>
      </c>
      <c r="E2490">
        <f>IF(A2490="","",'Skill Matrix'!D161)</f>
        <v/>
      </c>
      <c r="F2490">
        <f>IF(AND('Skill Matrix'!A161&lt;&gt;"",'Skill Matrix'!M5&lt;&gt;""),'Skill Matrix'!M5,"")</f>
        <v/>
      </c>
      <c r="G2490">
        <f>IF(OR(A2490="",'Skill Matrix'!M161=""),"",'Skill Matrix'!M161)</f>
        <v/>
      </c>
      <c r="H2490">
        <f>IF(A2490="","",'Employees'!F15)</f>
        <v/>
      </c>
    </row>
    <row r="2491">
      <c r="A2491">
        <f>IF(AND('Skill Matrix'!A161&lt;&gt;"",'Skill Matrix'!N5&lt;&gt;""),'Skill Matrix'!A161,"")</f>
        <v/>
      </c>
      <c r="B2491">
        <f>IF(A2491="","",'Employees'!C15)</f>
        <v/>
      </c>
      <c r="C2491">
        <f>IF(A2491="","",'Employees'!D15)</f>
        <v/>
      </c>
      <c r="D2491">
        <f>IF(A2491="","",'Skill Matrix'!C161)</f>
        <v/>
      </c>
      <c r="E2491">
        <f>IF(A2491="","",'Skill Matrix'!D161)</f>
        <v/>
      </c>
      <c r="F2491">
        <f>IF(AND('Skill Matrix'!A161&lt;&gt;"",'Skill Matrix'!N5&lt;&gt;""),'Skill Matrix'!N5,"")</f>
        <v/>
      </c>
      <c r="G2491">
        <f>IF(OR(A2491="",'Skill Matrix'!N161=""),"",'Skill Matrix'!N161)</f>
        <v/>
      </c>
      <c r="H2491">
        <f>IF(A2491="","",'Employees'!F15)</f>
        <v/>
      </c>
    </row>
    <row r="2492">
      <c r="A2492">
        <f>IF(AND('Skill Matrix'!A161&lt;&gt;"",'Skill Matrix'!O5&lt;&gt;""),'Skill Matrix'!A161,"")</f>
        <v/>
      </c>
      <c r="B2492">
        <f>IF(A2492="","",'Employees'!C15)</f>
        <v/>
      </c>
      <c r="C2492">
        <f>IF(A2492="","",'Employees'!D15)</f>
        <v/>
      </c>
      <c r="D2492">
        <f>IF(A2492="","",'Skill Matrix'!C161)</f>
        <v/>
      </c>
      <c r="E2492">
        <f>IF(A2492="","",'Skill Matrix'!D161)</f>
        <v/>
      </c>
      <c r="F2492">
        <f>IF(AND('Skill Matrix'!A161&lt;&gt;"",'Skill Matrix'!O5&lt;&gt;""),'Skill Matrix'!O5,"")</f>
        <v/>
      </c>
      <c r="G2492">
        <f>IF(OR(A2492="",'Skill Matrix'!O161=""),"",'Skill Matrix'!O161)</f>
        <v/>
      </c>
      <c r="H2492">
        <f>IF(A2492="","",'Employees'!F15)</f>
        <v/>
      </c>
    </row>
    <row r="2493">
      <c r="A2493">
        <f>IF(AND('Skill Matrix'!A161&lt;&gt;"",'Skill Matrix'!P5&lt;&gt;""),'Skill Matrix'!A161,"")</f>
        <v/>
      </c>
      <c r="B2493">
        <f>IF(A2493="","",'Employees'!C15)</f>
        <v/>
      </c>
      <c r="C2493">
        <f>IF(A2493="","",'Employees'!D15)</f>
        <v/>
      </c>
      <c r="D2493">
        <f>IF(A2493="","",'Skill Matrix'!C161)</f>
        <v/>
      </c>
      <c r="E2493">
        <f>IF(A2493="","",'Skill Matrix'!D161)</f>
        <v/>
      </c>
      <c r="F2493">
        <f>IF(AND('Skill Matrix'!A161&lt;&gt;"",'Skill Matrix'!P5&lt;&gt;""),'Skill Matrix'!P5,"")</f>
        <v/>
      </c>
      <c r="G2493">
        <f>IF(OR(A2493="",'Skill Matrix'!P161=""),"",'Skill Matrix'!P161)</f>
        <v/>
      </c>
      <c r="H2493">
        <f>IF(A2493="","",'Employees'!F15)</f>
        <v/>
      </c>
    </row>
    <row r="2494">
      <c r="A2494">
        <f>IF(AND('Skill Matrix'!A161&lt;&gt;"",'Skill Matrix'!Q5&lt;&gt;""),'Skill Matrix'!A161,"")</f>
        <v/>
      </c>
      <c r="B2494">
        <f>IF(A2494="","",'Employees'!C15)</f>
        <v/>
      </c>
      <c r="C2494">
        <f>IF(A2494="","",'Employees'!D15)</f>
        <v/>
      </c>
      <c r="D2494">
        <f>IF(A2494="","",'Skill Matrix'!C161)</f>
        <v/>
      </c>
      <c r="E2494">
        <f>IF(A2494="","",'Skill Matrix'!D161)</f>
        <v/>
      </c>
      <c r="F2494">
        <f>IF(AND('Skill Matrix'!A161&lt;&gt;"",'Skill Matrix'!Q5&lt;&gt;""),'Skill Matrix'!Q5,"")</f>
        <v/>
      </c>
      <c r="G2494">
        <f>IF(OR(A2494="",'Skill Matrix'!Q161=""),"",'Skill Matrix'!Q161)</f>
        <v/>
      </c>
      <c r="H2494">
        <f>IF(A2494="","",'Employees'!F15)</f>
        <v/>
      </c>
    </row>
    <row r="2495">
      <c r="A2495">
        <f>IF(AND('Skill Matrix'!A161&lt;&gt;"",'Skill Matrix'!R5&lt;&gt;""),'Skill Matrix'!A161,"")</f>
        <v/>
      </c>
      <c r="B2495">
        <f>IF(A2495="","",'Employees'!C15)</f>
        <v/>
      </c>
      <c r="C2495">
        <f>IF(A2495="","",'Employees'!D15)</f>
        <v/>
      </c>
      <c r="D2495">
        <f>IF(A2495="","",'Skill Matrix'!C161)</f>
        <v/>
      </c>
      <c r="E2495">
        <f>IF(A2495="","",'Skill Matrix'!D161)</f>
        <v/>
      </c>
      <c r="F2495">
        <f>IF(AND('Skill Matrix'!A161&lt;&gt;"",'Skill Matrix'!R5&lt;&gt;""),'Skill Matrix'!R5,"")</f>
        <v/>
      </c>
      <c r="G2495">
        <f>IF(OR(A2495="",'Skill Matrix'!R161=""),"",'Skill Matrix'!R161)</f>
        <v/>
      </c>
      <c r="H2495">
        <f>IF(A2495="","",'Employees'!F15)</f>
        <v/>
      </c>
    </row>
    <row r="2496">
      <c r="A2496">
        <f>IF(AND('Skill Matrix'!A161&lt;&gt;"",'Skill Matrix'!S5&lt;&gt;""),'Skill Matrix'!A161,"")</f>
        <v/>
      </c>
      <c r="B2496">
        <f>IF(A2496="","",'Employees'!C15)</f>
        <v/>
      </c>
      <c r="C2496">
        <f>IF(A2496="","",'Employees'!D15)</f>
        <v/>
      </c>
      <c r="D2496">
        <f>IF(A2496="","",'Skill Matrix'!C161)</f>
        <v/>
      </c>
      <c r="E2496">
        <f>IF(A2496="","",'Skill Matrix'!D161)</f>
        <v/>
      </c>
      <c r="F2496">
        <f>IF(AND('Skill Matrix'!A161&lt;&gt;"",'Skill Matrix'!S5&lt;&gt;""),'Skill Matrix'!S5,"")</f>
        <v/>
      </c>
      <c r="G2496">
        <f>IF(OR(A2496="",'Skill Matrix'!S161=""),"",'Skill Matrix'!S161)</f>
        <v/>
      </c>
      <c r="H2496">
        <f>IF(A2496="","",'Employees'!F15)</f>
        <v/>
      </c>
    </row>
    <row r="2497">
      <c r="A2497">
        <f>IF(AND('Skill Matrix'!A161&lt;&gt;"",'Skill Matrix'!T5&lt;&gt;""),'Skill Matrix'!A161,"")</f>
        <v/>
      </c>
      <c r="B2497">
        <f>IF(A2497="","",'Employees'!C15)</f>
        <v/>
      </c>
      <c r="C2497">
        <f>IF(A2497="","",'Employees'!D15)</f>
        <v/>
      </c>
      <c r="D2497">
        <f>IF(A2497="","",'Skill Matrix'!C161)</f>
        <v/>
      </c>
      <c r="E2497">
        <f>IF(A2497="","",'Skill Matrix'!D161)</f>
        <v/>
      </c>
      <c r="F2497">
        <f>IF(AND('Skill Matrix'!A161&lt;&gt;"",'Skill Matrix'!T5&lt;&gt;""),'Skill Matrix'!T5,"")</f>
        <v/>
      </c>
      <c r="G2497">
        <f>IF(OR(A2497="",'Skill Matrix'!T161=""),"",'Skill Matrix'!T161)</f>
        <v/>
      </c>
      <c r="H2497">
        <f>IF(A2497="","",'Employees'!F15)</f>
        <v/>
      </c>
    </row>
    <row r="2498">
      <c r="A2498">
        <f>IF(AND('Skill Matrix'!A162&lt;&gt;"",'Skill Matrix'!E5&lt;&gt;""),'Skill Matrix'!A162,"")</f>
        <v/>
      </c>
      <c r="B2498">
        <f>IF(A2498="","",'Employees'!C15)</f>
        <v/>
      </c>
      <c r="C2498">
        <f>IF(A2498="","",'Employees'!D15)</f>
        <v/>
      </c>
      <c r="D2498">
        <f>IF(A2498="","",'Skill Matrix'!C162)</f>
        <v/>
      </c>
      <c r="E2498">
        <f>IF(A2498="","",'Skill Matrix'!D162)</f>
        <v/>
      </c>
      <c r="F2498">
        <f>IF(AND('Skill Matrix'!A162&lt;&gt;"",'Skill Matrix'!E5&lt;&gt;""),'Skill Matrix'!E5,"")</f>
        <v/>
      </c>
      <c r="G2498">
        <f>IF(OR(A2498="",'Skill Matrix'!E162=""),"",'Skill Matrix'!E162)</f>
        <v/>
      </c>
      <c r="H2498">
        <f>IF(A2498="","",'Employees'!F15)</f>
        <v/>
      </c>
    </row>
    <row r="2499">
      <c r="A2499">
        <f>IF(AND('Skill Matrix'!A162&lt;&gt;"",'Skill Matrix'!F5&lt;&gt;""),'Skill Matrix'!A162,"")</f>
        <v/>
      </c>
      <c r="B2499">
        <f>IF(A2499="","",'Employees'!C15)</f>
        <v/>
      </c>
      <c r="C2499">
        <f>IF(A2499="","",'Employees'!D15)</f>
        <v/>
      </c>
      <c r="D2499">
        <f>IF(A2499="","",'Skill Matrix'!C162)</f>
        <v/>
      </c>
      <c r="E2499">
        <f>IF(A2499="","",'Skill Matrix'!D162)</f>
        <v/>
      </c>
      <c r="F2499">
        <f>IF(AND('Skill Matrix'!A162&lt;&gt;"",'Skill Matrix'!F5&lt;&gt;""),'Skill Matrix'!F5,"")</f>
        <v/>
      </c>
      <c r="G2499">
        <f>IF(OR(A2499="",'Skill Matrix'!F162=""),"",'Skill Matrix'!F162)</f>
        <v/>
      </c>
      <c r="H2499">
        <f>IF(A2499="","",'Employees'!F15)</f>
        <v/>
      </c>
    </row>
    <row r="2500">
      <c r="A2500">
        <f>IF(AND('Skill Matrix'!A162&lt;&gt;"",'Skill Matrix'!G5&lt;&gt;""),'Skill Matrix'!A162,"")</f>
        <v/>
      </c>
      <c r="B2500">
        <f>IF(A2500="","",'Employees'!C15)</f>
        <v/>
      </c>
      <c r="C2500">
        <f>IF(A2500="","",'Employees'!D15)</f>
        <v/>
      </c>
      <c r="D2500">
        <f>IF(A2500="","",'Skill Matrix'!C162)</f>
        <v/>
      </c>
      <c r="E2500">
        <f>IF(A2500="","",'Skill Matrix'!D162)</f>
        <v/>
      </c>
      <c r="F2500">
        <f>IF(AND('Skill Matrix'!A162&lt;&gt;"",'Skill Matrix'!G5&lt;&gt;""),'Skill Matrix'!G5,"")</f>
        <v/>
      </c>
      <c r="G2500">
        <f>IF(OR(A2500="",'Skill Matrix'!G162=""),"",'Skill Matrix'!G162)</f>
        <v/>
      </c>
      <c r="H2500">
        <f>IF(A2500="","",'Employees'!F15)</f>
        <v/>
      </c>
    </row>
    <row r="2501">
      <c r="A2501">
        <f>IF(AND('Skill Matrix'!A162&lt;&gt;"",'Skill Matrix'!H5&lt;&gt;""),'Skill Matrix'!A162,"")</f>
        <v/>
      </c>
      <c r="B2501">
        <f>IF(A2501="","",'Employees'!C15)</f>
        <v/>
      </c>
      <c r="C2501">
        <f>IF(A2501="","",'Employees'!D15)</f>
        <v/>
      </c>
      <c r="D2501">
        <f>IF(A2501="","",'Skill Matrix'!C162)</f>
        <v/>
      </c>
      <c r="E2501">
        <f>IF(A2501="","",'Skill Matrix'!D162)</f>
        <v/>
      </c>
      <c r="F2501">
        <f>IF(AND('Skill Matrix'!A162&lt;&gt;"",'Skill Matrix'!H5&lt;&gt;""),'Skill Matrix'!H5,"")</f>
        <v/>
      </c>
      <c r="G2501">
        <f>IF(OR(A2501="",'Skill Matrix'!H162=""),"",'Skill Matrix'!H162)</f>
        <v/>
      </c>
      <c r="H2501">
        <f>IF(A2501="","",'Employees'!F15)</f>
        <v/>
      </c>
    </row>
    <row r="2502">
      <c r="A2502">
        <f>IF(AND('Skill Matrix'!A162&lt;&gt;"",'Skill Matrix'!I5&lt;&gt;""),'Skill Matrix'!A162,"")</f>
        <v/>
      </c>
      <c r="B2502">
        <f>IF(A2502="","",'Employees'!C15)</f>
        <v/>
      </c>
      <c r="C2502">
        <f>IF(A2502="","",'Employees'!D15)</f>
        <v/>
      </c>
      <c r="D2502">
        <f>IF(A2502="","",'Skill Matrix'!C162)</f>
        <v/>
      </c>
      <c r="E2502">
        <f>IF(A2502="","",'Skill Matrix'!D162)</f>
        <v/>
      </c>
      <c r="F2502">
        <f>IF(AND('Skill Matrix'!A162&lt;&gt;"",'Skill Matrix'!I5&lt;&gt;""),'Skill Matrix'!I5,"")</f>
        <v/>
      </c>
      <c r="G2502">
        <f>IF(OR(A2502="",'Skill Matrix'!I162=""),"",'Skill Matrix'!I162)</f>
        <v/>
      </c>
      <c r="H2502">
        <f>IF(A2502="","",'Employees'!F15)</f>
        <v/>
      </c>
    </row>
    <row r="2503">
      <c r="A2503">
        <f>IF(AND('Skill Matrix'!A162&lt;&gt;"",'Skill Matrix'!J5&lt;&gt;""),'Skill Matrix'!A162,"")</f>
        <v/>
      </c>
      <c r="B2503">
        <f>IF(A2503="","",'Employees'!C15)</f>
        <v/>
      </c>
      <c r="C2503">
        <f>IF(A2503="","",'Employees'!D15)</f>
        <v/>
      </c>
      <c r="D2503">
        <f>IF(A2503="","",'Skill Matrix'!C162)</f>
        <v/>
      </c>
      <c r="E2503">
        <f>IF(A2503="","",'Skill Matrix'!D162)</f>
        <v/>
      </c>
      <c r="F2503">
        <f>IF(AND('Skill Matrix'!A162&lt;&gt;"",'Skill Matrix'!J5&lt;&gt;""),'Skill Matrix'!J5,"")</f>
        <v/>
      </c>
      <c r="G2503">
        <f>IF(OR(A2503="",'Skill Matrix'!J162=""),"",'Skill Matrix'!J162)</f>
        <v/>
      </c>
      <c r="H2503">
        <f>IF(A2503="","",'Employees'!F15)</f>
        <v/>
      </c>
    </row>
    <row r="2504">
      <c r="A2504">
        <f>IF(AND('Skill Matrix'!A162&lt;&gt;"",'Skill Matrix'!K5&lt;&gt;""),'Skill Matrix'!A162,"")</f>
        <v/>
      </c>
      <c r="B2504">
        <f>IF(A2504="","",'Employees'!C15)</f>
        <v/>
      </c>
      <c r="C2504">
        <f>IF(A2504="","",'Employees'!D15)</f>
        <v/>
      </c>
      <c r="D2504">
        <f>IF(A2504="","",'Skill Matrix'!C162)</f>
        <v/>
      </c>
      <c r="E2504">
        <f>IF(A2504="","",'Skill Matrix'!D162)</f>
        <v/>
      </c>
      <c r="F2504">
        <f>IF(AND('Skill Matrix'!A162&lt;&gt;"",'Skill Matrix'!K5&lt;&gt;""),'Skill Matrix'!K5,"")</f>
        <v/>
      </c>
      <c r="G2504">
        <f>IF(OR(A2504="",'Skill Matrix'!K162=""),"",'Skill Matrix'!K162)</f>
        <v/>
      </c>
      <c r="H2504">
        <f>IF(A2504="","",'Employees'!F15)</f>
        <v/>
      </c>
    </row>
    <row r="2505">
      <c r="A2505">
        <f>IF(AND('Skill Matrix'!A162&lt;&gt;"",'Skill Matrix'!L5&lt;&gt;""),'Skill Matrix'!A162,"")</f>
        <v/>
      </c>
      <c r="B2505">
        <f>IF(A2505="","",'Employees'!C15)</f>
        <v/>
      </c>
      <c r="C2505">
        <f>IF(A2505="","",'Employees'!D15)</f>
        <v/>
      </c>
      <c r="D2505">
        <f>IF(A2505="","",'Skill Matrix'!C162)</f>
        <v/>
      </c>
      <c r="E2505">
        <f>IF(A2505="","",'Skill Matrix'!D162)</f>
        <v/>
      </c>
      <c r="F2505">
        <f>IF(AND('Skill Matrix'!A162&lt;&gt;"",'Skill Matrix'!L5&lt;&gt;""),'Skill Matrix'!L5,"")</f>
        <v/>
      </c>
      <c r="G2505">
        <f>IF(OR(A2505="",'Skill Matrix'!L162=""),"",'Skill Matrix'!L162)</f>
        <v/>
      </c>
      <c r="H2505">
        <f>IF(A2505="","",'Employees'!F15)</f>
        <v/>
      </c>
    </row>
    <row r="2506">
      <c r="A2506">
        <f>IF(AND('Skill Matrix'!A162&lt;&gt;"",'Skill Matrix'!M5&lt;&gt;""),'Skill Matrix'!A162,"")</f>
        <v/>
      </c>
      <c r="B2506">
        <f>IF(A2506="","",'Employees'!C15)</f>
        <v/>
      </c>
      <c r="C2506">
        <f>IF(A2506="","",'Employees'!D15)</f>
        <v/>
      </c>
      <c r="D2506">
        <f>IF(A2506="","",'Skill Matrix'!C162)</f>
        <v/>
      </c>
      <c r="E2506">
        <f>IF(A2506="","",'Skill Matrix'!D162)</f>
        <v/>
      </c>
      <c r="F2506">
        <f>IF(AND('Skill Matrix'!A162&lt;&gt;"",'Skill Matrix'!M5&lt;&gt;""),'Skill Matrix'!M5,"")</f>
        <v/>
      </c>
      <c r="G2506">
        <f>IF(OR(A2506="",'Skill Matrix'!M162=""),"",'Skill Matrix'!M162)</f>
        <v/>
      </c>
      <c r="H2506">
        <f>IF(A2506="","",'Employees'!F15)</f>
        <v/>
      </c>
    </row>
    <row r="2507">
      <c r="A2507">
        <f>IF(AND('Skill Matrix'!A162&lt;&gt;"",'Skill Matrix'!N5&lt;&gt;""),'Skill Matrix'!A162,"")</f>
        <v/>
      </c>
      <c r="B2507">
        <f>IF(A2507="","",'Employees'!C15)</f>
        <v/>
      </c>
      <c r="C2507">
        <f>IF(A2507="","",'Employees'!D15)</f>
        <v/>
      </c>
      <c r="D2507">
        <f>IF(A2507="","",'Skill Matrix'!C162)</f>
        <v/>
      </c>
      <c r="E2507">
        <f>IF(A2507="","",'Skill Matrix'!D162)</f>
        <v/>
      </c>
      <c r="F2507">
        <f>IF(AND('Skill Matrix'!A162&lt;&gt;"",'Skill Matrix'!N5&lt;&gt;""),'Skill Matrix'!N5,"")</f>
        <v/>
      </c>
      <c r="G2507">
        <f>IF(OR(A2507="",'Skill Matrix'!N162=""),"",'Skill Matrix'!N162)</f>
        <v/>
      </c>
      <c r="H2507">
        <f>IF(A2507="","",'Employees'!F15)</f>
        <v/>
      </c>
    </row>
    <row r="2508">
      <c r="A2508">
        <f>IF(AND('Skill Matrix'!A162&lt;&gt;"",'Skill Matrix'!O5&lt;&gt;""),'Skill Matrix'!A162,"")</f>
        <v/>
      </c>
      <c r="B2508">
        <f>IF(A2508="","",'Employees'!C15)</f>
        <v/>
      </c>
      <c r="C2508">
        <f>IF(A2508="","",'Employees'!D15)</f>
        <v/>
      </c>
      <c r="D2508">
        <f>IF(A2508="","",'Skill Matrix'!C162)</f>
        <v/>
      </c>
      <c r="E2508">
        <f>IF(A2508="","",'Skill Matrix'!D162)</f>
        <v/>
      </c>
      <c r="F2508">
        <f>IF(AND('Skill Matrix'!A162&lt;&gt;"",'Skill Matrix'!O5&lt;&gt;""),'Skill Matrix'!O5,"")</f>
        <v/>
      </c>
      <c r="G2508">
        <f>IF(OR(A2508="",'Skill Matrix'!O162=""),"",'Skill Matrix'!O162)</f>
        <v/>
      </c>
      <c r="H2508">
        <f>IF(A2508="","",'Employees'!F15)</f>
        <v/>
      </c>
    </row>
    <row r="2509">
      <c r="A2509">
        <f>IF(AND('Skill Matrix'!A162&lt;&gt;"",'Skill Matrix'!P5&lt;&gt;""),'Skill Matrix'!A162,"")</f>
        <v/>
      </c>
      <c r="B2509">
        <f>IF(A2509="","",'Employees'!C15)</f>
        <v/>
      </c>
      <c r="C2509">
        <f>IF(A2509="","",'Employees'!D15)</f>
        <v/>
      </c>
      <c r="D2509">
        <f>IF(A2509="","",'Skill Matrix'!C162)</f>
        <v/>
      </c>
      <c r="E2509">
        <f>IF(A2509="","",'Skill Matrix'!D162)</f>
        <v/>
      </c>
      <c r="F2509">
        <f>IF(AND('Skill Matrix'!A162&lt;&gt;"",'Skill Matrix'!P5&lt;&gt;""),'Skill Matrix'!P5,"")</f>
        <v/>
      </c>
      <c r="G2509">
        <f>IF(OR(A2509="",'Skill Matrix'!P162=""),"",'Skill Matrix'!P162)</f>
        <v/>
      </c>
      <c r="H2509">
        <f>IF(A2509="","",'Employees'!F15)</f>
        <v/>
      </c>
    </row>
    <row r="2510">
      <c r="A2510">
        <f>IF(AND('Skill Matrix'!A162&lt;&gt;"",'Skill Matrix'!Q5&lt;&gt;""),'Skill Matrix'!A162,"")</f>
        <v/>
      </c>
      <c r="B2510">
        <f>IF(A2510="","",'Employees'!C15)</f>
        <v/>
      </c>
      <c r="C2510">
        <f>IF(A2510="","",'Employees'!D15)</f>
        <v/>
      </c>
      <c r="D2510">
        <f>IF(A2510="","",'Skill Matrix'!C162)</f>
        <v/>
      </c>
      <c r="E2510">
        <f>IF(A2510="","",'Skill Matrix'!D162)</f>
        <v/>
      </c>
      <c r="F2510">
        <f>IF(AND('Skill Matrix'!A162&lt;&gt;"",'Skill Matrix'!Q5&lt;&gt;""),'Skill Matrix'!Q5,"")</f>
        <v/>
      </c>
      <c r="G2510">
        <f>IF(OR(A2510="",'Skill Matrix'!Q162=""),"",'Skill Matrix'!Q162)</f>
        <v/>
      </c>
      <c r="H2510">
        <f>IF(A2510="","",'Employees'!F15)</f>
        <v/>
      </c>
    </row>
    <row r="2511">
      <c r="A2511">
        <f>IF(AND('Skill Matrix'!A162&lt;&gt;"",'Skill Matrix'!R5&lt;&gt;""),'Skill Matrix'!A162,"")</f>
        <v/>
      </c>
      <c r="B2511">
        <f>IF(A2511="","",'Employees'!C15)</f>
        <v/>
      </c>
      <c r="C2511">
        <f>IF(A2511="","",'Employees'!D15)</f>
        <v/>
      </c>
      <c r="D2511">
        <f>IF(A2511="","",'Skill Matrix'!C162)</f>
        <v/>
      </c>
      <c r="E2511">
        <f>IF(A2511="","",'Skill Matrix'!D162)</f>
        <v/>
      </c>
      <c r="F2511">
        <f>IF(AND('Skill Matrix'!A162&lt;&gt;"",'Skill Matrix'!R5&lt;&gt;""),'Skill Matrix'!R5,"")</f>
        <v/>
      </c>
      <c r="G2511">
        <f>IF(OR(A2511="",'Skill Matrix'!R162=""),"",'Skill Matrix'!R162)</f>
        <v/>
      </c>
      <c r="H2511">
        <f>IF(A2511="","",'Employees'!F15)</f>
        <v/>
      </c>
    </row>
    <row r="2512">
      <c r="A2512">
        <f>IF(AND('Skill Matrix'!A162&lt;&gt;"",'Skill Matrix'!S5&lt;&gt;""),'Skill Matrix'!A162,"")</f>
        <v/>
      </c>
      <c r="B2512">
        <f>IF(A2512="","",'Employees'!C15)</f>
        <v/>
      </c>
      <c r="C2512">
        <f>IF(A2512="","",'Employees'!D15)</f>
        <v/>
      </c>
      <c r="D2512">
        <f>IF(A2512="","",'Skill Matrix'!C162)</f>
        <v/>
      </c>
      <c r="E2512">
        <f>IF(A2512="","",'Skill Matrix'!D162)</f>
        <v/>
      </c>
      <c r="F2512">
        <f>IF(AND('Skill Matrix'!A162&lt;&gt;"",'Skill Matrix'!S5&lt;&gt;""),'Skill Matrix'!S5,"")</f>
        <v/>
      </c>
      <c r="G2512">
        <f>IF(OR(A2512="",'Skill Matrix'!S162=""),"",'Skill Matrix'!S162)</f>
        <v/>
      </c>
      <c r="H2512">
        <f>IF(A2512="","",'Employees'!F15)</f>
        <v/>
      </c>
    </row>
    <row r="2513">
      <c r="A2513">
        <f>IF(AND('Skill Matrix'!A162&lt;&gt;"",'Skill Matrix'!T5&lt;&gt;""),'Skill Matrix'!A162,"")</f>
        <v/>
      </c>
      <c r="B2513">
        <f>IF(A2513="","",'Employees'!C15)</f>
        <v/>
      </c>
      <c r="C2513">
        <f>IF(A2513="","",'Employees'!D15)</f>
        <v/>
      </c>
      <c r="D2513">
        <f>IF(A2513="","",'Skill Matrix'!C162)</f>
        <v/>
      </c>
      <c r="E2513">
        <f>IF(A2513="","",'Skill Matrix'!D162)</f>
        <v/>
      </c>
      <c r="F2513">
        <f>IF(AND('Skill Matrix'!A162&lt;&gt;"",'Skill Matrix'!T5&lt;&gt;""),'Skill Matrix'!T5,"")</f>
        <v/>
      </c>
      <c r="G2513">
        <f>IF(OR(A2513="",'Skill Matrix'!T162=""),"",'Skill Matrix'!T162)</f>
        <v/>
      </c>
      <c r="H2513">
        <f>IF(A2513="","",'Employees'!F15)</f>
        <v/>
      </c>
    </row>
    <row r="2514">
      <c r="A2514">
        <f>IF(AND('Skill Matrix'!A163&lt;&gt;"",'Skill Matrix'!E5&lt;&gt;""),'Skill Matrix'!A163,"")</f>
        <v/>
      </c>
      <c r="B2514">
        <f>IF(A2514="","",'Employees'!C15)</f>
        <v/>
      </c>
      <c r="C2514">
        <f>IF(A2514="","",'Employees'!D15)</f>
        <v/>
      </c>
      <c r="D2514">
        <f>IF(A2514="","",'Skill Matrix'!C163)</f>
        <v/>
      </c>
      <c r="E2514">
        <f>IF(A2514="","",'Skill Matrix'!D163)</f>
        <v/>
      </c>
      <c r="F2514">
        <f>IF(AND('Skill Matrix'!A163&lt;&gt;"",'Skill Matrix'!E5&lt;&gt;""),'Skill Matrix'!E5,"")</f>
        <v/>
      </c>
      <c r="G2514">
        <f>IF(OR(A2514="",'Skill Matrix'!E163=""),"",'Skill Matrix'!E163)</f>
        <v/>
      </c>
      <c r="H2514">
        <f>IF(A2514="","",'Employees'!F15)</f>
        <v/>
      </c>
    </row>
    <row r="2515">
      <c r="A2515">
        <f>IF(AND('Skill Matrix'!A163&lt;&gt;"",'Skill Matrix'!F5&lt;&gt;""),'Skill Matrix'!A163,"")</f>
        <v/>
      </c>
      <c r="B2515">
        <f>IF(A2515="","",'Employees'!C15)</f>
        <v/>
      </c>
      <c r="C2515">
        <f>IF(A2515="","",'Employees'!D15)</f>
        <v/>
      </c>
      <c r="D2515">
        <f>IF(A2515="","",'Skill Matrix'!C163)</f>
        <v/>
      </c>
      <c r="E2515">
        <f>IF(A2515="","",'Skill Matrix'!D163)</f>
        <v/>
      </c>
      <c r="F2515">
        <f>IF(AND('Skill Matrix'!A163&lt;&gt;"",'Skill Matrix'!F5&lt;&gt;""),'Skill Matrix'!F5,"")</f>
        <v/>
      </c>
      <c r="G2515">
        <f>IF(OR(A2515="",'Skill Matrix'!F163=""),"",'Skill Matrix'!F163)</f>
        <v/>
      </c>
      <c r="H2515">
        <f>IF(A2515="","",'Employees'!F15)</f>
        <v/>
      </c>
    </row>
    <row r="2516">
      <c r="A2516">
        <f>IF(AND('Skill Matrix'!A163&lt;&gt;"",'Skill Matrix'!G5&lt;&gt;""),'Skill Matrix'!A163,"")</f>
        <v/>
      </c>
      <c r="B2516">
        <f>IF(A2516="","",'Employees'!C15)</f>
        <v/>
      </c>
      <c r="C2516">
        <f>IF(A2516="","",'Employees'!D15)</f>
        <v/>
      </c>
      <c r="D2516">
        <f>IF(A2516="","",'Skill Matrix'!C163)</f>
        <v/>
      </c>
      <c r="E2516">
        <f>IF(A2516="","",'Skill Matrix'!D163)</f>
        <v/>
      </c>
      <c r="F2516">
        <f>IF(AND('Skill Matrix'!A163&lt;&gt;"",'Skill Matrix'!G5&lt;&gt;""),'Skill Matrix'!G5,"")</f>
        <v/>
      </c>
      <c r="G2516">
        <f>IF(OR(A2516="",'Skill Matrix'!G163=""),"",'Skill Matrix'!G163)</f>
        <v/>
      </c>
      <c r="H2516">
        <f>IF(A2516="","",'Employees'!F15)</f>
        <v/>
      </c>
    </row>
    <row r="2517">
      <c r="A2517">
        <f>IF(AND('Skill Matrix'!A163&lt;&gt;"",'Skill Matrix'!H5&lt;&gt;""),'Skill Matrix'!A163,"")</f>
        <v/>
      </c>
      <c r="B2517">
        <f>IF(A2517="","",'Employees'!C15)</f>
        <v/>
      </c>
      <c r="C2517">
        <f>IF(A2517="","",'Employees'!D15)</f>
        <v/>
      </c>
      <c r="D2517">
        <f>IF(A2517="","",'Skill Matrix'!C163)</f>
        <v/>
      </c>
      <c r="E2517">
        <f>IF(A2517="","",'Skill Matrix'!D163)</f>
        <v/>
      </c>
      <c r="F2517">
        <f>IF(AND('Skill Matrix'!A163&lt;&gt;"",'Skill Matrix'!H5&lt;&gt;""),'Skill Matrix'!H5,"")</f>
        <v/>
      </c>
      <c r="G2517">
        <f>IF(OR(A2517="",'Skill Matrix'!H163=""),"",'Skill Matrix'!H163)</f>
        <v/>
      </c>
      <c r="H2517">
        <f>IF(A2517="","",'Employees'!F15)</f>
        <v/>
      </c>
    </row>
    <row r="2518">
      <c r="A2518">
        <f>IF(AND('Skill Matrix'!A163&lt;&gt;"",'Skill Matrix'!I5&lt;&gt;""),'Skill Matrix'!A163,"")</f>
        <v/>
      </c>
      <c r="B2518">
        <f>IF(A2518="","",'Employees'!C15)</f>
        <v/>
      </c>
      <c r="C2518">
        <f>IF(A2518="","",'Employees'!D15)</f>
        <v/>
      </c>
      <c r="D2518">
        <f>IF(A2518="","",'Skill Matrix'!C163)</f>
        <v/>
      </c>
      <c r="E2518">
        <f>IF(A2518="","",'Skill Matrix'!D163)</f>
        <v/>
      </c>
      <c r="F2518">
        <f>IF(AND('Skill Matrix'!A163&lt;&gt;"",'Skill Matrix'!I5&lt;&gt;""),'Skill Matrix'!I5,"")</f>
        <v/>
      </c>
      <c r="G2518">
        <f>IF(OR(A2518="",'Skill Matrix'!I163=""),"",'Skill Matrix'!I163)</f>
        <v/>
      </c>
      <c r="H2518">
        <f>IF(A2518="","",'Employees'!F15)</f>
        <v/>
      </c>
    </row>
    <row r="2519">
      <c r="A2519">
        <f>IF(AND('Skill Matrix'!A163&lt;&gt;"",'Skill Matrix'!J5&lt;&gt;""),'Skill Matrix'!A163,"")</f>
        <v/>
      </c>
      <c r="B2519">
        <f>IF(A2519="","",'Employees'!C15)</f>
        <v/>
      </c>
      <c r="C2519">
        <f>IF(A2519="","",'Employees'!D15)</f>
        <v/>
      </c>
      <c r="D2519">
        <f>IF(A2519="","",'Skill Matrix'!C163)</f>
        <v/>
      </c>
      <c r="E2519">
        <f>IF(A2519="","",'Skill Matrix'!D163)</f>
        <v/>
      </c>
      <c r="F2519">
        <f>IF(AND('Skill Matrix'!A163&lt;&gt;"",'Skill Matrix'!J5&lt;&gt;""),'Skill Matrix'!J5,"")</f>
        <v/>
      </c>
      <c r="G2519">
        <f>IF(OR(A2519="",'Skill Matrix'!J163=""),"",'Skill Matrix'!J163)</f>
        <v/>
      </c>
      <c r="H2519">
        <f>IF(A2519="","",'Employees'!F15)</f>
        <v/>
      </c>
    </row>
    <row r="2520">
      <c r="A2520">
        <f>IF(AND('Skill Matrix'!A163&lt;&gt;"",'Skill Matrix'!K5&lt;&gt;""),'Skill Matrix'!A163,"")</f>
        <v/>
      </c>
      <c r="B2520">
        <f>IF(A2520="","",'Employees'!C15)</f>
        <v/>
      </c>
      <c r="C2520">
        <f>IF(A2520="","",'Employees'!D15)</f>
        <v/>
      </c>
      <c r="D2520">
        <f>IF(A2520="","",'Skill Matrix'!C163)</f>
        <v/>
      </c>
      <c r="E2520">
        <f>IF(A2520="","",'Skill Matrix'!D163)</f>
        <v/>
      </c>
      <c r="F2520">
        <f>IF(AND('Skill Matrix'!A163&lt;&gt;"",'Skill Matrix'!K5&lt;&gt;""),'Skill Matrix'!K5,"")</f>
        <v/>
      </c>
      <c r="G2520">
        <f>IF(OR(A2520="",'Skill Matrix'!K163=""),"",'Skill Matrix'!K163)</f>
        <v/>
      </c>
      <c r="H2520">
        <f>IF(A2520="","",'Employees'!F15)</f>
        <v/>
      </c>
    </row>
    <row r="2521">
      <c r="A2521">
        <f>IF(AND('Skill Matrix'!A163&lt;&gt;"",'Skill Matrix'!L5&lt;&gt;""),'Skill Matrix'!A163,"")</f>
        <v/>
      </c>
      <c r="B2521">
        <f>IF(A2521="","",'Employees'!C15)</f>
        <v/>
      </c>
      <c r="C2521">
        <f>IF(A2521="","",'Employees'!D15)</f>
        <v/>
      </c>
      <c r="D2521">
        <f>IF(A2521="","",'Skill Matrix'!C163)</f>
        <v/>
      </c>
      <c r="E2521">
        <f>IF(A2521="","",'Skill Matrix'!D163)</f>
        <v/>
      </c>
      <c r="F2521">
        <f>IF(AND('Skill Matrix'!A163&lt;&gt;"",'Skill Matrix'!L5&lt;&gt;""),'Skill Matrix'!L5,"")</f>
        <v/>
      </c>
      <c r="G2521">
        <f>IF(OR(A2521="",'Skill Matrix'!L163=""),"",'Skill Matrix'!L163)</f>
        <v/>
      </c>
      <c r="H2521">
        <f>IF(A2521="","",'Employees'!F15)</f>
        <v/>
      </c>
    </row>
    <row r="2522">
      <c r="A2522">
        <f>IF(AND('Skill Matrix'!A163&lt;&gt;"",'Skill Matrix'!M5&lt;&gt;""),'Skill Matrix'!A163,"")</f>
        <v/>
      </c>
      <c r="B2522">
        <f>IF(A2522="","",'Employees'!C15)</f>
        <v/>
      </c>
      <c r="C2522">
        <f>IF(A2522="","",'Employees'!D15)</f>
        <v/>
      </c>
      <c r="D2522">
        <f>IF(A2522="","",'Skill Matrix'!C163)</f>
        <v/>
      </c>
      <c r="E2522">
        <f>IF(A2522="","",'Skill Matrix'!D163)</f>
        <v/>
      </c>
      <c r="F2522">
        <f>IF(AND('Skill Matrix'!A163&lt;&gt;"",'Skill Matrix'!M5&lt;&gt;""),'Skill Matrix'!M5,"")</f>
        <v/>
      </c>
      <c r="G2522">
        <f>IF(OR(A2522="",'Skill Matrix'!M163=""),"",'Skill Matrix'!M163)</f>
        <v/>
      </c>
      <c r="H2522">
        <f>IF(A2522="","",'Employees'!F15)</f>
        <v/>
      </c>
    </row>
    <row r="2523">
      <c r="A2523">
        <f>IF(AND('Skill Matrix'!A163&lt;&gt;"",'Skill Matrix'!N5&lt;&gt;""),'Skill Matrix'!A163,"")</f>
        <v/>
      </c>
      <c r="B2523">
        <f>IF(A2523="","",'Employees'!C15)</f>
        <v/>
      </c>
      <c r="C2523">
        <f>IF(A2523="","",'Employees'!D15)</f>
        <v/>
      </c>
      <c r="D2523">
        <f>IF(A2523="","",'Skill Matrix'!C163)</f>
        <v/>
      </c>
      <c r="E2523">
        <f>IF(A2523="","",'Skill Matrix'!D163)</f>
        <v/>
      </c>
      <c r="F2523">
        <f>IF(AND('Skill Matrix'!A163&lt;&gt;"",'Skill Matrix'!N5&lt;&gt;""),'Skill Matrix'!N5,"")</f>
        <v/>
      </c>
      <c r="G2523">
        <f>IF(OR(A2523="",'Skill Matrix'!N163=""),"",'Skill Matrix'!N163)</f>
        <v/>
      </c>
      <c r="H2523">
        <f>IF(A2523="","",'Employees'!F15)</f>
        <v/>
      </c>
    </row>
    <row r="2524">
      <c r="A2524">
        <f>IF(AND('Skill Matrix'!A163&lt;&gt;"",'Skill Matrix'!O5&lt;&gt;""),'Skill Matrix'!A163,"")</f>
        <v/>
      </c>
      <c r="B2524">
        <f>IF(A2524="","",'Employees'!C15)</f>
        <v/>
      </c>
      <c r="C2524">
        <f>IF(A2524="","",'Employees'!D15)</f>
        <v/>
      </c>
      <c r="D2524">
        <f>IF(A2524="","",'Skill Matrix'!C163)</f>
        <v/>
      </c>
      <c r="E2524">
        <f>IF(A2524="","",'Skill Matrix'!D163)</f>
        <v/>
      </c>
      <c r="F2524">
        <f>IF(AND('Skill Matrix'!A163&lt;&gt;"",'Skill Matrix'!O5&lt;&gt;""),'Skill Matrix'!O5,"")</f>
        <v/>
      </c>
      <c r="G2524">
        <f>IF(OR(A2524="",'Skill Matrix'!O163=""),"",'Skill Matrix'!O163)</f>
        <v/>
      </c>
      <c r="H2524">
        <f>IF(A2524="","",'Employees'!F15)</f>
        <v/>
      </c>
    </row>
    <row r="2525">
      <c r="A2525">
        <f>IF(AND('Skill Matrix'!A163&lt;&gt;"",'Skill Matrix'!P5&lt;&gt;""),'Skill Matrix'!A163,"")</f>
        <v/>
      </c>
      <c r="B2525">
        <f>IF(A2525="","",'Employees'!C15)</f>
        <v/>
      </c>
      <c r="C2525">
        <f>IF(A2525="","",'Employees'!D15)</f>
        <v/>
      </c>
      <c r="D2525">
        <f>IF(A2525="","",'Skill Matrix'!C163)</f>
        <v/>
      </c>
      <c r="E2525">
        <f>IF(A2525="","",'Skill Matrix'!D163)</f>
        <v/>
      </c>
      <c r="F2525">
        <f>IF(AND('Skill Matrix'!A163&lt;&gt;"",'Skill Matrix'!P5&lt;&gt;""),'Skill Matrix'!P5,"")</f>
        <v/>
      </c>
      <c r="G2525">
        <f>IF(OR(A2525="",'Skill Matrix'!P163=""),"",'Skill Matrix'!P163)</f>
        <v/>
      </c>
      <c r="H2525">
        <f>IF(A2525="","",'Employees'!F15)</f>
        <v/>
      </c>
    </row>
    <row r="2526">
      <c r="A2526">
        <f>IF(AND('Skill Matrix'!A163&lt;&gt;"",'Skill Matrix'!Q5&lt;&gt;""),'Skill Matrix'!A163,"")</f>
        <v/>
      </c>
      <c r="B2526">
        <f>IF(A2526="","",'Employees'!C15)</f>
        <v/>
      </c>
      <c r="C2526">
        <f>IF(A2526="","",'Employees'!D15)</f>
        <v/>
      </c>
      <c r="D2526">
        <f>IF(A2526="","",'Skill Matrix'!C163)</f>
        <v/>
      </c>
      <c r="E2526">
        <f>IF(A2526="","",'Skill Matrix'!D163)</f>
        <v/>
      </c>
      <c r="F2526">
        <f>IF(AND('Skill Matrix'!A163&lt;&gt;"",'Skill Matrix'!Q5&lt;&gt;""),'Skill Matrix'!Q5,"")</f>
        <v/>
      </c>
      <c r="G2526">
        <f>IF(OR(A2526="",'Skill Matrix'!Q163=""),"",'Skill Matrix'!Q163)</f>
        <v/>
      </c>
      <c r="H2526">
        <f>IF(A2526="","",'Employees'!F15)</f>
        <v/>
      </c>
    </row>
    <row r="2527">
      <c r="A2527">
        <f>IF(AND('Skill Matrix'!A163&lt;&gt;"",'Skill Matrix'!R5&lt;&gt;""),'Skill Matrix'!A163,"")</f>
        <v/>
      </c>
      <c r="B2527">
        <f>IF(A2527="","",'Employees'!C15)</f>
        <v/>
      </c>
      <c r="C2527">
        <f>IF(A2527="","",'Employees'!D15)</f>
        <v/>
      </c>
      <c r="D2527">
        <f>IF(A2527="","",'Skill Matrix'!C163)</f>
        <v/>
      </c>
      <c r="E2527">
        <f>IF(A2527="","",'Skill Matrix'!D163)</f>
        <v/>
      </c>
      <c r="F2527">
        <f>IF(AND('Skill Matrix'!A163&lt;&gt;"",'Skill Matrix'!R5&lt;&gt;""),'Skill Matrix'!R5,"")</f>
        <v/>
      </c>
      <c r="G2527">
        <f>IF(OR(A2527="",'Skill Matrix'!R163=""),"",'Skill Matrix'!R163)</f>
        <v/>
      </c>
      <c r="H2527">
        <f>IF(A2527="","",'Employees'!F15)</f>
        <v/>
      </c>
    </row>
    <row r="2528">
      <c r="A2528">
        <f>IF(AND('Skill Matrix'!A163&lt;&gt;"",'Skill Matrix'!S5&lt;&gt;""),'Skill Matrix'!A163,"")</f>
        <v/>
      </c>
      <c r="B2528">
        <f>IF(A2528="","",'Employees'!C15)</f>
        <v/>
      </c>
      <c r="C2528">
        <f>IF(A2528="","",'Employees'!D15)</f>
        <v/>
      </c>
      <c r="D2528">
        <f>IF(A2528="","",'Skill Matrix'!C163)</f>
        <v/>
      </c>
      <c r="E2528">
        <f>IF(A2528="","",'Skill Matrix'!D163)</f>
        <v/>
      </c>
      <c r="F2528">
        <f>IF(AND('Skill Matrix'!A163&lt;&gt;"",'Skill Matrix'!S5&lt;&gt;""),'Skill Matrix'!S5,"")</f>
        <v/>
      </c>
      <c r="G2528">
        <f>IF(OR(A2528="",'Skill Matrix'!S163=""),"",'Skill Matrix'!S163)</f>
        <v/>
      </c>
      <c r="H2528">
        <f>IF(A2528="","",'Employees'!F15)</f>
        <v/>
      </c>
    </row>
    <row r="2529">
      <c r="A2529">
        <f>IF(AND('Skill Matrix'!A163&lt;&gt;"",'Skill Matrix'!T5&lt;&gt;""),'Skill Matrix'!A163,"")</f>
        <v/>
      </c>
      <c r="B2529">
        <f>IF(A2529="","",'Employees'!C15)</f>
        <v/>
      </c>
      <c r="C2529">
        <f>IF(A2529="","",'Employees'!D15)</f>
        <v/>
      </c>
      <c r="D2529">
        <f>IF(A2529="","",'Skill Matrix'!C163)</f>
        <v/>
      </c>
      <c r="E2529">
        <f>IF(A2529="","",'Skill Matrix'!D163)</f>
        <v/>
      </c>
      <c r="F2529">
        <f>IF(AND('Skill Matrix'!A163&lt;&gt;"",'Skill Matrix'!T5&lt;&gt;""),'Skill Matrix'!T5,"")</f>
        <v/>
      </c>
      <c r="G2529">
        <f>IF(OR(A2529="",'Skill Matrix'!T163=""),"",'Skill Matrix'!T163)</f>
        <v/>
      </c>
      <c r="H2529">
        <f>IF(A2529="","",'Employees'!F15)</f>
        <v/>
      </c>
    </row>
    <row r="2530">
      <c r="A2530">
        <f>IF(AND('Skill Matrix'!A164&lt;&gt;"",'Skill Matrix'!E5&lt;&gt;""),'Skill Matrix'!A164,"")</f>
        <v/>
      </c>
      <c r="B2530">
        <f>IF(A2530="","",'Employees'!C15)</f>
        <v/>
      </c>
      <c r="C2530">
        <f>IF(A2530="","",'Employees'!D15)</f>
        <v/>
      </c>
      <c r="D2530">
        <f>IF(A2530="","",'Skill Matrix'!C164)</f>
        <v/>
      </c>
      <c r="E2530">
        <f>IF(A2530="","",'Skill Matrix'!D164)</f>
        <v/>
      </c>
      <c r="F2530">
        <f>IF(AND('Skill Matrix'!A164&lt;&gt;"",'Skill Matrix'!E5&lt;&gt;""),'Skill Matrix'!E5,"")</f>
        <v/>
      </c>
      <c r="G2530">
        <f>IF(OR(A2530="",'Skill Matrix'!E164=""),"",'Skill Matrix'!E164)</f>
        <v/>
      </c>
      <c r="H2530">
        <f>IF(A2530="","",'Employees'!F15)</f>
        <v/>
      </c>
    </row>
    <row r="2531">
      <c r="A2531">
        <f>IF(AND('Skill Matrix'!A164&lt;&gt;"",'Skill Matrix'!F5&lt;&gt;""),'Skill Matrix'!A164,"")</f>
        <v/>
      </c>
      <c r="B2531">
        <f>IF(A2531="","",'Employees'!C15)</f>
        <v/>
      </c>
      <c r="C2531">
        <f>IF(A2531="","",'Employees'!D15)</f>
        <v/>
      </c>
      <c r="D2531">
        <f>IF(A2531="","",'Skill Matrix'!C164)</f>
        <v/>
      </c>
      <c r="E2531">
        <f>IF(A2531="","",'Skill Matrix'!D164)</f>
        <v/>
      </c>
      <c r="F2531">
        <f>IF(AND('Skill Matrix'!A164&lt;&gt;"",'Skill Matrix'!F5&lt;&gt;""),'Skill Matrix'!F5,"")</f>
        <v/>
      </c>
      <c r="G2531">
        <f>IF(OR(A2531="",'Skill Matrix'!F164=""),"",'Skill Matrix'!F164)</f>
        <v/>
      </c>
      <c r="H2531">
        <f>IF(A2531="","",'Employees'!F15)</f>
        <v/>
      </c>
    </row>
    <row r="2532">
      <c r="A2532">
        <f>IF(AND('Skill Matrix'!A164&lt;&gt;"",'Skill Matrix'!G5&lt;&gt;""),'Skill Matrix'!A164,"")</f>
        <v/>
      </c>
      <c r="B2532">
        <f>IF(A2532="","",'Employees'!C15)</f>
        <v/>
      </c>
      <c r="C2532">
        <f>IF(A2532="","",'Employees'!D15)</f>
        <v/>
      </c>
      <c r="D2532">
        <f>IF(A2532="","",'Skill Matrix'!C164)</f>
        <v/>
      </c>
      <c r="E2532">
        <f>IF(A2532="","",'Skill Matrix'!D164)</f>
        <v/>
      </c>
      <c r="F2532">
        <f>IF(AND('Skill Matrix'!A164&lt;&gt;"",'Skill Matrix'!G5&lt;&gt;""),'Skill Matrix'!G5,"")</f>
        <v/>
      </c>
      <c r="G2532">
        <f>IF(OR(A2532="",'Skill Matrix'!G164=""),"",'Skill Matrix'!G164)</f>
        <v/>
      </c>
      <c r="H2532">
        <f>IF(A2532="","",'Employees'!F15)</f>
        <v/>
      </c>
    </row>
    <row r="2533">
      <c r="A2533">
        <f>IF(AND('Skill Matrix'!A164&lt;&gt;"",'Skill Matrix'!H5&lt;&gt;""),'Skill Matrix'!A164,"")</f>
        <v/>
      </c>
      <c r="B2533">
        <f>IF(A2533="","",'Employees'!C15)</f>
        <v/>
      </c>
      <c r="C2533">
        <f>IF(A2533="","",'Employees'!D15)</f>
        <v/>
      </c>
      <c r="D2533">
        <f>IF(A2533="","",'Skill Matrix'!C164)</f>
        <v/>
      </c>
      <c r="E2533">
        <f>IF(A2533="","",'Skill Matrix'!D164)</f>
        <v/>
      </c>
      <c r="F2533">
        <f>IF(AND('Skill Matrix'!A164&lt;&gt;"",'Skill Matrix'!H5&lt;&gt;""),'Skill Matrix'!H5,"")</f>
        <v/>
      </c>
      <c r="G2533">
        <f>IF(OR(A2533="",'Skill Matrix'!H164=""),"",'Skill Matrix'!H164)</f>
        <v/>
      </c>
      <c r="H2533">
        <f>IF(A2533="","",'Employees'!F15)</f>
        <v/>
      </c>
    </row>
    <row r="2534">
      <c r="A2534">
        <f>IF(AND('Skill Matrix'!A164&lt;&gt;"",'Skill Matrix'!I5&lt;&gt;""),'Skill Matrix'!A164,"")</f>
        <v/>
      </c>
      <c r="B2534">
        <f>IF(A2534="","",'Employees'!C15)</f>
        <v/>
      </c>
      <c r="C2534">
        <f>IF(A2534="","",'Employees'!D15)</f>
        <v/>
      </c>
      <c r="D2534">
        <f>IF(A2534="","",'Skill Matrix'!C164)</f>
        <v/>
      </c>
      <c r="E2534">
        <f>IF(A2534="","",'Skill Matrix'!D164)</f>
        <v/>
      </c>
      <c r="F2534">
        <f>IF(AND('Skill Matrix'!A164&lt;&gt;"",'Skill Matrix'!I5&lt;&gt;""),'Skill Matrix'!I5,"")</f>
        <v/>
      </c>
      <c r="G2534">
        <f>IF(OR(A2534="",'Skill Matrix'!I164=""),"",'Skill Matrix'!I164)</f>
        <v/>
      </c>
      <c r="H2534">
        <f>IF(A2534="","",'Employees'!F15)</f>
        <v/>
      </c>
    </row>
    <row r="2535">
      <c r="A2535">
        <f>IF(AND('Skill Matrix'!A164&lt;&gt;"",'Skill Matrix'!J5&lt;&gt;""),'Skill Matrix'!A164,"")</f>
        <v/>
      </c>
      <c r="B2535">
        <f>IF(A2535="","",'Employees'!C15)</f>
        <v/>
      </c>
      <c r="C2535">
        <f>IF(A2535="","",'Employees'!D15)</f>
        <v/>
      </c>
      <c r="D2535">
        <f>IF(A2535="","",'Skill Matrix'!C164)</f>
        <v/>
      </c>
      <c r="E2535">
        <f>IF(A2535="","",'Skill Matrix'!D164)</f>
        <v/>
      </c>
      <c r="F2535">
        <f>IF(AND('Skill Matrix'!A164&lt;&gt;"",'Skill Matrix'!J5&lt;&gt;""),'Skill Matrix'!J5,"")</f>
        <v/>
      </c>
      <c r="G2535">
        <f>IF(OR(A2535="",'Skill Matrix'!J164=""),"",'Skill Matrix'!J164)</f>
        <v/>
      </c>
      <c r="H2535">
        <f>IF(A2535="","",'Employees'!F15)</f>
        <v/>
      </c>
    </row>
    <row r="2536">
      <c r="A2536">
        <f>IF(AND('Skill Matrix'!A164&lt;&gt;"",'Skill Matrix'!K5&lt;&gt;""),'Skill Matrix'!A164,"")</f>
        <v/>
      </c>
      <c r="B2536">
        <f>IF(A2536="","",'Employees'!C15)</f>
        <v/>
      </c>
      <c r="C2536">
        <f>IF(A2536="","",'Employees'!D15)</f>
        <v/>
      </c>
      <c r="D2536">
        <f>IF(A2536="","",'Skill Matrix'!C164)</f>
        <v/>
      </c>
      <c r="E2536">
        <f>IF(A2536="","",'Skill Matrix'!D164)</f>
        <v/>
      </c>
      <c r="F2536">
        <f>IF(AND('Skill Matrix'!A164&lt;&gt;"",'Skill Matrix'!K5&lt;&gt;""),'Skill Matrix'!K5,"")</f>
        <v/>
      </c>
      <c r="G2536">
        <f>IF(OR(A2536="",'Skill Matrix'!K164=""),"",'Skill Matrix'!K164)</f>
        <v/>
      </c>
      <c r="H2536">
        <f>IF(A2536="","",'Employees'!F15)</f>
        <v/>
      </c>
    </row>
    <row r="2537">
      <c r="A2537">
        <f>IF(AND('Skill Matrix'!A164&lt;&gt;"",'Skill Matrix'!L5&lt;&gt;""),'Skill Matrix'!A164,"")</f>
        <v/>
      </c>
      <c r="B2537">
        <f>IF(A2537="","",'Employees'!C15)</f>
        <v/>
      </c>
      <c r="C2537">
        <f>IF(A2537="","",'Employees'!D15)</f>
        <v/>
      </c>
      <c r="D2537">
        <f>IF(A2537="","",'Skill Matrix'!C164)</f>
        <v/>
      </c>
      <c r="E2537">
        <f>IF(A2537="","",'Skill Matrix'!D164)</f>
        <v/>
      </c>
      <c r="F2537">
        <f>IF(AND('Skill Matrix'!A164&lt;&gt;"",'Skill Matrix'!L5&lt;&gt;""),'Skill Matrix'!L5,"")</f>
        <v/>
      </c>
      <c r="G2537">
        <f>IF(OR(A2537="",'Skill Matrix'!L164=""),"",'Skill Matrix'!L164)</f>
        <v/>
      </c>
      <c r="H2537">
        <f>IF(A2537="","",'Employees'!F15)</f>
        <v/>
      </c>
    </row>
    <row r="2538">
      <c r="A2538">
        <f>IF(AND('Skill Matrix'!A164&lt;&gt;"",'Skill Matrix'!M5&lt;&gt;""),'Skill Matrix'!A164,"")</f>
        <v/>
      </c>
      <c r="B2538">
        <f>IF(A2538="","",'Employees'!C15)</f>
        <v/>
      </c>
      <c r="C2538">
        <f>IF(A2538="","",'Employees'!D15)</f>
        <v/>
      </c>
      <c r="D2538">
        <f>IF(A2538="","",'Skill Matrix'!C164)</f>
        <v/>
      </c>
      <c r="E2538">
        <f>IF(A2538="","",'Skill Matrix'!D164)</f>
        <v/>
      </c>
      <c r="F2538">
        <f>IF(AND('Skill Matrix'!A164&lt;&gt;"",'Skill Matrix'!M5&lt;&gt;""),'Skill Matrix'!M5,"")</f>
        <v/>
      </c>
      <c r="G2538">
        <f>IF(OR(A2538="",'Skill Matrix'!M164=""),"",'Skill Matrix'!M164)</f>
        <v/>
      </c>
      <c r="H2538">
        <f>IF(A2538="","",'Employees'!F15)</f>
        <v/>
      </c>
    </row>
    <row r="2539">
      <c r="A2539">
        <f>IF(AND('Skill Matrix'!A164&lt;&gt;"",'Skill Matrix'!N5&lt;&gt;""),'Skill Matrix'!A164,"")</f>
        <v/>
      </c>
      <c r="B2539">
        <f>IF(A2539="","",'Employees'!C15)</f>
        <v/>
      </c>
      <c r="C2539">
        <f>IF(A2539="","",'Employees'!D15)</f>
        <v/>
      </c>
      <c r="D2539">
        <f>IF(A2539="","",'Skill Matrix'!C164)</f>
        <v/>
      </c>
      <c r="E2539">
        <f>IF(A2539="","",'Skill Matrix'!D164)</f>
        <v/>
      </c>
      <c r="F2539">
        <f>IF(AND('Skill Matrix'!A164&lt;&gt;"",'Skill Matrix'!N5&lt;&gt;""),'Skill Matrix'!N5,"")</f>
        <v/>
      </c>
      <c r="G2539">
        <f>IF(OR(A2539="",'Skill Matrix'!N164=""),"",'Skill Matrix'!N164)</f>
        <v/>
      </c>
      <c r="H2539">
        <f>IF(A2539="","",'Employees'!F15)</f>
        <v/>
      </c>
    </row>
    <row r="2540">
      <c r="A2540">
        <f>IF(AND('Skill Matrix'!A164&lt;&gt;"",'Skill Matrix'!O5&lt;&gt;""),'Skill Matrix'!A164,"")</f>
        <v/>
      </c>
      <c r="B2540">
        <f>IF(A2540="","",'Employees'!C15)</f>
        <v/>
      </c>
      <c r="C2540">
        <f>IF(A2540="","",'Employees'!D15)</f>
        <v/>
      </c>
      <c r="D2540">
        <f>IF(A2540="","",'Skill Matrix'!C164)</f>
        <v/>
      </c>
      <c r="E2540">
        <f>IF(A2540="","",'Skill Matrix'!D164)</f>
        <v/>
      </c>
      <c r="F2540">
        <f>IF(AND('Skill Matrix'!A164&lt;&gt;"",'Skill Matrix'!O5&lt;&gt;""),'Skill Matrix'!O5,"")</f>
        <v/>
      </c>
      <c r="G2540">
        <f>IF(OR(A2540="",'Skill Matrix'!O164=""),"",'Skill Matrix'!O164)</f>
        <v/>
      </c>
      <c r="H2540">
        <f>IF(A2540="","",'Employees'!F15)</f>
        <v/>
      </c>
    </row>
    <row r="2541">
      <c r="A2541">
        <f>IF(AND('Skill Matrix'!A164&lt;&gt;"",'Skill Matrix'!P5&lt;&gt;""),'Skill Matrix'!A164,"")</f>
        <v/>
      </c>
      <c r="B2541">
        <f>IF(A2541="","",'Employees'!C15)</f>
        <v/>
      </c>
      <c r="C2541">
        <f>IF(A2541="","",'Employees'!D15)</f>
        <v/>
      </c>
      <c r="D2541">
        <f>IF(A2541="","",'Skill Matrix'!C164)</f>
        <v/>
      </c>
      <c r="E2541">
        <f>IF(A2541="","",'Skill Matrix'!D164)</f>
        <v/>
      </c>
      <c r="F2541">
        <f>IF(AND('Skill Matrix'!A164&lt;&gt;"",'Skill Matrix'!P5&lt;&gt;""),'Skill Matrix'!P5,"")</f>
        <v/>
      </c>
      <c r="G2541">
        <f>IF(OR(A2541="",'Skill Matrix'!P164=""),"",'Skill Matrix'!P164)</f>
        <v/>
      </c>
      <c r="H2541">
        <f>IF(A2541="","",'Employees'!F15)</f>
        <v/>
      </c>
    </row>
    <row r="2542">
      <c r="A2542">
        <f>IF(AND('Skill Matrix'!A164&lt;&gt;"",'Skill Matrix'!Q5&lt;&gt;""),'Skill Matrix'!A164,"")</f>
        <v/>
      </c>
      <c r="B2542">
        <f>IF(A2542="","",'Employees'!C15)</f>
        <v/>
      </c>
      <c r="C2542">
        <f>IF(A2542="","",'Employees'!D15)</f>
        <v/>
      </c>
      <c r="D2542">
        <f>IF(A2542="","",'Skill Matrix'!C164)</f>
        <v/>
      </c>
      <c r="E2542">
        <f>IF(A2542="","",'Skill Matrix'!D164)</f>
        <v/>
      </c>
      <c r="F2542">
        <f>IF(AND('Skill Matrix'!A164&lt;&gt;"",'Skill Matrix'!Q5&lt;&gt;""),'Skill Matrix'!Q5,"")</f>
        <v/>
      </c>
      <c r="G2542">
        <f>IF(OR(A2542="",'Skill Matrix'!Q164=""),"",'Skill Matrix'!Q164)</f>
        <v/>
      </c>
      <c r="H2542">
        <f>IF(A2542="","",'Employees'!F15)</f>
        <v/>
      </c>
    </row>
    <row r="2543">
      <c r="A2543">
        <f>IF(AND('Skill Matrix'!A164&lt;&gt;"",'Skill Matrix'!R5&lt;&gt;""),'Skill Matrix'!A164,"")</f>
        <v/>
      </c>
      <c r="B2543">
        <f>IF(A2543="","",'Employees'!C15)</f>
        <v/>
      </c>
      <c r="C2543">
        <f>IF(A2543="","",'Employees'!D15)</f>
        <v/>
      </c>
      <c r="D2543">
        <f>IF(A2543="","",'Skill Matrix'!C164)</f>
        <v/>
      </c>
      <c r="E2543">
        <f>IF(A2543="","",'Skill Matrix'!D164)</f>
        <v/>
      </c>
      <c r="F2543">
        <f>IF(AND('Skill Matrix'!A164&lt;&gt;"",'Skill Matrix'!R5&lt;&gt;""),'Skill Matrix'!R5,"")</f>
        <v/>
      </c>
      <c r="G2543">
        <f>IF(OR(A2543="",'Skill Matrix'!R164=""),"",'Skill Matrix'!R164)</f>
        <v/>
      </c>
      <c r="H2543">
        <f>IF(A2543="","",'Employees'!F15)</f>
        <v/>
      </c>
    </row>
    <row r="2544">
      <c r="A2544">
        <f>IF(AND('Skill Matrix'!A164&lt;&gt;"",'Skill Matrix'!S5&lt;&gt;""),'Skill Matrix'!A164,"")</f>
        <v/>
      </c>
      <c r="B2544">
        <f>IF(A2544="","",'Employees'!C15)</f>
        <v/>
      </c>
      <c r="C2544">
        <f>IF(A2544="","",'Employees'!D15)</f>
        <v/>
      </c>
      <c r="D2544">
        <f>IF(A2544="","",'Skill Matrix'!C164)</f>
        <v/>
      </c>
      <c r="E2544">
        <f>IF(A2544="","",'Skill Matrix'!D164)</f>
        <v/>
      </c>
      <c r="F2544">
        <f>IF(AND('Skill Matrix'!A164&lt;&gt;"",'Skill Matrix'!S5&lt;&gt;""),'Skill Matrix'!S5,"")</f>
        <v/>
      </c>
      <c r="G2544">
        <f>IF(OR(A2544="",'Skill Matrix'!S164=""),"",'Skill Matrix'!S164)</f>
        <v/>
      </c>
      <c r="H2544">
        <f>IF(A2544="","",'Employees'!F15)</f>
        <v/>
      </c>
    </row>
    <row r="2545">
      <c r="A2545">
        <f>IF(AND('Skill Matrix'!A164&lt;&gt;"",'Skill Matrix'!T5&lt;&gt;""),'Skill Matrix'!A164,"")</f>
        <v/>
      </c>
      <c r="B2545">
        <f>IF(A2545="","",'Employees'!C15)</f>
        <v/>
      </c>
      <c r="C2545">
        <f>IF(A2545="","",'Employees'!D15)</f>
        <v/>
      </c>
      <c r="D2545">
        <f>IF(A2545="","",'Skill Matrix'!C164)</f>
        <v/>
      </c>
      <c r="E2545">
        <f>IF(A2545="","",'Skill Matrix'!D164)</f>
        <v/>
      </c>
      <c r="F2545">
        <f>IF(AND('Skill Matrix'!A164&lt;&gt;"",'Skill Matrix'!T5&lt;&gt;""),'Skill Matrix'!T5,"")</f>
        <v/>
      </c>
      <c r="G2545">
        <f>IF(OR(A2545="",'Skill Matrix'!T164=""),"",'Skill Matrix'!T164)</f>
        <v/>
      </c>
      <c r="H2545">
        <f>IF(A2545="","",'Employees'!F15)</f>
        <v/>
      </c>
    </row>
    <row r="2546">
      <c r="A2546">
        <f>IF(AND('Skill Matrix'!A165&lt;&gt;"",'Skill Matrix'!E5&lt;&gt;""),'Skill Matrix'!A165,"")</f>
        <v/>
      </c>
      <c r="B2546">
        <f>IF(A2546="","",'Employees'!C15)</f>
        <v/>
      </c>
      <c r="C2546">
        <f>IF(A2546="","",'Employees'!D15)</f>
        <v/>
      </c>
      <c r="D2546">
        <f>IF(A2546="","",'Skill Matrix'!C165)</f>
        <v/>
      </c>
      <c r="E2546">
        <f>IF(A2546="","",'Skill Matrix'!D165)</f>
        <v/>
      </c>
      <c r="F2546">
        <f>IF(AND('Skill Matrix'!A165&lt;&gt;"",'Skill Matrix'!E5&lt;&gt;""),'Skill Matrix'!E5,"")</f>
        <v/>
      </c>
      <c r="G2546">
        <f>IF(OR(A2546="",'Skill Matrix'!E165=""),"",'Skill Matrix'!E165)</f>
        <v/>
      </c>
      <c r="H2546">
        <f>IF(A2546="","",'Employees'!F15)</f>
        <v/>
      </c>
    </row>
    <row r="2547">
      <c r="A2547">
        <f>IF(AND('Skill Matrix'!A165&lt;&gt;"",'Skill Matrix'!F5&lt;&gt;""),'Skill Matrix'!A165,"")</f>
        <v/>
      </c>
      <c r="B2547">
        <f>IF(A2547="","",'Employees'!C15)</f>
        <v/>
      </c>
      <c r="C2547">
        <f>IF(A2547="","",'Employees'!D15)</f>
        <v/>
      </c>
      <c r="D2547">
        <f>IF(A2547="","",'Skill Matrix'!C165)</f>
        <v/>
      </c>
      <c r="E2547">
        <f>IF(A2547="","",'Skill Matrix'!D165)</f>
        <v/>
      </c>
      <c r="F2547">
        <f>IF(AND('Skill Matrix'!A165&lt;&gt;"",'Skill Matrix'!F5&lt;&gt;""),'Skill Matrix'!F5,"")</f>
        <v/>
      </c>
      <c r="G2547">
        <f>IF(OR(A2547="",'Skill Matrix'!F165=""),"",'Skill Matrix'!F165)</f>
        <v/>
      </c>
      <c r="H2547">
        <f>IF(A2547="","",'Employees'!F15)</f>
        <v/>
      </c>
    </row>
    <row r="2548">
      <c r="A2548">
        <f>IF(AND('Skill Matrix'!A165&lt;&gt;"",'Skill Matrix'!G5&lt;&gt;""),'Skill Matrix'!A165,"")</f>
        <v/>
      </c>
      <c r="B2548">
        <f>IF(A2548="","",'Employees'!C15)</f>
        <v/>
      </c>
      <c r="C2548">
        <f>IF(A2548="","",'Employees'!D15)</f>
        <v/>
      </c>
      <c r="D2548">
        <f>IF(A2548="","",'Skill Matrix'!C165)</f>
        <v/>
      </c>
      <c r="E2548">
        <f>IF(A2548="","",'Skill Matrix'!D165)</f>
        <v/>
      </c>
      <c r="F2548">
        <f>IF(AND('Skill Matrix'!A165&lt;&gt;"",'Skill Matrix'!G5&lt;&gt;""),'Skill Matrix'!G5,"")</f>
        <v/>
      </c>
      <c r="G2548">
        <f>IF(OR(A2548="",'Skill Matrix'!G165=""),"",'Skill Matrix'!G165)</f>
        <v/>
      </c>
      <c r="H2548">
        <f>IF(A2548="","",'Employees'!F15)</f>
        <v/>
      </c>
    </row>
    <row r="2549">
      <c r="A2549">
        <f>IF(AND('Skill Matrix'!A165&lt;&gt;"",'Skill Matrix'!H5&lt;&gt;""),'Skill Matrix'!A165,"")</f>
        <v/>
      </c>
      <c r="B2549">
        <f>IF(A2549="","",'Employees'!C15)</f>
        <v/>
      </c>
      <c r="C2549">
        <f>IF(A2549="","",'Employees'!D15)</f>
        <v/>
      </c>
      <c r="D2549">
        <f>IF(A2549="","",'Skill Matrix'!C165)</f>
        <v/>
      </c>
      <c r="E2549">
        <f>IF(A2549="","",'Skill Matrix'!D165)</f>
        <v/>
      </c>
      <c r="F2549">
        <f>IF(AND('Skill Matrix'!A165&lt;&gt;"",'Skill Matrix'!H5&lt;&gt;""),'Skill Matrix'!H5,"")</f>
        <v/>
      </c>
      <c r="G2549">
        <f>IF(OR(A2549="",'Skill Matrix'!H165=""),"",'Skill Matrix'!H165)</f>
        <v/>
      </c>
      <c r="H2549">
        <f>IF(A2549="","",'Employees'!F15)</f>
        <v/>
      </c>
    </row>
    <row r="2550">
      <c r="A2550">
        <f>IF(AND('Skill Matrix'!A165&lt;&gt;"",'Skill Matrix'!I5&lt;&gt;""),'Skill Matrix'!A165,"")</f>
        <v/>
      </c>
      <c r="B2550">
        <f>IF(A2550="","",'Employees'!C15)</f>
        <v/>
      </c>
      <c r="C2550">
        <f>IF(A2550="","",'Employees'!D15)</f>
        <v/>
      </c>
      <c r="D2550">
        <f>IF(A2550="","",'Skill Matrix'!C165)</f>
        <v/>
      </c>
      <c r="E2550">
        <f>IF(A2550="","",'Skill Matrix'!D165)</f>
        <v/>
      </c>
      <c r="F2550">
        <f>IF(AND('Skill Matrix'!A165&lt;&gt;"",'Skill Matrix'!I5&lt;&gt;""),'Skill Matrix'!I5,"")</f>
        <v/>
      </c>
      <c r="G2550">
        <f>IF(OR(A2550="",'Skill Matrix'!I165=""),"",'Skill Matrix'!I165)</f>
        <v/>
      </c>
      <c r="H2550">
        <f>IF(A2550="","",'Employees'!F15)</f>
        <v/>
      </c>
    </row>
    <row r="2551">
      <c r="A2551">
        <f>IF(AND('Skill Matrix'!A165&lt;&gt;"",'Skill Matrix'!J5&lt;&gt;""),'Skill Matrix'!A165,"")</f>
        <v/>
      </c>
      <c r="B2551">
        <f>IF(A2551="","",'Employees'!C15)</f>
        <v/>
      </c>
      <c r="C2551">
        <f>IF(A2551="","",'Employees'!D15)</f>
        <v/>
      </c>
      <c r="D2551">
        <f>IF(A2551="","",'Skill Matrix'!C165)</f>
        <v/>
      </c>
      <c r="E2551">
        <f>IF(A2551="","",'Skill Matrix'!D165)</f>
        <v/>
      </c>
      <c r="F2551">
        <f>IF(AND('Skill Matrix'!A165&lt;&gt;"",'Skill Matrix'!J5&lt;&gt;""),'Skill Matrix'!J5,"")</f>
        <v/>
      </c>
      <c r="G2551">
        <f>IF(OR(A2551="",'Skill Matrix'!J165=""),"",'Skill Matrix'!J165)</f>
        <v/>
      </c>
      <c r="H2551">
        <f>IF(A2551="","",'Employees'!F15)</f>
        <v/>
      </c>
    </row>
    <row r="2552">
      <c r="A2552">
        <f>IF(AND('Skill Matrix'!A165&lt;&gt;"",'Skill Matrix'!K5&lt;&gt;""),'Skill Matrix'!A165,"")</f>
        <v/>
      </c>
      <c r="B2552">
        <f>IF(A2552="","",'Employees'!C15)</f>
        <v/>
      </c>
      <c r="C2552">
        <f>IF(A2552="","",'Employees'!D15)</f>
        <v/>
      </c>
      <c r="D2552">
        <f>IF(A2552="","",'Skill Matrix'!C165)</f>
        <v/>
      </c>
      <c r="E2552">
        <f>IF(A2552="","",'Skill Matrix'!D165)</f>
        <v/>
      </c>
      <c r="F2552">
        <f>IF(AND('Skill Matrix'!A165&lt;&gt;"",'Skill Matrix'!K5&lt;&gt;""),'Skill Matrix'!K5,"")</f>
        <v/>
      </c>
      <c r="G2552">
        <f>IF(OR(A2552="",'Skill Matrix'!K165=""),"",'Skill Matrix'!K165)</f>
        <v/>
      </c>
      <c r="H2552">
        <f>IF(A2552="","",'Employees'!F15)</f>
        <v/>
      </c>
    </row>
    <row r="2553">
      <c r="A2553">
        <f>IF(AND('Skill Matrix'!A165&lt;&gt;"",'Skill Matrix'!L5&lt;&gt;""),'Skill Matrix'!A165,"")</f>
        <v/>
      </c>
      <c r="B2553">
        <f>IF(A2553="","",'Employees'!C15)</f>
        <v/>
      </c>
      <c r="C2553">
        <f>IF(A2553="","",'Employees'!D15)</f>
        <v/>
      </c>
      <c r="D2553">
        <f>IF(A2553="","",'Skill Matrix'!C165)</f>
        <v/>
      </c>
      <c r="E2553">
        <f>IF(A2553="","",'Skill Matrix'!D165)</f>
        <v/>
      </c>
      <c r="F2553">
        <f>IF(AND('Skill Matrix'!A165&lt;&gt;"",'Skill Matrix'!L5&lt;&gt;""),'Skill Matrix'!L5,"")</f>
        <v/>
      </c>
      <c r="G2553">
        <f>IF(OR(A2553="",'Skill Matrix'!L165=""),"",'Skill Matrix'!L165)</f>
        <v/>
      </c>
      <c r="H2553">
        <f>IF(A2553="","",'Employees'!F15)</f>
        <v/>
      </c>
    </row>
    <row r="2554">
      <c r="A2554">
        <f>IF(AND('Skill Matrix'!A165&lt;&gt;"",'Skill Matrix'!M5&lt;&gt;""),'Skill Matrix'!A165,"")</f>
        <v/>
      </c>
      <c r="B2554">
        <f>IF(A2554="","",'Employees'!C15)</f>
        <v/>
      </c>
      <c r="C2554">
        <f>IF(A2554="","",'Employees'!D15)</f>
        <v/>
      </c>
      <c r="D2554">
        <f>IF(A2554="","",'Skill Matrix'!C165)</f>
        <v/>
      </c>
      <c r="E2554">
        <f>IF(A2554="","",'Skill Matrix'!D165)</f>
        <v/>
      </c>
      <c r="F2554">
        <f>IF(AND('Skill Matrix'!A165&lt;&gt;"",'Skill Matrix'!M5&lt;&gt;""),'Skill Matrix'!M5,"")</f>
        <v/>
      </c>
      <c r="G2554">
        <f>IF(OR(A2554="",'Skill Matrix'!M165=""),"",'Skill Matrix'!M165)</f>
        <v/>
      </c>
      <c r="H2554">
        <f>IF(A2554="","",'Employees'!F15)</f>
        <v/>
      </c>
    </row>
    <row r="2555">
      <c r="A2555">
        <f>IF(AND('Skill Matrix'!A165&lt;&gt;"",'Skill Matrix'!N5&lt;&gt;""),'Skill Matrix'!A165,"")</f>
        <v/>
      </c>
      <c r="B2555">
        <f>IF(A2555="","",'Employees'!C15)</f>
        <v/>
      </c>
      <c r="C2555">
        <f>IF(A2555="","",'Employees'!D15)</f>
        <v/>
      </c>
      <c r="D2555">
        <f>IF(A2555="","",'Skill Matrix'!C165)</f>
        <v/>
      </c>
      <c r="E2555">
        <f>IF(A2555="","",'Skill Matrix'!D165)</f>
        <v/>
      </c>
      <c r="F2555">
        <f>IF(AND('Skill Matrix'!A165&lt;&gt;"",'Skill Matrix'!N5&lt;&gt;""),'Skill Matrix'!N5,"")</f>
        <v/>
      </c>
      <c r="G2555">
        <f>IF(OR(A2555="",'Skill Matrix'!N165=""),"",'Skill Matrix'!N165)</f>
        <v/>
      </c>
      <c r="H2555">
        <f>IF(A2555="","",'Employees'!F15)</f>
        <v/>
      </c>
    </row>
    <row r="2556">
      <c r="A2556">
        <f>IF(AND('Skill Matrix'!A165&lt;&gt;"",'Skill Matrix'!O5&lt;&gt;""),'Skill Matrix'!A165,"")</f>
        <v/>
      </c>
      <c r="B2556">
        <f>IF(A2556="","",'Employees'!C15)</f>
        <v/>
      </c>
      <c r="C2556">
        <f>IF(A2556="","",'Employees'!D15)</f>
        <v/>
      </c>
      <c r="D2556">
        <f>IF(A2556="","",'Skill Matrix'!C165)</f>
        <v/>
      </c>
      <c r="E2556">
        <f>IF(A2556="","",'Skill Matrix'!D165)</f>
        <v/>
      </c>
      <c r="F2556">
        <f>IF(AND('Skill Matrix'!A165&lt;&gt;"",'Skill Matrix'!O5&lt;&gt;""),'Skill Matrix'!O5,"")</f>
        <v/>
      </c>
      <c r="G2556">
        <f>IF(OR(A2556="",'Skill Matrix'!O165=""),"",'Skill Matrix'!O165)</f>
        <v/>
      </c>
      <c r="H2556">
        <f>IF(A2556="","",'Employees'!F15)</f>
        <v/>
      </c>
    </row>
    <row r="2557">
      <c r="A2557">
        <f>IF(AND('Skill Matrix'!A165&lt;&gt;"",'Skill Matrix'!P5&lt;&gt;""),'Skill Matrix'!A165,"")</f>
        <v/>
      </c>
      <c r="B2557">
        <f>IF(A2557="","",'Employees'!C15)</f>
        <v/>
      </c>
      <c r="C2557">
        <f>IF(A2557="","",'Employees'!D15)</f>
        <v/>
      </c>
      <c r="D2557">
        <f>IF(A2557="","",'Skill Matrix'!C165)</f>
        <v/>
      </c>
      <c r="E2557">
        <f>IF(A2557="","",'Skill Matrix'!D165)</f>
        <v/>
      </c>
      <c r="F2557">
        <f>IF(AND('Skill Matrix'!A165&lt;&gt;"",'Skill Matrix'!P5&lt;&gt;""),'Skill Matrix'!P5,"")</f>
        <v/>
      </c>
      <c r="G2557">
        <f>IF(OR(A2557="",'Skill Matrix'!P165=""),"",'Skill Matrix'!P165)</f>
        <v/>
      </c>
      <c r="H2557">
        <f>IF(A2557="","",'Employees'!F15)</f>
        <v/>
      </c>
    </row>
    <row r="2558">
      <c r="A2558">
        <f>IF(AND('Skill Matrix'!A165&lt;&gt;"",'Skill Matrix'!Q5&lt;&gt;""),'Skill Matrix'!A165,"")</f>
        <v/>
      </c>
      <c r="B2558">
        <f>IF(A2558="","",'Employees'!C15)</f>
        <v/>
      </c>
      <c r="C2558">
        <f>IF(A2558="","",'Employees'!D15)</f>
        <v/>
      </c>
      <c r="D2558">
        <f>IF(A2558="","",'Skill Matrix'!C165)</f>
        <v/>
      </c>
      <c r="E2558">
        <f>IF(A2558="","",'Skill Matrix'!D165)</f>
        <v/>
      </c>
      <c r="F2558">
        <f>IF(AND('Skill Matrix'!A165&lt;&gt;"",'Skill Matrix'!Q5&lt;&gt;""),'Skill Matrix'!Q5,"")</f>
        <v/>
      </c>
      <c r="G2558">
        <f>IF(OR(A2558="",'Skill Matrix'!Q165=""),"",'Skill Matrix'!Q165)</f>
        <v/>
      </c>
      <c r="H2558">
        <f>IF(A2558="","",'Employees'!F15)</f>
        <v/>
      </c>
    </row>
    <row r="2559">
      <c r="A2559">
        <f>IF(AND('Skill Matrix'!A165&lt;&gt;"",'Skill Matrix'!R5&lt;&gt;""),'Skill Matrix'!A165,"")</f>
        <v/>
      </c>
      <c r="B2559">
        <f>IF(A2559="","",'Employees'!C15)</f>
        <v/>
      </c>
      <c r="C2559">
        <f>IF(A2559="","",'Employees'!D15)</f>
        <v/>
      </c>
      <c r="D2559">
        <f>IF(A2559="","",'Skill Matrix'!C165)</f>
        <v/>
      </c>
      <c r="E2559">
        <f>IF(A2559="","",'Skill Matrix'!D165)</f>
        <v/>
      </c>
      <c r="F2559">
        <f>IF(AND('Skill Matrix'!A165&lt;&gt;"",'Skill Matrix'!R5&lt;&gt;""),'Skill Matrix'!R5,"")</f>
        <v/>
      </c>
      <c r="G2559">
        <f>IF(OR(A2559="",'Skill Matrix'!R165=""),"",'Skill Matrix'!R165)</f>
        <v/>
      </c>
      <c r="H2559">
        <f>IF(A2559="","",'Employees'!F15)</f>
        <v/>
      </c>
    </row>
    <row r="2560">
      <c r="A2560">
        <f>IF(AND('Skill Matrix'!A165&lt;&gt;"",'Skill Matrix'!S5&lt;&gt;""),'Skill Matrix'!A165,"")</f>
        <v/>
      </c>
      <c r="B2560">
        <f>IF(A2560="","",'Employees'!C15)</f>
        <v/>
      </c>
      <c r="C2560">
        <f>IF(A2560="","",'Employees'!D15)</f>
        <v/>
      </c>
      <c r="D2560">
        <f>IF(A2560="","",'Skill Matrix'!C165)</f>
        <v/>
      </c>
      <c r="E2560">
        <f>IF(A2560="","",'Skill Matrix'!D165)</f>
        <v/>
      </c>
      <c r="F2560">
        <f>IF(AND('Skill Matrix'!A165&lt;&gt;"",'Skill Matrix'!S5&lt;&gt;""),'Skill Matrix'!S5,"")</f>
        <v/>
      </c>
      <c r="G2560">
        <f>IF(OR(A2560="",'Skill Matrix'!S165=""),"",'Skill Matrix'!S165)</f>
        <v/>
      </c>
      <c r="H2560">
        <f>IF(A2560="","",'Employees'!F15)</f>
        <v/>
      </c>
    </row>
    <row r="2561">
      <c r="A2561">
        <f>IF(AND('Skill Matrix'!A165&lt;&gt;"",'Skill Matrix'!T5&lt;&gt;""),'Skill Matrix'!A165,"")</f>
        <v/>
      </c>
      <c r="B2561">
        <f>IF(A2561="","",'Employees'!C15)</f>
        <v/>
      </c>
      <c r="C2561">
        <f>IF(A2561="","",'Employees'!D15)</f>
        <v/>
      </c>
      <c r="D2561">
        <f>IF(A2561="","",'Skill Matrix'!C165)</f>
        <v/>
      </c>
      <c r="E2561">
        <f>IF(A2561="","",'Skill Matrix'!D165)</f>
        <v/>
      </c>
      <c r="F2561">
        <f>IF(AND('Skill Matrix'!A165&lt;&gt;"",'Skill Matrix'!T5&lt;&gt;""),'Skill Matrix'!T5,"")</f>
        <v/>
      </c>
      <c r="G2561">
        <f>IF(OR(A2561="",'Skill Matrix'!T165=""),"",'Skill Matrix'!T165)</f>
        <v/>
      </c>
      <c r="H2561">
        <f>IF(A2561="","",'Employees'!F15)</f>
        <v/>
      </c>
    </row>
    <row r="2562">
      <c r="A2562">
        <f>IF(AND('Skill Matrix'!A166&lt;&gt;"",'Skill Matrix'!E5&lt;&gt;""),'Skill Matrix'!A166,"")</f>
        <v/>
      </c>
      <c r="B2562">
        <f>IF(A2562="","",'Employees'!C16)</f>
        <v/>
      </c>
      <c r="C2562">
        <f>IF(A2562="","",'Employees'!D16)</f>
        <v/>
      </c>
      <c r="D2562">
        <f>IF(A2562="","",'Skill Matrix'!C166)</f>
        <v/>
      </c>
      <c r="E2562">
        <f>IF(A2562="","",'Skill Matrix'!D166)</f>
        <v/>
      </c>
      <c r="F2562">
        <f>IF(AND('Skill Matrix'!A166&lt;&gt;"",'Skill Matrix'!E5&lt;&gt;""),'Skill Matrix'!E5,"")</f>
        <v/>
      </c>
      <c r="G2562">
        <f>IF(OR(A2562="",'Skill Matrix'!E166=""),"",'Skill Matrix'!E166)</f>
        <v/>
      </c>
      <c r="H2562">
        <f>IF(A2562="","",'Employees'!F16)</f>
        <v/>
      </c>
    </row>
    <row r="2563">
      <c r="A2563">
        <f>IF(AND('Skill Matrix'!A166&lt;&gt;"",'Skill Matrix'!F5&lt;&gt;""),'Skill Matrix'!A166,"")</f>
        <v/>
      </c>
      <c r="B2563">
        <f>IF(A2563="","",'Employees'!C16)</f>
        <v/>
      </c>
      <c r="C2563">
        <f>IF(A2563="","",'Employees'!D16)</f>
        <v/>
      </c>
      <c r="D2563">
        <f>IF(A2563="","",'Skill Matrix'!C166)</f>
        <v/>
      </c>
      <c r="E2563">
        <f>IF(A2563="","",'Skill Matrix'!D166)</f>
        <v/>
      </c>
      <c r="F2563">
        <f>IF(AND('Skill Matrix'!A166&lt;&gt;"",'Skill Matrix'!F5&lt;&gt;""),'Skill Matrix'!F5,"")</f>
        <v/>
      </c>
      <c r="G2563">
        <f>IF(OR(A2563="",'Skill Matrix'!F166=""),"",'Skill Matrix'!F166)</f>
        <v/>
      </c>
      <c r="H2563">
        <f>IF(A2563="","",'Employees'!F16)</f>
        <v/>
      </c>
    </row>
    <row r="2564">
      <c r="A2564">
        <f>IF(AND('Skill Matrix'!A166&lt;&gt;"",'Skill Matrix'!G5&lt;&gt;""),'Skill Matrix'!A166,"")</f>
        <v/>
      </c>
      <c r="B2564">
        <f>IF(A2564="","",'Employees'!C16)</f>
        <v/>
      </c>
      <c r="C2564">
        <f>IF(A2564="","",'Employees'!D16)</f>
        <v/>
      </c>
      <c r="D2564">
        <f>IF(A2564="","",'Skill Matrix'!C166)</f>
        <v/>
      </c>
      <c r="E2564">
        <f>IF(A2564="","",'Skill Matrix'!D166)</f>
        <v/>
      </c>
      <c r="F2564">
        <f>IF(AND('Skill Matrix'!A166&lt;&gt;"",'Skill Matrix'!G5&lt;&gt;""),'Skill Matrix'!G5,"")</f>
        <v/>
      </c>
      <c r="G2564">
        <f>IF(OR(A2564="",'Skill Matrix'!G166=""),"",'Skill Matrix'!G166)</f>
        <v/>
      </c>
      <c r="H2564">
        <f>IF(A2564="","",'Employees'!F16)</f>
        <v/>
      </c>
    </row>
    <row r="2565">
      <c r="A2565">
        <f>IF(AND('Skill Matrix'!A166&lt;&gt;"",'Skill Matrix'!H5&lt;&gt;""),'Skill Matrix'!A166,"")</f>
        <v/>
      </c>
      <c r="B2565">
        <f>IF(A2565="","",'Employees'!C16)</f>
        <v/>
      </c>
      <c r="C2565">
        <f>IF(A2565="","",'Employees'!D16)</f>
        <v/>
      </c>
      <c r="D2565">
        <f>IF(A2565="","",'Skill Matrix'!C166)</f>
        <v/>
      </c>
      <c r="E2565">
        <f>IF(A2565="","",'Skill Matrix'!D166)</f>
        <v/>
      </c>
      <c r="F2565">
        <f>IF(AND('Skill Matrix'!A166&lt;&gt;"",'Skill Matrix'!H5&lt;&gt;""),'Skill Matrix'!H5,"")</f>
        <v/>
      </c>
      <c r="G2565">
        <f>IF(OR(A2565="",'Skill Matrix'!H166=""),"",'Skill Matrix'!H166)</f>
        <v/>
      </c>
      <c r="H2565">
        <f>IF(A2565="","",'Employees'!F16)</f>
        <v/>
      </c>
    </row>
    <row r="2566">
      <c r="A2566">
        <f>IF(AND('Skill Matrix'!A166&lt;&gt;"",'Skill Matrix'!I5&lt;&gt;""),'Skill Matrix'!A166,"")</f>
        <v/>
      </c>
      <c r="B2566">
        <f>IF(A2566="","",'Employees'!C16)</f>
        <v/>
      </c>
      <c r="C2566">
        <f>IF(A2566="","",'Employees'!D16)</f>
        <v/>
      </c>
      <c r="D2566">
        <f>IF(A2566="","",'Skill Matrix'!C166)</f>
        <v/>
      </c>
      <c r="E2566">
        <f>IF(A2566="","",'Skill Matrix'!D166)</f>
        <v/>
      </c>
      <c r="F2566">
        <f>IF(AND('Skill Matrix'!A166&lt;&gt;"",'Skill Matrix'!I5&lt;&gt;""),'Skill Matrix'!I5,"")</f>
        <v/>
      </c>
      <c r="G2566">
        <f>IF(OR(A2566="",'Skill Matrix'!I166=""),"",'Skill Matrix'!I166)</f>
        <v/>
      </c>
      <c r="H2566">
        <f>IF(A2566="","",'Employees'!F16)</f>
        <v/>
      </c>
    </row>
    <row r="2567">
      <c r="A2567">
        <f>IF(AND('Skill Matrix'!A166&lt;&gt;"",'Skill Matrix'!J5&lt;&gt;""),'Skill Matrix'!A166,"")</f>
        <v/>
      </c>
      <c r="B2567">
        <f>IF(A2567="","",'Employees'!C16)</f>
        <v/>
      </c>
      <c r="C2567">
        <f>IF(A2567="","",'Employees'!D16)</f>
        <v/>
      </c>
      <c r="D2567">
        <f>IF(A2567="","",'Skill Matrix'!C166)</f>
        <v/>
      </c>
      <c r="E2567">
        <f>IF(A2567="","",'Skill Matrix'!D166)</f>
        <v/>
      </c>
      <c r="F2567">
        <f>IF(AND('Skill Matrix'!A166&lt;&gt;"",'Skill Matrix'!J5&lt;&gt;""),'Skill Matrix'!J5,"")</f>
        <v/>
      </c>
      <c r="G2567">
        <f>IF(OR(A2567="",'Skill Matrix'!J166=""),"",'Skill Matrix'!J166)</f>
        <v/>
      </c>
      <c r="H2567">
        <f>IF(A2567="","",'Employees'!F16)</f>
        <v/>
      </c>
    </row>
    <row r="2568">
      <c r="A2568">
        <f>IF(AND('Skill Matrix'!A166&lt;&gt;"",'Skill Matrix'!K5&lt;&gt;""),'Skill Matrix'!A166,"")</f>
        <v/>
      </c>
      <c r="B2568">
        <f>IF(A2568="","",'Employees'!C16)</f>
        <v/>
      </c>
      <c r="C2568">
        <f>IF(A2568="","",'Employees'!D16)</f>
        <v/>
      </c>
      <c r="D2568">
        <f>IF(A2568="","",'Skill Matrix'!C166)</f>
        <v/>
      </c>
      <c r="E2568">
        <f>IF(A2568="","",'Skill Matrix'!D166)</f>
        <v/>
      </c>
      <c r="F2568">
        <f>IF(AND('Skill Matrix'!A166&lt;&gt;"",'Skill Matrix'!K5&lt;&gt;""),'Skill Matrix'!K5,"")</f>
        <v/>
      </c>
      <c r="G2568">
        <f>IF(OR(A2568="",'Skill Matrix'!K166=""),"",'Skill Matrix'!K166)</f>
        <v/>
      </c>
      <c r="H2568">
        <f>IF(A2568="","",'Employees'!F16)</f>
        <v/>
      </c>
    </row>
    <row r="2569">
      <c r="A2569">
        <f>IF(AND('Skill Matrix'!A166&lt;&gt;"",'Skill Matrix'!L5&lt;&gt;""),'Skill Matrix'!A166,"")</f>
        <v/>
      </c>
      <c r="B2569">
        <f>IF(A2569="","",'Employees'!C16)</f>
        <v/>
      </c>
      <c r="C2569">
        <f>IF(A2569="","",'Employees'!D16)</f>
        <v/>
      </c>
      <c r="D2569">
        <f>IF(A2569="","",'Skill Matrix'!C166)</f>
        <v/>
      </c>
      <c r="E2569">
        <f>IF(A2569="","",'Skill Matrix'!D166)</f>
        <v/>
      </c>
      <c r="F2569">
        <f>IF(AND('Skill Matrix'!A166&lt;&gt;"",'Skill Matrix'!L5&lt;&gt;""),'Skill Matrix'!L5,"")</f>
        <v/>
      </c>
      <c r="G2569">
        <f>IF(OR(A2569="",'Skill Matrix'!L166=""),"",'Skill Matrix'!L166)</f>
        <v/>
      </c>
      <c r="H2569">
        <f>IF(A2569="","",'Employees'!F16)</f>
        <v/>
      </c>
    </row>
    <row r="2570">
      <c r="A2570">
        <f>IF(AND('Skill Matrix'!A166&lt;&gt;"",'Skill Matrix'!M5&lt;&gt;""),'Skill Matrix'!A166,"")</f>
        <v/>
      </c>
      <c r="B2570">
        <f>IF(A2570="","",'Employees'!C16)</f>
        <v/>
      </c>
      <c r="C2570">
        <f>IF(A2570="","",'Employees'!D16)</f>
        <v/>
      </c>
      <c r="D2570">
        <f>IF(A2570="","",'Skill Matrix'!C166)</f>
        <v/>
      </c>
      <c r="E2570">
        <f>IF(A2570="","",'Skill Matrix'!D166)</f>
        <v/>
      </c>
      <c r="F2570">
        <f>IF(AND('Skill Matrix'!A166&lt;&gt;"",'Skill Matrix'!M5&lt;&gt;""),'Skill Matrix'!M5,"")</f>
        <v/>
      </c>
      <c r="G2570">
        <f>IF(OR(A2570="",'Skill Matrix'!M166=""),"",'Skill Matrix'!M166)</f>
        <v/>
      </c>
      <c r="H2570">
        <f>IF(A2570="","",'Employees'!F16)</f>
        <v/>
      </c>
    </row>
    <row r="2571">
      <c r="A2571">
        <f>IF(AND('Skill Matrix'!A166&lt;&gt;"",'Skill Matrix'!N5&lt;&gt;""),'Skill Matrix'!A166,"")</f>
        <v/>
      </c>
      <c r="B2571">
        <f>IF(A2571="","",'Employees'!C16)</f>
        <v/>
      </c>
      <c r="C2571">
        <f>IF(A2571="","",'Employees'!D16)</f>
        <v/>
      </c>
      <c r="D2571">
        <f>IF(A2571="","",'Skill Matrix'!C166)</f>
        <v/>
      </c>
      <c r="E2571">
        <f>IF(A2571="","",'Skill Matrix'!D166)</f>
        <v/>
      </c>
      <c r="F2571">
        <f>IF(AND('Skill Matrix'!A166&lt;&gt;"",'Skill Matrix'!N5&lt;&gt;""),'Skill Matrix'!N5,"")</f>
        <v/>
      </c>
      <c r="G2571">
        <f>IF(OR(A2571="",'Skill Matrix'!N166=""),"",'Skill Matrix'!N166)</f>
        <v/>
      </c>
      <c r="H2571">
        <f>IF(A2571="","",'Employees'!F16)</f>
        <v/>
      </c>
    </row>
    <row r="2572">
      <c r="A2572">
        <f>IF(AND('Skill Matrix'!A166&lt;&gt;"",'Skill Matrix'!O5&lt;&gt;""),'Skill Matrix'!A166,"")</f>
        <v/>
      </c>
      <c r="B2572">
        <f>IF(A2572="","",'Employees'!C16)</f>
        <v/>
      </c>
      <c r="C2572">
        <f>IF(A2572="","",'Employees'!D16)</f>
        <v/>
      </c>
      <c r="D2572">
        <f>IF(A2572="","",'Skill Matrix'!C166)</f>
        <v/>
      </c>
      <c r="E2572">
        <f>IF(A2572="","",'Skill Matrix'!D166)</f>
        <v/>
      </c>
      <c r="F2572">
        <f>IF(AND('Skill Matrix'!A166&lt;&gt;"",'Skill Matrix'!O5&lt;&gt;""),'Skill Matrix'!O5,"")</f>
        <v/>
      </c>
      <c r="G2572">
        <f>IF(OR(A2572="",'Skill Matrix'!O166=""),"",'Skill Matrix'!O166)</f>
        <v/>
      </c>
      <c r="H2572">
        <f>IF(A2572="","",'Employees'!F16)</f>
        <v/>
      </c>
    </row>
    <row r="2573">
      <c r="A2573">
        <f>IF(AND('Skill Matrix'!A166&lt;&gt;"",'Skill Matrix'!P5&lt;&gt;""),'Skill Matrix'!A166,"")</f>
        <v/>
      </c>
      <c r="B2573">
        <f>IF(A2573="","",'Employees'!C16)</f>
        <v/>
      </c>
      <c r="C2573">
        <f>IF(A2573="","",'Employees'!D16)</f>
        <v/>
      </c>
      <c r="D2573">
        <f>IF(A2573="","",'Skill Matrix'!C166)</f>
        <v/>
      </c>
      <c r="E2573">
        <f>IF(A2573="","",'Skill Matrix'!D166)</f>
        <v/>
      </c>
      <c r="F2573">
        <f>IF(AND('Skill Matrix'!A166&lt;&gt;"",'Skill Matrix'!P5&lt;&gt;""),'Skill Matrix'!P5,"")</f>
        <v/>
      </c>
      <c r="G2573">
        <f>IF(OR(A2573="",'Skill Matrix'!P166=""),"",'Skill Matrix'!P166)</f>
        <v/>
      </c>
      <c r="H2573">
        <f>IF(A2573="","",'Employees'!F16)</f>
        <v/>
      </c>
    </row>
    <row r="2574">
      <c r="A2574">
        <f>IF(AND('Skill Matrix'!A166&lt;&gt;"",'Skill Matrix'!Q5&lt;&gt;""),'Skill Matrix'!A166,"")</f>
        <v/>
      </c>
      <c r="B2574">
        <f>IF(A2574="","",'Employees'!C16)</f>
        <v/>
      </c>
      <c r="C2574">
        <f>IF(A2574="","",'Employees'!D16)</f>
        <v/>
      </c>
      <c r="D2574">
        <f>IF(A2574="","",'Skill Matrix'!C166)</f>
        <v/>
      </c>
      <c r="E2574">
        <f>IF(A2574="","",'Skill Matrix'!D166)</f>
        <v/>
      </c>
      <c r="F2574">
        <f>IF(AND('Skill Matrix'!A166&lt;&gt;"",'Skill Matrix'!Q5&lt;&gt;""),'Skill Matrix'!Q5,"")</f>
        <v/>
      </c>
      <c r="G2574">
        <f>IF(OR(A2574="",'Skill Matrix'!Q166=""),"",'Skill Matrix'!Q166)</f>
        <v/>
      </c>
      <c r="H2574">
        <f>IF(A2574="","",'Employees'!F16)</f>
        <v/>
      </c>
    </row>
    <row r="2575">
      <c r="A2575">
        <f>IF(AND('Skill Matrix'!A166&lt;&gt;"",'Skill Matrix'!R5&lt;&gt;""),'Skill Matrix'!A166,"")</f>
        <v/>
      </c>
      <c r="B2575">
        <f>IF(A2575="","",'Employees'!C16)</f>
        <v/>
      </c>
      <c r="C2575">
        <f>IF(A2575="","",'Employees'!D16)</f>
        <v/>
      </c>
      <c r="D2575">
        <f>IF(A2575="","",'Skill Matrix'!C166)</f>
        <v/>
      </c>
      <c r="E2575">
        <f>IF(A2575="","",'Skill Matrix'!D166)</f>
        <v/>
      </c>
      <c r="F2575">
        <f>IF(AND('Skill Matrix'!A166&lt;&gt;"",'Skill Matrix'!R5&lt;&gt;""),'Skill Matrix'!R5,"")</f>
        <v/>
      </c>
      <c r="G2575">
        <f>IF(OR(A2575="",'Skill Matrix'!R166=""),"",'Skill Matrix'!R166)</f>
        <v/>
      </c>
      <c r="H2575">
        <f>IF(A2575="","",'Employees'!F16)</f>
        <v/>
      </c>
    </row>
    <row r="2576">
      <c r="A2576">
        <f>IF(AND('Skill Matrix'!A166&lt;&gt;"",'Skill Matrix'!S5&lt;&gt;""),'Skill Matrix'!A166,"")</f>
        <v/>
      </c>
      <c r="B2576">
        <f>IF(A2576="","",'Employees'!C16)</f>
        <v/>
      </c>
      <c r="C2576">
        <f>IF(A2576="","",'Employees'!D16)</f>
        <v/>
      </c>
      <c r="D2576">
        <f>IF(A2576="","",'Skill Matrix'!C166)</f>
        <v/>
      </c>
      <c r="E2576">
        <f>IF(A2576="","",'Skill Matrix'!D166)</f>
        <v/>
      </c>
      <c r="F2576">
        <f>IF(AND('Skill Matrix'!A166&lt;&gt;"",'Skill Matrix'!S5&lt;&gt;""),'Skill Matrix'!S5,"")</f>
        <v/>
      </c>
      <c r="G2576">
        <f>IF(OR(A2576="",'Skill Matrix'!S166=""),"",'Skill Matrix'!S166)</f>
        <v/>
      </c>
      <c r="H2576">
        <f>IF(A2576="","",'Employees'!F16)</f>
        <v/>
      </c>
    </row>
    <row r="2577">
      <c r="A2577">
        <f>IF(AND('Skill Matrix'!A166&lt;&gt;"",'Skill Matrix'!T5&lt;&gt;""),'Skill Matrix'!A166,"")</f>
        <v/>
      </c>
      <c r="B2577">
        <f>IF(A2577="","",'Employees'!C16)</f>
        <v/>
      </c>
      <c r="C2577">
        <f>IF(A2577="","",'Employees'!D16)</f>
        <v/>
      </c>
      <c r="D2577">
        <f>IF(A2577="","",'Skill Matrix'!C166)</f>
        <v/>
      </c>
      <c r="E2577">
        <f>IF(A2577="","",'Skill Matrix'!D166)</f>
        <v/>
      </c>
      <c r="F2577">
        <f>IF(AND('Skill Matrix'!A166&lt;&gt;"",'Skill Matrix'!T5&lt;&gt;""),'Skill Matrix'!T5,"")</f>
        <v/>
      </c>
      <c r="G2577">
        <f>IF(OR(A2577="",'Skill Matrix'!T166=""),"",'Skill Matrix'!T166)</f>
        <v/>
      </c>
      <c r="H2577">
        <f>IF(A2577="","",'Employees'!F16)</f>
        <v/>
      </c>
    </row>
    <row r="2578">
      <c r="A2578">
        <f>IF(AND('Skill Matrix'!A167&lt;&gt;"",'Skill Matrix'!E5&lt;&gt;""),'Skill Matrix'!A167,"")</f>
        <v/>
      </c>
      <c r="B2578">
        <f>IF(A2578="","",'Employees'!C16)</f>
        <v/>
      </c>
      <c r="C2578">
        <f>IF(A2578="","",'Employees'!D16)</f>
        <v/>
      </c>
      <c r="D2578">
        <f>IF(A2578="","",'Skill Matrix'!C167)</f>
        <v/>
      </c>
      <c r="E2578">
        <f>IF(A2578="","",'Skill Matrix'!D167)</f>
        <v/>
      </c>
      <c r="F2578">
        <f>IF(AND('Skill Matrix'!A167&lt;&gt;"",'Skill Matrix'!E5&lt;&gt;""),'Skill Matrix'!E5,"")</f>
        <v/>
      </c>
      <c r="G2578">
        <f>IF(OR(A2578="",'Skill Matrix'!E167=""),"",'Skill Matrix'!E167)</f>
        <v/>
      </c>
      <c r="H2578">
        <f>IF(A2578="","",'Employees'!F16)</f>
        <v/>
      </c>
    </row>
    <row r="2579">
      <c r="A2579">
        <f>IF(AND('Skill Matrix'!A167&lt;&gt;"",'Skill Matrix'!F5&lt;&gt;""),'Skill Matrix'!A167,"")</f>
        <v/>
      </c>
      <c r="B2579">
        <f>IF(A2579="","",'Employees'!C16)</f>
        <v/>
      </c>
      <c r="C2579">
        <f>IF(A2579="","",'Employees'!D16)</f>
        <v/>
      </c>
      <c r="D2579">
        <f>IF(A2579="","",'Skill Matrix'!C167)</f>
        <v/>
      </c>
      <c r="E2579">
        <f>IF(A2579="","",'Skill Matrix'!D167)</f>
        <v/>
      </c>
      <c r="F2579">
        <f>IF(AND('Skill Matrix'!A167&lt;&gt;"",'Skill Matrix'!F5&lt;&gt;""),'Skill Matrix'!F5,"")</f>
        <v/>
      </c>
      <c r="G2579">
        <f>IF(OR(A2579="",'Skill Matrix'!F167=""),"",'Skill Matrix'!F167)</f>
        <v/>
      </c>
      <c r="H2579">
        <f>IF(A2579="","",'Employees'!F16)</f>
        <v/>
      </c>
    </row>
    <row r="2580">
      <c r="A2580">
        <f>IF(AND('Skill Matrix'!A167&lt;&gt;"",'Skill Matrix'!G5&lt;&gt;""),'Skill Matrix'!A167,"")</f>
        <v/>
      </c>
      <c r="B2580">
        <f>IF(A2580="","",'Employees'!C16)</f>
        <v/>
      </c>
      <c r="C2580">
        <f>IF(A2580="","",'Employees'!D16)</f>
        <v/>
      </c>
      <c r="D2580">
        <f>IF(A2580="","",'Skill Matrix'!C167)</f>
        <v/>
      </c>
      <c r="E2580">
        <f>IF(A2580="","",'Skill Matrix'!D167)</f>
        <v/>
      </c>
      <c r="F2580">
        <f>IF(AND('Skill Matrix'!A167&lt;&gt;"",'Skill Matrix'!G5&lt;&gt;""),'Skill Matrix'!G5,"")</f>
        <v/>
      </c>
      <c r="G2580">
        <f>IF(OR(A2580="",'Skill Matrix'!G167=""),"",'Skill Matrix'!G167)</f>
        <v/>
      </c>
      <c r="H2580">
        <f>IF(A2580="","",'Employees'!F16)</f>
        <v/>
      </c>
    </row>
    <row r="2581">
      <c r="A2581">
        <f>IF(AND('Skill Matrix'!A167&lt;&gt;"",'Skill Matrix'!H5&lt;&gt;""),'Skill Matrix'!A167,"")</f>
        <v/>
      </c>
      <c r="B2581">
        <f>IF(A2581="","",'Employees'!C16)</f>
        <v/>
      </c>
      <c r="C2581">
        <f>IF(A2581="","",'Employees'!D16)</f>
        <v/>
      </c>
      <c r="D2581">
        <f>IF(A2581="","",'Skill Matrix'!C167)</f>
        <v/>
      </c>
      <c r="E2581">
        <f>IF(A2581="","",'Skill Matrix'!D167)</f>
        <v/>
      </c>
      <c r="F2581">
        <f>IF(AND('Skill Matrix'!A167&lt;&gt;"",'Skill Matrix'!H5&lt;&gt;""),'Skill Matrix'!H5,"")</f>
        <v/>
      </c>
      <c r="G2581">
        <f>IF(OR(A2581="",'Skill Matrix'!H167=""),"",'Skill Matrix'!H167)</f>
        <v/>
      </c>
      <c r="H2581">
        <f>IF(A2581="","",'Employees'!F16)</f>
        <v/>
      </c>
    </row>
    <row r="2582">
      <c r="A2582">
        <f>IF(AND('Skill Matrix'!A167&lt;&gt;"",'Skill Matrix'!I5&lt;&gt;""),'Skill Matrix'!A167,"")</f>
        <v/>
      </c>
      <c r="B2582">
        <f>IF(A2582="","",'Employees'!C16)</f>
        <v/>
      </c>
      <c r="C2582">
        <f>IF(A2582="","",'Employees'!D16)</f>
        <v/>
      </c>
      <c r="D2582">
        <f>IF(A2582="","",'Skill Matrix'!C167)</f>
        <v/>
      </c>
      <c r="E2582">
        <f>IF(A2582="","",'Skill Matrix'!D167)</f>
        <v/>
      </c>
      <c r="F2582">
        <f>IF(AND('Skill Matrix'!A167&lt;&gt;"",'Skill Matrix'!I5&lt;&gt;""),'Skill Matrix'!I5,"")</f>
        <v/>
      </c>
      <c r="G2582">
        <f>IF(OR(A2582="",'Skill Matrix'!I167=""),"",'Skill Matrix'!I167)</f>
        <v/>
      </c>
      <c r="H2582">
        <f>IF(A2582="","",'Employees'!F16)</f>
        <v/>
      </c>
    </row>
    <row r="2583">
      <c r="A2583">
        <f>IF(AND('Skill Matrix'!A167&lt;&gt;"",'Skill Matrix'!J5&lt;&gt;""),'Skill Matrix'!A167,"")</f>
        <v/>
      </c>
      <c r="B2583">
        <f>IF(A2583="","",'Employees'!C16)</f>
        <v/>
      </c>
      <c r="C2583">
        <f>IF(A2583="","",'Employees'!D16)</f>
        <v/>
      </c>
      <c r="D2583">
        <f>IF(A2583="","",'Skill Matrix'!C167)</f>
        <v/>
      </c>
      <c r="E2583">
        <f>IF(A2583="","",'Skill Matrix'!D167)</f>
        <v/>
      </c>
      <c r="F2583">
        <f>IF(AND('Skill Matrix'!A167&lt;&gt;"",'Skill Matrix'!J5&lt;&gt;""),'Skill Matrix'!J5,"")</f>
        <v/>
      </c>
      <c r="G2583">
        <f>IF(OR(A2583="",'Skill Matrix'!J167=""),"",'Skill Matrix'!J167)</f>
        <v/>
      </c>
      <c r="H2583">
        <f>IF(A2583="","",'Employees'!F16)</f>
        <v/>
      </c>
    </row>
    <row r="2584">
      <c r="A2584">
        <f>IF(AND('Skill Matrix'!A167&lt;&gt;"",'Skill Matrix'!K5&lt;&gt;""),'Skill Matrix'!A167,"")</f>
        <v/>
      </c>
      <c r="B2584">
        <f>IF(A2584="","",'Employees'!C16)</f>
        <v/>
      </c>
      <c r="C2584">
        <f>IF(A2584="","",'Employees'!D16)</f>
        <v/>
      </c>
      <c r="D2584">
        <f>IF(A2584="","",'Skill Matrix'!C167)</f>
        <v/>
      </c>
      <c r="E2584">
        <f>IF(A2584="","",'Skill Matrix'!D167)</f>
        <v/>
      </c>
      <c r="F2584">
        <f>IF(AND('Skill Matrix'!A167&lt;&gt;"",'Skill Matrix'!K5&lt;&gt;""),'Skill Matrix'!K5,"")</f>
        <v/>
      </c>
      <c r="G2584">
        <f>IF(OR(A2584="",'Skill Matrix'!K167=""),"",'Skill Matrix'!K167)</f>
        <v/>
      </c>
      <c r="H2584">
        <f>IF(A2584="","",'Employees'!F16)</f>
        <v/>
      </c>
    </row>
    <row r="2585">
      <c r="A2585">
        <f>IF(AND('Skill Matrix'!A167&lt;&gt;"",'Skill Matrix'!L5&lt;&gt;""),'Skill Matrix'!A167,"")</f>
        <v/>
      </c>
      <c r="B2585">
        <f>IF(A2585="","",'Employees'!C16)</f>
        <v/>
      </c>
      <c r="C2585">
        <f>IF(A2585="","",'Employees'!D16)</f>
        <v/>
      </c>
      <c r="D2585">
        <f>IF(A2585="","",'Skill Matrix'!C167)</f>
        <v/>
      </c>
      <c r="E2585">
        <f>IF(A2585="","",'Skill Matrix'!D167)</f>
        <v/>
      </c>
      <c r="F2585">
        <f>IF(AND('Skill Matrix'!A167&lt;&gt;"",'Skill Matrix'!L5&lt;&gt;""),'Skill Matrix'!L5,"")</f>
        <v/>
      </c>
      <c r="G2585">
        <f>IF(OR(A2585="",'Skill Matrix'!L167=""),"",'Skill Matrix'!L167)</f>
        <v/>
      </c>
      <c r="H2585">
        <f>IF(A2585="","",'Employees'!F16)</f>
        <v/>
      </c>
    </row>
    <row r="2586">
      <c r="A2586">
        <f>IF(AND('Skill Matrix'!A167&lt;&gt;"",'Skill Matrix'!M5&lt;&gt;""),'Skill Matrix'!A167,"")</f>
        <v/>
      </c>
      <c r="B2586">
        <f>IF(A2586="","",'Employees'!C16)</f>
        <v/>
      </c>
      <c r="C2586">
        <f>IF(A2586="","",'Employees'!D16)</f>
        <v/>
      </c>
      <c r="D2586">
        <f>IF(A2586="","",'Skill Matrix'!C167)</f>
        <v/>
      </c>
      <c r="E2586">
        <f>IF(A2586="","",'Skill Matrix'!D167)</f>
        <v/>
      </c>
      <c r="F2586">
        <f>IF(AND('Skill Matrix'!A167&lt;&gt;"",'Skill Matrix'!M5&lt;&gt;""),'Skill Matrix'!M5,"")</f>
        <v/>
      </c>
      <c r="G2586">
        <f>IF(OR(A2586="",'Skill Matrix'!M167=""),"",'Skill Matrix'!M167)</f>
        <v/>
      </c>
      <c r="H2586">
        <f>IF(A2586="","",'Employees'!F16)</f>
        <v/>
      </c>
    </row>
    <row r="2587">
      <c r="A2587">
        <f>IF(AND('Skill Matrix'!A167&lt;&gt;"",'Skill Matrix'!N5&lt;&gt;""),'Skill Matrix'!A167,"")</f>
        <v/>
      </c>
      <c r="B2587">
        <f>IF(A2587="","",'Employees'!C16)</f>
        <v/>
      </c>
      <c r="C2587">
        <f>IF(A2587="","",'Employees'!D16)</f>
        <v/>
      </c>
      <c r="D2587">
        <f>IF(A2587="","",'Skill Matrix'!C167)</f>
        <v/>
      </c>
      <c r="E2587">
        <f>IF(A2587="","",'Skill Matrix'!D167)</f>
        <v/>
      </c>
      <c r="F2587">
        <f>IF(AND('Skill Matrix'!A167&lt;&gt;"",'Skill Matrix'!N5&lt;&gt;""),'Skill Matrix'!N5,"")</f>
        <v/>
      </c>
      <c r="G2587">
        <f>IF(OR(A2587="",'Skill Matrix'!N167=""),"",'Skill Matrix'!N167)</f>
        <v/>
      </c>
      <c r="H2587">
        <f>IF(A2587="","",'Employees'!F16)</f>
        <v/>
      </c>
    </row>
    <row r="2588">
      <c r="A2588">
        <f>IF(AND('Skill Matrix'!A167&lt;&gt;"",'Skill Matrix'!O5&lt;&gt;""),'Skill Matrix'!A167,"")</f>
        <v/>
      </c>
      <c r="B2588">
        <f>IF(A2588="","",'Employees'!C16)</f>
        <v/>
      </c>
      <c r="C2588">
        <f>IF(A2588="","",'Employees'!D16)</f>
        <v/>
      </c>
      <c r="D2588">
        <f>IF(A2588="","",'Skill Matrix'!C167)</f>
        <v/>
      </c>
      <c r="E2588">
        <f>IF(A2588="","",'Skill Matrix'!D167)</f>
        <v/>
      </c>
      <c r="F2588">
        <f>IF(AND('Skill Matrix'!A167&lt;&gt;"",'Skill Matrix'!O5&lt;&gt;""),'Skill Matrix'!O5,"")</f>
        <v/>
      </c>
      <c r="G2588">
        <f>IF(OR(A2588="",'Skill Matrix'!O167=""),"",'Skill Matrix'!O167)</f>
        <v/>
      </c>
      <c r="H2588">
        <f>IF(A2588="","",'Employees'!F16)</f>
        <v/>
      </c>
    </row>
    <row r="2589">
      <c r="A2589">
        <f>IF(AND('Skill Matrix'!A167&lt;&gt;"",'Skill Matrix'!P5&lt;&gt;""),'Skill Matrix'!A167,"")</f>
        <v/>
      </c>
      <c r="B2589">
        <f>IF(A2589="","",'Employees'!C16)</f>
        <v/>
      </c>
      <c r="C2589">
        <f>IF(A2589="","",'Employees'!D16)</f>
        <v/>
      </c>
      <c r="D2589">
        <f>IF(A2589="","",'Skill Matrix'!C167)</f>
        <v/>
      </c>
      <c r="E2589">
        <f>IF(A2589="","",'Skill Matrix'!D167)</f>
        <v/>
      </c>
      <c r="F2589">
        <f>IF(AND('Skill Matrix'!A167&lt;&gt;"",'Skill Matrix'!P5&lt;&gt;""),'Skill Matrix'!P5,"")</f>
        <v/>
      </c>
      <c r="G2589">
        <f>IF(OR(A2589="",'Skill Matrix'!P167=""),"",'Skill Matrix'!P167)</f>
        <v/>
      </c>
      <c r="H2589">
        <f>IF(A2589="","",'Employees'!F16)</f>
        <v/>
      </c>
    </row>
    <row r="2590">
      <c r="A2590">
        <f>IF(AND('Skill Matrix'!A167&lt;&gt;"",'Skill Matrix'!Q5&lt;&gt;""),'Skill Matrix'!A167,"")</f>
        <v/>
      </c>
      <c r="B2590">
        <f>IF(A2590="","",'Employees'!C16)</f>
        <v/>
      </c>
      <c r="C2590">
        <f>IF(A2590="","",'Employees'!D16)</f>
        <v/>
      </c>
      <c r="D2590">
        <f>IF(A2590="","",'Skill Matrix'!C167)</f>
        <v/>
      </c>
      <c r="E2590">
        <f>IF(A2590="","",'Skill Matrix'!D167)</f>
        <v/>
      </c>
      <c r="F2590">
        <f>IF(AND('Skill Matrix'!A167&lt;&gt;"",'Skill Matrix'!Q5&lt;&gt;""),'Skill Matrix'!Q5,"")</f>
        <v/>
      </c>
      <c r="G2590">
        <f>IF(OR(A2590="",'Skill Matrix'!Q167=""),"",'Skill Matrix'!Q167)</f>
        <v/>
      </c>
      <c r="H2590">
        <f>IF(A2590="","",'Employees'!F16)</f>
        <v/>
      </c>
    </row>
    <row r="2591">
      <c r="A2591">
        <f>IF(AND('Skill Matrix'!A167&lt;&gt;"",'Skill Matrix'!R5&lt;&gt;""),'Skill Matrix'!A167,"")</f>
        <v/>
      </c>
      <c r="B2591">
        <f>IF(A2591="","",'Employees'!C16)</f>
        <v/>
      </c>
      <c r="C2591">
        <f>IF(A2591="","",'Employees'!D16)</f>
        <v/>
      </c>
      <c r="D2591">
        <f>IF(A2591="","",'Skill Matrix'!C167)</f>
        <v/>
      </c>
      <c r="E2591">
        <f>IF(A2591="","",'Skill Matrix'!D167)</f>
        <v/>
      </c>
      <c r="F2591">
        <f>IF(AND('Skill Matrix'!A167&lt;&gt;"",'Skill Matrix'!R5&lt;&gt;""),'Skill Matrix'!R5,"")</f>
        <v/>
      </c>
      <c r="G2591">
        <f>IF(OR(A2591="",'Skill Matrix'!R167=""),"",'Skill Matrix'!R167)</f>
        <v/>
      </c>
      <c r="H2591">
        <f>IF(A2591="","",'Employees'!F16)</f>
        <v/>
      </c>
    </row>
    <row r="2592">
      <c r="A2592">
        <f>IF(AND('Skill Matrix'!A167&lt;&gt;"",'Skill Matrix'!S5&lt;&gt;""),'Skill Matrix'!A167,"")</f>
        <v/>
      </c>
      <c r="B2592">
        <f>IF(A2592="","",'Employees'!C16)</f>
        <v/>
      </c>
      <c r="C2592">
        <f>IF(A2592="","",'Employees'!D16)</f>
        <v/>
      </c>
      <c r="D2592">
        <f>IF(A2592="","",'Skill Matrix'!C167)</f>
        <v/>
      </c>
      <c r="E2592">
        <f>IF(A2592="","",'Skill Matrix'!D167)</f>
        <v/>
      </c>
      <c r="F2592">
        <f>IF(AND('Skill Matrix'!A167&lt;&gt;"",'Skill Matrix'!S5&lt;&gt;""),'Skill Matrix'!S5,"")</f>
        <v/>
      </c>
      <c r="G2592">
        <f>IF(OR(A2592="",'Skill Matrix'!S167=""),"",'Skill Matrix'!S167)</f>
        <v/>
      </c>
      <c r="H2592">
        <f>IF(A2592="","",'Employees'!F16)</f>
        <v/>
      </c>
    </row>
    <row r="2593">
      <c r="A2593">
        <f>IF(AND('Skill Matrix'!A167&lt;&gt;"",'Skill Matrix'!T5&lt;&gt;""),'Skill Matrix'!A167,"")</f>
        <v/>
      </c>
      <c r="B2593">
        <f>IF(A2593="","",'Employees'!C16)</f>
        <v/>
      </c>
      <c r="C2593">
        <f>IF(A2593="","",'Employees'!D16)</f>
        <v/>
      </c>
      <c r="D2593">
        <f>IF(A2593="","",'Skill Matrix'!C167)</f>
        <v/>
      </c>
      <c r="E2593">
        <f>IF(A2593="","",'Skill Matrix'!D167)</f>
        <v/>
      </c>
      <c r="F2593">
        <f>IF(AND('Skill Matrix'!A167&lt;&gt;"",'Skill Matrix'!T5&lt;&gt;""),'Skill Matrix'!T5,"")</f>
        <v/>
      </c>
      <c r="G2593">
        <f>IF(OR(A2593="",'Skill Matrix'!T167=""),"",'Skill Matrix'!T167)</f>
        <v/>
      </c>
      <c r="H2593">
        <f>IF(A2593="","",'Employees'!F16)</f>
        <v/>
      </c>
    </row>
    <row r="2594">
      <c r="A2594">
        <f>IF(AND('Skill Matrix'!A168&lt;&gt;"",'Skill Matrix'!E5&lt;&gt;""),'Skill Matrix'!A168,"")</f>
        <v/>
      </c>
      <c r="B2594">
        <f>IF(A2594="","",'Employees'!C16)</f>
        <v/>
      </c>
      <c r="C2594">
        <f>IF(A2594="","",'Employees'!D16)</f>
        <v/>
      </c>
      <c r="D2594">
        <f>IF(A2594="","",'Skill Matrix'!C168)</f>
        <v/>
      </c>
      <c r="E2594">
        <f>IF(A2594="","",'Skill Matrix'!D168)</f>
        <v/>
      </c>
      <c r="F2594">
        <f>IF(AND('Skill Matrix'!A168&lt;&gt;"",'Skill Matrix'!E5&lt;&gt;""),'Skill Matrix'!E5,"")</f>
        <v/>
      </c>
      <c r="G2594">
        <f>IF(OR(A2594="",'Skill Matrix'!E168=""),"",'Skill Matrix'!E168)</f>
        <v/>
      </c>
      <c r="H2594">
        <f>IF(A2594="","",'Employees'!F16)</f>
        <v/>
      </c>
    </row>
    <row r="2595">
      <c r="A2595">
        <f>IF(AND('Skill Matrix'!A168&lt;&gt;"",'Skill Matrix'!F5&lt;&gt;""),'Skill Matrix'!A168,"")</f>
        <v/>
      </c>
      <c r="B2595">
        <f>IF(A2595="","",'Employees'!C16)</f>
        <v/>
      </c>
      <c r="C2595">
        <f>IF(A2595="","",'Employees'!D16)</f>
        <v/>
      </c>
      <c r="D2595">
        <f>IF(A2595="","",'Skill Matrix'!C168)</f>
        <v/>
      </c>
      <c r="E2595">
        <f>IF(A2595="","",'Skill Matrix'!D168)</f>
        <v/>
      </c>
      <c r="F2595">
        <f>IF(AND('Skill Matrix'!A168&lt;&gt;"",'Skill Matrix'!F5&lt;&gt;""),'Skill Matrix'!F5,"")</f>
        <v/>
      </c>
      <c r="G2595">
        <f>IF(OR(A2595="",'Skill Matrix'!F168=""),"",'Skill Matrix'!F168)</f>
        <v/>
      </c>
      <c r="H2595">
        <f>IF(A2595="","",'Employees'!F16)</f>
        <v/>
      </c>
    </row>
    <row r="2596">
      <c r="A2596">
        <f>IF(AND('Skill Matrix'!A168&lt;&gt;"",'Skill Matrix'!G5&lt;&gt;""),'Skill Matrix'!A168,"")</f>
        <v/>
      </c>
      <c r="B2596">
        <f>IF(A2596="","",'Employees'!C16)</f>
        <v/>
      </c>
      <c r="C2596">
        <f>IF(A2596="","",'Employees'!D16)</f>
        <v/>
      </c>
      <c r="D2596">
        <f>IF(A2596="","",'Skill Matrix'!C168)</f>
        <v/>
      </c>
      <c r="E2596">
        <f>IF(A2596="","",'Skill Matrix'!D168)</f>
        <v/>
      </c>
      <c r="F2596">
        <f>IF(AND('Skill Matrix'!A168&lt;&gt;"",'Skill Matrix'!G5&lt;&gt;""),'Skill Matrix'!G5,"")</f>
        <v/>
      </c>
      <c r="G2596">
        <f>IF(OR(A2596="",'Skill Matrix'!G168=""),"",'Skill Matrix'!G168)</f>
        <v/>
      </c>
      <c r="H2596">
        <f>IF(A2596="","",'Employees'!F16)</f>
        <v/>
      </c>
    </row>
    <row r="2597">
      <c r="A2597">
        <f>IF(AND('Skill Matrix'!A168&lt;&gt;"",'Skill Matrix'!H5&lt;&gt;""),'Skill Matrix'!A168,"")</f>
        <v/>
      </c>
      <c r="B2597">
        <f>IF(A2597="","",'Employees'!C16)</f>
        <v/>
      </c>
      <c r="C2597">
        <f>IF(A2597="","",'Employees'!D16)</f>
        <v/>
      </c>
      <c r="D2597">
        <f>IF(A2597="","",'Skill Matrix'!C168)</f>
        <v/>
      </c>
      <c r="E2597">
        <f>IF(A2597="","",'Skill Matrix'!D168)</f>
        <v/>
      </c>
      <c r="F2597">
        <f>IF(AND('Skill Matrix'!A168&lt;&gt;"",'Skill Matrix'!H5&lt;&gt;""),'Skill Matrix'!H5,"")</f>
        <v/>
      </c>
      <c r="G2597">
        <f>IF(OR(A2597="",'Skill Matrix'!H168=""),"",'Skill Matrix'!H168)</f>
        <v/>
      </c>
      <c r="H2597">
        <f>IF(A2597="","",'Employees'!F16)</f>
        <v/>
      </c>
    </row>
    <row r="2598">
      <c r="A2598">
        <f>IF(AND('Skill Matrix'!A168&lt;&gt;"",'Skill Matrix'!I5&lt;&gt;""),'Skill Matrix'!A168,"")</f>
        <v/>
      </c>
      <c r="B2598">
        <f>IF(A2598="","",'Employees'!C16)</f>
        <v/>
      </c>
      <c r="C2598">
        <f>IF(A2598="","",'Employees'!D16)</f>
        <v/>
      </c>
      <c r="D2598">
        <f>IF(A2598="","",'Skill Matrix'!C168)</f>
        <v/>
      </c>
      <c r="E2598">
        <f>IF(A2598="","",'Skill Matrix'!D168)</f>
        <v/>
      </c>
      <c r="F2598">
        <f>IF(AND('Skill Matrix'!A168&lt;&gt;"",'Skill Matrix'!I5&lt;&gt;""),'Skill Matrix'!I5,"")</f>
        <v/>
      </c>
      <c r="G2598">
        <f>IF(OR(A2598="",'Skill Matrix'!I168=""),"",'Skill Matrix'!I168)</f>
        <v/>
      </c>
      <c r="H2598">
        <f>IF(A2598="","",'Employees'!F16)</f>
        <v/>
      </c>
    </row>
    <row r="2599">
      <c r="A2599">
        <f>IF(AND('Skill Matrix'!A168&lt;&gt;"",'Skill Matrix'!J5&lt;&gt;""),'Skill Matrix'!A168,"")</f>
        <v/>
      </c>
      <c r="B2599">
        <f>IF(A2599="","",'Employees'!C16)</f>
        <v/>
      </c>
      <c r="C2599">
        <f>IF(A2599="","",'Employees'!D16)</f>
        <v/>
      </c>
      <c r="D2599">
        <f>IF(A2599="","",'Skill Matrix'!C168)</f>
        <v/>
      </c>
      <c r="E2599">
        <f>IF(A2599="","",'Skill Matrix'!D168)</f>
        <v/>
      </c>
      <c r="F2599">
        <f>IF(AND('Skill Matrix'!A168&lt;&gt;"",'Skill Matrix'!J5&lt;&gt;""),'Skill Matrix'!J5,"")</f>
        <v/>
      </c>
      <c r="G2599">
        <f>IF(OR(A2599="",'Skill Matrix'!J168=""),"",'Skill Matrix'!J168)</f>
        <v/>
      </c>
      <c r="H2599">
        <f>IF(A2599="","",'Employees'!F16)</f>
        <v/>
      </c>
    </row>
    <row r="2600">
      <c r="A2600">
        <f>IF(AND('Skill Matrix'!A168&lt;&gt;"",'Skill Matrix'!K5&lt;&gt;""),'Skill Matrix'!A168,"")</f>
        <v/>
      </c>
      <c r="B2600">
        <f>IF(A2600="","",'Employees'!C16)</f>
        <v/>
      </c>
      <c r="C2600">
        <f>IF(A2600="","",'Employees'!D16)</f>
        <v/>
      </c>
      <c r="D2600">
        <f>IF(A2600="","",'Skill Matrix'!C168)</f>
        <v/>
      </c>
      <c r="E2600">
        <f>IF(A2600="","",'Skill Matrix'!D168)</f>
        <v/>
      </c>
      <c r="F2600">
        <f>IF(AND('Skill Matrix'!A168&lt;&gt;"",'Skill Matrix'!K5&lt;&gt;""),'Skill Matrix'!K5,"")</f>
        <v/>
      </c>
      <c r="G2600">
        <f>IF(OR(A2600="",'Skill Matrix'!K168=""),"",'Skill Matrix'!K168)</f>
        <v/>
      </c>
      <c r="H2600">
        <f>IF(A2600="","",'Employees'!F16)</f>
        <v/>
      </c>
    </row>
    <row r="2601">
      <c r="A2601">
        <f>IF(AND('Skill Matrix'!A168&lt;&gt;"",'Skill Matrix'!L5&lt;&gt;""),'Skill Matrix'!A168,"")</f>
        <v/>
      </c>
      <c r="B2601">
        <f>IF(A2601="","",'Employees'!C16)</f>
        <v/>
      </c>
      <c r="C2601">
        <f>IF(A2601="","",'Employees'!D16)</f>
        <v/>
      </c>
      <c r="D2601">
        <f>IF(A2601="","",'Skill Matrix'!C168)</f>
        <v/>
      </c>
      <c r="E2601">
        <f>IF(A2601="","",'Skill Matrix'!D168)</f>
        <v/>
      </c>
      <c r="F2601">
        <f>IF(AND('Skill Matrix'!A168&lt;&gt;"",'Skill Matrix'!L5&lt;&gt;""),'Skill Matrix'!L5,"")</f>
        <v/>
      </c>
      <c r="G2601">
        <f>IF(OR(A2601="",'Skill Matrix'!L168=""),"",'Skill Matrix'!L168)</f>
        <v/>
      </c>
      <c r="H2601">
        <f>IF(A2601="","",'Employees'!F16)</f>
        <v/>
      </c>
    </row>
    <row r="2602">
      <c r="A2602">
        <f>IF(AND('Skill Matrix'!A168&lt;&gt;"",'Skill Matrix'!M5&lt;&gt;""),'Skill Matrix'!A168,"")</f>
        <v/>
      </c>
      <c r="B2602">
        <f>IF(A2602="","",'Employees'!C16)</f>
        <v/>
      </c>
      <c r="C2602">
        <f>IF(A2602="","",'Employees'!D16)</f>
        <v/>
      </c>
      <c r="D2602">
        <f>IF(A2602="","",'Skill Matrix'!C168)</f>
        <v/>
      </c>
      <c r="E2602">
        <f>IF(A2602="","",'Skill Matrix'!D168)</f>
        <v/>
      </c>
      <c r="F2602">
        <f>IF(AND('Skill Matrix'!A168&lt;&gt;"",'Skill Matrix'!M5&lt;&gt;""),'Skill Matrix'!M5,"")</f>
        <v/>
      </c>
      <c r="G2602">
        <f>IF(OR(A2602="",'Skill Matrix'!M168=""),"",'Skill Matrix'!M168)</f>
        <v/>
      </c>
      <c r="H2602">
        <f>IF(A2602="","",'Employees'!F16)</f>
        <v/>
      </c>
    </row>
    <row r="2603">
      <c r="A2603">
        <f>IF(AND('Skill Matrix'!A168&lt;&gt;"",'Skill Matrix'!N5&lt;&gt;""),'Skill Matrix'!A168,"")</f>
        <v/>
      </c>
      <c r="B2603">
        <f>IF(A2603="","",'Employees'!C16)</f>
        <v/>
      </c>
      <c r="C2603">
        <f>IF(A2603="","",'Employees'!D16)</f>
        <v/>
      </c>
      <c r="D2603">
        <f>IF(A2603="","",'Skill Matrix'!C168)</f>
        <v/>
      </c>
      <c r="E2603">
        <f>IF(A2603="","",'Skill Matrix'!D168)</f>
        <v/>
      </c>
      <c r="F2603">
        <f>IF(AND('Skill Matrix'!A168&lt;&gt;"",'Skill Matrix'!N5&lt;&gt;""),'Skill Matrix'!N5,"")</f>
        <v/>
      </c>
      <c r="G2603">
        <f>IF(OR(A2603="",'Skill Matrix'!N168=""),"",'Skill Matrix'!N168)</f>
        <v/>
      </c>
      <c r="H2603">
        <f>IF(A2603="","",'Employees'!F16)</f>
        <v/>
      </c>
    </row>
    <row r="2604">
      <c r="A2604">
        <f>IF(AND('Skill Matrix'!A168&lt;&gt;"",'Skill Matrix'!O5&lt;&gt;""),'Skill Matrix'!A168,"")</f>
        <v/>
      </c>
      <c r="B2604">
        <f>IF(A2604="","",'Employees'!C16)</f>
        <v/>
      </c>
      <c r="C2604">
        <f>IF(A2604="","",'Employees'!D16)</f>
        <v/>
      </c>
      <c r="D2604">
        <f>IF(A2604="","",'Skill Matrix'!C168)</f>
        <v/>
      </c>
      <c r="E2604">
        <f>IF(A2604="","",'Skill Matrix'!D168)</f>
        <v/>
      </c>
      <c r="F2604">
        <f>IF(AND('Skill Matrix'!A168&lt;&gt;"",'Skill Matrix'!O5&lt;&gt;""),'Skill Matrix'!O5,"")</f>
        <v/>
      </c>
      <c r="G2604">
        <f>IF(OR(A2604="",'Skill Matrix'!O168=""),"",'Skill Matrix'!O168)</f>
        <v/>
      </c>
      <c r="H2604">
        <f>IF(A2604="","",'Employees'!F16)</f>
        <v/>
      </c>
    </row>
    <row r="2605">
      <c r="A2605">
        <f>IF(AND('Skill Matrix'!A168&lt;&gt;"",'Skill Matrix'!P5&lt;&gt;""),'Skill Matrix'!A168,"")</f>
        <v/>
      </c>
      <c r="B2605">
        <f>IF(A2605="","",'Employees'!C16)</f>
        <v/>
      </c>
      <c r="C2605">
        <f>IF(A2605="","",'Employees'!D16)</f>
        <v/>
      </c>
      <c r="D2605">
        <f>IF(A2605="","",'Skill Matrix'!C168)</f>
        <v/>
      </c>
      <c r="E2605">
        <f>IF(A2605="","",'Skill Matrix'!D168)</f>
        <v/>
      </c>
      <c r="F2605">
        <f>IF(AND('Skill Matrix'!A168&lt;&gt;"",'Skill Matrix'!P5&lt;&gt;""),'Skill Matrix'!P5,"")</f>
        <v/>
      </c>
      <c r="G2605">
        <f>IF(OR(A2605="",'Skill Matrix'!P168=""),"",'Skill Matrix'!P168)</f>
        <v/>
      </c>
      <c r="H2605">
        <f>IF(A2605="","",'Employees'!F16)</f>
        <v/>
      </c>
    </row>
    <row r="2606">
      <c r="A2606">
        <f>IF(AND('Skill Matrix'!A168&lt;&gt;"",'Skill Matrix'!Q5&lt;&gt;""),'Skill Matrix'!A168,"")</f>
        <v/>
      </c>
      <c r="B2606">
        <f>IF(A2606="","",'Employees'!C16)</f>
        <v/>
      </c>
      <c r="C2606">
        <f>IF(A2606="","",'Employees'!D16)</f>
        <v/>
      </c>
      <c r="D2606">
        <f>IF(A2606="","",'Skill Matrix'!C168)</f>
        <v/>
      </c>
      <c r="E2606">
        <f>IF(A2606="","",'Skill Matrix'!D168)</f>
        <v/>
      </c>
      <c r="F2606">
        <f>IF(AND('Skill Matrix'!A168&lt;&gt;"",'Skill Matrix'!Q5&lt;&gt;""),'Skill Matrix'!Q5,"")</f>
        <v/>
      </c>
      <c r="G2606">
        <f>IF(OR(A2606="",'Skill Matrix'!Q168=""),"",'Skill Matrix'!Q168)</f>
        <v/>
      </c>
      <c r="H2606">
        <f>IF(A2606="","",'Employees'!F16)</f>
        <v/>
      </c>
    </row>
    <row r="2607">
      <c r="A2607">
        <f>IF(AND('Skill Matrix'!A168&lt;&gt;"",'Skill Matrix'!R5&lt;&gt;""),'Skill Matrix'!A168,"")</f>
        <v/>
      </c>
      <c r="B2607">
        <f>IF(A2607="","",'Employees'!C16)</f>
        <v/>
      </c>
      <c r="C2607">
        <f>IF(A2607="","",'Employees'!D16)</f>
        <v/>
      </c>
      <c r="D2607">
        <f>IF(A2607="","",'Skill Matrix'!C168)</f>
        <v/>
      </c>
      <c r="E2607">
        <f>IF(A2607="","",'Skill Matrix'!D168)</f>
        <v/>
      </c>
      <c r="F2607">
        <f>IF(AND('Skill Matrix'!A168&lt;&gt;"",'Skill Matrix'!R5&lt;&gt;""),'Skill Matrix'!R5,"")</f>
        <v/>
      </c>
      <c r="G2607">
        <f>IF(OR(A2607="",'Skill Matrix'!R168=""),"",'Skill Matrix'!R168)</f>
        <v/>
      </c>
      <c r="H2607">
        <f>IF(A2607="","",'Employees'!F16)</f>
        <v/>
      </c>
    </row>
    <row r="2608">
      <c r="A2608">
        <f>IF(AND('Skill Matrix'!A168&lt;&gt;"",'Skill Matrix'!S5&lt;&gt;""),'Skill Matrix'!A168,"")</f>
        <v/>
      </c>
      <c r="B2608">
        <f>IF(A2608="","",'Employees'!C16)</f>
        <v/>
      </c>
      <c r="C2608">
        <f>IF(A2608="","",'Employees'!D16)</f>
        <v/>
      </c>
      <c r="D2608">
        <f>IF(A2608="","",'Skill Matrix'!C168)</f>
        <v/>
      </c>
      <c r="E2608">
        <f>IF(A2608="","",'Skill Matrix'!D168)</f>
        <v/>
      </c>
      <c r="F2608">
        <f>IF(AND('Skill Matrix'!A168&lt;&gt;"",'Skill Matrix'!S5&lt;&gt;""),'Skill Matrix'!S5,"")</f>
        <v/>
      </c>
      <c r="G2608">
        <f>IF(OR(A2608="",'Skill Matrix'!S168=""),"",'Skill Matrix'!S168)</f>
        <v/>
      </c>
      <c r="H2608">
        <f>IF(A2608="","",'Employees'!F16)</f>
        <v/>
      </c>
    </row>
    <row r="2609">
      <c r="A2609">
        <f>IF(AND('Skill Matrix'!A168&lt;&gt;"",'Skill Matrix'!T5&lt;&gt;""),'Skill Matrix'!A168,"")</f>
        <v/>
      </c>
      <c r="B2609">
        <f>IF(A2609="","",'Employees'!C16)</f>
        <v/>
      </c>
      <c r="C2609">
        <f>IF(A2609="","",'Employees'!D16)</f>
        <v/>
      </c>
      <c r="D2609">
        <f>IF(A2609="","",'Skill Matrix'!C168)</f>
        <v/>
      </c>
      <c r="E2609">
        <f>IF(A2609="","",'Skill Matrix'!D168)</f>
        <v/>
      </c>
      <c r="F2609">
        <f>IF(AND('Skill Matrix'!A168&lt;&gt;"",'Skill Matrix'!T5&lt;&gt;""),'Skill Matrix'!T5,"")</f>
        <v/>
      </c>
      <c r="G2609">
        <f>IF(OR(A2609="",'Skill Matrix'!T168=""),"",'Skill Matrix'!T168)</f>
        <v/>
      </c>
      <c r="H2609">
        <f>IF(A2609="","",'Employees'!F16)</f>
        <v/>
      </c>
    </row>
    <row r="2610">
      <c r="A2610">
        <f>IF(AND('Skill Matrix'!A169&lt;&gt;"",'Skill Matrix'!E5&lt;&gt;""),'Skill Matrix'!A169,"")</f>
        <v/>
      </c>
      <c r="B2610">
        <f>IF(A2610="","",'Employees'!C16)</f>
        <v/>
      </c>
      <c r="C2610">
        <f>IF(A2610="","",'Employees'!D16)</f>
        <v/>
      </c>
      <c r="D2610">
        <f>IF(A2610="","",'Skill Matrix'!C169)</f>
        <v/>
      </c>
      <c r="E2610">
        <f>IF(A2610="","",'Skill Matrix'!D169)</f>
        <v/>
      </c>
      <c r="F2610">
        <f>IF(AND('Skill Matrix'!A169&lt;&gt;"",'Skill Matrix'!E5&lt;&gt;""),'Skill Matrix'!E5,"")</f>
        <v/>
      </c>
      <c r="G2610">
        <f>IF(OR(A2610="",'Skill Matrix'!E169=""),"",'Skill Matrix'!E169)</f>
        <v/>
      </c>
      <c r="H2610">
        <f>IF(A2610="","",'Employees'!F16)</f>
        <v/>
      </c>
    </row>
    <row r="2611">
      <c r="A2611">
        <f>IF(AND('Skill Matrix'!A169&lt;&gt;"",'Skill Matrix'!F5&lt;&gt;""),'Skill Matrix'!A169,"")</f>
        <v/>
      </c>
      <c r="B2611">
        <f>IF(A2611="","",'Employees'!C16)</f>
        <v/>
      </c>
      <c r="C2611">
        <f>IF(A2611="","",'Employees'!D16)</f>
        <v/>
      </c>
      <c r="D2611">
        <f>IF(A2611="","",'Skill Matrix'!C169)</f>
        <v/>
      </c>
      <c r="E2611">
        <f>IF(A2611="","",'Skill Matrix'!D169)</f>
        <v/>
      </c>
      <c r="F2611">
        <f>IF(AND('Skill Matrix'!A169&lt;&gt;"",'Skill Matrix'!F5&lt;&gt;""),'Skill Matrix'!F5,"")</f>
        <v/>
      </c>
      <c r="G2611">
        <f>IF(OR(A2611="",'Skill Matrix'!F169=""),"",'Skill Matrix'!F169)</f>
        <v/>
      </c>
      <c r="H2611">
        <f>IF(A2611="","",'Employees'!F16)</f>
        <v/>
      </c>
    </row>
    <row r="2612">
      <c r="A2612">
        <f>IF(AND('Skill Matrix'!A169&lt;&gt;"",'Skill Matrix'!G5&lt;&gt;""),'Skill Matrix'!A169,"")</f>
        <v/>
      </c>
      <c r="B2612">
        <f>IF(A2612="","",'Employees'!C16)</f>
        <v/>
      </c>
      <c r="C2612">
        <f>IF(A2612="","",'Employees'!D16)</f>
        <v/>
      </c>
      <c r="D2612">
        <f>IF(A2612="","",'Skill Matrix'!C169)</f>
        <v/>
      </c>
      <c r="E2612">
        <f>IF(A2612="","",'Skill Matrix'!D169)</f>
        <v/>
      </c>
      <c r="F2612">
        <f>IF(AND('Skill Matrix'!A169&lt;&gt;"",'Skill Matrix'!G5&lt;&gt;""),'Skill Matrix'!G5,"")</f>
        <v/>
      </c>
      <c r="G2612">
        <f>IF(OR(A2612="",'Skill Matrix'!G169=""),"",'Skill Matrix'!G169)</f>
        <v/>
      </c>
      <c r="H2612">
        <f>IF(A2612="","",'Employees'!F16)</f>
        <v/>
      </c>
    </row>
    <row r="2613">
      <c r="A2613">
        <f>IF(AND('Skill Matrix'!A169&lt;&gt;"",'Skill Matrix'!H5&lt;&gt;""),'Skill Matrix'!A169,"")</f>
        <v/>
      </c>
      <c r="B2613">
        <f>IF(A2613="","",'Employees'!C16)</f>
        <v/>
      </c>
      <c r="C2613">
        <f>IF(A2613="","",'Employees'!D16)</f>
        <v/>
      </c>
      <c r="D2613">
        <f>IF(A2613="","",'Skill Matrix'!C169)</f>
        <v/>
      </c>
      <c r="E2613">
        <f>IF(A2613="","",'Skill Matrix'!D169)</f>
        <v/>
      </c>
      <c r="F2613">
        <f>IF(AND('Skill Matrix'!A169&lt;&gt;"",'Skill Matrix'!H5&lt;&gt;""),'Skill Matrix'!H5,"")</f>
        <v/>
      </c>
      <c r="G2613">
        <f>IF(OR(A2613="",'Skill Matrix'!H169=""),"",'Skill Matrix'!H169)</f>
        <v/>
      </c>
      <c r="H2613">
        <f>IF(A2613="","",'Employees'!F16)</f>
        <v/>
      </c>
    </row>
    <row r="2614">
      <c r="A2614">
        <f>IF(AND('Skill Matrix'!A169&lt;&gt;"",'Skill Matrix'!I5&lt;&gt;""),'Skill Matrix'!A169,"")</f>
        <v/>
      </c>
      <c r="B2614">
        <f>IF(A2614="","",'Employees'!C16)</f>
        <v/>
      </c>
      <c r="C2614">
        <f>IF(A2614="","",'Employees'!D16)</f>
        <v/>
      </c>
      <c r="D2614">
        <f>IF(A2614="","",'Skill Matrix'!C169)</f>
        <v/>
      </c>
      <c r="E2614">
        <f>IF(A2614="","",'Skill Matrix'!D169)</f>
        <v/>
      </c>
      <c r="F2614">
        <f>IF(AND('Skill Matrix'!A169&lt;&gt;"",'Skill Matrix'!I5&lt;&gt;""),'Skill Matrix'!I5,"")</f>
        <v/>
      </c>
      <c r="G2614">
        <f>IF(OR(A2614="",'Skill Matrix'!I169=""),"",'Skill Matrix'!I169)</f>
        <v/>
      </c>
      <c r="H2614">
        <f>IF(A2614="","",'Employees'!F16)</f>
        <v/>
      </c>
    </row>
    <row r="2615">
      <c r="A2615">
        <f>IF(AND('Skill Matrix'!A169&lt;&gt;"",'Skill Matrix'!J5&lt;&gt;""),'Skill Matrix'!A169,"")</f>
        <v/>
      </c>
      <c r="B2615">
        <f>IF(A2615="","",'Employees'!C16)</f>
        <v/>
      </c>
      <c r="C2615">
        <f>IF(A2615="","",'Employees'!D16)</f>
        <v/>
      </c>
      <c r="D2615">
        <f>IF(A2615="","",'Skill Matrix'!C169)</f>
        <v/>
      </c>
      <c r="E2615">
        <f>IF(A2615="","",'Skill Matrix'!D169)</f>
        <v/>
      </c>
      <c r="F2615">
        <f>IF(AND('Skill Matrix'!A169&lt;&gt;"",'Skill Matrix'!J5&lt;&gt;""),'Skill Matrix'!J5,"")</f>
        <v/>
      </c>
      <c r="G2615">
        <f>IF(OR(A2615="",'Skill Matrix'!J169=""),"",'Skill Matrix'!J169)</f>
        <v/>
      </c>
      <c r="H2615">
        <f>IF(A2615="","",'Employees'!F16)</f>
        <v/>
      </c>
    </row>
    <row r="2616">
      <c r="A2616">
        <f>IF(AND('Skill Matrix'!A169&lt;&gt;"",'Skill Matrix'!K5&lt;&gt;""),'Skill Matrix'!A169,"")</f>
        <v/>
      </c>
      <c r="B2616">
        <f>IF(A2616="","",'Employees'!C16)</f>
        <v/>
      </c>
      <c r="C2616">
        <f>IF(A2616="","",'Employees'!D16)</f>
        <v/>
      </c>
      <c r="D2616">
        <f>IF(A2616="","",'Skill Matrix'!C169)</f>
        <v/>
      </c>
      <c r="E2616">
        <f>IF(A2616="","",'Skill Matrix'!D169)</f>
        <v/>
      </c>
      <c r="F2616">
        <f>IF(AND('Skill Matrix'!A169&lt;&gt;"",'Skill Matrix'!K5&lt;&gt;""),'Skill Matrix'!K5,"")</f>
        <v/>
      </c>
      <c r="G2616">
        <f>IF(OR(A2616="",'Skill Matrix'!K169=""),"",'Skill Matrix'!K169)</f>
        <v/>
      </c>
      <c r="H2616">
        <f>IF(A2616="","",'Employees'!F16)</f>
        <v/>
      </c>
    </row>
    <row r="2617">
      <c r="A2617">
        <f>IF(AND('Skill Matrix'!A169&lt;&gt;"",'Skill Matrix'!L5&lt;&gt;""),'Skill Matrix'!A169,"")</f>
        <v/>
      </c>
      <c r="B2617">
        <f>IF(A2617="","",'Employees'!C16)</f>
        <v/>
      </c>
      <c r="C2617">
        <f>IF(A2617="","",'Employees'!D16)</f>
        <v/>
      </c>
      <c r="D2617">
        <f>IF(A2617="","",'Skill Matrix'!C169)</f>
        <v/>
      </c>
      <c r="E2617">
        <f>IF(A2617="","",'Skill Matrix'!D169)</f>
        <v/>
      </c>
      <c r="F2617">
        <f>IF(AND('Skill Matrix'!A169&lt;&gt;"",'Skill Matrix'!L5&lt;&gt;""),'Skill Matrix'!L5,"")</f>
        <v/>
      </c>
      <c r="G2617">
        <f>IF(OR(A2617="",'Skill Matrix'!L169=""),"",'Skill Matrix'!L169)</f>
        <v/>
      </c>
      <c r="H2617">
        <f>IF(A2617="","",'Employees'!F16)</f>
        <v/>
      </c>
    </row>
    <row r="2618">
      <c r="A2618">
        <f>IF(AND('Skill Matrix'!A169&lt;&gt;"",'Skill Matrix'!M5&lt;&gt;""),'Skill Matrix'!A169,"")</f>
        <v/>
      </c>
      <c r="B2618">
        <f>IF(A2618="","",'Employees'!C16)</f>
        <v/>
      </c>
      <c r="C2618">
        <f>IF(A2618="","",'Employees'!D16)</f>
        <v/>
      </c>
      <c r="D2618">
        <f>IF(A2618="","",'Skill Matrix'!C169)</f>
        <v/>
      </c>
      <c r="E2618">
        <f>IF(A2618="","",'Skill Matrix'!D169)</f>
        <v/>
      </c>
      <c r="F2618">
        <f>IF(AND('Skill Matrix'!A169&lt;&gt;"",'Skill Matrix'!M5&lt;&gt;""),'Skill Matrix'!M5,"")</f>
        <v/>
      </c>
      <c r="G2618">
        <f>IF(OR(A2618="",'Skill Matrix'!M169=""),"",'Skill Matrix'!M169)</f>
        <v/>
      </c>
      <c r="H2618">
        <f>IF(A2618="","",'Employees'!F16)</f>
        <v/>
      </c>
    </row>
    <row r="2619">
      <c r="A2619">
        <f>IF(AND('Skill Matrix'!A169&lt;&gt;"",'Skill Matrix'!N5&lt;&gt;""),'Skill Matrix'!A169,"")</f>
        <v/>
      </c>
      <c r="B2619">
        <f>IF(A2619="","",'Employees'!C16)</f>
        <v/>
      </c>
      <c r="C2619">
        <f>IF(A2619="","",'Employees'!D16)</f>
        <v/>
      </c>
      <c r="D2619">
        <f>IF(A2619="","",'Skill Matrix'!C169)</f>
        <v/>
      </c>
      <c r="E2619">
        <f>IF(A2619="","",'Skill Matrix'!D169)</f>
        <v/>
      </c>
      <c r="F2619">
        <f>IF(AND('Skill Matrix'!A169&lt;&gt;"",'Skill Matrix'!N5&lt;&gt;""),'Skill Matrix'!N5,"")</f>
        <v/>
      </c>
      <c r="G2619">
        <f>IF(OR(A2619="",'Skill Matrix'!N169=""),"",'Skill Matrix'!N169)</f>
        <v/>
      </c>
      <c r="H2619">
        <f>IF(A2619="","",'Employees'!F16)</f>
        <v/>
      </c>
    </row>
    <row r="2620">
      <c r="A2620">
        <f>IF(AND('Skill Matrix'!A169&lt;&gt;"",'Skill Matrix'!O5&lt;&gt;""),'Skill Matrix'!A169,"")</f>
        <v/>
      </c>
      <c r="B2620">
        <f>IF(A2620="","",'Employees'!C16)</f>
        <v/>
      </c>
      <c r="C2620">
        <f>IF(A2620="","",'Employees'!D16)</f>
        <v/>
      </c>
      <c r="D2620">
        <f>IF(A2620="","",'Skill Matrix'!C169)</f>
        <v/>
      </c>
      <c r="E2620">
        <f>IF(A2620="","",'Skill Matrix'!D169)</f>
        <v/>
      </c>
      <c r="F2620">
        <f>IF(AND('Skill Matrix'!A169&lt;&gt;"",'Skill Matrix'!O5&lt;&gt;""),'Skill Matrix'!O5,"")</f>
        <v/>
      </c>
      <c r="G2620">
        <f>IF(OR(A2620="",'Skill Matrix'!O169=""),"",'Skill Matrix'!O169)</f>
        <v/>
      </c>
      <c r="H2620">
        <f>IF(A2620="","",'Employees'!F16)</f>
        <v/>
      </c>
    </row>
    <row r="2621">
      <c r="A2621">
        <f>IF(AND('Skill Matrix'!A169&lt;&gt;"",'Skill Matrix'!P5&lt;&gt;""),'Skill Matrix'!A169,"")</f>
        <v/>
      </c>
      <c r="B2621">
        <f>IF(A2621="","",'Employees'!C16)</f>
        <v/>
      </c>
      <c r="C2621">
        <f>IF(A2621="","",'Employees'!D16)</f>
        <v/>
      </c>
      <c r="D2621">
        <f>IF(A2621="","",'Skill Matrix'!C169)</f>
        <v/>
      </c>
      <c r="E2621">
        <f>IF(A2621="","",'Skill Matrix'!D169)</f>
        <v/>
      </c>
      <c r="F2621">
        <f>IF(AND('Skill Matrix'!A169&lt;&gt;"",'Skill Matrix'!P5&lt;&gt;""),'Skill Matrix'!P5,"")</f>
        <v/>
      </c>
      <c r="G2621">
        <f>IF(OR(A2621="",'Skill Matrix'!P169=""),"",'Skill Matrix'!P169)</f>
        <v/>
      </c>
      <c r="H2621">
        <f>IF(A2621="","",'Employees'!F16)</f>
        <v/>
      </c>
    </row>
    <row r="2622">
      <c r="A2622">
        <f>IF(AND('Skill Matrix'!A169&lt;&gt;"",'Skill Matrix'!Q5&lt;&gt;""),'Skill Matrix'!A169,"")</f>
        <v/>
      </c>
      <c r="B2622">
        <f>IF(A2622="","",'Employees'!C16)</f>
        <v/>
      </c>
      <c r="C2622">
        <f>IF(A2622="","",'Employees'!D16)</f>
        <v/>
      </c>
      <c r="D2622">
        <f>IF(A2622="","",'Skill Matrix'!C169)</f>
        <v/>
      </c>
      <c r="E2622">
        <f>IF(A2622="","",'Skill Matrix'!D169)</f>
        <v/>
      </c>
      <c r="F2622">
        <f>IF(AND('Skill Matrix'!A169&lt;&gt;"",'Skill Matrix'!Q5&lt;&gt;""),'Skill Matrix'!Q5,"")</f>
        <v/>
      </c>
      <c r="G2622">
        <f>IF(OR(A2622="",'Skill Matrix'!Q169=""),"",'Skill Matrix'!Q169)</f>
        <v/>
      </c>
      <c r="H2622">
        <f>IF(A2622="","",'Employees'!F16)</f>
        <v/>
      </c>
    </row>
    <row r="2623">
      <c r="A2623">
        <f>IF(AND('Skill Matrix'!A169&lt;&gt;"",'Skill Matrix'!R5&lt;&gt;""),'Skill Matrix'!A169,"")</f>
        <v/>
      </c>
      <c r="B2623">
        <f>IF(A2623="","",'Employees'!C16)</f>
        <v/>
      </c>
      <c r="C2623">
        <f>IF(A2623="","",'Employees'!D16)</f>
        <v/>
      </c>
      <c r="D2623">
        <f>IF(A2623="","",'Skill Matrix'!C169)</f>
        <v/>
      </c>
      <c r="E2623">
        <f>IF(A2623="","",'Skill Matrix'!D169)</f>
        <v/>
      </c>
      <c r="F2623">
        <f>IF(AND('Skill Matrix'!A169&lt;&gt;"",'Skill Matrix'!R5&lt;&gt;""),'Skill Matrix'!R5,"")</f>
        <v/>
      </c>
      <c r="G2623">
        <f>IF(OR(A2623="",'Skill Matrix'!R169=""),"",'Skill Matrix'!R169)</f>
        <v/>
      </c>
      <c r="H2623">
        <f>IF(A2623="","",'Employees'!F16)</f>
        <v/>
      </c>
    </row>
    <row r="2624">
      <c r="A2624">
        <f>IF(AND('Skill Matrix'!A169&lt;&gt;"",'Skill Matrix'!S5&lt;&gt;""),'Skill Matrix'!A169,"")</f>
        <v/>
      </c>
      <c r="B2624">
        <f>IF(A2624="","",'Employees'!C16)</f>
        <v/>
      </c>
      <c r="C2624">
        <f>IF(A2624="","",'Employees'!D16)</f>
        <v/>
      </c>
      <c r="D2624">
        <f>IF(A2624="","",'Skill Matrix'!C169)</f>
        <v/>
      </c>
      <c r="E2624">
        <f>IF(A2624="","",'Skill Matrix'!D169)</f>
        <v/>
      </c>
      <c r="F2624">
        <f>IF(AND('Skill Matrix'!A169&lt;&gt;"",'Skill Matrix'!S5&lt;&gt;""),'Skill Matrix'!S5,"")</f>
        <v/>
      </c>
      <c r="G2624">
        <f>IF(OR(A2624="",'Skill Matrix'!S169=""),"",'Skill Matrix'!S169)</f>
        <v/>
      </c>
      <c r="H2624">
        <f>IF(A2624="","",'Employees'!F16)</f>
        <v/>
      </c>
    </row>
    <row r="2625">
      <c r="A2625">
        <f>IF(AND('Skill Matrix'!A169&lt;&gt;"",'Skill Matrix'!T5&lt;&gt;""),'Skill Matrix'!A169,"")</f>
        <v/>
      </c>
      <c r="B2625">
        <f>IF(A2625="","",'Employees'!C16)</f>
        <v/>
      </c>
      <c r="C2625">
        <f>IF(A2625="","",'Employees'!D16)</f>
        <v/>
      </c>
      <c r="D2625">
        <f>IF(A2625="","",'Skill Matrix'!C169)</f>
        <v/>
      </c>
      <c r="E2625">
        <f>IF(A2625="","",'Skill Matrix'!D169)</f>
        <v/>
      </c>
      <c r="F2625">
        <f>IF(AND('Skill Matrix'!A169&lt;&gt;"",'Skill Matrix'!T5&lt;&gt;""),'Skill Matrix'!T5,"")</f>
        <v/>
      </c>
      <c r="G2625">
        <f>IF(OR(A2625="",'Skill Matrix'!T169=""),"",'Skill Matrix'!T169)</f>
        <v/>
      </c>
      <c r="H2625">
        <f>IF(A2625="","",'Employees'!F16)</f>
        <v/>
      </c>
    </row>
    <row r="2626">
      <c r="A2626">
        <f>IF(AND('Skill Matrix'!A170&lt;&gt;"",'Skill Matrix'!E5&lt;&gt;""),'Skill Matrix'!A170,"")</f>
        <v/>
      </c>
      <c r="B2626">
        <f>IF(A2626="","",'Employees'!C16)</f>
        <v/>
      </c>
      <c r="C2626">
        <f>IF(A2626="","",'Employees'!D16)</f>
        <v/>
      </c>
      <c r="D2626">
        <f>IF(A2626="","",'Skill Matrix'!C170)</f>
        <v/>
      </c>
      <c r="E2626">
        <f>IF(A2626="","",'Skill Matrix'!D170)</f>
        <v/>
      </c>
      <c r="F2626">
        <f>IF(AND('Skill Matrix'!A170&lt;&gt;"",'Skill Matrix'!E5&lt;&gt;""),'Skill Matrix'!E5,"")</f>
        <v/>
      </c>
      <c r="G2626">
        <f>IF(OR(A2626="",'Skill Matrix'!E170=""),"",'Skill Matrix'!E170)</f>
        <v/>
      </c>
      <c r="H2626">
        <f>IF(A2626="","",'Employees'!F16)</f>
        <v/>
      </c>
    </row>
    <row r="2627">
      <c r="A2627">
        <f>IF(AND('Skill Matrix'!A170&lt;&gt;"",'Skill Matrix'!F5&lt;&gt;""),'Skill Matrix'!A170,"")</f>
        <v/>
      </c>
      <c r="B2627">
        <f>IF(A2627="","",'Employees'!C16)</f>
        <v/>
      </c>
      <c r="C2627">
        <f>IF(A2627="","",'Employees'!D16)</f>
        <v/>
      </c>
      <c r="D2627">
        <f>IF(A2627="","",'Skill Matrix'!C170)</f>
        <v/>
      </c>
      <c r="E2627">
        <f>IF(A2627="","",'Skill Matrix'!D170)</f>
        <v/>
      </c>
      <c r="F2627">
        <f>IF(AND('Skill Matrix'!A170&lt;&gt;"",'Skill Matrix'!F5&lt;&gt;""),'Skill Matrix'!F5,"")</f>
        <v/>
      </c>
      <c r="G2627">
        <f>IF(OR(A2627="",'Skill Matrix'!F170=""),"",'Skill Matrix'!F170)</f>
        <v/>
      </c>
      <c r="H2627">
        <f>IF(A2627="","",'Employees'!F16)</f>
        <v/>
      </c>
    </row>
    <row r="2628">
      <c r="A2628">
        <f>IF(AND('Skill Matrix'!A170&lt;&gt;"",'Skill Matrix'!G5&lt;&gt;""),'Skill Matrix'!A170,"")</f>
        <v/>
      </c>
      <c r="B2628">
        <f>IF(A2628="","",'Employees'!C16)</f>
        <v/>
      </c>
      <c r="C2628">
        <f>IF(A2628="","",'Employees'!D16)</f>
        <v/>
      </c>
      <c r="D2628">
        <f>IF(A2628="","",'Skill Matrix'!C170)</f>
        <v/>
      </c>
      <c r="E2628">
        <f>IF(A2628="","",'Skill Matrix'!D170)</f>
        <v/>
      </c>
      <c r="F2628">
        <f>IF(AND('Skill Matrix'!A170&lt;&gt;"",'Skill Matrix'!G5&lt;&gt;""),'Skill Matrix'!G5,"")</f>
        <v/>
      </c>
      <c r="G2628">
        <f>IF(OR(A2628="",'Skill Matrix'!G170=""),"",'Skill Matrix'!G170)</f>
        <v/>
      </c>
      <c r="H2628">
        <f>IF(A2628="","",'Employees'!F16)</f>
        <v/>
      </c>
    </row>
    <row r="2629">
      <c r="A2629">
        <f>IF(AND('Skill Matrix'!A170&lt;&gt;"",'Skill Matrix'!H5&lt;&gt;""),'Skill Matrix'!A170,"")</f>
        <v/>
      </c>
      <c r="B2629">
        <f>IF(A2629="","",'Employees'!C16)</f>
        <v/>
      </c>
      <c r="C2629">
        <f>IF(A2629="","",'Employees'!D16)</f>
        <v/>
      </c>
      <c r="D2629">
        <f>IF(A2629="","",'Skill Matrix'!C170)</f>
        <v/>
      </c>
      <c r="E2629">
        <f>IF(A2629="","",'Skill Matrix'!D170)</f>
        <v/>
      </c>
      <c r="F2629">
        <f>IF(AND('Skill Matrix'!A170&lt;&gt;"",'Skill Matrix'!H5&lt;&gt;""),'Skill Matrix'!H5,"")</f>
        <v/>
      </c>
      <c r="G2629">
        <f>IF(OR(A2629="",'Skill Matrix'!H170=""),"",'Skill Matrix'!H170)</f>
        <v/>
      </c>
      <c r="H2629">
        <f>IF(A2629="","",'Employees'!F16)</f>
        <v/>
      </c>
    </row>
    <row r="2630">
      <c r="A2630">
        <f>IF(AND('Skill Matrix'!A170&lt;&gt;"",'Skill Matrix'!I5&lt;&gt;""),'Skill Matrix'!A170,"")</f>
        <v/>
      </c>
      <c r="B2630">
        <f>IF(A2630="","",'Employees'!C16)</f>
        <v/>
      </c>
      <c r="C2630">
        <f>IF(A2630="","",'Employees'!D16)</f>
        <v/>
      </c>
      <c r="D2630">
        <f>IF(A2630="","",'Skill Matrix'!C170)</f>
        <v/>
      </c>
      <c r="E2630">
        <f>IF(A2630="","",'Skill Matrix'!D170)</f>
        <v/>
      </c>
      <c r="F2630">
        <f>IF(AND('Skill Matrix'!A170&lt;&gt;"",'Skill Matrix'!I5&lt;&gt;""),'Skill Matrix'!I5,"")</f>
        <v/>
      </c>
      <c r="G2630">
        <f>IF(OR(A2630="",'Skill Matrix'!I170=""),"",'Skill Matrix'!I170)</f>
        <v/>
      </c>
      <c r="H2630">
        <f>IF(A2630="","",'Employees'!F16)</f>
        <v/>
      </c>
    </row>
    <row r="2631">
      <c r="A2631">
        <f>IF(AND('Skill Matrix'!A170&lt;&gt;"",'Skill Matrix'!J5&lt;&gt;""),'Skill Matrix'!A170,"")</f>
        <v/>
      </c>
      <c r="B2631">
        <f>IF(A2631="","",'Employees'!C16)</f>
        <v/>
      </c>
      <c r="C2631">
        <f>IF(A2631="","",'Employees'!D16)</f>
        <v/>
      </c>
      <c r="D2631">
        <f>IF(A2631="","",'Skill Matrix'!C170)</f>
        <v/>
      </c>
      <c r="E2631">
        <f>IF(A2631="","",'Skill Matrix'!D170)</f>
        <v/>
      </c>
      <c r="F2631">
        <f>IF(AND('Skill Matrix'!A170&lt;&gt;"",'Skill Matrix'!J5&lt;&gt;""),'Skill Matrix'!J5,"")</f>
        <v/>
      </c>
      <c r="G2631">
        <f>IF(OR(A2631="",'Skill Matrix'!J170=""),"",'Skill Matrix'!J170)</f>
        <v/>
      </c>
      <c r="H2631">
        <f>IF(A2631="","",'Employees'!F16)</f>
        <v/>
      </c>
    </row>
    <row r="2632">
      <c r="A2632">
        <f>IF(AND('Skill Matrix'!A170&lt;&gt;"",'Skill Matrix'!K5&lt;&gt;""),'Skill Matrix'!A170,"")</f>
        <v/>
      </c>
      <c r="B2632">
        <f>IF(A2632="","",'Employees'!C16)</f>
        <v/>
      </c>
      <c r="C2632">
        <f>IF(A2632="","",'Employees'!D16)</f>
        <v/>
      </c>
      <c r="D2632">
        <f>IF(A2632="","",'Skill Matrix'!C170)</f>
        <v/>
      </c>
      <c r="E2632">
        <f>IF(A2632="","",'Skill Matrix'!D170)</f>
        <v/>
      </c>
      <c r="F2632">
        <f>IF(AND('Skill Matrix'!A170&lt;&gt;"",'Skill Matrix'!K5&lt;&gt;""),'Skill Matrix'!K5,"")</f>
        <v/>
      </c>
      <c r="G2632">
        <f>IF(OR(A2632="",'Skill Matrix'!K170=""),"",'Skill Matrix'!K170)</f>
        <v/>
      </c>
      <c r="H2632">
        <f>IF(A2632="","",'Employees'!F16)</f>
        <v/>
      </c>
    </row>
    <row r="2633">
      <c r="A2633">
        <f>IF(AND('Skill Matrix'!A170&lt;&gt;"",'Skill Matrix'!L5&lt;&gt;""),'Skill Matrix'!A170,"")</f>
        <v/>
      </c>
      <c r="B2633">
        <f>IF(A2633="","",'Employees'!C16)</f>
        <v/>
      </c>
      <c r="C2633">
        <f>IF(A2633="","",'Employees'!D16)</f>
        <v/>
      </c>
      <c r="D2633">
        <f>IF(A2633="","",'Skill Matrix'!C170)</f>
        <v/>
      </c>
      <c r="E2633">
        <f>IF(A2633="","",'Skill Matrix'!D170)</f>
        <v/>
      </c>
      <c r="F2633">
        <f>IF(AND('Skill Matrix'!A170&lt;&gt;"",'Skill Matrix'!L5&lt;&gt;""),'Skill Matrix'!L5,"")</f>
        <v/>
      </c>
      <c r="G2633">
        <f>IF(OR(A2633="",'Skill Matrix'!L170=""),"",'Skill Matrix'!L170)</f>
        <v/>
      </c>
      <c r="H2633">
        <f>IF(A2633="","",'Employees'!F16)</f>
        <v/>
      </c>
    </row>
    <row r="2634">
      <c r="A2634">
        <f>IF(AND('Skill Matrix'!A170&lt;&gt;"",'Skill Matrix'!M5&lt;&gt;""),'Skill Matrix'!A170,"")</f>
        <v/>
      </c>
      <c r="B2634">
        <f>IF(A2634="","",'Employees'!C16)</f>
        <v/>
      </c>
      <c r="C2634">
        <f>IF(A2634="","",'Employees'!D16)</f>
        <v/>
      </c>
      <c r="D2634">
        <f>IF(A2634="","",'Skill Matrix'!C170)</f>
        <v/>
      </c>
      <c r="E2634">
        <f>IF(A2634="","",'Skill Matrix'!D170)</f>
        <v/>
      </c>
      <c r="F2634">
        <f>IF(AND('Skill Matrix'!A170&lt;&gt;"",'Skill Matrix'!M5&lt;&gt;""),'Skill Matrix'!M5,"")</f>
        <v/>
      </c>
      <c r="G2634">
        <f>IF(OR(A2634="",'Skill Matrix'!M170=""),"",'Skill Matrix'!M170)</f>
        <v/>
      </c>
      <c r="H2634">
        <f>IF(A2634="","",'Employees'!F16)</f>
        <v/>
      </c>
    </row>
    <row r="2635">
      <c r="A2635">
        <f>IF(AND('Skill Matrix'!A170&lt;&gt;"",'Skill Matrix'!N5&lt;&gt;""),'Skill Matrix'!A170,"")</f>
        <v/>
      </c>
      <c r="B2635">
        <f>IF(A2635="","",'Employees'!C16)</f>
        <v/>
      </c>
      <c r="C2635">
        <f>IF(A2635="","",'Employees'!D16)</f>
        <v/>
      </c>
      <c r="D2635">
        <f>IF(A2635="","",'Skill Matrix'!C170)</f>
        <v/>
      </c>
      <c r="E2635">
        <f>IF(A2635="","",'Skill Matrix'!D170)</f>
        <v/>
      </c>
      <c r="F2635">
        <f>IF(AND('Skill Matrix'!A170&lt;&gt;"",'Skill Matrix'!N5&lt;&gt;""),'Skill Matrix'!N5,"")</f>
        <v/>
      </c>
      <c r="G2635">
        <f>IF(OR(A2635="",'Skill Matrix'!N170=""),"",'Skill Matrix'!N170)</f>
        <v/>
      </c>
      <c r="H2635">
        <f>IF(A2635="","",'Employees'!F16)</f>
        <v/>
      </c>
    </row>
    <row r="2636">
      <c r="A2636">
        <f>IF(AND('Skill Matrix'!A170&lt;&gt;"",'Skill Matrix'!O5&lt;&gt;""),'Skill Matrix'!A170,"")</f>
        <v/>
      </c>
      <c r="B2636">
        <f>IF(A2636="","",'Employees'!C16)</f>
        <v/>
      </c>
      <c r="C2636">
        <f>IF(A2636="","",'Employees'!D16)</f>
        <v/>
      </c>
      <c r="D2636">
        <f>IF(A2636="","",'Skill Matrix'!C170)</f>
        <v/>
      </c>
      <c r="E2636">
        <f>IF(A2636="","",'Skill Matrix'!D170)</f>
        <v/>
      </c>
      <c r="F2636">
        <f>IF(AND('Skill Matrix'!A170&lt;&gt;"",'Skill Matrix'!O5&lt;&gt;""),'Skill Matrix'!O5,"")</f>
        <v/>
      </c>
      <c r="G2636">
        <f>IF(OR(A2636="",'Skill Matrix'!O170=""),"",'Skill Matrix'!O170)</f>
        <v/>
      </c>
      <c r="H2636">
        <f>IF(A2636="","",'Employees'!F16)</f>
        <v/>
      </c>
    </row>
    <row r="2637">
      <c r="A2637">
        <f>IF(AND('Skill Matrix'!A170&lt;&gt;"",'Skill Matrix'!P5&lt;&gt;""),'Skill Matrix'!A170,"")</f>
        <v/>
      </c>
      <c r="B2637">
        <f>IF(A2637="","",'Employees'!C16)</f>
        <v/>
      </c>
      <c r="C2637">
        <f>IF(A2637="","",'Employees'!D16)</f>
        <v/>
      </c>
      <c r="D2637">
        <f>IF(A2637="","",'Skill Matrix'!C170)</f>
        <v/>
      </c>
      <c r="E2637">
        <f>IF(A2637="","",'Skill Matrix'!D170)</f>
        <v/>
      </c>
      <c r="F2637">
        <f>IF(AND('Skill Matrix'!A170&lt;&gt;"",'Skill Matrix'!P5&lt;&gt;""),'Skill Matrix'!P5,"")</f>
        <v/>
      </c>
      <c r="G2637">
        <f>IF(OR(A2637="",'Skill Matrix'!P170=""),"",'Skill Matrix'!P170)</f>
        <v/>
      </c>
      <c r="H2637">
        <f>IF(A2637="","",'Employees'!F16)</f>
        <v/>
      </c>
    </row>
    <row r="2638">
      <c r="A2638">
        <f>IF(AND('Skill Matrix'!A170&lt;&gt;"",'Skill Matrix'!Q5&lt;&gt;""),'Skill Matrix'!A170,"")</f>
        <v/>
      </c>
      <c r="B2638">
        <f>IF(A2638="","",'Employees'!C16)</f>
        <v/>
      </c>
      <c r="C2638">
        <f>IF(A2638="","",'Employees'!D16)</f>
        <v/>
      </c>
      <c r="D2638">
        <f>IF(A2638="","",'Skill Matrix'!C170)</f>
        <v/>
      </c>
      <c r="E2638">
        <f>IF(A2638="","",'Skill Matrix'!D170)</f>
        <v/>
      </c>
      <c r="F2638">
        <f>IF(AND('Skill Matrix'!A170&lt;&gt;"",'Skill Matrix'!Q5&lt;&gt;""),'Skill Matrix'!Q5,"")</f>
        <v/>
      </c>
      <c r="G2638">
        <f>IF(OR(A2638="",'Skill Matrix'!Q170=""),"",'Skill Matrix'!Q170)</f>
        <v/>
      </c>
      <c r="H2638">
        <f>IF(A2638="","",'Employees'!F16)</f>
        <v/>
      </c>
    </row>
    <row r="2639">
      <c r="A2639">
        <f>IF(AND('Skill Matrix'!A170&lt;&gt;"",'Skill Matrix'!R5&lt;&gt;""),'Skill Matrix'!A170,"")</f>
        <v/>
      </c>
      <c r="B2639">
        <f>IF(A2639="","",'Employees'!C16)</f>
        <v/>
      </c>
      <c r="C2639">
        <f>IF(A2639="","",'Employees'!D16)</f>
        <v/>
      </c>
      <c r="D2639">
        <f>IF(A2639="","",'Skill Matrix'!C170)</f>
        <v/>
      </c>
      <c r="E2639">
        <f>IF(A2639="","",'Skill Matrix'!D170)</f>
        <v/>
      </c>
      <c r="F2639">
        <f>IF(AND('Skill Matrix'!A170&lt;&gt;"",'Skill Matrix'!R5&lt;&gt;""),'Skill Matrix'!R5,"")</f>
        <v/>
      </c>
      <c r="G2639">
        <f>IF(OR(A2639="",'Skill Matrix'!R170=""),"",'Skill Matrix'!R170)</f>
        <v/>
      </c>
      <c r="H2639">
        <f>IF(A2639="","",'Employees'!F16)</f>
        <v/>
      </c>
    </row>
    <row r="2640">
      <c r="A2640">
        <f>IF(AND('Skill Matrix'!A170&lt;&gt;"",'Skill Matrix'!S5&lt;&gt;""),'Skill Matrix'!A170,"")</f>
        <v/>
      </c>
      <c r="B2640">
        <f>IF(A2640="","",'Employees'!C16)</f>
        <v/>
      </c>
      <c r="C2640">
        <f>IF(A2640="","",'Employees'!D16)</f>
        <v/>
      </c>
      <c r="D2640">
        <f>IF(A2640="","",'Skill Matrix'!C170)</f>
        <v/>
      </c>
      <c r="E2640">
        <f>IF(A2640="","",'Skill Matrix'!D170)</f>
        <v/>
      </c>
      <c r="F2640">
        <f>IF(AND('Skill Matrix'!A170&lt;&gt;"",'Skill Matrix'!S5&lt;&gt;""),'Skill Matrix'!S5,"")</f>
        <v/>
      </c>
      <c r="G2640">
        <f>IF(OR(A2640="",'Skill Matrix'!S170=""),"",'Skill Matrix'!S170)</f>
        <v/>
      </c>
      <c r="H2640">
        <f>IF(A2640="","",'Employees'!F16)</f>
        <v/>
      </c>
    </row>
    <row r="2641">
      <c r="A2641">
        <f>IF(AND('Skill Matrix'!A170&lt;&gt;"",'Skill Matrix'!T5&lt;&gt;""),'Skill Matrix'!A170,"")</f>
        <v/>
      </c>
      <c r="B2641">
        <f>IF(A2641="","",'Employees'!C16)</f>
        <v/>
      </c>
      <c r="C2641">
        <f>IF(A2641="","",'Employees'!D16)</f>
        <v/>
      </c>
      <c r="D2641">
        <f>IF(A2641="","",'Skill Matrix'!C170)</f>
        <v/>
      </c>
      <c r="E2641">
        <f>IF(A2641="","",'Skill Matrix'!D170)</f>
        <v/>
      </c>
      <c r="F2641">
        <f>IF(AND('Skill Matrix'!A170&lt;&gt;"",'Skill Matrix'!T5&lt;&gt;""),'Skill Matrix'!T5,"")</f>
        <v/>
      </c>
      <c r="G2641">
        <f>IF(OR(A2641="",'Skill Matrix'!T170=""),"",'Skill Matrix'!T170)</f>
        <v/>
      </c>
      <c r="H2641">
        <f>IF(A2641="","",'Employees'!F16)</f>
        <v/>
      </c>
    </row>
    <row r="2642">
      <c r="A2642">
        <f>IF(AND('Skill Matrix'!A171&lt;&gt;"",'Skill Matrix'!E5&lt;&gt;""),'Skill Matrix'!A171,"")</f>
        <v/>
      </c>
      <c r="B2642">
        <f>IF(A2642="","",'Employees'!C16)</f>
        <v/>
      </c>
      <c r="C2642">
        <f>IF(A2642="","",'Employees'!D16)</f>
        <v/>
      </c>
      <c r="D2642">
        <f>IF(A2642="","",'Skill Matrix'!C171)</f>
        <v/>
      </c>
      <c r="E2642">
        <f>IF(A2642="","",'Skill Matrix'!D171)</f>
        <v/>
      </c>
      <c r="F2642">
        <f>IF(AND('Skill Matrix'!A171&lt;&gt;"",'Skill Matrix'!E5&lt;&gt;""),'Skill Matrix'!E5,"")</f>
        <v/>
      </c>
      <c r="G2642">
        <f>IF(OR(A2642="",'Skill Matrix'!E171=""),"",'Skill Matrix'!E171)</f>
        <v/>
      </c>
      <c r="H2642">
        <f>IF(A2642="","",'Employees'!F16)</f>
        <v/>
      </c>
    </row>
    <row r="2643">
      <c r="A2643">
        <f>IF(AND('Skill Matrix'!A171&lt;&gt;"",'Skill Matrix'!F5&lt;&gt;""),'Skill Matrix'!A171,"")</f>
        <v/>
      </c>
      <c r="B2643">
        <f>IF(A2643="","",'Employees'!C16)</f>
        <v/>
      </c>
      <c r="C2643">
        <f>IF(A2643="","",'Employees'!D16)</f>
        <v/>
      </c>
      <c r="D2643">
        <f>IF(A2643="","",'Skill Matrix'!C171)</f>
        <v/>
      </c>
      <c r="E2643">
        <f>IF(A2643="","",'Skill Matrix'!D171)</f>
        <v/>
      </c>
      <c r="F2643">
        <f>IF(AND('Skill Matrix'!A171&lt;&gt;"",'Skill Matrix'!F5&lt;&gt;""),'Skill Matrix'!F5,"")</f>
        <v/>
      </c>
      <c r="G2643">
        <f>IF(OR(A2643="",'Skill Matrix'!F171=""),"",'Skill Matrix'!F171)</f>
        <v/>
      </c>
      <c r="H2643">
        <f>IF(A2643="","",'Employees'!F16)</f>
        <v/>
      </c>
    </row>
    <row r="2644">
      <c r="A2644">
        <f>IF(AND('Skill Matrix'!A171&lt;&gt;"",'Skill Matrix'!G5&lt;&gt;""),'Skill Matrix'!A171,"")</f>
        <v/>
      </c>
      <c r="B2644">
        <f>IF(A2644="","",'Employees'!C16)</f>
        <v/>
      </c>
      <c r="C2644">
        <f>IF(A2644="","",'Employees'!D16)</f>
        <v/>
      </c>
      <c r="D2644">
        <f>IF(A2644="","",'Skill Matrix'!C171)</f>
        <v/>
      </c>
      <c r="E2644">
        <f>IF(A2644="","",'Skill Matrix'!D171)</f>
        <v/>
      </c>
      <c r="F2644">
        <f>IF(AND('Skill Matrix'!A171&lt;&gt;"",'Skill Matrix'!G5&lt;&gt;""),'Skill Matrix'!G5,"")</f>
        <v/>
      </c>
      <c r="G2644">
        <f>IF(OR(A2644="",'Skill Matrix'!G171=""),"",'Skill Matrix'!G171)</f>
        <v/>
      </c>
      <c r="H2644">
        <f>IF(A2644="","",'Employees'!F16)</f>
        <v/>
      </c>
    </row>
    <row r="2645">
      <c r="A2645">
        <f>IF(AND('Skill Matrix'!A171&lt;&gt;"",'Skill Matrix'!H5&lt;&gt;""),'Skill Matrix'!A171,"")</f>
        <v/>
      </c>
      <c r="B2645">
        <f>IF(A2645="","",'Employees'!C16)</f>
        <v/>
      </c>
      <c r="C2645">
        <f>IF(A2645="","",'Employees'!D16)</f>
        <v/>
      </c>
      <c r="D2645">
        <f>IF(A2645="","",'Skill Matrix'!C171)</f>
        <v/>
      </c>
      <c r="E2645">
        <f>IF(A2645="","",'Skill Matrix'!D171)</f>
        <v/>
      </c>
      <c r="F2645">
        <f>IF(AND('Skill Matrix'!A171&lt;&gt;"",'Skill Matrix'!H5&lt;&gt;""),'Skill Matrix'!H5,"")</f>
        <v/>
      </c>
      <c r="G2645">
        <f>IF(OR(A2645="",'Skill Matrix'!H171=""),"",'Skill Matrix'!H171)</f>
        <v/>
      </c>
      <c r="H2645">
        <f>IF(A2645="","",'Employees'!F16)</f>
        <v/>
      </c>
    </row>
    <row r="2646">
      <c r="A2646">
        <f>IF(AND('Skill Matrix'!A171&lt;&gt;"",'Skill Matrix'!I5&lt;&gt;""),'Skill Matrix'!A171,"")</f>
        <v/>
      </c>
      <c r="B2646">
        <f>IF(A2646="","",'Employees'!C16)</f>
        <v/>
      </c>
      <c r="C2646">
        <f>IF(A2646="","",'Employees'!D16)</f>
        <v/>
      </c>
      <c r="D2646">
        <f>IF(A2646="","",'Skill Matrix'!C171)</f>
        <v/>
      </c>
      <c r="E2646">
        <f>IF(A2646="","",'Skill Matrix'!D171)</f>
        <v/>
      </c>
      <c r="F2646">
        <f>IF(AND('Skill Matrix'!A171&lt;&gt;"",'Skill Matrix'!I5&lt;&gt;""),'Skill Matrix'!I5,"")</f>
        <v/>
      </c>
      <c r="G2646">
        <f>IF(OR(A2646="",'Skill Matrix'!I171=""),"",'Skill Matrix'!I171)</f>
        <v/>
      </c>
      <c r="H2646">
        <f>IF(A2646="","",'Employees'!F16)</f>
        <v/>
      </c>
    </row>
    <row r="2647">
      <c r="A2647">
        <f>IF(AND('Skill Matrix'!A171&lt;&gt;"",'Skill Matrix'!J5&lt;&gt;""),'Skill Matrix'!A171,"")</f>
        <v/>
      </c>
      <c r="B2647">
        <f>IF(A2647="","",'Employees'!C16)</f>
        <v/>
      </c>
      <c r="C2647">
        <f>IF(A2647="","",'Employees'!D16)</f>
        <v/>
      </c>
      <c r="D2647">
        <f>IF(A2647="","",'Skill Matrix'!C171)</f>
        <v/>
      </c>
      <c r="E2647">
        <f>IF(A2647="","",'Skill Matrix'!D171)</f>
        <v/>
      </c>
      <c r="F2647">
        <f>IF(AND('Skill Matrix'!A171&lt;&gt;"",'Skill Matrix'!J5&lt;&gt;""),'Skill Matrix'!J5,"")</f>
        <v/>
      </c>
      <c r="G2647">
        <f>IF(OR(A2647="",'Skill Matrix'!J171=""),"",'Skill Matrix'!J171)</f>
        <v/>
      </c>
      <c r="H2647">
        <f>IF(A2647="","",'Employees'!F16)</f>
        <v/>
      </c>
    </row>
    <row r="2648">
      <c r="A2648">
        <f>IF(AND('Skill Matrix'!A171&lt;&gt;"",'Skill Matrix'!K5&lt;&gt;""),'Skill Matrix'!A171,"")</f>
        <v/>
      </c>
      <c r="B2648">
        <f>IF(A2648="","",'Employees'!C16)</f>
        <v/>
      </c>
      <c r="C2648">
        <f>IF(A2648="","",'Employees'!D16)</f>
        <v/>
      </c>
      <c r="D2648">
        <f>IF(A2648="","",'Skill Matrix'!C171)</f>
        <v/>
      </c>
      <c r="E2648">
        <f>IF(A2648="","",'Skill Matrix'!D171)</f>
        <v/>
      </c>
      <c r="F2648">
        <f>IF(AND('Skill Matrix'!A171&lt;&gt;"",'Skill Matrix'!K5&lt;&gt;""),'Skill Matrix'!K5,"")</f>
        <v/>
      </c>
      <c r="G2648">
        <f>IF(OR(A2648="",'Skill Matrix'!K171=""),"",'Skill Matrix'!K171)</f>
        <v/>
      </c>
      <c r="H2648">
        <f>IF(A2648="","",'Employees'!F16)</f>
        <v/>
      </c>
    </row>
    <row r="2649">
      <c r="A2649">
        <f>IF(AND('Skill Matrix'!A171&lt;&gt;"",'Skill Matrix'!L5&lt;&gt;""),'Skill Matrix'!A171,"")</f>
        <v/>
      </c>
      <c r="B2649">
        <f>IF(A2649="","",'Employees'!C16)</f>
        <v/>
      </c>
      <c r="C2649">
        <f>IF(A2649="","",'Employees'!D16)</f>
        <v/>
      </c>
      <c r="D2649">
        <f>IF(A2649="","",'Skill Matrix'!C171)</f>
        <v/>
      </c>
      <c r="E2649">
        <f>IF(A2649="","",'Skill Matrix'!D171)</f>
        <v/>
      </c>
      <c r="F2649">
        <f>IF(AND('Skill Matrix'!A171&lt;&gt;"",'Skill Matrix'!L5&lt;&gt;""),'Skill Matrix'!L5,"")</f>
        <v/>
      </c>
      <c r="G2649">
        <f>IF(OR(A2649="",'Skill Matrix'!L171=""),"",'Skill Matrix'!L171)</f>
        <v/>
      </c>
      <c r="H2649">
        <f>IF(A2649="","",'Employees'!F16)</f>
        <v/>
      </c>
    </row>
    <row r="2650">
      <c r="A2650">
        <f>IF(AND('Skill Matrix'!A171&lt;&gt;"",'Skill Matrix'!M5&lt;&gt;""),'Skill Matrix'!A171,"")</f>
        <v/>
      </c>
      <c r="B2650">
        <f>IF(A2650="","",'Employees'!C16)</f>
        <v/>
      </c>
      <c r="C2650">
        <f>IF(A2650="","",'Employees'!D16)</f>
        <v/>
      </c>
      <c r="D2650">
        <f>IF(A2650="","",'Skill Matrix'!C171)</f>
        <v/>
      </c>
      <c r="E2650">
        <f>IF(A2650="","",'Skill Matrix'!D171)</f>
        <v/>
      </c>
      <c r="F2650">
        <f>IF(AND('Skill Matrix'!A171&lt;&gt;"",'Skill Matrix'!M5&lt;&gt;""),'Skill Matrix'!M5,"")</f>
        <v/>
      </c>
      <c r="G2650">
        <f>IF(OR(A2650="",'Skill Matrix'!M171=""),"",'Skill Matrix'!M171)</f>
        <v/>
      </c>
      <c r="H2650">
        <f>IF(A2650="","",'Employees'!F16)</f>
        <v/>
      </c>
    </row>
    <row r="2651">
      <c r="A2651">
        <f>IF(AND('Skill Matrix'!A171&lt;&gt;"",'Skill Matrix'!N5&lt;&gt;""),'Skill Matrix'!A171,"")</f>
        <v/>
      </c>
      <c r="B2651">
        <f>IF(A2651="","",'Employees'!C16)</f>
        <v/>
      </c>
      <c r="C2651">
        <f>IF(A2651="","",'Employees'!D16)</f>
        <v/>
      </c>
      <c r="D2651">
        <f>IF(A2651="","",'Skill Matrix'!C171)</f>
        <v/>
      </c>
      <c r="E2651">
        <f>IF(A2651="","",'Skill Matrix'!D171)</f>
        <v/>
      </c>
      <c r="F2651">
        <f>IF(AND('Skill Matrix'!A171&lt;&gt;"",'Skill Matrix'!N5&lt;&gt;""),'Skill Matrix'!N5,"")</f>
        <v/>
      </c>
      <c r="G2651">
        <f>IF(OR(A2651="",'Skill Matrix'!N171=""),"",'Skill Matrix'!N171)</f>
        <v/>
      </c>
      <c r="H2651">
        <f>IF(A2651="","",'Employees'!F16)</f>
        <v/>
      </c>
    </row>
    <row r="2652">
      <c r="A2652">
        <f>IF(AND('Skill Matrix'!A171&lt;&gt;"",'Skill Matrix'!O5&lt;&gt;""),'Skill Matrix'!A171,"")</f>
        <v/>
      </c>
      <c r="B2652">
        <f>IF(A2652="","",'Employees'!C16)</f>
        <v/>
      </c>
      <c r="C2652">
        <f>IF(A2652="","",'Employees'!D16)</f>
        <v/>
      </c>
      <c r="D2652">
        <f>IF(A2652="","",'Skill Matrix'!C171)</f>
        <v/>
      </c>
      <c r="E2652">
        <f>IF(A2652="","",'Skill Matrix'!D171)</f>
        <v/>
      </c>
      <c r="F2652">
        <f>IF(AND('Skill Matrix'!A171&lt;&gt;"",'Skill Matrix'!O5&lt;&gt;""),'Skill Matrix'!O5,"")</f>
        <v/>
      </c>
      <c r="G2652">
        <f>IF(OR(A2652="",'Skill Matrix'!O171=""),"",'Skill Matrix'!O171)</f>
        <v/>
      </c>
      <c r="H2652">
        <f>IF(A2652="","",'Employees'!F16)</f>
        <v/>
      </c>
    </row>
    <row r="2653">
      <c r="A2653">
        <f>IF(AND('Skill Matrix'!A171&lt;&gt;"",'Skill Matrix'!P5&lt;&gt;""),'Skill Matrix'!A171,"")</f>
        <v/>
      </c>
      <c r="B2653">
        <f>IF(A2653="","",'Employees'!C16)</f>
        <v/>
      </c>
      <c r="C2653">
        <f>IF(A2653="","",'Employees'!D16)</f>
        <v/>
      </c>
      <c r="D2653">
        <f>IF(A2653="","",'Skill Matrix'!C171)</f>
        <v/>
      </c>
      <c r="E2653">
        <f>IF(A2653="","",'Skill Matrix'!D171)</f>
        <v/>
      </c>
      <c r="F2653">
        <f>IF(AND('Skill Matrix'!A171&lt;&gt;"",'Skill Matrix'!P5&lt;&gt;""),'Skill Matrix'!P5,"")</f>
        <v/>
      </c>
      <c r="G2653">
        <f>IF(OR(A2653="",'Skill Matrix'!P171=""),"",'Skill Matrix'!P171)</f>
        <v/>
      </c>
      <c r="H2653">
        <f>IF(A2653="","",'Employees'!F16)</f>
        <v/>
      </c>
    </row>
    <row r="2654">
      <c r="A2654">
        <f>IF(AND('Skill Matrix'!A171&lt;&gt;"",'Skill Matrix'!Q5&lt;&gt;""),'Skill Matrix'!A171,"")</f>
        <v/>
      </c>
      <c r="B2654">
        <f>IF(A2654="","",'Employees'!C16)</f>
        <v/>
      </c>
      <c r="C2654">
        <f>IF(A2654="","",'Employees'!D16)</f>
        <v/>
      </c>
      <c r="D2654">
        <f>IF(A2654="","",'Skill Matrix'!C171)</f>
        <v/>
      </c>
      <c r="E2654">
        <f>IF(A2654="","",'Skill Matrix'!D171)</f>
        <v/>
      </c>
      <c r="F2654">
        <f>IF(AND('Skill Matrix'!A171&lt;&gt;"",'Skill Matrix'!Q5&lt;&gt;""),'Skill Matrix'!Q5,"")</f>
        <v/>
      </c>
      <c r="G2654">
        <f>IF(OR(A2654="",'Skill Matrix'!Q171=""),"",'Skill Matrix'!Q171)</f>
        <v/>
      </c>
      <c r="H2654">
        <f>IF(A2654="","",'Employees'!F16)</f>
        <v/>
      </c>
    </row>
    <row r="2655">
      <c r="A2655">
        <f>IF(AND('Skill Matrix'!A171&lt;&gt;"",'Skill Matrix'!R5&lt;&gt;""),'Skill Matrix'!A171,"")</f>
        <v/>
      </c>
      <c r="B2655">
        <f>IF(A2655="","",'Employees'!C16)</f>
        <v/>
      </c>
      <c r="C2655">
        <f>IF(A2655="","",'Employees'!D16)</f>
        <v/>
      </c>
      <c r="D2655">
        <f>IF(A2655="","",'Skill Matrix'!C171)</f>
        <v/>
      </c>
      <c r="E2655">
        <f>IF(A2655="","",'Skill Matrix'!D171)</f>
        <v/>
      </c>
      <c r="F2655">
        <f>IF(AND('Skill Matrix'!A171&lt;&gt;"",'Skill Matrix'!R5&lt;&gt;""),'Skill Matrix'!R5,"")</f>
        <v/>
      </c>
      <c r="G2655">
        <f>IF(OR(A2655="",'Skill Matrix'!R171=""),"",'Skill Matrix'!R171)</f>
        <v/>
      </c>
      <c r="H2655">
        <f>IF(A2655="","",'Employees'!F16)</f>
        <v/>
      </c>
    </row>
    <row r="2656">
      <c r="A2656">
        <f>IF(AND('Skill Matrix'!A171&lt;&gt;"",'Skill Matrix'!S5&lt;&gt;""),'Skill Matrix'!A171,"")</f>
        <v/>
      </c>
      <c r="B2656">
        <f>IF(A2656="","",'Employees'!C16)</f>
        <v/>
      </c>
      <c r="C2656">
        <f>IF(A2656="","",'Employees'!D16)</f>
        <v/>
      </c>
      <c r="D2656">
        <f>IF(A2656="","",'Skill Matrix'!C171)</f>
        <v/>
      </c>
      <c r="E2656">
        <f>IF(A2656="","",'Skill Matrix'!D171)</f>
        <v/>
      </c>
      <c r="F2656">
        <f>IF(AND('Skill Matrix'!A171&lt;&gt;"",'Skill Matrix'!S5&lt;&gt;""),'Skill Matrix'!S5,"")</f>
        <v/>
      </c>
      <c r="G2656">
        <f>IF(OR(A2656="",'Skill Matrix'!S171=""),"",'Skill Matrix'!S171)</f>
        <v/>
      </c>
      <c r="H2656">
        <f>IF(A2656="","",'Employees'!F16)</f>
        <v/>
      </c>
    </row>
    <row r="2657">
      <c r="A2657">
        <f>IF(AND('Skill Matrix'!A171&lt;&gt;"",'Skill Matrix'!T5&lt;&gt;""),'Skill Matrix'!A171,"")</f>
        <v/>
      </c>
      <c r="B2657">
        <f>IF(A2657="","",'Employees'!C16)</f>
        <v/>
      </c>
      <c r="C2657">
        <f>IF(A2657="","",'Employees'!D16)</f>
        <v/>
      </c>
      <c r="D2657">
        <f>IF(A2657="","",'Skill Matrix'!C171)</f>
        <v/>
      </c>
      <c r="E2657">
        <f>IF(A2657="","",'Skill Matrix'!D171)</f>
        <v/>
      </c>
      <c r="F2657">
        <f>IF(AND('Skill Matrix'!A171&lt;&gt;"",'Skill Matrix'!T5&lt;&gt;""),'Skill Matrix'!T5,"")</f>
        <v/>
      </c>
      <c r="G2657">
        <f>IF(OR(A2657="",'Skill Matrix'!T171=""),"",'Skill Matrix'!T171)</f>
        <v/>
      </c>
      <c r="H2657">
        <f>IF(A2657="","",'Employees'!F16)</f>
        <v/>
      </c>
    </row>
    <row r="2658">
      <c r="A2658">
        <f>IF(AND('Skill Matrix'!A172&lt;&gt;"",'Skill Matrix'!E5&lt;&gt;""),'Skill Matrix'!A172,"")</f>
        <v/>
      </c>
      <c r="B2658">
        <f>IF(A2658="","",'Employees'!C16)</f>
        <v/>
      </c>
      <c r="C2658">
        <f>IF(A2658="","",'Employees'!D16)</f>
        <v/>
      </c>
      <c r="D2658">
        <f>IF(A2658="","",'Skill Matrix'!C172)</f>
        <v/>
      </c>
      <c r="E2658">
        <f>IF(A2658="","",'Skill Matrix'!D172)</f>
        <v/>
      </c>
      <c r="F2658">
        <f>IF(AND('Skill Matrix'!A172&lt;&gt;"",'Skill Matrix'!E5&lt;&gt;""),'Skill Matrix'!E5,"")</f>
        <v/>
      </c>
      <c r="G2658">
        <f>IF(OR(A2658="",'Skill Matrix'!E172=""),"",'Skill Matrix'!E172)</f>
        <v/>
      </c>
      <c r="H2658">
        <f>IF(A2658="","",'Employees'!F16)</f>
        <v/>
      </c>
    </row>
    <row r="2659">
      <c r="A2659">
        <f>IF(AND('Skill Matrix'!A172&lt;&gt;"",'Skill Matrix'!F5&lt;&gt;""),'Skill Matrix'!A172,"")</f>
        <v/>
      </c>
      <c r="B2659">
        <f>IF(A2659="","",'Employees'!C16)</f>
        <v/>
      </c>
      <c r="C2659">
        <f>IF(A2659="","",'Employees'!D16)</f>
        <v/>
      </c>
      <c r="D2659">
        <f>IF(A2659="","",'Skill Matrix'!C172)</f>
        <v/>
      </c>
      <c r="E2659">
        <f>IF(A2659="","",'Skill Matrix'!D172)</f>
        <v/>
      </c>
      <c r="F2659">
        <f>IF(AND('Skill Matrix'!A172&lt;&gt;"",'Skill Matrix'!F5&lt;&gt;""),'Skill Matrix'!F5,"")</f>
        <v/>
      </c>
      <c r="G2659">
        <f>IF(OR(A2659="",'Skill Matrix'!F172=""),"",'Skill Matrix'!F172)</f>
        <v/>
      </c>
      <c r="H2659">
        <f>IF(A2659="","",'Employees'!F16)</f>
        <v/>
      </c>
    </row>
    <row r="2660">
      <c r="A2660">
        <f>IF(AND('Skill Matrix'!A172&lt;&gt;"",'Skill Matrix'!G5&lt;&gt;""),'Skill Matrix'!A172,"")</f>
        <v/>
      </c>
      <c r="B2660">
        <f>IF(A2660="","",'Employees'!C16)</f>
        <v/>
      </c>
      <c r="C2660">
        <f>IF(A2660="","",'Employees'!D16)</f>
        <v/>
      </c>
      <c r="D2660">
        <f>IF(A2660="","",'Skill Matrix'!C172)</f>
        <v/>
      </c>
      <c r="E2660">
        <f>IF(A2660="","",'Skill Matrix'!D172)</f>
        <v/>
      </c>
      <c r="F2660">
        <f>IF(AND('Skill Matrix'!A172&lt;&gt;"",'Skill Matrix'!G5&lt;&gt;""),'Skill Matrix'!G5,"")</f>
        <v/>
      </c>
      <c r="G2660">
        <f>IF(OR(A2660="",'Skill Matrix'!G172=""),"",'Skill Matrix'!G172)</f>
        <v/>
      </c>
      <c r="H2660">
        <f>IF(A2660="","",'Employees'!F16)</f>
        <v/>
      </c>
    </row>
    <row r="2661">
      <c r="A2661">
        <f>IF(AND('Skill Matrix'!A172&lt;&gt;"",'Skill Matrix'!H5&lt;&gt;""),'Skill Matrix'!A172,"")</f>
        <v/>
      </c>
      <c r="B2661">
        <f>IF(A2661="","",'Employees'!C16)</f>
        <v/>
      </c>
      <c r="C2661">
        <f>IF(A2661="","",'Employees'!D16)</f>
        <v/>
      </c>
      <c r="D2661">
        <f>IF(A2661="","",'Skill Matrix'!C172)</f>
        <v/>
      </c>
      <c r="E2661">
        <f>IF(A2661="","",'Skill Matrix'!D172)</f>
        <v/>
      </c>
      <c r="F2661">
        <f>IF(AND('Skill Matrix'!A172&lt;&gt;"",'Skill Matrix'!H5&lt;&gt;""),'Skill Matrix'!H5,"")</f>
        <v/>
      </c>
      <c r="G2661">
        <f>IF(OR(A2661="",'Skill Matrix'!H172=""),"",'Skill Matrix'!H172)</f>
        <v/>
      </c>
      <c r="H2661">
        <f>IF(A2661="","",'Employees'!F16)</f>
        <v/>
      </c>
    </row>
    <row r="2662">
      <c r="A2662">
        <f>IF(AND('Skill Matrix'!A172&lt;&gt;"",'Skill Matrix'!I5&lt;&gt;""),'Skill Matrix'!A172,"")</f>
        <v/>
      </c>
      <c r="B2662">
        <f>IF(A2662="","",'Employees'!C16)</f>
        <v/>
      </c>
      <c r="C2662">
        <f>IF(A2662="","",'Employees'!D16)</f>
        <v/>
      </c>
      <c r="D2662">
        <f>IF(A2662="","",'Skill Matrix'!C172)</f>
        <v/>
      </c>
      <c r="E2662">
        <f>IF(A2662="","",'Skill Matrix'!D172)</f>
        <v/>
      </c>
      <c r="F2662">
        <f>IF(AND('Skill Matrix'!A172&lt;&gt;"",'Skill Matrix'!I5&lt;&gt;""),'Skill Matrix'!I5,"")</f>
        <v/>
      </c>
      <c r="G2662">
        <f>IF(OR(A2662="",'Skill Matrix'!I172=""),"",'Skill Matrix'!I172)</f>
        <v/>
      </c>
      <c r="H2662">
        <f>IF(A2662="","",'Employees'!F16)</f>
        <v/>
      </c>
    </row>
    <row r="2663">
      <c r="A2663">
        <f>IF(AND('Skill Matrix'!A172&lt;&gt;"",'Skill Matrix'!J5&lt;&gt;""),'Skill Matrix'!A172,"")</f>
        <v/>
      </c>
      <c r="B2663">
        <f>IF(A2663="","",'Employees'!C16)</f>
        <v/>
      </c>
      <c r="C2663">
        <f>IF(A2663="","",'Employees'!D16)</f>
        <v/>
      </c>
      <c r="D2663">
        <f>IF(A2663="","",'Skill Matrix'!C172)</f>
        <v/>
      </c>
      <c r="E2663">
        <f>IF(A2663="","",'Skill Matrix'!D172)</f>
        <v/>
      </c>
      <c r="F2663">
        <f>IF(AND('Skill Matrix'!A172&lt;&gt;"",'Skill Matrix'!J5&lt;&gt;""),'Skill Matrix'!J5,"")</f>
        <v/>
      </c>
      <c r="G2663">
        <f>IF(OR(A2663="",'Skill Matrix'!J172=""),"",'Skill Matrix'!J172)</f>
        <v/>
      </c>
      <c r="H2663">
        <f>IF(A2663="","",'Employees'!F16)</f>
        <v/>
      </c>
    </row>
    <row r="2664">
      <c r="A2664">
        <f>IF(AND('Skill Matrix'!A172&lt;&gt;"",'Skill Matrix'!K5&lt;&gt;""),'Skill Matrix'!A172,"")</f>
        <v/>
      </c>
      <c r="B2664">
        <f>IF(A2664="","",'Employees'!C16)</f>
        <v/>
      </c>
      <c r="C2664">
        <f>IF(A2664="","",'Employees'!D16)</f>
        <v/>
      </c>
      <c r="D2664">
        <f>IF(A2664="","",'Skill Matrix'!C172)</f>
        <v/>
      </c>
      <c r="E2664">
        <f>IF(A2664="","",'Skill Matrix'!D172)</f>
        <v/>
      </c>
      <c r="F2664">
        <f>IF(AND('Skill Matrix'!A172&lt;&gt;"",'Skill Matrix'!K5&lt;&gt;""),'Skill Matrix'!K5,"")</f>
        <v/>
      </c>
      <c r="G2664">
        <f>IF(OR(A2664="",'Skill Matrix'!K172=""),"",'Skill Matrix'!K172)</f>
        <v/>
      </c>
      <c r="H2664">
        <f>IF(A2664="","",'Employees'!F16)</f>
        <v/>
      </c>
    </row>
    <row r="2665">
      <c r="A2665">
        <f>IF(AND('Skill Matrix'!A172&lt;&gt;"",'Skill Matrix'!L5&lt;&gt;""),'Skill Matrix'!A172,"")</f>
        <v/>
      </c>
      <c r="B2665">
        <f>IF(A2665="","",'Employees'!C16)</f>
        <v/>
      </c>
      <c r="C2665">
        <f>IF(A2665="","",'Employees'!D16)</f>
        <v/>
      </c>
      <c r="D2665">
        <f>IF(A2665="","",'Skill Matrix'!C172)</f>
        <v/>
      </c>
      <c r="E2665">
        <f>IF(A2665="","",'Skill Matrix'!D172)</f>
        <v/>
      </c>
      <c r="F2665">
        <f>IF(AND('Skill Matrix'!A172&lt;&gt;"",'Skill Matrix'!L5&lt;&gt;""),'Skill Matrix'!L5,"")</f>
        <v/>
      </c>
      <c r="G2665">
        <f>IF(OR(A2665="",'Skill Matrix'!L172=""),"",'Skill Matrix'!L172)</f>
        <v/>
      </c>
      <c r="H2665">
        <f>IF(A2665="","",'Employees'!F16)</f>
        <v/>
      </c>
    </row>
    <row r="2666">
      <c r="A2666">
        <f>IF(AND('Skill Matrix'!A172&lt;&gt;"",'Skill Matrix'!M5&lt;&gt;""),'Skill Matrix'!A172,"")</f>
        <v/>
      </c>
      <c r="B2666">
        <f>IF(A2666="","",'Employees'!C16)</f>
        <v/>
      </c>
      <c r="C2666">
        <f>IF(A2666="","",'Employees'!D16)</f>
        <v/>
      </c>
      <c r="D2666">
        <f>IF(A2666="","",'Skill Matrix'!C172)</f>
        <v/>
      </c>
      <c r="E2666">
        <f>IF(A2666="","",'Skill Matrix'!D172)</f>
        <v/>
      </c>
      <c r="F2666">
        <f>IF(AND('Skill Matrix'!A172&lt;&gt;"",'Skill Matrix'!M5&lt;&gt;""),'Skill Matrix'!M5,"")</f>
        <v/>
      </c>
      <c r="G2666">
        <f>IF(OR(A2666="",'Skill Matrix'!M172=""),"",'Skill Matrix'!M172)</f>
        <v/>
      </c>
      <c r="H2666">
        <f>IF(A2666="","",'Employees'!F16)</f>
        <v/>
      </c>
    </row>
    <row r="2667">
      <c r="A2667">
        <f>IF(AND('Skill Matrix'!A172&lt;&gt;"",'Skill Matrix'!N5&lt;&gt;""),'Skill Matrix'!A172,"")</f>
        <v/>
      </c>
      <c r="B2667">
        <f>IF(A2667="","",'Employees'!C16)</f>
        <v/>
      </c>
      <c r="C2667">
        <f>IF(A2667="","",'Employees'!D16)</f>
        <v/>
      </c>
      <c r="D2667">
        <f>IF(A2667="","",'Skill Matrix'!C172)</f>
        <v/>
      </c>
      <c r="E2667">
        <f>IF(A2667="","",'Skill Matrix'!D172)</f>
        <v/>
      </c>
      <c r="F2667">
        <f>IF(AND('Skill Matrix'!A172&lt;&gt;"",'Skill Matrix'!N5&lt;&gt;""),'Skill Matrix'!N5,"")</f>
        <v/>
      </c>
      <c r="G2667">
        <f>IF(OR(A2667="",'Skill Matrix'!N172=""),"",'Skill Matrix'!N172)</f>
        <v/>
      </c>
      <c r="H2667">
        <f>IF(A2667="","",'Employees'!F16)</f>
        <v/>
      </c>
    </row>
    <row r="2668">
      <c r="A2668">
        <f>IF(AND('Skill Matrix'!A172&lt;&gt;"",'Skill Matrix'!O5&lt;&gt;""),'Skill Matrix'!A172,"")</f>
        <v/>
      </c>
      <c r="B2668">
        <f>IF(A2668="","",'Employees'!C16)</f>
        <v/>
      </c>
      <c r="C2668">
        <f>IF(A2668="","",'Employees'!D16)</f>
        <v/>
      </c>
      <c r="D2668">
        <f>IF(A2668="","",'Skill Matrix'!C172)</f>
        <v/>
      </c>
      <c r="E2668">
        <f>IF(A2668="","",'Skill Matrix'!D172)</f>
        <v/>
      </c>
      <c r="F2668">
        <f>IF(AND('Skill Matrix'!A172&lt;&gt;"",'Skill Matrix'!O5&lt;&gt;""),'Skill Matrix'!O5,"")</f>
        <v/>
      </c>
      <c r="G2668">
        <f>IF(OR(A2668="",'Skill Matrix'!O172=""),"",'Skill Matrix'!O172)</f>
        <v/>
      </c>
      <c r="H2668">
        <f>IF(A2668="","",'Employees'!F16)</f>
        <v/>
      </c>
    </row>
    <row r="2669">
      <c r="A2669">
        <f>IF(AND('Skill Matrix'!A172&lt;&gt;"",'Skill Matrix'!P5&lt;&gt;""),'Skill Matrix'!A172,"")</f>
        <v/>
      </c>
      <c r="B2669">
        <f>IF(A2669="","",'Employees'!C16)</f>
        <v/>
      </c>
      <c r="C2669">
        <f>IF(A2669="","",'Employees'!D16)</f>
        <v/>
      </c>
      <c r="D2669">
        <f>IF(A2669="","",'Skill Matrix'!C172)</f>
        <v/>
      </c>
      <c r="E2669">
        <f>IF(A2669="","",'Skill Matrix'!D172)</f>
        <v/>
      </c>
      <c r="F2669">
        <f>IF(AND('Skill Matrix'!A172&lt;&gt;"",'Skill Matrix'!P5&lt;&gt;""),'Skill Matrix'!P5,"")</f>
        <v/>
      </c>
      <c r="G2669">
        <f>IF(OR(A2669="",'Skill Matrix'!P172=""),"",'Skill Matrix'!P172)</f>
        <v/>
      </c>
      <c r="H2669">
        <f>IF(A2669="","",'Employees'!F16)</f>
        <v/>
      </c>
    </row>
    <row r="2670">
      <c r="A2670">
        <f>IF(AND('Skill Matrix'!A172&lt;&gt;"",'Skill Matrix'!Q5&lt;&gt;""),'Skill Matrix'!A172,"")</f>
        <v/>
      </c>
      <c r="B2670">
        <f>IF(A2670="","",'Employees'!C16)</f>
        <v/>
      </c>
      <c r="C2670">
        <f>IF(A2670="","",'Employees'!D16)</f>
        <v/>
      </c>
      <c r="D2670">
        <f>IF(A2670="","",'Skill Matrix'!C172)</f>
        <v/>
      </c>
      <c r="E2670">
        <f>IF(A2670="","",'Skill Matrix'!D172)</f>
        <v/>
      </c>
      <c r="F2670">
        <f>IF(AND('Skill Matrix'!A172&lt;&gt;"",'Skill Matrix'!Q5&lt;&gt;""),'Skill Matrix'!Q5,"")</f>
        <v/>
      </c>
      <c r="G2670">
        <f>IF(OR(A2670="",'Skill Matrix'!Q172=""),"",'Skill Matrix'!Q172)</f>
        <v/>
      </c>
      <c r="H2670">
        <f>IF(A2670="","",'Employees'!F16)</f>
        <v/>
      </c>
    </row>
    <row r="2671">
      <c r="A2671">
        <f>IF(AND('Skill Matrix'!A172&lt;&gt;"",'Skill Matrix'!R5&lt;&gt;""),'Skill Matrix'!A172,"")</f>
        <v/>
      </c>
      <c r="B2671">
        <f>IF(A2671="","",'Employees'!C16)</f>
        <v/>
      </c>
      <c r="C2671">
        <f>IF(A2671="","",'Employees'!D16)</f>
        <v/>
      </c>
      <c r="D2671">
        <f>IF(A2671="","",'Skill Matrix'!C172)</f>
        <v/>
      </c>
      <c r="E2671">
        <f>IF(A2671="","",'Skill Matrix'!D172)</f>
        <v/>
      </c>
      <c r="F2671">
        <f>IF(AND('Skill Matrix'!A172&lt;&gt;"",'Skill Matrix'!R5&lt;&gt;""),'Skill Matrix'!R5,"")</f>
        <v/>
      </c>
      <c r="G2671">
        <f>IF(OR(A2671="",'Skill Matrix'!R172=""),"",'Skill Matrix'!R172)</f>
        <v/>
      </c>
      <c r="H2671">
        <f>IF(A2671="","",'Employees'!F16)</f>
        <v/>
      </c>
    </row>
    <row r="2672">
      <c r="A2672">
        <f>IF(AND('Skill Matrix'!A172&lt;&gt;"",'Skill Matrix'!S5&lt;&gt;""),'Skill Matrix'!A172,"")</f>
        <v/>
      </c>
      <c r="B2672">
        <f>IF(A2672="","",'Employees'!C16)</f>
        <v/>
      </c>
      <c r="C2672">
        <f>IF(A2672="","",'Employees'!D16)</f>
        <v/>
      </c>
      <c r="D2672">
        <f>IF(A2672="","",'Skill Matrix'!C172)</f>
        <v/>
      </c>
      <c r="E2672">
        <f>IF(A2672="","",'Skill Matrix'!D172)</f>
        <v/>
      </c>
      <c r="F2672">
        <f>IF(AND('Skill Matrix'!A172&lt;&gt;"",'Skill Matrix'!S5&lt;&gt;""),'Skill Matrix'!S5,"")</f>
        <v/>
      </c>
      <c r="G2672">
        <f>IF(OR(A2672="",'Skill Matrix'!S172=""),"",'Skill Matrix'!S172)</f>
        <v/>
      </c>
      <c r="H2672">
        <f>IF(A2672="","",'Employees'!F16)</f>
        <v/>
      </c>
    </row>
    <row r="2673">
      <c r="A2673">
        <f>IF(AND('Skill Matrix'!A172&lt;&gt;"",'Skill Matrix'!T5&lt;&gt;""),'Skill Matrix'!A172,"")</f>
        <v/>
      </c>
      <c r="B2673">
        <f>IF(A2673="","",'Employees'!C16)</f>
        <v/>
      </c>
      <c r="C2673">
        <f>IF(A2673="","",'Employees'!D16)</f>
        <v/>
      </c>
      <c r="D2673">
        <f>IF(A2673="","",'Skill Matrix'!C172)</f>
        <v/>
      </c>
      <c r="E2673">
        <f>IF(A2673="","",'Skill Matrix'!D172)</f>
        <v/>
      </c>
      <c r="F2673">
        <f>IF(AND('Skill Matrix'!A172&lt;&gt;"",'Skill Matrix'!T5&lt;&gt;""),'Skill Matrix'!T5,"")</f>
        <v/>
      </c>
      <c r="G2673">
        <f>IF(OR(A2673="",'Skill Matrix'!T172=""),"",'Skill Matrix'!T172)</f>
        <v/>
      </c>
      <c r="H2673">
        <f>IF(A2673="","",'Employees'!F16)</f>
        <v/>
      </c>
    </row>
    <row r="2674">
      <c r="A2674">
        <f>IF(AND('Skill Matrix'!A173&lt;&gt;"",'Skill Matrix'!E5&lt;&gt;""),'Skill Matrix'!A173,"")</f>
        <v/>
      </c>
      <c r="B2674">
        <f>IF(A2674="","",'Employees'!C16)</f>
        <v/>
      </c>
      <c r="C2674">
        <f>IF(A2674="","",'Employees'!D16)</f>
        <v/>
      </c>
      <c r="D2674">
        <f>IF(A2674="","",'Skill Matrix'!C173)</f>
        <v/>
      </c>
      <c r="E2674">
        <f>IF(A2674="","",'Skill Matrix'!D173)</f>
        <v/>
      </c>
      <c r="F2674">
        <f>IF(AND('Skill Matrix'!A173&lt;&gt;"",'Skill Matrix'!E5&lt;&gt;""),'Skill Matrix'!E5,"")</f>
        <v/>
      </c>
      <c r="G2674">
        <f>IF(OR(A2674="",'Skill Matrix'!E173=""),"",'Skill Matrix'!E173)</f>
        <v/>
      </c>
      <c r="H2674">
        <f>IF(A2674="","",'Employees'!F16)</f>
        <v/>
      </c>
    </row>
    <row r="2675">
      <c r="A2675">
        <f>IF(AND('Skill Matrix'!A173&lt;&gt;"",'Skill Matrix'!F5&lt;&gt;""),'Skill Matrix'!A173,"")</f>
        <v/>
      </c>
      <c r="B2675">
        <f>IF(A2675="","",'Employees'!C16)</f>
        <v/>
      </c>
      <c r="C2675">
        <f>IF(A2675="","",'Employees'!D16)</f>
        <v/>
      </c>
      <c r="D2675">
        <f>IF(A2675="","",'Skill Matrix'!C173)</f>
        <v/>
      </c>
      <c r="E2675">
        <f>IF(A2675="","",'Skill Matrix'!D173)</f>
        <v/>
      </c>
      <c r="F2675">
        <f>IF(AND('Skill Matrix'!A173&lt;&gt;"",'Skill Matrix'!F5&lt;&gt;""),'Skill Matrix'!F5,"")</f>
        <v/>
      </c>
      <c r="G2675">
        <f>IF(OR(A2675="",'Skill Matrix'!F173=""),"",'Skill Matrix'!F173)</f>
        <v/>
      </c>
      <c r="H2675">
        <f>IF(A2675="","",'Employees'!F16)</f>
        <v/>
      </c>
    </row>
    <row r="2676">
      <c r="A2676">
        <f>IF(AND('Skill Matrix'!A173&lt;&gt;"",'Skill Matrix'!G5&lt;&gt;""),'Skill Matrix'!A173,"")</f>
        <v/>
      </c>
      <c r="B2676">
        <f>IF(A2676="","",'Employees'!C16)</f>
        <v/>
      </c>
      <c r="C2676">
        <f>IF(A2676="","",'Employees'!D16)</f>
        <v/>
      </c>
      <c r="D2676">
        <f>IF(A2676="","",'Skill Matrix'!C173)</f>
        <v/>
      </c>
      <c r="E2676">
        <f>IF(A2676="","",'Skill Matrix'!D173)</f>
        <v/>
      </c>
      <c r="F2676">
        <f>IF(AND('Skill Matrix'!A173&lt;&gt;"",'Skill Matrix'!G5&lt;&gt;""),'Skill Matrix'!G5,"")</f>
        <v/>
      </c>
      <c r="G2676">
        <f>IF(OR(A2676="",'Skill Matrix'!G173=""),"",'Skill Matrix'!G173)</f>
        <v/>
      </c>
      <c r="H2676">
        <f>IF(A2676="","",'Employees'!F16)</f>
        <v/>
      </c>
    </row>
    <row r="2677">
      <c r="A2677">
        <f>IF(AND('Skill Matrix'!A173&lt;&gt;"",'Skill Matrix'!H5&lt;&gt;""),'Skill Matrix'!A173,"")</f>
        <v/>
      </c>
      <c r="B2677">
        <f>IF(A2677="","",'Employees'!C16)</f>
        <v/>
      </c>
      <c r="C2677">
        <f>IF(A2677="","",'Employees'!D16)</f>
        <v/>
      </c>
      <c r="D2677">
        <f>IF(A2677="","",'Skill Matrix'!C173)</f>
        <v/>
      </c>
      <c r="E2677">
        <f>IF(A2677="","",'Skill Matrix'!D173)</f>
        <v/>
      </c>
      <c r="F2677">
        <f>IF(AND('Skill Matrix'!A173&lt;&gt;"",'Skill Matrix'!H5&lt;&gt;""),'Skill Matrix'!H5,"")</f>
        <v/>
      </c>
      <c r="G2677">
        <f>IF(OR(A2677="",'Skill Matrix'!H173=""),"",'Skill Matrix'!H173)</f>
        <v/>
      </c>
      <c r="H2677">
        <f>IF(A2677="","",'Employees'!F16)</f>
        <v/>
      </c>
    </row>
    <row r="2678">
      <c r="A2678">
        <f>IF(AND('Skill Matrix'!A173&lt;&gt;"",'Skill Matrix'!I5&lt;&gt;""),'Skill Matrix'!A173,"")</f>
        <v/>
      </c>
      <c r="B2678">
        <f>IF(A2678="","",'Employees'!C16)</f>
        <v/>
      </c>
      <c r="C2678">
        <f>IF(A2678="","",'Employees'!D16)</f>
        <v/>
      </c>
      <c r="D2678">
        <f>IF(A2678="","",'Skill Matrix'!C173)</f>
        <v/>
      </c>
      <c r="E2678">
        <f>IF(A2678="","",'Skill Matrix'!D173)</f>
        <v/>
      </c>
      <c r="F2678">
        <f>IF(AND('Skill Matrix'!A173&lt;&gt;"",'Skill Matrix'!I5&lt;&gt;""),'Skill Matrix'!I5,"")</f>
        <v/>
      </c>
      <c r="G2678">
        <f>IF(OR(A2678="",'Skill Matrix'!I173=""),"",'Skill Matrix'!I173)</f>
        <v/>
      </c>
      <c r="H2678">
        <f>IF(A2678="","",'Employees'!F16)</f>
        <v/>
      </c>
    </row>
    <row r="2679">
      <c r="A2679">
        <f>IF(AND('Skill Matrix'!A173&lt;&gt;"",'Skill Matrix'!J5&lt;&gt;""),'Skill Matrix'!A173,"")</f>
        <v/>
      </c>
      <c r="B2679">
        <f>IF(A2679="","",'Employees'!C16)</f>
        <v/>
      </c>
      <c r="C2679">
        <f>IF(A2679="","",'Employees'!D16)</f>
        <v/>
      </c>
      <c r="D2679">
        <f>IF(A2679="","",'Skill Matrix'!C173)</f>
        <v/>
      </c>
      <c r="E2679">
        <f>IF(A2679="","",'Skill Matrix'!D173)</f>
        <v/>
      </c>
      <c r="F2679">
        <f>IF(AND('Skill Matrix'!A173&lt;&gt;"",'Skill Matrix'!J5&lt;&gt;""),'Skill Matrix'!J5,"")</f>
        <v/>
      </c>
      <c r="G2679">
        <f>IF(OR(A2679="",'Skill Matrix'!J173=""),"",'Skill Matrix'!J173)</f>
        <v/>
      </c>
      <c r="H2679">
        <f>IF(A2679="","",'Employees'!F16)</f>
        <v/>
      </c>
    </row>
    <row r="2680">
      <c r="A2680">
        <f>IF(AND('Skill Matrix'!A173&lt;&gt;"",'Skill Matrix'!K5&lt;&gt;""),'Skill Matrix'!A173,"")</f>
        <v/>
      </c>
      <c r="B2680">
        <f>IF(A2680="","",'Employees'!C16)</f>
        <v/>
      </c>
      <c r="C2680">
        <f>IF(A2680="","",'Employees'!D16)</f>
        <v/>
      </c>
      <c r="D2680">
        <f>IF(A2680="","",'Skill Matrix'!C173)</f>
        <v/>
      </c>
      <c r="E2680">
        <f>IF(A2680="","",'Skill Matrix'!D173)</f>
        <v/>
      </c>
      <c r="F2680">
        <f>IF(AND('Skill Matrix'!A173&lt;&gt;"",'Skill Matrix'!K5&lt;&gt;""),'Skill Matrix'!K5,"")</f>
        <v/>
      </c>
      <c r="G2680">
        <f>IF(OR(A2680="",'Skill Matrix'!K173=""),"",'Skill Matrix'!K173)</f>
        <v/>
      </c>
      <c r="H2680">
        <f>IF(A2680="","",'Employees'!F16)</f>
        <v/>
      </c>
    </row>
    <row r="2681">
      <c r="A2681">
        <f>IF(AND('Skill Matrix'!A173&lt;&gt;"",'Skill Matrix'!L5&lt;&gt;""),'Skill Matrix'!A173,"")</f>
        <v/>
      </c>
      <c r="B2681">
        <f>IF(A2681="","",'Employees'!C16)</f>
        <v/>
      </c>
      <c r="C2681">
        <f>IF(A2681="","",'Employees'!D16)</f>
        <v/>
      </c>
      <c r="D2681">
        <f>IF(A2681="","",'Skill Matrix'!C173)</f>
        <v/>
      </c>
      <c r="E2681">
        <f>IF(A2681="","",'Skill Matrix'!D173)</f>
        <v/>
      </c>
      <c r="F2681">
        <f>IF(AND('Skill Matrix'!A173&lt;&gt;"",'Skill Matrix'!L5&lt;&gt;""),'Skill Matrix'!L5,"")</f>
        <v/>
      </c>
      <c r="G2681">
        <f>IF(OR(A2681="",'Skill Matrix'!L173=""),"",'Skill Matrix'!L173)</f>
        <v/>
      </c>
      <c r="H2681">
        <f>IF(A2681="","",'Employees'!F16)</f>
        <v/>
      </c>
    </row>
    <row r="2682">
      <c r="A2682">
        <f>IF(AND('Skill Matrix'!A173&lt;&gt;"",'Skill Matrix'!M5&lt;&gt;""),'Skill Matrix'!A173,"")</f>
        <v/>
      </c>
      <c r="B2682">
        <f>IF(A2682="","",'Employees'!C16)</f>
        <v/>
      </c>
      <c r="C2682">
        <f>IF(A2682="","",'Employees'!D16)</f>
        <v/>
      </c>
      <c r="D2682">
        <f>IF(A2682="","",'Skill Matrix'!C173)</f>
        <v/>
      </c>
      <c r="E2682">
        <f>IF(A2682="","",'Skill Matrix'!D173)</f>
        <v/>
      </c>
      <c r="F2682">
        <f>IF(AND('Skill Matrix'!A173&lt;&gt;"",'Skill Matrix'!M5&lt;&gt;""),'Skill Matrix'!M5,"")</f>
        <v/>
      </c>
      <c r="G2682">
        <f>IF(OR(A2682="",'Skill Matrix'!M173=""),"",'Skill Matrix'!M173)</f>
        <v/>
      </c>
      <c r="H2682">
        <f>IF(A2682="","",'Employees'!F16)</f>
        <v/>
      </c>
    </row>
    <row r="2683">
      <c r="A2683">
        <f>IF(AND('Skill Matrix'!A173&lt;&gt;"",'Skill Matrix'!N5&lt;&gt;""),'Skill Matrix'!A173,"")</f>
        <v/>
      </c>
      <c r="B2683">
        <f>IF(A2683="","",'Employees'!C16)</f>
        <v/>
      </c>
      <c r="C2683">
        <f>IF(A2683="","",'Employees'!D16)</f>
        <v/>
      </c>
      <c r="D2683">
        <f>IF(A2683="","",'Skill Matrix'!C173)</f>
        <v/>
      </c>
      <c r="E2683">
        <f>IF(A2683="","",'Skill Matrix'!D173)</f>
        <v/>
      </c>
      <c r="F2683">
        <f>IF(AND('Skill Matrix'!A173&lt;&gt;"",'Skill Matrix'!N5&lt;&gt;""),'Skill Matrix'!N5,"")</f>
        <v/>
      </c>
      <c r="G2683">
        <f>IF(OR(A2683="",'Skill Matrix'!N173=""),"",'Skill Matrix'!N173)</f>
        <v/>
      </c>
      <c r="H2683">
        <f>IF(A2683="","",'Employees'!F16)</f>
        <v/>
      </c>
    </row>
    <row r="2684">
      <c r="A2684">
        <f>IF(AND('Skill Matrix'!A173&lt;&gt;"",'Skill Matrix'!O5&lt;&gt;""),'Skill Matrix'!A173,"")</f>
        <v/>
      </c>
      <c r="B2684">
        <f>IF(A2684="","",'Employees'!C16)</f>
        <v/>
      </c>
      <c r="C2684">
        <f>IF(A2684="","",'Employees'!D16)</f>
        <v/>
      </c>
      <c r="D2684">
        <f>IF(A2684="","",'Skill Matrix'!C173)</f>
        <v/>
      </c>
      <c r="E2684">
        <f>IF(A2684="","",'Skill Matrix'!D173)</f>
        <v/>
      </c>
      <c r="F2684">
        <f>IF(AND('Skill Matrix'!A173&lt;&gt;"",'Skill Matrix'!O5&lt;&gt;""),'Skill Matrix'!O5,"")</f>
        <v/>
      </c>
      <c r="G2684">
        <f>IF(OR(A2684="",'Skill Matrix'!O173=""),"",'Skill Matrix'!O173)</f>
        <v/>
      </c>
      <c r="H2684">
        <f>IF(A2684="","",'Employees'!F16)</f>
        <v/>
      </c>
    </row>
    <row r="2685">
      <c r="A2685">
        <f>IF(AND('Skill Matrix'!A173&lt;&gt;"",'Skill Matrix'!P5&lt;&gt;""),'Skill Matrix'!A173,"")</f>
        <v/>
      </c>
      <c r="B2685">
        <f>IF(A2685="","",'Employees'!C16)</f>
        <v/>
      </c>
      <c r="C2685">
        <f>IF(A2685="","",'Employees'!D16)</f>
        <v/>
      </c>
      <c r="D2685">
        <f>IF(A2685="","",'Skill Matrix'!C173)</f>
        <v/>
      </c>
      <c r="E2685">
        <f>IF(A2685="","",'Skill Matrix'!D173)</f>
        <v/>
      </c>
      <c r="F2685">
        <f>IF(AND('Skill Matrix'!A173&lt;&gt;"",'Skill Matrix'!P5&lt;&gt;""),'Skill Matrix'!P5,"")</f>
        <v/>
      </c>
      <c r="G2685">
        <f>IF(OR(A2685="",'Skill Matrix'!P173=""),"",'Skill Matrix'!P173)</f>
        <v/>
      </c>
      <c r="H2685">
        <f>IF(A2685="","",'Employees'!F16)</f>
        <v/>
      </c>
    </row>
    <row r="2686">
      <c r="A2686">
        <f>IF(AND('Skill Matrix'!A173&lt;&gt;"",'Skill Matrix'!Q5&lt;&gt;""),'Skill Matrix'!A173,"")</f>
        <v/>
      </c>
      <c r="B2686">
        <f>IF(A2686="","",'Employees'!C16)</f>
        <v/>
      </c>
      <c r="C2686">
        <f>IF(A2686="","",'Employees'!D16)</f>
        <v/>
      </c>
      <c r="D2686">
        <f>IF(A2686="","",'Skill Matrix'!C173)</f>
        <v/>
      </c>
      <c r="E2686">
        <f>IF(A2686="","",'Skill Matrix'!D173)</f>
        <v/>
      </c>
      <c r="F2686">
        <f>IF(AND('Skill Matrix'!A173&lt;&gt;"",'Skill Matrix'!Q5&lt;&gt;""),'Skill Matrix'!Q5,"")</f>
        <v/>
      </c>
      <c r="G2686">
        <f>IF(OR(A2686="",'Skill Matrix'!Q173=""),"",'Skill Matrix'!Q173)</f>
        <v/>
      </c>
      <c r="H2686">
        <f>IF(A2686="","",'Employees'!F16)</f>
        <v/>
      </c>
    </row>
    <row r="2687">
      <c r="A2687">
        <f>IF(AND('Skill Matrix'!A173&lt;&gt;"",'Skill Matrix'!R5&lt;&gt;""),'Skill Matrix'!A173,"")</f>
        <v/>
      </c>
      <c r="B2687">
        <f>IF(A2687="","",'Employees'!C16)</f>
        <v/>
      </c>
      <c r="C2687">
        <f>IF(A2687="","",'Employees'!D16)</f>
        <v/>
      </c>
      <c r="D2687">
        <f>IF(A2687="","",'Skill Matrix'!C173)</f>
        <v/>
      </c>
      <c r="E2687">
        <f>IF(A2687="","",'Skill Matrix'!D173)</f>
        <v/>
      </c>
      <c r="F2687">
        <f>IF(AND('Skill Matrix'!A173&lt;&gt;"",'Skill Matrix'!R5&lt;&gt;""),'Skill Matrix'!R5,"")</f>
        <v/>
      </c>
      <c r="G2687">
        <f>IF(OR(A2687="",'Skill Matrix'!R173=""),"",'Skill Matrix'!R173)</f>
        <v/>
      </c>
      <c r="H2687">
        <f>IF(A2687="","",'Employees'!F16)</f>
        <v/>
      </c>
    </row>
    <row r="2688">
      <c r="A2688">
        <f>IF(AND('Skill Matrix'!A173&lt;&gt;"",'Skill Matrix'!S5&lt;&gt;""),'Skill Matrix'!A173,"")</f>
        <v/>
      </c>
      <c r="B2688">
        <f>IF(A2688="","",'Employees'!C16)</f>
        <v/>
      </c>
      <c r="C2688">
        <f>IF(A2688="","",'Employees'!D16)</f>
        <v/>
      </c>
      <c r="D2688">
        <f>IF(A2688="","",'Skill Matrix'!C173)</f>
        <v/>
      </c>
      <c r="E2688">
        <f>IF(A2688="","",'Skill Matrix'!D173)</f>
        <v/>
      </c>
      <c r="F2688">
        <f>IF(AND('Skill Matrix'!A173&lt;&gt;"",'Skill Matrix'!S5&lt;&gt;""),'Skill Matrix'!S5,"")</f>
        <v/>
      </c>
      <c r="G2688">
        <f>IF(OR(A2688="",'Skill Matrix'!S173=""),"",'Skill Matrix'!S173)</f>
        <v/>
      </c>
      <c r="H2688">
        <f>IF(A2688="","",'Employees'!F16)</f>
        <v/>
      </c>
    </row>
    <row r="2689">
      <c r="A2689">
        <f>IF(AND('Skill Matrix'!A173&lt;&gt;"",'Skill Matrix'!T5&lt;&gt;""),'Skill Matrix'!A173,"")</f>
        <v/>
      </c>
      <c r="B2689">
        <f>IF(A2689="","",'Employees'!C16)</f>
        <v/>
      </c>
      <c r="C2689">
        <f>IF(A2689="","",'Employees'!D16)</f>
        <v/>
      </c>
      <c r="D2689">
        <f>IF(A2689="","",'Skill Matrix'!C173)</f>
        <v/>
      </c>
      <c r="E2689">
        <f>IF(A2689="","",'Skill Matrix'!D173)</f>
        <v/>
      </c>
      <c r="F2689">
        <f>IF(AND('Skill Matrix'!A173&lt;&gt;"",'Skill Matrix'!T5&lt;&gt;""),'Skill Matrix'!T5,"")</f>
        <v/>
      </c>
      <c r="G2689">
        <f>IF(OR(A2689="",'Skill Matrix'!T173=""),"",'Skill Matrix'!T173)</f>
        <v/>
      </c>
      <c r="H2689">
        <f>IF(A2689="","",'Employees'!F16)</f>
        <v/>
      </c>
    </row>
    <row r="2690">
      <c r="A2690">
        <f>IF(AND('Skill Matrix'!A174&lt;&gt;"",'Skill Matrix'!E5&lt;&gt;""),'Skill Matrix'!A174,"")</f>
        <v/>
      </c>
      <c r="B2690">
        <f>IF(A2690="","",'Employees'!C16)</f>
        <v/>
      </c>
      <c r="C2690">
        <f>IF(A2690="","",'Employees'!D16)</f>
        <v/>
      </c>
      <c r="D2690">
        <f>IF(A2690="","",'Skill Matrix'!C174)</f>
        <v/>
      </c>
      <c r="E2690">
        <f>IF(A2690="","",'Skill Matrix'!D174)</f>
        <v/>
      </c>
      <c r="F2690">
        <f>IF(AND('Skill Matrix'!A174&lt;&gt;"",'Skill Matrix'!E5&lt;&gt;""),'Skill Matrix'!E5,"")</f>
        <v/>
      </c>
      <c r="G2690">
        <f>IF(OR(A2690="",'Skill Matrix'!E174=""),"",'Skill Matrix'!E174)</f>
        <v/>
      </c>
      <c r="H2690">
        <f>IF(A2690="","",'Employees'!F16)</f>
        <v/>
      </c>
    </row>
    <row r="2691">
      <c r="A2691">
        <f>IF(AND('Skill Matrix'!A174&lt;&gt;"",'Skill Matrix'!F5&lt;&gt;""),'Skill Matrix'!A174,"")</f>
        <v/>
      </c>
      <c r="B2691">
        <f>IF(A2691="","",'Employees'!C16)</f>
        <v/>
      </c>
      <c r="C2691">
        <f>IF(A2691="","",'Employees'!D16)</f>
        <v/>
      </c>
      <c r="D2691">
        <f>IF(A2691="","",'Skill Matrix'!C174)</f>
        <v/>
      </c>
      <c r="E2691">
        <f>IF(A2691="","",'Skill Matrix'!D174)</f>
        <v/>
      </c>
      <c r="F2691">
        <f>IF(AND('Skill Matrix'!A174&lt;&gt;"",'Skill Matrix'!F5&lt;&gt;""),'Skill Matrix'!F5,"")</f>
        <v/>
      </c>
      <c r="G2691">
        <f>IF(OR(A2691="",'Skill Matrix'!F174=""),"",'Skill Matrix'!F174)</f>
        <v/>
      </c>
      <c r="H2691">
        <f>IF(A2691="","",'Employees'!F16)</f>
        <v/>
      </c>
    </row>
    <row r="2692">
      <c r="A2692">
        <f>IF(AND('Skill Matrix'!A174&lt;&gt;"",'Skill Matrix'!G5&lt;&gt;""),'Skill Matrix'!A174,"")</f>
        <v/>
      </c>
      <c r="B2692">
        <f>IF(A2692="","",'Employees'!C16)</f>
        <v/>
      </c>
      <c r="C2692">
        <f>IF(A2692="","",'Employees'!D16)</f>
        <v/>
      </c>
      <c r="D2692">
        <f>IF(A2692="","",'Skill Matrix'!C174)</f>
        <v/>
      </c>
      <c r="E2692">
        <f>IF(A2692="","",'Skill Matrix'!D174)</f>
        <v/>
      </c>
      <c r="F2692">
        <f>IF(AND('Skill Matrix'!A174&lt;&gt;"",'Skill Matrix'!G5&lt;&gt;""),'Skill Matrix'!G5,"")</f>
        <v/>
      </c>
      <c r="G2692">
        <f>IF(OR(A2692="",'Skill Matrix'!G174=""),"",'Skill Matrix'!G174)</f>
        <v/>
      </c>
      <c r="H2692">
        <f>IF(A2692="","",'Employees'!F16)</f>
        <v/>
      </c>
    </row>
    <row r="2693">
      <c r="A2693">
        <f>IF(AND('Skill Matrix'!A174&lt;&gt;"",'Skill Matrix'!H5&lt;&gt;""),'Skill Matrix'!A174,"")</f>
        <v/>
      </c>
      <c r="B2693">
        <f>IF(A2693="","",'Employees'!C16)</f>
        <v/>
      </c>
      <c r="C2693">
        <f>IF(A2693="","",'Employees'!D16)</f>
        <v/>
      </c>
      <c r="D2693">
        <f>IF(A2693="","",'Skill Matrix'!C174)</f>
        <v/>
      </c>
      <c r="E2693">
        <f>IF(A2693="","",'Skill Matrix'!D174)</f>
        <v/>
      </c>
      <c r="F2693">
        <f>IF(AND('Skill Matrix'!A174&lt;&gt;"",'Skill Matrix'!H5&lt;&gt;""),'Skill Matrix'!H5,"")</f>
        <v/>
      </c>
      <c r="G2693">
        <f>IF(OR(A2693="",'Skill Matrix'!H174=""),"",'Skill Matrix'!H174)</f>
        <v/>
      </c>
      <c r="H2693">
        <f>IF(A2693="","",'Employees'!F16)</f>
        <v/>
      </c>
    </row>
    <row r="2694">
      <c r="A2694">
        <f>IF(AND('Skill Matrix'!A174&lt;&gt;"",'Skill Matrix'!I5&lt;&gt;""),'Skill Matrix'!A174,"")</f>
        <v/>
      </c>
      <c r="B2694">
        <f>IF(A2694="","",'Employees'!C16)</f>
        <v/>
      </c>
      <c r="C2694">
        <f>IF(A2694="","",'Employees'!D16)</f>
        <v/>
      </c>
      <c r="D2694">
        <f>IF(A2694="","",'Skill Matrix'!C174)</f>
        <v/>
      </c>
      <c r="E2694">
        <f>IF(A2694="","",'Skill Matrix'!D174)</f>
        <v/>
      </c>
      <c r="F2694">
        <f>IF(AND('Skill Matrix'!A174&lt;&gt;"",'Skill Matrix'!I5&lt;&gt;""),'Skill Matrix'!I5,"")</f>
        <v/>
      </c>
      <c r="G2694">
        <f>IF(OR(A2694="",'Skill Matrix'!I174=""),"",'Skill Matrix'!I174)</f>
        <v/>
      </c>
      <c r="H2694">
        <f>IF(A2694="","",'Employees'!F16)</f>
        <v/>
      </c>
    </row>
    <row r="2695">
      <c r="A2695">
        <f>IF(AND('Skill Matrix'!A174&lt;&gt;"",'Skill Matrix'!J5&lt;&gt;""),'Skill Matrix'!A174,"")</f>
        <v/>
      </c>
      <c r="B2695">
        <f>IF(A2695="","",'Employees'!C16)</f>
        <v/>
      </c>
      <c r="C2695">
        <f>IF(A2695="","",'Employees'!D16)</f>
        <v/>
      </c>
      <c r="D2695">
        <f>IF(A2695="","",'Skill Matrix'!C174)</f>
        <v/>
      </c>
      <c r="E2695">
        <f>IF(A2695="","",'Skill Matrix'!D174)</f>
        <v/>
      </c>
      <c r="F2695">
        <f>IF(AND('Skill Matrix'!A174&lt;&gt;"",'Skill Matrix'!J5&lt;&gt;""),'Skill Matrix'!J5,"")</f>
        <v/>
      </c>
      <c r="G2695">
        <f>IF(OR(A2695="",'Skill Matrix'!J174=""),"",'Skill Matrix'!J174)</f>
        <v/>
      </c>
      <c r="H2695">
        <f>IF(A2695="","",'Employees'!F16)</f>
        <v/>
      </c>
    </row>
    <row r="2696">
      <c r="A2696">
        <f>IF(AND('Skill Matrix'!A174&lt;&gt;"",'Skill Matrix'!K5&lt;&gt;""),'Skill Matrix'!A174,"")</f>
        <v/>
      </c>
      <c r="B2696">
        <f>IF(A2696="","",'Employees'!C16)</f>
        <v/>
      </c>
      <c r="C2696">
        <f>IF(A2696="","",'Employees'!D16)</f>
        <v/>
      </c>
      <c r="D2696">
        <f>IF(A2696="","",'Skill Matrix'!C174)</f>
        <v/>
      </c>
      <c r="E2696">
        <f>IF(A2696="","",'Skill Matrix'!D174)</f>
        <v/>
      </c>
      <c r="F2696">
        <f>IF(AND('Skill Matrix'!A174&lt;&gt;"",'Skill Matrix'!K5&lt;&gt;""),'Skill Matrix'!K5,"")</f>
        <v/>
      </c>
      <c r="G2696">
        <f>IF(OR(A2696="",'Skill Matrix'!K174=""),"",'Skill Matrix'!K174)</f>
        <v/>
      </c>
      <c r="H2696">
        <f>IF(A2696="","",'Employees'!F16)</f>
        <v/>
      </c>
    </row>
    <row r="2697">
      <c r="A2697">
        <f>IF(AND('Skill Matrix'!A174&lt;&gt;"",'Skill Matrix'!L5&lt;&gt;""),'Skill Matrix'!A174,"")</f>
        <v/>
      </c>
      <c r="B2697">
        <f>IF(A2697="","",'Employees'!C16)</f>
        <v/>
      </c>
      <c r="C2697">
        <f>IF(A2697="","",'Employees'!D16)</f>
        <v/>
      </c>
      <c r="D2697">
        <f>IF(A2697="","",'Skill Matrix'!C174)</f>
        <v/>
      </c>
      <c r="E2697">
        <f>IF(A2697="","",'Skill Matrix'!D174)</f>
        <v/>
      </c>
      <c r="F2697">
        <f>IF(AND('Skill Matrix'!A174&lt;&gt;"",'Skill Matrix'!L5&lt;&gt;""),'Skill Matrix'!L5,"")</f>
        <v/>
      </c>
      <c r="G2697">
        <f>IF(OR(A2697="",'Skill Matrix'!L174=""),"",'Skill Matrix'!L174)</f>
        <v/>
      </c>
      <c r="H2697">
        <f>IF(A2697="","",'Employees'!F16)</f>
        <v/>
      </c>
    </row>
    <row r="2698">
      <c r="A2698">
        <f>IF(AND('Skill Matrix'!A174&lt;&gt;"",'Skill Matrix'!M5&lt;&gt;""),'Skill Matrix'!A174,"")</f>
        <v/>
      </c>
      <c r="B2698">
        <f>IF(A2698="","",'Employees'!C16)</f>
        <v/>
      </c>
      <c r="C2698">
        <f>IF(A2698="","",'Employees'!D16)</f>
        <v/>
      </c>
      <c r="D2698">
        <f>IF(A2698="","",'Skill Matrix'!C174)</f>
        <v/>
      </c>
      <c r="E2698">
        <f>IF(A2698="","",'Skill Matrix'!D174)</f>
        <v/>
      </c>
      <c r="F2698">
        <f>IF(AND('Skill Matrix'!A174&lt;&gt;"",'Skill Matrix'!M5&lt;&gt;""),'Skill Matrix'!M5,"")</f>
        <v/>
      </c>
      <c r="G2698">
        <f>IF(OR(A2698="",'Skill Matrix'!M174=""),"",'Skill Matrix'!M174)</f>
        <v/>
      </c>
      <c r="H2698">
        <f>IF(A2698="","",'Employees'!F16)</f>
        <v/>
      </c>
    </row>
    <row r="2699">
      <c r="A2699">
        <f>IF(AND('Skill Matrix'!A174&lt;&gt;"",'Skill Matrix'!N5&lt;&gt;""),'Skill Matrix'!A174,"")</f>
        <v/>
      </c>
      <c r="B2699">
        <f>IF(A2699="","",'Employees'!C16)</f>
        <v/>
      </c>
      <c r="C2699">
        <f>IF(A2699="","",'Employees'!D16)</f>
        <v/>
      </c>
      <c r="D2699">
        <f>IF(A2699="","",'Skill Matrix'!C174)</f>
        <v/>
      </c>
      <c r="E2699">
        <f>IF(A2699="","",'Skill Matrix'!D174)</f>
        <v/>
      </c>
      <c r="F2699">
        <f>IF(AND('Skill Matrix'!A174&lt;&gt;"",'Skill Matrix'!N5&lt;&gt;""),'Skill Matrix'!N5,"")</f>
        <v/>
      </c>
      <c r="G2699">
        <f>IF(OR(A2699="",'Skill Matrix'!N174=""),"",'Skill Matrix'!N174)</f>
        <v/>
      </c>
      <c r="H2699">
        <f>IF(A2699="","",'Employees'!F16)</f>
        <v/>
      </c>
    </row>
    <row r="2700">
      <c r="A2700">
        <f>IF(AND('Skill Matrix'!A174&lt;&gt;"",'Skill Matrix'!O5&lt;&gt;""),'Skill Matrix'!A174,"")</f>
        <v/>
      </c>
      <c r="B2700">
        <f>IF(A2700="","",'Employees'!C16)</f>
        <v/>
      </c>
      <c r="C2700">
        <f>IF(A2700="","",'Employees'!D16)</f>
        <v/>
      </c>
      <c r="D2700">
        <f>IF(A2700="","",'Skill Matrix'!C174)</f>
        <v/>
      </c>
      <c r="E2700">
        <f>IF(A2700="","",'Skill Matrix'!D174)</f>
        <v/>
      </c>
      <c r="F2700">
        <f>IF(AND('Skill Matrix'!A174&lt;&gt;"",'Skill Matrix'!O5&lt;&gt;""),'Skill Matrix'!O5,"")</f>
        <v/>
      </c>
      <c r="G2700">
        <f>IF(OR(A2700="",'Skill Matrix'!O174=""),"",'Skill Matrix'!O174)</f>
        <v/>
      </c>
      <c r="H2700">
        <f>IF(A2700="","",'Employees'!F16)</f>
        <v/>
      </c>
    </row>
    <row r="2701">
      <c r="A2701">
        <f>IF(AND('Skill Matrix'!A174&lt;&gt;"",'Skill Matrix'!P5&lt;&gt;""),'Skill Matrix'!A174,"")</f>
        <v/>
      </c>
      <c r="B2701">
        <f>IF(A2701="","",'Employees'!C16)</f>
        <v/>
      </c>
      <c r="C2701">
        <f>IF(A2701="","",'Employees'!D16)</f>
        <v/>
      </c>
      <c r="D2701">
        <f>IF(A2701="","",'Skill Matrix'!C174)</f>
        <v/>
      </c>
      <c r="E2701">
        <f>IF(A2701="","",'Skill Matrix'!D174)</f>
        <v/>
      </c>
      <c r="F2701">
        <f>IF(AND('Skill Matrix'!A174&lt;&gt;"",'Skill Matrix'!P5&lt;&gt;""),'Skill Matrix'!P5,"")</f>
        <v/>
      </c>
      <c r="G2701">
        <f>IF(OR(A2701="",'Skill Matrix'!P174=""),"",'Skill Matrix'!P174)</f>
        <v/>
      </c>
      <c r="H2701">
        <f>IF(A2701="","",'Employees'!F16)</f>
        <v/>
      </c>
    </row>
    <row r="2702">
      <c r="A2702">
        <f>IF(AND('Skill Matrix'!A174&lt;&gt;"",'Skill Matrix'!Q5&lt;&gt;""),'Skill Matrix'!A174,"")</f>
        <v/>
      </c>
      <c r="B2702">
        <f>IF(A2702="","",'Employees'!C16)</f>
        <v/>
      </c>
      <c r="C2702">
        <f>IF(A2702="","",'Employees'!D16)</f>
        <v/>
      </c>
      <c r="D2702">
        <f>IF(A2702="","",'Skill Matrix'!C174)</f>
        <v/>
      </c>
      <c r="E2702">
        <f>IF(A2702="","",'Skill Matrix'!D174)</f>
        <v/>
      </c>
      <c r="F2702">
        <f>IF(AND('Skill Matrix'!A174&lt;&gt;"",'Skill Matrix'!Q5&lt;&gt;""),'Skill Matrix'!Q5,"")</f>
        <v/>
      </c>
      <c r="G2702">
        <f>IF(OR(A2702="",'Skill Matrix'!Q174=""),"",'Skill Matrix'!Q174)</f>
        <v/>
      </c>
      <c r="H2702">
        <f>IF(A2702="","",'Employees'!F16)</f>
        <v/>
      </c>
    </row>
    <row r="2703">
      <c r="A2703">
        <f>IF(AND('Skill Matrix'!A174&lt;&gt;"",'Skill Matrix'!R5&lt;&gt;""),'Skill Matrix'!A174,"")</f>
        <v/>
      </c>
      <c r="B2703">
        <f>IF(A2703="","",'Employees'!C16)</f>
        <v/>
      </c>
      <c r="C2703">
        <f>IF(A2703="","",'Employees'!D16)</f>
        <v/>
      </c>
      <c r="D2703">
        <f>IF(A2703="","",'Skill Matrix'!C174)</f>
        <v/>
      </c>
      <c r="E2703">
        <f>IF(A2703="","",'Skill Matrix'!D174)</f>
        <v/>
      </c>
      <c r="F2703">
        <f>IF(AND('Skill Matrix'!A174&lt;&gt;"",'Skill Matrix'!R5&lt;&gt;""),'Skill Matrix'!R5,"")</f>
        <v/>
      </c>
      <c r="G2703">
        <f>IF(OR(A2703="",'Skill Matrix'!R174=""),"",'Skill Matrix'!R174)</f>
        <v/>
      </c>
      <c r="H2703">
        <f>IF(A2703="","",'Employees'!F16)</f>
        <v/>
      </c>
    </row>
    <row r="2704">
      <c r="A2704">
        <f>IF(AND('Skill Matrix'!A174&lt;&gt;"",'Skill Matrix'!S5&lt;&gt;""),'Skill Matrix'!A174,"")</f>
        <v/>
      </c>
      <c r="B2704">
        <f>IF(A2704="","",'Employees'!C16)</f>
        <v/>
      </c>
      <c r="C2704">
        <f>IF(A2704="","",'Employees'!D16)</f>
        <v/>
      </c>
      <c r="D2704">
        <f>IF(A2704="","",'Skill Matrix'!C174)</f>
        <v/>
      </c>
      <c r="E2704">
        <f>IF(A2704="","",'Skill Matrix'!D174)</f>
        <v/>
      </c>
      <c r="F2704">
        <f>IF(AND('Skill Matrix'!A174&lt;&gt;"",'Skill Matrix'!S5&lt;&gt;""),'Skill Matrix'!S5,"")</f>
        <v/>
      </c>
      <c r="G2704">
        <f>IF(OR(A2704="",'Skill Matrix'!S174=""),"",'Skill Matrix'!S174)</f>
        <v/>
      </c>
      <c r="H2704">
        <f>IF(A2704="","",'Employees'!F16)</f>
        <v/>
      </c>
    </row>
    <row r="2705">
      <c r="A2705">
        <f>IF(AND('Skill Matrix'!A174&lt;&gt;"",'Skill Matrix'!T5&lt;&gt;""),'Skill Matrix'!A174,"")</f>
        <v/>
      </c>
      <c r="B2705">
        <f>IF(A2705="","",'Employees'!C16)</f>
        <v/>
      </c>
      <c r="C2705">
        <f>IF(A2705="","",'Employees'!D16)</f>
        <v/>
      </c>
      <c r="D2705">
        <f>IF(A2705="","",'Skill Matrix'!C174)</f>
        <v/>
      </c>
      <c r="E2705">
        <f>IF(A2705="","",'Skill Matrix'!D174)</f>
        <v/>
      </c>
      <c r="F2705">
        <f>IF(AND('Skill Matrix'!A174&lt;&gt;"",'Skill Matrix'!T5&lt;&gt;""),'Skill Matrix'!T5,"")</f>
        <v/>
      </c>
      <c r="G2705">
        <f>IF(OR(A2705="",'Skill Matrix'!T174=""),"",'Skill Matrix'!T174)</f>
        <v/>
      </c>
      <c r="H2705">
        <f>IF(A2705="","",'Employees'!F16)</f>
        <v/>
      </c>
    </row>
    <row r="2706">
      <c r="A2706">
        <f>IF(AND('Skill Matrix'!A175&lt;&gt;"",'Skill Matrix'!E5&lt;&gt;""),'Skill Matrix'!A175,"")</f>
        <v/>
      </c>
      <c r="B2706">
        <f>IF(A2706="","",'Employees'!C16)</f>
        <v/>
      </c>
      <c r="C2706">
        <f>IF(A2706="","",'Employees'!D16)</f>
        <v/>
      </c>
      <c r="D2706">
        <f>IF(A2706="","",'Skill Matrix'!C175)</f>
        <v/>
      </c>
      <c r="E2706">
        <f>IF(A2706="","",'Skill Matrix'!D175)</f>
        <v/>
      </c>
      <c r="F2706">
        <f>IF(AND('Skill Matrix'!A175&lt;&gt;"",'Skill Matrix'!E5&lt;&gt;""),'Skill Matrix'!E5,"")</f>
        <v/>
      </c>
      <c r="G2706">
        <f>IF(OR(A2706="",'Skill Matrix'!E175=""),"",'Skill Matrix'!E175)</f>
        <v/>
      </c>
      <c r="H2706">
        <f>IF(A2706="","",'Employees'!F16)</f>
        <v/>
      </c>
    </row>
    <row r="2707">
      <c r="A2707">
        <f>IF(AND('Skill Matrix'!A175&lt;&gt;"",'Skill Matrix'!F5&lt;&gt;""),'Skill Matrix'!A175,"")</f>
        <v/>
      </c>
      <c r="B2707">
        <f>IF(A2707="","",'Employees'!C16)</f>
        <v/>
      </c>
      <c r="C2707">
        <f>IF(A2707="","",'Employees'!D16)</f>
        <v/>
      </c>
      <c r="D2707">
        <f>IF(A2707="","",'Skill Matrix'!C175)</f>
        <v/>
      </c>
      <c r="E2707">
        <f>IF(A2707="","",'Skill Matrix'!D175)</f>
        <v/>
      </c>
      <c r="F2707">
        <f>IF(AND('Skill Matrix'!A175&lt;&gt;"",'Skill Matrix'!F5&lt;&gt;""),'Skill Matrix'!F5,"")</f>
        <v/>
      </c>
      <c r="G2707">
        <f>IF(OR(A2707="",'Skill Matrix'!F175=""),"",'Skill Matrix'!F175)</f>
        <v/>
      </c>
      <c r="H2707">
        <f>IF(A2707="","",'Employees'!F16)</f>
        <v/>
      </c>
    </row>
    <row r="2708">
      <c r="A2708">
        <f>IF(AND('Skill Matrix'!A175&lt;&gt;"",'Skill Matrix'!G5&lt;&gt;""),'Skill Matrix'!A175,"")</f>
        <v/>
      </c>
      <c r="B2708">
        <f>IF(A2708="","",'Employees'!C16)</f>
        <v/>
      </c>
      <c r="C2708">
        <f>IF(A2708="","",'Employees'!D16)</f>
        <v/>
      </c>
      <c r="D2708">
        <f>IF(A2708="","",'Skill Matrix'!C175)</f>
        <v/>
      </c>
      <c r="E2708">
        <f>IF(A2708="","",'Skill Matrix'!D175)</f>
        <v/>
      </c>
      <c r="F2708">
        <f>IF(AND('Skill Matrix'!A175&lt;&gt;"",'Skill Matrix'!G5&lt;&gt;""),'Skill Matrix'!G5,"")</f>
        <v/>
      </c>
      <c r="G2708">
        <f>IF(OR(A2708="",'Skill Matrix'!G175=""),"",'Skill Matrix'!G175)</f>
        <v/>
      </c>
      <c r="H2708">
        <f>IF(A2708="","",'Employees'!F16)</f>
        <v/>
      </c>
    </row>
    <row r="2709">
      <c r="A2709">
        <f>IF(AND('Skill Matrix'!A175&lt;&gt;"",'Skill Matrix'!H5&lt;&gt;""),'Skill Matrix'!A175,"")</f>
        <v/>
      </c>
      <c r="B2709">
        <f>IF(A2709="","",'Employees'!C16)</f>
        <v/>
      </c>
      <c r="C2709">
        <f>IF(A2709="","",'Employees'!D16)</f>
        <v/>
      </c>
      <c r="D2709">
        <f>IF(A2709="","",'Skill Matrix'!C175)</f>
        <v/>
      </c>
      <c r="E2709">
        <f>IF(A2709="","",'Skill Matrix'!D175)</f>
        <v/>
      </c>
      <c r="F2709">
        <f>IF(AND('Skill Matrix'!A175&lt;&gt;"",'Skill Matrix'!H5&lt;&gt;""),'Skill Matrix'!H5,"")</f>
        <v/>
      </c>
      <c r="G2709">
        <f>IF(OR(A2709="",'Skill Matrix'!H175=""),"",'Skill Matrix'!H175)</f>
        <v/>
      </c>
      <c r="H2709">
        <f>IF(A2709="","",'Employees'!F16)</f>
        <v/>
      </c>
    </row>
    <row r="2710">
      <c r="A2710">
        <f>IF(AND('Skill Matrix'!A175&lt;&gt;"",'Skill Matrix'!I5&lt;&gt;""),'Skill Matrix'!A175,"")</f>
        <v/>
      </c>
      <c r="B2710">
        <f>IF(A2710="","",'Employees'!C16)</f>
        <v/>
      </c>
      <c r="C2710">
        <f>IF(A2710="","",'Employees'!D16)</f>
        <v/>
      </c>
      <c r="D2710">
        <f>IF(A2710="","",'Skill Matrix'!C175)</f>
        <v/>
      </c>
      <c r="E2710">
        <f>IF(A2710="","",'Skill Matrix'!D175)</f>
        <v/>
      </c>
      <c r="F2710">
        <f>IF(AND('Skill Matrix'!A175&lt;&gt;"",'Skill Matrix'!I5&lt;&gt;""),'Skill Matrix'!I5,"")</f>
        <v/>
      </c>
      <c r="G2710">
        <f>IF(OR(A2710="",'Skill Matrix'!I175=""),"",'Skill Matrix'!I175)</f>
        <v/>
      </c>
      <c r="H2710">
        <f>IF(A2710="","",'Employees'!F16)</f>
        <v/>
      </c>
    </row>
    <row r="2711">
      <c r="A2711">
        <f>IF(AND('Skill Matrix'!A175&lt;&gt;"",'Skill Matrix'!J5&lt;&gt;""),'Skill Matrix'!A175,"")</f>
        <v/>
      </c>
      <c r="B2711">
        <f>IF(A2711="","",'Employees'!C16)</f>
        <v/>
      </c>
      <c r="C2711">
        <f>IF(A2711="","",'Employees'!D16)</f>
        <v/>
      </c>
      <c r="D2711">
        <f>IF(A2711="","",'Skill Matrix'!C175)</f>
        <v/>
      </c>
      <c r="E2711">
        <f>IF(A2711="","",'Skill Matrix'!D175)</f>
        <v/>
      </c>
      <c r="F2711">
        <f>IF(AND('Skill Matrix'!A175&lt;&gt;"",'Skill Matrix'!J5&lt;&gt;""),'Skill Matrix'!J5,"")</f>
        <v/>
      </c>
      <c r="G2711">
        <f>IF(OR(A2711="",'Skill Matrix'!J175=""),"",'Skill Matrix'!J175)</f>
        <v/>
      </c>
      <c r="H2711">
        <f>IF(A2711="","",'Employees'!F16)</f>
        <v/>
      </c>
    </row>
    <row r="2712">
      <c r="A2712">
        <f>IF(AND('Skill Matrix'!A175&lt;&gt;"",'Skill Matrix'!K5&lt;&gt;""),'Skill Matrix'!A175,"")</f>
        <v/>
      </c>
      <c r="B2712">
        <f>IF(A2712="","",'Employees'!C16)</f>
        <v/>
      </c>
      <c r="C2712">
        <f>IF(A2712="","",'Employees'!D16)</f>
        <v/>
      </c>
      <c r="D2712">
        <f>IF(A2712="","",'Skill Matrix'!C175)</f>
        <v/>
      </c>
      <c r="E2712">
        <f>IF(A2712="","",'Skill Matrix'!D175)</f>
        <v/>
      </c>
      <c r="F2712">
        <f>IF(AND('Skill Matrix'!A175&lt;&gt;"",'Skill Matrix'!K5&lt;&gt;""),'Skill Matrix'!K5,"")</f>
        <v/>
      </c>
      <c r="G2712">
        <f>IF(OR(A2712="",'Skill Matrix'!K175=""),"",'Skill Matrix'!K175)</f>
        <v/>
      </c>
      <c r="H2712">
        <f>IF(A2712="","",'Employees'!F16)</f>
        <v/>
      </c>
    </row>
    <row r="2713">
      <c r="A2713">
        <f>IF(AND('Skill Matrix'!A175&lt;&gt;"",'Skill Matrix'!L5&lt;&gt;""),'Skill Matrix'!A175,"")</f>
        <v/>
      </c>
      <c r="B2713">
        <f>IF(A2713="","",'Employees'!C16)</f>
        <v/>
      </c>
      <c r="C2713">
        <f>IF(A2713="","",'Employees'!D16)</f>
        <v/>
      </c>
      <c r="D2713">
        <f>IF(A2713="","",'Skill Matrix'!C175)</f>
        <v/>
      </c>
      <c r="E2713">
        <f>IF(A2713="","",'Skill Matrix'!D175)</f>
        <v/>
      </c>
      <c r="F2713">
        <f>IF(AND('Skill Matrix'!A175&lt;&gt;"",'Skill Matrix'!L5&lt;&gt;""),'Skill Matrix'!L5,"")</f>
        <v/>
      </c>
      <c r="G2713">
        <f>IF(OR(A2713="",'Skill Matrix'!L175=""),"",'Skill Matrix'!L175)</f>
        <v/>
      </c>
      <c r="H2713">
        <f>IF(A2713="","",'Employees'!F16)</f>
        <v/>
      </c>
    </row>
    <row r="2714">
      <c r="A2714">
        <f>IF(AND('Skill Matrix'!A175&lt;&gt;"",'Skill Matrix'!M5&lt;&gt;""),'Skill Matrix'!A175,"")</f>
        <v/>
      </c>
      <c r="B2714">
        <f>IF(A2714="","",'Employees'!C16)</f>
        <v/>
      </c>
      <c r="C2714">
        <f>IF(A2714="","",'Employees'!D16)</f>
        <v/>
      </c>
      <c r="D2714">
        <f>IF(A2714="","",'Skill Matrix'!C175)</f>
        <v/>
      </c>
      <c r="E2714">
        <f>IF(A2714="","",'Skill Matrix'!D175)</f>
        <v/>
      </c>
      <c r="F2714">
        <f>IF(AND('Skill Matrix'!A175&lt;&gt;"",'Skill Matrix'!M5&lt;&gt;""),'Skill Matrix'!M5,"")</f>
        <v/>
      </c>
      <c r="G2714">
        <f>IF(OR(A2714="",'Skill Matrix'!M175=""),"",'Skill Matrix'!M175)</f>
        <v/>
      </c>
      <c r="H2714">
        <f>IF(A2714="","",'Employees'!F16)</f>
        <v/>
      </c>
    </row>
    <row r="2715">
      <c r="A2715">
        <f>IF(AND('Skill Matrix'!A175&lt;&gt;"",'Skill Matrix'!N5&lt;&gt;""),'Skill Matrix'!A175,"")</f>
        <v/>
      </c>
      <c r="B2715">
        <f>IF(A2715="","",'Employees'!C16)</f>
        <v/>
      </c>
      <c r="C2715">
        <f>IF(A2715="","",'Employees'!D16)</f>
        <v/>
      </c>
      <c r="D2715">
        <f>IF(A2715="","",'Skill Matrix'!C175)</f>
        <v/>
      </c>
      <c r="E2715">
        <f>IF(A2715="","",'Skill Matrix'!D175)</f>
        <v/>
      </c>
      <c r="F2715">
        <f>IF(AND('Skill Matrix'!A175&lt;&gt;"",'Skill Matrix'!N5&lt;&gt;""),'Skill Matrix'!N5,"")</f>
        <v/>
      </c>
      <c r="G2715">
        <f>IF(OR(A2715="",'Skill Matrix'!N175=""),"",'Skill Matrix'!N175)</f>
        <v/>
      </c>
      <c r="H2715">
        <f>IF(A2715="","",'Employees'!F16)</f>
        <v/>
      </c>
    </row>
    <row r="2716">
      <c r="A2716">
        <f>IF(AND('Skill Matrix'!A175&lt;&gt;"",'Skill Matrix'!O5&lt;&gt;""),'Skill Matrix'!A175,"")</f>
        <v/>
      </c>
      <c r="B2716">
        <f>IF(A2716="","",'Employees'!C16)</f>
        <v/>
      </c>
      <c r="C2716">
        <f>IF(A2716="","",'Employees'!D16)</f>
        <v/>
      </c>
      <c r="D2716">
        <f>IF(A2716="","",'Skill Matrix'!C175)</f>
        <v/>
      </c>
      <c r="E2716">
        <f>IF(A2716="","",'Skill Matrix'!D175)</f>
        <v/>
      </c>
      <c r="F2716">
        <f>IF(AND('Skill Matrix'!A175&lt;&gt;"",'Skill Matrix'!O5&lt;&gt;""),'Skill Matrix'!O5,"")</f>
        <v/>
      </c>
      <c r="G2716">
        <f>IF(OR(A2716="",'Skill Matrix'!O175=""),"",'Skill Matrix'!O175)</f>
        <v/>
      </c>
      <c r="H2716">
        <f>IF(A2716="","",'Employees'!F16)</f>
        <v/>
      </c>
    </row>
    <row r="2717">
      <c r="A2717">
        <f>IF(AND('Skill Matrix'!A175&lt;&gt;"",'Skill Matrix'!P5&lt;&gt;""),'Skill Matrix'!A175,"")</f>
        <v/>
      </c>
      <c r="B2717">
        <f>IF(A2717="","",'Employees'!C16)</f>
        <v/>
      </c>
      <c r="C2717">
        <f>IF(A2717="","",'Employees'!D16)</f>
        <v/>
      </c>
      <c r="D2717">
        <f>IF(A2717="","",'Skill Matrix'!C175)</f>
        <v/>
      </c>
      <c r="E2717">
        <f>IF(A2717="","",'Skill Matrix'!D175)</f>
        <v/>
      </c>
      <c r="F2717">
        <f>IF(AND('Skill Matrix'!A175&lt;&gt;"",'Skill Matrix'!P5&lt;&gt;""),'Skill Matrix'!P5,"")</f>
        <v/>
      </c>
      <c r="G2717">
        <f>IF(OR(A2717="",'Skill Matrix'!P175=""),"",'Skill Matrix'!P175)</f>
        <v/>
      </c>
      <c r="H2717">
        <f>IF(A2717="","",'Employees'!F16)</f>
        <v/>
      </c>
    </row>
    <row r="2718">
      <c r="A2718">
        <f>IF(AND('Skill Matrix'!A175&lt;&gt;"",'Skill Matrix'!Q5&lt;&gt;""),'Skill Matrix'!A175,"")</f>
        <v/>
      </c>
      <c r="B2718">
        <f>IF(A2718="","",'Employees'!C16)</f>
        <v/>
      </c>
      <c r="C2718">
        <f>IF(A2718="","",'Employees'!D16)</f>
        <v/>
      </c>
      <c r="D2718">
        <f>IF(A2718="","",'Skill Matrix'!C175)</f>
        <v/>
      </c>
      <c r="E2718">
        <f>IF(A2718="","",'Skill Matrix'!D175)</f>
        <v/>
      </c>
      <c r="F2718">
        <f>IF(AND('Skill Matrix'!A175&lt;&gt;"",'Skill Matrix'!Q5&lt;&gt;""),'Skill Matrix'!Q5,"")</f>
        <v/>
      </c>
      <c r="G2718">
        <f>IF(OR(A2718="",'Skill Matrix'!Q175=""),"",'Skill Matrix'!Q175)</f>
        <v/>
      </c>
      <c r="H2718">
        <f>IF(A2718="","",'Employees'!F16)</f>
        <v/>
      </c>
    </row>
    <row r="2719">
      <c r="A2719">
        <f>IF(AND('Skill Matrix'!A175&lt;&gt;"",'Skill Matrix'!R5&lt;&gt;""),'Skill Matrix'!A175,"")</f>
        <v/>
      </c>
      <c r="B2719">
        <f>IF(A2719="","",'Employees'!C16)</f>
        <v/>
      </c>
      <c r="C2719">
        <f>IF(A2719="","",'Employees'!D16)</f>
        <v/>
      </c>
      <c r="D2719">
        <f>IF(A2719="","",'Skill Matrix'!C175)</f>
        <v/>
      </c>
      <c r="E2719">
        <f>IF(A2719="","",'Skill Matrix'!D175)</f>
        <v/>
      </c>
      <c r="F2719">
        <f>IF(AND('Skill Matrix'!A175&lt;&gt;"",'Skill Matrix'!R5&lt;&gt;""),'Skill Matrix'!R5,"")</f>
        <v/>
      </c>
      <c r="G2719">
        <f>IF(OR(A2719="",'Skill Matrix'!R175=""),"",'Skill Matrix'!R175)</f>
        <v/>
      </c>
      <c r="H2719">
        <f>IF(A2719="","",'Employees'!F16)</f>
        <v/>
      </c>
    </row>
    <row r="2720">
      <c r="A2720">
        <f>IF(AND('Skill Matrix'!A175&lt;&gt;"",'Skill Matrix'!S5&lt;&gt;""),'Skill Matrix'!A175,"")</f>
        <v/>
      </c>
      <c r="B2720">
        <f>IF(A2720="","",'Employees'!C16)</f>
        <v/>
      </c>
      <c r="C2720">
        <f>IF(A2720="","",'Employees'!D16)</f>
        <v/>
      </c>
      <c r="D2720">
        <f>IF(A2720="","",'Skill Matrix'!C175)</f>
        <v/>
      </c>
      <c r="E2720">
        <f>IF(A2720="","",'Skill Matrix'!D175)</f>
        <v/>
      </c>
      <c r="F2720">
        <f>IF(AND('Skill Matrix'!A175&lt;&gt;"",'Skill Matrix'!S5&lt;&gt;""),'Skill Matrix'!S5,"")</f>
        <v/>
      </c>
      <c r="G2720">
        <f>IF(OR(A2720="",'Skill Matrix'!S175=""),"",'Skill Matrix'!S175)</f>
        <v/>
      </c>
      <c r="H2720">
        <f>IF(A2720="","",'Employees'!F16)</f>
        <v/>
      </c>
    </row>
    <row r="2721">
      <c r="A2721">
        <f>IF(AND('Skill Matrix'!A175&lt;&gt;"",'Skill Matrix'!T5&lt;&gt;""),'Skill Matrix'!A175,"")</f>
        <v/>
      </c>
      <c r="B2721">
        <f>IF(A2721="","",'Employees'!C16)</f>
        <v/>
      </c>
      <c r="C2721">
        <f>IF(A2721="","",'Employees'!D16)</f>
        <v/>
      </c>
      <c r="D2721">
        <f>IF(A2721="","",'Skill Matrix'!C175)</f>
        <v/>
      </c>
      <c r="E2721">
        <f>IF(A2721="","",'Skill Matrix'!D175)</f>
        <v/>
      </c>
      <c r="F2721">
        <f>IF(AND('Skill Matrix'!A175&lt;&gt;"",'Skill Matrix'!T5&lt;&gt;""),'Skill Matrix'!T5,"")</f>
        <v/>
      </c>
      <c r="G2721">
        <f>IF(OR(A2721="",'Skill Matrix'!T175=""),"",'Skill Matrix'!T175)</f>
        <v/>
      </c>
      <c r="H2721">
        <f>IF(A2721="","",'Employees'!F16)</f>
        <v/>
      </c>
    </row>
    <row r="2722">
      <c r="A2722">
        <f>IF(AND('Skill Matrix'!A176&lt;&gt;"",'Skill Matrix'!E5&lt;&gt;""),'Skill Matrix'!A176,"")</f>
        <v/>
      </c>
      <c r="B2722">
        <f>IF(A2722="","",'Employees'!C16)</f>
        <v/>
      </c>
      <c r="C2722">
        <f>IF(A2722="","",'Employees'!D16)</f>
        <v/>
      </c>
      <c r="D2722">
        <f>IF(A2722="","",'Skill Matrix'!C176)</f>
        <v/>
      </c>
      <c r="E2722">
        <f>IF(A2722="","",'Skill Matrix'!D176)</f>
        <v/>
      </c>
      <c r="F2722">
        <f>IF(AND('Skill Matrix'!A176&lt;&gt;"",'Skill Matrix'!E5&lt;&gt;""),'Skill Matrix'!E5,"")</f>
        <v/>
      </c>
      <c r="G2722">
        <f>IF(OR(A2722="",'Skill Matrix'!E176=""),"",'Skill Matrix'!E176)</f>
        <v/>
      </c>
      <c r="H2722">
        <f>IF(A2722="","",'Employees'!F16)</f>
        <v/>
      </c>
    </row>
    <row r="2723">
      <c r="A2723">
        <f>IF(AND('Skill Matrix'!A176&lt;&gt;"",'Skill Matrix'!F5&lt;&gt;""),'Skill Matrix'!A176,"")</f>
        <v/>
      </c>
      <c r="B2723">
        <f>IF(A2723="","",'Employees'!C16)</f>
        <v/>
      </c>
      <c r="C2723">
        <f>IF(A2723="","",'Employees'!D16)</f>
        <v/>
      </c>
      <c r="D2723">
        <f>IF(A2723="","",'Skill Matrix'!C176)</f>
        <v/>
      </c>
      <c r="E2723">
        <f>IF(A2723="","",'Skill Matrix'!D176)</f>
        <v/>
      </c>
      <c r="F2723">
        <f>IF(AND('Skill Matrix'!A176&lt;&gt;"",'Skill Matrix'!F5&lt;&gt;""),'Skill Matrix'!F5,"")</f>
        <v/>
      </c>
      <c r="G2723">
        <f>IF(OR(A2723="",'Skill Matrix'!F176=""),"",'Skill Matrix'!F176)</f>
        <v/>
      </c>
      <c r="H2723">
        <f>IF(A2723="","",'Employees'!F16)</f>
        <v/>
      </c>
    </row>
    <row r="2724">
      <c r="A2724">
        <f>IF(AND('Skill Matrix'!A176&lt;&gt;"",'Skill Matrix'!G5&lt;&gt;""),'Skill Matrix'!A176,"")</f>
        <v/>
      </c>
      <c r="B2724">
        <f>IF(A2724="","",'Employees'!C16)</f>
        <v/>
      </c>
      <c r="C2724">
        <f>IF(A2724="","",'Employees'!D16)</f>
        <v/>
      </c>
      <c r="D2724">
        <f>IF(A2724="","",'Skill Matrix'!C176)</f>
        <v/>
      </c>
      <c r="E2724">
        <f>IF(A2724="","",'Skill Matrix'!D176)</f>
        <v/>
      </c>
      <c r="F2724">
        <f>IF(AND('Skill Matrix'!A176&lt;&gt;"",'Skill Matrix'!G5&lt;&gt;""),'Skill Matrix'!G5,"")</f>
        <v/>
      </c>
      <c r="G2724">
        <f>IF(OR(A2724="",'Skill Matrix'!G176=""),"",'Skill Matrix'!G176)</f>
        <v/>
      </c>
      <c r="H2724">
        <f>IF(A2724="","",'Employees'!F16)</f>
        <v/>
      </c>
    </row>
    <row r="2725">
      <c r="A2725">
        <f>IF(AND('Skill Matrix'!A176&lt;&gt;"",'Skill Matrix'!H5&lt;&gt;""),'Skill Matrix'!A176,"")</f>
        <v/>
      </c>
      <c r="B2725">
        <f>IF(A2725="","",'Employees'!C16)</f>
        <v/>
      </c>
      <c r="C2725">
        <f>IF(A2725="","",'Employees'!D16)</f>
        <v/>
      </c>
      <c r="D2725">
        <f>IF(A2725="","",'Skill Matrix'!C176)</f>
        <v/>
      </c>
      <c r="E2725">
        <f>IF(A2725="","",'Skill Matrix'!D176)</f>
        <v/>
      </c>
      <c r="F2725">
        <f>IF(AND('Skill Matrix'!A176&lt;&gt;"",'Skill Matrix'!H5&lt;&gt;""),'Skill Matrix'!H5,"")</f>
        <v/>
      </c>
      <c r="G2725">
        <f>IF(OR(A2725="",'Skill Matrix'!H176=""),"",'Skill Matrix'!H176)</f>
        <v/>
      </c>
      <c r="H2725">
        <f>IF(A2725="","",'Employees'!F16)</f>
        <v/>
      </c>
    </row>
    <row r="2726">
      <c r="A2726">
        <f>IF(AND('Skill Matrix'!A176&lt;&gt;"",'Skill Matrix'!I5&lt;&gt;""),'Skill Matrix'!A176,"")</f>
        <v/>
      </c>
      <c r="B2726">
        <f>IF(A2726="","",'Employees'!C16)</f>
        <v/>
      </c>
      <c r="C2726">
        <f>IF(A2726="","",'Employees'!D16)</f>
        <v/>
      </c>
      <c r="D2726">
        <f>IF(A2726="","",'Skill Matrix'!C176)</f>
        <v/>
      </c>
      <c r="E2726">
        <f>IF(A2726="","",'Skill Matrix'!D176)</f>
        <v/>
      </c>
      <c r="F2726">
        <f>IF(AND('Skill Matrix'!A176&lt;&gt;"",'Skill Matrix'!I5&lt;&gt;""),'Skill Matrix'!I5,"")</f>
        <v/>
      </c>
      <c r="G2726">
        <f>IF(OR(A2726="",'Skill Matrix'!I176=""),"",'Skill Matrix'!I176)</f>
        <v/>
      </c>
      <c r="H2726">
        <f>IF(A2726="","",'Employees'!F16)</f>
        <v/>
      </c>
    </row>
    <row r="2727">
      <c r="A2727">
        <f>IF(AND('Skill Matrix'!A176&lt;&gt;"",'Skill Matrix'!J5&lt;&gt;""),'Skill Matrix'!A176,"")</f>
        <v/>
      </c>
      <c r="B2727">
        <f>IF(A2727="","",'Employees'!C16)</f>
        <v/>
      </c>
      <c r="C2727">
        <f>IF(A2727="","",'Employees'!D16)</f>
        <v/>
      </c>
      <c r="D2727">
        <f>IF(A2727="","",'Skill Matrix'!C176)</f>
        <v/>
      </c>
      <c r="E2727">
        <f>IF(A2727="","",'Skill Matrix'!D176)</f>
        <v/>
      </c>
      <c r="F2727">
        <f>IF(AND('Skill Matrix'!A176&lt;&gt;"",'Skill Matrix'!J5&lt;&gt;""),'Skill Matrix'!J5,"")</f>
        <v/>
      </c>
      <c r="G2727">
        <f>IF(OR(A2727="",'Skill Matrix'!J176=""),"",'Skill Matrix'!J176)</f>
        <v/>
      </c>
      <c r="H2727">
        <f>IF(A2727="","",'Employees'!F16)</f>
        <v/>
      </c>
    </row>
    <row r="2728">
      <c r="A2728">
        <f>IF(AND('Skill Matrix'!A176&lt;&gt;"",'Skill Matrix'!K5&lt;&gt;""),'Skill Matrix'!A176,"")</f>
        <v/>
      </c>
      <c r="B2728">
        <f>IF(A2728="","",'Employees'!C16)</f>
        <v/>
      </c>
      <c r="C2728">
        <f>IF(A2728="","",'Employees'!D16)</f>
        <v/>
      </c>
      <c r="D2728">
        <f>IF(A2728="","",'Skill Matrix'!C176)</f>
        <v/>
      </c>
      <c r="E2728">
        <f>IF(A2728="","",'Skill Matrix'!D176)</f>
        <v/>
      </c>
      <c r="F2728">
        <f>IF(AND('Skill Matrix'!A176&lt;&gt;"",'Skill Matrix'!K5&lt;&gt;""),'Skill Matrix'!K5,"")</f>
        <v/>
      </c>
      <c r="G2728">
        <f>IF(OR(A2728="",'Skill Matrix'!K176=""),"",'Skill Matrix'!K176)</f>
        <v/>
      </c>
      <c r="H2728">
        <f>IF(A2728="","",'Employees'!F16)</f>
        <v/>
      </c>
    </row>
    <row r="2729">
      <c r="A2729">
        <f>IF(AND('Skill Matrix'!A176&lt;&gt;"",'Skill Matrix'!L5&lt;&gt;""),'Skill Matrix'!A176,"")</f>
        <v/>
      </c>
      <c r="B2729">
        <f>IF(A2729="","",'Employees'!C16)</f>
        <v/>
      </c>
      <c r="C2729">
        <f>IF(A2729="","",'Employees'!D16)</f>
        <v/>
      </c>
      <c r="D2729">
        <f>IF(A2729="","",'Skill Matrix'!C176)</f>
        <v/>
      </c>
      <c r="E2729">
        <f>IF(A2729="","",'Skill Matrix'!D176)</f>
        <v/>
      </c>
      <c r="F2729">
        <f>IF(AND('Skill Matrix'!A176&lt;&gt;"",'Skill Matrix'!L5&lt;&gt;""),'Skill Matrix'!L5,"")</f>
        <v/>
      </c>
      <c r="G2729">
        <f>IF(OR(A2729="",'Skill Matrix'!L176=""),"",'Skill Matrix'!L176)</f>
        <v/>
      </c>
      <c r="H2729">
        <f>IF(A2729="","",'Employees'!F16)</f>
        <v/>
      </c>
    </row>
    <row r="2730">
      <c r="A2730">
        <f>IF(AND('Skill Matrix'!A176&lt;&gt;"",'Skill Matrix'!M5&lt;&gt;""),'Skill Matrix'!A176,"")</f>
        <v/>
      </c>
      <c r="B2730">
        <f>IF(A2730="","",'Employees'!C16)</f>
        <v/>
      </c>
      <c r="C2730">
        <f>IF(A2730="","",'Employees'!D16)</f>
        <v/>
      </c>
      <c r="D2730">
        <f>IF(A2730="","",'Skill Matrix'!C176)</f>
        <v/>
      </c>
      <c r="E2730">
        <f>IF(A2730="","",'Skill Matrix'!D176)</f>
        <v/>
      </c>
      <c r="F2730">
        <f>IF(AND('Skill Matrix'!A176&lt;&gt;"",'Skill Matrix'!M5&lt;&gt;""),'Skill Matrix'!M5,"")</f>
        <v/>
      </c>
      <c r="G2730">
        <f>IF(OR(A2730="",'Skill Matrix'!M176=""),"",'Skill Matrix'!M176)</f>
        <v/>
      </c>
      <c r="H2730">
        <f>IF(A2730="","",'Employees'!F16)</f>
        <v/>
      </c>
    </row>
    <row r="2731">
      <c r="A2731">
        <f>IF(AND('Skill Matrix'!A176&lt;&gt;"",'Skill Matrix'!N5&lt;&gt;""),'Skill Matrix'!A176,"")</f>
        <v/>
      </c>
      <c r="B2731">
        <f>IF(A2731="","",'Employees'!C16)</f>
        <v/>
      </c>
      <c r="C2731">
        <f>IF(A2731="","",'Employees'!D16)</f>
        <v/>
      </c>
      <c r="D2731">
        <f>IF(A2731="","",'Skill Matrix'!C176)</f>
        <v/>
      </c>
      <c r="E2731">
        <f>IF(A2731="","",'Skill Matrix'!D176)</f>
        <v/>
      </c>
      <c r="F2731">
        <f>IF(AND('Skill Matrix'!A176&lt;&gt;"",'Skill Matrix'!N5&lt;&gt;""),'Skill Matrix'!N5,"")</f>
        <v/>
      </c>
      <c r="G2731">
        <f>IF(OR(A2731="",'Skill Matrix'!N176=""),"",'Skill Matrix'!N176)</f>
        <v/>
      </c>
      <c r="H2731">
        <f>IF(A2731="","",'Employees'!F16)</f>
        <v/>
      </c>
    </row>
    <row r="2732">
      <c r="A2732">
        <f>IF(AND('Skill Matrix'!A176&lt;&gt;"",'Skill Matrix'!O5&lt;&gt;""),'Skill Matrix'!A176,"")</f>
        <v/>
      </c>
      <c r="B2732">
        <f>IF(A2732="","",'Employees'!C16)</f>
        <v/>
      </c>
      <c r="C2732">
        <f>IF(A2732="","",'Employees'!D16)</f>
        <v/>
      </c>
      <c r="D2732">
        <f>IF(A2732="","",'Skill Matrix'!C176)</f>
        <v/>
      </c>
      <c r="E2732">
        <f>IF(A2732="","",'Skill Matrix'!D176)</f>
        <v/>
      </c>
      <c r="F2732">
        <f>IF(AND('Skill Matrix'!A176&lt;&gt;"",'Skill Matrix'!O5&lt;&gt;""),'Skill Matrix'!O5,"")</f>
        <v/>
      </c>
      <c r="G2732">
        <f>IF(OR(A2732="",'Skill Matrix'!O176=""),"",'Skill Matrix'!O176)</f>
        <v/>
      </c>
      <c r="H2732">
        <f>IF(A2732="","",'Employees'!F16)</f>
        <v/>
      </c>
    </row>
    <row r="2733">
      <c r="A2733">
        <f>IF(AND('Skill Matrix'!A176&lt;&gt;"",'Skill Matrix'!P5&lt;&gt;""),'Skill Matrix'!A176,"")</f>
        <v/>
      </c>
      <c r="B2733">
        <f>IF(A2733="","",'Employees'!C16)</f>
        <v/>
      </c>
      <c r="C2733">
        <f>IF(A2733="","",'Employees'!D16)</f>
        <v/>
      </c>
      <c r="D2733">
        <f>IF(A2733="","",'Skill Matrix'!C176)</f>
        <v/>
      </c>
      <c r="E2733">
        <f>IF(A2733="","",'Skill Matrix'!D176)</f>
        <v/>
      </c>
      <c r="F2733">
        <f>IF(AND('Skill Matrix'!A176&lt;&gt;"",'Skill Matrix'!P5&lt;&gt;""),'Skill Matrix'!P5,"")</f>
        <v/>
      </c>
      <c r="G2733">
        <f>IF(OR(A2733="",'Skill Matrix'!P176=""),"",'Skill Matrix'!P176)</f>
        <v/>
      </c>
      <c r="H2733">
        <f>IF(A2733="","",'Employees'!F16)</f>
        <v/>
      </c>
    </row>
    <row r="2734">
      <c r="A2734">
        <f>IF(AND('Skill Matrix'!A176&lt;&gt;"",'Skill Matrix'!Q5&lt;&gt;""),'Skill Matrix'!A176,"")</f>
        <v/>
      </c>
      <c r="B2734">
        <f>IF(A2734="","",'Employees'!C16)</f>
        <v/>
      </c>
      <c r="C2734">
        <f>IF(A2734="","",'Employees'!D16)</f>
        <v/>
      </c>
      <c r="D2734">
        <f>IF(A2734="","",'Skill Matrix'!C176)</f>
        <v/>
      </c>
      <c r="E2734">
        <f>IF(A2734="","",'Skill Matrix'!D176)</f>
        <v/>
      </c>
      <c r="F2734">
        <f>IF(AND('Skill Matrix'!A176&lt;&gt;"",'Skill Matrix'!Q5&lt;&gt;""),'Skill Matrix'!Q5,"")</f>
        <v/>
      </c>
      <c r="G2734">
        <f>IF(OR(A2734="",'Skill Matrix'!Q176=""),"",'Skill Matrix'!Q176)</f>
        <v/>
      </c>
      <c r="H2734">
        <f>IF(A2734="","",'Employees'!F16)</f>
        <v/>
      </c>
    </row>
    <row r="2735">
      <c r="A2735">
        <f>IF(AND('Skill Matrix'!A176&lt;&gt;"",'Skill Matrix'!R5&lt;&gt;""),'Skill Matrix'!A176,"")</f>
        <v/>
      </c>
      <c r="B2735">
        <f>IF(A2735="","",'Employees'!C16)</f>
        <v/>
      </c>
      <c r="C2735">
        <f>IF(A2735="","",'Employees'!D16)</f>
        <v/>
      </c>
      <c r="D2735">
        <f>IF(A2735="","",'Skill Matrix'!C176)</f>
        <v/>
      </c>
      <c r="E2735">
        <f>IF(A2735="","",'Skill Matrix'!D176)</f>
        <v/>
      </c>
      <c r="F2735">
        <f>IF(AND('Skill Matrix'!A176&lt;&gt;"",'Skill Matrix'!R5&lt;&gt;""),'Skill Matrix'!R5,"")</f>
        <v/>
      </c>
      <c r="G2735">
        <f>IF(OR(A2735="",'Skill Matrix'!R176=""),"",'Skill Matrix'!R176)</f>
        <v/>
      </c>
      <c r="H2735">
        <f>IF(A2735="","",'Employees'!F16)</f>
        <v/>
      </c>
    </row>
    <row r="2736">
      <c r="A2736">
        <f>IF(AND('Skill Matrix'!A176&lt;&gt;"",'Skill Matrix'!S5&lt;&gt;""),'Skill Matrix'!A176,"")</f>
        <v/>
      </c>
      <c r="B2736">
        <f>IF(A2736="","",'Employees'!C16)</f>
        <v/>
      </c>
      <c r="C2736">
        <f>IF(A2736="","",'Employees'!D16)</f>
        <v/>
      </c>
      <c r="D2736">
        <f>IF(A2736="","",'Skill Matrix'!C176)</f>
        <v/>
      </c>
      <c r="E2736">
        <f>IF(A2736="","",'Skill Matrix'!D176)</f>
        <v/>
      </c>
      <c r="F2736">
        <f>IF(AND('Skill Matrix'!A176&lt;&gt;"",'Skill Matrix'!S5&lt;&gt;""),'Skill Matrix'!S5,"")</f>
        <v/>
      </c>
      <c r="G2736">
        <f>IF(OR(A2736="",'Skill Matrix'!S176=""),"",'Skill Matrix'!S176)</f>
        <v/>
      </c>
      <c r="H2736">
        <f>IF(A2736="","",'Employees'!F16)</f>
        <v/>
      </c>
    </row>
    <row r="2737">
      <c r="A2737">
        <f>IF(AND('Skill Matrix'!A176&lt;&gt;"",'Skill Matrix'!T5&lt;&gt;""),'Skill Matrix'!A176,"")</f>
        <v/>
      </c>
      <c r="B2737">
        <f>IF(A2737="","",'Employees'!C16)</f>
        <v/>
      </c>
      <c r="C2737">
        <f>IF(A2737="","",'Employees'!D16)</f>
        <v/>
      </c>
      <c r="D2737">
        <f>IF(A2737="","",'Skill Matrix'!C176)</f>
        <v/>
      </c>
      <c r="E2737">
        <f>IF(A2737="","",'Skill Matrix'!D176)</f>
        <v/>
      </c>
      <c r="F2737">
        <f>IF(AND('Skill Matrix'!A176&lt;&gt;"",'Skill Matrix'!T5&lt;&gt;""),'Skill Matrix'!T5,"")</f>
        <v/>
      </c>
      <c r="G2737">
        <f>IF(OR(A2737="",'Skill Matrix'!T176=""),"",'Skill Matrix'!T176)</f>
        <v/>
      </c>
      <c r="H2737">
        <f>IF(A2737="","",'Employees'!F16)</f>
        <v/>
      </c>
    </row>
    <row r="2738">
      <c r="A2738">
        <f>IF(AND('Skill Matrix'!A177&lt;&gt;"",'Skill Matrix'!E5&lt;&gt;""),'Skill Matrix'!A177,"")</f>
        <v/>
      </c>
      <c r="B2738">
        <f>IF(A2738="","",'Employees'!C16)</f>
        <v/>
      </c>
      <c r="C2738">
        <f>IF(A2738="","",'Employees'!D16)</f>
        <v/>
      </c>
      <c r="D2738">
        <f>IF(A2738="","",'Skill Matrix'!C177)</f>
        <v/>
      </c>
      <c r="E2738">
        <f>IF(A2738="","",'Skill Matrix'!D177)</f>
        <v/>
      </c>
      <c r="F2738">
        <f>IF(AND('Skill Matrix'!A177&lt;&gt;"",'Skill Matrix'!E5&lt;&gt;""),'Skill Matrix'!E5,"")</f>
        <v/>
      </c>
      <c r="G2738">
        <f>IF(OR(A2738="",'Skill Matrix'!E177=""),"",'Skill Matrix'!E177)</f>
        <v/>
      </c>
      <c r="H2738">
        <f>IF(A2738="","",'Employees'!F16)</f>
        <v/>
      </c>
    </row>
    <row r="2739">
      <c r="A2739">
        <f>IF(AND('Skill Matrix'!A177&lt;&gt;"",'Skill Matrix'!F5&lt;&gt;""),'Skill Matrix'!A177,"")</f>
        <v/>
      </c>
      <c r="B2739">
        <f>IF(A2739="","",'Employees'!C16)</f>
        <v/>
      </c>
      <c r="C2739">
        <f>IF(A2739="","",'Employees'!D16)</f>
        <v/>
      </c>
      <c r="D2739">
        <f>IF(A2739="","",'Skill Matrix'!C177)</f>
        <v/>
      </c>
      <c r="E2739">
        <f>IF(A2739="","",'Skill Matrix'!D177)</f>
        <v/>
      </c>
      <c r="F2739">
        <f>IF(AND('Skill Matrix'!A177&lt;&gt;"",'Skill Matrix'!F5&lt;&gt;""),'Skill Matrix'!F5,"")</f>
        <v/>
      </c>
      <c r="G2739">
        <f>IF(OR(A2739="",'Skill Matrix'!F177=""),"",'Skill Matrix'!F177)</f>
        <v/>
      </c>
      <c r="H2739">
        <f>IF(A2739="","",'Employees'!F16)</f>
        <v/>
      </c>
    </row>
    <row r="2740">
      <c r="A2740">
        <f>IF(AND('Skill Matrix'!A177&lt;&gt;"",'Skill Matrix'!G5&lt;&gt;""),'Skill Matrix'!A177,"")</f>
        <v/>
      </c>
      <c r="B2740">
        <f>IF(A2740="","",'Employees'!C16)</f>
        <v/>
      </c>
      <c r="C2740">
        <f>IF(A2740="","",'Employees'!D16)</f>
        <v/>
      </c>
      <c r="D2740">
        <f>IF(A2740="","",'Skill Matrix'!C177)</f>
        <v/>
      </c>
      <c r="E2740">
        <f>IF(A2740="","",'Skill Matrix'!D177)</f>
        <v/>
      </c>
      <c r="F2740">
        <f>IF(AND('Skill Matrix'!A177&lt;&gt;"",'Skill Matrix'!G5&lt;&gt;""),'Skill Matrix'!G5,"")</f>
        <v/>
      </c>
      <c r="G2740">
        <f>IF(OR(A2740="",'Skill Matrix'!G177=""),"",'Skill Matrix'!G177)</f>
        <v/>
      </c>
      <c r="H2740">
        <f>IF(A2740="","",'Employees'!F16)</f>
        <v/>
      </c>
    </row>
    <row r="2741">
      <c r="A2741">
        <f>IF(AND('Skill Matrix'!A177&lt;&gt;"",'Skill Matrix'!H5&lt;&gt;""),'Skill Matrix'!A177,"")</f>
        <v/>
      </c>
      <c r="B2741">
        <f>IF(A2741="","",'Employees'!C16)</f>
        <v/>
      </c>
      <c r="C2741">
        <f>IF(A2741="","",'Employees'!D16)</f>
        <v/>
      </c>
      <c r="D2741">
        <f>IF(A2741="","",'Skill Matrix'!C177)</f>
        <v/>
      </c>
      <c r="E2741">
        <f>IF(A2741="","",'Skill Matrix'!D177)</f>
        <v/>
      </c>
      <c r="F2741">
        <f>IF(AND('Skill Matrix'!A177&lt;&gt;"",'Skill Matrix'!H5&lt;&gt;""),'Skill Matrix'!H5,"")</f>
        <v/>
      </c>
      <c r="G2741">
        <f>IF(OR(A2741="",'Skill Matrix'!H177=""),"",'Skill Matrix'!H177)</f>
        <v/>
      </c>
      <c r="H2741">
        <f>IF(A2741="","",'Employees'!F16)</f>
        <v/>
      </c>
    </row>
    <row r="2742">
      <c r="A2742">
        <f>IF(AND('Skill Matrix'!A177&lt;&gt;"",'Skill Matrix'!I5&lt;&gt;""),'Skill Matrix'!A177,"")</f>
        <v/>
      </c>
      <c r="B2742">
        <f>IF(A2742="","",'Employees'!C16)</f>
        <v/>
      </c>
      <c r="C2742">
        <f>IF(A2742="","",'Employees'!D16)</f>
        <v/>
      </c>
      <c r="D2742">
        <f>IF(A2742="","",'Skill Matrix'!C177)</f>
        <v/>
      </c>
      <c r="E2742">
        <f>IF(A2742="","",'Skill Matrix'!D177)</f>
        <v/>
      </c>
      <c r="F2742">
        <f>IF(AND('Skill Matrix'!A177&lt;&gt;"",'Skill Matrix'!I5&lt;&gt;""),'Skill Matrix'!I5,"")</f>
        <v/>
      </c>
      <c r="G2742">
        <f>IF(OR(A2742="",'Skill Matrix'!I177=""),"",'Skill Matrix'!I177)</f>
        <v/>
      </c>
      <c r="H2742">
        <f>IF(A2742="","",'Employees'!F16)</f>
        <v/>
      </c>
    </row>
    <row r="2743">
      <c r="A2743">
        <f>IF(AND('Skill Matrix'!A177&lt;&gt;"",'Skill Matrix'!J5&lt;&gt;""),'Skill Matrix'!A177,"")</f>
        <v/>
      </c>
      <c r="B2743">
        <f>IF(A2743="","",'Employees'!C16)</f>
        <v/>
      </c>
      <c r="C2743">
        <f>IF(A2743="","",'Employees'!D16)</f>
        <v/>
      </c>
      <c r="D2743">
        <f>IF(A2743="","",'Skill Matrix'!C177)</f>
        <v/>
      </c>
      <c r="E2743">
        <f>IF(A2743="","",'Skill Matrix'!D177)</f>
        <v/>
      </c>
      <c r="F2743">
        <f>IF(AND('Skill Matrix'!A177&lt;&gt;"",'Skill Matrix'!J5&lt;&gt;""),'Skill Matrix'!J5,"")</f>
        <v/>
      </c>
      <c r="G2743">
        <f>IF(OR(A2743="",'Skill Matrix'!J177=""),"",'Skill Matrix'!J177)</f>
        <v/>
      </c>
      <c r="H2743">
        <f>IF(A2743="","",'Employees'!F16)</f>
        <v/>
      </c>
    </row>
    <row r="2744">
      <c r="A2744">
        <f>IF(AND('Skill Matrix'!A177&lt;&gt;"",'Skill Matrix'!K5&lt;&gt;""),'Skill Matrix'!A177,"")</f>
        <v/>
      </c>
      <c r="B2744">
        <f>IF(A2744="","",'Employees'!C16)</f>
        <v/>
      </c>
      <c r="C2744">
        <f>IF(A2744="","",'Employees'!D16)</f>
        <v/>
      </c>
      <c r="D2744">
        <f>IF(A2744="","",'Skill Matrix'!C177)</f>
        <v/>
      </c>
      <c r="E2744">
        <f>IF(A2744="","",'Skill Matrix'!D177)</f>
        <v/>
      </c>
      <c r="F2744">
        <f>IF(AND('Skill Matrix'!A177&lt;&gt;"",'Skill Matrix'!K5&lt;&gt;""),'Skill Matrix'!K5,"")</f>
        <v/>
      </c>
      <c r="G2744">
        <f>IF(OR(A2744="",'Skill Matrix'!K177=""),"",'Skill Matrix'!K177)</f>
        <v/>
      </c>
      <c r="H2744">
        <f>IF(A2744="","",'Employees'!F16)</f>
        <v/>
      </c>
    </row>
    <row r="2745">
      <c r="A2745">
        <f>IF(AND('Skill Matrix'!A177&lt;&gt;"",'Skill Matrix'!L5&lt;&gt;""),'Skill Matrix'!A177,"")</f>
        <v/>
      </c>
      <c r="B2745">
        <f>IF(A2745="","",'Employees'!C16)</f>
        <v/>
      </c>
      <c r="C2745">
        <f>IF(A2745="","",'Employees'!D16)</f>
        <v/>
      </c>
      <c r="D2745">
        <f>IF(A2745="","",'Skill Matrix'!C177)</f>
        <v/>
      </c>
      <c r="E2745">
        <f>IF(A2745="","",'Skill Matrix'!D177)</f>
        <v/>
      </c>
      <c r="F2745">
        <f>IF(AND('Skill Matrix'!A177&lt;&gt;"",'Skill Matrix'!L5&lt;&gt;""),'Skill Matrix'!L5,"")</f>
        <v/>
      </c>
      <c r="G2745">
        <f>IF(OR(A2745="",'Skill Matrix'!L177=""),"",'Skill Matrix'!L177)</f>
        <v/>
      </c>
      <c r="H2745">
        <f>IF(A2745="","",'Employees'!F16)</f>
        <v/>
      </c>
    </row>
    <row r="2746">
      <c r="A2746">
        <f>IF(AND('Skill Matrix'!A177&lt;&gt;"",'Skill Matrix'!M5&lt;&gt;""),'Skill Matrix'!A177,"")</f>
        <v/>
      </c>
      <c r="B2746">
        <f>IF(A2746="","",'Employees'!C16)</f>
        <v/>
      </c>
      <c r="C2746">
        <f>IF(A2746="","",'Employees'!D16)</f>
        <v/>
      </c>
      <c r="D2746">
        <f>IF(A2746="","",'Skill Matrix'!C177)</f>
        <v/>
      </c>
      <c r="E2746">
        <f>IF(A2746="","",'Skill Matrix'!D177)</f>
        <v/>
      </c>
      <c r="F2746">
        <f>IF(AND('Skill Matrix'!A177&lt;&gt;"",'Skill Matrix'!M5&lt;&gt;""),'Skill Matrix'!M5,"")</f>
        <v/>
      </c>
      <c r="G2746">
        <f>IF(OR(A2746="",'Skill Matrix'!M177=""),"",'Skill Matrix'!M177)</f>
        <v/>
      </c>
      <c r="H2746">
        <f>IF(A2746="","",'Employees'!F16)</f>
        <v/>
      </c>
    </row>
    <row r="2747">
      <c r="A2747">
        <f>IF(AND('Skill Matrix'!A177&lt;&gt;"",'Skill Matrix'!N5&lt;&gt;""),'Skill Matrix'!A177,"")</f>
        <v/>
      </c>
      <c r="B2747">
        <f>IF(A2747="","",'Employees'!C16)</f>
        <v/>
      </c>
      <c r="C2747">
        <f>IF(A2747="","",'Employees'!D16)</f>
        <v/>
      </c>
      <c r="D2747">
        <f>IF(A2747="","",'Skill Matrix'!C177)</f>
        <v/>
      </c>
      <c r="E2747">
        <f>IF(A2747="","",'Skill Matrix'!D177)</f>
        <v/>
      </c>
      <c r="F2747">
        <f>IF(AND('Skill Matrix'!A177&lt;&gt;"",'Skill Matrix'!N5&lt;&gt;""),'Skill Matrix'!N5,"")</f>
        <v/>
      </c>
      <c r="G2747">
        <f>IF(OR(A2747="",'Skill Matrix'!N177=""),"",'Skill Matrix'!N177)</f>
        <v/>
      </c>
      <c r="H2747">
        <f>IF(A2747="","",'Employees'!F16)</f>
        <v/>
      </c>
    </row>
    <row r="2748">
      <c r="A2748">
        <f>IF(AND('Skill Matrix'!A177&lt;&gt;"",'Skill Matrix'!O5&lt;&gt;""),'Skill Matrix'!A177,"")</f>
        <v/>
      </c>
      <c r="B2748">
        <f>IF(A2748="","",'Employees'!C16)</f>
        <v/>
      </c>
      <c r="C2748">
        <f>IF(A2748="","",'Employees'!D16)</f>
        <v/>
      </c>
      <c r="D2748">
        <f>IF(A2748="","",'Skill Matrix'!C177)</f>
        <v/>
      </c>
      <c r="E2748">
        <f>IF(A2748="","",'Skill Matrix'!D177)</f>
        <v/>
      </c>
      <c r="F2748">
        <f>IF(AND('Skill Matrix'!A177&lt;&gt;"",'Skill Matrix'!O5&lt;&gt;""),'Skill Matrix'!O5,"")</f>
        <v/>
      </c>
      <c r="G2748">
        <f>IF(OR(A2748="",'Skill Matrix'!O177=""),"",'Skill Matrix'!O177)</f>
        <v/>
      </c>
      <c r="H2748">
        <f>IF(A2748="","",'Employees'!F16)</f>
        <v/>
      </c>
    </row>
    <row r="2749">
      <c r="A2749">
        <f>IF(AND('Skill Matrix'!A177&lt;&gt;"",'Skill Matrix'!P5&lt;&gt;""),'Skill Matrix'!A177,"")</f>
        <v/>
      </c>
      <c r="B2749">
        <f>IF(A2749="","",'Employees'!C16)</f>
        <v/>
      </c>
      <c r="C2749">
        <f>IF(A2749="","",'Employees'!D16)</f>
        <v/>
      </c>
      <c r="D2749">
        <f>IF(A2749="","",'Skill Matrix'!C177)</f>
        <v/>
      </c>
      <c r="E2749">
        <f>IF(A2749="","",'Skill Matrix'!D177)</f>
        <v/>
      </c>
      <c r="F2749">
        <f>IF(AND('Skill Matrix'!A177&lt;&gt;"",'Skill Matrix'!P5&lt;&gt;""),'Skill Matrix'!P5,"")</f>
        <v/>
      </c>
      <c r="G2749">
        <f>IF(OR(A2749="",'Skill Matrix'!P177=""),"",'Skill Matrix'!P177)</f>
        <v/>
      </c>
      <c r="H2749">
        <f>IF(A2749="","",'Employees'!F16)</f>
        <v/>
      </c>
    </row>
    <row r="2750">
      <c r="A2750">
        <f>IF(AND('Skill Matrix'!A177&lt;&gt;"",'Skill Matrix'!Q5&lt;&gt;""),'Skill Matrix'!A177,"")</f>
        <v/>
      </c>
      <c r="B2750">
        <f>IF(A2750="","",'Employees'!C16)</f>
        <v/>
      </c>
      <c r="C2750">
        <f>IF(A2750="","",'Employees'!D16)</f>
        <v/>
      </c>
      <c r="D2750">
        <f>IF(A2750="","",'Skill Matrix'!C177)</f>
        <v/>
      </c>
      <c r="E2750">
        <f>IF(A2750="","",'Skill Matrix'!D177)</f>
        <v/>
      </c>
      <c r="F2750">
        <f>IF(AND('Skill Matrix'!A177&lt;&gt;"",'Skill Matrix'!Q5&lt;&gt;""),'Skill Matrix'!Q5,"")</f>
        <v/>
      </c>
      <c r="G2750">
        <f>IF(OR(A2750="",'Skill Matrix'!Q177=""),"",'Skill Matrix'!Q177)</f>
        <v/>
      </c>
      <c r="H2750">
        <f>IF(A2750="","",'Employees'!F16)</f>
        <v/>
      </c>
    </row>
    <row r="2751">
      <c r="A2751">
        <f>IF(AND('Skill Matrix'!A177&lt;&gt;"",'Skill Matrix'!R5&lt;&gt;""),'Skill Matrix'!A177,"")</f>
        <v/>
      </c>
      <c r="B2751">
        <f>IF(A2751="","",'Employees'!C16)</f>
        <v/>
      </c>
      <c r="C2751">
        <f>IF(A2751="","",'Employees'!D16)</f>
        <v/>
      </c>
      <c r="D2751">
        <f>IF(A2751="","",'Skill Matrix'!C177)</f>
        <v/>
      </c>
      <c r="E2751">
        <f>IF(A2751="","",'Skill Matrix'!D177)</f>
        <v/>
      </c>
      <c r="F2751">
        <f>IF(AND('Skill Matrix'!A177&lt;&gt;"",'Skill Matrix'!R5&lt;&gt;""),'Skill Matrix'!R5,"")</f>
        <v/>
      </c>
      <c r="G2751">
        <f>IF(OR(A2751="",'Skill Matrix'!R177=""),"",'Skill Matrix'!R177)</f>
        <v/>
      </c>
      <c r="H2751">
        <f>IF(A2751="","",'Employees'!F16)</f>
        <v/>
      </c>
    </row>
    <row r="2752">
      <c r="A2752">
        <f>IF(AND('Skill Matrix'!A177&lt;&gt;"",'Skill Matrix'!S5&lt;&gt;""),'Skill Matrix'!A177,"")</f>
        <v/>
      </c>
      <c r="B2752">
        <f>IF(A2752="","",'Employees'!C16)</f>
        <v/>
      </c>
      <c r="C2752">
        <f>IF(A2752="","",'Employees'!D16)</f>
        <v/>
      </c>
      <c r="D2752">
        <f>IF(A2752="","",'Skill Matrix'!C177)</f>
        <v/>
      </c>
      <c r="E2752">
        <f>IF(A2752="","",'Skill Matrix'!D177)</f>
        <v/>
      </c>
      <c r="F2752">
        <f>IF(AND('Skill Matrix'!A177&lt;&gt;"",'Skill Matrix'!S5&lt;&gt;""),'Skill Matrix'!S5,"")</f>
        <v/>
      </c>
      <c r="G2752">
        <f>IF(OR(A2752="",'Skill Matrix'!S177=""),"",'Skill Matrix'!S177)</f>
        <v/>
      </c>
      <c r="H2752">
        <f>IF(A2752="","",'Employees'!F16)</f>
        <v/>
      </c>
    </row>
    <row r="2753">
      <c r="A2753">
        <f>IF(AND('Skill Matrix'!A177&lt;&gt;"",'Skill Matrix'!T5&lt;&gt;""),'Skill Matrix'!A177,"")</f>
        <v/>
      </c>
      <c r="B2753">
        <f>IF(A2753="","",'Employees'!C16)</f>
        <v/>
      </c>
      <c r="C2753">
        <f>IF(A2753="","",'Employees'!D16)</f>
        <v/>
      </c>
      <c r="D2753">
        <f>IF(A2753="","",'Skill Matrix'!C177)</f>
        <v/>
      </c>
      <c r="E2753">
        <f>IF(A2753="","",'Skill Matrix'!D177)</f>
        <v/>
      </c>
      <c r="F2753">
        <f>IF(AND('Skill Matrix'!A177&lt;&gt;"",'Skill Matrix'!T5&lt;&gt;""),'Skill Matrix'!T5,"")</f>
        <v/>
      </c>
      <c r="G2753">
        <f>IF(OR(A2753="",'Skill Matrix'!T177=""),"",'Skill Matrix'!T177)</f>
        <v/>
      </c>
      <c r="H2753">
        <f>IF(A2753="","",'Employees'!F16)</f>
        <v/>
      </c>
    </row>
    <row r="2754">
      <c r="A2754">
        <f>IF(AND('Skill Matrix'!A178&lt;&gt;"",'Skill Matrix'!E5&lt;&gt;""),'Skill Matrix'!A178,"")</f>
        <v/>
      </c>
      <c r="B2754">
        <f>IF(A2754="","",'Employees'!C16)</f>
        <v/>
      </c>
      <c r="C2754">
        <f>IF(A2754="","",'Employees'!D16)</f>
        <v/>
      </c>
      <c r="D2754">
        <f>IF(A2754="","",'Skill Matrix'!C178)</f>
        <v/>
      </c>
      <c r="E2754">
        <f>IF(A2754="","",'Skill Matrix'!D178)</f>
        <v/>
      </c>
      <c r="F2754">
        <f>IF(AND('Skill Matrix'!A178&lt;&gt;"",'Skill Matrix'!E5&lt;&gt;""),'Skill Matrix'!E5,"")</f>
        <v/>
      </c>
      <c r="G2754">
        <f>IF(OR(A2754="",'Skill Matrix'!E178=""),"",'Skill Matrix'!E178)</f>
        <v/>
      </c>
      <c r="H2754">
        <f>IF(A2754="","",'Employees'!F16)</f>
        <v/>
      </c>
    </row>
    <row r="2755">
      <c r="A2755">
        <f>IF(AND('Skill Matrix'!A178&lt;&gt;"",'Skill Matrix'!F5&lt;&gt;""),'Skill Matrix'!A178,"")</f>
        <v/>
      </c>
      <c r="B2755">
        <f>IF(A2755="","",'Employees'!C16)</f>
        <v/>
      </c>
      <c r="C2755">
        <f>IF(A2755="","",'Employees'!D16)</f>
        <v/>
      </c>
      <c r="D2755">
        <f>IF(A2755="","",'Skill Matrix'!C178)</f>
        <v/>
      </c>
      <c r="E2755">
        <f>IF(A2755="","",'Skill Matrix'!D178)</f>
        <v/>
      </c>
      <c r="F2755">
        <f>IF(AND('Skill Matrix'!A178&lt;&gt;"",'Skill Matrix'!F5&lt;&gt;""),'Skill Matrix'!F5,"")</f>
        <v/>
      </c>
      <c r="G2755">
        <f>IF(OR(A2755="",'Skill Matrix'!F178=""),"",'Skill Matrix'!F178)</f>
        <v/>
      </c>
      <c r="H2755">
        <f>IF(A2755="","",'Employees'!F16)</f>
        <v/>
      </c>
    </row>
    <row r="2756">
      <c r="A2756">
        <f>IF(AND('Skill Matrix'!A178&lt;&gt;"",'Skill Matrix'!G5&lt;&gt;""),'Skill Matrix'!A178,"")</f>
        <v/>
      </c>
      <c r="B2756">
        <f>IF(A2756="","",'Employees'!C16)</f>
        <v/>
      </c>
      <c r="C2756">
        <f>IF(A2756="","",'Employees'!D16)</f>
        <v/>
      </c>
      <c r="D2756">
        <f>IF(A2756="","",'Skill Matrix'!C178)</f>
        <v/>
      </c>
      <c r="E2756">
        <f>IF(A2756="","",'Skill Matrix'!D178)</f>
        <v/>
      </c>
      <c r="F2756">
        <f>IF(AND('Skill Matrix'!A178&lt;&gt;"",'Skill Matrix'!G5&lt;&gt;""),'Skill Matrix'!G5,"")</f>
        <v/>
      </c>
      <c r="G2756">
        <f>IF(OR(A2756="",'Skill Matrix'!G178=""),"",'Skill Matrix'!G178)</f>
        <v/>
      </c>
      <c r="H2756">
        <f>IF(A2756="","",'Employees'!F16)</f>
        <v/>
      </c>
    </row>
    <row r="2757">
      <c r="A2757">
        <f>IF(AND('Skill Matrix'!A178&lt;&gt;"",'Skill Matrix'!H5&lt;&gt;""),'Skill Matrix'!A178,"")</f>
        <v/>
      </c>
      <c r="B2757">
        <f>IF(A2757="","",'Employees'!C16)</f>
        <v/>
      </c>
      <c r="C2757">
        <f>IF(A2757="","",'Employees'!D16)</f>
        <v/>
      </c>
      <c r="D2757">
        <f>IF(A2757="","",'Skill Matrix'!C178)</f>
        <v/>
      </c>
      <c r="E2757">
        <f>IF(A2757="","",'Skill Matrix'!D178)</f>
        <v/>
      </c>
      <c r="F2757">
        <f>IF(AND('Skill Matrix'!A178&lt;&gt;"",'Skill Matrix'!H5&lt;&gt;""),'Skill Matrix'!H5,"")</f>
        <v/>
      </c>
      <c r="G2757">
        <f>IF(OR(A2757="",'Skill Matrix'!H178=""),"",'Skill Matrix'!H178)</f>
        <v/>
      </c>
      <c r="H2757">
        <f>IF(A2757="","",'Employees'!F16)</f>
        <v/>
      </c>
    </row>
    <row r="2758">
      <c r="A2758">
        <f>IF(AND('Skill Matrix'!A178&lt;&gt;"",'Skill Matrix'!I5&lt;&gt;""),'Skill Matrix'!A178,"")</f>
        <v/>
      </c>
      <c r="B2758">
        <f>IF(A2758="","",'Employees'!C16)</f>
        <v/>
      </c>
      <c r="C2758">
        <f>IF(A2758="","",'Employees'!D16)</f>
        <v/>
      </c>
      <c r="D2758">
        <f>IF(A2758="","",'Skill Matrix'!C178)</f>
        <v/>
      </c>
      <c r="E2758">
        <f>IF(A2758="","",'Skill Matrix'!D178)</f>
        <v/>
      </c>
      <c r="F2758">
        <f>IF(AND('Skill Matrix'!A178&lt;&gt;"",'Skill Matrix'!I5&lt;&gt;""),'Skill Matrix'!I5,"")</f>
        <v/>
      </c>
      <c r="G2758">
        <f>IF(OR(A2758="",'Skill Matrix'!I178=""),"",'Skill Matrix'!I178)</f>
        <v/>
      </c>
      <c r="H2758">
        <f>IF(A2758="","",'Employees'!F16)</f>
        <v/>
      </c>
    </row>
    <row r="2759">
      <c r="A2759">
        <f>IF(AND('Skill Matrix'!A178&lt;&gt;"",'Skill Matrix'!J5&lt;&gt;""),'Skill Matrix'!A178,"")</f>
        <v/>
      </c>
      <c r="B2759">
        <f>IF(A2759="","",'Employees'!C16)</f>
        <v/>
      </c>
      <c r="C2759">
        <f>IF(A2759="","",'Employees'!D16)</f>
        <v/>
      </c>
      <c r="D2759">
        <f>IF(A2759="","",'Skill Matrix'!C178)</f>
        <v/>
      </c>
      <c r="E2759">
        <f>IF(A2759="","",'Skill Matrix'!D178)</f>
        <v/>
      </c>
      <c r="F2759">
        <f>IF(AND('Skill Matrix'!A178&lt;&gt;"",'Skill Matrix'!J5&lt;&gt;""),'Skill Matrix'!J5,"")</f>
        <v/>
      </c>
      <c r="G2759">
        <f>IF(OR(A2759="",'Skill Matrix'!J178=""),"",'Skill Matrix'!J178)</f>
        <v/>
      </c>
      <c r="H2759">
        <f>IF(A2759="","",'Employees'!F16)</f>
        <v/>
      </c>
    </row>
    <row r="2760">
      <c r="A2760">
        <f>IF(AND('Skill Matrix'!A178&lt;&gt;"",'Skill Matrix'!K5&lt;&gt;""),'Skill Matrix'!A178,"")</f>
        <v/>
      </c>
      <c r="B2760">
        <f>IF(A2760="","",'Employees'!C16)</f>
        <v/>
      </c>
      <c r="C2760">
        <f>IF(A2760="","",'Employees'!D16)</f>
        <v/>
      </c>
      <c r="D2760">
        <f>IF(A2760="","",'Skill Matrix'!C178)</f>
        <v/>
      </c>
      <c r="E2760">
        <f>IF(A2760="","",'Skill Matrix'!D178)</f>
        <v/>
      </c>
      <c r="F2760">
        <f>IF(AND('Skill Matrix'!A178&lt;&gt;"",'Skill Matrix'!K5&lt;&gt;""),'Skill Matrix'!K5,"")</f>
        <v/>
      </c>
      <c r="G2760">
        <f>IF(OR(A2760="",'Skill Matrix'!K178=""),"",'Skill Matrix'!K178)</f>
        <v/>
      </c>
      <c r="H2760">
        <f>IF(A2760="","",'Employees'!F16)</f>
        <v/>
      </c>
    </row>
    <row r="2761">
      <c r="A2761">
        <f>IF(AND('Skill Matrix'!A178&lt;&gt;"",'Skill Matrix'!L5&lt;&gt;""),'Skill Matrix'!A178,"")</f>
        <v/>
      </c>
      <c r="B2761">
        <f>IF(A2761="","",'Employees'!C16)</f>
        <v/>
      </c>
      <c r="C2761">
        <f>IF(A2761="","",'Employees'!D16)</f>
        <v/>
      </c>
      <c r="D2761">
        <f>IF(A2761="","",'Skill Matrix'!C178)</f>
        <v/>
      </c>
      <c r="E2761">
        <f>IF(A2761="","",'Skill Matrix'!D178)</f>
        <v/>
      </c>
      <c r="F2761">
        <f>IF(AND('Skill Matrix'!A178&lt;&gt;"",'Skill Matrix'!L5&lt;&gt;""),'Skill Matrix'!L5,"")</f>
        <v/>
      </c>
      <c r="G2761">
        <f>IF(OR(A2761="",'Skill Matrix'!L178=""),"",'Skill Matrix'!L178)</f>
        <v/>
      </c>
      <c r="H2761">
        <f>IF(A2761="","",'Employees'!F16)</f>
        <v/>
      </c>
    </row>
    <row r="2762">
      <c r="A2762">
        <f>IF(AND('Skill Matrix'!A178&lt;&gt;"",'Skill Matrix'!M5&lt;&gt;""),'Skill Matrix'!A178,"")</f>
        <v/>
      </c>
      <c r="B2762">
        <f>IF(A2762="","",'Employees'!C16)</f>
        <v/>
      </c>
      <c r="C2762">
        <f>IF(A2762="","",'Employees'!D16)</f>
        <v/>
      </c>
      <c r="D2762">
        <f>IF(A2762="","",'Skill Matrix'!C178)</f>
        <v/>
      </c>
      <c r="E2762">
        <f>IF(A2762="","",'Skill Matrix'!D178)</f>
        <v/>
      </c>
      <c r="F2762">
        <f>IF(AND('Skill Matrix'!A178&lt;&gt;"",'Skill Matrix'!M5&lt;&gt;""),'Skill Matrix'!M5,"")</f>
        <v/>
      </c>
      <c r="G2762">
        <f>IF(OR(A2762="",'Skill Matrix'!M178=""),"",'Skill Matrix'!M178)</f>
        <v/>
      </c>
      <c r="H2762">
        <f>IF(A2762="","",'Employees'!F16)</f>
        <v/>
      </c>
    </row>
    <row r="2763">
      <c r="A2763">
        <f>IF(AND('Skill Matrix'!A178&lt;&gt;"",'Skill Matrix'!N5&lt;&gt;""),'Skill Matrix'!A178,"")</f>
        <v/>
      </c>
      <c r="B2763">
        <f>IF(A2763="","",'Employees'!C16)</f>
        <v/>
      </c>
      <c r="C2763">
        <f>IF(A2763="","",'Employees'!D16)</f>
        <v/>
      </c>
      <c r="D2763">
        <f>IF(A2763="","",'Skill Matrix'!C178)</f>
        <v/>
      </c>
      <c r="E2763">
        <f>IF(A2763="","",'Skill Matrix'!D178)</f>
        <v/>
      </c>
      <c r="F2763">
        <f>IF(AND('Skill Matrix'!A178&lt;&gt;"",'Skill Matrix'!N5&lt;&gt;""),'Skill Matrix'!N5,"")</f>
        <v/>
      </c>
      <c r="G2763">
        <f>IF(OR(A2763="",'Skill Matrix'!N178=""),"",'Skill Matrix'!N178)</f>
        <v/>
      </c>
      <c r="H2763">
        <f>IF(A2763="","",'Employees'!F16)</f>
        <v/>
      </c>
    </row>
    <row r="2764">
      <c r="A2764">
        <f>IF(AND('Skill Matrix'!A178&lt;&gt;"",'Skill Matrix'!O5&lt;&gt;""),'Skill Matrix'!A178,"")</f>
        <v/>
      </c>
      <c r="B2764">
        <f>IF(A2764="","",'Employees'!C16)</f>
        <v/>
      </c>
      <c r="C2764">
        <f>IF(A2764="","",'Employees'!D16)</f>
        <v/>
      </c>
      <c r="D2764">
        <f>IF(A2764="","",'Skill Matrix'!C178)</f>
        <v/>
      </c>
      <c r="E2764">
        <f>IF(A2764="","",'Skill Matrix'!D178)</f>
        <v/>
      </c>
      <c r="F2764">
        <f>IF(AND('Skill Matrix'!A178&lt;&gt;"",'Skill Matrix'!O5&lt;&gt;""),'Skill Matrix'!O5,"")</f>
        <v/>
      </c>
      <c r="G2764">
        <f>IF(OR(A2764="",'Skill Matrix'!O178=""),"",'Skill Matrix'!O178)</f>
        <v/>
      </c>
      <c r="H2764">
        <f>IF(A2764="","",'Employees'!F16)</f>
        <v/>
      </c>
    </row>
    <row r="2765">
      <c r="A2765">
        <f>IF(AND('Skill Matrix'!A178&lt;&gt;"",'Skill Matrix'!P5&lt;&gt;""),'Skill Matrix'!A178,"")</f>
        <v/>
      </c>
      <c r="B2765">
        <f>IF(A2765="","",'Employees'!C16)</f>
        <v/>
      </c>
      <c r="C2765">
        <f>IF(A2765="","",'Employees'!D16)</f>
        <v/>
      </c>
      <c r="D2765">
        <f>IF(A2765="","",'Skill Matrix'!C178)</f>
        <v/>
      </c>
      <c r="E2765">
        <f>IF(A2765="","",'Skill Matrix'!D178)</f>
        <v/>
      </c>
      <c r="F2765">
        <f>IF(AND('Skill Matrix'!A178&lt;&gt;"",'Skill Matrix'!P5&lt;&gt;""),'Skill Matrix'!P5,"")</f>
        <v/>
      </c>
      <c r="G2765">
        <f>IF(OR(A2765="",'Skill Matrix'!P178=""),"",'Skill Matrix'!P178)</f>
        <v/>
      </c>
      <c r="H2765">
        <f>IF(A2765="","",'Employees'!F16)</f>
        <v/>
      </c>
    </row>
    <row r="2766">
      <c r="A2766">
        <f>IF(AND('Skill Matrix'!A178&lt;&gt;"",'Skill Matrix'!Q5&lt;&gt;""),'Skill Matrix'!A178,"")</f>
        <v/>
      </c>
      <c r="B2766">
        <f>IF(A2766="","",'Employees'!C16)</f>
        <v/>
      </c>
      <c r="C2766">
        <f>IF(A2766="","",'Employees'!D16)</f>
        <v/>
      </c>
      <c r="D2766">
        <f>IF(A2766="","",'Skill Matrix'!C178)</f>
        <v/>
      </c>
      <c r="E2766">
        <f>IF(A2766="","",'Skill Matrix'!D178)</f>
        <v/>
      </c>
      <c r="F2766">
        <f>IF(AND('Skill Matrix'!A178&lt;&gt;"",'Skill Matrix'!Q5&lt;&gt;""),'Skill Matrix'!Q5,"")</f>
        <v/>
      </c>
      <c r="G2766">
        <f>IF(OR(A2766="",'Skill Matrix'!Q178=""),"",'Skill Matrix'!Q178)</f>
        <v/>
      </c>
      <c r="H2766">
        <f>IF(A2766="","",'Employees'!F16)</f>
        <v/>
      </c>
    </row>
    <row r="2767">
      <c r="A2767">
        <f>IF(AND('Skill Matrix'!A178&lt;&gt;"",'Skill Matrix'!R5&lt;&gt;""),'Skill Matrix'!A178,"")</f>
        <v/>
      </c>
      <c r="B2767">
        <f>IF(A2767="","",'Employees'!C16)</f>
        <v/>
      </c>
      <c r="C2767">
        <f>IF(A2767="","",'Employees'!D16)</f>
        <v/>
      </c>
      <c r="D2767">
        <f>IF(A2767="","",'Skill Matrix'!C178)</f>
        <v/>
      </c>
      <c r="E2767">
        <f>IF(A2767="","",'Skill Matrix'!D178)</f>
        <v/>
      </c>
      <c r="F2767">
        <f>IF(AND('Skill Matrix'!A178&lt;&gt;"",'Skill Matrix'!R5&lt;&gt;""),'Skill Matrix'!R5,"")</f>
        <v/>
      </c>
      <c r="G2767">
        <f>IF(OR(A2767="",'Skill Matrix'!R178=""),"",'Skill Matrix'!R178)</f>
        <v/>
      </c>
      <c r="H2767">
        <f>IF(A2767="","",'Employees'!F16)</f>
        <v/>
      </c>
    </row>
    <row r="2768">
      <c r="A2768">
        <f>IF(AND('Skill Matrix'!A178&lt;&gt;"",'Skill Matrix'!S5&lt;&gt;""),'Skill Matrix'!A178,"")</f>
        <v/>
      </c>
      <c r="B2768">
        <f>IF(A2768="","",'Employees'!C16)</f>
        <v/>
      </c>
      <c r="C2768">
        <f>IF(A2768="","",'Employees'!D16)</f>
        <v/>
      </c>
      <c r="D2768">
        <f>IF(A2768="","",'Skill Matrix'!C178)</f>
        <v/>
      </c>
      <c r="E2768">
        <f>IF(A2768="","",'Skill Matrix'!D178)</f>
        <v/>
      </c>
      <c r="F2768">
        <f>IF(AND('Skill Matrix'!A178&lt;&gt;"",'Skill Matrix'!S5&lt;&gt;""),'Skill Matrix'!S5,"")</f>
        <v/>
      </c>
      <c r="G2768">
        <f>IF(OR(A2768="",'Skill Matrix'!S178=""),"",'Skill Matrix'!S178)</f>
        <v/>
      </c>
      <c r="H2768">
        <f>IF(A2768="","",'Employees'!F16)</f>
        <v/>
      </c>
    </row>
    <row r="2769">
      <c r="A2769">
        <f>IF(AND('Skill Matrix'!A178&lt;&gt;"",'Skill Matrix'!T5&lt;&gt;""),'Skill Matrix'!A178,"")</f>
        <v/>
      </c>
      <c r="B2769">
        <f>IF(A2769="","",'Employees'!C16)</f>
        <v/>
      </c>
      <c r="C2769">
        <f>IF(A2769="","",'Employees'!D16)</f>
        <v/>
      </c>
      <c r="D2769">
        <f>IF(A2769="","",'Skill Matrix'!C178)</f>
        <v/>
      </c>
      <c r="E2769">
        <f>IF(A2769="","",'Skill Matrix'!D178)</f>
        <v/>
      </c>
      <c r="F2769">
        <f>IF(AND('Skill Matrix'!A178&lt;&gt;"",'Skill Matrix'!T5&lt;&gt;""),'Skill Matrix'!T5,"")</f>
        <v/>
      </c>
      <c r="G2769">
        <f>IF(OR(A2769="",'Skill Matrix'!T178=""),"",'Skill Matrix'!T178)</f>
        <v/>
      </c>
      <c r="H2769">
        <f>IF(A2769="","",'Employees'!F16)</f>
        <v/>
      </c>
    </row>
    <row r="2770">
      <c r="A2770">
        <f>IF(AND('Skill Matrix'!A179&lt;&gt;"",'Skill Matrix'!E5&lt;&gt;""),'Skill Matrix'!A179,"")</f>
        <v/>
      </c>
      <c r="B2770">
        <f>IF(A2770="","",'Employees'!C16)</f>
        <v/>
      </c>
      <c r="C2770">
        <f>IF(A2770="","",'Employees'!D16)</f>
        <v/>
      </c>
      <c r="D2770">
        <f>IF(A2770="","",'Skill Matrix'!C179)</f>
        <v/>
      </c>
      <c r="E2770">
        <f>IF(A2770="","",'Skill Matrix'!D179)</f>
        <v/>
      </c>
      <c r="F2770">
        <f>IF(AND('Skill Matrix'!A179&lt;&gt;"",'Skill Matrix'!E5&lt;&gt;""),'Skill Matrix'!E5,"")</f>
        <v/>
      </c>
      <c r="G2770">
        <f>IF(OR(A2770="",'Skill Matrix'!E179=""),"",'Skill Matrix'!E179)</f>
        <v/>
      </c>
      <c r="H2770">
        <f>IF(A2770="","",'Employees'!F16)</f>
        <v/>
      </c>
    </row>
    <row r="2771">
      <c r="A2771">
        <f>IF(AND('Skill Matrix'!A179&lt;&gt;"",'Skill Matrix'!F5&lt;&gt;""),'Skill Matrix'!A179,"")</f>
        <v/>
      </c>
      <c r="B2771">
        <f>IF(A2771="","",'Employees'!C16)</f>
        <v/>
      </c>
      <c r="C2771">
        <f>IF(A2771="","",'Employees'!D16)</f>
        <v/>
      </c>
      <c r="D2771">
        <f>IF(A2771="","",'Skill Matrix'!C179)</f>
        <v/>
      </c>
      <c r="E2771">
        <f>IF(A2771="","",'Skill Matrix'!D179)</f>
        <v/>
      </c>
      <c r="F2771">
        <f>IF(AND('Skill Matrix'!A179&lt;&gt;"",'Skill Matrix'!F5&lt;&gt;""),'Skill Matrix'!F5,"")</f>
        <v/>
      </c>
      <c r="G2771">
        <f>IF(OR(A2771="",'Skill Matrix'!F179=""),"",'Skill Matrix'!F179)</f>
        <v/>
      </c>
      <c r="H2771">
        <f>IF(A2771="","",'Employees'!F16)</f>
        <v/>
      </c>
    </row>
    <row r="2772">
      <c r="A2772">
        <f>IF(AND('Skill Matrix'!A179&lt;&gt;"",'Skill Matrix'!G5&lt;&gt;""),'Skill Matrix'!A179,"")</f>
        <v/>
      </c>
      <c r="B2772">
        <f>IF(A2772="","",'Employees'!C16)</f>
        <v/>
      </c>
      <c r="C2772">
        <f>IF(A2772="","",'Employees'!D16)</f>
        <v/>
      </c>
      <c r="D2772">
        <f>IF(A2772="","",'Skill Matrix'!C179)</f>
        <v/>
      </c>
      <c r="E2772">
        <f>IF(A2772="","",'Skill Matrix'!D179)</f>
        <v/>
      </c>
      <c r="F2772">
        <f>IF(AND('Skill Matrix'!A179&lt;&gt;"",'Skill Matrix'!G5&lt;&gt;""),'Skill Matrix'!G5,"")</f>
        <v/>
      </c>
      <c r="G2772">
        <f>IF(OR(A2772="",'Skill Matrix'!G179=""),"",'Skill Matrix'!G179)</f>
        <v/>
      </c>
      <c r="H2772">
        <f>IF(A2772="","",'Employees'!F16)</f>
        <v/>
      </c>
    </row>
    <row r="2773">
      <c r="A2773">
        <f>IF(AND('Skill Matrix'!A179&lt;&gt;"",'Skill Matrix'!H5&lt;&gt;""),'Skill Matrix'!A179,"")</f>
        <v/>
      </c>
      <c r="B2773">
        <f>IF(A2773="","",'Employees'!C16)</f>
        <v/>
      </c>
      <c r="C2773">
        <f>IF(A2773="","",'Employees'!D16)</f>
        <v/>
      </c>
      <c r="D2773">
        <f>IF(A2773="","",'Skill Matrix'!C179)</f>
        <v/>
      </c>
      <c r="E2773">
        <f>IF(A2773="","",'Skill Matrix'!D179)</f>
        <v/>
      </c>
      <c r="F2773">
        <f>IF(AND('Skill Matrix'!A179&lt;&gt;"",'Skill Matrix'!H5&lt;&gt;""),'Skill Matrix'!H5,"")</f>
        <v/>
      </c>
      <c r="G2773">
        <f>IF(OR(A2773="",'Skill Matrix'!H179=""),"",'Skill Matrix'!H179)</f>
        <v/>
      </c>
      <c r="H2773">
        <f>IF(A2773="","",'Employees'!F16)</f>
        <v/>
      </c>
    </row>
    <row r="2774">
      <c r="A2774">
        <f>IF(AND('Skill Matrix'!A179&lt;&gt;"",'Skill Matrix'!I5&lt;&gt;""),'Skill Matrix'!A179,"")</f>
        <v/>
      </c>
      <c r="B2774">
        <f>IF(A2774="","",'Employees'!C16)</f>
        <v/>
      </c>
      <c r="C2774">
        <f>IF(A2774="","",'Employees'!D16)</f>
        <v/>
      </c>
      <c r="D2774">
        <f>IF(A2774="","",'Skill Matrix'!C179)</f>
        <v/>
      </c>
      <c r="E2774">
        <f>IF(A2774="","",'Skill Matrix'!D179)</f>
        <v/>
      </c>
      <c r="F2774">
        <f>IF(AND('Skill Matrix'!A179&lt;&gt;"",'Skill Matrix'!I5&lt;&gt;""),'Skill Matrix'!I5,"")</f>
        <v/>
      </c>
      <c r="G2774">
        <f>IF(OR(A2774="",'Skill Matrix'!I179=""),"",'Skill Matrix'!I179)</f>
        <v/>
      </c>
      <c r="H2774">
        <f>IF(A2774="","",'Employees'!F16)</f>
        <v/>
      </c>
    </row>
    <row r="2775">
      <c r="A2775">
        <f>IF(AND('Skill Matrix'!A179&lt;&gt;"",'Skill Matrix'!J5&lt;&gt;""),'Skill Matrix'!A179,"")</f>
        <v/>
      </c>
      <c r="B2775">
        <f>IF(A2775="","",'Employees'!C16)</f>
        <v/>
      </c>
      <c r="C2775">
        <f>IF(A2775="","",'Employees'!D16)</f>
        <v/>
      </c>
      <c r="D2775">
        <f>IF(A2775="","",'Skill Matrix'!C179)</f>
        <v/>
      </c>
      <c r="E2775">
        <f>IF(A2775="","",'Skill Matrix'!D179)</f>
        <v/>
      </c>
      <c r="F2775">
        <f>IF(AND('Skill Matrix'!A179&lt;&gt;"",'Skill Matrix'!J5&lt;&gt;""),'Skill Matrix'!J5,"")</f>
        <v/>
      </c>
      <c r="G2775">
        <f>IF(OR(A2775="",'Skill Matrix'!J179=""),"",'Skill Matrix'!J179)</f>
        <v/>
      </c>
      <c r="H2775">
        <f>IF(A2775="","",'Employees'!F16)</f>
        <v/>
      </c>
    </row>
    <row r="2776">
      <c r="A2776">
        <f>IF(AND('Skill Matrix'!A179&lt;&gt;"",'Skill Matrix'!K5&lt;&gt;""),'Skill Matrix'!A179,"")</f>
        <v/>
      </c>
      <c r="B2776">
        <f>IF(A2776="","",'Employees'!C16)</f>
        <v/>
      </c>
      <c r="C2776">
        <f>IF(A2776="","",'Employees'!D16)</f>
        <v/>
      </c>
      <c r="D2776">
        <f>IF(A2776="","",'Skill Matrix'!C179)</f>
        <v/>
      </c>
      <c r="E2776">
        <f>IF(A2776="","",'Skill Matrix'!D179)</f>
        <v/>
      </c>
      <c r="F2776">
        <f>IF(AND('Skill Matrix'!A179&lt;&gt;"",'Skill Matrix'!K5&lt;&gt;""),'Skill Matrix'!K5,"")</f>
        <v/>
      </c>
      <c r="G2776">
        <f>IF(OR(A2776="",'Skill Matrix'!K179=""),"",'Skill Matrix'!K179)</f>
        <v/>
      </c>
      <c r="H2776">
        <f>IF(A2776="","",'Employees'!F16)</f>
        <v/>
      </c>
    </row>
    <row r="2777">
      <c r="A2777">
        <f>IF(AND('Skill Matrix'!A179&lt;&gt;"",'Skill Matrix'!L5&lt;&gt;""),'Skill Matrix'!A179,"")</f>
        <v/>
      </c>
      <c r="B2777">
        <f>IF(A2777="","",'Employees'!C16)</f>
        <v/>
      </c>
      <c r="C2777">
        <f>IF(A2777="","",'Employees'!D16)</f>
        <v/>
      </c>
      <c r="D2777">
        <f>IF(A2777="","",'Skill Matrix'!C179)</f>
        <v/>
      </c>
      <c r="E2777">
        <f>IF(A2777="","",'Skill Matrix'!D179)</f>
        <v/>
      </c>
      <c r="F2777">
        <f>IF(AND('Skill Matrix'!A179&lt;&gt;"",'Skill Matrix'!L5&lt;&gt;""),'Skill Matrix'!L5,"")</f>
        <v/>
      </c>
      <c r="G2777">
        <f>IF(OR(A2777="",'Skill Matrix'!L179=""),"",'Skill Matrix'!L179)</f>
        <v/>
      </c>
      <c r="H2777">
        <f>IF(A2777="","",'Employees'!F16)</f>
        <v/>
      </c>
    </row>
    <row r="2778">
      <c r="A2778">
        <f>IF(AND('Skill Matrix'!A179&lt;&gt;"",'Skill Matrix'!M5&lt;&gt;""),'Skill Matrix'!A179,"")</f>
        <v/>
      </c>
      <c r="B2778">
        <f>IF(A2778="","",'Employees'!C16)</f>
        <v/>
      </c>
      <c r="C2778">
        <f>IF(A2778="","",'Employees'!D16)</f>
        <v/>
      </c>
      <c r="D2778">
        <f>IF(A2778="","",'Skill Matrix'!C179)</f>
        <v/>
      </c>
      <c r="E2778">
        <f>IF(A2778="","",'Skill Matrix'!D179)</f>
        <v/>
      </c>
      <c r="F2778">
        <f>IF(AND('Skill Matrix'!A179&lt;&gt;"",'Skill Matrix'!M5&lt;&gt;""),'Skill Matrix'!M5,"")</f>
        <v/>
      </c>
      <c r="G2778">
        <f>IF(OR(A2778="",'Skill Matrix'!M179=""),"",'Skill Matrix'!M179)</f>
        <v/>
      </c>
      <c r="H2778">
        <f>IF(A2778="","",'Employees'!F16)</f>
        <v/>
      </c>
    </row>
    <row r="2779">
      <c r="A2779">
        <f>IF(AND('Skill Matrix'!A179&lt;&gt;"",'Skill Matrix'!N5&lt;&gt;""),'Skill Matrix'!A179,"")</f>
        <v/>
      </c>
      <c r="B2779">
        <f>IF(A2779="","",'Employees'!C16)</f>
        <v/>
      </c>
      <c r="C2779">
        <f>IF(A2779="","",'Employees'!D16)</f>
        <v/>
      </c>
      <c r="D2779">
        <f>IF(A2779="","",'Skill Matrix'!C179)</f>
        <v/>
      </c>
      <c r="E2779">
        <f>IF(A2779="","",'Skill Matrix'!D179)</f>
        <v/>
      </c>
      <c r="F2779">
        <f>IF(AND('Skill Matrix'!A179&lt;&gt;"",'Skill Matrix'!N5&lt;&gt;""),'Skill Matrix'!N5,"")</f>
        <v/>
      </c>
      <c r="G2779">
        <f>IF(OR(A2779="",'Skill Matrix'!N179=""),"",'Skill Matrix'!N179)</f>
        <v/>
      </c>
      <c r="H2779">
        <f>IF(A2779="","",'Employees'!F16)</f>
        <v/>
      </c>
    </row>
    <row r="2780">
      <c r="A2780">
        <f>IF(AND('Skill Matrix'!A179&lt;&gt;"",'Skill Matrix'!O5&lt;&gt;""),'Skill Matrix'!A179,"")</f>
        <v/>
      </c>
      <c r="B2780">
        <f>IF(A2780="","",'Employees'!C16)</f>
        <v/>
      </c>
      <c r="C2780">
        <f>IF(A2780="","",'Employees'!D16)</f>
        <v/>
      </c>
      <c r="D2780">
        <f>IF(A2780="","",'Skill Matrix'!C179)</f>
        <v/>
      </c>
      <c r="E2780">
        <f>IF(A2780="","",'Skill Matrix'!D179)</f>
        <v/>
      </c>
      <c r="F2780">
        <f>IF(AND('Skill Matrix'!A179&lt;&gt;"",'Skill Matrix'!O5&lt;&gt;""),'Skill Matrix'!O5,"")</f>
        <v/>
      </c>
      <c r="G2780">
        <f>IF(OR(A2780="",'Skill Matrix'!O179=""),"",'Skill Matrix'!O179)</f>
        <v/>
      </c>
      <c r="H2780">
        <f>IF(A2780="","",'Employees'!F16)</f>
        <v/>
      </c>
    </row>
    <row r="2781">
      <c r="A2781">
        <f>IF(AND('Skill Matrix'!A179&lt;&gt;"",'Skill Matrix'!P5&lt;&gt;""),'Skill Matrix'!A179,"")</f>
        <v/>
      </c>
      <c r="B2781">
        <f>IF(A2781="","",'Employees'!C16)</f>
        <v/>
      </c>
      <c r="C2781">
        <f>IF(A2781="","",'Employees'!D16)</f>
        <v/>
      </c>
      <c r="D2781">
        <f>IF(A2781="","",'Skill Matrix'!C179)</f>
        <v/>
      </c>
      <c r="E2781">
        <f>IF(A2781="","",'Skill Matrix'!D179)</f>
        <v/>
      </c>
      <c r="F2781">
        <f>IF(AND('Skill Matrix'!A179&lt;&gt;"",'Skill Matrix'!P5&lt;&gt;""),'Skill Matrix'!P5,"")</f>
        <v/>
      </c>
      <c r="G2781">
        <f>IF(OR(A2781="",'Skill Matrix'!P179=""),"",'Skill Matrix'!P179)</f>
        <v/>
      </c>
      <c r="H2781">
        <f>IF(A2781="","",'Employees'!F16)</f>
        <v/>
      </c>
    </row>
    <row r="2782">
      <c r="A2782">
        <f>IF(AND('Skill Matrix'!A179&lt;&gt;"",'Skill Matrix'!Q5&lt;&gt;""),'Skill Matrix'!A179,"")</f>
        <v/>
      </c>
      <c r="B2782">
        <f>IF(A2782="","",'Employees'!C16)</f>
        <v/>
      </c>
      <c r="C2782">
        <f>IF(A2782="","",'Employees'!D16)</f>
        <v/>
      </c>
      <c r="D2782">
        <f>IF(A2782="","",'Skill Matrix'!C179)</f>
        <v/>
      </c>
      <c r="E2782">
        <f>IF(A2782="","",'Skill Matrix'!D179)</f>
        <v/>
      </c>
      <c r="F2782">
        <f>IF(AND('Skill Matrix'!A179&lt;&gt;"",'Skill Matrix'!Q5&lt;&gt;""),'Skill Matrix'!Q5,"")</f>
        <v/>
      </c>
      <c r="G2782">
        <f>IF(OR(A2782="",'Skill Matrix'!Q179=""),"",'Skill Matrix'!Q179)</f>
        <v/>
      </c>
      <c r="H2782">
        <f>IF(A2782="","",'Employees'!F16)</f>
        <v/>
      </c>
    </row>
    <row r="2783">
      <c r="A2783">
        <f>IF(AND('Skill Matrix'!A179&lt;&gt;"",'Skill Matrix'!R5&lt;&gt;""),'Skill Matrix'!A179,"")</f>
        <v/>
      </c>
      <c r="B2783">
        <f>IF(A2783="","",'Employees'!C16)</f>
        <v/>
      </c>
      <c r="C2783">
        <f>IF(A2783="","",'Employees'!D16)</f>
        <v/>
      </c>
      <c r="D2783">
        <f>IF(A2783="","",'Skill Matrix'!C179)</f>
        <v/>
      </c>
      <c r="E2783">
        <f>IF(A2783="","",'Skill Matrix'!D179)</f>
        <v/>
      </c>
      <c r="F2783">
        <f>IF(AND('Skill Matrix'!A179&lt;&gt;"",'Skill Matrix'!R5&lt;&gt;""),'Skill Matrix'!R5,"")</f>
        <v/>
      </c>
      <c r="G2783">
        <f>IF(OR(A2783="",'Skill Matrix'!R179=""),"",'Skill Matrix'!R179)</f>
        <v/>
      </c>
      <c r="H2783">
        <f>IF(A2783="","",'Employees'!F16)</f>
        <v/>
      </c>
    </row>
    <row r="2784">
      <c r="A2784">
        <f>IF(AND('Skill Matrix'!A179&lt;&gt;"",'Skill Matrix'!S5&lt;&gt;""),'Skill Matrix'!A179,"")</f>
        <v/>
      </c>
      <c r="B2784">
        <f>IF(A2784="","",'Employees'!C16)</f>
        <v/>
      </c>
      <c r="C2784">
        <f>IF(A2784="","",'Employees'!D16)</f>
        <v/>
      </c>
      <c r="D2784">
        <f>IF(A2784="","",'Skill Matrix'!C179)</f>
        <v/>
      </c>
      <c r="E2784">
        <f>IF(A2784="","",'Skill Matrix'!D179)</f>
        <v/>
      </c>
      <c r="F2784">
        <f>IF(AND('Skill Matrix'!A179&lt;&gt;"",'Skill Matrix'!S5&lt;&gt;""),'Skill Matrix'!S5,"")</f>
        <v/>
      </c>
      <c r="G2784">
        <f>IF(OR(A2784="",'Skill Matrix'!S179=""),"",'Skill Matrix'!S179)</f>
        <v/>
      </c>
      <c r="H2784">
        <f>IF(A2784="","",'Employees'!F16)</f>
        <v/>
      </c>
    </row>
    <row r="2785">
      <c r="A2785">
        <f>IF(AND('Skill Matrix'!A179&lt;&gt;"",'Skill Matrix'!T5&lt;&gt;""),'Skill Matrix'!A179,"")</f>
        <v/>
      </c>
      <c r="B2785">
        <f>IF(A2785="","",'Employees'!C16)</f>
        <v/>
      </c>
      <c r="C2785">
        <f>IF(A2785="","",'Employees'!D16)</f>
        <v/>
      </c>
      <c r="D2785">
        <f>IF(A2785="","",'Skill Matrix'!C179)</f>
        <v/>
      </c>
      <c r="E2785">
        <f>IF(A2785="","",'Skill Matrix'!D179)</f>
        <v/>
      </c>
      <c r="F2785">
        <f>IF(AND('Skill Matrix'!A179&lt;&gt;"",'Skill Matrix'!T5&lt;&gt;""),'Skill Matrix'!T5,"")</f>
        <v/>
      </c>
      <c r="G2785">
        <f>IF(OR(A2785="",'Skill Matrix'!T179=""),"",'Skill Matrix'!T179)</f>
        <v/>
      </c>
      <c r="H2785">
        <f>IF(A2785="","",'Employees'!F16)</f>
        <v/>
      </c>
    </row>
    <row r="2786">
      <c r="A2786">
        <f>IF(AND('Skill Matrix'!A180&lt;&gt;"",'Skill Matrix'!E5&lt;&gt;""),'Skill Matrix'!A180,"")</f>
        <v/>
      </c>
      <c r="B2786">
        <f>IF(A2786="","",'Employees'!C16)</f>
        <v/>
      </c>
      <c r="C2786">
        <f>IF(A2786="","",'Employees'!D16)</f>
        <v/>
      </c>
      <c r="D2786">
        <f>IF(A2786="","",'Skill Matrix'!C180)</f>
        <v/>
      </c>
      <c r="E2786">
        <f>IF(A2786="","",'Skill Matrix'!D180)</f>
        <v/>
      </c>
      <c r="F2786">
        <f>IF(AND('Skill Matrix'!A180&lt;&gt;"",'Skill Matrix'!E5&lt;&gt;""),'Skill Matrix'!E5,"")</f>
        <v/>
      </c>
      <c r="G2786">
        <f>IF(OR(A2786="",'Skill Matrix'!E180=""),"",'Skill Matrix'!E180)</f>
        <v/>
      </c>
      <c r="H2786">
        <f>IF(A2786="","",'Employees'!F16)</f>
        <v/>
      </c>
    </row>
    <row r="2787">
      <c r="A2787">
        <f>IF(AND('Skill Matrix'!A180&lt;&gt;"",'Skill Matrix'!F5&lt;&gt;""),'Skill Matrix'!A180,"")</f>
        <v/>
      </c>
      <c r="B2787">
        <f>IF(A2787="","",'Employees'!C16)</f>
        <v/>
      </c>
      <c r="C2787">
        <f>IF(A2787="","",'Employees'!D16)</f>
        <v/>
      </c>
      <c r="D2787">
        <f>IF(A2787="","",'Skill Matrix'!C180)</f>
        <v/>
      </c>
      <c r="E2787">
        <f>IF(A2787="","",'Skill Matrix'!D180)</f>
        <v/>
      </c>
      <c r="F2787">
        <f>IF(AND('Skill Matrix'!A180&lt;&gt;"",'Skill Matrix'!F5&lt;&gt;""),'Skill Matrix'!F5,"")</f>
        <v/>
      </c>
      <c r="G2787">
        <f>IF(OR(A2787="",'Skill Matrix'!F180=""),"",'Skill Matrix'!F180)</f>
        <v/>
      </c>
      <c r="H2787">
        <f>IF(A2787="","",'Employees'!F16)</f>
        <v/>
      </c>
    </row>
    <row r="2788">
      <c r="A2788">
        <f>IF(AND('Skill Matrix'!A180&lt;&gt;"",'Skill Matrix'!G5&lt;&gt;""),'Skill Matrix'!A180,"")</f>
        <v/>
      </c>
      <c r="B2788">
        <f>IF(A2788="","",'Employees'!C16)</f>
        <v/>
      </c>
      <c r="C2788">
        <f>IF(A2788="","",'Employees'!D16)</f>
        <v/>
      </c>
      <c r="D2788">
        <f>IF(A2788="","",'Skill Matrix'!C180)</f>
        <v/>
      </c>
      <c r="E2788">
        <f>IF(A2788="","",'Skill Matrix'!D180)</f>
        <v/>
      </c>
      <c r="F2788">
        <f>IF(AND('Skill Matrix'!A180&lt;&gt;"",'Skill Matrix'!G5&lt;&gt;""),'Skill Matrix'!G5,"")</f>
        <v/>
      </c>
      <c r="G2788">
        <f>IF(OR(A2788="",'Skill Matrix'!G180=""),"",'Skill Matrix'!G180)</f>
        <v/>
      </c>
      <c r="H2788">
        <f>IF(A2788="","",'Employees'!F16)</f>
        <v/>
      </c>
    </row>
    <row r="2789">
      <c r="A2789">
        <f>IF(AND('Skill Matrix'!A180&lt;&gt;"",'Skill Matrix'!H5&lt;&gt;""),'Skill Matrix'!A180,"")</f>
        <v/>
      </c>
      <c r="B2789">
        <f>IF(A2789="","",'Employees'!C16)</f>
        <v/>
      </c>
      <c r="C2789">
        <f>IF(A2789="","",'Employees'!D16)</f>
        <v/>
      </c>
      <c r="D2789">
        <f>IF(A2789="","",'Skill Matrix'!C180)</f>
        <v/>
      </c>
      <c r="E2789">
        <f>IF(A2789="","",'Skill Matrix'!D180)</f>
        <v/>
      </c>
      <c r="F2789">
        <f>IF(AND('Skill Matrix'!A180&lt;&gt;"",'Skill Matrix'!H5&lt;&gt;""),'Skill Matrix'!H5,"")</f>
        <v/>
      </c>
      <c r="G2789">
        <f>IF(OR(A2789="",'Skill Matrix'!H180=""),"",'Skill Matrix'!H180)</f>
        <v/>
      </c>
      <c r="H2789">
        <f>IF(A2789="","",'Employees'!F16)</f>
        <v/>
      </c>
    </row>
    <row r="2790">
      <c r="A2790">
        <f>IF(AND('Skill Matrix'!A180&lt;&gt;"",'Skill Matrix'!I5&lt;&gt;""),'Skill Matrix'!A180,"")</f>
        <v/>
      </c>
      <c r="B2790">
        <f>IF(A2790="","",'Employees'!C16)</f>
        <v/>
      </c>
      <c r="C2790">
        <f>IF(A2790="","",'Employees'!D16)</f>
        <v/>
      </c>
      <c r="D2790">
        <f>IF(A2790="","",'Skill Matrix'!C180)</f>
        <v/>
      </c>
      <c r="E2790">
        <f>IF(A2790="","",'Skill Matrix'!D180)</f>
        <v/>
      </c>
      <c r="F2790">
        <f>IF(AND('Skill Matrix'!A180&lt;&gt;"",'Skill Matrix'!I5&lt;&gt;""),'Skill Matrix'!I5,"")</f>
        <v/>
      </c>
      <c r="G2790">
        <f>IF(OR(A2790="",'Skill Matrix'!I180=""),"",'Skill Matrix'!I180)</f>
        <v/>
      </c>
      <c r="H2790">
        <f>IF(A2790="","",'Employees'!F16)</f>
        <v/>
      </c>
    </row>
    <row r="2791">
      <c r="A2791">
        <f>IF(AND('Skill Matrix'!A180&lt;&gt;"",'Skill Matrix'!J5&lt;&gt;""),'Skill Matrix'!A180,"")</f>
        <v/>
      </c>
      <c r="B2791">
        <f>IF(A2791="","",'Employees'!C16)</f>
        <v/>
      </c>
      <c r="C2791">
        <f>IF(A2791="","",'Employees'!D16)</f>
        <v/>
      </c>
      <c r="D2791">
        <f>IF(A2791="","",'Skill Matrix'!C180)</f>
        <v/>
      </c>
      <c r="E2791">
        <f>IF(A2791="","",'Skill Matrix'!D180)</f>
        <v/>
      </c>
      <c r="F2791">
        <f>IF(AND('Skill Matrix'!A180&lt;&gt;"",'Skill Matrix'!J5&lt;&gt;""),'Skill Matrix'!J5,"")</f>
        <v/>
      </c>
      <c r="G2791">
        <f>IF(OR(A2791="",'Skill Matrix'!J180=""),"",'Skill Matrix'!J180)</f>
        <v/>
      </c>
      <c r="H2791">
        <f>IF(A2791="","",'Employees'!F16)</f>
        <v/>
      </c>
    </row>
    <row r="2792">
      <c r="A2792">
        <f>IF(AND('Skill Matrix'!A180&lt;&gt;"",'Skill Matrix'!K5&lt;&gt;""),'Skill Matrix'!A180,"")</f>
        <v/>
      </c>
      <c r="B2792">
        <f>IF(A2792="","",'Employees'!C16)</f>
        <v/>
      </c>
      <c r="C2792">
        <f>IF(A2792="","",'Employees'!D16)</f>
        <v/>
      </c>
      <c r="D2792">
        <f>IF(A2792="","",'Skill Matrix'!C180)</f>
        <v/>
      </c>
      <c r="E2792">
        <f>IF(A2792="","",'Skill Matrix'!D180)</f>
        <v/>
      </c>
      <c r="F2792">
        <f>IF(AND('Skill Matrix'!A180&lt;&gt;"",'Skill Matrix'!K5&lt;&gt;""),'Skill Matrix'!K5,"")</f>
        <v/>
      </c>
      <c r="G2792">
        <f>IF(OR(A2792="",'Skill Matrix'!K180=""),"",'Skill Matrix'!K180)</f>
        <v/>
      </c>
      <c r="H2792">
        <f>IF(A2792="","",'Employees'!F16)</f>
        <v/>
      </c>
    </row>
    <row r="2793">
      <c r="A2793">
        <f>IF(AND('Skill Matrix'!A180&lt;&gt;"",'Skill Matrix'!L5&lt;&gt;""),'Skill Matrix'!A180,"")</f>
        <v/>
      </c>
      <c r="B2793">
        <f>IF(A2793="","",'Employees'!C16)</f>
        <v/>
      </c>
      <c r="C2793">
        <f>IF(A2793="","",'Employees'!D16)</f>
        <v/>
      </c>
      <c r="D2793">
        <f>IF(A2793="","",'Skill Matrix'!C180)</f>
        <v/>
      </c>
      <c r="E2793">
        <f>IF(A2793="","",'Skill Matrix'!D180)</f>
        <v/>
      </c>
      <c r="F2793">
        <f>IF(AND('Skill Matrix'!A180&lt;&gt;"",'Skill Matrix'!L5&lt;&gt;""),'Skill Matrix'!L5,"")</f>
        <v/>
      </c>
      <c r="G2793">
        <f>IF(OR(A2793="",'Skill Matrix'!L180=""),"",'Skill Matrix'!L180)</f>
        <v/>
      </c>
      <c r="H2793">
        <f>IF(A2793="","",'Employees'!F16)</f>
        <v/>
      </c>
    </row>
    <row r="2794">
      <c r="A2794">
        <f>IF(AND('Skill Matrix'!A180&lt;&gt;"",'Skill Matrix'!M5&lt;&gt;""),'Skill Matrix'!A180,"")</f>
        <v/>
      </c>
      <c r="B2794">
        <f>IF(A2794="","",'Employees'!C16)</f>
        <v/>
      </c>
      <c r="C2794">
        <f>IF(A2794="","",'Employees'!D16)</f>
        <v/>
      </c>
      <c r="D2794">
        <f>IF(A2794="","",'Skill Matrix'!C180)</f>
        <v/>
      </c>
      <c r="E2794">
        <f>IF(A2794="","",'Skill Matrix'!D180)</f>
        <v/>
      </c>
      <c r="F2794">
        <f>IF(AND('Skill Matrix'!A180&lt;&gt;"",'Skill Matrix'!M5&lt;&gt;""),'Skill Matrix'!M5,"")</f>
        <v/>
      </c>
      <c r="G2794">
        <f>IF(OR(A2794="",'Skill Matrix'!M180=""),"",'Skill Matrix'!M180)</f>
        <v/>
      </c>
      <c r="H2794">
        <f>IF(A2794="","",'Employees'!F16)</f>
        <v/>
      </c>
    </row>
    <row r="2795">
      <c r="A2795">
        <f>IF(AND('Skill Matrix'!A180&lt;&gt;"",'Skill Matrix'!N5&lt;&gt;""),'Skill Matrix'!A180,"")</f>
        <v/>
      </c>
      <c r="B2795">
        <f>IF(A2795="","",'Employees'!C16)</f>
        <v/>
      </c>
      <c r="C2795">
        <f>IF(A2795="","",'Employees'!D16)</f>
        <v/>
      </c>
      <c r="D2795">
        <f>IF(A2795="","",'Skill Matrix'!C180)</f>
        <v/>
      </c>
      <c r="E2795">
        <f>IF(A2795="","",'Skill Matrix'!D180)</f>
        <v/>
      </c>
      <c r="F2795">
        <f>IF(AND('Skill Matrix'!A180&lt;&gt;"",'Skill Matrix'!N5&lt;&gt;""),'Skill Matrix'!N5,"")</f>
        <v/>
      </c>
      <c r="G2795">
        <f>IF(OR(A2795="",'Skill Matrix'!N180=""),"",'Skill Matrix'!N180)</f>
        <v/>
      </c>
      <c r="H2795">
        <f>IF(A2795="","",'Employees'!F16)</f>
        <v/>
      </c>
    </row>
    <row r="2796">
      <c r="A2796">
        <f>IF(AND('Skill Matrix'!A180&lt;&gt;"",'Skill Matrix'!O5&lt;&gt;""),'Skill Matrix'!A180,"")</f>
        <v/>
      </c>
      <c r="B2796">
        <f>IF(A2796="","",'Employees'!C16)</f>
        <v/>
      </c>
      <c r="C2796">
        <f>IF(A2796="","",'Employees'!D16)</f>
        <v/>
      </c>
      <c r="D2796">
        <f>IF(A2796="","",'Skill Matrix'!C180)</f>
        <v/>
      </c>
      <c r="E2796">
        <f>IF(A2796="","",'Skill Matrix'!D180)</f>
        <v/>
      </c>
      <c r="F2796">
        <f>IF(AND('Skill Matrix'!A180&lt;&gt;"",'Skill Matrix'!O5&lt;&gt;""),'Skill Matrix'!O5,"")</f>
        <v/>
      </c>
      <c r="G2796">
        <f>IF(OR(A2796="",'Skill Matrix'!O180=""),"",'Skill Matrix'!O180)</f>
        <v/>
      </c>
      <c r="H2796">
        <f>IF(A2796="","",'Employees'!F16)</f>
        <v/>
      </c>
    </row>
    <row r="2797">
      <c r="A2797">
        <f>IF(AND('Skill Matrix'!A180&lt;&gt;"",'Skill Matrix'!P5&lt;&gt;""),'Skill Matrix'!A180,"")</f>
        <v/>
      </c>
      <c r="B2797">
        <f>IF(A2797="","",'Employees'!C16)</f>
        <v/>
      </c>
      <c r="C2797">
        <f>IF(A2797="","",'Employees'!D16)</f>
        <v/>
      </c>
      <c r="D2797">
        <f>IF(A2797="","",'Skill Matrix'!C180)</f>
        <v/>
      </c>
      <c r="E2797">
        <f>IF(A2797="","",'Skill Matrix'!D180)</f>
        <v/>
      </c>
      <c r="F2797">
        <f>IF(AND('Skill Matrix'!A180&lt;&gt;"",'Skill Matrix'!P5&lt;&gt;""),'Skill Matrix'!P5,"")</f>
        <v/>
      </c>
      <c r="G2797">
        <f>IF(OR(A2797="",'Skill Matrix'!P180=""),"",'Skill Matrix'!P180)</f>
        <v/>
      </c>
      <c r="H2797">
        <f>IF(A2797="","",'Employees'!F16)</f>
        <v/>
      </c>
    </row>
    <row r="2798">
      <c r="A2798">
        <f>IF(AND('Skill Matrix'!A180&lt;&gt;"",'Skill Matrix'!Q5&lt;&gt;""),'Skill Matrix'!A180,"")</f>
        <v/>
      </c>
      <c r="B2798">
        <f>IF(A2798="","",'Employees'!C16)</f>
        <v/>
      </c>
      <c r="C2798">
        <f>IF(A2798="","",'Employees'!D16)</f>
        <v/>
      </c>
      <c r="D2798">
        <f>IF(A2798="","",'Skill Matrix'!C180)</f>
        <v/>
      </c>
      <c r="E2798">
        <f>IF(A2798="","",'Skill Matrix'!D180)</f>
        <v/>
      </c>
      <c r="F2798">
        <f>IF(AND('Skill Matrix'!A180&lt;&gt;"",'Skill Matrix'!Q5&lt;&gt;""),'Skill Matrix'!Q5,"")</f>
        <v/>
      </c>
      <c r="G2798">
        <f>IF(OR(A2798="",'Skill Matrix'!Q180=""),"",'Skill Matrix'!Q180)</f>
        <v/>
      </c>
      <c r="H2798">
        <f>IF(A2798="","",'Employees'!F16)</f>
        <v/>
      </c>
    </row>
    <row r="2799">
      <c r="A2799">
        <f>IF(AND('Skill Matrix'!A180&lt;&gt;"",'Skill Matrix'!R5&lt;&gt;""),'Skill Matrix'!A180,"")</f>
        <v/>
      </c>
      <c r="B2799">
        <f>IF(A2799="","",'Employees'!C16)</f>
        <v/>
      </c>
      <c r="C2799">
        <f>IF(A2799="","",'Employees'!D16)</f>
        <v/>
      </c>
      <c r="D2799">
        <f>IF(A2799="","",'Skill Matrix'!C180)</f>
        <v/>
      </c>
      <c r="E2799">
        <f>IF(A2799="","",'Skill Matrix'!D180)</f>
        <v/>
      </c>
      <c r="F2799">
        <f>IF(AND('Skill Matrix'!A180&lt;&gt;"",'Skill Matrix'!R5&lt;&gt;""),'Skill Matrix'!R5,"")</f>
        <v/>
      </c>
      <c r="G2799">
        <f>IF(OR(A2799="",'Skill Matrix'!R180=""),"",'Skill Matrix'!R180)</f>
        <v/>
      </c>
      <c r="H2799">
        <f>IF(A2799="","",'Employees'!F16)</f>
        <v/>
      </c>
    </row>
    <row r="2800">
      <c r="A2800">
        <f>IF(AND('Skill Matrix'!A180&lt;&gt;"",'Skill Matrix'!S5&lt;&gt;""),'Skill Matrix'!A180,"")</f>
        <v/>
      </c>
      <c r="B2800">
        <f>IF(A2800="","",'Employees'!C16)</f>
        <v/>
      </c>
      <c r="C2800">
        <f>IF(A2800="","",'Employees'!D16)</f>
        <v/>
      </c>
      <c r="D2800">
        <f>IF(A2800="","",'Skill Matrix'!C180)</f>
        <v/>
      </c>
      <c r="E2800">
        <f>IF(A2800="","",'Skill Matrix'!D180)</f>
        <v/>
      </c>
      <c r="F2800">
        <f>IF(AND('Skill Matrix'!A180&lt;&gt;"",'Skill Matrix'!S5&lt;&gt;""),'Skill Matrix'!S5,"")</f>
        <v/>
      </c>
      <c r="G2800">
        <f>IF(OR(A2800="",'Skill Matrix'!S180=""),"",'Skill Matrix'!S180)</f>
        <v/>
      </c>
      <c r="H2800">
        <f>IF(A2800="","",'Employees'!F16)</f>
        <v/>
      </c>
    </row>
    <row r="2801">
      <c r="A2801">
        <f>IF(AND('Skill Matrix'!A180&lt;&gt;"",'Skill Matrix'!T5&lt;&gt;""),'Skill Matrix'!A180,"")</f>
        <v/>
      </c>
      <c r="B2801">
        <f>IF(A2801="","",'Employees'!C16)</f>
        <v/>
      </c>
      <c r="C2801">
        <f>IF(A2801="","",'Employees'!D16)</f>
        <v/>
      </c>
      <c r="D2801">
        <f>IF(A2801="","",'Skill Matrix'!C180)</f>
        <v/>
      </c>
      <c r="E2801">
        <f>IF(A2801="","",'Skill Matrix'!D180)</f>
        <v/>
      </c>
      <c r="F2801">
        <f>IF(AND('Skill Matrix'!A180&lt;&gt;"",'Skill Matrix'!T5&lt;&gt;""),'Skill Matrix'!T5,"")</f>
        <v/>
      </c>
      <c r="G2801">
        <f>IF(OR(A2801="",'Skill Matrix'!T180=""),"",'Skill Matrix'!T180)</f>
        <v/>
      </c>
      <c r="H2801">
        <f>IF(A2801="","",'Employees'!F16)</f>
        <v/>
      </c>
    </row>
    <row r="2802">
      <c r="A2802">
        <f>IF(AND('Skill Matrix'!A181&lt;&gt;"",'Skill Matrix'!E5&lt;&gt;""),'Skill Matrix'!A181,"")</f>
        <v/>
      </c>
      <c r="B2802">
        <f>IF(A2802="","",'Employees'!C16)</f>
        <v/>
      </c>
      <c r="C2802">
        <f>IF(A2802="","",'Employees'!D16)</f>
        <v/>
      </c>
      <c r="D2802">
        <f>IF(A2802="","",'Skill Matrix'!C181)</f>
        <v/>
      </c>
      <c r="E2802">
        <f>IF(A2802="","",'Skill Matrix'!D181)</f>
        <v/>
      </c>
      <c r="F2802">
        <f>IF(AND('Skill Matrix'!A181&lt;&gt;"",'Skill Matrix'!E5&lt;&gt;""),'Skill Matrix'!E5,"")</f>
        <v/>
      </c>
      <c r="G2802">
        <f>IF(OR(A2802="",'Skill Matrix'!E181=""),"",'Skill Matrix'!E181)</f>
        <v/>
      </c>
      <c r="H2802">
        <f>IF(A2802="","",'Employees'!F16)</f>
        <v/>
      </c>
    </row>
    <row r="2803">
      <c r="A2803">
        <f>IF(AND('Skill Matrix'!A181&lt;&gt;"",'Skill Matrix'!F5&lt;&gt;""),'Skill Matrix'!A181,"")</f>
        <v/>
      </c>
      <c r="B2803">
        <f>IF(A2803="","",'Employees'!C16)</f>
        <v/>
      </c>
      <c r="C2803">
        <f>IF(A2803="","",'Employees'!D16)</f>
        <v/>
      </c>
      <c r="D2803">
        <f>IF(A2803="","",'Skill Matrix'!C181)</f>
        <v/>
      </c>
      <c r="E2803">
        <f>IF(A2803="","",'Skill Matrix'!D181)</f>
        <v/>
      </c>
      <c r="F2803">
        <f>IF(AND('Skill Matrix'!A181&lt;&gt;"",'Skill Matrix'!F5&lt;&gt;""),'Skill Matrix'!F5,"")</f>
        <v/>
      </c>
      <c r="G2803">
        <f>IF(OR(A2803="",'Skill Matrix'!F181=""),"",'Skill Matrix'!F181)</f>
        <v/>
      </c>
      <c r="H2803">
        <f>IF(A2803="","",'Employees'!F16)</f>
        <v/>
      </c>
    </row>
    <row r="2804">
      <c r="A2804">
        <f>IF(AND('Skill Matrix'!A181&lt;&gt;"",'Skill Matrix'!G5&lt;&gt;""),'Skill Matrix'!A181,"")</f>
        <v/>
      </c>
      <c r="B2804">
        <f>IF(A2804="","",'Employees'!C16)</f>
        <v/>
      </c>
      <c r="C2804">
        <f>IF(A2804="","",'Employees'!D16)</f>
        <v/>
      </c>
      <c r="D2804">
        <f>IF(A2804="","",'Skill Matrix'!C181)</f>
        <v/>
      </c>
      <c r="E2804">
        <f>IF(A2804="","",'Skill Matrix'!D181)</f>
        <v/>
      </c>
      <c r="F2804">
        <f>IF(AND('Skill Matrix'!A181&lt;&gt;"",'Skill Matrix'!G5&lt;&gt;""),'Skill Matrix'!G5,"")</f>
        <v/>
      </c>
      <c r="G2804">
        <f>IF(OR(A2804="",'Skill Matrix'!G181=""),"",'Skill Matrix'!G181)</f>
        <v/>
      </c>
      <c r="H2804">
        <f>IF(A2804="","",'Employees'!F16)</f>
        <v/>
      </c>
    </row>
    <row r="2805">
      <c r="A2805">
        <f>IF(AND('Skill Matrix'!A181&lt;&gt;"",'Skill Matrix'!H5&lt;&gt;""),'Skill Matrix'!A181,"")</f>
        <v/>
      </c>
      <c r="B2805">
        <f>IF(A2805="","",'Employees'!C16)</f>
        <v/>
      </c>
      <c r="C2805">
        <f>IF(A2805="","",'Employees'!D16)</f>
        <v/>
      </c>
      <c r="D2805">
        <f>IF(A2805="","",'Skill Matrix'!C181)</f>
        <v/>
      </c>
      <c r="E2805">
        <f>IF(A2805="","",'Skill Matrix'!D181)</f>
        <v/>
      </c>
      <c r="F2805">
        <f>IF(AND('Skill Matrix'!A181&lt;&gt;"",'Skill Matrix'!H5&lt;&gt;""),'Skill Matrix'!H5,"")</f>
        <v/>
      </c>
      <c r="G2805">
        <f>IF(OR(A2805="",'Skill Matrix'!H181=""),"",'Skill Matrix'!H181)</f>
        <v/>
      </c>
      <c r="H2805">
        <f>IF(A2805="","",'Employees'!F16)</f>
        <v/>
      </c>
    </row>
    <row r="2806">
      <c r="A2806">
        <f>IF(AND('Skill Matrix'!A181&lt;&gt;"",'Skill Matrix'!I5&lt;&gt;""),'Skill Matrix'!A181,"")</f>
        <v/>
      </c>
      <c r="B2806">
        <f>IF(A2806="","",'Employees'!C16)</f>
        <v/>
      </c>
      <c r="C2806">
        <f>IF(A2806="","",'Employees'!D16)</f>
        <v/>
      </c>
      <c r="D2806">
        <f>IF(A2806="","",'Skill Matrix'!C181)</f>
        <v/>
      </c>
      <c r="E2806">
        <f>IF(A2806="","",'Skill Matrix'!D181)</f>
        <v/>
      </c>
      <c r="F2806">
        <f>IF(AND('Skill Matrix'!A181&lt;&gt;"",'Skill Matrix'!I5&lt;&gt;""),'Skill Matrix'!I5,"")</f>
        <v/>
      </c>
      <c r="G2806">
        <f>IF(OR(A2806="",'Skill Matrix'!I181=""),"",'Skill Matrix'!I181)</f>
        <v/>
      </c>
      <c r="H2806">
        <f>IF(A2806="","",'Employees'!F16)</f>
        <v/>
      </c>
    </row>
    <row r="2807">
      <c r="A2807">
        <f>IF(AND('Skill Matrix'!A181&lt;&gt;"",'Skill Matrix'!J5&lt;&gt;""),'Skill Matrix'!A181,"")</f>
        <v/>
      </c>
      <c r="B2807">
        <f>IF(A2807="","",'Employees'!C16)</f>
        <v/>
      </c>
      <c r="C2807">
        <f>IF(A2807="","",'Employees'!D16)</f>
        <v/>
      </c>
      <c r="D2807">
        <f>IF(A2807="","",'Skill Matrix'!C181)</f>
        <v/>
      </c>
      <c r="E2807">
        <f>IF(A2807="","",'Skill Matrix'!D181)</f>
        <v/>
      </c>
      <c r="F2807">
        <f>IF(AND('Skill Matrix'!A181&lt;&gt;"",'Skill Matrix'!J5&lt;&gt;""),'Skill Matrix'!J5,"")</f>
        <v/>
      </c>
      <c r="G2807">
        <f>IF(OR(A2807="",'Skill Matrix'!J181=""),"",'Skill Matrix'!J181)</f>
        <v/>
      </c>
      <c r="H2807">
        <f>IF(A2807="","",'Employees'!F16)</f>
        <v/>
      </c>
    </row>
    <row r="2808">
      <c r="A2808">
        <f>IF(AND('Skill Matrix'!A181&lt;&gt;"",'Skill Matrix'!K5&lt;&gt;""),'Skill Matrix'!A181,"")</f>
        <v/>
      </c>
      <c r="B2808">
        <f>IF(A2808="","",'Employees'!C16)</f>
        <v/>
      </c>
      <c r="C2808">
        <f>IF(A2808="","",'Employees'!D16)</f>
        <v/>
      </c>
      <c r="D2808">
        <f>IF(A2808="","",'Skill Matrix'!C181)</f>
        <v/>
      </c>
      <c r="E2808">
        <f>IF(A2808="","",'Skill Matrix'!D181)</f>
        <v/>
      </c>
      <c r="F2808">
        <f>IF(AND('Skill Matrix'!A181&lt;&gt;"",'Skill Matrix'!K5&lt;&gt;""),'Skill Matrix'!K5,"")</f>
        <v/>
      </c>
      <c r="G2808">
        <f>IF(OR(A2808="",'Skill Matrix'!K181=""),"",'Skill Matrix'!K181)</f>
        <v/>
      </c>
      <c r="H2808">
        <f>IF(A2808="","",'Employees'!F16)</f>
        <v/>
      </c>
    </row>
    <row r="2809">
      <c r="A2809">
        <f>IF(AND('Skill Matrix'!A181&lt;&gt;"",'Skill Matrix'!L5&lt;&gt;""),'Skill Matrix'!A181,"")</f>
        <v/>
      </c>
      <c r="B2809">
        <f>IF(A2809="","",'Employees'!C16)</f>
        <v/>
      </c>
      <c r="C2809">
        <f>IF(A2809="","",'Employees'!D16)</f>
        <v/>
      </c>
      <c r="D2809">
        <f>IF(A2809="","",'Skill Matrix'!C181)</f>
        <v/>
      </c>
      <c r="E2809">
        <f>IF(A2809="","",'Skill Matrix'!D181)</f>
        <v/>
      </c>
      <c r="F2809">
        <f>IF(AND('Skill Matrix'!A181&lt;&gt;"",'Skill Matrix'!L5&lt;&gt;""),'Skill Matrix'!L5,"")</f>
        <v/>
      </c>
      <c r="G2809">
        <f>IF(OR(A2809="",'Skill Matrix'!L181=""),"",'Skill Matrix'!L181)</f>
        <v/>
      </c>
      <c r="H2809">
        <f>IF(A2809="","",'Employees'!F16)</f>
        <v/>
      </c>
    </row>
    <row r="2810">
      <c r="A2810">
        <f>IF(AND('Skill Matrix'!A181&lt;&gt;"",'Skill Matrix'!M5&lt;&gt;""),'Skill Matrix'!A181,"")</f>
        <v/>
      </c>
      <c r="B2810">
        <f>IF(A2810="","",'Employees'!C16)</f>
        <v/>
      </c>
      <c r="C2810">
        <f>IF(A2810="","",'Employees'!D16)</f>
        <v/>
      </c>
      <c r="D2810">
        <f>IF(A2810="","",'Skill Matrix'!C181)</f>
        <v/>
      </c>
      <c r="E2810">
        <f>IF(A2810="","",'Skill Matrix'!D181)</f>
        <v/>
      </c>
      <c r="F2810">
        <f>IF(AND('Skill Matrix'!A181&lt;&gt;"",'Skill Matrix'!M5&lt;&gt;""),'Skill Matrix'!M5,"")</f>
        <v/>
      </c>
      <c r="G2810">
        <f>IF(OR(A2810="",'Skill Matrix'!M181=""),"",'Skill Matrix'!M181)</f>
        <v/>
      </c>
      <c r="H2810">
        <f>IF(A2810="","",'Employees'!F16)</f>
        <v/>
      </c>
    </row>
    <row r="2811">
      <c r="A2811">
        <f>IF(AND('Skill Matrix'!A181&lt;&gt;"",'Skill Matrix'!N5&lt;&gt;""),'Skill Matrix'!A181,"")</f>
        <v/>
      </c>
      <c r="B2811">
        <f>IF(A2811="","",'Employees'!C16)</f>
        <v/>
      </c>
      <c r="C2811">
        <f>IF(A2811="","",'Employees'!D16)</f>
        <v/>
      </c>
      <c r="D2811">
        <f>IF(A2811="","",'Skill Matrix'!C181)</f>
        <v/>
      </c>
      <c r="E2811">
        <f>IF(A2811="","",'Skill Matrix'!D181)</f>
        <v/>
      </c>
      <c r="F2811">
        <f>IF(AND('Skill Matrix'!A181&lt;&gt;"",'Skill Matrix'!N5&lt;&gt;""),'Skill Matrix'!N5,"")</f>
        <v/>
      </c>
      <c r="G2811">
        <f>IF(OR(A2811="",'Skill Matrix'!N181=""),"",'Skill Matrix'!N181)</f>
        <v/>
      </c>
      <c r="H2811">
        <f>IF(A2811="","",'Employees'!F16)</f>
        <v/>
      </c>
    </row>
    <row r="2812">
      <c r="A2812">
        <f>IF(AND('Skill Matrix'!A181&lt;&gt;"",'Skill Matrix'!O5&lt;&gt;""),'Skill Matrix'!A181,"")</f>
        <v/>
      </c>
      <c r="B2812">
        <f>IF(A2812="","",'Employees'!C16)</f>
        <v/>
      </c>
      <c r="C2812">
        <f>IF(A2812="","",'Employees'!D16)</f>
        <v/>
      </c>
      <c r="D2812">
        <f>IF(A2812="","",'Skill Matrix'!C181)</f>
        <v/>
      </c>
      <c r="E2812">
        <f>IF(A2812="","",'Skill Matrix'!D181)</f>
        <v/>
      </c>
      <c r="F2812">
        <f>IF(AND('Skill Matrix'!A181&lt;&gt;"",'Skill Matrix'!O5&lt;&gt;""),'Skill Matrix'!O5,"")</f>
        <v/>
      </c>
      <c r="G2812">
        <f>IF(OR(A2812="",'Skill Matrix'!O181=""),"",'Skill Matrix'!O181)</f>
        <v/>
      </c>
      <c r="H2812">
        <f>IF(A2812="","",'Employees'!F16)</f>
        <v/>
      </c>
    </row>
    <row r="2813">
      <c r="A2813">
        <f>IF(AND('Skill Matrix'!A181&lt;&gt;"",'Skill Matrix'!P5&lt;&gt;""),'Skill Matrix'!A181,"")</f>
        <v/>
      </c>
      <c r="B2813">
        <f>IF(A2813="","",'Employees'!C16)</f>
        <v/>
      </c>
      <c r="C2813">
        <f>IF(A2813="","",'Employees'!D16)</f>
        <v/>
      </c>
      <c r="D2813">
        <f>IF(A2813="","",'Skill Matrix'!C181)</f>
        <v/>
      </c>
      <c r="E2813">
        <f>IF(A2813="","",'Skill Matrix'!D181)</f>
        <v/>
      </c>
      <c r="F2813">
        <f>IF(AND('Skill Matrix'!A181&lt;&gt;"",'Skill Matrix'!P5&lt;&gt;""),'Skill Matrix'!P5,"")</f>
        <v/>
      </c>
      <c r="G2813">
        <f>IF(OR(A2813="",'Skill Matrix'!P181=""),"",'Skill Matrix'!P181)</f>
        <v/>
      </c>
      <c r="H2813">
        <f>IF(A2813="","",'Employees'!F16)</f>
        <v/>
      </c>
    </row>
    <row r="2814">
      <c r="A2814">
        <f>IF(AND('Skill Matrix'!A181&lt;&gt;"",'Skill Matrix'!Q5&lt;&gt;""),'Skill Matrix'!A181,"")</f>
        <v/>
      </c>
      <c r="B2814">
        <f>IF(A2814="","",'Employees'!C16)</f>
        <v/>
      </c>
      <c r="C2814">
        <f>IF(A2814="","",'Employees'!D16)</f>
        <v/>
      </c>
      <c r="D2814">
        <f>IF(A2814="","",'Skill Matrix'!C181)</f>
        <v/>
      </c>
      <c r="E2814">
        <f>IF(A2814="","",'Skill Matrix'!D181)</f>
        <v/>
      </c>
      <c r="F2814">
        <f>IF(AND('Skill Matrix'!A181&lt;&gt;"",'Skill Matrix'!Q5&lt;&gt;""),'Skill Matrix'!Q5,"")</f>
        <v/>
      </c>
      <c r="G2814">
        <f>IF(OR(A2814="",'Skill Matrix'!Q181=""),"",'Skill Matrix'!Q181)</f>
        <v/>
      </c>
      <c r="H2814">
        <f>IF(A2814="","",'Employees'!F16)</f>
        <v/>
      </c>
    </row>
    <row r="2815">
      <c r="A2815">
        <f>IF(AND('Skill Matrix'!A181&lt;&gt;"",'Skill Matrix'!R5&lt;&gt;""),'Skill Matrix'!A181,"")</f>
        <v/>
      </c>
      <c r="B2815">
        <f>IF(A2815="","",'Employees'!C16)</f>
        <v/>
      </c>
      <c r="C2815">
        <f>IF(A2815="","",'Employees'!D16)</f>
        <v/>
      </c>
      <c r="D2815">
        <f>IF(A2815="","",'Skill Matrix'!C181)</f>
        <v/>
      </c>
      <c r="E2815">
        <f>IF(A2815="","",'Skill Matrix'!D181)</f>
        <v/>
      </c>
      <c r="F2815">
        <f>IF(AND('Skill Matrix'!A181&lt;&gt;"",'Skill Matrix'!R5&lt;&gt;""),'Skill Matrix'!R5,"")</f>
        <v/>
      </c>
      <c r="G2815">
        <f>IF(OR(A2815="",'Skill Matrix'!R181=""),"",'Skill Matrix'!R181)</f>
        <v/>
      </c>
      <c r="H2815">
        <f>IF(A2815="","",'Employees'!F16)</f>
        <v/>
      </c>
    </row>
    <row r="2816">
      <c r="A2816">
        <f>IF(AND('Skill Matrix'!A181&lt;&gt;"",'Skill Matrix'!S5&lt;&gt;""),'Skill Matrix'!A181,"")</f>
        <v/>
      </c>
      <c r="B2816">
        <f>IF(A2816="","",'Employees'!C16)</f>
        <v/>
      </c>
      <c r="C2816">
        <f>IF(A2816="","",'Employees'!D16)</f>
        <v/>
      </c>
      <c r="D2816">
        <f>IF(A2816="","",'Skill Matrix'!C181)</f>
        <v/>
      </c>
      <c r="E2816">
        <f>IF(A2816="","",'Skill Matrix'!D181)</f>
        <v/>
      </c>
      <c r="F2816">
        <f>IF(AND('Skill Matrix'!A181&lt;&gt;"",'Skill Matrix'!S5&lt;&gt;""),'Skill Matrix'!S5,"")</f>
        <v/>
      </c>
      <c r="G2816">
        <f>IF(OR(A2816="",'Skill Matrix'!S181=""),"",'Skill Matrix'!S181)</f>
        <v/>
      </c>
      <c r="H2816">
        <f>IF(A2816="","",'Employees'!F16)</f>
        <v/>
      </c>
    </row>
    <row r="2817">
      <c r="A2817">
        <f>IF(AND('Skill Matrix'!A181&lt;&gt;"",'Skill Matrix'!T5&lt;&gt;""),'Skill Matrix'!A181,"")</f>
        <v/>
      </c>
      <c r="B2817">
        <f>IF(A2817="","",'Employees'!C16)</f>
        <v/>
      </c>
      <c r="C2817">
        <f>IF(A2817="","",'Employees'!D16)</f>
        <v/>
      </c>
      <c r="D2817">
        <f>IF(A2817="","",'Skill Matrix'!C181)</f>
        <v/>
      </c>
      <c r="E2817">
        <f>IF(A2817="","",'Skill Matrix'!D181)</f>
        <v/>
      </c>
      <c r="F2817">
        <f>IF(AND('Skill Matrix'!A181&lt;&gt;"",'Skill Matrix'!T5&lt;&gt;""),'Skill Matrix'!T5,"")</f>
        <v/>
      </c>
      <c r="G2817">
        <f>IF(OR(A2817="",'Skill Matrix'!T181=""),"",'Skill Matrix'!T181)</f>
        <v/>
      </c>
      <c r="H2817">
        <f>IF(A2817="","",'Employees'!F16)</f>
        <v/>
      </c>
    </row>
    <row r="2818">
      <c r="A2818">
        <f>IF(AND('Skill Matrix'!A182&lt;&gt;"",'Skill Matrix'!E5&lt;&gt;""),'Skill Matrix'!A182,"")</f>
        <v/>
      </c>
      <c r="B2818">
        <f>IF(A2818="","",'Employees'!C17)</f>
        <v/>
      </c>
      <c r="C2818">
        <f>IF(A2818="","",'Employees'!D17)</f>
        <v/>
      </c>
      <c r="D2818">
        <f>IF(A2818="","",'Skill Matrix'!C182)</f>
        <v/>
      </c>
      <c r="E2818">
        <f>IF(A2818="","",'Skill Matrix'!D182)</f>
        <v/>
      </c>
      <c r="F2818">
        <f>IF(AND('Skill Matrix'!A182&lt;&gt;"",'Skill Matrix'!E5&lt;&gt;""),'Skill Matrix'!E5,"")</f>
        <v/>
      </c>
      <c r="G2818">
        <f>IF(OR(A2818="",'Skill Matrix'!E182=""),"",'Skill Matrix'!E182)</f>
        <v/>
      </c>
      <c r="H2818">
        <f>IF(A2818="","",'Employees'!F17)</f>
        <v/>
      </c>
    </row>
    <row r="2819">
      <c r="A2819">
        <f>IF(AND('Skill Matrix'!A182&lt;&gt;"",'Skill Matrix'!F5&lt;&gt;""),'Skill Matrix'!A182,"")</f>
        <v/>
      </c>
      <c r="B2819">
        <f>IF(A2819="","",'Employees'!C17)</f>
        <v/>
      </c>
      <c r="C2819">
        <f>IF(A2819="","",'Employees'!D17)</f>
        <v/>
      </c>
      <c r="D2819">
        <f>IF(A2819="","",'Skill Matrix'!C182)</f>
        <v/>
      </c>
      <c r="E2819">
        <f>IF(A2819="","",'Skill Matrix'!D182)</f>
        <v/>
      </c>
      <c r="F2819">
        <f>IF(AND('Skill Matrix'!A182&lt;&gt;"",'Skill Matrix'!F5&lt;&gt;""),'Skill Matrix'!F5,"")</f>
        <v/>
      </c>
      <c r="G2819">
        <f>IF(OR(A2819="",'Skill Matrix'!F182=""),"",'Skill Matrix'!F182)</f>
        <v/>
      </c>
      <c r="H2819">
        <f>IF(A2819="","",'Employees'!F17)</f>
        <v/>
      </c>
    </row>
    <row r="2820">
      <c r="A2820">
        <f>IF(AND('Skill Matrix'!A182&lt;&gt;"",'Skill Matrix'!G5&lt;&gt;""),'Skill Matrix'!A182,"")</f>
        <v/>
      </c>
      <c r="B2820">
        <f>IF(A2820="","",'Employees'!C17)</f>
        <v/>
      </c>
      <c r="C2820">
        <f>IF(A2820="","",'Employees'!D17)</f>
        <v/>
      </c>
      <c r="D2820">
        <f>IF(A2820="","",'Skill Matrix'!C182)</f>
        <v/>
      </c>
      <c r="E2820">
        <f>IF(A2820="","",'Skill Matrix'!D182)</f>
        <v/>
      </c>
      <c r="F2820">
        <f>IF(AND('Skill Matrix'!A182&lt;&gt;"",'Skill Matrix'!G5&lt;&gt;""),'Skill Matrix'!G5,"")</f>
        <v/>
      </c>
      <c r="G2820">
        <f>IF(OR(A2820="",'Skill Matrix'!G182=""),"",'Skill Matrix'!G182)</f>
        <v/>
      </c>
      <c r="H2820">
        <f>IF(A2820="","",'Employees'!F17)</f>
        <v/>
      </c>
    </row>
    <row r="2821">
      <c r="A2821">
        <f>IF(AND('Skill Matrix'!A182&lt;&gt;"",'Skill Matrix'!H5&lt;&gt;""),'Skill Matrix'!A182,"")</f>
        <v/>
      </c>
      <c r="B2821">
        <f>IF(A2821="","",'Employees'!C17)</f>
        <v/>
      </c>
      <c r="C2821">
        <f>IF(A2821="","",'Employees'!D17)</f>
        <v/>
      </c>
      <c r="D2821">
        <f>IF(A2821="","",'Skill Matrix'!C182)</f>
        <v/>
      </c>
      <c r="E2821">
        <f>IF(A2821="","",'Skill Matrix'!D182)</f>
        <v/>
      </c>
      <c r="F2821">
        <f>IF(AND('Skill Matrix'!A182&lt;&gt;"",'Skill Matrix'!H5&lt;&gt;""),'Skill Matrix'!H5,"")</f>
        <v/>
      </c>
      <c r="G2821">
        <f>IF(OR(A2821="",'Skill Matrix'!H182=""),"",'Skill Matrix'!H182)</f>
        <v/>
      </c>
      <c r="H2821">
        <f>IF(A2821="","",'Employees'!F17)</f>
        <v/>
      </c>
    </row>
    <row r="2822">
      <c r="A2822">
        <f>IF(AND('Skill Matrix'!A182&lt;&gt;"",'Skill Matrix'!I5&lt;&gt;""),'Skill Matrix'!A182,"")</f>
        <v/>
      </c>
      <c r="B2822">
        <f>IF(A2822="","",'Employees'!C17)</f>
        <v/>
      </c>
      <c r="C2822">
        <f>IF(A2822="","",'Employees'!D17)</f>
        <v/>
      </c>
      <c r="D2822">
        <f>IF(A2822="","",'Skill Matrix'!C182)</f>
        <v/>
      </c>
      <c r="E2822">
        <f>IF(A2822="","",'Skill Matrix'!D182)</f>
        <v/>
      </c>
      <c r="F2822">
        <f>IF(AND('Skill Matrix'!A182&lt;&gt;"",'Skill Matrix'!I5&lt;&gt;""),'Skill Matrix'!I5,"")</f>
        <v/>
      </c>
      <c r="G2822">
        <f>IF(OR(A2822="",'Skill Matrix'!I182=""),"",'Skill Matrix'!I182)</f>
        <v/>
      </c>
      <c r="H2822">
        <f>IF(A2822="","",'Employees'!F17)</f>
        <v/>
      </c>
    </row>
    <row r="2823">
      <c r="A2823">
        <f>IF(AND('Skill Matrix'!A182&lt;&gt;"",'Skill Matrix'!J5&lt;&gt;""),'Skill Matrix'!A182,"")</f>
        <v/>
      </c>
      <c r="B2823">
        <f>IF(A2823="","",'Employees'!C17)</f>
        <v/>
      </c>
      <c r="C2823">
        <f>IF(A2823="","",'Employees'!D17)</f>
        <v/>
      </c>
      <c r="D2823">
        <f>IF(A2823="","",'Skill Matrix'!C182)</f>
        <v/>
      </c>
      <c r="E2823">
        <f>IF(A2823="","",'Skill Matrix'!D182)</f>
        <v/>
      </c>
      <c r="F2823">
        <f>IF(AND('Skill Matrix'!A182&lt;&gt;"",'Skill Matrix'!J5&lt;&gt;""),'Skill Matrix'!J5,"")</f>
        <v/>
      </c>
      <c r="G2823">
        <f>IF(OR(A2823="",'Skill Matrix'!J182=""),"",'Skill Matrix'!J182)</f>
        <v/>
      </c>
      <c r="H2823">
        <f>IF(A2823="","",'Employees'!F17)</f>
        <v/>
      </c>
    </row>
    <row r="2824">
      <c r="A2824">
        <f>IF(AND('Skill Matrix'!A182&lt;&gt;"",'Skill Matrix'!K5&lt;&gt;""),'Skill Matrix'!A182,"")</f>
        <v/>
      </c>
      <c r="B2824">
        <f>IF(A2824="","",'Employees'!C17)</f>
        <v/>
      </c>
      <c r="C2824">
        <f>IF(A2824="","",'Employees'!D17)</f>
        <v/>
      </c>
      <c r="D2824">
        <f>IF(A2824="","",'Skill Matrix'!C182)</f>
        <v/>
      </c>
      <c r="E2824">
        <f>IF(A2824="","",'Skill Matrix'!D182)</f>
        <v/>
      </c>
      <c r="F2824">
        <f>IF(AND('Skill Matrix'!A182&lt;&gt;"",'Skill Matrix'!K5&lt;&gt;""),'Skill Matrix'!K5,"")</f>
        <v/>
      </c>
      <c r="G2824">
        <f>IF(OR(A2824="",'Skill Matrix'!K182=""),"",'Skill Matrix'!K182)</f>
        <v/>
      </c>
      <c r="H2824">
        <f>IF(A2824="","",'Employees'!F17)</f>
        <v/>
      </c>
    </row>
    <row r="2825">
      <c r="A2825">
        <f>IF(AND('Skill Matrix'!A182&lt;&gt;"",'Skill Matrix'!L5&lt;&gt;""),'Skill Matrix'!A182,"")</f>
        <v/>
      </c>
      <c r="B2825">
        <f>IF(A2825="","",'Employees'!C17)</f>
        <v/>
      </c>
      <c r="C2825">
        <f>IF(A2825="","",'Employees'!D17)</f>
        <v/>
      </c>
      <c r="D2825">
        <f>IF(A2825="","",'Skill Matrix'!C182)</f>
        <v/>
      </c>
      <c r="E2825">
        <f>IF(A2825="","",'Skill Matrix'!D182)</f>
        <v/>
      </c>
      <c r="F2825">
        <f>IF(AND('Skill Matrix'!A182&lt;&gt;"",'Skill Matrix'!L5&lt;&gt;""),'Skill Matrix'!L5,"")</f>
        <v/>
      </c>
      <c r="G2825">
        <f>IF(OR(A2825="",'Skill Matrix'!L182=""),"",'Skill Matrix'!L182)</f>
        <v/>
      </c>
      <c r="H2825">
        <f>IF(A2825="","",'Employees'!F17)</f>
        <v/>
      </c>
    </row>
    <row r="2826">
      <c r="A2826">
        <f>IF(AND('Skill Matrix'!A182&lt;&gt;"",'Skill Matrix'!M5&lt;&gt;""),'Skill Matrix'!A182,"")</f>
        <v/>
      </c>
      <c r="B2826">
        <f>IF(A2826="","",'Employees'!C17)</f>
        <v/>
      </c>
      <c r="C2826">
        <f>IF(A2826="","",'Employees'!D17)</f>
        <v/>
      </c>
      <c r="D2826">
        <f>IF(A2826="","",'Skill Matrix'!C182)</f>
        <v/>
      </c>
      <c r="E2826">
        <f>IF(A2826="","",'Skill Matrix'!D182)</f>
        <v/>
      </c>
      <c r="F2826">
        <f>IF(AND('Skill Matrix'!A182&lt;&gt;"",'Skill Matrix'!M5&lt;&gt;""),'Skill Matrix'!M5,"")</f>
        <v/>
      </c>
      <c r="G2826">
        <f>IF(OR(A2826="",'Skill Matrix'!M182=""),"",'Skill Matrix'!M182)</f>
        <v/>
      </c>
      <c r="H2826">
        <f>IF(A2826="","",'Employees'!F17)</f>
        <v/>
      </c>
    </row>
    <row r="2827">
      <c r="A2827">
        <f>IF(AND('Skill Matrix'!A182&lt;&gt;"",'Skill Matrix'!N5&lt;&gt;""),'Skill Matrix'!A182,"")</f>
        <v/>
      </c>
      <c r="B2827">
        <f>IF(A2827="","",'Employees'!C17)</f>
        <v/>
      </c>
      <c r="C2827">
        <f>IF(A2827="","",'Employees'!D17)</f>
        <v/>
      </c>
      <c r="D2827">
        <f>IF(A2827="","",'Skill Matrix'!C182)</f>
        <v/>
      </c>
      <c r="E2827">
        <f>IF(A2827="","",'Skill Matrix'!D182)</f>
        <v/>
      </c>
      <c r="F2827">
        <f>IF(AND('Skill Matrix'!A182&lt;&gt;"",'Skill Matrix'!N5&lt;&gt;""),'Skill Matrix'!N5,"")</f>
        <v/>
      </c>
      <c r="G2827">
        <f>IF(OR(A2827="",'Skill Matrix'!N182=""),"",'Skill Matrix'!N182)</f>
        <v/>
      </c>
      <c r="H2827">
        <f>IF(A2827="","",'Employees'!F17)</f>
        <v/>
      </c>
    </row>
    <row r="2828">
      <c r="A2828">
        <f>IF(AND('Skill Matrix'!A182&lt;&gt;"",'Skill Matrix'!O5&lt;&gt;""),'Skill Matrix'!A182,"")</f>
        <v/>
      </c>
      <c r="B2828">
        <f>IF(A2828="","",'Employees'!C17)</f>
        <v/>
      </c>
      <c r="C2828">
        <f>IF(A2828="","",'Employees'!D17)</f>
        <v/>
      </c>
      <c r="D2828">
        <f>IF(A2828="","",'Skill Matrix'!C182)</f>
        <v/>
      </c>
      <c r="E2828">
        <f>IF(A2828="","",'Skill Matrix'!D182)</f>
        <v/>
      </c>
      <c r="F2828">
        <f>IF(AND('Skill Matrix'!A182&lt;&gt;"",'Skill Matrix'!O5&lt;&gt;""),'Skill Matrix'!O5,"")</f>
        <v/>
      </c>
      <c r="G2828">
        <f>IF(OR(A2828="",'Skill Matrix'!O182=""),"",'Skill Matrix'!O182)</f>
        <v/>
      </c>
      <c r="H2828">
        <f>IF(A2828="","",'Employees'!F17)</f>
        <v/>
      </c>
    </row>
    <row r="2829">
      <c r="A2829">
        <f>IF(AND('Skill Matrix'!A182&lt;&gt;"",'Skill Matrix'!P5&lt;&gt;""),'Skill Matrix'!A182,"")</f>
        <v/>
      </c>
      <c r="B2829">
        <f>IF(A2829="","",'Employees'!C17)</f>
        <v/>
      </c>
      <c r="C2829">
        <f>IF(A2829="","",'Employees'!D17)</f>
        <v/>
      </c>
      <c r="D2829">
        <f>IF(A2829="","",'Skill Matrix'!C182)</f>
        <v/>
      </c>
      <c r="E2829">
        <f>IF(A2829="","",'Skill Matrix'!D182)</f>
        <v/>
      </c>
      <c r="F2829">
        <f>IF(AND('Skill Matrix'!A182&lt;&gt;"",'Skill Matrix'!P5&lt;&gt;""),'Skill Matrix'!P5,"")</f>
        <v/>
      </c>
      <c r="G2829">
        <f>IF(OR(A2829="",'Skill Matrix'!P182=""),"",'Skill Matrix'!P182)</f>
        <v/>
      </c>
      <c r="H2829">
        <f>IF(A2829="","",'Employees'!F17)</f>
        <v/>
      </c>
    </row>
    <row r="2830">
      <c r="A2830">
        <f>IF(AND('Skill Matrix'!A182&lt;&gt;"",'Skill Matrix'!Q5&lt;&gt;""),'Skill Matrix'!A182,"")</f>
        <v/>
      </c>
      <c r="B2830">
        <f>IF(A2830="","",'Employees'!C17)</f>
        <v/>
      </c>
      <c r="C2830">
        <f>IF(A2830="","",'Employees'!D17)</f>
        <v/>
      </c>
      <c r="D2830">
        <f>IF(A2830="","",'Skill Matrix'!C182)</f>
        <v/>
      </c>
      <c r="E2830">
        <f>IF(A2830="","",'Skill Matrix'!D182)</f>
        <v/>
      </c>
      <c r="F2830">
        <f>IF(AND('Skill Matrix'!A182&lt;&gt;"",'Skill Matrix'!Q5&lt;&gt;""),'Skill Matrix'!Q5,"")</f>
        <v/>
      </c>
      <c r="G2830">
        <f>IF(OR(A2830="",'Skill Matrix'!Q182=""),"",'Skill Matrix'!Q182)</f>
        <v/>
      </c>
      <c r="H2830">
        <f>IF(A2830="","",'Employees'!F17)</f>
        <v/>
      </c>
    </row>
    <row r="2831">
      <c r="A2831">
        <f>IF(AND('Skill Matrix'!A182&lt;&gt;"",'Skill Matrix'!R5&lt;&gt;""),'Skill Matrix'!A182,"")</f>
        <v/>
      </c>
      <c r="B2831">
        <f>IF(A2831="","",'Employees'!C17)</f>
        <v/>
      </c>
      <c r="C2831">
        <f>IF(A2831="","",'Employees'!D17)</f>
        <v/>
      </c>
      <c r="D2831">
        <f>IF(A2831="","",'Skill Matrix'!C182)</f>
        <v/>
      </c>
      <c r="E2831">
        <f>IF(A2831="","",'Skill Matrix'!D182)</f>
        <v/>
      </c>
      <c r="F2831">
        <f>IF(AND('Skill Matrix'!A182&lt;&gt;"",'Skill Matrix'!R5&lt;&gt;""),'Skill Matrix'!R5,"")</f>
        <v/>
      </c>
      <c r="G2831">
        <f>IF(OR(A2831="",'Skill Matrix'!R182=""),"",'Skill Matrix'!R182)</f>
        <v/>
      </c>
      <c r="H2831">
        <f>IF(A2831="","",'Employees'!F17)</f>
        <v/>
      </c>
    </row>
    <row r="2832">
      <c r="A2832">
        <f>IF(AND('Skill Matrix'!A182&lt;&gt;"",'Skill Matrix'!S5&lt;&gt;""),'Skill Matrix'!A182,"")</f>
        <v/>
      </c>
      <c r="B2832">
        <f>IF(A2832="","",'Employees'!C17)</f>
        <v/>
      </c>
      <c r="C2832">
        <f>IF(A2832="","",'Employees'!D17)</f>
        <v/>
      </c>
      <c r="D2832">
        <f>IF(A2832="","",'Skill Matrix'!C182)</f>
        <v/>
      </c>
      <c r="E2832">
        <f>IF(A2832="","",'Skill Matrix'!D182)</f>
        <v/>
      </c>
      <c r="F2832">
        <f>IF(AND('Skill Matrix'!A182&lt;&gt;"",'Skill Matrix'!S5&lt;&gt;""),'Skill Matrix'!S5,"")</f>
        <v/>
      </c>
      <c r="G2832">
        <f>IF(OR(A2832="",'Skill Matrix'!S182=""),"",'Skill Matrix'!S182)</f>
        <v/>
      </c>
      <c r="H2832">
        <f>IF(A2832="","",'Employees'!F17)</f>
        <v/>
      </c>
    </row>
    <row r="2833">
      <c r="A2833">
        <f>IF(AND('Skill Matrix'!A182&lt;&gt;"",'Skill Matrix'!T5&lt;&gt;""),'Skill Matrix'!A182,"")</f>
        <v/>
      </c>
      <c r="B2833">
        <f>IF(A2833="","",'Employees'!C17)</f>
        <v/>
      </c>
      <c r="C2833">
        <f>IF(A2833="","",'Employees'!D17)</f>
        <v/>
      </c>
      <c r="D2833">
        <f>IF(A2833="","",'Skill Matrix'!C182)</f>
        <v/>
      </c>
      <c r="E2833">
        <f>IF(A2833="","",'Skill Matrix'!D182)</f>
        <v/>
      </c>
      <c r="F2833">
        <f>IF(AND('Skill Matrix'!A182&lt;&gt;"",'Skill Matrix'!T5&lt;&gt;""),'Skill Matrix'!T5,"")</f>
        <v/>
      </c>
      <c r="G2833">
        <f>IF(OR(A2833="",'Skill Matrix'!T182=""),"",'Skill Matrix'!T182)</f>
        <v/>
      </c>
      <c r="H2833">
        <f>IF(A2833="","",'Employees'!F17)</f>
        <v/>
      </c>
    </row>
    <row r="2834">
      <c r="A2834">
        <f>IF(AND('Skill Matrix'!A183&lt;&gt;"",'Skill Matrix'!E5&lt;&gt;""),'Skill Matrix'!A183,"")</f>
        <v/>
      </c>
      <c r="B2834">
        <f>IF(A2834="","",'Employees'!C17)</f>
        <v/>
      </c>
      <c r="C2834">
        <f>IF(A2834="","",'Employees'!D17)</f>
        <v/>
      </c>
      <c r="D2834">
        <f>IF(A2834="","",'Skill Matrix'!C183)</f>
        <v/>
      </c>
      <c r="E2834">
        <f>IF(A2834="","",'Skill Matrix'!D183)</f>
        <v/>
      </c>
      <c r="F2834">
        <f>IF(AND('Skill Matrix'!A183&lt;&gt;"",'Skill Matrix'!E5&lt;&gt;""),'Skill Matrix'!E5,"")</f>
        <v/>
      </c>
      <c r="G2834">
        <f>IF(OR(A2834="",'Skill Matrix'!E183=""),"",'Skill Matrix'!E183)</f>
        <v/>
      </c>
      <c r="H2834">
        <f>IF(A2834="","",'Employees'!F17)</f>
        <v/>
      </c>
    </row>
    <row r="2835">
      <c r="A2835">
        <f>IF(AND('Skill Matrix'!A183&lt;&gt;"",'Skill Matrix'!F5&lt;&gt;""),'Skill Matrix'!A183,"")</f>
        <v/>
      </c>
      <c r="B2835">
        <f>IF(A2835="","",'Employees'!C17)</f>
        <v/>
      </c>
      <c r="C2835">
        <f>IF(A2835="","",'Employees'!D17)</f>
        <v/>
      </c>
      <c r="D2835">
        <f>IF(A2835="","",'Skill Matrix'!C183)</f>
        <v/>
      </c>
      <c r="E2835">
        <f>IF(A2835="","",'Skill Matrix'!D183)</f>
        <v/>
      </c>
      <c r="F2835">
        <f>IF(AND('Skill Matrix'!A183&lt;&gt;"",'Skill Matrix'!F5&lt;&gt;""),'Skill Matrix'!F5,"")</f>
        <v/>
      </c>
      <c r="G2835">
        <f>IF(OR(A2835="",'Skill Matrix'!F183=""),"",'Skill Matrix'!F183)</f>
        <v/>
      </c>
      <c r="H2835">
        <f>IF(A2835="","",'Employees'!F17)</f>
        <v/>
      </c>
    </row>
    <row r="2836">
      <c r="A2836">
        <f>IF(AND('Skill Matrix'!A183&lt;&gt;"",'Skill Matrix'!G5&lt;&gt;""),'Skill Matrix'!A183,"")</f>
        <v/>
      </c>
      <c r="B2836">
        <f>IF(A2836="","",'Employees'!C17)</f>
        <v/>
      </c>
      <c r="C2836">
        <f>IF(A2836="","",'Employees'!D17)</f>
        <v/>
      </c>
      <c r="D2836">
        <f>IF(A2836="","",'Skill Matrix'!C183)</f>
        <v/>
      </c>
      <c r="E2836">
        <f>IF(A2836="","",'Skill Matrix'!D183)</f>
        <v/>
      </c>
      <c r="F2836">
        <f>IF(AND('Skill Matrix'!A183&lt;&gt;"",'Skill Matrix'!G5&lt;&gt;""),'Skill Matrix'!G5,"")</f>
        <v/>
      </c>
      <c r="G2836">
        <f>IF(OR(A2836="",'Skill Matrix'!G183=""),"",'Skill Matrix'!G183)</f>
        <v/>
      </c>
      <c r="H2836">
        <f>IF(A2836="","",'Employees'!F17)</f>
        <v/>
      </c>
    </row>
    <row r="2837">
      <c r="A2837">
        <f>IF(AND('Skill Matrix'!A183&lt;&gt;"",'Skill Matrix'!H5&lt;&gt;""),'Skill Matrix'!A183,"")</f>
        <v/>
      </c>
      <c r="B2837">
        <f>IF(A2837="","",'Employees'!C17)</f>
        <v/>
      </c>
      <c r="C2837">
        <f>IF(A2837="","",'Employees'!D17)</f>
        <v/>
      </c>
      <c r="D2837">
        <f>IF(A2837="","",'Skill Matrix'!C183)</f>
        <v/>
      </c>
      <c r="E2837">
        <f>IF(A2837="","",'Skill Matrix'!D183)</f>
        <v/>
      </c>
      <c r="F2837">
        <f>IF(AND('Skill Matrix'!A183&lt;&gt;"",'Skill Matrix'!H5&lt;&gt;""),'Skill Matrix'!H5,"")</f>
        <v/>
      </c>
      <c r="G2837">
        <f>IF(OR(A2837="",'Skill Matrix'!H183=""),"",'Skill Matrix'!H183)</f>
        <v/>
      </c>
      <c r="H2837">
        <f>IF(A2837="","",'Employees'!F17)</f>
        <v/>
      </c>
    </row>
    <row r="2838">
      <c r="A2838">
        <f>IF(AND('Skill Matrix'!A183&lt;&gt;"",'Skill Matrix'!I5&lt;&gt;""),'Skill Matrix'!A183,"")</f>
        <v/>
      </c>
      <c r="B2838">
        <f>IF(A2838="","",'Employees'!C17)</f>
        <v/>
      </c>
      <c r="C2838">
        <f>IF(A2838="","",'Employees'!D17)</f>
        <v/>
      </c>
      <c r="D2838">
        <f>IF(A2838="","",'Skill Matrix'!C183)</f>
        <v/>
      </c>
      <c r="E2838">
        <f>IF(A2838="","",'Skill Matrix'!D183)</f>
        <v/>
      </c>
      <c r="F2838">
        <f>IF(AND('Skill Matrix'!A183&lt;&gt;"",'Skill Matrix'!I5&lt;&gt;""),'Skill Matrix'!I5,"")</f>
        <v/>
      </c>
      <c r="G2838">
        <f>IF(OR(A2838="",'Skill Matrix'!I183=""),"",'Skill Matrix'!I183)</f>
        <v/>
      </c>
      <c r="H2838">
        <f>IF(A2838="","",'Employees'!F17)</f>
        <v/>
      </c>
    </row>
    <row r="2839">
      <c r="A2839">
        <f>IF(AND('Skill Matrix'!A183&lt;&gt;"",'Skill Matrix'!J5&lt;&gt;""),'Skill Matrix'!A183,"")</f>
        <v/>
      </c>
      <c r="B2839">
        <f>IF(A2839="","",'Employees'!C17)</f>
        <v/>
      </c>
      <c r="C2839">
        <f>IF(A2839="","",'Employees'!D17)</f>
        <v/>
      </c>
      <c r="D2839">
        <f>IF(A2839="","",'Skill Matrix'!C183)</f>
        <v/>
      </c>
      <c r="E2839">
        <f>IF(A2839="","",'Skill Matrix'!D183)</f>
        <v/>
      </c>
      <c r="F2839">
        <f>IF(AND('Skill Matrix'!A183&lt;&gt;"",'Skill Matrix'!J5&lt;&gt;""),'Skill Matrix'!J5,"")</f>
        <v/>
      </c>
      <c r="G2839">
        <f>IF(OR(A2839="",'Skill Matrix'!J183=""),"",'Skill Matrix'!J183)</f>
        <v/>
      </c>
      <c r="H2839">
        <f>IF(A2839="","",'Employees'!F17)</f>
        <v/>
      </c>
    </row>
    <row r="2840">
      <c r="A2840">
        <f>IF(AND('Skill Matrix'!A183&lt;&gt;"",'Skill Matrix'!K5&lt;&gt;""),'Skill Matrix'!A183,"")</f>
        <v/>
      </c>
      <c r="B2840">
        <f>IF(A2840="","",'Employees'!C17)</f>
        <v/>
      </c>
      <c r="C2840">
        <f>IF(A2840="","",'Employees'!D17)</f>
        <v/>
      </c>
      <c r="D2840">
        <f>IF(A2840="","",'Skill Matrix'!C183)</f>
        <v/>
      </c>
      <c r="E2840">
        <f>IF(A2840="","",'Skill Matrix'!D183)</f>
        <v/>
      </c>
      <c r="F2840">
        <f>IF(AND('Skill Matrix'!A183&lt;&gt;"",'Skill Matrix'!K5&lt;&gt;""),'Skill Matrix'!K5,"")</f>
        <v/>
      </c>
      <c r="G2840">
        <f>IF(OR(A2840="",'Skill Matrix'!K183=""),"",'Skill Matrix'!K183)</f>
        <v/>
      </c>
      <c r="H2840">
        <f>IF(A2840="","",'Employees'!F17)</f>
        <v/>
      </c>
    </row>
    <row r="2841">
      <c r="A2841">
        <f>IF(AND('Skill Matrix'!A183&lt;&gt;"",'Skill Matrix'!L5&lt;&gt;""),'Skill Matrix'!A183,"")</f>
        <v/>
      </c>
      <c r="B2841">
        <f>IF(A2841="","",'Employees'!C17)</f>
        <v/>
      </c>
      <c r="C2841">
        <f>IF(A2841="","",'Employees'!D17)</f>
        <v/>
      </c>
      <c r="D2841">
        <f>IF(A2841="","",'Skill Matrix'!C183)</f>
        <v/>
      </c>
      <c r="E2841">
        <f>IF(A2841="","",'Skill Matrix'!D183)</f>
        <v/>
      </c>
      <c r="F2841">
        <f>IF(AND('Skill Matrix'!A183&lt;&gt;"",'Skill Matrix'!L5&lt;&gt;""),'Skill Matrix'!L5,"")</f>
        <v/>
      </c>
      <c r="G2841">
        <f>IF(OR(A2841="",'Skill Matrix'!L183=""),"",'Skill Matrix'!L183)</f>
        <v/>
      </c>
      <c r="H2841">
        <f>IF(A2841="","",'Employees'!F17)</f>
        <v/>
      </c>
    </row>
    <row r="2842">
      <c r="A2842">
        <f>IF(AND('Skill Matrix'!A183&lt;&gt;"",'Skill Matrix'!M5&lt;&gt;""),'Skill Matrix'!A183,"")</f>
        <v/>
      </c>
      <c r="B2842">
        <f>IF(A2842="","",'Employees'!C17)</f>
        <v/>
      </c>
      <c r="C2842">
        <f>IF(A2842="","",'Employees'!D17)</f>
        <v/>
      </c>
      <c r="D2842">
        <f>IF(A2842="","",'Skill Matrix'!C183)</f>
        <v/>
      </c>
      <c r="E2842">
        <f>IF(A2842="","",'Skill Matrix'!D183)</f>
        <v/>
      </c>
      <c r="F2842">
        <f>IF(AND('Skill Matrix'!A183&lt;&gt;"",'Skill Matrix'!M5&lt;&gt;""),'Skill Matrix'!M5,"")</f>
        <v/>
      </c>
      <c r="G2842">
        <f>IF(OR(A2842="",'Skill Matrix'!M183=""),"",'Skill Matrix'!M183)</f>
        <v/>
      </c>
      <c r="H2842">
        <f>IF(A2842="","",'Employees'!F17)</f>
        <v/>
      </c>
    </row>
    <row r="2843">
      <c r="A2843">
        <f>IF(AND('Skill Matrix'!A183&lt;&gt;"",'Skill Matrix'!N5&lt;&gt;""),'Skill Matrix'!A183,"")</f>
        <v/>
      </c>
      <c r="B2843">
        <f>IF(A2843="","",'Employees'!C17)</f>
        <v/>
      </c>
      <c r="C2843">
        <f>IF(A2843="","",'Employees'!D17)</f>
        <v/>
      </c>
      <c r="D2843">
        <f>IF(A2843="","",'Skill Matrix'!C183)</f>
        <v/>
      </c>
      <c r="E2843">
        <f>IF(A2843="","",'Skill Matrix'!D183)</f>
        <v/>
      </c>
      <c r="F2843">
        <f>IF(AND('Skill Matrix'!A183&lt;&gt;"",'Skill Matrix'!N5&lt;&gt;""),'Skill Matrix'!N5,"")</f>
        <v/>
      </c>
      <c r="G2843">
        <f>IF(OR(A2843="",'Skill Matrix'!N183=""),"",'Skill Matrix'!N183)</f>
        <v/>
      </c>
      <c r="H2843">
        <f>IF(A2843="","",'Employees'!F17)</f>
        <v/>
      </c>
    </row>
    <row r="2844">
      <c r="A2844">
        <f>IF(AND('Skill Matrix'!A183&lt;&gt;"",'Skill Matrix'!O5&lt;&gt;""),'Skill Matrix'!A183,"")</f>
        <v/>
      </c>
      <c r="B2844">
        <f>IF(A2844="","",'Employees'!C17)</f>
        <v/>
      </c>
      <c r="C2844">
        <f>IF(A2844="","",'Employees'!D17)</f>
        <v/>
      </c>
      <c r="D2844">
        <f>IF(A2844="","",'Skill Matrix'!C183)</f>
        <v/>
      </c>
      <c r="E2844">
        <f>IF(A2844="","",'Skill Matrix'!D183)</f>
        <v/>
      </c>
      <c r="F2844">
        <f>IF(AND('Skill Matrix'!A183&lt;&gt;"",'Skill Matrix'!O5&lt;&gt;""),'Skill Matrix'!O5,"")</f>
        <v/>
      </c>
      <c r="G2844">
        <f>IF(OR(A2844="",'Skill Matrix'!O183=""),"",'Skill Matrix'!O183)</f>
        <v/>
      </c>
      <c r="H2844">
        <f>IF(A2844="","",'Employees'!F17)</f>
        <v/>
      </c>
    </row>
    <row r="2845">
      <c r="A2845">
        <f>IF(AND('Skill Matrix'!A183&lt;&gt;"",'Skill Matrix'!P5&lt;&gt;""),'Skill Matrix'!A183,"")</f>
        <v/>
      </c>
      <c r="B2845">
        <f>IF(A2845="","",'Employees'!C17)</f>
        <v/>
      </c>
      <c r="C2845">
        <f>IF(A2845="","",'Employees'!D17)</f>
        <v/>
      </c>
      <c r="D2845">
        <f>IF(A2845="","",'Skill Matrix'!C183)</f>
        <v/>
      </c>
      <c r="E2845">
        <f>IF(A2845="","",'Skill Matrix'!D183)</f>
        <v/>
      </c>
      <c r="F2845">
        <f>IF(AND('Skill Matrix'!A183&lt;&gt;"",'Skill Matrix'!P5&lt;&gt;""),'Skill Matrix'!P5,"")</f>
        <v/>
      </c>
      <c r="G2845">
        <f>IF(OR(A2845="",'Skill Matrix'!P183=""),"",'Skill Matrix'!P183)</f>
        <v/>
      </c>
      <c r="H2845">
        <f>IF(A2845="","",'Employees'!F17)</f>
        <v/>
      </c>
    </row>
    <row r="2846">
      <c r="A2846">
        <f>IF(AND('Skill Matrix'!A183&lt;&gt;"",'Skill Matrix'!Q5&lt;&gt;""),'Skill Matrix'!A183,"")</f>
        <v/>
      </c>
      <c r="B2846">
        <f>IF(A2846="","",'Employees'!C17)</f>
        <v/>
      </c>
      <c r="C2846">
        <f>IF(A2846="","",'Employees'!D17)</f>
        <v/>
      </c>
      <c r="D2846">
        <f>IF(A2846="","",'Skill Matrix'!C183)</f>
        <v/>
      </c>
      <c r="E2846">
        <f>IF(A2846="","",'Skill Matrix'!D183)</f>
        <v/>
      </c>
      <c r="F2846">
        <f>IF(AND('Skill Matrix'!A183&lt;&gt;"",'Skill Matrix'!Q5&lt;&gt;""),'Skill Matrix'!Q5,"")</f>
        <v/>
      </c>
      <c r="G2846">
        <f>IF(OR(A2846="",'Skill Matrix'!Q183=""),"",'Skill Matrix'!Q183)</f>
        <v/>
      </c>
      <c r="H2846">
        <f>IF(A2846="","",'Employees'!F17)</f>
        <v/>
      </c>
    </row>
    <row r="2847">
      <c r="A2847">
        <f>IF(AND('Skill Matrix'!A183&lt;&gt;"",'Skill Matrix'!R5&lt;&gt;""),'Skill Matrix'!A183,"")</f>
        <v/>
      </c>
      <c r="B2847">
        <f>IF(A2847="","",'Employees'!C17)</f>
        <v/>
      </c>
      <c r="C2847">
        <f>IF(A2847="","",'Employees'!D17)</f>
        <v/>
      </c>
      <c r="D2847">
        <f>IF(A2847="","",'Skill Matrix'!C183)</f>
        <v/>
      </c>
      <c r="E2847">
        <f>IF(A2847="","",'Skill Matrix'!D183)</f>
        <v/>
      </c>
      <c r="F2847">
        <f>IF(AND('Skill Matrix'!A183&lt;&gt;"",'Skill Matrix'!R5&lt;&gt;""),'Skill Matrix'!R5,"")</f>
        <v/>
      </c>
      <c r="G2847">
        <f>IF(OR(A2847="",'Skill Matrix'!R183=""),"",'Skill Matrix'!R183)</f>
        <v/>
      </c>
      <c r="H2847">
        <f>IF(A2847="","",'Employees'!F17)</f>
        <v/>
      </c>
    </row>
    <row r="2848">
      <c r="A2848">
        <f>IF(AND('Skill Matrix'!A183&lt;&gt;"",'Skill Matrix'!S5&lt;&gt;""),'Skill Matrix'!A183,"")</f>
        <v/>
      </c>
      <c r="B2848">
        <f>IF(A2848="","",'Employees'!C17)</f>
        <v/>
      </c>
      <c r="C2848">
        <f>IF(A2848="","",'Employees'!D17)</f>
        <v/>
      </c>
      <c r="D2848">
        <f>IF(A2848="","",'Skill Matrix'!C183)</f>
        <v/>
      </c>
      <c r="E2848">
        <f>IF(A2848="","",'Skill Matrix'!D183)</f>
        <v/>
      </c>
      <c r="F2848">
        <f>IF(AND('Skill Matrix'!A183&lt;&gt;"",'Skill Matrix'!S5&lt;&gt;""),'Skill Matrix'!S5,"")</f>
        <v/>
      </c>
      <c r="G2848">
        <f>IF(OR(A2848="",'Skill Matrix'!S183=""),"",'Skill Matrix'!S183)</f>
        <v/>
      </c>
      <c r="H2848">
        <f>IF(A2848="","",'Employees'!F17)</f>
        <v/>
      </c>
    </row>
    <row r="2849">
      <c r="A2849">
        <f>IF(AND('Skill Matrix'!A183&lt;&gt;"",'Skill Matrix'!T5&lt;&gt;""),'Skill Matrix'!A183,"")</f>
        <v/>
      </c>
      <c r="B2849">
        <f>IF(A2849="","",'Employees'!C17)</f>
        <v/>
      </c>
      <c r="C2849">
        <f>IF(A2849="","",'Employees'!D17)</f>
        <v/>
      </c>
      <c r="D2849">
        <f>IF(A2849="","",'Skill Matrix'!C183)</f>
        <v/>
      </c>
      <c r="E2849">
        <f>IF(A2849="","",'Skill Matrix'!D183)</f>
        <v/>
      </c>
      <c r="F2849">
        <f>IF(AND('Skill Matrix'!A183&lt;&gt;"",'Skill Matrix'!T5&lt;&gt;""),'Skill Matrix'!T5,"")</f>
        <v/>
      </c>
      <c r="G2849">
        <f>IF(OR(A2849="",'Skill Matrix'!T183=""),"",'Skill Matrix'!T183)</f>
        <v/>
      </c>
      <c r="H2849">
        <f>IF(A2849="","",'Employees'!F17)</f>
        <v/>
      </c>
    </row>
    <row r="2850">
      <c r="A2850">
        <f>IF(AND('Skill Matrix'!A184&lt;&gt;"",'Skill Matrix'!E5&lt;&gt;""),'Skill Matrix'!A184,"")</f>
        <v/>
      </c>
      <c r="B2850">
        <f>IF(A2850="","",'Employees'!C17)</f>
        <v/>
      </c>
      <c r="C2850">
        <f>IF(A2850="","",'Employees'!D17)</f>
        <v/>
      </c>
      <c r="D2850">
        <f>IF(A2850="","",'Skill Matrix'!C184)</f>
        <v/>
      </c>
      <c r="E2850">
        <f>IF(A2850="","",'Skill Matrix'!D184)</f>
        <v/>
      </c>
      <c r="F2850">
        <f>IF(AND('Skill Matrix'!A184&lt;&gt;"",'Skill Matrix'!E5&lt;&gt;""),'Skill Matrix'!E5,"")</f>
        <v/>
      </c>
      <c r="G2850">
        <f>IF(OR(A2850="",'Skill Matrix'!E184=""),"",'Skill Matrix'!E184)</f>
        <v/>
      </c>
      <c r="H2850">
        <f>IF(A2850="","",'Employees'!F17)</f>
        <v/>
      </c>
    </row>
    <row r="2851">
      <c r="A2851">
        <f>IF(AND('Skill Matrix'!A184&lt;&gt;"",'Skill Matrix'!F5&lt;&gt;""),'Skill Matrix'!A184,"")</f>
        <v/>
      </c>
      <c r="B2851">
        <f>IF(A2851="","",'Employees'!C17)</f>
        <v/>
      </c>
      <c r="C2851">
        <f>IF(A2851="","",'Employees'!D17)</f>
        <v/>
      </c>
      <c r="D2851">
        <f>IF(A2851="","",'Skill Matrix'!C184)</f>
        <v/>
      </c>
      <c r="E2851">
        <f>IF(A2851="","",'Skill Matrix'!D184)</f>
        <v/>
      </c>
      <c r="F2851">
        <f>IF(AND('Skill Matrix'!A184&lt;&gt;"",'Skill Matrix'!F5&lt;&gt;""),'Skill Matrix'!F5,"")</f>
        <v/>
      </c>
      <c r="G2851">
        <f>IF(OR(A2851="",'Skill Matrix'!F184=""),"",'Skill Matrix'!F184)</f>
        <v/>
      </c>
      <c r="H2851">
        <f>IF(A2851="","",'Employees'!F17)</f>
        <v/>
      </c>
    </row>
    <row r="2852">
      <c r="A2852">
        <f>IF(AND('Skill Matrix'!A184&lt;&gt;"",'Skill Matrix'!G5&lt;&gt;""),'Skill Matrix'!A184,"")</f>
        <v/>
      </c>
      <c r="B2852">
        <f>IF(A2852="","",'Employees'!C17)</f>
        <v/>
      </c>
      <c r="C2852">
        <f>IF(A2852="","",'Employees'!D17)</f>
        <v/>
      </c>
      <c r="D2852">
        <f>IF(A2852="","",'Skill Matrix'!C184)</f>
        <v/>
      </c>
      <c r="E2852">
        <f>IF(A2852="","",'Skill Matrix'!D184)</f>
        <v/>
      </c>
      <c r="F2852">
        <f>IF(AND('Skill Matrix'!A184&lt;&gt;"",'Skill Matrix'!G5&lt;&gt;""),'Skill Matrix'!G5,"")</f>
        <v/>
      </c>
      <c r="G2852">
        <f>IF(OR(A2852="",'Skill Matrix'!G184=""),"",'Skill Matrix'!G184)</f>
        <v/>
      </c>
      <c r="H2852">
        <f>IF(A2852="","",'Employees'!F17)</f>
        <v/>
      </c>
    </row>
    <row r="2853">
      <c r="A2853">
        <f>IF(AND('Skill Matrix'!A184&lt;&gt;"",'Skill Matrix'!H5&lt;&gt;""),'Skill Matrix'!A184,"")</f>
        <v/>
      </c>
      <c r="B2853">
        <f>IF(A2853="","",'Employees'!C17)</f>
        <v/>
      </c>
      <c r="C2853">
        <f>IF(A2853="","",'Employees'!D17)</f>
        <v/>
      </c>
      <c r="D2853">
        <f>IF(A2853="","",'Skill Matrix'!C184)</f>
        <v/>
      </c>
      <c r="E2853">
        <f>IF(A2853="","",'Skill Matrix'!D184)</f>
        <v/>
      </c>
      <c r="F2853">
        <f>IF(AND('Skill Matrix'!A184&lt;&gt;"",'Skill Matrix'!H5&lt;&gt;""),'Skill Matrix'!H5,"")</f>
        <v/>
      </c>
      <c r="G2853">
        <f>IF(OR(A2853="",'Skill Matrix'!H184=""),"",'Skill Matrix'!H184)</f>
        <v/>
      </c>
      <c r="H2853">
        <f>IF(A2853="","",'Employees'!F17)</f>
        <v/>
      </c>
    </row>
    <row r="2854">
      <c r="A2854">
        <f>IF(AND('Skill Matrix'!A184&lt;&gt;"",'Skill Matrix'!I5&lt;&gt;""),'Skill Matrix'!A184,"")</f>
        <v/>
      </c>
      <c r="B2854">
        <f>IF(A2854="","",'Employees'!C17)</f>
        <v/>
      </c>
      <c r="C2854">
        <f>IF(A2854="","",'Employees'!D17)</f>
        <v/>
      </c>
      <c r="D2854">
        <f>IF(A2854="","",'Skill Matrix'!C184)</f>
        <v/>
      </c>
      <c r="E2854">
        <f>IF(A2854="","",'Skill Matrix'!D184)</f>
        <v/>
      </c>
      <c r="F2854">
        <f>IF(AND('Skill Matrix'!A184&lt;&gt;"",'Skill Matrix'!I5&lt;&gt;""),'Skill Matrix'!I5,"")</f>
        <v/>
      </c>
      <c r="G2854">
        <f>IF(OR(A2854="",'Skill Matrix'!I184=""),"",'Skill Matrix'!I184)</f>
        <v/>
      </c>
      <c r="H2854">
        <f>IF(A2854="","",'Employees'!F17)</f>
        <v/>
      </c>
    </row>
    <row r="2855">
      <c r="A2855">
        <f>IF(AND('Skill Matrix'!A184&lt;&gt;"",'Skill Matrix'!J5&lt;&gt;""),'Skill Matrix'!A184,"")</f>
        <v/>
      </c>
      <c r="B2855">
        <f>IF(A2855="","",'Employees'!C17)</f>
        <v/>
      </c>
      <c r="C2855">
        <f>IF(A2855="","",'Employees'!D17)</f>
        <v/>
      </c>
      <c r="D2855">
        <f>IF(A2855="","",'Skill Matrix'!C184)</f>
        <v/>
      </c>
      <c r="E2855">
        <f>IF(A2855="","",'Skill Matrix'!D184)</f>
        <v/>
      </c>
      <c r="F2855">
        <f>IF(AND('Skill Matrix'!A184&lt;&gt;"",'Skill Matrix'!J5&lt;&gt;""),'Skill Matrix'!J5,"")</f>
        <v/>
      </c>
      <c r="G2855">
        <f>IF(OR(A2855="",'Skill Matrix'!J184=""),"",'Skill Matrix'!J184)</f>
        <v/>
      </c>
      <c r="H2855">
        <f>IF(A2855="","",'Employees'!F17)</f>
        <v/>
      </c>
    </row>
    <row r="2856">
      <c r="A2856">
        <f>IF(AND('Skill Matrix'!A184&lt;&gt;"",'Skill Matrix'!K5&lt;&gt;""),'Skill Matrix'!A184,"")</f>
        <v/>
      </c>
      <c r="B2856">
        <f>IF(A2856="","",'Employees'!C17)</f>
        <v/>
      </c>
      <c r="C2856">
        <f>IF(A2856="","",'Employees'!D17)</f>
        <v/>
      </c>
      <c r="D2856">
        <f>IF(A2856="","",'Skill Matrix'!C184)</f>
        <v/>
      </c>
      <c r="E2856">
        <f>IF(A2856="","",'Skill Matrix'!D184)</f>
        <v/>
      </c>
      <c r="F2856">
        <f>IF(AND('Skill Matrix'!A184&lt;&gt;"",'Skill Matrix'!K5&lt;&gt;""),'Skill Matrix'!K5,"")</f>
        <v/>
      </c>
      <c r="G2856">
        <f>IF(OR(A2856="",'Skill Matrix'!K184=""),"",'Skill Matrix'!K184)</f>
        <v/>
      </c>
      <c r="H2856">
        <f>IF(A2856="","",'Employees'!F17)</f>
        <v/>
      </c>
    </row>
    <row r="2857">
      <c r="A2857">
        <f>IF(AND('Skill Matrix'!A184&lt;&gt;"",'Skill Matrix'!L5&lt;&gt;""),'Skill Matrix'!A184,"")</f>
        <v/>
      </c>
      <c r="B2857">
        <f>IF(A2857="","",'Employees'!C17)</f>
        <v/>
      </c>
      <c r="C2857">
        <f>IF(A2857="","",'Employees'!D17)</f>
        <v/>
      </c>
      <c r="D2857">
        <f>IF(A2857="","",'Skill Matrix'!C184)</f>
        <v/>
      </c>
      <c r="E2857">
        <f>IF(A2857="","",'Skill Matrix'!D184)</f>
        <v/>
      </c>
      <c r="F2857">
        <f>IF(AND('Skill Matrix'!A184&lt;&gt;"",'Skill Matrix'!L5&lt;&gt;""),'Skill Matrix'!L5,"")</f>
        <v/>
      </c>
      <c r="G2857">
        <f>IF(OR(A2857="",'Skill Matrix'!L184=""),"",'Skill Matrix'!L184)</f>
        <v/>
      </c>
      <c r="H2857">
        <f>IF(A2857="","",'Employees'!F17)</f>
        <v/>
      </c>
    </row>
    <row r="2858">
      <c r="A2858">
        <f>IF(AND('Skill Matrix'!A184&lt;&gt;"",'Skill Matrix'!M5&lt;&gt;""),'Skill Matrix'!A184,"")</f>
        <v/>
      </c>
      <c r="B2858">
        <f>IF(A2858="","",'Employees'!C17)</f>
        <v/>
      </c>
      <c r="C2858">
        <f>IF(A2858="","",'Employees'!D17)</f>
        <v/>
      </c>
      <c r="D2858">
        <f>IF(A2858="","",'Skill Matrix'!C184)</f>
        <v/>
      </c>
      <c r="E2858">
        <f>IF(A2858="","",'Skill Matrix'!D184)</f>
        <v/>
      </c>
      <c r="F2858">
        <f>IF(AND('Skill Matrix'!A184&lt;&gt;"",'Skill Matrix'!M5&lt;&gt;""),'Skill Matrix'!M5,"")</f>
        <v/>
      </c>
      <c r="G2858">
        <f>IF(OR(A2858="",'Skill Matrix'!M184=""),"",'Skill Matrix'!M184)</f>
        <v/>
      </c>
      <c r="H2858">
        <f>IF(A2858="","",'Employees'!F17)</f>
        <v/>
      </c>
    </row>
    <row r="2859">
      <c r="A2859">
        <f>IF(AND('Skill Matrix'!A184&lt;&gt;"",'Skill Matrix'!N5&lt;&gt;""),'Skill Matrix'!A184,"")</f>
        <v/>
      </c>
      <c r="B2859">
        <f>IF(A2859="","",'Employees'!C17)</f>
        <v/>
      </c>
      <c r="C2859">
        <f>IF(A2859="","",'Employees'!D17)</f>
        <v/>
      </c>
      <c r="D2859">
        <f>IF(A2859="","",'Skill Matrix'!C184)</f>
        <v/>
      </c>
      <c r="E2859">
        <f>IF(A2859="","",'Skill Matrix'!D184)</f>
        <v/>
      </c>
      <c r="F2859">
        <f>IF(AND('Skill Matrix'!A184&lt;&gt;"",'Skill Matrix'!N5&lt;&gt;""),'Skill Matrix'!N5,"")</f>
        <v/>
      </c>
      <c r="G2859">
        <f>IF(OR(A2859="",'Skill Matrix'!N184=""),"",'Skill Matrix'!N184)</f>
        <v/>
      </c>
      <c r="H2859">
        <f>IF(A2859="","",'Employees'!F17)</f>
        <v/>
      </c>
    </row>
    <row r="2860">
      <c r="A2860">
        <f>IF(AND('Skill Matrix'!A184&lt;&gt;"",'Skill Matrix'!O5&lt;&gt;""),'Skill Matrix'!A184,"")</f>
        <v/>
      </c>
      <c r="B2860">
        <f>IF(A2860="","",'Employees'!C17)</f>
        <v/>
      </c>
      <c r="C2860">
        <f>IF(A2860="","",'Employees'!D17)</f>
        <v/>
      </c>
      <c r="D2860">
        <f>IF(A2860="","",'Skill Matrix'!C184)</f>
        <v/>
      </c>
      <c r="E2860">
        <f>IF(A2860="","",'Skill Matrix'!D184)</f>
        <v/>
      </c>
      <c r="F2860">
        <f>IF(AND('Skill Matrix'!A184&lt;&gt;"",'Skill Matrix'!O5&lt;&gt;""),'Skill Matrix'!O5,"")</f>
        <v/>
      </c>
      <c r="G2860">
        <f>IF(OR(A2860="",'Skill Matrix'!O184=""),"",'Skill Matrix'!O184)</f>
        <v/>
      </c>
      <c r="H2860">
        <f>IF(A2860="","",'Employees'!F17)</f>
        <v/>
      </c>
    </row>
    <row r="2861">
      <c r="A2861">
        <f>IF(AND('Skill Matrix'!A184&lt;&gt;"",'Skill Matrix'!P5&lt;&gt;""),'Skill Matrix'!A184,"")</f>
        <v/>
      </c>
      <c r="B2861">
        <f>IF(A2861="","",'Employees'!C17)</f>
        <v/>
      </c>
      <c r="C2861">
        <f>IF(A2861="","",'Employees'!D17)</f>
        <v/>
      </c>
      <c r="D2861">
        <f>IF(A2861="","",'Skill Matrix'!C184)</f>
        <v/>
      </c>
      <c r="E2861">
        <f>IF(A2861="","",'Skill Matrix'!D184)</f>
        <v/>
      </c>
      <c r="F2861">
        <f>IF(AND('Skill Matrix'!A184&lt;&gt;"",'Skill Matrix'!P5&lt;&gt;""),'Skill Matrix'!P5,"")</f>
        <v/>
      </c>
      <c r="G2861">
        <f>IF(OR(A2861="",'Skill Matrix'!P184=""),"",'Skill Matrix'!P184)</f>
        <v/>
      </c>
      <c r="H2861">
        <f>IF(A2861="","",'Employees'!F17)</f>
        <v/>
      </c>
    </row>
    <row r="2862">
      <c r="A2862">
        <f>IF(AND('Skill Matrix'!A184&lt;&gt;"",'Skill Matrix'!Q5&lt;&gt;""),'Skill Matrix'!A184,"")</f>
        <v/>
      </c>
      <c r="B2862">
        <f>IF(A2862="","",'Employees'!C17)</f>
        <v/>
      </c>
      <c r="C2862">
        <f>IF(A2862="","",'Employees'!D17)</f>
        <v/>
      </c>
      <c r="D2862">
        <f>IF(A2862="","",'Skill Matrix'!C184)</f>
        <v/>
      </c>
      <c r="E2862">
        <f>IF(A2862="","",'Skill Matrix'!D184)</f>
        <v/>
      </c>
      <c r="F2862">
        <f>IF(AND('Skill Matrix'!A184&lt;&gt;"",'Skill Matrix'!Q5&lt;&gt;""),'Skill Matrix'!Q5,"")</f>
        <v/>
      </c>
      <c r="G2862">
        <f>IF(OR(A2862="",'Skill Matrix'!Q184=""),"",'Skill Matrix'!Q184)</f>
        <v/>
      </c>
      <c r="H2862">
        <f>IF(A2862="","",'Employees'!F17)</f>
        <v/>
      </c>
    </row>
    <row r="2863">
      <c r="A2863">
        <f>IF(AND('Skill Matrix'!A184&lt;&gt;"",'Skill Matrix'!R5&lt;&gt;""),'Skill Matrix'!A184,"")</f>
        <v/>
      </c>
      <c r="B2863">
        <f>IF(A2863="","",'Employees'!C17)</f>
        <v/>
      </c>
      <c r="C2863">
        <f>IF(A2863="","",'Employees'!D17)</f>
        <v/>
      </c>
      <c r="D2863">
        <f>IF(A2863="","",'Skill Matrix'!C184)</f>
        <v/>
      </c>
      <c r="E2863">
        <f>IF(A2863="","",'Skill Matrix'!D184)</f>
        <v/>
      </c>
      <c r="F2863">
        <f>IF(AND('Skill Matrix'!A184&lt;&gt;"",'Skill Matrix'!R5&lt;&gt;""),'Skill Matrix'!R5,"")</f>
        <v/>
      </c>
      <c r="G2863">
        <f>IF(OR(A2863="",'Skill Matrix'!R184=""),"",'Skill Matrix'!R184)</f>
        <v/>
      </c>
      <c r="H2863">
        <f>IF(A2863="","",'Employees'!F17)</f>
        <v/>
      </c>
    </row>
    <row r="2864">
      <c r="A2864">
        <f>IF(AND('Skill Matrix'!A184&lt;&gt;"",'Skill Matrix'!S5&lt;&gt;""),'Skill Matrix'!A184,"")</f>
        <v/>
      </c>
      <c r="B2864">
        <f>IF(A2864="","",'Employees'!C17)</f>
        <v/>
      </c>
      <c r="C2864">
        <f>IF(A2864="","",'Employees'!D17)</f>
        <v/>
      </c>
      <c r="D2864">
        <f>IF(A2864="","",'Skill Matrix'!C184)</f>
        <v/>
      </c>
      <c r="E2864">
        <f>IF(A2864="","",'Skill Matrix'!D184)</f>
        <v/>
      </c>
      <c r="F2864">
        <f>IF(AND('Skill Matrix'!A184&lt;&gt;"",'Skill Matrix'!S5&lt;&gt;""),'Skill Matrix'!S5,"")</f>
        <v/>
      </c>
      <c r="G2864">
        <f>IF(OR(A2864="",'Skill Matrix'!S184=""),"",'Skill Matrix'!S184)</f>
        <v/>
      </c>
      <c r="H2864">
        <f>IF(A2864="","",'Employees'!F17)</f>
        <v/>
      </c>
    </row>
    <row r="2865">
      <c r="A2865">
        <f>IF(AND('Skill Matrix'!A184&lt;&gt;"",'Skill Matrix'!T5&lt;&gt;""),'Skill Matrix'!A184,"")</f>
        <v/>
      </c>
      <c r="B2865">
        <f>IF(A2865="","",'Employees'!C17)</f>
        <v/>
      </c>
      <c r="C2865">
        <f>IF(A2865="","",'Employees'!D17)</f>
        <v/>
      </c>
      <c r="D2865">
        <f>IF(A2865="","",'Skill Matrix'!C184)</f>
        <v/>
      </c>
      <c r="E2865">
        <f>IF(A2865="","",'Skill Matrix'!D184)</f>
        <v/>
      </c>
      <c r="F2865">
        <f>IF(AND('Skill Matrix'!A184&lt;&gt;"",'Skill Matrix'!T5&lt;&gt;""),'Skill Matrix'!T5,"")</f>
        <v/>
      </c>
      <c r="G2865">
        <f>IF(OR(A2865="",'Skill Matrix'!T184=""),"",'Skill Matrix'!T184)</f>
        <v/>
      </c>
      <c r="H2865">
        <f>IF(A2865="","",'Employees'!F17)</f>
        <v/>
      </c>
    </row>
    <row r="2866">
      <c r="A2866">
        <f>IF(AND('Skill Matrix'!A185&lt;&gt;"",'Skill Matrix'!E5&lt;&gt;""),'Skill Matrix'!A185,"")</f>
        <v/>
      </c>
      <c r="B2866">
        <f>IF(A2866="","",'Employees'!C17)</f>
        <v/>
      </c>
      <c r="C2866">
        <f>IF(A2866="","",'Employees'!D17)</f>
        <v/>
      </c>
      <c r="D2866">
        <f>IF(A2866="","",'Skill Matrix'!C185)</f>
        <v/>
      </c>
      <c r="E2866">
        <f>IF(A2866="","",'Skill Matrix'!D185)</f>
        <v/>
      </c>
      <c r="F2866">
        <f>IF(AND('Skill Matrix'!A185&lt;&gt;"",'Skill Matrix'!E5&lt;&gt;""),'Skill Matrix'!E5,"")</f>
        <v/>
      </c>
      <c r="G2866">
        <f>IF(OR(A2866="",'Skill Matrix'!E185=""),"",'Skill Matrix'!E185)</f>
        <v/>
      </c>
      <c r="H2866">
        <f>IF(A2866="","",'Employees'!F17)</f>
        <v/>
      </c>
    </row>
    <row r="2867">
      <c r="A2867">
        <f>IF(AND('Skill Matrix'!A185&lt;&gt;"",'Skill Matrix'!F5&lt;&gt;""),'Skill Matrix'!A185,"")</f>
        <v/>
      </c>
      <c r="B2867">
        <f>IF(A2867="","",'Employees'!C17)</f>
        <v/>
      </c>
      <c r="C2867">
        <f>IF(A2867="","",'Employees'!D17)</f>
        <v/>
      </c>
      <c r="D2867">
        <f>IF(A2867="","",'Skill Matrix'!C185)</f>
        <v/>
      </c>
      <c r="E2867">
        <f>IF(A2867="","",'Skill Matrix'!D185)</f>
        <v/>
      </c>
      <c r="F2867">
        <f>IF(AND('Skill Matrix'!A185&lt;&gt;"",'Skill Matrix'!F5&lt;&gt;""),'Skill Matrix'!F5,"")</f>
        <v/>
      </c>
      <c r="G2867">
        <f>IF(OR(A2867="",'Skill Matrix'!F185=""),"",'Skill Matrix'!F185)</f>
        <v/>
      </c>
      <c r="H2867">
        <f>IF(A2867="","",'Employees'!F17)</f>
        <v/>
      </c>
    </row>
    <row r="2868">
      <c r="A2868">
        <f>IF(AND('Skill Matrix'!A185&lt;&gt;"",'Skill Matrix'!G5&lt;&gt;""),'Skill Matrix'!A185,"")</f>
        <v/>
      </c>
      <c r="B2868">
        <f>IF(A2868="","",'Employees'!C17)</f>
        <v/>
      </c>
      <c r="C2868">
        <f>IF(A2868="","",'Employees'!D17)</f>
        <v/>
      </c>
      <c r="D2868">
        <f>IF(A2868="","",'Skill Matrix'!C185)</f>
        <v/>
      </c>
      <c r="E2868">
        <f>IF(A2868="","",'Skill Matrix'!D185)</f>
        <v/>
      </c>
      <c r="F2868">
        <f>IF(AND('Skill Matrix'!A185&lt;&gt;"",'Skill Matrix'!G5&lt;&gt;""),'Skill Matrix'!G5,"")</f>
        <v/>
      </c>
      <c r="G2868">
        <f>IF(OR(A2868="",'Skill Matrix'!G185=""),"",'Skill Matrix'!G185)</f>
        <v/>
      </c>
      <c r="H2868">
        <f>IF(A2868="","",'Employees'!F17)</f>
        <v/>
      </c>
    </row>
    <row r="2869">
      <c r="A2869">
        <f>IF(AND('Skill Matrix'!A185&lt;&gt;"",'Skill Matrix'!H5&lt;&gt;""),'Skill Matrix'!A185,"")</f>
        <v/>
      </c>
      <c r="B2869">
        <f>IF(A2869="","",'Employees'!C17)</f>
        <v/>
      </c>
      <c r="C2869">
        <f>IF(A2869="","",'Employees'!D17)</f>
        <v/>
      </c>
      <c r="D2869">
        <f>IF(A2869="","",'Skill Matrix'!C185)</f>
        <v/>
      </c>
      <c r="E2869">
        <f>IF(A2869="","",'Skill Matrix'!D185)</f>
        <v/>
      </c>
      <c r="F2869">
        <f>IF(AND('Skill Matrix'!A185&lt;&gt;"",'Skill Matrix'!H5&lt;&gt;""),'Skill Matrix'!H5,"")</f>
        <v/>
      </c>
      <c r="G2869">
        <f>IF(OR(A2869="",'Skill Matrix'!H185=""),"",'Skill Matrix'!H185)</f>
        <v/>
      </c>
      <c r="H2869">
        <f>IF(A2869="","",'Employees'!F17)</f>
        <v/>
      </c>
    </row>
    <row r="2870">
      <c r="A2870">
        <f>IF(AND('Skill Matrix'!A185&lt;&gt;"",'Skill Matrix'!I5&lt;&gt;""),'Skill Matrix'!A185,"")</f>
        <v/>
      </c>
      <c r="B2870">
        <f>IF(A2870="","",'Employees'!C17)</f>
        <v/>
      </c>
      <c r="C2870">
        <f>IF(A2870="","",'Employees'!D17)</f>
        <v/>
      </c>
      <c r="D2870">
        <f>IF(A2870="","",'Skill Matrix'!C185)</f>
        <v/>
      </c>
      <c r="E2870">
        <f>IF(A2870="","",'Skill Matrix'!D185)</f>
        <v/>
      </c>
      <c r="F2870">
        <f>IF(AND('Skill Matrix'!A185&lt;&gt;"",'Skill Matrix'!I5&lt;&gt;""),'Skill Matrix'!I5,"")</f>
        <v/>
      </c>
      <c r="G2870">
        <f>IF(OR(A2870="",'Skill Matrix'!I185=""),"",'Skill Matrix'!I185)</f>
        <v/>
      </c>
      <c r="H2870">
        <f>IF(A2870="","",'Employees'!F17)</f>
        <v/>
      </c>
    </row>
    <row r="2871">
      <c r="A2871">
        <f>IF(AND('Skill Matrix'!A185&lt;&gt;"",'Skill Matrix'!J5&lt;&gt;""),'Skill Matrix'!A185,"")</f>
        <v/>
      </c>
      <c r="B2871">
        <f>IF(A2871="","",'Employees'!C17)</f>
        <v/>
      </c>
      <c r="C2871">
        <f>IF(A2871="","",'Employees'!D17)</f>
        <v/>
      </c>
      <c r="D2871">
        <f>IF(A2871="","",'Skill Matrix'!C185)</f>
        <v/>
      </c>
      <c r="E2871">
        <f>IF(A2871="","",'Skill Matrix'!D185)</f>
        <v/>
      </c>
      <c r="F2871">
        <f>IF(AND('Skill Matrix'!A185&lt;&gt;"",'Skill Matrix'!J5&lt;&gt;""),'Skill Matrix'!J5,"")</f>
        <v/>
      </c>
      <c r="G2871">
        <f>IF(OR(A2871="",'Skill Matrix'!J185=""),"",'Skill Matrix'!J185)</f>
        <v/>
      </c>
      <c r="H2871">
        <f>IF(A2871="","",'Employees'!F17)</f>
        <v/>
      </c>
    </row>
    <row r="2872">
      <c r="A2872">
        <f>IF(AND('Skill Matrix'!A185&lt;&gt;"",'Skill Matrix'!K5&lt;&gt;""),'Skill Matrix'!A185,"")</f>
        <v/>
      </c>
      <c r="B2872">
        <f>IF(A2872="","",'Employees'!C17)</f>
        <v/>
      </c>
      <c r="C2872">
        <f>IF(A2872="","",'Employees'!D17)</f>
        <v/>
      </c>
      <c r="D2872">
        <f>IF(A2872="","",'Skill Matrix'!C185)</f>
        <v/>
      </c>
      <c r="E2872">
        <f>IF(A2872="","",'Skill Matrix'!D185)</f>
        <v/>
      </c>
      <c r="F2872">
        <f>IF(AND('Skill Matrix'!A185&lt;&gt;"",'Skill Matrix'!K5&lt;&gt;""),'Skill Matrix'!K5,"")</f>
        <v/>
      </c>
      <c r="G2872">
        <f>IF(OR(A2872="",'Skill Matrix'!K185=""),"",'Skill Matrix'!K185)</f>
        <v/>
      </c>
      <c r="H2872">
        <f>IF(A2872="","",'Employees'!F17)</f>
        <v/>
      </c>
    </row>
    <row r="2873">
      <c r="A2873">
        <f>IF(AND('Skill Matrix'!A185&lt;&gt;"",'Skill Matrix'!L5&lt;&gt;""),'Skill Matrix'!A185,"")</f>
        <v/>
      </c>
      <c r="B2873">
        <f>IF(A2873="","",'Employees'!C17)</f>
        <v/>
      </c>
      <c r="C2873">
        <f>IF(A2873="","",'Employees'!D17)</f>
        <v/>
      </c>
      <c r="D2873">
        <f>IF(A2873="","",'Skill Matrix'!C185)</f>
        <v/>
      </c>
      <c r="E2873">
        <f>IF(A2873="","",'Skill Matrix'!D185)</f>
        <v/>
      </c>
      <c r="F2873">
        <f>IF(AND('Skill Matrix'!A185&lt;&gt;"",'Skill Matrix'!L5&lt;&gt;""),'Skill Matrix'!L5,"")</f>
        <v/>
      </c>
      <c r="G2873">
        <f>IF(OR(A2873="",'Skill Matrix'!L185=""),"",'Skill Matrix'!L185)</f>
        <v/>
      </c>
      <c r="H2873">
        <f>IF(A2873="","",'Employees'!F17)</f>
        <v/>
      </c>
    </row>
    <row r="2874">
      <c r="A2874">
        <f>IF(AND('Skill Matrix'!A185&lt;&gt;"",'Skill Matrix'!M5&lt;&gt;""),'Skill Matrix'!A185,"")</f>
        <v/>
      </c>
      <c r="B2874">
        <f>IF(A2874="","",'Employees'!C17)</f>
        <v/>
      </c>
      <c r="C2874">
        <f>IF(A2874="","",'Employees'!D17)</f>
        <v/>
      </c>
      <c r="D2874">
        <f>IF(A2874="","",'Skill Matrix'!C185)</f>
        <v/>
      </c>
      <c r="E2874">
        <f>IF(A2874="","",'Skill Matrix'!D185)</f>
        <v/>
      </c>
      <c r="F2874">
        <f>IF(AND('Skill Matrix'!A185&lt;&gt;"",'Skill Matrix'!M5&lt;&gt;""),'Skill Matrix'!M5,"")</f>
        <v/>
      </c>
      <c r="G2874">
        <f>IF(OR(A2874="",'Skill Matrix'!M185=""),"",'Skill Matrix'!M185)</f>
        <v/>
      </c>
      <c r="H2874">
        <f>IF(A2874="","",'Employees'!F17)</f>
        <v/>
      </c>
    </row>
    <row r="2875">
      <c r="A2875">
        <f>IF(AND('Skill Matrix'!A185&lt;&gt;"",'Skill Matrix'!N5&lt;&gt;""),'Skill Matrix'!A185,"")</f>
        <v/>
      </c>
      <c r="B2875">
        <f>IF(A2875="","",'Employees'!C17)</f>
        <v/>
      </c>
      <c r="C2875">
        <f>IF(A2875="","",'Employees'!D17)</f>
        <v/>
      </c>
      <c r="D2875">
        <f>IF(A2875="","",'Skill Matrix'!C185)</f>
        <v/>
      </c>
      <c r="E2875">
        <f>IF(A2875="","",'Skill Matrix'!D185)</f>
        <v/>
      </c>
      <c r="F2875">
        <f>IF(AND('Skill Matrix'!A185&lt;&gt;"",'Skill Matrix'!N5&lt;&gt;""),'Skill Matrix'!N5,"")</f>
        <v/>
      </c>
      <c r="G2875">
        <f>IF(OR(A2875="",'Skill Matrix'!N185=""),"",'Skill Matrix'!N185)</f>
        <v/>
      </c>
      <c r="H2875">
        <f>IF(A2875="","",'Employees'!F17)</f>
        <v/>
      </c>
    </row>
    <row r="2876">
      <c r="A2876">
        <f>IF(AND('Skill Matrix'!A185&lt;&gt;"",'Skill Matrix'!O5&lt;&gt;""),'Skill Matrix'!A185,"")</f>
        <v/>
      </c>
      <c r="B2876">
        <f>IF(A2876="","",'Employees'!C17)</f>
        <v/>
      </c>
      <c r="C2876">
        <f>IF(A2876="","",'Employees'!D17)</f>
        <v/>
      </c>
      <c r="D2876">
        <f>IF(A2876="","",'Skill Matrix'!C185)</f>
        <v/>
      </c>
      <c r="E2876">
        <f>IF(A2876="","",'Skill Matrix'!D185)</f>
        <v/>
      </c>
      <c r="F2876">
        <f>IF(AND('Skill Matrix'!A185&lt;&gt;"",'Skill Matrix'!O5&lt;&gt;""),'Skill Matrix'!O5,"")</f>
        <v/>
      </c>
      <c r="G2876">
        <f>IF(OR(A2876="",'Skill Matrix'!O185=""),"",'Skill Matrix'!O185)</f>
        <v/>
      </c>
      <c r="H2876">
        <f>IF(A2876="","",'Employees'!F17)</f>
        <v/>
      </c>
    </row>
    <row r="2877">
      <c r="A2877">
        <f>IF(AND('Skill Matrix'!A185&lt;&gt;"",'Skill Matrix'!P5&lt;&gt;""),'Skill Matrix'!A185,"")</f>
        <v/>
      </c>
      <c r="B2877">
        <f>IF(A2877="","",'Employees'!C17)</f>
        <v/>
      </c>
      <c r="C2877">
        <f>IF(A2877="","",'Employees'!D17)</f>
        <v/>
      </c>
      <c r="D2877">
        <f>IF(A2877="","",'Skill Matrix'!C185)</f>
        <v/>
      </c>
      <c r="E2877">
        <f>IF(A2877="","",'Skill Matrix'!D185)</f>
        <v/>
      </c>
      <c r="F2877">
        <f>IF(AND('Skill Matrix'!A185&lt;&gt;"",'Skill Matrix'!P5&lt;&gt;""),'Skill Matrix'!P5,"")</f>
        <v/>
      </c>
      <c r="G2877">
        <f>IF(OR(A2877="",'Skill Matrix'!P185=""),"",'Skill Matrix'!P185)</f>
        <v/>
      </c>
      <c r="H2877">
        <f>IF(A2877="","",'Employees'!F17)</f>
        <v/>
      </c>
    </row>
    <row r="2878">
      <c r="A2878">
        <f>IF(AND('Skill Matrix'!A185&lt;&gt;"",'Skill Matrix'!Q5&lt;&gt;""),'Skill Matrix'!A185,"")</f>
        <v/>
      </c>
      <c r="B2878">
        <f>IF(A2878="","",'Employees'!C17)</f>
        <v/>
      </c>
      <c r="C2878">
        <f>IF(A2878="","",'Employees'!D17)</f>
        <v/>
      </c>
      <c r="D2878">
        <f>IF(A2878="","",'Skill Matrix'!C185)</f>
        <v/>
      </c>
      <c r="E2878">
        <f>IF(A2878="","",'Skill Matrix'!D185)</f>
        <v/>
      </c>
      <c r="F2878">
        <f>IF(AND('Skill Matrix'!A185&lt;&gt;"",'Skill Matrix'!Q5&lt;&gt;""),'Skill Matrix'!Q5,"")</f>
        <v/>
      </c>
      <c r="G2878">
        <f>IF(OR(A2878="",'Skill Matrix'!Q185=""),"",'Skill Matrix'!Q185)</f>
        <v/>
      </c>
      <c r="H2878">
        <f>IF(A2878="","",'Employees'!F17)</f>
        <v/>
      </c>
    </row>
    <row r="2879">
      <c r="A2879">
        <f>IF(AND('Skill Matrix'!A185&lt;&gt;"",'Skill Matrix'!R5&lt;&gt;""),'Skill Matrix'!A185,"")</f>
        <v/>
      </c>
      <c r="B2879">
        <f>IF(A2879="","",'Employees'!C17)</f>
        <v/>
      </c>
      <c r="C2879">
        <f>IF(A2879="","",'Employees'!D17)</f>
        <v/>
      </c>
      <c r="D2879">
        <f>IF(A2879="","",'Skill Matrix'!C185)</f>
        <v/>
      </c>
      <c r="E2879">
        <f>IF(A2879="","",'Skill Matrix'!D185)</f>
        <v/>
      </c>
      <c r="F2879">
        <f>IF(AND('Skill Matrix'!A185&lt;&gt;"",'Skill Matrix'!R5&lt;&gt;""),'Skill Matrix'!R5,"")</f>
        <v/>
      </c>
      <c r="G2879">
        <f>IF(OR(A2879="",'Skill Matrix'!R185=""),"",'Skill Matrix'!R185)</f>
        <v/>
      </c>
      <c r="H2879">
        <f>IF(A2879="","",'Employees'!F17)</f>
        <v/>
      </c>
    </row>
    <row r="2880">
      <c r="A2880">
        <f>IF(AND('Skill Matrix'!A185&lt;&gt;"",'Skill Matrix'!S5&lt;&gt;""),'Skill Matrix'!A185,"")</f>
        <v/>
      </c>
      <c r="B2880">
        <f>IF(A2880="","",'Employees'!C17)</f>
        <v/>
      </c>
      <c r="C2880">
        <f>IF(A2880="","",'Employees'!D17)</f>
        <v/>
      </c>
      <c r="D2880">
        <f>IF(A2880="","",'Skill Matrix'!C185)</f>
        <v/>
      </c>
      <c r="E2880">
        <f>IF(A2880="","",'Skill Matrix'!D185)</f>
        <v/>
      </c>
      <c r="F2880">
        <f>IF(AND('Skill Matrix'!A185&lt;&gt;"",'Skill Matrix'!S5&lt;&gt;""),'Skill Matrix'!S5,"")</f>
        <v/>
      </c>
      <c r="G2880">
        <f>IF(OR(A2880="",'Skill Matrix'!S185=""),"",'Skill Matrix'!S185)</f>
        <v/>
      </c>
      <c r="H2880">
        <f>IF(A2880="","",'Employees'!F17)</f>
        <v/>
      </c>
    </row>
    <row r="2881">
      <c r="A2881">
        <f>IF(AND('Skill Matrix'!A185&lt;&gt;"",'Skill Matrix'!T5&lt;&gt;""),'Skill Matrix'!A185,"")</f>
        <v/>
      </c>
      <c r="B2881">
        <f>IF(A2881="","",'Employees'!C17)</f>
        <v/>
      </c>
      <c r="C2881">
        <f>IF(A2881="","",'Employees'!D17)</f>
        <v/>
      </c>
      <c r="D2881">
        <f>IF(A2881="","",'Skill Matrix'!C185)</f>
        <v/>
      </c>
      <c r="E2881">
        <f>IF(A2881="","",'Skill Matrix'!D185)</f>
        <v/>
      </c>
      <c r="F2881">
        <f>IF(AND('Skill Matrix'!A185&lt;&gt;"",'Skill Matrix'!T5&lt;&gt;""),'Skill Matrix'!T5,"")</f>
        <v/>
      </c>
      <c r="G2881">
        <f>IF(OR(A2881="",'Skill Matrix'!T185=""),"",'Skill Matrix'!T185)</f>
        <v/>
      </c>
      <c r="H2881">
        <f>IF(A2881="","",'Employees'!F17)</f>
        <v/>
      </c>
    </row>
    <row r="2882">
      <c r="A2882">
        <f>IF(AND('Skill Matrix'!A186&lt;&gt;"",'Skill Matrix'!E5&lt;&gt;""),'Skill Matrix'!A186,"")</f>
        <v/>
      </c>
      <c r="B2882">
        <f>IF(A2882="","",'Employees'!C17)</f>
        <v/>
      </c>
      <c r="C2882">
        <f>IF(A2882="","",'Employees'!D17)</f>
        <v/>
      </c>
      <c r="D2882">
        <f>IF(A2882="","",'Skill Matrix'!C186)</f>
        <v/>
      </c>
      <c r="E2882">
        <f>IF(A2882="","",'Skill Matrix'!D186)</f>
        <v/>
      </c>
      <c r="F2882">
        <f>IF(AND('Skill Matrix'!A186&lt;&gt;"",'Skill Matrix'!E5&lt;&gt;""),'Skill Matrix'!E5,"")</f>
        <v/>
      </c>
      <c r="G2882">
        <f>IF(OR(A2882="",'Skill Matrix'!E186=""),"",'Skill Matrix'!E186)</f>
        <v/>
      </c>
      <c r="H2882">
        <f>IF(A2882="","",'Employees'!F17)</f>
        <v/>
      </c>
    </row>
    <row r="2883">
      <c r="A2883">
        <f>IF(AND('Skill Matrix'!A186&lt;&gt;"",'Skill Matrix'!F5&lt;&gt;""),'Skill Matrix'!A186,"")</f>
        <v/>
      </c>
      <c r="B2883">
        <f>IF(A2883="","",'Employees'!C17)</f>
        <v/>
      </c>
      <c r="C2883">
        <f>IF(A2883="","",'Employees'!D17)</f>
        <v/>
      </c>
      <c r="D2883">
        <f>IF(A2883="","",'Skill Matrix'!C186)</f>
        <v/>
      </c>
      <c r="E2883">
        <f>IF(A2883="","",'Skill Matrix'!D186)</f>
        <v/>
      </c>
      <c r="F2883">
        <f>IF(AND('Skill Matrix'!A186&lt;&gt;"",'Skill Matrix'!F5&lt;&gt;""),'Skill Matrix'!F5,"")</f>
        <v/>
      </c>
      <c r="G2883">
        <f>IF(OR(A2883="",'Skill Matrix'!F186=""),"",'Skill Matrix'!F186)</f>
        <v/>
      </c>
      <c r="H2883">
        <f>IF(A2883="","",'Employees'!F17)</f>
        <v/>
      </c>
    </row>
    <row r="2884">
      <c r="A2884">
        <f>IF(AND('Skill Matrix'!A186&lt;&gt;"",'Skill Matrix'!G5&lt;&gt;""),'Skill Matrix'!A186,"")</f>
        <v/>
      </c>
      <c r="B2884">
        <f>IF(A2884="","",'Employees'!C17)</f>
        <v/>
      </c>
      <c r="C2884">
        <f>IF(A2884="","",'Employees'!D17)</f>
        <v/>
      </c>
      <c r="D2884">
        <f>IF(A2884="","",'Skill Matrix'!C186)</f>
        <v/>
      </c>
      <c r="E2884">
        <f>IF(A2884="","",'Skill Matrix'!D186)</f>
        <v/>
      </c>
      <c r="F2884">
        <f>IF(AND('Skill Matrix'!A186&lt;&gt;"",'Skill Matrix'!G5&lt;&gt;""),'Skill Matrix'!G5,"")</f>
        <v/>
      </c>
      <c r="G2884">
        <f>IF(OR(A2884="",'Skill Matrix'!G186=""),"",'Skill Matrix'!G186)</f>
        <v/>
      </c>
      <c r="H2884">
        <f>IF(A2884="","",'Employees'!F17)</f>
        <v/>
      </c>
    </row>
    <row r="2885">
      <c r="A2885">
        <f>IF(AND('Skill Matrix'!A186&lt;&gt;"",'Skill Matrix'!H5&lt;&gt;""),'Skill Matrix'!A186,"")</f>
        <v/>
      </c>
      <c r="B2885">
        <f>IF(A2885="","",'Employees'!C17)</f>
        <v/>
      </c>
      <c r="C2885">
        <f>IF(A2885="","",'Employees'!D17)</f>
        <v/>
      </c>
      <c r="D2885">
        <f>IF(A2885="","",'Skill Matrix'!C186)</f>
        <v/>
      </c>
      <c r="E2885">
        <f>IF(A2885="","",'Skill Matrix'!D186)</f>
        <v/>
      </c>
      <c r="F2885">
        <f>IF(AND('Skill Matrix'!A186&lt;&gt;"",'Skill Matrix'!H5&lt;&gt;""),'Skill Matrix'!H5,"")</f>
        <v/>
      </c>
      <c r="G2885">
        <f>IF(OR(A2885="",'Skill Matrix'!H186=""),"",'Skill Matrix'!H186)</f>
        <v/>
      </c>
      <c r="H2885">
        <f>IF(A2885="","",'Employees'!F17)</f>
        <v/>
      </c>
    </row>
    <row r="2886">
      <c r="A2886">
        <f>IF(AND('Skill Matrix'!A186&lt;&gt;"",'Skill Matrix'!I5&lt;&gt;""),'Skill Matrix'!A186,"")</f>
        <v/>
      </c>
      <c r="B2886">
        <f>IF(A2886="","",'Employees'!C17)</f>
        <v/>
      </c>
      <c r="C2886">
        <f>IF(A2886="","",'Employees'!D17)</f>
        <v/>
      </c>
      <c r="D2886">
        <f>IF(A2886="","",'Skill Matrix'!C186)</f>
        <v/>
      </c>
      <c r="E2886">
        <f>IF(A2886="","",'Skill Matrix'!D186)</f>
        <v/>
      </c>
      <c r="F2886">
        <f>IF(AND('Skill Matrix'!A186&lt;&gt;"",'Skill Matrix'!I5&lt;&gt;""),'Skill Matrix'!I5,"")</f>
        <v/>
      </c>
      <c r="G2886">
        <f>IF(OR(A2886="",'Skill Matrix'!I186=""),"",'Skill Matrix'!I186)</f>
        <v/>
      </c>
      <c r="H2886">
        <f>IF(A2886="","",'Employees'!F17)</f>
        <v/>
      </c>
    </row>
    <row r="2887">
      <c r="A2887">
        <f>IF(AND('Skill Matrix'!A186&lt;&gt;"",'Skill Matrix'!J5&lt;&gt;""),'Skill Matrix'!A186,"")</f>
        <v/>
      </c>
      <c r="B2887">
        <f>IF(A2887="","",'Employees'!C17)</f>
        <v/>
      </c>
      <c r="C2887">
        <f>IF(A2887="","",'Employees'!D17)</f>
        <v/>
      </c>
      <c r="D2887">
        <f>IF(A2887="","",'Skill Matrix'!C186)</f>
        <v/>
      </c>
      <c r="E2887">
        <f>IF(A2887="","",'Skill Matrix'!D186)</f>
        <v/>
      </c>
      <c r="F2887">
        <f>IF(AND('Skill Matrix'!A186&lt;&gt;"",'Skill Matrix'!J5&lt;&gt;""),'Skill Matrix'!J5,"")</f>
        <v/>
      </c>
      <c r="G2887">
        <f>IF(OR(A2887="",'Skill Matrix'!J186=""),"",'Skill Matrix'!J186)</f>
        <v/>
      </c>
      <c r="H2887">
        <f>IF(A2887="","",'Employees'!F17)</f>
        <v/>
      </c>
    </row>
    <row r="2888">
      <c r="A2888">
        <f>IF(AND('Skill Matrix'!A186&lt;&gt;"",'Skill Matrix'!K5&lt;&gt;""),'Skill Matrix'!A186,"")</f>
        <v/>
      </c>
      <c r="B2888">
        <f>IF(A2888="","",'Employees'!C17)</f>
        <v/>
      </c>
      <c r="C2888">
        <f>IF(A2888="","",'Employees'!D17)</f>
        <v/>
      </c>
      <c r="D2888">
        <f>IF(A2888="","",'Skill Matrix'!C186)</f>
        <v/>
      </c>
      <c r="E2888">
        <f>IF(A2888="","",'Skill Matrix'!D186)</f>
        <v/>
      </c>
      <c r="F2888">
        <f>IF(AND('Skill Matrix'!A186&lt;&gt;"",'Skill Matrix'!K5&lt;&gt;""),'Skill Matrix'!K5,"")</f>
        <v/>
      </c>
      <c r="G2888">
        <f>IF(OR(A2888="",'Skill Matrix'!K186=""),"",'Skill Matrix'!K186)</f>
        <v/>
      </c>
      <c r="H2888">
        <f>IF(A2888="","",'Employees'!F17)</f>
        <v/>
      </c>
    </row>
    <row r="2889">
      <c r="A2889">
        <f>IF(AND('Skill Matrix'!A186&lt;&gt;"",'Skill Matrix'!L5&lt;&gt;""),'Skill Matrix'!A186,"")</f>
        <v/>
      </c>
      <c r="B2889">
        <f>IF(A2889="","",'Employees'!C17)</f>
        <v/>
      </c>
      <c r="C2889">
        <f>IF(A2889="","",'Employees'!D17)</f>
        <v/>
      </c>
      <c r="D2889">
        <f>IF(A2889="","",'Skill Matrix'!C186)</f>
        <v/>
      </c>
      <c r="E2889">
        <f>IF(A2889="","",'Skill Matrix'!D186)</f>
        <v/>
      </c>
      <c r="F2889">
        <f>IF(AND('Skill Matrix'!A186&lt;&gt;"",'Skill Matrix'!L5&lt;&gt;""),'Skill Matrix'!L5,"")</f>
        <v/>
      </c>
      <c r="G2889">
        <f>IF(OR(A2889="",'Skill Matrix'!L186=""),"",'Skill Matrix'!L186)</f>
        <v/>
      </c>
      <c r="H2889">
        <f>IF(A2889="","",'Employees'!F17)</f>
        <v/>
      </c>
    </row>
    <row r="2890">
      <c r="A2890">
        <f>IF(AND('Skill Matrix'!A186&lt;&gt;"",'Skill Matrix'!M5&lt;&gt;""),'Skill Matrix'!A186,"")</f>
        <v/>
      </c>
      <c r="B2890">
        <f>IF(A2890="","",'Employees'!C17)</f>
        <v/>
      </c>
      <c r="C2890">
        <f>IF(A2890="","",'Employees'!D17)</f>
        <v/>
      </c>
      <c r="D2890">
        <f>IF(A2890="","",'Skill Matrix'!C186)</f>
        <v/>
      </c>
      <c r="E2890">
        <f>IF(A2890="","",'Skill Matrix'!D186)</f>
        <v/>
      </c>
      <c r="F2890">
        <f>IF(AND('Skill Matrix'!A186&lt;&gt;"",'Skill Matrix'!M5&lt;&gt;""),'Skill Matrix'!M5,"")</f>
        <v/>
      </c>
      <c r="G2890">
        <f>IF(OR(A2890="",'Skill Matrix'!M186=""),"",'Skill Matrix'!M186)</f>
        <v/>
      </c>
      <c r="H2890">
        <f>IF(A2890="","",'Employees'!F17)</f>
        <v/>
      </c>
    </row>
    <row r="2891">
      <c r="A2891">
        <f>IF(AND('Skill Matrix'!A186&lt;&gt;"",'Skill Matrix'!N5&lt;&gt;""),'Skill Matrix'!A186,"")</f>
        <v/>
      </c>
      <c r="B2891">
        <f>IF(A2891="","",'Employees'!C17)</f>
        <v/>
      </c>
      <c r="C2891">
        <f>IF(A2891="","",'Employees'!D17)</f>
        <v/>
      </c>
      <c r="D2891">
        <f>IF(A2891="","",'Skill Matrix'!C186)</f>
        <v/>
      </c>
      <c r="E2891">
        <f>IF(A2891="","",'Skill Matrix'!D186)</f>
        <v/>
      </c>
      <c r="F2891">
        <f>IF(AND('Skill Matrix'!A186&lt;&gt;"",'Skill Matrix'!N5&lt;&gt;""),'Skill Matrix'!N5,"")</f>
        <v/>
      </c>
      <c r="G2891">
        <f>IF(OR(A2891="",'Skill Matrix'!N186=""),"",'Skill Matrix'!N186)</f>
        <v/>
      </c>
      <c r="H2891">
        <f>IF(A2891="","",'Employees'!F17)</f>
        <v/>
      </c>
    </row>
    <row r="2892">
      <c r="A2892">
        <f>IF(AND('Skill Matrix'!A186&lt;&gt;"",'Skill Matrix'!O5&lt;&gt;""),'Skill Matrix'!A186,"")</f>
        <v/>
      </c>
      <c r="B2892">
        <f>IF(A2892="","",'Employees'!C17)</f>
        <v/>
      </c>
      <c r="C2892">
        <f>IF(A2892="","",'Employees'!D17)</f>
        <v/>
      </c>
      <c r="D2892">
        <f>IF(A2892="","",'Skill Matrix'!C186)</f>
        <v/>
      </c>
      <c r="E2892">
        <f>IF(A2892="","",'Skill Matrix'!D186)</f>
        <v/>
      </c>
      <c r="F2892">
        <f>IF(AND('Skill Matrix'!A186&lt;&gt;"",'Skill Matrix'!O5&lt;&gt;""),'Skill Matrix'!O5,"")</f>
        <v/>
      </c>
      <c r="G2892">
        <f>IF(OR(A2892="",'Skill Matrix'!O186=""),"",'Skill Matrix'!O186)</f>
        <v/>
      </c>
      <c r="H2892">
        <f>IF(A2892="","",'Employees'!F17)</f>
        <v/>
      </c>
    </row>
    <row r="2893">
      <c r="A2893">
        <f>IF(AND('Skill Matrix'!A186&lt;&gt;"",'Skill Matrix'!P5&lt;&gt;""),'Skill Matrix'!A186,"")</f>
        <v/>
      </c>
      <c r="B2893">
        <f>IF(A2893="","",'Employees'!C17)</f>
        <v/>
      </c>
      <c r="C2893">
        <f>IF(A2893="","",'Employees'!D17)</f>
        <v/>
      </c>
      <c r="D2893">
        <f>IF(A2893="","",'Skill Matrix'!C186)</f>
        <v/>
      </c>
      <c r="E2893">
        <f>IF(A2893="","",'Skill Matrix'!D186)</f>
        <v/>
      </c>
      <c r="F2893">
        <f>IF(AND('Skill Matrix'!A186&lt;&gt;"",'Skill Matrix'!P5&lt;&gt;""),'Skill Matrix'!P5,"")</f>
        <v/>
      </c>
      <c r="G2893">
        <f>IF(OR(A2893="",'Skill Matrix'!P186=""),"",'Skill Matrix'!P186)</f>
        <v/>
      </c>
      <c r="H2893">
        <f>IF(A2893="","",'Employees'!F17)</f>
        <v/>
      </c>
    </row>
    <row r="2894">
      <c r="A2894">
        <f>IF(AND('Skill Matrix'!A186&lt;&gt;"",'Skill Matrix'!Q5&lt;&gt;""),'Skill Matrix'!A186,"")</f>
        <v/>
      </c>
      <c r="B2894">
        <f>IF(A2894="","",'Employees'!C17)</f>
        <v/>
      </c>
      <c r="C2894">
        <f>IF(A2894="","",'Employees'!D17)</f>
        <v/>
      </c>
      <c r="D2894">
        <f>IF(A2894="","",'Skill Matrix'!C186)</f>
        <v/>
      </c>
      <c r="E2894">
        <f>IF(A2894="","",'Skill Matrix'!D186)</f>
        <v/>
      </c>
      <c r="F2894">
        <f>IF(AND('Skill Matrix'!A186&lt;&gt;"",'Skill Matrix'!Q5&lt;&gt;""),'Skill Matrix'!Q5,"")</f>
        <v/>
      </c>
      <c r="G2894">
        <f>IF(OR(A2894="",'Skill Matrix'!Q186=""),"",'Skill Matrix'!Q186)</f>
        <v/>
      </c>
      <c r="H2894">
        <f>IF(A2894="","",'Employees'!F17)</f>
        <v/>
      </c>
    </row>
    <row r="2895">
      <c r="A2895">
        <f>IF(AND('Skill Matrix'!A186&lt;&gt;"",'Skill Matrix'!R5&lt;&gt;""),'Skill Matrix'!A186,"")</f>
        <v/>
      </c>
      <c r="B2895">
        <f>IF(A2895="","",'Employees'!C17)</f>
        <v/>
      </c>
      <c r="C2895">
        <f>IF(A2895="","",'Employees'!D17)</f>
        <v/>
      </c>
      <c r="D2895">
        <f>IF(A2895="","",'Skill Matrix'!C186)</f>
        <v/>
      </c>
      <c r="E2895">
        <f>IF(A2895="","",'Skill Matrix'!D186)</f>
        <v/>
      </c>
      <c r="F2895">
        <f>IF(AND('Skill Matrix'!A186&lt;&gt;"",'Skill Matrix'!R5&lt;&gt;""),'Skill Matrix'!R5,"")</f>
        <v/>
      </c>
      <c r="G2895">
        <f>IF(OR(A2895="",'Skill Matrix'!R186=""),"",'Skill Matrix'!R186)</f>
        <v/>
      </c>
      <c r="H2895">
        <f>IF(A2895="","",'Employees'!F17)</f>
        <v/>
      </c>
    </row>
    <row r="2896">
      <c r="A2896">
        <f>IF(AND('Skill Matrix'!A186&lt;&gt;"",'Skill Matrix'!S5&lt;&gt;""),'Skill Matrix'!A186,"")</f>
        <v/>
      </c>
      <c r="B2896">
        <f>IF(A2896="","",'Employees'!C17)</f>
        <v/>
      </c>
      <c r="C2896">
        <f>IF(A2896="","",'Employees'!D17)</f>
        <v/>
      </c>
      <c r="D2896">
        <f>IF(A2896="","",'Skill Matrix'!C186)</f>
        <v/>
      </c>
      <c r="E2896">
        <f>IF(A2896="","",'Skill Matrix'!D186)</f>
        <v/>
      </c>
      <c r="F2896">
        <f>IF(AND('Skill Matrix'!A186&lt;&gt;"",'Skill Matrix'!S5&lt;&gt;""),'Skill Matrix'!S5,"")</f>
        <v/>
      </c>
      <c r="G2896">
        <f>IF(OR(A2896="",'Skill Matrix'!S186=""),"",'Skill Matrix'!S186)</f>
        <v/>
      </c>
      <c r="H2896">
        <f>IF(A2896="","",'Employees'!F17)</f>
        <v/>
      </c>
    </row>
    <row r="2897">
      <c r="A2897">
        <f>IF(AND('Skill Matrix'!A186&lt;&gt;"",'Skill Matrix'!T5&lt;&gt;""),'Skill Matrix'!A186,"")</f>
        <v/>
      </c>
      <c r="B2897">
        <f>IF(A2897="","",'Employees'!C17)</f>
        <v/>
      </c>
      <c r="C2897">
        <f>IF(A2897="","",'Employees'!D17)</f>
        <v/>
      </c>
      <c r="D2897">
        <f>IF(A2897="","",'Skill Matrix'!C186)</f>
        <v/>
      </c>
      <c r="E2897">
        <f>IF(A2897="","",'Skill Matrix'!D186)</f>
        <v/>
      </c>
      <c r="F2897">
        <f>IF(AND('Skill Matrix'!A186&lt;&gt;"",'Skill Matrix'!T5&lt;&gt;""),'Skill Matrix'!T5,"")</f>
        <v/>
      </c>
      <c r="G2897">
        <f>IF(OR(A2897="",'Skill Matrix'!T186=""),"",'Skill Matrix'!T186)</f>
        <v/>
      </c>
      <c r="H2897">
        <f>IF(A2897="","",'Employees'!F17)</f>
        <v/>
      </c>
    </row>
    <row r="2898">
      <c r="A2898">
        <f>IF(AND('Skill Matrix'!A187&lt;&gt;"",'Skill Matrix'!E5&lt;&gt;""),'Skill Matrix'!A187,"")</f>
        <v/>
      </c>
      <c r="B2898">
        <f>IF(A2898="","",'Employees'!C17)</f>
        <v/>
      </c>
      <c r="C2898">
        <f>IF(A2898="","",'Employees'!D17)</f>
        <v/>
      </c>
      <c r="D2898">
        <f>IF(A2898="","",'Skill Matrix'!C187)</f>
        <v/>
      </c>
      <c r="E2898">
        <f>IF(A2898="","",'Skill Matrix'!D187)</f>
        <v/>
      </c>
      <c r="F2898">
        <f>IF(AND('Skill Matrix'!A187&lt;&gt;"",'Skill Matrix'!E5&lt;&gt;""),'Skill Matrix'!E5,"")</f>
        <v/>
      </c>
      <c r="G2898">
        <f>IF(OR(A2898="",'Skill Matrix'!E187=""),"",'Skill Matrix'!E187)</f>
        <v/>
      </c>
      <c r="H2898">
        <f>IF(A2898="","",'Employees'!F17)</f>
        <v/>
      </c>
    </row>
    <row r="2899">
      <c r="A2899">
        <f>IF(AND('Skill Matrix'!A187&lt;&gt;"",'Skill Matrix'!F5&lt;&gt;""),'Skill Matrix'!A187,"")</f>
        <v/>
      </c>
      <c r="B2899">
        <f>IF(A2899="","",'Employees'!C17)</f>
        <v/>
      </c>
      <c r="C2899">
        <f>IF(A2899="","",'Employees'!D17)</f>
        <v/>
      </c>
      <c r="D2899">
        <f>IF(A2899="","",'Skill Matrix'!C187)</f>
        <v/>
      </c>
      <c r="E2899">
        <f>IF(A2899="","",'Skill Matrix'!D187)</f>
        <v/>
      </c>
      <c r="F2899">
        <f>IF(AND('Skill Matrix'!A187&lt;&gt;"",'Skill Matrix'!F5&lt;&gt;""),'Skill Matrix'!F5,"")</f>
        <v/>
      </c>
      <c r="G2899">
        <f>IF(OR(A2899="",'Skill Matrix'!F187=""),"",'Skill Matrix'!F187)</f>
        <v/>
      </c>
      <c r="H2899">
        <f>IF(A2899="","",'Employees'!F17)</f>
        <v/>
      </c>
    </row>
    <row r="2900">
      <c r="A2900">
        <f>IF(AND('Skill Matrix'!A187&lt;&gt;"",'Skill Matrix'!G5&lt;&gt;""),'Skill Matrix'!A187,"")</f>
        <v/>
      </c>
      <c r="B2900">
        <f>IF(A2900="","",'Employees'!C17)</f>
        <v/>
      </c>
      <c r="C2900">
        <f>IF(A2900="","",'Employees'!D17)</f>
        <v/>
      </c>
      <c r="D2900">
        <f>IF(A2900="","",'Skill Matrix'!C187)</f>
        <v/>
      </c>
      <c r="E2900">
        <f>IF(A2900="","",'Skill Matrix'!D187)</f>
        <v/>
      </c>
      <c r="F2900">
        <f>IF(AND('Skill Matrix'!A187&lt;&gt;"",'Skill Matrix'!G5&lt;&gt;""),'Skill Matrix'!G5,"")</f>
        <v/>
      </c>
      <c r="G2900">
        <f>IF(OR(A2900="",'Skill Matrix'!G187=""),"",'Skill Matrix'!G187)</f>
        <v/>
      </c>
      <c r="H2900">
        <f>IF(A2900="","",'Employees'!F17)</f>
        <v/>
      </c>
    </row>
    <row r="2901">
      <c r="A2901">
        <f>IF(AND('Skill Matrix'!A187&lt;&gt;"",'Skill Matrix'!H5&lt;&gt;""),'Skill Matrix'!A187,"")</f>
        <v/>
      </c>
      <c r="B2901">
        <f>IF(A2901="","",'Employees'!C17)</f>
        <v/>
      </c>
      <c r="C2901">
        <f>IF(A2901="","",'Employees'!D17)</f>
        <v/>
      </c>
      <c r="D2901">
        <f>IF(A2901="","",'Skill Matrix'!C187)</f>
        <v/>
      </c>
      <c r="E2901">
        <f>IF(A2901="","",'Skill Matrix'!D187)</f>
        <v/>
      </c>
      <c r="F2901">
        <f>IF(AND('Skill Matrix'!A187&lt;&gt;"",'Skill Matrix'!H5&lt;&gt;""),'Skill Matrix'!H5,"")</f>
        <v/>
      </c>
      <c r="G2901">
        <f>IF(OR(A2901="",'Skill Matrix'!H187=""),"",'Skill Matrix'!H187)</f>
        <v/>
      </c>
      <c r="H2901">
        <f>IF(A2901="","",'Employees'!F17)</f>
        <v/>
      </c>
    </row>
    <row r="2902">
      <c r="A2902">
        <f>IF(AND('Skill Matrix'!A187&lt;&gt;"",'Skill Matrix'!I5&lt;&gt;""),'Skill Matrix'!A187,"")</f>
        <v/>
      </c>
      <c r="B2902">
        <f>IF(A2902="","",'Employees'!C17)</f>
        <v/>
      </c>
      <c r="C2902">
        <f>IF(A2902="","",'Employees'!D17)</f>
        <v/>
      </c>
      <c r="D2902">
        <f>IF(A2902="","",'Skill Matrix'!C187)</f>
        <v/>
      </c>
      <c r="E2902">
        <f>IF(A2902="","",'Skill Matrix'!D187)</f>
        <v/>
      </c>
      <c r="F2902">
        <f>IF(AND('Skill Matrix'!A187&lt;&gt;"",'Skill Matrix'!I5&lt;&gt;""),'Skill Matrix'!I5,"")</f>
        <v/>
      </c>
      <c r="G2902">
        <f>IF(OR(A2902="",'Skill Matrix'!I187=""),"",'Skill Matrix'!I187)</f>
        <v/>
      </c>
      <c r="H2902">
        <f>IF(A2902="","",'Employees'!F17)</f>
        <v/>
      </c>
    </row>
    <row r="2903">
      <c r="A2903">
        <f>IF(AND('Skill Matrix'!A187&lt;&gt;"",'Skill Matrix'!J5&lt;&gt;""),'Skill Matrix'!A187,"")</f>
        <v/>
      </c>
      <c r="B2903">
        <f>IF(A2903="","",'Employees'!C17)</f>
        <v/>
      </c>
      <c r="C2903">
        <f>IF(A2903="","",'Employees'!D17)</f>
        <v/>
      </c>
      <c r="D2903">
        <f>IF(A2903="","",'Skill Matrix'!C187)</f>
        <v/>
      </c>
      <c r="E2903">
        <f>IF(A2903="","",'Skill Matrix'!D187)</f>
        <v/>
      </c>
      <c r="F2903">
        <f>IF(AND('Skill Matrix'!A187&lt;&gt;"",'Skill Matrix'!J5&lt;&gt;""),'Skill Matrix'!J5,"")</f>
        <v/>
      </c>
      <c r="G2903">
        <f>IF(OR(A2903="",'Skill Matrix'!J187=""),"",'Skill Matrix'!J187)</f>
        <v/>
      </c>
      <c r="H2903">
        <f>IF(A2903="","",'Employees'!F17)</f>
        <v/>
      </c>
    </row>
    <row r="2904">
      <c r="A2904">
        <f>IF(AND('Skill Matrix'!A187&lt;&gt;"",'Skill Matrix'!K5&lt;&gt;""),'Skill Matrix'!A187,"")</f>
        <v/>
      </c>
      <c r="B2904">
        <f>IF(A2904="","",'Employees'!C17)</f>
        <v/>
      </c>
      <c r="C2904">
        <f>IF(A2904="","",'Employees'!D17)</f>
        <v/>
      </c>
      <c r="D2904">
        <f>IF(A2904="","",'Skill Matrix'!C187)</f>
        <v/>
      </c>
      <c r="E2904">
        <f>IF(A2904="","",'Skill Matrix'!D187)</f>
        <v/>
      </c>
      <c r="F2904">
        <f>IF(AND('Skill Matrix'!A187&lt;&gt;"",'Skill Matrix'!K5&lt;&gt;""),'Skill Matrix'!K5,"")</f>
        <v/>
      </c>
      <c r="G2904">
        <f>IF(OR(A2904="",'Skill Matrix'!K187=""),"",'Skill Matrix'!K187)</f>
        <v/>
      </c>
      <c r="H2904">
        <f>IF(A2904="","",'Employees'!F17)</f>
        <v/>
      </c>
    </row>
    <row r="2905">
      <c r="A2905">
        <f>IF(AND('Skill Matrix'!A187&lt;&gt;"",'Skill Matrix'!L5&lt;&gt;""),'Skill Matrix'!A187,"")</f>
        <v/>
      </c>
      <c r="B2905">
        <f>IF(A2905="","",'Employees'!C17)</f>
        <v/>
      </c>
      <c r="C2905">
        <f>IF(A2905="","",'Employees'!D17)</f>
        <v/>
      </c>
      <c r="D2905">
        <f>IF(A2905="","",'Skill Matrix'!C187)</f>
        <v/>
      </c>
      <c r="E2905">
        <f>IF(A2905="","",'Skill Matrix'!D187)</f>
        <v/>
      </c>
      <c r="F2905">
        <f>IF(AND('Skill Matrix'!A187&lt;&gt;"",'Skill Matrix'!L5&lt;&gt;""),'Skill Matrix'!L5,"")</f>
        <v/>
      </c>
      <c r="G2905">
        <f>IF(OR(A2905="",'Skill Matrix'!L187=""),"",'Skill Matrix'!L187)</f>
        <v/>
      </c>
      <c r="H2905">
        <f>IF(A2905="","",'Employees'!F17)</f>
        <v/>
      </c>
    </row>
    <row r="2906">
      <c r="A2906">
        <f>IF(AND('Skill Matrix'!A187&lt;&gt;"",'Skill Matrix'!M5&lt;&gt;""),'Skill Matrix'!A187,"")</f>
        <v/>
      </c>
      <c r="B2906">
        <f>IF(A2906="","",'Employees'!C17)</f>
        <v/>
      </c>
      <c r="C2906">
        <f>IF(A2906="","",'Employees'!D17)</f>
        <v/>
      </c>
      <c r="D2906">
        <f>IF(A2906="","",'Skill Matrix'!C187)</f>
        <v/>
      </c>
      <c r="E2906">
        <f>IF(A2906="","",'Skill Matrix'!D187)</f>
        <v/>
      </c>
      <c r="F2906">
        <f>IF(AND('Skill Matrix'!A187&lt;&gt;"",'Skill Matrix'!M5&lt;&gt;""),'Skill Matrix'!M5,"")</f>
        <v/>
      </c>
      <c r="G2906">
        <f>IF(OR(A2906="",'Skill Matrix'!M187=""),"",'Skill Matrix'!M187)</f>
        <v/>
      </c>
      <c r="H2906">
        <f>IF(A2906="","",'Employees'!F17)</f>
        <v/>
      </c>
    </row>
    <row r="2907">
      <c r="A2907">
        <f>IF(AND('Skill Matrix'!A187&lt;&gt;"",'Skill Matrix'!N5&lt;&gt;""),'Skill Matrix'!A187,"")</f>
        <v/>
      </c>
      <c r="B2907">
        <f>IF(A2907="","",'Employees'!C17)</f>
        <v/>
      </c>
      <c r="C2907">
        <f>IF(A2907="","",'Employees'!D17)</f>
        <v/>
      </c>
      <c r="D2907">
        <f>IF(A2907="","",'Skill Matrix'!C187)</f>
        <v/>
      </c>
      <c r="E2907">
        <f>IF(A2907="","",'Skill Matrix'!D187)</f>
        <v/>
      </c>
      <c r="F2907">
        <f>IF(AND('Skill Matrix'!A187&lt;&gt;"",'Skill Matrix'!N5&lt;&gt;""),'Skill Matrix'!N5,"")</f>
        <v/>
      </c>
      <c r="G2907">
        <f>IF(OR(A2907="",'Skill Matrix'!N187=""),"",'Skill Matrix'!N187)</f>
        <v/>
      </c>
      <c r="H2907">
        <f>IF(A2907="","",'Employees'!F17)</f>
        <v/>
      </c>
    </row>
    <row r="2908">
      <c r="A2908">
        <f>IF(AND('Skill Matrix'!A187&lt;&gt;"",'Skill Matrix'!O5&lt;&gt;""),'Skill Matrix'!A187,"")</f>
        <v/>
      </c>
      <c r="B2908">
        <f>IF(A2908="","",'Employees'!C17)</f>
        <v/>
      </c>
      <c r="C2908">
        <f>IF(A2908="","",'Employees'!D17)</f>
        <v/>
      </c>
      <c r="D2908">
        <f>IF(A2908="","",'Skill Matrix'!C187)</f>
        <v/>
      </c>
      <c r="E2908">
        <f>IF(A2908="","",'Skill Matrix'!D187)</f>
        <v/>
      </c>
      <c r="F2908">
        <f>IF(AND('Skill Matrix'!A187&lt;&gt;"",'Skill Matrix'!O5&lt;&gt;""),'Skill Matrix'!O5,"")</f>
        <v/>
      </c>
      <c r="G2908">
        <f>IF(OR(A2908="",'Skill Matrix'!O187=""),"",'Skill Matrix'!O187)</f>
        <v/>
      </c>
      <c r="H2908">
        <f>IF(A2908="","",'Employees'!F17)</f>
        <v/>
      </c>
    </row>
    <row r="2909">
      <c r="A2909">
        <f>IF(AND('Skill Matrix'!A187&lt;&gt;"",'Skill Matrix'!P5&lt;&gt;""),'Skill Matrix'!A187,"")</f>
        <v/>
      </c>
      <c r="B2909">
        <f>IF(A2909="","",'Employees'!C17)</f>
        <v/>
      </c>
      <c r="C2909">
        <f>IF(A2909="","",'Employees'!D17)</f>
        <v/>
      </c>
      <c r="D2909">
        <f>IF(A2909="","",'Skill Matrix'!C187)</f>
        <v/>
      </c>
      <c r="E2909">
        <f>IF(A2909="","",'Skill Matrix'!D187)</f>
        <v/>
      </c>
      <c r="F2909">
        <f>IF(AND('Skill Matrix'!A187&lt;&gt;"",'Skill Matrix'!P5&lt;&gt;""),'Skill Matrix'!P5,"")</f>
        <v/>
      </c>
      <c r="G2909">
        <f>IF(OR(A2909="",'Skill Matrix'!P187=""),"",'Skill Matrix'!P187)</f>
        <v/>
      </c>
      <c r="H2909">
        <f>IF(A2909="","",'Employees'!F17)</f>
        <v/>
      </c>
    </row>
    <row r="2910">
      <c r="A2910">
        <f>IF(AND('Skill Matrix'!A187&lt;&gt;"",'Skill Matrix'!Q5&lt;&gt;""),'Skill Matrix'!A187,"")</f>
        <v/>
      </c>
      <c r="B2910">
        <f>IF(A2910="","",'Employees'!C17)</f>
        <v/>
      </c>
      <c r="C2910">
        <f>IF(A2910="","",'Employees'!D17)</f>
        <v/>
      </c>
      <c r="D2910">
        <f>IF(A2910="","",'Skill Matrix'!C187)</f>
        <v/>
      </c>
      <c r="E2910">
        <f>IF(A2910="","",'Skill Matrix'!D187)</f>
        <v/>
      </c>
      <c r="F2910">
        <f>IF(AND('Skill Matrix'!A187&lt;&gt;"",'Skill Matrix'!Q5&lt;&gt;""),'Skill Matrix'!Q5,"")</f>
        <v/>
      </c>
      <c r="G2910">
        <f>IF(OR(A2910="",'Skill Matrix'!Q187=""),"",'Skill Matrix'!Q187)</f>
        <v/>
      </c>
      <c r="H2910">
        <f>IF(A2910="","",'Employees'!F17)</f>
        <v/>
      </c>
    </row>
    <row r="2911">
      <c r="A2911">
        <f>IF(AND('Skill Matrix'!A187&lt;&gt;"",'Skill Matrix'!R5&lt;&gt;""),'Skill Matrix'!A187,"")</f>
        <v/>
      </c>
      <c r="B2911">
        <f>IF(A2911="","",'Employees'!C17)</f>
        <v/>
      </c>
      <c r="C2911">
        <f>IF(A2911="","",'Employees'!D17)</f>
        <v/>
      </c>
      <c r="D2911">
        <f>IF(A2911="","",'Skill Matrix'!C187)</f>
        <v/>
      </c>
      <c r="E2911">
        <f>IF(A2911="","",'Skill Matrix'!D187)</f>
        <v/>
      </c>
      <c r="F2911">
        <f>IF(AND('Skill Matrix'!A187&lt;&gt;"",'Skill Matrix'!R5&lt;&gt;""),'Skill Matrix'!R5,"")</f>
        <v/>
      </c>
      <c r="G2911">
        <f>IF(OR(A2911="",'Skill Matrix'!R187=""),"",'Skill Matrix'!R187)</f>
        <v/>
      </c>
      <c r="H2911">
        <f>IF(A2911="","",'Employees'!F17)</f>
        <v/>
      </c>
    </row>
    <row r="2912">
      <c r="A2912">
        <f>IF(AND('Skill Matrix'!A187&lt;&gt;"",'Skill Matrix'!S5&lt;&gt;""),'Skill Matrix'!A187,"")</f>
        <v/>
      </c>
      <c r="B2912">
        <f>IF(A2912="","",'Employees'!C17)</f>
        <v/>
      </c>
      <c r="C2912">
        <f>IF(A2912="","",'Employees'!D17)</f>
        <v/>
      </c>
      <c r="D2912">
        <f>IF(A2912="","",'Skill Matrix'!C187)</f>
        <v/>
      </c>
      <c r="E2912">
        <f>IF(A2912="","",'Skill Matrix'!D187)</f>
        <v/>
      </c>
      <c r="F2912">
        <f>IF(AND('Skill Matrix'!A187&lt;&gt;"",'Skill Matrix'!S5&lt;&gt;""),'Skill Matrix'!S5,"")</f>
        <v/>
      </c>
      <c r="G2912">
        <f>IF(OR(A2912="",'Skill Matrix'!S187=""),"",'Skill Matrix'!S187)</f>
        <v/>
      </c>
      <c r="H2912">
        <f>IF(A2912="","",'Employees'!F17)</f>
        <v/>
      </c>
    </row>
    <row r="2913">
      <c r="A2913">
        <f>IF(AND('Skill Matrix'!A187&lt;&gt;"",'Skill Matrix'!T5&lt;&gt;""),'Skill Matrix'!A187,"")</f>
        <v/>
      </c>
      <c r="B2913">
        <f>IF(A2913="","",'Employees'!C17)</f>
        <v/>
      </c>
      <c r="C2913">
        <f>IF(A2913="","",'Employees'!D17)</f>
        <v/>
      </c>
      <c r="D2913">
        <f>IF(A2913="","",'Skill Matrix'!C187)</f>
        <v/>
      </c>
      <c r="E2913">
        <f>IF(A2913="","",'Skill Matrix'!D187)</f>
        <v/>
      </c>
      <c r="F2913">
        <f>IF(AND('Skill Matrix'!A187&lt;&gt;"",'Skill Matrix'!T5&lt;&gt;""),'Skill Matrix'!T5,"")</f>
        <v/>
      </c>
      <c r="G2913">
        <f>IF(OR(A2913="",'Skill Matrix'!T187=""),"",'Skill Matrix'!T187)</f>
        <v/>
      </c>
      <c r="H2913">
        <f>IF(A2913="","",'Employees'!F17)</f>
        <v/>
      </c>
    </row>
    <row r="2914">
      <c r="A2914">
        <f>IF(AND('Skill Matrix'!A188&lt;&gt;"",'Skill Matrix'!E5&lt;&gt;""),'Skill Matrix'!A188,"")</f>
        <v/>
      </c>
      <c r="B2914">
        <f>IF(A2914="","",'Employees'!C17)</f>
        <v/>
      </c>
      <c r="C2914">
        <f>IF(A2914="","",'Employees'!D17)</f>
        <v/>
      </c>
      <c r="D2914">
        <f>IF(A2914="","",'Skill Matrix'!C188)</f>
        <v/>
      </c>
      <c r="E2914">
        <f>IF(A2914="","",'Skill Matrix'!D188)</f>
        <v/>
      </c>
      <c r="F2914">
        <f>IF(AND('Skill Matrix'!A188&lt;&gt;"",'Skill Matrix'!E5&lt;&gt;""),'Skill Matrix'!E5,"")</f>
        <v/>
      </c>
      <c r="G2914">
        <f>IF(OR(A2914="",'Skill Matrix'!E188=""),"",'Skill Matrix'!E188)</f>
        <v/>
      </c>
      <c r="H2914">
        <f>IF(A2914="","",'Employees'!F17)</f>
        <v/>
      </c>
    </row>
    <row r="2915">
      <c r="A2915">
        <f>IF(AND('Skill Matrix'!A188&lt;&gt;"",'Skill Matrix'!F5&lt;&gt;""),'Skill Matrix'!A188,"")</f>
        <v/>
      </c>
      <c r="B2915">
        <f>IF(A2915="","",'Employees'!C17)</f>
        <v/>
      </c>
      <c r="C2915">
        <f>IF(A2915="","",'Employees'!D17)</f>
        <v/>
      </c>
      <c r="D2915">
        <f>IF(A2915="","",'Skill Matrix'!C188)</f>
        <v/>
      </c>
      <c r="E2915">
        <f>IF(A2915="","",'Skill Matrix'!D188)</f>
        <v/>
      </c>
      <c r="F2915">
        <f>IF(AND('Skill Matrix'!A188&lt;&gt;"",'Skill Matrix'!F5&lt;&gt;""),'Skill Matrix'!F5,"")</f>
        <v/>
      </c>
      <c r="G2915">
        <f>IF(OR(A2915="",'Skill Matrix'!F188=""),"",'Skill Matrix'!F188)</f>
        <v/>
      </c>
      <c r="H2915">
        <f>IF(A2915="","",'Employees'!F17)</f>
        <v/>
      </c>
    </row>
    <row r="2916">
      <c r="A2916">
        <f>IF(AND('Skill Matrix'!A188&lt;&gt;"",'Skill Matrix'!G5&lt;&gt;""),'Skill Matrix'!A188,"")</f>
        <v/>
      </c>
      <c r="B2916">
        <f>IF(A2916="","",'Employees'!C17)</f>
        <v/>
      </c>
      <c r="C2916">
        <f>IF(A2916="","",'Employees'!D17)</f>
        <v/>
      </c>
      <c r="D2916">
        <f>IF(A2916="","",'Skill Matrix'!C188)</f>
        <v/>
      </c>
      <c r="E2916">
        <f>IF(A2916="","",'Skill Matrix'!D188)</f>
        <v/>
      </c>
      <c r="F2916">
        <f>IF(AND('Skill Matrix'!A188&lt;&gt;"",'Skill Matrix'!G5&lt;&gt;""),'Skill Matrix'!G5,"")</f>
        <v/>
      </c>
      <c r="G2916">
        <f>IF(OR(A2916="",'Skill Matrix'!G188=""),"",'Skill Matrix'!G188)</f>
        <v/>
      </c>
      <c r="H2916">
        <f>IF(A2916="","",'Employees'!F17)</f>
        <v/>
      </c>
    </row>
    <row r="2917">
      <c r="A2917">
        <f>IF(AND('Skill Matrix'!A188&lt;&gt;"",'Skill Matrix'!H5&lt;&gt;""),'Skill Matrix'!A188,"")</f>
        <v/>
      </c>
      <c r="B2917">
        <f>IF(A2917="","",'Employees'!C17)</f>
        <v/>
      </c>
      <c r="C2917">
        <f>IF(A2917="","",'Employees'!D17)</f>
        <v/>
      </c>
      <c r="D2917">
        <f>IF(A2917="","",'Skill Matrix'!C188)</f>
        <v/>
      </c>
      <c r="E2917">
        <f>IF(A2917="","",'Skill Matrix'!D188)</f>
        <v/>
      </c>
      <c r="F2917">
        <f>IF(AND('Skill Matrix'!A188&lt;&gt;"",'Skill Matrix'!H5&lt;&gt;""),'Skill Matrix'!H5,"")</f>
        <v/>
      </c>
      <c r="G2917">
        <f>IF(OR(A2917="",'Skill Matrix'!H188=""),"",'Skill Matrix'!H188)</f>
        <v/>
      </c>
      <c r="H2917">
        <f>IF(A2917="","",'Employees'!F17)</f>
        <v/>
      </c>
    </row>
    <row r="2918">
      <c r="A2918">
        <f>IF(AND('Skill Matrix'!A188&lt;&gt;"",'Skill Matrix'!I5&lt;&gt;""),'Skill Matrix'!A188,"")</f>
        <v/>
      </c>
      <c r="B2918">
        <f>IF(A2918="","",'Employees'!C17)</f>
        <v/>
      </c>
      <c r="C2918">
        <f>IF(A2918="","",'Employees'!D17)</f>
        <v/>
      </c>
      <c r="D2918">
        <f>IF(A2918="","",'Skill Matrix'!C188)</f>
        <v/>
      </c>
      <c r="E2918">
        <f>IF(A2918="","",'Skill Matrix'!D188)</f>
        <v/>
      </c>
      <c r="F2918">
        <f>IF(AND('Skill Matrix'!A188&lt;&gt;"",'Skill Matrix'!I5&lt;&gt;""),'Skill Matrix'!I5,"")</f>
        <v/>
      </c>
      <c r="G2918">
        <f>IF(OR(A2918="",'Skill Matrix'!I188=""),"",'Skill Matrix'!I188)</f>
        <v/>
      </c>
      <c r="H2918">
        <f>IF(A2918="","",'Employees'!F17)</f>
        <v/>
      </c>
    </row>
    <row r="2919">
      <c r="A2919">
        <f>IF(AND('Skill Matrix'!A188&lt;&gt;"",'Skill Matrix'!J5&lt;&gt;""),'Skill Matrix'!A188,"")</f>
        <v/>
      </c>
      <c r="B2919">
        <f>IF(A2919="","",'Employees'!C17)</f>
        <v/>
      </c>
      <c r="C2919">
        <f>IF(A2919="","",'Employees'!D17)</f>
        <v/>
      </c>
      <c r="D2919">
        <f>IF(A2919="","",'Skill Matrix'!C188)</f>
        <v/>
      </c>
      <c r="E2919">
        <f>IF(A2919="","",'Skill Matrix'!D188)</f>
        <v/>
      </c>
      <c r="F2919">
        <f>IF(AND('Skill Matrix'!A188&lt;&gt;"",'Skill Matrix'!J5&lt;&gt;""),'Skill Matrix'!J5,"")</f>
        <v/>
      </c>
      <c r="G2919">
        <f>IF(OR(A2919="",'Skill Matrix'!J188=""),"",'Skill Matrix'!J188)</f>
        <v/>
      </c>
      <c r="H2919">
        <f>IF(A2919="","",'Employees'!F17)</f>
        <v/>
      </c>
    </row>
    <row r="2920">
      <c r="A2920">
        <f>IF(AND('Skill Matrix'!A188&lt;&gt;"",'Skill Matrix'!K5&lt;&gt;""),'Skill Matrix'!A188,"")</f>
        <v/>
      </c>
      <c r="B2920">
        <f>IF(A2920="","",'Employees'!C17)</f>
        <v/>
      </c>
      <c r="C2920">
        <f>IF(A2920="","",'Employees'!D17)</f>
        <v/>
      </c>
      <c r="D2920">
        <f>IF(A2920="","",'Skill Matrix'!C188)</f>
        <v/>
      </c>
      <c r="E2920">
        <f>IF(A2920="","",'Skill Matrix'!D188)</f>
        <v/>
      </c>
      <c r="F2920">
        <f>IF(AND('Skill Matrix'!A188&lt;&gt;"",'Skill Matrix'!K5&lt;&gt;""),'Skill Matrix'!K5,"")</f>
        <v/>
      </c>
      <c r="G2920">
        <f>IF(OR(A2920="",'Skill Matrix'!K188=""),"",'Skill Matrix'!K188)</f>
        <v/>
      </c>
      <c r="H2920">
        <f>IF(A2920="","",'Employees'!F17)</f>
        <v/>
      </c>
    </row>
    <row r="2921">
      <c r="A2921">
        <f>IF(AND('Skill Matrix'!A188&lt;&gt;"",'Skill Matrix'!L5&lt;&gt;""),'Skill Matrix'!A188,"")</f>
        <v/>
      </c>
      <c r="B2921">
        <f>IF(A2921="","",'Employees'!C17)</f>
        <v/>
      </c>
      <c r="C2921">
        <f>IF(A2921="","",'Employees'!D17)</f>
        <v/>
      </c>
      <c r="D2921">
        <f>IF(A2921="","",'Skill Matrix'!C188)</f>
        <v/>
      </c>
      <c r="E2921">
        <f>IF(A2921="","",'Skill Matrix'!D188)</f>
        <v/>
      </c>
      <c r="F2921">
        <f>IF(AND('Skill Matrix'!A188&lt;&gt;"",'Skill Matrix'!L5&lt;&gt;""),'Skill Matrix'!L5,"")</f>
        <v/>
      </c>
      <c r="G2921">
        <f>IF(OR(A2921="",'Skill Matrix'!L188=""),"",'Skill Matrix'!L188)</f>
        <v/>
      </c>
      <c r="H2921">
        <f>IF(A2921="","",'Employees'!F17)</f>
        <v/>
      </c>
    </row>
    <row r="2922">
      <c r="A2922">
        <f>IF(AND('Skill Matrix'!A188&lt;&gt;"",'Skill Matrix'!M5&lt;&gt;""),'Skill Matrix'!A188,"")</f>
        <v/>
      </c>
      <c r="B2922">
        <f>IF(A2922="","",'Employees'!C17)</f>
        <v/>
      </c>
      <c r="C2922">
        <f>IF(A2922="","",'Employees'!D17)</f>
        <v/>
      </c>
      <c r="D2922">
        <f>IF(A2922="","",'Skill Matrix'!C188)</f>
        <v/>
      </c>
      <c r="E2922">
        <f>IF(A2922="","",'Skill Matrix'!D188)</f>
        <v/>
      </c>
      <c r="F2922">
        <f>IF(AND('Skill Matrix'!A188&lt;&gt;"",'Skill Matrix'!M5&lt;&gt;""),'Skill Matrix'!M5,"")</f>
        <v/>
      </c>
      <c r="G2922">
        <f>IF(OR(A2922="",'Skill Matrix'!M188=""),"",'Skill Matrix'!M188)</f>
        <v/>
      </c>
      <c r="H2922">
        <f>IF(A2922="","",'Employees'!F17)</f>
        <v/>
      </c>
    </row>
    <row r="2923">
      <c r="A2923">
        <f>IF(AND('Skill Matrix'!A188&lt;&gt;"",'Skill Matrix'!N5&lt;&gt;""),'Skill Matrix'!A188,"")</f>
        <v/>
      </c>
      <c r="B2923">
        <f>IF(A2923="","",'Employees'!C17)</f>
        <v/>
      </c>
      <c r="C2923">
        <f>IF(A2923="","",'Employees'!D17)</f>
        <v/>
      </c>
      <c r="D2923">
        <f>IF(A2923="","",'Skill Matrix'!C188)</f>
        <v/>
      </c>
      <c r="E2923">
        <f>IF(A2923="","",'Skill Matrix'!D188)</f>
        <v/>
      </c>
      <c r="F2923">
        <f>IF(AND('Skill Matrix'!A188&lt;&gt;"",'Skill Matrix'!N5&lt;&gt;""),'Skill Matrix'!N5,"")</f>
        <v/>
      </c>
      <c r="G2923">
        <f>IF(OR(A2923="",'Skill Matrix'!N188=""),"",'Skill Matrix'!N188)</f>
        <v/>
      </c>
      <c r="H2923">
        <f>IF(A2923="","",'Employees'!F17)</f>
        <v/>
      </c>
    </row>
    <row r="2924">
      <c r="A2924">
        <f>IF(AND('Skill Matrix'!A188&lt;&gt;"",'Skill Matrix'!O5&lt;&gt;""),'Skill Matrix'!A188,"")</f>
        <v/>
      </c>
      <c r="B2924">
        <f>IF(A2924="","",'Employees'!C17)</f>
        <v/>
      </c>
      <c r="C2924">
        <f>IF(A2924="","",'Employees'!D17)</f>
        <v/>
      </c>
      <c r="D2924">
        <f>IF(A2924="","",'Skill Matrix'!C188)</f>
        <v/>
      </c>
      <c r="E2924">
        <f>IF(A2924="","",'Skill Matrix'!D188)</f>
        <v/>
      </c>
      <c r="F2924">
        <f>IF(AND('Skill Matrix'!A188&lt;&gt;"",'Skill Matrix'!O5&lt;&gt;""),'Skill Matrix'!O5,"")</f>
        <v/>
      </c>
      <c r="G2924">
        <f>IF(OR(A2924="",'Skill Matrix'!O188=""),"",'Skill Matrix'!O188)</f>
        <v/>
      </c>
      <c r="H2924">
        <f>IF(A2924="","",'Employees'!F17)</f>
        <v/>
      </c>
    </row>
    <row r="2925">
      <c r="A2925">
        <f>IF(AND('Skill Matrix'!A188&lt;&gt;"",'Skill Matrix'!P5&lt;&gt;""),'Skill Matrix'!A188,"")</f>
        <v/>
      </c>
      <c r="B2925">
        <f>IF(A2925="","",'Employees'!C17)</f>
        <v/>
      </c>
      <c r="C2925">
        <f>IF(A2925="","",'Employees'!D17)</f>
        <v/>
      </c>
      <c r="D2925">
        <f>IF(A2925="","",'Skill Matrix'!C188)</f>
        <v/>
      </c>
      <c r="E2925">
        <f>IF(A2925="","",'Skill Matrix'!D188)</f>
        <v/>
      </c>
      <c r="F2925">
        <f>IF(AND('Skill Matrix'!A188&lt;&gt;"",'Skill Matrix'!P5&lt;&gt;""),'Skill Matrix'!P5,"")</f>
        <v/>
      </c>
      <c r="G2925">
        <f>IF(OR(A2925="",'Skill Matrix'!P188=""),"",'Skill Matrix'!P188)</f>
        <v/>
      </c>
      <c r="H2925">
        <f>IF(A2925="","",'Employees'!F17)</f>
        <v/>
      </c>
    </row>
    <row r="2926">
      <c r="A2926">
        <f>IF(AND('Skill Matrix'!A188&lt;&gt;"",'Skill Matrix'!Q5&lt;&gt;""),'Skill Matrix'!A188,"")</f>
        <v/>
      </c>
      <c r="B2926">
        <f>IF(A2926="","",'Employees'!C17)</f>
        <v/>
      </c>
      <c r="C2926">
        <f>IF(A2926="","",'Employees'!D17)</f>
        <v/>
      </c>
      <c r="D2926">
        <f>IF(A2926="","",'Skill Matrix'!C188)</f>
        <v/>
      </c>
      <c r="E2926">
        <f>IF(A2926="","",'Skill Matrix'!D188)</f>
        <v/>
      </c>
      <c r="F2926">
        <f>IF(AND('Skill Matrix'!A188&lt;&gt;"",'Skill Matrix'!Q5&lt;&gt;""),'Skill Matrix'!Q5,"")</f>
        <v/>
      </c>
      <c r="G2926">
        <f>IF(OR(A2926="",'Skill Matrix'!Q188=""),"",'Skill Matrix'!Q188)</f>
        <v/>
      </c>
      <c r="H2926">
        <f>IF(A2926="","",'Employees'!F17)</f>
        <v/>
      </c>
    </row>
    <row r="2927">
      <c r="A2927">
        <f>IF(AND('Skill Matrix'!A188&lt;&gt;"",'Skill Matrix'!R5&lt;&gt;""),'Skill Matrix'!A188,"")</f>
        <v/>
      </c>
      <c r="B2927">
        <f>IF(A2927="","",'Employees'!C17)</f>
        <v/>
      </c>
      <c r="C2927">
        <f>IF(A2927="","",'Employees'!D17)</f>
        <v/>
      </c>
      <c r="D2927">
        <f>IF(A2927="","",'Skill Matrix'!C188)</f>
        <v/>
      </c>
      <c r="E2927">
        <f>IF(A2927="","",'Skill Matrix'!D188)</f>
        <v/>
      </c>
      <c r="F2927">
        <f>IF(AND('Skill Matrix'!A188&lt;&gt;"",'Skill Matrix'!R5&lt;&gt;""),'Skill Matrix'!R5,"")</f>
        <v/>
      </c>
      <c r="G2927">
        <f>IF(OR(A2927="",'Skill Matrix'!R188=""),"",'Skill Matrix'!R188)</f>
        <v/>
      </c>
      <c r="H2927">
        <f>IF(A2927="","",'Employees'!F17)</f>
        <v/>
      </c>
    </row>
    <row r="2928">
      <c r="A2928">
        <f>IF(AND('Skill Matrix'!A188&lt;&gt;"",'Skill Matrix'!S5&lt;&gt;""),'Skill Matrix'!A188,"")</f>
        <v/>
      </c>
      <c r="B2928">
        <f>IF(A2928="","",'Employees'!C17)</f>
        <v/>
      </c>
      <c r="C2928">
        <f>IF(A2928="","",'Employees'!D17)</f>
        <v/>
      </c>
      <c r="D2928">
        <f>IF(A2928="","",'Skill Matrix'!C188)</f>
        <v/>
      </c>
      <c r="E2928">
        <f>IF(A2928="","",'Skill Matrix'!D188)</f>
        <v/>
      </c>
      <c r="F2928">
        <f>IF(AND('Skill Matrix'!A188&lt;&gt;"",'Skill Matrix'!S5&lt;&gt;""),'Skill Matrix'!S5,"")</f>
        <v/>
      </c>
      <c r="G2928">
        <f>IF(OR(A2928="",'Skill Matrix'!S188=""),"",'Skill Matrix'!S188)</f>
        <v/>
      </c>
      <c r="H2928">
        <f>IF(A2928="","",'Employees'!F17)</f>
        <v/>
      </c>
    </row>
    <row r="2929">
      <c r="A2929">
        <f>IF(AND('Skill Matrix'!A188&lt;&gt;"",'Skill Matrix'!T5&lt;&gt;""),'Skill Matrix'!A188,"")</f>
        <v/>
      </c>
      <c r="B2929">
        <f>IF(A2929="","",'Employees'!C17)</f>
        <v/>
      </c>
      <c r="C2929">
        <f>IF(A2929="","",'Employees'!D17)</f>
        <v/>
      </c>
      <c r="D2929">
        <f>IF(A2929="","",'Skill Matrix'!C188)</f>
        <v/>
      </c>
      <c r="E2929">
        <f>IF(A2929="","",'Skill Matrix'!D188)</f>
        <v/>
      </c>
      <c r="F2929">
        <f>IF(AND('Skill Matrix'!A188&lt;&gt;"",'Skill Matrix'!T5&lt;&gt;""),'Skill Matrix'!T5,"")</f>
        <v/>
      </c>
      <c r="G2929">
        <f>IF(OR(A2929="",'Skill Matrix'!T188=""),"",'Skill Matrix'!T188)</f>
        <v/>
      </c>
      <c r="H2929">
        <f>IF(A2929="","",'Employees'!F17)</f>
        <v/>
      </c>
    </row>
    <row r="2930">
      <c r="A2930">
        <f>IF(AND('Skill Matrix'!A189&lt;&gt;"",'Skill Matrix'!E5&lt;&gt;""),'Skill Matrix'!A189,"")</f>
        <v/>
      </c>
      <c r="B2930">
        <f>IF(A2930="","",'Employees'!C17)</f>
        <v/>
      </c>
      <c r="C2930">
        <f>IF(A2930="","",'Employees'!D17)</f>
        <v/>
      </c>
      <c r="D2930">
        <f>IF(A2930="","",'Skill Matrix'!C189)</f>
        <v/>
      </c>
      <c r="E2930">
        <f>IF(A2930="","",'Skill Matrix'!D189)</f>
        <v/>
      </c>
      <c r="F2930">
        <f>IF(AND('Skill Matrix'!A189&lt;&gt;"",'Skill Matrix'!E5&lt;&gt;""),'Skill Matrix'!E5,"")</f>
        <v/>
      </c>
      <c r="G2930">
        <f>IF(OR(A2930="",'Skill Matrix'!E189=""),"",'Skill Matrix'!E189)</f>
        <v/>
      </c>
      <c r="H2930">
        <f>IF(A2930="","",'Employees'!F17)</f>
        <v/>
      </c>
    </row>
    <row r="2931">
      <c r="A2931">
        <f>IF(AND('Skill Matrix'!A189&lt;&gt;"",'Skill Matrix'!F5&lt;&gt;""),'Skill Matrix'!A189,"")</f>
        <v/>
      </c>
      <c r="B2931">
        <f>IF(A2931="","",'Employees'!C17)</f>
        <v/>
      </c>
      <c r="C2931">
        <f>IF(A2931="","",'Employees'!D17)</f>
        <v/>
      </c>
      <c r="D2931">
        <f>IF(A2931="","",'Skill Matrix'!C189)</f>
        <v/>
      </c>
      <c r="E2931">
        <f>IF(A2931="","",'Skill Matrix'!D189)</f>
        <v/>
      </c>
      <c r="F2931">
        <f>IF(AND('Skill Matrix'!A189&lt;&gt;"",'Skill Matrix'!F5&lt;&gt;""),'Skill Matrix'!F5,"")</f>
        <v/>
      </c>
      <c r="G2931">
        <f>IF(OR(A2931="",'Skill Matrix'!F189=""),"",'Skill Matrix'!F189)</f>
        <v/>
      </c>
      <c r="H2931">
        <f>IF(A2931="","",'Employees'!F17)</f>
        <v/>
      </c>
    </row>
    <row r="2932">
      <c r="A2932">
        <f>IF(AND('Skill Matrix'!A189&lt;&gt;"",'Skill Matrix'!G5&lt;&gt;""),'Skill Matrix'!A189,"")</f>
        <v/>
      </c>
      <c r="B2932">
        <f>IF(A2932="","",'Employees'!C17)</f>
        <v/>
      </c>
      <c r="C2932">
        <f>IF(A2932="","",'Employees'!D17)</f>
        <v/>
      </c>
      <c r="D2932">
        <f>IF(A2932="","",'Skill Matrix'!C189)</f>
        <v/>
      </c>
      <c r="E2932">
        <f>IF(A2932="","",'Skill Matrix'!D189)</f>
        <v/>
      </c>
      <c r="F2932">
        <f>IF(AND('Skill Matrix'!A189&lt;&gt;"",'Skill Matrix'!G5&lt;&gt;""),'Skill Matrix'!G5,"")</f>
        <v/>
      </c>
      <c r="G2932">
        <f>IF(OR(A2932="",'Skill Matrix'!G189=""),"",'Skill Matrix'!G189)</f>
        <v/>
      </c>
      <c r="H2932">
        <f>IF(A2932="","",'Employees'!F17)</f>
        <v/>
      </c>
    </row>
    <row r="2933">
      <c r="A2933">
        <f>IF(AND('Skill Matrix'!A189&lt;&gt;"",'Skill Matrix'!H5&lt;&gt;""),'Skill Matrix'!A189,"")</f>
        <v/>
      </c>
      <c r="B2933">
        <f>IF(A2933="","",'Employees'!C17)</f>
        <v/>
      </c>
      <c r="C2933">
        <f>IF(A2933="","",'Employees'!D17)</f>
        <v/>
      </c>
      <c r="D2933">
        <f>IF(A2933="","",'Skill Matrix'!C189)</f>
        <v/>
      </c>
      <c r="E2933">
        <f>IF(A2933="","",'Skill Matrix'!D189)</f>
        <v/>
      </c>
      <c r="F2933">
        <f>IF(AND('Skill Matrix'!A189&lt;&gt;"",'Skill Matrix'!H5&lt;&gt;""),'Skill Matrix'!H5,"")</f>
        <v/>
      </c>
      <c r="G2933">
        <f>IF(OR(A2933="",'Skill Matrix'!H189=""),"",'Skill Matrix'!H189)</f>
        <v/>
      </c>
      <c r="H2933">
        <f>IF(A2933="","",'Employees'!F17)</f>
        <v/>
      </c>
    </row>
    <row r="2934">
      <c r="A2934">
        <f>IF(AND('Skill Matrix'!A189&lt;&gt;"",'Skill Matrix'!I5&lt;&gt;""),'Skill Matrix'!A189,"")</f>
        <v/>
      </c>
      <c r="B2934">
        <f>IF(A2934="","",'Employees'!C17)</f>
        <v/>
      </c>
      <c r="C2934">
        <f>IF(A2934="","",'Employees'!D17)</f>
        <v/>
      </c>
      <c r="D2934">
        <f>IF(A2934="","",'Skill Matrix'!C189)</f>
        <v/>
      </c>
      <c r="E2934">
        <f>IF(A2934="","",'Skill Matrix'!D189)</f>
        <v/>
      </c>
      <c r="F2934">
        <f>IF(AND('Skill Matrix'!A189&lt;&gt;"",'Skill Matrix'!I5&lt;&gt;""),'Skill Matrix'!I5,"")</f>
        <v/>
      </c>
      <c r="G2934">
        <f>IF(OR(A2934="",'Skill Matrix'!I189=""),"",'Skill Matrix'!I189)</f>
        <v/>
      </c>
      <c r="H2934">
        <f>IF(A2934="","",'Employees'!F17)</f>
        <v/>
      </c>
    </row>
    <row r="2935">
      <c r="A2935">
        <f>IF(AND('Skill Matrix'!A189&lt;&gt;"",'Skill Matrix'!J5&lt;&gt;""),'Skill Matrix'!A189,"")</f>
        <v/>
      </c>
      <c r="B2935">
        <f>IF(A2935="","",'Employees'!C17)</f>
        <v/>
      </c>
      <c r="C2935">
        <f>IF(A2935="","",'Employees'!D17)</f>
        <v/>
      </c>
      <c r="D2935">
        <f>IF(A2935="","",'Skill Matrix'!C189)</f>
        <v/>
      </c>
      <c r="E2935">
        <f>IF(A2935="","",'Skill Matrix'!D189)</f>
        <v/>
      </c>
      <c r="F2935">
        <f>IF(AND('Skill Matrix'!A189&lt;&gt;"",'Skill Matrix'!J5&lt;&gt;""),'Skill Matrix'!J5,"")</f>
        <v/>
      </c>
      <c r="G2935">
        <f>IF(OR(A2935="",'Skill Matrix'!J189=""),"",'Skill Matrix'!J189)</f>
        <v/>
      </c>
      <c r="H2935">
        <f>IF(A2935="","",'Employees'!F17)</f>
        <v/>
      </c>
    </row>
    <row r="2936">
      <c r="A2936">
        <f>IF(AND('Skill Matrix'!A189&lt;&gt;"",'Skill Matrix'!K5&lt;&gt;""),'Skill Matrix'!A189,"")</f>
        <v/>
      </c>
      <c r="B2936">
        <f>IF(A2936="","",'Employees'!C17)</f>
        <v/>
      </c>
      <c r="C2936">
        <f>IF(A2936="","",'Employees'!D17)</f>
        <v/>
      </c>
      <c r="D2936">
        <f>IF(A2936="","",'Skill Matrix'!C189)</f>
        <v/>
      </c>
      <c r="E2936">
        <f>IF(A2936="","",'Skill Matrix'!D189)</f>
        <v/>
      </c>
      <c r="F2936">
        <f>IF(AND('Skill Matrix'!A189&lt;&gt;"",'Skill Matrix'!K5&lt;&gt;""),'Skill Matrix'!K5,"")</f>
        <v/>
      </c>
      <c r="G2936">
        <f>IF(OR(A2936="",'Skill Matrix'!K189=""),"",'Skill Matrix'!K189)</f>
        <v/>
      </c>
      <c r="H2936">
        <f>IF(A2936="","",'Employees'!F17)</f>
        <v/>
      </c>
    </row>
    <row r="2937">
      <c r="A2937">
        <f>IF(AND('Skill Matrix'!A189&lt;&gt;"",'Skill Matrix'!L5&lt;&gt;""),'Skill Matrix'!A189,"")</f>
        <v/>
      </c>
      <c r="B2937">
        <f>IF(A2937="","",'Employees'!C17)</f>
        <v/>
      </c>
      <c r="C2937">
        <f>IF(A2937="","",'Employees'!D17)</f>
        <v/>
      </c>
      <c r="D2937">
        <f>IF(A2937="","",'Skill Matrix'!C189)</f>
        <v/>
      </c>
      <c r="E2937">
        <f>IF(A2937="","",'Skill Matrix'!D189)</f>
        <v/>
      </c>
      <c r="F2937">
        <f>IF(AND('Skill Matrix'!A189&lt;&gt;"",'Skill Matrix'!L5&lt;&gt;""),'Skill Matrix'!L5,"")</f>
        <v/>
      </c>
      <c r="G2937">
        <f>IF(OR(A2937="",'Skill Matrix'!L189=""),"",'Skill Matrix'!L189)</f>
        <v/>
      </c>
      <c r="H2937">
        <f>IF(A2937="","",'Employees'!F17)</f>
        <v/>
      </c>
    </row>
    <row r="2938">
      <c r="A2938">
        <f>IF(AND('Skill Matrix'!A189&lt;&gt;"",'Skill Matrix'!M5&lt;&gt;""),'Skill Matrix'!A189,"")</f>
        <v/>
      </c>
      <c r="B2938">
        <f>IF(A2938="","",'Employees'!C17)</f>
        <v/>
      </c>
      <c r="C2938">
        <f>IF(A2938="","",'Employees'!D17)</f>
        <v/>
      </c>
      <c r="D2938">
        <f>IF(A2938="","",'Skill Matrix'!C189)</f>
        <v/>
      </c>
      <c r="E2938">
        <f>IF(A2938="","",'Skill Matrix'!D189)</f>
        <v/>
      </c>
      <c r="F2938">
        <f>IF(AND('Skill Matrix'!A189&lt;&gt;"",'Skill Matrix'!M5&lt;&gt;""),'Skill Matrix'!M5,"")</f>
        <v/>
      </c>
      <c r="G2938">
        <f>IF(OR(A2938="",'Skill Matrix'!M189=""),"",'Skill Matrix'!M189)</f>
        <v/>
      </c>
      <c r="H2938">
        <f>IF(A2938="","",'Employees'!F17)</f>
        <v/>
      </c>
    </row>
    <row r="2939">
      <c r="A2939">
        <f>IF(AND('Skill Matrix'!A189&lt;&gt;"",'Skill Matrix'!N5&lt;&gt;""),'Skill Matrix'!A189,"")</f>
        <v/>
      </c>
      <c r="B2939">
        <f>IF(A2939="","",'Employees'!C17)</f>
        <v/>
      </c>
      <c r="C2939">
        <f>IF(A2939="","",'Employees'!D17)</f>
        <v/>
      </c>
      <c r="D2939">
        <f>IF(A2939="","",'Skill Matrix'!C189)</f>
        <v/>
      </c>
      <c r="E2939">
        <f>IF(A2939="","",'Skill Matrix'!D189)</f>
        <v/>
      </c>
      <c r="F2939">
        <f>IF(AND('Skill Matrix'!A189&lt;&gt;"",'Skill Matrix'!N5&lt;&gt;""),'Skill Matrix'!N5,"")</f>
        <v/>
      </c>
      <c r="G2939">
        <f>IF(OR(A2939="",'Skill Matrix'!N189=""),"",'Skill Matrix'!N189)</f>
        <v/>
      </c>
      <c r="H2939">
        <f>IF(A2939="","",'Employees'!F17)</f>
        <v/>
      </c>
    </row>
    <row r="2940">
      <c r="A2940">
        <f>IF(AND('Skill Matrix'!A189&lt;&gt;"",'Skill Matrix'!O5&lt;&gt;""),'Skill Matrix'!A189,"")</f>
        <v/>
      </c>
      <c r="B2940">
        <f>IF(A2940="","",'Employees'!C17)</f>
        <v/>
      </c>
      <c r="C2940">
        <f>IF(A2940="","",'Employees'!D17)</f>
        <v/>
      </c>
      <c r="D2940">
        <f>IF(A2940="","",'Skill Matrix'!C189)</f>
        <v/>
      </c>
      <c r="E2940">
        <f>IF(A2940="","",'Skill Matrix'!D189)</f>
        <v/>
      </c>
      <c r="F2940">
        <f>IF(AND('Skill Matrix'!A189&lt;&gt;"",'Skill Matrix'!O5&lt;&gt;""),'Skill Matrix'!O5,"")</f>
        <v/>
      </c>
      <c r="G2940">
        <f>IF(OR(A2940="",'Skill Matrix'!O189=""),"",'Skill Matrix'!O189)</f>
        <v/>
      </c>
      <c r="H2940">
        <f>IF(A2940="","",'Employees'!F17)</f>
        <v/>
      </c>
    </row>
    <row r="2941">
      <c r="A2941">
        <f>IF(AND('Skill Matrix'!A189&lt;&gt;"",'Skill Matrix'!P5&lt;&gt;""),'Skill Matrix'!A189,"")</f>
        <v/>
      </c>
      <c r="B2941">
        <f>IF(A2941="","",'Employees'!C17)</f>
        <v/>
      </c>
      <c r="C2941">
        <f>IF(A2941="","",'Employees'!D17)</f>
        <v/>
      </c>
      <c r="D2941">
        <f>IF(A2941="","",'Skill Matrix'!C189)</f>
        <v/>
      </c>
      <c r="E2941">
        <f>IF(A2941="","",'Skill Matrix'!D189)</f>
        <v/>
      </c>
      <c r="F2941">
        <f>IF(AND('Skill Matrix'!A189&lt;&gt;"",'Skill Matrix'!P5&lt;&gt;""),'Skill Matrix'!P5,"")</f>
        <v/>
      </c>
      <c r="G2941">
        <f>IF(OR(A2941="",'Skill Matrix'!P189=""),"",'Skill Matrix'!P189)</f>
        <v/>
      </c>
      <c r="H2941">
        <f>IF(A2941="","",'Employees'!F17)</f>
        <v/>
      </c>
    </row>
    <row r="2942">
      <c r="A2942">
        <f>IF(AND('Skill Matrix'!A189&lt;&gt;"",'Skill Matrix'!Q5&lt;&gt;""),'Skill Matrix'!A189,"")</f>
        <v/>
      </c>
      <c r="B2942">
        <f>IF(A2942="","",'Employees'!C17)</f>
        <v/>
      </c>
      <c r="C2942">
        <f>IF(A2942="","",'Employees'!D17)</f>
        <v/>
      </c>
      <c r="D2942">
        <f>IF(A2942="","",'Skill Matrix'!C189)</f>
        <v/>
      </c>
      <c r="E2942">
        <f>IF(A2942="","",'Skill Matrix'!D189)</f>
        <v/>
      </c>
      <c r="F2942">
        <f>IF(AND('Skill Matrix'!A189&lt;&gt;"",'Skill Matrix'!Q5&lt;&gt;""),'Skill Matrix'!Q5,"")</f>
        <v/>
      </c>
      <c r="G2942">
        <f>IF(OR(A2942="",'Skill Matrix'!Q189=""),"",'Skill Matrix'!Q189)</f>
        <v/>
      </c>
      <c r="H2942">
        <f>IF(A2942="","",'Employees'!F17)</f>
        <v/>
      </c>
    </row>
    <row r="2943">
      <c r="A2943">
        <f>IF(AND('Skill Matrix'!A189&lt;&gt;"",'Skill Matrix'!R5&lt;&gt;""),'Skill Matrix'!A189,"")</f>
        <v/>
      </c>
      <c r="B2943">
        <f>IF(A2943="","",'Employees'!C17)</f>
        <v/>
      </c>
      <c r="C2943">
        <f>IF(A2943="","",'Employees'!D17)</f>
        <v/>
      </c>
      <c r="D2943">
        <f>IF(A2943="","",'Skill Matrix'!C189)</f>
        <v/>
      </c>
      <c r="E2943">
        <f>IF(A2943="","",'Skill Matrix'!D189)</f>
        <v/>
      </c>
      <c r="F2943">
        <f>IF(AND('Skill Matrix'!A189&lt;&gt;"",'Skill Matrix'!R5&lt;&gt;""),'Skill Matrix'!R5,"")</f>
        <v/>
      </c>
      <c r="G2943">
        <f>IF(OR(A2943="",'Skill Matrix'!R189=""),"",'Skill Matrix'!R189)</f>
        <v/>
      </c>
      <c r="H2943">
        <f>IF(A2943="","",'Employees'!F17)</f>
        <v/>
      </c>
    </row>
    <row r="2944">
      <c r="A2944">
        <f>IF(AND('Skill Matrix'!A189&lt;&gt;"",'Skill Matrix'!S5&lt;&gt;""),'Skill Matrix'!A189,"")</f>
        <v/>
      </c>
      <c r="B2944">
        <f>IF(A2944="","",'Employees'!C17)</f>
        <v/>
      </c>
      <c r="C2944">
        <f>IF(A2944="","",'Employees'!D17)</f>
        <v/>
      </c>
      <c r="D2944">
        <f>IF(A2944="","",'Skill Matrix'!C189)</f>
        <v/>
      </c>
      <c r="E2944">
        <f>IF(A2944="","",'Skill Matrix'!D189)</f>
        <v/>
      </c>
      <c r="F2944">
        <f>IF(AND('Skill Matrix'!A189&lt;&gt;"",'Skill Matrix'!S5&lt;&gt;""),'Skill Matrix'!S5,"")</f>
        <v/>
      </c>
      <c r="G2944">
        <f>IF(OR(A2944="",'Skill Matrix'!S189=""),"",'Skill Matrix'!S189)</f>
        <v/>
      </c>
      <c r="H2944">
        <f>IF(A2944="","",'Employees'!F17)</f>
        <v/>
      </c>
    </row>
    <row r="2945">
      <c r="A2945">
        <f>IF(AND('Skill Matrix'!A189&lt;&gt;"",'Skill Matrix'!T5&lt;&gt;""),'Skill Matrix'!A189,"")</f>
        <v/>
      </c>
      <c r="B2945">
        <f>IF(A2945="","",'Employees'!C17)</f>
        <v/>
      </c>
      <c r="C2945">
        <f>IF(A2945="","",'Employees'!D17)</f>
        <v/>
      </c>
      <c r="D2945">
        <f>IF(A2945="","",'Skill Matrix'!C189)</f>
        <v/>
      </c>
      <c r="E2945">
        <f>IF(A2945="","",'Skill Matrix'!D189)</f>
        <v/>
      </c>
      <c r="F2945">
        <f>IF(AND('Skill Matrix'!A189&lt;&gt;"",'Skill Matrix'!T5&lt;&gt;""),'Skill Matrix'!T5,"")</f>
        <v/>
      </c>
      <c r="G2945">
        <f>IF(OR(A2945="",'Skill Matrix'!T189=""),"",'Skill Matrix'!T189)</f>
        <v/>
      </c>
      <c r="H2945">
        <f>IF(A2945="","",'Employees'!F17)</f>
        <v/>
      </c>
    </row>
    <row r="2946">
      <c r="A2946">
        <f>IF(AND('Skill Matrix'!A190&lt;&gt;"",'Skill Matrix'!E5&lt;&gt;""),'Skill Matrix'!A190,"")</f>
        <v/>
      </c>
      <c r="B2946">
        <f>IF(A2946="","",'Employees'!C17)</f>
        <v/>
      </c>
      <c r="C2946">
        <f>IF(A2946="","",'Employees'!D17)</f>
        <v/>
      </c>
      <c r="D2946">
        <f>IF(A2946="","",'Skill Matrix'!C190)</f>
        <v/>
      </c>
      <c r="E2946">
        <f>IF(A2946="","",'Skill Matrix'!D190)</f>
        <v/>
      </c>
      <c r="F2946">
        <f>IF(AND('Skill Matrix'!A190&lt;&gt;"",'Skill Matrix'!E5&lt;&gt;""),'Skill Matrix'!E5,"")</f>
        <v/>
      </c>
      <c r="G2946">
        <f>IF(OR(A2946="",'Skill Matrix'!E190=""),"",'Skill Matrix'!E190)</f>
        <v/>
      </c>
      <c r="H2946">
        <f>IF(A2946="","",'Employees'!F17)</f>
        <v/>
      </c>
    </row>
    <row r="2947">
      <c r="A2947">
        <f>IF(AND('Skill Matrix'!A190&lt;&gt;"",'Skill Matrix'!F5&lt;&gt;""),'Skill Matrix'!A190,"")</f>
        <v/>
      </c>
      <c r="B2947">
        <f>IF(A2947="","",'Employees'!C17)</f>
        <v/>
      </c>
      <c r="C2947">
        <f>IF(A2947="","",'Employees'!D17)</f>
        <v/>
      </c>
      <c r="D2947">
        <f>IF(A2947="","",'Skill Matrix'!C190)</f>
        <v/>
      </c>
      <c r="E2947">
        <f>IF(A2947="","",'Skill Matrix'!D190)</f>
        <v/>
      </c>
      <c r="F2947">
        <f>IF(AND('Skill Matrix'!A190&lt;&gt;"",'Skill Matrix'!F5&lt;&gt;""),'Skill Matrix'!F5,"")</f>
        <v/>
      </c>
      <c r="G2947">
        <f>IF(OR(A2947="",'Skill Matrix'!F190=""),"",'Skill Matrix'!F190)</f>
        <v/>
      </c>
      <c r="H2947">
        <f>IF(A2947="","",'Employees'!F17)</f>
        <v/>
      </c>
    </row>
    <row r="2948">
      <c r="A2948">
        <f>IF(AND('Skill Matrix'!A190&lt;&gt;"",'Skill Matrix'!G5&lt;&gt;""),'Skill Matrix'!A190,"")</f>
        <v/>
      </c>
      <c r="B2948">
        <f>IF(A2948="","",'Employees'!C17)</f>
        <v/>
      </c>
      <c r="C2948">
        <f>IF(A2948="","",'Employees'!D17)</f>
        <v/>
      </c>
      <c r="D2948">
        <f>IF(A2948="","",'Skill Matrix'!C190)</f>
        <v/>
      </c>
      <c r="E2948">
        <f>IF(A2948="","",'Skill Matrix'!D190)</f>
        <v/>
      </c>
      <c r="F2948">
        <f>IF(AND('Skill Matrix'!A190&lt;&gt;"",'Skill Matrix'!G5&lt;&gt;""),'Skill Matrix'!G5,"")</f>
        <v/>
      </c>
      <c r="G2948">
        <f>IF(OR(A2948="",'Skill Matrix'!G190=""),"",'Skill Matrix'!G190)</f>
        <v/>
      </c>
      <c r="H2948">
        <f>IF(A2948="","",'Employees'!F17)</f>
        <v/>
      </c>
    </row>
    <row r="2949">
      <c r="A2949">
        <f>IF(AND('Skill Matrix'!A190&lt;&gt;"",'Skill Matrix'!H5&lt;&gt;""),'Skill Matrix'!A190,"")</f>
        <v/>
      </c>
      <c r="B2949">
        <f>IF(A2949="","",'Employees'!C17)</f>
        <v/>
      </c>
      <c r="C2949">
        <f>IF(A2949="","",'Employees'!D17)</f>
        <v/>
      </c>
      <c r="D2949">
        <f>IF(A2949="","",'Skill Matrix'!C190)</f>
        <v/>
      </c>
      <c r="E2949">
        <f>IF(A2949="","",'Skill Matrix'!D190)</f>
        <v/>
      </c>
      <c r="F2949">
        <f>IF(AND('Skill Matrix'!A190&lt;&gt;"",'Skill Matrix'!H5&lt;&gt;""),'Skill Matrix'!H5,"")</f>
        <v/>
      </c>
      <c r="G2949">
        <f>IF(OR(A2949="",'Skill Matrix'!H190=""),"",'Skill Matrix'!H190)</f>
        <v/>
      </c>
      <c r="H2949">
        <f>IF(A2949="","",'Employees'!F17)</f>
        <v/>
      </c>
    </row>
    <row r="2950">
      <c r="A2950">
        <f>IF(AND('Skill Matrix'!A190&lt;&gt;"",'Skill Matrix'!I5&lt;&gt;""),'Skill Matrix'!A190,"")</f>
        <v/>
      </c>
      <c r="B2950">
        <f>IF(A2950="","",'Employees'!C17)</f>
        <v/>
      </c>
      <c r="C2950">
        <f>IF(A2950="","",'Employees'!D17)</f>
        <v/>
      </c>
      <c r="D2950">
        <f>IF(A2950="","",'Skill Matrix'!C190)</f>
        <v/>
      </c>
      <c r="E2950">
        <f>IF(A2950="","",'Skill Matrix'!D190)</f>
        <v/>
      </c>
      <c r="F2950">
        <f>IF(AND('Skill Matrix'!A190&lt;&gt;"",'Skill Matrix'!I5&lt;&gt;""),'Skill Matrix'!I5,"")</f>
        <v/>
      </c>
      <c r="G2950">
        <f>IF(OR(A2950="",'Skill Matrix'!I190=""),"",'Skill Matrix'!I190)</f>
        <v/>
      </c>
      <c r="H2950">
        <f>IF(A2950="","",'Employees'!F17)</f>
        <v/>
      </c>
    </row>
    <row r="2951">
      <c r="A2951">
        <f>IF(AND('Skill Matrix'!A190&lt;&gt;"",'Skill Matrix'!J5&lt;&gt;""),'Skill Matrix'!A190,"")</f>
        <v/>
      </c>
      <c r="B2951">
        <f>IF(A2951="","",'Employees'!C17)</f>
        <v/>
      </c>
      <c r="C2951">
        <f>IF(A2951="","",'Employees'!D17)</f>
        <v/>
      </c>
      <c r="D2951">
        <f>IF(A2951="","",'Skill Matrix'!C190)</f>
        <v/>
      </c>
      <c r="E2951">
        <f>IF(A2951="","",'Skill Matrix'!D190)</f>
        <v/>
      </c>
      <c r="F2951">
        <f>IF(AND('Skill Matrix'!A190&lt;&gt;"",'Skill Matrix'!J5&lt;&gt;""),'Skill Matrix'!J5,"")</f>
        <v/>
      </c>
      <c r="G2951">
        <f>IF(OR(A2951="",'Skill Matrix'!J190=""),"",'Skill Matrix'!J190)</f>
        <v/>
      </c>
      <c r="H2951">
        <f>IF(A2951="","",'Employees'!F17)</f>
        <v/>
      </c>
    </row>
    <row r="2952">
      <c r="A2952">
        <f>IF(AND('Skill Matrix'!A190&lt;&gt;"",'Skill Matrix'!K5&lt;&gt;""),'Skill Matrix'!A190,"")</f>
        <v/>
      </c>
      <c r="B2952">
        <f>IF(A2952="","",'Employees'!C17)</f>
        <v/>
      </c>
      <c r="C2952">
        <f>IF(A2952="","",'Employees'!D17)</f>
        <v/>
      </c>
      <c r="D2952">
        <f>IF(A2952="","",'Skill Matrix'!C190)</f>
        <v/>
      </c>
      <c r="E2952">
        <f>IF(A2952="","",'Skill Matrix'!D190)</f>
        <v/>
      </c>
      <c r="F2952">
        <f>IF(AND('Skill Matrix'!A190&lt;&gt;"",'Skill Matrix'!K5&lt;&gt;""),'Skill Matrix'!K5,"")</f>
        <v/>
      </c>
      <c r="G2952">
        <f>IF(OR(A2952="",'Skill Matrix'!K190=""),"",'Skill Matrix'!K190)</f>
        <v/>
      </c>
      <c r="H2952">
        <f>IF(A2952="","",'Employees'!F17)</f>
        <v/>
      </c>
    </row>
    <row r="2953">
      <c r="A2953">
        <f>IF(AND('Skill Matrix'!A190&lt;&gt;"",'Skill Matrix'!L5&lt;&gt;""),'Skill Matrix'!A190,"")</f>
        <v/>
      </c>
      <c r="B2953">
        <f>IF(A2953="","",'Employees'!C17)</f>
        <v/>
      </c>
      <c r="C2953">
        <f>IF(A2953="","",'Employees'!D17)</f>
        <v/>
      </c>
      <c r="D2953">
        <f>IF(A2953="","",'Skill Matrix'!C190)</f>
        <v/>
      </c>
      <c r="E2953">
        <f>IF(A2953="","",'Skill Matrix'!D190)</f>
        <v/>
      </c>
      <c r="F2953">
        <f>IF(AND('Skill Matrix'!A190&lt;&gt;"",'Skill Matrix'!L5&lt;&gt;""),'Skill Matrix'!L5,"")</f>
        <v/>
      </c>
      <c r="G2953">
        <f>IF(OR(A2953="",'Skill Matrix'!L190=""),"",'Skill Matrix'!L190)</f>
        <v/>
      </c>
      <c r="H2953">
        <f>IF(A2953="","",'Employees'!F17)</f>
        <v/>
      </c>
    </row>
    <row r="2954">
      <c r="A2954">
        <f>IF(AND('Skill Matrix'!A190&lt;&gt;"",'Skill Matrix'!M5&lt;&gt;""),'Skill Matrix'!A190,"")</f>
        <v/>
      </c>
      <c r="B2954">
        <f>IF(A2954="","",'Employees'!C17)</f>
        <v/>
      </c>
      <c r="C2954">
        <f>IF(A2954="","",'Employees'!D17)</f>
        <v/>
      </c>
      <c r="D2954">
        <f>IF(A2954="","",'Skill Matrix'!C190)</f>
        <v/>
      </c>
      <c r="E2954">
        <f>IF(A2954="","",'Skill Matrix'!D190)</f>
        <v/>
      </c>
      <c r="F2954">
        <f>IF(AND('Skill Matrix'!A190&lt;&gt;"",'Skill Matrix'!M5&lt;&gt;""),'Skill Matrix'!M5,"")</f>
        <v/>
      </c>
      <c r="G2954">
        <f>IF(OR(A2954="",'Skill Matrix'!M190=""),"",'Skill Matrix'!M190)</f>
        <v/>
      </c>
      <c r="H2954">
        <f>IF(A2954="","",'Employees'!F17)</f>
        <v/>
      </c>
    </row>
    <row r="2955">
      <c r="A2955">
        <f>IF(AND('Skill Matrix'!A190&lt;&gt;"",'Skill Matrix'!N5&lt;&gt;""),'Skill Matrix'!A190,"")</f>
        <v/>
      </c>
      <c r="B2955">
        <f>IF(A2955="","",'Employees'!C17)</f>
        <v/>
      </c>
      <c r="C2955">
        <f>IF(A2955="","",'Employees'!D17)</f>
        <v/>
      </c>
      <c r="D2955">
        <f>IF(A2955="","",'Skill Matrix'!C190)</f>
        <v/>
      </c>
      <c r="E2955">
        <f>IF(A2955="","",'Skill Matrix'!D190)</f>
        <v/>
      </c>
      <c r="F2955">
        <f>IF(AND('Skill Matrix'!A190&lt;&gt;"",'Skill Matrix'!N5&lt;&gt;""),'Skill Matrix'!N5,"")</f>
        <v/>
      </c>
      <c r="G2955">
        <f>IF(OR(A2955="",'Skill Matrix'!N190=""),"",'Skill Matrix'!N190)</f>
        <v/>
      </c>
      <c r="H2955">
        <f>IF(A2955="","",'Employees'!F17)</f>
        <v/>
      </c>
    </row>
    <row r="2956">
      <c r="A2956">
        <f>IF(AND('Skill Matrix'!A190&lt;&gt;"",'Skill Matrix'!O5&lt;&gt;""),'Skill Matrix'!A190,"")</f>
        <v/>
      </c>
      <c r="B2956">
        <f>IF(A2956="","",'Employees'!C17)</f>
        <v/>
      </c>
      <c r="C2956">
        <f>IF(A2956="","",'Employees'!D17)</f>
        <v/>
      </c>
      <c r="D2956">
        <f>IF(A2956="","",'Skill Matrix'!C190)</f>
        <v/>
      </c>
      <c r="E2956">
        <f>IF(A2956="","",'Skill Matrix'!D190)</f>
        <v/>
      </c>
      <c r="F2956">
        <f>IF(AND('Skill Matrix'!A190&lt;&gt;"",'Skill Matrix'!O5&lt;&gt;""),'Skill Matrix'!O5,"")</f>
        <v/>
      </c>
      <c r="G2956">
        <f>IF(OR(A2956="",'Skill Matrix'!O190=""),"",'Skill Matrix'!O190)</f>
        <v/>
      </c>
      <c r="H2956">
        <f>IF(A2956="","",'Employees'!F17)</f>
        <v/>
      </c>
    </row>
    <row r="2957">
      <c r="A2957">
        <f>IF(AND('Skill Matrix'!A190&lt;&gt;"",'Skill Matrix'!P5&lt;&gt;""),'Skill Matrix'!A190,"")</f>
        <v/>
      </c>
      <c r="B2957">
        <f>IF(A2957="","",'Employees'!C17)</f>
        <v/>
      </c>
      <c r="C2957">
        <f>IF(A2957="","",'Employees'!D17)</f>
        <v/>
      </c>
      <c r="D2957">
        <f>IF(A2957="","",'Skill Matrix'!C190)</f>
        <v/>
      </c>
      <c r="E2957">
        <f>IF(A2957="","",'Skill Matrix'!D190)</f>
        <v/>
      </c>
      <c r="F2957">
        <f>IF(AND('Skill Matrix'!A190&lt;&gt;"",'Skill Matrix'!P5&lt;&gt;""),'Skill Matrix'!P5,"")</f>
        <v/>
      </c>
      <c r="G2957">
        <f>IF(OR(A2957="",'Skill Matrix'!P190=""),"",'Skill Matrix'!P190)</f>
        <v/>
      </c>
      <c r="H2957">
        <f>IF(A2957="","",'Employees'!F17)</f>
        <v/>
      </c>
    </row>
    <row r="2958">
      <c r="A2958">
        <f>IF(AND('Skill Matrix'!A190&lt;&gt;"",'Skill Matrix'!Q5&lt;&gt;""),'Skill Matrix'!A190,"")</f>
        <v/>
      </c>
      <c r="B2958">
        <f>IF(A2958="","",'Employees'!C17)</f>
        <v/>
      </c>
      <c r="C2958">
        <f>IF(A2958="","",'Employees'!D17)</f>
        <v/>
      </c>
      <c r="D2958">
        <f>IF(A2958="","",'Skill Matrix'!C190)</f>
        <v/>
      </c>
      <c r="E2958">
        <f>IF(A2958="","",'Skill Matrix'!D190)</f>
        <v/>
      </c>
      <c r="F2958">
        <f>IF(AND('Skill Matrix'!A190&lt;&gt;"",'Skill Matrix'!Q5&lt;&gt;""),'Skill Matrix'!Q5,"")</f>
        <v/>
      </c>
      <c r="G2958">
        <f>IF(OR(A2958="",'Skill Matrix'!Q190=""),"",'Skill Matrix'!Q190)</f>
        <v/>
      </c>
      <c r="H2958">
        <f>IF(A2958="","",'Employees'!F17)</f>
        <v/>
      </c>
    </row>
    <row r="2959">
      <c r="A2959">
        <f>IF(AND('Skill Matrix'!A190&lt;&gt;"",'Skill Matrix'!R5&lt;&gt;""),'Skill Matrix'!A190,"")</f>
        <v/>
      </c>
      <c r="B2959">
        <f>IF(A2959="","",'Employees'!C17)</f>
        <v/>
      </c>
      <c r="C2959">
        <f>IF(A2959="","",'Employees'!D17)</f>
        <v/>
      </c>
      <c r="D2959">
        <f>IF(A2959="","",'Skill Matrix'!C190)</f>
        <v/>
      </c>
      <c r="E2959">
        <f>IF(A2959="","",'Skill Matrix'!D190)</f>
        <v/>
      </c>
      <c r="F2959">
        <f>IF(AND('Skill Matrix'!A190&lt;&gt;"",'Skill Matrix'!R5&lt;&gt;""),'Skill Matrix'!R5,"")</f>
        <v/>
      </c>
      <c r="G2959">
        <f>IF(OR(A2959="",'Skill Matrix'!R190=""),"",'Skill Matrix'!R190)</f>
        <v/>
      </c>
      <c r="H2959">
        <f>IF(A2959="","",'Employees'!F17)</f>
        <v/>
      </c>
    </row>
    <row r="2960">
      <c r="A2960">
        <f>IF(AND('Skill Matrix'!A190&lt;&gt;"",'Skill Matrix'!S5&lt;&gt;""),'Skill Matrix'!A190,"")</f>
        <v/>
      </c>
      <c r="B2960">
        <f>IF(A2960="","",'Employees'!C17)</f>
        <v/>
      </c>
      <c r="C2960">
        <f>IF(A2960="","",'Employees'!D17)</f>
        <v/>
      </c>
      <c r="D2960">
        <f>IF(A2960="","",'Skill Matrix'!C190)</f>
        <v/>
      </c>
      <c r="E2960">
        <f>IF(A2960="","",'Skill Matrix'!D190)</f>
        <v/>
      </c>
      <c r="F2960">
        <f>IF(AND('Skill Matrix'!A190&lt;&gt;"",'Skill Matrix'!S5&lt;&gt;""),'Skill Matrix'!S5,"")</f>
        <v/>
      </c>
      <c r="G2960">
        <f>IF(OR(A2960="",'Skill Matrix'!S190=""),"",'Skill Matrix'!S190)</f>
        <v/>
      </c>
      <c r="H2960">
        <f>IF(A2960="","",'Employees'!F17)</f>
        <v/>
      </c>
    </row>
    <row r="2961">
      <c r="A2961">
        <f>IF(AND('Skill Matrix'!A190&lt;&gt;"",'Skill Matrix'!T5&lt;&gt;""),'Skill Matrix'!A190,"")</f>
        <v/>
      </c>
      <c r="B2961">
        <f>IF(A2961="","",'Employees'!C17)</f>
        <v/>
      </c>
      <c r="C2961">
        <f>IF(A2961="","",'Employees'!D17)</f>
        <v/>
      </c>
      <c r="D2961">
        <f>IF(A2961="","",'Skill Matrix'!C190)</f>
        <v/>
      </c>
      <c r="E2961">
        <f>IF(A2961="","",'Skill Matrix'!D190)</f>
        <v/>
      </c>
      <c r="F2961">
        <f>IF(AND('Skill Matrix'!A190&lt;&gt;"",'Skill Matrix'!T5&lt;&gt;""),'Skill Matrix'!T5,"")</f>
        <v/>
      </c>
      <c r="G2961">
        <f>IF(OR(A2961="",'Skill Matrix'!T190=""),"",'Skill Matrix'!T190)</f>
        <v/>
      </c>
      <c r="H2961">
        <f>IF(A2961="","",'Employees'!F17)</f>
        <v/>
      </c>
    </row>
    <row r="2962">
      <c r="A2962">
        <f>IF(AND('Skill Matrix'!A191&lt;&gt;"",'Skill Matrix'!E5&lt;&gt;""),'Skill Matrix'!A191,"")</f>
        <v/>
      </c>
      <c r="B2962">
        <f>IF(A2962="","",'Employees'!C17)</f>
        <v/>
      </c>
      <c r="C2962">
        <f>IF(A2962="","",'Employees'!D17)</f>
        <v/>
      </c>
      <c r="D2962">
        <f>IF(A2962="","",'Skill Matrix'!C191)</f>
        <v/>
      </c>
      <c r="E2962">
        <f>IF(A2962="","",'Skill Matrix'!D191)</f>
        <v/>
      </c>
      <c r="F2962">
        <f>IF(AND('Skill Matrix'!A191&lt;&gt;"",'Skill Matrix'!E5&lt;&gt;""),'Skill Matrix'!E5,"")</f>
        <v/>
      </c>
      <c r="G2962">
        <f>IF(OR(A2962="",'Skill Matrix'!E191=""),"",'Skill Matrix'!E191)</f>
        <v/>
      </c>
      <c r="H2962">
        <f>IF(A2962="","",'Employees'!F17)</f>
        <v/>
      </c>
    </row>
    <row r="2963">
      <c r="A2963">
        <f>IF(AND('Skill Matrix'!A191&lt;&gt;"",'Skill Matrix'!F5&lt;&gt;""),'Skill Matrix'!A191,"")</f>
        <v/>
      </c>
      <c r="B2963">
        <f>IF(A2963="","",'Employees'!C17)</f>
        <v/>
      </c>
      <c r="C2963">
        <f>IF(A2963="","",'Employees'!D17)</f>
        <v/>
      </c>
      <c r="D2963">
        <f>IF(A2963="","",'Skill Matrix'!C191)</f>
        <v/>
      </c>
      <c r="E2963">
        <f>IF(A2963="","",'Skill Matrix'!D191)</f>
        <v/>
      </c>
      <c r="F2963">
        <f>IF(AND('Skill Matrix'!A191&lt;&gt;"",'Skill Matrix'!F5&lt;&gt;""),'Skill Matrix'!F5,"")</f>
        <v/>
      </c>
      <c r="G2963">
        <f>IF(OR(A2963="",'Skill Matrix'!F191=""),"",'Skill Matrix'!F191)</f>
        <v/>
      </c>
      <c r="H2963">
        <f>IF(A2963="","",'Employees'!F17)</f>
        <v/>
      </c>
    </row>
    <row r="2964">
      <c r="A2964">
        <f>IF(AND('Skill Matrix'!A191&lt;&gt;"",'Skill Matrix'!G5&lt;&gt;""),'Skill Matrix'!A191,"")</f>
        <v/>
      </c>
      <c r="B2964">
        <f>IF(A2964="","",'Employees'!C17)</f>
        <v/>
      </c>
      <c r="C2964">
        <f>IF(A2964="","",'Employees'!D17)</f>
        <v/>
      </c>
      <c r="D2964">
        <f>IF(A2964="","",'Skill Matrix'!C191)</f>
        <v/>
      </c>
      <c r="E2964">
        <f>IF(A2964="","",'Skill Matrix'!D191)</f>
        <v/>
      </c>
      <c r="F2964">
        <f>IF(AND('Skill Matrix'!A191&lt;&gt;"",'Skill Matrix'!G5&lt;&gt;""),'Skill Matrix'!G5,"")</f>
        <v/>
      </c>
      <c r="G2964">
        <f>IF(OR(A2964="",'Skill Matrix'!G191=""),"",'Skill Matrix'!G191)</f>
        <v/>
      </c>
      <c r="H2964">
        <f>IF(A2964="","",'Employees'!F17)</f>
        <v/>
      </c>
    </row>
    <row r="2965">
      <c r="A2965">
        <f>IF(AND('Skill Matrix'!A191&lt;&gt;"",'Skill Matrix'!H5&lt;&gt;""),'Skill Matrix'!A191,"")</f>
        <v/>
      </c>
      <c r="B2965">
        <f>IF(A2965="","",'Employees'!C17)</f>
        <v/>
      </c>
      <c r="C2965">
        <f>IF(A2965="","",'Employees'!D17)</f>
        <v/>
      </c>
      <c r="D2965">
        <f>IF(A2965="","",'Skill Matrix'!C191)</f>
        <v/>
      </c>
      <c r="E2965">
        <f>IF(A2965="","",'Skill Matrix'!D191)</f>
        <v/>
      </c>
      <c r="F2965">
        <f>IF(AND('Skill Matrix'!A191&lt;&gt;"",'Skill Matrix'!H5&lt;&gt;""),'Skill Matrix'!H5,"")</f>
        <v/>
      </c>
      <c r="G2965">
        <f>IF(OR(A2965="",'Skill Matrix'!H191=""),"",'Skill Matrix'!H191)</f>
        <v/>
      </c>
      <c r="H2965">
        <f>IF(A2965="","",'Employees'!F17)</f>
        <v/>
      </c>
    </row>
    <row r="2966">
      <c r="A2966">
        <f>IF(AND('Skill Matrix'!A191&lt;&gt;"",'Skill Matrix'!I5&lt;&gt;""),'Skill Matrix'!A191,"")</f>
        <v/>
      </c>
      <c r="B2966">
        <f>IF(A2966="","",'Employees'!C17)</f>
        <v/>
      </c>
      <c r="C2966">
        <f>IF(A2966="","",'Employees'!D17)</f>
        <v/>
      </c>
      <c r="D2966">
        <f>IF(A2966="","",'Skill Matrix'!C191)</f>
        <v/>
      </c>
      <c r="E2966">
        <f>IF(A2966="","",'Skill Matrix'!D191)</f>
        <v/>
      </c>
      <c r="F2966">
        <f>IF(AND('Skill Matrix'!A191&lt;&gt;"",'Skill Matrix'!I5&lt;&gt;""),'Skill Matrix'!I5,"")</f>
        <v/>
      </c>
      <c r="G2966">
        <f>IF(OR(A2966="",'Skill Matrix'!I191=""),"",'Skill Matrix'!I191)</f>
        <v/>
      </c>
      <c r="H2966">
        <f>IF(A2966="","",'Employees'!F17)</f>
        <v/>
      </c>
    </row>
    <row r="2967">
      <c r="A2967">
        <f>IF(AND('Skill Matrix'!A191&lt;&gt;"",'Skill Matrix'!J5&lt;&gt;""),'Skill Matrix'!A191,"")</f>
        <v/>
      </c>
      <c r="B2967">
        <f>IF(A2967="","",'Employees'!C17)</f>
        <v/>
      </c>
      <c r="C2967">
        <f>IF(A2967="","",'Employees'!D17)</f>
        <v/>
      </c>
      <c r="D2967">
        <f>IF(A2967="","",'Skill Matrix'!C191)</f>
        <v/>
      </c>
      <c r="E2967">
        <f>IF(A2967="","",'Skill Matrix'!D191)</f>
        <v/>
      </c>
      <c r="F2967">
        <f>IF(AND('Skill Matrix'!A191&lt;&gt;"",'Skill Matrix'!J5&lt;&gt;""),'Skill Matrix'!J5,"")</f>
        <v/>
      </c>
      <c r="G2967">
        <f>IF(OR(A2967="",'Skill Matrix'!J191=""),"",'Skill Matrix'!J191)</f>
        <v/>
      </c>
      <c r="H2967">
        <f>IF(A2967="","",'Employees'!F17)</f>
        <v/>
      </c>
    </row>
    <row r="2968">
      <c r="A2968">
        <f>IF(AND('Skill Matrix'!A191&lt;&gt;"",'Skill Matrix'!K5&lt;&gt;""),'Skill Matrix'!A191,"")</f>
        <v/>
      </c>
      <c r="B2968">
        <f>IF(A2968="","",'Employees'!C17)</f>
        <v/>
      </c>
      <c r="C2968">
        <f>IF(A2968="","",'Employees'!D17)</f>
        <v/>
      </c>
      <c r="D2968">
        <f>IF(A2968="","",'Skill Matrix'!C191)</f>
        <v/>
      </c>
      <c r="E2968">
        <f>IF(A2968="","",'Skill Matrix'!D191)</f>
        <v/>
      </c>
      <c r="F2968">
        <f>IF(AND('Skill Matrix'!A191&lt;&gt;"",'Skill Matrix'!K5&lt;&gt;""),'Skill Matrix'!K5,"")</f>
        <v/>
      </c>
      <c r="G2968">
        <f>IF(OR(A2968="",'Skill Matrix'!K191=""),"",'Skill Matrix'!K191)</f>
        <v/>
      </c>
      <c r="H2968">
        <f>IF(A2968="","",'Employees'!F17)</f>
        <v/>
      </c>
    </row>
    <row r="2969">
      <c r="A2969">
        <f>IF(AND('Skill Matrix'!A191&lt;&gt;"",'Skill Matrix'!L5&lt;&gt;""),'Skill Matrix'!A191,"")</f>
        <v/>
      </c>
      <c r="B2969">
        <f>IF(A2969="","",'Employees'!C17)</f>
        <v/>
      </c>
      <c r="C2969">
        <f>IF(A2969="","",'Employees'!D17)</f>
        <v/>
      </c>
      <c r="D2969">
        <f>IF(A2969="","",'Skill Matrix'!C191)</f>
        <v/>
      </c>
      <c r="E2969">
        <f>IF(A2969="","",'Skill Matrix'!D191)</f>
        <v/>
      </c>
      <c r="F2969">
        <f>IF(AND('Skill Matrix'!A191&lt;&gt;"",'Skill Matrix'!L5&lt;&gt;""),'Skill Matrix'!L5,"")</f>
        <v/>
      </c>
      <c r="G2969">
        <f>IF(OR(A2969="",'Skill Matrix'!L191=""),"",'Skill Matrix'!L191)</f>
        <v/>
      </c>
      <c r="H2969">
        <f>IF(A2969="","",'Employees'!F17)</f>
        <v/>
      </c>
    </row>
    <row r="2970">
      <c r="A2970">
        <f>IF(AND('Skill Matrix'!A191&lt;&gt;"",'Skill Matrix'!M5&lt;&gt;""),'Skill Matrix'!A191,"")</f>
        <v/>
      </c>
      <c r="B2970">
        <f>IF(A2970="","",'Employees'!C17)</f>
        <v/>
      </c>
      <c r="C2970">
        <f>IF(A2970="","",'Employees'!D17)</f>
        <v/>
      </c>
      <c r="D2970">
        <f>IF(A2970="","",'Skill Matrix'!C191)</f>
        <v/>
      </c>
      <c r="E2970">
        <f>IF(A2970="","",'Skill Matrix'!D191)</f>
        <v/>
      </c>
      <c r="F2970">
        <f>IF(AND('Skill Matrix'!A191&lt;&gt;"",'Skill Matrix'!M5&lt;&gt;""),'Skill Matrix'!M5,"")</f>
        <v/>
      </c>
      <c r="G2970">
        <f>IF(OR(A2970="",'Skill Matrix'!M191=""),"",'Skill Matrix'!M191)</f>
        <v/>
      </c>
      <c r="H2970">
        <f>IF(A2970="","",'Employees'!F17)</f>
        <v/>
      </c>
    </row>
    <row r="2971">
      <c r="A2971">
        <f>IF(AND('Skill Matrix'!A191&lt;&gt;"",'Skill Matrix'!N5&lt;&gt;""),'Skill Matrix'!A191,"")</f>
        <v/>
      </c>
      <c r="B2971">
        <f>IF(A2971="","",'Employees'!C17)</f>
        <v/>
      </c>
      <c r="C2971">
        <f>IF(A2971="","",'Employees'!D17)</f>
        <v/>
      </c>
      <c r="D2971">
        <f>IF(A2971="","",'Skill Matrix'!C191)</f>
        <v/>
      </c>
      <c r="E2971">
        <f>IF(A2971="","",'Skill Matrix'!D191)</f>
        <v/>
      </c>
      <c r="F2971">
        <f>IF(AND('Skill Matrix'!A191&lt;&gt;"",'Skill Matrix'!N5&lt;&gt;""),'Skill Matrix'!N5,"")</f>
        <v/>
      </c>
      <c r="G2971">
        <f>IF(OR(A2971="",'Skill Matrix'!N191=""),"",'Skill Matrix'!N191)</f>
        <v/>
      </c>
      <c r="H2971">
        <f>IF(A2971="","",'Employees'!F17)</f>
        <v/>
      </c>
    </row>
    <row r="2972">
      <c r="A2972">
        <f>IF(AND('Skill Matrix'!A191&lt;&gt;"",'Skill Matrix'!O5&lt;&gt;""),'Skill Matrix'!A191,"")</f>
        <v/>
      </c>
      <c r="B2972">
        <f>IF(A2972="","",'Employees'!C17)</f>
        <v/>
      </c>
      <c r="C2972">
        <f>IF(A2972="","",'Employees'!D17)</f>
        <v/>
      </c>
      <c r="D2972">
        <f>IF(A2972="","",'Skill Matrix'!C191)</f>
        <v/>
      </c>
      <c r="E2972">
        <f>IF(A2972="","",'Skill Matrix'!D191)</f>
        <v/>
      </c>
      <c r="F2972">
        <f>IF(AND('Skill Matrix'!A191&lt;&gt;"",'Skill Matrix'!O5&lt;&gt;""),'Skill Matrix'!O5,"")</f>
        <v/>
      </c>
      <c r="G2972">
        <f>IF(OR(A2972="",'Skill Matrix'!O191=""),"",'Skill Matrix'!O191)</f>
        <v/>
      </c>
      <c r="H2972">
        <f>IF(A2972="","",'Employees'!F17)</f>
        <v/>
      </c>
    </row>
    <row r="2973">
      <c r="A2973">
        <f>IF(AND('Skill Matrix'!A191&lt;&gt;"",'Skill Matrix'!P5&lt;&gt;""),'Skill Matrix'!A191,"")</f>
        <v/>
      </c>
      <c r="B2973">
        <f>IF(A2973="","",'Employees'!C17)</f>
        <v/>
      </c>
      <c r="C2973">
        <f>IF(A2973="","",'Employees'!D17)</f>
        <v/>
      </c>
      <c r="D2973">
        <f>IF(A2973="","",'Skill Matrix'!C191)</f>
        <v/>
      </c>
      <c r="E2973">
        <f>IF(A2973="","",'Skill Matrix'!D191)</f>
        <v/>
      </c>
      <c r="F2973">
        <f>IF(AND('Skill Matrix'!A191&lt;&gt;"",'Skill Matrix'!P5&lt;&gt;""),'Skill Matrix'!P5,"")</f>
        <v/>
      </c>
      <c r="G2973">
        <f>IF(OR(A2973="",'Skill Matrix'!P191=""),"",'Skill Matrix'!P191)</f>
        <v/>
      </c>
      <c r="H2973">
        <f>IF(A2973="","",'Employees'!F17)</f>
        <v/>
      </c>
    </row>
    <row r="2974">
      <c r="A2974">
        <f>IF(AND('Skill Matrix'!A191&lt;&gt;"",'Skill Matrix'!Q5&lt;&gt;""),'Skill Matrix'!A191,"")</f>
        <v/>
      </c>
      <c r="B2974">
        <f>IF(A2974="","",'Employees'!C17)</f>
        <v/>
      </c>
      <c r="C2974">
        <f>IF(A2974="","",'Employees'!D17)</f>
        <v/>
      </c>
      <c r="D2974">
        <f>IF(A2974="","",'Skill Matrix'!C191)</f>
        <v/>
      </c>
      <c r="E2974">
        <f>IF(A2974="","",'Skill Matrix'!D191)</f>
        <v/>
      </c>
      <c r="F2974">
        <f>IF(AND('Skill Matrix'!A191&lt;&gt;"",'Skill Matrix'!Q5&lt;&gt;""),'Skill Matrix'!Q5,"")</f>
        <v/>
      </c>
      <c r="G2974">
        <f>IF(OR(A2974="",'Skill Matrix'!Q191=""),"",'Skill Matrix'!Q191)</f>
        <v/>
      </c>
      <c r="H2974">
        <f>IF(A2974="","",'Employees'!F17)</f>
        <v/>
      </c>
    </row>
    <row r="2975">
      <c r="A2975">
        <f>IF(AND('Skill Matrix'!A191&lt;&gt;"",'Skill Matrix'!R5&lt;&gt;""),'Skill Matrix'!A191,"")</f>
        <v/>
      </c>
      <c r="B2975">
        <f>IF(A2975="","",'Employees'!C17)</f>
        <v/>
      </c>
      <c r="C2975">
        <f>IF(A2975="","",'Employees'!D17)</f>
        <v/>
      </c>
      <c r="D2975">
        <f>IF(A2975="","",'Skill Matrix'!C191)</f>
        <v/>
      </c>
      <c r="E2975">
        <f>IF(A2975="","",'Skill Matrix'!D191)</f>
        <v/>
      </c>
      <c r="F2975">
        <f>IF(AND('Skill Matrix'!A191&lt;&gt;"",'Skill Matrix'!R5&lt;&gt;""),'Skill Matrix'!R5,"")</f>
        <v/>
      </c>
      <c r="G2975">
        <f>IF(OR(A2975="",'Skill Matrix'!R191=""),"",'Skill Matrix'!R191)</f>
        <v/>
      </c>
      <c r="H2975">
        <f>IF(A2975="","",'Employees'!F17)</f>
        <v/>
      </c>
    </row>
    <row r="2976">
      <c r="A2976">
        <f>IF(AND('Skill Matrix'!A191&lt;&gt;"",'Skill Matrix'!S5&lt;&gt;""),'Skill Matrix'!A191,"")</f>
        <v/>
      </c>
      <c r="B2976">
        <f>IF(A2976="","",'Employees'!C17)</f>
        <v/>
      </c>
      <c r="C2976">
        <f>IF(A2976="","",'Employees'!D17)</f>
        <v/>
      </c>
      <c r="D2976">
        <f>IF(A2976="","",'Skill Matrix'!C191)</f>
        <v/>
      </c>
      <c r="E2976">
        <f>IF(A2976="","",'Skill Matrix'!D191)</f>
        <v/>
      </c>
      <c r="F2976">
        <f>IF(AND('Skill Matrix'!A191&lt;&gt;"",'Skill Matrix'!S5&lt;&gt;""),'Skill Matrix'!S5,"")</f>
        <v/>
      </c>
      <c r="G2976">
        <f>IF(OR(A2976="",'Skill Matrix'!S191=""),"",'Skill Matrix'!S191)</f>
        <v/>
      </c>
      <c r="H2976">
        <f>IF(A2976="","",'Employees'!F17)</f>
        <v/>
      </c>
    </row>
    <row r="2977">
      <c r="A2977">
        <f>IF(AND('Skill Matrix'!A191&lt;&gt;"",'Skill Matrix'!T5&lt;&gt;""),'Skill Matrix'!A191,"")</f>
        <v/>
      </c>
      <c r="B2977">
        <f>IF(A2977="","",'Employees'!C17)</f>
        <v/>
      </c>
      <c r="C2977">
        <f>IF(A2977="","",'Employees'!D17)</f>
        <v/>
      </c>
      <c r="D2977">
        <f>IF(A2977="","",'Skill Matrix'!C191)</f>
        <v/>
      </c>
      <c r="E2977">
        <f>IF(A2977="","",'Skill Matrix'!D191)</f>
        <v/>
      </c>
      <c r="F2977">
        <f>IF(AND('Skill Matrix'!A191&lt;&gt;"",'Skill Matrix'!T5&lt;&gt;""),'Skill Matrix'!T5,"")</f>
        <v/>
      </c>
      <c r="G2977">
        <f>IF(OR(A2977="",'Skill Matrix'!T191=""),"",'Skill Matrix'!T191)</f>
        <v/>
      </c>
      <c r="H2977">
        <f>IF(A2977="","",'Employees'!F17)</f>
        <v/>
      </c>
    </row>
    <row r="2978">
      <c r="A2978">
        <f>IF(AND('Skill Matrix'!A192&lt;&gt;"",'Skill Matrix'!E5&lt;&gt;""),'Skill Matrix'!A192,"")</f>
        <v/>
      </c>
      <c r="B2978">
        <f>IF(A2978="","",'Employees'!C17)</f>
        <v/>
      </c>
      <c r="C2978">
        <f>IF(A2978="","",'Employees'!D17)</f>
        <v/>
      </c>
      <c r="D2978">
        <f>IF(A2978="","",'Skill Matrix'!C192)</f>
        <v/>
      </c>
      <c r="E2978">
        <f>IF(A2978="","",'Skill Matrix'!D192)</f>
        <v/>
      </c>
      <c r="F2978">
        <f>IF(AND('Skill Matrix'!A192&lt;&gt;"",'Skill Matrix'!E5&lt;&gt;""),'Skill Matrix'!E5,"")</f>
        <v/>
      </c>
      <c r="G2978">
        <f>IF(OR(A2978="",'Skill Matrix'!E192=""),"",'Skill Matrix'!E192)</f>
        <v/>
      </c>
      <c r="H2978">
        <f>IF(A2978="","",'Employees'!F17)</f>
        <v/>
      </c>
    </row>
    <row r="2979">
      <c r="A2979">
        <f>IF(AND('Skill Matrix'!A192&lt;&gt;"",'Skill Matrix'!F5&lt;&gt;""),'Skill Matrix'!A192,"")</f>
        <v/>
      </c>
      <c r="B2979">
        <f>IF(A2979="","",'Employees'!C17)</f>
        <v/>
      </c>
      <c r="C2979">
        <f>IF(A2979="","",'Employees'!D17)</f>
        <v/>
      </c>
      <c r="D2979">
        <f>IF(A2979="","",'Skill Matrix'!C192)</f>
        <v/>
      </c>
      <c r="E2979">
        <f>IF(A2979="","",'Skill Matrix'!D192)</f>
        <v/>
      </c>
      <c r="F2979">
        <f>IF(AND('Skill Matrix'!A192&lt;&gt;"",'Skill Matrix'!F5&lt;&gt;""),'Skill Matrix'!F5,"")</f>
        <v/>
      </c>
      <c r="G2979">
        <f>IF(OR(A2979="",'Skill Matrix'!F192=""),"",'Skill Matrix'!F192)</f>
        <v/>
      </c>
      <c r="H2979">
        <f>IF(A2979="","",'Employees'!F17)</f>
        <v/>
      </c>
    </row>
    <row r="2980">
      <c r="A2980">
        <f>IF(AND('Skill Matrix'!A192&lt;&gt;"",'Skill Matrix'!G5&lt;&gt;""),'Skill Matrix'!A192,"")</f>
        <v/>
      </c>
      <c r="B2980">
        <f>IF(A2980="","",'Employees'!C17)</f>
        <v/>
      </c>
      <c r="C2980">
        <f>IF(A2980="","",'Employees'!D17)</f>
        <v/>
      </c>
      <c r="D2980">
        <f>IF(A2980="","",'Skill Matrix'!C192)</f>
        <v/>
      </c>
      <c r="E2980">
        <f>IF(A2980="","",'Skill Matrix'!D192)</f>
        <v/>
      </c>
      <c r="F2980">
        <f>IF(AND('Skill Matrix'!A192&lt;&gt;"",'Skill Matrix'!G5&lt;&gt;""),'Skill Matrix'!G5,"")</f>
        <v/>
      </c>
      <c r="G2980">
        <f>IF(OR(A2980="",'Skill Matrix'!G192=""),"",'Skill Matrix'!G192)</f>
        <v/>
      </c>
      <c r="H2980">
        <f>IF(A2980="","",'Employees'!F17)</f>
        <v/>
      </c>
    </row>
    <row r="2981">
      <c r="A2981">
        <f>IF(AND('Skill Matrix'!A192&lt;&gt;"",'Skill Matrix'!H5&lt;&gt;""),'Skill Matrix'!A192,"")</f>
        <v/>
      </c>
      <c r="B2981">
        <f>IF(A2981="","",'Employees'!C17)</f>
        <v/>
      </c>
      <c r="C2981">
        <f>IF(A2981="","",'Employees'!D17)</f>
        <v/>
      </c>
      <c r="D2981">
        <f>IF(A2981="","",'Skill Matrix'!C192)</f>
        <v/>
      </c>
      <c r="E2981">
        <f>IF(A2981="","",'Skill Matrix'!D192)</f>
        <v/>
      </c>
      <c r="F2981">
        <f>IF(AND('Skill Matrix'!A192&lt;&gt;"",'Skill Matrix'!H5&lt;&gt;""),'Skill Matrix'!H5,"")</f>
        <v/>
      </c>
      <c r="G2981">
        <f>IF(OR(A2981="",'Skill Matrix'!H192=""),"",'Skill Matrix'!H192)</f>
        <v/>
      </c>
      <c r="H2981">
        <f>IF(A2981="","",'Employees'!F17)</f>
        <v/>
      </c>
    </row>
    <row r="2982">
      <c r="A2982">
        <f>IF(AND('Skill Matrix'!A192&lt;&gt;"",'Skill Matrix'!I5&lt;&gt;""),'Skill Matrix'!A192,"")</f>
        <v/>
      </c>
      <c r="B2982">
        <f>IF(A2982="","",'Employees'!C17)</f>
        <v/>
      </c>
      <c r="C2982">
        <f>IF(A2982="","",'Employees'!D17)</f>
        <v/>
      </c>
      <c r="D2982">
        <f>IF(A2982="","",'Skill Matrix'!C192)</f>
        <v/>
      </c>
      <c r="E2982">
        <f>IF(A2982="","",'Skill Matrix'!D192)</f>
        <v/>
      </c>
      <c r="F2982">
        <f>IF(AND('Skill Matrix'!A192&lt;&gt;"",'Skill Matrix'!I5&lt;&gt;""),'Skill Matrix'!I5,"")</f>
        <v/>
      </c>
      <c r="G2982">
        <f>IF(OR(A2982="",'Skill Matrix'!I192=""),"",'Skill Matrix'!I192)</f>
        <v/>
      </c>
      <c r="H2982">
        <f>IF(A2982="","",'Employees'!F17)</f>
        <v/>
      </c>
    </row>
    <row r="2983">
      <c r="A2983">
        <f>IF(AND('Skill Matrix'!A192&lt;&gt;"",'Skill Matrix'!J5&lt;&gt;""),'Skill Matrix'!A192,"")</f>
        <v/>
      </c>
      <c r="B2983">
        <f>IF(A2983="","",'Employees'!C17)</f>
        <v/>
      </c>
      <c r="C2983">
        <f>IF(A2983="","",'Employees'!D17)</f>
        <v/>
      </c>
      <c r="D2983">
        <f>IF(A2983="","",'Skill Matrix'!C192)</f>
        <v/>
      </c>
      <c r="E2983">
        <f>IF(A2983="","",'Skill Matrix'!D192)</f>
        <v/>
      </c>
      <c r="F2983">
        <f>IF(AND('Skill Matrix'!A192&lt;&gt;"",'Skill Matrix'!J5&lt;&gt;""),'Skill Matrix'!J5,"")</f>
        <v/>
      </c>
      <c r="G2983">
        <f>IF(OR(A2983="",'Skill Matrix'!J192=""),"",'Skill Matrix'!J192)</f>
        <v/>
      </c>
      <c r="H2983">
        <f>IF(A2983="","",'Employees'!F17)</f>
        <v/>
      </c>
    </row>
    <row r="2984">
      <c r="A2984">
        <f>IF(AND('Skill Matrix'!A192&lt;&gt;"",'Skill Matrix'!K5&lt;&gt;""),'Skill Matrix'!A192,"")</f>
        <v/>
      </c>
      <c r="B2984">
        <f>IF(A2984="","",'Employees'!C17)</f>
        <v/>
      </c>
      <c r="C2984">
        <f>IF(A2984="","",'Employees'!D17)</f>
        <v/>
      </c>
      <c r="D2984">
        <f>IF(A2984="","",'Skill Matrix'!C192)</f>
        <v/>
      </c>
      <c r="E2984">
        <f>IF(A2984="","",'Skill Matrix'!D192)</f>
        <v/>
      </c>
      <c r="F2984">
        <f>IF(AND('Skill Matrix'!A192&lt;&gt;"",'Skill Matrix'!K5&lt;&gt;""),'Skill Matrix'!K5,"")</f>
        <v/>
      </c>
      <c r="G2984">
        <f>IF(OR(A2984="",'Skill Matrix'!K192=""),"",'Skill Matrix'!K192)</f>
        <v/>
      </c>
      <c r="H2984">
        <f>IF(A2984="","",'Employees'!F17)</f>
        <v/>
      </c>
    </row>
    <row r="2985">
      <c r="A2985">
        <f>IF(AND('Skill Matrix'!A192&lt;&gt;"",'Skill Matrix'!L5&lt;&gt;""),'Skill Matrix'!A192,"")</f>
        <v/>
      </c>
      <c r="B2985">
        <f>IF(A2985="","",'Employees'!C17)</f>
        <v/>
      </c>
      <c r="C2985">
        <f>IF(A2985="","",'Employees'!D17)</f>
        <v/>
      </c>
      <c r="D2985">
        <f>IF(A2985="","",'Skill Matrix'!C192)</f>
        <v/>
      </c>
      <c r="E2985">
        <f>IF(A2985="","",'Skill Matrix'!D192)</f>
        <v/>
      </c>
      <c r="F2985">
        <f>IF(AND('Skill Matrix'!A192&lt;&gt;"",'Skill Matrix'!L5&lt;&gt;""),'Skill Matrix'!L5,"")</f>
        <v/>
      </c>
      <c r="G2985">
        <f>IF(OR(A2985="",'Skill Matrix'!L192=""),"",'Skill Matrix'!L192)</f>
        <v/>
      </c>
      <c r="H2985">
        <f>IF(A2985="","",'Employees'!F17)</f>
        <v/>
      </c>
    </row>
    <row r="2986">
      <c r="A2986">
        <f>IF(AND('Skill Matrix'!A192&lt;&gt;"",'Skill Matrix'!M5&lt;&gt;""),'Skill Matrix'!A192,"")</f>
        <v/>
      </c>
      <c r="B2986">
        <f>IF(A2986="","",'Employees'!C17)</f>
        <v/>
      </c>
      <c r="C2986">
        <f>IF(A2986="","",'Employees'!D17)</f>
        <v/>
      </c>
      <c r="D2986">
        <f>IF(A2986="","",'Skill Matrix'!C192)</f>
        <v/>
      </c>
      <c r="E2986">
        <f>IF(A2986="","",'Skill Matrix'!D192)</f>
        <v/>
      </c>
      <c r="F2986">
        <f>IF(AND('Skill Matrix'!A192&lt;&gt;"",'Skill Matrix'!M5&lt;&gt;""),'Skill Matrix'!M5,"")</f>
        <v/>
      </c>
      <c r="G2986">
        <f>IF(OR(A2986="",'Skill Matrix'!M192=""),"",'Skill Matrix'!M192)</f>
        <v/>
      </c>
      <c r="H2986">
        <f>IF(A2986="","",'Employees'!F17)</f>
        <v/>
      </c>
    </row>
    <row r="2987">
      <c r="A2987">
        <f>IF(AND('Skill Matrix'!A192&lt;&gt;"",'Skill Matrix'!N5&lt;&gt;""),'Skill Matrix'!A192,"")</f>
        <v/>
      </c>
      <c r="B2987">
        <f>IF(A2987="","",'Employees'!C17)</f>
        <v/>
      </c>
      <c r="C2987">
        <f>IF(A2987="","",'Employees'!D17)</f>
        <v/>
      </c>
      <c r="D2987">
        <f>IF(A2987="","",'Skill Matrix'!C192)</f>
        <v/>
      </c>
      <c r="E2987">
        <f>IF(A2987="","",'Skill Matrix'!D192)</f>
        <v/>
      </c>
      <c r="F2987">
        <f>IF(AND('Skill Matrix'!A192&lt;&gt;"",'Skill Matrix'!N5&lt;&gt;""),'Skill Matrix'!N5,"")</f>
        <v/>
      </c>
      <c r="G2987">
        <f>IF(OR(A2987="",'Skill Matrix'!N192=""),"",'Skill Matrix'!N192)</f>
        <v/>
      </c>
      <c r="H2987">
        <f>IF(A2987="","",'Employees'!F17)</f>
        <v/>
      </c>
    </row>
    <row r="2988">
      <c r="A2988">
        <f>IF(AND('Skill Matrix'!A192&lt;&gt;"",'Skill Matrix'!O5&lt;&gt;""),'Skill Matrix'!A192,"")</f>
        <v/>
      </c>
      <c r="B2988">
        <f>IF(A2988="","",'Employees'!C17)</f>
        <v/>
      </c>
      <c r="C2988">
        <f>IF(A2988="","",'Employees'!D17)</f>
        <v/>
      </c>
      <c r="D2988">
        <f>IF(A2988="","",'Skill Matrix'!C192)</f>
        <v/>
      </c>
      <c r="E2988">
        <f>IF(A2988="","",'Skill Matrix'!D192)</f>
        <v/>
      </c>
      <c r="F2988">
        <f>IF(AND('Skill Matrix'!A192&lt;&gt;"",'Skill Matrix'!O5&lt;&gt;""),'Skill Matrix'!O5,"")</f>
        <v/>
      </c>
      <c r="G2988">
        <f>IF(OR(A2988="",'Skill Matrix'!O192=""),"",'Skill Matrix'!O192)</f>
        <v/>
      </c>
      <c r="H2988">
        <f>IF(A2988="","",'Employees'!F17)</f>
        <v/>
      </c>
    </row>
    <row r="2989">
      <c r="A2989">
        <f>IF(AND('Skill Matrix'!A192&lt;&gt;"",'Skill Matrix'!P5&lt;&gt;""),'Skill Matrix'!A192,"")</f>
        <v/>
      </c>
      <c r="B2989">
        <f>IF(A2989="","",'Employees'!C17)</f>
        <v/>
      </c>
      <c r="C2989">
        <f>IF(A2989="","",'Employees'!D17)</f>
        <v/>
      </c>
      <c r="D2989">
        <f>IF(A2989="","",'Skill Matrix'!C192)</f>
        <v/>
      </c>
      <c r="E2989">
        <f>IF(A2989="","",'Skill Matrix'!D192)</f>
        <v/>
      </c>
      <c r="F2989">
        <f>IF(AND('Skill Matrix'!A192&lt;&gt;"",'Skill Matrix'!P5&lt;&gt;""),'Skill Matrix'!P5,"")</f>
        <v/>
      </c>
      <c r="G2989">
        <f>IF(OR(A2989="",'Skill Matrix'!P192=""),"",'Skill Matrix'!P192)</f>
        <v/>
      </c>
      <c r="H2989">
        <f>IF(A2989="","",'Employees'!F17)</f>
        <v/>
      </c>
    </row>
    <row r="2990">
      <c r="A2990">
        <f>IF(AND('Skill Matrix'!A192&lt;&gt;"",'Skill Matrix'!Q5&lt;&gt;""),'Skill Matrix'!A192,"")</f>
        <v/>
      </c>
      <c r="B2990">
        <f>IF(A2990="","",'Employees'!C17)</f>
        <v/>
      </c>
      <c r="C2990">
        <f>IF(A2990="","",'Employees'!D17)</f>
        <v/>
      </c>
      <c r="D2990">
        <f>IF(A2990="","",'Skill Matrix'!C192)</f>
        <v/>
      </c>
      <c r="E2990">
        <f>IF(A2990="","",'Skill Matrix'!D192)</f>
        <v/>
      </c>
      <c r="F2990">
        <f>IF(AND('Skill Matrix'!A192&lt;&gt;"",'Skill Matrix'!Q5&lt;&gt;""),'Skill Matrix'!Q5,"")</f>
        <v/>
      </c>
      <c r="G2990">
        <f>IF(OR(A2990="",'Skill Matrix'!Q192=""),"",'Skill Matrix'!Q192)</f>
        <v/>
      </c>
      <c r="H2990">
        <f>IF(A2990="","",'Employees'!F17)</f>
        <v/>
      </c>
    </row>
    <row r="2991">
      <c r="A2991">
        <f>IF(AND('Skill Matrix'!A192&lt;&gt;"",'Skill Matrix'!R5&lt;&gt;""),'Skill Matrix'!A192,"")</f>
        <v/>
      </c>
      <c r="B2991">
        <f>IF(A2991="","",'Employees'!C17)</f>
        <v/>
      </c>
      <c r="C2991">
        <f>IF(A2991="","",'Employees'!D17)</f>
        <v/>
      </c>
      <c r="D2991">
        <f>IF(A2991="","",'Skill Matrix'!C192)</f>
        <v/>
      </c>
      <c r="E2991">
        <f>IF(A2991="","",'Skill Matrix'!D192)</f>
        <v/>
      </c>
      <c r="F2991">
        <f>IF(AND('Skill Matrix'!A192&lt;&gt;"",'Skill Matrix'!R5&lt;&gt;""),'Skill Matrix'!R5,"")</f>
        <v/>
      </c>
      <c r="G2991">
        <f>IF(OR(A2991="",'Skill Matrix'!R192=""),"",'Skill Matrix'!R192)</f>
        <v/>
      </c>
      <c r="H2991">
        <f>IF(A2991="","",'Employees'!F17)</f>
        <v/>
      </c>
    </row>
    <row r="2992">
      <c r="A2992">
        <f>IF(AND('Skill Matrix'!A192&lt;&gt;"",'Skill Matrix'!S5&lt;&gt;""),'Skill Matrix'!A192,"")</f>
        <v/>
      </c>
      <c r="B2992">
        <f>IF(A2992="","",'Employees'!C17)</f>
        <v/>
      </c>
      <c r="C2992">
        <f>IF(A2992="","",'Employees'!D17)</f>
        <v/>
      </c>
      <c r="D2992">
        <f>IF(A2992="","",'Skill Matrix'!C192)</f>
        <v/>
      </c>
      <c r="E2992">
        <f>IF(A2992="","",'Skill Matrix'!D192)</f>
        <v/>
      </c>
      <c r="F2992">
        <f>IF(AND('Skill Matrix'!A192&lt;&gt;"",'Skill Matrix'!S5&lt;&gt;""),'Skill Matrix'!S5,"")</f>
        <v/>
      </c>
      <c r="G2992">
        <f>IF(OR(A2992="",'Skill Matrix'!S192=""),"",'Skill Matrix'!S192)</f>
        <v/>
      </c>
      <c r="H2992">
        <f>IF(A2992="","",'Employees'!F17)</f>
        <v/>
      </c>
    </row>
    <row r="2993">
      <c r="A2993">
        <f>IF(AND('Skill Matrix'!A192&lt;&gt;"",'Skill Matrix'!T5&lt;&gt;""),'Skill Matrix'!A192,"")</f>
        <v/>
      </c>
      <c r="B2993">
        <f>IF(A2993="","",'Employees'!C17)</f>
        <v/>
      </c>
      <c r="C2993">
        <f>IF(A2993="","",'Employees'!D17)</f>
        <v/>
      </c>
      <c r="D2993">
        <f>IF(A2993="","",'Skill Matrix'!C192)</f>
        <v/>
      </c>
      <c r="E2993">
        <f>IF(A2993="","",'Skill Matrix'!D192)</f>
        <v/>
      </c>
      <c r="F2993">
        <f>IF(AND('Skill Matrix'!A192&lt;&gt;"",'Skill Matrix'!T5&lt;&gt;""),'Skill Matrix'!T5,"")</f>
        <v/>
      </c>
      <c r="G2993">
        <f>IF(OR(A2993="",'Skill Matrix'!T192=""),"",'Skill Matrix'!T192)</f>
        <v/>
      </c>
      <c r="H2993">
        <f>IF(A2993="","",'Employees'!F17)</f>
        <v/>
      </c>
    </row>
    <row r="2994">
      <c r="A2994">
        <f>IF(AND('Skill Matrix'!A193&lt;&gt;"",'Skill Matrix'!E5&lt;&gt;""),'Skill Matrix'!A193,"")</f>
        <v/>
      </c>
      <c r="B2994">
        <f>IF(A2994="","",'Employees'!C17)</f>
        <v/>
      </c>
      <c r="C2994">
        <f>IF(A2994="","",'Employees'!D17)</f>
        <v/>
      </c>
      <c r="D2994">
        <f>IF(A2994="","",'Skill Matrix'!C193)</f>
        <v/>
      </c>
      <c r="E2994">
        <f>IF(A2994="","",'Skill Matrix'!D193)</f>
        <v/>
      </c>
      <c r="F2994">
        <f>IF(AND('Skill Matrix'!A193&lt;&gt;"",'Skill Matrix'!E5&lt;&gt;""),'Skill Matrix'!E5,"")</f>
        <v/>
      </c>
      <c r="G2994">
        <f>IF(OR(A2994="",'Skill Matrix'!E193=""),"",'Skill Matrix'!E193)</f>
        <v/>
      </c>
      <c r="H2994">
        <f>IF(A2994="","",'Employees'!F17)</f>
        <v/>
      </c>
    </row>
    <row r="2995">
      <c r="A2995">
        <f>IF(AND('Skill Matrix'!A193&lt;&gt;"",'Skill Matrix'!F5&lt;&gt;""),'Skill Matrix'!A193,"")</f>
        <v/>
      </c>
      <c r="B2995">
        <f>IF(A2995="","",'Employees'!C17)</f>
        <v/>
      </c>
      <c r="C2995">
        <f>IF(A2995="","",'Employees'!D17)</f>
        <v/>
      </c>
      <c r="D2995">
        <f>IF(A2995="","",'Skill Matrix'!C193)</f>
        <v/>
      </c>
      <c r="E2995">
        <f>IF(A2995="","",'Skill Matrix'!D193)</f>
        <v/>
      </c>
      <c r="F2995">
        <f>IF(AND('Skill Matrix'!A193&lt;&gt;"",'Skill Matrix'!F5&lt;&gt;""),'Skill Matrix'!F5,"")</f>
        <v/>
      </c>
      <c r="G2995">
        <f>IF(OR(A2995="",'Skill Matrix'!F193=""),"",'Skill Matrix'!F193)</f>
        <v/>
      </c>
      <c r="H2995">
        <f>IF(A2995="","",'Employees'!F17)</f>
        <v/>
      </c>
    </row>
    <row r="2996">
      <c r="A2996">
        <f>IF(AND('Skill Matrix'!A193&lt;&gt;"",'Skill Matrix'!G5&lt;&gt;""),'Skill Matrix'!A193,"")</f>
        <v/>
      </c>
      <c r="B2996">
        <f>IF(A2996="","",'Employees'!C17)</f>
        <v/>
      </c>
      <c r="C2996">
        <f>IF(A2996="","",'Employees'!D17)</f>
        <v/>
      </c>
      <c r="D2996">
        <f>IF(A2996="","",'Skill Matrix'!C193)</f>
        <v/>
      </c>
      <c r="E2996">
        <f>IF(A2996="","",'Skill Matrix'!D193)</f>
        <v/>
      </c>
      <c r="F2996">
        <f>IF(AND('Skill Matrix'!A193&lt;&gt;"",'Skill Matrix'!G5&lt;&gt;""),'Skill Matrix'!G5,"")</f>
        <v/>
      </c>
      <c r="G2996">
        <f>IF(OR(A2996="",'Skill Matrix'!G193=""),"",'Skill Matrix'!G193)</f>
        <v/>
      </c>
      <c r="H2996">
        <f>IF(A2996="","",'Employees'!F17)</f>
        <v/>
      </c>
    </row>
    <row r="2997">
      <c r="A2997">
        <f>IF(AND('Skill Matrix'!A193&lt;&gt;"",'Skill Matrix'!H5&lt;&gt;""),'Skill Matrix'!A193,"")</f>
        <v/>
      </c>
      <c r="B2997">
        <f>IF(A2997="","",'Employees'!C17)</f>
        <v/>
      </c>
      <c r="C2997">
        <f>IF(A2997="","",'Employees'!D17)</f>
        <v/>
      </c>
      <c r="D2997">
        <f>IF(A2997="","",'Skill Matrix'!C193)</f>
        <v/>
      </c>
      <c r="E2997">
        <f>IF(A2997="","",'Skill Matrix'!D193)</f>
        <v/>
      </c>
      <c r="F2997">
        <f>IF(AND('Skill Matrix'!A193&lt;&gt;"",'Skill Matrix'!H5&lt;&gt;""),'Skill Matrix'!H5,"")</f>
        <v/>
      </c>
      <c r="G2997">
        <f>IF(OR(A2997="",'Skill Matrix'!H193=""),"",'Skill Matrix'!H193)</f>
        <v/>
      </c>
      <c r="H2997">
        <f>IF(A2997="","",'Employees'!F17)</f>
        <v/>
      </c>
    </row>
    <row r="2998">
      <c r="A2998">
        <f>IF(AND('Skill Matrix'!A193&lt;&gt;"",'Skill Matrix'!I5&lt;&gt;""),'Skill Matrix'!A193,"")</f>
        <v/>
      </c>
      <c r="B2998">
        <f>IF(A2998="","",'Employees'!C17)</f>
        <v/>
      </c>
      <c r="C2998">
        <f>IF(A2998="","",'Employees'!D17)</f>
        <v/>
      </c>
      <c r="D2998">
        <f>IF(A2998="","",'Skill Matrix'!C193)</f>
        <v/>
      </c>
      <c r="E2998">
        <f>IF(A2998="","",'Skill Matrix'!D193)</f>
        <v/>
      </c>
      <c r="F2998">
        <f>IF(AND('Skill Matrix'!A193&lt;&gt;"",'Skill Matrix'!I5&lt;&gt;""),'Skill Matrix'!I5,"")</f>
        <v/>
      </c>
      <c r="G2998">
        <f>IF(OR(A2998="",'Skill Matrix'!I193=""),"",'Skill Matrix'!I193)</f>
        <v/>
      </c>
      <c r="H2998">
        <f>IF(A2998="","",'Employees'!F17)</f>
        <v/>
      </c>
    </row>
    <row r="2999">
      <c r="A2999">
        <f>IF(AND('Skill Matrix'!A193&lt;&gt;"",'Skill Matrix'!J5&lt;&gt;""),'Skill Matrix'!A193,"")</f>
        <v/>
      </c>
      <c r="B2999">
        <f>IF(A2999="","",'Employees'!C17)</f>
        <v/>
      </c>
      <c r="C2999">
        <f>IF(A2999="","",'Employees'!D17)</f>
        <v/>
      </c>
      <c r="D2999">
        <f>IF(A2999="","",'Skill Matrix'!C193)</f>
        <v/>
      </c>
      <c r="E2999">
        <f>IF(A2999="","",'Skill Matrix'!D193)</f>
        <v/>
      </c>
      <c r="F2999">
        <f>IF(AND('Skill Matrix'!A193&lt;&gt;"",'Skill Matrix'!J5&lt;&gt;""),'Skill Matrix'!J5,"")</f>
        <v/>
      </c>
      <c r="G2999">
        <f>IF(OR(A2999="",'Skill Matrix'!J193=""),"",'Skill Matrix'!J193)</f>
        <v/>
      </c>
      <c r="H2999">
        <f>IF(A2999="","",'Employees'!F17)</f>
        <v/>
      </c>
    </row>
    <row r="3000">
      <c r="A3000">
        <f>IF(AND('Skill Matrix'!A193&lt;&gt;"",'Skill Matrix'!K5&lt;&gt;""),'Skill Matrix'!A193,"")</f>
        <v/>
      </c>
      <c r="B3000">
        <f>IF(A3000="","",'Employees'!C17)</f>
        <v/>
      </c>
      <c r="C3000">
        <f>IF(A3000="","",'Employees'!D17)</f>
        <v/>
      </c>
      <c r="D3000">
        <f>IF(A3000="","",'Skill Matrix'!C193)</f>
        <v/>
      </c>
      <c r="E3000">
        <f>IF(A3000="","",'Skill Matrix'!D193)</f>
        <v/>
      </c>
      <c r="F3000">
        <f>IF(AND('Skill Matrix'!A193&lt;&gt;"",'Skill Matrix'!K5&lt;&gt;""),'Skill Matrix'!K5,"")</f>
        <v/>
      </c>
      <c r="G3000">
        <f>IF(OR(A3000="",'Skill Matrix'!K193=""),"",'Skill Matrix'!K193)</f>
        <v/>
      </c>
      <c r="H3000">
        <f>IF(A3000="","",'Employees'!F17)</f>
        <v/>
      </c>
    </row>
    <row r="3001">
      <c r="A3001">
        <f>IF(AND('Skill Matrix'!A193&lt;&gt;"",'Skill Matrix'!L5&lt;&gt;""),'Skill Matrix'!A193,"")</f>
        <v/>
      </c>
      <c r="B3001">
        <f>IF(A3001="","",'Employees'!C17)</f>
        <v/>
      </c>
      <c r="C3001">
        <f>IF(A3001="","",'Employees'!D17)</f>
        <v/>
      </c>
      <c r="D3001">
        <f>IF(A3001="","",'Skill Matrix'!C193)</f>
        <v/>
      </c>
      <c r="E3001">
        <f>IF(A3001="","",'Skill Matrix'!D193)</f>
        <v/>
      </c>
      <c r="F3001">
        <f>IF(AND('Skill Matrix'!A193&lt;&gt;"",'Skill Matrix'!L5&lt;&gt;""),'Skill Matrix'!L5,"")</f>
        <v/>
      </c>
      <c r="G3001">
        <f>IF(OR(A3001="",'Skill Matrix'!L193=""),"",'Skill Matrix'!L193)</f>
        <v/>
      </c>
      <c r="H3001">
        <f>IF(A3001="","",'Employees'!F17)</f>
        <v/>
      </c>
    </row>
    <row r="3002">
      <c r="A3002">
        <f>IF(AND('Skill Matrix'!A193&lt;&gt;"",'Skill Matrix'!M5&lt;&gt;""),'Skill Matrix'!A193,"")</f>
        <v/>
      </c>
      <c r="B3002">
        <f>IF(A3002="","",'Employees'!C17)</f>
        <v/>
      </c>
      <c r="C3002">
        <f>IF(A3002="","",'Employees'!D17)</f>
        <v/>
      </c>
      <c r="D3002">
        <f>IF(A3002="","",'Skill Matrix'!C193)</f>
        <v/>
      </c>
      <c r="E3002">
        <f>IF(A3002="","",'Skill Matrix'!D193)</f>
        <v/>
      </c>
      <c r="F3002">
        <f>IF(AND('Skill Matrix'!A193&lt;&gt;"",'Skill Matrix'!M5&lt;&gt;""),'Skill Matrix'!M5,"")</f>
        <v/>
      </c>
      <c r="G3002">
        <f>IF(OR(A3002="",'Skill Matrix'!M193=""),"",'Skill Matrix'!M193)</f>
        <v/>
      </c>
      <c r="H3002">
        <f>IF(A3002="","",'Employees'!F17)</f>
        <v/>
      </c>
    </row>
    <row r="3003">
      <c r="A3003">
        <f>IF(AND('Skill Matrix'!A193&lt;&gt;"",'Skill Matrix'!N5&lt;&gt;""),'Skill Matrix'!A193,"")</f>
        <v/>
      </c>
      <c r="B3003">
        <f>IF(A3003="","",'Employees'!C17)</f>
        <v/>
      </c>
      <c r="C3003">
        <f>IF(A3003="","",'Employees'!D17)</f>
        <v/>
      </c>
      <c r="D3003">
        <f>IF(A3003="","",'Skill Matrix'!C193)</f>
        <v/>
      </c>
      <c r="E3003">
        <f>IF(A3003="","",'Skill Matrix'!D193)</f>
        <v/>
      </c>
      <c r="F3003">
        <f>IF(AND('Skill Matrix'!A193&lt;&gt;"",'Skill Matrix'!N5&lt;&gt;""),'Skill Matrix'!N5,"")</f>
        <v/>
      </c>
      <c r="G3003">
        <f>IF(OR(A3003="",'Skill Matrix'!N193=""),"",'Skill Matrix'!N193)</f>
        <v/>
      </c>
      <c r="H3003">
        <f>IF(A3003="","",'Employees'!F17)</f>
        <v/>
      </c>
    </row>
    <row r="3004">
      <c r="A3004">
        <f>IF(AND('Skill Matrix'!A193&lt;&gt;"",'Skill Matrix'!O5&lt;&gt;""),'Skill Matrix'!A193,"")</f>
        <v/>
      </c>
      <c r="B3004">
        <f>IF(A3004="","",'Employees'!C17)</f>
        <v/>
      </c>
      <c r="C3004">
        <f>IF(A3004="","",'Employees'!D17)</f>
        <v/>
      </c>
      <c r="D3004">
        <f>IF(A3004="","",'Skill Matrix'!C193)</f>
        <v/>
      </c>
      <c r="E3004">
        <f>IF(A3004="","",'Skill Matrix'!D193)</f>
        <v/>
      </c>
      <c r="F3004">
        <f>IF(AND('Skill Matrix'!A193&lt;&gt;"",'Skill Matrix'!O5&lt;&gt;""),'Skill Matrix'!O5,"")</f>
        <v/>
      </c>
      <c r="G3004">
        <f>IF(OR(A3004="",'Skill Matrix'!O193=""),"",'Skill Matrix'!O193)</f>
        <v/>
      </c>
      <c r="H3004">
        <f>IF(A3004="","",'Employees'!F17)</f>
        <v/>
      </c>
    </row>
    <row r="3005">
      <c r="A3005">
        <f>IF(AND('Skill Matrix'!A193&lt;&gt;"",'Skill Matrix'!P5&lt;&gt;""),'Skill Matrix'!A193,"")</f>
        <v/>
      </c>
      <c r="B3005">
        <f>IF(A3005="","",'Employees'!C17)</f>
        <v/>
      </c>
      <c r="C3005">
        <f>IF(A3005="","",'Employees'!D17)</f>
        <v/>
      </c>
      <c r="D3005">
        <f>IF(A3005="","",'Skill Matrix'!C193)</f>
        <v/>
      </c>
      <c r="E3005">
        <f>IF(A3005="","",'Skill Matrix'!D193)</f>
        <v/>
      </c>
      <c r="F3005">
        <f>IF(AND('Skill Matrix'!A193&lt;&gt;"",'Skill Matrix'!P5&lt;&gt;""),'Skill Matrix'!P5,"")</f>
        <v/>
      </c>
      <c r="G3005">
        <f>IF(OR(A3005="",'Skill Matrix'!P193=""),"",'Skill Matrix'!P193)</f>
        <v/>
      </c>
      <c r="H3005">
        <f>IF(A3005="","",'Employees'!F17)</f>
        <v/>
      </c>
    </row>
    <row r="3006">
      <c r="A3006">
        <f>IF(AND('Skill Matrix'!A193&lt;&gt;"",'Skill Matrix'!Q5&lt;&gt;""),'Skill Matrix'!A193,"")</f>
        <v/>
      </c>
      <c r="B3006">
        <f>IF(A3006="","",'Employees'!C17)</f>
        <v/>
      </c>
      <c r="C3006">
        <f>IF(A3006="","",'Employees'!D17)</f>
        <v/>
      </c>
      <c r="D3006">
        <f>IF(A3006="","",'Skill Matrix'!C193)</f>
        <v/>
      </c>
      <c r="E3006">
        <f>IF(A3006="","",'Skill Matrix'!D193)</f>
        <v/>
      </c>
      <c r="F3006">
        <f>IF(AND('Skill Matrix'!A193&lt;&gt;"",'Skill Matrix'!Q5&lt;&gt;""),'Skill Matrix'!Q5,"")</f>
        <v/>
      </c>
      <c r="G3006">
        <f>IF(OR(A3006="",'Skill Matrix'!Q193=""),"",'Skill Matrix'!Q193)</f>
        <v/>
      </c>
      <c r="H3006">
        <f>IF(A3006="","",'Employees'!F17)</f>
        <v/>
      </c>
    </row>
    <row r="3007">
      <c r="A3007">
        <f>IF(AND('Skill Matrix'!A193&lt;&gt;"",'Skill Matrix'!R5&lt;&gt;""),'Skill Matrix'!A193,"")</f>
        <v/>
      </c>
      <c r="B3007">
        <f>IF(A3007="","",'Employees'!C17)</f>
        <v/>
      </c>
      <c r="C3007">
        <f>IF(A3007="","",'Employees'!D17)</f>
        <v/>
      </c>
      <c r="D3007">
        <f>IF(A3007="","",'Skill Matrix'!C193)</f>
        <v/>
      </c>
      <c r="E3007">
        <f>IF(A3007="","",'Skill Matrix'!D193)</f>
        <v/>
      </c>
      <c r="F3007">
        <f>IF(AND('Skill Matrix'!A193&lt;&gt;"",'Skill Matrix'!R5&lt;&gt;""),'Skill Matrix'!R5,"")</f>
        <v/>
      </c>
      <c r="G3007">
        <f>IF(OR(A3007="",'Skill Matrix'!R193=""),"",'Skill Matrix'!R193)</f>
        <v/>
      </c>
      <c r="H3007">
        <f>IF(A3007="","",'Employees'!F17)</f>
        <v/>
      </c>
    </row>
    <row r="3008">
      <c r="A3008">
        <f>IF(AND('Skill Matrix'!A193&lt;&gt;"",'Skill Matrix'!S5&lt;&gt;""),'Skill Matrix'!A193,"")</f>
        <v/>
      </c>
      <c r="B3008">
        <f>IF(A3008="","",'Employees'!C17)</f>
        <v/>
      </c>
      <c r="C3008">
        <f>IF(A3008="","",'Employees'!D17)</f>
        <v/>
      </c>
      <c r="D3008">
        <f>IF(A3008="","",'Skill Matrix'!C193)</f>
        <v/>
      </c>
      <c r="E3008">
        <f>IF(A3008="","",'Skill Matrix'!D193)</f>
        <v/>
      </c>
      <c r="F3008">
        <f>IF(AND('Skill Matrix'!A193&lt;&gt;"",'Skill Matrix'!S5&lt;&gt;""),'Skill Matrix'!S5,"")</f>
        <v/>
      </c>
      <c r="G3008">
        <f>IF(OR(A3008="",'Skill Matrix'!S193=""),"",'Skill Matrix'!S193)</f>
        <v/>
      </c>
      <c r="H3008">
        <f>IF(A3008="","",'Employees'!F17)</f>
        <v/>
      </c>
    </row>
    <row r="3009">
      <c r="A3009">
        <f>IF(AND('Skill Matrix'!A193&lt;&gt;"",'Skill Matrix'!T5&lt;&gt;""),'Skill Matrix'!A193,"")</f>
        <v/>
      </c>
      <c r="B3009">
        <f>IF(A3009="","",'Employees'!C17)</f>
        <v/>
      </c>
      <c r="C3009">
        <f>IF(A3009="","",'Employees'!D17)</f>
        <v/>
      </c>
      <c r="D3009">
        <f>IF(A3009="","",'Skill Matrix'!C193)</f>
        <v/>
      </c>
      <c r="E3009">
        <f>IF(A3009="","",'Skill Matrix'!D193)</f>
        <v/>
      </c>
      <c r="F3009">
        <f>IF(AND('Skill Matrix'!A193&lt;&gt;"",'Skill Matrix'!T5&lt;&gt;""),'Skill Matrix'!T5,"")</f>
        <v/>
      </c>
      <c r="G3009">
        <f>IF(OR(A3009="",'Skill Matrix'!T193=""),"",'Skill Matrix'!T193)</f>
        <v/>
      </c>
      <c r="H3009">
        <f>IF(A3009="","",'Employees'!F17)</f>
        <v/>
      </c>
    </row>
    <row r="3010">
      <c r="A3010">
        <f>IF(AND('Skill Matrix'!A194&lt;&gt;"",'Skill Matrix'!E5&lt;&gt;""),'Skill Matrix'!A194,"")</f>
        <v/>
      </c>
      <c r="B3010">
        <f>IF(A3010="","",'Employees'!C17)</f>
        <v/>
      </c>
      <c r="C3010">
        <f>IF(A3010="","",'Employees'!D17)</f>
        <v/>
      </c>
      <c r="D3010">
        <f>IF(A3010="","",'Skill Matrix'!C194)</f>
        <v/>
      </c>
      <c r="E3010">
        <f>IF(A3010="","",'Skill Matrix'!D194)</f>
        <v/>
      </c>
      <c r="F3010">
        <f>IF(AND('Skill Matrix'!A194&lt;&gt;"",'Skill Matrix'!E5&lt;&gt;""),'Skill Matrix'!E5,"")</f>
        <v/>
      </c>
      <c r="G3010">
        <f>IF(OR(A3010="",'Skill Matrix'!E194=""),"",'Skill Matrix'!E194)</f>
        <v/>
      </c>
      <c r="H3010">
        <f>IF(A3010="","",'Employees'!F17)</f>
        <v/>
      </c>
    </row>
    <row r="3011">
      <c r="A3011">
        <f>IF(AND('Skill Matrix'!A194&lt;&gt;"",'Skill Matrix'!F5&lt;&gt;""),'Skill Matrix'!A194,"")</f>
        <v/>
      </c>
      <c r="B3011">
        <f>IF(A3011="","",'Employees'!C17)</f>
        <v/>
      </c>
      <c r="C3011">
        <f>IF(A3011="","",'Employees'!D17)</f>
        <v/>
      </c>
      <c r="D3011">
        <f>IF(A3011="","",'Skill Matrix'!C194)</f>
        <v/>
      </c>
      <c r="E3011">
        <f>IF(A3011="","",'Skill Matrix'!D194)</f>
        <v/>
      </c>
      <c r="F3011">
        <f>IF(AND('Skill Matrix'!A194&lt;&gt;"",'Skill Matrix'!F5&lt;&gt;""),'Skill Matrix'!F5,"")</f>
        <v/>
      </c>
      <c r="G3011">
        <f>IF(OR(A3011="",'Skill Matrix'!F194=""),"",'Skill Matrix'!F194)</f>
        <v/>
      </c>
      <c r="H3011">
        <f>IF(A3011="","",'Employees'!F17)</f>
        <v/>
      </c>
    </row>
    <row r="3012">
      <c r="A3012">
        <f>IF(AND('Skill Matrix'!A194&lt;&gt;"",'Skill Matrix'!G5&lt;&gt;""),'Skill Matrix'!A194,"")</f>
        <v/>
      </c>
      <c r="B3012">
        <f>IF(A3012="","",'Employees'!C17)</f>
        <v/>
      </c>
      <c r="C3012">
        <f>IF(A3012="","",'Employees'!D17)</f>
        <v/>
      </c>
      <c r="D3012">
        <f>IF(A3012="","",'Skill Matrix'!C194)</f>
        <v/>
      </c>
      <c r="E3012">
        <f>IF(A3012="","",'Skill Matrix'!D194)</f>
        <v/>
      </c>
      <c r="F3012">
        <f>IF(AND('Skill Matrix'!A194&lt;&gt;"",'Skill Matrix'!G5&lt;&gt;""),'Skill Matrix'!G5,"")</f>
        <v/>
      </c>
      <c r="G3012">
        <f>IF(OR(A3012="",'Skill Matrix'!G194=""),"",'Skill Matrix'!G194)</f>
        <v/>
      </c>
      <c r="H3012">
        <f>IF(A3012="","",'Employees'!F17)</f>
        <v/>
      </c>
    </row>
    <row r="3013">
      <c r="A3013">
        <f>IF(AND('Skill Matrix'!A194&lt;&gt;"",'Skill Matrix'!H5&lt;&gt;""),'Skill Matrix'!A194,"")</f>
        <v/>
      </c>
      <c r="B3013">
        <f>IF(A3013="","",'Employees'!C17)</f>
        <v/>
      </c>
      <c r="C3013">
        <f>IF(A3013="","",'Employees'!D17)</f>
        <v/>
      </c>
      <c r="D3013">
        <f>IF(A3013="","",'Skill Matrix'!C194)</f>
        <v/>
      </c>
      <c r="E3013">
        <f>IF(A3013="","",'Skill Matrix'!D194)</f>
        <v/>
      </c>
      <c r="F3013">
        <f>IF(AND('Skill Matrix'!A194&lt;&gt;"",'Skill Matrix'!H5&lt;&gt;""),'Skill Matrix'!H5,"")</f>
        <v/>
      </c>
      <c r="G3013">
        <f>IF(OR(A3013="",'Skill Matrix'!H194=""),"",'Skill Matrix'!H194)</f>
        <v/>
      </c>
      <c r="H3013">
        <f>IF(A3013="","",'Employees'!F17)</f>
        <v/>
      </c>
    </row>
    <row r="3014">
      <c r="A3014">
        <f>IF(AND('Skill Matrix'!A194&lt;&gt;"",'Skill Matrix'!I5&lt;&gt;""),'Skill Matrix'!A194,"")</f>
        <v/>
      </c>
      <c r="B3014">
        <f>IF(A3014="","",'Employees'!C17)</f>
        <v/>
      </c>
      <c r="C3014">
        <f>IF(A3014="","",'Employees'!D17)</f>
        <v/>
      </c>
      <c r="D3014">
        <f>IF(A3014="","",'Skill Matrix'!C194)</f>
        <v/>
      </c>
      <c r="E3014">
        <f>IF(A3014="","",'Skill Matrix'!D194)</f>
        <v/>
      </c>
      <c r="F3014">
        <f>IF(AND('Skill Matrix'!A194&lt;&gt;"",'Skill Matrix'!I5&lt;&gt;""),'Skill Matrix'!I5,"")</f>
        <v/>
      </c>
      <c r="G3014">
        <f>IF(OR(A3014="",'Skill Matrix'!I194=""),"",'Skill Matrix'!I194)</f>
        <v/>
      </c>
      <c r="H3014">
        <f>IF(A3014="","",'Employees'!F17)</f>
        <v/>
      </c>
    </row>
    <row r="3015">
      <c r="A3015">
        <f>IF(AND('Skill Matrix'!A194&lt;&gt;"",'Skill Matrix'!J5&lt;&gt;""),'Skill Matrix'!A194,"")</f>
        <v/>
      </c>
      <c r="B3015">
        <f>IF(A3015="","",'Employees'!C17)</f>
        <v/>
      </c>
      <c r="C3015">
        <f>IF(A3015="","",'Employees'!D17)</f>
        <v/>
      </c>
      <c r="D3015">
        <f>IF(A3015="","",'Skill Matrix'!C194)</f>
        <v/>
      </c>
      <c r="E3015">
        <f>IF(A3015="","",'Skill Matrix'!D194)</f>
        <v/>
      </c>
      <c r="F3015">
        <f>IF(AND('Skill Matrix'!A194&lt;&gt;"",'Skill Matrix'!J5&lt;&gt;""),'Skill Matrix'!J5,"")</f>
        <v/>
      </c>
      <c r="G3015">
        <f>IF(OR(A3015="",'Skill Matrix'!J194=""),"",'Skill Matrix'!J194)</f>
        <v/>
      </c>
      <c r="H3015">
        <f>IF(A3015="","",'Employees'!F17)</f>
        <v/>
      </c>
    </row>
    <row r="3016">
      <c r="A3016">
        <f>IF(AND('Skill Matrix'!A194&lt;&gt;"",'Skill Matrix'!K5&lt;&gt;""),'Skill Matrix'!A194,"")</f>
        <v/>
      </c>
      <c r="B3016">
        <f>IF(A3016="","",'Employees'!C17)</f>
        <v/>
      </c>
      <c r="C3016">
        <f>IF(A3016="","",'Employees'!D17)</f>
        <v/>
      </c>
      <c r="D3016">
        <f>IF(A3016="","",'Skill Matrix'!C194)</f>
        <v/>
      </c>
      <c r="E3016">
        <f>IF(A3016="","",'Skill Matrix'!D194)</f>
        <v/>
      </c>
      <c r="F3016">
        <f>IF(AND('Skill Matrix'!A194&lt;&gt;"",'Skill Matrix'!K5&lt;&gt;""),'Skill Matrix'!K5,"")</f>
        <v/>
      </c>
      <c r="G3016">
        <f>IF(OR(A3016="",'Skill Matrix'!K194=""),"",'Skill Matrix'!K194)</f>
        <v/>
      </c>
      <c r="H3016">
        <f>IF(A3016="","",'Employees'!F17)</f>
        <v/>
      </c>
    </row>
    <row r="3017">
      <c r="A3017">
        <f>IF(AND('Skill Matrix'!A194&lt;&gt;"",'Skill Matrix'!L5&lt;&gt;""),'Skill Matrix'!A194,"")</f>
        <v/>
      </c>
      <c r="B3017">
        <f>IF(A3017="","",'Employees'!C17)</f>
        <v/>
      </c>
      <c r="C3017">
        <f>IF(A3017="","",'Employees'!D17)</f>
        <v/>
      </c>
      <c r="D3017">
        <f>IF(A3017="","",'Skill Matrix'!C194)</f>
        <v/>
      </c>
      <c r="E3017">
        <f>IF(A3017="","",'Skill Matrix'!D194)</f>
        <v/>
      </c>
      <c r="F3017">
        <f>IF(AND('Skill Matrix'!A194&lt;&gt;"",'Skill Matrix'!L5&lt;&gt;""),'Skill Matrix'!L5,"")</f>
        <v/>
      </c>
      <c r="G3017">
        <f>IF(OR(A3017="",'Skill Matrix'!L194=""),"",'Skill Matrix'!L194)</f>
        <v/>
      </c>
      <c r="H3017">
        <f>IF(A3017="","",'Employees'!F17)</f>
        <v/>
      </c>
    </row>
    <row r="3018">
      <c r="A3018">
        <f>IF(AND('Skill Matrix'!A194&lt;&gt;"",'Skill Matrix'!M5&lt;&gt;""),'Skill Matrix'!A194,"")</f>
        <v/>
      </c>
      <c r="B3018">
        <f>IF(A3018="","",'Employees'!C17)</f>
        <v/>
      </c>
      <c r="C3018">
        <f>IF(A3018="","",'Employees'!D17)</f>
        <v/>
      </c>
      <c r="D3018">
        <f>IF(A3018="","",'Skill Matrix'!C194)</f>
        <v/>
      </c>
      <c r="E3018">
        <f>IF(A3018="","",'Skill Matrix'!D194)</f>
        <v/>
      </c>
      <c r="F3018">
        <f>IF(AND('Skill Matrix'!A194&lt;&gt;"",'Skill Matrix'!M5&lt;&gt;""),'Skill Matrix'!M5,"")</f>
        <v/>
      </c>
      <c r="G3018">
        <f>IF(OR(A3018="",'Skill Matrix'!M194=""),"",'Skill Matrix'!M194)</f>
        <v/>
      </c>
      <c r="H3018">
        <f>IF(A3018="","",'Employees'!F17)</f>
        <v/>
      </c>
    </row>
    <row r="3019">
      <c r="A3019">
        <f>IF(AND('Skill Matrix'!A194&lt;&gt;"",'Skill Matrix'!N5&lt;&gt;""),'Skill Matrix'!A194,"")</f>
        <v/>
      </c>
      <c r="B3019">
        <f>IF(A3019="","",'Employees'!C17)</f>
        <v/>
      </c>
      <c r="C3019">
        <f>IF(A3019="","",'Employees'!D17)</f>
        <v/>
      </c>
      <c r="D3019">
        <f>IF(A3019="","",'Skill Matrix'!C194)</f>
        <v/>
      </c>
      <c r="E3019">
        <f>IF(A3019="","",'Skill Matrix'!D194)</f>
        <v/>
      </c>
      <c r="F3019">
        <f>IF(AND('Skill Matrix'!A194&lt;&gt;"",'Skill Matrix'!N5&lt;&gt;""),'Skill Matrix'!N5,"")</f>
        <v/>
      </c>
      <c r="G3019">
        <f>IF(OR(A3019="",'Skill Matrix'!N194=""),"",'Skill Matrix'!N194)</f>
        <v/>
      </c>
      <c r="H3019">
        <f>IF(A3019="","",'Employees'!F17)</f>
        <v/>
      </c>
    </row>
    <row r="3020">
      <c r="A3020">
        <f>IF(AND('Skill Matrix'!A194&lt;&gt;"",'Skill Matrix'!O5&lt;&gt;""),'Skill Matrix'!A194,"")</f>
        <v/>
      </c>
      <c r="B3020">
        <f>IF(A3020="","",'Employees'!C17)</f>
        <v/>
      </c>
      <c r="C3020">
        <f>IF(A3020="","",'Employees'!D17)</f>
        <v/>
      </c>
      <c r="D3020">
        <f>IF(A3020="","",'Skill Matrix'!C194)</f>
        <v/>
      </c>
      <c r="E3020">
        <f>IF(A3020="","",'Skill Matrix'!D194)</f>
        <v/>
      </c>
      <c r="F3020">
        <f>IF(AND('Skill Matrix'!A194&lt;&gt;"",'Skill Matrix'!O5&lt;&gt;""),'Skill Matrix'!O5,"")</f>
        <v/>
      </c>
      <c r="G3020">
        <f>IF(OR(A3020="",'Skill Matrix'!O194=""),"",'Skill Matrix'!O194)</f>
        <v/>
      </c>
      <c r="H3020">
        <f>IF(A3020="","",'Employees'!F17)</f>
        <v/>
      </c>
    </row>
    <row r="3021">
      <c r="A3021">
        <f>IF(AND('Skill Matrix'!A194&lt;&gt;"",'Skill Matrix'!P5&lt;&gt;""),'Skill Matrix'!A194,"")</f>
        <v/>
      </c>
      <c r="B3021">
        <f>IF(A3021="","",'Employees'!C17)</f>
        <v/>
      </c>
      <c r="C3021">
        <f>IF(A3021="","",'Employees'!D17)</f>
        <v/>
      </c>
      <c r="D3021">
        <f>IF(A3021="","",'Skill Matrix'!C194)</f>
        <v/>
      </c>
      <c r="E3021">
        <f>IF(A3021="","",'Skill Matrix'!D194)</f>
        <v/>
      </c>
      <c r="F3021">
        <f>IF(AND('Skill Matrix'!A194&lt;&gt;"",'Skill Matrix'!P5&lt;&gt;""),'Skill Matrix'!P5,"")</f>
        <v/>
      </c>
      <c r="G3021">
        <f>IF(OR(A3021="",'Skill Matrix'!P194=""),"",'Skill Matrix'!P194)</f>
        <v/>
      </c>
      <c r="H3021">
        <f>IF(A3021="","",'Employees'!F17)</f>
        <v/>
      </c>
    </row>
    <row r="3022">
      <c r="A3022">
        <f>IF(AND('Skill Matrix'!A194&lt;&gt;"",'Skill Matrix'!Q5&lt;&gt;""),'Skill Matrix'!A194,"")</f>
        <v/>
      </c>
      <c r="B3022">
        <f>IF(A3022="","",'Employees'!C17)</f>
        <v/>
      </c>
      <c r="C3022">
        <f>IF(A3022="","",'Employees'!D17)</f>
        <v/>
      </c>
      <c r="D3022">
        <f>IF(A3022="","",'Skill Matrix'!C194)</f>
        <v/>
      </c>
      <c r="E3022">
        <f>IF(A3022="","",'Skill Matrix'!D194)</f>
        <v/>
      </c>
      <c r="F3022">
        <f>IF(AND('Skill Matrix'!A194&lt;&gt;"",'Skill Matrix'!Q5&lt;&gt;""),'Skill Matrix'!Q5,"")</f>
        <v/>
      </c>
      <c r="G3022">
        <f>IF(OR(A3022="",'Skill Matrix'!Q194=""),"",'Skill Matrix'!Q194)</f>
        <v/>
      </c>
      <c r="H3022">
        <f>IF(A3022="","",'Employees'!F17)</f>
        <v/>
      </c>
    </row>
    <row r="3023">
      <c r="A3023">
        <f>IF(AND('Skill Matrix'!A194&lt;&gt;"",'Skill Matrix'!R5&lt;&gt;""),'Skill Matrix'!A194,"")</f>
        <v/>
      </c>
      <c r="B3023">
        <f>IF(A3023="","",'Employees'!C17)</f>
        <v/>
      </c>
      <c r="C3023">
        <f>IF(A3023="","",'Employees'!D17)</f>
        <v/>
      </c>
      <c r="D3023">
        <f>IF(A3023="","",'Skill Matrix'!C194)</f>
        <v/>
      </c>
      <c r="E3023">
        <f>IF(A3023="","",'Skill Matrix'!D194)</f>
        <v/>
      </c>
      <c r="F3023">
        <f>IF(AND('Skill Matrix'!A194&lt;&gt;"",'Skill Matrix'!R5&lt;&gt;""),'Skill Matrix'!R5,"")</f>
        <v/>
      </c>
      <c r="G3023">
        <f>IF(OR(A3023="",'Skill Matrix'!R194=""),"",'Skill Matrix'!R194)</f>
        <v/>
      </c>
      <c r="H3023">
        <f>IF(A3023="","",'Employees'!F17)</f>
        <v/>
      </c>
    </row>
    <row r="3024">
      <c r="A3024">
        <f>IF(AND('Skill Matrix'!A194&lt;&gt;"",'Skill Matrix'!S5&lt;&gt;""),'Skill Matrix'!A194,"")</f>
        <v/>
      </c>
      <c r="B3024">
        <f>IF(A3024="","",'Employees'!C17)</f>
        <v/>
      </c>
      <c r="C3024">
        <f>IF(A3024="","",'Employees'!D17)</f>
        <v/>
      </c>
      <c r="D3024">
        <f>IF(A3024="","",'Skill Matrix'!C194)</f>
        <v/>
      </c>
      <c r="E3024">
        <f>IF(A3024="","",'Skill Matrix'!D194)</f>
        <v/>
      </c>
      <c r="F3024">
        <f>IF(AND('Skill Matrix'!A194&lt;&gt;"",'Skill Matrix'!S5&lt;&gt;""),'Skill Matrix'!S5,"")</f>
        <v/>
      </c>
      <c r="G3024">
        <f>IF(OR(A3024="",'Skill Matrix'!S194=""),"",'Skill Matrix'!S194)</f>
        <v/>
      </c>
      <c r="H3024">
        <f>IF(A3024="","",'Employees'!F17)</f>
        <v/>
      </c>
    </row>
    <row r="3025">
      <c r="A3025">
        <f>IF(AND('Skill Matrix'!A194&lt;&gt;"",'Skill Matrix'!T5&lt;&gt;""),'Skill Matrix'!A194,"")</f>
        <v/>
      </c>
      <c r="B3025">
        <f>IF(A3025="","",'Employees'!C17)</f>
        <v/>
      </c>
      <c r="C3025">
        <f>IF(A3025="","",'Employees'!D17)</f>
        <v/>
      </c>
      <c r="D3025">
        <f>IF(A3025="","",'Skill Matrix'!C194)</f>
        <v/>
      </c>
      <c r="E3025">
        <f>IF(A3025="","",'Skill Matrix'!D194)</f>
        <v/>
      </c>
      <c r="F3025">
        <f>IF(AND('Skill Matrix'!A194&lt;&gt;"",'Skill Matrix'!T5&lt;&gt;""),'Skill Matrix'!T5,"")</f>
        <v/>
      </c>
      <c r="G3025">
        <f>IF(OR(A3025="",'Skill Matrix'!T194=""),"",'Skill Matrix'!T194)</f>
        <v/>
      </c>
      <c r="H3025">
        <f>IF(A3025="","",'Employees'!F17)</f>
        <v/>
      </c>
    </row>
    <row r="3026">
      <c r="A3026">
        <f>IF(AND('Skill Matrix'!A195&lt;&gt;"",'Skill Matrix'!E5&lt;&gt;""),'Skill Matrix'!A195,"")</f>
        <v/>
      </c>
      <c r="B3026">
        <f>IF(A3026="","",'Employees'!C17)</f>
        <v/>
      </c>
      <c r="C3026">
        <f>IF(A3026="","",'Employees'!D17)</f>
        <v/>
      </c>
      <c r="D3026">
        <f>IF(A3026="","",'Skill Matrix'!C195)</f>
        <v/>
      </c>
      <c r="E3026">
        <f>IF(A3026="","",'Skill Matrix'!D195)</f>
        <v/>
      </c>
      <c r="F3026">
        <f>IF(AND('Skill Matrix'!A195&lt;&gt;"",'Skill Matrix'!E5&lt;&gt;""),'Skill Matrix'!E5,"")</f>
        <v/>
      </c>
      <c r="G3026">
        <f>IF(OR(A3026="",'Skill Matrix'!E195=""),"",'Skill Matrix'!E195)</f>
        <v/>
      </c>
      <c r="H3026">
        <f>IF(A3026="","",'Employees'!F17)</f>
        <v/>
      </c>
    </row>
    <row r="3027">
      <c r="A3027">
        <f>IF(AND('Skill Matrix'!A195&lt;&gt;"",'Skill Matrix'!F5&lt;&gt;""),'Skill Matrix'!A195,"")</f>
        <v/>
      </c>
      <c r="B3027">
        <f>IF(A3027="","",'Employees'!C17)</f>
        <v/>
      </c>
      <c r="C3027">
        <f>IF(A3027="","",'Employees'!D17)</f>
        <v/>
      </c>
      <c r="D3027">
        <f>IF(A3027="","",'Skill Matrix'!C195)</f>
        <v/>
      </c>
      <c r="E3027">
        <f>IF(A3027="","",'Skill Matrix'!D195)</f>
        <v/>
      </c>
      <c r="F3027">
        <f>IF(AND('Skill Matrix'!A195&lt;&gt;"",'Skill Matrix'!F5&lt;&gt;""),'Skill Matrix'!F5,"")</f>
        <v/>
      </c>
      <c r="G3027">
        <f>IF(OR(A3027="",'Skill Matrix'!F195=""),"",'Skill Matrix'!F195)</f>
        <v/>
      </c>
      <c r="H3027">
        <f>IF(A3027="","",'Employees'!F17)</f>
        <v/>
      </c>
    </row>
    <row r="3028">
      <c r="A3028">
        <f>IF(AND('Skill Matrix'!A195&lt;&gt;"",'Skill Matrix'!G5&lt;&gt;""),'Skill Matrix'!A195,"")</f>
        <v/>
      </c>
      <c r="B3028">
        <f>IF(A3028="","",'Employees'!C17)</f>
        <v/>
      </c>
      <c r="C3028">
        <f>IF(A3028="","",'Employees'!D17)</f>
        <v/>
      </c>
      <c r="D3028">
        <f>IF(A3028="","",'Skill Matrix'!C195)</f>
        <v/>
      </c>
      <c r="E3028">
        <f>IF(A3028="","",'Skill Matrix'!D195)</f>
        <v/>
      </c>
      <c r="F3028">
        <f>IF(AND('Skill Matrix'!A195&lt;&gt;"",'Skill Matrix'!G5&lt;&gt;""),'Skill Matrix'!G5,"")</f>
        <v/>
      </c>
      <c r="G3028">
        <f>IF(OR(A3028="",'Skill Matrix'!G195=""),"",'Skill Matrix'!G195)</f>
        <v/>
      </c>
      <c r="H3028">
        <f>IF(A3028="","",'Employees'!F17)</f>
        <v/>
      </c>
    </row>
    <row r="3029">
      <c r="A3029">
        <f>IF(AND('Skill Matrix'!A195&lt;&gt;"",'Skill Matrix'!H5&lt;&gt;""),'Skill Matrix'!A195,"")</f>
        <v/>
      </c>
      <c r="B3029">
        <f>IF(A3029="","",'Employees'!C17)</f>
        <v/>
      </c>
      <c r="C3029">
        <f>IF(A3029="","",'Employees'!D17)</f>
        <v/>
      </c>
      <c r="D3029">
        <f>IF(A3029="","",'Skill Matrix'!C195)</f>
        <v/>
      </c>
      <c r="E3029">
        <f>IF(A3029="","",'Skill Matrix'!D195)</f>
        <v/>
      </c>
      <c r="F3029">
        <f>IF(AND('Skill Matrix'!A195&lt;&gt;"",'Skill Matrix'!H5&lt;&gt;""),'Skill Matrix'!H5,"")</f>
        <v/>
      </c>
      <c r="G3029">
        <f>IF(OR(A3029="",'Skill Matrix'!H195=""),"",'Skill Matrix'!H195)</f>
        <v/>
      </c>
      <c r="H3029">
        <f>IF(A3029="","",'Employees'!F17)</f>
        <v/>
      </c>
    </row>
    <row r="3030">
      <c r="A3030">
        <f>IF(AND('Skill Matrix'!A195&lt;&gt;"",'Skill Matrix'!I5&lt;&gt;""),'Skill Matrix'!A195,"")</f>
        <v/>
      </c>
      <c r="B3030">
        <f>IF(A3030="","",'Employees'!C17)</f>
        <v/>
      </c>
      <c r="C3030">
        <f>IF(A3030="","",'Employees'!D17)</f>
        <v/>
      </c>
      <c r="D3030">
        <f>IF(A3030="","",'Skill Matrix'!C195)</f>
        <v/>
      </c>
      <c r="E3030">
        <f>IF(A3030="","",'Skill Matrix'!D195)</f>
        <v/>
      </c>
      <c r="F3030">
        <f>IF(AND('Skill Matrix'!A195&lt;&gt;"",'Skill Matrix'!I5&lt;&gt;""),'Skill Matrix'!I5,"")</f>
        <v/>
      </c>
      <c r="G3030">
        <f>IF(OR(A3030="",'Skill Matrix'!I195=""),"",'Skill Matrix'!I195)</f>
        <v/>
      </c>
      <c r="H3030">
        <f>IF(A3030="","",'Employees'!F17)</f>
        <v/>
      </c>
    </row>
    <row r="3031">
      <c r="A3031">
        <f>IF(AND('Skill Matrix'!A195&lt;&gt;"",'Skill Matrix'!J5&lt;&gt;""),'Skill Matrix'!A195,"")</f>
        <v/>
      </c>
      <c r="B3031">
        <f>IF(A3031="","",'Employees'!C17)</f>
        <v/>
      </c>
      <c r="C3031">
        <f>IF(A3031="","",'Employees'!D17)</f>
        <v/>
      </c>
      <c r="D3031">
        <f>IF(A3031="","",'Skill Matrix'!C195)</f>
        <v/>
      </c>
      <c r="E3031">
        <f>IF(A3031="","",'Skill Matrix'!D195)</f>
        <v/>
      </c>
      <c r="F3031">
        <f>IF(AND('Skill Matrix'!A195&lt;&gt;"",'Skill Matrix'!J5&lt;&gt;""),'Skill Matrix'!J5,"")</f>
        <v/>
      </c>
      <c r="G3031">
        <f>IF(OR(A3031="",'Skill Matrix'!J195=""),"",'Skill Matrix'!J195)</f>
        <v/>
      </c>
      <c r="H3031">
        <f>IF(A3031="","",'Employees'!F17)</f>
        <v/>
      </c>
    </row>
    <row r="3032">
      <c r="A3032">
        <f>IF(AND('Skill Matrix'!A195&lt;&gt;"",'Skill Matrix'!K5&lt;&gt;""),'Skill Matrix'!A195,"")</f>
        <v/>
      </c>
      <c r="B3032">
        <f>IF(A3032="","",'Employees'!C17)</f>
        <v/>
      </c>
      <c r="C3032">
        <f>IF(A3032="","",'Employees'!D17)</f>
        <v/>
      </c>
      <c r="D3032">
        <f>IF(A3032="","",'Skill Matrix'!C195)</f>
        <v/>
      </c>
      <c r="E3032">
        <f>IF(A3032="","",'Skill Matrix'!D195)</f>
        <v/>
      </c>
      <c r="F3032">
        <f>IF(AND('Skill Matrix'!A195&lt;&gt;"",'Skill Matrix'!K5&lt;&gt;""),'Skill Matrix'!K5,"")</f>
        <v/>
      </c>
      <c r="G3032">
        <f>IF(OR(A3032="",'Skill Matrix'!K195=""),"",'Skill Matrix'!K195)</f>
        <v/>
      </c>
      <c r="H3032">
        <f>IF(A3032="","",'Employees'!F17)</f>
        <v/>
      </c>
    </row>
    <row r="3033">
      <c r="A3033">
        <f>IF(AND('Skill Matrix'!A195&lt;&gt;"",'Skill Matrix'!L5&lt;&gt;""),'Skill Matrix'!A195,"")</f>
        <v/>
      </c>
      <c r="B3033">
        <f>IF(A3033="","",'Employees'!C17)</f>
        <v/>
      </c>
      <c r="C3033">
        <f>IF(A3033="","",'Employees'!D17)</f>
        <v/>
      </c>
      <c r="D3033">
        <f>IF(A3033="","",'Skill Matrix'!C195)</f>
        <v/>
      </c>
      <c r="E3033">
        <f>IF(A3033="","",'Skill Matrix'!D195)</f>
        <v/>
      </c>
      <c r="F3033">
        <f>IF(AND('Skill Matrix'!A195&lt;&gt;"",'Skill Matrix'!L5&lt;&gt;""),'Skill Matrix'!L5,"")</f>
        <v/>
      </c>
      <c r="G3033">
        <f>IF(OR(A3033="",'Skill Matrix'!L195=""),"",'Skill Matrix'!L195)</f>
        <v/>
      </c>
      <c r="H3033">
        <f>IF(A3033="","",'Employees'!F17)</f>
        <v/>
      </c>
    </row>
    <row r="3034">
      <c r="A3034">
        <f>IF(AND('Skill Matrix'!A195&lt;&gt;"",'Skill Matrix'!M5&lt;&gt;""),'Skill Matrix'!A195,"")</f>
        <v/>
      </c>
      <c r="B3034">
        <f>IF(A3034="","",'Employees'!C17)</f>
        <v/>
      </c>
      <c r="C3034">
        <f>IF(A3034="","",'Employees'!D17)</f>
        <v/>
      </c>
      <c r="D3034">
        <f>IF(A3034="","",'Skill Matrix'!C195)</f>
        <v/>
      </c>
      <c r="E3034">
        <f>IF(A3034="","",'Skill Matrix'!D195)</f>
        <v/>
      </c>
      <c r="F3034">
        <f>IF(AND('Skill Matrix'!A195&lt;&gt;"",'Skill Matrix'!M5&lt;&gt;""),'Skill Matrix'!M5,"")</f>
        <v/>
      </c>
      <c r="G3034">
        <f>IF(OR(A3034="",'Skill Matrix'!M195=""),"",'Skill Matrix'!M195)</f>
        <v/>
      </c>
      <c r="H3034">
        <f>IF(A3034="","",'Employees'!F17)</f>
        <v/>
      </c>
    </row>
    <row r="3035">
      <c r="A3035">
        <f>IF(AND('Skill Matrix'!A195&lt;&gt;"",'Skill Matrix'!N5&lt;&gt;""),'Skill Matrix'!A195,"")</f>
        <v/>
      </c>
      <c r="B3035">
        <f>IF(A3035="","",'Employees'!C17)</f>
        <v/>
      </c>
      <c r="C3035">
        <f>IF(A3035="","",'Employees'!D17)</f>
        <v/>
      </c>
      <c r="D3035">
        <f>IF(A3035="","",'Skill Matrix'!C195)</f>
        <v/>
      </c>
      <c r="E3035">
        <f>IF(A3035="","",'Skill Matrix'!D195)</f>
        <v/>
      </c>
      <c r="F3035">
        <f>IF(AND('Skill Matrix'!A195&lt;&gt;"",'Skill Matrix'!N5&lt;&gt;""),'Skill Matrix'!N5,"")</f>
        <v/>
      </c>
      <c r="G3035">
        <f>IF(OR(A3035="",'Skill Matrix'!N195=""),"",'Skill Matrix'!N195)</f>
        <v/>
      </c>
      <c r="H3035">
        <f>IF(A3035="","",'Employees'!F17)</f>
        <v/>
      </c>
    </row>
    <row r="3036">
      <c r="A3036">
        <f>IF(AND('Skill Matrix'!A195&lt;&gt;"",'Skill Matrix'!O5&lt;&gt;""),'Skill Matrix'!A195,"")</f>
        <v/>
      </c>
      <c r="B3036">
        <f>IF(A3036="","",'Employees'!C17)</f>
        <v/>
      </c>
      <c r="C3036">
        <f>IF(A3036="","",'Employees'!D17)</f>
        <v/>
      </c>
      <c r="D3036">
        <f>IF(A3036="","",'Skill Matrix'!C195)</f>
        <v/>
      </c>
      <c r="E3036">
        <f>IF(A3036="","",'Skill Matrix'!D195)</f>
        <v/>
      </c>
      <c r="F3036">
        <f>IF(AND('Skill Matrix'!A195&lt;&gt;"",'Skill Matrix'!O5&lt;&gt;""),'Skill Matrix'!O5,"")</f>
        <v/>
      </c>
      <c r="G3036">
        <f>IF(OR(A3036="",'Skill Matrix'!O195=""),"",'Skill Matrix'!O195)</f>
        <v/>
      </c>
      <c r="H3036">
        <f>IF(A3036="","",'Employees'!F17)</f>
        <v/>
      </c>
    </row>
    <row r="3037">
      <c r="A3037">
        <f>IF(AND('Skill Matrix'!A195&lt;&gt;"",'Skill Matrix'!P5&lt;&gt;""),'Skill Matrix'!A195,"")</f>
        <v/>
      </c>
      <c r="B3037">
        <f>IF(A3037="","",'Employees'!C17)</f>
        <v/>
      </c>
      <c r="C3037">
        <f>IF(A3037="","",'Employees'!D17)</f>
        <v/>
      </c>
      <c r="D3037">
        <f>IF(A3037="","",'Skill Matrix'!C195)</f>
        <v/>
      </c>
      <c r="E3037">
        <f>IF(A3037="","",'Skill Matrix'!D195)</f>
        <v/>
      </c>
      <c r="F3037">
        <f>IF(AND('Skill Matrix'!A195&lt;&gt;"",'Skill Matrix'!P5&lt;&gt;""),'Skill Matrix'!P5,"")</f>
        <v/>
      </c>
      <c r="G3037">
        <f>IF(OR(A3037="",'Skill Matrix'!P195=""),"",'Skill Matrix'!P195)</f>
        <v/>
      </c>
      <c r="H3037">
        <f>IF(A3037="","",'Employees'!F17)</f>
        <v/>
      </c>
    </row>
    <row r="3038">
      <c r="A3038">
        <f>IF(AND('Skill Matrix'!A195&lt;&gt;"",'Skill Matrix'!Q5&lt;&gt;""),'Skill Matrix'!A195,"")</f>
        <v/>
      </c>
      <c r="B3038">
        <f>IF(A3038="","",'Employees'!C17)</f>
        <v/>
      </c>
      <c r="C3038">
        <f>IF(A3038="","",'Employees'!D17)</f>
        <v/>
      </c>
      <c r="D3038">
        <f>IF(A3038="","",'Skill Matrix'!C195)</f>
        <v/>
      </c>
      <c r="E3038">
        <f>IF(A3038="","",'Skill Matrix'!D195)</f>
        <v/>
      </c>
      <c r="F3038">
        <f>IF(AND('Skill Matrix'!A195&lt;&gt;"",'Skill Matrix'!Q5&lt;&gt;""),'Skill Matrix'!Q5,"")</f>
        <v/>
      </c>
      <c r="G3038">
        <f>IF(OR(A3038="",'Skill Matrix'!Q195=""),"",'Skill Matrix'!Q195)</f>
        <v/>
      </c>
      <c r="H3038">
        <f>IF(A3038="","",'Employees'!F17)</f>
        <v/>
      </c>
    </row>
    <row r="3039">
      <c r="A3039">
        <f>IF(AND('Skill Matrix'!A195&lt;&gt;"",'Skill Matrix'!R5&lt;&gt;""),'Skill Matrix'!A195,"")</f>
        <v/>
      </c>
      <c r="B3039">
        <f>IF(A3039="","",'Employees'!C17)</f>
        <v/>
      </c>
      <c r="C3039">
        <f>IF(A3039="","",'Employees'!D17)</f>
        <v/>
      </c>
      <c r="D3039">
        <f>IF(A3039="","",'Skill Matrix'!C195)</f>
        <v/>
      </c>
      <c r="E3039">
        <f>IF(A3039="","",'Skill Matrix'!D195)</f>
        <v/>
      </c>
      <c r="F3039">
        <f>IF(AND('Skill Matrix'!A195&lt;&gt;"",'Skill Matrix'!R5&lt;&gt;""),'Skill Matrix'!R5,"")</f>
        <v/>
      </c>
      <c r="G3039">
        <f>IF(OR(A3039="",'Skill Matrix'!R195=""),"",'Skill Matrix'!R195)</f>
        <v/>
      </c>
      <c r="H3039">
        <f>IF(A3039="","",'Employees'!F17)</f>
        <v/>
      </c>
    </row>
    <row r="3040">
      <c r="A3040">
        <f>IF(AND('Skill Matrix'!A195&lt;&gt;"",'Skill Matrix'!S5&lt;&gt;""),'Skill Matrix'!A195,"")</f>
        <v/>
      </c>
      <c r="B3040">
        <f>IF(A3040="","",'Employees'!C17)</f>
        <v/>
      </c>
      <c r="C3040">
        <f>IF(A3040="","",'Employees'!D17)</f>
        <v/>
      </c>
      <c r="D3040">
        <f>IF(A3040="","",'Skill Matrix'!C195)</f>
        <v/>
      </c>
      <c r="E3040">
        <f>IF(A3040="","",'Skill Matrix'!D195)</f>
        <v/>
      </c>
      <c r="F3040">
        <f>IF(AND('Skill Matrix'!A195&lt;&gt;"",'Skill Matrix'!S5&lt;&gt;""),'Skill Matrix'!S5,"")</f>
        <v/>
      </c>
      <c r="G3040">
        <f>IF(OR(A3040="",'Skill Matrix'!S195=""),"",'Skill Matrix'!S195)</f>
        <v/>
      </c>
      <c r="H3040">
        <f>IF(A3040="","",'Employees'!F17)</f>
        <v/>
      </c>
    </row>
    <row r="3041">
      <c r="A3041">
        <f>IF(AND('Skill Matrix'!A195&lt;&gt;"",'Skill Matrix'!T5&lt;&gt;""),'Skill Matrix'!A195,"")</f>
        <v/>
      </c>
      <c r="B3041">
        <f>IF(A3041="","",'Employees'!C17)</f>
        <v/>
      </c>
      <c r="C3041">
        <f>IF(A3041="","",'Employees'!D17)</f>
        <v/>
      </c>
      <c r="D3041">
        <f>IF(A3041="","",'Skill Matrix'!C195)</f>
        <v/>
      </c>
      <c r="E3041">
        <f>IF(A3041="","",'Skill Matrix'!D195)</f>
        <v/>
      </c>
      <c r="F3041">
        <f>IF(AND('Skill Matrix'!A195&lt;&gt;"",'Skill Matrix'!T5&lt;&gt;""),'Skill Matrix'!T5,"")</f>
        <v/>
      </c>
      <c r="G3041">
        <f>IF(OR(A3041="",'Skill Matrix'!T195=""),"",'Skill Matrix'!T195)</f>
        <v/>
      </c>
      <c r="H3041">
        <f>IF(A3041="","",'Employees'!F17)</f>
        <v/>
      </c>
    </row>
    <row r="3042">
      <c r="A3042">
        <f>IF(AND('Skill Matrix'!A196&lt;&gt;"",'Skill Matrix'!E5&lt;&gt;""),'Skill Matrix'!A196,"")</f>
        <v/>
      </c>
      <c r="B3042">
        <f>IF(A3042="","",'Employees'!C17)</f>
        <v/>
      </c>
      <c r="C3042">
        <f>IF(A3042="","",'Employees'!D17)</f>
        <v/>
      </c>
      <c r="D3042">
        <f>IF(A3042="","",'Skill Matrix'!C196)</f>
        <v/>
      </c>
      <c r="E3042">
        <f>IF(A3042="","",'Skill Matrix'!D196)</f>
        <v/>
      </c>
      <c r="F3042">
        <f>IF(AND('Skill Matrix'!A196&lt;&gt;"",'Skill Matrix'!E5&lt;&gt;""),'Skill Matrix'!E5,"")</f>
        <v/>
      </c>
      <c r="G3042">
        <f>IF(OR(A3042="",'Skill Matrix'!E196=""),"",'Skill Matrix'!E196)</f>
        <v/>
      </c>
      <c r="H3042">
        <f>IF(A3042="","",'Employees'!F17)</f>
        <v/>
      </c>
    </row>
    <row r="3043">
      <c r="A3043">
        <f>IF(AND('Skill Matrix'!A196&lt;&gt;"",'Skill Matrix'!F5&lt;&gt;""),'Skill Matrix'!A196,"")</f>
        <v/>
      </c>
      <c r="B3043">
        <f>IF(A3043="","",'Employees'!C17)</f>
        <v/>
      </c>
      <c r="C3043">
        <f>IF(A3043="","",'Employees'!D17)</f>
        <v/>
      </c>
      <c r="D3043">
        <f>IF(A3043="","",'Skill Matrix'!C196)</f>
        <v/>
      </c>
      <c r="E3043">
        <f>IF(A3043="","",'Skill Matrix'!D196)</f>
        <v/>
      </c>
      <c r="F3043">
        <f>IF(AND('Skill Matrix'!A196&lt;&gt;"",'Skill Matrix'!F5&lt;&gt;""),'Skill Matrix'!F5,"")</f>
        <v/>
      </c>
      <c r="G3043">
        <f>IF(OR(A3043="",'Skill Matrix'!F196=""),"",'Skill Matrix'!F196)</f>
        <v/>
      </c>
      <c r="H3043">
        <f>IF(A3043="","",'Employees'!F17)</f>
        <v/>
      </c>
    </row>
    <row r="3044">
      <c r="A3044">
        <f>IF(AND('Skill Matrix'!A196&lt;&gt;"",'Skill Matrix'!G5&lt;&gt;""),'Skill Matrix'!A196,"")</f>
        <v/>
      </c>
      <c r="B3044">
        <f>IF(A3044="","",'Employees'!C17)</f>
        <v/>
      </c>
      <c r="C3044">
        <f>IF(A3044="","",'Employees'!D17)</f>
        <v/>
      </c>
      <c r="D3044">
        <f>IF(A3044="","",'Skill Matrix'!C196)</f>
        <v/>
      </c>
      <c r="E3044">
        <f>IF(A3044="","",'Skill Matrix'!D196)</f>
        <v/>
      </c>
      <c r="F3044">
        <f>IF(AND('Skill Matrix'!A196&lt;&gt;"",'Skill Matrix'!G5&lt;&gt;""),'Skill Matrix'!G5,"")</f>
        <v/>
      </c>
      <c r="G3044">
        <f>IF(OR(A3044="",'Skill Matrix'!G196=""),"",'Skill Matrix'!G196)</f>
        <v/>
      </c>
      <c r="H3044">
        <f>IF(A3044="","",'Employees'!F17)</f>
        <v/>
      </c>
    </row>
    <row r="3045">
      <c r="A3045">
        <f>IF(AND('Skill Matrix'!A196&lt;&gt;"",'Skill Matrix'!H5&lt;&gt;""),'Skill Matrix'!A196,"")</f>
        <v/>
      </c>
      <c r="B3045">
        <f>IF(A3045="","",'Employees'!C17)</f>
        <v/>
      </c>
      <c r="C3045">
        <f>IF(A3045="","",'Employees'!D17)</f>
        <v/>
      </c>
      <c r="D3045">
        <f>IF(A3045="","",'Skill Matrix'!C196)</f>
        <v/>
      </c>
      <c r="E3045">
        <f>IF(A3045="","",'Skill Matrix'!D196)</f>
        <v/>
      </c>
      <c r="F3045">
        <f>IF(AND('Skill Matrix'!A196&lt;&gt;"",'Skill Matrix'!H5&lt;&gt;""),'Skill Matrix'!H5,"")</f>
        <v/>
      </c>
      <c r="G3045">
        <f>IF(OR(A3045="",'Skill Matrix'!H196=""),"",'Skill Matrix'!H196)</f>
        <v/>
      </c>
      <c r="H3045">
        <f>IF(A3045="","",'Employees'!F17)</f>
        <v/>
      </c>
    </row>
    <row r="3046">
      <c r="A3046">
        <f>IF(AND('Skill Matrix'!A196&lt;&gt;"",'Skill Matrix'!I5&lt;&gt;""),'Skill Matrix'!A196,"")</f>
        <v/>
      </c>
      <c r="B3046">
        <f>IF(A3046="","",'Employees'!C17)</f>
        <v/>
      </c>
      <c r="C3046">
        <f>IF(A3046="","",'Employees'!D17)</f>
        <v/>
      </c>
      <c r="D3046">
        <f>IF(A3046="","",'Skill Matrix'!C196)</f>
        <v/>
      </c>
      <c r="E3046">
        <f>IF(A3046="","",'Skill Matrix'!D196)</f>
        <v/>
      </c>
      <c r="F3046">
        <f>IF(AND('Skill Matrix'!A196&lt;&gt;"",'Skill Matrix'!I5&lt;&gt;""),'Skill Matrix'!I5,"")</f>
        <v/>
      </c>
      <c r="G3046">
        <f>IF(OR(A3046="",'Skill Matrix'!I196=""),"",'Skill Matrix'!I196)</f>
        <v/>
      </c>
      <c r="H3046">
        <f>IF(A3046="","",'Employees'!F17)</f>
        <v/>
      </c>
    </row>
    <row r="3047">
      <c r="A3047">
        <f>IF(AND('Skill Matrix'!A196&lt;&gt;"",'Skill Matrix'!J5&lt;&gt;""),'Skill Matrix'!A196,"")</f>
        <v/>
      </c>
      <c r="B3047">
        <f>IF(A3047="","",'Employees'!C17)</f>
        <v/>
      </c>
      <c r="C3047">
        <f>IF(A3047="","",'Employees'!D17)</f>
        <v/>
      </c>
      <c r="D3047">
        <f>IF(A3047="","",'Skill Matrix'!C196)</f>
        <v/>
      </c>
      <c r="E3047">
        <f>IF(A3047="","",'Skill Matrix'!D196)</f>
        <v/>
      </c>
      <c r="F3047">
        <f>IF(AND('Skill Matrix'!A196&lt;&gt;"",'Skill Matrix'!J5&lt;&gt;""),'Skill Matrix'!J5,"")</f>
        <v/>
      </c>
      <c r="G3047">
        <f>IF(OR(A3047="",'Skill Matrix'!J196=""),"",'Skill Matrix'!J196)</f>
        <v/>
      </c>
      <c r="H3047">
        <f>IF(A3047="","",'Employees'!F17)</f>
        <v/>
      </c>
    </row>
    <row r="3048">
      <c r="A3048">
        <f>IF(AND('Skill Matrix'!A196&lt;&gt;"",'Skill Matrix'!K5&lt;&gt;""),'Skill Matrix'!A196,"")</f>
        <v/>
      </c>
      <c r="B3048">
        <f>IF(A3048="","",'Employees'!C17)</f>
        <v/>
      </c>
      <c r="C3048">
        <f>IF(A3048="","",'Employees'!D17)</f>
        <v/>
      </c>
      <c r="D3048">
        <f>IF(A3048="","",'Skill Matrix'!C196)</f>
        <v/>
      </c>
      <c r="E3048">
        <f>IF(A3048="","",'Skill Matrix'!D196)</f>
        <v/>
      </c>
      <c r="F3048">
        <f>IF(AND('Skill Matrix'!A196&lt;&gt;"",'Skill Matrix'!K5&lt;&gt;""),'Skill Matrix'!K5,"")</f>
        <v/>
      </c>
      <c r="G3048">
        <f>IF(OR(A3048="",'Skill Matrix'!K196=""),"",'Skill Matrix'!K196)</f>
        <v/>
      </c>
      <c r="H3048">
        <f>IF(A3048="","",'Employees'!F17)</f>
        <v/>
      </c>
    </row>
    <row r="3049">
      <c r="A3049">
        <f>IF(AND('Skill Matrix'!A196&lt;&gt;"",'Skill Matrix'!L5&lt;&gt;""),'Skill Matrix'!A196,"")</f>
        <v/>
      </c>
      <c r="B3049">
        <f>IF(A3049="","",'Employees'!C17)</f>
        <v/>
      </c>
      <c r="C3049">
        <f>IF(A3049="","",'Employees'!D17)</f>
        <v/>
      </c>
      <c r="D3049">
        <f>IF(A3049="","",'Skill Matrix'!C196)</f>
        <v/>
      </c>
      <c r="E3049">
        <f>IF(A3049="","",'Skill Matrix'!D196)</f>
        <v/>
      </c>
      <c r="F3049">
        <f>IF(AND('Skill Matrix'!A196&lt;&gt;"",'Skill Matrix'!L5&lt;&gt;""),'Skill Matrix'!L5,"")</f>
        <v/>
      </c>
      <c r="G3049">
        <f>IF(OR(A3049="",'Skill Matrix'!L196=""),"",'Skill Matrix'!L196)</f>
        <v/>
      </c>
      <c r="H3049">
        <f>IF(A3049="","",'Employees'!F17)</f>
        <v/>
      </c>
    </row>
    <row r="3050">
      <c r="A3050">
        <f>IF(AND('Skill Matrix'!A196&lt;&gt;"",'Skill Matrix'!M5&lt;&gt;""),'Skill Matrix'!A196,"")</f>
        <v/>
      </c>
      <c r="B3050">
        <f>IF(A3050="","",'Employees'!C17)</f>
        <v/>
      </c>
      <c r="C3050">
        <f>IF(A3050="","",'Employees'!D17)</f>
        <v/>
      </c>
      <c r="D3050">
        <f>IF(A3050="","",'Skill Matrix'!C196)</f>
        <v/>
      </c>
      <c r="E3050">
        <f>IF(A3050="","",'Skill Matrix'!D196)</f>
        <v/>
      </c>
      <c r="F3050">
        <f>IF(AND('Skill Matrix'!A196&lt;&gt;"",'Skill Matrix'!M5&lt;&gt;""),'Skill Matrix'!M5,"")</f>
        <v/>
      </c>
      <c r="G3050">
        <f>IF(OR(A3050="",'Skill Matrix'!M196=""),"",'Skill Matrix'!M196)</f>
        <v/>
      </c>
      <c r="H3050">
        <f>IF(A3050="","",'Employees'!F17)</f>
        <v/>
      </c>
    </row>
    <row r="3051">
      <c r="A3051">
        <f>IF(AND('Skill Matrix'!A196&lt;&gt;"",'Skill Matrix'!N5&lt;&gt;""),'Skill Matrix'!A196,"")</f>
        <v/>
      </c>
      <c r="B3051">
        <f>IF(A3051="","",'Employees'!C17)</f>
        <v/>
      </c>
      <c r="C3051">
        <f>IF(A3051="","",'Employees'!D17)</f>
        <v/>
      </c>
      <c r="D3051">
        <f>IF(A3051="","",'Skill Matrix'!C196)</f>
        <v/>
      </c>
      <c r="E3051">
        <f>IF(A3051="","",'Skill Matrix'!D196)</f>
        <v/>
      </c>
      <c r="F3051">
        <f>IF(AND('Skill Matrix'!A196&lt;&gt;"",'Skill Matrix'!N5&lt;&gt;""),'Skill Matrix'!N5,"")</f>
        <v/>
      </c>
      <c r="G3051">
        <f>IF(OR(A3051="",'Skill Matrix'!N196=""),"",'Skill Matrix'!N196)</f>
        <v/>
      </c>
      <c r="H3051">
        <f>IF(A3051="","",'Employees'!F17)</f>
        <v/>
      </c>
    </row>
    <row r="3052">
      <c r="A3052">
        <f>IF(AND('Skill Matrix'!A196&lt;&gt;"",'Skill Matrix'!O5&lt;&gt;""),'Skill Matrix'!A196,"")</f>
        <v/>
      </c>
      <c r="B3052">
        <f>IF(A3052="","",'Employees'!C17)</f>
        <v/>
      </c>
      <c r="C3052">
        <f>IF(A3052="","",'Employees'!D17)</f>
        <v/>
      </c>
      <c r="D3052">
        <f>IF(A3052="","",'Skill Matrix'!C196)</f>
        <v/>
      </c>
      <c r="E3052">
        <f>IF(A3052="","",'Skill Matrix'!D196)</f>
        <v/>
      </c>
      <c r="F3052">
        <f>IF(AND('Skill Matrix'!A196&lt;&gt;"",'Skill Matrix'!O5&lt;&gt;""),'Skill Matrix'!O5,"")</f>
        <v/>
      </c>
      <c r="G3052">
        <f>IF(OR(A3052="",'Skill Matrix'!O196=""),"",'Skill Matrix'!O196)</f>
        <v/>
      </c>
      <c r="H3052">
        <f>IF(A3052="","",'Employees'!F17)</f>
        <v/>
      </c>
    </row>
    <row r="3053">
      <c r="A3053">
        <f>IF(AND('Skill Matrix'!A196&lt;&gt;"",'Skill Matrix'!P5&lt;&gt;""),'Skill Matrix'!A196,"")</f>
        <v/>
      </c>
      <c r="B3053">
        <f>IF(A3053="","",'Employees'!C17)</f>
        <v/>
      </c>
      <c r="C3053">
        <f>IF(A3053="","",'Employees'!D17)</f>
        <v/>
      </c>
      <c r="D3053">
        <f>IF(A3053="","",'Skill Matrix'!C196)</f>
        <v/>
      </c>
      <c r="E3053">
        <f>IF(A3053="","",'Skill Matrix'!D196)</f>
        <v/>
      </c>
      <c r="F3053">
        <f>IF(AND('Skill Matrix'!A196&lt;&gt;"",'Skill Matrix'!P5&lt;&gt;""),'Skill Matrix'!P5,"")</f>
        <v/>
      </c>
      <c r="G3053">
        <f>IF(OR(A3053="",'Skill Matrix'!P196=""),"",'Skill Matrix'!P196)</f>
        <v/>
      </c>
      <c r="H3053">
        <f>IF(A3053="","",'Employees'!F17)</f>
        <v/>
      </c>
    </row>
    <row r="3054">
      <c r="A3054">
        <f>IF(AND('Skill Matrix'!A196&lt;&gt;"",'Skill Matrix'!Q5&lt;&gt;""),'Skill Matrix'!A196,"")</f>
        <v/>
      </c>
      <c r="B3054">
        <f>IF(A3054="","",'Employees'!C17)</f>
        <v/>
      </c>
      <c r="C3054">
        <f>IF(A3054="","",'Employees'!D17)</f>
        <v/>
      </c>
      <c r="D3054">
        <f>IF(A3054="","",'Skill Matrix'!C196)</f>
        <v/>
      </c>
      <c r="E3054">
        <f>IF(A3054="","",'Skill Matrix'!D196)</f>
        <v/>
      </c>
      <c r="F3054">
        <f>IF(AND('Skill Matrix'!A196&lt;&gt;"",'Skill Matrix'!Q5&lt;&gt;""),'Skill Matrix'!Q5,"")</f>
        <v/>
      </c>
      <c r="G3054">
        <f>IF(OR(A3054="",'Skill Matrix'!Q196=""),"",'Skill Matrix'!Q196)</f>
        <v/>
      </c>
      <c r="H3054">
        <f>IF(A3054="","",'Employees'!F17)</f>
        <v/>
      </c>
    </row>
    <row r="3055">
      <c r="A3055">
        <f>IF(AND('Skill Matrix'!A196&lt;&gt;"",'Skill Matrix'!R5&lt;&gt;""),'Skill Matrix'!A196,"")</f>
        <v/>
      </c>
      <c r="B3055">
        <f>IF(A3055="","",'Employees'!C17)</f>
        <v/>
      </c>
      <c r="C3055">
        <f>IF(A3055="","",'Employees'!D17)</f>
        <v/>
      </c>
      <c r="D3055">
        <f>IF(A3055="","",'Skill Matrix'!C196)</f>
        <v/>
      </c>
      <c r="E3055">
        <f>IF(A3055="","",'Skill Matrix'!D196)</f>
        <v/>
      </c>
      <c r="F3055">
        <f>IF(AND('Skill Matrix'!A196&lt;&gt;"",'Skill Matrix'!R5&lt;&gt;""),'Skill Matrix'!R5,"")</f>
        <v/>
      </c>
      <c r="G3055">
        <f>IF(OR(A3055="",'Skill Matrix'!R196=""),"",'Skill Matrix'!R196)</f>
        <v/>
      </c>
      <c r="H3055">
        <f>IF(A3055="","",'Employees'!F17)</f>
        <v/>
      </c>
    </row>
    <row r="3056">
      <c r="A3056">
        <f>IF(AND('Skill Matrix'!A196&lt;&gt;"",'Skill Matrix'!S5&lt;&gt;""),'Skill Matrix'!A196,"")</f>
        <v/>
      </c>
      <c r="B3056">
        <f>IF(A3056="","",'Employees'!C17)</f>
        <v/>
      </c>
      <c r="C3056">
        <f>IF(A3056="","",'Employees'!D17)</f>
        <v/>
      </c>
      <c r="D3056">
        <f>IF(A3056="","",'Skill Matrix'!C196)</f>
        <v/>
      </c>
      <c r="E3056">
        <f>IF(A3056="","",'Skill Matrix'!D196)</f>
        <v/>
      </c>
      <c r="F3056">
        <f>IF(AND('Skill Matrix'!A196&lt;&gt;"",'Skill Matrix'!S5&lt;&gt;""),'Skill Matrix'!S5,"")</f>
        <v/>
      </c>
      <c r="G3056">
        <f>IF(OR(A3056="",'Skill Matrix'!S196=""),"",'Skill Matrix'!S196)</f>
        <v/>
      </c>
      <c r="H3056">
        <f>IF(A3056="","",'Employees'!F17)</f>
        <v/>
      </c>
    </row>
    <row r="3057">
      <c r="A3057">
        <f>IF(AND('Skill Matrix'!A196&lt;&gt;"",'Skill Matrix'!T5&lt;&gt;""),'Skill Matrix'!A196,"")</f>
        <v/>
      </c>
      <c r="B3057">
        <f>IF(A3057="","",'Employees'!C17)</f>
        <v/>
      </c>
      <c r="C3057">
        <f>IF(A3057="","",'Employees'!D17)</f>
        <v/>
      </c>
      <c r="D3057">
        <f>IF(A3057="","",'Skill Matrix'!C196)</f>
        <v/>
      </c>
      <c r="E3057">
        <f>IF(A3057="","",'Skill Matrix'!D196)</f>
        <v/>
      </c>
      <c r="F3057">
        <f>IF(AND('Skill Matrix'!A196&lt;&gt;"",'Skill Matrix'!T5&lt;&gt;""),'Skill Matrix'!T5,"")</f>
        <v/>
      </c>
      <c r="G3057">
        <f>IF(OR(A3057="",'Skill Matrix'!T196=""),"",'Skill Matrix'!T196)</f>
        <v/>
      </c>
      <c r="H3057">
        <f>IF(A3057="","",'Employees'!F17)</f>
        <v/>
      </c>
    </row>
    <row r="3058">
      <c r="A3058">
        <f>IF(AND('Skill Matrix'!A197&lt;&gt;"",'Skill Matrix'!E5&lt;&gt;""),'Skill Matrix'!A197,"")</f>
        <v/>
      </c>
      <c r="B3058">
        <f>IF(A3058="","",'Employees'!C17)</f>
        <v/>
      </c>
      <c r="C3058">
        <f>IF(A3058="","",'Employees'!D17)</f>
        <v/>
      </c>
      <c r="D3058">
        <f>IF(A3058="","",'Skill Matrix'!C197)</f>
        <v/>
      </c>
      <c r="E3058">
        <f>IF(A3058="","",'Skill Matrix'!D197)</f>
        <v/>
      </c>
      <c r="F3058">
        <f>IF(AND('Skill Matrix'!A197&lt;&gt;"",'Skill Matrix'!E5&lt;&gt;""),'Skill Matrix'!E5,"")</f>
        <v/>
      </c>
      <c r="G3058">
        <f>IF(OR(A3058="",'Skill Matrix'!E197=""),"",'Skill Matrix'!E197)</f>
        <v/>
      </c>
      <c r="H3058">
        <f>IF(A3058="","",'Employees'!F17)</f>
        <v/>
      </c>
    </row>
    <row r="3059">
      <c r="A3059">
        <f>IF(AND('Skill Matrix'!A197&lt;&gt;"",'Skill Matrix'!F5&lt;&gt;""),'Skill Matrix'!A197,"")</f>
        <v/>
      </c>
      <c r="B3059">
        <f>IF(A3059="","",'Employees'!C17)</f>
        <v/>
      </c>
      <c r="C3059">
        <f>IF(A3059="","",'Employees'!D17)</f>
        <v/>
      </c>
      <c r="D3059">
        <f>IF(A3059="","",'Skill Matrix'!C197)</f>
        <v/>
      </c>
      <c r="E3059">
        <f>IF(A3059="","",'Skill Matrix'!D197)</f>
        <v/>
      </c>
      <c r="F3059">
        <f>IF(AND('Skill Matrix'!A197&lt;&gt;"",'Skill Matrix'!F5&lt;&gt;""),'Skill Matrix'!F5,"")</f>
        <v/>
      </c>
      <c r="G3059">
        <f>IF(OR(A3059="",'Skill Matrix'!F197=""),"",'Skill Matrix'!F197)</f>
        <v/>
      </c>
      <c r="H3059">
        <f>IF(A3059="","",'Employees'!F17)</f>
        <v/>
      </c>
    </row>
    <row r="3060">
      <c r="A3060">
        <f>IF(AND('Skill Matrix'!A197&lt;&gt;"",'Skill Matrix'!G5&lt;&gt;""),'Skill Matrix'!A197,"")</f>
        <v/>
      </c>
      <c r="B3060">
        <f>IF(A3060="","",'Employees'!C17)</f>
        <v/>
      </c>
      <c r="C3060">
        <f>IF(A3060="","",'Employees'!D17)</f>
        <v/>
      </c>
      <c r="D3060">
        <f>IF(A3060="","",'Skill Matrix'!C197)</f>
        <v/>
      </c>
      <c r="E3060">
        <f>IF(A3060="","",'Skill Matrix'!D197)</f>
        <v/>
      </c>
      <c r="F3060">
        <f>IF(AND('Skill Matrix'!A197&lt;&gt;"",'Skill Matrix'!G5&lt;&gt;""),'Skill Matrix'!G5,"")</f>
        <v/>
      </c>
      <c r="G3060">
        <f>IF(OR(A3060="",'Skill Matrix'!G197=""),"",'Skill Matrix'!G197)</f>
        <v/>
      </c>
      <c r="H3060">
        <f>IF(A3060="","",'Employees'!F17)</f>
        <v/>
      </c>
    </row>
    <row r="3061">
      <c r="A3061">
        <f>IF(AND('Skill Matrix'!A197&lt;&gt;"",'Skill Matrix'!H5&lt;&gt;""),'Skill Matrix'!A197,"")</f>
        <v/>
      </c>
      <c r="B3061">
        <f>IF(A3061="","",'Employees'!C17)</f>
        <v/>
      </c>
      <c r="C3061">
        <f>IF(A3061="","",'Employees'!D17)</f>
        <v/>
      </c>
      <c r="D3061">
        <f>IF(A3061="","",'Skill Matrix'!C197)</f>
        <v/>
      </c>
      <c r="E3061">
        <f>IF(A3061="","",'Skill Matrix'!D197)</f>
        <v/>
      </c>
      <c r="F3061">
        <f>IF(AND('Skill Matrix'!A197&lt;&gt;"",'Skill Matrix'!H5&lt;&gt;""),'Skill Matrix'!H5,"")</f>
        <v/>
      </c>
      <c r="G3061">
        <f>IF(OR(A3061="",'Skill Matrix'!H197=""),"",'Skill Matrix'!H197)</f>
        <v/>
      </c>
      <c r="H3061">
        <f>IF(A3061="","",'Employees'!F17)</f>
        <v/>
      </c>
    </row>
    <row r="3062">
      <c r="A3062">
        <f>IF(AND('Skill Matrix'!A197&lt;&gt;"",'Skill Matrix'!I5&lt;&gt;""),'Skill Matrix'!A197,"")</f>
        <v/>
      </c>
      <c r="B3062">
        <f>IF(A3062="","",'Employees'!C17)</f>
        <v/>
      </c>
      <c r="C3062">
        <f>IF(A3062="","",'Employees'!D17)</f>
        <v/>
      </c>
      <c r="D3062">
        <f>IF(A3062="","",'Skill Matrix'!C197)</f>
        <v/>
      </c>
      <c r="E3062">
        <f>IF(A3062="","",'Skill Matrix'!D197)</f>
        <v/>
      </c>
      <c r="F3062">
        <f>IF(AND('Skill Matrix'!A197&lt;&gt;"",'Skill Matrix'!I5&lt;&gt;""),'Skill Matrix'!I5,"")</f>
        <v/>
      </c>
      <c r="G3062">
        <f>IF(OR(A3062="",'Skill Matrix'!I197=""),"",'Skill Matrix'!I197)</f>
        <v/>
      </c>
      <c r="H3062">
        <f>IF(A3062="","",'Employees'!F17)</f>
        <v/>
      </c>
    </row>
    <row r="3063">
      <c r="A3063">
        <f>IF(AND('Skill Matrix'!A197&lt;&gt;"",'Skill Matrix'!J5&lt;&gt;""),'Skill Matrix'!A197,"")</f>
        <v/>
      </c>
      <c r="B3063">
        <f>IF(A3063="","",'Employees'!C17)</f>
        <v/>
      </c>
      <c r="C3063">
        <f>IF(A3063="","",'Employees'!D17)</f>
        <v/>
      </c>
      <c r="D3063">
        <f>IF(A3063="","",'Skill Matrix'!C197)</f>
        <v/>
      </c>
      <c r="E3063">
        <f>IF(A3063="","",'Skill Matrix'!D197)</f>
        <v/>
      </c>
      <c r="F3063">
        <f>IF(AND('Skill Matrix'!A197&lt;&gt;"",'Skill Matrix'!J5&lt;&gt;""),'Skill Matrix'!J5,"")</f>
        <v/>
      </c>
      <c r="G3063">
        <f>IF(OR(A3063="",'Skill Matrix'!J197=""),"",'Skill Matrix'!J197)</f>
        <v/>
      </c>
      <c r="H3063">
        <f>IF(A3063="","",'Employees'!F17)</f>
        <v/>
      </c>
    </row>
    <row r="3064">
      <c r="A3064">
        <f>IF(AND('Skill Matrix'!A197&lt;&gt;"",'Skill Matrix'!K5&lt;&gt;""),'Skill Matrix'!A197,"")</f>
        <v/>
      </c>
      <c r="B3064">
        <f>IF(A3064="","",'Employees'!C17)</f>
        <v/>
      </c>
      <c r="C3064">
        <f>IF(A3064="","",'Employees'!D17)</f>
        <v/>
      </c>
      <c r="D3064">
        <f>IF(A3064="","",'Skill Matrix'!C197)</f>
        <v/>
      </c>
      <c r="E3064">
        <f>IF(A3064="","",'Skill Matrix'!D197)</f>
        <v/>
      </c>
      <c r="F3064">
        <f>IF(AND('Skill Matrix'!A197&lt;&gt;"",'Skill Matrix'!K5&lt;&gt;""),'Skill Matrix'!K5,"")</f>
        <v/>
      </c>
      <c r="G3064">
        <f>IF(OR(A3064="",'Skill Matrix'!K197=""),"",'Skill Matrix'!K197)</f>
        <v/>
      </c>
      <c r="H3064">
        <f>IF(A3064="","",'Employees'!F17)</f>
        <v/>
      </c>
    </row>
    <row r="3065">
      <c r="A3065">
        <f>IF(AND('Skill Matrix'!A197&lt;&gt;"",'Skill Matrix'!L5&lt;&gt;""),'Skill Matrix'!A197,"")</f>
        <v/>
      </c>
      <c r="B3065">
        <f>IF(A3065="","",'Employees'!C17)</f>
        <v/>
      </c>
      <c r="C3065">
        <f>IF(A3065="","",'Employees'!D17)</f>
        <v/>
      </c>
      <c r="D3065">
        <f>IF(A3065="","",'Skill Matrix'!C197)</f>
        <v/>
      </c>
      <c r="E3065">
        <f>IF(A3065="","",'Skill Matrix'!D197)</f>
        <v/>
      </c>
      <c r="F3065">
        <f>IF(AND('Skill Matrix'!A197&lt;&gt;"",'Skill Matrix'!L5&lt;&gt;""),'Skill Matrix'!L5,"")</f>
        <v/>
      </c>
      <c r="G3065">
        <f>IF(OR(A3065="",'Skill Matrix'!L197=""),"",'Skill Matrix'!L197)</f>
        <v/>
      </c>
      <c r="H3065">
        <f>IF(A3065="","",'Employees'!F17)</f>
        <v/>
      </c>
    </row>
    <row r="3066">
      <c r="A3066">
        <f>IF(AND('Skill Matrix'!A197&lt;&gt;"",'Skill Matrix'!M5&lt;&gt;""),'Skill Matrix'!A197,"")</f>
        <v/>
      </c>
      <c r="B3066">
        <f>IF(A3066="","",'Employees'!C17)</f>
        <v/>
      </c>
      <c r="C3066">
        <f>IF(A3066="","",'Employees'!D17)</f>
        <v/>
      </c>
      <c r="D3066">
        <f>IF(A3066="","",'Skill Matrix'!C197)</f>
        <v/>
      </c>
      <c r="E3066">
        <f>IF(A3066="","",'Skill Matrix'!D197)</f>
        <v/>
      </c>
      <c r="F3066">
        <f>IF(AND('Skill Matrix'!A197&lt;&gt;"",'Skill Matrix'!M5&lt;&gt;""),'Skill Matrix'!M5,"")</f>
        <v/>
      </c>
      <c r="G3066">
        <f>IF(OR(A3066="",'Skill Matrix'!M197=""),"",'Skill Matrix'!M197)</f>
        <v/>
      </c>
      <c r="H3066">
        <f>IF(A3066="","",'Employees'!F17)</f>
        <v/>
      </c>
    </row>
    <row r="3067">
      <c r="A3067">
        <f>IF(AND('Skill Matrix'!A197&lt;&gt;"",'Skill Matrix'!N5&lt;&gt;""),'Skill Matrix'!A197,"")</f>
        <v/>
      </c>
      <c r="B3067">
        <f>IF(A3067="","",'Employees'!C17)</f>
        <v/>
      </c>
      <c r="C3067">
        <f>IF(A3067="","",'Employees'!D17)</f>
        <v/>
      </c>
      <c r="D3067">
        <f>IF(A3067="","",'Skill Matrix'!C197)</f>
        <v/>
      </c>
      <c r="E3067">
        <f>IF(A3067="","",'Skill Matrix'!D197)</f>
        <v/>
      </c>
      <c r="F3067">
        <f>IF(AND('Skill Matrix'!A197&lt;&gt;"",'Skill Matrix'!N5&lt;&gt;""),'Skill Matrix'!N5,"")</f>
        <v/>
      </c>
      <c r="G3067">
        <f>IF(OR(A3067="",'Skill Matrix'!N197=""),"",'Skill Matrix'!N197)</f>
        <v/>
      </c>
      <c r="H3067">
        <f>IF(A3067="","",'Employees'!F17)</f>
        <v/>
      </c>
    </row>
    <row r="3068">
      <c r="A3068">
        <f>IF(AND('Skill Matrix'!A197&lt;&gt;"",'Skill Matrix'!O5&lt;&gt;""),'Skill Matrix'!A197,"")</f>
        <v/>
      </c>
      <c r="B3068">
        <f>IF(A3068="","",'Employees'!C17)</f>
        <v/>
      </c>
      <c r="C3068">
        <f>IF(A3068="","",'Employees'!D17)</f>
        <v/>
      </c>
      <c r="D3068">
        <f>IF(A3068="","",'Skill Matrix'!C197)</f>
        <v/>
      </c>
      <c r="E3068">
        <f>IF(A3068="","",'Skill Matrix'!D197)</f>
        <v/>
      </c>
      <c r="F3068">
        <f>IF(AND('Skill Matrix'!A197&lt;&gt;"",'Skill Matrix'!O5&lt;&gt;""),'Skill Matrix'!O5,"")</f>
        <v/>
      </c>
      <c r="G3068">
        <f>IF(OR(A3068="",'Skill Matrix'!O197=""),"",'Skill Matrix'!O197)</f>
        <v/>
      </c>
      <c r="H3068">
        <f>IF(A3068="","",'Employees'!F17)</f>
        <v/>
      </c>
    </row>
    <row r="3069">
      <c r="A3069">
        <f>IF(AND('Skill Matrix'!A197&lt;&gt;"",'Skill Matrix'!P5&lt;&gt;""),'Skill Matrix'!A197,"")</f>
        <v/>
      </c>
      <c r="B3069">
        <f>IF(A3069="","",'Employees'!C17)</f>
        <v/>
      </c>
      <c r="C3069">
        <f>IF(A3069="","",'Employees'!D17)</f>
        <v/>
      </c>
      <c r="D3069">
        <f>IF(A3069="","",'Skill Matrix'!C197)</f>
        <v/>
      </c>
      <c r="E3069">
        <f>IF(A3069="","",'Skill Matrix'!D197)</f>
        <v/>
      </c>
      <c r="F3069">
        <f>IF(AND('Skill Matrix'!A197&lt;&gt;"",'Skill Matrix'!P5&lt;&gt;""),'Skill Matrix'!P5,"")</f>
        <v/>
      </c>
      <c r="G3069">
        <f>IF(OR(A3069="",'Skill Matrix'!P197=""),"",'Skill Matrix'!P197)</f>
        <v/>
      </c>
      <c r="H3069">
        <f>IF(A3069="","",'Employees'!F17)</f>
        <v/>
      </c>
    </row>
    <row r="3070">
      <c r="A3070">
        <f>IF(AND('Skill Matrix'!A197&lt;&gt;"",'Skill Matrix'!Q5&lt;&gt;""),'Skill Matrix'!A197,"")</f>
        <v/>
      </c>
      <c r="B3070">
        <f>IF(A3070="","",'Employees'!C17)</f>
        <v/>
      </c>
      <c r="C3070">
        <f>IF(A3070="","",'Employees'!D17)</f>
        <v/>
      </c>
      <c r="D3070">
        <f>IF(A3070="","",'Skill Matrix'!C197)</f>
        <v/>
      </c>
      <c r="E3070">
        <f>IF(A3070="","",'Skill Matrix'!D197)</f>
        <v/>
      </c>
      <c r="F3070">
        <f>IF(AND('Skill Matrix'!A197&lt;&gt;"",'Skill Matrix'!Q5&lt;&gt;""),'Skill Matrix'!Q5,"")</f>
        <v/>
      </c>
      <c r="G3070">
        <f>IF(OR(A3070="",'Skill Matrix'!Q197=""),"",'Skill Matrix'!Q197)</f>
        <v/>
      </c>
      <c r="H3070">
        <f>IF(A3070="","",'Employees'!F17)</f>
        <v/>
      </c>
    </row>
    <row r="3071">
      <c r="A3071">
        <f>IF(AND('Skill Matrix'!A197&lt;&gt;"",'Skill Matrix'!R5&lt;&gt;""),'Skill Matrix'!A197,"")</f>
        <v/>
      </c>
      <c r="B3071">
        <f>IF(A3071="","",'Employees'!C17)</f>
        <v/>
      </c>
      <c r="C3071">
        <f>IF(A3071="","",'Employees'!D17)</f>
        <v/>
      </c>
      <c r="D3071">
        <f>IF(A3071="","",'Skill Matrix'!C197)</f>
        <v/>
      </c>
      <c r="E3071">
        <f>IF(A3071="","",'Skill Matrix'!D197)</f>
        <v/>
      </c>
      <c r="F3071">
        <f>IF(AND('Skill Matrix'!A197&lt;&gt;"",'Skill Matrix'!R5&lt;&gt;""),'Skill Matrix'!R5,"")</f>
        <v/>
      </c>
      <c r="G3071">
        <f>IF(OR(A3071="",'Skill Matrix'!R197=""),"",'Skill Matrix'!R197)</f>
        <v/>
      </c>
      <c r="H3071">
        <f>IF(A3071="","",'Employees'!F17)</f>
        <v/>
      </c>
    </row>
    <row r="3072">
      <c r="A3072">
        <f>IF(AND('Skill Matrix'!A197&lt;&gt;"",'Skill Matrix'!S5&lt;&gt;""),'Skill Matrix'!A197,"")</f>
        <v/>
      </c>
      <c r="B3072">
        <f>IF(A3072="","",'Employees'!C17)</f>
        <v/>
      </c>
      <c r="C3072">
        <f>IF(A3072="","",'Employees'!D17)</f>
        <v/>
      </c>
      <c r="D3072">
        <f>IF(A3072="","",'Skill Matrix'!C197)</f>
        <v/>
      </c>
      <c r="E3072">
        <f>IF(A3072="","",'Skill Matrix'!D197)</f>
        <v/>
      </c>
      <c r="F3072">
        <f>IF(AND('Skill Matrix'!A197&lt;&gt;"",'Skill Matrix'!S5&lt;&gt;""),'Skill Matrix'!S5,"")</f>
        <v/>
      </c>
      <c r="G3072">
        <f>IF(OR(A3072="",'Skill Matrix'!S197=""),"",'Skill Matrix'!S197)</f>
        <v/>
      </c>
      <c r="H3072">
        <f>IF(A3072="","",'Employees'!F17)</f>
        <v/>
      </c>
    </row>
    <row r="3073">
      <c r="A3073">
        <f>IF(AND('Skill Matrix'!A197&lt;&gt;"",'Skill Matrix'!T5&lt;&gt;""),'Skill Matrix'!A197,"")</f>
        <v/>
      </c>
      <c r="B3073">
        <f>IF(A3073="","",'Employees'!C17)</f>
        <v/>
      </c>
      <c r="C3073">
        <f>IF(A3073="","",'Employees'!D17)</f>
        <v/>
      </c>
      <c r="D3073">
        <f>IF(A3073="","",'Skill Matrix'!C197)</f>
        <v/>
      </c>
      <c r="E3073">
        <f>IF(A3073="","",'Skill Matrix'!D197)</f>
        <v/>
      </c>
      <c r="F3073">
        <f>IF(AND('Skill Matrix'!A197&lt;&gt;"",'Skill Matrix'!T5&lt;&gt;""),'Skill Matrix'!T5,"")</f>
        <v/>
      </c>
      <c r="G3073">
        <f>IF(OR(A3073="",'Skill Matrix'!T197=""),"",'Skill Matrix'!T197)</f>
        <v/>
      </c>
      <c r="H3073">
        <f>IF(A3073="","",'Employees'!F17)</f>
        <v/>
      </c>
    </row>
    <row r="3074">
      <c r="A3074">
        <f>IF(AND('Skill Matrix'!A198&lt;&gt;"",'Skill Matrix'!E5&lt;&gt;""),'Skill Matrix'!A198,"")</f>
        <v/>
      </c>
      <c r="B3074">
        <f>IF(A3074="","",'Employees'!C18)</f>
        <v/>
      </c>
      <c r="C3074">
        <f>IF(A3074="","",'Employees'!D18)</f>
        <v/>
      </c>
      <c r="D3074">
        <f>IF(A3074="","",'Skill Matrix'!C198)</f>
        <v/>
      </c>
      <c r="E3074">
        <f>IF(A3074="","",'Skill Matrix'!D198)</f>
        <v/>
      </c>
      <c r="F3074">
        <f>IF(AND('Skill Matrix'!A198&lt;&gt;"",'Skill Matrix'!E5&lt;&gt;""),'Skill Matrix'!E5,"")</f>
        <v/>
      </c>
      <c r="G3074">
        <f>IF(OR(A3074="",'Skill Matrix'!E198=""),"",'Skill Matrix'!E198)</f>
        <v/>
      </c>
      <c r="H3074">
        <f>IF(A3074="","",'Employees'!F18)</f>
        <v/>
      </c>
    </row>
    <row r="3075">
      <c r="A3075">
        <f>IF(AND('Skill Matrix'!A198&lt;&gt;"",'Skill Matrix'!F5&lt;&gt;""),'Skill Matrix'!A198,"")</f>
        <v/>
      </c>
      <c r="B3075">
        <f>IF(A3075="","",'Employees'!C18)</f>
        <v/>
      </c>
      <c r="C3075">
        <f>IF(A3075="","",'Employees'!D18)</f>
        <v/>
      </c>
      <c r="D3075">
        <f>IF(A3075="","",'Skill Matrix'!C198)</f>
        <v/>
      </c>
      <c r="E3075">
        <f>IF(A3075="","",'Skill Matrix'!D198)</f>
        <v/>
      </c>
      <c r="F3075">
        <f>IF(AND('Skill Matrix'!A198&lt;&gt;"",'Skill Matrix'!F5&lt;&gt;""),'Skill Matrix'!F5,"")</f>
        <v/>
      </c>
      <c r="G3075">
        <f>IF(OR(A3075="",'Skill Matrix'!F198=""),"",'Skill Matrix'!F198)</f>
        <v/>
      </c>
      <c r="H3075">
        <f>IF(A3075="","",'Employees'!F18)</f>
        <v/>
      </c>
    </row>
    <row r="3076">
      <c r="A3076">
        <f>IF(AND('Skill Matrix'!A198&lt;&gt;"",'Skill Matrix'!G5&lt;&gt;""),'Skill Matrix'!A198,"")</f>
        <v/>
      </c>
      <c r="B3076">
        <f>IF(A3076="","",'Employees'!C18)</f>
        <v/>
      </c>
      <c r="C3076">
        <f>IF(A3076="","",'Employees'!D18)</f>
        <v/>
      </c>
      <c r="D3076">
        <f>IF(A3076="","",'Skill Matrix'!C198)</f>
        <v/>
      </c>
      <c r="E3076">
        <f>IF(A3076="","",'Skill Matrix'!D198)</f>
        <v/>
      </c>
      <c r="F3076">
        <f>IF(AND('Skill Matrix'!A198&lt;&gt;"",'Skill Matrix'!G5&lt;&gt;""),'Skill Matrix'!G5,"")</f>
        <v/>
      </c>
      <c r="G3076">
        <f>IF(OR(A3076="",'Skill Matrix'!G198=""),"",'Skill Matrix'!G198)</f>
        <v/>
      </c>
      <c r="H3076">
        <f>IF(A3076="","",'Employees'!F18)</f>
        <v/>
      </c>
    </row>
    <row r="3077">
      <c r="A3077">
        <f>IF(AND('Skill Matrix'!A198&lt;&gt;"",'Skill Matrix'!H5&lt;&gt;""),'Skill Matrix'!A198,"")</f>
        <v/>
      </c>
      <c r="B3077">
        <f>IF(A3077="","",'Employees'!C18)</f>
        <v/>
      </c>
      <c r="C3077">
        <f>IF(A3077="","",'Employees'!D18)</f>
        <v/>
      </c>
      <c r="D3077">
        <f>IF(A3077="","",'Skill Matrix'!C198)</f>
        <v/>
      </c>
      <c r="E3077">
        <f>IF(A3077="","",'Skill Matrix'!D198)</f>
        <v/>
      </c>
      <c r="F3077">
        <f>IF(AND('Skill Matrix'!A198&lt;&gt;"",'Skill Matrix'!H5&lt;&gt;""),'Skill Matrix'!H5,"")</f>
        <v/>
      </c>
      <c r="G3077">
        <f>IF(OR(A3077="",'Skill Matrix'!H198=""),"",'Skill Matrix'!H198)</f>
        <v/>
      </c>
      <c r="H3077">
        <f>IF(A3077="","",'Employees'!F18)</f>
        <v/>
      </c>
    </row>
    <row r="3078">
      <c r="A3078">
        <f>IF(AND('Skill Matrix'!A198&lt;&gt;"",'Skill Matrix'!I5&lt;&gt;""),'Skill Matrix'!A198,"")</f>
        <v/>
      </c>
      <c r="B3078">
        <f>IF(A3078="","",'Employees'!C18)</f>
        <v/>
      </c>
      <c r="C3078">
        <f>IF(A3078="","",'Employees'!D18)</f>
        <v/>
      </c>
      <c r="D3078">
        <f>IF(A3078="","",'Skill Matrix'!C198)</f>
        <v/>
      </c>
      <c r="E3078">
        <f>IF(A3078="","",'Skill Matrix'!D198)</f>
        <v/>
      </c>
      <c r="F3078">
        <f>IF(AND('Skill Matrix'!A198&lt;&gt;"",'Skill Matrix'!I5&lt;&gt;""),'Skill Matrix'!I5,"")</f>
        <v/>
      </c>
      <c r="G3078">
        <f>IF(OR(A3078="",'Skill Matrix'!I198=""),"",'Skill Matrix'!I198)</f>
        <v/>
      </c>
      <c r="H3078">
        <f>IF(A3078="","",'Employees'!F18)</f>
        <v/>
      </c>
    </row>
    <row r="3079">
      <c r="A3079">
        <f>IF(AND('Skill Matrix'!A198&lt;&gt;"",'Skill Matrix'!J5&lt;&gt;""),'Skill Matrix'!A198,"")</f>
        <v/>
      </c>
      <c r="B3079">
        <f>IF(A3079="","",'Employees'!C18)</f>
        <v/>
      </c>
      <c r="C3079">
        <f>IF(A3079="","",'Employees'!D18)</f>
        <v/>
      </c>
      <c r="D3079">
        <f>IF(A3079="","",'Skill Matrix'!C198)</f>
        <v/>
      </c>
      <c r="E3079">
        <f>IF(A3079="","",'Skill Matrix'!D198)</f>
        <v/>
      </c>
      <c r="F3079">
        <f>IF(AND('Skill Matrix'!A198&lt;&gt;"",'Skill Matrix'!J5&lt;&gt;""),'Skill Matrix'!J5,"")</f>
        <v/>
      </c>
      <c r="G3079">
        <f>IF(OR(A3079="",'Skill Matrix'!J198=""),"",'Skill Matrix'!J198)</f>
        <v/>
      </c>
      <c r="H3079">
        <f>IF(A3079="","",'Employees'!F18)</f>
        <v/>
      </c>
    </row>
    <row r="3080">
      <c r="A3080">
        <f>IF(AND('Skill Matrix'!A198&lt;&gt;"",'Skill Matrix'!K5&lt;&gt;""),'Skill Matrix'!A198,"")</f>
        <v/>
      </c>
      <c r="B3080">
        <f>IF(A3080="","",'Employees'!C18)</f>
        <v/>
      </c>
      <c r="C3080">
        <f>IF(A3080="","",'Employees'!D18)</f>
        <v/>
      </c>
      <c r="D3080">
        <f>IF(A3080="","",'Skill Matrix'!C198)</f>
        <v/>
      </c>
      <c r="E3080">
        <f>IF(A3080="","",'Skill Matrix'!D198)</f>
        <v/>
      </c>
      <c r="F3080">
        <f>IF(AND('Skill Matrix'!A198&lt;&gt;"",'Skill Matrix'!K5&lt;&gt;""),'Skill Matrix'!K5,"")</f>
        <v/>
      </c>
      <c r="G3080">
        <f>IF(OR(A3080="",'Skill Matrix'!K198=""),"",'Skill Matrix'!K198)</f>
        <v/>
      </c>
      <c r="H3080">
        <f>IF(A3080="","",'Employees'!F18)</f>
        <v/>
      </c>
    </row>
    <row r="3081">
      <c r="A3081">
        <f>IF(AND('Skill Matrix'!A198&lt;&gt;"",'Skill Matrix'!L5&lt;&gt;""),'Skill Matrix'!A198,"")</f>
        <v/>
      </c>
      <c r="B3081">
        <f>IF(A3081="","",'Employees'!C18)</f>
        <v/>
      </c>
      <c r="C3081">
        <f>IF(A3081="","",'Employees'!D18)</f>
        <v/>
      </c>
      <c r="D3081">
        <f>IF(A3081="","",'Skill Matrix'!C198)</f>
        <v/>
      </c>
      <c r="E3081">
        <f>IF(A3081="","",'Skill Matrix'!D198)</f>
        <v/>
      </c>
      <c r="F3081">
        <f>IF(AND('Skill Matrix'!A198&lt;&gt;"",'Skill Matrix'!L5&lt;&gt;""),'Skill Matrix'!L5,"")</f>
        <v/>
      </c>
      <c r="G3081">
        <f>IF(OR(A3081="",'Skill Matrix'!L198=""),"",'Skill Matrix'!L198)</f>
        <v/>
      </c>
      <c r="H3081">
        <f>IF(A3081="","",'Employees'!F18)</f>
        <v/>
      </c>
    </row>
    <row r="3082">
      <c r="A3082">
        <f>IF(AND('Skill Matrix'!A198&lt;&gt;"",'Skill Matrix'!M5&lt;&gt;""),'Skill Matrix'!A198,"")</f>
        <v/>
      </c>
      <c r="B3082">
        <f>IF(A3082="","",'Employees'!C18)</f>
        <v/>
      </c>
      <c r="C3082">
        <f>IF(A3082="","",'Employees'!D18)</f>
        <v/>
      </c>
      <c r="D3082">
        <f>IF(A3082="","",'Skill Matrix'!C198)</f>
        <v/>
      </c>
      <c r="E3082">
        <f>IF(A3082="","",'Skill Matrix'!D198)</f>
        <v/>
      </c>
      <c r="F3082">
        <f>IF(AND('Skill Matrix'!A198&lt;&gt;"",'Skill Matrix'!M5&lt;&gt;""),'Skill Matrix'!M5,"")</f>
        <v/>
      </c>
      <c r="G3082">
        <f>IF(OR(A3082="",'Skill Matrix'!M198=""),"",'Skill Matrix'!M198)</f>
        <v/>
      </c>
      <c r="H3082">
        <f>IF(A3082="","",'Employees'!F18)</f>
        <v/>
      </c>
    </row>
    <row r="3083">
      <c r="A3083">
        <f>IF(AND('Skill Matrix'!A198&lt;&gt;"",'Skill Matrix'!N5&lt;&gt;""),'Skill Matrix'!A198,"")</f>
        <v/>
      </c>
      <c r="B3083">
        <f>IF(A3083="","",'Employees'!C18)</f>
        <v/>
      </c>
      <c r="C3083">
        <f>IF(A3083="","",'Employees'!D18)</f>
        <v/>
      </c>
      <c r="D3083">
        <f>IF(A3083="","",'Skill Matrix'!C198)</f>
        <v/>
      </c>
      <c r="E3083">
        <f>IF(A3083="","",'Skill Matrix'!D198)</f>
        <v/>
      </c>
      <c r="F3083">
        <f>IF(AND('Skill Matrix'!A198&lt;&gt;"",'Skill Matrix'!N5&lt;&gt;""),'Skill Matrix'!N5,"")</f>
        <v/>
      </c>
      <c r="G3083">
        <f>IF(OR(A3083="",'Skill Matrix'!N198=""),"",'Skill Matrix'!N198)</f>
        <v/>
      </c>
      <c r="H3083">
        <f>IF(A3083="","",'Employees'!F18)</f>
        <v/>
      </c>
    </row>
    <row r="3084">
      <c r="A3084">
        <f>IF(AND('Skill Matrix'!A198&lt;&gt;"",'Skill Matrix'!O5&lt;&gt;""),'Skill Matrix'!A198,"")</f>
        <v/>
      </c>
      <c r="B3084">
        <f>IF(A3084="","",'Employees'!C18)</f>
        <v/>
      </c>
      <c r="C3084">
        <f>IF(A3084="","",'Employees'!D18)</f>
        <v/>
      </c>
      <c r="D3084">
        <f>IF(A3084="","",'Skill Matrix'!C198)</f>
        <v/>
      </c>
      <c r="E3084">
        <f>IF(A3084="","",'Skill Matrix'!D198)</f>
        <v/>
      </c>
      <c r="F3084">
        <f>IF(AND('Skill Matrix'!A198&lt;&gt;"",'Skill Matrix'!O5&lt;&gt;""),'Skill Matrix'!O5,"")</f>
        <v/>
      </c>
      <c r="G3084">
        <f>IF(OR(A3084="",'Skill Matrix'!O198=""),"",'Skill Matrix'!O198)</f>
        <v/>
      </c>
      <c r="H3084">
        <f>IF(A3084="","",'Employees'!F18)</f>
        <v/>
      </c>
    </row>
    <row r="3085">
      <c r="A3085">
        <f>IF(AND('Skill Matrix'!A198&lt;&gt;"",'Skill Matrix'!P5&lt;&gt;""),'Skill Matrix'!A198,"")</f>
        <v/>
      </c>
      <c r="B3085">
        <f>IF(A3085="","",'Employees'!C18)</f>
        <v/>
      </c>
      <c r="C3085">
        <f>IF(A3085="","",'Employees'!D18)</f>
        <v/>
      </c>
      <c r="D3085">
        <f>IF(A3085="","",'Skill Matrix'!C198)</f>
        <v/>
      </c>
      <c r="E3085">
        <f>IF(A3085="","",'Skill Matrix'!D198)</f>
        <v/>
      </c>
      <c r="F3085">
        <f>IF(AND('Skill Matrix'!A198&lt;&gt;"",'Skill Matrix'!P5&lt;&gt;""),'Skill Matrix'!P5,"")</f>
        <v/>
      </c>
      <c r="G3085">
        <f>IF(OR(A3085="",'Skill Matrix'!P198=""),"",'Skill Matrix'!P198)</f>
        <v/>
      </c>
      <c r="H3085">
        <f>IF(A3085="","",'Employees'!F18)</f>
        <v/>
      </c>
    </row>
    <row r="3086">
      <c r="A3086">
        <f>IF(AND('Skill Matrix'!A198&lt;&gt;"",'Skill Matrix'!Q5&lt;&gt;""),'Skill Matrix'!A198,"")</f>
        <v/>
      </c>
      <c r="B3086">
        <f>IF(A3086="","",'Employees'!C18)</f>
        <v/>
      </c>
      <c r="C3086">
        <f>IF(A3086="","",'Employees'!D18)</f>
        <v/>
      </c>
      <c r="D3086">
        <f>IF(A3086="","",'Skill Matrix'!C198)</f>
        <v/>
      </c>
      <c r="E3086">
        <f>IF(A3086="","",'Skill Matrix'!D198)</f>
        <v/>
      </c>
      <c r="F3086">
        <f>IF(AND('Skill Matrix'!A198&lt;&gt;"",'Skill Matrix'!Q5&lt;&gt;""),'Skill Matrix'!Q5,"")</f>
        <v/>
      </c>
      <c r="G3086">
        <f>IF(OR(A3086="",'Skill Matrix'!Q198=""),"",'Skill Matrix'!Q198)</f>
        <v/>
      </c>
      <c r="H3086">
        <f>IF(A3086="","",'Employees'!F18)</f>
        <v/>
      </c>
    </row>
    <row r="3087">
      <c r="A3087">
        <f>IF(AND('Skill Matrix'!A198&lt;&gt;"",'Skill Matrix'!R5&lt;&gt;""),'Skill Matrix'!A198,"")</f>
        <v/>
      </c>
      <c r="B3087">
        <f>IF(A3087="","",'Employees'!C18)</f>
        <v/>
      </c>
      <c r="C3087">
        <f>IF(A3087="","",'Employees'!D18)</f>
        <v/>
      </c>
      <c r="D3087">
        <f>IF(A3087="","",'Skill Matrix'!C198)</f>
        <v/>
      </c>
      <c r="E3087">
        <f>IF(A3087="","",'Skill Matrix'!D198)</f>
        <v/>
      </c>
      <c r="F3087">
        <f>IF(AND('Skill Matrix'!A198&lt;&gt;"",'Skill Matrix'!R5&lt;&gt;""),'Skill Matrix'!R5,"")</f>
        <v/>
      </c>
      <c r="G3087">
        <f>IF(OR(A3087="",'Skill Matrix'!R198=""),"",'Skill Matrix'!R198)</f>
        <v/>
      </c>
      <c r="H3087">
        <f>IF(A3087="","",'Employees'!F18)</f>
        <v/>
      </c>
    </row>
    <row r="3088">
      <c r="A3088">
        <f>IF(AND('Skill Matrix'!A198&lt;&gt;"",'Skill Matrix'!S5&lt;&gt;""),'Skill Matrix'!A198,"")</f>
        <v/>
      </c>
      <c r="B3088">
        <f>IF(A3088="","",'Employees'!C18)</f>
        <v/>
      </c>
      <c r="C3088">
        <f>IF(A3088="","",'Employees'!D18)</f>
        <v/>
      </c>
      <c r="D3088">
        <f>IF(A3088="","",'Skill Matrix'!C198)</f>
        <v/>
      </c>
      <c r="E3088">
        <f>IF(A3088="","",'Skill Matrix'!D198)</f>
        <v/>
      </c>
      <c r="F3088">
        <f>IF(AND('Skill Matrix'!A198&lt;&gt;"",'Skill Matrix'!S5&lt;&gt;""),'Skill Matrix'!S5,"")</f>
        <v/>
      </c>
      <c r="G3088">
        <f>IF(OR(A3088="",'Skill Matrix'!S198=""),"",'Skill Matrix'!S198)</f>
        <v/>
      </c>
      <c r="H3088">
        <f>IF(A3088="","",'Employees'!F18)</f>
        <v/>
      </c>
    </row>
    <row r="3089">
      <c r="A3089">
        <f>IF(AND('Skill Matrix'!A198&lt;&gt;"",'Skill Matrix'!T5&lt;&gt;""),'Skill Matrix'!A198,"")</f>
        <v/>
      </c>
      <c r="B3089">
        <f>IF(A3089="","",'Employees'!C18)</f>
        <v/>
      </c>
      <c r="C3089">
        <f>IF(A3089="","",'Employees'!D18)</f>
        <v/>
      </c>
      <c r="D3089">
        <f>IF(A3089="","",'Skill Matrix'!C198)</f>
        <v/>
      </c>
      <c r="E3089">
        <f>IF(A3089="","",'Skill Matrix'!D198)</f>
        <v/>
      </c>
      <c r="F3089">
        <f>IF(AND('Skill Matrix'!A198&lt;&gt;"",'Skill Matrix'!T5&lt;&gt;""),'Skill Matrix'!T5,"")</f>
        <v/>
      </c>
      <c r="G3089">
        <f>IF(OR(A3089="",'Skill Matrix'!T198=""),"",'Skill Matrix'!T198)</f>
        <v/>
      </c>
      <c r="H3089">
        <f>IF(A3089="","",'Employees'!F18)</f>
        <v/>
      </c>
    </row>
    <row r="3090">
      <c r="A3090">
        <f>IF(AND('Skill Matrix'!A199&lt;&gt;"",'Skill Matrix'!E5&lt;&gt;""),'Skill Matrix'!A199,"")</f>
        <v/>
      </c>
      <c r="B3090">
        <f>IF(A3090="","",'Employees'!C18)</f>
        <v/>
      </c>
      <c r="C3090">
        <f>IF(A3090="","",'Employees'!D18)</f>
        <v/>
      </c>
      <c r="D3090">
        <f>IF(A3090="","",'Skill Matrix'!C199)</f>
        <v/>
      </c>
      <c r="E3090">
        <f>IF(A3090="","",'Skill Matrix'!D199)</f>
        <v/>
      </c>
      <c r="F3090">
        <f>IF(AND('Skill Matrix'!A199&lt;&gt;"",'Skill Matrix'!E5&lt;&gt;""),'Skill Matrix'!E5,"")</f>
        <v/>
      </c>
      <c r="G3090">
        <f>IF(OR(A3090="",'Skill Matrix'!E199=""),"",'Skill Matrix'!E199)</f>
        <v/>
      </c>
      <c r="H3090">
        <f>IF(A3090="","",'Employees'!F18)</f>
        <v/>
      </c>
    </row>
    <row r="3091">
      <c r="A3091">
        <f>IF(AND('Skill Matrix'!A199&lt;&gt;"",'Skill Matrix'!F5&lt;&gt;""),'Skill Matrix'!A199,"")</f>
        <v/>
      </c>
      <c r="B3091">
        <f>IF(A3091="","",'Employees'!C18)</f>
        <v/>
      </c>
      <c r="C3091">
        <f>IF(A3091="","",'Employees'!D18)</f>
        <v/>
      </c>
      <c r="D3091">
        <f>IF(A3091="","",'Skill Matrix'!C199)</f>
        <v/>
      </c>
      <c r="E3091">
        <f>IF(A3091="","",'Skill Matrix'!D199)</f>
        <v/>
      </c>
      <c r="F3091">
        <f>IF(AND('Skill Matrix'!A199&lt;&gt;"",'Skill Matrix'!F5&lt;&gt;""),'Skill Matrix'!F5,"")</f>
        <v/>
      </c>
      <c r="G3091">
        <f>IF(OR(A3091="",'Skill Matrix'!F199=""),"",'Skill Matrix'!F199)</f>
        <v/>
      </c>
      <c r="H3091">
        <f>IF(A3091="","",'Employees'!F18)</f>
        <v/>
      </c>
    </row>
    <row r="3092">
      <c r="A3092">
        <f>IF(AND('Skill Matrix'!A199&lt;&gt;"",'Skill Matrix'!G5&lt;&gt;""),'Skill Matrix'!A199,"")</f>
        <v/>
      </c>
      <c r="B3092">
        <f>IF(A3092="","",'Employees'!C18)</f>
        <v/>
      </c>
      <c r="C3092">
        <f>IF(A3092="","",'Employees'!D18)</f>
        <v/>
      </c>
      <c r="D3092">
        <f>IF(A3092="","",'Skill Matrix'!C199)</f>
        <v/>
      </c>
      <c r="E3092">
        <f>IF(A3092="","",'Skill Matrix'!D199)</f>
        <v/>
      </c>
      <c r="F3092">
        <f>IF(AND('Skill Matrix'!A199&lt;&gt;"",'Skill Matrix'!G5&lt;&gt;""),'Skill Matrix'!G5,"")</f>
        <v/>
      </c>
      <c r="G3092">
        <f>IF(OR(A3092="",'Skill Matrix'!G199=""),"",'Skill Matrix'!G199)</f>
        <v/>
      </c>
      <c r="H3092">
        <f>IF(A3092="","",'Employees'!F18)</f>
        <v/>
      </c>
    </row>
    <row r="3093">
      <c r="A3093">
        <f>IF(AND('Skill Matrix'!A199&lt;&gt;"",'Skill Matrix'!H5&lt;&gt;""),'Skill Matrix'!A199,"")</f>
        <v/>
      </c>
      <c r="B3093">
        <f>IF(A3093="","",'Employees'!C18)</f>
        <v/>
      </c>
      <c r="C3093">
        <f>IF(A3093="","",'Employees'!D18)</f>
        <v/>
      </c>
      <c r="D3093">
        <f>IF(A3093="","",'Skill Matrix'!C199)</f>
        <v/>
      </c>
      <c r="E3093">
        <f>IF(A3093="","",'Skill Matrix'!D199)</f>
        <v/>
      </c>
      <c r="F3093">
        <f>IF(AND('Skill Matrix'!A199&lt;&gt;"",'Skill Matrix'!H5&lt;&gt;""),'Skill Matrix'!H5,"")</f>
        <v/>
      </c>
      <c r="G3093">
        <f>IF(OR(A3093="",'Skill Matrix'!H199=""),"",'Skill Matrix'!H199)</f>
        <v/>
      </c>
      <c r="H3093">
        <f>IF(A3093="","",'Employees'!F18)</f>
        <v/>
      </c>
    </row>
    <row r="3094">
      <c r="A3094">
        <f>IF(AND('Skill Matrix'!A199&lt;&gt;"",'Skill Matrix'!I5&lt;&gt;""),'Skill Matrix'!A199,"")</f>
        <v/>
      </c>
      <c r="B3094">
        <f>IF(A3094="","",'Employees'!C18)</f>
        <v/>
      </c>
      <c r="C3094">
        <f>IF(A3094="","",'Employees'!D18)</f>
        <v/>
      </c>
      <c r="D3094">
        <f>IF(A3094="","",'Skill Matrix'!C199)</f>
        <v/>
      </c>
      <c r="E3094">
        <f>IF(A3094="","",'Skill Matrix'!D199)</f>
        <v/>
      </c>
      <c r="F3094">
        <f>IF(AND('Skill Matrix'!A199&lt;&gt;"",'Skill Matrix'!I5&lt;&gt;""),'Skill Matrix'!I5,"")</f>
        <v/>
      </c>
      <c r="G3094">
        <f>IF(OR(A3094="",'Skill Matrix'!I199=""),"",'Skill Matrix'!I199)</f>
        <v/>
      </c>
      <c r="H3094">
        <f>IF(A3094="","",'Employees'!F18)</f>
        <v/>
      </c>
    </row>
    <row r="3095">
      <c r="A3095">
        <f>IF(AND('Skill Matrix'!A199&lt;&gt;"",'Skill Matrix'!J5&lt;&gt;""),'Skill Matrix'!A199,"")</f>
        <v/>
      </c>
      <c r="B3095">
        <f>IF(A3095="","",'Employees'!C18)</f>
        <v/>
      </c>
      <c r="C3095">
        <f>IF(A3095="","",'Employees'!D18)</f>
        <v/>
      </c>
      <c r="D3095">
        <f>IF(A3095="","",'Skill Matrix'!C199)</f>
        <v/>
      </c>
      <c r="E3095">
        <f>IF(A3095="","",'Skill Matrix'!D199)</f>
        <v/>
      </c>
      <c r="F3095">
        <f>IF(AND('Skill Matrix'!A199&lt;&gt;"",'Skill Matrix'!J5&lt;&gt;""),'Skill Matrix'!J5,"")</f>
        <v/>
      </c>
      <c r="G3095">
        <f>IF(OR(A3095="",'Skill Matrix'!J199=""),"",'Skill Matrix'!J199)</f>
        <v/>
      </c>
      <c r="H3095">
        <f>IF(A3095="","",'Employees'!F18)</f>
        <v/>
      </c>
    </row>
    <row r="3096">
      <c r="A3096">
        <f>IF(AND('Skill Matrix'!A199&lt;&gt;"",'Skill Matrix'!K5&lt;&gt;""),'Skill Matrix'!A199,"")</f>
        <v/>
      </c>
      <c r="B3096">
        <f>IF(A3096="","",'Employees'!C18)</f>
        <v/>
      </c>
      <c r="C3096">
        <f>IF(A3096="","",'Employees'!D18)</f>
        <v/>
      </c>
      <c r="D3096">
        <f>IF(A3096="","",'Skill Matrix'!C199)</f>
        <v/>
      </c>
      <c r="E3096">
        <f>IF(A3096="","",'Skill Matrix'!D199)</f>
        <v/>
      </c>
      <c r="F3096">
        <f>IF(AND('Skill Matrix'!A199&lt;&gt;"",'Skill Matrix'!K5&lt;&gt;""),'Skill Matrix'!K5,"")</f>
        <v/>
      </c>
      <c r="G3096">
        <f>IF(OR(A3096="",'Skill Matrix'!K199=""),"",'Skill Matrix'!K199)</f>
        <v/>
      </c>
      <c r="H3096">
        <f>IF(A3096="","",'Employees'!F18)</f>
        <v/>
      </c>
    </row>
    <row r="3097">
      <c r="A3097">
        <f>IF(AND('Skill Matrix'!A199&lt;&gt;"",'Skill Matrix'!L5&lt;&gt;""),'Skill Matrix'!A199,"")</f>
        <v/>
      </c>
      <c r="B3097">
        <f>IF(A3097="","",'Employees'!C18)</f>
        <v/>
      </c>
      <c r="C3097">
        <f>IF(A3097="","",'Employees'!D18)</f>
        <v/>
      </c>
      <c r="D3097">
        <f>IF(A3097="","",'Skill Matrix'!C199)</f>
        <v/>
      </c>
      <c r="E3097">
        <f>IF(A3097="","",'Skill Matrix'!D199)</f>
        <v/>
      </c>
      <c r="F3097">
        <f>IF(AND('Skill Matrix'!A199&lt;&gt;"",'Skill Matrix'!L5&lt;&gt;""),'Skill Matrix'!L5,"")</f>
        <v/>
      </c>
      <c r="G3097">
        <f>IF(OR(A3097="",'Skill Matrix'!L199=""),"",'Skill Matrix'!L199)</f>
        <v/>
      </c>
      <c r="H3097">
        <f>IF(A3097="","",'Employees'!F18)</f>
        <v/>
      </c>
    </row>
    <row r="3098">
      <c r="A3098">
        <f>IF(AND('Skill Matrix'!A199&lt;&gt;"",'Skill Matrix'!M5&lt;&gt;""),'Skill Matrix'!A199,"")</f>
        <v/>
      </c>
      <c r="B3098">
        <f>IF(A3098="","",'Employees'!C18)</f>
        <v/>
      </c>
      <c r="C3098">
        <f>IF(A3098="","",'Employees'!D18)</f>
        <v/>
      </c>
      <c r="D3098">
        <f>IF(A3098="","",'Skill Matrix'!C199)</f>
        <v/>
      </c>
      <c r="E3098">
        <f>IF(A3098="","",'Skill Matrix'!D199)</f>
        <v/>
      </c>
      <c r="F3098">
        <f>IF(AND('Skill Matrix'!A199&lt;&gt;"",'Skill Matrix'!M5&lt;&gt;""),'Skill Matrix'!M5,"")</f>
        <v/>
      </c>
      <c r="G3098">
        <f>IF(OR(A3098="",'Skill Matrix'!M199=""),"",'Skill Matrix'!M199)</f>
        <v/>
      </c>
      <c r="H3098">
        <f>IF(A3098="","",'Employees'!F18)</f>
        <v/>
      </c>
    </row>
    <row r="3099">
      <c r="A3099">
        <f>IF(AND('Skill Matrix'!A199&lt;&gt;"",'Skill Matrix'!N5&lt;&gt;""),'Skill Matrix'!A199,"")</f>
        <v/>
      </c>
      <c r="B3099">
        <f>IF(A3099="","",'Employees'!C18)</f>
        <v/>
      </c>
      <c r="C3099">
        <f>IF(A3099="","",'Employees'!D18)</f>
        <v/>
      </c>
      <c r="D3099">
        <f>IF(A3099="","",'Skill Matrix'!C199)</f>
        <v/>
      </c>
      <c r="E3099">
        <f>IF(A3099="","",'Skill Matrix'!D199)</f>
        <v/>
      </c>
      <c r="F3099">
        <f>IF(AND('Skill Matrix'!A199&lt;&gt;"",'Skill Matrix'!N5&lt;&gt;""),'Skill Matrix'!N5,"")</f>
        <v/>
      </c>
      <c r="G3099">
        <f>IF(OR(A3099="",'Skill Matrix'!N199=""),"",'Skill Matrix'!N199)</f>
        <v/>
      </c>
      <c r="H3099">
        <f>IF(A3099="","",'Employees'!F18)</f>
        <v/>
      </c>
    </row>
    <row r="3100">
      <c r="A3100">
        <f>IF(AND('Skill Matrix'!A199&lt;&gt;"",'Skill Matrix'!O5&lt;&gt;""),'Skill Matrix'!A199,"")</f>
        <v/>
      </c>
      <c r="B3100">
        <f>IF(A3100="","",'Employees'!C18)</f>
        <v/>
      </c>
      <c r="C3100">
        <f>IF(A3100="","",'Employees'!D18)</f>
        <v/>
      </c>
      <c r="D3100">
        <f>IF(A3100="","",'Skill Matrix'!C199)</f>
        <v/>
      </c>
      <c r="E3100">
        <f>IF(A3100="","",'Skill Matrix'!D199)</f>
        <v/>
      </c>
      <c r="F3100">
        <f>IF(AND('Skill Matrix'!A199&lt;&gt;"",'Skill Matrix'!O5&lt;&gt;""),'Skill Matrix'!O5,"")</f>
        <v/>
      </c>
      <c r="G3100">
        <f>IF(OR(A3100="",'Skill Matrix'!O199=""),"",'Skill Matrix'!O199)</f>
        <v/>
      </c>
      <c r="H3100">
        <f>IF(A3100="","",'Employees'!F18)</f>
        <v/>
      </c>
    </row>
    <row r="3101">
      <c r="A3101">
        <f>IF(AND('Skill Matrix'!A199&lt;&gt;"",'Skill Matrix'!P5&lt;&gt;""),'Skill Matrix'!A199,"")</f>
        <v/>
      </c>
      <c r="B3101">
        <f>IF(A3101="","",'Employees'!C18)</f>
        <v/>
      </c>
      <c r="C3101">
        <f>IF(A3101="","",'Employees'!D18)</f>
        <v/>
      </c>
      <c r="D3101">
        <f>IF(A3101="","",'Skill Matrix'!C199)</f>
        <v/>
      </c>
      <c r="E3101">
        <f>IF(A3101="","",'Skill Matrix'!D199)</f>
        <v/>
      </c>
      <c r="F3101">
        <f>IF(AND('Skill Matrix'!A199&lt;&gt;"",'Skill Matrix'!P5&lt;&gt;""),'Skill Matrix'!P5,"")</f>
        <v/>
      </c>
      <c r="G3101">
        <f>IF(OR(A3101="",'Skill Matrix'!P199=""),"",'Skill Matrix'!P199)</f>
        <v/>
      </c>
      <c r="H3101">
        <f>IF(A3101="","",'Employees'!F18)</f>
        <v/>
      </c>
    </row>
    <row r="3102">
      <c r="A3102">
        <f>IF(AND('Skill Matrix'!A199&lt;&gt;"",'Skill Matrix'!Q5&lt;&gt;""),'Skill Matrix'!A199,"")</f>
        <v/>
      </c>
      <c r="B3102">
        <f>IF(A3102="","",'Employees'!C18)</f>
        <v/>
      </c>
      <c r="C3102">
        <f>IF(A3102="","",'Employees'!D18)</f>
        <v/>
      </c>
      <c r="D3102">
        <f>IF(A3102="","",'Skill Matrix'!C199)</f>
        <v/>
      </c>
      <c r="E3102">
        <f>IF(A3102="","",'Skill Matrix'!D199)</f>
        <v/>
      </c>
      <c r="F3102">
        <f>IF(AND('Skill Matrix'!A199&lt;&gt;"",'Skill Matrix'!Q5&lt;&gt;""),'Skill Matrix'!Q5,"")</f>
        <v/>
      </c>
      <c r="G3102">
        <f>IF(OR(A3102="",'Skill Matrix'!Q199=""),"",'Skill Matrix'!Q199)</f>
        <v/>
      </c>
      <c r="H3102">
        <f>IF(A3102="","",'Employees'!F18)</f>
        <v/>
      </c>
    </row>
    <row r="3103">
      <c r="A3103">
        <f>IF(AND('Skill Matrix'!A199&lt;&gt;"",'Skill Matrix'!R5&lt;&gt;""),'Skill Matrix'!A199,"")</f>
        <v/>
      </c>
      <c r="B3103">
        <f>IF(A3103="","",'Employees'!C18)</f>
        <v/>
      </c>
      <c r="C3103">
        <f>IF(A3103="","",'Employees'!D18)</f>
        <v/>
      </c>
      <c r="D3103">
        <f>IF(A3103="","",'Skill Matrix'!C199)</f>
        <v/>
      </c>
      <c r="E3103">
        <f>IF(A3103="","",'Skill Matrix'!D199)</f>
        <v/>
      </c>
      <c r="F3103">
        <f>IF(AND('Skill Matrix'!A199&lt;&gt;"",'Skill Matrix'!R5&lt;&gt;""),'Skill Matrix'!R5,"")</f>
        <v/>
      </c>
      <c r="G3103">
        <f>IF(OR(A3103="",'Skill Matrix'!R199=""),"",'Skill Matrix'!R199)</f>
        <v/>
      </c>
      <c r="H3103">
        <f>IF(A3103="","",'Employees'!F18)</f>
        <v/>
      </c>
    </row>
    <row r="3104">
      <c r="A3104">
        <f>IF(AND('Skill Matrix'!A199&lt;&gt;"",'Skill Matrix'!S5&lt;&gt;""),'Skill Matrix'!A199,"")</f>
        <v/>
      </c>
      <c r="B3104">
        <f>IF(A3104="","",'Employees'!C18)</f>
        <v/>
      </c>
      <c r="C3104">
        <f>IF(A3104="","",'Employees'!D18)</f>
        <v/>
      </c>
      <c r="D3104">
        <f>IF(A3104="","",'Skill Matrix'!C199)</f>
        <v/>
      </c>
      <c r="E3104">
        <f>IF(A3104="","",'Skill Matrix'!D199)</f>
        <v/>
      </c>
      <c r="F3104">
        <f>IF(AND('Skill Matrix'!A199&lt;&gt;"",'Skill Matrix'!S5&lt;&gt;""),'Skill Matrix'!S5,"")</f>
        <v/>
      </c>
      <c r="G3104">
        <f>IF(OR(A3104="",'Skill Matrix'!S199=""),"",'Skill Matrix'!S199)</f>
        <v/>
      </c>
      <c r="H3104">
        <f>IF(A3104="","",'Employees'!F18)</f>
        <v/>
      </c>
    </row>
    <row r="3105">
      <c r="A3105">
        <f>IF(AND('Skill Matrix'!A199&lt;&gt;"",'Skill Matrix'!T5&lt;&gt;""),'Skill Matrix'!A199,"")</f>
        <v/>
      </c>
      <c r="B3105">
        <f>IF(A3105="","",'Employees'!C18)</f>
        <v/>
      </c>
      <c r="C3105">
        <f>IF(A3105="","",'Employees'!D18)</f>
        <v/>
      </c>
      <c r="D3105">
        <f>IF(A3105="","",'Skill Matrix'!C199)</f>
        <v/>
      </c>
      <c r="E3105">
        <f>IF(A3105="","",'Skill Matrix'!D199)</f>
        <v/>
      </c>
      <c r="F3105">
        <f>IF(AND('Skill Matrix'!A199&lt;&gt;"",'Skill Matrix'!T5&lt;&gt;""),'Skill Matrix'!T5,"")</f>
        <v/>
      </c>
      <c r="G3105">
        <f>IF(OR(A3105="",'Skill Matrix'!T199=""),"",'Skill Matrix'!T199)</f>
        <v/>
      </c>
      <c r="H3105">
        <f>IF(A3105="","",'Employees'!F18)</f>
        <v/>
      </c>
    </row>
    <row r="3106">
      <c r="A3106">
        <f>IF(AND('Skill Matrix'!A200&lt;&gt;"",'Skill Matrix'!E5&lt;&gt;""),'Skill Matrix'!A200,"")</f>
        <v/>
      </c>
      <c r="B3106">
        <f>IF(A3106="","",'Employees'!C18)</f>
        <v/>
      </c>
      <c r="C3106">
        <f>IF(A3106="","",'Employees'!D18)</f>
        <v/>
      </c>
      <c r="D3106">
        <f>IF(A3106="","",'Skill Matrix'!C200)</f>
        <v/>
      </c>
      <c r="E3106">
        <f>IF(A3106="","",'Skill Matrix'!D200)</f>
        <v/>
      </c>
      <c r="F3106">
        <f>IF(AND('Skill Matrix'!A200&lt;&gt;"",'Skill Matrix'!E5&lt;&gt;""),'Skill Matrix'!E5,"")</f>
        <v/>
      </c>
      <c r="G3106">
        <f>IF(OR(A3106="",'Skill Matrix'!E200=""),"",'Skill Matrix'!E200)</f>
        <v/>
      </c>
      <c r="H3106">
        <f>IF(A3106="","",'Employees'!F18)</f>
        <v/>
      </c>
    </row>
    <row r="3107">
      <c r="A3107">
        <f>IF(AND('Skill Matrix'!A200&lt;&gt;"",'Skill Matrix'!F5&lt;&gt;""),'Skill Matrix'!A200,"")</f>
        <v/>
      </c>
      <c r="B3107">
        <f>IF(A3107="","",'Employees'!C18)</f>
        <v/>
      </c>
      <c r="C3107">
        <f>IF(A3107="","",'Employees'!D18)</f>
        <v/>
      </c>
      <c r="D3107">
        <f>IF(A3107="","",'Skill Matrix'!C200)</f>
        <v/>
      </c>
      <c r="E3107">
        <f>IF(A3107="","",'Skill Matrix'!D200)</f>
        <v/>
      </c>
      <c r="F3107">
        <f>IF(AND('Skill Matrix'!A200&lt;&gt;"",'Skill Matrix'!F5&lt;&gt;""),'Skill Matrix'!F5,"")</f>
        <v/>
      </c>
      <c r="G3107">
        <f>IF(OR(A3107="",'Skill Matrix'!F200=""),"",'Skill Matrix'!F200)</f>
        <v/>
      </c>
      <c r="H3107">
        <f>IF(A3107="","",'Employees'!F18)</f>
        <v/>
      </c>
    </row>
    <row r="3108">
      <c r="A3108">
        <f>IF(AND('Skill Matrix'!A200&lt;&gt;"",'Skill Matrix'!G5&lt;&gt;""),'Skill Matrix'!A200,"")</f>
        <v/>
      </c>
      <c r="B3108">
        <f>IF(A3108="","",'Employees'!C18)</f>
        <v/>
      </c>
      <c r="C3108">
        <f>IF(A3108="","",'Employees'!D18)</f>
        <v/>
      </c>
      <c r="D3108">
        <f>IF(A3108="","",'Skill Matrix'!C200)</f>
        <v/>
      </c>
      <c r="E3108">
        <f>IF(A3108="","",'Skill Matrix'!D200)</f>
        <v/>
      </c>
      <c r="F3108">
        <f>IF(AND('Skill Matrix'!A200&lt;&gt;"",'Skill Matrix'!G5&lt;&gt;""),'Skill Matrix'!G5,"")</f>
        <v/>
      </c>
      <c r="G3108">
        <f>IF(OR(A3108="",'Skill Matrix'!G200=""),"",'Skill Matrix'!G200)</f>
        <v/>
      </c>
      <c r="H3108">
        <f>IF(A3108="","",'Employees'!F18)</f>
        <v/>
      </c>
    </row>
    <row r="3109">
      <c r="A3109">
        <f>IF(AND('Skill Matrix'!A200&lt;&gt;"",'Skill Matrix'!H5&lt;&gt;""),'Skill Matrix'!A200,"")</f>
        <v/>
      </c>
      <c r="B3109">
        <f>IF(A3109="","",'Employees'!C18)</f>
        <v/>
      </c>
      <c r="C3109">
        <f>IF(A3109="","",'Employees'!D18)</f>
        <v/>
      </c>
      <c r="D3109">
        <f>IF(A3109="","",'Skill Matrix'!C200)</f>
        <v/>
      </c>
      <c r="E3109">
        <f>IF(A3109="","",'Skill Matrix'!D200)</f>
        <v/>
      </c>
      <c r="F3109">
        <f>IF(AND('Skill Matrix'!A200&lt;&gt;"",'Skill Matrix'!H5&lt;&gt;""),'Skill Matrix'!H5,"")</f>
        <v/>
      </c>
      <c r="G3109">
        <f>IF(OR(A3109="",'Skill Matrix'!H200=""),"",'Skill Matrix'!H200)</f>
        <v/>
      </c>
      <c r="H3109">
        <f>IF(A3109="","",'Employees'!F18)</f>
        <v/>
      </c>
    </row>
    <row r="3110">
      <c r="A3110">
        <f>IF(AND('Skill Matrix'!A200&lt;&gt;"",'Skill Matrix'!I5&lt;&gt;""),'Skill Matrix'!A200,"")</f>
        <v/>
      </c>
      <c r="B3110">
        <f>IF(A3110="","",'Employees'!C18)</f>
        <v/>
      </c>
      <c r="C3110">
        <f>IF(A3110="","",'Employees'!D18)</f>
        <v/>
      </c>
      <c r="D3110">
        <f>IF(A3110="","",'Skill Matrix'!C200)</f>
        <v/>
      </c>
      <c r="E3110">
        <f>IF(A3110="","",'Skill Matrix'!D200)</f>
        <v/>
      </c>
      <c r="F3110">
        <f>IF(AND('Skill Matrix'!A200&lt;&gt;"",'Skill Matrix'!I5&lt;&gt;""),'Skill Matrix'!I5,"")</f>
        <v/>
      </c>
      <c r="G3110">
        <f>IF(OR(A3110="",'Skill Matrix'!I200=""),"",'Skill Matrix'!I200)</f>
        <v/>
      </c>
      <c r="H3110">
        <f>IF(A3110="","",'Employees'!F18)</f>
        <v/>
      </c>
    </row>
    <row r="3111">
      <c r="A3111">
        <f>IF(AND('Skill Matrix'!A200&lt;&gt;"",'Skill Matrix'!J5&lt;&gt;""),'Skill Matrix'!A200,"")</f>
        <v/>
      </c>
      <c r="B3111">
        <f>IF(A3111="","",'Employees'!C18)</f>
        <v/>
      </c>
      <c r="C3111">
        <f>IF(A3111="","",'Employees'!D18)</f>
        <v/>
      </c>
      <c r="D3111">
        <f>IF(A3111="","",'Skill Matrix'!C200)</f>
        <v/>
      </c>
      <c r="E3111">
        <f>IF(A3111="","",'Skill Matrix'!D200)</f>
        <v/>
      </c>
      <c r="F3111">
        <f>IF(AND('Skill Matrix'!A200&lt;&gt;"",'Skill Matrix'!J5&lt;&gt;""),'Skill Matrix'!J5,"")</f>
        <v/>
      </c>
      <c r="G3111">
        <f>IF(OR(A3111="",'Skill Matrix'!J200=""),"",'Skill Matrix'!J200)</f>
        <v/>
      </c>
      <c r="H3111">
        <f>IF(A3111="","",'Employees'!F18)</f>
        <v/>
      </c>
    </row>
    <row r="3112">
      <c r="A3112">
        <f>IF(AND('Skill Matrix'!A200&lt;&gt;"",'Skill Matrix'!K5&lt;&gt;""),'Skill Matrix'!A200,"")</f>
        <v/>
      </c>
      <c r="B3112">
        <f>IF(A3112="","",'Employees'!C18)</f>
        <v/>
      </c>
      <c r="C3112">
        <f>IF(A3112="","",'Employees'!D18)</f>
        <v/>
      </c>
      <c r="D3112">
        <f>IF(A3112="","",'Skill Matrix'!C200)</f>
        <v/>
      </c>
      <c r="E3112">
        <f>IF(A3112="","",'Skill Matrix'!D200)</f>
        <v/>
      </c>
      <c r="F3112">
        <f>IF(AND('Skill Matrix'!A200&lt;&gt;"",'Skill Matrix'!K5&lt;&gt;""),'Skill Matrix'!K5,"")</f>
        <v/>
      </c>
      <c r="G3112">
        <f>IF(OR(A3112="",'Skill Matrix'!K200=""),"",'Skill Matrix'!K200)</f>
        <v/>
      </c>
      <c r="H3112">
        <f>IF(A3112="","",'Employees'!F18)</f>
        <v/>
      </c>
    </row>
    <row r="3113">
      <c r="A3113">
        <f>IF(AND('Skill Matrix'!A200&lt;&gt;"",'Skill Matrix'!L5&lt;&gt;""),'Skill Matrix'!A200,"")</f>
        <v/>
      </c>
      <c r="B3113">
        <f>IF(A3113="","",'Employees'!C18)</f>
        <v/>
      </c>
      <c r="C3113">
        <f>IF(A3113="","",'Employees'!D18)</f>
        <v/>
      </c>
      <c r="D3113">
        <f>IF(A3113="","",'Skill Matrix'!C200)</f>
        <v/>
      </c>
      <c r="E3113">
        <f>IF(A3113="","",'Skill Matrix'!D200)</f>
        <v/>
      </c>
      <c r="F3113">
        <f>IF(AND('Skill Matrix'!A200&lt;&gt;"",'Skill Matrix'!L5&lt;&gt;""),'Skill Matrix'!L5,"")</f>
        <v/>
      </c>
      <c r="G3113">
        <f>IF(OR(A3113="",'Skill Matrix'!L200=""),"",'Skill Matrix'!L200)</f>
        <v/>
      </c>
      <c r="H3113">
        <f>IF(A3113="","",'Employees'!F18)</f>
        <v/>
      </c>
    </row>
    <row r="3114">
      <c r="A3114">
        <f>IF(AND('Skill Matrix'!A200&lt;&gt;"",'Skill Matrix'!M5&lt;&gt;""),'Skill Matrix'!A200,"")</f>
        <v/>
      </c>
      <c r="B3114">
        <f>IF(A3114="","",'Employees'!C18)</f>
        <v/>
      </c>
      <c r="C3114">
        <f>IF(A3114="","",'Employees'!D18)</f>
        <v/>
      </c>
      <c r="D3114">
        <f>IF(A3114="","",'Skill Matrix'!C200)</f>
        <v/>
      </c>
      <c r="E3114">
        <f>IF(A3114="","",'Skill Matrix'!D200)</f>
        <v/>
      </c>
      <c r="F3114">
        <f>IF(AND('Skill Matrix'!A200&lt;&gt;"",'Skill Matrix'!M5&lt;&gt;""),'Skill Matrix'!M5,"")</f>
        <v/>
      </c>
      <c r="G3114">
        <f>IF(OR(A3114="",'Skill Matrix'!M200=""),"",'Skill Matrix'!M200)</f>
        <v/>
      </c>
      <c r="H3114">
        <f>IF(A3114="","",'Employees'!F18)</f>
        <v/>
      </c>
    </row>
    <row r="3115">
      <c r="A3115">
        <f>IF(AND('Skill Matrix'!A200&lt;&gt;"",'Skill Matrix'!N5&lt;&gt;""),'Skill Matrix'!A200,"")</f>
        <v/>
      </c>
      <c r="B3115">
        <f>IF(A3115="","",'Employees'!C18)</f>
        <v/>
      </c>
      <c r="C3115">
        <f>IF(A3115="","",'Employees'!D18)</f>
        <v/>
      </c>
      <c r="D3115">
        <f>IF(A3115="","",'Skill Matrix'!C200)</f>
        <v/>
      </c>
      <c r="E3115">
        <f>IF(A3115="","",'Skill Matrix'!D200)</f>
        <v/>
      </c>
      <c r="F3115">
        <f>IF(AND('Skill Matrix'!A200&lt;&gt;"",'Skill Matrix'!N5&lt;&gt;""),'Skill Matrix'!N5,"")</f>
        <v/>
      </c>
      <c r="G3115">
        <f>IF(OR(A3115="",'Skill Matrix'!N200=""),"",'Skill Matrix'!N200)</f>
        <v/>
      </c>
      <c r="H3115">
        <f>IF(A3115="","",'Employees'!F18)</f>
        <v/>
      </c>
    </row>
    <row r="3116">
      <c r="A3116">
        <f>IF(AND('Skill Matrix'!A200&lt;&gt;"",'Skill Matrix'!O5&lt;&gt;""),'Skill Matrix'!A200,"")</f>
        <v/>
      </c>
      <c r="B3116">
        <f>IF(A3116="","",'Employees'!C18)</f>
        <v/>
      </c>
      <c r="C3116">
        <f>IF(A3116="","",'Employees'!D18)</f>
        <v/>
      </c>
      <c r="D3116">
        <f>IF(A3116="","",'Skill Matrix'!C200)</f>
        <v/>
      </c>
      <c r="E3116">
        <f>IF(A3116="","",'Skill Matrix'!D200)</f>
        <v/>
      </c>
      <c r="F3116">
        <f>IF(AND('Skill Matrix'!A200&lt;&gt;"",'Skill Matrix'!O5&lt;&gt;""),'Skill Matrix'!O5,"")</f>
        <v/>
      </c>
      <c r="G3116">
        <f>IF(OR(A3116="",'Skill Matrix'!O200=""),"",'Skill Matrix'!O200)</f>
        <v/>
      </c>
      <c r="H3116">
        <f>IF(A3116="","",'Employees'!F18)</f>
        <v/>
      </c>
    </row>
    <row r="3117">
      <c r="A3117">
        <f>IF(AND('Skill Matrix'!A200&lt;&gt;"",'Skill Matrix'!P5&lt;&gt;""),'Skill Matrix'!A200,"")</f>
        <v/>
      </c>
      <c r="B3117">
        <f>IF(A3117="","",'Employees'!C18)</f>
        <v/>
      </c>
      <c r="C3117">
        <f>IF(A3117="","",'Employees'!D18)</f>
        <v/>
      </c>
      <c r="D3117">
        <f>IF(A3117="","",'Skill Matrix'!C200)</f>
        <v/>
      </c>
      <c r="E3117">
        <f>IF(A3117="","",'Skill Matrix'!D200)</f>
        <v/>
      </c>
      <c r="F3117">
        <f>IF(AND('Skill Matrix'!A200&lt;&gt;"",'Skill Matrix'!P5&lt;&gt;""),'Skill Matrix'!P5,"")</f>
        <v/>
      </c>
      <c r="G3117">
        <f>IF(OR(A3117="",'Skill Matrix'!P200=""),"",'Skill Matrix'!P200)</f>
        <v/>
      </c>
      <c r="H3117">
        <f>IF(A3117="","",'Employees'!F18)</f>
        <v/>
      </c>
    </row>
    <row r="3118">
      <c r="A3118">
        <f>IF(AND('Skill Matrix'!A200&lt;&gt;"",'Skill Matrix'!Q5&lt;&gt;""),'Skill Matrix'!A200,"")</f>
        <v/>
      </c>
      <c r="B3118">
        <f>IF(A3118="","",'Employees'!C18)</f>
        <v/>
      </c>
      <c r="C3118">
        <f>IF(A3118="","",'Employees'!D18)</f>
        <v/>
      </c>
      <c r="D3118">
        <f>IF(A3118="","",'Skill Matrix'!C200)</f>
        <v/>
      </c>
      <c r="E3118">
        <f>IF(A3118="","",'Skill Matrix'!D200)</f>
        <v/>
      </c>
      <c r="F3118">
        <f>IF(AND('Skill Matrix'!A200&lt;&gt;"",'Skill Matrix'!Q5&lt;&gt;""),'Skill Matrix'!Q5,"")</f>
        <v/>
      </c>
      <c r="G3118">
        <f>IF(OR(A3118="",'Skill Matrix'!Q200=""),"",'Skill Matrix'!Q200)</f>
        <v/>
      </c>
      <c r="H3118">
        <f>IF(A3118="","",'Employees'!F18)</f>
        <v/>
      </c>
    </row>
    <row r="3119">
      <c r="A3119">
        <f>IF(AND('Skill Matrix'!A200&lt;&gt;"",'Skill Matrix'!R5&lt;&gt;""),'Skill Matrix'!A200,"")</f>
        <v/>
      </c>
      <c r="B3119">
        <f>IF(A3119="","",'Employees'!C18)</f>
        <v/>
      </c>
      <c r="C3119">
        <f>IF(A3119="","",'Employees'!D18)</f>
        <v/>
      </c>
      <c r="D3119">
        <f>IF(A3119="","",'Skill Matrix'!C200)</f>
        <v/>
      </c>
      <c r="E3119">
        <f>IF(A3119="","",'Skill Matrix'!D200)</f>
        <v/>
      </c>
      <c r="F3119">
        <f>IF(AND('Skill Matrix'!A200&lt;&gt;"",'Skill Matrix'!R5&lt;&gt;""),'Skill Matrix'!R5,"")</f>
        <v/>
      </c>
      <c r="G3119">
        <f>IF(OR(A3119="",'Skill Matrix'!R200=""),"",'Skill Matrix'!R200)</f>
        <v/>
      </c>
      <c r="H3119">
        <f>IF(A3119="","",'Employees'!F18)</f>
        <v/>
      </c>
    </row>
    <row r="3120">
      <c r="A3120">
        <f>IF(AND('Skill Matrix'!A200&lt;&gt;"",'Skill Matrix'!S5&lt;&gt;""),'Skill Matrix'!A200,"")</f>
        <v/>
      </c>
      <c r="B3120">
        <f>IF(A3120="","",'Employees'!C18)</f>
        <v/>
      </c>
      <c r="C3120">
        <f>IF(A3120="","",'Employees'!D18)</f>
        <v/>
      </c>
      <c r="D3120">
        <f>IF(A3120="","",'Skill Matrix'!C200)</f>
        <v/>
      </c>
      <c r="E3120">
        <f>IF(A3120="","",'Skill Matrix'!D200)</f>
        <v/>
      </c>
      <c r="F3120">
        <f>IF(AND('Skill Matrix'!A200&lt;&gt;"",'Skill Matrix'!S5&lt;&gt;""),'Skill Matrix'!S5,"")</f>
        <v/>
      </c>
      <c r="G3120">
        <f>IF(OR(A3120="",'Skill Matrix'!S200=""),"",'Skill Matrix'!S200)</f>
        <v/>
      </c>
      <c r="H3120">
        <f>IF(A3120="","",'Employees'!F18)</f>
        <v/>
      </c>
    </row>
    <row r="3121">
      <c r="A3121">
        <f>IF(AND('Skill Matrix'!A200&lt;&gt;"",'Skill Matrix'!T5&lt;&gt;""),'Skill Matrix'!A200,"")</f>
        <v/>
      </c>
      <c r="B3121">
        <f>IF(A3121="","",'Employees'!C18)</f>
        <v/>
      </c>
      <c r="C3121">
        <f>IF(A3121="","",'Employees'!D18)</f>
        <v/>
      </c>
      <c r="D3121">
        <f>IF(A3121="","",'Skill Matrix'!C200)</f>
        <v/>
      </c>
      <c r="E3121">
        <f>IF(A3121="","",'Skill Matrix'!D200)</f>
        <v/>
      </c>
      <c r="F3121">
        <f>IF(AND('Skill Matrix'!A200&lt;&gt;"",'Skill Matrix'!T5&lt;&gt;""),'Skill Matrix'!T5,"")</f>
        <v/>
      </c>
      <c r="G3121">
        <f>IF(OR(A3121="",'Skill Matrix'!T200=""),"",'Skill Matrix'!T200)</f>
        <v/>
      </c>
      <c r="H3121">
        <f>IF(A3121="","",'Employees'!F18)</f>
        <v/>
      </c>
    </row>
    <row r="3122">
      <c r="A3122">
        <f>IF(AND('Skill Matrix'!A201&lt;&gt;"",'Skill Matrix'!E5&lt;&gt;""),'Skill Matrix'!A201,"")</f>
        <v/>
      </c>
      <c r="B3122">
        <f>IF(A3122="","",'Employees'!C18)</f>
        <v/>
      </c>
      <c r="C3122">
        <f>IF(A3122="","",'Employees'!D18)</f>
        <v/>
      </c>
      <c r="D3122">
        <f>IF(A3122="","",'Skill Matrix'!C201)</f>
        <v/>
      </c>
      <c r="E3122">
        <f>IF(A3122="","",'Skill Matrix'!D201)</f>
        <v/>
      </c>
      <c r="F3122">
        <f>IF(AND('Skill Matrix'!A201&lt;&gt;"",'Skill Matrix'!E5&lt;&gt;""),'Skill Matrix'!E5,"")</f>
        <v/>
      </c>
      <c r="G3122">
        <f>IF(OR(A3122="",'Skill Matrix'!E201=""),"",'Skill Matrix'!E201)</f>
        <v/>
      </c>
      <c r="H3122">
        <f>IF(A3122="","",'Employees'!F18)</f>
        <v/>
      </c>
    </row>
    <row r="3123">
      <c r="A3123">
        <f>IF(AND('Skill Matrix'!A201&lt;&gt;"",'Skill Matrix'!F5&lt;&gt;""),'Skill Matrix'!A201,"")</f>
        <v/>
      </c>
      <c r="B3123">
        <f>IF(A3123="","",'Employees'!C18)</f>
        <v/>
      </c>
      <c r="C3123">
        <f>IF(A3123="","",'Employees'!D18)</f>
        <v/>
      </c>
      <c r="D3123">
        <f>IF(A3123="","",'Skill Matrix'!C201)</f>
        <v/>
      </c>
      <c r="E3123">
        <f>IF(A3123="","",'Skill Matrix'!D201)</f>
        <v/>
      </c>
      <c r="F3123">
        <f>IF(AND('Skill Matrix'!A201&lt;&gt;"",'Skill Matrix'!F5&lt;&gt;""),'Skill Matrix'!F5,"")</f>
        <v/>
      </c>
      <c r="G3123">
        <f>IF(OR(A3123="",'Skill Matrix'!F201=""),"",'Skill Matrix'!F201)</f>
        <v/>
      </c>
      <c r="H3123">
        <f>IF(A3123="","",'Employees'!F18)</f>
        <v/>
      </c>
    </row>
    <row r="3124">
      <c r="A3124">
        <f>IF(AND('Skill Matrix'!A201&lt;&gt;"",'Skill Matrix'!G5&lt;&gt;""),'Skill Matrix'!A201,"")</f>
        <v/>
      </c>
      <c r="B3124">
        <f>IF(A3124="","",'Employees'!C18)</f>
        <v/>
      </c>
      <c r="C3124">
        <f>IF(A3124="","",'Employees'!D18)</f>
        <v/>
      </c>
      <c r="D3124">
        <f>IF(A3124="","",'Skill Matrix'!C201)</f>
        <v/>
      </c>
      <c r="E3124">
        <f>IF(A3124="","",'Skill Matrix'!D201)</f>
        <v/>
      </c>
      <c r="F3124">
        <f>IF(AND('Skill Matrix'!A201&lt;&gt;"",'Skill Matrix'!G5&lt;&gt;""),'Skill Matrix'!G5,"")</f>
        <v/>
      </c>
      <c r="G3124">
        <f>IF(OR(A3124="",'Skill Matrix'!G201=""),"",'Skill Matrix'!G201)</f>
        <v/>
      </c>
      <c r="H3124">
        <f>IF(A3124="","",'Employees'!F18)</f>
        <v/>
      </c>
    </row>
    <row r="3125">
      <c r="A3125">
        <f>IF(AND('Skill Matrix'!A201&lt;&gt;"",'Skill Matrix'!H5&lt;&gt;""),'Skill Matrix'!A201,"")</f>
        <v/>
      </c>
      <c r="B3125">
        <f>IF(A3125="","",'Employees'!C18)</f>
        <v/>
      </c>
      <c r="C3125">
        <f>IF(A3125="","",'Employees'!D18)</f>
        <v/>
      </c>
      <c r="D3125">
        <f>IF(A3125="","",'Skill Matrix'!C201)</f>
        <v/>
      </c>
      <c r="E3125">
        <f>IF(A3125="","",'Skill Matrix'!D201)</f>
        <v/>
      </c>
      <c r="F3125">
        <f>IF(AND('Skill Matrix'!A201&lt;&gt;"",'Skill Matrix'!H5&lt;&gt;""),'Skill Matrix'!H5,"")</f>
        <v/>
      </c>
      <c r="G3125">
        <f>IF(OR(A3125="",'Skill Matrix'!H201=""),"",'Skill Matrix'!H201)</f>
        <v/>
      </c>
      <c r="H3125">
        <f>IF(A3125="","",'Employees'!F18)</f>
        <v/>
      </c>
    </row>
    <row r="3126">
      <c r="A3126">
        <f>IF(AND('Skill Matrix'!A201&lt;&gt;"",'Skill Matrix'!I5&lt;&gt;""),'Skill Matrix'!A201,"")</f>
        <v/>
      </c>
      <c r="B3126">
        <f>IF(A3126="","",'Employees'!C18)</f>
        <v/>
      </c>
      <c r="C3126">
        <f>IF(A3126="","",'Employees'!D18)</f>
        <v/>
      </c>
      <c r="D3126">
        <f>IF(A3126="","",'Skill Matrix'!C201)</f>
        <v/>
      </c>
      <c r="E3126">
        <f>IF(A3126="","",'Skill Matrix'!D201)</f>
        <v/>
      </c>
      <c r="F3126">
        <f>IF(AND('Skill Matrix'!A201&lt;&gt;"",'Skill Matrix'!I5&lt;&gt;""),'Skill Matrix'!I5,"")</f>
        <v/>
      </c>
      <c r="G3126">
        <f>IF(OR(A3126="",'Skill Matrix'!I201=""),"",'Skill Matrix'!I201)</f>
        <v/>
      </c>
      <c r="H3126">
        <f>IF(A3126="","",'Employees'!F18)</f>
        <v/>
      </c>
    </row>
    <row r="3127">
      <c r="A3127">
        <f>IF(AND('Skill Matrix'!A201&lt;&gt;"",'Skill Matrix'!J5&lt;&gt;""),'Skill Matrix'!A201,"")</f>
        <v/>
      </c>
      <c r="B3127">
        <f>IF(A3127="","",'Employees'!C18)</f>
        <v/>
      </c>
      <c r="C3127">
        <f>IF(A3127="","",'Employees'!D18)</f>
        <v/>
      </c>
      <c r="D3127">
        <f>IF(A3127="","",'Skill Matrix'!C201)</f>
        <v/>
      </c>
      <c r="E3127">
        <f>IF(A3127="","",'Skill Matrix'!D201)</f>
        <v/>
      </c>
      <c r="F3127">
        <f>IF(AND('Skill Matrix'!A201&lt;&gt;"",'Skill Matrix'!J5&lt;&gt;""),'Skill Matrix'!J5,"")</f>
        <v/>
      </c>
      <c r="G3127">
        <f>IF(OR(A3127="",'Skill Matrix'!J201=""),"",'Skill Matrix'!J201)</f>
        <v/>
      </c>
      <c r="H3127">
        <f>IF(A3127="","",'Employees'!F18)</f>
        <v/>
      </c>
    </row>
    <row r="3128">
      <c r="A3128">
        <f>IF(AND('Skill Matrix'!A201&lt;&gt;"",'Skill Matrix'!K5&lt;&gt;""),'Skill Matrix'!A201,"")</f>
        <v/>
      </c>
      <c r="B3128">
        <f>IF(A3128="","",'Employees'!C18)</f>
        <v/>
      </c>
      <c r="C3128">
        <f>IF(A3128="","",'Employees'!D18)</f>
        <v/>
      </c>
      <c r="D3128">
        <f>IF(A3128="","",'Skill Matrix'!C201)</f>
        <v/>
      </c>
      <c r="E3128">
        <f>IF(A3128="","",'Skill Matrix'!D201)</f>
        <v/>
      </c>
      <c r="F3128">
        <f>IF(AND('Skill Matrix'!A201&lt;&gt;"",'Skill Matrix'!K5&lt;&gt;""),'Skill Matrix'!K5,"")</f>
        <v/>
      </c>
      <c r="G3128">
        <f>IF(OR(A3128="",'Skill Matrix'!K201=""),"",'Skill Matrix'!K201)</f>
        <v/>
      </c>
      <c r="H3128">
        <f>IF(A3128="","",'Employees'!F18)</f>
        <v/>
      </c>
    </row>
    <row r="3129">
      <c r="A3129">
        <f>IF(AND('Skill Matrix'!A201&lt;&gt;"",'Skill Matrix'!L5&lt;&gt;""),'Skill Matrix'!A201,"")</f>
        <v/>
      </c>
      <c r="B3129">
        <f>IF(A3129="","",'Employees'!C18)</f>
        <v/>
      </c>
      <c r="C3129">
        <f>IF(A3129="","",'Employees'!D18)</f>
        <v/>
      </c>
      <c r="D3129">
        <f>IF(A3129="","",'Skill Matrix'!C201)</f>
        <v/>
      </c>
      <c r="E3129">
        <f>IF(A3129="","",'Skill Matrix'!D201)</f>
        <v/>
      </c>
      <c r="F3129">
        <f>IF(AND('Skill Matrix'!A201&lt;&gt;"",'Skill Matrix'!L5&lt;&gt;""),'Skill Matrix'!L5,"")</f>
        <v/>
      </c>
      <c r="G3129">
        <f>IF(OR(A3129="",'Skill Matrix'!L201=""),"",'Skill Matrix'!L201)</f>
        <v/>
      </c>
      <c r="H3129">
        <f>IF(A3129="","",'Employees'!F18)</f>
        <v/>
      </c>
    </row>
    <row r="3130">
      <c r="A3130">
        <f>IF(AND('Skill Matrix'!A201&lt;&gt;"",'Skill Matrix'!M5&lt;&gt;""),'Skill Matrix'!A201,"")</f>
        <v/>
      </c>
      <c r="B3130">
        <f>IF(A3130="","",'Employees'!C18)</f>
        <v/>
      </c>
      <c r="C3130">
        <f>IF(A3130="","",'Employees'!D18)</f>
        <v/>
      </c>
      <c r="D3130">
        <f>IF(A3130="","",'Skill Matrix'!C201)</f>
        <v/>
      </c>
      <c r="E3130">
        <f>IF(A3130="","",'Skill Matrix'!D201)</f>
        <v/>
      </c>
      <c r="F3130">
        <f>IF(AND('Skill Matrix'!A201&lt;&gt;"",'Skill Matrix'!M5&lt;&gt;""),'Skill Matrix'!M5,"")</f>
        <v/>
      </c>
      <c r="G3130">
        <f>IF(OR(A3130="",'Skill Matrix'!M201=""),"",'Skill Matrix'!M201)</f>
        <v/>
      </c>
      <c r="H3130">
        <f>IF(A3130="","",'Employees'!F18)</f>
        <v/>
      </c>
    </row>
    <row r="3131">
      <c r="A3131">
        <f>IF(AND('Skill Matrix'!A201&lt;&gt;"",'Skill Matrix'!N5&lt;&gt;""),'Skill Matrix'!A201,"")</f>
        <v/>
      </c>
      <c r="B3131">
        <f>IF(A3131="","",'Employees'!C18)</f>
        <v/>
      </c>
      <c r="C3131">
        <f>IF(A3131="","",'Employees'!D18)</f>
        <v/>
      </c>
      <c r="D3131">
        <f>IF(A3131="","",'Skill Matrix'!C201)</f>
        <v/>
      </c>
      <c r="E3131">
        <f>IF(A3131="","",'Skill Matrix'!D201)</f>
        <v/>
      </c>
      <c r="F3131">
        <f>IF(AND('Skill Matrix'!A201&lt;&gt;"",'Skill Matrix'!N5&lt;&gt;""),'Skill Matrix'!N5,"")</f>
        <v/>
      </c>
      <c r="G3131">
        <f>IF(OR(A3131="",'Skill Matrix'!N201=""),"",'Skill Matrix'!N201)</f>
        <v/>
      </c>
      <c r="H3131">
        <f>IF(A3131="","",'Employees'!F18)</f>
        <v/>
      </c>
    </row>
    <row r="3132">
      <c r="A3132">
        <f>IF(AND('Skill Matrix'!A201&lt;&gt;"",'Skill Matrix'!O5&lt;&gt;""),'Skill Matrix'!A201,"")</f>
        <v/>
      </c>
      <c r="B3132">
        <f>IF(A3132="","",'Employees'!C18)</f>
        <v/>
      </c>
      <c r="C3132">
        <f>IF(A3132="","",'Employees'!D18)</f>
        <v/>
      </c>
      <c r="D3132">
        <f>IF(A3132="","",'Skill Matrix'!C201)</f>
        <v/>
      </c>
      <c r="E3132">
        <f>IF(A3132="","",'Skill Matrix'!D201)</f>
        <v/>
      </c>
      <c r="F3132">
        <f>IF(AND('Skill Matrix'!A201&lt;&gt;"",'Skill Matrix'!O5&lt;&gt;""),'Skill Matrix'!O5,"")</f>
        <v/>
      </c>
      <c r="G3132">
        <f>IF(OR(A3132="",'Skill Matrix'!O201=""),"",'Skill Matrix'!O201)</f>
        <v/>
      </c>
      <c r="H3132">
        <f>IF(A3132="","",'Employees'!F18)</f>
        <v/>
      </c>
    </row>
    <row r="3133">
      <c r="A3133">
        <f>IF(AND('Skill Matrix'!A201&lt;&gt;"",'Skill Matrix'!P5&lt;&gt;""),'Skill Matrix'!A201,"")</f>
        <v/>
      </c>
      <c r="B3133">
        <f>IF(A3133="","",'Employees'!C18)</f>
        <v/>
      </c>
      <c r="C3133">
        <f>IF(A3133="","",'Employees'!D18)</f>
        <v/>
      </c>
      <c r="D3133">
        <f>IF(A3133="","",'Skill Matrix'!C201)</f>
        <v/>
      </c>
      <c r="E3133">
        <f>IF(A3133="","",'Skill Matrix'!D201)</f>
        <v/>
      </c>
      <c r="F3133">
        <f>IF(AND('Skill Matrix'!A201&lt;&gt;"",'Skill Matrix'!P5&lt;&gt;""),'Skill Matrix'!P5,"")</f>
        <v/>
      </c>
      <c r="G3133">
        <f>IF(OR(A3133="",'Skill Matrix'!P201=""),"",'Skill Matrix'!P201)</f>
        <v/>
      </c>
      <c r="H3133">
        <f>IF(A3133="","",'Employees'!F18)</f>
        <v/>
      </c>
    </row>
    <row r="3134">
      <c r="A3134">
        <f>IF(AND('Skill Matrix'!A201&lt;&gt;"",'Skill Matrix'!Q5&lt;&gt;""),'Skill Matrix'!A201,"")</f>
        <v/>
      </c>
      <c r="B3134">
        <f>IF(A3134="","",'Employees'!C18)</f>
        <v/>
      </c>
      <c r="C3134">
        <f>IF(A3134="","",'Employees'!D18)</f>
        <v/>
      </c>
      <c r="D3134">
        <f>IF(A3134="","",'Skill Matrix'!C201)</f>
        <v/>
      </c>
      <c r="E3134">
        <f>IF(A3134="","",'Skill Matrix'!D201)</f>
        <v/>
      </c>
      <c r="F3134">
        <f>IF(AND('Skill Matrix'!A201&lt;&gt;"",'Skill Matrix'!Q5&lt;&gt;""),'Skill Matrix'!Q5,"")</f>
        <v/>
      </c>
      <c r="G3134">
        <f>IF(OR(A3134="",'Skill Matrix'!Q201=""),"",'Skill Matrix'!Q201)</f>
        <v/>
      </c>
      <c r="H3134">
        <f>IF(A3134="","",'Employees'!F18)</f>
        <v/>
      </c>
    </row>
    <row r="3135">
      <c r="A3135">
        <f>IF(AND('Skill Matrix'!A201&lt;&gt;"",'Skill Matrix'!R5&lt;&gt;""),'Skill Matrix'!A201,"")</f>
        <v/>
      </c>
      <c r="B3135">
        <f>IF(A3135="","",'Employees'!C18)</f>
        <v/>
      </c>
      <c r="C3135">
        <f>IF(A3135="","",'Employees'!D18)</f>
        <v/>
      </c>
      <c r="D3135">
        <f>IF(A3135="","",'Skill Matrix'!C201)</f>
        <v/>
      </c>
      <c r="E3135">
        <f>IF(A3135="","",'Skill Matrix'!D201)</f>
        <v/>
      </c>
      <c r="F3135">
        <f>IF(AND('Skill Matrix'!A201&lt;&gt;"",'Skill Matrix'!R5&lt;&gt;""),'Skill Matrix'!R5,"")</f>
        <v/>
      </c>
      <c r="G3135">
        <f>IF(OR(A3135="",'Skill Matrix'!R201=""),"",'Skill Matrix'!R201)</f>
        <v/>
      </c>
      <c r="H3135">
        <f>IF(A3135="","",'Employees'!F18)</f>
        <v/>
      </c>
    </row>
    <row r="3136">
      <c r="A3136">
        <f>IF(AND('Skill Matrix'!A201&lt;&gt;"",'Skill Matrix'!S5&lt;&gt;""),'Skill Matrix'!A201,"")</f>
        <v/>
      </c>
      <c r="B3136">
        <f>IF(A3136="","",'Employees'!C18)</f>
        <v/>
      </c>
      <c r="C3136">
        <f>IF(A3136="","",'Employees'!D18)</f>
        <v/>
      </c>
      <c r="D3136">
        <f>IF(A3136="","",'Skill Matrix'!C201)</f>
        <v/>
      </c>
      <c r="E3136">
        <f>IF(A3136="","",'Skill Matrix'!D201)</f>
        <v/>
      </c>
      <c r="F3136">
        <f>IF(AND('Skill Matrix'!A201&lt;&gt;"",'Skill Matrix'!S5&lt;&gt;""),'Skill Matrix'!S5,"")</f>
        <v/>
      </c>
      <c r="G3136">
        <f>IF(OR(A3136="",'Skill Matrix'!S201=""),"",'Skill Matrix'!S201)</f>
        <v/>
      </c>
      <c r="H3136">
        <f>IF(A3136="","",'Employees'!F18)</f>
        <v/>
      </c>
    </row>
    <row r="3137">
      <c r="A3137">
        <f>IF(AND('Skill Matrix'!A201&lt;&gt;"",'Skill Matrix'!T5&lt;&gt;""),'Skill Matrix'!A201,"")</f>
        <v/>
      </c>
      <c r="B3137">
        <f>IF(A3137="","",'Employees'!C18)</f>
        <v/>
      </c>
      <c r="C3137">
        <f>IF(A3137="","",'Employees'!D18)</f>
        <v/>
      </c>
      <c r="D3137">
        <f>IF(A3137="","",'Skill Matrix'!C201)</f>
        <v/>
      </c>
      <c r="E3137">
        <f>IF(A3137="","",'Skill Matrix'!D201)</f>
        <v/>
      </c>
      <c r="F3137">
        <f>IF(AND('Skill Matrix'!A201&lt;&gt;"",'Skill Matrix'!T5&lt;&gt;""),'Skill Matrix'!T5,"")</f>
        <v/>
      </c>
      <c r="G3137">
        <f>IF(OR(A3137="",'Skill Matrix'!T201=""),"",'Skill Matrix'!T201)</f>
        <v/>
      </c>
      <c r="H3137">
        <f>IF(A3137="","",'Employees'!F18)</f>
        <v/>
      </c>
    </row>
    <row r="3138">
      <c r="A3138">
        <f>IF(AND('Skill Matrix'!A202&lt;&gt;"",'Skill Matrix'!E5&lt;&gt;""),'Skill Matrix'!A202,"")</f>
        <v/>
      </c>
      <c r="B3138">
        <f>IF(A3138="","",'Employees'!C18)</f>
        <v/>
      </c>
      <c r="C3138">
        <f>IF(A3138="","",'Employees'!D18)</f>
        <v/>
      </c>
      <c r="D3138">
        <f>IF(A3138="","",'Skill Matrix'!C202)</f>
        <v/>
      </c>
      <c r="E3138">
        <f>IF(A3138="","",'Skill Matrix'!D202)</f>
        <v/>
      </c>
      <c r="F3138">
        <f>IF(AND('Skill Matrix'!A202&lt;&gt;"",'Skill Matrix'!E5&lt;&gt;""),'Skill Matrix'!E5,"")</f>
        <v/>
      </c>
      <c r="G3138">
        <f>IF(OR(A3138="",'Skill Matrix'!E202=""),"",'Skill Matrix'!E202)</f>
        <v/>
      </c>
      <c r="H3138">
        <f>IF(A3138="","",'Employees'!F18)</f>
        <v/>
      </c>
    </row>
    <row r="3139">
      <c r="A3139">
        <f>IF(AND('Skill Matrix'!A202&lt;&gt;"",'Skill Matrix'!F5&lt;&gt;""),'Skill Matrix'!A202,"")</f>
        <v/>
      </c>
      <c r="B3139">
        <f>IF(A3139="","",'Employees'!C18)</f>
        <v/>
      </c>
      <c r="C3139">
        <f>IF(A3139="","",'Employees'!D18)</f>
        <v/>
      </c>
      <c r="D3139">
        <f>IF(A3139="","",'Skill Matrix'!C202)</f>
        <v/>
      </c>
      <c r="E3139">
        <f>IF(A3139="","",'Skill Matrix'!D202)</f>
        <v/>
      </c>
      <c r="F3139">
        <f>IF(AND('Skill Matrix'!A202&lt;&gt;"",'Skill Matrix'!F5&lt;&gt;""),'Skill Matrix'!F5,"")</f>
        <v/>
      </c>
      <c r="G3139">
        <f>IF(OR(A3139="",'Skill Matrix'!F202=""),"",'Skill Matrix'!F202)</f>
        <v/>
      </c>
      <c r="H3139">
        <f>IF(A3139="","",'Employees'!F18)</f>
        <v/>
      </c>
    </row>
    <row r="3140">
      <c r="A3140">
        <f>IF(AND('Skill Matrix'!A202&lt;&gt;"",'Skill Matrix'!G5&lt;&gt;""),'Skill Matrix'!A202,"")</f>
        <v/>
      </c>
      <c r="B3140">
        <f>IF(A3140="","",'Employees'!C18)</f>
        <v/>
      </c>
      <c r="C3140">
        <f>IF(A3140="","",'Employees'!D18)</f>
        <v/>
      </c>
      <c r="D3140">
        <f>IF(A3140="","",'Skill Matrix'!C202)</f>
        <v/>
      </c>
      <c r="E3140">
        <f>IF(A3140="","",'Skill Matrix'!D202)</f>
        <v/>
      </c>
      <c r="F3140">
        <f>IF(AND('Skill Matrix'!A202&lt;&gt;"",'Skill Matrix'!G5&lt;&gt;""),'Skill Matrix'!G5,"")</f>
        <v/>
      </c>
      <c r="G3140">
        <f>IF(OR(A3140="",'Skill Matrix'!G202=""),"",'Skill Matrix'!G202)</f>
        <v/>
      </c>
      <c r="H3140">
        <f>IF(A3140="","",'Employees'!F18)</f>
        <v/>
      </c>
    </row>
    <row r="3141">
      <c r="A3141">
        <f>IF(AND('Skill Matrix'!A202&lt;&gt;"",'Skill Matrix'!H5&lt;&gt;""),'Skill Matrix'!A202,"")</f>
        <v/>
      </c>
      <c r="B3141">
        <f>IF(A3141="","",'Employees'!C18)</f>
        <v/>
      </c>
      <c r="C3141">
        <f>IF(A3141="","",'Employees'!D18)</f>
        <v/>
      </c>
      <c r="D3141">
        <f>IF(A3141="","",'Skill Matrix'!C202)</f>
        <v/>
      </c>
      <c r="E3141">
        <f>IF(A3141="","",'Skill Matrix'!D202)</f>
        <v/>
      </c>
      <c r="F3141">
        <f>IF(AND('Skill Matrix'!A202&lt;&gt;"",'Skill Matrix'!H5&lt;&gt;""),'Skill Matrix'!H5,"")</f>
        <v/>
      </c>
      <c r="G3141">
        <f>IF(OR(A3141="",'Skill Matrix'!H202=""),"",'Skill Matrix'!H202)</f>
        <v/>
      </c>
      <c r="H3141">
        <f>IF(A3141="","",'Employees'!F18)</f>
        <v/>
      </c>
    </row>
    <row r="3142">
      <c r="A3142">
        <f>IF(AND('Skill Matrix'!A202&lt;&gt;"",'Skill Matrix'!I5&lt;&gt;""),'Skill Matrix'!A202,"")</f>
        <v/>
      </c>
      <c r="B3142">
        <f>IF(A3142="","",'Employees'!C18)</f>
        <v/>
      </c>
      <c r="C3142">
        <f>IF(A3142="","",'Employees'!D18)</f>
        <v/>
      </c>
      <c r="D3142">
        <f>IF(A3142="","",'Skill Matrix'!C202)</f>
        <v/>
      </c>
      <c r="E3142">
        <f>IF(A3142="","",'Skill Matrix'!D202)</f>
        <v/>
      </c>
      <c r="F3142">
        <f>IF(AND('Skill Matrix'!A202&lt;&gt;"",'Skill Matrix'!I5&lt;&gt;""),'Skill Matrix'!I5,"")</f>
        <v/>
      </c>
      <c r="G3142">
        <f>IF(OR(A3142="",'Skill Matrix'!I202=""),"",'Skill Matrix'!I202)</f>
        <v/>
      </c>
      <c r="H3142">
        <f>IF(A3142="","",'Employees'!F18)</f>
        <v/>
      </c>
    </row>
    <row r="3143">
      <c r="A3143">
        <f>IF(AND('Skill Matrix'!A202&lt;&gt;"",'Skill Matrix'!J5&lt;&gt;""),'Skill Matrix'!A202,"")</f>
        <v/>
      </c>
      <c r="B3143">
        <f>IF(A3143="","",'Employees'!C18)</f>
        <v/>
      </c>
      <c r="C3143">
        <f>IF(A3143="","",'Employees'!D18)</f>
        <v/>
      </c>
      <c r="D3143">
        <f>IF(A3143="","",'Skill Matrix'!C202)</f>
        <v/>
      </c>
      <c r="E3143">
        <f>IF(A3143="","",'Skill Matrix'!D202)</f>
        <v/>
      </c>
      <c r="F3143">
        <f>IF(AND('Skill Matrix'!A202&lt;&gt;"",'Skill Matrix'!J5&lt;&gt;""),'Skill Matrix'!J5,"")</f>
        <v/>
      </c>
      <c r="G3143">
        <f>IF(OR(A3143="",'Skill Matrix'!J202=""),"",'Skill Matrix'!J202)</f>
        <v/>
      </c>
      <c r="H3143">
        <f>IF(A3143="","",'Employees'!F18)</f>
        <v/>
      </c>
    </row>
    <row r="3144">
      <c r="A3144">
        <f>IF(AND('Skill Matrix'!A202&lt;&gt;"",'Skill Matrix'!K5&lt;&gt;""),'Skill Matrix'!A202,"")</f>
        <v/>
      </c>
      <c r="B3144">
        <f>IF(A3144="","",'Employees'!C18)</f>
        <v/>
      </c>
      <c r="C3144">
        <f>IF(A3144="","",'Employees'!D18)</f>
        <v/>
      </c>
      <c r="D3144">
        <f>IF(A3144="","",'Skill Matrix'!C202)</f>
        <v/>
      </c>
      <c r="E3144">
        <f>IF(A3144="","",'Skill Matrix'!D202)</f>
        <v/>
      </c>
      <c r="F3144">
        <f>IF(AND('Skill Matrix'!A202&lt;&gt;"",'Skill Matrix'!K5&lt;&gt;""),'Skill Matrix'!K5,"")</f>
        <v/>
      </c>
      <c r="G3144">
        <f>IF(OR(A3144="",'Skill Matrix'!K202=""),"",'Skill Matrix'!K202)</f>
        <v/>
      </c>
      <c r="H3144">
        <f>IF(A3144="","",'Employees'!F18)</f>
        <v/>
      </c>
    </row>
    <row r="3145">
      <c r="A3145">
        <f>IF(AND('Skill Matrix'!A202&lt;&gt;"",'Skill Matrix'!L5&lt;&gt;""),'Skill Matrix'!A202,"")</f>
        <v/>
      </c>
      <c r="B3145">
        <f>IF(A3145="","",'Employees'!C18)</f>
        <v/>
      </c>
      <c r="C3145">
        <f>IF(A3145="","",'Employees'!D18)</f>
        <v/>
      </c>
      <c r="D3145">
        <f>IF(A3145="","",'Skill Matrix'!C202)</f>
        <v/>
      </c>
      <c r="E3145">
        <f>IF(A3145="","",'Skill Matrix'!D202)</f>
        <v/>
      </c>
      <c r="F3145">
        <f>IF(AND('Skill Matrix'!A202&lt;&gt;"",'Skill Matrix'!L5&lt;&gt;""),'Skill Matrix'!L5,"")</f>
        <v/>
      </c>
      <c r="G3145">
        <f>IF(OR(A3145="",'Skill Matrix'!L202=""),"",'Skill Matrix'!L202)</f>
        <v/>
      </c>
      <c r="H3145">
        <f>IF(A3145="","",'Employees'!F18)</f>
        <v/>
      </c>
    </row>
    <row r="3146">
      <c r="A3146">
        <f>IF(AND('Skill Matrix'!A202&lt;&gt;"",'Skill Matrix'!M5&lt;&gt;""),'Skill Matrix'!A202,"")</f>
        <v/>
      </c>
      <c r="B3146">
        <f>IF(A3146="","",'Employees'!C18)</f>
        <v/>
      </c>
      <c r="C3146">
        <f>IF(A3146="","",'Employees'!D18)</f>
        <v/>
      </c>
      <c r="D3146">
        <f>IF(A3146="","",'Skill Matrix'!C202)</f>
        <v/>
      </c>
      <c r="E3146">
        <f>IF(A3146="","",'Skill Matrix'!D202)</f>
        <v/>
      </c>
      <c r="F3146">
        <f>IF(AND('Skill Matrix'!A202&lt;&gt;"",'Skill Matrix'!M5&lt;&gt;""),'Skill Matrix'!M5,"")</f>
        <v/>
      </c>
      <c r="G3146">
        <f>IF(OR(A3146="",'Skill Matrix'!M202=""),"",'Skill Matrix'!M202)</f>
        <v/>
      </c>
      <c r="H3146">
        <f>IF(A3146="","",'Employees'!F18)</f>
        <v/>
      </c>
    </row>
    <row r="3147">
      <c r="A3147">
        <f>IF(AND('Skill Matrix'!A202&lt;&gt;"",'Skill Matrix'!N5&lt;&gt;""),'Skill Matrix'!A202,"")</f>
        <v/>
      </c>
      <c r="B3147">
        <f>IF(A3147="","",'Employees'!C18)</f>
        <v/>
      </c>
      <c r="C3147">
        <f>IF(A3147="","",'Employees'!D18)</f>
        <v/>
      </c>
      <c r="D3147">
        <f>IF(A3147="","",'Skill Matrix'!C202)</f>
        <v/>
      </c>
      <c r="E3147">
        <f>IF(A3147="","",'Skill Matrix'!D202)</f>
        <v/>
      </c>
      <c r="F3147">
        <f>IF(AND('Skill Matrix'!A202&lt;&gt;"",'Skill Matrix'!N5&lt;&gt;""),'Skill Matrix'!N5,"")</f>
        <v/>
      </c>
      <c r="G3147">
        <f>IF(OR(A3147="",'Skill Matrix'!N202=""),"",'Skill Matrix'!N202)</f>
        <v/>
      </c>
      <c r="H3147">
        <f>IF(A3147="","",'Employees'!F18)</f>
        <v/>
      </c>
    </row>
    <row r="3148">
      <c r="A3148">
        <f>IF(AND('Skill Matrix'!A202&lt;&gt;"",'Skill Matrix'!O5&lt;&gt;""),'Skill Matrix'!A202,"")</f>
        <v/>
      </c>
      <c r="B3148">
        <f>IF(A3148="","",'Employees'!C18)</f>
        <v/>
      </c>
      <c r="C3148">
        <f>IF(A3148="","",'Employees'!D18)</f>
        <v/>
      </c>
      <c r="D3148">
        <f>IF(A3148="","",'Skill Matrix'!C202)</f>
        <v/>
      </c>
      <c r="E3148">
        <f>IF(A3148="","",'Skill Matrix'!D202)</f>
        <v/>
      </c>
      <c r="F3148">
        <f>IF(AND('Skill Matrix'!A202&lt;&gt;"",'Skill Matrix'!O5&lt;&gt;""),'Skill Matrix'!O5,"")</f>
        <v/>
      </c>
      <c r="G3148">
        <f>IF(OR(A3148="",'Skill Matrix'!O202=""),"",'Skill Matrix'!O202)</f>
        <v/>
      </c>
      <c r="H3148">
        <f>IF(A3148="","",'Employees'!F18)</f>
        <v/>
      </c>
    </row>
    <row r="3149">
      <c r="A3149">
        <f>IF(AND('Skill Matrix'!A202&lt;&gt;"",'Skill Matrix'!P5&lt;&gt;""),'Skill Matrix'!A202,"")</f>
        <v/>
      </c>
      <c r="B3149">
        <f>IF(A3149="","",'Employees'!C18)</f>
        <v/>
      </c>
      <c r="C3149">
        <f>IF(A3149="","",'Employees'!D18)</f>
        <v/>
      </c>
      <c r="D3149">
        <f>IF(A3149="","",'Skill Matrix'!C202)</f>
        <v/>
      </c>
      <c r="E3149">
        <f>IF(A3149="","",'Skill Matrix'!D202)</f>
        <v/>
      </c>
      <c r="F3149">
        <f>IF(AND('Skill Matrix'!A202&lt;&gt;"",'Skill Matrix'!P5&lt;&gt;""),'Skill Matrix'!P5,"")</f>
        <v/>
      </c>
      <c r="G3149">
        <f>IF(OR(A3149="",'Skill Matrix'!P202=""),"",'Skill Matrix'!P202)</f>
        <v/>
      </c>
      <c r="H3149">
        <f>IF(A3149="","",'Employees'!F18)</f>
        <v/>
      </c>
    </row>
    <row r="3150">
      <c r="A3150">
        <f>IF(AND('Skill Matrix'!A202&lt;&gt;"",'Skill Matrix'!Q5&lt;&gt;""),'Skill Matrix'!A202,"")</f>
        <v/>
      </c>
      <c r="B3150">
        <f>IF(A3150="","",'Employees'!C18)</f>
        <v/>
      </c>
      <c r="C3150">
        <f>IF(A3150="","",'Employees'!D18)</f>
        <v/>
      </c>
      <c r="D3150">
        <f>IF(A3150="","",'Skill Matrix'!C202)</f>
        <v/>
      </c>
      <c r="E3150">
        <f>IF(A3150="","",'Skill Matrix'!D202)</f>
        <v/>
      </c>
      <c r="F3150">
        <f>IF(AND('Skill Matrix'!A202&lt;&gt;"",'Skill Matrix'!Q5&lt;&gt;""),'Skill Matrix'!Q5,"")</f>
        <v/>
      </c>
      <c r="G3150">
        <f>IF(OR(A3150="",'Skill Matrix'!Q202=""),"",'Skill Matrix'!Q202)</f>
        <v/>
      </c>
      <c r="H3150">
        <f>IF(A3150="","",'Employees'!F18)</f>
        <v/>
      </c>
    </row>
    <row r="3151">
      <c r="A3151">
        <f>IF(AND('Skill Matrix'!A202&lt;&gt;"",'Skill Matrix'!R5&lt;&gt;""),'Skill Matrix'!A202,"")</f>
        <v/>
      </c>
      <c r="B3151">
        <f>IF(A3151="","",'Employees'!C18)</f>
        <v/>
      </c>
      <c r="C3151">
        <f>IF(A3151="","",'Employees'!D18)</f>
        <v/>
      </c>
      <c r="D3151">
        <f>IF(A3151="","",'Skill Matrix'!C202)</f>
        <v/>
      </c>
      <c r="E3151">
        <f>IF(A3151="","",'Skill Matrix'!D202)</f>
        <v/>
      </c>
      <c r="F3151">
        <f>IF(AND('Skill Matrix'!A202&lt;&gt;"",'Skill Matrix'!R5&lt;&gt;""),'Skill Matrix'!R5,"")</f>
        <v/>
      </c>
      <c r="G3151">
        <f>IF(OR(A3151="",'Skill Matrix'!R202=""),"",'Skill Matrix'!R202)</f>
        <v/>
      </c>
      <c r="H3151">
        <f>IF(A3151="","",'Employees'!F18)</f>
        <v/>
      </c>
    </row>
    <row r="3152">
      <c r="A3152">
        <f>IF(AND('Skill Matrix'!A202&lt;&gt;"",'Skill Matrix'!S5&lt;&gt;""),'Skill Matrix'!A202,"")</f>
        <v/>
      </c>
      <c r="B3152">
        <f>IF(A3152="","",'Employees'!C18)</f>
        <v/>
      </c>
      <c r="C3152">
        <f>IF(A3152="","",'Employees'!D18)</f>
        <v/>
      </c>
      <c r="D3152">
        <f>IF(A3152="","",'Skill Matrix'!C202)</f>
        <v/>
      </c>
      <c r="E3152">
        <f>IF(A3152="","",'Skill Matrix'!D202)</f>
        <v/>
      </c>
      <c r="F3152">
        <f>IF(AND('Skill Matrix'!A202&lt;&gt;"",'Skill Matrix'!S5&lt;&gt;""),'Skill Matrix'!S5,"")</f>
        <v/>
      </c>
      <c r="G3152">
        <f>IF(OR(A3152="",'Skill Matrix'!S202=""),"",'Skill Matrix'!S202)</f>
        <v/>
      </c>
      <c r="H3152">
        <f>IF(A3152="","",'Employees'!F18)</f>
        <v/>
      </c>
    </row>
    <row r="3153">
      <c r="A3153">
        <f>IF(AND('Skill Matrix'!A202&lt;&gt;"",'Skill Matrix'!T5&lt;&gt;""),'Skill Matrix'!A202,"")</f>
        <v/>
      </c>
      <c r="B3153">
        <f>IF(A3153="","",'Employees'!C18)</f>
        <v/>
      </c>
      <c r="C3153">
        <f>IF(A3153="","",'Employees'!D18)</f>
        <v/>
      </c>
      <c r="D3153">
        <f>IF(A3153="","",'Skill Matrix'!C202)</f>
        <v/>
      </c>
      <c r="E3153">
        <f>IF(A3153="","",'Skill Matrix'!D202)</f>
        <v/>
      </c>
      <c r="F3153">
        <f>IF(AND('Skill Matrix'!A202&lt;&gt;"",'Skill Matrix'!T5&lt;&gt;""),'Skill Matrix'!T5,"")</f>
        <v/>
      </c>
      <c r="G3153">
        <f>IF(OR(A3153="",'Skill Matrix'!T202=""),"",'Skill Matrix'!T202)</f>
        <v/>
      </c>
      <c r="H3153">
        <f>IF(A3153="","",'Employees'!F18)</f>
        <v/>
      </c>
    </row>
    <row r="3154">
      <c r="A3154">
        <f>IF(AND('Skill Matrix'!A203&lt;&gt;"",'Skill Matrix'!E5&lt;&gt;""),'Skill Matrix'!A203,"")</f>
        <v/>
      </c>
      <c r="B3154">
        <f>IF(A3154="","",'Employees'!C18)</f>
        <v/>
      </c>
      <c r="C3154">
        <f>IF(A3154="","",'Employees'!D18)</f>
        <v/>
      </c>
      <c r="D3154">
        <f>IF(A3154="","",'Skill Matrix'!C203)</f>
        <v/>
      </c>
      <c r="E3154">
        <f>IF(A3154="","",'Skill Matrix'!D203)</f>
        <v/>
      </c>
      <c r="F3154">
        <f>IF(AND('Skill Matrix'!A203&lt;&gt;"",'Skill Matrix'!E5&lt;&gt;""),'Skill Matrix'!E5,"")</f>
        <v/>
      </c>
      <c r="G3154">
        <f>IF(OR(A3154="",'Skill Matrix'!E203=""),"",'Skill Matrix'!E203)</f>
        <v/>
      </c>
      <c r="H3154">
        <f>IF(A3154="","",'Employees'!F18)</f>
        <v/>
      </c>
    </row>
    <row r="3155">
      <c r="A3155">
        <f>IF(AND('Skill Matrix'!A203&lt;&gt;"",'Skill Matrix'!F5&lt;&gt;""),'Skill Matrix'!A203,"")</f>
        <v/>
      </c>
      <c r="B3155">
        <f>IF(A3155="","",'Employees'!C18)</f>
        <v/>
      </c>
      <c r="C3155">
        <f>IF(A3155="","",'Employees'!D18)</f>
        <v/>
      </c>
      <c r="D3155">
        <f>IF(A3155="","",'Skill Matrix'!C203)</f>
        <v/>
      </c>
      <c r="E3155">
        <f>IF(A3155="","",'Skill Matrix'!D203)</f>
        <v/>
      </c>
      <c r="F3155">
        <f>IF(AND('Skill Matrix'!A203&lt;&gt;"",'Skill Matrix'!F5&lt;&gt;""),'Skill Matrix'!F5,"")</f>
        <v/>
      </c>
      <c r="G3155">
        <f>IF(OR(A3155="",'Skill Matrix'!F203=""),"",'Skill Matrix'!F203)</f>
        <v/>
      </c>
      <c r="H3155">
        <f>IF(A3155="","",'Employees'!F18)</f>
        <v/>
      </c>
    </row>
    <row r="3156">
      <c r="A3156">
        <f>IF(AND('Skill Matrix'!A203&lt;&gt;"",'Skill Matrix'!G5&lt;&gt;""),'Skill Matrix'!A203,"")</f>
        <v/>
      </c>
      <c r="B3156">
        <f>IF(A3156="","",'Employees'!C18)</f>
        <v/>
      </c>
      <c r="C3156">
        <f>IF(A3156="","",'Employees'!D18)</f>
        <v/>
      </c>
      <c r="D3156">
        <f>IF(A3156="","",'Skill Matrix'!C203)</f>
        <v/>
      </c>
      <c r="E3156">
        <f>IF(A3156="","",'Skill Matrix'!D203)</f>
        <v/>
      </c>
      <c r="F3156">
        <f>IF(AND('Skill Matrix'!A203&lt;&gt;"",'Skill Matrix'!G5&lt;&gt;""),'Skill Matrix'!G5,"")</f>
        <v/>
      </c>
      <c r="G3156">
        <f>IF(OR(A3156="",'Skill Matrix'!G203=""),"",'Skill Matrix'!G203)</f>
        <v/>
      </c>
      <c r="H3156">
        <f>IF(A3156="","",'Employees'!F18)</f>
        <v/>
      </c>
    </row>
    <row r="3157">
      <c r="A3157">
        <f>IF(AND('Skill Matrix'!A203&lt;&gt;"",'Skill Matrix'!H5&lt;&gt;""),'Skill Matrix'!A203,"")</f>
        <v/>
      </c>
      <c r="B3157">
        <f>IF(A3157="","",'Employees'!C18)</f>
        <v/>
      </c>
      <c r="C3157">
        <f>IF(A3157="","",'Employees'!D18)</f>
        <v/>
      </c>
      <c r="D3157">
        <f>IF(A3157="","",'Skill Matrix'!C203)</f>
        <v/>
      </c>
      <c r="E3157">
        <f>IF(A3157="","",'Skill Matrix'!D203)</f>
        <v/>
      </c>
      <c r="F3157">
        <f>IF(AND('Skill Matrix'!A203&lt;&gt;"",'Skill Matrix'!H5&lt;&gt;""),'Skill Matrix'!H5,"")</f>
        <v/>
      </c>
      <c r="G3157">
        <f>IF(OR(A3157="",'Skill Matrix'!H203=""),"",'Skill Matrix'!H203)</f>
        <v/>
      </c>
      <c r="H3157">
        <f>IF(A3157="","",'Employees'!F18)</f>
        <v/>
      </c>
    </row>
    <row r="3158">
      <c r="A3158">
        <f>IF(AND('Skill Matrix'!A203&lt;&gt;"",'Skill Matrix'!I5&lt;&gt;""),'Skill Matrix'!A203,"")</f>
        <v/>
      </c>
      <c r="B3158">
        <f>IF(A3158="","",'Employees'!C18)</f>
        <v/>
      </c>
      <c r="C3158">
        <f>IF(A3158="","",'Employees'!D18)</f>
        <v/>
      </c>
      <c r="D3158">
        <f>IF(A3158="","",'Skill Matrix'!C203)</f>
        <v/>
      </c>
      <c r="E3158">
        <f>IF(A3158="","",'Skill Matrix'!D203)</f>
        <v/>
      </c>
      <c r="F3158">
        <f>IF(AND('Skill Matrix'!A203&lt;&gt;"",'Skill Matrix'!I5&lt;&gt;""),'Skill Matrix'!I5,"")</f>
        <v/>
      </c>
      <c r="G3158">
        <f>IF(OR(A3158="",'Skill Matrix'!I203=""),"",'Skill Matrix'!I203)</f>
        <v/>
      </c>
      <c r="H3158">
        <f>IF(A3158="","",'Employees'!F18)</f>
        <v/>
      </c>
    </row>
    <row r="3159">
      <c r="A3159">
        <f>IF(AND('Skill Matrix'!A203&lt;&gt;"",'Skill Matrix'!J5&lt;&gt;""),'Skill Matrix'!A203,"")</f>
        <v/>
      </c>
      <c r="B3159">
        <f>IF(A3159="","",'Employees'!C18)</f>
        <v/>
      </c>
      <c r="C3159">
        <f>IF(A3159="","",'Employees'!D18)</f>
        <v/>
      </c>
      <c r="D3159">
        <f>IF(A3159="","",'Skill Matrix'!C203)</f>
        <v/>
      </c>
      <c r="E3159">
        <f>IF(A3159="","",'Skill Matrix'!D203)</f>
        <v/>
      </c>
      <c r="F3159">
        <f>IF(AND('Skill Matrix'!A203&lt;&gt;"",'Skill Matrix'!J5&lt;&gt;""),'Skill Matrix'!J5,"")</f>
        <v/>
      </c>
      <c r="G3159">
        <f>IF(OR(A3159="",'Skill Matrix'!J203=""),"",'Skill Matrix'!J203)</f>
        <v/>
      </c>
      <c r="H3159">
        <f>IF(A3159="","",'Employees'!F18)</f>
        <v/>
      </c>
    </row>
    <row r="3160">
      <c r="A3160">
        <f>IF(AND('Skill Matrix'!A203&lt;&gt;"",'Skill Matrix'!K5&lt;&gt;""),'Skill Matrix'!A203,"")</f>
        <v/>
      </c>
      <c r="B3160">
        <f>IF(A3160="","",'Employees'!C18)</f>
        <v/>
      </c>
      <c r="C3160">
        <f>IF(A3160="","",'Employees'!D18)</f>
        <v/>
      </c>
      <c r="D3160">
        <f>IF(A3160="","",'Skill Matrix'!C203)</f>
        <v/>
      </c>
      <c r="E3160">
        <f>IF(A3160="","",'Skill Matrix'!D203)</f>
        <v/>
      </c>
      <c r="F3160">
        <f>IF(AND('Skill Matrix'!A203&lt;&gt;"",'Skill Matrix'!K5&lt;&gt;""),'Skill Matrix'!K5,"")</f>
        <v/>
      </c>
      <c r="G3160">
        <f>IF(OR(A3160="",'Skill Matrix'!K203=""),"",'Skill Matrix'!K203)</f>
        <v/>
      </c>
      <c r="H3160">
        <f>IF(A3160="","",'Employees'!F18)</f>
        <v/>
      </c>
    </row>
    <row r="3161">
      <c r="A3161">
        <f>IF(AND('Skill Matrix'!A203&lt;&gt;"",'Skill Matrix'!L5&lt;&gt;""),'Skill Matrix'!A203,"")</f>
        <v/>
      </c>
      <c r="B3161">
        <f>IF(A3161="","",'Employees'!C18)</f>
        <v/>
      </c>
      <c r="C3161">
        <f>IF(A3161="","",'Employees'!D18)</f>
        <v/>
      </c>
      <c r="D3161">
        <f>IF(A3161="","",'Skill Matrix'!C203)</f>
        <v/>
      </c>
      <c r="E3161">
        <f>IF(A3161="","",'Skill Matrix'!D203)</f>
        <v/>
      </c>
      <c r="F3161">
        <f>IF(AND('Skill Matrix'!A203&lt;&gt;"",'Skill Matrix'!L5&lt;&gt;""),'Skill Matrix'!L5,"")</f>
        <v/>
      </c>
      <c r="G3161">
        <f>IF(OR(A3161="",'Skill Matrix'!L203=""),"",'Skill Matrix'!L203)</f>
        <v/>
      </c>
      <c r="H3161">
        <f>IF(A3161="","",'Employees'!F18)</f>
        <v/>
      </c>
    </row>
    <row r="3162">
      <c r="A3162">
        <f>IF(AND('Skill Matrix'!A203&lt;&gt;"",'Skill Matrix'!M5&lt;&gt;""),'Skill Matrix'!A203,"")</f>
        <v/>
      </c>
      <c r="B3162">
        <f>IF(A3162="","",'Employees'!C18)</f>
        <v/>
      </c>
      <c r="C3162">
        <f>IF(A3162="","",'Employees'!D18)</f>
        <v/>
      </c>
      <c r="D3162">
        <f>IF(A3162="","",'Skill Matrix'!C203)</f>
        <v/>
      </c>
      <c r="E3162">
        <f>IF(A3162="","",'Skill Matrix'!D203)</f>
        <v/>
      </c>
      <c r="F3162">
        <f>IF(AND('Skill Matrix'!A203&lt;&gt;"",'Skill Matrix'!M5&lt;&gt;""),'Skill Matrix'!M5,"")</f>
        <v/>
      </c>
      <c r="G3162">
        <f>IF(OR(A3162="",'Skill Matrix'!M203=""),"",'Skill Matrix'!M203)</f>
        <v/>
      </c>
      <c r="H3162">
        <f>IF(A3162="","",'Employees'!F18)</f>
        <v/>
      </c>
    </row>
    <row r="3163">
      <c r="A3163">
        <f>IF(AND('Skill Matrix'!A203&lt;&gt;"",'Skill Matrix'!N5&lt;&gt;""),'Skill Matrix'!A203,"")</f>
        <v/>
      </c>
      <c r="B3163">
        <f>IF(A3163="","",'Employees'!C18)</f>
        <v/>
      </c>
      <c r="C3163">
        <f>IF(A3163="","",'Employees'!D18)</f>
        <v/>
      </c>
      <c r="D3163">
        <f>IF(A3163="","",'Skill Matrix'!C203)</f>
        <v/>
      </c>
      <c r="E3163">
        <f>IF(A3163="","",'Skill Matrix'!D203)</f>
        <v/>
      </c>
      <c r="F3163">
        <f>IF(AND('Skill Matrix'!A203&lt;&gt;"",'Skill Matrix'!N5&lt;&gt;""),'Skill Matrix'!N5,"")</f>
        <v/>
      </c>
      <c r="G3163">
        <f>IF(OR(A3163="",'Skill Matrix'!N203=""),"",'Skill Matrix'!N203)</f>
        <v/>
      </c>
      <c r="H3163">
        <f>IF(A3163="","",'Employees'!F18)</f>
        <v/>
      </c>
    </row>
    <row r="3164">
      <c r="A3164">
        <f>IF(AND('Skill Matrix'!A203&lt;&gt;"",'Skill Matrix'!O5&lt;&gt;""),'Skill Matrix'!A203,"")</f>
        <v/>
      </c>
      <c r="B3164">
        <f>IF(A3164="","",'Employees'!C18)</f>
        <v/>
      </c>
      <c r="C3164">
        <f>IF(A3164="","",'Employees'!D18)</f>
        <v/>
      </c>
      <c r="D3164">
        <f>IF(A3164="","",'Skill Matrix'!C203)</f>
        <v/>
      </c>
      <c r="E3164">
        <f>IF(A3164="","",'Skill Matrix'!D203)</f>
        <v/>
      </c>
      <c r="F3164">
        <f>IF(AND('Skill Matrix'!A203&lt;&gt;"",'Skill Matrix'!O5&lt;&gt;""),'Skill Matrix'!O5,"")</f>
        <v/>
      </c>
      <c r="G3164">
        <f>IF(OR(A3164="",'Skill Matrix'!O203=""),"",'Skill Matrix'!O203)</f>
        <v/>
      </c>
      <c r="H3164">
        <f>IF(A3164="","",'Employees'!F18)</f>
        <v/>
      </c>
    </row>
    <row r="3165">
      <c r="A3165">
        <f>IF(AND('Skill Matrix'!A203&lt;&gt;"",'Skill Matrix'!P5&lt;&gt;""),'Skill Matrix'!A203,"")</f>
        <v/>
      </c>
      <c r="B3165">
        <f>IF(A3165="","",'Employees'!C18)</f>
        <v/>
      </c>
      <c r="C3165">
        <f>IF(A3165="","",'Employees'!D18)</f>
        <v/>
      </c>
      <c r="D3165">
        <f>IF(A3165="","",'Skill Matrix'!C203)</f>
        <v/>
      </c>
      <c r="E3165">
        <f>IF(A3165="","",'Skill Matrix'!D203)</f>
        <v/>
      </c>
      <c r="F3165">
        <f>IF(AND('Skill Matrix'!A203&lt;&gt;"",'Skill Matrix'!P5&lt;&gt;""),'Skill Matrix'!P5,"")</f>
        <v/>
      </c>
      <c r="G3165">
        <f>IF(OR(A3165="",'Skill Matrix'!P203=""),"",'Skill Matrix'!P203)</f>
        <v/>
      </c>
      <c r="H3165">
        <f>IF(A3165="","",'Employees'!F18)</f>
        <v/>
      </c>
    </row>
    <row r="3166">
      <c r="A3166">
        <f>IF(AND('Skill Matrix'!A203&lt;&gt;"",'Skill Matrix'!Q5&lt;&gt;""),'Skill Matrix'!A203,"")</f>
        <v/>
      </c>
      <c r="B3166">
        <f>IF(A3166="","",'Employees'!C18)</f>
        <v/>
      </c>
      <c r="C3166">
        <f>IF(A3166="","",'Employees'!D18)</f>
        <v/>
      </c>
      <c r="D3166">
        <f>IF(A3166="","",'Skill Matrix'!C203)</f>
        <v/>
      </c>
      <c r="E3166">
        <f>IF(A3166="","",'Skill Matrix'!D203)</f>
        <v/>
      </c>
      <c r="F3166">
        <f>IF(AND('Skill Matrix'!A203&lt;&gt;"",'Skill Matrix'!Q5&lt;&gt;""),'Skill Matrix'!Q5,"")</f>
        <v/>
      </c>
      <c r="G3166">
        <f>IF(OR(A3166="",'Skill Matrix'!Q203=""),"",'Skill Matrix'!Q203)</f>
        <v/>
      </c>
      <c r="H3166">
        <f>IF(A3166="","",'Employees'!F18)</f>
        <v/>
      </c>
    </row>
    <row r="3167">
      <c r="A3167">
        <f>IF(AND('Skill Matrix'!A203&lt;&gt;"",'Skill Matrix'!R5&lt;&gt;""),'Skill Matrix'!A203,"")</f>
        <v/>
      </c>
      <c r="B3167">
        <f>IF(A3167="","",'Employees'!C18)</f>
        <v/>
      </c>
      <c r="C3167">
        <f>IF(A3167="","",'Employees'!D18)</f>
        <v/>
      </c>
      <c r="D3167">
        <f>IF(A3167="","",'Skill Matrix'!C203)</f>
        <v/>
      </c>
      <c r="E3167">
        <f>IF(A3167="","",'Skill Matrix'!D203)</f>
        <v/>
      </c>
      <c r="F3167">
        <f>IF(AND('Skill Matrix'!A203&lt;&gt;"",'Skill Matrix'!R5&lt;&gt;""),'Skill Matrix'!R5,"")</f>
        <v/>
      </c>
      <c r="G3167">
        <f>IF(OR(A3167="",'Skill Matrix'!R203=""),"",'Skill Matrix'!R203)</f>
        <v/>
      </c>
      <c r="H3167">
        <f>IF(A3167="","",'Employees'!F18)</f>
        <v/>
      </c>
    </row>
    <row r="3168">
      <c r="A3168">
        <f>IF(AND('Skill Matrix'!A203&lt;&gt;"",'Skill Matrix'!S5&lt;&gt;""),'Skill Matrix'!A203,"")</f>
        <v/>
      </c>
      <c r="B3168">
        <f>IF(A3168="","",'Employees'!C18)</f>
        <v/>
      </c>
      <c r="C3168">
        <f>IF(A3168="","",'Employees'!D18)</f>
        <v/>
      </c>
      <c r="D3168">
        <f>IF(A3168="","",'Skill Matrix'!C203)</f>
        <v/>
      </c>
      <c r="E3168">
        <f>IF(A3168="","",'Skill Matrix'!D203)</f>
        <v/>
      </c>
      <c r="F3168">
        <f>IF(AND('Skill Matrix'!A203&lt;&gt;"",'Skill Matrix'!S5&lt;&gt;""),'Skill Matrix'!S5,"")</f>
        <v/>
      </c>
      <c r="G3168">
        <f>IF(OR(A3168="",'Skill Matrix'!S203=""),"",'Skill Matrix'!S203)</f>
        <v/>
      </c>
      <c r="H3168">
        <f>IF(A3168="","",'Employees'!F18)</f>
        <v/>
      </c>
    </row>
    <row r="3169">
      <c r="A3169">
        <f>IF(AND('Skill Matrix'!A203&lt;&gt;"",'Skill Matrix'!T5&lt;&gt;""),'Skill Matrix'!A203,"")</f>
        <v/>
      </c>
      <c r="B3169">
        <f>IF(A3169="","",'Employees'!C18)</f>
        <v/>
      </c>
      <c r="C3169">
        <f>IF(A3169="","",'Employees'!D18)</f>
        <v/>
      </c>
      <c r="D3169">
        <f>IF(A3169="","",'Skill Matrix'!C203)</f>
        <v/>
      </c>
      <c r="E3169">
        <f>IF(A3169="","",'Skill Matrix'!D203)</f>
        <v/>
      </c>
      <c r="F3169">
        <f>IF(AND('Skill Matrix'!A203&lt;&gt;"",'Skill Matrix'!T5&lt;&gt;""),'Skill Matrix'!T5,"")</f>
        <v/>
      </c>
      <c r="G3169">
        <f>IF(OR(A3169="",'Skill Matrix'!T203=""),"",'Skill Matrix'!T203)</f>
        <v/>
      </c>
      <c r="H3169">
        <f>IF(A3169="","",'Employees'!F18)</f>
        <v/>
      </c>
    </row>
    <row r="3170">
      <c r="A3170">
        <f>IF(AND('Skill Matrix'!A204&lt;&gt;"",'Skill Matrix'!E5&lt;&gt;""),'Skill Matrix'!A204,"")</f>
        <v/>
      </c>
      <c r="B3170">
        <f>IF(A3170="","",'Employees'!C18)</f>
        <v/>
      </c>
      <c r="C3170">
        <f>IF(A3170="","",'Employees'!D18)</f>
        <v/>
      </c>
      <c r="D3170">
        <f>IF(A3170="","",'Skill Matrix'!C204)</f>
        <v/>
      </c>
      <c r="E3170">
        <f>IF(A3170="","",'Skill Matrix'!D204)</f>
        <v/>
      </c>
      <c r="F3170">
        <f>IF(AND('Skill Matrix'!A204&lt;&gt;"",'Skill Matrix'!E5&lt;&gt;""),'Skill Matrix'!E5,"")</f>
        <v/>
      </c>
      <c r="G3170">
        <f>IF(OR(A3170="",'Skill Matrix'!E204=""),"",'Skill Matrix'!E204)</f>
        <v/>
      </c>
      <c r="H3170">
        <f>IF(A3170="","",'Employees'!F18)</f>
        <v/>
      </c>
    </row>
    <row r="3171">
      <c r="A3171">
        <f>IF(AND('Skill Matrix'!A204&lt;&gt;"",'Skill Matrix'!F5&lt;&gt;""),'Skill Matrix'!A204,"")</f>
        <v/>
      </c>
      <c r="B3171">
        <f>IF(A3171="","",'Employees'!C18)</f>
        <v/>
      </c>
      <c r="C3171">
        <f>IF(A3171="","",'Employees'!D18)</f>
        <v/>
      </c>
      <c r="D3171">
        <f>IF(A3171="","",'Skill Matrix'!C204)</f>
        <v/>
      </c>
      <c r="E3171">
        <f>IF(A3171="","",'Skill Matrix'!D204)</f>
        <v/>
      </c>
      <c r="F3171">
        <f>IF(AND('Skill Matrix'!A204&lt;&gt;"",'Skill Matrix'!F5&lt;&gt;""),'Skill Matrix'!F5,"")</f>
        <v/>
      </c>
      <c r="G3171">
        <f>IF(OR(A3171="",'Skill Matrix'!F204=""),"",'Skill Matrix'!F204)</f>
        <v/>
      </c>
      <c r="H3171">
        <f>IF(A3171="","",'Employees'!F18)</f>
        <v/>
      </c>
    </row>
    <row r="3172">
      <c r="A3172">
        <f>IF(AND('Skill Matrix'!A204&lt;&gt;"",'Skill Matrix'!G5&lt;&gt;""),'Skill Matrix'!A204,"")</f>
        <v/>
      </c>
      <c r="B3172">
        <f>IF(A3172="","",'Employees'!C18)</f>
        <v/>
      </c>
      <c r="C3172">
        <f>IF(A3172="","",'Employees'!D18)</f>
        <v/>
      </c>
      <c r="D3172">
        <f>IF(A3172="","",'Skill Matrix'!C204)</f>
        <v/>
      </c>
      <c r="E3172">
        <f>IF(A3172="","",'Skill Matrix'!D204)</f>
        <v/>
      </c>
      <c r="F3172">
        <f>IF(AND('Skill Matrix'!A204&lt;&gt;"",'Skill Matrix'!G5&lt;&gt;""),'Skill Matrix'!G5,"")</f>
        <v/>
      </c>
      <c r="G3172">
        <f>IF(OR(A3172="",'Skill Matrix'!G204=""),"",'Skill Matrix'!G204)</f>
        <v/>
      </c>
      <c r="H3172">
        <f>IF(A3172="","",'Employees'!F18)</f>
        <v/>
      </c>
    </row>
    <row r="3173">
      <c r="A3173">
        <f>IF(AND('Skill Matrix'!A204&lt;&gt;"",'Skill Matrix'!H5&lt;&gt;""),'Skill Matrix'!A204,"")</f>
        <v/>
      </c>
      <c r="B3173">
        <f>IF(A3173="","",'Employees'!C18)</f>
        <v/>
      </c>
      <c r="C3173">
        <f>IF(A3173="","",'Employees'!D18)</f>
        <v/>
      </c>
      <c r="D3173">
        <f>IF(A3173="","",'Skill Matrix'!C204)</f>
        <v/>
      </c>
      <c r="E3173">
        <f>IF(A3173="","",'Skill Matrix'!D204)</f>
        <v/>
      </c>
      <c r="F3173">
        <f>IF(AND('Skill Matrix'!A204&lt;&gt;"",'Skill Matrix'!H5&lt;&gt;""),'Skill Matrix'!H5,"")</f>
        <v/>
      </c>
      <c r="G3173">
        <f>IF(OR(A3173="",'Skill Matrix'!H204=""),"",'Skill Matrix'!H204)</f>
        <v/>
      </c>
      <c r="H3173">
        <f>IF(A3173="","",'Employees'!F18)</f>
        <v/>
      </c>
    </row>
    <row r="3174">
      <c r="A3174">
        <f>IF(AND('Skill Matrix'!A204&lt;&gt;"",'Skill Matrix'!I5&lt;&gt;""),'Skill Matrix'!A204,"")</f>
        <v/>
      </c>
      <c r="B3174">
        <f>IF(A3174="","",'Employees'!C18)</f>
        <v/>
      </c>
      <c r="C3174">
        <f>IF(A3174="","",'Employees'!D18)</f>
        <v/>
      </c>
      <c r="D3174">
        <f>IF(A3174="","",'Skill Matrix'!C204)</f>
        <v/>
      </c>
      <c r="E3174">
        <f>IF(A3174="","",'Skill Matrix'!D204)</f>
        <v/>
      </c>
      <c r="F3174">
        <f>IF(AND('Skill Matrix'!A204&lt;&gt;"",'Skill Matrix'!I5&lt;&gt;""),'Skill Matrix'!I5,"")</f>
        <v/>
      </c>
      <c r="G3174">
        <f>IF(OR(A3174="",'Skill Matrix'!I204=""),"",'Skill Matrix'!I204)</f>
        <v/>
      </c>
      <c r="H3174">
        <f>IF(A3174="","",'Employees'!F18)</f>
        <v/>
      </c>
    </row>
    <row r="3175">
      <c r="A3175">
        <f>IF(AND('Skill Matrix'!A204&lt;&gt;"",'Skill Matrix'!J5&lt;&gt;""),'Skill Matrix'!A204,"")</f>
        <v/>
      </c>
      <c r="B3175">
        <f>IF(A3175="","",'Employees'!C18)</f>
        <v/>
      </c>
      <c r="C3175">
        <f>IF(A3175="","",'Employees'!D18)</f>
        <v/>
      </c>
      <c r="D3175">
        <f>IF(A3175="","",'Skill Matrix'!C204)</f>
        <v/>
      </c>
      <c r="E3175">
        <f>IF(A3175="","",'Skill Matrix'!D204)</f>
        <v/>
      </c>
      <c r="F3175">
        <f>IF(AND('Skill Matrix'!A204&lt;&gt;"",'Skill Matrix'!J5&lt;&gt;""),'Skill Matrix'!J5,"")</f>
        <v/>
      </c>
      <c r="G3175">
        <f>IF(OR(A3175="",'Skill Matrix'!J204=""),"",'Skill Matrix'!J204)</f>
        <v/>
      </c>
      <c r="H3175">
        <f>IF(A3175="","",'Employees'!F18)</f>
        <v/>
      </c>
    </row>
    <row r="3176">
      <c r="A3176">
        <f>IF(AND('Skill Matrix'!A204&lt;&gt;"",'Skill Matrix'!K5&lt;&gt;""),'Skill Matrix'!A204,"")</f>
        <v/>
      </c>
      <c r="B3176">
        <f>IF(A3176="","",'Employees'!C18)</f>
        <v/>
      </c>
      <c r="C3176">
        <f>IF(A3176="","",'Employees'!D18)</f>
        <v/>
      </c>
      <c r="D3176">
        <f>IF(A3176="","",'Skill Matrix'!C204)</f>
        <v/>
      </c>
      <c r="E3176">
        <f>IF(A3176="","",'Skill Matrix'!D204)</f>
        <v/>
      </c>
      <c r="F3176">
        <f>IF(AND('Skill Matrix'!A204&lt;&gt;"",'Skill Matrix'!K5&lt;&gt;""),'Skill Matrix'!K5,"")</f>
        <v/>
      </c>
      <c r="G3176">
        <f>IF(OR(A3176="",'Skill Matrix'!K204=""),"",'Skill Matrix'!K204)</f>
        <v/>
      </c>
      <c r="H3176">
        <f>IF(A3176="","",'Employees'!F18)</f>
        <v/>
      </c>
    </row>
    <row r="3177">
      <c r="A3177">
        <f>IF(AND('Skill Matrix'!A204&lt;&gt;"",'Skill Matrix'!L5&lt;&gt;""),'Skill Matrix'!A204,"")</f>
        <v/>
      </c>
      <c r="B3177">
        <f>IF(A3177="","",'Employees'!C18)</f>
        <v/>
      </c>
      <c r="C3177">
        <f>IF(A3177="","",'Employees'!D18)</f>
        <v/>
      </c>
      <c r="D3177">
        <f>IF(A3177="","",'Skill Matrix'!C204)</f>
        <v/>
      </c>
      <c r="E3177">
        <f>IF(A3177="","",'Skill Matrix'!D204)</f>
        <v/>
      </c>
      <c r="F3177">
        <f>IF(AND('Skill Matrix'!A204&lt;&gt;"",'Skill Matrix'!L5&lt;&gt;""),'Skill Matrix'!L5,"")</f>
        <v/>
      </c>
      <c r="G3177">
        <f>IF(OR(A3177="",'Skill Matrix'!L204=""),"",'Skill Matrix'!L204)</f>
        <v/>
      </c>
      <c r="H3177">
        <f>IF(A3177="","",'Employees'!F18)</f>
        <v/>
      </c>
    </row>
    <row r="3178">
      <c r="A3178">
        <f>IF(AND('Skill Matrix'!A204&lt;&gt;"",'Skill Matrix'!M5&lt;&gt;""),'Skill Matrix'!A204,"")</f>
        <v/>
      </c>
      <c r="B3178">
        <f>IF(A3178="","",'Employees'!C18)</f>
        <v/>
      </c>
      <c r="C3178">
        <f>IF(A3178="","",'Employees'!D18)</f>
        <v/>
      </c>
      <c r="D3178">
        <f>IF(A3178="","",'Skill Matrix'!C204)</f>
        <v/>
      </c>
      <c r="E3178">
        <f>IF(A3178="","",'Skill Matrix'!D204)</f>
        <v/>
      </c>
      <c r="F3178">
        <f>IF(AND('Skill Matrix'!A204&lt;&gt;"",'Skill Matrix'!M5&lt;&gt;""),'Skill Matrix'!M5,"")</f>
        <v/>
      </c>
      <c r="G3178">
        <f>IF(OR(A3178="",'Skill Matrix'!M204=""),"",'Skill Matrix'!M204)</f>
        <v/>
      </c>
      <c r="H3178">
        <f>IF(A3178="","",'Employees'!F18)</f>
        <v/>
      </c>
    </row>
    <row r="3179">
      <c r="A3179">
        <f>IF(AND('Skill Matrix'!A204&lt;&gt;"",'Skill Matrix'!N5&lt;&gt;""),'Skill Matrix'!A204,"")</f>
        <v/>
      </c>
      <c r="B3179">
        <f>IF(A3179="","",'Employees'!C18)</f>
        <v/>
      </c>
      <c r="C3179">
        <f>IF(A3179="","",'Employees'!D18)</f>
        <v/>
      </c>
      <c r="D3179">
        <f>IF(A3179="","",'Skill Matrix'!C204)</f>
        <v/>
      </c>
      <c r="E3179">
        <f>IF(A3179="","",'Skill Matrix'!D204)</f>
        <v/>
      </c>
      <c r="F3179">
        <f>IF(AND('Skill Matrix'!A204&lt;&gt;"",'Skill Matrix'!N5&lt;&gt;""),'Skill Matrix'!N5,"")</f>
        <v/>
      </c>
      <c r="G3179">
        <f>IF(OR(A3179="",'Skill Matrix'!N204=""),"",'Skill Matrix'!N204)</f>
        <v/>
      </c>
      <c r="H3179">
        <f>IF(A3179="","",'Employees'!F18)</f>
        <v/>
      </c>
    </row>
    <row r="3180">
      <c r="A3180">
        <f>IF(AND('Skill Matrix'!A204&lt;&gt;"",'Skill Matrix'!O5&lt;&gt;""),'Skill Matrix'!A204,"")</f>
        <v/>
      </c>
      <c r="B3180">
        <f>IF(A3180="","",'Employees'!C18)</f>
        <v/>
      </c>
      <c r="C3180">
        <f>IF(A3180="","",'Employees'!D18)</f>
        <v/>
      </c>
      <c r="D3180">
        <f>IF(A3180="","",'Skill Matrix'!C204)</f>
        <v/>
      </c>
      <c r="E3180">
        <f>IF(A3180="","",'Skill Matrix'!D204)</f>
        <v/>
      </c>
      <c r="F3180">
        <f>IF(AND('Skill Matrix'!A204&lt;&gt;"",'Skill Matrix'!O5&lt;&gt;""),'Skill Matrix'!O5,"")</f>
        <v/>
      </c>
      <c r="G3180">
        <f>IF(OR(A3180="",'Skill Matrix'!O204=""),"",'Skill Matrix'!O204)</f>
        <v/>
      </c>
      <c r="H3180">
        <f>IF(A3180="","",'Employees'!F18)</f>
        <v/>
      </c>
    </row>
    <row r="3181">
      <c r="A3181">
        <f>IF(AND('Skill Matrix'!A204&lt;&gt;"",'Skill Matrix'!P5&lt;&gt;""),'Skill Matrix'!A204,"")</f>
        <v/>
      </c>
      <c r="B3181">
        <f>IF(A3181="","",'Employees'!C18)</f>
        <v/>
      </c>
      <c r="C3181">
        <f>IF(A3181="","",'Employees'!D18)</f>
        <v/>
      </c>
      <c r="D3181">
        <f>IF(A3181="","",'Skill Matrix'!C204)</f>
        <v/>
      </c>
      <c r="E3181">
        <f>IF(A3181="","",'Skill Matrix'!D204)</f>
        <v/>
      </c>
      <c r="F3181">
        <f>IF(AND('Skill Matrix'!A204&lt;&gt;"",'Skill Matrix'!P5&lt;&gt;""),'Skill Matrix'!P5,"")</f>
        <v/>
      </c>
      <c r="G3181">
        <f>IF(OR(A3181="",'Skill Matrix'!P204=""),"",'Skill Matrix'!P204)</f>
        <v/>
      </c>
      <c r="H3181">
        <f>IF(A3181="","",'Employees'!F18)</f>
        <v/>
      </c>
    </row>
    <row r="3182">
      <c r="A3182">
        <f>IF(AND('Skill Matrix'!A204&lt;&gt;"",'Skill Matrix'!Q5&lt;&gt;""),'Skill Matrix'!A204,"")</f>
        <v/>
      </c>
      <c r="B3182">
        <f>IF(A3182="","",'Employees'!C18)</f>
        <v/>
      </c>
      <c r="C3182">
        <f>IF(A3182="","",'Employees'!D18)</f>
        <v/>
      </c>
      <c r="D3182">
        <f>IF(A3182="","",'Skill Matrix'!C204)</f>
        <v/>
      </c>
      <c r="E3182">
        <f>IF(A3182="","",'Skill Matrix'!D204)</f>
        <v/>
      </c>
      <c r="F3182">
        <f>IF(AND('Skill Matrix'!A204&lt;&gt;"",'Skill Matrix'!Q5&lt;&gt;""),'Skill Matrix'!Q5,"")</f>
        <v/>
      </c>
      <c r="G3182">
        <f>IF(OR(A3182="",'Skill Matrix'!Q204=""),"",'Skill Matrix'!Q204)</f>
        <v/>
      </c>
      <c r="H3182">
        <f>IF(A3182="","",'Employees'!F18)</f>
        <v/>
      </c>
    </row>
    <row r="3183">
      <c r="A3183">
        <f>IF(AND('Skill Matrix'!A204&lt;&gt;"",'Skill Matrix'!R5&lt;&gt;""),'Skill Matrix'!A204,"")</f>
        <v/>
      </c>
      <c r="B3183">
        <f>IF(A3183="","",'Employees'!C18)</f>
        <v/>
      </c>
      <c r="C3183">
        <f>IF(A3183="","",'Employees'!D18)</f>
        <v/>
      </c>
      <c r="D3183">
        <f>IF(A3183="","",'Skill Matrix'!C204)</f>
        <v/>
      </c>
      <c r="E3183">
        <f>IF(A3183="","",'Skill Matrix'!D204)</f>
        <v/>
      </c>
      <c r="F3183">
        <f>IF(AND('Skill Matrix'!A204&lt;&gt;"",'Skill Matrix'!R5&lt;&gt;""),'Skill Matrix'!R5,"")</f>
        <v/>
      </c>
      <c r="G3183">
        <f>IF(OR(A3183="",'Skill Matrix'!R204=""),"",'Skill Matrix'!R204)</f>
        <v/>
      </c>
      <c r="H3183">
        <f>IF(A3183="","",'Employees'!F18)</f>
        <v/>
      </c>
    </row>
    <row r="3184">
      <c r="A3184">
        <f>IF(AND('Skill Matrix'!A204&lt;&gt;"",'Skill Matrix'!S5&lt;&gt;""),'Skill Matrix'!A204,"")</f>
        <v/>
      </c>
      <c r="B3184">
        <f>IF(A3184="","",'Employees'!C18)</f>
        <v/>
      </c>
      <c r="C3184">
        <f>IF(A3184="","",'Employees'!D18)</f>
        <v/>
      </c>
      <c r="D3184">
        <f>IF(A3184="","",'Skill Matrix'!C204)</f>
        <v/>
      </c>
      <c r="E3184">
        <f>IF(A3184="","",'Skill Matrix'!D204)</f>
        <v/>
      </c>
      <c r="F3184">
        <f>IF(AND('Skill Matrix'!A204&lt;&gt;"",'Skill Matrix'!S5&lt;&gt;""),'Skill Matrix'!S5,"")</f>
        <v/>
      </c>
      <c r="G3184">
        <f>IF(OR(A3184="",'Skill Matrix'!S204=""),"",'Skill Matrix'!S204)</f>
        <v/>
      </c>
      <c r="H3184">
        <f>IF(A3184="","",'Employees'!F18)</f>
        <v/>
      </c>
    </row>
    <row r="3185">
      <c r="A3185">
        <f>IF(AND('Skill Matrix'!A204&lt;&gt;"",'Skill Matrix'!T5&lt;&gt;""),'Skill Matrix'!A204,"")</f>
        <v/>
      </c>
      <c r="B3185">
        <f>IF(A3185="","",'Employees'!C18)</f>
        <v/>
      </c>
      <c r="C3185">
        <f>IF(A3185="","",'Employees'!D18)</f>
        <v/>
      </c>
      <c r="D3185">
        <f>IF(A3185="","",'Skill Matrix'!C204)</f>
        <v/>
      </c>
      <c r="E3185">
        <f>IF(A3185="","",'Skill Matrix'!D204)</f>
        <v/>
      </c>
      <c r="F3185">
        <f>IF(AND('Skill Matrix'!A204&lt;&gt;"",'Skill Matrix'!T5&lt;&gt;""),'Skill Matrix'!T5,"")</f>
        <v/>
      </c>
      <c r="G3185">
        <f>IF(OR(A3185="",'Skill Matrix'!T204=""),"",'Skill Matrix'!T204)</f>
        <v/>
      </c>
      <c r="H3185">
        <f>IF(A3185="","",'Employees'!F18)</f>
        <v/>
      </c>
    </row>
    <row r="3186">
      <c r="A3186">
        <f>IF(AND('Skill Matrix'!A205&lt;&gt;"",'Skill Matrix'!E5&lt;&gt;""),'Skill Matrix'!A205,"")</f>
        <v/>
      </c>
      <c r="B3186">
        <f>IF(A3186="","",'Employees'!C18)</f>
        <v/>
      </c>
      <c r="C3186">
        <f>IF(A3186="","",'Employees'!D18)</f>
        <v/>
      </c>
      <c r="D3186">
        <f>IF(A3186="","",'Skill Matrix'!C205)</f>
        <v/>
      </c>
      <c r="E3186">
        <f>IF(A3186="","",'Skill Matrix'!D205)</f>
        <v/>
      </c>
      <c r="F3186">
        <f>IF(AND('Skill Matrix'!A205&lt;&gt;"",'Skill Matrix'!E5&lt;&gt;""),'Skill Matrix'!E5,"")</f>
        <v/>
      </c>
      <c r="G3186">
        <f>IF(OR(A3186="",'Skill Matrix'!E205=""),"",'Skill Matrix'!E205)</f>
        <v/>
      </c>
      <c r="H3186">
        <f>IF(A3186="","",'Employees'!F18)</f>
        <v/>
      </c>
    </row>
    <row r="3187">
      <c r="A3187">
        <f>IF(AND('Skill Matrix'!A205&lt;&gt;"",'Skill Matrix'!F5&lt;&gt;""),'Skill Matrix'!A205,"")</f>
        <v/>
      </c>
      <c r="B3187">
        <f>IF(A3187="","",'Employees'!C18)</f>
        <v/>
      </c>
      <c r="C3187">
        <f>IF(A3187="","",'Employees'!D18)</f>
        <v/>
      </c>
      <c r="D3187">
        <f>IF(A3187="","",'Skill Matrix'!C205)</f>
        <v/>
      </c>
      <c r="E3187">
        <f>IF(A3187="","",'Skill Matrix'!D205)</f>
        <v/>
      </c>
      <c r="F3187">
        <f>IF(AND('Skill Matrix'!A205&lt;&gt;"",'Skill Matrix'!F5&lt;&gt;""),'Skill Matrix'!F5,"")</f>
        <v/>
      </c>
      <c r="G3187">
        <f>IF(OR(A3187="",'Skill Matrix'!F205=""),"",'Skill Matrix'!F205)</f>
        <v/>
      </c>
      <c r="H3187">
        <f>IF(A3187="","",'Employees'!F18)</f>
        <v/>
      </c>
    </row>
    <row r="3188">
      <c r="A3188">
        <f>IF(AND('Skill Matrix'!A205&lt;&gt;"",'Skill Matrix'!G5&lt;&gt;""),'Skill Matrix'!A205,"")</f>
        <v/>
      </c>
      <c r="B3188">
        <f>IF(A3188="","",'Employees'!C18)</f>
        <v/>
      </c>
      <c r="C3188">
        <f>IF(A3188="","",'Employees'!D18)</f>
        <v/>
      </c>
      <c r="D3188">
        <f>IF(A3188="","",'Skill Matrix'!C205)</f>
        <v/>
      </c>
      <c r="E3188">
        <f>IF(A3188="","",'Skill Matrix'!D205)</f>
        <v/>
      </c>
      <c r="F3188">
        <f>IF(AND('Skill Matrix'!A205&lt;&gt;"",'Skill Matrix'!G5&lt;&gt;""),'Skill Matrix'!G5,"")</f>
        <v/>
      </c>
      <c r="G3188">
        <f>IF(OR(A3188="",'Skill Matrix'!G205=""),"",'Skill Matrix'!G205)</f>
        <v/>
      </c>
      <c r="H3188">
        <f>IF(A3188="","",'Employees'!F18)</f>
        <v/>
      </c>
    </row>
    <row r="3189">
      <c r="A3189">
        <f>IF(AND('Skill Matrix'!A205&lt;&gt;"",'Skill Matrix'!H5&lt;&gt;""),'Skill Matrix'!A205,"")</f>
        <v/>
      </c>
      <c r="B3189">
        <f>IF(A3189="","",'Employees'!C18)</f>
        <v/>
      </c>
      <c r="C3189">
        <f>IF(A3189="","",'Employees'!D18)</f>
        <v/>
      </c>
      <c r="D3189">
        <f>IF(A3189="","",'Skill Matrix'!C205)</f>
        <v/>
      </c>
      <c r="E3189">
        <f>IF(A3189="","",'Skill Matrix'!D205)</f>
        <v/>
      </c>
      <c r="F3189">
        <f>IF(AND('Skill Matrix'!A205&lt;&gt;"",'Skill Matrix'!H5&lt;&gt;""),'Skill Matrix'!H5,"")</f>
        <v/>
      </c>
      <c r="G3189">
        <f>IF(OR(A3189="",'Skill Matrix'!H205=""),"",'Skill Matrix'!H205)</f>
        <v/>
      </c>
      <c r="H3189">
        <f>IF(A3189="","",'Employees'!F18)</f>
        <v/>
      </c>
    </row>
    <row r="3190">
      <c r="A3190">
        <f>IF(AND('Skill Matrix'!A205&lt;&gt;"",'Skill Matrix'!I5&lt;&gt;""),'Skill Matrix'!A205,"")</f>
        <v/>
      </c>
      <c r="B3190">
        <f>IF(A3190="","",'Employees'!C18)</f>
        <v/>
      </c>
      <c r="C3190">
        <f>IF(A3190="","",'Employees'!D18)</f>
        <v/>
      </c>
      <c r="D3190">
        <f>IF(A3190="","",'Skill Matrix'!C205)</f>
        <v/>
      </c>
      <c r="E3190">
        <f>IF(A3190="","",'Skill Matrix'!D205)</f>
        <v/>
      </c>
      <c r="F3190">
        <f>IF(AND('Skill Matrix'!A205&lt;&gt;"",'Skill Matrix'!I5&lt;&gt;""),'Skill Matrix'!I5,"")</f>
        <v/>
      </c>
      <c r="G3190">
        <f>IF(OR(A3190="",'Skill Matrix'!I205=""),"",'Skill Matrix'!I205)</f>
        <v/>
      </c>
      <c r="H3190">
        <f>IF(A3190="","",'Employees'!F18)</f>
        <v/>
      </c>
    </row>
    <row r="3191">
      <c r="A3191">
        <f>IF(AND('Skill Matrix'!A205&lt;&gt;"",'Skill Matrix'!J5&lt;&gt;""),'Skill Matrix'!A205,"")</f>
        <v/>
      </c>
      <c r="B3191">
        <f>IF(A3191="","",'Employees'!C18)</f>
        <v/>
      </c>
      <c r="C3191">
        <f>IF(A3191="","",'Employees'!D18)</f>
        <v/>
      </c>
      <c r="D3191">
        <f>IF(A3191="","",'Skill Matrix'!C205)</f>
        <v/>
      </c>
      <c r="E3191">
        <f>IF(A3191="","",'Skill Matrix'!D205)</f>
        <v/>
      </c>
      <c r="F3191">
        <f>IF(AND('Skill Matrix'!A205&lt;&gt;"",'Skill Matrix'!J5&lt;&gt;""),'Skill Matrix'!J5,"")</f>
        <v/>
      </c>
      <c r="G3191">
        <f>IF(OR(A3191="",'Skill Matrix'!J205=""),"",'Skill Matrix'!J205)</f>
        <v/>
      </c>
      <c r="H3191">
        <f>IF(A3191="","",'Employees'!F18)</f>
        <v/>
      </c>
    </row>
    <row r="3192">
      <c r="A3192">
        <f>IF(AND('Skill Matrix'!A205&lt;&gt;"",'Skill Matrix'!K5&lt;&gt;""),'Skill Matrix'!A205,"")</f>
        <v/>
      </c>
      <c r="B3192">
        <f>IF(A3192="","",'Employees'!C18)</f>
        <v/>
      </c>
      <c r="C3192">
        <f>IF(A3192="","",'Employees'!D18)</f>
        <v/>
      </c>
      <c r="D3192">
        <f>IF(A3192="","",'Skill Matrix'!C205)</f>
        <v/>
      </c>
      <c r="E3192">
        <f>IF(A3192="","",'Skill Matrix'!D205)</f>
        <v/>
      </c>
      <c r="F3192">
        <f>IF(AND('Skill Matrix'!A205&lt;&gt;"",'Skill Matrix'!K5&lt;&gt;""),'Skill Matrix'!K5,"")</f>
        <v/>
      </c>
      <c r="G3192">
        <f>IF(OR(A3192="",'Skill Matrix'!K205=""),"",'Skill Matrix'!K205)</f>
        <v/>
      </c>
      <c r="H3192">
        <f>IF(A3192="","",'Employees'!F18)</f>
        <v/>
      </c>
    </row>
    <row r="3193">
      <c r="A3193">
        <f>IF(AND('Skill Matrix'!A205&lt;&gt;"",'Skill Matrix'!L5&lt;&gt;""),'Skill Matrix'!A205,"")</f>
        <v/>
      </c>
      <c r="B3193">
        <f>IF(A3193="","",'Employees'!C18)</f>
        <v/>
      </c>
      <c r="C3193">
        <f>IF(A3193="","",'Employees'!D18)</f>
        <v/>
      </c>
      <c r="D3193">
        <f>IF(A3193="","",'Skill Matrix'!C205)</f>
        <v/>
      </c>
      <c r="E3193">
        <f>IF(A3193="","",'Skill Matrix'!D205)</f>
        <v/>
      </c>
      <c r="F3193">
        <f>IF(AND('Skill Matrix'!A205&lt;&gt;"",'Skill Matrix'!L5&lt;&gt;""),'Skill Matrix'!L5,"")</f>
        <v/>
      </c>
      <c r="G3193">
        <f>IF(OR(A3193="",'Skill Matrix'!L205=""),"",'Skill Matrix'!L205)</f>
        <v/>
      </c>
      <c r="H3193">
        <f>IF(A3193="","",'Employees'!F18)</f>
        <v/>
      </c>
    </row>
    <row r="3194">
      <c r="A3194">
        <f>IF(AND('Skill Matrix'!A205&lt;&gt;"",'Skill Matrix'!M5&lt;&gt;""),'Skill Matrix'!A205,"")</f>
        <v/>
      </c>
      <c r="B3194">
        <f>IF(A3194="","",'Employees'!C18)</f>
        <v/>
      </c>
      <c r="C3194">
        <f>IF(A3194="","",'Employees'!D18)</f>
        <v/>
      </c>
      <c r="D3194">
        <f>IF(A3194="","",'Skill Matrix'!C205)</f>
        <v/>
      </c>
      <c r="E3194">
        <f>IF(A3194="","",'Skill Matrix'!D205)</f>
        <v/>
      </c>
      <c r="F3194">
        <f>IF(AND('Skill Matrix'!A205&lt;&gt;"",'Skill Matrix'!M5&lt;&gt;""),'Skill Matrix'!M5,"")</f>
        <v/>
      </c>
      <c r="G3194">
        <f>IF(OR(A3194="",'Skill Matrix'!M205=""),"",'Skill Matrix'!M205)</f>
        <v/>
      </c>
      <c r="H3194">
        <f>IF(A3194="","",'Employees'!F18)</f>
        <v/>
      </c>
    </row>
    <row r="3195">
      <c r="A3195">
        <f>IF(AND('Skill Matrix'!A205&lt;&gt;"",'Skill Matrix'!N5&lt;&gt;""),'Skill Matrix'!A205,"")</f>
        <v/>
      </c>
      <c r="B3195">
        <f>IF(A3195="","",'Employees'!C18)</f>
        <v/>
      </c>
      <c r="C3195">
        <f>IF(A3195="","",'Employees'!D18)</f>
        <v/>
      </c>
      <c r="D3195">
        <f>IF(A3195="","",'Skill Matrix'!C205)</f>
        <v/>
      </c>
      <c r="E3195">
        <f>IF(A3195="","",'Skill Matrix'!D205)</f>
        <v/>
      </c>
      <c r="F3195">
        <f>IF(AND('Skill Matrix'!A205&lt;&gt;"",'Skill Matrix'!N5&lt;&gt;""),'Skill Matrix'!N5,"")</f>
        <v/>
      </c>
      <c r="G3195">
        <f>IF(OR(A3195="",'Skill Matrix'!N205=""),"",'Skill Matrix'!N205)</f>
        <v/>
      </c>
      <c r="H3195">
        <f>IF(A3195="","",'Employees'!F18)</f>
        <v/>
      </c>
    </row>
    <row r="3196">
      <c r="A3196">
        <f>IF(AND('Skill Matrix'!A205&lt;&gt;"",'Skill Matrix'!O5&lt;&gt;""),'Skill Matrix'!A205,"")</f>
        <v/>
      </c>
      <c r="B3196">
        <f>IF(A3196="","",'Employees'!C18)</f>
        <v/>
      </c>
      <c r="C3196">
        <f>IF(A3196="","",'Employees'!D18)</f>
        <v/>
      </c>
      <c r="D3196">
        <f>IF(A3196="","",'Skill Matrix'!C205)</f>
        <v/>
      </c>
      <c r="E3196">
        <f>IF(A3196="","",'Skill Matrix'!D205)</f>
        <v/>
      </c>
      <c r="F3196">
        <f>IF(AND('Skill Matrix'!A205&lt;&gt;"",'Skill Matrix'!O5&lt;&gt;""),'Skill Matrix'!O5,"")</f>
        <v/>
      </c>
      <c r="G3196">
        <f>IF(OR(A3196="",'Skill Matrix'!O205=""),"",'Skill Matrix'!O205)</f>
        <v/>
      </c>
      <c r="H3196">
        <f>IF(A3196="","",'Employees'!F18)</f>
        <v/>
      </c>
    </row>
    <row r="3197">
      <c r="A3197">
        <f>IF(AND('Skill Matrix'!A205&lt;&gt;"",'Skill Matrix'!P5&lt;&gt;""),'Skill Matrix'!A205,"")</f>
        <v/>
      </c>
      <c r="B3197">
        <f>IF(A3197="","",'Employees'!C18)</f>
        <v/>
      </c>
      <c r="C3197">
        <f>IF(A3197="","",'Employees'!D18)</f>
        <v/>
      </c>
      <c r="D3197">
        <f>IF(A3197="","",'Skill Matrix'!C205)</f>
        <v/>
      </c>
      <c r="E3197">
        <f>IF(A3197="","",'Skill Matrix'!D205)</f>
        <v/>
      </c>
      <c r="F3197">
        <f>IF(AND('Skill Matrix'!A205&lt;&gt;"",'Skill Matrix'!P5&lt;&gt;""),'Skill Matrix'!P5,"")</f>
        <v/>
      </c>
      <c r="G3197">
        <f>IF(OR(A3197="",'Skill Matrix'!P205=""),"",'Skill Matrix'!P205)</f>
        <v/>
      </c>
      <c r="H3197">
        <f>IF(A3197="","",'Employees'!F18)</f>
        <v/>
      </c>
    </row>
    <row r="3198">
      <c r="A3198">
        <f>IF(AND('Skill Matrix'!A205&lt;&gt;"",'Skill Matrix'!Q5&lt;&gt;""),'Skill Matrix'!A205,"")</f>
        <v/>
      </c>
      <c r="B3198">
        <f>IF(A3198="","",'Employees'!C18)</f>
        <v/>
      </c>
      <c r="C3198">
        <f>IF(A3198="","",'Employees'!D18)</f>
        <v/>
      </c>
      <c r="D3198">
        <f>IF(A3198="","",'Skill Matrix'!C205)</f>
        <v/>
      </c>
      <c r="E3198">
        <f>IF(A3198="","",'Skill Matrix'!D205)</f>
        <v/>
      </c>
      <c r="F3198">
        <f>IF(AND('Skill Matrix'!A205&lt;&gt;"",'Skill Matrix'!Q5&lt;&gt;""),'Skill Matrix'!Q5,"")</f>
        <v/>
      </c>
      <c r="G3198">
        <f>IF(OR(A3198="",'Skill Matrix'!Q205=""),"",'Skill Matrix'!Q205)</f>
        <v/>
      </c>
      <c r="H3198">
        <f>IF(A3198="","",'Employees'!F18)</f>
        <v/>
      </c>
    </row>
    <row r="3199">
      <c r="A3199">
        <f>IF(AND('Skill Matrix'!A205&lt;&gt;"",'Skill Matrix'!R5&lt;&gt;""),'Skill Matrix'!A205,"")</f>
        <v/>
      </c>
      <c r="B3199">
        <f>IF(A3199="","",'Employees'!C18)</f>
        <v/>
      </c>
      <c r="C3199">
        <f>IF(A3199="","",'Employees'!D18)</f>
        <v/>
      </c>
      <c r="D3199">
        <f>IF(A3199="","",'Skill Matrix'!C205)</f>
        <v/>
      </c>
      <c r="E3199">
        <f>IF(A3199="","",'Skill Matrix'!D205)</f>
        <v/>
      </c>
      <c r="F3199">
        <f>IF(AND('Skill Matrix'!A205&lt;&gt;"",'Skill Matrix'!R5&lt;&gt;""),'Skill Matrix'!R5,"")</f>
        <v/>
      </c>
      <c r="G3199">
        <f>IF(OR(A3199="",'Skill Matrix'!R205=""),"",'Skill Matrix'!R205)</f>
        <v/>
      </c>
      <c r="H3199">
        <f>IF(A3199="","",'Employees'!F18)</f>
        <v/>
      </c>
    </row>
    <row r="3200">
      <c r="A3200">
        <f>IF(AND('Skill Matrix'!A205&lt;&gt;"",'Skill Matrix'!S5&lt;&gt;""),'Skill Matrix'!A205,"")</f>
        <v/>
      </c>
      <c r="B3200">
        <f>IF(A3200="","",'Employees'!C18)</f>
        <v/>
      </c>
      <c r="C3200">
        <f>IF(A3200="","",'Employees'!D18)</f>
        <v/>
      </c>
      <c r="D3200">
        <f>IF(A3200="","",'Skill Matrix'!C205)</f>
        <v/>
      </c>
      <c r="E3200">
        <f>IF(A3200="","",'Skill Matrix'!D205)</f>
        <v/>
      </c>
      <c r="F3200">
        <f>IF(AND('Skill Matrix'!A205&lt;&gt;"",'Skill Matrix'!S5&lt;&gt;""),'Skill Matrix'!S5,"")</f>
        <v/>
      </c>
      <c r="G3200">
        <f>IF(OR(A3200="",'Skill Matrix'!S205=""),"",'Skill Matrix'!S205)</f>
        <v/>
      </c>
      <c r="H3200">
        <f>IF(A3200="","",'Employees'!F18)</f>
        <v/>
      </c>
    </row>
    <row r="3201">
      <c r="A3201">
        <f>IF(AND('Skill Matrix'!A205&lt;&gt;"",'Skill Matrix'!T5&lt;&gt;""),'Skill Matrix'!A205,"")</f>
        <v/>
      </c>
      <c r="B3201">
        <f>IF(A3201="","",'Employees'!C18)</f>
        <v/>
      </c>
      <c r="C3201">
        <f>IF(A3201="","",'Employees'!D18)</f>
        <v/>
      </c>
      <c r="D3201">
        <f>IF(A3201="","",'Skill Matrix'!C205)</f>
        <v/>
      </c>
      <c r="E3201">
        <f>IF(A3201="","",'Skill Matrix'!D205)</f>
        <v/>
      </c>
      <c r="F3201">
        <f>IF(AND('Skill Matrix'!A205&lt;&gt;"",'Skill Matrix'!T5&lt;&gt;""),'Skill Matrix'!T5,"")</f>
        <v/>
      </c>
      <c r="G3201">
        <f>IF(OR(A3201="",'Skill Matrix'!T205=""),"",'Skill Matrix'!T205)</f>
        <v/>
      </c>
      <c r="H3201">
        <f>IF(A3201="","",'Employees'!F18)</f>
        <v/>
      </c>
    </row>
    <row r="3202">
      <c r="A3202">
        <f>IF(AND('Skill Matrix'!A206&lt;&gt;"",'Skill Matrix'!E5&lt;&gt;""),'Skill Matrix'!A206,"")</f>
        <v/>
      </c>
      <c r="B3202">
        <f>IF(A3202="","",'Employees'!C18)</f>
        <v/>
      </c>
      <c r="C3202">
        <f>IF(A3202="","",'Employees'!D18)</f>
        <v/>
      </c>
      <c r="D3202">
        <f>IF(A3202="","",'Skill Matrix'!C206)</f>
        <v/>
      </c>
      <c r="E3202">
        <f>IF(A3202="","",'Skill Matrix'!D206)</f>
        <v/>
      </c>
      <c r="F3202">
        <f>IF(AND('Skill Matrix'!A206&lt;&gt;"",'Skill Matrix'!E5&lt;&gt;""),'Skill Matrix'!E5,"")</f>
        <v/>
      </c>
      <c r="G3202">
        <f>IF(OR(A3202="",'Skill Matrix'!E206=""),"",'Skill Matrix'!E206)</f>
        <v/>
      </c>
      <c r="H3202">
        <f>IF(A3202="","",'Employees'!F18)</f>
        <v/>
      </c>
    </row>
    <row r="3203">
      <c r="A3203">
        <f>IF(AND('Skill Matrix'!A206&lt;&gt;"",'Skill Matrix'!F5&lt;&gt;""),'Skill Matrix'!A206,"")</f>
        <v/>
      </c>
      <c r="B3203">
        <f>IF(A3203="","",'Employees'!C18)</f>
        <v/>
      </c>
      <c r="C3203">
        <f>IF(A3203="","",'Employees'!D18)</f>
        <v/>
      </c>
      <c r="D3203">
        <f>IF(A3203="","",'Skill Matrix'!C206)</f>
        <v/>
      </c>
      <c r="E3203">
        <f>IF(A3203="","",'Skill Matrix'!D206)</f>
        <v/>
      </c>
      <c r="F3203">
        <f>IF(AND('Skill Matrix'!A206&lt;&gt;"",'Skill Matrix'!F5&lt;&gt;""),'Skill Matrix'!F5,"")</f>
        <v/>
      </c>
      <c r="G3203">
        <f>IF(OR(A3203="",'Skill Matrix'!F206=""),"",'Skill Matrix'!F206)</f>
        <v/>
      </c>
      <c r="H3203">
        <f>IF(A3203="","",'Employees'!F18)</f>
        <v/>
      </c>
    </row>
    <row r="3204">
      <c r="A3204">
        <f>IF(AND('Skill Matrix'!A206&lt;&gt;"",'Skill Matrix'!G5&lt;&gt;""),'Skill Matrix'!A206,"")</f>
        <v/>
      </c>
      <c r="B3204">
        <f>IF(A3204="","",'Employees'!C18)</f>
        <v/>
      </c>
      <c r="C3204">
        <f>IF(A3204="","",'Employees'!D18)</f>
        <v/>
      </c>
      <c r="D3204">
        <f>IF(A3204="","",'Skill Matrix'!C206)</f>
        <v/>
      </c>
      <c r="E3204">
        <f>IF(A3204="","",'Skill Matrix'!D206)</f>
        <v/>
      </c>
      <c r="F3204">
        <f>IF(AND('Skill Matrix'!A206&lt;&gt;"",'Skill Matrix'!G5&lt;&gt;""),'Skill Matrix'!G5,"")</f>
        <v/>
      </c>
      <c r="G3204">
        <f>IF(OR(A3204="",'Skill Matrix'!G206=""),"",'Skill Matrix'!G206)</f>
        <v/>
      </c>
      <c r="H3204">
        <f>IF(A3204="","",'Employees'!F18)</f>
        <v/>
      </c>
    </row>
    <row r="3205">
      <c r="A3205">
        <f>IF(AND('Skill Matrix'!A206&lt;&gt;"",'Skill Matrix'!H5&lt;&gt;""),'Skill Matrix'!A206,"")</f>
        <v/>
      </c>
      <c r="B3205">
        <f>IF(A3205="","",'Employees'!C18)</f>
        <v/>
      </c>
      <c r="C3205">
        <f>IF(A3205="","",'Employees'!D18)</f>
        <v/>
      </c>
      <c r="D3205">
        <f>IF(A3205="","",'Skill Matrix'!C206)</f>
        <v/>
      </c>
      <c r="E3205">
        <f>IF(A3205="","",'Skill Matrix'!D206)</f>
        <v/>
      </c>
      <c r="F3205">
        <f>IF(AND('Skill Matrix'!A206&lt;&gt;"",'Skill Matrix'!H5&lt;&gt;""),'Skill Matrix'!H5,"")</f>
        <v/>
      </c>
      <c r="G3205">
        <f>IF(OR(A3205="",'Skill Matrix'!H206=""),"",'Skill Matrix'!H206)</f>
        <v/>
      </c>
      <c r="H3205">
        <f>IF(A3205="","",'Employees'!F18)</f>
        <v/>
      </c>
    </row>
    <row r="3206">
      <c r="A3206">
        <f>IF(AND('Skill Matrix'!A206&lt;&gt;"",'Skill Matrix'!I5&lt;&gt;""),'Skill Matrix'!A206,"")</f>
        <v/>
      </c>
      <c r="B3206">
        <f>IF(A3206="","",'Employees'!C18)</f>
        <v/>
      </c>
      <c r="C3206">
        <f>IF(A3206="","",'Employees'!D18)</f>
        <v/>
      </c>
      <c r="D3206">
        <f>IF(A3206="","",'Skill Matrix'!C206)</f>
        <v/>
      </c>
      <c r="E3206">
        <f>IF(A3206="","",'Skill Matrix'!D206)</f>
        <v/>
      </c>
      <c r="F3206">
        <f>IF(AND('Skill Matrix'!A206&lt;&gt;"",'Skill Matrix'!I5&lt;&gt;""),'Skill Matrix'!I5,"")</f>
        <v/>
      </c>
      <c r="G3206">
        <f>IF(OR(A3206="",'Skill Matrix'!I206=""),"",'Skill Matrix'!I206)</f>
        <v/>
      </c>
      <c r="H3206">
        <f>IF(A3206="","",'Employees'!F18)</f>
        <v/>
      </c>
    </row>
    <row r="3207">
      <c r="A3207">
        <f>IF(AND('Skill Matrix'!A206&lt;&gt;"",'Skill Matrix'!J5&lt;&gt;""),'Skill Matrix'!A206,"")</f>
        <v/>
      </c>
      <c r="B3207">
        <f>IF(A3207="","",'Employees'!C18)</f>
        <v/>
      </c>
      <c r="C3207">
        <f>IF(A3207="","",'Employees'!D18)</f>
        <v/>
      </c>
      <c r="D3207">
        <f>IF(A3207="","",'Skill Matrix'!C206)</f>
        <v/>
      </c>
      <c r="E3207">
        <f>IF(A3207="","",'Skill Matrix'!D206)</f>
        <v/>
      </c>
      <c r="F3207">
        <f>IF(AND('Skill Matrix'!A206&lt;&gt;"",'Skill Matrix'!J5&lt;&gt;""),'Skill Matrix'!J5,"")</f>
        <v/>
      </c>
      <c r="G3207">
        <f>IF(OR(A3207="",'Skill Matrix'!J206=""),"",'Skill Matrix'!J206)</f>
        <v/>
      </c>
      <c r="H3207">
        <f>IF(A3207="","",'Employees'!F18)</f>
        <v/>
      </c>
    </row>
    <row r="3208">
      <c r="A3208">
        <f>IF(AND('Skill Matrix'!A206&lt;&gt;"",'Skill Matrix'!K5&lt;&gt;""),'Skill Matrix'!A206,"")</f>
        <v/>
      </c>
      <c r="B3208">
        <f>IF(A3208="","",'Employees'!C18)</f>
        <v/>
      </c>
      <c r="C3208">
        <f>IF(A3208="","",'Employees'!D18)</f>
        <v/>
      </c>
      <c r="D3208">
        <f>IF(A3208="","",'Skill Matrix'!C206)</f>
        <v/>
      </c>
      <c r="E3208">
        <f>IF(A3208="","",'Skill Matrix'!D206)</f>
        <v/>
      </c>
      <c r="F3208">
        <f>IF(AND('Skill Matrix'!A206&lt;&gt;"",'Skill Matrix'!K5&lt;&gt;""),'Skill Matrix'!K5,"")</f>
        <v/>
      </c>
      <c r="G3208">
        <f>IF(OR(A3208="",'Skill Matrix'!K206=""),"",'Skill Matrix'!K206)</f>
        <v/>
      </c>
      <c r="H3208">
        <f>IF(A3208="","",'Employees'!F18)</f>
        <v/>
      </c>
    </row>
    <row r="3209">
      <c r="A3209">
        <f>IF(AND('Skill Matrix'!A206&lt;&gt;"",'Skill Matrix'!L5&lt;&gt;""),'Skill Matrix'!A206,"")</f>
        <v/>
      </c>
      <c r="B3209">
        <f>IF(A3209="","",'Employees'!C18)</f>
        <v/>
      </c>
      <c r="C3209">
        <f>IF(A3209="","",'Employees'!D18)</f>
        <v/>
      </c>
      <c r="D3209">
        <f>IF(A3209="","",'Skill Matrix'!C206)</f>
        <v/>
      </c>
      <c r="E3209">
        <f>IF(A3209="","",'Skill Matrix'!D206)</f>
        <v/>
      </c>
      <c r="F3209">
        <f>IF(AND('Skill Matrix'!A206&lt;&gt;"",'Skill Matrix'!L5&lt;&gt;""),'Skill Matrix'!L5,"")</f>
        <v/>
      </c>
      <c r="G3209">
        <f>IF(OR(A3209="",'Skill Matrix'!L206=""),"",'Skill Matrix'!L206)</f>
        <v/>
      </c>
      <c r="H3209">
        <f>IF(A3209="","",'Employees'!F18)</f>
        <v/>
      </c>
    </row>
    <row r="3210">
      <c r="A3210">
        <f>IF(AND('Skill Matrix'!A206&lt;&gt;"",'Skill Matrix'!M5&lt;&gt;""),'Skill Matrix'!A206,"")</f>
        <v/>
      </c>
      <c r="B3210">
        <f>IF(A3210="","",'Employees'!C18)</f>
        <v/>
      </c>
      <c r="C3210">
        <f>IF(A3210="","",'Employees'!D18)</f>
        <v/>
      </c>
      <c r="D3210">
        <f>IF(A3210="","",'Skill Matrix'!C206)</f>
        <v/>
      </c>
      <c r="E3210">
        <f>IF(A3210="","",'Skill Matrix'!D206)</f>
        <v/>
      </c>
      <c r="F3210">
        <f>IF(AND('Skill Matrix'!A206&lt;&gt;"",'Skill Matrix'!M5&lt;&gt;""),'Skill Matrix'!M5,"")</f>
        <v/>
      </c>
      <c r="G3210">
        <f>IF(OR(A3210="",'Skill Matrix'!M206=""),"",'Skill Matrix'!M206)</f>
        <v/>
      </c>
      <c r="H3210">
        <f>IF(A3210="","",'Employees'!F18)</f>
        <v/>
      </c>
    </row>
    <row r="3211">
      <c r="A3211">
        <f>IF(AND('Skill Matrix'!A206&lt;&gt;"",'Skill Matrix'!N5&lt;&gt;""),'Skill Matrix'!A206,"")</f>
        <v/>
      </c>
      <c r="B3211">
        <f>IF(A3211="","",'Employees'!C18)</f>
        <v/>
      </c>
      <c r="C3211">
        <f>IF(A3211="","",'Employees'!D18)</f>
        <v/>
      </c>
      <c r="D3211">
        <f>IF(A3211="","",'Skill Matrix'!C206)</f>
        <v/>
      </c>
      <c r="E3211">
        <f>IF(A3211="","",'Skill Matrix'!D206)</f>
        <v/>
      </c>
      <c r="F3211">
        <f>IF(AND('Skill Matrix'!A206&lt;&gt;"",'Skill Matrix'!N5&lt;&gt;""),'Skill Matrix'!N5,"")</f>
        <v/>
      </c>
      <c r="G3211">
        <f>IF(OR(A3211="",'Skill Matrix'!N206=""),"",'Skill Matrix'!N206)</f>
        <v/>
      </c>
      <c r="H3211">
        <f>IF(A3211="","",'Employees'!F18)</f>
        <v/>
      </c>
    </row>
    <row r="3212">
      <c r="A3212">
        <f>IF(AND('Skill Matrix'!A206&lt;&gt;"",'Skill Matrix'!O5&lt;&gt;""),'Skill Matrix'!A206,"")</f>
        <v/>
      </c>
      <c r="B3212">
        <f>IF(A3212="","",'Employees'!C18)</f>
        <v/>
      </c>
      <c r="C3212">
        <f>IF(A3212="","",'Employees'!D18)</f>
        <v/>
      </c>
      <c r="D3212">
        <f>IF(A3212="","",'Skill Matrix'!C206)</f>
        <v/>
      </c>
      <c r="E3212">
        <f>IF(A3212="","",'Skill Matrix'!D206)</f>
        <v/>
      </c>
      <c r="F3212">
        <f>IF(AND('Skill Matrix'!A206&lt;&gt;"",'Skill Matrix'!O5&lt;&gt;""),'Skill Matrix'!O5,"")</f>
        <v/>
      </c>
      <c r="G3212">
        <f>IF(OR(A3212="",'Skill Matrix'!O206=""),"",'Skill Matrix'!O206)</f>
        <v/>
      </c>
      <c r="H3212">
        <f>IF(A3212="","",'Employees'!F18)</f>
        <v/>
      </c>
    </row>
    <row r="3213">
      <c r="A3213">
        <f>IF(AND('Skill Matrix'!A206&lt;&gt;"",'Skill Matrix'!P5&lt;&gt;""),'Skill Matrix'!A206,"")</f>
        <v/>
      </c>
      <c r="B3213">
        <f>IF(A3213="","",'Employees'!C18)</f>
        <v/>
      </c>
      <c r="C3213">
        <f>IF(A3213="","",'Employees'!D18)</f>
        <v/>
      </c>
      <c r="D3213">
        <f>IF(A3213="","",'Skill Matrix'!C206)</f>
        <v/>
      </c>
      <c r="E3213">
        <f>IF(A3213="","",'Skill Matrix'!D206)</f>
        <v/>
      </c>
      <c r="F3213">
        <f>IF(AND('Skill Matrix'!A206&lt;&gt;"",'Skill Matrix'!P5&lt;&gt;""),'Skill Matrix'!P5,"")</f>
        <v/>
      </c>
      <c r="G3213">
        <f>IF(OR(A3213="",'Skill Matrix'!P206=""),"",'Skill Matrix'!P206)</f>
        <v/>
      </c>
      <c r="H3213">
        <f>IF(A3213="","",'Employees'!F18)</f>
        <v/>
      </c>
    </row>
    <row r="3214">
      <c r="A3214">
        <f>IF(AND('Skill Matrix'!A206&lt;&gt;"",'Skill Matrix'!Q5&lt;&gt;""),'Skill Matrix'!A206,"")</f>
        <v/>
      </c>
      <c r="B3214">
        <f>IF(A3214="","",'Employees'!C18)</f>
        <v/>
      </c>
      <c r="C3214">
        <f>IF(A3214="","",'Employees'!D18)</f>
        <v/>
      </c>
      <c r="D3214">
        <f>IF(A3214="","",'Skill Matrix'!C206)</f>
        <v/>
      </c>
      <c r="E3214">
        <f>IF(A3214="","",'Skill Matrix'!D206)</f>
        <v/>
      </c>
      <c r="F3214">
        <f>IF(AND('Skill Matrix'!A206&lt;&gt;"",'Skill Matrix'!Q5&lt;&gt;""),'Skill Matrix'!Q5,"")</f>
        <v/>
      </c>
      <c r="G3214">
        <f>IF(OR(A3214="",'Skill Matrix'!Q206=""),"",'Skill Matrix'!Q206)</f>
        <v/>
      </c>
      <c r="H3214">
        <f>IF(A3214="","",'Employees'!F18)</f>
        <v/>
      </c>
    </row>
    <row r="3215">
      <c r="A3215">
        <f>IF(AND('Skill Matrix'!A206&lt;&gt;"",'Skill Matrix'!R5&lt;&gt;""),'Skill Matrix'!A206,"")</f>
        <v/>
      </c>
      <c r="B3215">
        <f>IF(A3215="","",'Employees'!C18)</f>
        <v/>
      </c>
      <c r="C3215">
        <f>IF(A3215="","",'Employees'!D18)</f>
        <v/>
      </c>
      <c r="D3215">
        <f>IF(A3215="","",'Skill Matrix'!C206)</f>
        <v/>
      </c>
      <c r="E3215">
        <f>IF(A3215="","",'Skill Matrix'!D206)</f>
        <v/>
      </c>
      <c r="F3215">
        <f>IF(AND('Skill Matrix'!A206&lt;&gt;"",'Skill Matrix'!R5&lt;&gt;""),'Skill Matrix'!R5,"")</f>
        <v/>
      </c>
      <c r="G3215">
        <f>IF(OR(A3215="",'Skill Matrix'!R206=""),"",'Skill Matrix'!R206)</f>
        <v/>
      </c>
      <c r="H3215">
        <f>IF(A3215="","",'Employees'!F18)</f>
        <v/>
      </c>
    </row>
    <row r="3216">
      <c r="A3216">
        <f>IF(AND('Skill Matrix'!A206&lt;&gt;"",'Skill Matrix'!S5&lt;&gt;""),'Skill Matrix'!A206,"")</f>
        <v/>
      </c>
      <c r="B3216">
        <f>IF(A3216="","",'Employees'!C18)</f>
        <v/>
      </c>
      <c r="C3216">
        <f>IF(A3216="","",'Employees'!D18)</f>
        <v/>
      </c>
      <c r="D3216">
        <f>IF(A3216="","",'Skill Matrix'!C206)</f>
        <v/>
      </c>
      <c r="E3216">
        <f>IF(A3216="","",'Skill Matrix'!D206)</f>
        <v/>
      </c>
      <c r="F3216">
        <f>IF(AND('Skill Matrix'!A206&lt;&gt;"",'Skill Matrix'!S5&lt;&gt;""),'Skill Matrix'!S5,"")</f>
        <v/>
      </c>
      <c r="G3216">
        <f>IF(OR(A3216="",'Skill Matrix'!S206=""),"",'Skill Matrix'!S206)</f>
        <v/>
      </c>
      <c r="H3216">
        <f>IF(A3216="","",'Employees'!F18)</f>
        <v/>
      </c>
    </row>
    <row r="3217">
      <c r="A3217">
        <f>IF(AND('Skill Matrix'!A206&lt;&gt;"",'Skill Matrix'!T5&lt;&gt;""),'Skill Matrix'!A206,"")</f>
        <v/>
      </c>
      <c r="B3217">
        <f>IF(A3217="","",'Employees'!C18)</f>
        <v/>
      </c>
      <c r="C3217">
        <f>IF(A3217="","",'Employees'!D18)</f>
        <v/>
      </c>
      <c r="D3217">
        <f>IF(A3217="","",'Skill Matrix'!C206)</f>
        <v/>
      </c>
      <c r="E3217">
        <f>IF(A3217="","",'Skill Matrix'!D206)</f>
        <v/>
      </c>
      <c r="F3217">
        <f>IF(AND('Skill Matrix'!A206&lt;&gt;"",'Skill Matrix'!T5&lt;&gt;""),'Skill Matrix'!T5,"")</f>
        <v/>
      </c>
      <c r="G3217">
        <f>IF(OR(A3217="",'Skill Matrix'!T206=""),"",'Skill Matrix'!T206)</f>
        <v/>
      </c>
      <c r="H3217">
        <f>IF(A3217="","",'Employees'!F18)</f>
        <v/>
      </c>
    </row>
    <row r="3218">
      <c r="A3218">
        <f>IF(AND('Skill Matrix'!A207&lt;&gt;"",'Skill Matrix'!E5&lt;&gt;""),'Skill Matrix'!A207,"")</f>
        <v/>
      </c>
      <c r="B3218">
        <f>IF(A3218="","",'Employees'!C18)</f>
        <v/>
      </c>
      <c r="C3218">
        <f>IF(A3218="","",'Employees'!D18)</f>
        <v/>
      </c>
      <c r="D3218">
        <f>IF(A3218="","",'Skill Matrix'!C207)</f>
        <v/>
      </c>
      <c r="E3218">
        <f>IF(A3218="","",'Skill Matrix'!D207)</f>
        <v/>
      </c>
      <c r="F3218">
        <f>IF(AND('Skill Matrix'!A207&lt;&gt;"",'Skill Matrix'!E5&lt;&gt;""),'Skill Matrix'!E5,"")</f>
        <v/>
      </c>
      <c r="G3218">
        <f>IF(OR(A3218="",'Skill Matrix'!E207=""),"",'Skill Matrix'!E207)</f>
        <v/>
      </c>
      <c r="H3218">
        <f>IF(A3218="","",'Employees'!F18)</f>
        <v/>
      </c>
    </row>
    <row r="3219">
      <c r="A3219">
        <f>IF(AND('Skill Matrix'!A207&lt;&gt;"",'Skill Matrix'!F5&lt;&gt;""),'Skill Matrix'!A207,"")</f>
        <v/>
      </c>
      <c r="B3219">
        <f>IF(A3219="","",'Employees'!C18)</f>
        <v/>
      </c>
      <c r="C3219">
        <f>IF(A3219="","",'Employees'!D18)</f>
        <v/>
      </c>
      <c r="D3219">
        <f>IF(A3219="","",'Skill Matrix'!C207)</f>
        <v/>
      </c>
      <c r="E3219">
        <f>IF(A3219="","",'Skill Matrix'!D207)</f>
        <v/>
      </c>
      <c r="F3219">
        <f>IF(AND('Skill Matrix'!A207&lt;&gt;"",'Skill Matrix'!F5&lt;&gt;""),'Skill Matrix'!F5,"")</f>
        <v/>
      </c>
      <c r="G3219">
        <f>IF(OR(A3219="",'Skill Matrix'!F207=""),"",'Skill Matrix'!F207)</f>
        <v/>
      </c>
      <c r="H3219">
        <f>IF(A3219="","",'Employees'!F18)</f>
        <v/>
      </c>
    </row>
    <row r="3220">
      <c r="A3220">
        <f>IF(AND('Skill Matrix'!A207&lt;&gt;"",'Skill Matrix'!G5&lt;&gt;""),'Skill Matrix'!A207,"")</f>
        <v/>
      </c>
      <c r="B3220">
        <f>IF(A3220="","",'Employees'!C18)</f>
        <v/>
      </c>
      <c r="C3220">
        <f>IF(A3220="","",'Employees'!D18)</f>
        <v/>
      </c>
      <c r="D3220">
        <f>IF(A3220="","",'Skill Matrix'!C207)</f>
        <v/>
      </c>
      <c r="E3220">
        <f>IF(A3220="","",'Skill Matrix'!D207)</f>
        <v/>
      </c>
      <c r="F3220">
        <f>IF(AND('Skill Matrix'!A207&lt;&gt;"",'Skill Matrix'!G5&lt;&gt;""),'Skill Matrix'!G5,"")</f>
        <v/>
      </c>
      <c r="G3220">
        <f>IF(OR(A3220="",'Skill Matrix'!G207=""),"",'Skill Matrix'!G207)</f>
        <v/>
      </c>
      <c r="H3220">
        <f>IF(A3220="","",'Employees'!F18)</f>
        <v/>
      </c>
    </row>
    <row r="3221">
      <c r="A3221">
        <f>IF(AND('Skill Matrix'!A207&lt;&gt;"",'Skill Matrix'!H5&lt;&gt;""),'Skill Matrix'!A207,"")</f>
        <v/>
      </c>
      <c r="B3221">
        <f>IF(A3221="","",'Employees'!C18)</f>
        <v/>
      </c>
      <c r="C3221">
        <f>IF(A3221="","",'Employees'!D18)</f>
        <v/>
      </c>
      <c r="D3221">
        <f>IF(A3221="","",'Skill Matrix'!C207)</f>
        <v/>
      </c>
      <c r="E3221">
        <f>IF(A3221="","",'Skill Matrix'!D207)</f>
        <v/>
      </c>
      <c r="F3221">
        <f>IF(AND('Skill Matrix'!A207&lt;&gt;"",'Skill Matrix'!H5&lt;&gt;""),'Skill Matrix'!H5,"")</f>
        <v/>
      </c>
      <c r="G3221">
        <f>IF(OR(A3221="",'Skill Matrix'!H207=""),"",'Skill Matrix'!H207)</f>
        <v/>
      </c>
      <c r="H3221">
        <f>IF(A3221="","",'Employees'!F18)</f>
        <v/>
      </c>
    </row>
    <row r="3222">
      <c r="A3222">
        <f>IF(AND('Skill Matrix'!A207&lt;&gt;"",'Skill Matrix'!I5&lt;&gt;""),'Skill Matrix'!A207,"")</f>
        <v/>
      </c>
      <c r="B3222">
        <f>IF(A3222="","",'Employees'!C18)</f>
        <v/>
      </c>
      <c r="C3222">
        <f>IF(A3222="","",'Employees'!D18)</f>
        <v/>
      </c>
      <c r="D3222">
        <f>IF(A3222="","",'Skill Matrix'!C207)</f>
        <v/>
      </c>
      <c r="E3222">
        <f>IF(A3222="","",'Skill Matrix'!D207)</f>
        <v/>
      </c>
      <c r="F3222">
        <f>IF(AND('Skill Matrix'!A207&lt;&gt;"",'Skill Matrix'!I5&lt;&gt;""),'Skill Matrix'!I5,"")</f>
        <v/>
      </c>
      <c r="G3222">
        <f>IF(OR(A3222="",'Skill Matrix'!I207=""),"",'Skill Matrix'!I207)</f>
        <v/>
      </c>
      <c r="H3222">
        <f>IF(A3222="","",'Employees'!F18)</f>
        <v/>
      </c>
    </row>
    <row r="3223">
      <c r="A3223">
        <f>IF(AND('Skill Matrix'!A207&lt;&gt;"",'Skill Matrix'!J5&lt;&gt;""),'Skill Matrix'!A207,"")</f>
        <v/>
      </c>
      <c r="B3223">
        <f>IF(A3223="","",'Employees'!C18)</f>
        <v/>
      </c>
      <c r="C3223">
        <f>IF(A3223="","",'Employees'!D18)</f>
        <v/>
      </c>
      <c r="D3223">
        <f>IF(A3223="","",'Skill Matrix'!C207)</f>
        <v/>
      </c>
      <c r="E3223">
        <f>IF(A3223="","",'Skill Matrix'!D207)</f>
        <v/>
      </c>
      <c r="F3223">
        <f>IF(AND('Skill Matrix'!A207&lt;&gt;"",'Skill Matrix'!J5&lt;&gt;""),'Skill Matrix'!J5,"")</f>
        <v/>
      </c>
      <c r="G3223">
        <f>IF(OR(A3223="",'Skill Matrix'!J207=""),"",'Skill Matrix'!J207)</f>
        <v/>
      </c>
      <c r="H3223">
        <f>IF(A3223="","",'Employees'!F18)</f>
        <v/>
      </c>
    </row>
    <row r="3224">
      <c r="A3224">
        <f>IF(AND('Skill Matrix'!A207&lt;&gt;"",'Skill Matrix'!K5&lt;&gt;""),'Skill Matrix'!A207,"")</f>
        <v/>
      </c>
      <c r="B3224">
        <f>IF(A3224="","",'Employees'!C18)</f>
        <v/>
      </c>
      <c r="C3224">
        <f>IF(A3224="","",'Employees'!D18)</f>
        <v/>
      </c>
      <c r="D3224">
        <f>IF(A3224="","",'Skill Matrix'!C207)</f>
        <v/>
      </c>
      <c r="E3224">
        <f>IF(A3224="","",'Skill Matrix'!D207)</f>
        <v/>
      </c>
      <c r="F3224">
        <f>IF(AND('Skill Matrix'!A207&lt;&gt;"",'Skill Matrix'!K5&lt;&gt;""),'Skill Matrix'!K5,"")</f>
        <v/>
      </c>
      <c r="G3224">
        <f>IF(OR(A3224="",'Skill Matrix'!K207=""),"",'Skill Matrix'!K207)</f>
        <v/>
      </c>
      <c r="H3224">
        <f>IF(A3224="","",'Employees'!F18)</f>
        <v/>
      </c>
    </row>
    <row r="3225">
      <c r="A3225">
        <f>IF(AND('Skill Matrix'!A207&lt;&gt;"",'Skill Matrix'!L5&lt;&gt;""),'Skill Matrix'!A207,"")</f>
        <v/>
      </c>
      <c r="B3225">
        <f>IF(A3225="","",'Employees'!C18)</f>
        <v/>
      </c>
      <c r="C3225">
        <f>IF(A3225="","",'Employees'!D18)</f>
        <v/>
      </c>
      <c r="D3225">
        <f>IF(A3225="","",'Skill Matrix'!C207)</f>
        <v/>
      </c>
      <c r="E3225">
        <f>IF(A3225="","",'Skill Matrix'!D207)</f>
        <v/>
      </c>
      <c r="F3225">
        <f>IF(AND('Skill Matrix'!A207&lt;&gt;"",'Skill Matrix'!L5&lt;&gt;""),'Skill Matrix'!L5,"")</f>
        <v/>
      </c>
      <c r="G3225">
        <f>IF(OR(A3225="",'Skill Matrix'!L207=""),"",'Skill Matrix'!L207)</f>
        <v/>
      </c>
      <c r="H3225">
        <f>IF(A3225="","",'Employees'!F18)</f>
        <v/>
      </c>
    </row>
    <row r="3226">
      <c r="A3226">
        <f>IF(AND('Skill Matrix'!A207&lt;&gt;"",'Skill Matrix'!M5&lt;&gt;""),'Skill Matrix'!A207,"")</f>
        <v/>
      </c>
      <c r="B3226">
        <f>IF(A3226="","",'Employees'!C18)</f>
        <v/>
      </c>
      <c r="C3226">
        <f>IF(A3226="","",'Employees'!D18)</f>
        <v/>
      </c>
      <c r="D3226">
        <f>IF(A3226="","",'Skill Matrix'!C207)</f>
        <v/>
      </c>
      <c r="E3226">
        <f>IF(A3226="","",'Skill Matrix'!D207)</f>
        <v/>
      </c>
      <c r="F3226">
        <f>IF(AND('Skill Matrix'!A207&lt;&gt;"",'Skill Matrix'!M5&lt;&gt;""),'Skill Matrix'!M5,"")</f>
        <v/>
      </c>
      <c r="G3226">
        <f>IF(OR(A3226="",'Skill Matrix'!M207=""),"",'Skill Matrix'!M207)</f>
        <v/>
      </c>
      <c r="H3226">
        <f>IF(A3226="","",'Employees'!F18)</f>
        <v/>
      </c>
    </row>
    <row r="3227">
      <c r="A3227">
        <f>IF(AND('Skill Matrix'!A207&lt;&gt;"",'Skill Matrix'!N5&lt;&gt;""),'Skill Matrix'!A207,"")</f>
        <v/>
      </c>
      <c r="B3227">
        <f>IF(A3227="","",'Employees'!C18)</f>
        <v/>
      </c>
      <c r="C3227">
        <f>IF(A3227="","",'Employees'!D18)</f>
        <v/>
      </c>
      <c r="D3227">
        <f>IF(A3227="","",'Skill Matrix'!C207)</f>
        <v/>
      </c>
      <c r="E3227">
        <f>IF(A3227="","",'Skill Matrix'!D207)</f>
        <v/>
      </c>
      <c r="F3227">
        <f>IF(AND('Skill Matrix'!A207&lt;&gt;"",'Skill Matrix'!N5&lt;&gt;""),'Skill Matrix'!N5,"")</f>
        <v/>
      </c>
      <c r="G3227">
        <f>IF(OR(A3227="",'Skill Matrix'!N207=""),"",'Skill Matrix'!N207)</f>
        <v/>
      </c>
      <c r="H3227">
        <f>IF(A3227="","",'Employees'!F18)</f>
        <v/>
      </c>
    </row>
    <row r="3228">
      <c r="A3228">
        <f>IF(AND('Skill Matrix'!A207&lt;&gt;"",'Skill Matrix'!O5&lt;&gt;""),'Skill Matrix'!A207,"")</f>
        <v/>
      </c>
      <c r="B3228">
        <f>IF(A3228="","",'Employees'!C18)</f>
        <v/>
      </c>
      <c r="C3228">
        <f>IF(A3228="","",'Employees'!D18)</f>
        <v/>
      </c>
      <c r="D3228">
        <f>IF(A3228="","",'Skill Matrix'!C207)</f>
        <v/>
      </c>
      <c r="E3228">
        <f>IF(A3228="","",'Skill Matrix'!D207)</f>
        <v/>
      </c>
      <c r="F3228">
        <f>IF(AND('Skill Matrix'!A207&lt;&gt;"",'Skill Matrix'!O5&lt;&gt;""),'Skill Matrix'!O5,"")</f>
        <v/>
      </c>
      <c r="G3228">
        <f>IF(OR(A3228="",'Skill Matrix'!O207=""),"",'Skill Matrix'!O207)</f>
        <v/>
      </c>
      <c r="H3228">
        <f>IF(A3228="","",'Employees'!F18)</f>
        <v/>
      </c>
    </row>
    <row r="3229">
      <c r="A3229">
        <f>IF(AND('Skill Matrix'!A207&lt;&gt;"",'Skill Matrix'!P5&lt;&gt;""),'Skill Matrix'!A207,"")</f>
        <v/>
      </c>
      <c r="B3229">
        <f>IF(A3229="","",'Employees'!C18)</f>
        <v/>
      </c>
      <c r="C3229">
        <f>IF(A3229="","",'Employees'!D18)</f>
        <v/>
      </c>
      <c r="D3229">
        <f>IF(A3229="","",'Skill Matrix'!C207)</f>
        <v/>
      </c>
      <c r="E3229">
        <f>IF(A3229="","",'Skill Matrix'!D207)</f>
        <v/>
      </c>
      <c r="F3229">
        <f>IF(AND('Skill Matrix'!A207&lt;&gt;"",'Skill Matrix'!P5&lt;&gt;""),'Skill Matrix'!P5,"")</f>
        <v/>
      </c>
      <c r="G3229">
        <f>IF(OR(A3229="",'Skill Matrix'!P207=""),"",'Skill Matrix'!P207)</f>
        <v/>
      </c>
      <c r="H3229">
        <f>IF(A3229="","",'Employees'!F18)</f>
        <v/>
      </c>
    </row>
    <row r="3230">
      <c r="A3230">
        <f>IF(AND('Skill Matrix'!A207&lt;&gt;"",'Skill Matrix'!Q5&lt;&gt;""),'Skill Matrix'!A207,"")</f>
        <v/>
      </c>
      <c r="B3230">
        <f>IF(A3230="","",'Employees'!C18)</f>
        <v/>
      </c>
      <c r="C3230">
        <f>IF(A3230="","",'Employees'!D18)</f>
        <v/>
      </c>
      <c r="D3230">
        <f>IF(A3230="","",'Skill Matrix'!C207)</f>
        <v/>
      </c>
      <c r="E3230">
        <f>IF(A3230="","",'Skill Matrix'!D207)</f>
        <v/>
      </c>
      <c r="F3230">
        <f>IF(AND('Skill Matrix'!A207&lt;&gt;"",'Skill Matrix'!Q5&lt;&gt;""),'Skill Matrix'!Q5,"")</f>
        <v/>
      </c>
      <c r="G3230">
        <f>IF(OR(A3230="",'Skill Matrix'!Q207=""),"",'Skill Matrix'!Q207)</f>
        <v/>
      </c>
      <c r="H3230">
        <f>IF(A3230="","",'Employees'!F18)</f>
        <v/>
      </c>
    </row>
    <row r="3231">
      <c r="A3231">
        <f>IF(AND('Skill Matrix'!A207&lt;&gt;"",'Skill Matrix'!R5&lt;&gt;""),'Skill Matrix'!A207,"")</f>
        <v/>
      </c>
      <c r="B3231">
        <f>IF(A3231="","",'Employees'!C18)</f>
        <v/>
      </c>
      <c r="C3231">
        <f>IF(A3231="","",'Employees'!D18)</f>
        <v/>
      </c>
      <c r="D3231">
        <f>IF(A3231="","",'Skill Matrix'!C207)</f>
        <v/>
      </c>
      <c r="E3231">
        <f>IF(A3231="","",'Skill Matrix'!D207)</f>
        <v/>
      </c>
      <c r="F3231">
        <f>IF(AND('Skill Matrix'!A207&lt;&gt;"",'Skill Matrix'!R5&lt;&gt;""),'Skill Matrix'!R5,"")</f>
        <v/>
      </c>
      <c r="G3231">
        <f>IF(OR(A3231="",'Skill Matrix'!R207=""),"",'Skill Matrix'!R207)</f>
        <v/>
      </c>
      <c r="H3231">
        <f>IF(A3231="","",'Employees'!F18)</f>
        <v/>
      </c>
    </row>
    <row r="3232">
      <c r="A3232">
        <f>IF(AND('Skill Matrix'!A207&lt;&gt;"",'Skill Matrix'!S5&lt;&gt;""),'Skill Matrix'!A207,"")</f>
        <v/>
      </c>
      <c r="B3232">
        <f>IF(A3232="","",'Employees'!C18)</f>
        <v/>
      </c>
      <c r="C3232">
        <f>IF(A3232="","",'Employees'!D18)</f>
        <v/>
      </c>
      <c r="D3232">
        <f>IF(A3232="","",'Skill Matrix'!C207)</f>
        <v/>
      </c>
      <c r="E3232">
        <f>IF(A3232="","",'Skill Matrix'!D207)</f>
        <v/>
      </c>
      <c r="F3232">
        <f>IF(AND('Skill Matrix'!A207&lt;&gt;"",'Skill Matrix'!S5&lt;&gt;""),'Skill Matrix'!S5,"")</f>
        <v/>
      </c>
      <c r="G3232">
        <f>IF(OR(A3232="",'Skill Matrix'!S207=""),"",'Skill Matrix'!S207)</f>
        <v/>
      </c>
      <c r="H3232">
        <f>IF(A3232="","",'Employees'!F18)</f>
        <v/>
      </c>
    </row>
    <row r="3233">
      <c r="A3233">
        <f>IF(AND('Skill Matrix'!A207&lt;&gt;"",'Skill Matrix'!T5&lt;&gt;""),'Skill Matrix'!A207,"")</f>
        <v/>
      </c>
      <c r="B3233">
        <f>IF(A3233="","",'Employees'!C18)</f>
        <v/>
      </c>
      <c r="C3233">
        <f>IF(A3233="","",'Employees'!D18)</f>
        <v/>
      </c>
      <c r="D3233">
        <f>IF(A3233="","",'Skill Matrix'!C207)</f>
        <v/>
      </c>
      <c r="E3233">
        <f>IF(A3233="","",'Skill Matrix'!D207)</f>
        <v/>
      </c>
      <c r="F3233">
        <f>IF(AND('Skill Matrix'!A207&lt;&gt;"",'Skill Matrix'!T5&lt;&gt;""),'Skill Matrix'!T5,"")</f>
        <v/>
      </c>
      <c r="G3233">
        <f>IF(OR(A3233="",'Skill Matrix'!T207=""),"",'Skill Matrix'!T207)</f>
        <v/>
      </c>
      <c r="H3233">
        <f>IF(A3233="","",'Employees'!F18)</f>
        <v/>
      </c>
    </row>
    <row r="3234">
      <c r="A3234">
        <f>IF(AND('Skill Matrix'!A208&lt;&gt;"",'Skill Matrix'!E5&lt;&gt;""),'Skill Matrix'!A208,"")</f>
        <v/>
      </c>
      <c r="B3234">
        <f>IF(A3234="","",'Employees'!C18)</f>
        <v/>
      </c>
      <c r="C3234">
        <f>IF(A3234="","",'Employees'!D18)</f>
        <v/>
      </c>
      <c r="D3234">
        <f>IF(A3234="","",'Skill Matrix'!C208)</f>
        <v/>
      </c>
      <c r="E3234">
        <f>IF(A3234="","",'Skill Matrix'!D208)</f>
        <v/>
      </c>
      <c r="F3234">
        <f>IF(AND('Skill Matrix'!A208&lt;&gt;"",'Skill Matrix'!E5&lt;&gt;""),'Skill Matrix'!E5,"")</f>
        <v/>
      </c>
      <c r="G3234">
        <f>IF(OR(A3234="",'Skill Matrix'!E208=""),"",'Skill Matrix'!E208)</f>
        <v/>
      </c>
      <c r="H3234">
        <f>IF(A3234="","",'Employees'!F18)</f>
        <v/>
      </c>
    </row>
    <row r="3235">
      <c r="A3235">
        <f>IF(AND('Skill Matrix'!A208&lt;&gt;"",'Skill Matrix'!F5&lt;&gt;""),'Skill Matrix'!A208,"")</f>
        <v/>
      </c>
      <c r="B3235">
        <f>IF(A3235="","",'Employees'!C18)</f>
        <v/>
      </c>
      <c r="C3235">
        <f>IF(A3235="","",'Employees'!D18)</f>
        <v/>
      </c>
      <c r="D3235">
        <f>IF(A3235="","",'Skill Matrix'!C208)</f>
        <v/>
      </c>
      <c r="E3235">
        <f>IF(A3235="","",'Skill Matrix'!D208)</f>
        <v/>
      </c>
      <c r="F3235">
        <f>IF(AND('Skill Matrix'!A208&lt;&gt;"",'Skill Matrix'!F5&lt;&gt;""),'Skill Matrix'!F5,"")</f>
        <v/>
      </c>
      <c r="G3235">
        <f>IF(OR(A3235="",'Skill Matrix'!F208=""),"",'Skill Matrix'!F208)</f>
        <v/>
      </c>
      <c r="H3235">
        <f>IF(A3235="","",'Employees'!F18)</f>
        <v/>
      </c>
    </row>
    <row r="3236">
      <c r="A3236">
        <f>IF(AND('Skill Matrix'!A208&lt;&gt;"",'Skill Matrix'!G5&lt;&gt;""),'Skill Matrix'!A208,"")</f>
        <v/>
      </c>
      <c r="B3236">
        <f>IF(A3236="","",'Employees'!C18)</f>
        <v/>
      </c>
      <c r="C3236">
        <f>IF(A3236="","",'Employees'!D18)</f>
        <v/>
      </c>
      <c r="D3236">
        <f>IF(A3236="","",'Skill Matrix'!C208)</f>
        <v/>
      </c>
      <c r="E3236">
        <f>IF(A3236="","",'Skill Matrix'!D208)</f>
        <v/>
      </c>
      <c r="F3236">
        <f>IF(AND('Skill Matrix'!A208&lt;&gt;"",'Skill Matrix'!G5&lt;&gt;""),'Skill Matrix'!G5,"")</f>
        <v/>
      </c>
      <c r="G3236">
        <f>IF(OR(A3236="",'Skill Matrix'!G208=""),"",'Skill Matrix'!G208)</f>
        <v/>
      </c>
      <c r="H3236">
        <f>IF(A3236="","",'Employees'!F18)</f>
        <v/>
      </c>
    </row>
    <row r="3237">
      <c r="A3237">
        <f>IF(AND('Skill Matrix'!A208&lt;&gt;"",'Skill Matrix'!H5&lt;&gt;""),'Skill Matrix'!A208,"")</f>
        <v/>
      </c>
      <c r="B3237">
        <f>IF(A3237="","",'Employees'!C18)</f>
        <v/>
      </c>
      <c r="C3237">
        <f>IF(A3237="","",'Employees'!D18)</f>
        <v/>
      </c>
      <c r="D3237">
        <f>IF(A3237="","",'Skill Matrix'!C208)</f>
        <v/>
      </c>
      <c r="E3237">
        <f>IF(A3237="","",'Skill Matrix'!D208)</f>
        <v/>
      </c>
      <c r="F3237">
        <f>IF(AND('Skill Matrix'!A208&lt;&gt;"",'Skill Matrix'!H5&lt;&gt;""),'Skill Matrix'!H5,"")</f>
        <v/>
      </c>
      <c r="G3237">
        <f>IF(OR(A3237="",'Skill Matrix'!H208=""),"",'Skill Matrix'!H208)</f>
        <v/>
      </c>
      <c r="H3237">
        <f>IF(A3237="","",'Employees'!F18)</f>
        <v/>
      </c>
    </row>
    <row r="3238">
      <c r="A3238">
        <f>IF(AND('Skill Matrix'!A208&lt;&gt;"",'Skill Matrix'!I5&lt;&gt;""),'Skill Matrix'!A208,"")</f>
        <v/>
      </c>
      <c r="B3238">
        <f>IF(A3238="","",'Employees'!C18)</f>
        <v/>
      </c>
      <c r="C3238">
        <f>IF(A3238="","",'Employees'!D18)</f>
        <v/>
      </c>
      <c r="D3238">
        <f>IF(A3238="","",'Skill Matrix'!C208)</f>
        <v/>
      </c>
      <c r="E3238">
        <f>IF(A3238="","",'Skill Matrix'!D208)</f>
        <v/>
      </c>
      <c r="F3238">
        <f>IF(AND('Skill Matrix'!A208&lt;&gt;"",'Skill Matrix'!I5&lt;&gt;""),'Skill Matrix'!I5,"")</f>
        <v/>
      </c>
      <c r="G3238">
        <f>IF(OR(A3238="",'Skill Matrix'!I208=""),"",'Skill Matrix'!I208)</f>
        <v/>
      </c>
      <c r="H3238">
        <f>IF(A3238="","",'Employees'!F18)</f>
        <v/>
      </c>
    </row>
    <row r="3239">
      <c r="A3239">
        <f>IF(AND('Skill Matrix'!A208&lt;&gt;"",'Skill Matrix'!J5&lt;&gt;""),'Skill Matrix'!A208,"")</f>
        <v/>
      </c>
      <c r="B3239">
        <f>IF(A3239="","",'Employees'!C18)</f>
        <v/>
      </c>
      <c r="C3239">
        <f>IF(A3239="","",'Employees'!D18)</f>
        <v/>
      </c>
      <c r="D3239">
        <f>IF(A3239="","",'Skill Matrix'!C208)</f>
        <v/>
      </c>
      <c r="E3239">
        <f>IF(A3239="","",'Skill Matrix'!D208)</f>
        <v/>
      </c>
      <c r="F3239">
        <f>IF(AND('Skill Matrix'!A208&lt;&gt;"",'Skill Matrix'!J5&lt;&gt;""),'Skill Matrix'!J5,"")</f>
        <v/>
      </c>
      <c r="G3239">
        <f>IF(OR(A3239="",'Skill Matrix'!J208=""),"",'Skill Matrix'!J208)</f>
        <v/>
      </c>
      <c r="H3239">
        <f>IF(A3239="","",'Employees'!F18)</f>
        <v/>
      </c>
    </row>
    <row r="3240">
      <c r="A3240">
        <f>IF(AND('Skill Matrix'!A208&lt;&gt;"",'Skill Matrix'!K5&lt;&gt;""),'Skill Matrix'!A208,"")</f>
        <v/>
      </c>
      <c r="B3240">
        <f>IF(A3240="","",'Employees'!C18)</f>
        <v/>
      </c>
      <c r="C3240">
        <f>IF(A3240="","",'Employees'!D18)</f>
        <v/>
      </c>
      <c r="D3240">
        <f>IF(A3240="","",'Skill Matrix'!C208)</f>
        <v/>
      </c>
      <c r="E3240">
        <f>IF(A3240="","",'Skill Matrix'!D208)</f>
        <v/>
      </c>
      <c r="F3240">
        <f>IF(AND('Skill Matrix'!A208&lt;&gt;"",'Skill Matrix'!K5&lt;&gt;""),'Skill Matrix'!K5,"")</f>
        <v/>
      </c>
      <c r="G3240">
        <f>IF(OR(A3240="",'Skill Matrix'!K208=""),"",'Skill Matrix'!K208)</f>
        <v/>
      </c>
      <c r="H3240">
        <f>IF(A3240="","",'Employees'!F18)</f>
        <v/>
      </c>
    </row>
    <row r="3241">
      <c r="A3241">
        <f>IF(AND('Skill Matrix'!A208&lt;&gt;"",'Skill Matrix'!L5&lt;&gt;""),'Skill Matrix'!A208,"")</f>
        <v/>
      </c>
      <c r="B3241">
        <f>IF(A3241="","",'Employees'!C18)</f>
        <v/>
      </c>
      <c r="C3241">
        <f>IF(A3241="","",'Employees'!D18)</f>
        <v/>
      </c>
      <c r="D3241">
        <f>IF(A3241="","",'Skill Matrix'!C208)</f>
        <v/>
      </c>
      <c r="E3241">
        <f>IF(A3241="","",'Skill Matrix'!D208)</f>
        <v/>
      </c>
      <c r="F3241">
        <f>IF(AND('Skill Matrix'!A208&lt;&gt;"",'Skill Matrix'!L5&lt;&gt;""),'Skill Matrix'!L5,"")</f>
        <v/>
      </c>
      <c r="G3241">
        <f>IF(OR(A3241="",'Skill Matrix'!L208=""),"",'Skill Matrix'!L208)</f>
        <v/>
      </c>
      <c r="H3241">
        <f>IF(A3241="","",'Employees'!F18)</f>
        <v/>
      </c>
    </row>
    <row r="3242">
      <c r="A3242">
        <f>IF(AND('Skill Matrix'!A208&lt;&gt;"",'Skill Matrix'!M5&lt;&gt;""),'Skill Matrix'!A208,"")</f>
        <v/>
      </c>
      <c r="B3242">
        <f>IF(A3242="","",'Employees'!C18)</f>
        <v/>
      </c>
      <c r="C3242">
        <f>IF(A3242="","",'Employees'!D18)</f>
        <v/>
      </c>
      <c r="D3242">
        <f>IF(A3242="","",'Skill Matrix'!C208)</f>
        <v/>
      </c>
      <c r="E3242">
        <f>IF(A3242="","",'Skill Matrix'!D208)</f>
        <v/>
      </c>
      <c r="F3242">
        <f>IF(AND('Skill Matrix'!A208&lt;&gt;"",'Skill Matrix'!M5&lt;&gt;""),'Skill Matrix'!M5,"")</f>
        <v/>
      </c>
      <c r="G3242">
        <f>IF(OR(A3242="",'Skill Matrix'!M208=""),"",'Skill Matrix'!M208)</f>
        <v/>
      </c>
      <c r="H3242">
        <f>IF(A3242="","",'Employees'!F18)</f>
        <v/>
      </c>
    </row>
    <row r="3243">
      <c r="A3243">
        <f>IF(AND('Skill Matrix'!A208&lt;&gt;"",'Skill Matrix'!N5&lt;&gt;""),'Skill Matrix'!A208,"")</f>
        <v/>
      </c>
      <c r="B3243">
        <f>IF(A3243="","",'Employees'!C18)</f>
        <v/>
      </c>
      <c r="C3243">
        <f>IF(A3243="","",'Employees'!D18)</f>
        <v/>
      </c>
      <c r="D3243">
        <f>IF(A3243="","",'Skill Matrix'!C208)</f>
        <v/>
      </c>
      <c r="E3243">
        <f>IF(A3243="","",'Skill Matrix'!D208)</f>
        <v/>
      </c>
      <c r="F3243">
        <f>IF(AND('Skill Matrix'!A208&lt;&gt;"",'Skill Matrix'!N5&lt;&gt;""),'Skill Matrix'!N5,"")</f>
        <v/>
      </c>
      <c r="G3243">
        <f>IF(OR(A3243="",'Skill Matrix'!N208=""),"",'Skill Matrix'!N208)</f>
        <v/>
      </c>
      <c r="H3243">
        <f>IF(A3243="","",'Employees'!F18)</f>
        <v/>
      </c>
    </row>
    <row r="3244">
      <c r="A3244">
        <f>IF(AND('Skill Matrix'!A208&lt;&gt;"",'Skill Matrix'!O5&lt;&gt;""),'Skill Matrix'!A208,"")</f>
        <v/>
      </c>
      <c r="B3244">
        <f>IF(A3244="","",'Employees'!C18)</f>
        <v/>
      </c>
      <c r="C3244">
        <f>IF(A3244="","",'Employees'!D18)</f>
        <v/>
      </c>
      <c r="D3244">
        <f>IF(A3244="","",'Skill Matrix'!C208)</f>
        <v/>
      </c>
      <c r="E3244">
        <f>IF(A3244="","",'Skill Matrix'!D208)</f>
        <v/>
      </c>
      <c r="F3244">
        <f>IF(AND('Skill Matrix'!A208&lt;&gt;"",'Skill Matrix'!O5&lt;&gt;""),'Skill Matrix'!O5,"")</f>
        <v/>
      </c>
      <c r="G3244">
        <f>IF(OR(A3244="",'Skill Matrix'!O208=""),"",'Skill Matrix'!O208)</f>
        <v/>
      </c>
      <c r="H3244">
        <f>IF(A3244="","",'Employees'!F18)</f>
        <v/>
      </c>
    </row>
    <row r="3245">
      <c r="A3245">
        <f>IF(AND('Skill Matrix'!A208&lt;&gt;"",'Skill Matrix'!P5&lt;&gt;""),'Skill Matrix'!A208,"")</f>
        <v/>
      </c>
      <c r="B3245">
        <f>IF(A3245="","",'Employees'!C18)</f>
        <v/>
      </c>
      <c r="C3245">
        <f>IF(A3245="","",'Employees'!D18)</f>
        <v/>
      </c>
      <c r="D3245">
        <f>IF(A3245="","",'Skill Matrix'!C208)</f>
        <v/>
      </c>
      <c r="E3245">
        <f>IF(A3245="","",'Skill Matrix'!D208)</f>
        <v/>
      </c>
      <c r="F3245">
        <f>IF(AND('Skill Matrix'!A208&lt;&gt;"",'Skill Matrix'!P5&lt;&gt;""),'Skill Matrix'!P5,"")</f>
        <v/>
      </c>
      <c r="G3245">
        <f>IF(OR(A3245="",'Skill Matrix'!P208=""),"",'Skill Matrix'!P208)</f>
        <v/>
      </c>
      <c r="H3245">
        <f>IF(A3245="","",'Employees'!F18)</f>
        <v/>
      </c>
    </row>
    <row r="3246">
      <c r="A3246">
        <f>IF(AND('Skill Matrix'!A208&lt;&gt;"",'Skill Matrix'!Q5&lt;&gt;""),'Skill Matrix'!A208,"")</f>
        <v/>
      </c>
      <c r="B3246">
        <f>IF(A3246="","",'Employees'!C18)</f>
        <v/>
      </c>
      <c r="C3246">
        <f>IF(A3246="","",'Employees'!D18)</f>
        <v/>
      </c>
      <c r="D3246">
        <f>IF(A3246="","",'Skill Matrix'!C208)</f>
        <v/>
      </c>
      <c r="E3246">
        <f>IF(A3246="","",'Skill Matrix'!D208)</f>
        <v/>
      </c>
      <c r="F3246">
        <f>IF(AND('Skill Matrix'!A208&lt;&gt;"",'Skill Matrix'!Q5&lt;&gt;""),'Skill Matrix'!Q5,"")</f>
        <v/>
      </c>
      <c r="G3246">
        <f>IF(OR(A3246="",'Skill Matrix'!Q208=""),"",'Skill Matrix'!Q208)</f>
        <v/>
      </c>
      <c r="H3246">
        <f>IF(A3246="","",'Employees'!F18)</f>
        <v/>
      </c>
    </row>
    <row r="3247">
      <c r="A3247">
        <f>IF(AND('Skill Matrix'!A208&lt;&gt;"",'Skill Matrix'!R5&lt;&gt;""),'Skill Matrix'!A208,"")</f>
        <v/>
      </c>
      <c r="B3247">
        <f>IF(A3247="","",'Employees'!C18)</f>
        <v/>
      </c>
      <c r="C3247">
        <f>IF(A3247="","",'Employees'!D18)</f>
        <v/>
      </c>
      <c r="D3247">
        <f>IF(A3247="","",'Skill Matrix'!C208)</f>
        <v/>
      </c>
      <c r="E3247">
        <f>IF(A3247="","",'Skill Matrix'!D208)</f>
        <v/>
      </c>
      <c r="F3247">
        <f>IF(AND('Skill Matrix'!A208&lt;&gt;"",'Skill Matrix'!R5&lt;&gt;""),'Skill Matrix'!R5,"")</f>
        <v/>
      </c>
      <c r="G3247">
        <f>IF(OR(A3247="",'Skill Matrix'!R208=""),"",'Skill Matrix'!R208)</f>
        <v/>
      </c>
      <c r="H3247">
        <f>IF(A3247="","",'Employees'!F18)</f>
        <v/>
      </c>
    </row>
    <row r="3248">
      <c r="A3248">
        <f>IF(AND('Skill Matrix'!A208&lt;&gt;"",'Skill Matrix'!S5&lt;&gt;""),'Skill Matrix'!A208,"")</f>
        <v/>
      </c>
      <c r="B3248">
        <f>IF(A3248="","",'Employees'!C18)</f>
        <v/>
      </c>
      <c r="C3248">
        <f>IF(A3248="","",'Employees'!D18)</f>
        <v/>
      </c>
      <c r="D3248">
        <f>IF(A3248="","",'Skill Matrix'!C208)</f>
        <v/>
      </c>
      <c r="E3248">
        <f>IF(A3248="","",'Skill Matrix'!D208)</f>
        <v/>
      </c>
      <c r="F3248">
        <f>IF(AND('Skill Matrix'!A208&lt;&gt;"",'Skill Matrix'!S5&lt;&gt;""),'Skill Matrix'!S5,"")</f>
        <v/>
      </c>
      <c r="G3248">
        <f>IF(OR(A3248="",'Skill Matrix'!S208=""),"",'Skill Matrix'!S208)</f>
        <v/>
      </c>
      <c r="H3248">
        <f>IF(A3248="","",'Employees'!F18)</f>
        <v/>
      </c>
    </row>
    <row r="3249">
      <c r="A3249">
        <f>IF(AND('Skill Matrix'!A208&lt;&gt;"",'Skill Matrix'!T5&lt;&gt;""),'Skill Matrix'!A208,"")</f>
        <v/>
      </c>
      <c r="B3249">
        <f>IF(A3249="","",'Employees'!C18)</f>
        <v/>
      </c>
      <c r="C3249">
        <f>IF(A3249="","",'Employees'!D18)</f>
        <v/>
      </c>
      <c r="D3249">
        <f>IF(A3249="","",'Skill Matrix'!C208)</f>
        <v/>
      </c>
      <c r="E3249">
        <f>IF(A3249="","",'Skill Matrix'!D208)</f>
        <v/>
      </c>
      <c r="F3249">
        <f>IF(AND('Skill Matrix'!A208&lt;&gt;"",'Skill Matrix'!T5&lt;&gt;""),'Skill Matrix'!T5,"")</f>
        <v/>
      </c>
      <c r="G3249">
        <f>IF(OR(A3249="",'Skill Matrix'!T208=""),"",'Skill Matrix'!T208)</f>
        <v/>
      </c>
      <c r="H3249">
        <f>IF(A3249="","",'Employees'!F18)</f>
        <v/>
      </c>
    </row>
    <row r="3250">
      <c r="A3250">
        <f>IF(AND('Skill Matrix'!A209&lt;&gt;"",'Skill Matrix'!E5&lt;&gt;""),'Skill Matrix'!A209,"")</f>
        <v/>
      </c>
      <c r="B3250">
        <f>IF(A3250="","",'Employees'!C18)</f>
        <v/>
      </c>
      <c r="C3250">
        <f>IF(A3250="","",'Employees'!D18)</f>
        <v/>
      </c>
      <c r="D3250">
        <f>IF(A3250="","",'Skill Matrix'!C209)</f>
        <v/>
      </c>
      <c r="E3250">
        <f>IF(A3250="","",'Skill Matrix'!D209)</f>
        <v/>
      </c>
      <c r="F3250">
        <f>IF(AND('Skill Matrix'!A209&lt;&gt;"",'Skill Matrix'!E5&lt;&gt;""),'Skill Matrix'!E5,"")</f>
        <v/>
      </c>
      <c r="G3250">
        <f>IF(OR(A3250="",'Skill Matrix'!E209=""),"",'Skill Matrix'!E209)</f>
        <v/>
      </c>
      <c r="H3250">
        <f>IF(A3250="","",'Employees'!F18)</f>
        <v/>
      </c>
    </row>
    <row r="3251">
      <c r="A3251">
        <f>IF(AND('Skill Matrix'!A209&lt;&gt;"",'Skill Matrix'!F5&lt;&gt;""),'Skill Matrix'!A209,"")</f>
        <v/>
      </c>
      <c r="B3251">
        <f>IF(A3251="","",'Employees'!C18)</f>
        <v/>
      </c>
      <c r="C3251">
        <f>IF(A3251="","",'Employees'!D18)</f>
        <v/>
      </c>
      <c r="D3251">
        <f>IF(A3251="","",'Skill Matrix'!C209)</f>
        <v/>
      </c>
      <c r="E3251">
        <f>IF(A3251="","",'Skill Matrix'!D209)</f>
        <v/>
      </c>
      <c r="F3251">
        <f>IF(AND('Skill Matrix'!A209&lt;&gt;"",'Skill Matrix'!F5&lt;&gt;""),'Skill Matrix'!F5,"")</f>
        <v/>
      </c>
      <c r="G3251">
        <f>IF(OR(A3251="",'Skill Matrix'!F209=""),"",'Skill Matrix'!F209)</f>
        <v/>
      </c>
      <c r="H3251">
        <f>IF(A3251="","",'Employees'!F18)</f>
        <v/>
      </c>
    </row>
    <row r="3252">
      <c r="A3252">
        <f>IF(AND('Skill Matrix'!A209&lt;&gt;"",'Skill Matrix'!G5&lt;&gt;""),'Skill Matrix'!A209,"")</f>
        <v/>
      </c>
      <c r="B3252">
        <f>IF(A3252="","",'Employees'!C18)</f>
        <v/>
      </c>
      <c r="C3252">
        <f>IF(A3252="","",'Employees'!D18)</f>
        <v/>
      </c>
      <c r="D3252">
        <f>IF(A3252="","",'Skill Matrix'!C209)</f>
        <v/>
      </c>
      <c r="E3252">
        <f>IF(A3252="","",'Skill Matrix'!D209)</f>
        <v/>
      </c>
      <c r="F3252">
        <f>IF(AND('Skill Matrix'!A209&lt;&gt;"",'Skill Matrix'!G5&lt;&gt;""),'Skill Matrix'!G5,"")</f>
        <v/>
      </c>
      <c r="G3252">
        <f>IF(OR(A3252="",'Skill Matrix'!G209=""),"",'Skill Matrix'!G209)</f>
        <v/>
      </c>
      <c r="H3252">
        <f>IF(A3252="","",'Employees'!F18)</f>
        <v/>
      </c>
    </row>
    <row r="3253">
      <c r="A3253">
        <f>IF(AND('Skill Matrix'!A209&lt;&gt;"",'Skill Matrix'!H5&lt;&gt;""),'Skill Matrix'!A209,"")</f>
        <v/>
      </c>
      <c r="B3253">
        <f>IF(A3253="","",'Employees'!C18)</f>
        <v/>
      </c>
      <c r="C3253">
        <f>IF(A3253="","",'Employees'!D18)</f>
        <v/>
      </c>
      <c r="D3253">
        <f>IF(A3253="","",'Skill Matrix'!C209)</f>
        <v/>
      </c>
      <c r="E3253">
        <f>IF(A3253="","",'Skill Matrix'!D209)</f>
        <v/>
      </c>
      <c r="F3253">
        <f>IF(AND('Skill Matrix'!A209&lt;&gt;"",'Skill Matrix'!H5&lt;&gt;""),'Skill Matrix'!H5,"")</f>
        <v/>
      </c>
      <c r="G3253">
        <f>IF(OR(A3253="",'Skill Matrix'!H209=""),"",'Skill Matrix'!H209)</f>
        <v/>
      </c>
      <c r="H3253">
        <f>IF(A3253="","",'Employees'!F18)</f>
        <v/>
      </c>
    </row>
    <row r="3254">
      <c r="A3254">
        <f>IF(AND('Skill Matrix'!A209&lt;&gt;"",'Skill Matrix'!I5&lt;&gt;""),'Skill Matrix'!A209,"")</f>
        <v/>
      </c>
      <c r="B3254">
        <f>IF(A3254="","",'Employees'!C18)</f>
        <v/>
      </c>
      <c r="C3254">
        <f>IF(A3254="","",'Employees'!D18)</f>
        <v/>
      </c>
      <c r="D3254">
        <f>IF(A3254="","",'Skill Matrix'!C209)</f>
        <v/>
      </c>
      <c r="E3254">
        <f>IF(A3254="","",'Skill Matrix'!D209)</f>
        <v/>
      </c>
      <c r="F3254">
        <f>IF(AND('Skill Matrix'!A209&lt;&gt;"",'Skill Matrix'!I5&lt;&gt;""),'Skill Matrix'!I5,"")</f>
        <v/>
      </c>
      <c r="G3254">
        <f>IF(OR(A3254="",'Skill Matrix'!I209=""),"",'Skill Matrix'!I209)</f>
        <v/>
      </c>
      <c r="H3254">
        <f>IF(A3254="","",'Employees'!F18)</f>
        <v/>
      </c>
    </row>
    <row r="3255">
      <c r="A3255">
        <f>IF(AND('Skill Matrix'!A209&lt;&gt;"",'Skill Matrix'!J5&lt;&gt;""),'Skill Matrix'!A209,"")</f>
        <v/>
      </c>
      <c r="B3255">
        <f>IF(A3255="","",'Employees'!C18)</f>
        <v/>
      </c>
      <c r="C3255">
        <f>IF(A3255="","",'Employees'!D18)</f>
        <v/>
      </c>
      <c r="D3255">
        <f>IF(A3255="","",'Skill Matrix'!C209)</f>
        <v/>
      </c>
      <c r="E3255">
        <f>IF(A3255="","",'Skill Matrix'!D209)</f>
        <v/>
      </c>
      <c r="F3255">
        <f>IF(AND('Skill Matrix'!A209&lt;&gt;"",'Skill Matrix'!J5&lt;&gt;""),'Skill Matrix'!J5,"")</f>
        <v/>
      </c>
      <c r="G3255">
        <f>IF(OR(A3255="",'Skill Matrix'!J209=""),"",'Skill Matrix'!J209)</f>
        <v/>
      </c>
      <c r="H3255">
        <f>IF(A3255="","",'Employees'!F18)</f>
        <v/>
      </c>
    </row>
    <row r="3256">
      <c r="A3256">
        <f>IF(AND('Skill Matrix'!A209&lt;&gt;"",'Skill Matrix'!K5&lt;&gt;""),'Skill Matrix'!A209,"")</f>
        <v/>
      </c>
      <c r="B3256">
        <f>IF(A3256="","",'Employees'!C18)</f>
        <v/>
      </c>
      <c r="C3256">
        <f>IF(A3256="","",'Employees'!D18)</f>
        <v/>
      </c>
      <c r="D3256">
        <f>IF(A3256="","",'Skill Matrix'!C209)</f>
        <v/>
      </c>
      <c r="E3256">
        <f>IF(A3256="","",'Skill Matrix'!D209)</f>
        <v/>
      </c>
      <c r="F3256">
        <f>IF(AND('Skill Matrix'!A209&lt;&gt;"",'Skill Matrix'!K5&lt;&gt;""),'Skill Matrix'!K5,"")</f>
        <v/>
      </c>
      <c r="G3256">
        <f>IF(OR(A3256="",'Skill Matrix'!K209=""),"",'Skill Matrix'!K209)</f>
        <v/>
      </c>
      <c r="H3256">
        <f>IF(A3256="","",'Employees'!F18)</f>
        <v/>
      </c>
    </row>
    <row r="3257">
      <c r="A3257">
        <f>IF(AND('Skill Matrix'!A209&lt;&gt;"",'Skill Matrix'!L5&lt;&gt;""),'Skill Matrix'!A209,"")</f>
        <v/>
      </c>
      <c r="B3257">
        <f>IF(A3257="","",'Employees'!C18)</f>
        <v/>
      </c>
      <c r="C3257">
        <f>IF(A3257="","",'Employees'!D18)</f>
        <v/>
      </c>
      <c r="D3257">
        <f>IF(A3257="","",'Skill Matrix'!C209)</f>
        <v/>
      </c>
      <c r="E3257">
        <f>IF(A3257="","",'Skill Matrix'!D209)</f>
        <v/>
      </c>
      <c r="F3257">
        <f>IF(AND('Skill Matrix'!A209&lt;&gt;"",'Skill Matrix'!L5&lt;&gt;""),'Skill Matrix'!L5,"")</f>
        <v/>
      </c>
      <c r="G3257">
        <f>IF(OR(A3257="",'Skill Matrix'!L209=""),"",'Skill Matrix'!L209)</f>
        <v/>
      </c>
      <c r="H3257">
        <f>IF(A3257="","",'Employees'!F18)</f>
        <v/>
      </c>
    </row>
    <row r="3258">
      <c r="A3258">
        <f>IF(AND('Skill Matrix'!A209&lt;&gt;"",'Skill Matrix'!M5&lt;&gt;""),'Skill Matrix'!A209,"")</f>
        <v/>
      </c>
      <c r="B3258">
        <f>IF(A3258="","",'Employees'!C18)</f>
        <v/>
      </c>
      <c r="C3258">
        <f>IF(A3258="","",'Employees'!D18)</f>
        <v/>
      </c>
      <c r="D3258">
        <f>IF(A3258="","",'Skill Matrix'!C209)</f>
        <v/>
      </c>
      <c r="E3258">
        <f>IF(A3258="","",'Skill Matrix'!D209)</f>
        <v/>
      </c>
      <c r="F3258">
        <f>IF(AND('Skill Matrix'!A209&lt;&gt;"",'Skill Matrix'!M5&lt;&gt;""),'Skill Matrix'!M5,"")</f>
        <v/>
      </c>
      <c r="G3258">
        <f>IF(OR(A3258="",'Skill Matrix'!M209=""),"",'Skill Matrix'!M209)</f>
        <v/>
      </c>
      <c r="H3258">
        <f>IF(A3258="","",'Employees'!F18)</f>
        <v/>
      </c>
    </row>
    <row r="3259">
      <c r="A3259">
        <f>IF(AND('Skill Matrix'!A209&lt;&gt;"",'Skill Matrix'!N5&lt;&gt;""),'Skill Matrix'!A209,"")</f>
        <v/>
      </c>
      <c r="B3259">
        <f>IF(A3259="","",'Employees'!C18)</f>
        <v/>
      </c>
      <c r="C3259">
        <f>IF(A3259="","",'Employees'!D18)</f>
        <v/>
      </c>
      <c r="D3259">
        <f>IF(A3259="","",'Skill Matrix'!C209)</f>
        <v/>
      </c>
      <c r="E3259">
        <f>IF(A3259="","",'Skill Matrix'!D209)</f>
        <v/>
      </c>
      <c r="F3259">
        <f>IF(AND('Skill Matrix'!A209&lt;&gt;"",'Skill Matrix'!N5&lt;&gt;""),'Skill Matrix'!N5,"")</f>
        <v/>
      </c>
      <c r="G3259">
        <f>IF(OR(A3259="",'Skill Matrix'!N209=""),"",'Skill Matrix'!N209)</f>
        <v/>
      </c>
      <c r="H3259">
        <f>IF(A3259="","",'Employees'!F18)</f>
        <v/>
      </c>
    </row>
    <row r="3260">
      <c r="A3260">
        <f>IF(AND('Skill Matrix'!A209&lt;&gt;"",'Skill Matrix'!O5&lt;&gt;""),'Skill Matrix'!A209,"")</f>
        <v/>
      </c>
      <c r="B3260">
        <f>IF(A3260="","",'Employees'!C18)</f>
        <v/>
      </c>
      <c r="C3260">
        <f>IF(A3260="","",'Employees'!D18)</f>
        <v/>
      </c>
      <c r="D3260">
        <f>IF(A3260="","",'Skill Matrix'!C209)</f>
        <v/>
      </c>
      <c r="E3260">
        <f>IF(A3260="","",'Skill Matrix'!D209)</f>
        <v/>
      </c>
      <c r="F3260">
        <f>IF(AND('Skill Matrix'!A209&lt;&gt;"",'Skill Matrix'!O5&lt;&gt;""),'Skill Matrix'!O5,"")</f>
        <v/>
      </c>
      <c r="G3260">
        <f>IF(OR(A3260="",'Skill Matrix'!O209=""),"",'Skill Matrix'!O209)</f>
        <v/>
      </c>
      <c r="H3260">
        <f>IF(A3260="","",'Employees'!F18)</f>
        <v/>
      </c>
    </row>
    <row r="3261">
      <c r="A3261">
        <f>IF(AND('Skill Matrix'!A209&lt;&gt;"",'Skill Matrix'!P5&lt;&gt;""),'Skill Matrix'!A209,"")</f>
        <v/>
      </c>
      <c r="B3261">
        <f>IF(A3261="","",'Employees'!C18)</f>
        <v/>
      </c>
      <c r="C3261">
        <f>IF(A3261="","",'Employees'!D18)</f>
        <v/>
      </c>
      <c r="D3261">
        <f>IF(A3261="","",'Skill Matrix'!C209)</f>
        <v/>
      </c>
      <c r="E3261">
        <f>IF(A3261="","",'Skill Matrix'!D209)</f>
        <v/>
      </c>
      <c r="F3261">
        <f>IF(AND('Skill Matrix'!A209&lt;&gt;"",'Skill Matrix'!P5&lt;&gt;""),'Skill Matrix'!P5,"")</f>
        <v/>
      </c>
      <c r="G3261">
        <f>IF(OR(A3261="",'Skill Matrix'!P209=""),"",'Skill Matrix'!P209)</f>
        <v/>
      </c>
      <c r="H3261">
        <f>IF(A3261="","",'Employees'!F18)</f>
        <v/>
      </c>
    </row>
    <row r="3262">
      <c r="A3262">
        <f>IF(AND('Skill Matrix'!A209&lt;&gt;"",'Skill Matrix'!Q5&lt;&gt;""),'Skill Matrix'!A209,"")</f>
        <v/>
      </c>
      <c r="B3262">
        <f>IF(A3262="","",'Employees'!C18)</f>
        <v/>
      </c>
      <c r="C3262">
        <f>IF(A3262="","",'Employees'!D18)</f>
        <v/>
      </c>
      <c r="D3262">
        <f>IF(A3262="","",'Skill Matrix'!C209)</f>
        <v/>
      </c>
      <c r="E3262">
        <f>IF(A3262="","",'Skill Matrix'!D209)</f>
        <v/>
      </c>
      <c r="F3262">
        <f>IF(AND('Skill Matrix'!A209&lt;&gt;"",'Skill Matrix'!Q5&lt;&gt;""),'Skill Matrix'!Q5,"")</f>
        <v/>
      </c>
      <c r="G3262">
        <f>IF(OR(A3262="",'Skill Matrix'!Q209=""),"",'Skill Matrix'!Q209)</f>
        <v/>
      </c>
      <c r="H3262">
        <f>IF(A3262="","",'Employees'!F18)</f>
        <v/>
      </c>
    </row>
    <row r="3263">
      <c r="A3263">
        <f>IF(AND('Skill Matrix'!A209&lt;&gt;"",'Skill Matrix'!R5&lt;&gt;""),'Skill Matrix'!A209,"")</f>
        <v/>
      </c>
      <c r="B3263">
        <f>IF(A3263="","",'Employees'!C18)</f>
        <v/>
      </c>
      <c r="C3263">
        <f>IF(A3263="","",'Employees'!D18)</f>
        <v/>
      </c>
      <c r="D3263">
        <f>IF(A3263="","",'Skill Matrix'!C209)</f>
        <v/>
      </c>
      <c r="E3263">
        <f>IF(A3263="","",'Skill Matrix'!D209)</f>
        <v/>
      </c>
      <c r="F3263">
        <f>IF(AND('Skill Matrix'!A209&lt;&gt;"",'Skill Matrix'!R5&lt;&gt;""),'Skill Matrix'!R5,"")</f>
        <v/>
      </c>
      <c r="G3263">
        <f>IF(OR(A3263="",'Skill Matrix'!R209=""),"",'Skill Matrix'!R209)</f>
        <v/>
      </c>
      <c r="H3263">
        <f>IF(A3263="","",'Employees'!F18)</f>
        <v/>
      </c>
    </row>
    <row r="3264">
      <c r="A3264">
        <f>IF(AND('Skill Matrix'!A209&lt;&gt;"",'Skill Matrix'!S5&lt;&gt;""),'Skill Matrix'!A209,"")</f>
        <v/>
      </c>
      <c r="B3264">
        <f>IF(A3264="","",'Employees'!C18)</f>
        <v/>
      </c>
      <c r="C3264">
        <f>IF(A3264="","",'Employees'!D18)</f>
        <v/>
      </c>
      <c r="D3264">
        <f>IF(A3264="","",'Skill Matrix'!C209)</f>
        <v/>
      </c>
      <c r="E3264">
        <f>IF(A3264="","",'Skill Matrix'!D209)</f>
        <v/>
      </c>
      <c r="F3264">
        <f>IF(AND('Skill Matrix'!A209&lt;&gt;"",'Skill Matrix'!S5&lt;&gt;""),'Skill Matrix'!S5,"")</f>
        <v/>
      </c>
      <c r="G3264">
        <f>IF(OR(A3264="",'Skill Matrix'!S209=""),"",'Skill Matrix'!S209)</f>
        <v/>
      </c>
      <c r="H3264">
        <f>IF(A3264="","",'Employees'!F18)</f>
        <v/>
      </c>
    </row>
    <row r="3265">
      <c r="A3265">
        <f>IF(AND('Skill Matrix'!A209&lt;&gt;"",'Skill Matrix'!T5&lt;&gt;""),'Skill Matrix'!A209,"")</f>
        <v/>
      </c>
      <c r="B3265">
        <f>IF(A3265="","",'Employees'!C18)</f>
        <v/>
      </c>
      <c r="C3265">
        <f>IF(A3265="","",'Employees'!D18)</f>
        <v/>
      </c>
      <c r="D3265">
        <f>IF(A3265="","",'Skill Matrix'!C209)</f>
        <v/>
      </c>
      <c r="E3265">
        <f>IF(A3265="","",'Skill Matrix'!D209)</f>
        <v/>
      </c>
      <c r="F3265">
        <f>IF(AND('Skill Matrix'!A209&lt;&gt;"",'Skill Matrix'!T5&lt;&gt;""),'Skill Matrix'!T5,"")</f>
        <v/>
      </c>
      <c r="G3265">
        <f>IF(OR(A3265="",'Skill Matrix'!T209=""),"",'Skill Matrix'!T209)</f>
        <v/>
      </c>
      <c r="H3265">
        <f>IF(A3265="","",'Employees'!F18)</f>
        <v/>
      </c>
    </row>
    <row r="3266">
      <c r="A3266">
        <f>IF(AND('Skill Matrix'!A210&lt;&gt;"",'Skill Matrix'!E5&lt;&gt;""),'Skill Matrix'!A210,"")</f>
        <v/>
      </c>
      <c r="B3266">
        <f>IF(A3266="","",'Employees'!C18)</f>
        <v/>
      </c>
      <c r="C3266">
        <f>IF(A3266="","",'Employees'!D18)</f>
        <v/>
      </c>
      <c r="D3266">
        <f>IF(A3266="","",'Skill Matrix'!C210)</f>
        <v/>
      </c>
      <c r="E3266">
        <f>IF(A3266="","",'Skill Matrix'!D210)</f>
        <v/>
      </c>
      <c r="F3266">
        <f>IF(AND('Skill Matrix'!A210&lt;&gt;"",'Skill Matrix'!E5&lt;&gt;""),'Skill Matrix'!E5,"")</f>
        <v/>
      </c>
      <c r="G3266">
        <f>IF(OR(A3266="",'Skill Matrix'!E210=""),"",'Skill Matrix'!E210)</f>
        <v/>
      </c>
      <c r="H3266">
        <f>IF(A3266="","",'Employees'!F18)</f>
        <v/>
      </c>
    </row>
    <row r="3267">
      <c r="A3267">
        <f>IF(AND('Skill Matrix'!A210&lt;&gt;"",'Skill Matrix'!F5&lt;&gt;""),'Skill Matrix'!A210,"")</f>
        <v/>
      </c>
      <c r="B3267">
        <f>IF(A3267="","",'Employees'!C18)</f>
        <v/>
      </c>
      <c r="C3267">
        <f>IF(A3267="","",'Employees'!D18)</f>
        <v/>
      </c>
      <c r="D3267">
        <f>IF(A3267="","",'Skill Matrix'!C210)</f>
        <v/>
      </c>
      <c r="E3267">
        <f>IF(A3267="","",'Skill Matrix'!D210)</f>
        <v/>
      </c>
      <c r="F3267">
        <f>IF(AND('Skill Matrix'!A210&lt;&gt;"",'Skill Matrix'!F5&lt;&gt;""),'Skill Matrix'!F5,"")</f>
        <v/>
      </c>
      <c r="G3267">
        <f>IF(OR(A3267="",'Skill Matrix'!F210=""),"",'Skill Matrix'!F210)</f>
        <v/>
      </c>
      <c r="H3267">
        <f>IF(A3267="","",'Employees'!F18)</f>
        <v/>
      </c>
    </row>
    <row r="3268">
      <c r="A3268">
        <f>IF(AND('Skill Matrix'!A210&lt;&gt;"",'Skill Matrix'!G5&lt;&gt;""),'Skill Matrix'!A210,"")</f>
        <v/>
      </c>
      <c r="B3268">
        <f>IF(A3268="","",'Employees'!C18)</f>
        <v/>
      </c>
      <c r="C3268">
        <f>IF(A3268="","",'Employees'!D18)</f>
        <v/>
      </c>
      <c r="D3268">
        <f>IF(A3268="","",'Skill Matrix'!C210)</f>
        <v/>
      </c>
      <c r="E3268">
        <f>IF(A3268="","",'Skill Matrix'!D210)</f>
        <v/>
      </c>
      <c r="F3268">
        <f>IF(AND('Skill Matrix'!A210&lt;&gt;"",'Skill Matrix'!G5&lt;&gt;""),'Skill Matrix'!G5,"")</f>
        <v/>
      </c>
      <c r="G3268">
        <f>IF(OR(A3268="",'Skill Matrix'!G210=""),"",'Skill Matrix'!G210)</f>
        <v/>
      </c>
      <c r="H3268">
        <f>IF(A3268="","",'Employees'!F18)</f>
        <v/>
      </c>
    </row>
    <row r="3269">
      <c r="A3269">
        <f>IF(AND('Skill Matrix'!A210&lt;&gt;"",'Skill Matrix'!H5&lt;&gt;""),'Skill Matrix'!A210,"")</f>
        <v/>
      </c>
      <c r="B3269">
        <f>IF(A3269="","",'Employees'!C18)</f>
        <v/>
      </c>
      <c r="C3269">
        <f>IF(A3269="","",'Employees'!D18)</f>
        <v/>
      </c>
      <c r="D3269">
        <f>IF(A3269="","",'Skill Matrix'!C210)</f>
        <v/>
      </c>
      <c r="E3269">
        <f>IF(A3269="","",'Skill Matrix'!D210)</f>
        <v/>
      </c>
      <c r="F3269">
        <f>IF(AND('Skill Matrix'!A210&lt;&gt;"",'Skill Matrix'!H5&lt;&gt;""),'Skill Matrix'!H5,"")</f>
        <v/>
      </c>
      <c r="G3269">
        <f>IF(OR(A3269="",'Skill Matrix'!H210=""),"",'Skill Matrix'!H210)</f>
        <v/>
      </c>
      <c r="H3269">
        <f>IF(A3269="","",'Employees'!F18)</f>
        <v/>
      </c>
    </row>
    <row r="3270">
      <c r="A3270">
        <f>IF(AND('Skill Matrix'!A210&lt;&gt;"",'Skill Matrix'!I5&lt;&gt;""),'Skill Matrix'!A210,"")</f>
        <v/>
      </c>
      <c r="B3270">
        <f>IF(A3270="","",'Employees'!C18)</f>
        <v/>
      </c>
      <c r="C3270">
        <f>IF(A3270="","",'Employees'!D18)</f>
        <v/>
      </c>
      <c r="D3270">
        <f>IF(A3270="","",'Skill Matrix'!C210)</f>
        <v/>
      </c>
      <c r="E3270">
        <f>IF(A3270="","",'Skill Matrix'!D210)</f>
        <v/>
      </c>
      <c r="F3270">
        <f>IF(AND('Skill Matrix'!A210&lt;&gt;"",'Skill Matrix'!I5&lt;&gt;""),'Skill Matrix'!I5,"")</f>
        <v/>
      </c>
      <c r="G3270">
        <f>IF(OR(A3270="",'Skill Matrix'!I210=""),"",'Skill Matrix'!I210)</f>
        <v/>
      </c>
      <c r="H3270">
        <f>IF(A3270="","",'Employees'!F18)</f>
        <v/>
      </c>
    </row>
    <row r="3271">
      <c r="A3271">
        <f>IF(AND('Skill Matrix'!A210&lt;&gt;"",'Skill Matrix'!J5&lt;&gt;""),'Skill Matrix'!A210,"")</f>
        <v/>
      </c>
      <c r="B3271">
        <f>IF(A3271="","",'Employees'!C18)</f>
        <v/>
      </c>
      <c r="C3271">
        <f>IF(A3271="","",'Employees'!D18)</f>
        <v/>
      </c>
      <c r="D3271">
        <f>IF(A3271="","",'Skill Matrix'!C210)</f>
        <v/>
      </c>
      <c r="E3271">
        <f>IF(A3271="","",'Skill Matrix'!D210)</f>
        <v/>
      </c>
      <c r="F3271">
        <f>IF(AND('Skill Matrix'!A210&lt;&gt;"",'Skill Matrix'!J5&lt;&gt;""),'Skill Matrix'!J5,"")</f>
        <v/>
      </c>
      <c r="G3271">
        <f>IF(OR(A3271="",'Skill Matrix'!J210=""),"",'Skill Matrix'!J210)</f>
        <v/>
      </c>
      <c r="H3271">
        <f>IF(A3271="","",'Employees'!F18)</f>
        <v/>
      </c>
    </row>
    <row r="3272">
      <c r="A3272">
        <f>IF(AND('Skill Matrix'!A210&lt;&gt;"",'Skill Matrix'!K5&lt;&gt;""),'Skill Matrix'!A210,"")</f>
        <v/>
      </c>
      <c r="B3272">
        <f>IF(A3272="","",'Employees'!C18)</f>
        <v/>
      </c>
      <c r="C3272">
        <f>IF(A3272="","",'Employees'!D18)</f>
        <v/>
      </c>
      <c r="D3272">
        <f>IF(A3272="","",'Skill Matrix'!C210)</f>
        <v/>
      </c>
      <c r="E3272">
        <f>IF(A3272="","",'Skill Matrix'!D210)</f>
        <v/>
      </c>
      <c r="F3272">
        <f>IF(AND('Skill Matrix'!A210&lt;&gt;"",'Skill Matrix'!K5&lt;&gt;""),'Skill Matrix'!K5,"")</f>
        <v/>
      </c>
      <c r="G3272">
        <f>IF(OR(A3272="",'Skill Matrix'!K210=""),"",'Skill Matrix'!K210)</f>
        <v/>
      </c>
      <c r="H3272">
        <f>IF(A3272="","",'Employees'!F18)</f>
        <v/>
      </c>
    </row>
    <row r="3273">
      <c r="A3273">
        <f>IF(AND('Skill Matrix'!A210&lt;&gt;"",'Skill Matrix'!L5&lt;&gt;""),'Skill Matrix'!A210,"")</f>
        <v/>
      </c>
      <c r="B3273">
        <f>IF(A3273="","",'Employees'!C18)</f>
        <v/>
      </c>
      <c r="C3273">
        <f>IF(A3273="","",'Employees'!D18)</f>
        <v/>
      </c>
      <c r="D3273">
        <f>IF(A3273="","",'Skill Matrix'!C210)</f>
        <v/>
      </c>
      <c r="E3273">
        <f>IF(A3273="","",'Skill Matrix'!D210)</f>
        <v/>
      </c>
      <c r="F3273">
        <f>IF(AND('Skill Matrix'!A210&lt;&gt;"",'Skill Matrix'!L5&lt;&gt;""),'Skill Matrix'!L5,"")</f>
        <v/>
      </c>
      <c r="G3273">
        <f>IF(OR(A3273="",'Skill Matrix'!L210=""),"",'Skill Matrix'!L210)</f>
        <v/>
      </c>
      <c r="H3273">
        <f>IF(A3273="","",'Employees'!F18)</f>
        <v/>
      </c>
    </row>
    <row r="3274">
      <c r="A3274">
        <f>IF(AND('Skill Matrix'!A210&lt;&gt;"",'Skill Matrix'!M5&lt;&gt;""),'Skill Matrix'!A210,"")</f>
        <v/>
      </c>
      <c r="B3274">
        <f>IF(A3274="","",'Employees'!C18)</f>
        <v/>
      </c>
      <c r="C3274">
        <f>IF(A3274="","",'Employees'!D18)</f>
        <v/>
      </c>
      <c r="D3274">
        <f>IF(A3274="","",'Skill Matrix'!C210)</f>
        <v/>
      </c>
      <c r="E3274">
        <f>IF(A3274="","",'Skill Matrix'!D210)</f>
        <v/>
      </c>
      <c r="F3274">
        <f>IF(AND('Skill Matrix'!A210&lt;&gt;"",'Skill Matrix'!M5&lt;&gt;""),'Skill Matrix'!M5,"")</f>
        <v/>
      </c>
      <c r="G3274">
        <f>IF(OR(A3274="",'Skill Matrix'!M210=""),"",'Skill Matrix'!M210)</f>
        <v/>
      </c>
      <c r="H3274">
        <f>IF(A3274="","",'Employees'!F18)</f>
        <v/>
      </c>
    </row>
    <row r="3275">
      <c r="A3275">
        <f>IF(AND('Skill Matrix'!A210&lt;&gt;"",'Skill Matrix'!N5&lt;&gt;""),'Skill Matrix'!A210,"")</f>
        <v/>
      </c>
      <c r="B3275">
        <f>IF(A3275="","",'Employees'!C18)</f>
        <v/>
      </c>
      <c r="C3275">
        <f>IF(A3275="","",'Employees'!D18)</f>
        <v/>
      </c>
      <c r="D3275">
        <f>IF(A3275="","",'Skill Matrix'!C210)</f>
        <v/>
      </c>
      <c r="E3275">
        <f>IF(A3275="","",'Skill Matrix'!D210)</f>
        <v/>
      </c>
      <c r="F3275">
        <f>IF(AND('Skill Matrix'!A210&lt;&gt;"",'Skill Matrix'!N5&lt;&gt;""),'Skill Matrix'!N5,"")</f>
        <v/>
      </c>
      <c r="G3275">
        <f>IF(OR(A3275="",'Skill Matrix'!N210=""),"",'Skill Matrix'!N210)</f>
        <v/>
      </c>
      <c r="H3275">
        <f>IF(A3275="","",'Employees'!F18)</f>
        <v/>
      </c>
    </row>
    <row r="3276">
      <c r="A3276">
        <f>IF(AND('Skill Matrix'!A210&lt;&gt;"",'Skill Matrix'!O5&lt;&gt;""),'Skill Matrix'!A210,"")</f>
        <v/>
      </c>
      <c r="B3276">
        <f>IF(A3276="","",'Employees'!C18)</f>
        <v/>
      </c>
      <c r="C3276">
        <f>IF(A3276="","",'Employees'!D18)</f>
        <v/>
      </c>
      <c r="D3276">
        <f>IF(A3276="","",'Skill Matrix'!C210)</f>
        <v/>
      </c>
      <c r="E3276">
        <f>IF(A3276="","",'Skill Matrix'!D210)</f>
        <v/>
      </c>
      <c r="F3276">
        <f>IF(AND('Skill Matrix'!A210&lt;&gt;"",'Skill Matrix'!O5&lt;&gt;""),'Skill Matrix'!O5,"")</f>
        <v/>
      </c>
      <c r="G3276">
        <f>IF(OR(A3276="",'Skill Matrix'!O210=""),"",'Skill Matrix'!O210)</f>
        <v/>
      </c>
      <c r="H3276">
        <f>IF(A3276="","",'Employees'!F18)</f>
        <v/>
      </c>
    </row>
    <row r="3277">
      <c r="A3277">
        <f>IF(AND('Skill Matrix'!A210&lt;&gt;"",'Skill Matrix'!P5&lt;&gt;""),'Skill Matrix'!A210,"")</f>
        <v/>
      </c>
      <c r="B3277">
        <f>IF(A3277="","",'Employees'!C18)</f>
        <v/>
      </c>
      <c r="C3277">
        <f>IF(A3277="","",'Employees'!D18)</f>
        <v/>
      </c>
      <c r="D3277">
        <f>IF(A3277="","",'Skill Matrix'!C210)</f>
        <v/>
      </c>
      <c r="E3277">
        <f>IF(A3277="","",'Skill Matrix'!D210)</f>
        <v/>
      </c>
      <c r="F3277">
        <f>IF(AND('Skill Matrix'!A210&lt;&gt;"",'Skill Matrix'!P5&lt;&gt;""),'Skill Matrix'!P5,"")</f>
        <v/>
      </c>
      <c r="G3277">
        <f>IF(OR(A3277="",'Skill Matrix'!P210=""),"",'Skill Matrix'!P210)</f>
        <v/>
      </c>
      <c r="H3277">
        <f>IF(A3277="","",'Employees'!F18)</f>
        <v/>
      </c>
    </row>
    <row r="3278">
      <c r="A3278">
        <f>IF(AND('Skill Matrix'!A210&lt;&gt;"",'Skill Matrix'!Q5&lt;&gt;""),'Skill Matrix'!A210,"")</f>
        <v/>
      </c>
      <c r="B3278">
        <f>IF(A3278="","",'Employees'!C18)</f>
        <v/>
      </c>
      <c r="C3278">
        <f>IF(A3278="","",'Employees'!D18)</f>
        <v/>
      </c>
      <c r="D3278">
        <f>IF(A3278="","",'Skill Matrix'!C210)</f>
        <v/>
      </c>
      <c r="E3278">
        <f>IF(A3278="","",'Skill Matrix'!D210)</f>
        <v/>
      </c>
      <c r="F3278">
        <f>IF(AND('Skill Matrix'!A210&lt;&gt;"",'Skill Matrix'!Q5&lt;&gt;""),'Skill Matrix'!Q5,"")</f>
        <v/>
      </c>
      <c r="G3278">
        <f>IF(OR(A3278="",'Skill Matrix'!Q210=""),"",'Skill Matrix'!Q210)</f>
        <v/>
      </c>
      <c r="H3278">
        <f>IF(A3278="","",'Employees'!F18)</f>
        <v/>
      </c>
    </row>
    <row r="3279">
      <c r="A3279">
        <f>IF(AND('Skill Matrix'!A210&lt;&gt;"",'Skill Matrix'!R5&lt;&gt;""),'Skill Matrix'!A210,"")</f>
        <v/>
      </c>
      <c r="B3279">
        <f>IF(A3279="","",'Employees'!C18)</f>
        <v/>
      </c>
      <c r="C3279">
        <f>IF(A3279="","",'Employees'!D18)</f>
        <v/>
      </c>
      <c r="D3279">
        <f>IF(A3279="","",'Skill Matrix'!C210)</f>
        <v/>
      </c>
      <c r="E3279">
        <f>IF(A3279="","",'Skill Matrix'!D210)</f>
        <v/>
      </c>
      <c r="F3279">
        <f>IF(AND('Skill Matrix'!A210&lt;&gt;"",'Skill Matrix'!R5&lt;&gt;""),'Skill Matrix'!R5,"")</f>
        <v/>
      </c>
      <c r="G3279">
        <f>IF(OR(A3279="",'Skill Matrix'!R210=""),"",'Skill Matrix'!R210)</f>
        <v/>
      </c>
      <c r="H3279">
        <f>IF(A3279="","",'Employees'!F18)</f>
        <v/>
      </c>
    </row>
    <row r="3280">
      <c r="A3280">
        <f>IF(AND('Skill Matrix'!A210&lt;&gt;"",'Skill Matrix'!S5&lt;&gt;""),'Skill Matrix'!A210,"")</f>
        <v/>
      </c>
      <c r="B3280">
        <f>IF(A3280="","",'Employees'!C18)</f>
        <v/>
      </c>
      <c r="C3280">
        <f>IF(A3280="","",'Employees'!D18)</f>
        <v/>
      </c>
      <c r="D3280">
        <f>IF(A3280="","",'Skill Matrix'!C210)</f>
        <v/>
      </c>
      <c r="E3280">
        <f>IF(A3280="","",'Skill Matrix'!D210)</f>
        <v/>
      </c>
      <c r="F3280">
        <f>IF(AND('Skill Matrix'!A210&lt;&gt;"",'Skill Matrix'!S5&lt;&gt;""),'Skill Matrix'!S5,"")</f>
        <v/>
      </c>
      <c r="G3280">
        <f>IF(OR(A3280="",'Skill Matrix'!S210=""),"",'Skill Matrix'!S210)</f>
        <v/>
      </c>
      <c r="H3280">
        <f>IF(A3280="","",'Employees'!F18)</f>
        <v/>
      </c>
    </row>
    <row r="3281">
      <c r="A3281">
        <f>IF(AND('Skill Matrix'!A210&lt;&gt;"",'Skill Matrix'!T5&lt;&gt;""),'Skill Matrix'!A210,"")</f>
        <v/>
      </c>
      <c r="B3281">
        <f>IF(A3281="","",'Employees'!C18)</f>
        <v/>
      </c>
      <c r="C3281">
        <f>IF(A3281="","",'Employees'!D18)</f>
        <v/>
      </c>
      <c r="D3281">
        <f>IF(A3281="","",'Skill Matrix'!C210)</f>
        <v/>
      </c>
      <c r="E3281">
        <f>IF(A3281="","",'Skill Matrix'!D210)</f>
        <v/>
      </c>
      <c r="F3281">
        <f>IF(AND('Skill Matrix'!A210&lt;&gt;"",'Skill Matrix'!T5&lt;&gt;""),'Skill Matrix'!T5,"")</f>
        <v/>
      </c>
      <c r="G3281">
        <f>IF(OR(A3281="",'Skill Matrix'!T210=""),"",'Skill Matrix'!T210)</f>
        <v/>
      </c>
      <c r="H3281">
        <f>IF(A3281="","",'Employees'!F18)</f>
        <v/>
      </c>
    </row>
    <row r="3282">
      <c r="A3282">
        <f>IF(AND('Skill Matrix'!A211&lt;&gt;"",'Skill Matrix'!E5&lt;&gt;""),'Skill Matrix'!A211,"")</f>
        <v/>
      </c>
      <c r="B3282">
        <f>IF(A3282="","",'Employees'!C18)</f>
        <v/>
      </c>
      <c r="C3282">
        <f>IF(A3282="","",'Employees'!D18)</f>
        <v/>
      </c>
      <c r="D3282">
        <f>IF(A3282="","",'Skill Matrix'!C211)</f>
        <v/>
      </c>
      <c r="E3282">
        <f>IF(A3282="","",'Skill Matrix'!D211)</f>
        <v/>
      </c>
      <c r="F3282">
        <f>IF(AND('Skill Matrix'!A211&lt;&gt;"",'Skill Matrix'!E5&lt;&gt;""),'Skill Matrix'!E5,"")</f>
        <v/>
      </c>
      <c r="G3282">
        <f>IF(OR(A3282="",'Skill Matrix'!E211=""),"",'Skill Matrix'!E211)</f>
        <v/>
      </c>
      <c r="H3282">
        <f>IF(A3282="","",'Employees'!F18)</f>
        <v/>
      </c>
    </row>
    <row r="3283">
      <c r="A3283">
        <f>IF(AND('Skill Matrix'!A211&lt;&gt;"",'Skill Matrix'!F5&lt;&gt;""),'Skill Matrix'!A211,"")</f>
        <v/>
      </c>
      <c r="B3283">
        <f>IF(A3283="","",'Employees'!C18)</f>
        <v/>
      </c>
      <c r="C3283">
        <f>IF(A3283="","",'Employees'!D18)</f>
        <v/>
      </c>
      <c r="D3283">
        <f>IF(A3283="","",'Skill Matrix'!C211)</f>
        <v/>
      </c>
      <c r="E3283">
        <f>IF(A3283="","",'Skill Matrix'!D211)</f>
        <v/>
      </c>
      <c r="F3283">
        <f>IF(AND('Skill Matrix'!A211&lt;&gt;"",'Skill Matrix'!F5&lt;&gt;""),'Skill Matrix'!F5,"")</f>
        <v/>
      </c>
      <c r="G3283">
        <f>IF(OR(A3283="",'Skill Matrix'!F211=""),"",'Skill Matrix'!F211)</f>
        <v/>
      </c>
      <c r="H3283">
        <f>IF(A3283="","",'Employees'!F18)</f>
        <v/>
      </c>
    </row>
    <row r="3284">
      <c r="A3284">
        <f>IF(AND('Skill Matrix'!A211&lt;&gt;"",'Skill Matrix'!G5&lt;&gt;""),'Skill Matrix'!A211,"")</f>
        <v/>
      </c>
      <c r="B3284">
        <f>IF(A3284="","",'Employees'!C18)</f>
        <v/>
      </c>
      <c r="C3284">
        <f>IF(A3284="","",'Employees'!D18)</f>
        <v/>
      </c>
      <c r="D3284">
        <f>IF(A3284="","",'Skill Matrix'!C211)</f>
        <v/>
      </c>
      <c r="E3284">
        <f>IF(A3284="","",'Skill Matrix'!D211)</f>
        <v/>
      </c>
      <c r="F3284">
        <f>IF(AND('Skill Matrix'!A211&lt;&gt;"",'Skill Matrix'!G5&lt;&gt;""),'Skill Matrix'!G5,"")</f>
        <v/>
      </c>
      <c r="G3284">
        <f>IF(OR(A3284="",'Skill Matrix'!G211=""),"",'Skill Matrix'!G211)</f>
        <v/>
      </c>
      <c r="H3284">
        <f>IF(A3284="","",'Employees'!F18)</f>
        <v/>
      </c>
    </row>
    <row r="3285">
      <c r="A3285">
        <f>IF(AND('Skill Matrix'!A211&lt;&gt;"",'Skill Matrix'!H5&lt;&gt;""),'Skill Matrix'!A211,"")</f>
        <v/>
      </c>
      <c r="B3285">
        <f>IF(A3285="","",'Employees'!C18)</f>
        <v/>
      </c>
      <c r="C3285">
        <f>IF(A3285="","",'Employees'!D18)</f>
        <v/>
      </c>
      <c r="D3285">
        <f>IF(A3285="","",'Skill Matrix'!C211)</f>
        <v/>
      </c>
      <c r="E3285">
        <f>IF(A3285="","",'Skill Matrix'!D211)</f>
        <v/>
      </c>
      <c r="F3285">
        <f>IF(AND('Skill Matrix'!A211&lt;&gt;"",'Skill Matrix'!H5&lt;&gt;""),'Skill Matrix'!H5,"")</f>
        <v/>
      </c>
      <c r="G3285">
        <f>IF(OR(A3285="",'Skill Matrix'!H211=""),"",'Skill Matrix'!H211)</f>
        <v/>
      </c>
      <c r="H3285">
        <f>IF(A3285="","",'Employees'!F18)</f>
        <v/>
      </c>
    </row>
    <row r="3286">
      <c r="A3286">
        <f>IF(AND('Skill Matrix'!A211&lt;&gt;"",'Skill Matrix'!I5&lt;&gt;""),'Skill Matrix'!A211,"")</f>
        <v/>
      </c>
      <c r="B3286">
        <f>IF(A3286="","",'Employees'!C18)</f>
        <v/>
      </c>
      <c r="C3286">
        <f>IF(A3286="","",'Employees'!D18)</f>
        <v/>
      </c>
      <c r="D3286">
        <f>IF(A3286="","",'Skill Matrix'!C211)</f>
        <v/>
      </c>
      <c r="E3286">
        <f>IF(A3286="","",'Skill Matrix'!D211)</f>
        <v/>
      </c>
      <c r="F3286">
        <f>IF(AND('Skill Matrix'!A211&lt;&gt;"",'Skill Matrix'!I5&lt;&gt;""),'Skill Matrix'!I5,"")</f>
        <v/>
      </c>
      <c r="G3286">
        <f>IF(OR(A3286="",'Skill Matrix'!I211=""),"",'Skill Matrix'!I211)</f>
        <v/>
      </c>
      <c r="H3286">
        <f>IF(A3286="","",'Employees'!F18)</f>
        <v/>
      </c>
    </row>
    <row r="3287">
      <c r="A3287">
        <f>IF(AND('Skill Matrix'!A211&lt;&gt;"",'Skill Matrix'!J5&lt;&gt;""),'Skill Matrix'!A211,"")</f>
        <v/>
      </c>
      <c r="B3287">
        <f>IF(A3287="","",'Employees'!C18)</f>
        <v/>
      </c>
      <c r="C3287">
        <f>IF(A3287="","",'Employees'!D18)</f>
        <v/>
      </c>
      <c r="D3287">
        <f>IF(A3287="","",'Skill Matrix'!C211)</f>
        <v/>
      </c>
      <c r="E3287">
        <f>IF(A3287="","",'Skill Matrix'!D211)</f>
        <v/>
      </c>
      <c r="F3287">
        <f>IF(AND('Skill Matrix'!A211&lt;&gt;"",'Skill Matrix'!J5&lt;&gt;""),'Skill Matrix'!J5,"")</f>
        <v/>
      </c>
      <c r="G3287">
        <f>IF(OR(A3287="",'Skill Matrix'!J211=""),"",'Skill Matrix'!J211)</f>
        <v/>
      </c>
      <c r="H3287">
        <f>IF(A3287="","",'Employees'!F18)</f>
        <v/>
      </c>
    </row>
    <row r="3288">
      <c r="A3288">
        <f>IF(AND('Skill Matrix'!A211&lt;&gt;"",'Skill Matrix'!K5&lt;&gt;""),'Skill Matrix'!A211,"")</f>
        <v/>
      </c>
      <c r="B3288">
        <f>IF(A3288="","",'Employees'!C18)</f>
        <v/>
      </c>
      <c r="C3288">
        <f>IF(A3288="","",'Employees'!D18)</f>
        <v/>
      </c>
      <c r="D3288">
        <f>IF(A3288="","",'Skill Matrix'!C211)</f>
        <v/>
      </c>
      <c r="E3288">
        <f>IF(A3288="","",'Skill Matrix'!D211)</f>
        <v/>
      </c>
      <c r="F3288">
        <f>IF(AND('Skill Matrix'!A211&lt;&gt;"",'Skill Matrix'!K5&lt;&gt;""),'Skill Matrix'!K5,"")</f>
        <v/>
      </c>
      <c r="G3288">
        <f>IF(OR(A3288="",'Skill Matrix'!K211=""),"",'Skill Matrix'!K211)</f>
        <v/>
      </c>
      <c r="H3288">
        <f>IF(A3288="","",'Employees'!F18)</f>
        <v/>
      </c>
    </row>
    <row r="3289">
      <c r="A3289">
        <f>IF(AND('Skill Matrix'!A211&lt;&gt;"",'Skill Matrix'!L5&lt;&gt;""),'Skill Matrix'!A211,"")</f>
        <v/>
      </c>
      <c r="B3289">
        <f>IF(A3289="","",'Employees'!C18)</f>
        <v/>
      </c>
      <c r="C3289">
        <f>IF(A3289="","",'Employees'!D18)</f>
        <v/>
      </c>
      <c r="D3289">
        <f>IF(A3289="","",'Skill Matrix'!C211)</f>
        <v/>
      </c>
      <c r="E3289">
        <f>IF(A3289="","",'Skill Matrix'!D211)</f>
        <v/>
      </c>
      <c r="F3289">
        <f>IF(AND('Skill Matrix'!A211&lt;&gt;"",'Skill Matrix'!L5&lt;&gt;""),'Skill Matrix'!L5,"")</f>
        <v/>
      </c>
      <c r="G3289">
        <f>IF(OR(A3289="",'Skill Matrix'!L211=""),"",'Skill Matrix'!L211)</f>
        <v/>
      </c>
      <c r="H3289">
        <f>IF(A3289="","",'Employees'!F18)</f>
        <v/>
      </c>
    </row>
    <row r="3290">
      <c r="A3290">
        <f>IF(AND('Skill Matrix'!A211&lt;&gt;"",'Skill Matrix'!M5&lt;&gt;""),'Skill Matrix'!A211,"")</f>
        <v/>
      </c>
      <c r="B3290">
        <f>IF(A3290="","",'Employees'!C18)</f>
        <v/>
      </c>
      <c r="C3290">
        <f>IF(A3290="","",'Employees'!D18)</f>
        <v/>
      </c>
      <c r="D3290">
        <f>IF(A3290="","",'Skill Matrix'!C211)</f>
        <v/>
      </c>
      <c r="E3290">
        <f>IF(A3290="","",'Skill Matrix'!D211)</f>
        <v/>
      </c>
      <c r="F3290">
        <f>IF(AND('Skill Matrix'!A211&lt;&gt;"",'Skill Matrix'!M5&lt;&gt;""),'Skill Matrix'!M5,"")</f>
        <v/>
      </c>
      <c r="G3290">
        <f>IF(OR(A3290="",'Skill Matrix'!M211=""),"",'Skill Matrix'!M211)</f>
        <v/>
      </c>
      <c r="H3290">
        <f>IF(A3290="","",'Employees'!F18)</f>
        <v/>
      </c>
    </row>
    <row r="3291">
      <c r="A3291">
        <f>IF(AND('Skill Matrix'!A211&lt;&gt;"",'Skill Matrix'!N5&lt;&gt;""),'Skill Matrix'!A211,"")</f>
        <v/>
      </c>
      <c r="B3291">
        <f>IF(A3291="","",'Employees'!C18)</f>
        <v/>
      </c>
      <c r="C3291">
        <f>IF(A3291="","",'Employees'!D18)</f>
        <v/>
      </c>
      <c r="D3291">
        <f>IF(A3291="","",'Skill Matrix'!C211)</f>
        <v/>
      </c>
      <c r="E3291">
        <f>IF(A3291="","",'Skill Matrix'!D211)</f>
        <v/>
      </c>
      <c r="F3291">
        <f>IF(AND('Skill Matrix'!A211&lt;&gt;"",'Skill Matrix'!N5&lt;&gt;""),'Skill Matrix'!N5,"")</f>
        <v/>
      </c>
      <c r="G3291">
        <f>IF(OR(A3291="",'Skill Matrix'!N211=""),"",'Skill Matrix'!N211)</f>
        <v/>
      </c>
      <c r="H3291">
        <f>IF(A3291="","",'Employees'!F18)</f>
        <v/>
      </c>
    </row>
    <row r="3292">
      <c r="A3292">
        <f>IF(AND('Skill Matrix'!A211&lt;&gt;"",'Skill Matrix'!O5&lt;&gt;""),'Skill Matrix'!A211,"")</f>
        <v/>
      </c>
      <c r="B3292">
        <f>IF(A3292="","",'Employees'!C18)</f>
        <v/>
      </c>
      <c r="C3292">
        <f>IF(A3292="","",'Employees'!D18)</f>
        <v/>
      </c>
      <c r="D3292">
        <f>IF(A3292="","",'Skill Matrix'!C211)</f>
        <v/>
      </c>
      <c r="E3292">
        <f>IF(A3292="","",'Skill Matrix'!D211)</f>
        <v/>
      </c>
      <c r="F3292">
        <f>IF(AND('Skill Matrix'!A211&lt;&gt;"",'Skill Matrix'!O5&lt;&gt;""),'Skill Matrix'!O5,"")</f>
        <v/>
      </c>
      <c r="G3292">
        <f>IF(OR(A3292="",'Skill Matrix'!O211=""),"",'Skill Matrix'!O211)</f>
        <v/>
      </c>
      <c r="H3292">
        <f>IF(A3292="","",'Employees'!F18)</f>
        <v/>
      </c>
    </row>
    <row r="3293">
      <c r="A3293">
        <f>IF(AND('Skill Matrix'!A211&lt;&gt;"",'Skill Matrix'!P5&lt;&gt;""),'Skill Matrix'!A211,"")</f>
        <v/>
      </c>
      <c r="B3293">
        <f>IF(A3293="","",'Employees'!C18)</f>
        <v/>
      </c>
      <c r="C3293">
        <f>IF(A3293="","",'Employees'!D18)</f>
        <v/>
      </c>
      <c r="D3293">
        <f>IF(A3293="","",'Skill Matrix'!C211)</f>
        <v/>
      </c>
      <c r="E3293">
        <f>IF(A3293="","",'Skill Matrix'!D211)</f>
        <v/>
      </c>
      <c r="F3293">
        <f>IF(AND('Skill Matrix'!A211&lt;&gt;"",'Skill Matrix'!P5&lt;&gt;""),'Skill Matrix'!P5,"")</f>
        <v/>
      </c>
      <c r="G3293">
        <f>IF(OR(A3293="",'Skill Matrix'!P211=""),"",'Skill Matrix'!P211)</f>
        <v/>
      </c>
      <c r="H3293">
        <f>IF(A3293="","",'Employees'!F18)</f>
        <v/>
      </c>
    </row>
    <row r="3294">
      <c r="A3294">
        <f>IF(AND('Skill Matrix'!A211&lt;&gt;"",'Skill Matrix'!Q5&lt;&gt;""),'Skill Matrix'!A211,"")</f>
        <v/>
      </c>
      <c r="B3294">
        <f>IF(A3294="","",'Employees'!C18)</f>
        <v/>
      </c>
      <c r="C3294">
        <f>IF(A3294="","",'Employees'!D18)</f>
        <v/>
      </c>
      <c r="D3294">
        <f>IF(A3294="","",'Skill Matrix'!C211)</f>
        <v/>
      </c>
      <c r="E3294">
        <f>IF(A3294="","",'Skill Matrix'!D211)</f>
        <v/>
      </c>
      <c r="F3294">
        <f>IF(AND('Skill Matrix'!A211&lt;&gt;"",'Skill Matrix'!Q5&lt;&gt;""),'Skill Matrix'!Q5,"")</f>
        <v/>
      </c>
      <c r="G3294">
        <f>IF(OR(A3294="",'Skill Matrix'!Q211=""),"",'Skill Matrix'!Q211)</f>
        <v/>
      </c>
      <c r="H3294">
        <f>IF(A3294="","",'Employees'!F18)</f>
        <v/>
      </c>
    </row>
    <row r="3295">
      <c r="A3295">
        <f>IF(AND('Skill Matrix'!A211&lt;&gt;"",'Skill Matrix'!R5&lt;&gt;""),'Skill Matrix'!A211,"")</f>
        <v/>
      </c>
      <c r="B3295">
        <f>IF(A3295="","",'Employees'!C18)</f>
        <v/>
      </c>
      <c r="C3295">
        <f>IF(A3295="","",'Employees'!D18)</f>
        <v/>
      </c>
      <c r="D3295">
        <f>IF(A3295="","",'Skill Matrix'!C211)</f>
        <v/>
      </c>
      <c r="E3295">
        <f>IF(A3295="","",'Skill Matrix'!D211)</f>
        <v/>
      </c>
      <c r="F3295">
        <f>IF(AND('Skill Matrix'!A211&lt;&gt;"",'Skill Matrix'!R5&lt;&gt;""),'Skill Matrix'!R5,"")</f>
        <v/>
      </c>
      <c r="G3295">
        <f>IF(OR(A3295="",'Skill Matrix'!R211=""),"",'Skill Matrix'!R211)</f>
        <v/>
      </c>
      <c r="H3295">
        <f>IF(A3295="","",'Employees'!F18)</f>
        <v/>
      </c>
    </row>
    <row r="3296">
      <c r="A3296">
        <f>IF(AND('Skill Matrix'!A211&lt;&gt;"",'Skill Matrix'!S5&lt;&gt;""),'Skill Matrix'!A211,"")</f>
        <v/>
      </c>
      <c r="B3296">
        <f>IF(A3296="","",'Employees'!C18)</f>
        <v/>
      </c>
      <c r="C3296">
        <f>IF(A3296="","",'Employees'!D18)</f>
        <v/>
      </c>
      <c r="D3296">
        <f>IF(A3296="","",'Skill Matrix'!C211)</f>
        <v/>
      </c>
      <c r="E3296">
        <f>IF(A3296="","",'Skill Matrix'!D211)</f>
        <v/>
      </c>
      <c r="F3296">
        <f>IF(AND('Skill Matrix'!A211&lt;&gt;"",'Skill Matrix'!S5&lt;&gt;""),'Skill Matrix'!S5,"")</f>
        <v/>
      </c>
      <c r="G3296">
        <f>IF(OR(A3296="",'Skill Matrix'!S211=""),"",'Skill Matrix'!S211)</f>
        <v/>
      </c>
      <c r="H3296">
        <f>IF(A3296="","",'Employees'!F18)</f>
        <v/>
      </c>
    </row>
    <row r="3297">
      <c r="A3297">
        <f>IF(AND('Skill Matrix'!A211&lt;&gt;"",'Skill Matrix'!T5&lt;&gt;""),'Skill Matrix'!A211,"")</f>
        <v/>
      </c>
      <c r="B3297">
        <f>IF(A3297="","",'Employees'!C18)</f>
        <v/>
      </c>
      <c r="C3297">
        <f>IF(A3297="","",'Employees'!D18)</f>
        <v/>
      </c>
      <c r="D3297">
        <f>IF(A3297="","",'Skill Matrix'!C211)</f>
        <v/>
      </c>
      <c r="E3297">
        <f>IF(A3297="","",'Skill Matrix'!D211)</f>
        <v/>
      </c>
      <c r="F3297">
        <f>IF(AND('Skill Matrix'!A211&lt;&gt;"",'Skill Matrix'!T5&lt;&gt;""),'Skill Matrix'!T5,"")</f>
        <v/>
      </c>
      <c r="G3297">
        <f>IF(OR(A3297="",'Skill Matrix'!T211=""),"",'Skill Matrix'!T211)</f>
        <v/>
      </c>
      <c r="H3297">
        <f>IF(A3297="","",'Employees'!F18)</f>
        <v/>
      </c>
    </row>
    <row r="3298">
      <c r="A3298">
        <f>IF(AND('Skill Matrix'!A212&lt;&gt;"",'Skill Matrix'!E5&lt;&gt;""),'Skill Matrix'!A212,"")</f>
        <v/>
      </c>
      <c r="B3298">
        <f>IF(A3298="","",'Employees'!C18)</f>
        <v/>
      </c>
      <c r="C3298">
        <f>IF(A3298="","",'Employees'!D18)</f>
        <v/>
      </c>
      <c r="D3298">
        <f>IF(A3298="","",'Skill Matrix'!C212)</f>
        <v/>
      </c>
      <c r="E3298">
        <f>IF(A3298="","",'Skill Matrix'!D212)</f>
        <v/>
      </c>
      <c r="F3298">
        <f>IF(AND('Skill Matrix'!A212&lt;&gt;"",'Skill Matrix'!E5&lt;&gt;""),'Skill Matrix'!E5,"")</f>
        <v/>
      </c>
      <c r="G3298">
        <f>IF(OR(A3298="",'Skill Matrix'!E212=""),"",'Skill Matrix'!E212)</f>
        <v/>
      </c>
      <c r="H3298">
        <f>IF(A3298="","",'Employees'!F18)</f>
        <v/>
      </c>
    </row>
    <row r="3299">
      <c r="A3299">
        <f>IF(AND('Skill Matrix'!A212&lt;&gt;"",'Skill Matrix'!F5&lt;&gt;""),'Skill Matrix'!A212,"")</f>
        <v/>
      </c>
      <c r="B3299">
        <f>IF(A3299="","",'Employees'!C18)</f>
        <v/>
      </c>
      <c r="C3299">
        <f>IF(A3299="","",'Employees'!D18)</f>
        <v/>
      </c>
      <c r="D3299">
        <f>IF(A3299="","",'Skill Matrix'!C212)</f>
        <v/>
      </c>
      <c r="E3299">
        <f>IF(A3299="","",'Skill Matrix'!D212)</f>
        <v/>
      </c>
      <c r="F3299">
        <f>IF(AND('Skill Matrix'!A212&lt;&gt;"",'Skill Matrix'!F5&lt;&gt;""),'Skill Matrix'!F5,"")</f>
        <v/>
      </c>
      <c r="G3299">
        <f>IF(OR(A3299="",'Skill Matrix'!F212=""),"",'Skill Matrix'!F212)</f>
        <v/>
      </c>
      <c r="H3299">
        <f>IF(A3299="","",'Employees'!F18)</f>
        <v/>
      </c>
    </row>
    <row r="3300">
      <c r="A3300">
        <f>IF(AND('Skill Matrix'!A212&lt;&gt;"",'Skill Matrix'!G5&lt;&gt;""),'Skill Matrix'!A212,"")</f>
        <v/>
      </c>
      <c r="B3300">
        <f>IF(A3300="","",'Employees'!C18)</f>
        <v/>
      </c>
      <c r="C3300">
        <f>IF(A3300="","",'Employees'!D18)</f>
        <v/>
      </c>
      <c r="D3300">
        <f>IF(A3300="","",'Skill Matrix'!C212)</f>
        <v/>
      </c>
      <c r="E3300">
        <f>IF(A3300="","",'Skill Matrix'!D212)</f>
        <v/>
      </c>
      <c r="F3300">
        <f>IF(AND('Skill Matrix'!A212&lt;&gt;"",'Skill Matrix'!G5&lt;&gt;""),'Skill Matrix'!G5,"")</f>
        <v/>
      </c>
      <c r="G3300">
        <f>IF(OR(A3300="",'Skill Matrix'!G212=""),"",'Skill Matrix'!G212)</f>
        <v/>
      </c>
      <c r="H3300">
        <f>IF(A3300="","",'Employees'!F18)</f>
        <v/>
      </c>
    </row>
    <row r="3301">
      <c r="A3301">
        <f>IF(AND('Skill Matrix'!A212&lt;&gt;"",'Skill Matrix'!H5&lt;&gt;""),'Skill Matrix'!A212,"")</f>
        <v/>
      </c>
      <c r="B3301">
        <f>IF(A3301="","",'Employees'!C18)</f>
        <v/>
      </c>
      <c r="C3301">
        <f>IF(A3301="","",'Employees'!D18)</f>
        <v/>
      </c>
      <c r="D3301">
        <f>IF(A3301="","",'Skill Matrix'!C212)</f>
        <v/>
      </c>
      <c r="E3301">
        <f>IF(A3301="","",'Skill Matrix'!D212)</f>
        <v/>
      </c>
      <c r="F3301">
        <f>IF(AND('Skill Matrix'!A212&lt;&gt;"",'Skill Matrix'!H5&lt;&gt;""),'Skill Matrix'!H5,"")</f>
        <v/>
      </c>
      <c r="G3301">
        <f>IF(OR(A3301="",'Skill Matrix'!H212=""),"",'Skill Matrix'!H212)</f>
        <v/>
      </c>
      <c r="H3301">
        <f>IF(A3301="","",'Employees'!F18)</f>
        <v/>
      </c>
    </row>
    <row r="3302">
      <c r="A3302">
        <f>IF(AND('Skill Matrix'!A212&lt;&gt;"",'Skill Matrix'!I5&lt;&gt;""),'Skill Matrix'!A212,"")</f>
        <v/>
      </c>
      <c r="B3302">
        <f>IF(A3302="","",'Employees'!C18)</f>
        <v/>
      </c>
      <c r="C3302">
        <f>IF(A3302="","",'Employees'!D18)</f>
        <v/>
      </c>
      <c r="D3302">
        <f>IF(A3302="","",'Skill Matrix'!C212)</f>
        <v/>
      </c>
      <c r="E3302">
        <f>IF(A3302="","",'Skill Matrix'!D212)</f>
        <v/>
      </c>
      <c r="F3302">
        <f>IF(AND('Skill Matrix'!A212&lt;&gt;"",'Skill Matrix'!I5&lt;&gt;""),'Skill Matrix'!I5,"")</f>
        <v/>
      </c>
      <c r="G3302">
        <f>IF(OR(A3302="",'Skill Matrix'!I212=""),"",'Skill Matrix'!I212)</f>
        <v/>
      </c>
      <c r="H3302">
        <f>IF(A3302="","",'Employees'!F18)</f>
        <v/>
      </c>
    </row>
    <row r="3303">
      <c r="A3303">
        <f>IF(AND('Skill Matrix'!A212&lt;&gt;"",'Skill Matrix'!J5&lt;&gt;""),'Skill Matrix'!A212,"")</f>
        <v/>
      </c>
      <c r="B3303">
        <f>IF(A3303="","",'Employees'!C18)</f>
        <v/>
      </c>
      <c r="C3303">
        <f>IF(A3303="","",'Employees'!D18)</f>
        <v/>
      </c>
      <c r="D3303">
        <f>IF(A3303="","",'Skill Matrix'!C212)</f>
        <v/>
      </c>
      <c r="E3303">
        <f>IF(A3303="","",'Skill Matrix'!D212)</f>
        <v/>
      </c>
      <c r="F3303">
        <f>IF(AND('Skill Matrix'!A212&lt;&gt;"",'Skill Matrix'!J5&lt;&gt;""),'Skill Matrix'!J5,"")</f>
        <v/>
      </c>
      <c r="G3303">
        <f>IF(OR(A3303="",'Skill Matrix'!J212=""),"",'Skill Matrix'!J212)</f>
        <v/>
      </c>
      <c r="H3303">
        <f>IF(A3303="","",'Employees'!F18)</f>
        <v/>
      </c>
    </row>
    <row r="3304">
      <c r="A3304">
        <f>IF(AND('Skill Matrix'!A212&lt;&gt;"",'Skill Matrix'!K5&lt;&gt;""),'Skill Matrix'!A212,"")</f>
        <v/>
      </c>
      <c r="B3304">
        <f>IF(A3304="","",'Employees'!C18)</f>
        <v/>
      </c>
      <c r="C3304">
        <f>IF(A3304="","",'Employees'!D18)</f>
        <v/>
      </c>
      <c r="D3304">
        <f>IF(A3304="","",'Skill Matrix'!C212)</f>
        <v/>
      </c>
      <c r="E3304">
        <f>IF(A3304="","",'Skill Matrix'!D212)</f>
        <v/>
      </c>
      <c r="F3304">
        <f>IF(AND('Skill Matrix'!A212&lt;&gt;"",'Skill Matrix'!K5&lt;&gt;""),'Skill Matrix'!K5,"")</f>
        <v/>
      </c>
      <c r="G3304">
        <f>IF(OR(A3304="",'Skill Matrix'!K212=""),"",'Skill Matrix'!K212)</f>
        <v/>
      </c>
      <c r="H3304">
        <f>IF(A3304="","",'Employees'!F18)</f>
        <v/>
      </c>
    </row>
    <row r="3305">
      <c r="A3305">
        <f>IF(AND('Skill Matrix'!A212&lt;&gt;"",'Skill Matrix'!L5&lt;&gt;""),'Skill Matrix'!A212,"")</f>
        <v/>
      </c>
      <c r="B3305">
        <f>IF(A3305="","",'Employees'!C18)</f>
        <v/>
      </c>
      <c r="C3305">
        <f>IF(A3305="","",'Employees'!D18)</f>
        <v/>
      </c>
      <c r="D3305">
        <f>IF(A3305="","",'Skill Matrix'!C212)</f>
        <v/>
      </c>
      <c r="E3305">
        <f>IF(A3305="","",'Skill Matrix'!D212)</f>
        <v/>
      </c>
      <c r="F3305">
        <f>IF(AND('Skill Matrix'!A212&lt;&gt;"",'Skill Matrix'!L5&lt;&gt;""),'Skill Matrix'!L5,"")</f>
        <v/>
      </c>
      <c r="G3305">
        <f>IF(OR(A3305="",'Skill Matrix'!L212=""),"",'Skill Matrix'!L212)</f>
        <v/>
      </c>
      <c r="H3305">
        <f>IF(A3305="","",'Employees'!F18)</f>
        <v/>
      </c>
    </row>
    <row r="3306">
      <c r="A3306">
        <f>IF(AND('Skill Matrix'!A212&lt;&gt;"",'Skill Matrix'!M5&lt;&gt;""),'Skill Matrix'!A212,"")</f>
        <v/>
      </c>
      <c r="B3306">
        <f>IF(A3306="","",'Employees'!C18)</f>
        <v/>
      </c>
      <c r="C3306">
        <f>IF(A3306="","",'Employees'!D18)</f>
        <v/>
      </c>
      <c r="D3306">
        <f>IF(A3306="","",'Skill Matrix'!C212)</f>
        <v/>
      </c>
      <c r="E3306">
        <f>IF(A3306="","",'Skill Matrix'!D212)</f>
        <v/>
      </c>
      <c r="F3306">
        <f>IF(AND('Skill Matrix'!A212&lt;&gt;"",'Skill Matrix'!M5&lt;&gt;""),'Skill Matrix'!M5,"")</f>
        <v/>
      </c>
      <c r="G3306">
        <f>IF(OR(A3306="",'Skill Matrix'!M212=""),"",'Skill Matrix'!M212)</f>
        <v/>
      </c>
      <c r="H3306">
        <f>IF(A3306="","",'Employees'!F18)</f>
        <v/>
      </c>
    </row>
    <row r="3307">
      <c r="A3307">
        <f>IF(AND('Skill Matrix'!A212&lt;&gt;"",'Skill Matrix'!N5&lt;&gt;""),'Skill Matrix'!A212,"")</f>
        <v/>
      </c>
      <c r="B3307">
        <f>IF(A3307="","",'Employees'!C18)</f>
        <v/>
      </c>
      <c r="C3307">
        <f>IF(A3307="","",'Employees'!D18)</f>
        <v/>
      </c>
      <c r="D3307">
        <f>IF(A3307="","",'Skill Matrix'!C212)</f>
        <v/>
      </c>
      <c r="E3307">
        <f>IF(A3307="","",'Skill Matrix'!D212)</f>
        <v/>
      </c>
      <c r="F3307">
        <f>IF(AND('Skill Matrix'!A212&lt;&gt;"",'Skill Matrix'!N5&lt;&gt;""),'Skill Matrix'!N5,"")</f>
        <v/>
      </c>
      <c r="G3307">
        <f>IF(OR(A3307="",'Skill Matrix'!N212=""),"",'Skill Matrix'!N212)</f>
        <v/>
      </c>
      <c r="H3307">
        <f>IF(A3307="","",'Employees'!F18)</f>
        <v/>
      </c>
    </row>
    <row r="3308">
      <c r="A3308">
        <f>IF(AND('Skill Matrix'!A212&lt;&gt;"",'Skill Matrix'!O5&lt;&gt;""),'Skill Matrix'!A212,"")</f>
        <v/>
      </c>
      <c r="B3308">
        <f>IF(A3308="","",'Employees'!C18)</f>
        <v/>
      </c>
      <c r="C3308">
        <f>IF(A3308="","",'Employees'!D18)</f>
        <v/>
      </c>
      <c r="D3308">
        <f>IF(A3308="","",'Skill Matrix'!C212)</f>
        <v/>
      </c>
      <c r="E3308">
        <f>IF(A3308="","",'Skill Matrix'!D212)</f>
        <v/>
      </c>
      <c r="F3308">
        <f>IF(AND('Skill Matrix'!A212&lt;&gt;"",'Skill Matrix'!O5&lt;&gt;""),'Skill Matrix'!O5,"")</f>
        <v/>
      </c>
      <c r="G3308">
        <f>IF(OR(A3308="",'Skill Matrix'!O212=""),"",'Skill Matrix'!O212)</f>
        <v/>
      </c>
      <c r="H3308">
        <f>IF(A3308="","",'Employees'!F18)</f>
        <v/>
      </c>
    </row>
    <row r="3309">
      <c r="A3309">
        <f>IF(AND('Skill Matrix'!A212&lt;&gt;"",'Skill Matrix'!P5&lt;&gt;""),'Skill Matrix'!A212,"")</f>
        <v/>
      </c>
      <c r="B3309">
        <f>IF(A3309="","",'Employees'!C18)</f>
        <v/>
      </c>
      <c r="C3309">
        <f>IF(A3309="","",'Employees'!D18)</f>
        <v/>
      </c>
      <c r="D3309">
        <f>IF(A3309="","",'Skill Matrix'!C212)</f>
        <v/>
      </c>
      <c r="E3309">
        <f>IF(A3309="","",'Skill Matrix'!D212)</f>
        <v/>
      </c>
      <c r="F3309">
        <f>IF(AND('Skill Matrix'!A212&lt;&gt;"",'Skill Matrix'!P5&lt;&gt;""),'Skill Matrix'!P5,"")</f>
        <v/>
      </c>
      <c r="G3309">
        <f>IF(OR(A3309="",'Skill Matrix'!P212=""),"",'Skill Matrix'!P212)</f>
        <v/>
      </c>
      <c r="H3309">
        <f>IF(A3309="","",'Employees'!F18)</f>
        <v/>
      </c>
    </row>
    <row r="3310">
      <c r="A3310">
        <f>IF(AND('Skill Matrix'!A212&lt;&gt;"",'Skill Matrix'!Q5&lt;&gt;""),'Skill Matrix'!A212,"")</f>
        <v/>
      </c>
      <c r="B3310">
        <f>IF(A3310="","",'Employees'!C18)</f>
        <v/>
      </c>
      <c r="C3310">
        <f>IF(A3310="","",'Employees'!D18)</f>
        <v/>
      </c>
      <c r="D3310">
        <f>IF(A3310="","",'Skill Matrix'!C212)</f>
        <v/>
      </c>
      <c r="E3310">
        <f>IF(A3310="","",'Skill Matrix'!D212)</f>
        <v/>
      </c>
      <c r="F3310">
        <f>IF(AND('Skill Matrix'!A212&lt;&gt;"",'Skill Matrix'!Q5&lt;&gt;""),'Skill Matrix'!Q5,"")</f>
        <v/>
      </c>
      <c r="G3310">
        <f>IF(OR(A3310="",'Skill Matrix'!Q212=""),"",'Skill Matrix'!Q212)</f>
        <v/>
      </c>
      <c r="H3310">
        <f>IF(A3310="","",'Employees'!F18)</f>
        <v/>
      </c>
    </row>
    <row r="3311">
      <c r="A3311">
        <f>IF(AND('Skill Matrix'!A212&lt;&gt;"",'Skill Matrix'!R5&lt;&gt;""),'Skill Matrix'!A212,"")</f>
        <v/>
      </c>
      <c r="B3311">
        <f>IF(A3311="","",'Employees'!C18)</f>
        <v/>
      </c>
      <c r="C3311">
        <f>IF(A3311="","",'Employees'!D18)</f>
        <v/>
      </c>
      <c r="D3311">
        <f>IF(A3311="","",'Skill Matrix'!C212)</f>
        <v/>
      </c>
      <c r="E3311">
        <f>IF(A3311="","",'Skill Matrix'!D212)</f>
        <v/>
      </c>
      <c r="F3311">
        <f>IF(AND('Skill Matrix'!A212&lt;&gt;"",'Skill Matrix'!R5&lt;&gt;""),'Skill Matrix'!R5,"")</f>
        <v/>
      </c>
      <c r="G3311">
        <f>IF(OR(A3311="",'Skill Matrix'!R212=""),"",'Skill Matrix'!R212)</f>
        <v/>
      </c>
      <c r="H3311">
        <f>IF(A3311="","",'Employees'!F18)</f>
        <v/>
      </c>
    </row>
    <row r="3312">
      <c r="A3312">
        <f>IF(AND('Skill Matrix'!A212&lt;&gt;"",'Skill Matrix'!S5&lt;&gt;""),'Skill Matrix'!A212,"")</f>
        <v/>
      </c>
      <c r="B3312">
        <f>IF(A3312="","",'Employees'!C18)</f>
        <v/>
      </c>
      <c r="C3312">
        <f>IF(A3312="","",'Employees'!D18)</f>
        <v/>
      </c>
      <c r="D3312">
        <f>IF(A3312="","",'Skill Matrix'!C212)</f>
        <v/>
      </c>
      <c r="E3312">
        <f>IF(A3312="","",'Skill Matrix'!D212)</f>
        <v/>
      </c>
      <c r="F3312">
        <f>IF(AND('Skill Matrix'!A212&lt;&gt;"",'Skill Matrix'!S5&lt;&gt;""),'Skill Matrix'!S5,"")</f>
        <v/>
      </c>
      <c r="G3312">
        <f>IF(OR(A3312="",'Skill Matrix'!S212=""),"",'Skill Matrix'!S212)</f>
        <v/>
      </c>
      <c r="H3312">
        <f>IF(A3312="","",'Employees'!F18)</f>
        <v/>
      </c>
    </row>
    <row r="3313">
      <c r="A3313">
        <f>IF(AND('Skill Matrix'!A212&lt;&gt;"",'Skill Matrix'!T5&lt;&gt;""),'Skill Matrix'!A212,"")</f>
        <v/>
      </c>
      <c r="B3313">
        <f>IF(A3313="","",'Employees'!C18)</f>
        <v/>
      </c>
      <c r="C3313">
        <f>IF(A3313="","",'Employees'!D18)</f>
        <v/>
      </c>
      <c r="D3313">
        <f>IF(A3313="","",'Skill Matrix'!C212)</f>
        <v/>
      </c>
      <c r="E3313">
        <f>IF(A3313="","",'Skill Matrix'!D212)</f>
        <v/>
      </c>
      <c r="F3313">
        <f>IF(AND('Skill Matrix'!A212&lt;&gt;"",'Skill Matrix'!T5&lt;&gt;""),'Skill Matrix'!T5,"")</f>
        <v/>
      </c>
      <c r="G3313">
        <f>IF(OR(A3313="",'Skill Matrix'!T212=""),"",'Skill Matrix'!T212)</f>
        <v/>
      </c>
      <c r="H3313">
        <f>IF(A3313="","",'Employees'!F18)</f>
        <v/>
      </c>
    </row>
    <row r="3314">
      <c r="A3314">
        <f>IF(AND('Skill Matrix'!A213&lt;&gt;"",'Skill Matrix'!E5&lt;&gt;""),'Skill Matrix'!A213,"")</f>
        <v/>
      </c>
      <c r="B3314">
        <f>IF(A3314="","",'Employees'!C18)</f>
        <v/>
      </c>
      <c r="C3314">
        <f>IF(A3314="","",'Employees'!D18)</f>
        <v/>
      </c>
      <c r="D3314">
        <f>IF(A3314="","",'Skill Matrix'!C213)</f>
        <v/>
      </c>
      <c r="E3314">
        <f>IF(A3314="","",'Skill Matrix'!D213)</f>
        <v/>
      </c>
      <c r="F3314">
        <f>IF(AND('Skill Matrix'!A213&lt;&gt;"",'Skill Matrix'!E5&lt;&gt;""),'Skill Matrix'!E5,"")</f>
        <v/>
      </c>
      <c r="G3314">
        <f>IF(OR(A3314="",'Skill Matrix'!E213=""),"",'Skill Matrix'!E213)</f>
        <v/>
      </c>
      <c r="H3314">
        <f>IF(A3314="","",'Employees'!F18)</f>
        <v/>
      </c>
    </row>
    <row r="3315">
      <c r="A3315">
        <f>IF(AND('Skill Matrix'!A213&lt;&gt;"",'Skill Matrix'!F5&lt;&gt;""),'Skill Matrix'!A213,"")</f>
        <v/>
      </c>
      <c r="B3315">
        <f>IF(A3315="","",'Employees'!C18)</f>
        <v/>
      </c>
      <c r="C3315">
        <f>IF(A3315="","",'Employees'!D18)</f>
        <v/>
      </c>
      <c r="D3315">
        <f>IF(A3315="","",'Skill Matrix'!C213)</f>
        <v/>
      </c>
      <c r="E3315">
        <f>IF(A3315="","",'Skill Matrix'!D213)</f>
        <v/>
      </c>
      <c r="F3315">
        <f>IF(AND('Skill Matrix'!A213&lt;&gt;"",'Skill Matrix'!F5&lt;&gt;""),'Skill Matrix'!F5,"")</f>
        <v/>
      </c>
      <c r="G3315">
        <f>IF(OR(A3315="",'Skill Matrix'!F213=""),"",'Skill Matrix'!F213)</f>
        <v/>
      </c>
      <c r="H3315">
        <f>IF(A3315="","",'Employees'!F18)</f>
        <v/>
      </c>
    </row>
    <row r="3316">
      <c r="A3316">
        <f>IF(AND('Skill Matrix'!A213&lt;&gt;"",'Skill Matrix'!G5&lt;&gt;""),'Skill Matrix'!A213,"")</f>
        <v/>
      </c>
      <c r="B3316">
        <f>IF(A3316="","",'Employees'!C18)</f>
        <v/>
      </c>
      <c r="C3316">
        <f>IF(A3316="","",'Employees'!D18)</f>
        <v/>
      </c>
      <c r="D3316">
        <f>IF(A3316="","",'Skill Matrix'!C213)</f>
        <v/>
      </c>
      <c r="E3316">
        <f>IF(A3316="","",'Skill Matrix'!D213)</f>
        <v/>
      </c>
      <c r="F3316">
        <f>IF(AND('Skill Matrix'!A213&lt;&gt;"",'Skill Matrix'!G5&lt;&gt;""),'Skill Matrix'!G5,"")</f>
        <v/>
      </c>
      <c r="G3316">
        <f>IF(OR(A3316="",'Skill Matrix'!G213=""),"",'Skill Matrix'!G213)</f>
        <v/>
      </c>
      <c r="H3316">
        <f>IF(A3316="","",'Employees'!F18)</f>
        <v/>
      </c>
    </row>
    <row r="3317">
      <c r="A3317">
        <f>IF(AND('Skill Matrix'!A213&lt;&gt;"",'Skill Matrix'!H5&lt;&gt;""),'Skill Matrix'!A213,"")</f>
        <v/>
      </c>
      <c r="B3317">
        <f>IF(A3317="","",'Employees'!C18)</f>
        <v/>
      </c>
      <c r="C3317">
        <f>IF(A3317="","",'Employees'!D18)</f>
        <v/>
      </c>
      <c r="D3317">
        <f>IF(A3317="","",'Skill Matrix'!C213)</f>
        <v/>
      </c>
      <c r="E3317">
        <f>IF(A3317="","",'Skill Matrix'!D213)</f>
        <v/>
      </c>
      <c r="F3317">
        <f>IF(AND('Skill Matrix'!A213&lt;&gt;"",'Skill Matrix'!H5&lt;&gt;""),'Skill Matrix'!H5,"")</f>
        <v/>
      </c>
      <c r="G3317">
        <f>IF(OR(A3317="",'Skill Matrix'!H213=""),"",'Skill Matrix'!H213)</f>
        <v/>
      </c>
      <c r="H3317">
        <f>IF(A3317="","",'Employees'!F18)</f>
        <v/>
      </c>
    </row>
    <row r="3318">
      <c r="A3318">
        <f>IF(AND('Skill Matrix'!A213&lt;&gt;"",'Skill Matrix'!I5&lt;&gt;""),'Skill Matrix'!A213,"")</f>
        <v/>
      </c>
      <c r="B3318">
        <f>IF(A3318="","",'Employees'!C18)</f>
        <v/>
      </c>
      <c r="C3318">
        <f>IF(A3318="","",'Employees'!D18)</f>
        <v/>
      </c>
      <c r="D3318">
        <f>IF(A3318="","",'Skill Matrix'!C213)</f>
        <v/>
      </c>
      <c r="E3318">
        <f>IF(A3318="","",'Skill Matrix'!D213)</f>
        <v/>
      </c>
      <c r="F3318">
        <f>IF(AND('Skill Matrix'!A213&lt;&gt;"",'Skill Matrix'!I5&lt;&gt;""),'Skill Matrix'!I5,"")</f>
        <v/>
      </c>
      <c r="G3318">
        <f>IF(OR(A3318="",'Skill Matrix'!I213=""),"",'Skill Matrix'!I213)</f>
        <v/>
      </c>
      <c r="H3318">
        <f>IF(A3318="","",'Employees'!F18)</f>
        <v/>
      </c>
    </row>
    <row r="3319">
      <c r="A3319">
        <f>IF(AND('Skill Matrix'!A213&lt;&gt;"",'Skill Matrix'!J5&lt;&gt;""),'Skill Matrix'!A213,"")</f>
        <v/>
      </c>
      <c r="B3319">
        <f>IF(A3319="","",'Employees'!C18)</f>
        <v/>
      </c>
      <c r="C3319">
        <f>IF(A3319="","",'Employees'!D18)</f>
        <v/>
      </c>
      <c r="D3319">
        <f>IF(A3319="","",'Skill Matrix'!C213)</f>
        <v/>
      </c>
      <c r="E3319">
        <f>IF(A3319="","",'Skill Matrix'!D213)</f>
        <v/>
      </c>
      <c r="F3319">
        <f>IF(AND('Skill Matrix'!A213&lt;&gt;"",'Skill Matrix'!J5&lt;&gt;""),'Skill Matrix'!J5,"")</f>
        <v/>
      </c>
      <c r="G3319">
        <f>IF(OR(A3319="",'Skill Matrix'!J213=""),"",'Skill Matrix'!J213)</f>
        <v/>
      </c>
      <c r="H3319">
        <f>IF(A3319="","",'Employees'!F18)</f>
        <v/>
      </c>
    </row>
    <row r="3320">
      <c r="A3320">
        <f>IF(AND('Skill Matrix'!A213&lt;&gt;"",'Skill Matrix'!K5&lt;&gt;""),'Skill Matrix'!A213,"")</f>
        <v/>
      </c>
      <c r="B3320">
        <f>IF(A3320="","",'Employees'!C18)</f>
        <v/>
      </c>
      <c r="C3320">
        <f>IF(A3320="","",'Employees'!D18)</f>
        <v/>
      </c>
      <c r="D3320">
        <f>IF(A3320="","",'Skill Matrix'!C213)</f>
        <v/>
      </c>
      <c r="E3320">
        <f>IF(A3320="","",'Skill Matrix'!D213)</f>
        <v/>
      </c>
      <c r="F3320">
        <f>IF(AND('Skill Matrix'!A213&lt;&gt;"",'Skill Matrix'!K5&lt;&gt;""),'Skill Matrix'!K5,"")</f>
        <v/>
      </c>
      <c r="G3320">
        <f>IF(OR(A3320="",'Skill Matrix'!K213=""),"",'Skill Matrix'!K213)</f>
        <v/>
      </c>
      <c r="H3320">
        <f>IF(A3320="","",'Employees'!F18)</f>
        <v/>
      </c>
    </row>
    <row r="3321">
      <c r="A3321">
        <f>IF(AND('Skill Matrix'!A213&lt;&gt;"",'Skill Matrix'!L5&lt;&gt;""),'Skill Matrix'!A213,"")</f>
        <v/>
      </c>
      <c r="B3321">
        <f>IF(A3321="","",'Employees'!C18)</f>
        <v/>
      </c>
      <c r="C3321">
        <f>IF(A3321="","",'Employees'!D18)</f>
        <v/>
      </c>
      <c r="D3321">
        <f>IF(A3321="","",'Skill Matrix'!C213)</f>
        <v/>
      </c>
      <c r="E3321">
        <f>IF(A3321="","",'Skill Matrix'!D213)</f>
        <v/>
      </c>
      <c r="F3321">
        <f>IF(AND('Skill Matrix'!A213&lt;&gt;"",'Skill Matrix'!L5&lt;&gt;""),'Skill Matrix'!L5,"")</f>
        <v/>
      </c>
      <c r="G3321">
        <f>IF(OR(A3321="",'Skill Matrix'!L213=""),"",'Skill Matrix'!L213)</f>
        <v/>
      </c>
      <c r="H3321">
        <f>IF(A3321="","",'Employees'!F18)</f>
        <v/>
      </c>
    </row>
    <row r="3322">
      <c r="A3322">
        <f>IF(AND('Skill Matrix'!A213&lt;&gt;"",'Skill Matrix'!M5&lt;&gt;""),'Skill Matrix'!A213,"")</f>
        <v/>
      </c>
      <c r="B3322">
        <f>IF(A3322="","",'Employees'!C18)</f>
        <v/>
      </c>
      <c r="C3322">
        <f>IF(A3322="","",'Employees'!D18)</f>
        <v/>
      </c>
      <c r="D3322">
        <f>IF(A3322="","",'Skill Matrix'!C213)</f>
        <v/>
      </c>
      <c r="E3322">
        <f>IF(A3322="","",'Skill Matrix'!D213)</f>
        <v/>
      </c>
      <c r="F3322">
        <f>IF(AND('Skill Matrix'!A213&lt;&gt;"",'Skill Matrix'!M5&lt;&gt;""),'Skill Matrix'!M5,"")</f>
        <v/>
      </c>
      <c r="G3322">
        <f>IF(OR(A3322="",'Skill Matrix'!M213=""),"",'Skill Matrix'!M213)</f>
        <v/>
      </c>
      <c r="H3322">
        <f>IF(A3322="","",'Employees'!F18)</f>
        <v/>
      </c>
    </row>
    <row r="3323">
      <c r="A3323">
        <f>IF(AND('Skill Matrix'!A213&lt;&gt;"",'Skill Matrix'!N5&lt;&gt;""),'Skill Matrix'!A213,"")</f>
        <v/>
      </c>
      <c r="B3323">
        <f>IF(A3323="","",'Employees'!C18)</f>
        <v/>
      </c>
      <c r="C3323">
        <f>IF(A3323="","",'Employees'!D18)</f>
        <v/>
      </c>
      <c r="D3323">
        <f>IF(A3323="","",'Skill Matrix'!C213)</f>
        <v/>
      </c>
      <c r="E3323">
        <f>IF(A3323="","",'Skill Matrix'!D213)</f>
        <v/>
      </c>
      <c r="F3323">
        <f>IF(AND('Skill Matrix'!A213&lt;&gt;"",'Skill Matrix'!N5&lt;&gt;""),'Skill Matrix'!N5,"")</f>
        <v/>
      </c>
      <c r="G3323">
        <f>IF(OR(A3323="",'Skill Matrix'!N213=""),"",'Skill Matrix'!N213)</f>
        <v/>
      </c>
      <c r="H3323">
        <f>IF(A3323="","",'Employees'!F18)</f>
        <v/>
      </c>
    </row>
    <row r="3324">
      <c r="A3324">
        <f>IF(AND('Skill Matrix'!A213&lt;&gt;"",'Skill Matrix'!O5&lt;&gt;""),'Skill Matrix'!A213,"")</f>
        <v/>
      </c>
      <c r="B3324">
        <f>IF(A3324="","",'Employees'!C18)</f>
        <v/>
      </c>
      <c r="C3324">
        <f>IF(A3324="","",'Employees'!D18)</f>
        <v/>
      </c>
      <c r="D3324">
        <f>IF(A3324="","",'Skill Matrix'!C213)</f>
        <v/>
      </c>
      <c r="E3324">
        <f>IF(A3324="","",'Skill Matrix'!D213)</f>
        <v/>
      </c>
      <c r="F3324">
        <f>IF(AND('Skill Matrix'!A213&lt;&gt;"",'Skill Matrix'!O5&lt;&gt;""),'Skill Matrix'!O5,"")</f>
        <v/>
      </c>
      <c r="G3324">
        <f>IF(OR(A3324="",'Skill Matrix'!O213=""),"",'Skill Matrix'!O213)</f>
        <v/>
      </c>
      <c r="H3324">
        <f>IF(A3324="","",'Employees'!F18)</f>
        <v/>
      </c>
    </row>
    <row r="3325">
      <c r="A3325">
        <f>IF(AND('Skill Matrix'!A213&lt;&gt;"",'Skill Matrix'!P5&lt;&gt;""),'Skill Matrix'!A213,"")</f>
        <v/>
      </c>
      <c r="B3325">
        <f>IF(A3325="","",'Employees'!C18)</f>
        <v/>
      </c>
      <c r="C3325">
        <f>IF(A3325="","",'Employees'!D18)</f>
        <v/>
      </c>
      <c r="D3325">
        <f>IF(A3325="","",'Skill Matrix'!C213)</f>
        <v/>
      </c>
      <c r="E3325">
        <f>IF(A3325="","",'Skill Matrix'!D213)</f>
        <v/>
      </c>
      <c r="F3325">
        <f>IF(AND('Skill Matrix'!A213&lt;&gt;"",'Skill Matrix'!P5&lt;&gt;""),'Skill Matrix'!P5,"")</f>
        <v/>
      </c>
      <c r="G3325">
        <f>IF(OR(A3325="",'Skill Matrix'!P213=""),"",'Skill Matrix'!P213)</f>
        <v/>
      </c>
      <c r="H3325">
        <f>IF(A3325="","",'Employees'!F18)</f>
        <v/>
      </c>
    </row>
    <row r="3326">
      <c r="A3326">
        <f>IF(AND('Skill Matrix'!A213&lt;&gt;"",'Skill Matrix'!Q5&lt;&gt;""),'Skill Matrix'!A213,"")</f>
        <v/>
      </c>
      <c r="B3326">
        <f>IF(A3326="","",'Employees'!C18)</f>
        <v/>
      </c>
      <c r="C3326">
        <f>IF(A3326="","",'Employees'!D18)</f>
        <v/>
      </c>
      <c r="D3326">
        <f>IF(A3326="","",'Skill Matrix'!C213)</f>
        <v/>
      </c>
      <c r="E3326">
        <f>IF(A3326="","",'Skill Matrix'!D213)</f>
        <v/>
      </c>
      <c r="F3326">
        <f>IF(AND('Skill Matrix'!A213&lt;&gt;"",'Skill Matrix'!Q5&lt;&gt;""),'Skill Matrix'!Q5,"")</f>
        <v/>
      </c>
      <c r="G3326">
        <f>IF(OR(A3326="",'Skill Matrix'!Q213=""),"",'Skill Matrix'!Q213)</f>
        <v/>
      </c>
      <c r="H3326">
        <f>IF(A3326="","",'Employees'!F18)</f>
        <v/>
      </c>
    </row>
    <row r="3327">
      <c r="A3327">
        <f>IF(AND('Skill Matrix'!A213&lt;&gt;"",'Skill Matrix'!R5&lt;&gt;""),'Skill Matrix'!A213,"")</f>
        <v/>
      </c>
      <c r="B3327">
        <f>IF(A3327="","",'Employees'!C18)</f>
        <v/>
      </c>
      <c r="C3327">
        <f>IF(A3327="","",'Employees'!D18)</f>
        <v/>
      </c>
      <c r="D3327">
        <f>IF(A3327="","",'Skill Matrix'!C213)</f>
        <v/>
      </c>
      <c r="E3327">
        <f>IF(A3327="","",'Skill Matrix'!D213)</f>
        <v/>
      </c>
      <c r="F3327">
        <f>IF(AND('Skill Matrix'!A213&lt;&gt;"",'Skill Matrix'!R5&lt;&gt;""),'Skill Matrix'!R5,"")</f>
        <v/>
      </c>
      <c r="G3327">
        <f>IF(OR(A3327="",'Skill Matrix'!R213=""),"",'Skill Matrix'!R213)</f>
        <v/>
      </c>
      <c r="H3327">
        <f>IF(A3327="","",'Employees'!F18)</f>
        <v/>
      </c>
    </row>
    <row r="3328">
      <c r="A3328">
        <f>IF(AND('Skill Matrix'!A213&lt;&gt;"",'Skill Matrix'!S5&lt;&gt;""),'Skill Matrix'!A213,"")</f>
        <v/>
      </c>
      <c r="B3328">
        <f>IF(A3328="","",'Employees'!C18)</f>
        <v/>
      </c>
      <c r="C3328">
        <f>IF(A3328="","",'Employees'!D18)</f>
        <v/>
      </c>
      <c r="D3328">
        <f>IF(A3328="","",'Skill Matrix'!C213)</f>
        <v/>
      </c>
      <c r="E3328">
        <f>IF(A3328="","",'Skill Matrix'!D213)</f>
        <v/>
      </c>
      <c r="F3328">
        <f>IF(AND('Skill Matrix'!A213&lt;&gt;"",'Skill Matrix'!S5&lt;&gt;""),'Skill Matrix'!S5,"")</f>
        <v/>
      </c>
      <c r="G3328">
        <f>IF(OR(A3328="",'Skill Matrix'!S213=""),"",'Skill Matrix'!S213)</f>
        <v/>
      </c>
      <c r="H3328">
        <f>IF(A3328="","",'Employees'!F18)</f>
        <v/>
      </c>
    </row>
    <row r="3329">
      <c r="A3329">
        <f>IF(AND('Skill Matrix'!A213&lt;&gt;"",'Skill Matrix'!T5&lt;&gt;""),'Skill Matrix'!A213,"")</f>
        <v/>
      </c>
      <c r="B3329">
        <f>IF(A3329="","",'Employees'!C18)</f>
        <v/>
      </c>
      <c r="C3329">
        <f>IF(A3329="","",'Employees'!D18)</f>
        <v/>
      </c>
      <c r="D3329">
        <f>IF(A3329="","",'Skill Matrix'!C213)</f>
        <v/>
      </c>
      <c r="E3329">
        <f>IF(A3329="","",'Skill Matrix'!D213)</f>
        <v/>
      </c>
      <c r="F3329">
        <f>IF(AND('Skill Matrix'!A213&lt;&gt;"",'Skill Matrix'!T5&lt;&gt;""),'Skill Matrix'!T5,"")</f>
        <v/>
      </c>
      <c r="G3329">
        <f>IF(OR(A3329="",'Skill Matrix'!T213=""),"",'Skill Matrix'!T213)</f>
        <v/>
      </c>
      <c r="H3329">
        <f>IF(A3329="","",'Employees'!F18)</f>
        <v/>
      </c>
    </row>
    <row r="3330">
      <c r="A3330">
        <f>IF(AND('Skill Matrix'!A214&lt;&gt;"",'Skill Matrix'!E5&lt;&gt;""),'Skill Matrix'!A214,"")</f>
        <v/>
      </c>
      <c r="B3330">
        <f>IF(A3330="","",'Employees'!C19)</f>
        <v/>
      </c>
      <c r="C3330">
        <f>IF(A3330="","",'Employees'!D19)</f>
        <v/>
      </c>
      <c r="D3330">
        <f>IF(A3330="","",'Skill Matrix'!C214)</f>
        <v/>
      </c>
      <c r="E3330">
        <f>IF(A3330="","",'Skill Matrix'!D214)</f>
        <v/>
      </c>
      <c r="F3330">
        <f>IF(AND('Skill Matrix'!A214&lt;&gt;"",'Skill Matrix'!E5&lt;&gt;""),'Skill Matrix'!E5,"")</f>
        <v/>
      </c>
      <c r="G3330">
        <f>IF(OR(A3330="",'Skill Matrix'!E214=""),"",'Skill Matrix'!E214)</f>
        <v/>
      </c>
      <c r="H3330">
        <f>IF(A3330="","",'Employees'!F19)</f>
        <v/>
      </c>
    </row>
    <row r="3331">
      <c r="A3331">
        <f>IF(AND('Skill Matrix'!A214&lt;&gt;"",'Skill Matrix'!F5&lt;&gt;""),'Skill Matrix'!A214,"")</f>
        <v/>
      </c>
      <c r="B3331">
        <f>IF(A3331="","",'Employees'!C19)</f>
        <v/>
      </c>
      <c r="C3331">
        <f>IF(A3331="","",'Employees'!D19)</f>
        <v/>
      </c>
      <c r="D3331">
        <f>IF(A3331="","",'Skill Matrix'!C214)</f>
        <v/>
      </c>
      <c r="E3331">
        <f>IF(A3331="","",'Skill Matrix'!D214)</f>
        <v/>
      </c>
      <c r="F3331">
        <f>IF(AND('Skill Matrix'!A214&lt;&gt;"",'Skill Matrix'!F5&lt;&gt;""),'Skill Matrix'!F5,"")</f>
        <v/>
      </c>
      <c r="G3331">
        <f>IF(OR(A3331="",'Skill Matrix'!F214=""),"",'Skill Matrix'!F214)</f>
        <v/>
      </c>
      <c r="H3331">
        <f>IF(A3331="","",'Employees'!F19)</f>
        <v/>
      </c>
    </row>
    <row r="3332">
      <c r="A3332">
        <f>IF(AND('Skill Matrix'!A214&lt;&gt;"",'Skill Matrix'!G5&lt;&gt;""),'Skill Matrix'!A214,"")</f>
        <v/>
      </c>
      <c r="B3332">
        <f>IF(A3332="","",'Employees'!C19)</f>
        <v/>
      </c>
      <c r="C3332">
        <f>IF(A3332="","",'Employees'!D19)</f>
        <v/>
      </c>
      <c r="D3332">
        <f>IF(A3332="","",'Skill Matrix'!C214)</f>
        <v/>
      </c>
      <c r="E3332">
        <f>IF(A3332="","",'Skill Matrix'!D214)</f>
        <v/>
      </c>
      <c r="F3332">
        <f>IF(AND('Skill Matrix'!A214&lt;&gt;"",'Skill Matrix'!G5&lt;&gt;""),'Skill Matrix'!G5,"")</f>
        <v/>
      </c>
      <c r="G3332">
        <f>IF(OR(A3332="",'Skill Matrix'!G214=""),"",'Skill Matrix'!G214)</f>
        <v/>
      </c>
      <c r="H3332">
        <f>IF(A3332="","",'Employees'!F19)</f>
        <v/>
      </c>
    </row>
    <row r="3333">
      <c r="A3333">
        <f>IF(AND('Skill Matrix'!A214&lt;&gt;"",'Skill Matrix'!H5&lt;&gt;""),'Skill Matrix'!A214,"")</f>
        <v/>
      </c>
      <c r="B3333">
        <f>IF(A3333="","",'Employees'!C19)</f>
        <v/>
      </c>
      <c r="C3333">
        <f>IF(A3333="","",'Employees'!D19)</f>
        <v/>
      </c>
      <c r="D3333">
        <f>IF(A3333="","",'Skill Matrix'!C214)</f>
        <v/>
      </c>
      <c r="E3333">
        <f>IF(A3333="","",'Skill Matrix'!D214)</f>
        <v/>
      </c>
      <c r="F3333">
        <f>IF(AND('Skill Matrix'!A214&lt;&gt;"",'Skill Matrix'!H5&lt;&gt;""),'Skill Matrix'!H5,"")</f>
        <v/>
      </c>
      <c r="G3333">
        <f>IF(OR(A3333="",'Skill Matrix'!H214=""),"",'Skill Matrix'!H214)</f>
        <v/>
      </c>
      <c r="H3333">
        <f>IF(A3333="","",'Employees'!F19)</f>
        <v/>
      </c>
    </row>
    <row r="3334">
      <c r="A3334">
        <f>IF(AND('Skill Matrix'!A214&lt;&gt;"",'Skill Matrix'!I5&lt;&gt;""),'Skill Matrix'!A214,"")</f>
        <v/>
      </c>
      <c r="B3334">
        <f>IF(A3334="","",'Employees'!C19)</f>
        <v/>
      </c>
      <c r="C3334">
        <f>IF(A3334="","",'Employees'!D19)</f>
        <v/>
      </c>
      <c r="D3334">
        <f>IF(A3334="","",'Skill Matrix'!C214)</f>
        <v/>
      </c>
      <c r="E3334">
        <f>IF(A3334="","",'Skill Matrix'!D214)</f>
        <v/>
      </c>
      <c r="F3334">
        <f>IF(AND('Skill Matrix'!A214&lt;&gt;"",'Skill Matrix'!I5&lt;&gt;""),'Skill Matrix'!I5,"")</f>
        <v/>
      </c>
      <c r="G3334">
        <f>IF(OR(A3334="",'Skill Matrix'!I214=""),"",'Skill Matrix'!I214)</f>
        <v/>
      </c>
      <c r="H3334">
        <f>IF(A3334="","",'Employees'!F19)</f>
        <v/>
      </c>
    </row>
    <row r="3335">
      <c r="A3335">
        <f>IF(AND('Skill Matrix'!A214&lt;&gt;"",'Skill Matrix'!J5&lt;&gt;""),'Skill Matrix'!A214,"")</f>
        <v/>
      </c>
      <c r="B3335">
        <f>IF(A3335="","",'Employees'!C19)</f>
        <v/>
      </c>
      <c r="C3335">
        <f>IF(A3335="","",'Employees'!D19)</f>
        <v/>
      </c>
      <c r="D3335">
        <f>IF(A3335="","",'Skill Matrix'!C214)</f>
        <v/>
      </c>
      <c r="E3335">
        <f>IF(A3335="","",'Skill Matrix'!D214)</f>
        <v/>
      </c>
      <c r="F3335">
        <f>IF(AND('Skill Matrix'!A214&lt;&gt;"",'Skill Matrix'!J5&lt;&gt;""),'Skill Matrix'!J5,"")</f>
        <v/>
      </c>
      <c r="G3335">
        <f>IF(OR(A3335="",'Skill Matrix'!J214=""),"",'Skill Matrix'!J214)</f>
        <v/>
      </c>
      <c r="H3335">
        <f>IF(A3335="","",'Employees'!F19)</f>
        <v/>
      </c>
    </row>
    <row r="3336">
      <c r="A3336">
        <f>IF(AND('Skill Matrix'!A214&lt;&gt;"",'Skill Matrix'!K5&lt;&gt;""),'Skill Matrix'!A214,"")</f>
        <v/>
      </c>
      <c r="B3336">
        <f>IF(A3336="","",'Employees'!C19)</f>
        <v/>
      </c>
      <c r="C3336">
        <f>IF(A3336="","",'Employees'!D19)</f>
        <v/>
      </c>
      <c r="D3336">
        <f>IF(A3336="","",'Skill Matrix'!C214)</f>
        <v/>
      </c>
      <c r="E3336">
        <f>IF(A3336="","",'Skill Matrix'!D214)</f>
        <v/>
      </c>
      <c r="F3336">
        <f>IF(AND('Skill Matrix'!A214&lt;&gt;"",'Skill Matrix'!K5&lt;&gt;""),'Skill Matrix'!K5,"")</f>
        <v/>
      </c>
      <c r="G3336">
        <f>IF(OR(A3336="",'Skill Matrix'!K214=""),"",'Skill Matrix'!K214)</f>
        <v/>
      </c>
      <c r="H3336">
        <f>IF(A3336="","",'Employees'!F19)</f>
        <v/>
      </c>
    </row>
    <row r="3337">
      <c r="A3337">
        <f>IF(AND('Skill Matrix'!A214&lt;&gt;"",'Skill Matrix'!L5&lt;&gt;""),'Skill Matrix'!A214,"")</f>
        <v/>
      </c>
      <c r="B3337">
        <f>IF(A3337="","",'Employees'!C19)</f>
        <v/>
      </c>
      <c r="C3337">
        <f>IF(A3337="","",'Employees'!D19)</f>
        <v/>
      </c>
      <c r="D3337">
        <f>IF(A3337="","",'Skill Matrix'!C214)</f>
        <v/>
      </c>
      <c r="E3337">
        <f>IF(A3337="","",'Skill Matrix'!D214)</f>
        <v/>
      </c>
      <c r="F3337">
        <f>IF(AND('Skill Matrix'!A214&lt;&gt;"",'Skill Matrix'!L5&lt;&gt;""),'Skill Matrix'!L5,"")</f>
        <v/>
      </c>
      <c r="G3337">
        <f>IF(OR(A3337="",'Skill Matrix'!L214=""),"",'Skill Matrix'!L214)</f>
        <v/>
      </c>
      <c r="H3337">
        <f>IF(A3337="","",'Employees'!F19)</f>
        <v/>
      </c>
    </row>
    <row r="3338">
      <c r="A3338">
        <f>IF(AND('Skill Matrix'!A214&lt;&gt;"",'Skill Matrix'!M5&lt;&gt;""),'Skill Matrix'!A214,"")</f>
        <v/>
      </c>
      <c r="B3338">
        <f>IF(A3338="","",'Employees'!C19)</f>
        <v/>
      </c>
      <c r="C3338">
        <f>IF(A3338="","",'Employees'!D19)</f>
        <v/>
      </c>
      <c r="D3338">
        <f>IF(A3338="","",'Skill Matrix'!C214)</f>
        <v/>
      </c>
      <c r="E3338">
        <f>IF(A3338="","",'Skill Matrix'!D214)</f>
        <v/>
      </c>
      <c r="F3338">
        <f>IF(AND('Skill Matrix'!A214&lt;&gt;"",'Skill Matrix'!M5&lt;&gt;""),'Skill Matrix'!M5,"")</f>
        <v/>
      </c>
      <c r="G3338">
        <f>IF(OR(A3338="",'Skill Matrix'!M214=""),"",'Skill Matrix'!M214)</f>
        <v/>
      </c>
      <c r="H3338">
        <f>IF(A3338="","",'Employees'!F19)</f>
        <v/>
      </c>
    </row>
    <row r="3339">
      <c r="A3339">
        <f>IF(AND('Skill Matrix'!A214&lt;&gt;"",'Skill Matrix'!N5&lt;&gt;""),'Skill Matrix'!A214,"")</f>
        <v/>
      </c>
      <c r="B3339">
        <f>IF(A3339="","",'Employees'!C19)</f>
        <v/>
      </c>
      <c r="C3339">
        <f>IF(A3339="","",'Employees'!D19)</f>
        <v/>
      </c>
      <c r="D3339">
        <f>IF(A3339="","",'Skill Matrix'!C214)</f>
        <v/>
      </c>
      <c r="E3339">
        <f>IF(A3339="","",'Skill Matrix'!D214)</f>
        <v/>
      </c>
      <c r="F3339">
        <f>IF(AND('Skill Matrix'!A214&lt;&gt;"",'Skill Matrix'!N5&lt;&gt;""),'Skill Matrix'!N5,"")</f>
        <v/>
      </c>
      <c r="G3339">
        <f>IF(OR(A3339="",'Skill Matrix'!N214=""),"",'Skill Matrix'!N214)</f>
        <v/>
      </c>
      <c r="H3339">
        <f>IF(A3339="","",'Employees'!F19)</f>
        <v/>
      </c>
    </row>
    <row r="3340">
      <c r="A3340">
        <f>IF(AND('Skill Matrix'!A214&lt;&gt;"",'Skill Matrix'!O5&lt;&gt;""),'Skill Matrix'!A214,"")</f>
        <v/>
      </c>
      <c r="B3340">
        <f>IF(A3340="","",'Employees'!C19)</f>
        <v/>
      </c>
      <c r="C3340">
        <f>IF(A3340="","",'Employees'!D19)</f>
        <v/>
      </c>
      <c r="D3340">
        <f>IF(A3340="","",'Skill Matrix'!C214)</f>
        <v/>
      </c>
      <c r="E3340">
        <f>IF(A3340="","",'Skill Matrix'!D214)</f>
        <v/>
      </c>
      <c r="F3340">
        <f>IF(AND('Skill Matrix'!A214&lt;&gt;"",'Skill Matrix'!O5&lt;&gt;""),'Skill Matrix'!O5,"")</f>
        <v/>
      </c>
      <c r="G3340">
        <f>IF(OR(A3340="",'Skill Matrix'!O214=""),"",'Skill Matrix'!O214)</f>
        <v/>
      </c>
      <c r="H3340">
        <f>IF(A3340="","",'Employees'!F19)</f>
        <v/>
      </c>
    </row>
    <row r="3341">
      <c r="A3341">
        <f>IF(AND('Skill Matrix'!A214&lt;&gt;"",'Skill Matrix'!P5&lt;&gt;""),'Skill Matrix'!A214,"")</f>
        <v/>
      </c>
      <c r="B3341">
        <f>IF(A3341="","",'Employees'!C19)</f>
        <v/>
      </c>
      <c r="C3341">
        <f>IF(A3341="","",'Employees'!D19)</f>
        <v/>
      </c>
      <c r="D3341">
        <f>IF(A3341="","",'Skill Matrix'!C214)</f>
        <v/>
      </c>
      <c r="E3341">
        <f>IF(A3341="","",'Skill Matrix'!D214)</f>
        <v/>
      </c>
      <c r="F3341">
        <f>IF(AND('Skill Matrix'!A214&lt;&gt;"",'Skill Matrix'!P5&lt;&gt;""),'Skill Matrix'!P5,"")</f>
        <v/>
      </c>
      <c r="G3341">
        <f>IF(OR(A3341="",'Skill Matrix'!P214=""),"",'Skill Matrix'!P214)</f>
        <v/>
      </c>
      <c r="H3341">
        <f>IF(A3341="","",'Employees'!F19)</f>
        <v/>
      </c>
    </row>
    <row r="3342">
      <c r="A3342">
        <f>IF(AND('Skill Matrix'!A214&lt;&gt;"",'Skill Matrix'!Q5&lt;&gt;""),'Skill Matrix'!A214,"")</f>
        <v/>
      </c>
      <c r="B3342">
        <f>IF(A3342="","",'Employees'!C19)</f>
        <v/>
      </c>
      <c r="C3342">
        <f>IF(A3342="","",'Employees'!D19)</f>
        <v/>
      </c>
      <c r="D3342">
        <f>IF(A3342="","",'Skill Matrix'!C214)</f>
        <v/>
      </c>
      <c r="E3342">
        <f>IF(A3342="","",'Skill Matrix'!D214)</f>
        <v/>
      </c>
      <c r="F3342">
        <f>IF(AND('Skill Matrix'!A214&lt;&gt;"",'Skill Matrix'!Q5&lt;&gt;""),'Skill Matrix'!Q5,"")</f>
        <v/>
      </c>
      <c r="G3342">
        <f>IF(OR(A3342="",'Skill Matrix'!Q214=""),"",'Skill Matrix'!Q214)</f>
        <v/>
      </c>
      <c r="H3342">
        <f>IF(A3342="","",'Employees'!F19)</f>
        <v/>
      </c>
    </row>
    <row r="3343">
      <c r="A3343">
        <f>IF(AND('Skill Matrix'!A214&lt;&gt;"",'Skill Matrix'!R5&lt;&gt;""),'Skill Matrix'!A214,"")</f>
        <v/>
      </c>
      <c r="B3343">
        <f>IF(A3343="","",'Employees'!C19)</f>
        <v/>
      </c>
      <c r="C3343">
        <f>IF(A3343="","",'Employees'!D19)</f>
        <v/>
      </c>
      <c r="D3343">
        <f>IF(A3343="","",'Skill Matrix'!C214)</f>
        <v/>
      </c>
      <c r="E3343">
        <f>IF(A3343="","",'Skill Matrix'!D214)</f>
        <v/>
      </c>
      <c r="F3343">
        <f>IF(AND('Skill Matrix'!A214&lt;&gt;"",'Skill Matrix'!R5&lt;&gt;""),'Skill Matrix'!R5,"")</f>
        <v/>
      </c>
      <c r="G3343">
        <f>IF(OR(A3343="",'Skill Matrix'!R214=""),"",'Skill Matrix'!R214)</f>
        <v/>
      </c>
      <c r="H3343">
        <f>IF(A3343="","",'Employees'!F19)</f>
        <v/>
      </c>
    </row>
    <row r="3344">
      <c r="A3344">
        <f>IF(AND('Skill Matrix'!A214&lt;&gt;"",'Skill Matrix'!S5&lt;&gt;""),'Skill Matrix'!A214,"")</f>
        <v/>
      </c>
      <c r="B3344">
        <f>IF(A3344="","",'Employees'!C19)</f>
        <v/>
      </c>
      <c r="C3344">
        <f>IF(A3344="","",'Employees'!D19)</f>
        <v/>
      </c>
      <c r="D3344">
        <f>IF(A3344="","",'Skill Matrix'!C214)</f>
        <v/>
      </c>
      <c r="E3344">
        <f>IF(A3344="","",'Skill Matrix'!D214)</f>
        <v/>
      </c>
      <c r="F3344">
        <f>IF(AND('Skill Matrix'!A214&lt;&gt;"",'Skill Matrix'!S5&lt;&gt;""),'Skill Matrix'!S5,"")</f>
        <v/>
      </c>
      <c r="G3344">
        <f>IF(OR(A3344="",'Skill Matrix'!S214=""),"",'Skill Matrix'!S214)</f>
        <v/>
      </c>
      <c r="H3344">
        <f>IF(A3344="","",'Employees'!F19)</f>
        <v/>
      </c>
    </row>
    <row r="3345">
      <c r="A3345">
        <f>IF(AND('Skill Matrix'!A214&lt;&gt;"",'Skill Matrix'!T5&lt;&gt;""),'Skill Matrix'!A214,"")</f>
        <v/>
      </c>
      <c r="B3345">
        <f>IF(A3345="","",'Employees'!C19)</f>
        <v/>
      </c>
      <c r="C3345">
        <f>IF(A3345="","",'Employees'!D19)</f>
        <v/>
      </c>
      <c r="D3345">
        <f>IF(A3345="","",'Skill Matrix'!C214)</f>
        <v/>
      </c>
      <c r="E3345">
        <f>IF(A3345="","",'Skill Matrix'!D214)</f>
        <v/>
      </c>
      <c r="F3345">
        <f>IF(AND('Skill Matrix'!A214&lt;&gt;"",'Skill Matrix'!T5&lt;&gt;""),'Skill Matrix'!T5,"")</f>
        <v/>
      </c>
      <c r="G3345">
        <f>IF(OR(A3345="",'Skill Matrix'!T214=""),"",'Skill Matrix'!T214)</f>
        <v/>
      </c>
      <c r="H3345">
        <f>IF(A3345="","",'Employees'!F19)</f>
        <v/>
      </c>
    </row>
    <row r="3346">
      <c r="A3346">
        <f>IF(AND('Skill Matrix'!A215&lt;&gt;"",'Skill Matrix'!E5&lt;&gt;""),'Skill Matrix'!A215,"")</f>
        <v/>
      </c>
      <c r="B3346">
        <f>IF(A3346="","",'Employees'!C19)</f>
        <v/>
      </c>
      <c r="C3346">
        <f>IF(A3346="","",'Employees'!D19)</f>
        <v/>
      </c>
      <c r="D3346">
        <f>IF(A3346="","",'Skill Matrix'!C215)</f>
        <v/>
      </c>
      <c r="E3346">
        <f>IF(A3346="","",'Skill Matrix'!D215)</f>
        <v/>
      </c>
      <c r="F3346">
        <f>IF(AND('Skill Matrix'!A215&lt;&gt;"",'Skill Matrix'!E5&lt;&gt;""),'Skill Matrix'!E5,"")</f>
        <v/>
      </c>
      <c r="G3346">
        <f>IF(OR(A3346="",'Skill Matrix'!E215=""),"",'Skill Matrix'!E215)</f>
        <v/>
      </c>
      <c r="H3346">
        <f>IF(A3346="","",'Employees'!F19)</f>
        <v/>
      </c>
    </row>
    <row r="3347">
      <c r="A3347">
        <f>IF(AND('Skill Matrix'!A215&lt;&gt;"",'Skill Matrix'!F5&lt;&gt;""),'Skill Matrix'!A215,"")</f>
        <v/>
      </c>
      <c r="B3347">
        <f>IF(A3347="","",'Employees'!C19)</f>
        <v/>
      </c>
      <c r="C3347">
        <f>IF(A3347="","",'Employees'!D19)</f>
        <v/>
      </c>
      <c r="D3347">
        <f>IF(A3347="","",'Skill Matrix'!C215)</f>
        <v/>
      </c>
      <c r="E3347">
        <f>IF(A3347="","",'Skill Matrix'!D215)</f>
        <v/>
      </c>
      <c r="F3347">
        <f>IF(AND('Skill Matrix'!A215&lt;&gt;"",'Skill Matrix'!F5&lt;&gt;""),'Skill Matrix'!F5,"")</f>
        <v/>
      </c>
      <c r="G3347">
        <f>IF(OR(A3347="",'Skill Matrix'!F215=""),"",'Skill Matrix'!F215)</f>
        <v/>
      </c>
      <c r="H3347">
        <f>IF(A3347="","",'Employees'!F19)</f>
        <v/>
      </c>
    </row>
    <row r="3348">
      <c r="A3348">
        <f>IF(AND('Skill Matrix'!A215&lt;&gt;"",'Skill Matrix'!G5&lt;&gt;""),'Skill Matrix'!A215,"")</f>
        <v/>
      </c>
      <c r="B3348">
        <f>IF(A3348="","",'Employees'!C19)</f>
        <v/>
      </c>
      <c r="C3348">
        <f>IF(A3348="","",'Employees'!D19)</f>
        <v/>
      </c>
      <c r="D3348">
        <f>IF(A3348="","",'Skill Matrix'!C215)</f>
        <v/>
      </c>
      <c r="E3348">
        <f>IF(A3348="","",'Skill Matrix'!D215)</f>
        <v/>
      </c>
      <c r="F3348">
        <f>IF(AND('Skill Matrix'!A215&lt;&gt;"",'Skill Matrix'!G5&lt;&gt;""),'Skill Matrix'!G5,"")</f>
        <v/>
      </c>
      <c r="G3348">
        <f>IF(OR(A3348="",'Skill Matrix'!G215=""),"",'Skill Matrix'!G215)</f>
        <v/>
      </c>
      <c r="H3348">
        <f>IF(A3348="","",'Employees'!F19)</f>
        <v/>
      </c>
    </row>
    <row r="3349">
      <c r="A3349">
        <f>IF(AND('Skill Matrix'!A215&lt;&gt;"",'Skill Matrix'!H5&lt;&gt;""),'Skill Matrix'!A215,"")</f>
        <v/>
      </c>
      <c r="B3349">
        <f>IF(A3349="","",'Employees'!C19)</f>
        <v/>
      </c>
      <c r="C3349">
        <f>IF(A3349="","",'Employees'!D19)</f>
        <v/>
      </c>
      <c r="D3349">
        <f>IF(A3349="","",'Skill Matrix'!C215)</f>
        <v/>
      </c>
      <c r="E3349">
        <f>IF(A3349="","",'Skill Matrix'!D215)</f>
        <v/>
      </c>
      <c r="F3349">
        <f>IF(AND('Skill Matrix'!A215&lt;&gt;"",'Skill Matrix'!H5&lt;&gt;""),'Skill Matrix'!H5,"")</f>
        <v/>
      </c>
      <c r="G3349">
        <f>IF(OR(A3349="",'Skill Matrix'!H215=""),"",'Skill Matrix'!H215)</f>
        <v/>
      </c>
      <c r="H3349">
        <f>IF(A3349="","",'Employees'!F19)</f>
        <v/>
      </c>
    </row>
    <row r="3350">
      <c r="A3350">
        <f>IF(AND('Skill Matrix'!A215&lt;&gt;"",'Skill Matrix'!I5&lt;&gt;""),'Skill Matrix'!A215,"")</f>
        <v/>
      </c>
      <c r="B3350">
        <f>IF(A3350="","",'Employees'!C19)</f>
        <v/>
      </c>
      <c r="C3350">
        <f>IF(A3350="","",'Employees'!D19)</f>
        <v/>
      </c>
      <c r="D3350">
        <f>IF(A3350="","",'Skill Matrix'!C215)</f>
        <v/>
      </c>
      <c r="E3350">
        <f>IF(A3350="","",'Skill Matrix'!D215)</f>
        <v/>
      </c>
      <c r="F3350">
        <f>IF(AND('Skill Matrix'!A215&lt;&gt;"",'Skill Matrix'!I5&lt;&gt;""),'Skill Matrix'!I5,"")</f>
        <v/>
      </c>
      <c r="G3350">
        <f>IF(OR(A3350="",'Skill Matrix'!I215=""),"",'Skill Matrix'!I215)</f>
        <v/>
      </c>
      <c r="H3350">
        <f>IF(A3350="","",'Employees'!F19)</f>
        <v/>
      </c>
    </row>
    <row r="3351">
      <c r="A3351">
        <f>IF(AND('Skill Matrix'!A215&lt;&gt;"",'Skill Matrix'!J5&lt;&gt;""),'Skill Matrix'!A215,"")</f>
        <v/>
      </c>
      <c r="B3351">
        <f>IF(A3351="","",'Employees'!C19)</f>
        <v/>
      </c>
      <c r="C3351">
        <f>IF(A3351="","",'Employees'!D19)</f>
        <v/>
      </c>
      <c r="D3351">
        <f>IF(A3351="","",'Skill Matrix'!C215)</f>
        <v/>
      </c>
      <c r="E3351">
        <f>IF(A3351="","",'Skill Matrix'!D215)</f>
        <v/>
      </c>
      <c r="F3351">
        <f>IF(AND('Skill Matrix'!A215&lt;&gt;"",'Skill Matrix'!J5&lt;&gt;""),'Skill Matrix'!J5,"")</f>
        <v/>
      </c>
      <c r="G3351">
        <f>IF(OR(A3351="",'Skill Matrix'!J215=""),"",'Skill Matrix'!J215)</f>
        <v/>
      </c>
      <c r="H3351">
        <f>IF(A3351="","",'Employees'!F19)</f>
        <v/>
      </c>
    </row>
    <row r="3352">
      <c r="A3352">
        <f>IF(AND('Skill Matrix'!A215&lt;&gt;"",'Skill Matrix'!K5&lt;&gt;""),'Skill Matrix'!A215,"")</f>
        <v/>
      </c>
      <c r="B3352">
        <f>IF(A3352="","",'Employees'!C19)</f>
        <v/>
      </c>
      <c r="C3352">
        <f>IF(A3352="","",'Employees'!D19)</f>
        <v/>
      </c>
      <c r="D3352">
        <f>IF(A3352="","",'Skill Matrix'!C215)</f>
        <v/>
      </c>
      <c r="E3352">
        <f>IF(A3352="","",'Skill Matrix'!D215)</f>
        <v/>
      </c>
      <c r="F3352">
        <f>IF(AND('Skill Matrix'!A215&lt;&gt;"",'Skill Matrix'!K5&lt;&gt;""),'Skill Matrix'!K5,"")</f>
        <v/>
      </c>
      <c r="G3352">
        <f>IF(OR(A3352="",'Skill Matrix'!K215=""),"",'Skill Matrix'!K215)</f>
        <v/>
      </c>
      <c r="H3352">
        <f>IF(A3352="","",'Employees'!F19)</f>
        <v/>
      </c>
    </row>
    <row r="3353">
      <c r="A3353">
        <f>IF(AND('Skill Matrix'!A215&lt;&gt;"",'Skill Matrix'!L5&lt;&gt;""),'Skill Matrix'!A215,"")</f>
        <v/>
      </c>
      <c r="B3353">
        <f>IF(A3353="","",'Employees'!C19)</f>
        <v/>
      </c>
      <c r="C3353">
        <f>IF(A3353="","",'Employees'!D19)</f>
        <v/>
      </c>
      <c r="D3353">
        <f>IF(A3353="","",'Skill Matrix'!C215)</f>
        <v/>
      </c>
      <c r="E3353">
        <f>IF(A3353="","",'Skill Matrix'!D215)</f>
        <v/>
      </c>
      <c r="F3353">
        <f>IF(AND('Skill Matrix'!A215&lt;&gt;"",'Skill Matrix'!L5&lt;&gt;""),'Skill Matrix'!L5,"")</f>
        <v/>
      </c>
      <c r="G3353">
        <f>IF(OR(A3353="",'Skill Matrix'!L215=""),"",'Skill Matrix'!L215)</f>
        <v/>
      </c>
      <c r="H3353">
        <f>IF(A3353="","",'Employees'!F19)</f>
        <v/>
      </c>
    </row>
    <row r="3354">
      <c r="A3354">
        <f>IF(AND('Skill Matrix'!A215&lt;&gt;"",'Skill Matrix'!M5&lt;&gt;""),'Skill Matrix'!A215,"")</f>
        <v/>
      </c>
      <c r="B3354">
        <f>IF(A3354="","",'Employees'!C19)</f>
        <v/>
      </c>
      <c r="C3354">
        <f>IF(A3354="","",'Employees'!D19)</f>
        <v/>
      </c>
      <c r="D3354">
        <f>IF(A3354="","",'Skill Matrix'!C215)</f>
        <v/>
      </c>
      <c r="E3354">
        <f>IF(A3354="","",'Skill Matrix'!D215)</f>
        <v/>
      </c>
      <c r="F3354">
        <f>IF(AND('Skill Matrix'!A215&lt;&gt;"",'Skill Matrix'!M5&lt;&gt;""),'Skill Matrix'!M5,"")</f>
        <v/>
      </c>
      <c r="G3354">
        <f>IF(OR(A3354="",'Skill Matrix'!M215=""),"",'Skill Matrix'!M215)</f>
        <v/>
      </c>
      <c r="H3354">
        <f>IF(A3354="","",'Employees'!F19)</f>
        <v/>
      </c>
    </row>
    <row r="3355">
      <c r="A3355">
        <f>IF(AND('Skill Matrix'!A215&lt;&gt;"",'Skill Matrix'!N5&lt;&gt;""),'Skill Matrix'!A215,"")</f>
        <v/>
      </c>
      <c r="B3355">
        <f>IF(A3355="","",'Employees'!C19)</f>
        <v/>
      </c>
      <c r="C3355">
        <f>IF(A3355="","",'Employees'!D19)</f>
        <v/>
      </c>
      <c r="D3355">
        <f>IF(A3355="","",'Skill Matrix'!C215)</f>
        <v/>
      </c>
      <c r="E3355">
        <f>IF(A3355="","",'Skill Matrix'!D215)</f>
        <v/>
      </c>
      <c r="F3355">
        <f>IF(AND('Skill Matrix'!A215&lt;&gt;"",'Skill Matrix'!N5&lt;&gt;""),'Skill Matrix'!N5,"")</f>
        <v/>
      </c>
      <c r="G3355">
        <f>IF(OR(A3355="",'Skill Matrix'!N215=""),"",'Skill Matrix'!N215)</f>
        <v/>
      </c>
      <c r="H3355">
        <f>IF(A3355="","",'Employees'!F19)</f>
        <v/>
      </c>
    </row>
    <row r="3356">
      <c r="A3356">
        <f>IF(AND('Skill Matrix'!A215&lt;&gt;"",'Skill Matrix'!O5&lt;&gt;""),'Skill Matrix'!A215,"")</f>
        <v/>
      </c>
      <c r="B3356">
        <f>IF(A3356="","",'Employees'!C19)</f>
        <v/>
      </c>
      <c r="C3356">
        <f>IF(A3356="","",'Employees'!D19)</f>
        <v/>
      </c>
      <c r="D3356">
        <f>IF(A3356="","",'Skill Matrix'!C215)</f>
        <v/>
      </c>
      <c r="E3356">
        <f>IF(A3356="","",'Skill Matrix'!D215)</f>
        <v/>
      </c>
      <c r="F3356">
        <f>IF(AND('Skill Matrix'!A215&lt;&gt;"",'Skill Matrix'!O5&lt;&gt;""),'Skill Matrix'!O5,"")</f>
        <v/>
      </c>
      <c r="G3356">
        <f>IF(OR(A3356="",'Skill Matrix'!O215=""),"",'Skill Matrix'!O215)</f>
        <v/>
      </c>
      <c r="H3356">
        <f>IF(A3356="","",'Employees'!F19)</f>
        <v/>
      </c>
    </row>
    <row r="3357">
      <c r="A3357">
        <f>IF(AND('Skill Matrix'!A215&lt;&gt;"",'Skill Matrix'!P5&lt;&gt;""),'Skill Matrix'!A215,"")</f>
        <v/>
      </c>
      <c r="B3357">
        <f>IF(A3357="","",'Employees'!C19)</f>
        <v/>
      </c>
      <c r="C3357">
        <f>IF(A3357="","",'Employees'!D19)</f>
        <v/>
      </c>
      <c r="D3357">
        <f>IF(A3357="","",'Skill Matrix'!C215)</f>
        <v/>
      </c>
      <c r="E3357">
        <f>IF(A3357="","",'Skill Matrix'!D215)</f>
        <v/>
      </c>
      <c r="F3357">
        <f>IF(AND('Skill Matrix'!A215&lt;&gt;"",'Skill Matrix'!P5&lt;&gt;""),'Skill Matrix'!P5,"")</f>
        <v/>
      </c>
      <c r="G3357">
        <f>IF(OR(A3357="",'Skill Matrix'!P215=""),"",'Skill Matrix'!P215)</f>
        <v/>
      </c>
      <c r="H3357">
        <f>IF(A3357="","",'Employees'!F19)</f>
        <v/>
      </c>
    </row>
    <row r="3358">
      <c r="A3358">
        <f>IF(AND('Skill Matrix'!A215&lt;&gt;"",'Skill Matrix'!Q5&lt;&gt;""),'Skill Matrix'!A215,"")</f>
        <v/>
      </c>
      <c r="B3358">
        <f>IF(A3358="","",'Employees'!C19)</f>
        <v/>
      </c>
      <c r="C3358">
        <f>IF(A3358="","",'Employees'!D19)</f>
        <v/>
      </c>
      <c r="D3358">
        <f>IF(A3358="","",'Skill Matrix'!C215)</f>
        <v/>
      </c>
      <c r="E3358">
        <f>IF(A3358="","",'Skill Matrix'!D215)</f>
        <v/>
      </c>
      <c r="F3358">
        <f>IF(AND('Skill Matrix'!A215&lt;&gt;"",'Skill Matrix'!Q5&lt;&gt;""),'Skill Matrix'!Q5,"")</f>
        <v/>
      </c>
      <c r="G3358">
        <f>IF(OR(A3358="",'Skill Matrix'!Q215=""),"",'Skill Matrix'!Q215)</f>
        <v/>
      </c>
      <c r="H3358">
        <f>IF(A3358="","",'Employees'!F19)</f>
        <v/>
      </c>
    </row>
    <row r="3359">
      <c r="A3359">
        <f>IF(AND('Skill Matrix'!A215&lt;&gt;"",'Skill Matrix'!R5&lt;&gt;""),'Skill Matrix'!A215,"")</f>
        <v/>
      </c>
      <c r="B3359">
        <f>IF(A3359="","",'Employees'!C19)</f>
        <v/>
      </c>
      <c r="C3359">
        <f>IF(A3359="","",'Employees'!D19)</f>
        <v/>
      </c>
      <c r="D3359">
        <f>IF(A3359="","",'Skill Matrix'!C215)</f>
        <v/>
      </c>
      <c r="E3359">
        <f>IF(A3359="","",'Skill Matrix'!D215)</f>
        <v/>
      </c>
      <c r="F3359">
        <f>IF(AND('Skill Matrix'!A215&lt;&gt;"",'Skill Matrix'!R5&lt;&gt;""),'Skill Matrix'!R5,"")</f>
        <v/>
      </c>
      <c r="G3359">
        <f>IF(OR(A3359="",'Skill Matrix'!R215=""),"",'Skill Matrix'!R215)</f>
        <v/>
      </c>
      <c r="H3359">
        <f>IF(A3359="","",'Employees'!F19)</f>
        <v/>
      </c>
    </row>
    <row r="3360">
      <c r="A3360">
        <f>IF(AND('Skill Matrix'!A215&lt;&gt;"",'Skill Matrix'!S5&lt;&gt;""),'Skill Matrix'!A215,"")</f>
        <v/>
      </c>
      <c r="B3360">
        <f>IF(A3360="","",'Employees'!C19)</f>
        <v/>
      </c>
      <c r="C3360">
        <f>IF(A3360="","",'Employees'!D19)</f>
        <v/>
      </c>
      <c r="D3360">
        <f>IF(A3360="","",'Skill Matrix'!C215)</f>
        <v/>
      </c>
      <c r="E3360">
        <f>IF(A3360="","",'Skill Matrix'!D215)</f>
        <v/>
      </c>
      <c r="F3360">
        <f>IF(AND('Skill Matrix'!A215&lt;&gt;"",'Skill Matrix'!S5&lt;&gt;""),'Skill Matrix'!S5,"")</f>
        <v/>
      </c>
      <c r="G3360">
        <f>IF(OR(A3360="",'Skill Matrix'!S215=""),"",'Skill Matrix'!S215)</f>
        <v/>
      </c>
      <c r="H3360">
        <f>IF(A3360="","",'Employees'!F19)</f>
        <v/>
      </c>
    </row>
    <row r="3361">
      <c r="A3361">
        <f>IF(AND('Skill Matrix'!A215&lt;&gt;"",'Skill Matrix'!T5&lt;&gt;""),'Skill Matrix'!A215,"")</f>
        <v/>
      </c>
      <c r="B3361">
        <f>IF(A3361="","",'Employees'!C19)</f>
        <v/>
      </c>
      <c r="C3361">
        <f>IF(A3361="","",'Employees'!D19)</f>
        <v/>
      </c>
      <c r="D3361">
        <f>IF(A3361="","",'Skill Matrix'!C215)</f>
        <v/>
      </c>
      <c r="E3361">
        <f>IF(A3361="","",'Skill Matrix'!D215)</f>
        <v/>
      </c>
      <c r="F3361">
        <f>IF(AND('Skill Matrix'!A215&lt;&gt;"",'Skill Matrix'!T5&lt;&gt;""),'Skill Matrix'!T5,"")</f>
        <v/>
      </c>
      <c r="G3361">
        <f>IF(OR(A3361="",'Skill Matrix'!T215=""),"",'Skill Matrix'!T215)</f>
        <v/>
      </c>
      <c r="H3361">
        <f>IF(A3361="","",'Employees'!F19)</f>
        <v/>
      </c>
    </row>
    <row r="3362">
      <c r="A3362">
        <f>IF(AND('Skill Matrix'!A216&lt;&gt;"",'Skill Matrix'!E5&lt;&gt;""),'Skill Matrix'!A216,"")</f>
        <v/>
      </c>
      <c r="B3362">
        <f>IF(A3362="","",'Employees'!C19)</f>
        <v/>
      </c>
      <c r="C3362">
        <f>IF(A3362="","",'Employees'!D19)</f>
        <v/>
      </c>
      <c r="D3362">
        <f>IF(A3362="","",'Skill Matrix'!C216)</f>
        <v/>
      </c>
      <c r="E3362">
        <f>IF(A3362="","",'Skill Matrix'!D216)</f>
        <v/>
      </c>
      <c r="F3362">
        <f>IF(AND('Skill Matrix'!A216&lt;&gt;"",'Skill Matrix'!E5&lt;&gt;""),'Skill Matrix'!E5,"")</f>
        <v/>
      </c>
      <c r="G3362">
        <f>IF(OR(A3362="",'Skill Matrix'!E216=""),"",'Skill Matrix'!E216)</f>
        <v/>
      </c>
      <c r="H3362">
        <f>IF(A3362="","",'Employees'!F19)</f>
        <v/>
      </c>
    </row>
    <row r="3363">
      <c r="A3363">
        <f>IF(AND('Skill Matrix'!A216&lt;&gt;"",'Skill Matrix'!F5&lt;&gt;""),'Skill Matrix'!A216,"")</f>
        <v/>
      </c>
      <c r="B3363">
        <f>IF(A3363="","",'Employees'!C19)</f>
        <v/>
      </c>
      <c r="C3363">
        <f>IF(A3363="","",'Employees'!D19)</f>
        <v/>
      </c>
      <c r="D3363">
        <f>IF(A3363="","",'Skill Matrix'!C216)</f>
        <v/>
      </c>
      <c r="E3363">
        <f>IF(A3363="","",'Skill Matrix'!D216)</f>
        <v/>
      </c>
      <c r="F3363">
        <f>IF(AND('Skill Matrix'!A216&lt;&gt;"",'Skill Matrix'!F5&lt;&gt;""),'Skill Matrix'!F5,"")</f>
        <v/>
      </c>
      <c r="G3363">
        <f>IF(OR(A3363="",'Skill Matrix'!F216=""),"",'Skill Matrix'!F216)</f>
        <v/>
      </c>
      <c r="H3363">
        <f>IF(A3363="","",'Employees'!F19)</f>
        <v/>
      </c>
    </row>
    <row r="3364">
      <c r="A3364">
        <f>IF(AND('Skill Matrix'!A216&lt;&gt;"",'Skill Matrix'!G5&lt;&gt;""),'Skill Matrix'!A216,"")</f>
        <v/>
      </c>
      <c r="B3364">
        <f>IF(A3364="","",'Employees'!C19)</f>
        <v/>
      </c>
      <c r="C3364">
        <f>IF(A3364="","",'Employees'!D19)</f>
        <v/>
      </c>
      <c r="D3364">
        <f>IF(A3364="","",'Skill Matrix'!C216)</f>
        <v/>
      </c>
      <c r="E3364">
        <f>IF(A3364="","",'Skill Matrix'!D216)</f>
        <v/>
      </c>
      <c r="F3364">
        <f>IF(AND('Skill Matrix'!A216&lt;&gt;"",'Skill Matrix'!G5&lt;&gt;""),'Skill Matrix'!G5,"")</f>
        <v/>
      </c>
      <c r="G3364">
        <f>IF(OR(A3364="",'Skill Matrix'!G216=""),"",'Skill Matrix'!G216)</f>
        <v/>
      </c>
      <c r="H3364">
        <f>IF(A3364="","",'Employees'!F19)</f>
        <v/>
      </c>
    </row>
    <row r="3365">
      <c r="A3365">
        <f>IF(AND('Skill Matrix'!A216&lt;&gt;"",'Skill Matrix'!H5&lt;&gt;""),'Skill Matrix'!A216,"")</f>
        <v/>
      </c>
      <c r="B3365">
        <f>IF(A3365="","",'Employees'!C19)</f>
        <v/>
      </c>
      <c r="C3365">
        <f>IF(A3365="","",'Employees'!D19)</f>
        <v/>
      </c>
      <c r="D3365">
        <f>IF(A3365="","",'Skill Matrix'!C216)</f>
        <v/>
      </c>
      <c r="E3365">
        <f>IF(A3365="","",'Skill Matrix'!D216)</f>
        <v/>
      </c>
      <c r="F3365">
        <f>IF(AND('Skill Matrix'!A216&lt;&gt;"",'Skill Matrix'!H5&lt;&gt;""),'Skill Matrix'!H5,"")</f>
        <v/>
      </c>
      <c r="G3365">
        <f>IF(OR(A3365="",'Skill Matrix'!H216=""),"",'Skill Matrix'!H216)</f>
        <v/>
      </c>
      <c r="H3365">
        <f>IF(A3365="","",'Employees'!F19)</f>
        <v/>
      </c>
    </row>
    <row r="3366">
      <c r="A3366">
        <f>IF(AND('Skill Matrix'!A216&lt;&gt;"",'Skill Matrix'!I5&lt;&gt;""),'Skill Matrix'!A216,"")</f>
        <v/>
      </c>
      <c r="B3366">
        <f>IF(A3366="","",'Employees'!C19)</f>
        <v/>
      </c>
      <c r="C3366">
        <f>IF(A3366="","",'Employees'!D19)</f>
        <v/>
      </c>
      <c r="D3366">
        <f>IF(A3366="","",'Skill Matrix'!C216)</f>
        <v/>
      </c>
      <c r="E3366">
        <f>IF(A3366="","",'Skill Matrix'!D216)</f>
        <v/>
      </c>
      <c r="F3366">
        <f>IF(AND('Skill Matrix'!A216&lt;&gt;"",'Skill Matrix'!I5&lt;&gt;""),'Skill Matrix'!I5,"")</f>
        <v/>
      </c>
      <c r="G3366">
        <f>IF(OR(A3366="",'Skill Matrix'!I216=""),"",'Skill Matrix'!I216)</f>
        <v/>
      </c>
      <c r="H3366">
        <f>IF(A3366="","",'Employees'!F19)</f>
        <v/>
      </c>
    </row>
    <row r="3367">
      <c r="A3367">
        <f>IF(AND('Skill Matrix'!A216&lt;&gt;"",'Skill Matrix'!J5&lt;&gt;""),'Skill Matrix'!A216,"")</f>
        <v/>
      </c>
      <c r="B3367">
        <f>IF(A3367="","",'Employees'!C19)</f>
        <v/>
      </c>
      <c r="C3367">
        <f>IF(A3367="","",'Employees'!D19)</f>
        <v/>
      </c>
      <c r="D3367">
        <f>IF(A3367="","",'Skill Matrix'!C216)</f>
        <v/>
      </c>
      <c r="E3367">
        <f>IF(A3367="","",'Skill Matrix'!D216)</f>
        <v/>
      </c>
      <c r="F3367">
        <f>IF(AND('Skill Matrix'!A216&lt;&gt;"",'Skill Matrix'!J5&lt;&gt;""),'Skill Matrix'!J5,"")</f>
        <v/>
      </c>
      <c r="G3367">
        <f>IF(OR(A3367="",'Skill Matrix'!J216=""),"",'Skill Matrix'!J216)</f>
        <v/>
      </c>
      <c r="H3367">
        <f>IF(A3367="","",'Employees'!F19)</f>
        <v/>
      </c>
    </row>
    <row r="3368">
      <c r="A3368">
        <f>IF(AND('Skill Matrix'!A216&lt;&gt;"",'Skill Matrix'!K5&lt;&gt;""),'Skill Matrix'!A216,"")</f>
        <v/>
      </c>
      <c r="B3368">
        <f>IF(A3368="","",'Employees'!C19)</f>
        <v/>
      </c>
      <c r="C3368">
        <f>IF(A3368="","",'Employees'!D19)</f>
        <v/>
      </c>
      <c r="D3368">
        <f>IF(A3368="","",'Skill Matrix'!C216)</f>
        <v/>
      </c>
      <c r="E3368">
        <f>IF(A3368="","",'Skill Matrix'!D216)</f>
        <v/>
      </c>
      <c r="F3368">
        <f>IF(AND('Skill Matrix'!A216&lt;&gt;"",'Skill Matrix'!K5&lt;&gt;""),'Skill Matrix'!K5,"")</f>
        <v/>
      </c>
      <c r="G3368">
        <f>IF(OR(A3368="",'Skill Matrix'!K216=""),"",'Skill Matrix'!K216)</f>
        <v/>
      </c>
      <c r="H3368">
        <f>IF(A3368="","",'Employees'!F19)</f>
        <v/>
      </c>
    </row>
    <row r="3369">
      <c r="A3369">
        <f>IF(AND('Skill Matrix'!A216&lt;&gt;"",'Skill Matrix'!L5&lt;&gt;""),'Skill Matrix'!A216,"")</f>
        <v/>
      </c>
      <c r="B3369">
        <f>IF(A3369="","",'Employees'!C19)</f>
        <v/>
      </c>
      <c r="C3369">
        <f>IF(A3369="","",'Employees'!D19)</f>
        <v/>
      </c>
      <c r="D3369">
        <f>IF(A3369="","",'Skill Matrix'!C216)</f>
        <v/>
      </c>
      <c r="E3369">
        <f>IF(A3369="","",'Skill Matrix'!D216)</f>
        <v/>
      </c>
      <c r="F3369">
        <f>IF(AND('Skill Matrix'!A216&lt;&gt;"",'Skill Matrix'!L5&lt;&gt;""),'Skill Matrix'!L5,"")</f>
        <v/>
      </c>
      <c r="G3369">
        <f>IF(OR(A3369="",'Skill Matrix'!L216=""),"",'Skill Matrix'!L216)</f>
        <v/>
      </c>
      <c r="H3369">
        <f>IF(A3369="","",'Employees'!F19)</f>
        <v/>
      </c>
    </row>
    <row r="3370">
      <c r="A3370">
        <f>IF(AND('Skill Matrix'!A216&lt;&gt;"",'Skill Matrix'!M5&lt;&gt;""),'Skill Matrix'!A216,"")</f>
        <v/>
      </c>
      <c r="B3370">
        <f>IF(A3370="","",'Employees'!C19)</f>
        <v/>
      </c>
      <c r="C3370">
        <f>IF(A3370="","",'Employees'!D19)</f>
        <v/>
      </c>
      <c r="D3370">
        <f>IF(A3370="","",'Skill Matrix'!C216)</f>
        <v/>
      </c>
      <c r="E3370">
        <f>IF(A3370="","",'Skill Matrix'!D216)</f>
        <v/>
      </c>
      <c r="F3370">
        <f>IF(AND('Skill Matrix'!A216&lt;&gt;"",'Skill Matrix'!M5&lt;&gt;""),'Skill Matrix'!M5,"")</f>
        <v/>
      </c>
      <c r="G3370">
        <f>IF(OR(A3370="",'Skill Matrix'!M216=""),"",'Skill Matrix'!M216)</f>
        <v/>
      </c>
      <c r="H3370">
        <f>IF(A3370="","",'Employees'!F19)</f>
        <v/>
      </c>
    </row>
    <row r="3371">
      <c r="A3371">
        <f>IF(AND('Skill Matrix'!A216&lt;&gt;"",'Skill Matrix'!N5&lt;&gt;""),'Skill Matrix'!A216,"")</f>
        <v/>
      </c>
      <c r="B3371">
        <f>IF(A3371="","",'Employees'!C19)</f>
        <v/>
      </c>
      <c r="C3371">
        <f>IF(A3371="","",'Employees'!D19)</f>
        <v/>
      </c>
      <c r="D3371">
        <f>IF(A3371="","",'Skill Matrix'!C216)</f>
        <v/>
      </c>
      <c r="E3371">
        <f>IF(A3371="","",'Skill Matrix'!D216)</f>
        <v/>
      </c>
      <c r="F3371">
        <f>IF(AND('Skill Matrix'!A216&lt;&gt;"",'Skill Matrix'!N5&lt;&gt;""),'Skill Matrix'!N5,"")</f>
        <v/>
      </c>
      <c r="G3371">
        <f>IF(OR(A3371="",'Skill Matrix'!N216=""),"",'Skill Matrix'!N216)</f>
        <v/>
      </c>
      <c r="H3371">
        <f>IF(A3371="","",'Employees'!F19)</f>
        <v/>
      </c>
    </row>
    <row r="3372">
      <c r="A3372">
        <f>IF(AND('Skill Matrix'!A216&lt;&gt;"",'Skill Matrix'!O5&lt;&gt;""),'Skill Matrix'!A216,"")</f>
        <v/>
      </c>
      <c r="B3372">
        <f>IF(A3372="","",'Employees'!C19)</f>
        <v/>
      </c>
      <c r="C3372">
        <f>IF(A3372="","",'Employees'!D19)</f>
        <v/>
      </c>
      <c r="D3372">
        <f>IF(A3372="","",'Skill Matrix'!C216)</f>
        <v/>
      </c>
      <c r="E3372">
        <f>IF(A3372="","",'Skill Matrix'!D216)</f>
        <v/>
      </c>
      <c r="F3372">
        <f>IF(AND('Skill Matrix'!A216&lt;&gt;"",'Skill Matrix'!O5&lt;&gt;""),'Skill Matrix'!O5,"")</f>
        <v/>
      </c>
      <c r="G3372">
        <f>IF(OR(A3372="",'Skill Matrix'!O216=""),"",'Skill Matrix'!O216)</f>
        <v/>
      </c>
      <c r="H3372">
        <f>IF(A3372="","",'Employees'!F19)</f>
        <v/>
      </c>
    </row>
    <row r="3373">
      <c r="A3373">
        <f>IF(AND('Skill Matrix'!A216&lt;&gt;"",'Skill Matrix'!P5&lt;&gt;""),'Skill Matrix'!A216,"")</f>
        <v/>
      </c>
      <c r="B3373">
        <f>IF(A3373="","",'Employees'!C19)</f>
        <v/>
      </c>
      <c r="C3373">
        <f>IF(A3373="","",'Employees'!D19)</f>
        <v/>
      </c>
      <c r="D3373">
        <f>IF(A3373="","",'Skill Matrix'!C216)</f>
        <v/>
      </c>
      <c r="E3373">
        <f>IF(A3373="","",'Skill Matrix'!D216)</f>
        <v/>
      </c>
      <c r="F3373">
        <f>IF(AND('Skill Matrix'!A216&lt;&gt;"",'Skill Matrix'!P5&lt;&gt;""),'Skill Matrix'!P5,"")</f>
        <v/>
      </c>
      <c r="G3373">
        <f>IF(OR(A3373="",'Skill Matrix'!P216=""),"",'Skill Matrix'!P216)</f>
        <v/>
      </c>
      <c r="H3373">
        <f>IF(A3373="","",'Employees'!F19)</f>
        <v/>
      </c>
    </row>
    <row r="3374">
      <c r="A3374">
        <f>IF(AND('Skill Matrix'!A216&lt;&gt;"",'Skill Matrix'!Q5&lt;&gt;""),'Skill Matrix'!A216,"")</f>
        <v/>
      </c>
      <c r="B3374">
        <f>IF(A3374="","",'Employees'!C19)</f>
        <v/>
      </c>
      <c r="C3374">
        <f>IF(A3374="","",'Employees'!D19)</f>
        <v/>
      </c>
      <c r="D3374">
        <f>IF(A3374="","",'Skill Matrix'!C216)</f>
        <v/>
      </c>
      <c r="E3374">
        <f>IF(A3374="","",'Skill Matrix'!D216)</f>
        <v/>
      </c>
      <c r="F3374">
        <f>IF(AND('Skill Matrix'!A216&lt;&gt;"",'Skill Matrix'!Q5&lt;&gt;""),'Skill Matrix'!Q5,"")</f>
        <v/>
      </c>
      <c r="G3374">
        <f>IF(OR(A3374="",'Skill Matrix'!Q216=""),"",'Skill Matrix'!Q216)</f>
        <v/>
      </c>
      <c r="H3374">
        <f>IF(A3374="","",'Employees'!F19)</f>
        <v/>
      </c>
    </row>
    <row r="3375">
      <c r="A3375">
        <f>IF(AND('Skill Matrix'!A216&lt;&gt;"",'Skill Matrix'!R5&lt;&gt;""),'Skill Matrix'!A216,"")</f>
        <v/>
      </c>
      <c r="B3375">
        <f>IF(A3375="","",'Employees'!C19)</f>
        <v/>
      </c>
      <c r="C3375">
        <f>IF(A3375="","",'Employees'!D19)</f>
        <v/>
      </c>
      <c r="D3375">
        <f>IF(A3375="","",'Skill Matrix'!C216)</f>
        <v/>
      </c>
      <c r="E3375">
        <f>IF(A3375="","",'Skill Matrix'!D216)</f>
        <v/>
      </c>
      <c r="F3375">
        <f>IF(AND('Skill Matrix'!A216&lt;&gt;"",'Skill Matrix'!R5&lt;&gt;""),'Skill Matrix'!R5,"")</f>
        <v/>
      </c>
      <c r="G3375">
        <f>IF(OR(A3375="",'Skill Matrix'!R216=""),"",'Skill Matrix'!R216)</f>
        <v/>
      </c>
      <c r="H3375">
        <f>IF(A3375="","",'Employees'!F19)</f>
        <v/>
      </c>
    </row>
    <row r="3376">
      <c r="A3376">
        <f>IF(AND('Skill Matrix'!A216&lt;&gt;"",'Skill Matrix'!S5&lt;&gt;""),'Skill Matrix'!A216,"")</f>
        <v/>
      </c>
      <c r="B3376">
        <f>IF(A3376="","",'Employees'!C19)</f>
        <v/>
      </c>
      <c r="C3376">
        <f>IF(A3376="","",'Employees'!D19)</f>
        <v/>
      </c>
      <c r="D3376">
        <f>IF(A3376="","",'Skill Matrix'!C216)</f>
        <v/>
      </c>
      <c r="E3376">
        <f>IF(A3376="","",'Skill Matrix'!D216)</f>
        <v/>
      </c>
      <c r="F3376">
        <f>IF(AND('Skill Matrix'!A216&lt;&gt;"",'Skill Matrix'!S5&lt;&gt;""),'Skill Matrix'!S5,"")</f>
        <v/>
      </c>
      <c r="G3376">
        <f>IF(OR(A3376="",'Skill Matrix'!S216=""),"",'Skill Matrix'!S216)</f>
        <v/>
      </c>
      <c r="H3376">
        <f>IF(A3376="","",'Employees'!F19)</f>
        <v/>
      </c>
    </row>
    <row r="3377">
      <c r="A3377">
        <f>IF(AND('Skill Matrix'!A216&lt;&gt;"",'Skill Matrix'!T5&lt;&gt;""),'Skill Matrix'!A216,"")</f>
        <v/>
      </c>
      <c r="B3377">
        <f>IF(A3377="","",'Employees'!C19)</f>
        <v/>
      </c>
      <c r="C3377">
        <f>IF(A3377="","",'Employees'!D19)</f>
        <v/>
      </c>
      <c r="D3377">
        <f>IF(A3377="","",'Skill Matrix'!C216)</f>
        <v/>
      </c>
      <c r="E3377">
        <f>IF(A3377="","",'Skill Matrix'!D216)</f>
        <v/>
      </c>
      <c r="F3377">
        <f>IF(AND('Skill Matrix'!A216&lt;&gt;"",'Skill Matrix'!T5&lt;&gt;""),'Skill Matrix'!T5,"")</f>
        <v/>
      </c>
      <c r="G3377">
        <f>IF(OR(A3377="",'Skill Matrix'!T216=""),"",'Skill Matrix'!T216)</f>
        <v/>
      </c>
      <c r="H3377">
        <f>IF(A3377="","",'Employees'!F19)</f>
        <v/>
      </c>
    </row>
    <row r="3378">
      <c r="A3378">
        <f>IF(AND('Skill Matrix'!A217&lt;&gt;"",'Skill Matrix'!E5&lt;&gt;""),'Skill Matrix'!A217,"")</f>
        <v/>
      </c>
      <c r="B3378">
        <f>IF(A3378="","",'Employees'!C19)</f>
        <v/>
      </c>
      <c r="C3378">
        <f>IF(A3378="","",'Employees'!D19)</f>
        <v/>
      </c>
      <c r="D3378">
        <f>IF(A3378="","",'Skill Matrix'!C217)</f>
        <v/>
      </c>
      <c r="E3378">
        <f>IF(A3378="","",'Skill Matrix'!D217)</f>
        <v/>
      </c>
      <c r="F3378">
        <f>IF(AND('Skill Matrix'!A217&lt;&gt;"",'Skill Matrix'!E5&lt;&gt;""),'Skill Matrix'!E5,"")</f>
        <v/>
      </c>
      <c r="G3378">
        <f>IF(OR(A3378="",'Skill Matrix'!E217=""),"",'Skill Matrix'!E217)</f>
        <v/>
      </c>
      <c r="H3378">
        <f>IF(A3378="","",'Employees'!F19)</f>
        <v/>
      </c>
    </row>
    <row r="3379">
      <c r="A3379">
        <f>IF(AND('Skill Matrix'!A217&lt;&gt;"",'Skill Matrix'!F5&lt;&gt;""),'Skill Matrix'!A217,"")</f>
        <v/>
      </c>
      <c r="B3379">
        <f>IF(A3379="","",'Employees'!C19)</f>
        <v/>
      </c>
      <c r="C3379">
        <f>IF(A3379="","",'Employees'!D19)</f>
        <v/>
      </c>
      <c r="D3379">
        <f>IF(A3379="","",'Skill Matrix'!C217)</f>
        <v/>
      </c>
      <c r="E3379">
        <f>IF(A3379="","",'Skill Matrix'!D217)</f>
        <v/>
      </c>
      <c r="F3379">
        <f>IF(AND('Skill Matrix'!A217&lt;&gt;"",'Skill Matrix'!F5&lt;&gt;""),'Skill Matrix'!F5,"")</f>
        <v/>
      </c>
      <c r="G3379">
        <f>IF(OR(A3379="",'Skill Matrix'!F217=""),"",'Skill Matrix'!F217)</f>
        <v/>
      </c>
      <c r="H3379">
        <f>IF(A3379="","",'Employees'!F19)</f>
        <v/>
      </c>
    </row>
    <row r="3380">
      <c r="A3380">
        <f>IF(AND('Skill Matrix'!A217&lt;&gt;"",'Skill Matrix'!G5&lt;&gt;""),'Skill Matrix'!A217,"")</f>
        <v/>
      </c>
      <c r="B3380">
        <f>IF(A3380="","",'Employees'!C19)</f>
        <v/>
      </c>
      <c r="C3380">
        <f>IF(A3380="","",'Employees'!D19)</f>
        <v/>
      </c>
      <c r="D3380">
        <f>IF(A3380="","",'Skill Matrix'!C217)</f>
        <v/>
      </c>
      <c r="E3380">
        <f>IF(A3380="","",'Skill Matrix'!D217)</f>
        <v/>
      </c>
      <c r="F3380">
        <f>IF(AND('Skill Matrix'!A217&lt;&gt;"",'Skill Matrix'!G5&lt;&gt;""),'Skill Matrix'!G5,"")</f>
        <v/>
      </c>
      <c r="G3380">
        <f>IF(OR(A3380="",'Skill Matrix'!G217=""),"",'Skill Matrix'!G217)</f>
        <v/>
      </c>
      <c r="H3380">
        <f>IF(A3380="","",'Employees'!F19)</f>
        <v/>
      </c>
    </row>
    <row r="3381">
      <c r="A3381">
        <f>IF(AND('Skill Matrix'!A217&lt;&gt;"",'Skill Matrix'!H5&lt;&gt;""),'Skill Matrix'!A217,"")</f>
        <v/>
      </c>
      <c r="B3381">
        <f>IF(A3381="","",'Employees'!C19)</f>
        <v/>
      </c>
      <c r="C3381">
        <f>IF(A3381="","",'Employees'!D19)</f>
        <v/>
      </c>
      <c r="D3381">
        <f>IF(A3381="","",'Skill Matrix'!C217)</f>
        <v/>
      </c>
      <c r="E3381">
        <f>IF(A3381="","",'Skill Matrix'!D217)</f>
        <v/>
      </c>
      <c r="F3381">
        <f>IF(AND('Skill Matrix'!A217&lt;&gt;"",'Skill Matrix'!H5&lt;&gt;""),'Skill Matrix'!H5,"")</f>
        <v/>
      </c>
      <c r="G3381">
        <f>IF(OR(A3381="",'Skill Matrix'!H217=""),"",'Skill Matrix'!H217)</f>
        <v/>
      </c>
      <c r="H3381">
        <f>IF(A3381="","",'Employees'!F19)</f>
        <v/>
      </c>
    </row>
    <row r="3382">
      <c r="A3382">
        <f>IF(AND('Skill Matrix'!A217&lt;&gt;"",'Skill Matrix'!I5&lt;&gt;""),'Skill Matrix'!A217,"")</f>
        <v/>
      </c>
      <c r="B3382">
        <f>IF(A3382="","",'Employees'!C19)</f>
        <v/>
      </c>
      <c r="C3382">
        <f>IF(A3382="","",'Employees'!D19)</f>
        <v/>
      </c>
      <c r="D3382">
        <f>IF(A3382="","",'Skill Matrix'!C217)</f>
        <v/>
      </c>
      <c r="E3382">
        <f>IF(A3382="","",'Skill Matrix'!D217)</f>
        <v/>
      </c>
      <c r="F3382">
        <f>IF(AND('Skill Matrix'!A217&lt;&gt;"",'Skill Matrix'!I5&lt;&gt;""),'Skill Matrix'!I5,"")</f>
        <v/>
      </c>
      <c r="G3382">
        <f>IF(OR(A3382="",'Skill Matrix'!I217=""),"",'Skill Matrix'!I217)</f>
        <v/>
      </c>
      <c r="H3382">
        <f>IF(A3382="","",'Employees'!F19)</f>
        <v/>
      </c>
    </row>
    <row r="3383">
      <c r="A3383">
        <f>IF(AND('Skill Matrix'!A217&lt;&gt;"",'Skill Matrix'!J5&lt;&gt;""),'Skill Matrix'!A217,"")</f>
        <v/>
      </c>
      <c r="B3383">
        <f>IF(A3383="","",'Employees'!C19)</f>
        <v/>
      </c>
      <c r="C3383">
        <f>IF(A3383="","",'Employees'!D19)</f>
        <v/>
      </c>
      <c r="D3383">
        <f>IF(A3383="","",'Skill Matrix'!C217)</f>
        <v/>
      </c>
      <c r="E3383">
        <f>IF(A3383="","",'Skill Matrix'!D217)</f>
        <v/>
      </c>
      <c r="F3383">
        <f>IF(AND('Skill Matrix'!A217&lt;&gt;"",'Skill Matrix'!J5&lt;&gt;""),'Skill Matrix'!J5,"")</f>
        <v/>
      </c>
      <c r="G3383">
        <f>IF(OR(A3383="",'Skill Matrix'!J217=""),"",'Skill Matrix'!J217)</f>
        <v/>
      </c>
      <c r="H3383">
        <f>IF(A3383="","",'Employees'!F19)</f>
        <v/>
      </c>
    </row>
    <row r="3384">
      <c r="A3384">
        <f>IF(AND('Skill Matrix'!A217&lt;&gt;"",'Skill Matrix'!K5&lt;&gt;""),'Skill Matrix'!A217,"")</f>
        <v/>
      </c>
      <c r="B3384">
        <f>IF(A3384="","",'Employees'!C19)</f>
        <v/>
      </c>
      <c r="C3384">
        <f>IF(A3384="","",'Employees'!D19)</f>
        <v/>
      </c>
      <c r="D3384">
        <f>IF(A3384="","",'Skill Matrix'!C217)</f>
        <v/>
      </c>
      <c r="E3384">
        <f>IF(A3384="","",'Skill Matrix'!D217)</f>
        <v/>
      </c>
      <c r="F3384">
        <f>IF(AND('Skill Matrix'!A217&lt;&gt;"",'Skill Matrix'!K5&lt;&gt;""),'Skill Matrix'!K5,"")</f>
        <v/>
      </c>
      <c r="G3384">
        <f>IF(OR(A3384="",'Skill Matrix'!K217=""),"",'Skill Matrix'!K217)</f>
        <v/>
      </c>
      <c r="H3384">
        <f>IF(A3384="","",'Employees'!F19)</f>
        <v/>
      </c>
    </row>
    <row r="3385">
      <c r="A3385">
        <f>IF(AND('Skill Matrix'!A217&lt;&gt;"",'Skill Matrix'!L5&lt;&gt;""),'Skill Matrix'!A217,"")</f>
        <v/>
      </c>
      <c r="B3385">
        <f>IF(A3385="","",'Employees'!C19)</f>
        <v/>
      </c>
      <c r="C3385">
        <f>IF(A3385="","",'Employees'!D19)</f>
        <v/>
      </c>
      <c r="D3385">
        <f>IF(A3385="","",'Skill Matrix'!C217)</f>
        <v/>
      </c>
      <c r="E3385">
        <f>IF(A3385="","",'Skill Matrix'!D217)</f>
        <v/>
      </c>
      <c r="F3385">
        <f>IF(AND('Skill Matrix'!A217&lt;&gt;"",'Skill Matrix'!L5&lt;&gt;""),'Skill Matrix'!L5,"")</f>
        <v/>
      </c>
      <c r="G3385">
        <f>IF(OR(A3385="",'Skill Matrix'!L217=""),"",'Skill Matrix'!L217)</f>
        <v/>
      </c>
      <c r="H3385">
        <f>IF(A3385="","",'Employees'!F19)</f>
        <v/>
      </c>
    </row>
    <row r="3386">
      <c r="A3386">
        <f>IF(AND('Skill Matrix'!A217&lt;&gt;"",'Skill Matrix'!M5&lt;&gt;""),'Skill Matrix'!A217,"")</f>
        <v/>
      </c>
      <c r="B3386">
        <f>IF(A3386="","",'Employees'!C19)</f>
        <v/>
      </c>
      <c r="C3386">
        <f>IF(A3386="","",'Employees'!D19)</f>
        <v/>
      </c>
      <c r="D3386">
        <f>IF(A3386="","",'Skill Matrix'!C217)</f>
        <v/>
      </c>
      <c r="E3386">
        <f>IF(A3386="","",'Skill Matrix'!D217)</f>
        <v/>
      </c>
      <c r="F3386">
        <f>IF(AND('Skill Matrix'!A217&lt;&gt;"",'Skill Matrix'!M5&lt;&gt;""),'Skill Matrix'!M5,"")</f>
        <v/>
      </c>
      <c r="G3386">
        <f>IF(OR(A3386="",'Skill Matrix'!M217=""),"",'Skill Matrix'!M217)</f>
        <v/>
      </c>
      <c r="H3386">
        <f>IF(A3386="","",'Employees'!F19)</f>
        <v/>
      </c>
    </row>
    <row r="3387">
      <c r="A3387">
        <f>IF(AND('Skill Matrix'!A217&lt;&gt;"",'Skill Matrix'!N5&lt;&gt;""),'Skill Matrix'!A217,"")</f>
        <v/>
      </c>
      <c r="B3387">
        <f>IF(A3387="","",'Employees'!C19)</f>
        <v/>
      </c>
      <c r="C3387">
        <f>IF(A3387="","",'Employees'!D19)</f>
        <v/>
      </c>
      <c r="D3387">
        <f>IF(A3387="","",'Skill Matrix'!C217)</f>
        <v/>
      </c>
      <c r="E3387">
        <f>IF(A3387="","",'Skill Matrix'!D217)</f>
        <v/>
      </c>
      <c r="F3387">
        <f>IF(AND('Skill Matrix'!A217&lt;&gt;"",'Skill Matrix'!N5&lt;&gt;""),'Skill Matrix'!N5,"")</f>
        <v/>
      </c>
      <c r="G3387">
        <f>IF(OR(A3387="",'Skill Matrix'!N217=""),"",'Skill Matrix'!N217)</f>
        <v/>
      </c>
      <c r="H3387">
        <f>IF(A3387="","",'Employees'!F19)</f>
        <v/>
      </c>
    </row>
    <row r="3388">
      <c r="A3388">
        <f>IF(AND('Skill Matrix'!A217&lt;&gt;"",'Skill Matrix'!O5&lt;&gt;""),'Skill Matrix'!A217,"")</f>
        <v/>
      </c>
      <c r="B3388">
        <f>IF(A3388="","",'Employees'!C19)</f>
        <v/>
      </c>
      <c r="C3388">
        <f>IF(A3388="","",'Employees'!D19)</f>
        <v/>
      </c>
      <c r="D3388">
        <f>IF(A3388="","",'Skill Matrix'!C217)</f>
        <v/>
      </c>
      <c r="E3388">
        <f>IF(A3388="","",'Skill Matrix'!D217)</f>
        <v/>
      </c>
      <c r="F3388">
        <f>IF(AND('Skill Matrix'!A217&lt;&gt;"",'Skill Matrix'!O5&lt;&gt;""),'Skill Matrix'!O5,"")</f>
        <v/>
      </c>
      <c r="G3388">
        <f>IF(OR(A3388="",'Skill Matrix'!O217=""),"",'Skill Matrix'!O217)</f>
        <v/>
      </c>
      <c r="H3388">
        <f>IF(A3388="","",'Employees'!F19)</f>
        <v/>
      </c>
    </row>
    <row r="3389">
      <c r="A3389">
        <f>IF(AND('Skill Matrix'!A217&lt;&gt;"",'Skill Matrix'!P5&lt;&gt;""),'Skill Matrix'!A217,"")</f>
        <v/>
      </c>
      <c r="B3389">
        <f>IF(A3389="","",'Employees'!C19)</f>
        <v/>
      </c>
      <c r="C3389">
        <f>IF(A3389="","",'Employees'!D19)</f>
        <v/>
      </c>
      <c r="D3389">
        <f>IF(A3389="","",'Skill Matrix'!C217)</f>
        <v/>
      </c>
      <c r="E3389">
        <f>IF(A3389="","",'Skill Matrix'!D217)</f>
        <v/>
      </c>
      <c r="F3389">
        <f>IF(AND('Skill Matrix'!A217&lt;&gt;"",'Skill Matrix'!P5&lt;&gt;""),'Skill Matrix'!P5,"")</f>
        <v/>
      </c>
      <c r="G3389">
        <f>IF(OR(A3389="",'Skill Matrix'!P217=""),"",'Skill Matrix'!P217)</f>
        <v/>
      </c>
      <c r="H3389">
        <f>IF(A3389="","",'Employees'!F19)</f>
        <v/>
      </c>
    </row>
    <row r="3390">
      <c r="A3390">
        <f>IF(AND('Skill Matrix'!A217&lt;&gt;"",'Skill Matrix'!Q5&lt;&gt;""),'Skill Matrix'!A217,"")</f>
        <v/>
      </c>
      <c r="B3390">
        <f>IF(A3390="","",'Employees'!C19)</f>
        <v/>
      </c>
      <c r="C3390">
        <f>IF(A3390="","",'Employees'!D19)</f>
        <v/>
      </c>
      <c r="D3390">
        <f>IF(A3390="","",'Skill Matrix'!C217)</f>
        <v/>
      </c>
      <c r="E3390">
        <f>IF(A3390="","",'Skill Matrix'!D217)</f>
        <v/>
      </c>
      <c r="F3390">
        <f>IF(AND('Skill Matrix'!A217&lt;&gt;"",'Skill Matrix'!Q5&lt;&gt;""),'Skill Matrix'!Q5,"")</f>
        <v/>
      </c>
      <c r="G3390">
        <f>IF(OR(A3390="",'Skill Matrix'!Q217=""),"",'Skill Matrix'!Q217)</f>
        <v/>
      </c>
      <c r="H3390">
        <f>IF(A3390="","",'Employees'!F19)</f>
        <v/>
      </c>
    </row>
    <row r="3391">
      <c r="A3391">
        <f>IF(AND('Skill Matrix'!A217&lt;&gt;"",'Skill Matrix'!R5&lt;&gt;""),'Skill Matrix'!A217,"")</f>
        <v/>
      </c>
      <c r="B3391">
        <f>IF(A3391="","",'Employees'!C19)</f>
        <v/>
      </c>
      <c r="C3391">
        <f>IF(A3391="","",'Employees'!D19)</f>
        <v/>
      </c>
      <c r="D3391">
        <f>IF(A3391="","",'Skill Matrix'!C217)</f>
        <v/>
      </c>
      <c r="E3391">
        <f>IF(A3391="","",'Skill Matrix'!D217)</f>
        <v/>
      </c>
      <c r="F3391">
        <f>IF(AND('Skill Matrix'!A217&lt;&gt;"",'Skill Matrix'!R5&lt;&gt;""),'Skill Matrix'!R5,"")</f>
        <v/>
      </c>
      <c r="G3391">
        <f>IF(OR(A3391="",'Skill Matrix'!R217=""),"",'Skill Matrix'!R217)</f>
        <v/>
      </c>
      <c r="H3391">
        <f>IF(A3391="","",'Employees'!F19)</f>
        <v/>
      </c>
    </row>
    <row r="3392">
      <c r="A3392">
        <f>IF(AND('Skill Matrix'!A217&lt;&gt;"",'Skill Matrix'!S5&lt;&gt;""),'Skill Matrix'!A217,"")</f>
        <v/>
      </c>
      <c r="B3392">
        <f>IF(A3392="","",'Employees'!C19)</f>
        <v/>
      </c>
      <c r="C3392">
        <f>IF(A3392="","",'Employees'!D19)</f>
        <v/>
      </c>
      <c r="D3392">
        <f>IF(A3392="","",'Skill Matrix'!C217)</f>
        <v/>
      </c>
      <c r="E3392">
        <f>IF(A3392="","",'Skill Matrix'!D217)</f>
        <v/>
      </c>
      <c r="F3392">
        <f>IF(AND('Skill Matrix'!A217&lt;&gt;"",'Skill Matrix'!S5&lt;&gt;""),'Skill Matrix'!S5,"")</f>
        <v/>
      </c>
      <c r="G3392">
        <f>IF(OR(A3392="",'Skill Matrix'!S217=""),"",'Skill Matrix'!S217)</f>
        <v/>
      </c>
      <c r="H3392">
        <f>IF(A3392="","",'Employees'!F19)</f>
        <v/>
      </c>
    </row>
    <row r="3393">
      <c r="A3393">
        <f>IF(AND('Skill Matrix'!A217&lt;&gt;"",'Skill Matrix'!T5&lt;&gt;""),'Skill Matrix'!A217,"")</f>
        <v/>
      </c>
      <c r="B3393">
        <f>IF(A3393="","",'Employees'!C19)</f>
        <v/>
      </c>
      <c r="C3393">
        <f>IF(A3393="","",'Employees'!D19)</f>
        <v/>
      </c>
      <c r="D3393">
        <f>IF(A3393="","",'Skill Matrix'!C217)</f>
        <v/>
      </c>
      <c r="E3393">
        <f>IF(A3393="","",'Skill Matrix'!D217)</f>
        <v/>
      </c>
      <c r="F3393">
        <f>IF(AND('Skill Matrix'!A217&lt;&gt;"",'Skill Matrix'!T5&lt;&gt;""),'Skill Matrix'!T5,"")</f>
        <v/>
      </c>
      <c r="G3393">
        <f>IF(OR(A3393="",'Skill Matrix'!T217=""),"",'Skill Matrix'!T217)</f>
        <v/>
      </c>
      <c r="H3393">
        <f>IF(A3393="","",'Employees'!F19)</f>
        <v/>
      </c>
    </row>
    <row r="3394">
      <c r="A3394">
        <f>IF(AND('Skill Matrix'!A218&lt;&gt;"",'Skill Matrix'!E5&lt;&gt;""),'Skill Matrix'!A218,"")</f>
        <v/>
      </c>
      <c r="B3394">
        <f>IF(A3394="","",'Employees'!C19)</f>
        <v/>
      </c>
      <c r="C3394">
        <f>IF(A3394="","",'Employees'!D19)</f>
        <v/>
      </c>
      <c r="D3394">
        <f>IF(A3394="","",'Skill Matrix'!C218)</f>
        <v/>
      </c>
      <c r="E3394">
        <f>IF(A3394="","",'Skill Matrix'!D218)</f>
        <v/>
      </c>
      <c r="F3394">
        <f>IF(AND('Skill Matrix'!A218&lt;&gt;"",'Skill Matrix'!E5&lt;&gt;""),'Skill Matrix'!E5,"")</f>
        <v/>
      </c>
      <c r="G3394">
        <f>IF(OR(A3394="",'Skill Matrix'!E218=""),"",'Skill Matrix'!E218)</f>
        <v/>
      </c>
      <c r="H3394">
        <f>IF(A3394="","",'Employees'!F19)</f>
        <v/>
      </c>
    </row>
    <row r="3395">
      <c r="A3395">
        <f>IF(AND('Skill Matrix'!A218&lt;&gt;"",'Skill Matrix'!F5&lt;&gt;""),'Skill Matrix'!A218,"")</f>
        <v/>
      </c>
      <c r="B3395">
        <f>IF(A3395="","",'Employees'!C19)</f>
        <v/>
      </c>
      <c r="C3395">
        <f>IF(A3395="","",'Employees'!D19)</f>
        <v/>
      </c>
      <c r="D3395">
        <f>IF(A3395="","",'Skill Matrix'!C218)</f>
        <v/>
      </c>
      <c r="E3395">
        <f>IF(A3395="","",'Skill Matrix'!D218)</f>
        <v/>
      </c>
      <c r="F3395">
        <f>IF(AND('Skill Matrix'!A218&lt;&gt;"",'Skill Matrix'!F5&lt;&gt;""),'Skill Matrix'!F5,"")</f>
        <v/>
      </c>
      <c r="G3395">
        <f>IF(OR(A3395="",'Skill Matrix'!F218=""),"",'Skill Matrix'!F218)</f>
        <v/>
      </c>
      <c r="H3395">
        <f>IF(A3395="","",'Employees'!F19)</f>
        <v/>
      </c>
    </row>
    <row r="3396">
      <c r="A3396">
        <f>IF(AND('Skill Matrix'!A218&lt;&gt;"",'Skill Matrix'!G5&lt;&gt;""),'Skill Matrix'!A218,"")</f>
        <v/>
      </c>
      <c r="B3396">
        <f>IF(A3396="","",'Employees'!C19)</f>
        <v/>
      </c>
      <c r="C3396">
        <f>IF(A3396="","",'Employees'!D19)</f>
        <v/>
      </c>
      <c r="D3396">
        <f>IF(A3396="","",'Skill Matrix'!C218)</f>
        <v/>
      </c>
      <c r="E3396">
        <f>IF(A3396="","",'Skill Matrix'!D218)</f>
        <v/>
      </c>
      <c r="F3396">
        <f>IF(AND('Skill Matrix'!A218&lt;&gt;"",'Skill Matrix'!G5&lt;&gt;""),'Skill Matrix'!G5,"")</f>
        <v/>
      </c>
      <c r="G3396">
        <f>IF(OR(A3396="",'Skill Matrix'!G218=""),"",'Skill Matrix'!G218)</f>
        <v/>
      </c>
      <c r="H3396">
        <f>IF(A3396="","",'Employees'!F19)</f>
        <v/>
      </c>
    </row>
    <row r="3397">
      <c r="A3397">
        <f>IF(AND('Skill Matrix'!A218&lt;&gt;"",'Skill Matrix'!H5&lt;&gt;""),'Skill Matrix'!A218,"")</f>
        <v/>
      </c>
      <c r="B3397">
        <f>IF(A3397="","",'Employees'!C19)</f>
        <v/>
      </c>
      <c r="C3397">
        <f>IF(A3397="","",'Employees'!D19)</f>
        <v/>
      </c>
      <c r="D3397">
        <f>IF(A3397="","",'Skill Matrix'!C218)</f>
        <v/>
      </c>
      <c r="E3397">
        <f>IF(A3397="","",'Skill Matrix'!D218)</f>
        <v/>
      </c>
      <c r="F3397">
        <f>IF(AND('Skill Matrix'!A218&lt;&gt;"",'Skill Matrix'!H5&lt;&gt;""),'Skill Matrix'!H5,"")</f>
        <v/>
      </c>
      <c r="G3397">
        <f>IF(OR(A3397="",'Skill Matrix'!H218=""),"",'Skill Matrix'!H218)</f>
        <v/>
      </c>
      <c r="H3397">
        <f>IF(A3397="","",'Employees'!F19)</f>
        <v/>
      </c>
    </row>
    <row r="3398">
      <c r="A3398">
        <f>IF(AND('Skill Matrix'!A218&lt;&gt;"",'Skill Matrix'!I5&lt;&gt;""),'Skill Matrix'!A218,"")</f>
        <v/>
      </c>
      <c r="B3398">
        <f>IF(A3398="","",'Employees'!C19)</f>
        <v/>
      </c>
      <c r="C3398">
        <f>IF(A3398="","",'Employees'!D19)</f>
        <v/>
      </c>
      <c r="D3398">
        <f>IF(A3398="","",'Skill Matrix'!C218)</f>
        <v/>
      </c>
      <c r="E3398">
        <f>IF(A3398="","",'Skill Matrix'!D218)</f>
        <v/>
      </c>
      <c r="F3398">
        <f>IF(AND('Skill Matrix'!A218&lt;&gt;"",'Skill Matrix'!I5&lt;&gt;""),'Skill Matrix'!I5,"")</f>
        <v/>
      </c>
      <c r="G3398">
        <f>IF(OR(A3398="",'Skill Matrix'!I218=""),"",'Skill Matrix'!I218)</f>
        <v/>
      </c>
      <c r="H3398">
        <f>IF(A3398="","",'Employees'!F19)</f>
        <v/>
      </c>
    </row>
    <row r="3399">
      <c r="A3399">
        <f>IF(AND('Skill Matrix'!A218&lt;&gt;"",'Skill Matrix'!J5&lt;&gt;""),'Skill Matrix'!A218,"")</f>
        <v/>
      </c>
      <c r="B3399">
        <f>IF(A3399="","",'Employees'!C19)</f>
        <v/>
      </c>
      <c r="C3399">
        <f>IF(A3399="","",'Employees'!D19)</f>
        <v/>
      </c>
      <c r="D3399">
        <f>IF(A3399="","",'Skill Matrix'!C218)</f>
        <v/>
      </c>
      <c r="E3399">
        <f>IF(A3399="","",'Skill Matrix'!D218)</f>
        <v/>
      </c>
      <c r="F3399">
        <f>IF(AND('Skill Matrix'!A218&lt;&gt;"",'Skill Matrix'!J5&lt;&gt;""),'Skill Matrix'!J5,"")</f>
        <v/>
      </c>
      <c r="G3399">
        <f>IF(OR(A3399="",'Skill Matrix'!J218=""),"",'Skill Matrix'!J218)</f>
        <v/>
      </c>
      <c r="H3399">
        <f>IF(A3399="","",'Employees'!F19)</f>
        <v/>
      </c>
    </row>
    <row r="3400">
      <c r="A3400">
        <f>IF(AND('Skill Matrix'!A218&lt;&gt;"",'Skill Matrix'!K5&lt;&gt;""),'Skill Matrix'!A218,"")</f>
        <v/>
      </c>
      <c r="B3400">
        <f>IF(A3400="","",'Employees'!C19)</f>
        <v/>
      </c>
      <c r="C3400">
        <f>IF(A3400="","",'Employees'!D19)</f>
        <v/>
      </c>
      <c r="D3400">
        <f>IF(A3400="","",'Skill Matrix'!C218)</f>
        <v/>
      </c>
      <c r="E3400">
        <f>IF(A3400="","",'Skill Matrix'!D218)</f>
        <v/>
      </c>
      <c r="F3400">
        <f>IF(AND('Skill Matrix'!A218&lt;&gt;"",'Skill Matrix'!K5&lt;&gt;""),'Skill Matrix'!K5,"")</f>
        <v/>
      </c>
      <c r="G3400">
        <f>IF(OR(A3400="",'Skill Matrix'!K218=""),"",'Skill Matrix'!K218)</f>
        <v/>
      </c>
      <c r="H3400">
        <f>IF(A3400="","",'Employees'!F19)</f>
        <v/>
      </c>
    </row>
    <row r="3401">
      <c r="A3401">
        <f>IF(AND('Skill Matrix'!A218&lt;&gt;"",'Skill Matrix'!L5&lt;&gt;""),'Skill Matrix'!A218,"")</f>
        <v/>
      </c>
      <c r="B3401">
        <f>IF(A3401="","",'Employees'!C19)</f>
        <v/>
      </c>
      <c r="C3401">
        <f>IF(A3401="","",'Employees'!D19)</f>
        <v/>
      </c>
      <c r="D3401">
        <f>IF(A3401="","",'Skill Matrix'!C218)</f>
        <v/>
      </c>
      <c r="E3401">
        <f>IF(A3401="","",'Skill Matrix'!D218)</f>
        <v/>
      </c>
      <c r="F3401">
        <f>IF(AND('Skill Matrix'!A218&lt;&gt;"",'Skill Matrix'!L5&lt;&gt;""),'Skill Matrix'!L5,"")</f>
        <v/>
      </c>
      <c r="G3401">
        <f>IF(OR(A3401="",'Skill Matrix'!L218=""),"",'Skill Matrix'!L218)</f>
        <v/>
      </c>
      <c r="H3401">
        <f>IF(A3401="","",'Employees'!F19)</f>
        <v/>
      </c>
    </row>
    <row r="3402">
      <c r="A3402">
        <f>IF(AND('Skill Matrix'!A218&lt;&gt;"",'Skill Matrix'!M5&lt;&gt;""),'Skill Matrix'!A218,"")</f>
        <v/>
      </c>
      <c r="B3402">
        <f>IF(A3402="","",'Employees'!C19)</f>
        <v/>
      </c>
      <c r="C3402">
        <f>IF(A3402="","",'Employees'!D19)</f>
        <v/>
      </c>
      <c r="D3402">
        <f>IF(A3402="","",'Skill Matrix'!C218)</f>
        <v/>
      </c>
      <c r="E3402">
        <f>IF(A3402="","",'Skill Matrix'!D218)</f>
        <v/>
      </c>
      <c r="F3402">
        <f>IF(AND('Skill Matrix'!A218&lt;&gt;"",'Skill Matrix'!M5&lt;&gt;""),'Skill Matrix'!M5,"")</f>
        <v/>
      </c>
      <c r="G3402">
        <f>IF(OR(A3402="",'Skill Matrix'!M218=""),"",'Skill Matrix'!M218)</f>
        <v/>
      </c>
      <c r="H3402">
        <f>IF(A3402="","",'Employees'!F19)</f>
        <v/>
      </c>
    </row>
    <row r="3403">
      <c r="A3403">
        <f>IF(AND('Skill Matrix'!A218&lt;&gt;"",'Skill Matrix'!N5&lt;&gt;""),'Skill Matrix'!A218,"")</f>
        <v/>
      </c>
      <c r="B3403">
        <f>IF(A3403="","",'Employees'!C19)</f>
        <v/>
      </c>
      <c r="C3403">
        <f>IF(A3403="","",'Employees'!D19)</f>
        <v/>
      </c>
      <c r="D3403">
        <f>IF(A3403="","",'Skill Matrix'!C218)</f>
        <v/>
      </c>
      <c r="E3403">
        <f>IF(A3403="","",'Skill Matrix'!D218)</f>
        <v/>
      </c>
      <c r="F3403">
        <f>IF(AND('Skill Matrix'!A218&lt;&gt;"",'Skill Matrix'!N5&lt;&gt;""),'Skill Matrix'!N5,"")</f>
        <v/>
      </c>
      <c r="G3403">
        <f>IF(OR(A3403="",'Skill Matrix'!N218=""),"",'Skill Matrix'!N218)</f>
        <v/>
      </c>
      <c r="H3403">
        <f>IF(A3403="","",'Employees'!F19)</f>
        <v/>
      </c>
    </row>
    <row r="3404">
      <c r="A3404">
        <f>IF(AND('Skill Matrix'!A218&lt;&gt;"",'Skill Matrix'!O5&lt;&gt;""),'Skill Matrix'!A218,"")</f>
        <v/>
      </c>
      <c r="B3404">
        <f>IF(A3404="","",'Employees'!C19)</f>
        <v/>
      </c>
      <c r="C3404">
        <f>IF(A3404="","",'Employees'!D19)</f>
        <v/>
      </c>
      <c r="D3404">
        <f>IF(A3404="","",'Skill Matrix'!C218)</f>
        <v/>
      </c>
      <c r="E3404">
        <f>IF(A3404="","",'Skill Matrix'!D218)</f>
        <v/>
      </c>
      <c r="F3404">
        <f>IF(AND('Skill Matrix'!A218&lt;&gt;"",'Skill Matrix'!O5&lt;&gt;""),'Skill Matrix'!O5,"")</f>
        <v/>
      </c>
      <c r="G3404">
        <f>IF(OR(A3404="",'Skill Matrix'!O218=""),"",'Skill Matrix'!O218)</f>
        <v/>
      </c>
      <c r="H3404">
        <f>IF(A3404="","",'Employees'!F19)</f>
        <v/>
      </c>
    </row>
    <row r="3405">
      <c r="A3405">
        <f>IF(AND('Skill Matrix'!A218&lt;&gt;"",'Skill Matrix'!P5&lt;&gt;""),'Skill Matrix'!A218,"")</f>
        <v/>
      </c>
      <c r="B3405">
        <f>IF(A3405="","",'Employees'!C19)</f>
        <v/>
      </c>
      <c r="C3405">
        <f>IF(A3405="","",'Employees'!D19)</f>
        <v/>
      </c>
      <c r="D3405">
        <f>IF(A3405="","",'Skill Matrix'!C218)</f>
        <v/>
      </c>
      <c r="E3405">
        <f>IF(A3405="","",'Skill Matrix'!D218)</f>
        <v/>
      </c>
      <c r="F3405">
        <f>IF(AND('Skill Matrix'!A218&lt;&gt;"",'Skill Matrix'!P5&lt;&gt;""),'Skill Matrix'!P5,"")</f>
        <v/>
      </c>
      <c r="G3405">
        <f>IF(OR(A3405="",'Skill Matrix'!P218=""),"",'Skill Matrix'!P218)</f>
        <v/>
      </c>
      <c r="H3405">
        <f>IF(A3405="","",'Employees'!F19)</f>
        <v/>
      </c>
    </row>
    <row r="3406">
      <c r="A3406">
        <f>IF(AND('Skill Matrix'!A218&lt;&gt;"",'Skill Matrix'!Q5&lt;&gt;""),'Skill Matrix'!A218,"")</f>
        <v/>
      </c>
      <c r="B3406">
        <f>IF(A3406="","",'Employees'!C19)</f>
        <v/>
      </c>
      <c r="C3406">
        <f>IF(A3406="","",'Employees'!D19)</f>
        <v/>
      </c>
      <c r="D3406">
        <f>IF(A3406="","",'Skill Matrix'!C218)</f>
        <v/>
      </c>
      <c r="E3406">
        <f>IF(A3406="","",'Skill Matrix'!D218)</f>
        <v/>
      </c>
      <c r="F3406">
        <f>IF(AND('Skill Matrix'!A218&lt;&gt;"",'Skill Matrix'!Q5&lt;&gt;""),'Skill Matrix'!Q5,"")</f>
        <v/>
      </c>
      <c r="G3406">
        <f>IF(OR(A3406="",'Skill Matrix'!Q218=""),"",'Skill Matrix'!Q218)</f>
        <v/>
      </c>
      <c r="H3406">
        <f>IF(A3406="","",'Employees'!F19)</f>
        <v/>
      </c>
    </row>
    <row r="3407">
      <c r="A3407">
        <f>IF(AND('Skill Matrix'!A218&lt;&gt;"",'Skill Matrix'!R5&lt;&gt;""),'Skill Matrix'!A218,"")</f>
        <v/>
      </c>
      <c r="B3407">
        <f>IF(A3407="","",'Employees'!C19)</f>
        <v/>
      </c>
      <c r="C3407">
        <f>IF(A3407="","",'Employees'!D19)</f>
        <v/>
      </c>
      <c r="D3407">
        <f>IF(A3407="","",'Skill Matrix'!C218)</f>
        <v/>
      </c>
      <c r="E3407">
        <f>IF(A3407="","",'Skill Matrix'!D218)</f>
        <v/>
      </c>
      <c r="F3407">
        <f>IF(AND('Skill Matrix'!A218&lt;&gt;"",'Skill Matrix'!R5&lt;&gt;""),'Skill Matrix'!R5,"")</f>
        <v/>
      </c>
      <c r="G3407">
        <f>IF(OR(A3407="",'Skill Matrix'!R218=""),"",'Skill Matrix'!R218)</f>
        <v/>
      </c>
      <c r="H3407">
        <f>IF(A3407="","",'Employees'!F19)</f>
        <v/>
      </c>
    </row>
    <row r="3408">
      <c r="A3408">
        <f>IF(AND('Skill Matrix'!A218&lt;&gt;"",'Skill Matrix'!S5&lt;&gt;""),'Skill Matrix'!A218,"")</f>
        <v/>
      </c>
      <c r="B3408">
        <f>IF(A3408="","",'Employees'!C19)</f>
        <v/>
      </c>
      <c r="C3408">
        <f>IF(A3408="","",'Employees'!D19)</f>
        <v/>
      </c>
      <c r="D3408">
        <f>IF(A3408="","",'Skill Matrix'!C218)</f>
        <v/>
      </c>
      <c r="E3408">
        <f>IF(A3408="","",'Skill Matrix'!D218)</f>
        <v/>
      </c>
      <c r="F3408">
        <f>IF(AND('Skill Matrix'!A218&lt;&gt;"",'Skill Matrix'!S5&lt;&gt;""),'Skill Matrix'!S5,"")</f>
        <v/>
      </c>
      <c r="G3408">
        <f>IF(OR(A3408="",'Skill Matrix'!S218=""),"",'Skill Matrix'!S218)</f>
        <v/>
      </c>
      <c r="H3408">
        <f>IF(A3408="","",'Employees'!F19)</f>
        <v/>
      </c>
    </row>
    <row r="3409">
      <c r="A3409">
        <f>IF(AND('Skill Matrix'!A218&lt;&gt;"",'Skill Matrix'!T5&lt;&gt;""),'Skill Matrix'!A218,"")</f>
        <v/>
      </c>
      <c r="B3409">
        <f>IF(A3409="","",'Employees'!C19)</f>
        <v/>
      </c>
      <c r="C3409">
        <f>IF(A3409="","",'Employees'!D19)</f>
        <v/>
      </c>
      <c r="D3409">
        <f>IF(A3409="","",'Skill Matrix'!C218)</f>
        <v/>
      </c>
      <c r="E3409">
        <f>IF(A3409="","",'Skill Matrix'!D218)</f>
        <v/>
      </c>
      <c r="F3409">
        <f>IF(AND('Skill Matrix'!A218&lt;&gt;"",'Skill Matrix'!T5&lt;&gt;""),'Skill Matrix'!T5,"")</f>
        <v/>
      </c>
      <c r="G3409">
        <f>IF(OR(A3409="",'Skill Matrix'!T218=""),"",'Skill Matrix'!T218)</f>
        <v/>
      </c>
      <c r="H3409">
        <f>IF(A3409="","",'Employees'!F19)</f>
        <v/>
      </c>
    </row>
    <row r="3410">
      <c r="A3410">
        <f>IF(AND('Skill Matrix'!A219&lt;&gt;"",'Skill Matrix'!E5&lt;&gt;""),'Skill Matrix'!A219,"")</f>
        <v/>
      </c>
      <c r="B3410">
        <f>IF(A3410="","",'Employees'!C19)</f>
        <v/>
      </c>
      <c r="C3410">
        <f>IF(A3410="","",'Employees'!D19)</f>
        <v/>
      </c>
      <c r="D3410">
        <f>IF(A3410="","",'Skill Matrix'!C219)</f>
        <v/>
      </c>
      <c r="E3410">
        <f>IF(A3410="","",'Skill Matrix'!D219)</f>
        <v/>
      </c>
      <c r="F3410">
        <f>IF(AND('Skill Matrix'!A219&lt;&gt;"",'Skill Matrix'!E5&lt;&gt;""),'Skill Matrix'!E5,"")</f>
        <v/>
      </c>
      <c r="G3410">
        <f>IF(OR(A3410="",'Skill Matrix'!E219=""),"",'Skill Matrix'!E219)</f>
        <v/>
      </c>
      <c r="H3410">
        <f>IF(A3410="","",'Employees'!F19)</f>
        <v/>
      </c>
    </row>
    <row r="3411">
      <c r="A3411">
        <f>IF(AND('Skill Matrix'!A219&lt;&gt;"",'Skill Matrix'!F5&lt;&gt;""),'Skill Matrix'!A219,"")</f>
        <v/>
      </c>
      <c r="B3411">
        <f>IF(A3411="","",'Employees'!C19)</f>
        <v/>
      </c>
      <c r="C3411">
        <f>IF(A3411="","",'Employees'!D19)</f>
        <v/>
      </c>
      <c r="D3411">
        <f>IF(A3411="","",'Skill Matrix'!C219)</f>
        <v/>
      </c>
      <c r="E3411">
        <f>IF(A3411="","",'Skill Matrix'!D219)</f>
        <v/>
      </c>
      <c r="F3411">
        <f>IF(AND('Skill Matrix'!A219&lt;&gt;"",'Skill Matrix'!F5&lt;&gt;""),'Skill Matrix'!F5,"")</f>
        <v/>
      </c>
      <c r="G3411">
        <f>IF(OR(A3411="",'Skill Matrix'!F219=""),"",'Skill Matrix'!F219)</f>
        <v/>
      </c>
      <c r="H3411">
        <f>IF(A3411="","",'Employees'!F19)</f>
        <v/>
      </c>
    </row>
    <row r="3412">
      <c r="A3412">
        <f>IF(AND('Skill Matrix'!A219&lt;&gt;"",'Skill Matrix'!G5&lt;&gt;""),'Skill Matrix'!A219,"")</f>
        <v/>
      </c>
      <c r="B3412">
        <f>IF(A3412="","",'Employees'!C19)</f>
        <v/>
      </c>
      <c r="C3412">
        <f>IF(A3412="","",'Employees'!D19)</f>
        <v/>
      </c>
      <c r="D3412">
        <f>IF(A3412="","",'Skill Matrix'!C219)</f>
        <v/>
      </c>
      <c r="E3412">
        <f>IF(A3412="","",'Skill Matrix'!D219)</f>
        <v/>
      </c>
      <c r="F3412">
        <f>IF(AND('Skill Matrix'!A219&lt;&gt;"",'Skill Matrix'!G5&lt;&gt;""),'Skill Matrix'!G5,"")</f>
        <v/>
      </c>
      <c r="G3412">
        <f>IF(OR(A3412="",'Skill Matrix'!G219=""),"",'Skill Matrix'!G219)</f>
        <v/>
      </c>
      <c r="H3412">
        <f>IF(A3412="","",'Employees'!F19)</f>
        <v/>
      </c>
    </row>
    <row r="3413">
      <c r="A3413">
        <f>IF(AND('Skill Matrix'!A219&lt;&gt;"",'Skill Matrix'!H5&lt;&gt;""),'Skill Matrix'!A219,"")</f>
        <v/>
      </c>
      <c r="B3413">
        <f>IF(A3413="","",'Employees'!C19)</f>
        <v/>
      </c>
      <c r="C3413">
        <f>IF(A3413="","",'Employees'!D19)</f>
        <v/>
      </c>
      <c r="D3413">
        <f>IF(A3413="","",'Skill Matrix'!C219)</f>
        <v/>
      </c>
      <c r="E3413">
        <f>IF(A3413="","",'Skill Matrix'!D219)</f>
        <v/>
      </c>
      <c r="F3413">
        <f>IF(AND('Skill Matrix'!A219&lt;&gt;"",'Skill Matrix'!H5&lt;&gt;""),'Skill Matrix'!H5,"")</f>
        <v/>
      </c>
      <c r="G3413">
        <f>IF(OR(A3413="",'Skill Matrix'!H219=""),"",'Skill Matrix'!H219)</f>
        <v/>
      </c>
      <c r="H3413">
        <f>IF(A3413="","",'Employees'!F19)</f>
        <v/>
      </c>
    </row>
    <row r="3414">
      <c r="A3414">
        <f>IF(AND('Skill Matrix'!A219&lt;&gt;"",'Skill Matrix'!I5&lt;&gt;""),'Skill Matrix'!A219,"")</f>
        <v/>
      </c>
      <c r="B3414">
        <f>IF(A3414="","",'Employees'!C19)</f>
        <v/>
      </c>
      <c r="C3414">
        <f>IF(A3414="","",'Employees'!D19)</f>
        <v/>
      </c>
      <c r="D3414">
        <f>IF(A3414="","",'Skill Matrix'!C219)</f>
        <v/>
      </c>
      <c r="E3414">
        <f>IF(A3414="","",'Skill Matrix'!D219)</f>
        <v/>
      </c>
      <c r="F3414">
        <f>IF(AND('Skill Matrix'!A219&lt;&gt;"",'Skill Matrix'!I5&lt;&gt;""),'Skill Matrix'!I5,"")</f>
        <v/>
      </c>
      <c r="G3414">
        <f>IF(OR(A3414="",'Skill Matrix'!I219=""),"",'Skill Matrix'!I219)</f>
        <v/>
      </c>
      <c r="H3414">
        <f>IF(A3414="","",'Employees'!F19)</f>
        <v/>
      </c>
    </row>
    <row r="3415">
      <c r="A3415">
        <f>IF(AND('Skill Matrix'!A219&lt;&gt;"",'Skill Matrix'!J5&lt;&gt;""),'Skill Matrix'!A219,"")</f>
        <v/>
      </c>
      <c r="B3415">
        <f>IF(A3415="","",'Employees'!C19)</f>
        <v/>
      </c>
      <c r="C3415">
        <f>IF(A3415="","",'Employees'!D19)</f>
        <v/>
      </c>
      <c r="D3415">
        <f>IF(A3415="","",'Skill Matrix'!C219)</f>
        <v/>
      </c>
      <c r="E3415">
        <f>IF(A3415="","",'Skill Matrix'!D219)</f>
        <v/>
      </c>
      <c r="F3415">
        <f>IF(AND('Skill Matrix'!A219&lt;&gt;"",'Skill Matrix'!J5&lt;&gt;""),'Skill Matrix'!J5,"")</f>
        <v/>
      </c>
      <c r="G3415">
        <f>IF(OR(A3415="",'Skill Matrix'!J219=""),"",'Skill Matrix'!J219)</f>
        <v/>
      </c>
      <c r="H3415">
        <f>IF(A3415="","",'Employees'!F19)</f>
        <v/>
      </c>
    </row>
    <row r="3416">
      <c r="A3416">
        <f>IF(AND('Skill Matrix'!A219&lt;&gt;"",'Skill Matrix'!K5&lt;&gt;""),'Skill Matrix'!A219,"")</f>
        <v/>
      </c>
      <c r="B3416">
        <f>IF(A3416="","",'Employees'!C19)</f>
        <v/>
      </c>
      <c r="C3416">
        <f>IF(A3416="","",'Employees'!D19)</f>
        <v/>
      </c>
      <c r="D3416">
        <f>IF(A3416="","",'Skill Matrix'!C219)</f>
        <v/>
      </c>
      <c r="E3416">
        <f>IF(A3416="","",'Skill Matrix'!D219)</f>
        <v/>
      </c>
      <c r="F3416">
        <f>IF(AND('Skill Matrix'!A219&lt;&gt;"",'Skill Matrix'!K5&lt;&gt;""),'Skill Matrix'!K5,"")</f>
        <v/>
      </c>
      <c r="G3416">
        <f>IF(OR(A3416="",'Skill Matrix'!K219=""),"",'Skill Matrix'!K219)</f>
        <v/>
      </c>
      <c r="H3416">
        <f>IF(A3416="","",'Employees'!F19)</f>
        <v/>
      </c>
    </row>
    <row r="3417">
      <c r="A3417">
        <f>IF(AND('Skill Matrix'!A219&lt;&gt;"",'Skill Matrix'!L5&lt;&gt;""),'Skill Matrix'!A219,"")</f>
        <v/>
      </c>
      <c r="B3417">
        <f>IF(A3417="","",'Employees'!C19)</f>
        <v/>
      </c>
      <c r="C3417">
        <f>IF(A3417="","",'Employees'!D19)</f>
        <v/>
      </c>
      <c r="D3417">
        <f>IF(A3417="","",'Skill Matrix'!C219)</f>
        <v/>
      </c>
      <c r="E3417">
        <f>IF(A3417="","",'Skill Matrix'!D219)</f>
        <v/>
      </c>
      <c r="F3417">
        <f>IF(AND('Skill Matrix'!A219&lt;&gt;"",'Skill Matrix'!L5&lt;&gt;""),'Skill Matrix'!L5,"")</f>
        <v/>
      </c>
      <c r="G3417">
        <f>IF(OR(A3417="",'Skill Matrix'!L219=""),"",'Skill Matrix'!L219)</f>
        <v/>
      </c>
      <c r="H3417">
        <f>IF(A3417="","",'Employees'!F19)</f>
        <v/>
      </c>
    </row>
    <row r="3418">
      <c r="A3418">
        <f>IF(AND('Skill Matrix'!A219&lt;&gt;"",'Skill Matrix'!M5&lt;&gt;""),'Skill Matrix'!A219,"")</f>
        <v/>
      </c>
      <c r="B3418">
        <f>IF(A3418="","",'Employees'!C19)</f>
        <v/>
      </c>
      <c r="C3418">
        <f>IF(A3418="","",'Employees'!D19)</f>
        <v/>
      </c>
      <c r="D3418">
        <f>IF(A3418="","",'Skill Matrix'!C219)</f>
        <v/>
      </c>
      <c r="E3418">
        <f>IF(A3418="","",'Skill Matrix'!D219)</f>
        <v/>
      </c>
      <c r="F3418">
        <f>IF(AND('Skill Matrix'!A219&lt;&gt;"",'Skill Matrix'!M5&lt;&gt;""),'Skill Matrix'!M5,"")</f>
        <v/>
      </c>
      <c r="G3418">
        <f>IF(OR(A3418="",'Skill Matrix'!M219=""),"",'Skill Matrix'!M219)</f>
        <v/>
      </c>
      <c r="H3418">
        <f>IF(A3418="","",'Employees'!F19)</f>
        <v/>
      </c>
    </row>
    <row r="3419">
      <c r="A3419">
        <f>IF(AND('Skill Matrix'!A219&lt;&gt;"",'Skill Matrix'!N5&lt;&gt;""),'Skill Matrix'!A219,"")</f>
        <v/>
      </c>
      <c r="B3419">
        <f>IF(A3419="","",'Employees'!C19)</f>
        <v/>
      </c>
      <c r="C3419">
        <f>IF(A3419="","",'Employees'!D19)</f>
        <v/>
      </c>
      <c r="D3419">
        <f>IF(A3419="","",'Skill Matrix'!C219)</f>
        <v/>
      </c>
      <c r="E3419">
        <f>IF(A3419="","",'Skill Matrix'!D219)</f>
        <v/>
      </c>
      <c r="F3419">
        <f>IF(AND('Skill Matrix'!A219&lt;&gt;"",'Skill Matrix'!N5&lt;&gt;""),'Skill Matrix'!N5,"")</f>
        <v/>
      </c>
      <c r="G3419">
        <f>IF(OR(A3419="",'Skill Matrix'!N219=""),"",'Skill Matrix'!N219)</f>
        <v/>
      </c>
      <c r="H3419">
        <f>IF(A3419="","",'Employees'!F19)</f>
        <v/>
      </c>
    </row>
    <row r="3420">
      <c r="A3420">
        <f>IF(AND('Skill Matrix'!A219&lt;&gt;"",'Skill Matrix'!O5&lt;&gt;""),'Skill Matrix'!A219,"")</f>
        <v/>
      </c>
      <c r="B3420">
        <f>IF(A3420="","",'Employees'!C19)</f>
        <v/>
      </c>
      <c r="C3420">
        <f>IF(A3420="","",'Employees'!D19)</f>
        <v/>
      </c>
      <c r="D3420">
        <f>IF(A3420="","",'Skill Matrix'!C219)</f>
        <v/>
      </c>
      <c r="E3420">
        <f>IF(A3420="","",'Skill Matrix'!D219)</f>
        <v/>
      </c>
      <c r="F3420">
        <f>IF(AND('Skill Matrix'!A219&lt;&gt;"",'Skill Matrix'!O5&lt;&gt;""),'Skill Matrix'!O5,"")</f>
        <v/>
      </c>
      <c r="G3420">
        <f>IF(OR(A3420="",'Skill Matrix'!O219=""),"",'Skill Matrix'!O219)</f>
        <v/>
      </c>
      <c r="H3420">
        <f>IF(A3420="","",'Employees'!F19)</f>
        <v/>
      </c>
    </row>
    <row r="3421">
      <c r="A3421">
        <f>IF(AND('Skill Matrix'!A219&lt;&gt;"",'Skill Matrix'!P5&lt;&gt;""),'Skill Matrix'!A219,"")</f>
        <v/>
      </c>
      <c r="B3421">
        <f>IF(A3421="","",'Employees'!C19)</f>
        <v/>
      </c>
      <c r="C3421">
        <f>IF(A3421="","",'Employees'!D19)</f>
        <v/>
      </c>
      <c r="D3421">
        <f>IF(A3421="","",'Skill Matrix'!C219)</f>
        <v/>
      </c>
      <c r="E3421">
        <f>IF(A3421="","",'Skill Matrix'!D219)</f>
        <v/>
      </c>
      <c r="F3421">
        <f>IF(AND('Skill Matrix'!A219&lt;&gt;"",'Skill Matrix'!P5&lt;&gt;""),'Skill Matrix'!P5,"")</f>
        <v/>
      </c>
      <c r="G3421">
        <f>IF(OR(A3421="",'Skill Matrix'!P219=""),"",'Skill Matrix'!P219)</f>
        <v/>
      </c>
      <c r="H3421">
        <f>IF(A3421="","",'Employees'!F19)</f>
        <v/>
      </c>
    </row>
    <row r="3422">
      <c r="A3422">
        <f>IF(AND('Skill Matrix'!A219&lt;&gt;"",'Skill Matrix'!Q5&lt;&gt;""),'Skill Matrix'!A219,"")</f>
        <v/>
      </c>
      <c r="B3422">
        <f>IF(A3422="","",'Employees'!C19)</f>
        <v/>
      </c>
      <c r="C3422">
        <f>IF(A3422="","",'Employees'!D19)</f>
        <v/>
      </c>
      <c r="D3422">
        <f>IF(A3422="","",'Skill Matrix'!C219)</f>
        <v/>
      </c>
      <c r="E3422">
        <f>IF(A3422="","",'Skill Matrix'!D219)</f>
        <v/>
      </c>
      <c r="F3422">
        <f>IF(AND('Skill Matrix'!A219&lt;&gt;"",'Skill Matrix'!Q5&lt;&gt;""),'Skill Matrix'!Q5,"")</f>
        <v/>
      </c>
      <c r="G3422">
        <f>IF(OR(A3422="",'Skill Matrix'!Q219=""),"",'Skill Matrix'!Q219)</f>
        <v/>
      </c>
      <c r="H3422">
        <f>IF(A3422="","",'Employees'!F19)</f>
        <v/>
      </c>
    </row>
    <row r="3423">
      <c r="A3423">
        <f>IF(AND('Skill Matrix'!A219&lt;&gt;"",'Skill Matrix'!R5&lt;&gt;""),'Skill Matrix'!A219,"")</f>
        <v/>
      </c>
      <c r="B3423">
        <f>IF(A3423="","",'Employees'!C19)</f>
        <v/>
      </c>
      <c r="C3423">
        <f>IF(A3423="","",'Employees'!D19)</f>
        <v/>
      </c>
      <c r="D3423">
        <f>IF(A3423="","",'Skill Matrix'!C219)</f>
        <v/>
      </c>
      <c r="E3423">
        <f>IF(A3423="","",'Skill Matrix'!D219)</f>
        <v/>
      </c>
      <c r="F3423">
        <f>IF(AND('Skill Matrix'!A219&lt;&gt;"",'Skill Matrix'!R5&lt;&gt;""),'Skill Matrix'!R5,"")</f>
        <v/>
      </c>
      <c r="G3423">
        <f>IF(OR(A3423="",'Skill Matrix'!R219=""),"",'Skill Matrix'!R219)</f>
        <v/>
      </c>
      <c r="H3423">
        <f>IF(A3423="","",'Employees'!F19)</f>
        <v/>
      </c>
    </row>
    <row r="3424">
      <c r="A3424">
        <f>IF(AND('Skill Matrix'!A219&lt;&gt;"",'Skill Matrix'!S5&lt;&gt;""),'Skill Matrix'!A219,"")</f>
        <v/>
      </c>
      <c r="B3424">
        <f>IF(A3424="","",'Employees'!C19)</f>
        <v/>
      </c>
      <c r="C3424">
        <f>IF(A3424="","",'Employees'!D19)</f>
        <v/>
      </c>
      <c r="D3424">
        <f>IF(A3424="","",'Skill Matrix'!C219)</f>
        <v/>
      </c>
      <c r="E3424">
        <f>IF(A3424="","",'Skill Matrix'!D219)</f>
        <v/>
      </c>
      <c r="F3424">
        <f>IF(AND('Skill Matrix'!A219&lt;&gt;"",'Skill Matrix'!S5&lt;&gt;""),'Skill Matrix'!S5,"")</f>
        <v/>
      </c>
      <c r="G3424">
        <f>IF(OR(A3424="",'Skill Matrix'!S219=""),"",'Skill Matrix'!S219)</f>
        <v/>
      </c>
      <c r="H3424">
        <f>IF(A3424="","",'Employees'!F19)</f>
        <v/>
      </c>
    </row>
    <row r="3425">
      <c r="A3425">
        <f>IF(AND('Skill Matrix'!A219&lt;&gt;"",'Skill Matrix'!T5&lt;&gt;""),'Skill Matrix'!A219,"")</f>
        <v/>
      </c>
      <c r="B3425">
        <f>IF(A3425="","",'Employees'!C19)</f>
        <v/>
      </c>
      <c r="C3425">
        <f>IF(A3425="","",'Employees'!D19)</f>
        <v/>
      </c>
      <c r="D3425">
        <f>IF(A3425="","",'Skill Matrix'!C219)</f>
        <v/>
      </c>
      <c r="E3425">
        <f>IF(A3425="","",'Skill Matrix'!D219)</f>
        <v/>
      </c>
      <c r="F3425">
        <f>IF(AND('Skill Matrix'!A219&lt;&gt;"",'Skill Matrix'!T5&lt;&gt;""),'Skill Matrix'!T5,"")</f>
        <v/>
      </c>
      <c r="G3425">
        <f>IF(OR(A3425="",'Skill Matrix'!T219=""),"",'Skill Matrix'!T219)</f>
        <v/>
      </c>
      <c r="H3425">
        <f>IF(A3425="","",'Employees'!F19)</f>
        <v/>
      </c>
    </row>
    <row r="3426">
      <c r="A3426">
        <f>IF(AND('Skill Matrix'!A220&lt;&gt;"",'Skill Matrix'!E5&lt;&gt;""),'Skill Matrix'!A220,"")</f>
        <v/>
      </c>
      <c r="B3426">
        <f>IF(A3426="","",'Employees'!C19)</f>
        <v/>
      </c>
      <c r="C3426">
        <f>IF(A3426="","",'Employees'!D19)</f>
        <v/>
      </c>
      <c r="D3426">
        <f>IF(A3426="","",'Skill Matrix'!C220)</f>
        <v/>
      </c>
      <c r="E3426">
        <f>IF(A3426="","",'Skill Matrix'!D220)</f>
        <v/>
      </c>
      <c r="F3426">
        <f>IF(AND('Skill Matrix'!A220&lt;&gt;"",'Skill Matrix'!E5&lt;&gt;""),'Skill Matrix'!E5,"")</f>
        <v/>
      </c>
      <c r="G3426">
        <f>IF(OR(A3426="",'Skill Matrix'!E220=""),"",'Skill Matrix'!E220)</f>
        <v/>
      </c>
      <c r="H3426">
        <f>IF(A3426="","",'Employees'!F19)</f>
        <v/>
      </c>
    </row>
    <row r="3427">
      <c r="A3427">
        <f>IF(AND('Skill Matrix'!A220&lt;&gt;"",'Skill Matrix'!F5&lt;&gt;""),'Skill Matrix'!A220,"")</f>
        <v/>
      </c>
      <c r="B3427">
        <f>IF(A3427="","",'Employees'!C19)</f>
        <v/>
      </c>
      <c r="C3427">
        <f>IF(A3427="","",'Employees'!D19)</f>
        <v/>
      </c>
      <c r="D3427">
        <f>IF(A3427="","",'Skill Matrix'!C220)</f>
        <v/>
      </c>
      <c r="E3427">
        <f>IF(A3427="","",'Skill Matrix'!D220)</f>
        <v/>
      </c>
      <c r="F3427">
        <f>IF(AND('Skill Matrix'!A220&lt;&gt;"",'Skill Matrix'!F5&lt;&gt;""),'Skill Matrix'!F5,"")</f>
        <v/>
      </c>
      <c r="G3427">
        <f>IF(OR(A3427="",'Skill Matrix'!F220=""),"",'Skill Matrix'!F220)</f>
        <v/>
      </c>
      <c r="H3427">
        <f>IF(A3427="","",'Employees'!F19)</f>
        <v/>
      </c>
    </row>
    <row r="3428">
      <c r="A3428">
        <f>IF(AND('Skill Matrix'!A220&lt;&gt;"",'Skill Matrix'!G5&lt;&gt;""),'Skill Matrix'!A220,"")</f>
        <v/>
      </c>
      <c r="B3428">
        <f>IF(A3428="","",'Employees'!C19)</f>
        <v/>
      </c>
      <c r="C3428">
        <f>IF(A3428="","",'Employees'!D19)</f>
        <v/>
      </c>
      <c r="D3428">
        <f>IF(A3428="","",'Skill Matrix'!C220)</f>
        <v/>
      </c>
      <c r="E3428">
        <f>IF(A3428="","",'Skill Matrix'!D220)</f>
        <v/>
      </c>
      <c r="F3428">
        <f>IF(AND('Skill Matrix'!A220&lt;&gt;"",'Skill Matrix'!G5&lt;&gt;""),'Skill Matrix'!G5,"")</f>
        <v/>
      </c>
      <c r="G3428">
        <f>IF(OR(A3428="",'Skill Matrix'!G220=""),"",'Skill Matrix'!G220)</f>
        <v/>
      </c>
      <c r="H3428">
        <f>IF(A3428="","",'Employees'!F19)</f>
        <v/>
      </c>
    </row>
    <row r="3429">
      <c r="A3429">
        <f>IF(AND('Skill Matrix'!A220&lt;&gt;"",'Skill Matrix'!H5&lt;&gt;""),'Skill Matrix'!A220,"")</f>
        <v/>
      </c>
      <c r="B3429">
        <f>IF(A3429="","",'Employees'!C19)</f>
        <v/>
      </c>
      <c r="C3429">
        <f>IF(A3429="","",'Employees'!D19)</f>
        <v/>
      </c>
      <c r="D3429">
        <f>IF(A3429="","",'Skill Matrix'!C220)</f>
        <v/>
      </c>
      <c r="E3429">
        <f>IF(A3429="","",'Skill Matrix'!D220)</f>
        <v/>
      </c>
      <c r="F3429">
        <f>IF(AND('Skill Matrix'!A220&lt;&gt;"",'Skill Matrix'!H5&lt;&gt;""),'Skill Matrix'!H5,"")</f>
        <v/>
      </c>
      <c r="G3429">
        <f>IF(OR(A3429="",'Skill Matrix'!H220=""),"",'Skill Matrix'!H220)</f>
        <v/>
      </c>
      <c r="H3429">
        <f>IF(A3429="","",'Employees'!F19)</f>
        <v/>
      </c>
    </row>
    <row r="3430">
      <c r="A3430">
        <f>IF(AND('Skill Matrix'!A220&lt;&gt;"",'Skill Matrix'!I5&lt;&gt;""),'Skill Matrix'!A220,"")</f>
        <v/>
      </c>
      <c r="B3430">
        <f>IF(A3430="","",'Employees'!C19)</f>
        <v/>
      </c>
      <c r="C3430">
        <f>IF(A3430="","",'Employees'!D19)</f>
        <v/>
      </c>
      <c r="D3430">
        <f>IF(A3430="","",'Skill Matrix'!C220)</f>
        <v/>
      </c>
      <c r="E3430">
        <f>IF(A3430="","",'Skill Matrix'!D220)</f>
        <v/>
      </c>
      <c r="F3430">
        <f>IF(AND('Skill Matrix'!A220&lt;&gt;"",'Skill Matrix'!I5&lt;&gt;""),'Skill Matrix'!I5,"")</f>
        <v/>
      </c>
      <c r="G3430">
        <f>IF(OR(A3430="",'Skill Matrix'!I220=""),"",'Skill Matrix'!I220)</f>
        <v/>
      </c>
      <c r="H3430">
        <f>IF(A3430="","",'Employees'!F19)</f>
        <v/>
      </c>
    </row>
    <row r="3431">
      <c r="A3431">
        <f>IF(AND('Skill Matrix'!A220&lt;&gt;"",'Skill Matrix'!J5&lt;&gt;""),'Skill Matrix'!A220,"")</f>
        <v/>
      </c>
      <c r="B3431">
        <f>IF(A3431="","",'Employees'!C19)</f>
        <v/>
      </c>
      <c r="C3431">
        <f>IF(A3431="","",'Employees'!D19)</f>
        <v/>
      </c>
      <c r="D3431">
        <f>IF(A3431="","",'Skill Matrix'!C220)</f>
        <v/>
      </c>
      <c r="E3431">
        <f>IF(A3431="","",'Skill Matrix'!D220)</f>
        <v/>
      </c>
      <c r="F3431">
        <f>IF(AND('Skill Matrix'!A220&lt;&gt;"",'Skill Matrix'!J5&lt;&gt;""),'Skill Matrix'!J5,"")</f>
        <v/>
      </c>
      <c r="G3431">
        <f>IF(OR(A3431="",'Skill Matrix'!J220=""),"",'Skill Matrix'!J220)</f>
        <v/>
      </c>
      <c r="H3431">
        <f>IF(A3431="","",'Employees'!F19)</f>
        <v/>
      </c>
    </row>
    <row r="3432">
      <c r="A3432">
        <f>IF(AND('Skill Matrix'!A220&lt;&gt;"",'Skill Matrix'!K5&lt;&gt;""),'Skill Matrix'!A220,"")</f>
        <v/>
      </c>
      <c r="B3432">
        <f>IF(A3432="","",'Employees'!C19)</f>
        <v/>
      </c>
      <c r="C3432">
        <f>IF(A3432="","",'Employees'!D19)</f>
        <v/>
      </c>
      <c r="D3432">
        <f>IF(A3432="","",'Skill Matrix'!C220)</f>
        <v/>
      </c>
      <c r="E3432">
        <f>IF(A3432="","",'Skill Matrix'!D220)</f>
        <v/>
      </c>
      <c r="F3432">
        <f>IF(AND('Skill Matrix'!A220&lt;&gt;"",'Skill Matrix'!K5&lt;&gt;""),'Skill Matrix'!K5,"")</f>
        <v/>
      </c>
      <c r="G3432">
        <f>IF(OR(A3432="",'Skill Matrix'!K220=""),"",'Skill Matrix'!K220)</f>
        <v/>
      </c>
      <c r="H3432">
        <f>IF(A3432="","",'Employees'!F19)</f>
        <v/>
      </c>
    </row>
    <row r="3433">
      <c r="A3433">
        <f>IF(AND('Skill Matrix'!A220&lt;&gt;"",'Skill Matrix'!L5&lt;&gt;""),'Skill Matrix'!A220,"")</f>
        <v/>
      </c>
      <c r="B3433">
        <f>IF(A3433="","",'Employees'!C19)</f>
        <v/>
      </c>
      <c r="C3433">
        <f>IF(A3433="","",'Employees'!D19)</f>
        <v/>
      </c>
      <c r="D3433">
        <f>IF(A3433="","",'Skill Matrix'!C220)</f>
        <v/>
      </c>
      <c r="E3433">
        <f>IF(A3433="","",'Skill Matrix'!D220)</f>
        <v/>
      </c>
      <c r="F3433">
        <f>IF(AND('Skill Matrix'!A220&lt;&gt;"",'Skill Matrix'!L5&lt;&gt;""),'Skill Matrix'!L5,"")</f>
        <v/>
      </c>
      <c r="G3433">
        <f>IF(OR(A3433="",'Skill Matrix'!L220=""),"",'Skill Matrix'!L220)</f>
        <v/>
      </c>
      <c r="H3433">
        <f>IF(A3433="","",'Employees'!F19)</f>
        <v/>
      </c>
    </row>
    <row r="3434">
      <c r="A3434">
        <f>IF(AND('Skill Matrix'!A220&lt;&gt;"",'Skill Matrix'!M5&lt;&gt;""),'Skill Matrix'!A220,"")</f>
        <v/>
      </c>
      <c r="B3434">
        <f>IF(A3434="","",'Employees'!C19)</f>
        <v/>
      </c>
      <c r="C3434">
        <f>IF(A3434="","",'Employees'!D19)</f>
        <v/>
      </c>
      <c r="D3434">
        <f>IF(A3434="","",'Skill Matrix'!C220)</f>
        <v/>
      </c>
      <c r="E3434">
        <f>IF(A3434="","",'Skill Matrix'!D220)</f>
        <v/>
      </c>
      <c r="F3434">
        <f>IF(AND('Skill Matrix'!A220&lt;&gt;"",'Skill Matrix'!M5&lt;&gt;""),'Skill Matrix'!M5,"")</f>
        <v/>
      </c>
      <c r="G3434">
        <f>IF(OR(A3434="",'Skill Matrix'!M220=""),"",'Skill Matrix'!M220)</f>
        <v/>
      </c>
      <c r="H3434">
        <f>IF(A3434="","",'Employees'!F19)</f>
        <v/>
      </c>
    </row>
    <row r="3435">
      <c r="A3435">
        <f>IF(AND('Skill Matrix'!A220&lt;&gt;"",'Skill Matrix'!N5&lt;&gt;""),'Skill Matrix'!A220,"")</f>
        <v/>
      </c>
      <c r="B3435">
        <f>IF(A3435="","",'Employees'!C19)</f>
        <v/>
      </c>
      <c r="C3435">
        <f>IF(A3435="","",'Employees'!D19)</f>
        <v/>
      </c>
      <c r="D3435">
        <f>IF(A3435="","",'Skill Matrix'!C220)</f>
        <v/>
      </c>
      <c r="E3435">
        <f>IF(A3435="","",'Skill Matrix'!D220)</f>
        <v/>
      </c>
      <c r="F3435">
        <f>IF(AND('Skill Matrix'!A220&lt;&gt;"",'Skill Matrix'!N5&lt;&gt;""),'Skill Matrix'!N5,"")</f>
        <v/>
      </c>
      <c r="G3435">
        <f>IF(OR(A3435="",'Skill Matrix'!N220=""),"",'Skill Matrix'!N220)</f>
        <v/>
      </c>
      <c r="H3435">
        <f>IF(A3435="","",'Employees'!F19)</f>
        <v/>
      </c>
    </row>
    <row r="3436">
      <c r="A3436">
        <f>IF(AND('Skill Matrix'!A220&lt;&gt;"",'Skill Matrix'!O5&lt;&gt;""),'Skill Matrix'!A220,"")</f>
        <v/>
      </c>
      <c r="B3436">
        <f>IF(A3436="","",'Employees'!C19)</f>
        <v/>
      </c>
      <c r="C3436">
        <f>IF(A3436="","",'Employees'!D19)</f>
        <v/>
      </c>
      <c r="D3436">
        <f>IF(A3436="","",'Skill Matrix'!C220)</f>
        <v/>
      </c>
      <c r="E3436">
        <f>IF(A3436="","",'Skill Matrix'!D220)</f>
        <v/>
      </c>
      <c r="F3436">
        <f>IF(AND('Skill Matrix'!A220&lt;&gt;"",'Skill Matrix'!O5&lt;&gt;""),'Skill Matrix'!O5,"")</f>
        <v/>
      </c>
      <c r="G3436">
        <f>IF(OR(A3436="",'Skill Matrix'!O220=""),"",'Skill Matrix'!O220)</f>
        <v/>
      </c>
      <c r="H3436">
        <f>IF(A3436="","",'Employees'!F19)</f>
        <v/>
      </c>
    </row>
    <row r="3437">
      <c r="A3437">
        <f>IF(AND('Skill Matrix'!A220&lt;&gt;"",'Skill Matrix'!P5&lt;&gt;""),'Skill Matrix'!A220,"")</f>
        <v/>
      </c>
      <c r="B3437">
        <f>IF(A3437="","",'Employees'!C19)</f>
        <v/>
      </c>
      <c r="C3437">
        <f>IF(A3437="","",'Employees'!D19)</f>
        <v/>
      </c>
      <c r="D3437">
        <f>IF(A3437="","",'Skill Matrix'!C220)</f>
        <v/>
      </c>
      <c r="E3437">
        <f>IF(A3437="","",'Skill Matrix'!D220)</f>
        <v/>
      </c>
      <c r="F3437">
        <f>IF(AND('Skill Matrix'!A220&lt;&gt;"",'Skill Matrix'!P5&lt;&gt;""),'Skill Matrix'!P5,"")</f>
        <v/>
      </c>
      <c r="G3437">
        <f>IF(OR(A3437="",'Skill Matrix'!P220=""),"",'Skill Matrix'!P220)</f>
        <v/>
      </c>
      <c r="H3437">
        <f>IF(A3437="","",'Employees'!F19)</f>
        <v/>
      </c>
    </row>
    <row r="3438">
      <c r="A3438">
        <f>IF(AND('Skill Matrix'!A220&lt;&gt;"",'Skill Matrix'!Q5&lt;&gt;""),'Skill Matrix'!A220,"")</f>
        <v/>
      </c>
      <c r="B3438">
        <f>IF(A3438="","",'Employees'!C19)</f>
        <v/>
      </c>
      <c r="C3438">
        <f>IF(A3438="","",'Employees'!D19)</f>
        <v/>
      </c>
      <c r="D3438">
        <f>IF(A3438="","",'Skill Matrix'!C220)</f>
        <v/>
      </c>
      <c r="E3438">
        <f>IF(A3438="","",'Skill Matrix'!D220)</f>
        <v/>
      </c>
      <c r="F3438">
        <f>IF(AND('Skill Matrix'!A220&lt;&gt;"",'Skill Matrix'!Q5&lt;&gt;""),'Skill Matrix'!Q5,"")</f>
        <v/>
      </c>
      <c r="G3438">
        <f>IF(OR(A3438="",'Skill Matrix'!Q220=""),"",'Skill Matrix'!Q220)</f>
        <v/>
      </c>
      <c r="H3438">
        <f>IF(A3438="","",'Employees'!F19)</f>
        <v/>
      </c>
    </row>
    <row r="3439">
      <c r="A3439">
        <f>IF(AND('Skill Matrix'!A220&lt;&gt;"",'Skill Matrix'!R5&lt;&gt;""),'Skill Matrix'!A220,"")</f>
        <v/>
      </c>
      <c r="B3439">
        <f>IF(A3439="","",'Employees'!C19)</f>
        <v/>
      </c>
      <c r="C3439">
        <f>IF(A3439="","",'Employees'!D19)</f>
        <v/>
      </c>
      <c r="D3439">
        <f>IF(A3439="","",'Skill Matrix'!C220)</f>
        <v/>
      </c>
      <c r="E3439">
        <f>IF(A3439="","",'Skill Matrix'!D220)</f>
        <v/>
      </c>
      <c r="F3439">
        <f>IF(AND('Skill Matrix'!A220&lt;&gt;"",'Skill Matrix'!R5&lt;&gt;""),'Skill Matrix'!R5,"")</f>
        <v/>
      </c>
      <c r="G3439">
        <f>IF(OR(A3439="",'Skill Matrix'!R220=""),"",'Skill Matrix'!R220)</f>
        <v/>
      </c>
      <c r="H3439">
        <f>IF(A3439="","",'Employees'!F19)</f>
        <v/>
      </c>
    </row>
    <row r="3440">
      <c r="A3440">
        <f>IF(AND('Skill Matrix'!A220&lt;&gt;"",'Skill Matrix'!S5&lt;&gt;""),'Skill Matrix'!A220,"")</f>
        <v/>
      </c>
      <c r="B3440">
        <f>IF(A3440="","",'Employees'!C19)</f>
        <v/>
      </c>
      <c r="C3440">
        <f>IF(A3440="","",'Employees'!D19)</f>
        <v/>
      </c>
      <c r="D3440">
        <f>IF(A3440="","",'Skill Matrix'!C220)</f>
        <v/>
      </c>
      <c r="E3440">
        <f>IF(A3440="","",'Skill Matrix'!D220)</f>
        <v/>
      </c>
      <c r="F3440">
        <f>IF(AND('Skill Matrix'!A220&lt;&gt;"",'Skill Matrix'!S5&lt;&gt;""),'Skill Matrix'!S5,"")</f>
        <v/>
      </c>
      <c r="G3440">
        <f>IF(OR(A3440="",'Skill Matrix'!S220=""),"",'Skill Matrix'!S220)</f>
        <v/>
      </c>
      <c r="H3440">
        <f>IF(A3440="","",'Employees'!F19)</f>
        <v/>
      </c>
    </row>
    <row r="3441">
      <c r="A3441">
        <f>IF(AND('Skill Matrix'!A220&lt;&gt;"",'Skill Matrix'!T5&lt;&gt;""),'Skill Matrix'!A220,"")</f>
        <v/>
      </c>
      <c r="B3441">
        <f>IF(A3441="","",'Employees'!C19)</f>
        <v/>
      </c>
      <c r="C3441">
        <f>IF(A3441="","",'Employees'!D19)</f>
        <v/>
      </c>
      <c r="D3441">
        <f>IF(A3441="","",'Skill Matrix'!C220)</f>
        <v/>
      </c>
      <c r="E3441">
        <f>IF(A3441="","",'Skill Matrix'!D220)</f>
        <v/>
      </c>
      <c r="F3441">
        <f>IF(AND('Skill Matrix'!A220&lt;&gt;"",'Skill Matrix'!T5&lt;&gt;""),'Skill Matrix'!T5,"")</f>
        <v/>
      </c>
      <c r="G3441">
        <f>IF(OR(A3441="",'Skill Matrix'!T220=""),"",'Skill Matrix'!T220)</f>
        <v/>
      </c>
      <c r="H3441">
        <f>IF(A3441="","",'Employees'!F19)</f>
        <v/>
      </c>
    </row>
    <row r="3442">
      <c r="A3442">
        <f>IF(AND('Skill Matrix'!A221&lt;&gt;"",'Skill Matrix'!E5&lt;&gt;""),'Skill Matrix'!A221,"")</f>
        <v/>
      </c>
      <c r="B3442">
        <f>IF(A3442="","",'Employees'!C19)</f>
        <v/>
      </c>
      <c r="C3442">
        <f>IF(A3442="","",'Employees'!D19)</f>
        <v/>
      </c>
      <c r="D3442">
        <f>IF(A3442="","",'Skill Matrix'!C221)</f>
        <v/>
      </c>
      <c r="E3442">
        <f>IF(A3442="","",'Skill Matrix'!D221)</f>
        <v/>
      </c>
      <c r="F3442">
        <f>IF(AND('Skill Matrix'!A221&lt;&gt;"",'Skill Matrix'!E5&lt;&gt;""),'Skill Matrix'!E5,"")</f>
        <v/>
      </c>
      <c r="G3442">
        <f>IF(OR(A3442="",'Skill Matrix'!E221=""),"",'Skill Matrix'!E221)</f>
        <v/>
      </c>
      <c r="H3442">
        <f>IF(A3442="","",'Employees'!F19)</f>
        <v/>
      </c>
    </row>
    <row r="3443">
      <c r="A3443">
        <f>IF(AND('Skill Matrix'!A221&lt;&gt;"",'Skill Matrix'!F5&lt;&gt;""),'Skill Matrix'!A221,"")</f>
        <v/>
      </c>
      <c r="B3443">
        <f>IF(A3443="","",'Employees'!C19)</f>
        <v/>
      </c>
      <c r="C3443">
        <f>IF(A3443="","",'Employees'!D19)</f>
        <v/>
      </c>
      <c r="D3443">
        <f>IF(A3443="","",'Skill Matrix'!C221)</f>
        <v/>
      </c>
      <c r="E3443">
        <f>IF(A3443="","",'Skill Matrix'!D221)</f>
        <v/>
      </c>
      <c r="F3443">
        <f>IF(AND('Skill Matrix'!A221&lt;&gt;"",'Skill Matrix'!F5&lt;&gt;""),'Skill Matrix'!F5,"")</f>
        <v/>
      </c>
      <c r="G3443">
        <f>IF(OR(A3443="",'Skill Matrix'!F221=""),"",'Skill Matrix'!F221)</f>
        <v/>
      </c>
      <c r="H3443">
        <f>IF(A3443="","",'Employees'!F19)</f>
        <v/>
      </c>
    </row>
    <row r="3444">
      <c r="A3444">
        <f>IF(AND('Skill Matrix'!A221&lt;&gt;"",'Skill Matrix'!G5&lt;&gt;""),'Skill Matrix'!A221,"")</f>
        <v/>
      </c>
      <c r="B3444">
        <f>IF(A3444="","",'Employees'!C19)</f>
        <v/>
      </c>
      <c r="C3444">
        <f>IF(A3444="","",'Employees'!D19)</f>
        <v/>
      </c>
      <c r="D3444">
        <f>IF(A3444="","",'Skill Matrix'!C221)</f>
        <v/>
      </c>
      <c r="E3444">
        <f>IF(A3444="","",'Skill Matrix'!D221)</f>
        <v/>
      </c>
      <c r="F3444">
        <f>IF(AND('Skill Matrix'!A221&lt;&gt;"",'Skill Matrix'!G5&lt;&gt;""),'Skill Matrix'!G5,"")</f>
        <v/>
      </c>
      <c r="G3444">
        <f>IF(OR(A3444="",'Skill Matrix'!G221=""),"",'Skill Matrix'!G221)</f>
        <v/>
      </c>
      <c r="H3444">
        <f>IF(A3444="","",'Employees'!F19)</f>
        <v/>
      </c>
    </row>
    <row r="3445">
      <c r="A3445">
        <f>IF(AND('Skill Matrix'!A221&lt;&gt;"",'Skill Matrix'!H5&lt;&gt;""),'Skill Matrix'!A221,"")</f>
        <v/>
      </c>
      <c r="B3445">
        <f>IF(A3445="","",'Employees'!C19)</f>
        <v/>
      </c>
      <c r="C3445">
        <f>IF(A3445="","",'Employees'!D19)</f>
        <v/>
      </c>
      <c r="D3445">
        <f>IF(A3445="","",'Skill Matrix'!C221)</f>
        <v/>
      </c>
      <c r="E3445">
        <f>IF(A3445="","",'Skill Matrix'!D221)</f>
        <v/>
      </c>
      <c r="F3445">
        <f>IF(AND('Skill Matrix'!A221&lt;&gt;"",'Skill Matrix'!H5&lt;&gt;""),'Skill Matrix'!H5,"")</f>
        <v/>
      </c>
      <c r="G3445">
        <f>IF(OR(A3445="",'Skill Matrix'!H221=""),"",'Skill Matrix'!H221)</f>
        <v/>
      </c>
      <c r="H3445">
        <f>IF(A3445="","",'Employees'!F19)</f>
        <v/>
      </c>
    </row>
    <row r="3446">
      <c r="A3446">
        <f>IF(AND('Skill Matrix'!A221&lt;&gt;"",'Skill Matrix'!I5&lt;&gt;""),'Skill Matrix'!A221,"")</f>
        <v/>
      </c>
      <c r="B3446">
        <f>IF(A3446="","",'Employees'!C19)</f>
        <v/>
      </c>
      <c r="C3446">
        <f>IF(A3446="","",'Employees'!D19)</f>
        <v/>
      </c>
      <c r="D3446">
        <f>IF(A3446="","",'Skill Matrix'!C221)</f>
        <v/>
      </c>
      <c r="E3446">
        <f>IF(A3446="","",'Skill Matrix'!D221)</f>
        <v/>
      </c>
      <c r="F3446">
        <f>IF(AND('Skill Matrix'!A221&lt;&gt;"",'Skill Matrix'!I5&lt;&gt;""),'Skill Matrix'!I5,"")</f>
        <v/>
      </c>
      <c r="G3446">
        <f>IF(OR(A3446="",'Skill Matrix'!I221=""),"",'Skill Matrix'!I221)</f>
        <v/>
      </c>
      <c r="H3446">
        <f>IF(A3446="","",'Employees'!F19)</f>
        <v/>
      </c>
    </row>
    <row r="3447">
      <c r="A3447">
        <f>IF(AND('Skill Matrix'!A221&lt;&gt;"",'Skill Matrix'!J5&lt;&gt;""),'Skill Matrix'!A221,"")</f>
        <v/>
      </c>
      <c r="B3447">
        <f>IF(A3447="","",'Employees'!C19)</f>
        <v/>
      </c>
      <c r="C3447">
        <f>IF(A3447="","",'Employees'!D19)</f>
        <v/>
      </c>
      <c r="D3447">
        <f>IF(A3447="","",'Skill Matrix'!C221)</f>
        <v/>
      </c>
      <c r="E3447">
        <f>IF(A3447="","",'Skill Matrix'!D221)</f>
        <v/>
      </c>
      <c r="F3447">
        <f>IF(AND('Skill Matrix'!A221&lt;&gt;"",'Skill Matrix'!J5&lt;&gt;""),'Skill Matrix'!J5,"")</f>
        <v/>
      </c>
      <c r="G3447">
        <f>IF(OR(A3447="",'Skill Matrix'!J221=""),"",'Skill Matrix'!J221)</f>
        <v/>
      </c>
      <c r="H3447">
        <f>IF(A3447="","",'Employees'!F19)</f>
        <v/>
      </c>
    </row>
    <row r="3448">
      <c r="A3448">
        <f>IF(AND('Skill Matrix'!A221&lt;&gt;"",'Skill Matrix'!K5&lt;&gt;""),'Skill Matrix'!A221,"")</f>
        <v/>
      </c>
      <c r="B3448">
        <f>IF(A3448="","",'Employees'!C19)</f>
        <v/>
      </c>
      <c r="C3448">
        <f>IF(A3448="","",'Employees'!D19)</f>
        <v/>
      </c>
      <c r="D3448">
        <f>IF(A3448="","",'Skill Matrix'!C221)</f>
        <v/>
      </c>
      <c r="E3448">
        <f>IF(A3448="","",'Skill Matrix'!D221)</f>
        <v/>
      </c>
      <c r="F3448">
        <f>IF(AND('Skill Matrix'!A221&lt;&gt;"",'Skill Matrix'!K5&lt;&gt;""),'Skill Matrix'!K5,"")</f>
        <v/>
      </c>
      <c r="G3448">
        <f>IF(OR(A3448="",'Skill Matrix'!K221=""),"",'Skill Matrix'!K221)</f>
        <v/>
      </c>
      <c r="H3448">
        <f>IF(A3448="","",'Employees'!F19)</f>
        <v/>
      </c>
    </row>
    <row r="3449">
      <c r="A3449">
        <f>IF(AND('Skill Matrix'!A221&lt;&gt;"",'Skill Matrix'!L5&lt;&gt;""),'Skill Matrix'!A221,"")</f>
        <v/>
      </c>
      <c r="B3449">
        <f>IF(A3449="","",'Employees'!C19)</f>
        <v/>
      </c>
      <c r="C3449">
        <f>IF(A3449="","",'Employees'!D19)</f>
        <v/>
      </c>
      <c r="D3449">
        <f>IF(A3449="","",'Skill Matrix'!C221)</f>
        <v/>
      </c>
      <c r="E3449">
        <f>IF(A3449="","",'Skill Matrix'!D221)</f>
        <v/>
      </c>
      <c r="F3449">
        <f>IF(AND('Skill Matrix'!A221&lt;&gt;"",'Skill Matrix'!L5&lt;&gt;""),'Skill Matrix'!L5,"")</f>
        <v/>
      </c>
      <c r="G3449">
        <f>IF(OR(A3449="",'Skill Matrix'!L221=""),"",'Skill Matrix'!L221)</f>
        <v/>
      </c>
      <c r="H3449">
        <f>IF(A3449="","",'Employees'!F19)</f>
        <v/>
      </c>
    </row>
    <row r="3450">
      <c r="A3450">
        <f>IF(AND('Skill Matrix'!A221&lt;&gt;"",'Skill Matrix'!M5&lt;&gt;""),'Skill Matrix'!A221,"")</f>
        <v/>
      </c>
      <c r="B3450">
        <f>IF(A3450="","",'Employees'!C19)</f>
        <v/>
      </c>
      <c r="C3450">
        <f>IF(A3450="","",'Employees'!D19)</f>
        <v/>
      </c>
      <c r="D3450">
        <f>IF(A3450="","",'Skill Matrix'!C221)</f>
        <v/>
      </c>
      <c r="E3450">
        <f>IF(A3450="","",'Skill Matrix'!D221)</f>
        <v/>
      </c>
      <c r="F3450">
        <f>IF(AND('Skill Matrix'!A221&lt;&gt;"",'Skill Matrix'!M5&lt;&gt;""),'Skill Matrix'!M5,"")</f>
        <v/>
      </c>
      <c r="G3450">
        <f>IF(OR(A3450="",'Skill Matrix'!M221=""),"",'Skill Matrix'!M221)</f>
        <v/>
      </c>
      <c r="H3450">
        <f>IF(A3450="","",'Employees'!F19)</f>
        <v/>
      </c>
    </row>
    <row r="3451">
      <c r="A3451">
        <f>IF(AND('Skill Matrix'!A221&lt;&gt;"",'Skill Matrix'!N5&lt;&gt;""),'Skill Matrix'!A221,"")</f>
        <v/>
      </c>
      <c r="B3451">
        <f>IF(A3451="","",'Employees'!C19)</f>
        <v/>
      </c>
      <c r="C3451">
        <f>IF(A3451="","",'Employees'!D19)</f>
        <v/>
      </c>
      <c r="D3451">
        <f>IF(A3451="","",'Skill Matrix'!C221)</f>
        <v/>
      </c>
      <c r="E3451">
        <f>IF(A3451="","",'Skill Matrix'!D221)</f>
        <v/>
      </c>
      <c r="F3451">
        <f>IF(AND('Skill Matrix'!A221&lt;&gt;"",'Skill Matrix'!N5&lt;&gt;""),'Skill Matrix'!N5,"")</f>
        <v/>
      </c>
      <c r="G3451">
        <f>IF(OR(A3451="",'Skill Matrix'!N221=""),"",'Skill Matrix'!N221)</f>
        <v/>
      </c>
      <c r="H3451">
        <f>IF(A3451="","",'Employees'!F19)</f>
        <v/>
      </c>
    </row>
    <row r="3452">
      <c r="A3452">
        <f>IF(AND('Skill Matrix'!A221&lt;&gt;"",'Skill Matrix'!O5&lt;&gt;""),'Skill Matrix'!A221,"")</f>
        <v/>
      </c>
      <c r="B3452">
        <f>IF(A3452="","",'Employees'!C19)</f>
        <v/>
      </c>
      <c r="C3452">
        <f>IF(A3452="","",'Employees'!D19)</f>
        <v/>
      </c>
      <c r="D3452">
        <f>IF(A3452="","",'Skill Matrix'!C221)</f>
        <v/>
      </c>
      <c r="E3452">
        <f>IF(A3452="","",'Skill Matrix'!D221)</f>
        <v/>
      </c>
      <c r="F3452">
        <f>IF(AND('Skill Matrix'!A221&lt;&gt;"",'Skill Matrix'!O5&lt;&gt;""),'Skill Matrix'!O5,"")</f>
        <v/>
      </c>
      <c r="G3452">
        <f>IF(OR(A3452="",'Skill Matrix'!O221=""),"",'Skill Matrix'!O221)</f>
        <v/>
      </c>
      <c r="H3452">
        <f>IF(A3452="","",'Employees'!F19)</f>
        <v/>
      </c>
    </row>
    <row r="3453">
      <c r="A3453">
        <f>IF(AND('Skill Matrix'!A221&lt;&gt;"",'Skill Matrix'!P5&lt;&gt;""),'Skill Matrix'!A221,"")</f>
        <v/>
      </c>
      <c r="B3453">
        <f>IF(A3453="","",'Employees'!C19)</f>
        <v/>
      </c>
      <c r="C3453">
        <f>IF(A3453="","",'Employees'!D19)</f>
        <v/>
      </c>
      <c r="D3453">
        <f>IF(A3453="","",'Skill Matrix'!C221)</f>
        <v/>
      </c>
      <c r="E3453">
        <f>IF(A3453="","",'Skill Matrix'!D221)</f>
        <v/>
      </c>
      <c r="F3453">
        <f>IF(AND('Skill Matrix'!A221&lt;&gt;"",'Skill Matrix'!P5&lt;&gt;""),'Skill Matrix'!P5,"")</f>
        <v/>
      </c>
      <c r="G3453">
        <f>IF(OR(A3453="",'Skill Matrix'!P221=""),"",'Skill Matrix'!P221)</f>
        <v/>
      </c>
      <c r="H3453">
        <f>IF(A3453="","",'Employees'!F19)</f>
        <v/>
      </c>
    </row>
    <row r="3454">
      <c r="A3454">
        <f>IF(AND('Skill Matrix'!A221&lt;&gt;"",'Skill Matrix'!Q5&lt;&gt;""),'Skill Matrix'!A221,"")</f>
        <v/>
      </c>
      <c r="B3454">
        <f>IF(A3454="","",'Employees'!C19)</f>
        <v/>
      </c>
      <c r="C3454">
        <f>IF(A3454="","",'Employees'!D19)</f>
        <v/>
      </c>
      <c r="D3454">
        <f>IF(A3454="","",'Skill Matrix'!C221)</f>
        <v/>
      </c>
      <c r="E3454">
        <f>IF(A3454="","",'Skill Matrix'!D221)</f>
        <v/>
      </c>
      <c r="F3454">
        <f>IF(AND('Skill Matrix'!A221&lt;&gt;"",'Skill Matrix'!Q5&lt;&gt;""),'Skill Matrix'!Q5,"")</f>
        <v/>
      </c>
      <c r="G3454">
        <f>IF(OR(A3454="",'Skill Matrix'!Q221=""),"",'Skill Matrix'!Q221)</f>
        <v/>
      </c>
      <c r="H3454">
        <f>IF(A3454="","",'Employees'!F19)</f>
        <v/>
      </c>
    </row>
    <row r="3455">
      <c r="A3455">
        <f>IF(AND('Skill Matrix'!A221&lt;&gt;"",'Skill Matrix'!R5&lt;&gt;""),'Skill Matrix'!A221,"")</f>
        <v/>
      </c>
      <c r="B3455">
        <f>IF(A3455="","",'Employees'!C19)</f>
        <v/>
      </c>
      <c r="C3455">
        <f>IF(A3455="","",'Employees'!D19)</f>
        <v/>
      </c>
      <c r="D3455">
        <f>IF(A3455="","",'Skill Matrix'!C221)</f>
        <v/>
      </c>
      <c r="E3455">
        <f>IF(A3455="","",'Skill Matrix'!D221)</f>
        <v/>
      </c>
      <c r="F3455">
        <f>IF(AND('Skill Matrix'!A221&lt;&gt;"",'Skill Matrix'!R5&lt;&gt;""),'Skill Matrix'!R5,"")</f>
        <v/>
      </c>
      <c r="G3455">
        <f>IF(OR(A3455="",'Skill Matrix'!R221=""),"",'Skill Matrix'!R221)</f>
        <v/>
      </c>
      <c r="H3455">
        <f>IF(A3455="","",'Employees'!F19)</f>
        <v/>
      </c>
    </row>
    <row r="3456">
      <c r="A3456">
        <f>IF(AND('Skill Matrix'!A221&lt;&gt;"",'Skill Matrix'!S5&lt;&gt;""),'Skill Matrix'!A221,"")</f>
        <v/>
      </c>
      <c r="B3456">
        <f>IF(A3456="","",'Employees'!C19)</f>
        <v/>
      </c>
      <c r="C3456">
        <f>IF(A3456="","",'Employees'!D19)</f>
        <v/>
      </c>
      <c r="D3456">
        <f>IF(A3456="","",'Skill Matrix'!C221)</f>
        <v/>
      </c>
      <c r="E3456">
        <f>IF(A3456="","",'Skill Matrix'!D221)</f>
        <v/>
      </c>
      <c r="F3456">
        <f>IF(AND('Skill Matrix'!A221&lt;&gt;"",'Skill Matrix'!S5&lt;&gt;""),'Skill Matrix'!S5,"")</f>
        <v/>
      </c>
      <c r="G3456">
        <f>IF(OR(A3456="",'Skill Matrix'!S221=""),"",'Skill Matrix'!S221)</f>
        <v/>
      </c>
      <c r="H3456">
        <f>IF(A3456="","",'Employees'!F19)</f>
        <v/>
      </c>
    </row>
    <row r="3457">
      <c r="A3457">
        <f>IF(AND('Skill Matrix'!A221&lt;&gt;"",'Skill Matrix'!T5&lt;&gt;""),'Skill Matrix'!A221,"")</f>
        <v/>
      </c>
      <c r="B3457">
        <f>IF(A3457="","",'Employees'!C19)</f>
        <v/>
      </c>
      <c r="C3457">
        <f>IF(A3457="","",'Employees'!D19)</f>
        <v/>
      </c>
      <c r="D3457">
        <f>IF(A3457="","",'Skill Matrix'!C221)</f>
        <v/>
      </c>
      <c r="E3457">
        <f>IF(A3457="","",'Skill Matrix'!D221)</f>
        <v/>
      </c>
      <c r="F3457">
        <f>IF(AND('Skill Matrix'!A221&lt;&gt;"",'Skill Matrix'!T5&lt;&gt;""),'Skill Matrix'!T5,"")</f>
        <v/>
      </c>
      <c r="G3457">
        <f>IF(OR(A3457="",'Skill Matrix'!T221=""),"",'Skill Matrix'!T221)</f>
        <v/>
      </c>
      <c r="H3457">
        <f>IF(A3457="","",'Employees'!F19)</f>
        <v/>
      </c>
    </row>
    <row r="3458">
      <c r="A3458">
        <f>IF(AND('Skill Matrix'!A222&lt;&gt;"",'Skill Matrix'!E5&lt;&gt;""),'Skill Matrix'!A222,"")</f>
        <v/>
      </c>
      <c r="B3458">
        <f>IF(A3458="","",'Employees'!C19)</f>
        <v/>
      </c>
      <c r="C3458">
        <f>IF(A3458="","",'Employees'!D19)</f>
        <v/>
      </c>
      <c r="D3458">
        <f>IF(A3458="","",'Skill Matrix'!C222)</f>
        <v/>
      </c>
      <c r="E3458">
        <f>IF(A3458="","",'Skill Matrix'!D222)</f>
        <v/>
      </c>
      <c r="F3458">
        <f>IF(AND('Skill Matrix'!A222&lt;&gt;"",'Skill Matrix'!E5&lt;&gt;""),'Skill Matrix'!E5,"")</f>
        <v/>
      </c>
      <c r="G3458">
        <f>IF(OR(A3458="",'Skill Matrix'!E222=""),"",'Skill Matrix'!E222)</f>
        <v/>
      </c>
      <c r="H3458">
        <f>IF(A3458="","",'Employees'!F19)</f>
        <v/>
      </c>
    </row>
    <row r="3459">
      <c r="A3459">
        <f>IF(AND('Skill Matrix'!A222&lt;&gt;"",'Skill Matrix'!F5&lt;&gt;""),'Skill Matrix'!A222,"")</f>
        <v/>
      </c>
      <c r="B3459">
        <f>IF(A3459="","",'Employees'!C19)</f>
        <v/>
      </c>
      <c r="C3459">
        <f>IF(A3459="","",'Employees'!D19)</f>
        <v/>
      </c>
      <c r="D3459">
        <f>IF(A3459="","",'Skill Matrix'!C222)</f>
        <v/>
      </c>
      <c r="E3459">
        <f>IF(A3459="","",'Skill Matrix'!D222)</f>
        <v/>
      </c>
      <c r="F3459">
        <f>IF(AND('Skill Matrix'!A222&lt;&gt;"",'Skill Matrix'!F5&lt;&gt;""),'Skill Matrix'!F5,"")</f>
        <v/>
      </c>
      <c r="G3459">
        <f>IF(OR(A3459="",'Skill Matrix'!F222=""),"",'Skill Matrix'!F222)</f>
        <v/>
      </c>
      <c r="H3459">
        <f>IF(A3459="","",'Employees'!F19)</f>
        <v/>
      </c>
    </row>
    <row r="3460">
      <c r="A3460">
        <f>IF(AND('Skill Matrix'!A222&lt;&gt;"",'Skill Matrix'!G5&lt;&gt;""),'Skill Matrix'!A222,"")</f>
        <v/>
      </c>
      <c r="B3460">
        <f>IF(A3460="","",'Employees'!C19)</f>
        <v/>
      </c>
      <c r="C3460">
        <f>IF(A3460="","",'Employees'!D19)</f>
        <v/>
      </c>
      <c r="D3460">
        <f>IF(A3460="","",'Skill Matrix'!C222)</f>
        <v/>
      </c>
      <c r="E3460">
        <f>IF(A3460="","",'Skill Matrix'!D222)</f>
        <v/>
      </c>
      <c r="F3460">
        <f>IF(AND('Skill Matrix'!A222&lt;&gt;"",'Skill Matrix'!G5&lt;&gt;""),'Skill Matrix'!G5,"")</f>
        <v/>
      </c>
      <c r="G3460">
        <f>IF(OR(A3460="",'Skill Matrix'!G222=""),"",'Skill Matrix'!G222)</f>
        <v/>
      </c>
      <c r="H3460">
        <f>IF(A3460="","",'Employees'!F19)</f>
        <v/>
      </c>
    </row>
    <row r="3461">
      <c r="A3461">
        <f>IF(AND('Skill Matrix'!A222&lt;&gt;"",'Skill Matrix'!H5&lt;&gt;""),'Skill Matrix'!A222,"")</f>
        <v/>
      </c>
      <c r="B3461">
        <f>IF(A3461="","",'Employees'!C19)</f>
        <v/>
      </c>
      <c r="C3461">
        <f>IF(A3461="","",'Employees'!D19)</f>
        <v/>
      </c>
      <c r="D3461">
        <f>IF(A3461="","",'Skill Matrix'!C222)</f>
        <v/>
      </c>
      <c r="E3461">
        <f>IF(A3461="","",'Skill Matrix'!D222)</f>
        <v/>
      </c>
      <c r="F3461">
        <f>IF(AND('Skill Matrix'!A222&lt;&gt;"",'Skill Matrix'!H5&lt;&gt;""),'Skill Matrix'!H5,"")</f>
        <v/>
      </c>
      <c r="G3461">
        <f>IF(OR(A3461="",'Skill Matrix'!H222=""),"",'Skill Matrix'!H222)</f>
        <v/>
      </c>
      <c r="H3461">
        <f>IF(A3461="","",'Employees'!F19)</f>
        <v/>
      </c>
    </row>
    <row r="3462">
      <c r="A3462">
        <f>IF(AND('Skill Matrix'!A222&lt;&gt;"",'Skill Matrix'!I5&lt;&gt;""),'Skill Matrix'!A222,"")</f>
        <v/>
      </c>
      <c r="B3462">
        <f>IF(A3462="","",'Employees'!C19)</f>
        <v/>
      </c>
      <c r="C3462">
        <f>IF(A3462="","",'Employees'!D19)</f>
        <v/>
      </c>
      <c r="D3462">
        <f>IF(A3462="","",'Skill Matrix'!C222)</f>
        <v/>
      </c>
      <c r="E3462">
        <f>IF(A3462="","",'Skill Matrix'!D222)</f>
        <v/>
      </c>
      <c r="F3462">
        <f>IF(AND('Skill Matrix'!A222&lt;&gt;"",'Skill Matrix'!I5&lt;&gt;""),'Skill Matrix'!I5,"")</f>
        <v/>
      </c>
      <c r="G3462">
        <f>IF(OR(A3462="",'Skill Matrix'!I222=""),"",'Skill Matrix'!I222)</f>
        <v/>
      </c>
      <c r="H3462">
        <f>IF(A3462="","",'Employees'!F19)</f>
        <v/>
      </c>
    </row>
    <row r="3463">
      <c r="A3463">
        <f>IF(AND('Skill Matrix'!A222&lt;&gt;"",'Skill Matrix'!J5&lt;&gt;""),'Skill Matrix'!A222,"")</f>
        <v/>
      </c>
      <c r="B3463">
        <f>IF(A3463="","",'Employees'!C19)</f>
        <v/>
      </c>
      <c r="C3463">
        <f>IF(A3463="","",'Employees'!D19)</f>
        <v/>
      </c>
      <c r="D3463">
        <f>IF(A3463="","",'Skill Matrix'!C222)</f>
        <v/>
      </c>
      <c r="E3463">
        <f>IF(A3463="","",'Skill Matrix'!D222)</f>
        <v/>
      </c>
      <c r="F3463">
        <f>IF(AND('Skill Matrix'!A222&lt;&gt;"",'Skill Matrix'!J5&lt;&gt;""),'Skill Matrix'!J5,"")</f>
        <v/>
      </c>
      <c r="G3463">
        <f>IF(OR(A3463="",'Skill Matrix'!J222=""),"",'Skill Matrix'!J222)</f>
        <v/>
      </c>
      <c r="H3463">
        <f>IF(A3463="","",'Employees'!F19)</f>
        <v/>
      </c>
    </row>
    <row r="3464">
      <c r="A3464">
        <f>IF(AND('Skill Matrix'!A222&lt;&gt;"",'Skill Matrix'!K5&lt;&gt;""),'Skill Matrix'!A222,"")</f>
        <v/>
      </c>
      <c r="B3464">
        <f>IF(A3464="","",'Employees'!C19)</f>
        <v/>
      </c>
      <c r="C3464">
        <f>IF(A3464="","",'Employees'!D19)</f>
        <v/>
      </c>
      <c r="D3464">
        <f>IF(A3464="","",'Skill Matrix'!C222)</f>
        <v/>
      </c>
      <c r="E3464">
        <f>IF(A3464="","",'Skill Matrix'!D222)</f>
        <v/>
      </c>
      <c r="F3464">
        <f>IF(AND('Skill Matrix'!A222&lt;&gt;"",'Skill Matrix'!K5&lt;&gt;""),'Skill Matrix'!K5,"")</f>
        <v/>
      </c>
      <c r="G3464">
        <f>IF(OR(A3464="",'Skill Matrix'!K222=""),"",'Skill Matrix'!K222)</f>
        <v/>
      </c>
      <c r="H3464">
        <f>IF(A3464="","",'Employees'!F19)</f>
        <v/>
      </c>
    </row>
    <row r="3465">
      <c r="A3465">
        <f>IF(AND('Skill Matrix'!A222&lt;&gt;"",'Skill Matrix'!L5&lt;&gt;""),'Skill Matrix'!A222,"")</f>
        <v/>
      </c>
      <c r="B3465">
        <f>IF(A3465="","",'Employees'!C19)</f>
        <v/>
      </c>
      <c r="C3465">
        <f>IF(A3465="","",'Employees'!D19)</f>
        <v/>
      </c>
      <c r="D3465">
        <f>IF(A3465="","",'Skill Matrix'!C222)</f>
        <v/>
      </c>
      <c r="E3465">
        <f>IF(A3465="","",'Skill Matrix'!D222)</f>
        <v/>
      </c>
      <c r="F3465">
        <f>IF(AND('Skill Matrix'!A222&lt;&gt;"",'Skill Matrix'!L5&lt;&gt;""),'Skill Matrix'!L5,"")</f>
        <v/>
      </c>
      <c r="G3465">
        <f>IF(OR(A3465="",'Skill Matrix'!L222=""),"",'Skill Matrix'!L222)</f>
        <v/>
      </c>
      <c r="H3465">
        <f>IF(A3465="","",'Employees'!F19)</f>
        <v/>
      </c>
    </row>
    <row r="3466">
      <c r="A3466">
        <f>IF(AND('Skill Matrix'!A222&lt;&gt;"",'Skill Matrix'!M5&lt;&gt;""),'Skill Matrix'!A222,"")</f>
        <v/>
      </c>
      <c r="B3466">
        <f>IF(A3466="","",'Employees'!C19)</f>
        <v/>
      </c>
      <c r="C3466">
        <f>IF(A3466="","",'Employees'!D19)</f>
        <v/>
      </c>
      <c r="D3466">
        <f>IF(A3466="","",'Skill Matrix'!C222)</f>
        <v/>
      </c>
      <c r="E3466">
        <f>IF(A3466="","",'Skill Matrix'!D222)</f>
        <v/>
      </c>
      <c r="F3466">
        <f>IF(AND('Skill Matrix'!A222&lt;&gt;"",'Skill Matrix'!M5&lt;&gt;""),'Skill Matrix'!M5,"")</f>
        <v/>
      </c>
      <c r="G3466">
        <f>IF(OR(A3466="",'Skill Matrix'!M222=""),"",'Skill Matrix'!M222)</f>
        <v/>
      </c>
      <c r="H3466">
        <f>IF(A3466="","",'Employees'!F19)</f>
        <v/>
      </c>
    </row>
    <row r="3467">
      <c r="A3467">
        <f>IF(AND('Skill Matrix'!A222&lt;&gt;"",'Skill Matrix'!N5&lt;&gt;""),'Skill Matrix'!A222,"")</f>
        <v/>
      </c>
      <c r="B3467">
        <f>IF(A3467="","",'Employees'!C19)</f>
        <v/>
      </c>
      <c r="C3467">
        <f>IF(A3467="","",'Employees'!D19)</f>
        <v/>
      </c>
      <c r="D3467">
        <f>IF(A3467="","",'Skill Matrix'!C222)</f>
        <v/>
      </c>
      <c r="E3467">
        <f>IF(A3467="","",'Skill Matrix'!D222)</f>
        <v/>
      </c>
      <c r="F3467">
        <f>IF(AND('Skill Matrix'!A222&lt;&gt;"",'Skill Matrix'!N5&lt;&gt;""),'Skill Matrix'!N5,"")</f>
        <v/>
      </c>
      <c r="G3467">
        <f>IF(OR(A3467="",'Skill Matrix'!N222=""),"",'Skill Matrix'!N222)</f>
        <v/>
      </c>
      <c r="H3467">
        <f>IF(A3467="","",'Employees'!F19)</f>
        <v/>
      </c>
    </row>
    <row r="3468">
      <c r="A3468">
        <f>IF(AND('Skill Matrix'!A222&lt;&gt;"",'Skill Matrix'!O5&lt;&gt;""),'Skill Matrix'!A222,"")</f>
        <v/>
      </c>
      <c r="B3468">
        <f>IF(A3468="","",'Employees'!C19)</f>
        <v/>
      </c>
      <c r="C3468">
        <f>IF(A3468="","",'Employees'!D19)</f>
        <v/>
      </c>
      <c r="D3468">
        <f>IF(A3468="","",'Skill Matrix'!C222)</f>
        <v/>
      </c>
      <c r="E3468">
        <f>IF(A3468="","",'Skill Matrix'!D222)</f>
        <v/>
      </c>
      <c r="F3468">
        <f>IF(AND('Skill Matrix'!A222&lt;&gt;"",'Skill Matrix'!O5&lt;&gt;""),'Skill Matrix'!O5,"")</f>
        <v/>
      </c>
      <c r="G3468">
        <f>IF(OR(A3468="",'Skill Matrix'!O222=""),"",'Skill Matrix'!O222)</f>
        <v/>
      </c>
      <c r="H3468">
        <f>IF(A3468="","",'Employees'!F19)</f>
        <v/>
      </c>
    </row>
    <row r="3469">
      <c r="A3469">
        <f>IF(AND('Skill Matrix'!A222&lt;&gt;"",'Skill Matrix'!P5&lt;&gt;""),'Skill Matrix'!A222,"")</f>
        <v/>
      </c>
      <c r="B3469">
        <f>IF(A3469="","",'Employees'!C19)</f>
        <v/>
      </c>
      <c r="C3469">
        <f>IF(A3469="","",'Employees'!D19)</f>
        <v/>
      </c>
      <c r="D3469">
        <f>IF(A3469="","",'Skill Matrix'!C222)</f>
        <v/>
      </c>
      <c r="E3469">
        <f>IF(A3469="","",'Skill Matrix'!D222)</f>
        <v/>
      </c>
      <c r="F3469">
        <f>IF(AND('Skill Matrix'!A222&lt;&gt;"",'Skill Matrix'!P5&lt;&gt;""),'Skill Matrix'!P5,"")</f>
        <v/>
      </c>
      <c r="G3469">
        <f>IF(OR(A3469="",'Skill Matrix'!P222=""),"",'Skill Matrix'!P222)</f>
        <v/>
      </c>
      <c r="H3469">
        <f>IF(A3469="","",'Employees'!F19)</f>
        <v/>
      </c>
    </row>
    <row r="3470">
      <c r="A3470">
        <f>IF(AND('Skill Matrix'!A222&lt;&gt;"",'Skill Matrix'!Q5&lt;&gt;""),'Skill Matrix'!A222,"")</f>
        <v/>
      </c>
      <c r="B3470">
        <f>IF(A3470="","",'Employees'!C19)</f>
        <v/>
      </c>
      <c r="C3470">
        <f>IF(A3470="","",'Employees'!D19)</f>
        <v/>
      </c>
      <c r="D3470">
        <f>IF(A3470="","",'Skill Matrix'!C222)</f>
        <v/>
      </c>
      <c r="E3470">
        <f>IF(A3470="","",'Skill Matrix'!D222)</f>
        <v/>
      </c>
      <c r="F3470">
        <f>IF(AND('Skill Matrix'!A222&lt;&gt;"",'Skill Matrix'!Q5&lt;&gt;""),'Skill Matrix'!Q5,"")</f>
        <v/>
      </c>
      <c r="G3470">
        <f>IF(OR(A3470="",'Skill Matrix'!Q222=""),"",'Skill Matrix'!Q222)</f>
        <v/>
      </c>
      <c r="H3470">
        <f>IF(A3470="","",'Employees'!F19)</f>
        <v/>
      </c>
    </row>
    <row r="3471">
      <c r="A3471">
        <f>IF(AND('Skill Matrix'!A222&lt;&gt;"",'Skill Matrix'!R5&lt;&gt;""),'Skill Matrix'!A222,"")</f>
        <v/>
      </c>
      <c r="B3471">
        <f>IF(A3471="","",'Employees'!C19)</f>
        <v/>
      </c>
      <c r="C3471">
        <f>IF(A3471="","",'Employees'!D19)</f>
        <v/>
      </c>
      <c r="D3471">
        <f>IF(A3471="","",'Skill Matrix'!C222)</f>
        <v/>
      </c>
      <c r="E3471">
        <f>IF(A3471="","",'Skill Matrix'!D222)</f>
        <v/>
      </c>
      <c r="F3471">
        <f>IF(AND('Skill Matrix'!A222&lt;&gt;"",'Skill Matrix'!R5&lt;&gt;""),'Skill Matrix'!R5,"")</f>
        <v/>
      </c>
      <c r="G3471">
        <f>IF(OR(A3471="",'Skill Matrix'!R222=""),"",'Skill Matrix'!R222)</f>
        <v/>
      </c>
      <c r="H3471">
        <f>IF(A3471="","",'Employees'!F19)</f>
        <v/>
      </c>
    </row>
    <row r="3472">
      <c r="A3472">
        <f>IF(AND('Skill Matrix'!A222&lt;&gt;"",'Skill Matrix'!S5&lt;&gt;""),'Skill Matrix'!A222,"")</f>
        <v/>
      </c>
      <c r="B3472">
        <f>IF(A3472="","",'Employees'!C19)</f>
        <v/>
      </c>
      <c r="C3472">
        <f>IF(A3472="","",'Employees'!D19)</f>
        <v/>
      </c>
      <c r="D3472">
        <f>IF(A3472="","",'Skill Matrix'!C222)</f>
        <v/>
      </c>
      <c r="E3472">
        <f>IF(A3472="","",'Skill Matrix'!D222)</f>
        <v/>
      </c>
      <c r="F3472">
        <f>IF(AND('Skill Matrix'!A222&lt;&gt;"",'Skill Matrix'!S5&lt;&gt;""),'Skill Matrix'!S5,"")</f>
        <v/>
      </c>
      <c r="G3472">
        <f>IF(OR(A3472="",'Skill Matrix'!S222=""),"",'Skill Matrix'!S222)</f>
        <v/>
      </c>
      <c r="H3472">
        <f>IF(A3472="","",'Employees'!F19)</f>
        <v/>
      </c>
    </row>
    <row r="3473">
      <c r="A3473">
        <f>IF(AND('Skill Matrix'!A222&lt;&gt;"",'Skill Matrix'!T5&lt;&gt;""),'Skill Matrix'!A222,"")</f>
        <v/>
      </c>
      <c r="B3473">
        <f>IF(A3473="","",'Employees'!C19)</f>
        <v/>
      </c>
      <c r="C3473">
        <f>IF(A3473="","",'Employees'!D19)</f>
        <v/>
      </c>
      <c r="D3473">
        <f>IF(A3473="","",'Skill Matrix'!C222)</f>
        <v/>
      </c>
      <c r="E3473">
        <f>IF(A3473="","",'Skill Matrix'!D222)</f>
        <v/>
      </c>
      <c r="F3473">
        <f>IF(AND('Skill Matrix'!A222&lt;&gt;"",'Skill Matrix'!T5&lt;&gt;""),'Skill Matrix'!T5,"")</f>
        <v/>
      </c>
      <c r="G3473">
        <f>IF(OR(A3473="",'Skill Matrix'!T222=""),"",'Skill Matrix'!T222)</f>
        <v/>
      </c>
      <c r="H3473">
        <f>IF(A3473="","",'Employees'!F19)</f>
        <v/>
      </c>
    </row>
    <row r="3474">
      <c r="A3474">
        <f>IF(AND('Skill Matrix'!A223&lt;&gt;"",'Skill Matrix'!E5&lt;&gt;""),'Skill Matrix'!A223,"")</f>
        <v/>
      </c>
      <c r="B3474">
        <f>IF(A3474="","",'Employees'!C19)</f>
        <v/>
      </c>
      <c r="C3474">
        <f>IF(A3474="","",'Employees'!D19)</f>
        <v/>
      </c>
      <c r="D3474">
        <f>IF(A3474="","",'Skill Matrix'!C223)</f>
        <v/>
      </c>
      <c r="E3474">
        <f>IF(A3474="","",'Skill Matrix'!D223)</f>
        <v/>
      </c>
      <c r="F3474">
        <f>IF(AND('Skill Matrix'!A223&lt;&gt;"",'Skill Matrix'!E5&lt;&gt;""),'Skill Matrix'!E5,"")</f>
        <v/>
      </c>
      <c r="G3474">
        <f>IF(OR(A3474="",'Skill Matrix'!E223=""),"",'Skill Matrix'!E223)</f>
        <v/>
      </c>
      <c r="H3474">
        <f>IF(A3474="","",'Employees'!F19)</f>
        <v/>
      </c>
    </row>
    <row r="3475">
      <c r="A3475">
        <f>IF(AND('Skill Matrix'!A223&lt;&gt;"",'Skill Matrix'!F5&lt;&gt;""),'Skill Matrix'!A223,"")</f>
        <v/>
      </c>
      <c r="B3475">
        <f>IF(A3475="","",'Employees'!C19)</f>
        <v/>
      </c>
      <c r="C3475">
        <f>IF(A3475="","",'Employees'!D19)</f>
        <v/>
      </c>
      <c r="D3475">
        <f>IF(A3475="","",'Skill Matrix'!C223)</f>
        <v/>
      </c>
      <c r="E3475">
        <f>IF(A3475="","",'Skill Matrix'!D223)</f>
        <v/>
      </c>
      <c r="F3475">
        <f>IF(AND('Skill Matrix'!A223&lt;&gt;"",'Skill Matrix'!F5&lt;&gt;""),'Skill Matrix'!F5,"")</f>
        <v/>
      </c>
      <c r="G3475">
        <f>IF(OR(A3475="",'Skill Matrix'!F223=""),"",'Skill Matrix'!F223)</f>
        <v/>
      </c>
      <c r="H3475">
        <f>IF(A3475="","",'Employees'!F19)</f>
        <v/>
      </c>
    </row>
    <row r="3476">
      <c r="A3476">
        <f>IF(AND('Skill Matrix'!A223&lt;&gt;"",'Skill Matrix'!G5&lt;&gt;""),'Skill Matrix'!A223,"")</f>
        <v/>
      </c>
      <c r="B3476">
        <f>IF(A3476="","",'Employees'!C19)</f>
        <v/>
      </c>
      <c r="C3476">
        <f>IF(A3476="","",'Employees'!D19)</f>
        <v/>
      </c>
      <c r="D3476">
        <f>IF(A3476="","",'Skill Matrix'!C223)</f>
        <v/>
      </c>
      <c r="E3476">
        <f>IF(A3476="","",'Skill Matrix'!D223)</f>
        <v/>
      </c>
      <c r="F3476">
        <f>IF(AND('Skill Matrix'!A223&lt;&gt;"",'Skill Matrix'!G5&lt;&gt;""),'Skill Matrix'!G5,"")</f>
        <v/>
      </c>
      <c r="G3476">
        <f>IF(OR(A3476="",'Skill Matrix'!G223=""),"",'Skill Matrix'!G223)</f>
        <v/>
      </c>
      <c r="H3476">
        <f>IF(A3476="","",'Employees'!F19)</f>
        <v/>
      </c>
    </row>
    <row r="3477">
      <c r="A3477">
        <f>IF(AND('Skill Matrix'!A223&lt;&gt;"",'Skill Matrix'!H5&lt;&gt;""),'Skill Matrix'!A223,"")</f>
        <v/>
      </c>
      <c r="B3477">
        <f>IF(A3477="","",'Employees'!C19)</f>
        <v/>
      </c>
      <c r="C3477">
        <f>IF(A3477="","",'Employees'!D19)</f>
        <v/>
      </c>
      <c r="D3477">
        <f>IF(A3477="","",'Skill Matrix'!C223)</f>
        <v/>
      </c>
      <c r="E3477">
        <f>IF(A3477="","",'Skill Matrix'!D223)</f>
        <v/>
      </c>
      <c r="F3477">
        <f>IF(AND('Skill Matrix'!A223&lt;&gt;"",'Skill Matrix'!H5&lt;&gt;""),'Skill Matrix'!H5,"")</f>
        <v/>
      </c>
      <c r="G3477">
        <f>IF(OR(A3477="",'Skill Matrix'!H223=""),"",'Skill Matrix'!H223)</f>
        <v/>
      </c>
      <c r="H3477">
        <f>IF(A3477="","",'Employees'!F19)</f>
        <v/>
      </c>
    </row>
    <row r="3478">
      <c r="A3478">
        <f>IF(AND('Skill Matrix'!A223&lt;&gt;"",'Skill Matrix'!I5&lt;&gt;""),'Skill Matrix'!A223,"")</f>
        <v/>
      </c>
      <c r="B3478">
        <f>IF(A3478="","",'Employees'!C19)</f>
        <v/>
      </c>
      <c r="C3478">
        <f>IF(A3478="","",'Employees'!D19)</f>
        <v/>
      </c>
      <c r="D3478">
        <f>IF(A3478="","",'Skill Matrix'!C223)</f>
        <v/>
      </c>
      <c r="E3478">
        <f>IF(A3478="","",'Skill Matrix'!D223)</f>
        <v/>
      </c>
      <c r="F3478">
        <f>IF(AND('Skill Matrix'!A223&lt;&gt;"",'Skill Matrix'!I5&lt;&gt;""),'Skill Matrix'!I5,"")</f>
        <v/>
      </c>
      <c r="G3478">
        <f>IF(OR(A3478="",'Skill Matrix'!I223=""),"",'Skill Matrix'!I223)</f>
        <v/>
      </c>
      <c r="H3478">
        <f>IF(A3478="","",'Employees'!F19)</f>
        <v/>
      </c>
    </row>
    <row r="3479">
      <c r="A3479">
        <f>IF(AND('Skill Matrix'!A223&lt;&gt;"",'Skill Matrix'!J5&lt;&gt;""),'Skill Matrix'!A223,"")</f>
        <v/>
      </c>
      <c r="B3479">
        <f>IF(A3479="","",'Employees'!C19)</f>
        <v/>
      </c>
      <c r="C3479">
        <f>IF(A3479="","",'Employees'!D19)</f>
        <v/>
      </c>
      <c r="D3479">
        <f>IF(A3479="","",'Skill Matrix'!C223)</f>
        <v/>
      </c>
      <c r="E3479">
        <f>IF(A3479="","",'Skill Matrix'!D223)</f>
        <v/>
      </c>
      <c r="F3479">
        <f>IF(AND('Skill Matrix'!A223&lt;&gt;"",'Skill Matrix'!J5&lt;&gt;""),'Skill Matrix'!J5,"")</f>
        <v/>
      </c>
      <c r="G3479">
        <f>IF(OR(A3479="",'Skill Matrix'!J223=""),"",'Skill Matrix'!J223)</f>
        <v/>
      </c>
      <c r="H3479">
        <f>IF(A3479="","",'Employees'!F19)</f>
        <v/>
      </c>
    </row>
    <row r="3480">
      <c r="A3480">
        <f>IF(AND('Skill Matrix'!A223&lt;&gt;"",'Skill Matrix'!K5&lt;&gt;""),'Skill Matrix'!A223,"")</f>
        <v/>
      </c>
      <c r="B3480">
        <f>IF(A3480="","",'Employees'!C19)</f>
        <v/>
      </c>
      <c r="C3480">
        <f>IF(A3480="","",'Employees'!D19)</f>
        <v/>
      </c>
      <c r="D3480">
        <f>IF(A3480="","",'Skill Matrix'!C223)</f>
        <v/>
      </c>
      <c r="E3480">
        <f>IF(A3480="","",'Skill Matrix'!D223)</f>
        <v/>
      </c>
      <c r="F3480">
        <f>IF(AND('Skill Matrix'!A223&lt;&gt;"",'Skill Matrix'!K5&lt;&gt;""),'Skill Matrix'!K5,"")</f>
        <v/>
      </c>
      <c r="G3480">
        <f>IF(OR(A3480="",'Skill Matrix'!K223=""),"",'Skill Matrix'!K223)</f>
        <v/>
      </c>
      <c r="H3480">
        <f>IF(A3480="","",'Employees'!F19)</f>
        <v/>
      </c>
    </row>
    <row r="3481">
      <c r="A3481">
        <f>IF(AND('Skill Matrix'!A223&lt;&gt;"",'Skill Matrix'!L5&lt;&gt;""),'Skill Matrix'!A223,"")</f>
        <v/>
      </c>
      <c r="B3481">
        <f>IF(A3481="","",'Employees'!C19)</f>
        <v/>
      </c>
      <c r="C3481">
        <f>IF(A3481="","",'Employees'!D19)</f>
        <v/>
      </c>
      <c r="D3481">
        <f>IF(A3481="","",'Skill Matrix'!C223)</f>
        <v/>
      </c>
      <c r="E3481">
        <f>IF(A3481="","",'Skill Matrix'!D223)</f>
        <v/>
      </c>
      <c r="F3481">
        <f>IF(AND('Skill Matrix'!A223&lt;&gt;"",'Skill Matrix'!L5&lt;&gt;""),'Skill Matrix'!L5,"")</f>
        <v/>
      </c>
      <c r="G3481">
        <f>IF(OR(A3481="",'Skill Matrix'!L223=""),"",'Skill Matrix'!L223)</f>
        <v/>
      </c>
      <c r="H3481">
        <f>IF(A3481="","",'Employees'!F19)</f>
        <v/>
      </c>
    </row>
    <row r="3482">
      <c r="A3482">
        <f>IF(AND('Skill Matrix'!A223&lt;&gt;"",'Skill Matrix'!M5&lt;&gt;""),'Skill Matrix'!A223,"")</f>
        <v/>
      </c>
      <c r="B3482">
        <f>IF(A3482="","",'Employees'!C19)</f>
        <v/>
      </c>
      <c r="C3482">
        <f>IF(A3482="","",'Employees'!D19)</f>
        <v/>
      </c>
      <c r="D3482">
        <f>IF(A3482="","",'Skill Matrix'!C223)</f>
        <v/>
      </c>
      <c r="E3482">
        <f>IF(A3482="","",'Skill Matrix'!D223)</f>
        <v/>
      </c>
      <c r="F3482">
        <f>IF(AND('Skill Matrix'!A223&lt;&gt;"",'Skill Matrix'!M5&lt;&gt;""),'Skill Matrix'!M5,"")</f>
        <v/>
      </c>
      <c r="G3482">
        <f>IF(OR(A3482="",'Skill Matrix'!M223=""),"",'Skill Matrix'!M223)</f>
        <v/>
      </c>
      <c r="H3482">
        <f>IF(A3482="","",'Employees'!F19)</f>
        <v/>
      </c>
    </row>
    <row r="3483">
      <c r="A3483">
        <f>IF(AND('Skill Matrix'!A223&lt;&gt;"",'Skill Matrix'!N5&lt;&gt;""),'Skill Matrix'!A223,"")</f>
        <v/>
      </c>
      <c r="B3483">
        <f>IF(A3483="","",'Employees'!C19)</f>
        <v/>
      </c>
      <c r="C3483">
        <f>IF(A3483="","",'Employees'!D19)</f>
        <v/>
      </c>
      <c r="D3483">
        <f>IF(A3483="","",'Skill Matrix'!C223)</f>
        <v/>
      </c>
      <c r="E3483">
        <f>IF(A3483="","",'Skill Matrix'!D223)</f>
        <v/>
      </c>
      <c r="F3483">
        <f>IF(AND('Skill Matrix'!A223&lt;&gt;"",'Skill Matrix'!N5&lt;&gt;""),'Skill Matrix'!N5,"")</f>
        <v/>
      </c>
      <c r="G3483">
        <f>IF(OR(A3483="",'Skill Matrix'!N223=""),"",'Skill Matrix'!N223)</f>
        <v/>
      </c>
      <c r="H3483">
        <f>IF(A3483="","",'Employees'!F19)</f>
        <v/>
      </c>
    </row>
    <row r="3484">
      <c r="A3484">
        <f>IF(AND('Skill Matrix'!A223&lt;&gt;"",'Skill Matrix'!O5&lt;&gt;""),'Skill Matrix'!A223,"")</f>
        <v/>
      </c>
      <c r="B3484">
        <f>IF(A3484="","",'Employees'!C19)</f>
        <v/>
      </c>
      <c r="C3484">
        <f>IF(A3484="","",'Employees'!D19)</f>
        <v/>
      </c>
      <c r="D3484">
        <f>IF(A3484="","",'Skill Matrix'!C223)</f>
        <v/>
      </c>
      <c r="E3484">
        <f>IF(A3484="","",'Skill Matrix'!D223)</f>
        <v/>
      </c>
      <c r="F3484">
        <f>IF(AND('Skill Matrix'!A223&lt;&gt;"",'Skill Matrix'!O5&lt;&gt;""),'Skill Matrix'!O5,"")</f>
        <v/>
      </c>
      <c r="G3484">
        <f>IF(OR(A3484="",'Skill Matrix'!O223=""),"",'Skill Matrix'!O223)</f>
        <v/>
      </c>
      <c r="H3484">
        <f>IF(A3484="","",'Employees'!F19)</f>
        <v/>
      </c>
    </row>
    <row r="3485">
      <c r="A3485">
        <f>IF(AND('Skill Matrix'!A223&lt;&gt;"",'Skill Matrix'!P5&lt;&gt;""),'Skill Matrix'!A223,"")</f>
        <v/>
      </c>
      <c r="B3485">
        <f>IF(A3485="","",'Employees'!C19)</f>
        <v/>
      </c>
      <c r="C3485">
        <f>IF(A3485="","",'Employees'!D19)</f>
        <v/>
      </c>
      <c r="D3485">
        <f>IF(A3485="","",'Skill Matrix'!C223)</f>
        <v/>
      </c>
      <c r="E3485">
        <f>IF(A3485="","",'Skill Matrix'!D223)</f>
        <v/>
      </c>
      <c r="F3485">
        <f>IF(AND('Skill Matrix'!A223&lt;&gt;"",'Skill Matrix'!P5&lt;&gt;""),'Skill Matrix'!P5,"")</f>
        <v/>
      </c>
      <c r="G3485">
        <f>IF(OR(A3485="",'Skill Matrix'!P223=""),"",'Skill Matrix'!P223)</f>
        <v/>
      </c>
      <c r="H3485">
        <f>IF(A3485="","",'Employees'!F19)</f>
        <v/>
      </c>
    </row>
    <row r="3486">
      <c r="A3486">
        <f>IF(AND('Skill Matrix'!A223&lt;&gt;"",'Skill Matrix'!Q5&lt;&gt;""),'Skill Matrix'!A223,"")</f>
        <v/>
      </c>
      <c r="B3486">
        <f>IF(A3486="","",'Employees'!C19)</f>
        <v/>
      </c>
      <c r="C3486">
        <f>IF(A3486="","",'Employees'!D19)</f>
        <v/>
      </c>
      <c r="D3486">
        <f>IF(A3486="","",'Skill Matrix'!C223)</f>
        <v/>
      </c>
      <c r="E3486">
        <f>IF(A3486="","",'Skill Matrix'!D223)</f>
        <v/>
      </c>
      <c r="F3486">
        <f>IF(AND('Skill Matrix'!A223&lt;&gt;"",'Skill Matrix'!Q5&lt;&gt;""),'Skill Matrix'!Q5,"")</f>
        <v/>
      </c>
      <c r="G3486">
        <f>IF(OR(A3486="",'Skill Matrix'!Q223=""),"",'Skill Matrix'!Q223)</f>
        <v/>
      </c>
      <c r="H3486">
        <f>IF(A3486="","",'Employees'!F19)</f>
        <v/>
      </c>
    </row>
    <row r="3487">
      <c r="A3487">
        <f>IF(AND('Skill Matrix'!A223&lt;&gt;"",'Skill Matrix'!R5&lt;&gt;""),'Skill Matrix'!A223,"")</f>
        <v/>
      </c>
      <c r="B3487">
        <f>IF(A3487="","",'Employees'!C19)</f>
        <v/>
      </c>
      <c r="C3487">
        <f>IF(A3487="","",'Employees'!D19)</f>
        <v/>
      </c>
      <c r="D3487">
        <f>IF(A3487="","",'Skill Matrix'!C223)</f>
        <v/>
      </c>
      <c r="E3487">
        <f>IF(A3487="","",'Skill Matrix'!D223)</f>
        <v/>
      </c>
      <c r="F3487">
        <f>IF(AND('Skill Matrix'!A223&lt;&gt;"",'Skill Matrix'!R5&lt;&gt;""),'Skill Matrix'!R5,"")</f>
        <v/>
      </c>
      <c r="G3487">
        <f>IF(OR(A3487="",'Skill Matrix'!R223=""),"",'Skill Matrix'!R223)</f>
        <v/>
      </c>
      <c r="H3487">
        <f>IF(A3487="","",'Employees'!F19)</f>
        <v/>
      </c>
    </row>
    <row r="3488">
      <c r="A3488">
        <f>IF(AND('Skill Matrix'!A223&lt;&gt;"",'Skill Matrix'!S5&lt;&gt;""),'Skill Matrix'!A223,"")</f>
        <v/>
      </c>
      <c r="B3488">
        <f>IF(A3488="","",'Employees'!C19)</f>
        <v/>
      </c>
      <c r="C3488">
        <f>IF(A3488="","",'Employees'!D19)</f>
        <v/>
      </c>
      <c r="D3488">
        <f>IF(A3488="","",'Skill Matrix'!C223)</f>
        <v/>
      </c>
      <c r="E3488">
        <f>IF(A3488="","",'Skill Matrix'!D223)</f>
        <v/>
      </c>
      <c r="F3488">
        <f>IF(AND('Skill Matrix'!A223&lt;&gt;"",'Skill Matrix'!S5&lt;&gt;""),'Skill Matrix'!S5,"")</f>
        <v/>
      </c>
      <c r="G3488">
        <f>IF(OR(A3488="",'Skill Matrix'!S223=""),"",'Skill Matrix'!S223)</f>
        <v/>
      </c>
      <c r="H3488">
        <f>IF(A3488="","",'Employees'!F19)</f>
        <v/>
      </c>
    </row>
    <row r="3489">
      <c r="A3489">
        <f>IF(AND('Skill Matrix'!A223&lt;&gt;"",'Skill Matrix'!T5&lt;&gt;""),'Skill Matrix'!A223,"")</f>
        <v/>
      </c>
      <c r="B3489">
        <f>IF(A3489="","",'Employees'!C19)</f>
        <v/>
      </c>
      <c r="C3489">
        <f>IF(A3489="","",'Employees'!D19)</f>
        <v/>
      </c>
      <c r="D3489">
        <f>IF(A3489="","",'Skill Matrix'!C223)</f>
        <v/>
      </c>
      <c r="E3489">
        <f>IF(A3489="","",'Skill Matrix'!D223)</f>
        <v/>
      </c>
      <c r="F3489">
        <f>IF(AND('Skill Matrix'!A223&lt;&gt;"",'Skill Matrix'!T5&lt;&gt;""),'Skill Matrix'!T5,"")</f>
        <v/>
      </c>
      <c r="G3489">
        <f>IF(OR(A3489="",'Skill Matrix'!T223=""),"",'Skill Matrix'!T223)</f>
        <v/>
      </c>
      <c r="H3489">
        <f>IF(A3489="","",'Employees'!F19)</f>
        <v/>
      </c>
    </row>
    <row r="3490">
      <c r="A3490">
        <f>IF(AND('Skill Matrix'!A224&lt;&gt;"",'Skill Matrix'!E5&lt;&gt;""),'Skill Matrix'!A224,"")</f>
        <v/>
      </c>
      <c r="B3490">
        <f>IF(A3490="","",'Employees'!C19)</f>
        <v/>
      </c>
      <c r="C3490">
        <f>IF(A3490="","",'Employees'!D19)</f>
        <v/>
      </c>
      <c r="D3490">
        <f>IF(A3490="","",'Skill Matrix'!C224)</f>
        <v/>
      </c>
      <c r="E3490">
        <f>IF(A3490="","",'Skill Matrix'!D224)</f>
        <v/>
      </c>
      <c r="F3490">
        <f>IF(AND('Skill Matrix'!A224&lt;&gt;"",'Skill Matrix'!E5&lt;&gt;""),'Skill Matrix'!E5,"")</f>
        <v/>
      </c>
      <c r="G3490">
        <f>IF(OR(A3490="",'Skill Matrix'!E224=""),"",'Skill Matrix'!E224)</f>
        <v/>
      </c>
      <c r="H3490">
        <f>IF(A3490="","",'Employees'!F19)</f>
        <v/>
      </c>
    </row>
    <row r="3491">
      <c r="A3491">
        <f>IF(AND('Skill Matrix'!A224&lt;&gt;"",'Skill Matrix'!F5&lt;&gt;""),'Skill Matrix'!A224,"")</f>
        <v/>
      </c>
      <c r="B3491">
        <f>IF(A3491="","",'Employees'!C19)</f>
        <v/>
      </c>
      <c r="C3491">
        <f>IF(A3491="","",'Employees'!D19)</f>
        <v/>
      </c>
      <c r="D3491">
        <f>IF(A3491="","",'Skill Matrix'!C224)</f>
        <v/>
      </c>
      <c r="E3491">
        <f>IF(A3491="","",'Skill Matrix'!D224)</f>
        <v/>
      </c>
      <c r="F3491">
        <f>IF(AND('Skill Matrix'!A224&lt;&gt;"",'Skill Matrix'!F5&lt;&gt;""),'Skill Matrix'!F5,"")</f>
        <v/>
      </c>
      <c r="G3491">
        <f>IF(OR(A3491="",'Skill Matrix'!F224=""),"",'Skill Matrix'!F224)</f>
        <v/>
      </c>
      <c r="H3491">
        <f>IF(A3491="","",'Employees'!F19)</f>
        <v/>
      </c>
    </row>
    <row r="3492">
      <c r="A3492">
        <f>IF(AND('Skill Matrix'!A224&lt;&gt;"",'Skill Matrix'!G5&lt;&gt;""),'Skill Matrix'!A224,"")</f>
        <v/>
      </c>
      <c r="B3492">
        <f>IF(A3492="","",'Employees'!C19)</f>
        <v/>
      </c>
      <c r="C3492">
        <f>IF(A3492="","",'Employees'!D19)</f>
        <v/>
      </c>
      <c r="D3492">
        <f>IF(A3492="","",'Skill Matrix'!C224)</f>
        <v/>
      </c>
      <c r="E3492">
        <f>IF(A3492="","",'Skill Matrix'!D224)</f>
        <v/>
      </c>
      <c r="F3492">
        <f>IF(AND('Skill Matrix'!A224&lt;&gt;"",'Skill Matrix'!G5&lt;&gt;""),'Skill Matrix'!G5,"")</f>
        <v/>
      </c>
      <c r="G3492">
        <f>IF(OR(A3492="",'Skill Matrix'!G224=""),"",'Skill Matrix'!G224)</f>
        <v/>
      </c>
      <c r="H3492">
        <f>IF(A3492="","",'Employees'!F19)</f>
        <v/>
      </c>
    </row>
    <row r="3493">
      <c r="A3493">
        <f>IF(AND('Skill Matrix'!A224&lt;&gt;"",'Skill Matrix'!H5&lt;&gt;""),'Skill Matrix'!A224,"")</f>
        <v/>
      </c>
      <c r="B3493">
        <f>IF(A3493="","",'Employees'!C19)</f>
        <v/>
      </c>
      <c r="C3493">
        <f>IF(A3493="","",'Employees'!D19)</f>
        <v/>
      </c>
      <c r="D3493">
        <f>IF(A3493="","",'Skill Matrix'!C224)</f>
        <v/>
      </c>
      <c r="E3493">
        <f>IF(A3493="","",'Skill Matrix'!D224)</f>
        <v/>
      </c>
      <c r="F3493">
        <f>IF(AND('Skill Matrix'!A224&lt;&gt;"",'Skill Matrix'!H5&lt;&gt;""),'Skill Matrix'!H5,"")</f>
        <v/>
      </c>
      <c r="G3493">
        <f>IF(OR(A3493="",'Skill Matrix'!H224=""),"",'Skill Matrix'!H224)</f>
        <v/>
      </c>
      <c r="H3493">
        <f>IF(A3493="","",'Employees'!F19)</f>
        <v/>
      </c>
    </row>
    <row r="3494">
      <c r="A3494">
        <f>IF(AND('Skill Matrix'!A224&lt;&gt;"",'Skill Matrix'!I5&lt;&gt;""),'Skill Matrix'!A224,"")</f>
        <v/>
      </c>
      <c r="B3494">
        <f>IF(A3494="","",'Employees'!C19)</f>
        <v/>
      </c>
      <c r="C3494">
        <f>IF(A3494="","",'Employees'!D19)</f>
        <v/>
      </c>
      <c r="D3494">
        <f>IF(A3494="","",'Skill Matrix'!C224)</f>
        <v/>
      </c>
      <c r="E3494">
        <f>IF(A3494="","",'Skill Matrix'!D224)</f>
        <v/>
      </c>
      <c r="F3494">
        <f>IF(AND('Skill Matrix'!A224&lt;&gt;"",'Skill Matrix'!I5&lt;&gt;""),'Skill Matrix'!I5,"")</f>
        <v/>
      </c>
      <c r="G3494">
        <f>IF(OR(A3494="",'Skill Matrix'!I224=""),"",'Skill Matrix'!I224)</f>
        <v/>
      </c>
      <c r="H3494">
        <f>IF(A3494="","",'Employees'!F19)</f>
        <v/>
      </c>
    </row>
    <row r="3495">
      <c r="A3495">
        <f>IF(AND('Skill Matrix'!A224&lt;&gt;"",'Skill Matrix'!J5&lt;&gt;""),'Skill Matrix'!A224,"")</f>
        <v/>
      </c>
      <c r="B3495">
        <f>IF(A3495="","",'Employees'!C19)</f>
        <v/>
      </c>
      <c r="C3495">
        <f>IF(A3495="","",'Employees'!D19)</f>
        <v/>
      </c>
      <c r="D3495">
        <f>IF(A3495="","",'Skill Matrix'!C224)</f>
        <v/>
      </c>
      <c r="E3495">
        <f>IF(A3495="","",'Skill Matrix'!D224)</f>
        <v/>
      </c>
      <c r="F3495">
        <f>IF(AND('Skill Matrix'!A224&lt;&gt;"",'Skill Matrix'!J5&lt;&gt;""),'Skill Matrix'!J5,"")</f>
        <v/>
      </c>
      <c r="G3495">
        <f>IF(OR(A3495="",'Skill Matrix'!J224=""),"",'Skill Matrix'!J224)</f>
        <v/>
      </c>
      <c r="H3495">
        <f>IF(A3495="","",'Employees'!F19)</f>
        <v/>
      </c>
    </row>
    <row r="3496">
      <c r="A3496">
        <f>IF(AND('Skill Matrix'!A224&lt;&gt;"",'Skill Matrix'!K5&lt;&gt;""),'Skill Matrix'!A224,"")</f>
        <v/>
      </c>
      <c r="B3496">
        <f>IF(A3496="","",'Employees'!C19)</f>
        <v/>
      </c>
      <c r="C3496">
        <f>IF(A3496="","",'Employees'!D19)</f>
        <v/>
      </c>
      <c r="D3496">
        <f>IF(A3496="","",'Skill Matrix'!C224)</f>
        <v/>
      </c>
      <c r="E3496">
        <f>IF(A3496="","",'Skill Matrix'!D224)</f>
        <v/>
      </c>
      <c r="F3496">
        <f>IF(AND('Skill Matrix'!A224&lt;&gt;"",'Skill Matrix'!K5&lt;&gt;""),'Skill Matrix'!K5,"")</f>
        <v/>
      </c>
      <c r="G3496">
        <f>IF(OR(A3496="",'Skill Matrix'!K224=""),"",'Skill Matrix'!K224)</f>
        <v/>
      </c>
      <c r="H3496">
        <f>IF(A3496="","",'Employees'!F19)</f>
        <v/>
      </c>
    </row>
    <row r="3497">
      <c r="A3497">
        <f>IF(AND('Skill Matrix'!A224&lt;&gt;"",'Skill Matrix'!L5&lt;&gt;""),'Skill Matrix'!A224,"")</f>
        <v/>
      </c>
      <c r="B3497">
        <f>IF(A3497="","",'Employees'!C19)</f>
        <v/>
      </c>
      <c r="C3497">
        <f>IF(A3497="","",'Employees'!D19)</f>
        <v/>
      </c>
      <c r="D3497">
        <f>IF(A3497="","",'Skill Matrix'!C224)</f>
        <v/>
      </c>
      <c r="E3497">
        <f>IF(A3497="","",'Skill Matrix'!D224)</f>
        <v/>
      </c>
      <c r="F3497">
        <f>IF(AND('Skill Matrix'!A224&lt;&gt;"",'Skill Matrix'!L5&lt;&gt;""),'Skill Matrix'!L5,"")</f>
        <v/>
      </c>
      <c r="G3497">
        <f>IF(OR(A3497="",'Skill Matrix'!L224=""),"",'Skill Matrix'!L224)</f>
        <v/>
      </c>
      <c r="H3497">
        <f>IF(A3497="","",'Employees'!F19)</f>
        <v/>
      </c>
    </row>
    <row r="3498">
      <c r="A3498">
        <f>IF(AND('Skill Matrix'!A224&lt;&gt;"",'Skill Matrix'!M5&lt;&gt;""),'Skill Matrix'!A224,"")</f>
        <v/>
      </c>
      <c r="B3498">
        <f>IF(A3498="","",'Employees'!C19)</f>
        <v/>
      </c>
      <c r="C3498">
        <f>IF(A3498="","",'Employees'!D19)</f>
        <v/>
      </c>
      <c r="D3498">
        <f>IF(A3498="","",'Skill Matrix'!C224)</f>
        <v/>
      </c>
      <c r="E3498">
        <f>IF(A3498="","",'Skill Matrix'!D224)</f>
        <v/>
      </c>
      <c r="F3498">
        <f>IF(AND('Skill Matrix'!A224&lt;&gt;"",'Skill Matrix'!M5&lt;&gt;""),'Skill Matrix'!M5,"")</f>
        <v/>
      </c>
      <c r="G3498">
        <f>IF(OR(A3498="",'Skill Matrix'!M224=""),"",'Skill Matrix'!M224)</f>
        <v/>
      </c>
      <c r="H3498">
        <f>IF(A3498="","",'Employees'!F19)</f>
        <v/>
      </c>
    </row>
    <row r="3499">
      <c r="A3499">
        <f>IF(AND('Skill Matrix'!A224&lt;&gt;"",'Skill Matrix'!N5&lt;&gt;""),'Skill Matrix'!A224,"")</f>
        <v/>
      </c>
      <c r="B3499">
        <f>IF(A3499="","",'Employees'!C19)</f>
        <v/>
      </c>
      <c r="C3499">
        <f>IF(A3499="","",'Employees'!D19)</f>
        <v/>
      </c>
      <c r="D3499">
        <f>IF(A3499="","",'Skill Matrix'!C224)</f>
        <v/>
      </c>
      <c r="E3499">
        <f>IF(A3499="","",'Skill Matrix'!D224)</f>
        <v/>
      </c>
      <c r="F3499">
        <f>IF(AND('Skill Matrix'!A224&lt;&gt;"",'Skill Matrix'!N5&lt;&gt;""),'Skill Matrix'!N5,"")</f>
        <v/>
      </c>
      <c r="G3499">
        <f>IF(OR(A3499="",'Skill Matrix'!N224=""),"",'Skill Matrix'!N224)</f>
        <v/>
      </c>
      <c r="H3499">
        <f>IF(A3499="","",'Employees'!F19)</f>
        <v/>
      </c>
    </row>
    <row r="3500">
      <c r="A3500">
        <f>IF(AND('Skill Matrix'!A224&lt;&gt;"",'Skill Matrix'!O5&lt;&gt;""),'Skill Matrix'!A224,"")</f>
        <v/>
      </c>
      <c r="B3500">
        <f>IF(A3500="","",'Employees'!C19)</f>
        <v/>
      </c>
      <c r="C3500">
        <f>IF(A3500="","",'Employees'!D19)</f>
        <v/>
      </c>
      <c r="D3500">
        <f>IF(A3500="","",'Skill Matrix'!C224)</f>
        <v/>
      </c>
      <c r="E3500">
        <f>IF(A3500="","",'Skill Matrix'!D224)</f>
        <v/>
      </c>
      <c r="F3500">
        <f>IF(AND('Skill Matrix'!A224&lt;&gt;"",'Skill Matrix'!O5&lt;&gt;""),'Skill Matrix'!O5,"")</f>
        <v/>
      </c>
      <c r="G3500">
        <f>IF(OR(A3500="",'Skill Matrix'!O224=""),"",'Skill Matrix'!O224)</f>
        <v/>
      </c>
      <c r="H3500">
        <f>IF(A3500="","",'Employees'!F19)</f>
        <v/>
      </c>
    </row>
    <row r="3501">
      <c r="A3501">
        <f>IF(AND('Skill Matrix'!A224&lt;&gt;"",'Skill Matrix'!P5&lt;&gt;""),'Skill Matrix'!A224,"")</f>
        <v/>
      </c>
      <c r="B3501">
        <f>IF(A3501="","",'Employees'!C19)</f>
        <v/>
      </c>
      <c r="C3501">
        <f>IF(A3501="","",'Employees'!D19)</f>
        <v/>
      </c>
      <c r="D3501">
        <f>IF(A3501="","",'Skill Matrix'!C224)</f>
        <v/>
      </c>
      <c r="E3501">
        <f>IF(A3501="","",'Skill Matrix'!D224)</f>
        <v/>
      </c>
      <c r="F3501">
        <f>IF(AND('Skill Matrix'!A224&lt;&gt;"",'Skill Matrix'!P5&lt;&gt;""),'Skill Matrix'!P5,"")</f>
        <v/>
      </c>
      <c r="G3501">
        <f>IF(OR(A3501="",'Skill Matrix'!P224=""),"",'Skill Matrix'!P224)</f>
        <v/>
      </c>
      <c r="H3501">
        <f>IF(A3501="","",'Employees'!F19)</f>
        <v/>
      </c>
    </row>
    <row r="3502">
      <c r="A3502">
        <f>IF(AND('Skill Matrix'!A224&lt;&gt;"",'Skill Matrix'!Q5&lt;&gt;""),'Skill Matrix'!A224,"")</f>
        <v/>
      </c>
      <c r="B3502">
        <f>IF(A3502="","",'Employees'!C19)</f>
        <v/>
      </c>
      <c r="C3502">
        <f>IF(A3502="","",'Employees'!D19)</f>
        <v/>
      </c>
      <c r="D3502">
        <f>IF(A3502="","",'Skill Matrix'!C224)</f>
        <v/>
      </c>
      <c r="E3502">
        <f>IF(A3502="","",'Skill Matrix'!D224)</f>
        <v/>
      </c>
      <c r="F3502">
        <f>IF(AND('Skill Matrix'!A224&lt;&gt;"",'Skill Matrix'!Q5&lt;&gt;""),'Skill Matrix'!Q5,"")</f>
        <v/>
      </c>
      <c r="G3502">
        <f>IF(OR(A3502="",'Skill Matrix'!Q224=""),"",'Skill Matrix'!Q224)</f>
        <v/>
      </c>
      <c r="H3502">
        <f>IF(A3502="","",'Employees'!F19)</f>
        <v/>
      </c>
    </row>
    <row r="3503">
      <c r="A3503">
        <f>IF(AND('Skill Matrix'!A224&lt;&gt;"",'Skill Matrix'!R5&lt;&gt;""),'Skill Matrix'!A224,"")</f>
        <v/>
      </c>
      <c r="B3503">
        <f>IF(A3503="","",'Employees'!C19)</f>
        <v/>
      </c>
      <c r="C3503">
        <f>IF(A3503="","",'Employees'!D19)</f>
        <v/>
      </c>
      <c r="D3503">
        <f>IF(A3503="","",'Skill Matrix'!C224)</f>
        <v/>
      </c>
      <c r="E3503">
        <f>IF(A3503="","",'Skill Matrix'!D224)</f>
        <v/>
      </c>
      <c r="F3503">
        <f>IF(AND('Skill Matrix'!A224&lt;&gt;"",'Skill Matrix'!R5&lt;&gt;""),'Skill Matrix'!R5,"")</f>
        <v/>
      </c>
      <c r="G3503">
        <f>IF(OR(A3503="",'Skill Matrix'!R224=""),"",'Skill Matrix'!R224)</f>
        <v/>
      </c>
      <c r="H3503">
        <f>IF(A3503="","",'Employees'!F19)</f>
        <v/>
      </c>
    </row>
    <row r="3504">
      <c r="A3504">
        <f>IF(AND('Skill Matrix'!A224&lt;&gt;"",'Skill Matrix'!S5&lt;&gt;""),'Skill Matrix'!A224,"")</f>
        <v/>
      </c>
      <c r="B3504">
        <f>IF(A3504="","",'Employees'!C19)</f>
        <v/>
      </c>
      <c r="C3504">
        <f>IF(A3504="","",'Employees'!D19)</f>
        <v/>
      </c>
      <c r="D3504">
        <f>IF(A3504="","",'Skill Matrix'!C224)</f>
        <v/>
      </c>
      <c r="E3504">
        <f>IF(A3504="","",'Skill Matrix'!D224)</f>
        <v/>
      </c>
      <c r="F3504">
        <f>IF(AND('Skill Matrix'!A224&lt;&gt;"",'Skill Matrix'!S5&lt;&gt;""),'Skill Matrix'!S5,"")</f>
        <v/>
      </c>
      <c r="G3504">
        <f>IF(OR(A3504="",'Skill Matrix'!S224=""),"",'Skill Matrix'!S224)</f>
        <v/>
      </c>
      <c r="H3504">
        <f>IF(A3504="","",'Employees'!F19)</f>
        <v/>
      </c>
    </row>
    <row r="3505">
      <c r="A3505">
        <f>IF(AND('Skill Matrix'!A224&lt;&gt;"",'Skill Matrix'!T5&lt;&gt;""),'Skill Matrix'!A224,"")</f>
        <v/>
      </c>
      <c r="B3505">
        <f>IF(A3505="","",'Employees'!C19)</f>
        <v/>
      </c>
      <c r="C3505">
        <f>IF(A3505="","",'Employees'!D19)</f>
        <v/>
      </c>
      <c r="D3505">
        <f>IF(A3505="","",'Skill Matrix'!C224)</f>
        <v/>
      </c>
      <c r="E3505">
        <f>IF(A3505="","",'Skill Matrix'!D224)</f>
        <v/>
      </c>
      <c r="F3505">
        <f>IF(AND('Skill Matrix'!A224&lt;&gt;"",'Skill Matrix'!T5&lt;&gt;""),'Skill Matrix'!T5,"")</f>
        <v/>
      </c>
      <c r="G3505">
        <f>IF(OR(A3505="",'Skill Matrix'!T224=""),"",'Skill Matrix'!T224)</f>
        <v/>
      </c>
      <c r="H3505">
        <f>IF(A3505="","",'Employees'!F19)</f>
        <v/>
      </c>
    </row>
    <row r="3506">
      <c r="A3506">
        <f>IF(AND('Skill Matrix'!A225&lt;&gt;"",'Skill Matrix'!E5&lt;&gt;""),'Skill Matrix'!A225,"")</f>
        <v/>
      </c>
      <c r="B3506">
        <f>IF(A3506="","",'Employees'!C19)</f>
        <v/>
      </c>
      <c r="C3506">
        <f>IF(A3506="","",'Employees'!D19)</f>
        <v/>
      </c>
      <c r="D3506">
        <f>IF(A3506="","",'Skill Matrix'!C225)</f>
        <v/>
      </c>
      <c r="E3506">
        <f>IF(A3506="","",'Skill Matrix'!D225)</f>
        <v/>
      </c>
      <c r="F3506">
        <f>IF(AND('Skill Matrix'!A225&lt;&gt;"",'Skill Matrix'!E5&lt;&gt;""),'Skill Matrix'!E5,"")</f>
        <v/>
      </c>
      <c r="G3506">
        <f>IF(OR(A3506="",'Skill Matrix'!E225=""),"",'Skill Matrix'!E225)</f>
        <v/>
      </c>
      <c r="H3506">
        <f>IF(A3506="","",'Employees'!F19)</f>
        <v/>
      </c>
    </row>
    <row r="3507">
      <c r="A3507">
        <f>IF(AND('Skill Matrix'!A225&lt;&gt;"",'Skill Matrix'!F5&lt;&gt;""),'Skill Matrix'!A225,"")</f>
        <v/>
      </c>
      <c r="B3507">
        <f>IF(A3507="","",'Employees'!C19)</f>
        <v/>
      </c>
      <c r="C3507">
        <f>IF(A3507="","",'Employees'!D19)</f>
        <v/>
      </c>
      <c r="D3507">
        <f>IF(A3507="","",'Skill Matrix'!C225)</f>
        <v/>
      </c>
      <c r="E3507">
        <f>IF(A3507="","",'Skill Matrix'!D225)</f>
        <v/>
      </c>
      <c r="F3507">
        <f>IF(AND('Skill Matrix'!A225&lt;&gt;"",'Skill Matrix'!F5&lt;&gt;""),'Skill Matrix'!F5,"")</f>
        <v/>
      </c>
      <c r="G3507">
        <f>IF(OR(A3507="",'Skill Matrix'!F225=""),"",'Skill Matrix'!F225)</f>
        <v/>
      </c>
      <c r="H3507">
        <f>IF(A3507="","",'Employees'!F19)</f>
        <v/>
      </c>
    </row>
    <row r="3508">
      <c r="A3508">
        <f>IF(AND('Skill Matrix'!A225&lt;&gt;"",'Skill Matrix'!G5&lt;&gt;""),'Skill Matrix'!A225,"")</f>
        <v/>
      </c>
      <c r="B3508">
        <f>IF(A3508="","",'Employees'!C19)</f>
        <v/>
      </c>
      <c r="C3508">
        <f>IF(A3508="","",'Employees'!D19)</f>
        <v/>
      </c>
      <c r="D3508">
        <f>IF(A3508="","",'Skill Matrix'!C225)</f>
        <v/>
      </c>
      <c r="E3508">
        <f>IF(A3508="","",'Skill Matrix'!D225)</f>
        <v/>
      </c>
      <c r="F3508">
        <f>IF(AND('Skill Matrix'!A225&lt;&gt;"",'Skill Matrix'!G5&lt;&gt;""),'Skill Matrix'!G5,"")</f>
        <v/>
      </c>
      <c r="G3508">
        <f>IF(OR(A3508="",'Skill Matrix'!G225=""),"",'Skill Matrix'!G225)</f>
        <v/>
      </c>
      <c r="H3508">
        <f>IF(A3508="","",'Employees'!F19)</f>
        <v/>
      </c>
    </row>
    <row r="3509">
      <c r="A3509">
        <f>IF(AND('Skill Matrix'!A225&lt;&gt;"",'Skill Matrix'!H5&lt;&gt;""),'Skill Matrix'!A225,"")</f>
        <v/>
      </c>
      <c r="B3509">
        <f>IF(A3509="","",'Employees'!C19)</f>
        <v/>
      </c>
      <c r="C3509">
        <f>IF(A3509="","",'Employees'!D19)</f>
        <v/>
      </c>
      <c r="D3509">
        <f>IF(A3509="","",'Skill Matrix'!C225)</f>
        <v/>
      </c>
      <c r="E3509">
        <f>IF(A3509="","",'Skill Matrix'!D225)</f>
        <v/>
      </c>
      <c r="F3509">
        <f>IF(AND('Skill Matrix'!A225&lt;&gt;"",'Skill Matrix'!H5&lt;&gt;""),'Skill Matrix'!H5,"")</f>
        <v/>
      </c>
      <c r="G3509">
        <f>IF(OR(A3509="",'Skill Matrix'!H225=""),"",'Skill Matrix'!H225)</f>
        <v/>
      </c>
      <c r="H3509">
        <f>IF(A3509="","",'Employees'!F19)</f>
        <v/>
      </c>
    </row>
    <row r="3510">
      <c r="A3510">
        <f>IF(AND('Skill Matrix'!A225&lt;&gt;"",'Skill Matrix'!I5&lt;&gt;""),'Skill Matrix'!A225,"")</f>
        <v/>
      </c>
      <c r="B3510">
        <f>IF(A3510="","",'Employees'!C19)</f>
        <v/>
      </c>
      <c r="C3510">
        <f>IF(A3510="","",'Employees'!D19)</f>
        <v/>
      </c>
      <c r="D3510">
        <f>IF(A3510="","",'Skill Matrix'!C225)</f>
        <v/>
      </c>
      <c r="E3510">
        <f>IF(A3510="","",'Skill Matrix'!D225)</f>
        <v/>
      </c>
      <c r="F3510">
        <f>IF(AND('Skill Matrix'!A225&lt;&gt;"",'Skill Matrix'!I5&lt;&gt;""),'Skill Matrix'!I5,"")</f>
        <v/>
      </c>
      <c r="G3510">
        <f>IF(OR(A3510="",'Skill Matrix'!I225=""),"",'Skill Matrix'!I225)</f>
        <v/>
      </c>
      <c r="H3510">
        <f>IF(A3510="","",'Employees'!F19)</f>
        <v/>
      </c>
    </row>
    <row r="3511">
      <c r="A3511">
        <f>IF(AND('Skill Matrix'!A225&lt;&gt;"",'Skill Matrix'!J5&lt;&gt;""),'Skill Matrix'!A225,"")</f>
        <v/>
      </c>
      <c r="B3511">
        <f>IF(A3511="","",'Employees'!C19)</f>
        <v/>
      </c>
      <c r="C3511">
        <f>IF(A3511="","",'Employees'!D19)</f>
        <v/>
      </c>
      <c r="D3511">
        <f>IF(A3511="","",'Skill Matrix'!C225)</f>
        <v/>
      </c>
      <c r="E3511">
        <f>IF(A3511="","",'Skill Matrix'!D225)</f>
        <v/>
      </c>
      <c r="F3511">
        <f>IF(AND('Skill Matrix'!A225&lt;&gt;"",'Skill Matrix'!J5&lt;&gt;""),'Skill Matrix'!J5,"")</f>
        <v/>
      </c>
      <c r="G3511">
        <f>IF(OR(A3511="",'Skill Matrix'!J225=""),"",'Skill Matrix'!J225)</f>
        <v/>
      </c>
      <c r="H3511">
        <f>IF(A3511="","",'Employees'!F19)</f>
        <v/>
      </c>
    </row>
    <row r="3512">
      <c r="A3512">
        <f>IF(AND('Skill Matrix'!A225&lt;&gt;"",'Skill Matrix'!K5&lt;&gt;""),'Skill Matrix'!A225,"")</f>
        <v/>
      </c>
      <c r="B3512">
        <f>IF(A3512="","",'Employees'!C19)</f>
        <v/>
      </c>
      <c r="C3512">
        <f>IF(A3512="","",'Employees'!D19)</f>
        <v/>
      </c>
      <c r="D3512">
        <f>IF(A3512="","",'Skill Matrix'!C225)</f>
        <v/>
      </c>
      <c r="E3512">
        <f>IF(A3512="","",'Skill Matrix'!D225)</f>
        <v/>
      </c>
      <c r="F3512">
        <f>IF(AND('Skill Matrix'!A225&lt;&gt;"",'Skill Matrix'!K5&lt;&gt;""),'Skill Matrix'!K5,"")</f>
        <v/>
      </c>
      <c r="G3512">
        <f>IF(OR(A3512="",'Skill Matrix'!K225=""),"",'Skill Matrix'!K225)</f>
        <v/>
      </c>
      <c r="H3512">
        <f>IF(A3512="","",'Employees'!F19)</f>
        <v/>
      </c>
    </row>
    <row r="3513">
      <c r="A3513">
        <f>IF(AND('Skill Matrix'!A225&lt;&gt;"",'Skill Matrix'!L5&lt;&gt;""),'Skill Matrix'!A225,"")</f>
        <v/>
      </c>
      <c r="B3513">
        <f>IF(A3513="","",'Employees'!C19)</f>
        <v/>
      </c>
      <c r="C3513">
        <f>IF(A3513="","",'Employees'!D19)</f>
        <v/>
      </c>
      <c r="D3513">
        <f>IF(A3513="","",'Skill Matrix'!C225)</f>
        <v/>
      </c>
      <c r="E3513">
        <f>IF(A3513="","",'Skill Matrix'!D225)</f>
        <v/>
      </c>
      <c r="F3513">
        <f>IF(AND('Skill Matrix'!A225&lt;&gt;"",'Skill Matrix'!L5&lt;&gt;""),'Skill Matrix'!L5,"")</f>
        <v/>
      </c>
      <c r="G3513">
        <f>IF(OR(A3513="",'Skill Matrix'!L225=""),"",'Skill Matrix'!L225)</f>
        <v/>
      </c>
      <c r="H3513">
        <f>IF(A3513="","",'Employees'!F19)</f>
        <v/>
      </c>
    </row>
    <row r="3514">
      <c r="A3514">
        <f>IF(AND('Skill Matrix'!A225&lt;&gt;"",'Skill Matrix'!M5&lt;&gt;""),'Skill Matrix'!A225,"")</f>
        <v/>
      </c>
      <c r="B3514">
        <f>IF(A3514="","",'Employees'!C19)</f>
        <v/>
      </c>
      <c r="C3514">
        <f>IF(A3514="","",'Employees'!D19)</f>
        <v/>
      </c>
      <c r="D3514">
        <f>IF(A3514="","",'Skill Matrix'!C225)</f>
        <v/>
      </c>
      <c r="E3514">
        <f>IF(A3514="","",'Skill Matrix'!D225)</f>
        <v/>
      </c>
      <c r="F3514">
        <f>IF(AND('Skill Matrix'!A225&lt;&gt;"",'Skill Matrix'!M5&lt;&gt;""),'Skill Matrix'!M5,"")</f>
        <v/>
      </c>
      <c r="G3514">
        <f>IF(OR(A3514="",'Skill Matrix'!M225=""),"",'Skill Matrix'!M225)</f>
        <v/>
      </c>
      <c r="H3514">
        <f>IF(A3514="","",'Employees'!F19)</f>
        <v/>
      </c>
    </row>
    <row r="3515">
      <c r="A3515">
        <f>IF(AND('Skill Matrix'!A225&lt;&gt;"",'Skill Matrix'!N5&lt;&gt;""),'Skill Matrix'!A225,"")</f>
        <v/>
      </c>
      <c r="B3515">
        <f>IF(A3515="","",'Employees'!C19)</f>
        <v/>
      </c>
      <c r="C3515">
        <f>IF(A3515="","",'Employees'!D19)</f>
        <v/>
      </c>
      <c r="D3515">
        <f>IF(A3515="","",'Skill Matrix'!C225)</f>
        <v/>
      </c>
      <c r="E3515">
        <f>IF(A3515="","",'Skill Matrix'!D225)</f>
        <v/>
      </c>
      <c r="F3515">
        <f>IF(AND('Skill Matrix'!A225&lt;&gt;"",'Skill Matrix'!N5&lt;&gt;""),'Skill Matrix'!N5,"")</f>
        <v/>
      </c>
      <c r="G3515">
        <f>IF(OR(A3515="",'Skill Matrix'!N225=""),"",'Skill Matrix'!N225)</f>
        <v/>
      </c>
      <c r="H3515">
        <f>IF(A3515="","",'Employees'!F19)</f>
        <v/>
      </c>
    </row>
    <row r="3516">
      <c r="A3516">
        <f>IF(AND('Skill Matrix'!A225&lt;&gt;"",'Skill Matrix'!O5&lt;&gt;""),'Skill Matrix'!A225,"")</f>
        <v/>
      </c>
      <c r="B3516">
        <f>IF(A3516="","",'Employees'!C19)</f>
        <v/>
      </c>
      <c r="C3516">
        <f>IF(A3516="","",'Employees'!D19)</f>
        <v/>
      </c>
      <c r="D3516">
        <f>IF(A3516="","",'Skill Matrix'!C225)</f>
        <v/>
      </c>
      <c r="E3516">
        <f>IF(A3516="","",'Skill Matrix'!D225)</f>
        <v/>
      </c>
      <c r="F3516">
        <f>IF(AND('Skill Matrix'!A225&lt;&gt;"",'Skill Matrix'!O5&lt;&gt;""),'Skill Matrix'!O5,"")</f>
        <v/>
      </c>
      <c r="G3516">
        <f>IF(OR(A3516="",'Skill Matrix'!O225=""),"",'Skill Matrix'!O225)</f>
        <v/>
      </c>
      <c r="H3516">
        <f>IF(A3516="","",'Employees'!F19)</f>
        <v/>
      </c>
    </row>
    <row r="3517">
      <c r="A3517">
        <f>IF(AND('Skill Matrix'!A225&lt;&gt;"",'Skill Matrix'!P5&lt;&gt;""),'Skill Matrix'!A225,"")</f>
        <v/>
      </c>
      <c r="B3517">
        <f>IF(A3517="","",'Employees'!C19)</f>
        <v/>
      </c>
      <c r="C3517">
        <f>IF(A3517="","",'Employees'!D19)</f>
        <v/>
      </c>
      <c r="D3517">
        <f>IF(A3517="","",'Skill Matrix'!C225)</f>
        <v/>
      </c>
      <c r="E3517">
        <f>IF(A3517="","",'Skill Matrix'!D225)</f>
        <v/>
      </c>
      <c r="F3517">
        <f>IF(AND('Skill Matrix'!A225&lt;&gt;"",'Skill Matrix'!P5&lt;&gt;""),'Skill Matrix'!P5,"")</f>
        <v/>
      </c>
      <c r="G3517">
        <f>IF(OR(A3517="",'Skill Matrix'!P225=""),"",'Skill Matrix'!P225)</f>
        <v/>
      </c>
      <c r="H3517">
        <f>IF(A3517="","",'Employees'!F19)</f>
        <v/>
      </c>
    </row>
    <row r="3518">
      <c r="A3518">
        <f>IF(AND('Skill Matrix'!A225&lt;&gt;"",'Skill Matrix'!Q5&lt;&gt;""),'Skill Matrix'!A225,"")</f>
        <v/>
      </c>
      <c r="B3518">
        <f>IF(A3518="","",'Employees'!C19)</f>
        <v/>
      </c>
      <c r="C3518">
        <f>IF(A3518="","",'Employees'!D19)</f>
        <v/>
      </c>
      <c r="D3518">
        <f>IF(A3518="","",'Skill Matrix'!C225)</f>
        <v/>
      </c>
      <c r="E3518">
        <f>IF(A3518="","",'Skill Matrix'!D225)</f>
        <v/>
      </c>
      <c r="F3518">
        <f>IF(AND('Skill Matrix'!A225&lt;&gt;"",'Skill Matrix'!Q5&lt;&gt;""),'Skill Matrix'!Q5,"")</f>
        <v/>
      </c>
      <c r="G3518">
        <f>IF(OR(A3518="",'Skill Matrix'!Q225=""),"",'Skill Matrix'!Q225)</f>
        <v/>
      </c>
      <c r="H3518">
        <f>IF(A3518="","",'Employees'!F19)</f>
        <v/>
      </c>
    </row>
    <row r="3519">
      <c r="A3519">
        <f>IF(AND('Skill Matrix'!A225&lt;&gt;"",'Skill Matrix'!R5&lt;&gt;""),'Skill Matrix'!A225,"")</f>
        <v/>
      </c>
      <c r="B3519">
        <f>IF(A3519="","",'Employees'!C19)</f>
        <v/>
      </c>
      <c r="C3519">
        <f>IF(A3519="","",'Employees'!D19)</f>
        <v/>
      </c>
      <c r="D3519">
        <f>IF(A3519="","",'Skill Matrix'!C225)</f>
        <v/>
      </c>
      <c r="E3519">
        <f>IF(A3519="","",'Skill Matrix'!D225)</f>
        <v/>
      </c>
      <c r="F3519">
        <f>IF(AND('Skill Matrix'!A225&lt;&gt;"",'Skill Matrix'!R5&lt;&gt;""),'Skill Matrix'!R5,"")</f>
        <v/>
      </c>
      <c r="G3519">
        <f>IF(OR(A3519="",'Skill Matrix'!R225=""),"",'Skill Matrix'!R225)</f>
        <v/>
      </c>
      <c r="H3519">
        <f>IF(A3519="","",'Employees'!F19)</f>
        <v/>
      </c>
    </row>
    <row r="3520">
      <c r="A3520">
        <f>IF(AND('Skill Matrix'!A225&lt;&gt;"",'Skill Matrix'!S5&lt;&gt;""),'Skill Matrix'!A225,"")</f>
        <v/>
      </c>
      <c r="B3520">
        <f>IF(A3520="","",'Employees'!C19)</f>
        <v/>
      </c>
      <c r="C3520">
        <f>IF(A3520="","",'Employees'!D19)</f>
        <v/>
      </c>
      <c r="D3520">
        <f>IF(A3520="","",'Skill Matrix'!C225)</f>
        <v/>
      </c>
      <c r="E3520">
        <f>IF(A3520="","",'Skill Matrix'!D225)</f>
        <v/>
      </c>
      <c r="F3520">
        <f>IF(AND('Skill Matrix'!A225&lt;&gt;"",'Skill Matrix'!S5&lt;&gt;""),'Skill Matrix'!S5,"")</f>
        <v/>
      </c>
      <c r="G3520">
        <f>IF(OR(A3520="",'Skill Matrix'!S225=""),"",'Skill Matrix'!S225)</f>
        <v/>
      </c>
      <c r="H3520">
        <f>IF(A3520="","",'Employees'!F19)</f>
        <v/>
      </c>
    </row>
    <row r="3521">
      <c r="A3521">
        <f>IF(AND('Skill Matrix'!A225&lt;&gt;"",'Skill Matrix'!T5&lt;&gt;""),'Skill Matrix'!A225,"")</f>
        <v/>
      </c>
      <c r="B3521">
        <f>IF(A3521="","",'Employees'!C19)</f>
        <v/>
      </c>
      <c r="C3521">
        <f>IF(A3521="","",'Employees'!D19)</f>
        <v/>
      </c>
      <c r="D3521">
        <f>IF(A3521="","",'Skill Matrix'!C225)</f>
        <v/>
      </c>
      <c r="E3521">
        <f>IF(A3521="","",'Skill Matrix'!D225)</f>
        <v/>
      </c>
      <c r="F3521">
        <f>IF(AND('Skill Matrix'!A225&lt;&gt;"",'Skill Matrix'!T5&lt;&gt;""),'Skill Matrix'!T5,"")</f>
        <v/>
      </c>
      <c r="G3521">
        <f>IF(OR(A3521="",'Skill Matrix'!T225=""),"",'Skill Matrix'!T225)</f>
        <v/>
      </c>
      <c r="H3521">
        <f>IF(A3521="","",'Employees'!F19)</f>
        <v/>
      </c>
    </row>
    <row r="3522">
      <c r="A3522">
        <f>IF(AND('Skill Matrix'!A226&lt;&gt;"",'Skill Matrix'!E5&lt;&gt;""),'Skill Matrix'!A226,"")</f>
        <v/>
      </c>
      <c r="B3522">
        <f>IF(A3522="","",'Employees'!C19)</f>
        <v/>
      </c>
      <c r="C3522">
        <f>IF(A3522="","",'Employees'!D19)</f>
        <v/>
      </c>
      <c r="D3522">
        <f>IF(A3522="","",'Skill Matrix'!C226)</f>
        <v/>
      </c>
      <c r="E3522">
        <f>IF(A3522="","",'Skill Matrix'!D226)</f>
        <v/>
      </c>
      <c r="F3522">
        <f>IF(AND('Skill Matrix'!A226&lt;&gt;"",'Skill Matrix'!E5&lt;&gt;""),'Skill Matrix'!E5,"")</f>
        <v/>
      </c>
      <c r="G3522">
        <f>IF(OR(A3522="",'Skill Matrix'!E226=""),"",'Skill Matrix'!E226)</f>
        <v/>
      </c>
      <c r="H3522">
        <f>IF(A3522="","",'Employees'!F19)</f>
        <v/>
      </c>
    </row>
    <row r="3523">
      <c r="A3523">
        <f>IF(AND('Skill Matrix'!A226&lt;&gt;"",'Skill Matrix'!F5&lt;&gt;""),'Skill Matrix'!A226,"")</f>
        <v/>
      </c>
      <c r="B3523">
        <f>IF(A3523="","",'Employees'!C19)</f>
        <v/>
      </c>
      <c r="C3523">
        <f>IF(A3523="","",'Employees'!D19)</f>
        <v/>
      </c>
      <c r="D3523">
        <f>IF(A3523="","",'Skill Matrix'!C226)</f>
        <v/>
      </c>
      <c r="E3523">
        <f>IF(A3523="","",'Skill Matrix'!D226)</f>
        <v/>
      </c>
      <c r="F3523">
        <f>IF(AND('Skill Matrix'!A226&lt;&gt;"",'Skill Matrix'!F5&lt;&gt;""),'Skill Matrix'!F5,"")</f>
        <v/>
      </c>
      <c r="G3523">
        <f>IF(OR(A3523="",'Skill Matrix'!F226=""),"",'Skill Matrix'!F226)</f>
        <v/>
      </c>
      <c r="H3523">
        <f>IF(A3523="","",'Employees'!F19)</f>
        <v/>
      </c>
    </row>
    <row r="3524">
      <c r="A3524">
        <f>IF(AND('Skill Matrix'!A226&lt;&gt;"",'Skill Matrix'!G5&lt;&gt;""),'Skill Matrix'!A226,"")</f>
        <v/>
      </c>
      <c r="B3524">
        <f>IF(A3524="","",'Employees'!C19)</f>
        <v/>
      </c>
      <c r="C3524">
        <f>IF(A3524="","",'Employees'!D19)</f>
        <v/>
      </c>
      <c r="D3524">
        <f>IF(A3524="","",'Skill Matrix'!C226)</f>
        <v/>
      </c>
      <c r="E3524">
        <f>IF(A3524="","",'Skill Matrix'!D226)</f>
        <v/>
      </c>
      <c r="F3524">
        <f>IF(AND('Skill Matrix'!A226&lt;&gt;"",'Skill Matrix'!G5&lt;&gt;""),'Skill Matrix'!G5,"")</f>
        <v/>
      </c>
      <c r="G3524">
        <f>IF(OR(A3524="",'Skill Matrix'!G226=""),"",'Skill Matrix'!G226)</f>
        <v/>
      </c>
      <c r="H3524">
        <f>IF(A3524="","",'Employees'!F19)</f>
        <v/>
      </c>
    </row>
    <row r="3525">
      <c r="A3525">
        <f>IF(AND('Skill Matrix'!A226&lt;&gt;"",'Skill Matrix'!H5&lt;&gt;""),'Skill Matrix'!A226,"")</f>
        <v/>
      </c>
      <c r="B3525">
        <f>IF(A3525="","",'Employees'!C19)</f>
        <v/>
      </c>
      <c r="C3525">
        <f>IF(A3525="","",'Employees'!D19)</f>
        <v/>
      </c>
      <c r="D3525">
        <f>IF(A3525="","",'Skill Matrix'!C226)</f>
        <v/>
      </c>
      <c r="E3525">
        <f>IF(A3525="","",'Skill Matrix'!D226)</f>
        <v/>
      </c>
      <c r="F3525">
        <f>IF(AND('Skill Matrix'!A226&lt;&gt;"",'Skill Matrix'!H5&lt;&gt;""),'Skill Matrix'!H5,"")</f>
        <v/>
      </c>
      <c r="G3525">
        <f>IF(OR(A3525="",'Skill Matrix'!H226=""),"",'Skill Matrix'!H226)</f>
        <v/>
      </c>
      <c r="H3525">
        <f>IF(A3525="","",'Employees'!F19)</f>
        <v/>
      </c>
    </row>
    <row r="3526">
      <c r="A3526">
        <f>IF(AND('Skill Matrix'!A226&lt;&gt;"",'Skill Matrix'!I5&lt;&gt;""),'Skill Matrix'!A226,"")</f>
        <v/>
      </c>
      <c r="B3526">
        <f>IF(A3526="","",'Employees'!C19)</f>
        <v/>
      </c>
      <c r="C3526">
        <f>IF(A3526="","",'Employees'!D19)</f>
        <v/>
      </c>
      <c r="D3526">
        <f>IF(A3526="","",'Skill Matrix'!C226)</f>
        <v/>
      </c>
      <c r="E3526">
        <f>IF(A3526="","",'Skill Matrix'!D226)</f>
        <v/>
      </c>
      <c r="F3526">
        <f>IF(AND('Skill Matrix'!A226&lt;&gt;"",'Skill Matrix'!I5&lt;&gt;""),'Skill Matrix'!I5,"")</f>
        <v/>
      </c>
      <c r="G3526">
        <f>IF(OR(A3526="",'Skill Matrix'!I226=""),"",'Skill Matrix'!I226)</f>
        <v/>
      </c>
      <c r="H3526">
        <f>IF(A3526="","",'Employees'!F19)</f>
        <v/>
      </c>
    </row>
    <row r="3527">
      <c r="A3527">
        <f>IF(AND('Skill Matrix'!A226&lt;&gt;"",'Skill Matrix'!J5&lt;&gt;""),'Skill Matrix'!A226,"")</f>
        <v/>
      </c>
      <c r="B3527">
        <f>IF(A3527="","",'Employees'!C19)</f>
        <v/>
      </c>
      <c r="C3527">
        <f>IF(A3527="","",'Employees'!D19)</f>
        <v/>
      </c>
      <c r="D3527">
        <f>IF(A3527="","",'Skill Matrix'!C226)</f>
        <v/>
      </c>
      <c r="E3527">
        <f>IF(A3527="","",'Skill Matrix'!D226)</f>
        <v/>
      </c>
      <c r="F3527">
        <f>IF(AND('Skill Matrix'!A226&lt;&gt;"",'Skill Matrix'!J5&lt;&gt;""),'Skill Matrix'!J5,"")</f>
        <v/>
      </c>
      <c r="G3527">
        <f>IF(OR(A3527="",'Skill Matrix'!J226=""),"",'Skill Matrix'!J226)</f>
        <v/>
      </c>
      <c r="H3527">
        <f>IF(A3527="","",'Employees'!F19)</f>
        <v/>
      </c>
    </row>
    <row r="3528">
      <c r="A3528">
        <f>IF(AND('Skill Matrix'!A226&lt;&gt;"",'Skill Matrix'!K5&lt;&gt;""),'Skill Matrix'!A226,"")</f>
        <v/>
      </c>
      <c r="B3528">
        <f>IF(A3528="","",'Employees'!C19)</f>
        <v/>
      </c>
      <c r="C3528">
        <f>IF(A3528="","",'Employees'!D19)</f>
        <v/>
      </c>
      <c r="D3528">
        <f>IF(A3528="","",'Skill Matrix'!C226)</f>
        <v/>
      </c>
      <c r="E3528">
        <f>IF(A3528="","",'Skill Matrix'!D226)</f>
        <v/>
      </c>
      <c r="F3528">
        <f>IF(AND('Skill Matrix'!A226&lt;&gt;"",'Skill Matrix'!K5&lt;&gt;""),'Skill Matrix'!K5,"")</f>
        <v/>
      </c>
      <c r="G3528">
        <f>IF(OR(A3528="",'Skill Matrix'!K226=""),"",'Skill Matrix'!K226)</f>
        <v/>
      </c>
      <c r="H3528">
        <f>IF(A3528="","",'Employees'!F19)</f>
        <v/>
      </c>
    </row>
    <row r="3529">
      <c r="A3529">
        <f>IF(AND('Skill Matrix'!A226&lt;&gt;"",'Skill Matrix'!L5&lt;&gt;""),'Skill Matrix'!A226,"")</f>
        <v/>
      </c>
      <c r="B3529">
        <f>IF(A3529="","",'Employees'!C19)</f>
        <v/>
      </c>
      <c r="C3529">
        <f>IF(A3529="","",'Employees'!D19)</f>
        <v/>
      </c>
      <c r="D3529">
        <f>IF(A3529="","",'Skill Matrix'!C226)</f>
        <v/>
      </c>
      <c r="E3529">
        <f>IF(A3529="","",'Skill Matrix'!D226)</f>
        <v/>
      </c>
      <c r="F3529">
        <f>IF(AND('Skill Matrix'!A226&lt;&gt;"",'Skill Matrix'!L5&lt;&gt;""),'Skill Matrix'!L5,"")</f>
        <v/>
      </c>
      <c r="G3529">
        <f>IF(OR(A3529="",'Skill Matrix'!L226=""),"",'Skill Matrix'!L226)</f>
        <v/>
      </c>
      <c r="H3529">
        <f>IF(A3529="","",'Employees'!F19)</f>
        <v/>
      </c>
    </row>
    <row r="3530">
      <c r="A3530">
        <f>IF(AND('Skill Matrix'!A226&lt;&gt;"",'Skill Matrix'!M5&lt;&gt;""),'Skill Matrix'!A226,"")</f>
        <v/>
      </c>
      <c r="B3530">
        <f>IF(A3530="","",'Employees'!C19)</f>
        <v/>
      </c>
      <c r="C3530">
        <f>IF(A3530="","",'Employees'!D19)</f>
        <v/>
      </c>
      <c r="D3530">
        <f>IF(A3530="","",'Skill Matrix'!C226)</f>
        <v/>
      </c>
      <c r="E3530">
        <f>IF(A3530="","",'Skill Matrix'!D226)</f>
        <v/>
      </c>
      <c r="F3530">
        <f>IF(AND('Skill Matrix'!A226&lt;&gt;"",'Skill Matrix'!M5&lt;&gt;""),'Skill Matrix'!M5,"")</f>
        <v/>
      </c>
      <c r="G3530">
        <f>IF(OR(A3530="",'Skill Matrix'!M226=""),"",'Skill Matrix'!M226)</f>
        <v/>
      </c>
      <c r="H3530">
        <f>IF(A3530="","",'Employees'!F19)</f>
        <v/>
      </c>
    </row>
    <row r="3531">
      <c r="A3531">
        <f>IF(AND('Skill Matrix'!A226&lt;&gt;"",'Skill Matrix'!N5&lt;&gt;""),'Skill Matrix'!A226,"")</f>
        <v/>
      </c>
      <c r="B3531">
        <f>IF(A3531="","",'Employees'!C19)</f>
        <v/>
      </c>
      <c r="C3531">
        <f>IF(A3531="","",'Employees'!D19)</f>
        <v/>
      </c>
      <c r="D3531">
        <f>IF(A3531="","",'Skill Matrix'!C226)</f>
        <v/>
      </c>
      <c r="E3531">
        <f>IF(A3531="","",'Skill Matrix'!D226)</f>
        <v/>
      </c>
      <c r="F3531">
        <f>IF(AND('Skill Matrix'!A226&lt;&gt;"",'Skill Matrix'!N5&lt;&gt;""),'Skill Matrix'!N5,"")</f>
        <v/>
      </c>
      <c r="G3531">
        <f>IF(OR(A3531="",'Skill Matrix'!N226=""),"",'Skill Matrix'!N226)</f>
        <v/>
      </c>
      <c r="H3531">
        <f>IF(A3531="","",'Employees'!F19)</f>
        <v/>
      </c>
    </row>
    <row r="3532">
      <c r="A3532">
        <f>IF(AND('Skill Matrix'!A226&lt;&gt;"",'Skill Matrix'!O5&lt;&gt;""),'Skill Matrix'!A226,"")</f>
        <v/>
      </c>
      <c r="B3532">
        <f>IF(A3532="","",'Employees'!C19)</f>
        <v/>
      </c>
      <c r="C3532">
        <f>IF(A3532="","",'Employees'!D19)</f>
        <v/>
      </c>
      <c r="D3532">
        <f>IF(A3532="","",'Skill Matrix'!C226)</f>
        <v/>
      </c>
      <c r="E3532">
        <f>IF(A3532="","",'Skill Matrix'!D226)</f>
        <v/>
      </c>
      <c r="F3532">
        <f>IF(AND('Skill Matrix'!A226&lt;&gt;"",'Skill Matrix'!O5&lt;&gt;""),'Skill Matrix'!O5,"")</f>
        <v/>
      </c>
      <c r="G3532">
        <f>IF(OR(A3532="",'Skill Matrix'!O226=""),"",'Skill Matrix'!O226)</f>
        <v/>
      </c>
      <c r="H3532">
        <f>IF(A3532="","",'Employees'!F19)</f>
        <v/>
      </c>
    </row>
    <row r="3533">
      <c r="A3533">
        <f>IF(AND('Skill Matrix'!A226&lt;&gt;"",'Skill Matrix'!P5&lt;&gt;""),'Skill Matrix'!A226,"")</f>
        <v/>
      </c>
      <c r="B3533">
        <f>IF(A3533="","",'Employees'!C19)</f>
        <v/>
      </c>
      <c r="C3533">
        <f>IF(A3533="","",'Employees'!D19)</f>
        <v/>
      </c>
      <c r="D3533">
        <f>IF(A3533="","",'Skill Matrix'!C226)</f>
        <v/>
      </c>
      <c r="E3533">
        <f>IF(A3533="","",'Skill Matrix'!D226)</f>
        <v/>
      </c>
      <c r="F3533">
        <f>IF(AND('Skill Matrix'!A226&lt;&gt;"",'Skill Matrix'!P5&lt;&gt;""),'Skill Matrix'!P5,"")</f>
        <v/>
      </c>
      <c r="G3533">
        <f>IF(OR(A3533="",'Skill Matrix'!P226=""),"",'Skill Matrix'!P226)</f>
        <v/>
      </c>
      <c r="H3533">
        <f>IF(A3533="","",'Employees'!F19)</f>
        <v/>
      </c>
    </row>
    <row r="3534">
      <c r="A3534">
        <f>IF(AND('Skill Matrix'!A226&lt;&gt;"",'Skill Matrix'!Q5&lt;&gt;""),'Skill Matrix'!A226,"")</f>
        <v/>
      </c>
      <c r="B3534">
        <f>IF(A3534="","",'Employees'!C19)</f>
        <v/>
      </c>
      <c r="C3534">
        <f>IF(A3534="","",'Employees'!D19)</f>
        <v/>
      </c>
      <c r="D3534">
        <f>IF(A3534="","",'Skill Matrix'!C226)</f>
        <v/>
      </c>
      <c r="E3534">
        <f>IF(A3534="","",'Skill Matrix'!D226)</f>
        <v/>
      </c>
      <c r="F3534">
        <f>IF(AND('Skill Matrix'!A226&lt;&gt;"",'Skill Matrix'!Q5&lt;&gt;""),'Skill Matrix'!Q5,"")</f>
        <v/>
      </c>
      <c r="G3534">
        <f>IF(OR(A3534="",'Skill Matrix'!Q226=""),"",'Skill Matrix'!Q226)</f>
        <v/>
      </c>
      <c r="H3534">
        <f>IF(A3534="","",'Employees'!F19)</f>
        <v/>
      </c>
    </row>
    <row r="3535">
      <c r="A3535">
        <f>IF(AND('Skill Matrix'!A226&lt;&gt;"",'Skill Matrix'!R5&lt;&gt;""),'Skill Matrix'!A226,"")</f>
        <v/>
      </c>
      <c r="B3535">
        <f>IF(A3535="","",'Employees'!C19)</f>
        <v/>
      </c>
      <c r="C3535">
        <f>IF(A3535="","",'Employees'!D19)</f>
        <v/>
      </c>
      <c r="D3535">
        <f>IF(A3535="","",'Skill Matrix'!C226)</f>
        <v/>
      </c>
      <c r="E3535">
        <f>IF(A3535="","",'Skill Matrix'!D226)</f>
        <v/>
      </c>
      <c r="F3535">
        <f>IF(AND('Skill Matrix'!A226&lt;&gt;"",'Skill Matrix'!R5&lt;&gt;""),'Skill Matrix'!R5,"")</f>
        <v/>
      </c>
      <c r="G3535">
        <f>IF(OR(A3535="",'Skill Matrix'!R226=""),"",'Skill Matrix'!R226)</f>
        <v/>
      </c>
      <c r="H3535">
        <f>IF(A3535="","",'Employees'!F19)</f>
        <v/>
      </c>
    </row>
    <row r="3536">
      <c r="A3536">
        <f>IF(AND('Skill Matrix'!A226&lt;&gt;"",'Skill Matrix'!S5&lt;&gt;""),'Skill Matrix'!A226,"")</f>
        <v/>
      </c>
      <c r="B3536">
        <f>IF(A3536="","",'Employees'!C19)</f>
        <v/>
      </c>
      <c r="C3536">
        <f>IF(A3536="","",'Employees'!D19)</f>
        <v/>
      </c>
      <c r="D3536">
        <f>IF(A3536="","",'Skill Matrix'!C226)</f>
        <v/>
      </c>
      <c r="E3536">
        <f>IF(A3536="","",'Skill Matrix'!D226)</f>
        <v/>
      </c>
      <c r="F3536">
        <f>IF(AND('Skill Matrix'!A226&lt;&gt;"",'Skill Matrix'!S5&lt;&gt;""),'Skill Matrix'!S5,"")</f>
        <v/>
      </c>
      <c r="G3536">
        <f>IF(OR(A3536="",'Skill Matrix'!S226=""),"",'Skill Matrix'!S226)</f>
        <v/>
      </c>
      <c r="H3536">
        <f>IF(A3536="","",'Employees'!F19)</f>
        <v/>
      </c>
    </row>
    <row r="3537">
      <c r="A3537">
        <f>IF(AND('Skill Matrix'!A226&lt;&gt;"",'Skill Matrix'!T5&lt;&gt;""),'Skill Matrix'!A226,"")</f>
        <v/>
      </c>
      <c r="B3537">
        <f>IF(A3537="","",'Employees'!C19)</f>
        <v/>
      </c>
      <c r="C3537">
        <f>IF(A3537="","",'Employees'!D19)</f>
        <v/>
      </c>
      <c r="D3537">
        <f>IF(A3537="","",'Skill Matrix'!C226)</f>
        <v/>
      </c>
      <c r="E3537">
        <f>IF(A3537="","",'Skill Matrix'!D226)</f>
        <v/>
      </c>
      <c r="F3537">
        <f>IF(AND('Skill Matrix'!A226&lt;&gt;"",'Skill Matrix'!T5&lt;&gt;""),'Skill Matrix'!T5,"")</f>
        <v/>
      </c>
      <c r="G3537">
        <f>IF(OR(A3537="",'Skill Matrix'!T226=""),"",'Skill Matrix'!T226)</f>
        <v/>
      </c>
      <c r="H3537">
        <f>IF(A3537="","",'Employees'!F19)</f>
        <v/>
      </c>
    </row>
    <row r="3538">
      <c r="A3538">
        <f>IF(AND('Skill Matrix'!A227&lt;&gt;"",'Skill Matrix'!E5&lt;&gt;""),'Skill Matrix'!A227,"")</f>
        <v/>
      </c>
      <c r="B3538">
        <f>IF(A3538="","",'Employees'!C19)</f>
        <v/>
      </c>
      <c r="C3538">
        <f>IF(A3538="","",'Employees'!D19)</f>
        <v/>
      </c>
      <c r="D3538">
        <f>IF(A3538="","",'Skill Matrix'!C227)</f>
        <v/>
      </c>
      <c r="E3538">
        <f>IF(A3538="","",'Skill Matrix'!D227)</f>
        <v/>
      </c>
      <c r="F3538">
        <f>IF(AND('Skill Matrix'!A227&lt;&gt;"",'Skill Matrix'!E5&lt;&gt;""),'Skill Matrix'!E5,"")</f>
        <v/>
      </c>
      <c r="G3538">
        <f>IF(OR(A3538="",'Skill Matrix'!E227=""),"",'Skill Matrix'!E227)</f>
        <v/>
      </c>
      <c r="H3538">
        <f>IF(A3538="","",'Employees'!F19)</f>
        <v/>
      </c>
    </row>
    <row r="3539">
      <c r="A3539">
        <f>IF(AND('Skill Matrix'!A227&lt;&gt;"",'Skill Matrix'!F5&lt;&gt;""),'Skill Matrix'!A227,"")</f>
        <v/>
      </c>
      <c r="B3539">
        <f>IF(A3539="","",'Employees'!C19)</f>
        <v/>
      </c>
      <c r="C3539">
        <f>IF(A3539="","",'Employees'!D19)</f>
        <v/>
      </c>
      <c r="D3539">
        <f>IF(A3539="","",'Skill Matrix'!C227)</f>
        <v/>
      </c>
      <c r="E3539">
        <f>IF(A3539="","",'Skill Matrix'!D227)</f>
        <v/>
      </c>
      <c r="F3539">
        <f>IF(AND('Skill Matrix'!A227&lt;&gt;"",'Skill Matrix'!F5&lt;&gt;""),'Skill Matrix'!F5,"")</f>
        <v/>
      </c>
      <c r="G3539">
        <f>IF(OR(A3539="",'Skill Matrix'!F227=""),"",'Skill Matrix'!F227)</f>
        <v/>
      </c>
      <c r="H3539">
        <f>IF(A3539="","",'Employees'!F19)</f>
        <v/>
      </c>
    </row>
    <row r="3540">
      <c r="A3540">
        <f>IF(AND('Skill Matrix'!A227&lt;&gt;"",'Skill Matrix'!G5&lt;&gt;""),'Skill Matrix'!A227,"")</f>
        <v/>
      </c>
      <c r="B3540">
        <f>IF(A3540="","",'Employees'!C19)</f>
        <v/>
      </c>
      <c r="C3540">
        <f>IF(A3540="","",'Employees'!D19)</f>
        <v/>
      </c>
      <c r="D3540">
        <f>IF(A3540="","",'Skill Matrix'!C227)</f>
        <v/>
      </c>
      <c r="E3540">
        <f>IF(A3540="","",'Skill Matrix'!D227)</f>
        <v/>
      </c>
      <c r="F3540">
        <f>IF(AND('Skill Matrix'!A227&lt;&gt;"",'Skill Matrix'!G5&lt;&gt;""),'Skill Matrix'!G5,"")</f>
        <v/>
      </c>
      <c r="G3540">
        <f>IF(OR(A3540="",'Skill Matrix'!G227=""),"",'Skill Matrix'!G227)</f>
        <v/>
      </c>
      <c r="H3540">
        <f>IF(A3540="","",'Employees'!F19)</f>
        <v/>
      </c>
    </row>
    <row r="3541">
      <c r="A3541">
        <f>IF(AND('Skill Matrix'!A227&lt;&gt;"",'Skill Matrix'!H5&lt;&gt;""),'Skill Matrix'!A227,"")</f>
        <v/>
      </c>
      <c r="B3541">
        <f>IF(A3541="","",'Employees'!C19)</f>
        <v/>
      </c>
      <c r="C3541">
        <f>IF(A3541="","",'Employees'!D19)</f>
        <v/>
      </c>
      <c r="D3541">
        <f>IF(A3541="","",'Skill Matrix'!C227)</f>
        <v/>
      </c>
      <c r="E3541">
        <f>IF(A3541="","",'Skill Matrix'!D227)</f>
        <v/>
      </c>
      <c r="F3541">
        <f>IF(AND('Skill Matrix'!A227&lt;&gt;"",'Skill Matrix'!H5&lt;&gt;""),'Skill Matrix'!H5,"")</f>
        <v/>
      </c>
      <c r="G3541">
        <f>IF(OR(A3541="",'Skill Matrix'!H227=""),"",'Skill Matrix'!H227)</f>
        <v/>
      </c>
      <c r="H3541">
        <f>IF(A3541="","",'Employees'!F19)</f>
        <v/>
      </c>
    </row>
    <row r="3542">
      <c r="A3542">
        <f>IF(AND('Skill Matrix'!A227&lt;&gt;"",'Skill Matrix'!I5&lt;&gt;""),'Skill Matrix'!A227,"")</f>
        <v/>
      </c>
      <c r="B3542">
        <f>IF(A3542="","",'Employees'!C19)</f>
        <v/>
      </c>
      <c r="C3542">
        <f>IF(A3542="","",'Employees'!D19)</f>
        <v/>
      </c>
      <c r="D3542">
        <f>IF(A3542="","",'Skill Matrix'!C227)</f>
        <v/>
      </c>
      <c r="E3542">
        <f>IF(A3542="","",'Skill Matrix'!D227)</f>
        <v/>
      </c>
      <c r="F3542">
        <f>IF(AND('Skill Matrix'!A227&lt;&gt;"",'Skill Matrix'!I5&lt;&gt;""),'Skill Matrix'!I5,"")</f>
        <v/>
      </c>
      <c r="G3542">
        <f>IF(OR(A3542="",'Skill Matrix'!I227=""),"",'Skill Matrix'!I227)</f>
        <v/>
      </c>
      <c r="H3542">
        <f>IF(A3542="","",'Employees'!F19)</f>
        <v/>
      </c>
    </row>
    <row r="3543">
      <c r="A3543">
        <f>IF(AND('Skill Matrix'!A227&lt;&gt;"",'Skill Matrix'!J5&lt;&gt;""),'Skill Matrix'!A227,"")</f>
        <v/>
      </c>
      <c r="B3543">
        <f>IF(A3543="","",'Employees'!C19)</f>
        <v/>
      </c>
      <c r="C3543">
        <f>IF(A3543="","",'Employees'!D19)</f>
        <v/>
      </c>
      <c r="D3543">
        <f>IF(A3543="","",'Skill Matrix'!C227)</f>
        <v/>
      </c>
      <c r="E3543">
        <f>IF(A3543="","",'Skill Matrix'!D227)</f>
        <v/>
      </c>
      <c r="F3543">
        <f>IF(AND('Skill Matrix'!A227&lt;&gt;"",'Skill Matrix'!J5&lt;&gt;""),'Skill Matrix'!J5,"")</f>
        <v/>
      </c>
      <c r="G3543">
        <f>IF(OR(A3543="",'Skill Matrix'!J227=""),"",'Skill Matrix'!J227)</f>
        <v/>
      </c>
      <c r="H3543">
        <f>IF(A3543="","",'Employees'!F19)</f>
        <v/>
      </c>
    </row>
    <row r="3544">
      <c r="A3544">
        <f>IF(AND('Skill Matrix'!A227&lt;&gt;"",'Skill Matrix'!K5&lt;&gt;""),'Skill Matrix'!A227,"")</f>
        <v/>
      </c>
      <c r="B3544">
        <f>IF(A3544="","",'Employees'!C19)</f>
        <v/>
      </c>
      <c r="C3544">
        <f>IF(A3544="","",'Employees'!D19)</f>
        <v/>
      </c>
      <c r="D3544">
        <f>IF(A3544="","",'Skill Matrix'!C227)</f>
        <v/>
      </c>
      <c r="E3544">
        <f>IF(A3544="","",'Skill Matrix'!D227)</f>
        <v/>
      </c>
      <c r="F3544">
        <f>IF(AND('Skill Matrix'!A227&lt;&gt;"",'Skill Matrix'!K5&lt;&gt;""),'Skill Matrix'!K5,"")</f>
        <v/>
      </c>
      <c r="G3544">
        <f>IF(OR(A3544="",'Skill Matrix'!K227=""),"",'Skill Matrix'!K227)</f>
        <v/>
      </c>
      <c r="H3544">
        <f>IF(A3544="","",'Employees'!F19)</f>
        <v/>
      </c>
    </row>
    <row r="3545">
      <c r="A3545">
        <f>IF(AND('Skill Matrix'!A227&lt;&gt;"",'Skill Matrix'!L5&lt;&gt;""),'Skill Matrix'!A227,"")</f>
        <v/>
      </c>
      <c r="B3545">
        <f>IF(A3545="","",'Employees'!C19)</f>
        <v/>
      </c>
      <c r="C3545">
        <f>IF(A3545="","",'Employees'!D19)</f>
        <v/>
      </c>
      <c r="D3545">
        <f>IF(A3545="","",'Skill Matrix'!C227)</f>
        <v/>
      </c>
      <c r="E3545">
        <f>IF(A3545="","",'Skill Matrix'!D227)</f>
        <v/>
      </c>
      <c r="F3545">
        <f>IF(AND('Skill Matrix'!A227&lt;&gt;"",'Skill Matrix'!L5&lt;&gt;""),'Skill Matrix'!L5,"")</f>
        <v/>
      </c>
      <c r="G3545">
        <f>IF(OR(A3545="",'Skill Matrix'!L227=""),"",'Skill Matrix'!L227)</f>
        <v/>
      </c>
      <c r="H3545">
        <f>IF(A3545="","",'Employees'!F19)</f>
        <v/>
      </c>
    </row>
    <row r="3546">
      <c r="A3546">
        <f>IF(AND('Skill Matrix'!A227&lt;&gt;"",'Skill Matrix'!M5&lt;&gt;""),'Skill Matrix'!A227,"")</f>
        <v/>
      </c>
      <c r="B3546">
        <f>IF(A3546="","",'Employees'!C19)</f>
        <v/>
      </c>
      <c r="C3546">
        <f>IF(A3546="","",'Employees'!D19)</f>
        <v/>
      </c>
      <c r="D3546">
        <f>IF(A3546="","",'Skill Matrix'!C227)</f>
        <v/>
      </c>
      <c r="E3546">
        <f>IF(A3546="","",'Skill Matrix'!D227)</f>
        <v/>
      </c>
      <c r="F3546">
        <f>IF(AND('Skill Matrix'!A227&lt;&gt;"",'Skill Matrix'!M5&lt;&gt;""),'Skill Matrix'!M5,"")</f>
        <v/>
      </c>
      <c r="G3546">
        <f>IF(OR(A3546="",'Skill Matrix'!M227=""),"",'Skill Matrix'!M227)</f>
        <v/>
      </c>
      <c r="H3546">
        <f>IF(A3546="","",'Employees'!F19)</f>
        <v/>
      </c>
    </row>
    <row r="3547">
      <c r="A3547">
        <f>IF(AND('Skill Matrix'!A227&lt;&gt;"",'Skill Matrix'!N5&lt;&gt;""),'Skill Matrix'!A227,"")</f>
        <v/>
      </c>
      <c r="B3547">
        <f>IF(A3547="","",'Employees'!C19)</f>
        <v/>
      </c>
      <c r="C3547">
        <f>IF(A3547="","",'Employees'!D19)</f>
        <v/>
      </c>
      <c r="D3547">
        <f>IF(A3547="","",'Skill Matrix'!C227)</f>
        <v/>
      </c>
      <c r="E3547">
        <f>IF(A3547="","",'Skill Matrix'!D227)</f>
        <v/>
      </c>
      <c r="F3547">
        <f>IF(AND('Skill Matrix'!A227&lt;&gt;"",'Skill Matrix'!N5&lt;&gt;""),'Skill Matrix'!N5,"")</f>
        <v/>
      </c>
      <c r="G3547">
        <f>IF(OR(A3547="",'Skill Matrix'!N227=""),"",'Skill Matrix'!N227)</f>
        <v/>
      </c>
      <c r="H3547">
        <f>IF(A3547="","",'Employees'!F19)</f>
        <v/>
      </c>
    </row>
    <row r="3548">
      <c r="A3548">
        <f>IF(AND('Skill Matrix'!A227&lt;&gt;"",'Skill Matrix'!O5&lt;&gt;""),'Skill Matrix'!A227,"")</f>
        <v/>
      </c>
      <c r="B3548">
        <f>IF(A3548="","",'Employees'!C19)</f>
        <v/>
      </c>
      <c r="C3548">
        <f>IF(A3548="","",'Employees'!D19)</f>
        <v/>
      </c>
      <c r="D3548">
        <f>IF(A3548="","",'Skill Matrix'!C227)</f>
        <v/>
      </c>
      <c r="E3548">
        <f>IF(A3548="","",'Skill Matrix'!D227)</f>
        <v/>
      </c>
      <c r="F3548">
        <f>IF(AND('Skill Matrix'!A227&lt;&gt;"",'Skill Matrix'!O5&lt;&gt;""),'Skill Matrix'!O5,"")</f>
        <v/>
      </c>
      <c r="G3548">
        <f>IF(OR(A3548="",'Skill Matrix'!O227=""),"",'Skill Matrix'!O227)</f>
        <v/>
      </c>
      <c r="H3548">
        <f>IF(A3548="","",'Employees'!F19)</f>
        <v/>
      </c>
    </row>
    <row r="3549">
      <c r="A3549">
        <f>IF(AND('Skill Matrix'!A227&lt;&gt;"",'Skill Matrix'!P5&lt;&gt;""),'Skill Matrix'!A227,"")</f>
        <v/>
      </c>
      <c r="B3549">
        <f>IF(A3549="","",'Employees'!C19)</f>
        <v/>
      </c>
      <c r="C3549">
        <f>IF(A3549="","",'Employees'!D19)</f>
        <v/>
      </c>
      <c r="D3549">
        <f>IF(A3549="","",'Skill Matrix'!C227)</f>
        <v/>
      </c>
      <c r="E3549">
        <f>IF(A3549="","",'Skill Matrix'!D227)</f>
        <v/>
      </c>
      <c r="F3549">
        <f>IF(AND('Skill Matrix'!A227&lt;&gt;"",'Skill Matrix'!P5&lt;&gt;""),'Skill Matrix'!P5,"")</f>
        <v/>
      </c>
      <c r="G3549">
        <f>IF(OR(A3549="",'Skill Matrix'!P227=""),"",'Skill Matrix'!P227)</f>
        <v/>
      </c>
      <c r="H3549">
        <f>IF(A3549="","",'Employees'!F19)</f>
        <v/>
      </c>
    </row>
    <row r="3550">
      <c r="A3550">
        <f>IF(AND('Skill Matrix'!A227&lt;&gt;"",'Skill Matrix'!Q5&lt;&gt;""),'Skill Matrix'!A227,"")</f>
        <v/>
      </c>
      <c r="B3550">
        <f>IF(A3550="","",'Employees'!C19)</f>
        <v/>
      </c>
      <c r="C3550">
        <f>IF(A3550="","",'Employees'!D19)</f>
        <v/>
      </c>
      <c r="D3550">
        <f>IF(A3550="","",'Skill Matrix'!C227)</f>
        <v/>
      </c>
      <c r="E3550">
        <f>IF(A3550="","",'Skill Matrix'!D227)</f>
        <v/>
      </c>
      <c r="F3550">
        <f>IF(AND('Skill Matrix'!A227&lt;&gt;"",'Skill Matrix'!Q5&lt;&gt;""),'Skill Matrix'!Q5,"")</f>
        <v/>
      </c>
      <c r="G3550">
        <f>IF(OR(A3550="",'Skill Matrix'!Q227=""),"",'Skill Matrix'!Q227)</f>
        <v/>
      </c>
      <c r="H3550">
        <f>IF(A3550="","",'Employees'!F19)</f>
        <v/>
      </c>
    </row>
    <row r="3551">
      <c r="A3551">
        <f>IF(AND('Skill Matrix'!A227&lt;&gt;"",'Skill Matrix'!R5&lt;&gt;""),'Skill Matrix'!A227,"")</f>
        <v/>
      </c>
      <c r="B3551">
        <f>IF(A3551="","",'Employees'!C19)</f>
        <v/>
      </c>
      <c r="C3551">
        <f>IF(A3551="","",'Employees'!D19)</f>
        <v/>
      </c>
      <c r="D3551">
        <f>IF(A3551="","",'Skill Matrix'!C227)</f>
        <v/>
      </c>
      <c r="E3551">
        <f>IF(A3551="","",'Skill Matrix'!D227)</f>
        <v/>
      </c>
      <c r="F3551">
        <f>IF(AND('Skill Matrix'!A227&lt;&gt;"",'Skill Matrix'!R5&lt;&gt;""),'Skill Matrix'!R5,"")</f>
        <v/>
      </c>
      <c r="G3551">
        <f>IF(OR(A3551="",'Skill Matrix'!R227=""),"",'Skill Matrix'!R227)</f>
        <v/>
      </c>
      <c r="H3551">
        <f>IF(A3551="","",'Employees'!F19)</f>
        <v/>
      </c>
    </row>
    <row r="3552">
      <c r="A3552">
        <f>IF(AND('Skill Matrix'!A227&lt;&gt;"",'Skill Matrix'!S5&lt;&gt;""),'Skill Matrix'!A227,"")</f>
        <v/>
      </c>
      <c r="B3552">
        <f>IF(A3552="","",'Employees'!C19)</f>
        <v/>
      </c>
      <c r="C3552">
        <f>IF(A3552="","",'Employees'!D19)</f>
        <v/>
      </c>
      <c r="D3552">
        <f>IF(A3552="","",'Skill Matrix'!C227)</f>
        <v/>
      </c>
      <c r="E3552">
        <f>IF(A3552="","",'Skill Matrix'!D227)</f>
        <v/>
      </c>
      <c r="F3552">
        <f>IF(AND('Skill Matrix'!A227&lt;&gt;"",'Skill Matrix'!S5&lt;&gt;""),'Skill Matrix'!S5,"")</f>
        <v/>
      </c>
      <c r="G3552">
        <f>IF(OR(A3552="",'Skill Matrix'!S227=""),"",'Skill Matrix'!S227)</f>
        <v/>
      </c>
      <c r="H3552">
        <f>IF(A3552="","",'Employees'!F19)</f>
        <v/>
      </c>
    </row>
    <row r="3553">
      <c r="A3553">
        <f>IF(AND('Skill Matrix'!A227&lt;&gt;"",'Skill Matrix'!T5&lt;&gt;""),'Skill Matrix'!A227,"")</f>
        <v/>
      </c>
      <c r="B3553">
        <f>IF(A3553="","",'Employees'!C19)</f>
        <v/>
      </c>
      <c r="C3553">
        <f>IF(A3553="","",'Employees'!D19)</f>
        <v/>
      </c>
      <c r="D3553">
        <f>IF(A3553="","",'Skill Matrix'!C227)</f>
        <v/>
      </c>
      <c r="E3553">
        <f>IF(A3553="","",'Skill Matrix'!D227)</f>
        <v/>
      </c>
      <c r="F3553">
        <f>IF(AND('Skill Matrix'!A227&lt;&gt;"",'Skill Matrix'!T5&lt;&gt;""),'Skill Matrix'!T5,"")</f>
        <v/>
      </c>
      <c r="G3553">
        <f>IF(OR(A3553="",'Skill Matrix'!T227=""),"",'Skill Matrix'!T227)</f>
        <v/>
      </c>
      <c r="H3553">
        <f>IF(A3553="","",'Employees'!F19)</f>
        <v/>
      </c>
    </row>
    <row r="3554">
      <c r="A3554">
        <f>IF(AND('Skill Matrix'!A228&lt;&gt;"",'Skill Matrix'!E5&lt;&gt;""),'Skill Matrix'!A228,"")</f>
        <v/>
      </c>
      <c r="B3554">
        <f>IF(A3554="","",'Employees'!C19)</f>
        <v/>
      </c>
      <c r="C3554">
        <f>IF(A3554="","",'Employees'!D19)</f>
        <v/>
      </c>
      <c r="D3554">
        <f>IF(A3554="","",'Skill Matrix'!C228)</f>
        <v/>
      </c>
      <c r="E3554">
        <f>IF(A3554="","",'Skill Matrix'!D228)</f>
        <v/>
      </c>
      <c r="F3554">
        <f>IF(AND('Skill Matrix'!A228&lt;&gt;"",'Skill Matrix'!E5&lt;&gt;""),'Skill Matrix'!E5,"")</f>
        <v/>
      </c>
      <c r="G3554">
        <f>IF(OR(A3554="",'Skill Matrix'!E228=""),"",'Skill Matrix'!E228)</f>
        <v/>
      </c>
      <c r="H3554">
        <f>IF(A3554="","",'Employees'!F19)</f>
        <v/>
      </c>
    </row>
    <row r="3555">
      <c r="A3555">
        <f>IF(AND('Skill Matrix'!A228&lt;&gt;"",'Skill Matrix'!F5&lt;&gt;""),'Skill Matrix'!A228,"")</f>
        <v/>
      </c>
      <c r="B3555">
        <f>IF(A3555="","",'Employees'!C19)</f>
        <v/>
      </c>
      <c r="C3555">
        <f>IF(A3555="","",'Employees'!D19)</f>
        <v/>
      </c>
      <c r="D3555">
        <f>IF(A3555="","",'Skill Matrix'!C228)</f>
        <v/>
      </c>
      <c r="E3555">
        <f>IF(A3555="","",'Skill Matrix'!D228)</f>
        <v/>
      </c>
      <c r="F3555">
        <f>IF(AND('Skill Matrix'!A228&lt;&gt;"",'Skill Matrix'!F5&lt;&gt;""),'Skill Matrix'!F5,"")</f>
        <v/>
      </c>
      <c r="G3555">
        <f>IF(OR(A3555="",'Skill Matrix'!F228=""),"",'Skill Matrix'!F228)</f>
        <v/>
      </c>
      <c r="H3555">
        <f>IF(A3555="","",'Employees'!F19)</f>
        <v/>
      </c>
    </row>
    <row r="3556">
      <c r="A3556">
        <f>IF(AND('Skill Matrix'!A228&lt;&gt;"",'Skill Matrix'!G5&lt;&gt;""),'Skill Matrix'!A228,"")</f>
        <v/>
      </c>
      <c r="B3556">
        <f>IF(A3556="","",'Employees'!C19)</f>
        <v/>
      </c>
      <c r="C3556">
        <f>IF(A3556="","",'Employees'!D19)</f>
        <v/>
      </c>
      <c r="D3556">
        <f>IF(A3556="","",'Skill Matrix'!C228)</f>
        <v/>
      </c>
      <c r="E3556">
        <f>IF(A3556="","",'Skill Matrix'!D228)</f>
        <v/>
      </c>
      <c r="F3556">
        <f>IF(AND('Skill Matrix'!A228&lt;&gt;"",'Skill Matrix'!G5&lt;&gt;""),'Skill Matrix'!G5,"")</f>
        <v/>
      </c>
      <c r="G3556">
        <f>IF(OR(A3556="",'Skill Matrix'!G228=""),"",'Skill Matrix'!G228)</f>
        <v/>
      </c>
      <c r="H3556">
        <f>IF(A3556="","",'Employees'!F19)</f>
        <v/>
      </c>
    </row>
    <row r="3557">
      <c r="A3557">
        <f>IF(AND('Skill Matrix'!A228&lt;&gt;"",'Skill Matrix'!H5&lt;&gt;""),'Skill Matrix'!A228,"")</f>
        <v/>
      </c>
      <c r="B3557">
        <f>IF(A3557="","",'Employees'!C19)</f>
        <v/>
      </c>
      <c r="C3557">
        <f>IF(A3557="","",'Employees'!D19)</f>
        <v/>
      </c>
      <c r="D3557">
        <f>IF(A3557="","",'Skill Matrix'!C228)</f>
        <v/>
      </c>
      <c r="E3557">
        <f>IF(A3557="","",'Skill Matrix'!D228)</f>
        <v/>
      </c>
      <c r="F3557">
        <f>IF(AND('Skill Matrix'!A228&lt;&gt;"",'Skill Matrix'!H5&lt;&gt;""),'Skill Matrix'!H5,"")</f>
        <v/>
      </c>
      <c r="G3557">
        <f>IF(OR(A3557="",'Skill Matrix'!H228=""),"",'Skill Matrix'!H228)</f>
        <v/>
      </c>
      <c r="H3557">
        <f>IF(A3557="","",'Employees'!F19)</f>
        <v/>
      </c>
    </row>
    <row r="3558">
      <c r="A3558">
        <f>IF(AND('Skill Matrix'!A228&lt;&gt;"",'Skill Matrix'!I5&lt;&gt;""),'Skill Matrix'!A228,"")</f>
        <v/>
      </c>
      <c r="B3558">
        <f>IF(A3558="","",'Employees'!C19)</f>
        <v/>
      </c>
      <c r="C3558">
        <f>IF(A3558="","",'Employees'!D19)</f>
        <v/>
      </c>
      <c r="D3558">
        <f>IF(A3558="","",'Skill Matrix'!C228)</f>
        <v/>
      </c>
      <c r="E3558">
        <f>IF(A3558="","",'Skill Matrix'!D228)</f>
        <v/>
      </c>
      <c r="F3558">
        <f>IF(AND('Skill Matrix'!A228&lt;&gt;"",'Skill Matrix'!I5&lt;&gt;""),'Skill Matrix'!I5,"")</f>
        <v/>
      </c>
      <c r="G3558">
        <f>IF(OR(A3558="",'Skill Matrix'!I228=""),"",'Skill Matrix'!I228)</f>
        <v/>
      </c>
      <c r="H3558">
        <f>IF(A3558="","",'Employees'!F19)</f>
        <v/>
      </c>
    </row>
    <row r="3559">
      <c r="A3559">
        <f>IF(AND('Skill Matrix'!A228&lt;&gt;"",'Skill Matrix'!J5&lt;&gt;""),'Skill Matrix'!A228,"")</f>
        <v/>
      </c>
      <c r="B3559">
        <f>IF(A3559="","",'Employees'!C19)</f>
        <v/>
      </c>
      <c r="C3559">
        <f>IF(A3559="","",'Employees'!D19)</f>
        <v/>
      </c>
      <c r="D3559">
        <f>IF(A3559="","",'Skill Matrix'!C228)</f>
        <v/>
      </c>
      <c r="E3559">
        <f>IF(A3559="","",'Skill Matrix'!D228)</f>
        <v/>
      </c>
      <c r="F3559">
        <f>IF(AND('Skill Matrix'!A228&lt;&gt;"",'Skill Matrix'!J5&lt;&gt;""),'Skill Matrix'!J5,"")</f>
        <v/>
      </c>
      <c r="G3559">
        <f>IF(OR(A3559="",'Skill Matrix'!J228=""),"",'Skill Matrix'!J228)</f>
        <v/>
      </c>
      <c r="H3559">
        <f>IF(A3559="","",'Employees'!F19)</f>
        <v/>
      </c>
    </row>
    <row r="3560">
      <c r="A3560">
        <f>IF(AND('Skill Matrix'!A228&lt;&gt;"",'Skill Matrix'!K5&lt;&gt;""),'Skill Matrix'!A228,"")</f>
        <v/>
      </c>
      <c r="B3560">
        <f>IF(A3560="","",'Employees'!C19)</f>
        <v/>
      </c>
      <c r="C3560">
        <f>IF(A3560="","",'Employees'!D19)</f>
        <v/>
      </c>
      <c r="D3560">
        <f>IF(A3560="","",'Skill Matrix'!C228)</f>
        <v/>
      </c>
      <c r="E3560">
        <f>IF(A3560="","",'Skill Matrix'!D228)</f>
        <v/>
      </c>
      <c r="F3560">
        <f>IF(AND('Skill Matrix'!A228&lt;&gt;"",'Skill Matrix'!K5&lt;&gt;""),'Skill Matrix'!K5,"")</f>
        <v/>
      </c>
      <c r="G3560">
        <f>IF(OR(A3560="",'Skill Matrix'!K228=""),"",'Skill Matrix'!K228)</f>
        <v/>
      </c>
      <c r="H3560">
        <f>IF(A3560="","",'Employees'!F19)</f>
        <v/>
      </c>
    </row>
    <row r="3561">
      <c r="A3561">
        <f>IF(AND('Skill Matrix'!A228&lt;&gt;"",'Skill Matrix'!L5&lt;&gt;""),'Skill Matrix'!A228,"")</f>
        <v/>
      </c>
      <c r="B3561">
        <f>IF(A3561="","",'Employees'!C19)</f>
        <v/>
      </c>
      <c r="C3561">
        <f>IF(A3561="","",'Employees'!D19)</f>
        <v/>
      </c>
      <c r="D3561">
        <f>IF(A3561="","",'Skill Matrix'!C228)</f>
        <v/>
      </c>
      <c r="E3561">
        <f>IF(A3561="","",'Skill Matrix'!D228)</f>
        <v/>
      </c>
      <c r="F3561">
        <f>IF(AND('Skill Matrix'!A228&lt;&gt;"",'Skill Matrix'!L5&lt;&gt;""),'Skill Matrix'!L5,"")</f>
        <v/>
      </c>
      <c r="G3561">
        <f>IF(OR(A3561="",'Skill Matrix'!L228=""),"",'Skill Matrix'!L228)</f>
        <v/>
      </c>
      <c r="H3561">
        <f>IF(A3561="","",'Employees'!F19)</f>
        <v/>
      </c>
    </row>
    <row r="3562">
      <c r="A3562">
        <f>IF(AND('Skill Matrix'!A228&lt;&gt;"",'Skill Matrix'!M5&lt;&gt;""),'Skill Matrix'!A228,"")</f>
        <v/>
      </c>
      <c r="B3562">
        <f>IF(A3562="","",'Employees'!C19)</f>
        <v/>
      </c>
      <c r="C3562">
        <f>IF(A3562="","",'Employees'!D19)</f>
        <v/>
      </c>
      <c r="D3562">
        <f>IF(A3562="","",'Skill Matrix'!C228)</f>
        <v/>
      </c>
      <c r="E3562">
        <f>IF(A3562="","",'Skill Matrix'!D228)</f>
        <v/>
      </c>
      <c r="F3562">
        <f>IF(AND('Skill Matrix'!A228&lt;&gt;"",'Skill Matrix'!M5&lt;&gt;""),'Skill Matrix'!M5,"")</f>
        <v/>
      </c>
      <c r="G3562">
        <f>IF(OR(A3562="",'Skill Matrix'!M228=""),"",'Skill Matrix'!M228)</f>
        <v/>
      </c>
      <c r="H3562">
        <f>IF(A3562="","",'Employees'!F19)</f>
        <v/>
      </c>
    </row>
    <row r="3563">
      <c r="A3563">
        <f>IF(AND('Skill Matrix'!A228&lt;&gt;"",'Skill Matrix'!N5&lt;&gt;""),'Skill Matrix'!A228,"")</f>
        <v/>
      </c>
      <c r="B3563">
        <f>IF(A3563="","",'Employees'!C19)</f>
        <v/>
      </c>
      <c r="C3563">
        <f>IF(A3563="","",'Employees'!D19)</f>
        <v/>
      </c>
      <c r="D3563">
        <f>IF(A3563="","",'Skill Matrix'!C228)</f>
        <v/>
      </c>
      <c r="E3563">
        <f>IF(A3563="","",'Skill Matrix'!D228)</f>
        <v/>
      </c>
      <c r="F3563">
        <f>IF(AND('Skill Matrix'!A228&lt;&gt;"",'Skill Matrix'!N5&lt;&gt;""),'Skill Matrix'!N5,"")</f>
        <v/>
      </c>
      <c r="G3563">
        <f>IF(OR(A3563="",'Skill Matrix'!N228=""),"",'Skill Matrix'!N228)</f>
        <v/>
      </c>
      <c r="H3563">
        <f>IF(A3563="","",'Employees'!F19)</f>
        <v/>
      </c>
    </row>
    <row r="3564">
      <c r="A3564">
        <f>IF(AND('Skill Matrix'!A228&lt;&gt;"",'Skill Matrix'!O5&lt;&gt;""),'Skill Matrix'!A228,"")</f>
        <v/>
      </c>
      <c r="B3564">
        <f>IF(A3564="","",'Employees'!C19)</f>
        <v/>
      </c>
      <c r="C3564">
        <f>IF(A3564="","",'Employees'!D19)</f>
        <v/>
      </c>
      <c r="D3564">
        <f>IF(A3564="","",'Skill Matrix'!C228)</f>
        <v/>
      </c>
      <c r="E3564">
        <f>IF(A3564="","",'Skill Matrix'!D228)</f>
        <v/>
      </c>
      <c r="F3564">
        <f>IF(AND('Skill Matrix'!A228&lt;&gt;"",'Skill Matrix'!O5&lt;&gt;""),'Skill Matrix'!O5,"")</f>
        <v/>
      </c>
      <c r="G3564">
        <f>IF(OR(A3564="",'Skill Matrix'!O228=""),"",'Skill Matrix'!O228)</f>
        <v/>
      </c>
      <c r="H3564">
        <f>IF(A3564="","",'Employees'!F19)</f>
        <v/>
      </c>
    </row>
    <row r="3565">
      <c r="A3565">
        <f>IF(AND('Skill Matrix'!A228&lt;&gt;"",'Skill Matrix'!P5&lt;&gt;""),'Skill Matrix'!A228,"")</f>
        <v/>
      </c>
      <c r="B3565">
        <f>IF(A3565="","",'Employees'!C19)</f>
        <v/>
      </c>
      <c r="C3565">
        <f>IF(A3565="","",'Employees'!D19)</f>
        <v/>
      </c>
      <c r="D3565">
        <f>IF(A3565="","",'Skill Matrix'!C228)</f>
        <v/>
      </c>
      <c r="E3565">
        <f>IF(A3565="","",'Skill Matrix'!D228)</f>
        <v/>
      </c>
      <c r="F3565">
        <f>IF(AND('Skill Matrix'!A228&lt;&gt;"",'Skill Matrix'!P5&lt;&gt;""),'Skill Matrix'!P5,"")</f>
        <v/>
      </c>
      <c r="G3565">
        <f>IF(OR(A3565="",'Skill Matrix'!P228=""),"",'Skill Matrix'!P228)</f>
        <v/>
      </c>
      <c r="H3565">
        <f>IF(A3565="","",'Employees'!F19)</f>
        <v/>
      </c>
    </row>
    <row r="3566">
      <c r="A3566">
        <f>IF(AND('Skill Matrix'!A228&lt;&gt;"",'Skill Matrix'!Q5&lt;&gt;""),'Skill Matrix'!A228,"")</f>
        <v/>
      </c>
      <c r="B3566">
        <f>IF(A3566="","",'Employees'!C19)</f>
        <v/>
      </c>
      <c r="C3566">
        <f>IF(A3566="","",'Employees'!D19)</f>
        <v/>
      </c>
      <c r="D3566">
        <f>IF(A3566="","",'Skill Matrix'!C228)</f>
        <v/>
      </c>
      <c r="E3566">
        <f>IF(A3566="","",'Skill Matrix'!D228)</f>
        <v/>
      </c>
      <c r="F3566">
        <f>IF(AND('Skill Matrix'!A228&lt;&gt;"",'Skill Matrix'!Q5&lt;&gt;""),'Skill Matrix'!Q5,"")</f>
        <v/>
      </c>
      <c r="G3566">
        <f>IF(OR(A3566="",'Skill Matrix'!Q228=""),"",'Skill Matrix'!Q228)</f>
        <v/>
      </c>
      <c r="H3566">
        <f>IF(A3566="","",'Employees'!F19)</f>
        <v/>
      </c>
    </row>
    <row r="3567">
      <c r="A3567">
        <f>IF(AND('Skill Matrix'!A228&lt;&gt;"",'Skill Matrix'!R5&lt;&gt;""),'Skill Matrix'!A228,"")</f>
        <v/>
      </c>
      <c r="B3567">
        <f>IF(A3567="","",'Employees'!C19)</f>
        <v/>
      </c>
      <c r="C3567">
        <f>IF(A3567="","",'Employees'!D19)</f>
        <v/>
      </c>
      <c r="D3567">
        <f>IF(A3567="","",'Skill Matrix'!C228)</f>
        <v/>
      </c>
      <c r="E3567">
        <f>IF(A3567="","",'Skill Matrix'!D228)</f>
        <v/>
      </c>
      <c r="F3567">
        <f>IF(AND('Skill Matrix'!A228&lt;&gt;"",'Skill Matrix'!R5&lt;&gt;""),'Skill Matrix'!R5,"")</f>
        <v/>
      </c>
      <c r="G3567">
        <f>IF(OR(A3567="",'Skill Matrix'!R228=""),"",'Skill Matrix'!R228)</f>
        <v/>
      </c>
      <c r="H3567">
        <f>IF(A3567="","",'Employees'!F19)</f>
        <v/>
      </c>
    </row>
    <row r="3568">
      <c r="A3568">
        <f>IF(AND('Skill Matrix'!A228&lt;&gt;"",'Skill Matrix'!S5&lt;&gt;""),'Skill Matrix'!A228,"")</f>
        <v/>
      </c>
      <c r="B3568">
        <f>IF(A3568="","",'Employees'!C19)</f>
        <v/>
      </c>
      <c r="C3568">
        <f>IF(A3568="","",'Employees'!D19)</f>
        <v/>
      </c>
      <c r="D3568">
        <f>IF(A3568="","",'Skill Matrix'!C228)</f>
        <v/>
      </c>
      <c r="E3568">
        <f>IF(A3568="","",'Skill Matrix'!D228)</f>
        <v/>
      </c>
      <c r="F3568">
        <f>IF(AND('Skill Matrix'!A228&lt;&gt;"",'Skill Matrix'!S5&lt;&gt;""),'Skill Matrix'!S5,"")</f>
        <v/>
      </c>
      <c r="G3568">
        <f>IF(OR(A3568="",'Skill Matrix'!S228=""),"",'Skill Matrix'!S228)</f>
        <v/>
      </c>
      <c r="H3568">
        <f>IF(A3568="","",'Employees'!F19)</f>
        <v/>
      </c>
    </row>
    <row r="3569">
      <c r="A3569">
        <f>IF(AND('Skill Matrix'!A228&lt;&gt;"",'Skill Matrix'!T5&lt;&gt;""),'Skill Matrix'!A228,"")</f>
        <v/>
      </c>
      <c r="B3569">
        <f>IF(A3569="","",'Employees'!C19)</f>
        <v/>
      </c>
      <c r="C3569">
        <f>IF(A3569="","",'Employees'!D19)</f>
        <v/>
      </c>
      <c r="D3569">
        <f>IF(A3569="","",'Skill Matrix'!C228)</f>
        <v/>
      </c>
      <c r="E3569">
        <f>IF(A3569="","",'Skill Matrix'!D228)</f>
        <v/>
      </c>
      <c r="F3569">
        <f>IF(AND('Skill Matrix'!A228&lt;&gt;"",'Skill Matrix'!T5&lt;&gt;""),'Skill Matrix'!T5,"")</f>
        <v/>
      </c>
      <c r="G3569">
        <f>IF(OR(A3569="",'Skill Matrix'!T228=""),"",'Skill Matrix'!T228)</f>
        <v/>
      </c>
      <c r="H3569">
        <f>IF(A3569="","",'Employees'!F19)</f>
        <v/>
      </c>
    </row>
    <row r="3570">
      <c r="A3570">
        <f>IF(AND('Skill Matrix'!A229&lt;&gt;"",'Skill Matrix'!E5&lt;&gt;""),'Skill Matrix'!A229,"")</f>
        <v/>
      </c>
      <c r="B3570">
        <f>IF(A3570="","",'Employees'!C19)</f>
        <v/>
      </c>
      <c r="C3570">
        <f>IF(A3570="","",'Employees'!D19)</f>
        <v/>
      </c>
      <c r="D3570">
        <f>IF(A3570="","",'Skill Matrix'!C229)</f>
        <v/>
      </c>
      <c r="E3570">
        <f>IF(A3570="","",'Skill Matrix'!D229)</f>
        <v/>
      </c>
      <c r="F3570">
        <f>IF(AND('Skill Matrix'!A229&lt;&gt;"",'Skill Matrix'!E5&lt;&gt;""),'Skill Matrix'!E5,"")</f>
        <v/>
      </c>
      <c r="G3570">
        <f>IF(OR(A3570="",'Skill Matrix'!E229=""),"",'Skill Matrix'!E229)</f>
        <v/>
      </c>
      <c r="H3570">
        <f>IF(A3570="","",'Employees'!F19)</f>
        <v/>
      </c>
    </row>
    <row r="3571">
      <c r="A3571">
        <f>IF(AND('Skill Matrix'!A229&lt;&gt;"",'Skill Matrix'!F5&lt;&gt;""),'Skill Matrix'!A229,"")</f>
        <v/>
      </c>
      <c r="B3571">
        <f>IF(A3571="","",'Employees'!C19)</f>
        <v/>
      </c>
      <c r="C3571">
        <f>IF(A3571="","",'Employees'!D19)</f>
        <v/>
      </c>
      <c r="D3571">
        <f>IF(A3571="","",'Skill Matrix'!C229)</f>
        <v/>
      </c>
      <c r="E3571">
        <f>IF(A3571="","",'Skill Matrix'!D229)</f>
        <v/>
      </c>
      <c r="F3571">
        <f>IF(AND('Skill Matrix'!A229&lt;&gt;"",'Skill Matrix'!F5&lt;&gt;""),'Skill Matrix'!F5,"")</f>
        <v/>
      </c>
      <c r="G3571">
        <f>IF(OR(A3571="",'Skill Matrix'!F229=""),"",'Skill Matrix'!F229)</f>
        <v/>
      </c>
      <c r="H3571">
        <f>IF(A3571="","",'Employees'!F19)</f>
        <v/>
      </c>
    </row>
    <row r="3572">
      <c r="A3572">
        <f>IF(AND('Skill Matrix'!A229&lt;&gt;"",'Skill Matrix'!G5&lt;&gt;""),'Skill Matrix'!A229,"")</f>
        <v/>
      </c>
      <c r="B3572">
        <f>IF(A3572="","",'Employees'!C19)</f>
        <v/>
      </c>
      <c r="C3572">
        <f>IF(A3572="","",'Employees'!D19)</f>
        <v/>
      </c>
      <c r="D3572">
        <f>IF(A3572="","",'Skill Matrix'!C229)</f>
        <v/>
      </c>
      <c r="E3572">
        <f>IF(A3572="","",'Skill Matrix'!D229)</f>
        <v/>
      </c>
      <c r="F3572">
        <f>IF(AND('Skill Matrix'!A229&lt;&gt;"",'Skill Matrix'!G5&lt;&gt;""),'Skill Matrix'!G5,"")</f>
        <v/>
      </c>
      <c r="G3572">
        <f>IF(OR(A3572="",'Skill Matrix'!G229=""),"",'Skill Matrix'!G229)</f>
        <v/>
      </c>
      <c r="H3572">
        <f>IF(A3572="","",'Employees'!F19)</f>
        <v/>
      </c>
    </row>
    <row r="3573">
      <c r="A3573">
        <f>IF(AND('Skill Matrix'!A229&lt;&gt;"",'Skill Matrix'!H5&lt;&gt;""),'Skill Matrix'!A229,"")</f>
        <v/>
      </c>
      <c r="B3573">
        <f>IF(A3573="","",'Employees'!C19)</f>
        <v/>
      </c>
      <c r="C3573">
        <f>IF(A3573="","",'Employees'!D19)</f>
        <v/>
      </c>
      <c r="D3573">
        <f>IF(A3573="","",'Skill Matrix'!C229)</f>
        <v/>
      </c>
      <c r="E3573">
        <f>IF(A3573="","",'Skill Matrix'!D229)</f>
        <v/>
      </c>
      <c r="F3573">
        <f>IF(AND('Skill Matrix'!A229&lt;&gt;"",'Skill Matrix'!H5&lt;&gt;""),'Skill Matrix'!H5,"")</f>
        <v/>
      </c>
      <c r="G3573">
        <f>IF(OR(A3573="",'Skill Matrix'!H229=""),"",'Skill Matrix'!H229)</f>
        <v/>
      </c>
      <c r="H3573">
        <f>IF(A3573="","",'Employees'!F19)</f>
        <v/>
      </c>
    </row>
    <row r="3574">
      <c r="A3574">
        <f>IF(AND('Skill Matrix'!A229&lt;&gt;"",'Skill Matrix'!I5&lt;&gt;""),'Skill Matrix'!A229,"")</f>
        <v/>
      </c>
      <c r="B3574">
        <f>IF(A3574="","",'Employees'!C19)</f>
        <v/>
      </c>
      <c r="C3574">
        <f>IF(A3574="","",'Employees'!D19)</f>
        <v/>
      </c>
      <c r="D3574">
        <f>IF(A3574="","",'Skill Matrix'!C229)</f>
        <v/>
      </c>
      <c r="E3574">
        <f>IF(A3574="","",'Skill Matrix'!D229)</f>
        <v/>
      </c>
      <c r="F3574">
        <f>IF(AND('Skill Matrix'!A229&lt;&gt;"",'Skill Matrix'!I5&lt;&gt;""),'Skill Matrix'!I5,"")</f>
        <v/>
      </c>
      <c r="G3574">
        <f>IF(OR(A3574="",'Skill Matrix'!I229=""),"",'Skill Matrix'!I229)</f>
        <v/>
      </c>
      <c r="H3574">
        <f>IF(A3574="","",'Employees'!F19)</f>
        <v/>
      </c>
    </row>
    <row r="3575">
      <c r="A3575">
        <f>IF(AND('Skill Matrix'!A229&lt;&gt;"",'Skill Matrix'!J5&lt;&gt;""),'Skill Matrix'!A229,"")</f>
        <v/>
      </c>
      <c r="B3575">
        <f>IF(A3575="","",'Employees'!C19)</f>
        <v/>
      </c>
      <c r="C3575">
        <f>IF(A3575="","",'Employees'!D19)</f>
        <v/>
      </c>
      <c r="D3575">
        <f>IF(A3575="","",'Skill Matrix'!C229)</f>
        <v/>
      </c>
      <c r="E3575">
        <f>IF(A3575="","",'Skill Matrix'!D229)</f>
        <v/>
      </c>
      <c r="F3575">
        <f>IF(AND('Skill Matrix'!A229&lt;&gt;"",'Skill Matrix'!J5&lt;&gt;""),'Skill Matrix'!J5,"")</f>
        <v/>
      </c>
      <c r="G3575">
        <f>IF(OR(A3575="",'Skill Matrix'!J229=""),"",'Skill Matrix'!J229)</f>
        <v/>
      </c>
      <c r="H3575">
        <f>IF(A3575="","",'Employees'!F19)</f>
        <v/>
      </c>
    </row>
    <row r="3576">
      <c r="A3576">
        <f>IF(AND('Skill Matrix'!A229&lt;&gt;"",'Skill Matrix'!K5&lt;&gt;""),'Skill Matrix'!A229,"")</f>
        <v/>
      </c>
      <c r="B3576">
        <f>IF(A3576="","",'Employees'!C19)</f>
        <v/>
      </c>
      <c r="C3576">
        <f>IF(A3576="","",'Employees'!D19)</f>
        <v/>
      </c>
      <c r="D3576">
        <f>IF(A3576="","",'Skill Matrix'!C229)</f>
        <v/>
      </c>
      <c r="E3576">
        <f>IF(A3576="","",'Skill Matrix'!D229)</f>
        <v/>
      </c>
      <c r="F3576">
        <f>IF(AND('Skill Matrix'!A229&lt;&gt;"",'Skill Matrix'!K5&lt;&gt;""),'Skill Matrix'!K5,"")</f>
        <v/>
      </c>
      <c r="G3576">
        <f>IF(OR(A3576="",'Skill Matrix'!K229=""),"",'Skill Matrix'!K229)</f>
        <v/>
      </c>
      <c r="H3576">
        <f>IF(A3576="","",'Employees'!F19)</f>
        <v/>
      </c>
    </row>
    <row r="3577">
      <c r="A3577">
        <f>IF(AND('Skill Matrix'!A229&lt;&gt;"",'Skill Matrix'!L5&lt;&gt;""),'Skill Matrix'!A229,"")</f>
        <v/>
      </c>
      <c r="B3577">
        <f>IF(A3577="","",'Employees'!C19)</f>
        <v/>
      </c>
      <c r="C3577">
        <f>IF(A3577="","",'Employees'!D19)</f>
        <v/>
      </c>
      <c r="D3577">
        <f>IF(A3577="","",'Skill Matrix'!C229)</f>
        <v/>
      </c>
      <c r="E3577">
        <f>IF(A3577="","",'Skill Matrix'!D229)</f>
        <v/>
      </c>
      <c r="F3577">
        <f>IF(AND('Skill Matrix'!A229&lt;&gt;"",'Skill Matrix'!L5&lt;&gt;""),'Skill Matrix'!L5,"")</f>
        <v/>
      </c>
      <c r="G3577">
        <f>IF(OR(A3577="",'Skill Matrix'!L229=""),"",'Skill Matrix'!L229)</f>
        <v/>
      </c>
      <c r="H3577">
        <f>IF(A3577="","",'Employees'!F19)</f>
        <v/>
      </c>
    </row>
    <row r="3578">
      <c r="A3578">
        <f>IF(AND('Skill Matrix'!A229&lt;&gt;"",'Skill Matrix'!M5&lt;&gt;""),'Skill Matrix'!A229,"")</f>
        <v/>
      </c>
      <c r="B3578">
        <f>IF(A3578="","",'Employees'!C19)</f>
        <v/>
      </c>
      <c r="C3578">
        <f>IF(A3578="","",'Employees'!D19)</f>
        <v/>
      </c>
      <c r="D3578">
        <f>IF(A3578="","",'Skill Matrix'!C229)</f>
        <v/>
      </c>
      <c r="E3578">
        <f>IF(A3578="","",'Skill Matrix'!D229)</f>
        <v/>
      </c>
      <c r="F3578">
        <f>IF(AND('Skill Matrix'!A229&lt;&gt;"",'Skill Matrix'!M5&lt;&gt;""),'Skill Matrix'!M5,"")</f>
        <v/>
      </c>
      <c r="G3578">
        <f>IF(OR(A3578="",'Skill Matrix'!M229=""),"",'Skill Matrix'!M229)</f>
        <v/>
      </c>
      <c r="H3578">
        <f>IF(A3578="","",'Employees'!F19)</f>
        <v/>
      </c>
    </row>
    <row r="3579">
      <c r="A3579">
        <f>IF(AND('Skill Matrix'!A229&lt;&gt;"",'Skill Matrix'!N5&lt;&gt;""),'Skill Matrix'!A229,"")</f>
        <v/>
      </c>
      <c r="B3579">
        <f>IF(A3579="","",'Employees'!C19)</f>
        <v/>
      </c>
      <c r="C3579">
        <f>IF(A3579="","",'Employees'!D19)</f>
        <v/>
      </c>
      <c r="D3579">
        <f>IF(A3579="","",'Skill Matrix'!C229)</f>
        <v/>
      </c>
      <c r="E3579">
        <f>IF(A3579="","",'Skill Matrix'!D229)</f>
        <v/>
      </c>
      <c r="F3579">
        <f>IF(AND('Skill Matrix'!A229&lt;&gt;"",'Skill Matrix'!N5&lt;&gt;""),'Skill Matrix'!N5,"")</f>
        <v/>
      </c>
      <c r="G3579">
        <f>IF(OR(A3579="",'Skill Matrix'!N229=""),"",'Skill Matrix'!N229)</f>
        <v/>
      </c>
      <c r="H3579">
        <f>IF(A3579="","",'Employees'!F19)</f>
        <v/>
      </c>
    </row>
    <row r="3580">
      <c r="A3580">
        <f>IF(AND('Skill Matrix'!A229&lt;&gt;"",'Skill Matrix'!O5&lt;&gt;""),'Skill Matrix'!A229,"")</f>
        <v/>
      </c>
      <c r="B3580">
        <f>IF(A3580="","",'Employees'!C19)</f>
        <v/>
      </c>
      <c r="C3580">
        <f>IF(A3580="","",'Employees'!D19)</f>
        <v/>
      </c>
      <c r="D3580">
        <f>IF(A3580="","",'Skill Matrix'!C229)</f>
        <v/>
      </c>
      <c r="E3580">
        <f>IF(A3580="","",'Skill Matrix'!D229)</f>
        <v/>
      </c>
      <c r="F3580">
        <f>IF(AND('Skill Matrix'!A229&lt;&gt;"",'Skill Matrix'!O5&lt;&gt;""),'Skill Matrix'!O5,"")</f>
        <v/>
      </c>
      <c r="G3580">
        <f>IF(OR(A3580="",'Skill Matrix'!O229=""),"",'Skill Matrix'!O229)</f>
        <v/>
      </c>
      <c r="H3580">
        <f>IF(A3580="","",'Employees'!F19)</f>
        <v/>
      </c>
    </row>
    <row r="3581">
      <c r="A3581">
        <f>IF(AND('Skill Matrix'!A229&lt;&gt;"",'Skill Matrix'!P5&lt;&gt;""),'Skill Matrix'!A229,"")</f>
        <v/>
      </c>
      <c r="B3581">
        <f>IF(A3581="","",'Employees'!C19)</f>
        <v/>
      </c>
      <c r="C3581">
        <f>IF(A3581="","",'Employees'!D19)</f>
        <v/>
      </c>
      <c r="D3581">
        <f>IF(A3581="","",'Skill Matrix'!C229)</f>
        <v/>
      </c>
      <c r="E3581">
        <f>IF(A3581="","",'Skill Matrix'!D229)</f>
        <v/>
      </c>
      <c r="F3581">
        <f>IF(AND('Skill Matrix'!A229&lt;&gt;"",'Skill Matrix'!P5&lt;&gt;""),'Skill Matrix'!P5,"")</f>
        <v/>
      </c>
      <c r="G3581">
        <f>IF(OR(A3581="",'Skill Matrix'!P229=""),"",'Skill Matrix'!P229)</f>
        <v/>
      </c>
      <c r="H3581">
        <f>IF(A3581="","",'Employees'!F19)</f>
        <v/>
      </c>
    </row>
    <row r="3582">
      <c r="A3582">
        <f>IF(AND('Skill Matrix'!A229&lt;&gt;"",'Skill Matrix'!Q5&lt;&gt;""),'Skill Matrix'!A229,"")</f>
        <v/>
      </c>
      <c r="B3582">
        <f>IF(A3582="","",'Employees'!C19)</f>
        <v/>
      </c>
      <c r="C3582">
        <f>IF(A3582="","",'Employees'!D19)</f>
        <v/>
      </c>
      <c r="D3582">
        <f>IF(A3582="","",'Skill Matrix'!C229)</f>
        <v/>
      </c>
      <c r="E3582">
        <f>IF(A3582="","",'Skill Matrix'!D229)</f>
        <v/>
      </c>
      <c r="F3582">
        <f>IF(AND('Skill Matrix'!A229&lt;&gt;"",'Skill Matrix'!Q5&lt;&gt;""),'Skill Matrix'!Q5,"")</f>
        <v/>
      </c>
      <c r="G3582">
        <f>IF(OR(A3582="",'Skill Matrix'!Q229=""),"",'Skill Matrix'!Q229)</f>
        <v/>
      </c>
      <c r="H3582">
        <f>IF(A3582="","",'Employees'!F19)</f>
        <v/>
      </c>
    </row>
    <row r="3583">
      <c r="A3583">
        <f>IF(AND('Skill Matrix'!A229&lt;&gt;"",'Skill Matrix'!R5&lt;&gt;""),'Skill Matrix'!A229,"")</f>
        <v/>
      </c>
      <c r="B3583">
        <f>IF(A3583="","",'Employees'!C19)</f>
        <v/>
      </c>
      <c r="C3583">
        <f>IF(A3583="","",'Employees'!D19)</f>
        <v/>
      </c>
      <c r="D3583">
        <f>IF(A3583="","",'Skill Matrix'!C229)</f>
        <v/>
      </c>
      <c r="E3583">
        <f>IF(A3583="","",'Skill Matrix'!D229)</f>
        <v/>
      </c>
      <c r="F3583">
        <f>IF(AND('Skill Matrix'!A229&lt;&gt;"",'Skill Matrix'!R5&lt;&gt;""),'Skill Matrix'!R5,"")</f>
        <v/>
      </c>
      <c r="G3583">
        <f>IF(OR(A3583="",'Skill Matrix'!R229=""),"",'Skill Matrix'!R229)</f>
        <v/>
      </c>
      <c r="H3583">
        <f>IF(A3583="","",'Employees'!F19)</f>
        <v/>
      </c>
    </row>
    <row r="3584">
      <c r="A3584">
        <f>IF(AND('Skill Matrix'!A229&lt;&gt;"",'Skill Matrix'!S5&lt;&gt;""),'Skill Matrix'!A229,"")</f>
        <v/>
      </c>
      <c r="B3584">
        <f>IF(A3584="","",'Employees'!C19)</f>
        <v/>
      </c>
      <c r="C3584">
        <f>IF(A3584="","",'Employees'!D19)</f>
        <v/>
      </c>
      <c r="D3584">
        <f>IF(A3584="","",'Skill Matrix'!C229)</f>
        <v/>
      </c>
      <c r="E3584">
        <f>IF(A3584="","",'Skill Matrix'!D229)</f>
        <v/>
      </c>
      <c r="F3584">
        <f>IF(AND('Skill Matrix'!A229&lt;&gt;"",'Skill Matrix'!S5&lt;&gt;""),'Skill Matrix'!S5,"")</f>
        <v/>
      </c>
      <c r="G3584">
        <f>IF(OR(A3584="",'Skill Matrix'!S229=""),"",'Skill Matrix'!S229)</f>
        <v/>
      </c>
      <c r="H3584">
        <f>IF(A3584="","",'Employees'!F19)</f>
        <v/>
      </c>
    </row>
    <row r="3585">
      <c r="A3585">
        <f>IF(AND('Skill Matrix'!A229&lt;&gt;"",'Skill Matrix'!T5&lt;&gt;""),'Skill Matrix'!A229,"")</f>
        <v/>
      </c>
      <c r="B3585">
        <f>IF(A3585="","",'Employees'!C19)</f>
        <v/>
      </c>
      <c r="C3585">
        <f>IF(A3585="","",'Employees'!D19)</f>
        <v/>
      </c>
      <c r="D3585">
        <f>IF(A3585="","",'Skill Matrix'!C229)</f>
        <v/>
      </c>
      <c r="E3585">
        <f>IF(A3585="","",'Skill Matrix'!D229)</f>
        <v/>
      </c>
      <c r="F3585">
        <f>IF(AND('Skill Matrix'!A229&lt;&gt;"",'Skill Matrix'!T5&lt;&gt;""),'Skill Matrix'!T5,"")</f>
        <v/>
      </c>
      <c r="G3585">
        <f>IF(OR(A3585="",'Skill Matrix'!T229=""),"",'Skill Matrix'!T229)</f>
        <v/>
      </c>
      <c r="H3585">
        <f>IF(A3585="","",'Employees'!F19)</f>
        <v/>
      </c>
    </row>
    <row r="3586">
      <c r="A3586">
        <f>IF(AND('Skill Matrix'!A230&lt;&gt;"",'Skill Matrix'!E5&lt;&gt;""),'Skill Matrix'!A230,"")</f>
        <v/>
      </c>
      <c r="B3586">
        <f>IF(A3586="","",'Employees'!C20)</f>
        <v/>
      </c>
      <c r="C3586">
        <f>IF(A3586="","",'Employees'!D20)</f>
        <v/>
      </c>
      <c r="D3586">
        <f>IF(A3586="","",'Skill Matrix'!C230)</f>
        <v/>
      </c>
      <c r="E3586">
        <f>IF(A3586="","",'Skill Matrix'!D230)</f>
        <v/>
      </c>
      <c r="F3586">
        <f>IF(AND('Skill Matrix'!A230&lt;&gt;"",'Skill Matrix'!E5&lt;&gt;""),'Skill Matrix'!E5,"")</f>
        <v/>
      </c>
      <c r="G3586">
        <f>IF(OR(A3586="",'Skill Matrix'!E230=""),"",'Skill Matrix'!E230)</f>
        <v/>
      </c>
      <c r="H3586">
        <f>IF(A3586="","",'Employees'!F20)</f>
        <v/>
      </c>
    </row>
    <row r="3587">
      <c r="A3587">
        <f>IF(AND('Skill Matrix'!A230&lt;&gt;"",'Skill Matrix'!F5&lt;&gt;""),'Skill Matrix'!A230,"")</f>
        <v/>
      </c>
      <c r="B3587">
        <f>IF(A3587="","",'Employees'!C20)</f>
        <v/>
      </c>
      <c r="C3587">
        <f>IF(A3587="","",'Employees'!D20)</f>
        <v/>
      </c>
      <c r="D3587">
        <f>IF(A3587="","",'Skill Matrix'!C230)</f>
        <v/>
      </c>
      <c r="E3587">
        <f>IF(A3587="","",'Skill Matrix'!D230)</f>
        <v/>
      </c>
      <c r="F3587">
        <f>IF(AND('Skill Matrix'!A230&lt;&gt;"",'Skill Matrix'!F5&lt;&gt;""),'Skill Matrix'!F5,"")</f>
        <v/>
      </c>
      <c r="G3587">
        <f>IF(OR(A3587="",'Skill Matrix'!F230=""),"",'Skill Matrix'!F230)</f>
        <v/>
      </c>
      <c r="H3587">
        <f>IF(A3587="","",'Employees'!F20)</f>
        <v/>
      </c>
    </row>
    <row r="3588">
      <c r="A3588">
        <f>IF(AND('Skill Matrix'!A230&lt;&gt;"",'Skill Matrix'!G5&lt;&gt;""),'Skill Matrix'!A230,"")</f>
        <v/>
      </c>
      <c r="B3588">
        <f>IF(A3588="","",'Employees'!C20)</f>
        <v/>
      </c>
      <c r="C3588">
        <f>IF(A3588="","",'Employees'!D20)</f>
        <v/>
      </c>
      <c r="D3588">
        <f>IF(A3588="","",'Skill Matrix'!C230)</f>
        <v/>
      </c>
      <c r="E3588">
        <f>IF(A3588="","",'Skill Matrix'!D230)</f>
        <v/>
      </c>
      <c r="F3588">
        <f>IF(AND('Skill Matrix'!A230&lt;&gt;"",'Skill Matrix'!G5&lt;&gt;""),'Skill Matrix'!G5,"")</f>
        <v/>
      </c>
      <c r="G3588">
        <f>IF(OR(A3588="",'Skill Matrix'!G230=""),"",'Skill Matrix'!G230)</f>
        <v/>
      </c>
      <c r="H3588">
        <f>IF(A3588="","",'Employees'!F20)</f>
        <v/>
      </c>
    </row>
    <row r="3589">
      <c r="A3589">
        <f>IF(AND('Skill Matrix'!A230&lt;&gt;"",'Skill Matrix'!H5&lt;&gt;""),'Skill Matrix'!A230,"")</f>
        <v/>
      </c>
      <c r="B3589">
        <f>IF(A3589="","",'Employees'!C20)</f>
        <v/>
      </c>
      <c r="C3589">
        <f>IF(A3589="","",'Employees'!D20)</f>
        <v/>
      </c>
      <c r="D3589">
        <f>IF(A3589="","",'Skill Matrix'!C230)</f>
        <v/>
      </c>
      <c r="E3589">
        <f>IF(A3589="","",'Skill Matrix'!D230)</f>
        <v/>
      </c>
      <c r="F3589">
        <f>IF(AND('Skill Matrix'!A230&lt;&gt;"",'Skill Matrix'!H5&lt;&gt;""),'Skill Matrix'!H5,"")</f>
        <v/>
      </c>
      <c r="G3589">
        <f>IF(OR(A3589="",'Skill Matrix'!H230=""),"",'Skill Matrix'!H230)</f>
        <v/>
      </c>
      <c r="H3589">
        <f>IF(A3589="","",'Employees'!F20)</f>
        <v/>
      </c>
    </row>
    <row r="3590">
      <c r="A3590">
        <f>IF(AND('Skill Matrix'!A230&lt;&gt;"",'Skill Matrix'!I5&lt;&gt;""),'Skill Matrix'!A230,"")</f>
        <v/>
      </c>
      <c r="B3590">
        <f>IF(A3590="","",'Employees'!C20)</f>
        <v/>
      </c>
      <c r="C3590">
        <f>IF(A3590="","",'Employees'!D20)</f>
        <v/>
      </c>
      <c r="D3590">
        <f>IF(A3590="","",'Skill Matrix'!C230)</f>
        <v/>
      </c>
      <c r="E3590">
        <f>IF(A3590="","",'Skill Matrix'!D230)</f>
        <v/>
      </c>
      <c r="F3590">
        <f>IF(AND('Skill Matrix'!A230&lt;&gt;"",'Skill Matrix'!I5&lt;&gt;""),'Skill Matrix'!I5,"")</f>
        <v/>
      </c>
      <c r="G3590">
        <f>IF(OR(A3590="",'Skill Matrix'!I230=""),"",'Skill Matrix'!I230)</f>
        <v/>
      </c>
      <c r="H3590">
        <f>IF(A3590="","",'Employees'!F20)</f>
        <v/>
      </c>
    </row>
    <row r="3591">
      <c r="A3591">
        <f>IF(AND('Skill Matrix'!A230&lt;&gt;"",'Skill Matrix'!J5&lt;&gt;""),'Skill Matrix'!A230,"")</f>
        <v/>
      </c>
      <c r="B3591">
        <f>IF(A3591="","",'Employees'!C20)</f>
        <v/>
      </c>
      <c r="C3591">
        <f>IF(A3591="","",'Employees'!D20)</f>
        <v/>
      </c>
      <c r="D3591">
        <f>IF(A3591="","",'Skill Matrix'!C230)</f>
        <v/>
      </c>
      <c r="E3591">
        <f>IF(A3591="","",'Skill Matrix'!D230)</f>
        <v/>
      </c>
      <c r="F3591">
        <f>IF(AND('Skill Matrix'!A230&lt;&gt;"",'Skill Matrix'!J5&lt;&gt;""),'Skill Matrix'!J5,"")</f>
        <v/>
      </c>
      <c r="G3591">
        <f>IF(OR(A3591="",'Skill Matrix'!J230=""),"",'Skill Matrix'!J230)</f>
        <v/>
      </c>
      <c r="H3591">
        <f>IF(A3591="","",'Employees'!F20)</f>
        <v/>
      </c>
    </row>
    <row r="3592">
      <c r="A3592">
        <f>IF(AND('Skill Matrix'!A230&lt;&gt;"",'Skill Matrix'!K5&lt;&gt;""),'Skill Matrix'!A230,"")</f>
        <v/>
      </c>
      <c r="B3592">
        <f>IF(A3592="","",'Employees'!C20)</f>
        <v/>
      </c>
      <c r="C3592">
        <f>IF(A3592="","",'Employees'!D20)</f>
        <v/>
      </c>
      <c r="D3592">
        <f>IF(A3592="","",'Skill Matrix'!C230)</f>
        <v/>
      </c>
      <c r="E3592">
        <f>IF(A3592="","",'Skill Matrix'!D230)</f>
        <v/>
      </c>
      <c r="F3592">
        <f>IF(AND('Skill Matrix'!A230&lt;&gt;"",'Skill Matrix'!K5&lt;&gt;""),'Skill Matrix'!K5,"")</f>
        <v/>
      </c>
      <c r="G3592">
        <f>IF(OR(A3592="",'Skill Matrix'!K230=""),"",'Skill Matrix'!K230)</f>
        <v/>
      </c>
      <c r="H3592">
        <f>IF(A3592="","",'Employees'!F20)</f>
        <v/>
      </c>
    </row>
    <row r="3593">
      <c r="A3593">
        <f>IF(AND('Skill Matrix'!A230&lt;&gt;"",'Skill Matrix'!L5&lt;&gt;""),'Skill Matrix'!A230,"")</f>
        <v/>
      </c>
      <c r="B3593">
        <f>IF(A3593="","",'Employees'!C20)</f>
        <v/>
      </c>
      <c r="C3593">
        <f>IF(A3593="","",'Employees'!D20)</f>
        <v/>
      </c>
      <c r="D3593">
        <f>IF(A3593="","",'Skill Matrix'!C230)</f>
        <v/>
      </c>
      <c r="E3593">
        <f>IF(A3593="","",'Skill Matrix'!D230)</f>
        <v/>
      </c>
      <c r="F3593">
        <f>IF(AND('Skill Matrix'!A230&lt;&gt;"",'Skill Matrix'!L5&lt;&gt;""),'Skill Matrix'!L5,"")</f>
        <v/>
      </c>
      <c r="G3593">
        <f>IF(OR(A3593="",'Skill Matrix'!L230=""),"",'Skill Matrix'!L230)</f>
        <v/>
      </c>
      <c r="H3593">
        <f>IF(A3593="","",'Employees'!F20)</f>
        <v/>
      </c>
    </row>
    <row r="3594">
      <c r="A3594">
        <f>IF(AND('Skill Matrix'!A230&lt;&gt;"",'Skill Matrix'!M5&lt;&gt;""),'Skill Matrix'!A230,"")</f>
        <v/>
      </c>
      <c r="B3594">
        <f>IF(A3594="","",'Employees'!C20)</f>
        <v/>
      </c>
      <c r="C3594">
        <f>IF(A3594="","",'Employees'!D20)</f>
        <v/>
      </c>
      <c r="D3594">
        <f>IF(A3594="","",'Skill Matrix'!C230)</f>
        <v/>
      </c>
      <c r="E3594">
        <f>IF(A3594="","",'Skill Matrix'!D230)</f>
        <v/>
      </c>
      <c r="F3594">
        <f>IF(AND('Skill Matrix'!A230&lt;&gt;"",'Skill Matrix'!M5&lt;&gt;""),'Skill Matrix'!M5,"")</f>
        <v/>
      </c>
      <c r="G3594">
        <f>IF(OR(A3594="",'Skill Matrix'!M230=""),"",'Skill Matrix'!M230)</f>
        <v/>
      </c>
      <c r="H3594">
        <f>IF(A3594="","",'Employees'!F20)</f>
        <v/>
      </c>
    </row>
    <row r="3595">
      <c r="A3595">
        <f>IF(AND('Skill Matrix'!A230&lt;&gt;"",'Skill Matrix'!N5&lt;&gt;""),'Skill Matrix'!A230,"")</f>
        <v/>
      </c>
      <c r="B3595">
        <f>IF(A3595="","",'Employees'!C20)</f>
        <v/>
      </c>
      <c r="C3595">
        <f>IF(A3595="","",'Employees'!D20)</f>
        <v/>
      </c>
      <c r="D3595">
        <f>IF(A3595="","",'Skill Matrix'!C230)</f>
        <v/>
      </c>
      <c r="E3595">
        <f>IF(A3595="","",'Skill Matrix'!D230)</f>
        <v/>
      </c>
      <c r="F3595">
        <f>IF(AND('Skill Matrix'!A230&lt;&gt;"",'Skill Matrix'!N5&lt;&gt;""),'Skill Matrix'!N5,"")</f>
        <v/>
      </c>
      <c r="G3595">
        <f>IF(OR(A3595="",'Skill Matrix'!N230=""),"",'Skill Matrix'!N230)</f>
        <v/>
      </c>
      <c r="H3595">
        <f>IF(A3595="","",'Employees'!F20)</f>
        <v/>
      </c>
    </row>
    <row r="3596">
      <c r="A3596">
        <f>IF(AND('Skill Matrix'!A230&lt;&gt;"",'Skill Matrix'!O5&lt;&gt;""),'Skill Matrix'!A230,"")</f>
        <v/>
      </c>
      <c r="B3596">
        <f>IF(A3596="","",'Employees'!C20)</f>
        <v/>
      </c>
      <c r="C3596">
        <f>IF(A3596="","",'Employees'!D20)</f>
        <v/>
      </c>
      <c r="D3596">
        <f>IF(A3596="","",'Skill Matrix'!C230)</f>
        <v/>
      </c>
      <c r="E3596">
        <f>IF(A3596="","",'Skill Matrix'!D230)</f>
        <v/>
      </c>
      <c r="F3596">
        <f>IF(AND('Skill Matrix'!A230&lt;&gt;"",'Skill Matrix'!O5&lt;&gt;""),'Skill Matrix'!O5,"")</f>
        <v/>
      </c>
      <c r="G3596">
        <f>IF(OR(A3596="",'Skill Matrix'!O230=""),"",'Skill Matrix'!O230)</f>
        <v/>
      </c>
      <c r="H3596">
        <f>IF(A3596="","",'Employees'!F20)</f>
        <v/>
      </c>
    </row>
    <row r="3597">
      <c r="A3597">
        <f>IF(AND('Skill Matrix'!A230&lt;&gt;"",'Skill Matrix'!P5&lt;&gt;""),'Skill Matrix'!A230,"")</f>
        <v/>
      </c>
      <c r="B3597">
        <f>IF(A3597="","",'Employees'!C20)</f>
        <v/>
      </c>
      <c r="C3597">
        <f>IF(A3597="","",'Employees'!D20)</f>
        <v/>
      </c>
      <c r="D3597">
        <f>IF(A3597="","",'Skill Matrix'!C230)</f>
        <v/>
      </c>
      <c r="E3597">
        <f>IF(A3597="","",'Skill Matrix'!D230)</f>
        <v/>
      </c>
      <c r="F3597">
        <f>IF(AND('Skill Matrix'!A230&lt;&gt;"",'Skill Matrix'!P5&lt;&gt;""),'Skill Matrix'!P5,"")</f>
        <v/>
      </c>
      <c r="G3597">
        <f>IF(OR(A3597="",'Skill Matrix'!P230=""),"",'Skill Matrix'!P230)</f>
        <v/>
      </c>
      <c r="H3597">
        <f>IF(A3597="","",'Employees'!F20)</f>
        <v/>
      </c>
    </row>
    <row r="3598">
      <c r="A3598">
        <f>IF(AND('Skill Matrix'!A230&lt;&gt;"",'Skill Matrix'!Q5&lt;&gt;""),'Skill Matrix'!A230,"")</f>
        <v/>
      </c>
      <c r="B3598">
        <f>IF(A3598="","",'Employees'!C20)</f>
        <v/>
      </c>
      <c r="C3598">
        <f>IF(A3598="","",'Employees'!D20)</f>
        <v/>
      </c>
      <c r="D3598">
        <f>IF(A3598="","",'Skill Matrix'!C230)</f>
        <v/>
      </c>
      <c r="E3598">
        <f>IF(A3598="","",'Skill Matrix'!D230)</f>
        <v/>
      </c>
      <c r="F3598">
        <f>IF(AND('Skill Matrix'!A230&lt;&gt;"",'Skill Matrix'!Q5&lt;&gt;""),'Skill Matrix'!Q5,"")</f>
        <v/>
      </c>
      <c r="G3598">
        <f>IF(OR(A3598="",'Skill Matrix'!Q230=""),"",'Skill Matrix'!Q230)</f>
        <v/>
      </c>
      <c r="H3598">
        <f>IF(A3598="","",'Employees'!F20)</f>
        <v/>
      </c>
    </row>
    <row r="3599">
      <c r="A3599">
        <f>IF(AND('Skill Matrix'!A230&lt;&gt;"",'Skill Matrix'!R5&lt;&gt;""),'Skill Matrix'!A230,"")</f>
        <v/>
      </c>
      <c r="B3599">
        <f>IF(A3599="","",'Employees'!C20)</f>
        <v/>
      </c>
      <c r="C3599">
        <f>IF(A3599="","",'Employees'!D20)</f>
        <v/>
      </c>
      <c r="D3599">
        <f>IF(A3599="","",'Skill Matrix'!C230)</f>
        <v/>
      </c>
      <c r="E3599">
        <f>IF(A3599="","",'Skill Matrix'!D230)</f>
        <v/>
      </c>
      <c r="F3599">
        <f>IF(AND('Skill Matrix'!A230&lt;&gt;"",'Skill Matrix'!R5&lt;&gt;""),'Skill Matrix'!R5,"")</f>
        <v/>
      </c>
      <c r="G3599">
        <f>IF(OR(A3599="",'Skill Matrix'!R230=""),"",'Skill Matrix'!R230)</f>
        <v/>
      </c>
      <c r="H3599">
        <f>IF(A3599="","",'Employees'!F20)</f>
        <v/>
      </c>
    </row>
    <row r="3600">
      <c r="A3600">
        <f>IF(AND('Skill Matrix'!A230&lt;&gt;"",'Skill Matrix'!S5&lt;&gt;""),'Skill Matrix'!A230,"")</f>
        <v/>
      </c>
      <c r="B3600">
        <f>IF(A3600="","",'Employees'!C20)</f>
        <v/>
      </c>
      <c r="C3600">
        <f>IF(A3600="","",'Employees'!D20)</f>
        <v/>
      </c>
      <c r="D3600">
        <f>IF(A3600="","",'Skill Matrix'!C230)</f>
        <v/>
      </c>
      <c r="E3600">
        <f>IF(A3600="","",'Skill Matrix'!D230)</f>
        <v/>
      </c>
      <c r="F3600">
        <f>IF(AND('Skill Matrix'!A230&lt;&gt;"",'Skill Matrix'!S5&lt;&gt;""),'Skill Matrix'!S5,"")</f>
        <v/>
      </c>
      <c r="G3600">
        <f>IF(OR(A3600="",'Skill Matrix'!S230=""),"",'Skill Matrix'!S230)</f>
        <v/>
      </c>
      <c r="H3600">
        <f>IF(A3600="","",'Employees'!F20)</f>
        <v/>
      </c>
    </row>
    <row r="3601">
      <c r="A3601">
        <f>IF(AND('Skill Matrix'!A230&lt;&gt;"",'Skill Matrix'!T5&lt;&gt;""),'Skill Matrix'!A230,"")</f>
        <v/>
      </c>
      <c r="B3601">
        <f>IF(A3601="","",'Employees'!C20)</f>
        <v/>
      </c>
      <c r="C3601">
        <f>IF(A3601="","",'Employees'!D20)</f>
        <v/>
      </c>
      <c r="D3601">
        <f>IF(A3601="","",'Skill Matrix'!C230)</f>
        <v/>
      </c>
      <c r="E3601">
        <f>IF(A3601="","",'Skill Matrix'!D230)</f>
        <v/>
      </c>
      <c r="F3601">
        <f>IF(AND('Skill Matrix'!A230&lt;&gt;"",'Skill Matrix'!T5&lt;&gt;""),'Skill Matrix'!T5,"")</f>
        <v/>
      </c>
      <c r="G3601">
        <f>IF(OR(A3601="",'Skill Matrix'!T230=""),"",'Skill Matrix'!T230)</f>
        <v/>
      </c>
      <c r="H3601">
        <f>IF(A3601="","",'Employees'!F20)</f>
        <v/>
      </c>
    </row>
    <row r="3602">
      <c r="A3602">
        <f>IF(AND('Skill Matrix'!A231&lt;&gt;"",'Skill Matrix'!E5&lt;&gt;""),'Skill Matrix'!A231,"")</f>
        <v/>
      </c>
      <c r="B3602">
        <f>IF(A3602="","",'Employees'!C20)</f>
        <v/>
      </c>
      <c r="C3602">
        <f>IF(A3602="","",'Employees'!D20)</f>
        <v/>
      </c>
      <c r="D3602">
        <f>IF(A3602="","",'Skill Matrix'!C231)</f>
        <v/>
      </c>
      <c r="E3602">
        <f>IF(A3602="","",'Skill Matrix'!D231)</f>
        <v/>
      </c>
      <c r="F3602">
        <f>IF(AND('Skill Matrix'!A231&lt;&gt;"",'Skill Matrix'!E5&lt;&gt;""),'Skill Matrix'!E5,"")</f>
        <v/>
      </c>
      <c r="G3602">
        <f>IF(OR(A3602="",'Skill Matrix'!E231=""),"",'Skill Matrix'!E231)</f>
        <v/>
      </c>
      <c r="H3602">
        <f>IF(A3602="","",'Employees'!F20)</f>
        <v/>
      </c>
    </row>
    <row r="3603">
      <c r="A3603">
        <f>IF(AND('Skill Matrix'!A231&lt;&gt;"",'Skill Matrix'!F5&lt;&gt;""),'Skill Matrix'!A231,"")</f>
        <v/>
      </c>
      <c r="B3603">
        <f>IF(A3603="","",'Employees'!C20)</f>
        <v/>
      </c>
      <c r="C3603">
        <f>IF(A3603="","",'Employees'!D20)</f>
        <v/>
      </c>
      <c r="D3603">
        <f>IF(A3603="","",'Skill Matrix'!C231)</f>
        <v/>
      </c>
      <c r="E3603">
        <f>IF(A3603="","",'Skill Matrix'!D231)</f>
        <v/>
      </c>
      <c r="F3603">
        <f>IF(AND('Skill Matrix'!A231&lt;&gt;"",'Skill Matrix'!F5&lt;&gt;""),'Skill Matrix'!F5,"")</f>
        <v/>
      </c>
      <c r="G3603">
        <f>IF(OR(A3603="",'Skill Matrix'!F231=""),"",'Skill Matrix'!F231)</f>
        <v/>
      </c>
      <c r="H3603">
        <f>IF(A3603="","",'Employees'!F20)</f>
        <v/>
      </c>
    </row>
    <row r="3604">
      <c r="A3604">
        <f>IF(AND('Skill Matrix'!A231&lt;&gt;"",'Skill Matrix'!G5&lt;&gt;""),'Skill Matrix'!A231,"")</f>
        <v/>
      </c>
      <c r="B3604">
        <f>IF(A3604="","",'Employees'!C20)</f>
        <v/>
      </c>
      <c r="C3604">
        <f>IF(A3604="","",'Employees'!D20)</f>
        <v/>
      </c>
      <c r="D3604">
        <f>IF(A3604="","",'Skill Matrix'!C231)</f>
        <v/>
      </c>
      <c r="E3604">
        <f>IF(A3604="","",'Skill Matrix'!D231)</f>
        <v/>
      </c>
      <c r="F3604">
        <f>IF(AND('Skill Matrix'!A231&lt;&gt;"",'Skill Matrix'!G5&lt;&gt;""),'Skill Matrix'!G5,"")</f>
        <v/>
      </c>
      <c r="G3604">
        <f>IF(OR(A3604="",'Skill Matrix'!G231=""),"",'Skill Matrix'!G231)</f>
        <v/>
      </c>
      <c r="H3604">
        <f>IF(A3604="","",'Employees'!F20)</f>
        <v/>
      </c>
    </row>
    <row r="3605">
      <c r="A3605">
        <f>IF(AND('Skill Matrix'!A231&lt;&gt;"",'Skill Matrix'!H5&lt;&gt;""),'Skill Matrix'!A231,"")</f>
        <v/>
      </c>
      <c r="B3605">
        <f>IF(A3605="","",'Employees'!C20)</f>
        <v/>
      </c>
      <c r="C3605">
        <f>IF(A3605="","",'Employees'!D20)</f>
        <v/>
      </c>
      <c r="D3605">
        <f>IF(A3605="","",'Skill Matrix'!C231)</f>
        <v/>
      </c>
      <c r="E3605">
        <f>IF(A3605="","",'Skill Matrix'!D231)</f>
        <v/>
      </c>
      <c r="F3605">
        <f>IF(AND('Skill Matrix'!A231&lt;&gt;"",'Skill Matrix'!H5&lt;&gt;""),'Skill Matrix'!H5,"")</f>
        <v/>
      </c>
      <c r="G3605">
        <f>IF(OR(A3605="",'Skill Matrix'!H231=""),"",'Skill Matrix'!H231)</f>
        <v/>
      </c>
      <c r="H3605">
        <f>IF(A3605="","",'Employees'!F20)</f>
        <v/>
      </c>
    </row>
    <row r="3606">
      <c r="A3606">
        <f>IF(AND('Skill Matrix'!A231&lt;&gt;"",'Skill Matrix'!I5&lt;&gt;""),'Skill Matrix'!A231,"")</f>
        <v/>
      </c>
      <c r="B3606">
        <f>IF(A3606="","",'Employees'!C20)</f>
        <v/>
      </c>
      <c r="C3606">
        <f>IF(A3606="","",'Employees'!D20)</f>
        <v/>
      </c>
      <c r="D3606">
        <f>IF(A3606="","",'Skill Matrix'!C231)</f>
        <v/>
      </c>
      <c r="E3606">
        <f>IF(A3606="","",'Skill Matrix'!D231)</f>
        <v/>
      </c>
      <c r="F3606">
        <f>IF(AND('Skill Matrix'!A231&lt;&gt;"",'Skill Matrix'!I5&lt;&gt;""),'Skill Matrix'!I5,"")</f>
        <v/>
      </c>
      <c r="G3606">
        <f>IF(OR(A3606="",'Skill Matrix'!I231=""),"",'Skill Matrix'!I231)</f>
        <v/>
      </c>
      <c r="H3606">
        <f>IF(A3606="","",'Employees'!F20)</f>
        <v/>
      </c>
    </row>
    <row r="3607">
      <c r="A3607">
        <f>IF(AND('Skill Matrix'!A231&lt;&gt;"",'Skill Matrix'!J5&lt;&gt;""),'Skill Matrix'!A231,"")</f>
        <v/>
      </c>
      <c r="B3607">
        <f>IF(A3607="","",'Employees'!C20)</f>
        <v/>
      </c>
      <c r="C3607">
        <f>IF(A3607="","",'Employees'!D20)</f>
        <v/>
      </c>
      <c r="D3607">
        <f>IF(A3607="","",'Skill Matrix'!C231)</f>
        <v/>
      </c>
      <c r="E3607">
        <f>IF(A3607="","",'Skill Matrix'!D231)</f>
        <v/>
      </c>
      <c r="F3607">
        <f>IF(AND('Skill Matrix'!A231&lt;&gt;"",'Skill Matrix'!J5&lt;&gt;""),'Skill Matrix'!J5,"")</f>
        <v/>
      </c>
      <c r="G3607">
        <f>IF(OR(A3607="",'Skill Matrix'!J231=""),"",'Skill Matrix'!J231)</f>
        <v/>
      </c>
      <c r="H3607">
        <f>IF(A3607="","",'Employees'!F20)</f>
        <v/>
      </c>
    </row>
    <row r="3608">
      <c r="A3608">
        <f>IF(AND('Skill Matrix'!A231&lt;&gt;"",'Skill Matrix'!K5&lt;&gt;""),'Skill Matrix'!A231,"")</f>
        <v/>
      </c>
      <c r="B3608">
        <f>IF(A3608="","",'Employees'!C20)</f>
        <v/>
      </c>
      <c r="C3608">
        <f>IF(A3608="","",'Employees'!D20)</f>
        <v/>
      </c>
      <c r="D3608">
        <f>IF(A3608="","",'Skill Matrix'!C231)</f>
        <v/>
      </c>
      <c r="E3608">
        <f>IF(A3608="","",'Skill Matrix'!D231)</f>
        <v/>
      </c>
      <c r="F3608">
        <f>IF(AND('Skill Matrix'!A231&lt;&gt;"",'Skill Matrix'!K5&lt;&gt;""),'Skill Matrix'!K5,"")</f>
        <v/>
      </c>
      <c r="G3608">
        <f>IF(OR(A3608="",'Skill Matrix'!K231=""),"",'Skill Matrix'!K231)</f>
        <v/>
      </c>
      <c r="H3608">
        <f>IF(A3608="","",'Employees'!F20)</f>
        <v/>
      </c>
    </row>
    <row r="3609">
      <c r="A3609">
        <f>IF(AND('Skill Matrix'!A231&lt;&gt;"",'Skill Matrix'!L5&lt;&gt;""),'Skill Matrix'!A231,"")</f>
        <v/>
      </c>
      <c r="B3609">
        <f>IF(A3609="","",'Employees'!C20)</f>
        <v/>
      </c>
      <c r="C3609">
        <f>IF(A3609="","",'Employees'!D20)</f>
        <v/>
      </c>
      <c r="D3609">
        <f>IF(A3609="","",'Skill Matrix'!C231)</f>
        <v/>
      </c>
      <c r="E3609">
        <f>IF(A3609="","",'Skill Matrix'!D231)</f>
        <v/>
      </c>
      <c r="F3609">
        <f>IF(AND('Skill Matrix'!A231&lt;&gt;"",'Skill Matrix'!L5&lt;&gt;""),'Skill Matrix'!L5,"")</f>
        <v/>
      </c>
      <c r="G3609">
        <f>IF(OR(A3609="",'Skill Matrix'!L231=""),"",'Skill Matrix'!L231)</f>
        <v/>
      </c>
      <c r="H3609">
        <f>IF(A3609="","",'Employees'!F20)</f>
        <v/>
      </c>
    </row>
    <row r="3610">
      <c r="A3610">
        <f>IF(AND('Skill Matrix'!A231&lt;&gt;"",'Skill Matrix'!M5&lt;&gt;""),'Skill Matrix'!A231,"")</f>
        <v/>
      </c>
      <c r="B3610">
        <f>IF(A3610="","",'Employees'!C20)</f>
        <v/>
      </c>
      <c r="C3610">
        <f>IF(A3610="","",'Employees'!D20)</f>
        <v/>
      </c>
      <c r="D3610">
        <f>IF(A3610="","",'Skill Matrix'!C231)</f>
        <v/>
      </c>
      <c r="E3610">
        <f>IF(A3610="","",'Skill Matrix'!D231)</f>
        <v/>
      </c>
      <c r="F3610">
        <f>IF(AND('Skill Matrix'!A231&lt;&gt;"",'Skill Matrix'!M5&lt;&gt;""),'Skill Matrix'!M5,"")</f>
        <v/>
      </c>
      <c r="G3610">
        <f>IF(OR(A3610="",'Skill Matrix'!M231=""),"",'Skill Matrix'!M231)</f>
        <v/>
      </c>
      <c r="H3610">
        <f>IF(A3610="","",'Employees'!F20)</f>
        <v/>
      </c>
    </row>
    <row r="3611">
      <c r="A3611">
        <f>IF(AND('Skill Matrix'!A231&lt;&gt;"",'Skill Matrix'!N5&lt;&gt;""),'Skill Matrix'!A231,"")</f>
        <v/>
      </c>
      <c r="B3611">
        <f>IF(A3611="","",'Employees'!C20)</f>
        <v/>
      </c>
      <c r="C3611">
        <f>IF(A3611="","",'Employees'!D20)</f>
        <v/>
      </c>
      <c r="D3611">
        <f>IF(A3611="","",'Skill Matrix'!C231)</f>
        <v/>
      </c>
      <c r="E3611">
        <f>IF(A3611="","",'Skill Matrix'!D231)</f>
        <v/>
      </c>
      <c r="F3611">
        <f>IF(AND('Skill Matrix'!A231&lt;&gt;"",'Skill Matrix'!N5&lt;&gt;""),'Skill Matrix'!N5,"")</f>
        <v/>
      </c>
      <c r="G3611">
        <f>IF(OR(A3611="",'Skill Matrix'!N231=""),"",'Skill Matrix'!N231)</f>
        <v/>
      </c>
      <c r="H3611">
        <f>IF(A3611="","",'Employees'!F20)</f>
        <v/>
      </c>
    </row>
    <row r="3612">
      <c r="A3612">
        <f>IF(AND('Skill Matrix'!A231&lt;&gt;"",'Skill Matrix'!O5&lt;&gt;""),'Skill Matrix'!A231,"")</f>
        <v/>
      </c>
      <c r="B3612">
        <f>IF(A3612="","",'Employees'!C20)</f>
        <v/>
      </c>
      <c r="C3612">
        <f>IF(A3612="","",'Employees'!D20)</f>
        <v/>
      </c>
      <c r="D3612">
        <f>IF(A3612="","",'Skill Matrix'!C231)</f>
        <v/>
      </c>
      <c r="E3612">
        <f>IF(A3612="","",'Skill Matrix'!D231)</f>
        <v/>
      </c>
      <c r="F3612">
        <f>IF(AND('Skill Matrix'!A231&lt;&gt;"",'Skill Matrix'!O5&lt;&gt;""),'Skill Matrix'!O5,"")</f>
        <v/>
      </c>
      <c r="G3612">
        <f>IF(OR(A3612="",'Skill Matrix'!O231=""),"",'Skill Matrix'!O231)</f>
        <v/>
      </c>
      <c r="H3612">
        <f>IF(A3612="","",'Employees'!F20)</f>
        <v/>
      </c>
    </row>
    <row r="3613">
      <c r="A3613">
        <f>IF(AND('Skill Matrix'!A231&lt;&gt;"",'Skill Matrix'!P5&lt;&gt;""),'Skill Matrix'!A231,"")</f>
        <v/>
      </c>
      <c r="B3613">
        <f>IF(A3613="","",'Employees'!C20)</f>
        <v/>
      </c>
      <c r="C3613">
        <f>IF(A3613="","",'Employees'!D20)</f>
        <v/>
      </c>
      <c r="D3613">
        <f>IF(A3613="","",'Skill Matrix'!C231)</f>
        <v/>
      </c>
      <c r="E3613">
        <f>IF(A3613="","",'Skill Matrix'!D231)</f>
        <v/>
      </c>
      <c r="F3613">
        <f>IF(AND('Skill Matrix'!A231&lt;&gt;"",'Skill Matrix'!P5&lt;&gt;""),'Skill Matrix'!P5,"")</f>
        <v/>
      </c>
      <c r="G3613">
        <f>IF(OR(A3613="",'Skill Matrix'!P231=""),"",'Skill Matrix'!P231)</f>
        <v/>
      </c>
      <c r="H3613">
        <f>IF(A3613="","",'Employees'!F20)</f>
        <v/>
      </c>
    </row>
    <row r="3614">
      <c r="A3614">
        <f>IF(AND('Skill Matrix'!A231&lt;&gt;"",'Skill Matrix'!Q5&lt;&gt;""),'Skill Matrix'!A231,"")</f>
        <v/>
      </c>
      <c r="B3614">
        <f>IF(A3614="","",'Employees'!C20)</f>
        <v/>
      </c>
      <c r="C3614">
        <f>IF(A3614="","",'Employees'!D20)</f>
        <v/>
      </c>
      <c r="D3614">
        <f>IF(A3614="","",'Skill Matrix'!C231)</f>
        <v/>
      </c>
      <c r="E3614">
        <f>IF(A3614="","",'Skill Matrix'!D231)</f>
        <v/>
      </c>
      <c r="F3614">
        <f>IF(AND('Skill Matrix'!A231&lt;&gt;"",'Skill Matrix'!Q5&lt;&gt;""),'Skill Matrix'!Q5,"")</f>
        <v/>
      </c>
      <c r="G3614">
        <f>IF(OR(A3614="",'Skill Matrix'!Q231=""),"",'Skill Matrix'!Q231)</f>
        <v/>
      </c>
      <c r="H3614">
        <f>IF(A3614="","",'Employees'!F20)</f>
        <v/>
      </c>
    </row>
    <row r="3615">
      <c r="A3615">
        <f>IF(AND('Skill Matrix'!A231&lt;&gt;"",'Skill Matrix'!R5&lt;&gt;""),'Skill Matrix'!A231,"")</f>
        <v/>
      </c>
      <c r="B3615">
        <f>IF(A3615="","",'Employees'!C20)</f>
        <v/>
      </c>
      <c r="C3615">
        <f>IF(A3615="","",'Employees'!D20)</f>
        <v/>
      </c>
      <c r="D3615">
        <f>IF(A3615="","",'Skill Matrix'!C231)</f>
        <v/>
      </c>
      <c r="E3615">
        <f>IF(A3615="","",'Skill Matrix'!D231)</f>
        <v/>
      </c>
      <c r="F3615">
        <f>IF(AND('Skill Matrix'!A231&lt;&gt;"",'Skill Matrix'!R5&lt;&gt;""),'Skill Matrix'!R5,"")</f>
        <v/>
      </c>
      <c r="G3615">
        <f>IF(OR(A3615="",'Skill Matrix'!R231=""),"",'Skill Matrix'!R231)</f>
        <v/>
      </c>
      <c r="H3615">
        <f>IF(A3615="","",'Employees'!F20)</f>
        <v/>
      </c>
    </row>
    <row r="3616">
      <c r="A3616">
        <f>IF(AND('Skill Matrix'!A231&lt;&gt;"",'Skill Matrix'!S5&lt;&gt;""),'Skill Matrix'!A231,"")</f>
        <v/>
      </c>
      <c r="B3616">
        <f>IF(A3616="","",'Employees'!C20)</f>
        <v/>
      </c>
      <c r="C3616">
        <f>IF(A3616="","",'Employees'!D20)</f>
        <v/>
      </c>
      <c r="D3616">
        <f>IF(A3616="","",'Skill Matrix'!C231)</f>
        <v/>
      </c>
      <c r="E3616">
        <f>IF(A3616="","",'Skill Matrix'!D231)</f>
        <v/>
      </c>
      <c r="F3616">
        <f>IF(AND('Skill Matrix'!A231&lt;&gt;"",'Skill Matrix'!S5&lt;&gt;""),'Skill Matrix'!S5,"")</f>
        <v/>
      </c>
      <c r="G3616">
        <f>IF(OR(A3616="",'Skill Matrix'!S231=""),"",'Skill Matrix'!S231)</f>
        <v/>
      </c>
      <c r="H3616">
        <f>IF(A3616="","",'Employees'!F20)</f>
        <v/>
      </c>
    </row>
    <row r="3617">
      <c r="A3617">
        <f>IF(AND('Skill Matrix'!A231&lt;&gt;"",'Skill Matrix'!T5&lt;&gt;""),'Skill Matrix'!A231,"")</f>
        <v/>
      </c>
      <c r="B3617">
        <f>IF(A3617="","",'Employees'!C20)</f>
        <v/>
      </c>
      <c r="C3617">
        <f>IF(A3617="","",'Employees'!D20)</f>
        <v/>
      </c>
      <c r="D3617">
        <f>IF(A3617="","",'Skill Matrix'!C231)</f>
        <v/>
      </c>
      <c r="E3617">
        <f>IF(A3617="","",'Skill Matrix'!D231)</f>
        <v/>
      </c>
      <c r="F3617">
        <f>IF(AND('Skill Matrix'!A231&lt;&gt;"",'Skill Matrix'!T5&lt;&gt;""),'Skill Matrix'!T5,"")</f>
        <v/>
      </c>
      <c r="G3617">
        <f>IF(OR(A3617="",'Skill Matrix'!T231=""),"",'Skill Matrix'!T231)</f>
        <v/>
      </c>
      <c r="H3617">
        <f>IF(A3617="","",'Employees'!F20)</f>
        <v/>
      </c>
    </row>
    <row r="3618">
      <c r="A3618">
        <f>IF(AND('Skill Matrix'!A232&lt;&gt;"",'Skill Matrix'!E5&lt;&gt;""),'Skill Matrix'!A232,"")</f>
        <v/>
      </c>
      <c r="B3618">
        <f>IF(A3618="","",'Employees'!C20)</f>
        <v/>
      </c>
      <c r="C3618">
        <f>IF(A3618="","",'Employees'!D20)</f>
        <v/>
      </c>
      <c r="D3618">
        <f>IF(A3618="","",'Skill Matrix'!C232)</f>
        <v/>
      </c>
      <c r="E3618">
        <f>IF(A3618="","",'Skill Matrix'!D232)</f>
        <v/>
      </c>
      <c r="F3618">
        <f>IF(AND('Skill Matrix'!A232&lt;&gt;"",'Skill Matrix'!E5&lt;&gt;""),'Skill Matrix'!E5,"")</f>
        <v/>
      </c>
      <c r="G3618">
        <f>IF(OR(A3618="",'Skill Matrix'!E232=""),"",'Skill Matrix'!E232)</f>
        <v/>
      </c>
      <c r="H3618">
        <f>IF(A3618="","",'Employees'!F20)</f>
        <v/>
      </c>
    </row>
    <row r="3619">
      <c r="A3619">
        <f>IF(AND('Skill Matrix'!A232&lt;&gt;"",'Skill Matrix'!F5&lt;&gt;""),'Skill Matrix'!A232,"")</f>
        <v/>
      </c>
      <c r="B3619">
        <f>IF(A3619="","",'Employees'!C20)</f>
        <v/>
      </c>
      <c r="C3619">
        <f>IF(A3619="","",'Employees'!D20)</f>
        <v/>
      </c>
      <c r="D3619">
        <f>IF(A3619="","",'Skill Matrix'!C232)</f>
        <v/>
      </c>
      <c r="E3619">
        <f>IF(A3619="","",'Skill Matrix'!D232)</f>
        <v/>
      </c>
      <c r="F3619">
        <f>IF(AND('Skill Matrix'!A232&lt;&gt;"",'Skill Matrix'!F5&lt;&gt;""),'Skill Matrix'!F5,"")</f>
        <v/>
      </c>
      <c r="G3619">
        <f>IF(OR(A3619="",'Skill Matrix'!F232=""),"",'Skill Matrix'!F232)</f>
        <v/>
      </c>
      <c r="H3619">
        <f>IF(A3619="","",'Employees'!F20)</f>
        <v/>
      </c>
    </row>
    <row r="3620">
      <c r="A3620">
        <f>IF(AND('Skill Matrix'!A232&lt;&gt;"",'Skill Matrix'!G5&lt;&gt;""),'Skill Matrix'!A232,"")</f>
        <v/>
      </c>
      <c r="B3620">
        <f>IF(A3620="","",'Employees'!C20)</f>
        <v/>
      </c>
      <c r="C3620">
        <f>IF(A3620="","",'Employees'!D20)</f>
        <v/>
      </c>
      <c r="D3620">
        <f>IF(A3620="","",'Skill Matrix'!C232)</f>
        <v/>
      </c>
      <c r="E3620">
        <f>IF(A3620="","",'Skill Matrix'!D232)</f>
        <v/>
      </c>
      <c r="F3620">
        <f>IF(AND('Skill Matrix'!A232&lt;&gt;"",'Skill Matrix'!G5&lt;&gt;""),'Skill Matrix'!G5,"")</f>
        <v/>
      </c>
      <c r="G3620">
        <f>IF(OR(A3620="",'Skill Matrix'!G232=""),"",'Skill Matrix'!G232)</f>
        <v/>
      </c>
      <c r="H3620">
        <f>IF(A3620="","",'Employees'!F20)</f>
        <v/>
      </c>
    </row>
    <row r="3621">
      <c r="A3621">
        <f>IF(AND('Skill Matrix'!A232&lt;&gt;"",'Skill Matrix'!H5&lt;&gt;""),'Skill Matrix'!A232,"")</f>
        <v/>
      </c>
      <c r="B3621">
        <f>IF(A3621="","",'Employees'!C20)</f>
        <v/>
      </c>
      <c r="C3621">
        <f>IF(A3621="","",'Employees'!D20)</f>
        <v/>
      </c>
      <c r="D3621">
        <f>IF(A3621="","",'Skill Matrix'!C232)</f>
        <v/>
      </c>
      <c r="E3621">
        <f>IF(A3621="","",'Skill Matrix'!D232)</f>
        <v/>
      </c>
      <c r="F3621">
        <f>IF(AND('Skill Matrix'!A232&lt;&gt;"",'Skill Matrix'!H5&lt;&gt;""),'Skill Matrix'!H5,"")</f>
        <v/>
      </c>
      <c r="G3621">
        <f>IF(OR(A3621="",'Skill Matrix'!H232=""),"",'Skill Matrix'!H232)</f>
        <v/>
      </c>
      <c r="H3621">
        <f>IF(A3621="","",'Employees'!F20)</f>
        <v/>
      </c>
    </row>
    <row r="3622">
      <c r="A3622">
        <f>IF(AND('Skill Matrix'!A232&lt;&gt;"",'Skill Matrix'!I5&lt;&gt;""),'Skill Matrix'!A232,"")</f>
        <v/>
      </c>
      <c r="B3622">
        <f>IF(A3622="","",'Employees'!C20)</f>
        <v/>
      </c>
      <c r="C3622">
        <f>IF(A3622="","",'Employees'!D20)</f>
        <v/>
      </c>
      <c r="D3622">
        <f>IF(A3622="","",'Skill Matrix'!C232)</f>
        <v/>
      </c>
      <c r="E3622">
        <f>IF(A3622="","",'Skill Matrix'!D232)</f>
        <v/>
      </c>
      <c r="F3622">
        <f>IF(AND('Skill Matrix'!A232&lt;&gt;"",'Skill Matrix'!I5&lt;&gt;""),'Skill Matrix'!I5,"")</f>
        <v/>
      </c>
      <c r="G3622">
        <f>IF(OR(A3622="",'Skill Matrix'!I232=""),"",'Skill Matrix'!I232)</f>
        <v/>
      </c>
      <c r="H3622">
        <f>IF(A3622="","",'Employees'!F20)</f>
        <v/>
      </c>
    </row>
    <row r="3623">
      <c r="A3623">
        <f>IF(AND('Skill Matrix'!A232&lt;&gt;"",'Skill Matrix'!J5&lt;&gt;""),'Skill Matrix'!A232,"")</f>
        <v/>
      </c>
      <c r="B3623">
        <f>IF(A3623="","",'Employees'!C20)</f>
        <v/>
      </c>
      <c r="C3623">
        <f>IF(A3623="","",'Employees'!D20)</f>
        <v/>
      </c>
      <c r="D3623">
        <f>IF(A3623="","",'Skill Matrix'!C232)</f>
        <v/>
      </c>
      <c r="E3623">
        <f>IF(A3623="","",'Skill Matrix'!D232)</f>
        <v/>
      </c>
      <c r="F3623">
        <f>IF(AND('Skill Matrix'!A232&lt;&gt;"",'Skill Matrix'!J5&lt;&gt;""),'Skill Matrix'!J5,"")</f>
        <v/>
      </c>
      <c r="G3623">
        <f>IF(OR(A3623="",'Skill Matrix'!J232=""),"",'Skill Matrix'!J232)</f>
        <v/>
      </c>
      <c r="H3623">
        <f>IF(A3623="","",'Employees'!F20)</f>
        <v/>
      </c>
    </row>
    <row r="3624">
      <c r="A3624">
        <f>IF(AND('Skill Matrix'!A232&lt;&gt;"",'Skill Matrix'!K5&lt;&gt;""),'Skill Matrix'!A232,"")</f>
        <v/>
      </c>
      <c r="B3624">
        <f>IF(A3624="","",'Employees'!C20)</f>
        <v/>
      </c>
      <c r="C3624">
        <f>IF(A3624="","",'Employees'!D20)</f>
        <v/>
      </c>
      <c r="D3624">
        <f>IF(A3624="","",'Skill Matrix'!C232)</f>
        <v/>
      </c>
      <c r="E3624">
        <f>IF(A3624="","",'Skill Matrix'!D232)</f>
        <v/>
      </c>
      <c r="F3624">
        <f>IF(AND('Skill Matrix'!A232&lt;&gt;"",'Skill Matrix'!K5&lt;&gt;""),'Skill Matrix'!K5,"")</f>
        <v/>
      </c>
      <c r="G3624">
        <f>IF(OR(A3624="",'Skill Matrix'!K232=""),"",'Skill Matrix'!K232)</f>
        <v/>
      </c>
      <c r="H3624">
        <f>IF(A3624="","",'Employees'!F20)</f>
        <v/>
      </c>
    </row>
    <row r="3625">
      <c r="A3625">
        <f>IF(AND('Skill Matrix'!A232&lt;&gt;"",'Skill Matrix'!L5&lt;&gt;""),'Skill Matrix'!A232,"")</f>
        <v/>
      </c>
      <c r="B3625">
        <f>IF(A3625="","",'Employees'!C20)</f>
        <v/>
      </c>
      <c r="C3625">
        <f>IF(A3625="","",'Employees'!D20)</f>
        <v/>
      </c>
      <c r="D3625">
        <f>IF(A3625="","",'Skill Matrix'!C232)</f>
        <v/>
      </c>
      <c r="E3625">
        <f>IF(A3625="","",'Skill Matrix'!D232)</f>
        <v/>
      </c>
      <c r="F3625">
        <f>IF(AND('Skill Matrix'!A232&lt;&gt;"",'Skill Matrix'!L5&lt;&gt;""),'Skill Matrix'!L5,"")</f>
        <v/>
      </c>
      <c r="G3625">
        <f>IF(OR(A3625="",'Skill Matrix'!L232=""),"",'Skill Matrix'!L232)</f>
        <v/>
      </c>
      <c r="H3625">
        <f>IF(A3625="","",'Employees'!F20)</f>
        <v/>
      </c>
    </row>
    <row r="3626">
      <c r="A3626">
        <f>IF(AND('Skill Matrix'!A232&lt;&gt;"",'Skill Matrix'!M5&lt;&gt;""),'Skill Matrix'!A232,"")</f>
        <v/>
      </c>
      <c r="B3626">
        <f>IF(A3626="","",'Employees'!C20)</f>
        <v/>
      </c>
      <c r="C3626">
        <f>IF(A3626="","",'Employees'!D20)</f>
        <v/>
      </c>
      <c r="D3626">
        <f>IF(A3626="","",'Skill Matrix'!C232)</f>
        <v/>
      </c>
      <c r="E3626">
        <f>IF(A3626="","",'Skill Matrix'!D232)</f>
        <v/>
      </c>
      <c r="F3626">
        <f>IF(AND('Skill Matrix'!A232&lt;&gt;"",'Skill Matrix'!M5&lt;&gt;""),'Skill Matrix'!M5,"")</f>
        <v/>
      </c>
      <c r="G3626">
        <f>IF(OR(A3626="",'Skill Matrix'!M232=""),"",'Skill Matrix'!M232)</f>
        <v/>
      </c>
      <c r="H3626">
        <f>IF(A3626="","",'Employees'!F20)</f>
        <v/>
      </c>
    </row>
    <row r="3627">
      <c r="A3627">
        <f>IF(AND('Skill Matrix'!A232&lt;&gt;"",'Skill Matrix'!N5&lt;&gt;""),'Skill Matrix'!A232,"")</f>
        <v/>
      </c>
      <c r="B3627">
        <f>IF(A3627="","",'Employees'!C20)</f>
        <v/>
      </c>
      <c r="C3627">
        <f>IF(A3627="","",'Employees'!D20)</f>
        <v/>
      </c>
      <c r="D3627">
        <f>IF(A3627="","",'Skill Matrix'!C232)</f>
        <v/>
      </c>
      <c r="E3627">
        <f>IF(A3627="","",'Skill Matrix'!D232)</f>
        <v/>
      </c>
      <c r="F3627">
        <f>IF(AND('Skill Matrix'!A232&lt;&gt;"",'Skill Matrix'!N5&lt;&gt;""),'Skill Matrix'!N5,"")</f>
        <v/>
      </c>
      <c r="G3627">
        <f>IF(OR(A3627="",'Skill Matrix'!N232=""),"",'Skill Matrix'!N232)</f>
        <v/>
      </c>
      <c r="H3627">
        <f>IF(A3627="","",'Employees'!F20)</f>
        <v/>
      </c>
    </row>
    <row r="3628">
      <c r="A3628">
        <f>IF(AND('Skill Matrix'!A232&lt;&gt;"",'Skill Matrix'!O5&lt;&gt;""),'Skill Matrix'!A232,"")</f>
        <v/>
      </c>
      <c r="B3628">
        <f>IF(A3628="","",'Employees'!C20)</f>
        <v/>
      </c>
      <c r="C3628">
        <f>IF(A3628="","",'Employees'!D20)</f>
        <v/>
      </c>
      <c r="D3628">
        <f>IF(A3628="","",'Skill Matrix'!C232)</f>
        <v/>
      </c>
      <c r="E3628">
        <f>IF(A3628="","",'Skill Matrix'!D232)</f>
        <v/>
      </c>
      <c r="F3628">
        <f>IF(AND('Skill Matrix'!A232&lt;&gt;"",'Skill Matrix'!O5&lt;&gt;""),'Skill Matrix'!O5,"")</f>
        <v/>
      </c>
      <c r="G3628">
        <f>IF(OR(A3628="",'Skill Matrix'!O232=""),"",'Skill Matrix'!O232)</f>
        <v/>
      </c>
      <c r="H3628">
        <f>IF(A3628="","",'Employees'!F20)</f>
        <v/>
      </c>
    </row>
    <row r="3629">
      <c r="A3629">
        <f>IF(AND('Skill Matrix'!A232&lt;&gt;"",'Skill Matrix'!P5&lt;&gt;""),'Skill Matrix'!A232,"")</f>
        <v/>
      </c>
      <c r="B3629">
        <f>IF(A3629="","",'Employees'!C20)</f>
        <v/>
      </c>
      <c r="C3629">
        <f>IF(A3629="","",'Employees'!D20)</f>
        <v/>
      </c>
      <c r="D3629">
        <f>IF(A3629="","",'Skill Matrix'!C232)</f>
        <v/>
      </c>
      <c r="E3629">
        <f>IF(A3629="","",'Skill Matrix'!D232)</f>
        <v/>
      </c>
      <c r="F3629">
        <f>IF(AND('Skill Matrix'!A232&lt;&gt;"",'Skill Matrix'!P5&lt;&gt;""),'Skill Matrix'!P5,"")</f>
        <v/>
      </c>
      <c r="G3629">
        <f>IF(OR(A3629="",'Skill Matrix'!P232=""),"",'Skill Matrix'!P232)</f>
        <v/>
      </c>
      <c r="H3629">
        <f>IF(A3629="","",'Employees'!F20)</f>
        <v/>
      </c>
    </row>
    <row r="3630">
      <c r="A3630">
        <f>IF(AND('Skill Matrix'!A232&lt;&gt;"",'Skill Matrix'!Q5&lt;&gt;""),'Skill Matrix'!A232,"")</f>
        <v/>
      </c>
      <c r="B3630">
        <f>IF(A3630="","",'Employees'!C20)</f>
        <v/>
      </c>
      <c r="C3630">
        <f>IF(A3630="","",'Employees'!D20)</f>
        <v/>
      </c>
      <c r="D3630">
        <f>IF(A3630="","",'Skill Matrix'!C232)</f>
        <v/>
      </c>
      <c r="E3630">
        <f>IF(A3630="","",'Skill Matrix'!D232)</f>
        <v/>
      </c>
      <c r="F3630">
        <f>IF(AND('Skill Matrix'!A232&lt;&gt;"",'Skill Matrix'!Q5&lt;&gt;""),'Skill Matrix'!Q5,"")</f>
        <v/>
      </c>
      <c r="G3630">
        <f>IF(OR(A3630="",'Skill Matrix'!Q232=""),"",'Skill Matrix'!Q232)</f>
        <v/>
      </c>
      <c r="H3630">
        <f>IF(A3630="","",'Employees'!F20)</f>
        <v/>
      </c>
    </row>
    <row r="3631">
      <c r="A3631">
        <f>IF(AND('Skill Matrix'!A232&lt;&gt;"",'Skill Matrix'!R5&lt;&gt;""),'Skill Matrix'!A232,"")</f>
        <v/>
      </c>
      <c r="B3631">
        <f>IF(A3631="","",'Employees'!C20)</f>
        <v/>
      </c>
      <c r="C3631">
        <f>IF(A3631="","",'Employees'!D20)</f>
        <v/>
      </c>
      <c r="D3631">
        <f>IF(A3631="","",'Skill Matrix'!C232)</f>
        <v/>
      </c>
      <c r="E3631">
        <f>IF(A3631="","",'Skill Matrix'!D232)</f>
        <v/>
      </c>
      <c r="F3631">
        <f>IF(AND('Skill Matrix'!A232&lt;&gt;"",'Skill Matrix'!R5&lt;&gt;""),'Skill Matrix'!R5,"")</f>
        <v/>
      </c>
      <c r="G3631">
        <f>IF(OR(A3631="",'Skill Matrix'!R232=""),"",'Skill Matrix'!R232)</f>
        <v/>
      </c>
      <c r="H3631">
        <f>IF(A3631="","",'Employees'!F20)</f>
        <v/>
      </c>
    </row>
    <row r="3632">
      <c r="A3632">
        <f>IF(AND('Skill Matrix'!A232&lt;&gt;"",'Skill Matrix'!S5&lt;&gt;""),'Skill Matrix'!A232,"")</f>
        <v/>
      </c>
      <c r="B3632">
        <f>IF(A3632="","",'Employees'!C20)</f>
        <v/>
      </c>
      <c r="C3632">
        <f>IF(A3632="","",'Employees'!D20)</f>
        <v/>
      </c>
      <c r="D3632">
        <f>IF(A3632="","",'Skill Matrix'!C232)</f>
        <v/>
      </c>
      <c r="E3632">
        <f>IF(A3632="","",'Skill Matrix'!D232)</f>
        <v/>
      </c>
      <c r="F3632">
        <f>IF(AND('Skill Matrix'!A232&lt;&gt;"",'Skill Matrix'!S5&lt;&gt;""),'Skill Matrix'!S5,"")</f>
        <v/>
      </c>
      <c r="G3632">
        <f>IF(OR(A3632="",'Skill Matrix'!S232=""),"",'Skill Matrix'!S232)</f>
        <v/>
      </c>
      <c r="H3632">
        <f>IF(A3632="","",'Employees'!F20)</f>
        <v/>
      </c>
    </row>
    <row r="3633">
      <c r="A3633">
        <f>IF(AND('Skill Matrix'!A232&lt;&gt;"",'Skill Matrix'!T5&lt;&gt;""),'Skill Matrix'!A232,"")</f>
        <v/>
      </c>
      <c r="B3633">
        <f>IF(A3633="","",'Employees'!C20)</f>
        <v/>
      </c>
      <c r="C3633">
        <f>IF(A3633="","",'Employees'!D20)</f>
        <v/>
      </c>
      <c r="D3633">
        <f>IF(A3633="","",'Skill Matrix'!C232)</f>
        <v/>
      </c>
      <c r="E3633">
        <f>IF(A3633="","",'Skill Matrix'!D232)</f>
        <v/>
      </c>
      <c r="F3633">
        <f>IF(AND('Skill Matrix'!A232&lt;&gt;"",'Skill Matrix'!T5&lt;&gt;""),'Skill Matrix'!T5,"")</f>
        <v/>
      </c>
      <c r="G3633">
        <f>IF(OR(A3633="",'Skill Matrix'!T232=""),"",'Skill Matrix'!T232)</f>
        <v/>
      </c>
      <c r="H3633">
        <f>IF(A3633="","",'Employees'!F20)</f>
        <v/>
      </c>
    </row>
    <row r="3634">
      <c r="A3634">
        <f>IF(AND('Skill Matrix'!A233&lt;&gt;"",'Skill Matrix'!E5&lt;&gt;""),'Skill Matrix'!A233,"")</f>
        <v/>
      </c>
      <c r="B3634">
        <f>IF(A3634="","",'Employees'!C20)</f>
        <v/>
      </c>
      <c r="C3634">
        <f>IF(A3634="","",'Employees'!D20)</f>
        <v/>
      </c>
      <c r="D3634">
        <f>IF(A3634="","",'Skill Matrix'!C233)</f>
        <v/>
      </c>
      <c r="E3634">
        <f>IF(A3634="","",'Skill Matrix'!D233)</f>
        <v/>
      </c>
      <c r="F3634">
        <f>IF(AND('Skill Matrix'!A233&lt;&gt;"",'Skill Matrix'!E5&lt;&gt;""),'Skill Matrix'!E5,"")</f>
        <v/>
      </c>
      <c r="G3634">
        <f>IF(OR(A3634="",'Skill Matrix'!E233=""),"",'Skill Matrix'!E233)</f>
        <v/>
      </c>
      <c r="H3634">
        <f>IF(A3634="","",'Employees'!F20)</f>
        <v/>
      </c>
    </row>
    <row r="3635">
      <c r="A3635">
        <f>IF(AND('Skill Matrix'!A233&lt;&gt;"",'Skill Matrix'!F5&lt;&gt;""),'Skill Matrix'!A233,"")</f>
        <v/>
      </c>
      <c r="B3635">
        <f>IF(A3635="","",'Employees'!C20)</f>
        <v/>
      </c>
      <c r="C3635">
        <f>IF(A3635="","",'Employees'!D20)</f>
        <v/>
      </c>
      <c r="D3635">
        <f>IF(A3635="","",'Skill Matrix'!C233)</f>
        <v/>
      </c>
      <c r="E3635">
        <f>IF(A3635="","",'Skill Matrix'!D233)</f>
        <v/>
      </c>
      <c r="F3635">
        <f>IF(AND('Skill Matrix'!A233&lt;&gt;"",'Skill Matrix'!F5&lt;&gt;""),'Skill Matrix'!F5,"")</f>
        <v/>
      </c>
      <c r="G3635">
        <f>IF(OR(A3635="",'Skill Matrix'!F233=""),"",'Skill Matrix'!F233)</f>
        <v/>
      </c>
      <c r="H3635">
        <f>IF(A3635="","",'Employees'!F20)</f>
        <v/>
      </c>
    </row>
    <row r="3636">
      <c r="A3636">
        <f>IF(AND('Skill Matrix'!A233&lt;&gt;"",'Skill Matrix'!G5&lt;&gt;""),'Skill Matrix'!A233,"")</f>
        <v/>
      </c>
      <c r="B3636">
        <f>IF(A3636="","",'Employees'!C20)</f>
        <v/>
      </c>
      <c r="C3636">
        <f>IF(A3636="","",'Employees'!D20)</f>
        <v/>
      </c>
      <c r="D3636">
        <f>IF(A3636="","",'Skill Matrix'!C233)</f>
        <v/>
      </c>
      <c r="E3636">
        <f>IF(A3636="","",'Skill Matrix'!D233)</f>
        <v/>
      </c>
      <c r="F3636">
        <f>IF(AND('Skill Matrix'!A233&lt;&gt;"",'Skill Matrix'!G5&lt;&gt;""),'Skill Matrix'!G5,"")</f>
        <v/>
      </c>
      <c r="G3636">
        <f>IF(OR(A3636="",'Skill Matrix'!G233=""),"",'Skill Matrix'!G233)</f>
        <v/>
      </c>
      <c r="H3636">
        <f>IF(A3636="","",'Employees'!F20)</f>
        <v/>
      </c>
    </row>
    <row r="3637">
      <c r="A3637">
        <f>IF(AND('Skill Matrix'!A233&lt;&gt;"",'Skill Matrix'!H5&lt;&gt;""),'Skill Matrix'!A233,"")</f>
        <v/>
      </c>
      <c r="B3637">
        <f>IF(A3637="","",'Employees'!C20)</f>
        <v/>
      </c>
      <c r="C3637">
        <f>IF(A3637="","",'Employees'!D20)</f>
        <v/>
      </c>
      <c r="D3637">
        <f>IF(A3637="","",'Skill Matrix'!C233)</f>
        <v/>
      </c>
      <c r="E3637">
        <f>IF(A3637="","",'Skill Matrix'!D233)</f>
        <v/>
      </c>
      <c r="F3637">
        <f>IF(AND('Skill Matrix'!A233&lt;&gt;"",'Skill Matrix'!H5&lt;&gt;""),'Skill Matrix'!H5,"")</f>
        <v/>
      </c>
      <c r="G3637">
        <f>IF(OR(A3637="",'Skill Matrix'!H233=""),"",'Skill Matrix'!H233)</f>
        <v/>
      </c>
      <c r="H3637">
        <f>IF(A3637="","",'Employees'!F20)</f>
        <v/>
      </c>
    </row>
    <row r="3638">
      <c r="A3638">
        <f>IF(AND('Skill Matrix'!A233&lt;&gt;"",'Skill Matrix'!I5&lt;&gt;""),'Skill Matrix'!A233,"")</f>
        <v/>
      </c>
      <c r="B3638">
        <f>IF(A3638="","",'Employees'!C20)</f>
        <v/>
      </c>
      <c r="C3638">
        <f>IF(A3638="","",'Employees'!D20)</f>
        <v/>
      </c>
      <c r="D3638">
        <f>IF(A3638="","",'Skill Matrix'!C233)</f>
        <v/>
      </c>
      <c r="E3638">
        <f>IF(A3638="","",'Skill Matrix'!D233)</f>
        <v/>
      </c>
      <c r="F3638">
        <f>IF(AND('Skill Matrix'!A233&lt;&gt;"",'Skill Matrix'!I5&lt;&gt;""),'Skill Matrix'!I5,"")</f>
        <v/>
      </c>
      <c r="G3638">
        <f>IF(OR(A3638="",'Skill Matrix'!I233=""),"",'Skill Matrix'!I233)</f>
        <v/>
      </c>
      <c r="H3638">
        <f>IF(A3638="","",'Employees'!F20)</f>
        <v/>
      </c>
    </row>
    <row r="3639">
      <c r="A3639">
        <f>IF(AND('Skill Matrix'!A233&lt;&gt;"",'Skill Matrix'!J5&lt;&gt;""),'Skill Matrix'!A233,"")</f>
        <v/>
      </c>
      <c r="B3639">
        <f>IF(A3639="","",'Employees'!C20)</f>
        <v/>
      </c>
      <c r="C3639">
        <f>IF(A3639="","",'Employees'!D20)</f>
        <v/>
      </c>
      <c r="D3639">
        <f>IF(A3639="","",'Skill Matrix'!C233)</f>
        <v/>
      </c>
      <c r="E3639">
        <f>IF(A3639="","",'Skill Matrix'!D233)</f>
        <v/>
      </c>
      <c r="F3639">
        <f>IF(AND('Skill Matrix'!A233&lt;&gt;"",'Skill Matrix'!J5&lt;&gt;""),'Skill Matrix'!J5,"")</f>
        <v/>
      </c>
      <c r="G3639">
        <f>IF(OR(A3639="",'Skill Matrix'!J233=""),"",'Skill Matrix'!J233)</f>
        <v/>
      </c>
      <c r="H3639">
        <f>IF(A3639="","",'Employees'!F20)</f>
        <v/>
      </c>
    </row>
    <row r="3640">
      <c r="A3640">
        <f>IF(AND('Skill Matrix'!A233&lt;&gt;"",'Skill Matrix'!K5&lt;&gt;""),'Skill Matrix'!A233,"")</f>
        <v/>
      </c>
      <c r="B3640">
        <f>IF(A3640="","",'Employees'!C20)</f>
        <v/>
      </c>
      <c r="C3640">
        <f>IF(A3640="","",'Employees'!D20)</f>
        <v/>
      </c>
      <c r="D3640">
        <f>IF(A3640="","",'Skill Matrix'!C233)</f>
        <v/>
      </c>
      <c r="E3640">
        <f>IF(A3640="","",'Skill Matrix'!D233)</f>
        <v/>
      </c>
      <c r="F3640">
        <f>IF(AND('Skill Matrix'!A233&lt;&gt;"",'Skill Matrix'!K5&lt;&gt;""),'Skill Matrix'!K5,"")</f>
        <v/>
      </c>
      <c r="G3640">
        <f>IF(OR(A3640="",'Skill Matrix'!K233=""),"",'Skill Matrix'!K233)</f>
        <v/>
      </c>
      <c r="H3640">
        <f>IF(A3640="","",'Employees'!F20)</f>
        <v/>
      </c>
    </row>
    <row r="3641">
      <c r="A3641">
        <f>IF(AND('Skill Matrix'!A233&lt;&gt;"",'Skill Matrix'!L5&lt;&gt;""),'Skill Matrix'!A233,"")</f>
        <v/>
      </c>
      <c r="B3641">
        <f>IF(A3641="","",'Employees'!C20)</f>
        <v/>
      </c>
      <c r="C3641">
        <f>IF(A3641="","",'Employees'!D20)</f>
        <v/>
      </c>
      <c r="D3641">
        <f>IF(A3641="","",'Skill Matrix'!C233)</f>
        <v/>
      </c>
      <c r="E3641">
        <f>IF(A3641="","",'Skill Matrix'!D233)</f>
        <v/>
      </c>
      <c r="F3641">
        <f>IF(AND('Skill Matrix'!A233&lt;&gt;"",'Skill Matrix'!L5&lt;&gt;""),'Skill Matrix'!L5,"")</f>
        <v/>
      </c>
      <c r="G3641">
        <f>IF(OR(A3641="",'Skill Matrix'!L233=""),"",'Skill Matrix'!L233)</f>
        <v/>
      </c>
      <c r="H3641">
        <f>IF(A3641="","",'Employees'!F20)</f>
        <v/>
      </c>
    </row>
    <row r="3642">
      <c r="A3642">
        <f>IF(AND('Skill Matrix'!A233&lt;&gt;"",'Skill Matrix'!M5&lt;&gt;""),'Skill Matrix'!A233,"")</f>
        <v/>
      </c>
      <c r="B3642">
        <f>IF(A3642="","",'Employees'!C20)</f>
        <v/>
      </c>
      <c r="C3642">
        <f>IF(A3642="","",'Employees'!D20)</f>
        <v/>
      </c>
      <c r="D3642">
        <f>IF(A3642="","",'Skill Matrix'!C233)</f>
        <v/>
      </c>
      <c r="E3642">
        <f>IF(A3642="","",'Skill Matrix'!D233)</f>
        <v/>
      </c>
      <c r="F3642">
        <f>IF(AND('Skill Matrix'!A233&lt;&gt;"",'Skill Matrix'!M5&lt;&gt;""),'Skill Matrix'!M5,"")</f>
        <v/>
      </c>
      <c r="G3642">
        <f>IF(OR(A3642="",'Skill Matrix'!M233=""),"",'Skill Matrix'!M233)</f>
        <v/>
      </c>
      <c r="H3642">
        <f>IF(A3642="","",'Employees'!F20)</f>
        <v/>
      </c>
    </row>
    <row r="3643">
      <c r="A3643">
        <f>IF(AND('Skill Matrix'!A233&lt;&gt;"",'Skill Matrix'!N5&lt;&gt;""),'Skill Matrix'!A233,"")</f>
        <v/>
      </c>
      <c r="B3643">
        <f>IF(A3643="","",'Employees'!C20)</f>
        <v/>
      </c>
      <c r="C3643">
        <f>IF(A3643="","",'Employees'!D20)</f>
        <v/>
      </c>
      <c r="D3643">
        <f>IF(A3643="","",'Skill Matrix'!C233)</f>
        <v/>
      </c>
      <c r="E3643">
        <f>IF(A3643="","",'Skill Matrix'!D233)</f>
        <v/>
      </c>
      <c r="F3643">
        <f>IF(AND('Skill Matrix'!A233&lt;&gt;"",'Skill Matrix'!N5&lt;&gt;""),'Skill Matrix'!N5,"")</f>
        <v/>
      </c>
      <c r="G3643">
        <f>IF(OR(A3643="",'Skill Matrix'!N233=""),"",'Skill Matrix'!N233)</f>
        <v/>
      </c>
      <c r="H3643">
        <f>IF(A3643="","",'Employees'!F20)</f>
        <v/>
      </c>
    </row>
    <row r="3644">
      <c r="A3644">
        <f>IF(AND('Skill Matrix'!A233&lt;&gt;"",'Skill Matrix'!O5&lt;&gt;""),'Skill Matrix'!A233,"")</f>
        <v/>
      </c>
      <c r="B3644">
        <f>IF(A3644="","",'Employees'!C20)</f>
        <v/>
      </c>
      <c r="C3644">
        <f>IF(A3644="","",'Employees'!D20)</f>
        <v/>
      </c>
      <c r="D3644">
        <f>IF(A3644="","",'Skill Matrix'!C233)</f>
        <v/>
      </c>
      <c r="E3644">
        <f>IF(A3644="","",'Skill Matrix'!D233)</f>
        <v/>
      </c>
      <c r="F3644">
        <f>IF(AND('Skill Matrix'!A233&lt;&gt;"",'Skill Matrix'!O5&lt;&gt;""),'Skill Matrix'!O5,"")</f>
        <v/>
      </c>
      <c r="G3644">
        <f>IF(OR(A3644="",'Skill Matrix'!O233=""),"",'Skill Matrix'!O233)</f>
        <v/>
      </c>
      <c r="H3644">
        <f>IF(A3644="","",'Employees'!F20)</f>
        <v/>
      </c>
    </row>
    <row r="3645">
      <c r="A3645">
        <f>IF(AND('Skill Matrix'!A233&lt;&gt;"",'Skill Matrix'!P5&lt;&gt;""),'Skill Matrix'!A233,"")</f>
        <v/>
      </c>
      <c r="B3645">
        <f>IF(A3645="","",'Employees'!C20)</f>
        <v/>
      </c>
      <c r="C3645">
        <f>IF(A3645="","",'Employees'!D20)</f>
        <v/>
      </c>
      <c r="D3645">
        <f>IF(A3645="","",'Skill Matrix'!C233)</f>
        <v/>
      </c>
      <c r="E3645">
        <f>IF(A3645="","",'Skill Matrix'!D233)</f>
        <v/>
      </c>
      <c r="F3645">
        <f>IF(AND('Skill Matrix'!A233&lt;&gt;"",'Skill Matrix'!P5&lt;&gt;""),'Skill Matrix'!P5,"")</f>
        <v/>
      </c>
      <c r="G3645">
        <f>IF(OR(A3645="",'Skill Matrix'!P233=""),"",'Skill Matrix'!P233)</f>
        <v/>
      </c>
      <c r="H3645">
        <f>IF(A3645="","",'Employees'!F20)</f>
        <v/>
      </c>
    </row>
    <row r="3646">
      <c r="A3646">
        <f>IF(AND('Skill Matrix'!A233&lt;&gt;"",'Skill Matrix'!Q5&lt;&gt;""),'Skill Matrix'!A233,"")</f>
        <v/>
      </c>
      <c r="B3646">
        <f>IF(A3646="","",'Employees'!C20)</f>
        <v/>
      </c>
      <c r="C3646">
        <f>IF(A3646="","",'Employees'!D20)</f>
        <v/>
      </c>
      <c r="D3646">
        <f>IF(A3646="","",'Skill Matrix'!C233)</f>
        <v/>
      </c>
      <c r="E3646">
        <f>IF(A3646="","",'Skill Matrix'!D233)</f>
        <v/>
      </c>
      <c r="F3646">
        <f>IF(AND('Skill Matrix'!A233&lt;&gt;"",'Skill Matrix'!Q5&lt;&gt;""),'Skill Matrix'!Q5,"")</f>
        <v/>
      </c>
      <c r="G3646">
        <f>IF(OR(A3646="",'Skill Matrix'!Q233=""),"",'Skill Matrix'!Q233)</f>
        <v/>
      </c>
      <c r="H3646">
        <f>IF(A3646="","",'Employees'!F20)</f>
        <v/>
      </c>
    </row>
    <row r="3647">
      <c r="A3647">
        <f>IF(AND('Skill Matrix'!A233&lt;&gt;"",'Skill Matrix'!R5&lt;&gt;""),'Skill Matrix'!A233,"")</f>
        <v/>
      </c>
      <c r="B3647">
        <f>IF(A3647="","",'Employees'!C20)</f>
        <v/>
      </c>
      <c r="C3647">
        <f>IF(A3647="","",'Employees'!D20)</f>
        <v/>
      </c>
      <c r="D3647">
        <f>IF(A3647="","",'Skill Matrix'!C233)</f>
        <v/>
      </c>
      <c r="E3647">
        <f>IF(A3647="","",'Skill Matrix'!D233)</f>
        <v/>
      </c>
      <c r="F3647">
        <f>IF(AND('Skill Matrix'!A233&lt;&gt;"",'Skill Matrix'!R5&lt;&gt;""),'Skill Matrix'!R5,"")</f>
        <v/>
      </c>
      <c r="G3647">
        <f>IF(OR(A3647="",'Skill Matrix'!R233=""),"",'Skill Matrix'!R233)</f>
        <v/>
      </c>
      <c r="H3647">
        <f>IF(A3647="","",'Employees'!F20)</f>
        <v/>
      </c>
    </row>
    <row r="3648">
      <c r="A3648">
        <f>IF(AND('Skill Matrix'!A233&lt;&gt;"",'Skill Matrix'!S5&lt;&gt;""),'Skill Matrix'!A233,"")</f>
        <v/>
      </c>
      <c r="B3648">
        <f>IF(A3648="","",'Employees'!C20)</f>
        <v/>
      </c>
      <c r="C3648">
        <f>IF(A3648="","",'Employees'!D20)</f>
        <v/>
      </c>
      <c r="D3648">
        <f>IF(A3648="","",'Skill Matrix'!C233)</f>
        <v/>
      </c>
      <c r="E3648">
        <f>IF(A3648="","",'Skill Matrix'!D233)</f>
        <v/>
      </c>
      <c r="F3648">
        <f>IF(AND('Skill Matrix'!A233&lt;&gt;"",'Skill Matrix'!S5&lt;&gt;""),'Skill Matrix'!S5,"")</f>
        <v/>
      </c>
      <c r="G3648">
        <f>IF(OR(A3648="",'Skill Matrix'!S233=""),"",'Skill Matrix'!S233)</f>
        <v/>
      </c>
      <c r="H3648">
        <f>IF(A3648="","",'Employees'!F20)</f>
        <v/>
      </c>
    </row>
    <row r="3649">
      <c r="A3649">
        <f>IF(AND('Skill Matrix'!A233&lt;&gt;"",'Skill Matrix'!T5&lt;&gt;""),'Skill Matrix'!A233,"")</f>
        <v/>
      </c>
      <c r="B3649">
        <f>IF(A3649="","",'Employees'!C20)</f>
        <v/>
      </c>
      <c r="C3649">
        <f>IF(A3649="","",'Employees'!D20)</f>
        <v/>
      </c>
      <c r="D3649">
        <f>IF(A3649="","",'Skill Matrix'!C233)</f>
        <v/>
      </c>
      <c r="E3649">
        <f>IF(A3649="","",'Skill Matrix'!D233)</f>
        <v/>
      </c>
      <c r="F3649">
        <f>IF(AND('Skill Matrix'!A233&lt;&gt;"",'Skill Matrix'!T5&lt;&gt;""),'Skill Matrix'!T5,"")</f>
        <v/>
      </c>
      <c r="G3649">
        <f>IF(OR(A3649="",'Skill Matrix'!T233=""),"",'Skill Matrix'!T233)</f>
        <v/>
      </c>
      <c r="H3649">
        <f>IF(A3649="","",'Employees'!F20)</f>
        <v/>
      </c>
    </row>
    <row r="3650">
      <c r="A3650">
        <f>IF(AND('Skill Matrix'!A234&lt;&gt;"",'Skill Matrix'!E5&lt;&gt;""),'Skill Matrix'!A234,"")</f>
        <v/>
      </c>
      <c r="B3650">
        <f>IF(A3650="","",'Employees'!C20)</f>
        <v/>
      </c>
      <c r="C3650">
        <f>IF(A3650="","",'Employees'!D20)</f>
        <v/>
      </c>
      <c r="D3650">
        <f>IF(A3650="","",'Skill Matrix'!C234)</f>
        <v/>
      </c>
      <c r="E3650">
        <f>IF(A3650="","",'Skill Matrix'!D234)</f>
        <v/>
      </c>
      <c r="F3650">
        <f>IF(AND('Skill Matrix'!A234&lt;&gt;"",'Skill Matrix'!E5&lt;&gt;""),'Skill Matrix'!E5,"")</f>
        <v/>
      </c>
      <c r="G3650">
        <f>IF(OR(A3650="",'Skill Matrix'!E234=""),"",'Skill Matrix'!E234)</f>
        <v/>
      </c>
      <c r="H3650">
        <f>IF(A3650="","",'Employees'!F20)</f>
        <v/>
      </c>
    </row>
    <row r="3651">
      <c r="A3651">
        <f>IF(AND('Skill Matrix'!A234&lt;&gt;"",'Skill Matrix'!F5&lt;&gt;""),'Skill Matrix'!A234,"")</f>
        <v/>
      </c>
      <c r="B3651">
        <f>IF(A3651="","",'Employees'!C20)</f>
        <v/>
      </c>
      <c r="C3651">
        <f>IF(A3651="","",'Employees'!D20)</f>
        <v/>
      </c>
      <c r="D3651">
        <f>IF(A3651="","",'Skill Matrix'!C234)</f>
        <v/>
      </c>
      <c r="E3651">
        <f>IF(A3651="","",'Skill Matrix'!D234)</f>
        <v/>
      </c>
      <c r="F3651">
        <f>IF(AND('Skill Matrix'!A234&lt;&gt;"",'Skill Matrix'!F5&lt;&gt;""),'Skill Matrix'!F5,"")</f>
        <v/>
      </c>
      <c r="G3651">
        <f>IF(OR(A3651="",'Skill Matrix'!F234=""),"",'Skill Matrix'!F234)</f>
        <v/>
      </c>
      <c r="H3651">
        <f>IF(A3651="","",'Employees'!F20)</f>
        <v/>
      </c>
    </row>
    <row r="3652">
      <c r="A3652">
        <f>IF(AND('Skill Matrix'!A234&lt;&gt;"",'Skill Matrix'!G5&lt;&gt;""),'Skill Matrix'!A234,"")</f>
        <v/>
      </c>
      <c r="B3652">
        <f>IF(A3652="","",'Employees'!C20)</f>
        <v/>
      </c>
      <c r="C3652">
        <f>IF(A3652="","",'Employees'!D20)</f>
        <v/>
      </c>
      <c r="D3652">
        <f>IF(A3652="","",'Skill Matrix'!C234)</f>
        <v/>
      </c>
      <c r="E3652">
        <f>IF(A3652="","",'Skill Matrix'!D234)</f>
        <v/>
      </c>
      <c r="F3652">
        <f>IF(AND('Skill Matrix'!A234&lt;&gt;"",'Skill Matrix'!G5&lt;&gt;""),'Skill Matrix'!G5,"")</f>
        <v/>
      </c>
      <c r="G3652">
        <f>IF(OR(A3652="",'Skill Matrix'!G234=""),"",'Skill Matrix'!G234)</f>
        <v/>
      </c>
      <c r="H3652">
        <f>IF(A3652="","",'Employees'!F20)</f>
        <v/>
      </c>
    </row>
    <row r="3653">
      <c r="A3653">
        <f>IF(AND('Skill Matrix'!A234&lt;&gt;"",'Skill Matrix'!H5&lt;&gt;""),'Skill Matrix'!A234,"")</f>
        <v/>
      </c>
      <c r="B3653">
        <f>IF(A3653="","",'Employees'!C20)</f>
        <v/>
      </c>
      <c r="C3653">
        <f>IF(A3653="","",'Employees'!D20)</f>
        <v/>
      </c>
      <c r="D3653">
        <f>IF(A3653="","",'Skill Matrix'!C234)</f>
        <v/>
      </c>
      <c r="E3653">
        <f>IF(A3653="","",'Skill Matrix'!D234)</f>
        <v/>
      </c>
      <c r="F3653">
        <f>IF(AND('Skill Matrix'!A234&lt;&gt;"",'Skill Matrix'!H5&lt;&gt;""),'Skill Matrix'!H5,"")</f>
        <v/>
      </c>
      <c r="G3653">
        <f>IF(OR(A3653="",'Skill Matrix'!H234=""),"",'Skill Matrix'!H234)</f>
        <v/>
      </c>
      <c r="H3653">
        <f>IF(A3653="","",'Employees'!F20)</f>
        <v/>
      </c>
    </row>
    <row r="3654">
      <c r="A3654">
        <f>IF(AND('Skill Matrix'!A234&lt;&gt;"",'Skill Matrix'!I5&lt;&gt;""),'Skill Matrix'!A234,"")</f>
        <v/>
      </c>
      <c r="B3654">
        <f>IF(A3654="","",'Employees'!C20)</f>
        <v/>
      </c>
      <c r="C3654">
        <f>IF(A3654="","",'Employees'!D20)</f>
        <v/>
      </c>
      <c r="D3654">
        <f>IF(A3654="","",'Skill Matrix'!C234)</f>
        <v/>
      </c>
      <c r="E3654">
        <f>IF(A3654="","",'Skill Matrix'!D234)</f>
        <v/>
      </c>
      <c r="F3654">
        <f>IF(AND('Skill Matrix'!A234&lt;&gt;"",'Skill Matrix'!I5&lt;&gt;""),'Skill Matrix'!I5,"")</f>
        <v/>
      </c>
      <c r="G3654">
        <f>IF(OR(A3654="",'Skill Matrix'!I234=""),"",'Skill Matrix'!I234)</f>
        <v/>
      </c>
      <c r="H3654">
        <f>IF(A3654="","",'Employees'!F20)</f>
        <v/>
      </c>
    </row>
    <row r="3655">
      <c r="A3655">
        <f>IF(AND('Skill Matrix'!A234&lt;&gt;"",'Skill Matrix'!J5&lt;&gt;""),'Skill Matrix'!A234,"")</f>
        <v/>
      </c>
      <c r="B3655">
        <f>IF(A3655="","",'Employees'!C20)</f>
        <v/>
      </c>
      <c r="C3655">
        <f>IF(A3655="","",'Employees'!D20)</f>
        <v/>
      </c>
      <c r="D3655">
        <f>IF(A3655="","",'Skill Matrix'!C234)</f>
        <v/>
      </c>
      <c r="E3655">
        <f>IF(A3655="","",'Skill Matrix'!D234)</f>
        <v/>
      </c>
      <c r="F3655">
        <f>IF(AND('Skill Matrix'!A234&lt;&gt;"",'Skill Matrix'!J5&lt;&gt;""),'Skill Matrix'!J5,"")</f>
        <v/>
      </c>
      <c r="G3655">
        <f>IF(OR(A3655="",'Skill Matrix'!J234=""),"",'Skill Matrix'!J234)</f>
        <v/>
      </c>
      <c r="H3655">
        <f>IF(A3655="","",'Employees'!F20)</f>
        <v/>
      </c>
    </row>
    <row r="3656">
      <c r="A3656">
        <f>IF(AND('Skill Matrix'!A234&lt;&gt;"",'Skill Matrix'!K5&lt;&gt;""),'Skill Matrix'!A234,"")</f>
        <v/>
      </c>
      <c r="B3656">
        <f>IF(A3656="","",'Employees'!C20)</f>
        <v/>
      </c>
      <c r="C3656">
        <f>IF(A3656="","",'Employees'!D20)</f>
        <v/>
      </c>
      <c r="D3656">
        <f>IF(A3656="","",'Skill Matrix'!C234)</f>
        <v/>
      </c>
      <c r="E3656">
        <f>IF(A3656="","",'Skill Matrix'!D234)</f>
        <v/>
      </c>
      <c r="F3656">
        <f>IF(AND('Skill Matrix'!A234&lt;&gt;"",'Skill Matrix'!K5&lt;&gt;""),'Skill Matrix'!K5,"")</f>
        <v/>
      </c>
      <c r="G3656">
        <f>IF(OR(A3656="",'Skill Matrix'!K234=""),"",'Skill Matrix'!K234)</f>
        <v/>
      </c>
      <c r="H3656">
        <f>IF(A3656="","",'Employees'!F20)</f>
        <v/>
      </c>
    </row>
    <row r="3657">
      <c r="A3657">
        <f>IF(AND('Skill Matrix'!A234&lt;&gt;"",'Skill Matrix'!L5&lt;&gt;""),'Skill Matrix'!A234,"")</f>
        <v/>
      </c>
      <c r="B3657">
        <f>IF(A3657="","",'Employees'!C20)</f>
        <v/>
      </c>
      <c r="C3657">
        <f>IF(A3657="","",'Employees'!D20)</f>
        <v/>
      </c>
      <c r="D3657">
        <f>IF(A3657="","",'Skill Matrix'!C234)</f>
        <v/>
      </c>
      <c r="E3657">
        <f>IF(A3657="","",'Skill Matrix'!D234)</f>
        <v/>
      </c>
      <c r="F3657">
        <f>IF(AND('Skill Matrix'!A234&lt;&gt;"",'Skill Matrix'!L5&lt;&gt;""),'Skill Matrix'!L5,"")</f>
        <v/>
      </c>
      <c r="G3657">
        <f>IF(OR(A3657="",'Skill Matrix'!L234=""),"",'Skill Matrix'!L234)</f>
        <v/>
      </c>
      <c r="H3657">
        <f>IF(A3657="","",'Employees'!F20)</f>
        <v/>
      </c>
    </row>
    <row r="3658">
      <c r="A3658">
        <f>IF(AND('Skill Matrix'!A234&lt;&gt;"",'Skill Matrix'!M5&lt;&gt;""),'Skill Matrix'!A234,"")</f>
        <v/>
      </c>
      <c r="B3658">
        <f>IF(A3658="","",'Employees'!C20)</f>
        <v/>
      </c>
      <c r="C3658">
        <f>IF(A3658="","",'Employees'!D20)</f>
        <v/>
      </c>
      <c r="D3658">
        <f>IF(A3658="","",'Skill Matrix'!C234)</f>
        <v/>
      </c>
      <c r="E3658">
        <f>IF(A3658="","",'Skill Matrix'!D234)</f>
        <v/>
      </c>
      <c r="F3658">
        <f>IF(AND('Skill Matrix'!A234&lt;&gt;"",'Skill Matrix'!M5&lt;&gt;""),'Skill Matrix'!M5,"")</f>
        <v/>
      </c>
      <c r="G3658">
        <f>IF(OR(A3658="",'Skill Matrix'!M234=""),"",'Skill Matrix'!M234)</f>
        <v/>
      </c>
      <c r="H3658">
        <f>IF(A3658="","",'Employees'!F20)</f>
        <v/>
      </c>
    </row>
    <row r="3659">
      <c r="A3659">
        <f>IF(AND('Skill Matrix'!A234&lt;&gt;"",'Skill Matrix'!N5&lt;&gt;""),'Skill Matrix'!A234,"")</f>
        <v/>
      </c>
      <c r="B3659">
        <f>IF(A3659="","",'Employees'!C20)</f>
        <v/>
      </c>
      <c r="C3659">
        <f>IF(A3659="","",'Employees'!D20)</f>
        <v/>
      </c>
      <c r="D3659">
        <f>IF(A3659="","",'Skill Matrix'!C234)</f>
        <v/>
      </c>
      <c r="E3659">
        <f>IF(A3659="","",'Skill Matrix'!D234)</f>
        <v/>
      </c>
      <c r="F3659">
        <f>IF(AND('Skill Matrix'!A234&lt;&gt;"",'Skill Matrix'!N5&lt;&gt;""),'Skill Matrix'!N5,"")</f>
        <v/>
      </c>
      <c r="G3659">
        <f>IF(OR(A3659="",'Skill Matrix'!N234=""),"",'Skill Matrix'!N234)</f>
        <v/>
      </c>
      <c r="H3659">
        <f>IF(A3659="","",'Employees'!F20)</f>
        <v/>
      </c>
    </row>
    <row r="3660">
      <c r="A3660">
        <f>IF(AND('Skill Matrix'!A234&lt;&gt;"",'Skill Matrix'!O5&lt;&gt;""),'Skill Matrix'!A234,"")</f>
        <v/>
      </c>
      <c r="B3660">
        <f>IF(A3660="","",'Employees'!C20)</f>
        <v/>
      </c>
      <c r="C3660">
        <f>IF(A3660="","",'Employees'!D20)</f>
        <v/>
      </c>
      <c r="D3660">
        <f>IF(A3660="","",'Skill Matrix'!C234)</f>
        <v/>
      </c>
      <c r="E3660">
        <f>IF(A3660="","",'Skill Matrix'!D234)</f>
        <v/>
      </c>
      <c r="F3660">
        <f>IF(AND('Skill Matrix'!A234&lt;&gt;"",'Skill Matrix'!O5&lt;&gt;""),'Skill Matrix'!O5,"")</f>
        <v/>
      </c>
      <c r="G3660">
        <f>IF(OR(A3660="",'Skill Matrix'!O234=""),"",'Skill Matrix'!O234)</f>
        <v/>
      </c>
      <c r="H3660">
        <f>IF(A3660="","",'Employees'!F20)</f>
        <v/>
      </c>
    </row>
    <row r="3661">
      <c r="A3661">
        <f>IF(AND('Skill Matrix'!A234&lt;&gt;"",'Skill Matrix'!P5&lt;&gt;""),'Skill Matrix'!A234,"")</f>
        <v/>
      </c>
      <c r="B3661">
        <f>IF(A3661="","",'Employees'!C20)</f>
        <v/>
      </c>
      <c r="C3661">
        <f>IF(A3661="","",'Employees'!D20)</f>
        <v/>
      </c>
      <c r="D3661">
        <f>IF(A3661="","",'Skill Matrix'!C234)</f>
        <v/>
      </c>
      <c r="E3661">
        <f>IF(A3661="","",'Skill Matrix'!D234)</f>
        <v/>
      </c>
      <c r="F3661">
        <f>IF(AND('Skill Matrix'!A234&lt;&gt;"",'Skill Matrix'!P5&lt;&gt;""),'Skill Matrix'!P5,"")</f>
        <v/>
      </c>
      <c r="G3661">
        <f>IF(OR(A3661="",'Skill Matrix'!P234=""),"",'Skill Matrix'!P234)</f>
        <v/>
      </c>
      <c r="H3661">
        <f>IF(A3661="","",'Employees'!F20)</f>
        <v/>
      </c>
    </row>
    <row r="3662">
      <c r="A3662">
        <f>IF(AND('Skill Matrix'!A234&lt;&gt;"",'Skill Matrix'!Q5&lt;&gt;""),'Skill Matrix'!A234,"")</f>
        <v/>
      </c>
      <c r="B3662">
        <f>IF(A3662="","",'Employees'!C20)</f>
        <v/>
      </c>
      <c r="C3662">
        <f>IF(A3662="","",'Employees'!D20)</f>
        <v/>
      </c>
      <c r="D3662">
        <f>IF(A3662="","",'Skill Matrix'!C234)</f>
        <v/>
      </c>
      <c r="E3662">
        <f>IF(A3662="","",'Skill Matrix'!D234)</f>
        <v/>
      </c>
      <c r="F3662">
        <f>IF(AND('Skill Matrix'!A234&lt;&gt;"",'Skill Matrix'!Q5&lt;&gt;""),'Skill Matrix'!Q5,"")</f>
        <v/>
      </c>
      <c r="G3662">
        <f>IF(OR(A3662="",'Skill Matrix'!Q234=""),"",'Skill Matrix'!Q234)</f>
        <v/>
      </c>
      <c r="H3662">
        <f>IF(A3662="","",'Employees'!F20)</f>
        <v/>
      </c>
    </row>
    <row r="3663">
      <c r="A3663">
        <f>IF(AND('Skill Matrix'!A234&lt;&gt;"",'Skill Matrix'!R5&lt;&gt;""),'Skill Matrix'!A234,"")</f>
        <v/>
      </c>
      <c r="B3663">
        <f>IF(A3663="","",'Employees'!C20)</f>
        <v/>
      </c>
      <c r="C3663">
        <f>IF(A3663="","",'Employees'!D20)</f>
        <v/>
      </c>
      <c r="D3663">
        <f>IF(A3663="","",'Skill Matrix'!C234)</f>
        <v/>
      </c>
      <c r="E3663">
        <f>IF(A3663="","",'Skill Matrix'!D234)</f>
        <v/>
      </c>
      <c r="F3663">
        <f>IF(AND('Skill Matrix'!A234&lt;&gt;"",'Skill Matrix'!R5&lt;&gt;""),'Skill Matrix'!R5,"")</f>
        <v/>
      </c>
      <c r="G3663">
        <f>IF(OR(A3663="",'Skill Matrix'!R234=""),"",'Skill Matrix'!R234)</f>
        <v/>
      </c>
      <c r="H3663">
        <f>IF(A3663="","",'Employees'!F20)</f>
        <v/>
      </c>
    </row>
    <row r="3664">
      <c r="A3664">
        <f>IF(AND('Skill Matrix'!A234&lt;&gt;"",'Skill Matrix'!S5&lt;&gt;""),'Skill Matrix'!A234,"")</f>
        <v/>
      </c>
      <c r="B3664">
        <f>IF(A3664="","",'Employees'!C20)</f>
        <v/>
      </c>
      <c r="C3664">
        <f>IF(A3664="","",'Employees'!D20)</f>
        <v/>
      </c>
      <c r="D3664">
        <f>IF(A3664="","",'Skill Matrix'!C234)</f>
        <v/>
      </c>
      <c r="E3664">
        <f>IF(A3664="","",'Skill Matrix'!D234)</f>
        <v/>
      </c>
      <c r="F3664">
        <f>IF(AND('Skill Matrix'!A234&lt;&gt;"",'Skill Matrix'!S5&lt;&gt;""),'Skill Matrix'!S5,"")</f>
        <v/>
      </c>
      <c r="G3664">
        <f>IF(OR(A3664="",'Skill Matrix'!S234=""),"",'Skill Matrix'!S234)</f>
        <v/>
      </c>
      <c r="H3664">
        <f>IF(A3664="","",'Employees'!F20)</f>
        <v/>
      </c>
    </row>
    <row r="3665">
      <c r="A3665">
        <f>IF(AND('Skill Matrix'!A234&lt;&gt;"",'Skill Matrix'!T5&lt;&gt;""),'Skill Matrix'!A234,"")</f>
        <v/>
      </c>
      <c r="B3665">
        <f>IF(A3665="","",'Employees'!C20)</f>
        <v/>
      </c>
      <c r="C3665">
        <f>IF(A3665="","",'Employees'!D20)</f>
        <v/>
      </c>
      <c r="D3665">
        <f>IF(A3665="","",'Skill Matrix'!C234)</f>
        <v/>
      </c>
      <c r="E3665">
        <f>IF(A3665="","",'Skill Matrix'!D234)</f>
        <v/>
      </c>
      <c r="F3665">
        <f>IF(AND('Skill Matrix'!A234&lt;&gt;"",'Skill Matrix'!T5&lt;&gt;""),'Skill Matrix'!T5,"")</f>
        <v/>
      </c>
      <c r="G3665">
        <f>IF(OR(A3665="",'Skill Matrix'!T234=""),"",'Skill Matrix'!T234)</f>
        <v/>
      </c>
      <c r="H3665">
        <f>IF(A3665="","",'Employees'!F20)</f>
        <v/>
      </c>
    </row>
    <row r="3666">
      <c r="A3666">
        <f>IF(AND('Skill Matrix'!A235&lt;&gt;"",'Skill Matrix'!E5&lt;&gt;""),'Skill Matrix'!A235,"")</f>
        <v/>
      </c>
      <c r="B3666">
        <f>IF(A3666="","",'Employees'!C20)</f>
        <v/>
      </c>
      <c r="C3666">
        <f>IF(A3666="","",'Employees'!D20)</f>
        <v/>
      </c>
      <c r="D3666">
        <f>IF(A3666="","",'Skill Matrix'!C235)</f>
        <v/>
      </c>
      <c r="E3666">
        <f>IF(A3666="","",'Skill Matrix'!D235)</f>
        <v/>
      </c>
      <c r="F3666">
        <f>IF(AND('Skill Matrix'!A235&lt;&gt;"",'Skill Matrix'!E5&lt;&gt;""),'Skill Matrix'!E5,"")</f>
        <v/>
      </c>
      <c r="G3666">
        <f>IF(OR(A3666="",'Skill Matrix'!E235=""),"",'Skill Matrix'!E235)</f>
        <v/>
      </c>
      <c r="H3666">
        <f>IF(A3666="","",'Employees'!F20)</f>
        <v/>
      </c>
    </row>
    <row r="3667">
      <c r="A3667">
        <f>IF(AND('Skill Matrix'!A235&lt;&gt;"",'Skill Matrix'!F5&lt;&gt;""),'Skill Matrix'!A235,"")</f>
        <v/>
      </c>
      <c r="B3667">
        <f>IF(A3667="","",'Employees'!C20)</f>
        <v/>
      </c>
      <c r="C3667">
        <f>IF(A3667="","",'Employees'!D20)</f>
        <v/>
      </c>
      <c r="D3667">
        <f>IF(A3667="","",'Skill Matrix'!C235)</f>
        <v/>
      </c>
      <c r="E3667">
        <f>IF(A3667="","",'Skill Matrix'!D235)</f>
        <v/>
      </c>
      <c r="F3667">
        <f>IF(AND('Skill Matrix'!A235&lt;&gt;"",'Skill Matrix'!F5&lt;&gt;""),'Skill Matrix'!F5,"")</f>
        <v/>
      </c>
      <c r="G3667">
        <f>IF(OR(A3667="",'Skill Matrix'!F235=""),"",'Skill Matrix'!F235)</f>
        <v/>
      </c>
      <c r="H3667">
        <f>IF(A3667="","",'Employees'!F20)</f>
        <v/>
      </c>
    </row>
    <row r="3668">
      <c r="A3668">
        <f>IF(AND('Skill Matrix'!A235&lt;&gt;"",'Skill Matrix'!G5&lt;&gt;""),'Skill Matrix'!A235,"")</f>
        <v/>
      </c>
      <c r="B3668">
        <f>IF(A3668="","",'Employees'!C20)</f>
        <v/>
      </c>
      <c r="C3668">
        <f>IF(A3668="","",'Employees'!D20)</f>
        <v/>
      </c>
      <c r="D3668">
        <f>IF(A3668="","",'Skill Matrix'!C235)</f>
        <v/>
      </c>
      <c r="E3668">
        <f>IF(A3668="","",'Skill Matrix'!D235)</f>
        <v/>
      </c>
      <c r="F3668">
        <f>IF(AND('Skill Matrix'!A235&lt;&gt;"",'Skill Matrix'!G5&lt;&gt;""),'Skill Matrix'!G5,"")</f>
        <v/>
      </c>
      <c r="G3668">
        <f>IF(OR(A3668="",'Skill Matrix'!G235=""),"",'Skill Matrix'!G235)</f>
        <v/>
      </c>
      <c r="H3668">
        <f>IF(A3668="","",'Employees'!F20)</f>
        <v/>
      </c>
    </row>
    <row r="3669">
      <c r="A3669">
        <f>IF(AND('Skill Matrix'!A235&lt;&gt;"",'Skill Matrix'!H5&lt;&gt;""),'Skill Matrix'!A235,"")</f>
        <v/>
      </c>
      <c r="B3669">
        <f>IF(A3669="","",'Employees'!C20)</f>
        <v/>
      </c>
      <c r="C3669">
        <f>IF(A3669="","",'Employees'!D20)</f>
        <v/>
      </c>
      <c r="D3669">
        <f>IF(A3669="","",'Skill Matrix'!C235)</f>
        <v/>
      </c>
      <c r="E3669">
        <f>IF(A3669="","",'Skill Matrix'!D235)</f>
        <v/>
      </c>
      <c r="F3669">
        <f>IF(AND('Skill Matrix'!A235&lt;&gt;"",'Skill Matrix'!H5&lt;&gt;""),'Skill Matrix'!H5,"")</f>
        <v/>
      </c>
      <c r="G3669">
        <f>IF(OR(A3669="",'Skill Matrix'!H235=""),"",'Skill Matrix'!H235)</f>
        <v/>
      </c>
      <c r="H3669">
        <f>IF(A3669="","",'Employees'!F20)</f>
        <v/>
      </c>
    </row>
    <row r="3670">
      <c r="A3670">
        <f>IF(AND('Skill Matrix'!A235&lt;&gt;"",'Skill Matrix'!I5&lt;&gt;""),'Skill Matrix'!A235,"")</f>
        <v/>
      </c>
      <c r="B3670">
        <f>IF(A3670="","",'Employees'!C20)</f>
        <v/>
      </c>
      <c r="C3670">
        <f>IF(A3670="","",'Employees'!D20)</f>
        <v/>
      </c>
      <c r="D3670">
        <f>IF(A3670="","",'Skill Matrix'!C235)</f>
        <v/>
      </c>
      <c r="E3670">
        <f>IF(A3670="","",'Skill Matrix'!D235)</f>
        <v/>
      </c>
      <c r="F3670">
        <f>IF(AND('Skill Matrix'!A235&lt;&gt;"",'Skill Matrix'!I5&lt;&gt;""),'Skill Matrix'!I5,"")</f>
        <v/>
      </c>
      <c r="G3670">
        <f>IF(OR(A3670="",'Skill Matrix'!I235=""),"",'Skill Matrix'!I235)</f>
        <v/>
      </c>
      <c r="H3670">
        <f>IF(A3670="","",'Employees'!F20)</f>
        <v/>
      </c>
    </row>
    <row r="3671">
      <c r="A3671">
        <f>IF(AND('Skill Matrix'!A235&lt;&gt;"",'Skill Matrix'!J5&lt;&gt;""),'Skill Matrix'!A235,"")</f>
        <v/>
      </c>
      <c r="B3671">
        <f>IF(A3671="","",'Employees'!C20)</f>
        <v/>
      </c>
      <c r="C3671">
        <f>IF(A3671="","",'Employees'!D20)</f>
        <v/>
      </c>
      <c r="D3671">
        <f>IF(A3671="","",'Skill Matrix'!C235)</f>
        <v/>
      </c>
      <c r="E3671">
        <f>IF(A3671="","",'Skill Matrix'!D235)</f>
        <v/>
      </c>
      <c r="F3671">
        <f>IF(AND('Skill Matrix'!A235&lt;&gt;"",'Skill Matrix'!J5&lt;&gt;""),'Skill Matrix'!J5,"")</f>
        <v/>
      </c>
      <c r="G3671">
        <f>IF(OR(A3671="",'Skill Matrix'!J235=""),"",'Skill Matrix'!J235)</f>
        <v/>
      </c>
      <c r="H3671">
        <f>IF(A3671="","",'Employees'!F20)</f>
        <v/>
      </c>
    </row>
    <row r="3672">
      <c r="A3672">
        <f>IF(AND('Skill Matrix'!A235&lt;&gt;"",'Skill Matrix'!K5&lt;&gt;""),'Skill Matrix'!A235,"")</f>
        <v/>
      </c>
      <c r="B3672">
        <f>IF(A3672="","",'Employees'!C20)</f>
        <v/>
      </c>
      <c r="C3672">
        <f>IF(A3672="","",'Employees'!D20)</f>
        <v/>
      </c>
      <c r="D3672">
        <f>IF(A3672="","",'Skill Matrix'!C235)</f>
        <v/>
      </c>
      <c r="E3672">
        <f>IF(A3672="","",'Skill Matrix'!D235)</f>
        <v/>
      </c>
      <c r="F3672">
        <f>IF(AND('Skill Matrix'!A235&lt;&gt;"",'Skill Matrix'!K5&lt;&gt;""),'Skill Matrix'!K5,"")</f>
        <v/>
      </c>
      <c r="G3672">
        <f>IF(OR(A3672="",'Skill Matrix'!K235=""),"",'Skill Matrix'!K235)</f>
        <v/>
      </c>
      <c r="H3672">
        <f>IF(A3672="","",'Employees'!F20)</f>
        <v/>
      </c>
    </row>
    <row r="3673">
      <c r="A3673">
        <f>IF(AND('Skill Matrix'!A235&lt;&gt;"",'Skill Matrix'!L5&lt;&gt;""),'Skill Matrix'!A235,"")</f>
        <v/>
      </c>
      <c r="B3673">
        <f>IF(A3673="","",'Employees'!C20)</f>
        <v/>
      </c>
      <c r="C3673">
        <f>IF(A3673="","",'Employees'!D20)</f>
        <v/>
      </c>
      <c r="D3673">
        <f>IF(A3673="","",'Skill Matrix'!C235)</f>
        <v/>
      </c>
      <c r="E3673">
        <f>IF(A3673="","",'Skill Matrix'!D235)</f>
        <v/>
      </c>
      <c r="F3673">
        <f>IF(AND('Skill Matrix'!A235&lt;&gt;"",'Skill Matrix'!L5&lt;&gt;""),'Skill Matrix'!L5,"")</f>
        <v/>
      </c>
      <c r="G3673">
        <f>IF(OR(A3673="",'Skill Matrix'!L235=""),"",'Skill Matrix'!L235)</f>
        <v/>
      </c>
      <c r="H3673">
        <f>IF(A3673="","",'Employees'!F20)</f>
        <v/>
      </c>
    </row>
    <row r="3674">
      <c r="A3674">
        <f>IF(AND('Skill Matrix'!A235&lt;&gt;"",'Skill Matrix'!M5&lt;&gt;""),'Skill Matrix'!A235,"")</f>
        <v/>
      </c>
      <c r="B3674">
        <f>IF(A3674="","",'Employees'!C20)</f>
        <v/>
      </c>
      <c r="C3674">
        <f>IF(A3674="","",'Employees'!D20)</f>
        <v/>
      </c>
      <c r="D3674">
        <f>IF(A3674="","",'Skill Matrix'!C235)</f>
        <v/>
      </c>
      <c r="E3674">
        <f>IF(A3674="","",'Skill Matrix'!D235)</f>
        <v/>
      </c>
      <c r="F3674">
        <f>IF(AND('Skill Matrix'!A235&lt;&gt;"",'Skill Matrix'!M5&lt;&gt;""),'Skill Matrix'!M5,"")</f>
        <v/>
      </c>
      <c r="G3674">
        <f>IF(OR(A3674="",'Skill Matrix'!M235=""),"",'Skill Matrix'!M235)</f>
        <v/>
      </c>
      <c r="H3674">
        <f>IF(A3674="","",'Employees'!F20)</f>
        <v/>
      </c>
    </row>
    <row r="3675">
      <c r="A3675">
        <f>IF(AND('Skill Matrix'!A235&lt;&gt;"",'Skill Matrix'!N5&lt;&gt;""),'Skill Matrix'!A235,"")</f>
        <v/>
      </c>
      <c r="B3675">
        <f>IF(A3675="","",'Employees'!C20)</f>
        <v/>
      </c>
      <c r="C3675">
        <f>IF(A3675="","",'Employees'!D20)</f>
        <v/>
      </c>
      <c r="D3675">
        <f>IF(A3675="","",'Skill Matrix'!C235)</f>
        <v/>
      </c>
      <c r="E3675">
        <f>IF(A3675="","",'Skill Matrix'!D235)</f>
        <v/>
      </c>
      <c r="F3675">
        <f>IF(AND('Skill Matrix'!A235&lt;&gt;"",'Skill Matrix'!N5&lt;&gt;""),'Skill Matrix'!N5,"")</f>
        <v/>
      </c>
      <c r="G3675">
        <f>IF(OR(A3675="",'Skill Matrix'!N235=""),"",'Skill Matrix'!N235)</f>
        <v/>
      </c>
      <c r="H3675">
        <f>IF(A3675="","",'Employees'!F20)</f>
        <v/>
      </c>
    </row>
    <row r="3676">
      <c r="A3676">
        <f>IF(AND('Skill Matrix'!A235&lt;&gt;"",'Skill Matrix'!O5&lt;&gt;""),'Skill Matrix'!A235,"")</f>
        <v/>
      </c>
      <c r="B3676">
        <f>IF(A3676="","",'Employees'!C20)</f>
        <v/>
      </c>
      <c r="C3676">
        <f>IF(A3676="","",'Employees'!D20)</f>
        <v/>
      </c>
      <c r="D3676">
        <f>IF(A3676="","",'Skill Matrix'!C235)</f>
        <v/>
      </c>
      <c r="E3676">
        <f>IF(A3676="","",'Skill Matrix'!D235)</f>
        <v/>
      </c>
      <c r="F3676">
        <f>IF(AND('Skill Matrix'!A235&lt;&gt;"",'Skill Matrix'!O5&lt;&gt;""),'Skill Matrix'!O5,"")</f>
        <v/>
      </c>
      <c r="G3676">
        <f>IF(OR(A3676="",'Skill Matrix'!O235=""),"",'Skill Matrix'!O235)</f>
        <v/>
      </c>
      <c r="H3676">
        <f>IF(A3676="","",'Employees'!F20)</f>
        <v/>
      </c>
    </row>
    <row r="3677">
      <c r="A3677">
        <f>IF(AND('Skill Matrix'!A235&lt;&gt;"",'Skill Matrix'!P5&lt;&gt;""),'Skill Matrix'!A235,"")</f>
        <v/>
      </c>
      <c r="B3677">
        <f>IF(A3677="","",'Employees'!C20)</f>
        <v/>
      </c>
      <c r="C3677">
        <f>IF(A3677="","",'Employees'!D20)</f>
        <v/>
      </c>
      <c r="D3677">
        <f>IF(A3677="","",'Skill Matrix'!C235)</f>
        <v/>
      </c>
      <c r="E3677">
        <f>IF(A3677="","",'Skill Matrix'!D235)</f>
        <v/>
      </c>
      <c r="F3677">
        <f>IF(AND('Skill Matrix'!A235&lt;&gt;"",'Skill Matrix'!P5&lt;&gt;""),'Skill Matrix'!P5,"")</f>
        <v/>
      </c>
      <c r="G3677">
        <f>IF(OR(A3677="",'Skill Matrix'!P235=""),"",'Skill Matrix'!P235)</f>
        <v/>
      </c>
      <c r="H3677">
        <f>IF(A3677="","",'Employees'!F20)</f>
        <v/>
      </c>
    </row>
    <row r="3678">
      <c r="A3678">
        <f>IF(AND('Skill Matrix'!A235&lt;&gt;"",'Skill Matrix'!Q5&lt;&gt;""),'Skill Matrix'!A235,"")</f>
        <v/>
      </c>
      <c r="B3678">
        <f>IF(A3678="","",'Employees'!C20)</f>
        <v/>
      </c>
      <c r="C3678">
        <f>IF(A3678="","",'Employees'!D20)</f>
        <v/>
      </c>
      <c r="D3678">
        <f>IF(A3678="","",'Skill Matrix'!C235)</f>
        <v/>
      </c>
      <c r="E3678">
        <f>IF(A3678="","",'Skill Matrix'!D235)</f>
        <v/>
      </c>
      <c r="F3678">
        <f>IF(AND('Skill Matrix'!A235&lt;&gt;"",'Skill Matrix'!Q5&lt;&gt;""),'Skill Matrix'!Q5,"")</f>
        <v/>
      </c>
      <c r="G3678">
        <f>IF(OR(A3678="",'Skill Matrix'!Q235=""),"",'Skill Matrix'!Q235)</f>
        <v/>
      </c>
      <c r="H3678">
        <f>IF(A3678="","",'Employees'!F20)</f>
        <v/>
      </c>
    </row>
    <row r="3679">
      <c r="A3679">
        <f>IF(AND('Skill Matrix'!A235&lt;&gt;"",'Skill Matrix'!R5&lt;&gt;""),'Skill Matrix'!A235,"")</f>
        <v/>
      </c>
      <c r="B3679">
        <f>IF(A3679="","",'Employees'!C20)</f>
        <v/>
      </c>
      <c r="C3679">
        <f>IF(A3679="","",'Employees'!D20)</f>
        <v/>
      </c>
      <c r="D3679">
        <f>IF(A3679="","",'Skill Matrix'!C235)</f>
        <v/>
      </c>
      <c r="E3679">
        <f>IF(A3679="","",'Skill Matrix'!D235)</f>
        <v/>
      </c>
      <c r="F3679">
        <f>IF(AND('Skill Matrix'!A235&lt;&gt;"",'Skill Matrix'!R5&lt;&gt;""),'Skill Matrix'!R5,"")</f>
        <v/>
      </c>
      <c r="G3679">
        <f>IF(OR(A3679="",'Skill Matrix'!R235=""),"",'Skill Matrix'!R235)</f>
        <v/>
      </c>
      <c r="H3679">
        <f>IF(A3679="","",'Employees'!F20)</f>
        <v/>
      </c>
    </row>
    <row r="3680">
      <c r="A3680">
        <f>IF(AND('Skill Matrix'!A235&lt;&gt;"",'Skill Matrix'!S5&lt;&gt;""),'Skill Matrix'!A235,"")</f>
        <v/>
      </c>
      <c r="B3680">
        <f>IF(A3680="","",'Employees'!C20)</f>
        <v/>
      </c>
      <c r="C3680">
        <f>IF(A3680="","",'Employees'!D20)</f>
        <v/>
      </c>
      <c r="D3680">
        <f>IF(A3680="","",'Skill Matrix'!C235)</f>
        <v/>
      </c>
      <c r="E3680">
        <f>IF(A3680="","",'Skill Matrix'!D235)</f>
        <v/>
      </c>
      <c r="F3680">
        <f>IF(AND('Skill Matrix'!A235&lt;&gt;"",'Skill Matrix'!S5&lt;&gt;""),'Skill Matrix'!S5,"")</f>
        <v/>
      </c>
      <c r="G3680">
        <f>IF(OR(A3680="",'Skill Matrix'!S235=""),"",'Skill Matrix'!S235)</f>
        <v/>
      </c>
      <c r="H3680">
        <f>IF(A3680="","",'Employees'!F20)</f>
        <v/>
      </c>
    </row>
    <row r="3681">
      <c r="A3681">
        <f>IF(AND('Skill Matrix'!A235&lt;&gt;"",'Skill Matrix'!T5&lt;&gt;""),'Skill Matrix'!A235,"")</f>
        <v/>
      </c>
      <c r="B3681">
        <f>IF(A3681="","",'Employees'!C20)</f>
        <v/>
      </c>
      <c r="C3681">
        <f>IF(A3681="","",'Employees'!D20)</f>
        <v/>
      </c>
      <c r="D3681">
        <f>IF(A3681="","",'Skill Matrix'!C235)</f>
        <v/>
      </c>
      <c r="E3681">
        <f>IF(A3681="","",'Skill Matrix'!D235)</f>
        <v/>
      </c>
      <c r="F3681">
        <f>IF(AND('Skill Matrix'!A235&lt;&gt;"",'Skill Matrix'!T5&lt;&gt;""),'Skill Matrix'!T5,"")</f>
        <v/>
      </c>
      <c r="G3681">
        <f>IF(OR(A3681="",'Skill Matrix'!T235=""),"",'Skill Matrix'!T235)</f>
        <v/>
      </c>
      <c r="H3681">
        <f>IF(A3681="","",'Employees'!F20)</f>
        <v/>
      </c>
    </row>
    <row r="3682">
      <c r="A3682">
        <f>IF(AND('Skill Matrix'!A236&lt;&gt;"",'Skill Matrix'!E5&lt;&gt;""),'Skill Matrix'!A236,"")</f>
        <v/>
      </c>
      <c r="B3682">
        <f>IF(A3682="","",'Employees'!C20)</f>
        <v/>
      </c>
      <c r="C3682">
        <f>IF(A3682="","",'Employees'!D20)</f>
        <v/>
      </c>
      <c r="D3682">
        <f>IF(A3682="","",'Skill Matrix'!C236)</f>
        <v/>
      </c>
      <c r="E3682">
        <f>IF(A3682="","",'Skill Matrix'!D236)</f>
        <v/>
      </c>
      <c r="F3682">
        <f>IF(AND('Skill Matrix'!A236&lt;&gt;"",'Skill Matrix'!E5&lt;&gt;""),'Skill Matrix'!E5,"")</f>
        <v/>
      </c>
      <c r="G3682">
        <f>IF(OR(A3682="",'Skill Matrix'!E236=""),"",'Skill Matrix'!E236)</f>
        <v/>
      </c>
      <c r="H3682">
        <f>IF(A3682="","",'Employees'!F20)</f>
        <v/>
      </c>
    </row>
    <row r="3683">
      <c r="A3683">
        <f>IF(AND('Skill Matrix'!A236&lt;&gt;"",'Skill Matrix'!F5&lt;&gt;""),'Skill Matrix'!A236,"")</f>
        <v/>
      </c>
      <c r="B3683">
        <f>IF(A3683="","",'Employees'!C20)</f>
        <v/>
      </c>
      <c r="C3683">
        <f>IF(A3683="","",'Employees'!D20)</f>
        <v/>
      </c>
      <c r="D3683">
        <f>IF(A3683="","",'Skill Matrix'!C236)</f>
        <v/>
      </c>
      <c r="E3683">
        <f>IF(A3683="","",'Skill Matrix'!D236)</f>
        <v/>
      </c>
      <c r="F3683">
        <f>IF(AND('Skill Matrix'!A236&lt;&gt;"",'Skill Matrix'!F5&lt;&gt;""),'Skill Matrix'!F5,"")</f>
        <v/>
      </c>
      <c r="G3683">
        <f>IF(OR(A3683="",'Skill Matrix'!F236=""),"",'Skill Matrix'!F236)</f>
        <v/>
      </c>
      <c r="H3683">
        <f>IF(A3683="","",'Employees'!F20)</f>
        <v/>
      </c>
    </row>
    <row r="3684">
      <c r="A3684">
        <f>IF(AND('Skill Matrix'!A236&lt;&gt;"",'Skill Matrix'!G5&lt;&gt;""),'Skill Matrix'!A236,"")</f>
        <v/>
      </c>
      <c r="B3684">
        <f>IF(A3684="","",'Employees'!C20)</f>
        <v/>
      </c>
      <c r="C3684">
        <f>IF(A3684="","",'Employees'!D20)</f>
        <v/>
      </c>
      <c r="D3684">
        <f>IF(A3684="","",'Skill Matrix'!C236)</f>
        <v/>
      </c>
      <c r="E3684">
        <f>IF(A3684="","",'Skill Matrix'!D236)</f>
        <v/>
      </c>
      <c r="F3684">
        <f>IF(AND('Skill Matrix'!A236&lt;&gt;"",'Skill Matrix'!G5&lt;&gt;""),'Skill Matrix'!G5,"")</f>
        <v/>
      </c>
      <c r="G3684">
        <f>IF(OR(A3684="",'Skill Matrix'!G236=""),"",'Skill Matrix'!G236)</f>
        <v/>
      </c>
      <c r="H3684">
        <f>IF(A3684="","",'Employees'!F20)</f>
        <v/>
      </c>
    </row>
    <row r="3685">
      <c r="A3685">
        <f>IF(AND('Skill Matrix'!A236&lt;&gt;"",'Skill Matrix'!H5&lt;&gt;""),'Skill Matrix'!A236,"")</f>
        <v/>
      </c>
      <c r="B3685">
        <f>IF(A3685="","",'Employees'!C20)</f>
        <v/>
      </c>
      <c r="C3685">
        <f>IF(A3685="","",'Employees'!D20)</f>
        <v/>
      </c>
      <c r="D3685">
        <f>IF(A3685="","",'Skill Matrix'!C236)</f>
        <v/>
      </c>
      <c r="E3685">
        <f>IF(A3685="","",'Skill Matrix'!D236)</f>
        <v/>
      </c>
      <c r="F3685">
        <f>IF(AND('Skill Matrix'!A236&lt;&gt;"",'Skill Matrix'!H5&lt;&gt;""),'Skill Matrix'!H5,"")</f>
        <v/>
      </c>
      <c r="G3685">
        <f>IF(OR(A3685="",'Skill Matrix'!H236=""),"",'Skill Matrix'!H236)</f>
        <v/>
      </c>
      <c r="H3685">
        <f>IF(A3685="","",'Employees'!F20)</f>
        <v/>
      </c>
    </row>
    <row r="3686">
      <c r="A3686">
        <f>IF(AND('Skill Matrix'!A236&lt;&gt;"",'Skill Matrix'!I5&lt;&gt;""),'Skill Matrix'!A236,"")</f>
        <v/>
      </c>
      <c r="B3686">
        <f>IF(A3686="","",'Employees'!C20)</f>
        <v/>
      </c>
      <c r="C3686">
        <f>IF(A3686="","",'Employees'!D20)</f>
        <v/>
      </c>
      <c r="D3686">
        <f>IF(A3686="","",'Skill Matrix'!C236)</f>
        <v/>
      </c>
      <c r="E3686">
        <f>IF(A3686="","",'Skill Matrix'!D236)</f>
        <v/>
      </c>
      <c r="F3686">
        <f>IF(AND('Skill Matrix'!A236&lt;&gt;"",'Skill Matrix'!I5&lt;&gt;""),'Skill Matrix'!I5,"")</f>
        <v/>
      </c>
      <c r="G3686">
        <f>IF(OR(A3686="",'Skill Matrix'!I236=""),"",'Skill Matrix'!I236)</f>
        <v/>
      </c>
      <c r="H3686">
        <f>IF(A3686="","",'Employees'!F20)</f>
        <v/>
      </c>
    </row>
    <row r="3687">
      <c r="A3687">
        <f>IF(AND('Skill Matrix'!A236&lt;&gt;"",'Skill Matrix'!J5&lt;&gt;""),'Skill Matrix'!A236,"")</f>
        <v/>
      </c>
      <c r="B3687">
        <f>IF(A3687="","",'Employees'!C20)</f>
        <v/>
      </c>
      <c r="C3687">
        <f>IF(A3687="","",'Employees'!D20)</f>
        <v/>
      </c>
      <c r="D3687">
        <f>IF(A3687="","",'Skill Matrix'!C236)</f>
        <v/>
      </c>
      <c r="E3687">
        <f>IF(A3687="","",'Skill Matrix'!D236)</f>
        <v/>
      </c>
      <c r="F3687">
        <f>IF(AND('Skill Matrix'!A236&lt;&gt;"",'Skill Matrix'!J5&lt;&gt;""),'Skill Matrix'!J5,"")</f>
        <v/>
      </c>
      <c r="G3687">
        <f>IF(OR(A3687="",'Skill Matrix'!J236=""),"",'Skill Matrix'!J236)</f>
        <v/>
      </c>
      <c r="H3687">
        <f>IF(A3687="","",'Employees'!F20)</f>
        <v/>
      </c>
    </row>
    <row r="3688">
      <c r="A3688">
        <f>IF(AND('Skill Matrix'!A236&lt;&gt;"",'Skill Matrix'!K5&lt;&gt;""),'Skill Matrix'!A236,"")</f>
        <v/>
      </c>
      <c r="B3688">
        <f>IF(A3688="","",'Employees'!C20)</f>
        <v/>
      </c>
      <c r="C3688">
        <f>IF(A3688="","",'Employees'!D20)</f>
        <v/>
      </c>
      <c r="D3688">
        <f>IF(A3688="","",'Skill Matrix'!C236)</f>
        <v/>
      </c>
      <c r="E3688">
        <f>IF(A3688="","",'Skill Matrix'!D236)</f>
        <v/>
      </c>
      <c r="F3688">
        <f>IF(AND('Skill Matrix'!A236&lt;&gt;"",'Skill Matrix'!K5&lt;&gt;""),'Skill Matrix'!K5,"")</f>
        <v/>
      </c>
      <c r="G3688">
        <f>IF(OR(A3688="",'Skill Matrix'!K236=""),"",'Skill Matrix'!K236)</f>
        <v/>
      </c>
      <c r="H3688">
        <f>IF(A3688="","",'Employees'!F20)</f>
        <v/>
      </c>
    </row>
    <row r="3689">
      <c r="A3689">
        <f>IF(AND('Skill Matrix'!A236&lt;&gt;"",'Skill Matrix'!L5&lt;&gt;""),'Skill Matrix'!A236,"")</f>
        <v/>
      </c>
      <c r="B3689">
        <f>IF(A3689="","",'Employees'!C20)</f>
        <v/>
      </c>
      <c r="C3689">
        <f>IF(A3689="","",'Employees'!D20)</f>
        <v/>
      </c>
      <c r="D3689">
        <f>IF(A3689="","",'Skill Matrix'!C236)</f>
        <v/>
      </c>
      <c r="E3689">
        <f>IF(A3689="","",'Skill Matrix'!D236)</f>
        <v/>
      </c>
      <c r="F3689">
        <f>IF(AND('Skill Matrix'!A236&lt;&gt;"",'Skill Matrix'!L5&lt;&gt;""),'Skill Matrix'!L5,"")</f>
        <v/>
      </c>
      <c r="G3689">
        <f>IF(OR(A3689="",'Skill Matrix'!L236=""),"",'Skill Matrix'!L236)</f>
        <v/>
      </c>
      <c r="H3689">
        <f>IF(A3689="","",'Employees'!F20)</f>
        <v/>
      </c>
    </row>
    <row r="3690">
      <c r="A3690">
        <f>IF(AND('Skill Matrix'!A236&lt;&gt;"",'Skill Matrix'!M5&lt;&gt;""),'Skill Matrix'!A236,"")</f>
        <v/>
      </c>
      <c r="B3690">
        <f>IF(A3690="","",'Employees'!C20)</f>
        <v/>
      </c>
      <c r="C3690">
        <f>IF(A3690="","",'Employees'!D20)</f>
        <v/>
      </c>
      <c r="D3690">
        <f>IF(A3690="","",'Skill Matrix'!C236)</f>
        <v/>
      </c>
      <c r="E3690">
        <f>IF(A3690="","",'Skill Matrix'!D236)</f>
        <v/>
      </c>
      <c r="F3690">
        <f>IF(AND('Skill Matrix'!A236&lt;&gt;"",'Skill Matrix'!M5&lt;&gt;""),'Skill Matrix'!M5,"")</f>
        <v/>
      </c>
      <c r="G3690">
        <f>IF(OR(A3690="",'Skill Matrix'!M236=""),"",'Skill Matrix'!M236)</f>
        <v/>
      </c>
      <c r="H3690">
        <f>IF(A3690="","",'Employees'!F20)</f>
        <v/>
      </c>
    </row>
    <row r="3691">
      <c r="A3691">
        <f>IF(AND('Skill Matrix'!A236&lt;&gt;"",'Skill Matrix'!N5&lt;&gt;""),'Skill Matrix'!A236,"")</f>
        <v/>
      </c>
      <c r="B3691">
        <f>IF(A3691="","",'Employees'!C20)</f>
        <v/>
      </c>
      <c r="C3691">
        <f>IF(A3691="","",'Employees'!D20)</f>
        <v/>
      </c>
      <c r="D3691">
        <f>IF(A3691="","",'Skill Matrix'!C236)</f>
        <v/>
      </c>
      <c r="E3691">
        <f>IF(A3691="","",'Skill Matrix'!D236)</f>
        <v/>
      </c>
      <c r="F3691">
        <f>IF(AND('Skill Matrix'!A236&lt;&gt;"",'Skill Matrix'!N5&lt;&gt;""),'Skill Matrix'!N5,"")</f>
        <v/>
      </c>
      <c r="G3691">
        <f>IF(OR(A3691="",'Skill Matrix'!N236=""),"",'Skill Matrix'!N236)</f>
        <v/>
      </c>
      <c r="H3691">
        <f>IF(A3691="","",'Employees'!F20)</f>
        <v/>
      </c>
    </row>
    <row r="3692">
      <c r="A3692">
        <f>IF(AND('Skill Matrix'!A236&lt;&gt;"",'Skill Matrix'!O5&lt;&gt;""),'Skill Matrix'!A236,"")</f>
        <v/>
      </c>
      <c r="B3692">
        <f>IF(A3692="","",'Employees'!C20)</f>
        <v/>
      </c>
      <c r="C3692">
        <f>IF(A3692="","",'Employees'!D20)</f>
        <v/>
      </c>
      <c r="D3692">
        <f>IF(A3692="","",'Skill Matrix'!C236)</f>
        <v/>
      </c>
      <c r="E3692">
        <f>IF(A3692="","",'Skill Matrix'!D236)</f>
        <v/>
      </c>
      <c r="F3692">
        <f>IF(AND('Skill Matrix'!A236&lt;&gt;"",'Skill Matrix'!O5&lt;&gt;""),'Skill Matrix'!O5,"")</f>
        <v/>
      </c>
      <c r="G3692">
        <f>IF(OR(A3692="",'Skill Matrix'!O236=""),"",'Skill Matrix'!O236)</f>
        <v/>
      </c>
      <c r="H3692">
        <f>IF(A3692="","",'Employees'!F20)</f>
        <v/>
      </c>
    </row>
    <row r="3693">
      <c r="A3693">
        <f>IF(AND('Skill Matrix'!A236&lt;&gt;"",'Skill Matrix'!P5&lt;&gt;""),'Skill Matrix'!A236,"")</f>
        <v/>
      </c>
      <c r="B3693">
        <f>IF(A3693="","",'Employees'!C20)</f>
        <v/>
      </c>
      <c r="C3693">
        <f>IF(A3693="","",'Employees'!D20)</f>
        <v/>
      </c>
      <c r="D3693">
        <f>IF(A3693="","",'Skill Matrix'!C236)</f>
        <v/>
      </c>
      <c r="E3693">
        <f>IF(A3693="","",'Skill Matrix'!D236)</f>
        <v/>
      </c>
      <c r="F3693">
        <f>IF(AND('Skill Matrix'!A236&lt;&gt;"",'Skill Matrix'!P5&lt;&gt;""),'Skill Matrix'!P5,"")</f>
        <v/>
      </c>
      <c r="G3693">
        <f>IF(OR(A3693="",'Skill Matrix'!P236=""),"",'Skill Matrix'!P236)</f>
        <v/>
      </c>
      <c r="H3693">
        <f>IF(A3693="","",'Employees'!F20)</f>
        <v/>
      </c>
    </row>
    <row r="3694">
      <c r="A3694">
        <f>IF(AND('Skill Matrix'!A236&lt;&gt;"",'Skill Matrix'!Q5&lt;&gt;""),'Skill Matrix'!A236,"")</f>
        <v/>
      </c>
      <c r="B3694">
        <f>IF(A3694="","",'Employees'!C20)</f>
        <v/>
      </c>
      <c r="C3694">
        <f>IF(A3694="","",'Employees'!D20)</f>
        <v/>
      </c>
      <c r="D3694">
        <f>IF(A3694="","",'Skill Matrix'!C236)</f>
        <v/>
      </c>
      <c r="E3694">
        <f>IF(A3694="","",'Skill Matrix'!D236)</f>
        <v/>
      </c>
      <c r="F3694">
        <f>IF(AND('Skill Matrix'!A236&lt;&gt;"",'Skill Matrix'!Q5&lt;&gt;""),'Skill Matrix'!Q5,"")</f>
        <v/>
      </c>
      <c r="G3694">
        <f>IF(OR(A3694="",'Skill Matrix'!Q236=""),"",'Skill Matrix'!Q236)</f>
        <v/>
      </c>
      <c r="H3694">
        <f>IF(A3694="","",'Employees'!F20)</f>
        <v/>
      </c>
    </row>
    <row r="3695">
      <c r="A3695">
        <f>IF(AND('Skill Matrix'!A236&lt;&gt;"",'Skill Matrix'!R5&lt;&gt;""),'Skill Matrix'!A236,"")</f>
        <v/>
      </c>
      <c r="B3695">
        <f>IF(A3695="","",'Employees'!C20)</f>
        <v/>
      </c>
      <c r="C3695">
        <f>IF(A3695="","",'Employees'!D20)</f>
        <v/>
      </c>
      <c r="D3695">
        <f>IF(A3695="","",'Skill Matrix'!C236)</f>
        <v/>
      </c>
      <c r="E3695">
        <f>IF(A3695="","",'Skill Matrix'!D236)</f>
        <v/>
      </c>
      <c r="F3695">
        <f>IF(AND('Skill Matrix'!A236&lt;&gt;"",'Skill Matrix'!R5&lt;&gt;""),'Skill Matrix'!R5,"")</f>
        <v/>
      </c>
      <c r="G3695">
        <f>IF(OR(A3695="",'Skill Matrix'!R236=""),"",'Skill Matrix'!R236)</f>
        <v/>
      </c>
      <c r="H3695">
        <f>IF(A3695="","",'Employees'!F20)</f>
        <v/>
      </c>
    </row>
    <row r="3696">
      <c r="A3696">
        <f>IF(AND('Skill Matrix'!A236&lt;&gt;"",'Skill Matrix'!S5&lt;&gt;""),'Skill Matrix'!A236,"")</f>
        <v/>
      </c>
      <c r="B3696">
        <f>IF(A3696="","",'Employees'!C20)</f>
        <v/>
      </c>
      <c r="C3696">
        <f>IF(A3696="","",'Employees'!D20)</f>
        <v/>
      </c>
      <c r="D3696">
        <f>IF(A3696="","",'Skill Matrix'!C236)</f>
        <v/>
      </c>
      <c r="E3696">
        <f>IF(A3696="","",'Skill Matrix'!D236)</f>
        <v/>
      </c>
      <c r="F3696">
        <f>IF(AND('Skill Matrix'!A236&lt;&gt;"",'Skill Matrix'!S5&lt;&gt;""),'Skill Matrix'!S5,"")</f>
        <v/>
      </c>
      <c r="G3696">
        <f>IF(OR(A3696="",'Skill Matrix'!S236=""),"",'Skill Matrix'!S236)</f>
        <v/>
      </c>
      <c r="H3696">
        <f>IF(A3696="","",'Employees'!F20)</f>
        <v/>
      </c>
    </row>
    <row r="3697">
      <c r="A3697">
        <f>IF(AND('Skill Matrix'!A236&lt;&gt;"",'Skill Matrix'!T5&lt;&gt;""),'Skill Matrix'!A236,"")</f>
        <v/>
      </c>
      <c r="B3697">
        <f>IF(A3697="","",'Employees'!C20)</f>
        <v/>
      </c>
      <c r="C3697">
        <f>IF(A3697="","",'Employees'!D20)</f>
        <v/>
      </c>
      <c r="D3697">
        <f>IF(A3697="","",'Skill Matrix'!C236)</f>
        <v/>
      </c>
      <c r="E3697">
        <f>IF(A3697="","",'Skill Matrix'!D236)</f>
        <v/>
      </c>
      <c r="F3697">
        <f>IF(AND('Skill Matrix'!A236&lt;&gt;"",'Skill Matrix'!T5&lt;&gt;""),'Skill Matrix'!T5,"")</f>
        <v/>
      </c>
      <c r="G3697">
        <f>IF(OR(A3697="",'Skill Matrix'!T236=""),"",'Skill Matrix'!T236)</f>
        <v/>
      </c>
      <c r="H3697">
        <f>IF(A3697="","",'Employees'!F20)</f>
        <v/>
      </c>
    </row>
    <row r="3698">
      <c r="A3698">
        <f>IF(AND('Skill Matrix'!A237&lt;&gt;"",'Skill Matrix'!E5&lt;&gt;""),'Skill Matrix'!A237,"")</f>
        <v/>
      </c>
      <c r="B3698">
        <f>IF(A3698="","",'Employees'!C20)</f>
        <v/>
      </c>
      <c r="C3698">
        <f>IF(A3698="","",'Employees'!D20)</f>
        <v/>
      </c>
      <c r="D3698">
        <f>IF(A3698="","",'Skill Matrix'!C237)</f>
        <v/>
      </c>
      <c r="E3698">
        <f>IF(A3698="","",'Skill Matrix'!D237)</f>
        <v/>
      </c>
      <c r="F3698">
        <f>IF(AND('Skill Matrix'!A237&lt;&gt;"",'Skill Matrix'!E5&lt;&gt;""),'Skill Matrix'!E5,"")</f>
        <v/>
      </c>
      <c r="G3698">
        <f>IF(OR(A3698="",'Skill Matrix'!E237=""),"",'Skill Matrix'!E237)</f>
        <v/>
      </c>
      <c r="H3698">
        <f>IF(A3698="","",'Employees'!F20)</f>
        <v/>
      </c>
    </row>
    <row r="3699">
      <c r="A3699">
        <f>IF(AND('Skill Matrix'!A237&lt;&gt;"",'Skill Matrix'!F5&lt;&gt;""),'Skill Matrix'!A237,"")</f>
        <v/>
      </c>
      <c r="B3699">
        <f>IF(A3699="","",'Employees'!C20)</f>
        <v/>
      </c>
      <c r="C3699">
        <f>IF(A3699="","",'Employees'!D20)</f>
        <v/>
      </c>
      <c r="D3699">
        <f>IF(A3699="","",'Skill Matrix'!C237)</f>
        <v/>
      </c>
      <c r="E3699">
        <f>IF(A3699="","",'Skill Matrix'!D237)</f>
        <v/>
      </c>
      <c r="F3699">
        <f>IF(AND('Skill Matrix'!A237&lt;&gt;"",'Skill Matrix'!F5&lt;&gt;""),'Skill Matrix'!F5,"")</f>
        <v/>
      </c>
      <c r="G3699">
        <f>IF(OR(A3699="",'Skill Matrix'!F237=""),"",'Skill Matrix'!F237)</f>
        <v/>
      </c>
      <c r="H3699">
        <f>IF(A3699="","",'Employees'!F20)</f>
        <v/>
      </c>
    </row>
    <row r="3700">
      <c r="A3700">
        <f>IF(AND('Skill Matrix'!A237&lt;&gt;"",'Skill Matrix'!G5&lt;&gt;""),'Skill Matrix'!A237,"")</f>
        <v/>
      </c>
      <c r="B3700">
        <f>IF(A3700="","",'Employees'!C20)</f>
        <v/>
      </c>
      <c r="C3700">
        <f>IF(A3700="","",'Employees'!D20)</f>
        <v/>
      </c>
      <c r="D3700">
        <f>IF(A3700="","",'Skill Matrix'!C237)</f>
        <v/>
      </c>
      <c r="E3700">
        <f>IF(A3700="","",'Skill Matrix'!D237)</f>
        <v/>
      </c>
      <c r="F3700">
        <f>IF(AND('Skill Matrix'!A237&lt;&gt;"",'Skill Matrix'!G5&lt;&gt;""),'Skill Matrix'!G5,"")</f>
        <v/>
      </c>
      <c r="G3700">
        <f>IF(OR(A3700="",'Skill Matrix'!G237=""),"",'Skill Matrix'!G237)</f>
        <v/>
      </c>
      <c r="H3700">
        <f>IF(A3700="","",'Employees'!F20)</f>
        <v/>
      </c>
    </row>
    <row r="3701">
      <c r="A3701">
        <f>IF(AND('Skill Matrix'!A237&lt;&gt;"",'Skill Matrix'!H5&lt;&gt;""),'Skill Matrix'!A237,"")</f>
        <v/>
      </c>
      <c r="B3701">
        <f>IF(A3701="","",'Employees'!C20)</f>
        <v/>
      </c>
      <c r="C3701">
        <f>IF(A3701="","",'Employees'!D20)</f>
        <v/>
      </c>
      <c r="D3701">
        <f>IF(A3701="","",'Skill Matrix'!C237)</f>
        <v/>
      </c>
      <c r="E3701">
        <f>IF(A3701="","",'Skill Matrix'!D237)</f>
        <v/>
      </c>
      <c r="F3701">
        <f>IF(AND('Skill Matrix'!A237&lt;&gt;"",'Skill Matrix'!H5&lt;&gt;""),'Skill Matrix'!H5,"")</f>
        <v/>
      </c>
      <c r="G3701">
        <f>IF(OR(A3701="",'Skill Matrix'!H237=""),"",'Skill Matrix'!H237)</f>
        <v/>
      </c>
      <c r="H3701">
        <f>IF(A3701="","",'Employees'!F20)</f>
        <v/>
      </c>
    </row>
    <row r="3702">
      <c r="A3702">
        <f>IF(AND('Skill Matrix'!A237&lt;&gt;"",'Skill Matrix'!I5&lt;&gt;""),'Skill Matrix'!A237,"")</f>
        <v/>
      </c>
      <c r="B3702">
        <f>IF(A3702="","",'Employees'!C20)</f>
        <v/>
      </c>
      <c r="C3702">
        <f>IF(A3702="","",'Employees'!D20)</f>
        <v/>
      </c>
      <c r="D3702">
        <f>IF(A3702="","",'Skill Matrix'!C237)</f>
        <v/>
      </c>
      <c r="E3702">
        <f>IF(A3702="","",'Skill Matrix'!D237)</f>
        <v/>
      </c>
      <c r="F3702">
        <f>IF(AND('Skill Matrix'!A237&lt;&gt;"",'Skill Matrix'!I5&lt;&gt;""),'Skill Matrix'!I5,"")</f>
        <v/>
      </c>
      <c r="G3702">
        <f>IF(OR(A3702="",'Skill Matrix'!I237=""),"",'Skill Matrix'!I237)</f>
        <v/>
      </c>
      <c r="H3702">
        <f>IF(A3702="","",'Employees'!F20)</f>
        <v/>
      </c>
    </row>
    <row r="3703">
      <c r="A3703">
        <f>IF(AND('Skill Matrix'!A237&lt;&gt;"",'Skill Matrix'!J5&lt;&gt;""),'Skill Matrix'!A237,"")</f>
        <v/>
      </c>
      <c r="B3703">
        <f>IF(A3703="","",'Employees'!C20)</f>
        <v/>
      </c>
      <c r="C3703">
        <f>IF(A3703="","",'Employees'!D20)</f>
        <v/>
      </c>
      <c r="D3703">
        <f>IF(A3703="","",'Skill Matrix'!C237)</f>
        <v/>
      </c>
      <c r="E3703">
        <f>IF(A3703="","",'Skill Matrix'!D237)</f>
        <v/>
      </c>
      <c r="F3703">
        <f>IF(AND('Skill Matrix'!A237&lt;&gt;"",'Skill Matrix'!J5&lt;&gt;""),'Skill Matrix'!J5,"")</f>
        <v/>
      </c>
      <c r="G3703">
        <f>IF(OR(A3703="",'Skill Matrix'!J237=""),"",'Skill Matrix'!J237)</f>
        <v/>
      </c>
      <c r="H3703">
        <f>IF(A3703="","",'Employees'!F20)</f>
        <v/>
      </c>
    </row>
    <row r="3704">
      <c r="A3704">
        <f>IF(AND('Skill Matrix'!A237&lt;&gt;"",'Skill Matrix'!K5&lt;&gt;""),'Skill Matrix'!A237,"")</f>
        <v/>
      </c>
      <c r="B3704">
        <f>IF(A3704="","",'Employees'!C20)</f>
        <v/>
      </c>
      <c r="C3704">
        <f>IF(A3704="","",'Employees'!D20)</f>
        <v/>
      </c>
      <c r="D3704">
        <f>IF(A3704="","",'Skill Matrix'!C237)</f>
        <v/>
      </c>
      <c r="E3704">
        <f>IF(A3704="","",'Skill Matrix'!D237)</f>
        <v/>
      </c>
      <c r="F3704">
        <f>IF(AND('Skill Matrix'!A237&lt;&gt;"",'Skill Matrix'!K5&lt;&gt;""),'Skill Matrix'!K5,"")</f>
        <v/>
      </c>
      <c r="G3704">
        <f>IF(OR(A3704="",'Skill Matrix'!K237=""),"",'Skill Matrix'!K237)</f>
        <v/>
      </c>
      <c r="H3704">
        <f>IF(A3704="","",'Employees'!F20)</f>
        <v/>
      </c>
    </row>
    <row r="3705">
      <c r="A3705">
        <f>IF(AND('Skill Matrix'!A237&lt;&gt;"",'Skill Matrix'!L5&lt;&gt;""),'Skill Matrix'!A237,"")</f>
        <v/>
      </c>
      <c r="B3705">
        <f>IF(A3705="","",'Employees'!C20)</f>
        <v/>
      </c>
      <c r="C3705">
        <f>IF(A3705="","",'Employees'!D20)</f>
        <v/>
      </c>
      <c r="D3705">
        <f>IF(A3705="","",'Skill Matrix'!C237)</f>
        <v/>
      </c>
      <c r="E3705">
        <f>IF(A3705="","",'Skill Matrix'!D237)</f>
        <v/>
      </c>
      <c r="F3705">
        <f>IF(AND('Skill Matrix'!A237&lt;&gt;"",'Skill Matrix'!L5&lt;&gt;""),'Skill Matrix'!L5,"")</f>
        <v/>
      </c>
      <c r="G3705">
        <f>IF(OR(A3705="",'Skill Matrix'!L237=""),"",'Skill Matrix'!L237)</f>
        <v/>
      </c>
      <c r="H3705">
        <f>IF(A3705="","",'Employees'!F20)</f>
        <v/>
      </c>
    </row>
    <row r="3706">
      <c r="A3706">
        <f>IF(AND('Skill Matrix'!A237&lt;&gt;"",'Skill Matrix'!M5&lt;&gt;""),'Skill Matrix'!A237,"")</f>
        <v/>
      </c>
      <c r="B3706">
        <f>IF(A3706="","",'Employees'!C20)</f>
        <v/>
      </c>
      <c r="C3706">
        <f>IF(A3706="","",'Employees'!D20)</f>
        <v/>
      </c>
      <c r="D3706">
        <f>IF(A3706="","",'Skill Matrix'!C237)</f>
        <v/>
      </c>
      <c r="E3706">
        <f>IF(A3706="","",'Skill Matrix'!D237)</f>
        <v/>
      </c>
      <c r="F3706">
        <f>IF(AND('Skill Matrix'!A237&lt;&gt;"",'Skill Matrix'!M5&lt;&gt;""),'Skill Matrix'!M5,"")</f>
        <v/>
      </c>
      <c r="G3706">
        <f>IF(OR(A3706="",'Skill Matrix'!M237=""),"",'Skill Matrix'!M237)</f>
        <v/>
      </c>
      <c r="H3706">
        <f>IF(A3706="","",'Employees'!F20)</f>
        <v/>
      </c>
    </row>
    <row r="3707">
      <c r="A3707">
        <f>IF(AND('Skill Matrix'!A237&lt;&gt;"",'Skill Matrix'!N5&lt;&gt;""),'Skill Matrix'!A237,"")</f>
        <v/>
      </c>
      <c r="B3707">
        <f>IF(A3707="","",'Employees'!C20)</f>
        <v/>
      </c>
      <c r="C3707">
        <f>IF(A3707="","",'Employees'!D20)</f>
        <v/>
      </c>
      <c r="D3707">
        <f>IF(A3707="","",'Skill Matrix'!C237)</f>
        <v/>
      </c>
      <c r="E3707">
        <f>IF(A3707="","",'Skill Matrix'!D237)</f>
        <v/>
      </c>
      <c r="F3707">
        <f>IF(AND('Skill Matrix'!A237&lt;&gt;"",'Skill Matrix'!N5&lt;&gt;""),'Skill Matrix'!N5,"")</f>
        <v/>
      </c>
      <c r="G3707">
        <f>IF(OR(A3707="",'Skill Matrix'!N237=""),"",'Skill Matrix'!N237)</f>
        <v/>
      </c>
      <c r="H3707">
        <f>IF(A3707="","",'Employees'!F20)</f>
        <v/>
      </c>
    </row>
    <row r="3708">
      <c r="A3708">
        <f>IF(AND('Skill Matrix'!A237&lt;&gt;"",'Skill Matrix'!O5&lt;&gt;""),'Skill Matrix'!A237,"")</f>
        <v/>
      </c>
      <c r="B3708">
        <f>IF(A3708="","",'Employees'!C20)</f>
        <v/>
      </c>
      <c r="C3708">
        <f>IF(A3708="","",'Employees'!D20)</f>
        <v/>
      </c>
      <c r="D3708">
        <f>IF(A3708="","",'Skill Matrix'!C237)</f>
        <v/>
      </c>
      <c r="E3708">
        <f>IF(A3708="","",'Skill Matrix'!D237)</f>
        <v/>
      </c>
      <c r="F3708">
        <f>IF(AND('Skill Matrix'!A237&lt;&gt;"",'Skill Matrix'!O5&lt;&gt;""),'Skill Matrix'!O5,"")</f>
        <v/>
      </c>
      <c r="G3708">
        <f>IF(OR(A3708="",'Skill Matrix'!O237=""),"",'Skill Matrix'!O237)</f>
        <v/>
      </c>
      <c r="H3708">
        <f>IF(A3708="","",'Employees'!F20)</f>
        <v/>
      </c>
    </row>
    <row r="3709">
      <c r="A3709">
        <f>IF(AND('Skill Matrix'!A237&lt;&gt;"",'Skill Matrix'!P5&lt;&gt;""),'Skill Matrix'!A237,"")</f>
        <v/>
      </c>
      <c r="B3709">
        <f>IF(A3709="","",'Employees'!C20)</f>
        <v/>
      </c>
      <c r="C3709">
        <f>IF(A3709="","",'Employees'!D20)</f>
        <v/>
      </c>
      <c r="D3709">
        <f>IF(A3709="","",'Skill Matrix'!C237)</f>
        <v/>
      </c>
      <c r="E3709">
        <f>IF(A3709="","",'Skill Matrix'!D237)</f>
        <v/>
      </c>
      <c r="F3709">
        <f>IF(AND('Skill Matrix'!A237&lt;&gt;"",'Skill Matrix'!P5&lt;&gt;""),'Skill Matrix'!P5,"")</f>
        <v/>
      </c>
      <c r="G3709">
        <f>IF(OR(A3709="",'Skill Matrix'!P237=""),"",'Skill Matrix'!P237)</f>
        <v/>
      </c>
      <c r="H3709">
        <f>IF(A3709="","",'Employees'!F20)</f>
        <v/>
      </c>
    </row>
    <row r="3710">
      <c r="A3710">
        <f>IF(AND('Skill Matrix'!A237&lt;&gt;"",'Skill Matrix'!Q5&lt;&gt;""),'Skill Matrix'!A237,"")</f>
        <v/>
      </c>
      <c r="B3710">
        <f>IF(A3710="","",'Employees'!C20)</f>
        <v/>
      </c>
      <c r="C3710">
        <f>IF(A3710="","",'Employees'!D20)</f>
        <v/>
      </c>
      <c r="D3710">
        <f>IF(A3710="","",'Skill Matrix'!C237)</f>
        <v/>
      </c>
      <c r="E3710">
        <f>IF(A3710="","",'Skill Matrix'!D237)</f>
        <v/>
      </c>
      <c r="F3710">
        <f>IF(AND('Skill Matrix'!A237&lt;&gt;"",'Skill Matrix'!Q5&lt;&gt;""),'Skill Matrix'!Q5,"")</f>
        <v/>
      </c>
      <c r="G3710">
        <f>IF(OR(A3710="",'Skill Matrix'!Q237=""),"",'Skill Matrix'!Q237)</f>
        <v/>
      </c>
      <c r="H3710">
        <f>IF(A3710="","",'Employees'!F20)</f>
        <v/>
      </c>
    </row>
    <row r="3711">
      <c r="A3711">
        <f>IF(AND('Skill Matrix'!A237&lt;&gt;"",'Skill Matrix'!R5&lt;&gt;""),'Skill Matrix'!A237,"")</f>
        <v/>
      </c>
      <c r="B3711">
        <f>IF(A3711="","",'Employees'!C20)</f>
        <v/>
      </c>
      <c r="C3711">
        <f>IF(A3711="","",'Employees'!D20)</f>
        <v/>
      </c>
      <c r="D3711">
        <f>IF(A3711="","",'Skill Matrix'!C237)</f>
        <v/>
      </c>
      <c r="E3711">
        <f>IF(A3711="","",'Skill Matrix'!D237)</f>
        <v/>
      </c>
      <c r="F3711">
        <f>IF(AND('Skill Matrix'!A237&lt;&gt;"",'Skill Matrix'!R5&lt;&gt;""),'Skill Matrix'!R5,"")</f>
        <v/>
      </c>
      <c r="G3711">
        <f>IF(OR(A3711="",'Skill Matrix'!R237=""),"",'Skill Matrix'!R237)</f>
        <v/>
      </c>
      <c r="H3711">
        <f>IF(A3711="","",'Employees'!F20)</f>
        <v/>
      </c>
    </row>
    <row r="3712">
      <c r="A3712">
        <f>IF(AND('Skill Matrix'!A237&lt;&gt;"",'Skill Matrix'!S5&lt;&gt;""),'Skill Matrix'!A237,"")</f>
        <v/>
      </c>
      <c r="B3712">
        <f>IF(A3712="","",'Employees'!C20)</f>
        <v/>
      </c>
      <c r="C3712">
        <f>IF(A3712="","",'Employees'!D20)</f>
        <v/>
      </c>
      <c r="D3712">
        <f>IF(A3712="","",'Skill Matrix'!C237)</f>
        <v/>
      </c>
      <c r="E3712">
        <f>IF(A3712="","",'Skill Matrix'!D237)</f>
        <v/>
      </c>
      <c r="F3712">
        <f>IF(AND('Skill Matrix'!A237&lt;&gt;"",'Skill Matrix'!S5&lt;&gt;""),'Skill Matrix'!S5,"")</f>
        <v/>
      </c>
      <c r="G3712">
        <f>IF(OR(A3712="",'Skill Matrix'!S237=""),"",'Skill Matrix'!S237)</f>
        <v/>
      </c>
      <c r="H3712">
        <f>IF(A3712="","",'Employees'!F20)</f>
        <v/>
      </c>
    </row>
    <row r="3713">
      <c r="A3713">
        <f>IF(AND('Skill Matrix'!A237&lt;&gt;"",'Skill Matrix'!T5&lt;&gt;""),'Skill Matrix'!A237,"")</f>
        <v/>
      </c>
      <c r="B3713">
        <f>IF(A3713="","",'Employees'!C20)</f>
        <v/>
      </c>
      <c r="C3713">
        <f>IF(A3713="","",'Employees'!D20)</f>
        <v/>
      </c>
      <c r="D3713">
        <f>IF(A3713="","",'Skill Matrix'!C237)</f>
        <v/>
      </c>
      <c r="E3713">
        <f>IF(A3713="","",'Skill Matrix'!D237)</f>
        <v/>
      </c>
      <c r="F3713">
        <f>IF(AND('Skill Matrix'!A237&lt;&gt;"",'Skill Matrix'!T5&lt;&gt;""),'Skill Matrix'!T5,"")</f>
        <v/>
      </c>
      <c r="G3713">
        <f>IF(OR(A3713="",'Skill Matrix'!T237=""),"",'Skill Matrix'!T237)</f>
        <v/>
      </c>
      <c r="H3713">
        <f>IF(A3713="","",'Employees'!F20)</f>
        <v/>
      </c>
    </row>
    <row r="3714">
      <c r="A3714">
        <f>IF(AND('Skill Matrix'!A238&lt;&gt;"",'Skill Matrix'!E5&lt;&gt;""),'Skill Matrix'!A238,"")</f>
        <v/>
      </c>
      <c r="B3714">
        <f>IF(A3714="","",'Employees'!C20)</f>
        <v/>
      </c>
      <c r="C3714">
        <f>IF(A3714="","",'Employees'!D20)</f>
        <v/>
      </c>
      <c r="D3714">
        <f>IF(A3714="","",'Skill Matrix'!C238)</f>
        <v/>
      </c>
      <c r="E3714">
        <f>IF(A3714="","",'Skill Matrix'!D238)</f>
        <v/>
      </c>
      <c r="F3714">
        <f>IF(AND('Skill Matrix'!A238&lt;&gt;"",'Skill Matrix'!E5&lt;&gt;""),'Skill Matrix'!E5,"")</f>
        <v/>
      </c>
      <c r="G3714">
        <f>IF(OR(A3714="",'Skill Matrix'!E238=""),"",'Skill Matrix'!E238)</f>
        <v/>
      </c>
      <c r="H3714">
        <f>IF(A3714="","",'Employees'!F20)</f>
        <v/>
      </c>
    </row>
    <row r="3715">
      <c r="A3715">
        <f>IF(AND('Skill Matrix'!A238&lt;&gt;"",'Skill Matrix'!F5&lt;&gt;""),'Skill Matrix'!A238,"")</f>
        <v/>
      </c>
      <c r="B3715">
        <f>IF(A3715="","",'Employees'!C20)</f>
        <v/>
      </c>
      <c r="C3715">
        <f>IF(A3715="","",'Employees'!D20)</f>
        <v/>
      </c>
      <c r="D3715">
        <f>IF(A3715="","",'Skill Matrix'!C238)</f>
        <v/>
      </c>
      <c r="E3715">
        <f>IF(A3715="","",'Skill Matrix'!D238)</f>
        <v/>
      </c>
      <c r="F3715">
        <f>IF(AND('Skill Matrix'!A238&lt;&gt;"",'Skill Matrix'!F5&lt;&gt;""),'Skill Matrix'!F5,"")</f>
        <v/>
      </c>
      <c r="G3715">
        <f>IF(OR(A3715="",'Skill Matrix'!F238=""),"",'Skill Matrix'!F238)</f>
        <v/>
      </c>
      <c r="H3715">
        <f>IF(A3715="","",'Employees'!F20)</f>
        <v/>
      </c>
    </row>
    <row r="3716">
      <c r="A3716">
        <f>IF(AND('Skill Matrix'!A238&lt;&gt;"",'Skill Matrix'!G5&lt;&gt;""),'Skill Matrix'!A238,"")</f>
        <v/>
      </c>
      <c r="B3716">
        <f>IF(A3716="","",'Employees'!C20)</f>
        <v/>
      </c>
      <c r="C3716">
        <f>IF(A3716="","",'Employees'!D20)</f>
        <v/>
      </c>
      <c r="D3716">
        <f>IF(A3716="","",'Skill Matrix'!C238)</f>
        <v/>
      </c>
      <c r="E3716">
        <f>IF(A3716="","",'Skill Matrix'!D238)</f>
        <v/>
      </c>
      <c r="F3716">
        <f>IF(AND('Skill Matrix'!A238&lt;&gt;"",'Skill Matrix'!G5&lt;&gt;""),'Skill Matrix'!G5,"")</f>
        <v/>
      </c>
      <c r="G3716">
        <f>IF(OR(A3716="",'Skill Matrix'!G238=""),"",'Skill Matrix'!G238)</f>
        <v/>
      </c>
      <c r="H3716">
        <f>IF(A3716="","",'Employees'!F20)</f>
        <v/>
      </c>
    </row>
    <row r="3717">
      <c r="A3717">
        <f>IF(AND('Skill Matrix'!A238&lt;&gt;"",'Skill Matrix'!H5&lt;&gt;""),'Skill Matrix'!A238,"")</f>
        <v/>
      </c>
      <c r="B3717">
        <f>IF(A3717="","",'Employees'!C20)</f>
        <v/>
      </c>
      <c r="C3717">
        <f>IF(A3717="","",'Employees'!D20)</f>
        <v/>
      </c>
      <c r="D3717">
        <f>IF(A3717="","",'Skill Matrix'!C238)</f>
        <v/>
      </c>
      <c r="E3717">
        <f>IF(A3717="","",'Skill Matrix'!D238)</f>
        <v/>
      </c>
      <c r="F3717">
        <f>IF(AND('Skill Matrix'!A238&lt;&gt;"",'Skill Matrix'!H5&lt;&gt;""),'Skill Matrix'!H5,"")</f>
        <v/>
      </c>
      <c r="G3717">
        <f>IF(OR(A3717="",'Skill Matrix'!H238=""),"",'Skill Matrix'!H238)</f>
        <v/>
      </c>
      <c r="H3717">
        <f>IF(A3717="","",'Employees'!F20)</f>
        <v/>
      </c>
    </row>
    <row r="3718">
      <c r="A3718">
        <f>IF(AND('Skill Matrix'!A238&lt;&gt;"",'Skill Matrix'!I5&lt;&gt;""),'Skill Matrix'!A238,"")</f>
        <v/>
      </c>
      <c r="B3718">
        <f>IF(A3718="","",'Employees'!C20)</f>
        <v/>
      </c>
      <c r="C3718">
        <f>IF(A3718="","",'Employees'!D20)</f>
        <v/>
      </c>
      <c r="D3718">
        <f>IF(A3718="","",'Skill Matrix'!C238)</f>
        <v/>
      </c>
      <c r="E3718">
        <f>IF(A3718="","",'Skill Matrix'!D238)</f>
        <v/>
      </c>
      <c r="F3718">
        <f>IF(AND('Skill Matrix'!A238&lt;&gt;"",'Skill Matrix'!I5&lt;&gt;""),'Skill Matrix'!I5,"")</f>
        <v/>
      </c>
      <c r="G3718">
        <f>IF(OR(A3718="",'Skill Matrix'!I238=""),"",'Skill Matrix'!I238)</f>
        <v/>
      </c>
      <c r="H3718">
        <f>IF(A3718="","",'Employees'!F20)</f>
        <v/>
      </c>
    </row>
    <row r="3719">
      <c r="A3719">
        <f>IF(AND('Skill Matrix'!A238&lt;&gt;"",'Skill Matrix'!J5&lt;&gt;""),'Skill Matrix'!A238,"")</f>
        <v/>
      </c>
      <c r="B3719">
        <f>IF(A3719="","",'Employees'!C20)</f>
        <v/>
      </c>
      <c r="C3719">
        <f>IF(A3719="","",'Employees'!D20)</f>
        <v/>
      </c>
      <c r="D3719">
        <f>IF(A3719="","",'Skill Matrix'!C238)</f>
        <v/>
      </c>
      <c r="E3719">
        <f>IF(A3719="","",'Skill Matrix'!D238)</f>
        <v/>
      </c>
      <c r="F3719">
        <f>IF(AND('Skill Matrix'!A238&lt;&gt;"",'Skill Matrix'!J5&lt;&gt;""),'Skill Matrix'!J5,"")</f>
        <v/>
      </c>
      <c r="G3719">
        <f>IF(OR(A3719="",'Skill Matrix'!J238=""),"",'Skill Matrix'!J238)</f>
        <v/>
      </c>
      <c r="H3719">
        <f>IF(A3719="","",'Employees'!F20)</f>
        <v/>
      </c>
    </row>
    <row r="3720">
      <c r="A3720">
        <f>IF(AND('Skill Matrix'!A238&lt;&gt;"",'Skill Matrix'!K5&lt;&gt;""),'Skill Matrix'!A238,"")</f>
        <v/>
      </c>
      <c r="B3720">
        <f>IF(A3720="","",'Employees'!C20)</f>
        <v/>
      </c>
      <c r="C3720">
        <f>IF(A3720="","",'Employees'!D20)</f>
        <v/>
      </c>
      <c r="D3720">
        <f>IF(A3720="","",'Skill Matrix'!C238)</f>
        <v/>
      </c>
      <c r="E3720">
        <f>IF(A3720="","",'Skill Matrix'!D238)</f>
        <v/>
      </c>
      <c r="F3720">
        <f>IF(AND('Skill Matrix'!A238&lt;&gt;"",'Skill Matrix'!K5&lt;&gt;""),'Skill Matrix'!K5,"")</f>
        <v/>
      </c>
      <c r="G3720">
        <f>IF(OR(A3720="",'Skill Matrix'!K238=""),"",'Skill Matrix'!K238)</f>
        <v/>
      </c>
      <c r="H3720">
        <f>IF(A3720="","",'Employees'!F20)</f>
        <v/>
      </c>
    </row>
    <row r="3721">
      <c r="A3721">
        <f>IF(AND('Skill Matrix'!A238&lt;&gt;"",'Skill Matrix'!L5&lt;&gt;""),'Skill Matrix'!A238,"")</f>
        <v/>
      </c>
      <c r="B3721">
        <f>IF(A3721="","",'Employees'!C20)</f>
        <v/>
      </c>
      <c r="C3721">
        <f>IF(A3721="","",'Employees'!D20)</f>
        <v/>
      </c>
      <c r="D3721">
        <f>IF(A3721="","",'Skill Matrix'!C238)</f>
        <v/>
      </c>
      <c r="E3721">
        <f>IF(A3721="","",'Skill Matrix'!D238)</f>
        <v/>
      </c>
      <c r="F3721">
        <f>IF(AND('Skill Matrix'!A238&lt;&gt;"",'Skill Matrix'!L5&lt;&gt;""),'Skill Matrix'!L5,"")</f>
        <v/>
      </c>
      <c r="G3721">
        <f>IF(OR(A3721="",'Skill Matrix'!L238=""),"",'Skill Matrix'!L238)</f>
        <v/>
      </c>
      <c r="H3721">
        <f>IF(A3721="","",'Employees'!F20)</f>
        <v/>
      </c>
    </row>
    <row r="3722">
      <c r="A3722">
        <f>IF(AND('Skill Matrix'!A238&lt;&gt;"",'Skill Matrix'!M5&lt;&gt;""),'Skill Matrix'!A238,"")</f>
        <v/>
      </c>
      <c r="B3722">
        <f>IF(A3722="","",'Employees'!C20)</f>
        <v/>
      </c>
      <c r="C3722">
        <f>IF(A3722="","",'Employees'!D20)</f>
        <v/>
      </c>
      <c r="D3722">
        <f>IF(A3722="","",'Skill Matrix'!C238)</f>
        <v/>
      </c>
      <c r="E3722">
        <f>IF(A3722="","",'Skill Matrix'!D238)</f>
        <v/>
      </c>
      <c r="F3722">
        <f>IF(AND('Skill Matrix'!A238&lt;&gt;"",'Skill Matrix'!M5&lt;&gt;""),'Skill Matrix'!M5,"")</f>
        <v/>
      </c>
      <c r="G3722">
        <f>IF(OR(A3722="",'Skill Matrix'!M238=""),"",'Skill Matrix'!M238)</f>
        <v/>
      </c>
      <c r="H3722">
        <f>IF(A3722="","",'Employees'!F20)</f>
        <v/>
      </c>
    </row>
    <row r="3723">
      <c r="A3723">
        <f>IF(AND('Skill Matrix'!A238&lt;&gt;"",'Skill Matrix'!N5&lt;&gt;""),'Skill Matrix'!A238,"")</f>
        <v/>
      </c>
      <c r="B3723">
        <f>IF(A3723="","",'Employees'!C20)</f>
        <v/>
      </c>
      <c r="C3723">
        <f>IF(A3723="","",'Employees'!D20)</f>
        <v/>
      </c>
      <c r="D3723">
        <f>IF(A3723="","",'Skill Matrix'!C238)</f>
        <v/>
      </c>
      <c r="E3723">
        <f>IF(A3723="","",'Skill Matrix'!D238)</f>
        <v/>
      </c>
      <c r="F3723">
        <f>IF(AND('Skill Matrix'!A238&lt;&gt;"",'Skill Matrix'!N5&lt;&gt;""),'Skill Matrix'!N5,"")</f>
        <v/>
      </c>
      <c r="G3723">
        <f>IF(OR(A3723="",'Skill Matrix'!N238=""),"",'Skill Matrix'!N238)</f>
        <v/>
      </c>
      <c r="H3723">
        <f>IF(A3723="","",'Employees'!F20)</f>
        <v/>
      </c>
    </row>
    <row r="3724">
      <c r="A3724">
        <f>IF(AND('Skill Matrix'!A238&lt;&gt;"",'Skill Matrix'!O5&lt;&gt;""),'Skill Matrix'!A238,"")</f>
        <v/>
      </c>
      <c r="B3724">
        <f>IF(A3724="","",'Employees'!C20)</f>
        <v/>
      </c>
      <c r="C3724">
        <f>IF(A3724="","",'Employees'!D20)</f>
        <v/>
      </c>
      <c r="D3724">
        <f>IF(A3724="","",'Skill Matrix'!C238)</f>
        <v/>
      </c>
      <c r="E3724">
        <f>IF(A3724="","",'Skill Matrix'!D238)</f>
        <v/>
      </c>
      <c r="F3724">
        <f>IF(AND('Skill Matrix'!A238&lt;&gt;"",'Skill Matrix'!O5&lt;&gt;""),'Skill Matrix'!O5,"")</f>
        <v/>
      </c>
      <c r="G3724">
        <f>IF(OR(A3724="",'Skill Matrix'!O238=""),"",'Skill Matrix'!O238)</f>
        <v/>
      </c>
      <c r="H3724">
        <f>IF(A3724="","",'Employees'!F20)</f>
        <v/>
      </c>
    </row>
    <row r="3725">
      <c r="A3725">
        <f>IF(AND('Skill Matrix'!A238&lt;&gt;"",'Skill Matrix'!P5&lt;&gt;""),'Skill Matrix'!A238,"")</f>
        <v/>
      </c>
      <c r="B3725">
        <f>IF(A3725="","",'Employees'!C20)</f>
        <v/>
      </c>
      <c r="C3725">
        <f>IF(A3725="","",'Employees'!D20)</f>
        <v/>
      </c>
      <c r="D3725">
        <f>IF(A3725="","",'Skill Matrix'!C238)</f>
        <v/>
      </c>
      <c r="E3725">
        <f>IF(A3725="","",'Skill Matrix'!D238)</f>
        <v/>
      </c>
      <c r="F3725">
        <f>IF(AND('Skill Matrix'!A238&lt;&gt;"",'Skill Matrix'!P5&lt;&gt;""),'Skill Matrix'!P5,"")</f>
        <v/>
      </c>
      <c r="G3725">
        <f>IF(OR(A3725="",'Skill Matrix'!P238=""),"",'Skill Matrix'!P238)</f>
        <v/>
      </c>
      <c r="H3725">
        <f>IF(A3725="","",'Employees'!F20)</f>
        <v/>
      </c>
    </row>
    <row r="3726">
      <c r="A3726">
        <f>IF(AND('Skill Matrix'!A238&lt;&gt;"",'Skill Matrix'!Q5&lt;&gt;""),'Skill Matrix'!A238,"")</f>
        <v/>
      </c>
      <c r="B3726">
        <f>IF(A3726="","",'Employees'!C20)</f>
        <v/>
      </c>
      <c r="C3726">
        <f>IF(A3726="","",'Employees'!D20)</f>
        <v/>
      </c>
      <c r="D3726">
        <f>IF(A3726="","",'Skill Matrix'!C238)</f>
        <v/>
      </c>
      <c r="E3726">
        <f>IF(A3726="","",'Skill Matrix'!D238)</f>
        <v/>
      </c>
      <c r="F3726">
        <f>IF(AND('Skill Matrix'!A238&lt;&gt;"",'Skill Matrix'!Q5&lt;&gt;""),'Skill Matrix'!Q5,"")</f>
        <v/>
      </c>
      <c r="G3726">
        <f>IF(OR(A3726="",'Skill Matrix'!Q238=""),"",'Skill Matrix'!Q238)</f>
        <v/>
      </c>
      <c r="H3726">
        <f>IF(A3726="","",'Employees'!F20)</f>
        <v/>
      </c>
    </row>
    <row r="3727">
      <c r="A3727">
        <f>IF(AND('Skill Matrix'!A238&lt;&gt;"",'Skill Matrix'!R5&lt;&gt;""),'Skill Matrix'!A238,"")</f>
        <v/>
      </c>
      <c r="B3727">
        <f>IF(A3727="","",'Employees'!C20)</f>
        <v/>
      </c>
      <c r="C3727">
        <f>IF(A3727="","",'Employees'!D20)</f>
        <v/>
      </c>
      <c r="D3727">
        <f>IF(A3727="","",'Skill Matrix'!C238)</f>
        <v/>
      </c>
      <c r="E3727">
        <f>IF(A3727="","",'Skill Matrix'!D238)</f>
        <v/>
      </c>
      <c r="F3727">
        <f>IF(AND('Skill Matrix'!A238&lt;&gt;"",'Skill Matrix'!R5&lt;&gt;""),'Skill Matrix'!R5,"")</f>
        <v/>
      </c>
      <c r="G3727">
        <f>IF(OR(A3727="",'Skill Matrix'!R238=""),"",'Skill Matrix'!R238)</f>
        <v/>
      </c>
      <c r="H3727">
        <f>IF(A3727="","",'Employees'!F20)</f>
        <v/>
      </c>
    </row>
    <row r="3728">
      <c r="A3728">
        <f>IF(AND('Skill Matrix'!A238&lt;&gt;"",'Skill Matrix'!S5&lt;&gt;""),'Skill Matrix'!A238,"")</f>
        <v/>
      </c>
      <c r="B3728">
        <f>IF(A3728="","",'Employees'!C20)</f>
        <v/>
      </c>
      <c r="C3728">
        <f>IF(A3728="","",'Employees'!D20)</f>
        <v/>
      </c>
      <c r="D3728">
        <f>IF(A3728="","",'Skill Matrix'!C238)</f>
        <v/>
      </c>
      <c r="E3728">
        <f>IF(A3728="","",'Skill Matrix'!D238)</f>
        <v/>
      </c>
      <c r="F3728">
        <f>IF(AND('Skill Matrix'!A238&lt;&gt;"",'Skill Matrix'!S5&lt;&gt;""),'Skill Matrix'!S5,"")</f>
        <v/>
      </c>
      <c r="G3728">
        <f>IF(OR(A3728="",'Skill Matrix'!S238=""),"",'Skill Matrix'!S238)</f>
        <v/>
      </c>
      <c r="H3728">
        <f>IF(A3728="","",'Employees'!F20)</f>
        <v/>
      </c>
    </row>
    <row r="3729">
      <c r="A3729">
        <f>IF(AND('Skill Matrix'!A238&lt;&gt;"",'Skill Matrix'!T5&lt;&gt;""),'Skill Matrix'!A238,"")</f>
        <v/>
      </c>
      <c r="B3729">
        <f>IF(A3729="","",'Employees'!C20)</f>
        <v/>
      </c>
      <c r="C3729">
        <f>IF(A3729="","",'Employees'!D20)</f>
        <v/>
      </c>
      <c r="D3729">
        <f>IF(A3729="","",'Skill Matrix'!C238)</f>
        <v/>
      </c>
      <c r="E3729">
        <f>IF(A3729="","",'Skill Matrix'!D238)</f>
        <v/>
      </c>
      <c r="F3729">
        <f>IF(AND('Skill Matrix'!A238&lt;&gt;"",'Skill Matrix'!T5&lt;&gt;""),'Skill Matrix'!T5,"")</f>
        <v/>
      </c>
      <c r="G3729">
        <f>IF(OR(A3729="",'Skill Matrix'!T238=""),"",'Skill Matrix'!T238)</f>
        <v/>
      </c>
      <c r="H3729">
        <f>IF(A3729="","",'Employees'!F20)</f>
        <v/>
      </c>
    </row>
    <row r="3730">
      <c r="A3730">
        <f>IF(AND('Skill Matrix'!A239&lt;&gt;"",'Skill Matrix'!E5&lt;&gt;""),'Skill Matrix'!A239,"")</f>
        <v/>
      </c>
      <c r="B3730">
        <f>IF(A3730="","",'Employees'!C20)</f>
        <v/>
      </c>
      <c r="C3730">
        <f>IF(A3730="","",'Employees'!D20)</f>
        <v/>
      </c>
      <c r="D3730">
        <f>IF(A3730="","",'Skill Matrix'!C239)</f>
        <v/>
      </c>
      <c r="E3730">
        <f>IF(A3730="","",'Skill Matrix'!D239)</f>
        <v/>
      </c>
      <c r="F3730">
        <f>IF(AND('Skill Matrix'!A239&lt;&gt;"",'Skill Matrix'!E5&lt;&gt;""),'Skill Matrix'!E5,"")</f>
        <v/>
      </c>
      <c r="G3730">
        <f>IF(OR(A3730="",'Skill Matrix'!E239=""),"",'Skill Matrix'!E239)</f>
        <v/>
      </c>
      <c r="H3730">
        <f>IF(A3730="","",'Employees'!F20)</f>
        <v/>
      </c>
    </row>
    <row r="3731">
      <c r="A3731">
        <f>IF(AND('Skill Matrix'!A239&lt;&gt;"",'Skill Matrix'!F5&lt;&gt;""),'Skill Matrix'!A239,"")</f>
        <v/>
      </c>
      <c r="B3731">
        <f>IF(A3731="","",'Employees'!C20)</f>
        <v/>
      </c>
      <c r="C3731">
        <f>IF(A3731="","",'Employees'!D20)</f>
        <v/>
      </c>
      <c r="D3731">
        <f>IF(A3731="","",'Skill Matrix'!C239)</f>
        <v/>
      </c>
      <c r="E3731">
        <f>IF(A3731="","",'Skill Matrix'!D239)</f>
        <v/>
      </c>
      <c r="F3731">
        <f>IF(AND('Skill Matrix'!A239&lt;&gt;"",'Skill Matrix'!F5&lt;&gt;""),'Skill Matrix'!F5,"")</f>
        <v/>
      </c>
      <c r="G3731">
        <f>IF(OR(A3731="",'Skill Matrix'!F239=""),"",'Skill Matrix'!F239)</f>
        <v/>
      </c>
      <c r="H3731">
        <f>IF(A3731="","",'Employees'!F20)</f>
        <v/>
      </c>
    </row>
    <row r="3732">
      <c r="A3732">
        <f>IF(AND('Skill Matrix'!A239&lt;&gt;"",'Skill Matrix'!G5&lt;&gt;""),'Skill Matrix'!A239,"")</f>
        <v/>
      </c>
      <c r="B3732">
        <f>IF(A3732="","",'Employees'!C20)</f>
        <v/>
      </c>
      <c r="C3732">
        <f>IF(A3732="","",'Employees'!D20)</f>
        <v/>
      </c>
      <c r="D3732">
        <f>IF(A3732="","",'Skill Matrix'!C239)</f>
        <v/>
      </c>
      <c r="E3732">
        <f>IF(A3732="","",'Skill Matrix'!D239)</f>
        <v/>
      </c>
      <c r="F3732">
        <f>IF(AND('Skill Matrix'!A239&lt;&gt;"",'Skill Matrix'!G5&lt;&gt;""),'Skill Matrix'!G5,"")</f>
        <v/>
      </c>
      <c r="G3732">
        <f>IF(OR(A3732="",'Skill Matrix'!G239=""),"",'Skill Matrix'!G239)</f>
        <v/>
      </c>
      <c r="H3732">
        <f>IF(A3732="","",'Employees'!F20)</f>
        <v/>
      </c>
    </row>
    <row r="3733">
      <c r="A3733">
        <f>IF(AND('Skill Matrix'!A239&lt;&gt;"",'Skill Matrix'!H5&lt;&gt;""),'Skill Matrix'!A239,"")</f>
        <v/>
      </c>
      <c r="B3733">
        <f>IF(A3733="","",'Employees'!C20)</f>
        <v/>
      </c>
      <c r="C3733">
        <f>IF(A3733="","",'Employees'!D20)</f>
        <v/>
      </c>
      <c r="D3733">
        <f>IF(A3733="","",'Skill Matrix'!C239)</f>
        <v/>
      </c>
      <c r="E3733">
        <f>IF(A3733="","",'Skill Matrix'!D239)</f>
        <v/>
      </c>
      <c r="F3733">
        <f>IF(AND('Skill Matrix'!A239&lt;&gt;"",'Skill Matrix'!H5&lt;&gt;""),'Skill Matrix'!H5,"")</f>
        <v/>
      </c>
      <c r="G3733">
        <f>IF(OR(A3733="",'Skill Matrix'!H239=""),"",'Skill Matrix'!H239)</f>
        <v/>
      </c>
      <c r="H3733">
        <f>IF(A3733="","",'Employees'!F20)</f>
        <v/>
      </c>
    </row>
    <row r="3734">
      <c r="A3734">
        <f>IF(AND('Skill Matrix'!A239&lt;&gt;"",'Skill Matrix'!I5&lt;&gt;""),'Skill Matrix'!A239,"")</f>
        <v/>
      </c>
      <c r="B3734">
        <f>IF(A3734="","",'Employees'!C20)</f>
        <v/>
      </c>
      <c r="C3734">
        <f>IF(A3734="","",'Employees'!D20)</f>
        <v/>
      </c>
      <c r="D3734">
        <f>IF(A3734="","",'Skill Matrix'!C239)</f>
        <v/>
      </c>
      <c r="E3734">
        <f>IF(A3734="","",'Skill Matrix'!D239)</f>
        <v/>
      </c>
      <c r="F3734">
        <f>IF(AND('Skill Matrix'!A239&lt;&gt;"",'Skill Matrix'!I5&lt;&gt;""),'Skill Matrix'!I5,"")</f>
        <v/>
      </c>
      <c r="G3734">
        <f>IF(OR(A3734="",'Skill Matrix'!I239=""),"",'Skill Matrix'!I239)</f>
        <v/>
      </c>
      <c r="H3734">
        <f>IF(A3734="","",'Employees'!F20)</f>
        <v/>
      </c>
    </row>
    <row r="3735">
      <c r="A3735">
        <f>IF(AND('Skill Matrix'!A239&lt;&gt;"",'Skill Matrix'!J5&lt;&gt;""),'Skill Matrix'!A239,"")</f>
        <v/>
      </c>
      <c r="B3735">
        <f>IF(A3735="","",'Employees'!C20)</f>
        <v/>
      </c>
      <c r="C3735">
        <f>IF(A3735="","",'Employees'!D20)</f>
        <v/>
      </c>
      <c r="D3735">
        <f>IF(A3735="","",'Skill Matrix'!C239)</f>
        <v/>
      </c>
      <c r="E3735">
        <f>IF(A3735="","",'Skill Matrix'!D239)</f>
        <v/>
      </c>
      <c r="F3735">
        <f>IF(AND('Skill Matrix'!A239&lt;&gt;"",'Skill Matrix'!J5&lt;&gt;""),'Skill Matrix'!J5,"")</f>
        <v/>
      </c>
      <c r="G3735">
        <f>IF(OR(A3735="",'Skill Matrix'!J239=""),"",'Skill Matrix'!J239)</f>
        <v/>
      </c>
      <c r="H3735">
        <f>IF(A3735="","",'Employees'!F20)</f>
        <v/>
      </c>
    </row>
    <row r="3736">
      <c r="A3736">
        <f>IF(AND('Skill Matrix'!A239&lt;&gt;"",'Skill Matrix'!K5&lt;&gt;""),'Skill Matrix'!A239,"")</f>
        <v/>
      </c>
      <c r="B3736">
        <f>IF(A3736="","",'Employees'!C20)</f>
        <v/>
      </c>
      <c r="C3736">
        <f>IF(A3736="","",'Employees'!D20)</f>
        <v/>
      </c>
      <c r="D3736">
        <f>IF(A3736="","",'Skill Matrix'!C239)</f>
        <v/>
      </c>
      <c r="E3736">
        <f>IF(A3736="","",'Skill Matrix'!D239)</f>
        <v/>
      </c>
      <c r="F3736">
        <f>IF(AND('Skill Matrix'!A239&lt;&gt;"",'Skill Matrix'!K5&lt;&gt;""),'Skill Matrix'!K5,"")</f>
        <v/>
      </c>
      <c r="G3736">
        <f>IF(OR(A3736="",'Skill Matrix'!K239=""),"",'Skill Matrix'!K239)</f>
        <v/>
      </c>
      <c r="H3736">
        <f>IF(A3736="","",'Employees'!F20)</f>
        <v/>
      </c>
    </row>
    <row r="3737">
      <c r="A3737">
        <f>IF(AND('Skill Matrix'!A239&lt;&gt;"",'Skill Matrix'!L5&lt;&gt;""),'Skill Matrix'!A239,"")</f>
        <v/>
      </c>
      <c r="B3737">
        <f>IF(A3737="","",'Employees'!C20)</f>
        <v/>
      </c>
      <c r="C3737">
        <f>IF(A3737="","",'Employees'!D20)</f>
        <v/>
      </c>
      <c r="D3737">
        <f>IF(A3737="","",'Skill Matrix'!C239)</f>
        <v/>
      </c>
      <c r="E3737">
        <f>IF(A3737="","",'Skill Matrix'!D239)</f>
        <v/>
      </c>
      <c r="F3737">
        <f>IF(AND('Skill Matrix'!A239&lt;&gt;"",'Skill Matrix'!L5&lt;&gt;""),'Skill Matrix'!L5,"")</f>
        <v/>
      </c>
      <c r="G3737">
        <f>IF(OR(A3737="",'Skill Matrix'!L239=""),"",'Skill Matrix'!L239)</f>
        <v/>
      </c>
      <c r="H3737">
        <f>IF(A3737="","",'Employees'!F20)</f>
        <v/>
      </c>
    </row>
    <row r="3738">
      <c r="A3738">
        <f>IF(AND('Skill Matrix'!A239&lt;&gt;"",'Skill Matrix'!M5&lt;&gt;""),'Skill Matrix'!A239,"")</f>
        <v/>
      </c>
      <c r="B3738">
        <f>IF(A3738="","",'Employees'!C20)</f>
        <v/>
      </c>
      <c r="C3738">
        <f>IF(A3738="","",'Employees'!D20)</f>
        <v/>
      </c>
      <c r="D3738">
        <f>IF(A3738="","",'Skill Matrix'!C239)</f>
        <v/>
      </c>
      <c r="E3738">
        <f>IF(A3738="","",'Skill Matrix'!D239)</f>
        <v/>
      </c>
      <c r="F3738">
        <f>IF(AND('Skill Matrix'!A239&lt;&gt;"",'Skill Matrix'!M5&lt;&gt;""),'Skill Matrix'!M5,"")</f>
        <v/>
      </c>
      <c r="G3738">
        <f>IF(OR(A3738="",'Skill Matrix'!M239=""),"",'Skill Matrix'!M239)</f>
        <v/>
      </c>
      <c r="H3738">
        <f>IF(A3738="","",'Employees'!F20)</f>
        <v/>
      </c>
    </row>
    <row r="3739">
      <c r="A3739">
        <f>IF(AND('Skill Matrix'!A239&lt;&gt;"",'Skill Matrix'!N5&lt;&gt;""),'Skill Matrix'!A239,"")</f>
        <v/>
      </c>
      <c r="B3739">
        <f>IF(A3739="","",'Employees'!C20)</f>
        <v/>
      </c>
      <c r="C3739">
        <f>IF(A3739="","",'Employees'!D20)</f>
        <v/>
      </c>
      <c r="D3739">
        <f>IF(A3739="","",'Skill Matrix'!C239)</f>
        <v/>
      </c>
      <c r="E3739">
        <f>IF(A3739="","",'Skill Matrix'!D239)</f>
        <v/>
      </c>
      <c r="F3739">
        <f>IF(AND('Skill Matrix'!A239&lt;&gt;"",'Skill Matrix'!N5&lt;&gt;""),'Skill Matrix'!N5,"")</f>
        <v/>
      </c>
      <c r="G3739">
        <f>IF(OR(A3739="",'Skill Matrix'!N239=""),"",'Skill Matrix'!N239)</f>
        <v/>
      </c>
      <c r="H3739">
        <f>IF(A3739="","",'Employees'!F20)</f>
        <v/>
      </c>
    </row>
    <row r="3740">
      <c r="A3740">
        <f>IF(AND('Skill Matrix'!A239&lt;&gt;"",'Skill Matrix'!O5&lt;&gt;""),'Skill Matrix'!A239,"")</f>
        <v/>
      </c>
      <c r="B3740">
        <f>IF(A3740="","",'Employees'!C20)</f>
        <v/>
      </c>
      <c r="C3740">
        <f>IF(A3740="","",'Employees'!D20)</f>
        <v/>
      </c>
      <c r="D3740">
        <f>IF(A3740="","",'Skill Matrix'!C239)</f>
        <v/>
      </c>
      <c r="E3740">
        <f>IF(A3740="","",'Skill Matrix'!D239)</f>
        <v/>
      </c>
      <c r="F3740">
        <f>IF(AND('Skill Matrix'!A239&lt;&gt;"",'Skill Matrix'!O5&lt;&gt;""),'Skill Matrix'!O5,"")</f>
        <v/>
      </c>
      <c r="G3740">
        <f>IF(OR(A3740="",'Skill Matrix'!O239=""),"",'Skill Matrix'!O239)</f>
        <v/>
      </c>
      <c r="H3740">
        <f>IF(A3740="","",'Employees'!F20)</f>
        <v/>
      </c>
    </row>
    <row r="3741">
      <c r="A3741">
        <f>IF(AND('Skill Matrix'!A239&lt;&gt;"",'Skill Matrix'!P5&lt;&gt;""),'Skill Matrix'!A239,"")</f>
        <v/>
      </c>
      <c r="B3741">
        <f>IF(A3741="","",'Employees'!C20)</f>
        <v/>
      </c>
      <c r="C3741">
        <f>IF(A3741="","",'Employees'!D20)</f>
        <v/>
      </c>
      <c r="D3741">
        <f>IF(A3741="","",'Skill Matrix'!C239)</f>
        <v/>
      </c>
      <c r="E3741">
        <f>IF(A3741="","",'Skill Matrix'!D239)</f>
        <v/>
      </c>
      <c r="F3741">
        <f>IF(AND('Skill Matrix'!A239&lt;&gt;"",'Skill Matrix'!P5&lt;&gt;""),'Skill Matrix'!P5,"")</f>
        <v/>
      </c>
      <c r="G3741">
        <f>IF(OR(A3741="",'Skill Matrix'!P239=""),"",'Skill Matrix'!P239)</f>
        <v/>
      </c>
      <c r="H3741">
        <f>IF(A3741="","",'Employees'!F20)</f>
        <v/>
      </c>
    </row>
    <row r="3742">
      <c r="A3742">
        <f>IF(AND('Skill Matrix'!A239&lt;&gt;"",'Skill Matrix'!Q5&lt;&gt;""),'Skill Matrix'!A239,"")</f>
        <v/>
      </c>
      <c r="B3742">
        <f>IF(A3742="","",'Employees'!C20)</f>
        <v/>
      </c>
      <c r="C3742">
        <f>IF(A3742="","",'Employees'!D20)</f>
        <v/>
      </c>
      <c r="D3742">
        <f>IF(A3742="","",'Skill Matrix'!C239)</f>
        <v/>
      </c>
      <c r="E3742">
        <f>IF(A3742="","",'Skill Matrix'!D239)</f>
        <v/>
      </c>
      <c r="F3742">
        <f>IF(AND('Skill Matrix'!A239&lt;&gt;"",'Skill Matrix'!Q5&lt;&gt;""),'Skill Matrix'!Q5,"")</f>
        <v/>
      </c>
      <c r="G3742">
        <f>IF(OR(A3742="",'Skill Matrix'!Q239=""),"",'Skill Matrix'!Q239)</f>
        <v/>
      </c>
      <c r="H3742">
        <f>IF(A3742="","",'Employees'!F20)</f>
        <v/>
      </c>
    </row>
    <row r="3743">
      <c r="A3743">
        <f>IF(AND('Skill Matrix'!A239&lt;&gt;"",'Skill Matrix'!R5&lt;&gt;""),'Skill Matrix'!A239,"")</f>
        <v/>
      </c>
      <c r="B3743">
        <f>IF(A3743="","",'Employees'!C20)</f>
        <v/>
      </c>
      <c r="C3743">
        <f>IF(A3743="","",'Employees'!D20)</f>
        <v/>
      </c>
      <c r="D3743">
        <f>IF(A3743="","",'Skill Matrix'!C239)</f>
        <v/>
      </c>
      <c r="E3743">
        <f>IF(A3743="","",'Skill Matrix'!D239)</f>
        <v/>
      </c>
      <c r="F3743">
        <f>IF(AND('Skill Matrix'!A239&lt;&gt;"",'Skill Matrix'!R5&lt;&gt;""),'Skill Matrix'!R5,"")</f>
        <v/>
      </c>
      <c r="G3743">
        <f>IF(OR(A3743="",'Skill Matrix'!R239=""),"",'Skill Matrix'!R239)</f>
        <v/>
      </c>
      <c r="H3743">
        <f>IF(A3743="","",'Employees'!F20)</f>
        <v/>
      </c>
    </row>
    <row r="3744">
      <c r="A3744">
        <f>IF(AND('Skill Matrix'!A239&lt;&gt;"",'Skill Matrix'!S5&lt;&gt;""),'Skill Matrix'!A239,"")</f>
        <v/>
      </c>
      <c r="B3744">
        <f>IF(A3744="","",'Employees'!C20)</f>
        <v/>
      </c>
      <c r="C3744">
        <f>IF(A3744="","",'Employees'!D20)</f>
        <v/>
      </c>
      <c r="D3744">
        <f>IF(A3744="","",'Skill Matrix'!C239)</f>
        <v/>
      </c>
      <c r="E3744">
        <f>IF(A3744="","",'Skill Matrix'!D239)</f>
        <v/>
      </c>
      <c r="F3744">
        <f>IF(AND('Skill Matrix'!A239&lt;&gt;"",'Skill Matrix'!S5&lt;&gt;""),'Skill Matrix'!S5,"")</f>
        <v/>
      </c>
      <c r="G3744">
        <f>IF(OR(A3744="",'Skill Matrix'!S239=""),"",'Skill Matrix'!S239)</f>
        <v/>
      </c>
      <c r="H3744">
        <f>IF(A3744="","",'Employees'!F20)</f>
        <v/>
      </c>
    </row>
    <row r="3745">
      <c r="A3745">
        <f>IF(AND('Skill Matrix'!A239&lt;&gt;"",'Skill Matrix'!T5&lt;&gt;""),'Skill Matrix'!A239,"")</f>
        <v/>
      </c>
      <c r="B3745">
        <f>IF(A3745="","",'Employees'!C20)</f>
        <v/>
      </c>
      <c r="C3745">
        <f>IF(A3745="","",'Employees'!D20)</f>
        <v/>
      </c>
      <c r="D3745">
        <f>IF(A3745="","",'Skill Matrix'!C239)</f>
        <v/>
      </c>
      <c r="E3745">
        <f>IF(A3745="","",'Skill Matrix'!D239)</f>
        <v/>
      </c>
      <c r="F3745">
        <f>IF(AND('Skill Matrix'!A239&lt;&gt;"",'Skill Matrix'!T5&lt;&gt;""),'Skill Matrix'!T5,"")</f>
        <v/>
      </c>
      <c r="G3745">
        <f>IF(OR(A3745="",'Skill Matrix'!T239=""),"",'Skill Matrix'!T239)</f>
        <v/>
      </c>
      <c r="H3745">
        <f>IF(A3745="","",'Employees'!F20)</f>
        <v/>
      </c>
    </row>
    <row r="3746">
      <c r="A3746">
        <f>IF(AND('Skill Matrix'!A240&lt;&gt;"",'Skill Matrix'!E5&lt;&gt;""),'Skill Matrix'!A240,"")</f>
        <v/>
      </c>
      <c r="B3746">
        <f>IF(A3746="","",'Employees'!C20)</f>
        <v/>
      </c>
      <c r="C3746">
        <f>IF(A3746="","",'Employees'!D20)</f>
        <v/>
      </c>
      <c r="D3746">
        <f>IF(A3746="","",'Skill Matrix'!C240)</f>
        <v/>
      </c>
      <c r="E3746">
        <f>IF(A3746="","",'Skill Matrix'!D240)</f>
        <v/>
      </c>
      <c r="F3746">
        <f>IF(AND('Skill Matrix'!A240&lt;&gt;"",'Skill Matrix'!E5&lt;&gt;""),'Skill Matrix'!E5,"")</f>
        <v/>
      </c>
      <c r="G3746">
        <f>IF(OR(A3746="",'Skill Matrix'!E240=""),"",'Skill Matrix'!E240)</f>
        <v/>
      </c>
      <c r="H3746">
        <f>IF(A3746="","",'Employees'!F20)</f>
        <v/>
      </c>
    </row>
    <row r="3747">
      <c r="A3747">
        <f>IF(AND('Skill Matrix'!A240&lt;&gt;"",'Skill Matrix'!F5&lt;&gt;""),'Skill Matrix'!A240,"")</f>
        <v/>
      </c>
      <c r="B3747">
        <f>IF(A3747="","",'Employees'!C20)</f>
        <v/>
      </c>
      <c r="C3747">
        <f>IF(A3747="","",'Employees'!D20)</f>
        <v/>
      </c>
      <c r="D3747">
        <f>IF(A3747="","",'Skill Matrix'!C240)</f>
        <v/>
      </c>
      <c r="E3747">
        <f>IF(A3747="","",'Skill Matrix'!D240)</f>
        <v/>
      </c>
      <c r="F3747">
        <f>IF(AND('Skill Matrix'!A240&lt;&gt;"",'Skill Matrix'!F5&lt;&gt;""),'Skill Matrix'!F5,"")</f>
        <v/>
      </c>
      <c r="G3747">
        <f>IF(OR(A3747="",'Skill Matrix'!F240=""),"",'Skill Matrix'!F240)</f>
        <v/>
      </c>
      <c r="H3747">
        <f>IF(A3747="","",'Employees'!F20)</f>
        <v/>
      </c>
    </row>
    <row r="3748">
      <c r="A3748">
        <f>IF(AND('Skill Matrix'!A240&lt;&gt;"",'Skill Matrix'!G5&lt;&gt;""),'Skill Matrix'!A240,"")</f>
        <v/>
      </c>
      <c r="B3748">
        <f>IF(A3748="","",'Employees'!C20)</f>
        <v/>
      </c>
      <c r="C3748">
        <f>IF(A3748="","",'Employees'!D20)</f>
        <v/>
      </c>
      <c r="D3748">
        <f>IF(A3748="","",'Skill Matrix'!C240)</f>
        <v/>
      </c>
      <c r="E3748">
        <f>IF(A3748="","",'Skill Matrix'!D240)</f>
        <v/>
      </c>
      <c r="F3748">
        <f>IF(AND('Skill Matrix'!A240&lt;&gt;"",'Skill Matrix'!G5&lt;&gt;""),'Skill Matrix'!G5,"")</f>
        <v/>
      </c>
      <c r="G3748">
        <f>IF(OR(A3748="",'Skill Matrix'!G240=""),"",'Skill Matrix'!G240)</f>
        <v/>
      </c>
      <c r="H3748">
        <f>IF(A3748="","",'Employees'!F20)</f>
        <v/>
      </c>
    </row>
    <row r="3749">
      <c r="A3749">
        <f>IF(AND('Skill Matrix'!A240&lt;&gt;"",'Skill Matrix'!H5&lt;&gt;""),'Skill Matrix'!A240,"")</f>
        <v/>
      </c>
      <c r="B3749">
        <f>IF(A3749="","",'Employees'!C20)</f>
        <v/>
      </c>
      <c r="C3749">
        <f>IF(A3749="","",'Employees'!D20)</f>
        <v/>
      </c>
      <c r="D3749">
        <f>IF(A3749="","",'Skill Matrix'!C240)</f>
        <v/>
      </c>
      <c r="E3749">
        <f>IF(A3749="","",'Skill Matrix'!D240)</f>
        <v/>
      </c>
      <c r="F3749">
        <f>IF(AND('Skill Matrix'!A240&lt;&gt;"",'Skill Matrix'!H5&lt;&gt;""),'Skill Matrix'!H5,"")</f>
        <v/>
      </c>
      <c r="G3749">
        <f>IF(OR(A3749="",'Skill Matrix'!H240=""),"",'Skill Matrix'!H240)</f>
        <v/>
      </c>
      <c r="H3749">
        <f>IF(A3749="","",'Employees'!F20)</f>
        <v/>
      </c>
    </row>
    <row r="3750">
      <c r="A3750">
        <f>IF(AND('Skill Matrix'!A240&lt;&gt;"",'Skill Matrix'!I5&lt;&gt;""),'Skill Matrix'!A240,"")</f>
        <v/>
      </c>
      <c r="B3750">
        <f>IF(A3750="","",'Employees'!C20)</f>
        <v/>
      </c>
      <c r="C3750">
        <f>IF(A3750="","",'Employees'!D20)</f>
        <v/>
      </c>
      <c r="D3750">
        <f>IF(A3750="","",'Skill Matrix'!C240)</f>
        <v/>
      </c>
      <c r="E3750">
        <f>IF(A3750="","",'Skill Matrix'!D240)</f>
        <v/>
      </c>
      <c r="F3750">
        <f>IF(AND('Skill Matrix'!A240&lt;&gt;"",'Skill Matrix'!I5&lt;&gt;""),'Skill Matrix'!I5,"")</f>
        <v/>
      </c>
      <c r="G3750">
        <f>IF(OR(A3750="",'Skill Matrix'!I240=""),"",'Skill Matrix'!I240)</f>
        <v/>
      </c>
      <c r="H3750">
        <f>IF(A3750="","",'Employees'!F20)</f>
        <v/>
      </c>
    </row>
    <row r="3751">
      <c r="A3751">
        <f>IF(AND('Skill Matrix'!A240&lt;&gt;"",'Skill Matrix'!J5&lt;&gt;""),'Skill Matrix'!A240,"")</f>
        <v/>
      </c>
      <c r="B3751">
        <f>IF(A3751="","",'Employees'!C20)</f>
        <v/>
      </c>
      <c r="C3751">
        <f>IF(A3751="","",'Employees'!D20)</f>
        <v/>
      </c>
      <c r="D3751">
        <f>IF(A3751="","",'Skill Matrix'!C240)</f>
        <v/>
      </c>
      <c r="E3751">
        <f>IF(A3751="","",'Skill Matrix'!D240)</f>
        <v/>
      </c>
      <c r="F3751">
        <f>IF(AND('Skill Matrix'!A240&lt;&gt;"",'Skill Matrix'!J5&lt;&gt;""),'Skill Matrix'!J5,"")</f>
        <v/>
      </c>
      <c r="G3751">
        <f>IF(OR(A3751="",'Skill Matrix'!J240=""),"",'Skill Matrix'!J240)</f>
        <v/>
      </c>
      <c r="H3751">
        <f>IF(A3751="","",'Employees'!F20)</f>
        <v/>
      </c>
    </row>
    <row r="3752">
      <c r="A3752">
        <f>IF(AND('Skill Matrix'!A240&lt;&gt;"",'Skill Matrix'!K5&lt;&gt;""),'Skill Matrix'!A240,"")</f>
        <v/>
      </c>
      <c r="B3752">
        <f>IF(A3752="","",'Employees'!C20)</f>
        <v/>
      </c>
      <c r="C3752">
        <f>IF(A3752="","",'Employees'!D20)</f>
        <v/>
      </c>
      <c r="D3752">
        <f>IF(A3752="","",'Skill Matrix'!C240)</f>
        <v/>
      </c>
      <c r="E3752">
        <f>IF(A3752="","",'Skill Matrix'!D240)</f>
        <v/>
      </c>
      <c r="F3752">
        <f>IF(AND('Skill Matrix'!A240&lt;&gt;"",'Skill Matrix'!K5&lt;&gt;""),'Skill Matrix'!K5,"")</f>
        <v/>
      </c>
      <c r="G3752">
        <f>IF(OR(A3752="",'Skill Matrix'!K240=""),"",'Skill Matrix'!K240)</f>
        <v/>
      </c>
      <c r="H3752">
        <f>IF(A3752="","",'Employees'!F20)</f>
        <v/>
      </c>
    </row>
    <row r="3753">
      <c r="A3753">
        <f>IF(AND('Skill Matrix'!A240&lt;&gt;"",'Skill Matrix'!L5&lt;&gt;""),'Skill Matrix'!A240,"")</f>
        <v/>
      </c>
      <c r="B3753">
        <f>IF(A3753="","",'Employees'!C20)</f>
        <v/>
      </c>
      <c r="C3753">
        <f>IF(A3753="","",'Employees'!D20)</f>
        <v/>
      </c>
      <c r="D3753">
        <f>IF(A3753="","",'Skill Matrix'!C240)</f>
        <v/>
      </c>
      <c r="E3753">
        <f>IF(A3753="","",'Skill Matrix'!D240)</f>
        <v/>
      </c>
      <c r="F3753">
        <f>IF(AND('Skill Matrix'!A240&lt;&gt;"",'Skill Matrix'!L5&lt;&gt;""),'Skill Matrix'!L5,"")</f>
        <v/>
      </c>
      <c r="G3753">
        <f>IF(OR(A3753="",'Skill Matrix'!L240=""),"",'Skill Matrix'!L240)</f>
        <v/>
      </c>
      <c r="H3753">
        <f>IF(A3753="","",'Employees'!F20)</f>
        <v/>
      </c>
    </row>
    <row r="3754">
      <c r="A3754">
        <f>IF(AND('Skill Matrix'!A240&lt;&gt;"",'Skill Matrix'!M5&lt;&gt;""),'Skill Matrix'!A240,"")</f>
        <v/>
      </c>
      <c r="B3754">
        <f>IF(A3754="","",'Employees'!C20)</f>
        <v/>
      </c>
      <c r="C3754">
        <f>IF(A3754="","",'Employees'!D20)</f>
        <v/>
      </c>
      <c r="D3754">
        <f>IF(A3754="","",'Skill Matrix'!C240)</f>
        <v/>
      </c>
      <c r="E3754">
        <f>IF(A3754="","",'Skill Matrix'!D240)</f>
        <v/>
      </c>
      <c r="F3754">
        <f>IF(AND('Skill Matrix'!A240&lt;&gt;"",'Skill Matrix'!M5&lt;&gt;""),'Skill Matrix'!M5,"")</f>
        <v/>
      </c>
      <c r="G3754">
        <f>IF(OR(A3754="",'Skill Matrix'!M240=""),"",'Skill Matrix'!M240)</f>
        <v/>
      </c>
      <c r="H3754">
        <f>IF(A3754="","",'Employees'!F20)</f>
        <v/>
      </c>
    </row>
    <row r="3755">
      <c r="A3755">
        <f>IF(AND('Skill Matrix'!A240&lt;&gt;"",'Skill Matrix'!N5&lt;&gt;""),'Skill Matrix'!A240,"")</f>
        <v/>
      </c>
      <c r="B3755">
        <f>IF(A3755="","",'Employees'!C20)</f>
        <v/>
      </c>
      <c r="C3755">
        <f>IF(A3755="","",'Employees'!D20)</f>
        <v/>
      </c>
      <c r="D3755">
        <f>IF(A3755="","",'Skill Matrix'!C240)</f>
        <v/>
      </c>
      <c r="E3755">
        <f>IF(A3755="","",'Skill Matrix'!D240)</f>
        <v/>
      </c>
      <c r="F3755">
        <f>IF(AND('Skill Matrix'!A240&lt;&gt;"",'Skill Matrix'!N5&lt;&gt;""),'Skill Matrix'!N5,"")</f>
        <v/>
      </c>
      <c r="G3755">
        <f>IF(OR(A3755="",'Skill Matrix'!N240=""),"",'Skill Matrix'!N240)</f>
        <v/>
      </c>
      <c r="H3755">
        <f>IF(A3755="","",'Employees'!F20)</f>
        <v/>
      </c>
    </row>
    <row r="3756">
      <c r="A3756">
        <f>IF(AND('Skill Matrix'!A240&lt;&gt;"",'Skill Matrix'!O5&lt;&gt;""),'Skill Matrix'!A240,"")</f>
        <v/>
      </c>
      <c r="B3756">
        <f>IF(A3756="","",'Employees'!C20)</f>
        <v/>
      </c>
      <c r="C3756">
        <f>IF(A3756="","",'Employees'!D20)</f>
        <v/>
      </c>
      <c r="D3756">
        <f>IF(A3756="","",'Skill Matrix'!C240)</f>
        <v/>
      </c>
      <c r="E3756">
        <f>IF(A3756="","",'Skill Matrix'!D240)</f>
        <v/>
      </c>
      <c r="F3756">
        <f>IF(AND('Skill Matrix'!A240&lt;&gt;"",'Skill Matrix'!O5&lt;&gt;""),'Skill Matrix'!O5,"")</f>
        <v/>
      </c>
      <c r="G3756">
        <f>IF(OR(A3756="",'Skill Matrix'!O240=""),"",'Skill Matrix'!O240)</f>
        <v/>
      </c>
      <c r="H3756">
        <f>IF(A3756="","",'Employees'!F20)</f>
        <v/>
      </c>
    </row>
    <row r="3757">
      <c r="A3757">
        <f>IF(AND('Skill Matrix'!A240&lt;&gt;"",'Skill Matrix'!P5&lt;&gt;""),'Skill Matrix'!A240,"")</f>
        <v/>
      </c>
      <c r="B3757">
        <f>IF(A3757="","",'Employees'!C20)</f>
        <v/>
      </c>
      <c r="C3757">
        <f>IF(A3757="","",'Employees'!D20)</f>
        <v/>
      </c>
      <c r="D3757">
        <f>IF(A3757="","",'Skill Matrix'!C240)</f>
        <v/>
      </c>
      <c r="E3757">
        <f>IF(A3757="","",'Skill Matrix'!D240)</f>
        <v/>
      </c>
      <c r="F3757">
        <f>IF(AND('Skill Matrix'!A240&lt;&gt;"",'Skill Matrix'!P5&lt;&gt;""),'Skill Matrix'!P5,"")</f>
        <v/>
      </c>
      <c r="G3757">
        <f>IF(OR(A3757="",'Skill Matrix'!P240=""),"",'Skill Matrix'!P240)</f>
        <v/>
      </c>
      <c r="H3757">
        <f>IF(A3757="","",'Employees'!F20)</f>
        <v/>
      </c>
    </row>
    <row r="3758">
      <c r="A3758">
        <f>IF(AND('Skill Matrix'!A240&lt;&gt;"",'Skill Matrix'!Q5&lt;&gt;""),'Skill Matrix'!A240,"")</f>
        <v/>
      </c>
      <c r="B3758">
        <f>IF(A3758="","",'Employees'!C20)</f>
        <v/>
      </c>
      <c r="C3758">
        <f>IF(A3758="","",'Employees'!D20)</f>
        <v/>
      </c>
      <c r="D3758">
        <f>IF(A3758="","",'Skill Matrix'!C240)</f>
        <v/>
      </c>
      <c r="E3758">
        <f>IF(A3758="","",'Skill Matrix'!D240)</f>
        <v/>
      </c>
      <c r="F3758">
        <f>IF(AND('Skill Matrix'!A240&lt;&gt;"",'Skill Matrix'!Q5&lt;&gt;""),'Skill Matrix'!Q5,"")</f>
        <v/>
      </c>
      <c r="G3758">
        <f>IF(OR(A3758="",'Skill Matrix'!Q240=""),"",'Skill Matrix'!Q240)</f>
        <v/>
      </c>
      <c r="H3758">
        <f>IF(A3758="","",'Employees'!F20)</f>
        <v/>
      </c>
    </row>
    <row r="3759">
      <c r="A3759">
        <f>IF(AND('Skill Matrix'!A240&lt;&gt;"",'Skill Matrix'!R5&lt;&gt;""),'Skill Matrix'!A240,"")</f>
        <v/>
      </c>
      <c r="B3759">
        <f>IF(A3759="","",'Employees'!C20)</f>
        <v/>
      </c>
      <c r="C3759">
        <f>IF(A3759="","",'Employees'!D20)</f>
        <v/>
      </c>
      <c r="D3759">
        <f>IF(A3759="","",'Skill Matrix'!C240)</f>
        <v/>
      </c>
      <c r="E3759">
        <f>IF(A3759="","",'Skill Matrix'!D240)</f>
        <v/>
      </c>
      <c r="F3759">
        <f>IF(AND('Skill Matrix'!A240&lt;&gt;"",'Skill Matrix'!R5&lt;&gt;""),'Skill Matrix'!R5,"")</f>
        <v/>
      </c>
      <c r="G3759">
        <f>IF(OR(A3759="",'Skill Matrix'!R240=""),"",'Skill Matrix'!R240)</f>
        <v/>
      </c>
      <c r="H3759">
        <f>IF(A3759="","",'Employees'!F20)</f>
        <v/>
      </c>
    </row>
    <row r="3760">
      <c r="A3760">
        <f>IF(AND('Skill Matrix'!A240&lt;&gt;"",'Skill Matrix'!S5&lt;&gt;""),'Skill Matrix'!A240,"")</f>
        <v/>
      </c>
      <c r="B3760">
        <f>IF(A3760="","",'Employees'!C20)</f>
        <v/>
      </c>
      <c r="C3760">
        <f>IF(A3760="","",'Employees'!D20)</f>
        <v/>
      </c>
      <c r="D3760">
        <f>IF(A3760="","",'Skill Matrix'!C240)</f>
        <v/>
      </c>
      <c r="E3760">
        <f>IF(A3760="","",'Skill Matrix'!D240)</f>
        <v/>
      </c>
      <c r="F3760">
        <f>IF(AND('Skill Matrix'!A240&lt;&gt;"",'Skill Matrix'!S5&lt;&gt;""),'Skill Matrix'!S5,"")</f>
        <v/>
      </c>
      <c r="G3760">
        <f>IF(OR(A3760="",'Skill Matrix'!S240=""),"",'Skill Matrix'!S240)</f>
        <v/>
      </c>
      <c r="H3760">
        <f>IF(A3760="","",'Employees'!F20)</f>
        <v/>
      </c>
    </row>
    <row r="3761">
      <c r="A3761">
        <f>IF(AND('Skill Matrix'!A240&lt;&gt;"",'Skill Matrix'!T5&lt;&gt;""),'Skill Matrix'!A240,"")</f>
        <v/>
      </c>
      <c r="B3761">
        <f>IF(A3761="","",'Employees'!C20)</f>
        <v/>
      </c>
      <c r="C3761">
        <f>IF(A3761="","",'Employees'!D20)</f>
        <v/>
      </c>
      <c r="D3761">
        <f>IF(A3761="","",'Skill Matrix'!C240)</f>
        <v/>
      </c>
      <c r="E3761">
        <f>IF(A3761="","",'Skill Matrix'!D240)</f>
        <v/>
      </c>
      <c r="F3761">
        <f>IF(AND('Skill Matrix'!A240&lt;&gt;"",'Skill Matrix'!T5&lt;&gt;""),'Skill Matrix'!T5,"")</f>
        <v/>
      </c>
      <c r="G3761">
        <f>IF(OR(A3761="",'Skill Matrix'!T240=""),"",'Skill Matrix'!T240)</f>
        <v/>
      </c>
      <c r="H3761">
        <f>IF(A3761="","",'Employees'!F20)</f>
        <v/>
      </c>
    </row>
    <row r="3762">
      <c r="A3762">
        <f>IF(AND('Skill Matrix'!A241&lt;&gt;"",'Skill Matrix'!E5&lt;&gt;""),'Skill Matrix'!A241,"")</f>
        <v/>
      </c>
      <c r="B3762">
        <f>IF(A3762="","",'Employees'!C20)</f>
        <v/>
      </c>
      <c r="C3762">
        <f>IF(A3762="","",'Employees'!D20)</f>
        <v/>
      </c>
      <c r="D3762">
        <f>IF(A3762="","",'Skill Matrix'!C241)</f>
        <v/>
      </c>
      <c r="E3762">
        <f>IF(A3762="","",'Skill Matrix'!D241)</f>
        <v/>
      </c>
      <c r="F3762">
        <f>IF(AND('Skill Matrix'!A241&lt;&gt;"",'Skill Matrix'!E5&lt;&gt;""),'Skill Matrix'!E5,"")</f>
        <v/>
      </c>
      <c r="G3762">
        <f>IF(OR(A3762="",'Skill Matrix'!E241=""),"",'Skill Matrix'!E241)</f>
        <v/>
      </c>
      <c r="H3762">
        <f>IF(A3762="","",'Employees'!F20)</f>
        <v/>
      </c>
    </row>
    <row r="3763">
      <c r="A3763">
        <f>IF(AND('Skill Matrix'!A241&lt;&gt;"",'Skill Matrix'!F5&lt;&gt;""),'Skill Matrix'!A241,"")</f>
        <v/>
      </c>
      <c r="B3763">
        <f>IF(A3763="","",'Employees'!C20)</f>
        <v/>
      </c>
      <c r="C3763">
        <f>IF(A3763="","",'Employees'!D20)</f>
        <v/>
      </c>
      <c r="D3763">
        <f>IF(A3763="","",'Skill Matrix'!C241)</f>
        <v/>
      </c>
      <c r="E3763">
        <f>IF(A3763="","",'Skill Matrix'!D241)</f>
        <v/>
      </c>
      <c r="F3763">
        <f>IF(AND('Skill Matrix'!A241&lt;&gt;"",'Skill Matrix'!F5&lt;&gt;""),'Skill Matrix'!F5,"")</f>
        <v/>
      </c>
      <c r="G3763">
        <f>IF(OR(A3763="",'Skill Matrix'!F241=""),"",'Skill Matrix'!F241)</f>
        <v/>
      </c>
      <c r="H3763">
        <f>IF(A3763="","",'Employees'!F20)</f>
        <v/>
      </c>
    </row>
    <row r="3764">
      <c r="A3764">
        <f>IF(AND('Skill Matrix'!A241&lt;&gt;"",'Skill Matrix'!G5&lt;&gt;""),'Skill Matrix'!A241,"")</f>
        <v/>
      </c>
      <c r="B3764">
        <f>IF(A3764="","",'Employees'!C20)</f>
        <v/>
      </c>
      <c r="C3764">
        <f>IF(A3764="","",'Employees'!D20)</f>
        <v/>
      </c>
      <c r="D3764">
        <f>IF(A3764="","",'Skill Matrix'!C241)</f>
        <v/>
      </c>
      <c r="E3764">
        <f>IF(A3764="","",'Skill Matrix'!D241)</f>
        <v/>
      </c>
      <c r="F3764">
        <f>IF(AND('Skill Matrix'!A241&lt;&gt;"",'Skill Matrix'!G5&lt;&gt;""),'Skill Matrix'!G5,"")</f>
        <v/>
      </c>
      <c r="G3764">
        <f>IF(OR(A3764="",'Skill Matrix'!G241=""),"",'Skill Matrix'!G241)</f>
        <v/>
      </c>
      <c r="H3764">
        <f>IF(A3764="","",'Employees'!F20)</f>
        <v/>
      </c>
    </row>
    <row r="3765">
      <c r="A3765">
        <f>IF(AND('Skill Matrix'!A241&lt;&gt;"",'Skill Matrix'!H5&lt;&gt;""),'Skill Matrix'!A241,"")</f>
        <v/>
      </c>
      <c r="B3765">
        <f>IF(A3765="","",'Employees'!C20)</f>
        <v/>
      </c>
      <c r="C3765">
        <f>IF(A3765="","",'Employees'!D20)</f>
        <v/>
      </c>
      <c r="D3765">
        <f>IF(A3765="","",'Skill Matrix'!C241)</f>
        <v/>
      </c>
      <c r="E3765">
        <f>IF(A3765="","",'Skill Matrix'!D241)</f>
        <v/>
      </c>
      <c r="F3765">
        <f>IF(AND('Skill Matrix'!A241&lt;&gt;"",'Skill Matrix'!H5&lt;&gt;""),'Skill Matrix'!H5,"")</f>
        <v/>
      </c>
      <c r="G3765">
        <f>IF(OR(A3765="",'Skill Matrix'!H241=""),"",'Skill Matrix'!H241)</f>
        <v/>
      </c>
      <c r="H3765">
        <f>IF(A3765="","",'Employees'!F20)</f>
        <v/>
      </c>
    </row>
    <row r="3766">
      <c r="A3766">
        <f>IF(AND('Skill Matrix'!A241&lt;&gt;"",'Skill Matrix'!I5&lt;&gt;""),'Skill Matrix'!A241,"")</f>
        <v/>
      </c>
      <c r="B3766">
        <f>IF(A3766="","",'Employees'!C20)</f>
        <v/>
      </c>
      <c r="C3766">
        <f>IF(A3766="","",'Employees'!D20)</f>
        <v/>
      </c>
      <c r="D3766">
        <f>IF(A3766="","",'Skill Matrix'!C241)</f>
        <v/>
      </c>
      <c r="E3766">
        <f>IF(A3766="","",'Skill Matrix'!D241)</f>
        <v/>
      </c>
      <c r="F3766">
        <f>IF(AND('Skill Matrix'!A241&lt;&gt;"",'Skill Matrix'!I5&lt;&gt;""),'Skill Matrix'!I5,"")</f>
        <v/>
      </c>
      <c r="G3766">
        <f>IF(OR(A3766="",'Skill Matrix'!I241=""),"",'Skill Matrix'!I241)</f>
        <v/>
      </c>
      <c r="H3766">
        <f>IF(A3766="","",'Employees'!F20)</f>
        <v/>
      </c>
    </row>
    <row r="3767">
      <c r="A3767">
        <f>IF(AND('Skill Matrix'!A241&lt;&gt;"",'Skill Matrix'!J5&lt;&gt;""),'Skill Matrix'!A241,"")</f>
        <v/>
      </c>
      <c r="B3767">
        <f>IF(A3767="","",'Employees'!C20)</f>
        <v/>
      </c>
      <c r="C3767">
        <f>IF(A3767="","",'Employees'!D20)</f>
        <v/>
      </c>
      <c r="D3767">
        <f>IF(A3767="","",'Skill Matrix'!C241)</f>
        <v/>
      </c>
      <c r="E3767">
        <f>IF(A3767="","",'Skill Matrix'!D241)</f>
        <v/>
      </c>
      <c r="F3767">
        <f>IF(AND('Skill Matrix'!A241&lt;&gt;"",'Skill Matrix'!J5&lt;&gt;""),'Skill Matrix'!J5,"")</f>
        <v/>
      </c>
      <c r="G3767">
        <f>IF(OR(A3767="",'Skill Matrix'!J241=""),"",'Skill Matrix'!J241)</f>
        <v/>
      </c>
      <c r="H3767">
        <f>IF(A3767="","",'Employees'!F20)</f>
        <v/>
      </c>
    </row>
    <row r="3768">
      <c r="A3768">
        <f>IF(AND('Skill Matrix'!A241&lt;&gt;"",'Skill Matrix'!K5&lt;&gt;""),'Skill Matrix'!A241,"")</f>
        <v/>
      </c>
      <c r="B3768">
        <f>IF(A3768="","",'Employees'!C20)</f>
        <v/>
      </c>
      <c r="C3768">
        <f>IF(A3768="","",'Employees'!D20)</f>
        <v/>
      </c>
      <c r="D3768">
        <f>IF(A3768="","",'Skill Matrix'!C241)</f>
        <v/>
      </c>
      <c r="E3768">
        <f>IF(A3768="","",'Skill Matrix'!D241)</f>
        <v/>
      </c>
      <c r="F3768">
        <f>IF(AND('Skill Matrix'!A241&lt;&gt;"",'Skill Matrix'!K5&lt;&gt;""),'Skill Matrix'!K5,"")</f>
        <v/>
      </c>
      <c r="G3768">
        <f>IF(OR(A3768="",'Skill Matrix'!K241=""),"",'Skill Matrix'!K241)</f>
        <v/>
      </c>
      <c r="H3768">
        <f>IF(A3768="","",'Employees'!F20)</f>
        <v/>
      </c>
    </row>
    <row r="3769">
      <c r="A3769">
        <f>IF(AND('Skill Matrix'!A241&lt;&gt;"",'Skill Matrix'!L5&lt;&gt;""),'Skill Matrix'!A241,"")</f>
        <v/>
      </c>
      <c r="B3769">
        <f>IF(A3769="","",'Employees'!C20)</f>
        <v/>
      </c>
      <c r="C3769">
        <f>IF(A3769="","",'Employees'!D20)</f>
        <v/>
      </c>
      <c r="D3769">
        <f>IF(A3769="","",'Skill Matrix'!C241)</f>
        <v/>
      </c>
      <c r="E3769">
        <f>IF(A3769="","",'Skill Matrix'!D241)</f>
        <v/>
      </c>
      <c r="F3769">
        <f>IF(AND('Skill Matrix'!A241&lt;&gt;"",'Skill Matrix'!L5&lt;&gt;""),'Skill Matrix'!L5,"")</f>
        <v/>
      </c>
      <c r="G3769">
        <f>IF(OR(A3769="",'Skill Matrix'!L241=""),"",'Skill Matrix'!L241)</f>
        <v/>
      </c>
      <c r="H3769">
        <f>IF(A3769="","",'Employees'!F20)</f>
        <v/>
      </c>
    </row>
    <row r="3770">
      <c r="A3770">
        <f>IF(AND('Skill Matrix'!A241&lt;&gt;"",'Skill Matrix'!M5&lt;&gt;""),'Skill Matrix'!A241,"")</f>
        <v/>
      </c>
      <c r="B3770">
        <f>IF(A3770="","",'Employees'!C20)</f>
        <v/>
      </c>
      <c r="C3770">
        <f>IF(A3770="","",'Employees'!D20)</f>
        <v/>
      </c>
      <c r="D3770">
        <f>IF(A3770="","",'Skill Matrix'!C241)</f>
        <v/>
      </c>
      <c r="E3770">
        <f>IF(A3770="","",'Skill Matrix'!D241)</f>
        <v/>
      </c>
      <c r="F3770">
        <f>IF(AND('Skill Matrix'!A241&lt;&gt;"",'Skill Matrix'!M5&lt;&gt;""),'Skill Matrix'!M5,"")</f>
        <v/>
      </c>
      <c r="G3770">
        <f>IF(OR(A3770="",'Skill Matrix'!M241=""),"",'Skill Matrix'!M241)</f>
        <v/>
      </c>
      <c r="H3770">
        <f>IF(A3770="","",'Employees'!F20)</f>
        <v/>
      </c>
    </row>
    <row r="3771">
      <c r="A3771">
        <f>IF(AND('Skill Matrix'!A241&lt;&gt;"",'Skill Matrix'!N5&lt;&gt;""),'Skill Matrix'!A241,"")</f>
        <v/>
      </c>
      <c r="B3771">
        <f>IF(A3771="","",'Employees'!C20)</f>
        <v/>
      </c>
      <c r="C3771">
        <f>IF(A3771="","",'Employees'!D20)</f>
        <v/>
      </c>
      <c r="D3771">
        <f>IF(A3771="","",'Skill Matrix'!C241)</f>
        <v/>
      </c>
      <c r="E3771">
        <f>IF(A3771="","",'Skill Matrix'!D241)</f>
        <v/>
      </c>
      <c r="F3771">
        <f>IF(AND('Skill Matrix'!A241&lt;&gt;"",'Skill Matrix'!N5&lt;&gt;""),'Skill Matrix'!N5,"")</f>
        <v/>
      </c>
      <c r="G3771">
        <f>IF(OR(A3771="",'Skill Matrix'!N241=""),"",'Skill Matrix'!N241)</f>
        <v/>
      </c>
      <c r="H3771">
        <f>IF(A3771="","",'Employees'!F20)</f>
        <v/>
      </c>
    </row>
    <row r="3772">
      <c r="A3772">
        <f>IF(AND('Skill Matrix'!A241&lt;&gt;"",'Skill Matrix'!O5&lt;&gt;""),'Skill Matrix'!A241,"")</f>
        <v/>
      </c>
      <c r="B3772">
        <f>IF(A3772="","",'Employees'!C20)</f>
        <v/>
      </c>
      <c r="C3772">
        <f>IF(A3772="","",'Employees'!D20)</f>
        <v/>
      </c>
      <c r="D3772">
        <f>IF(A3772="","",'Skill Matrix'!C241)</f>
        <v/>
      </c>
      <c r="E3772">
        <f>IF(A3772="","",'Skill Matrix'!D241)</f>
        <v/>
      </c>
      <c r="F3772">
        <f>IF(AND('Skill Matrix'!A241&lt;&gt;"",'Skill Matrix'!O5&lt;&gt;""),'Skill Matrix'!O5,"")</f>
        <v/>
      </c>
      <c r="G3772">
        <f>IF(OR(A3772="",'Skill Matrix'!O241=""),"",'Skill Matrix'!O241)</f>
        <v/>
      </c>
      <c r="H3772">
        <f>IF(A3772="","",'Employees'!F20)</f>
        <v/>
      </c>
    </row>
    <row r="3773">
      <c r="A3773">
        <f>IF(AND('Skill Matrix'!A241&lt;&gt;"",'Skill Matrix'!P5&lt;&gt;""),'Skill Matrix'!A241,"")</f>
        <v/>
      </c>
      <c r="B3773">
        <f>IF(A3773="","",'Employees'!C20)</f>
        <v/>
      </c>
      <c r="C3773">
        <f>IF(A3773="","",'Employees'!D20)</f>
        <v/>
      </c>
      <c r="D3773">
        <f>IF(A3773="","",'Skill Matrix'!C241)</f>
        <v/>
      </c>
      <c r="E3773">
        <f>IF(A3773="","",'Skill Matrix'!D241)</f>
        <v/>
      </c>
      <c r="F3773">
        <f>IF(AND('Skill Matrix'!A241&lt;&gt;"",'Skill Matrix'!P5&lt;&gt;""),'Skill Matrix'!P5,"")</f>
        <v/>
      </c>
      <c r="G3773">
        <f>IF(OR(A3773="",'Skill Matrix'!P241=""),"",'Skill Matrix'!P241)</f>
        <v/>
      </c>
      <c r="H3773">
        <f>IF(A3773="","",'Employees'!F20)</f>
        <v/>
      </c>
    </row>
    <row r="3774">
      <c r="A3774">
        <f>IF(AND('Skill Matrix'!A241&lt;&gt;"",'Skill Matrix'!Q5&lt;&gt;""),'Skill Matrix'!A241,"")</f>
        <v/>
      </c>
      <c r="B3774">
        <f>IF(A3774="","",'Employees'!C20)</f>
        <v/>
      </c>
      <c r="C3774">
        <f>IF(A3774="","",'Employees'!D20)</f>
        <v/>
      </c>
      <c r="D3774">
        <f>IF(A3774="","",'Skill Matrix'!C241)</f>
        <v/>
      </c>
      <c r="E3774">
        <f>IF(A3774="","",'Skill Matrix'!D241)</f>
        <v/>
      </c>
      <c r="F3774">
        <f>IF(AND('Skill Matrix'!A241&lt;&gt;"",'Skill Matrix'!Q5&lt;&gt;""),'Skill Matrix'!Q5,"")</f>
        <v/>
      </c>
      <c r="G3774">
        <f>IF(OR(A3774="",'Skill Matrix'!Q241=""),"",'Skill Matrix'!Q241)</f>
        <v/>
      </c>
      <c r="H3774">
        <f>IF(A3774="","",'Employees'!F20)</f>
        <v/>
      </c>
    </row>
    <row r="3775">
      <c r="A3775">
        <f>IF(AND('Skill Matrix'!A241&lt;&gt;"",'Skill Matrix'!R5&lt;&gt;""),'Skill Matrix'!A241,"")</f>
        <v/>
      </c>
      <c r="B3775">
        <f>IF(A3775="","",'Employees'!C20)</f>
        <v/>
      </c>
      <c r="C3775">
        <f>IF(A3775="","",'Employees'!D20)</f>
        <v/>
      </c>
      <c r="D3775">
        <f>IF(A3775="","",'Skill Matrix'!C241)</f>
        <v/>
      </c>
      <c r="E3775">
        <f>IF(A3775="","",'Skill Matrix'!D241)</f>
        <v/>
      </c>
      <c r="F3775">
        <f>IF(AND('Skill Matrix'!A241&lt;&gt;"",'Skill Matrix'!R5&lt;&gt;""),'Skill Matrix'!R5,"")</f>
        <v/>
      </c>
      <c r="G3775">
        <f>IF(OR(A3775="",'Skill Matrix'!R241=""),"",'Skill Matrix'!R241)</f>
        <v/>
      </c>
      <c r="H3775">
        <f>IF(A3775="","",'Employees'!F20)</f>
        <v/>
      </c>
    </row>
    <row r="3776">
      <c r="A3776">
        <f>IF(AND('Skill Matrix'!A241&lt;&gt;"",'Skill Matrix'!S5&lt;&gt;""),'Skill Matrix'!A241,"")</f>
        <v/>
      </c>
      <c r="B3776">
        <f>IF(A3776="","",'Employees'!C20)</f>
        <v/>
      </c>
      <c r="C3776">
        <f>IF(A3776="","",'Employees'!D20)</f>
        <v/>
      </c>
      <c r="D3776">
        <f>IF(A3776="","",'Skill Matrix'!C241)</f>
        <v/>
      </c>
      <c r="E3776">
        <f>IF(A3776="","",'Skill Matrix'!D241)</f>
        <v/>
      </c>
      <c r="F3776">
        <f>IF(AND('Skill Matrix'!A241&lt;&gt;"",'Skill Matrix'!S5&lt;&gt;""),'Skill Matrix'!S5,"")</f>
        <v/>
      </c>
      <c r="G3776">
        <f>IF(OR(A3776="",'Skill Matrix'!S241=""),"",'Skill Matrix'!S241)</f>
        <v/>
      </c>
      <c r="H3776">
        <f>IF(A3776="","",'Employees'!F20)</f>
        <v/>
      </c>
    </row>
    <row r="3777">
      <c r="A3777">
        <f>IF(AND('Skill Matrix'!A241&lt;&gt;"",'Skill Matrix'!T5&lt;&gt;""),'Skill Matrix'!A241,"")</f>
        <v/>
      </c>
      <c r="B3777">
        <f>IF(A3777="","",'Employees'!C20)</f>
        <v/>
      </c>
      <c r="C3777">
        <f>IF(A3777="","",'Employees'!D20)</f>
        <v/>
      </c>
      <c r="D3777">
        <f>IF(A3777="","",'Skill Matrix'!C241)</f>
        <v/>
      </c>
      <c r="E3777">
        <f>IF(A3777="","",'Skill Matrix'!D241)</f>
        <v/>
      </c>
      <c r="F3777">
        <f>IF(AND('Skill Matrix'!A241&lt;&gt;"",'Skill Matrix'!T5&lt;&gt;""),'Skill Matrix'!T5,"")</f>
        <v/>
      </c>
      <c r="G3777">
        <f>IF(OR(A3777="",'Skill Matrix'!T241=""),"",'Skill Matrix'!T241)</f>
        <v/>
      </c>
      <c r="H3777">
        <f>IF(A3777="","",'Employees'!F20)</f>
        <v/>
      </c>
    </row>
    <row r="3778">
      <c r="A3778">
        <f>IF(AND('Skill Matrix'!A242&lt;&gt;"",'Skill Matrix'!E5&lt;&gt;""),'Skill Matrix'!A242,"")</f>
        <v/>
      </c>
      <c r="B3778">
        <f>IF(A3778="","",'Employees'!C20)</f>
        <v/>
      </c>
      <c r="C3778">
        <f>IF(A3778="","",'Employees'!D20)</f>
        <v/>
      </c>
      <c r="D3778">
        <f>IF(A3778="","",'Skill Matrix'!C242)</f>
        <v/>
      </c>
      <c r="E3778">
        <f>IF(A3778="","",'Skill Matrix'!D242)</f>
        <v/>
      </c>
      <c r="F3778">
        <f>IF(AND('Skill Matrix'!A242&lt;&gt;"",'Skill Matrix'!E5&lt;&gt;""),'Skill Matrix'!E5,"")</f>
        <v/>
      </c>
      <c r="G3778">
        <f>IF(OR(A3778="",'Skill Matrix'!E242=""),"",'Skill Matrix'!E242)</f>
        <v/>
      </c>
      <c r="H3778">
        <f>IF(A3778="","",'Employees'!F20)</f>
        <v/>
      </c>
    </row>
    <row r="3779">
      <c r="A3779">
        <f>IF(AND('Skill Matrix'!A242&lt;&gt;"",'Skill Matrix'!F5&lt;&gt;""),'Skill Matrix'!A242,"")</f>
        <v/>
      </c>
      <c r="B3779">
        <f>IF(A3779="","",'Employees'!C20)</f>
        <v/>
      </c>
      <c r="C3779">
        <f>IF(A3779="","",'Employees'!D20)</f>
        <v/>
      </c>
      <c r="D3779">
        <f>IF(A3779="","",'Skill Matrix'!C242)</f>
        <v/>
      </c>
      <c r="E3779">
        <f>IF(A3779="","",'Skill Matrix'!D242)</f>
        <v/>
      </c>
      <c r="F3779">
        <f>IF(AND('Skill Matrix'!A242&lt;&gt;"",'Skill Matrix'!F5&lt;&gt;""),'Skill Matrix'!F5,"")</f>
        <v/>
      </c>
      <c r="G3779">
        <f>IF(OR(A3779="",'Skill Matrix'!F242=""),"",'Skill Matrix'!F242)</f>
        <v/>
      </c>
      <c r="H3779">
        <f>IF(A3779="","",'Employees'!F20)</f>
        <v/>
      </c>
    </row>
    <row r="3780">
      <c r="A3780">
        <f>IF(AND('Skill Matrix'!A242&lt;&gt;"",'Skill Matrix'!G5&lt;&gt;""),'Skill Matrix'!A242,"")</f>
        <v/>
      </c>
      <c r="B3780">
        <f>IF(A3780="","",'Employees'!C20)</f>
        <v/>
      </c>
      <c r="C3780">
        <f>IF(A3780="","",'Employees'!D20)</f>
        <v/>
      </c>
      <c r="D3780">
        <f>IF(A3780="","",'Skill Matrix'!C242)</f>
        <v/>
      </c>
      <c r="E3780">
        <f>IF(A3780="","",'Skill Matrix'!D242)</f>
        <v/>
      </c>
      <c r="F3780">
        <f>IF(AND('Skill Matrix'!A242&lt;&gt;"",'Skill Matrix'!G5&lt;&gt;""),'Skill Matrix'!G5,"")</f>
        <v/>
      </c>
      <c r="G3780">
        <f>IF(OR(A3780="",'Skill Matrix'!G242=""),"",'Skill Matrix'!G242)</f>
        <v/>
      </c>
      <c r="H3780">
        <f>IF(A3780="","",'Employees'!F20)</f>
        <v/>
      </c>
    </row>
    <row r="3781">
      <c r="A3781">
        <f>IF(AND('Skill Matrix'!A242&lt;&gt;"",'Skill Matrix'!H5&lt;&gt;""),'Skill Matrix'!A242,"")</f>
        <v/>
      </c>
      <c r="B3781">
        <f>IF(A3781="","",'Employees'!C20)</f>
        <v/>
      </c>
      <c r="C3781">
        <f>IF(A3781="","",'Employees'!D20)</f>
        <v/>
      </c>
      <c r="D3781">
        <f>IF(A3781="","",'Skill Matrix'!C242)</f>
        <v/>
      </c>
      <c r="E3781">
        <f>IF(A3781="","",'Skill Matrix'!D242)</f>
        <v/>
      </c>
      <c r="F3781">
        <f>IF(AND('Skill Matrix'!A242&lt;&gt;"",'Skill Matrix'!H5&lt;&gt;""),'Skill Matrix'!H5,"")</f>
        <v/>
      </c>
      <c r="G3781">
        <f>IF(OR(A3781="",'Skill Matrix'!H242=""),"",'Skill Matrix'!H242)</f>
        <v/>
      </c>
      <c r="H3781">
        <f>IF(A3781="","",'Employees'!F20)</f>
        <v/>
      </c>
    </row>
    <row r="3782">
      <c r="A3782">
        <f>IF(AND('Skill Matrix'!A242&lt;&gt;"",'Skill Matrix'!I5&lt;&gt;""),'Skill Matrix'!A242,"")</f>
        <v/>
      </c>
      <c r="B3782">
        <f>IF(A3782="","",'Employees'!C20)</f>
        <v/>
      </c>
      <c r="C3782">
        <f>IF(A3782="","",'Employees'!D20)</f>
        <v/>
      </c>
      <c r="D3782">
        <f>IF(A3782="","",'Skill Matrix'!C242)</f>
        <v/>
      </c>
      <c r="E3782">
        <f>IF(A3782="","",'Skill Matrix'!D242)</f>
        <v/>
      </c>
      <c r="F3782">
        <f>IF(AND('Skill Matrix'!A242&lt;&gt;"",'Skill Matrix'!I5&lt;&gt;""),'Skill Matrix'!I5,"")</f>
        <v/>
      </c>
      <c r="G3782">
        <f>IF(OR(A3782="",'Skill Matrix'!I242=""),"",'Skill Matrix'!I242)</f>
        <v/>
      </c>
      <c r="H3782">
        <f>IF(A3782="","",'Employees'!F20)</f>
        <v/>
      </c>
    </row>
    <row r="3783">
      <c r="A3783">
        <f>IF(AND('Skill Matrix'!A242&lt;&gt;"",'Skill Matrix'!J5&lt;&gt;""),'Skill Matrix'!A242,"")</f>
        <v/>
      </c>
      <c r="B3783">
        <f>IF(A3783="","",'Employees'!C20)</f>
        <v/>
      </c>
      <c r="C3783">
        <f>IF(A3783="","",'Employees'!D20)</f>
        <v/>
      </c>
      <c r="D3783">
        <f>IF(A3783="","",'Skill Matrix'!C242)</f>
        <v/>
      </c>
      <c r="E3783">
        <f>IF(A3783="","",'Skill Matrix'!D242)</f>
        <v/>
      </c>
      <c r="F3783">
        <f>IF(AND('Skill Matrix'!A242&lt;&gt;"",'Skill Matrix'!J5&lt;&gt;""),'Skill Matrix'!J5,"")</f>
        <v/>
      </c>
      <c r="G3783">
        <f>IF(OR(A3783="",'Skill Matrix'!J242=""),"",'Skill Matrix'!J242)</f>
        <v/>
      </c>
      <c r="H3783">
        <f>IF(A3783="","",'Employees'!F20)</f>
        <v/>
      </c>
    </row>
    <row r="3784">
      <c r="A3784">
        <f>IF(AND('Skill Matrix'!A242&lt;&gt;"",'Skill Matrix'!K5&lt;&gt;""),'Skill Matrix'!A242,"")</f>
        <v/>
      </c>
      <c r="B3784">
        <f>IF(A3784="","",'Employees'!C20)</f>
        <v/>
      </c>
      <c r="C3784">
        <f>IF(A3784="","",'Employees'!D20)</f>
        <v/>
      </c>
      <c r="D3784">
        <f>IF(A3784="","",'Skill Matrix'!C242)</f>
        <v/>
      </c>
      <c r="E3784">
        <f>IF(A3784="","",'Skill Matrix'!D242)</f>
        <v/>
      </c>
      <c r="F3784">
        <f>IF(AND('Skill Matrix'!A242&lt;&gt;"",'Skill Matrix'!K5&lt;&gt;""),'Skill Matrix'!K5,"")</f>
        <v/>
      </c>
      <c r="G3784">
        <f>IF(OR(A3784="",'Skill Matrix'!K242=""),"",'Skill Matrix'!K242)</f>
        <v/>
      </c>
      <c r="H3784">
        <f>IF(A3784="","",'Employees'!F20)</f>
        <v/>
      </c>
    </row>
    <row r="3785">
      <c r="A3785">
        <f>IF(AND('Skill Matrix'!A242&lt;&gt;"",'Skill Matrix'!L5&lt;&gt;""),'Skill Matrix'!A242,"")</f>
        <v/>
      </c>
      <c r="B3785">
        <f>IF(A3785="","",'Employees'!C20)</f>
        <v/>
      </c>
      <c r="C3785">
        <f>IF(A3785="","",'Employees'!D20)</f>
        <v/>
      </c>
      <c r="D3785">
        <f>IF(A3785="","",'Skill Matrix'!C242)</f>
        <v/>
      </c>
      <c r="E3785">
        <f>IF(A3785="","",'Skill Matrix'!D242)</f>
        <v/>
      </c>
      <c r="F3785">
        <f>IF(AND('Skill Matrix'!A242&lt;&gt;"",'Skill Matrix'!L5&lt;&gt;""),'Skill Matrix'!L5,"")</f>
        <v/>
      </c>
      <c r="G3785">
        <f>IF(OR(A3785="",'Skill Matrix'!L242=""),"",'Skill Matrix'!L242)</f>
        <v/>
      </c>
      <c r="H3785">
        <f>IF(A3785="","",'Employees'!F20)</f>
        <v/>
      </c>
    </row>
    <row r="3786">
      <c r="A3786">
        <f>IF(AND('Skill Matrix'!A242&lt;&gt;"",'Skill Matrix'!M5&lt;&gt;""),'Skill Matrix'!A242,"")</f>
        <v/>
      </c>
      <c r="B3786">
        <f>IF(A3786="","",'Employees'!C20)</f>
        <v/>
      </c>
      <c r="C3786">
        <f>IF(A3786="","",'Employees'!D20)</f>
        <v/>
      </c>
      <c r="D3786">
        <f>IF(A3786="","",'Skill Matrix'!C242)</f>
        <v/>
      </c>
      <c r="E3786">
        <f>IF(A3786="","",'Skill Matrix'!D242)</f>
        <v/>
      </c>
      <c r="F3786">
        <f>IF(AND('Skill Matrix'!A242&lt;&gt;"",'Skill Matrix'!M5&lt;&gt;""),'Skill Matrix'!M5,"")</f>
        <v/>
      </c>
      <c r="G3786">
        <f>IF(OR(A3786="",'Skill Matrix'!M242=""),"",'Skill Matrix'!M242)</f>
        <v/>
      </c>
      <c r="H3786">
        <f>IF(A3786="","",'Employees'!F20)</f>
        <v/>
      </c>
    </row>
    <row r="3787">
      <c r="A3787">
        <f>IF(AND('Skill Matrix'!A242&lt;&gt;"",'Skill Matrix'!N5&lt;&gt;""),'Skill Matrix'!A242,"")</f>
        <v/>
      </c>
      <c r="B3787">
        <f>IF(A3787="","",'Employees'!C20)</f>
        <v/>
      </c>
      <c r="C3787">
        <f>IF(A3787="","",'Employees'!D20)</f>
        <v/>
      </c>
      <c r="D3787">
        <f>IF(A3787="","",'Skill Matrix'!C242)</f>
        <v/>
      </c>
      <c r="E3787">
        <f>IF(A3787="","",'Skill Matrix'!D242)</f>
        <v/>
      </c>
      <c r="F3787">
        <f>IF(AND('Skill Matrix'!A242&lt;&gt;"",'Skill Matrix'!N5&lt;&gt;""),'Skill Matrix'!N5,"")</f>
        <v/>
      </c>
      <c r="G3787">
        <f>IF(OR(A3787="",'Skill Matrix'!N242=""),"",'Skill Matrix'!N242)</f>
        <v/>
      </c>
      <c r="H3787">
        <f>IF(A3787="","",'Employees'!F20)</f>
        <v/>
      </c>
    </row>
    <row r="3788">
      <c r="A3788">
        <f>IF(AND('Skill Matrix'!A242&lt;&gt;"",'Skill Matrix'!O5&lt;&gt;""),'Skill Matrix'!A242,"")</f>
        <v/>
      </c>
      <c r="B3788">
        <f>IF(A3788="","",'Employees'!C20)</f>
        <v/>
      </c>
      <c r="C3788">
        <f>IF(A3788="","",'Employees'!D20)</f>
        <v/>
      </c>
      <c r="D3788">
        <f>IF(A3788="","",'Skill Matrix'!C242)</f>
        <v/>
      </c>
      <c r="E3788">
        <f>IF(A3788="","",'Skill Matrix'!D242)</f>
        <v/>
      </c>
      <c r="F3788">
        <f>IF(AND('Skill Matrix'!A242&lt;&gt;"",'Skill Matrix'!O5&lt;&gt;""),'Skill Matrix'!O5,"")</f>
        <v/>
      </c>
      <c r="G3788">
        <f>IF(OR(A3788="",'Skill Matrix'!O242=""),"",'Skill Matrix'!O242)</f>
        <v/>
      </c>
      <c r="H3788">
        <f>IF(A3788="","",'Employees'!F20)</f>
        <v/>
      </c>
    </row>
    <row r="3789">
      <c r="A3789">
        <f>IF(AND('Skill Matrix'!A242&lt;&gt;"",'Skill Matrix'!P5&lt;&gt;""),'Skill Matrix'!A242,"")</f>
        <v/>
      </c>
      <c r="B3789">
        <f>IF(A3789="","",'Employees'!C20)</f>
        <v/>
      </c>
      <c r="C3789">
        <f>IF(A3789="","",'Employees'!D20)</f>
        <v/>
      </c>
      <c r="D3789">
        <f>IF(A3789="","",'Skill Matrix'!C242)</f>
        <v/>
      </c>
      <c r="E3789">
        <f>IF(A3789="","",'Skill Matrix'!D242)</f>
        <v/>
      </c>
      <c r="F3789">
        <f>IF(AND('Skill Matrix'!A242&lt;&gt;"",'Skill Matrix'!P5&lt;&gt;""),'Skill Matrix'!P5,"")</f>
        <v/>
      </c>
      <c r="G3789">
        <f>IF(OR(A3789="",'Skill Matrix'!P242=""),"",'Skill Matrix'!P242)</f>
        <v/>
      </c>
      <c r="H3789">
        <f>IF(A3789="","",'Employees'!F20)</f>
        <v/>
      </c>
    </row>
    <row r="3790">
      <c r="A3790">
        <f>IF(AND('Skill Matrix'!A242&lt;&gt;"",'Skill Matrix'!Q5&lt;&gt;""),'Skill Matrix'!A242,"")</f>
        <v/>
      </c>
      <c r="B3790">
        <f>IF(A3790="","",'Employees'!C20)</f>
        <v/>
      </c>
      <c r="C3790">
        <f>IF(A3790="","",'Employees'!D20)</f>
        <v/>
      </c>
      <c r="D3790">
        <f>IF(A3790="","",'Skill Matrix'!C242)</f>
        <v/>
      </c>
      <c r="E3790">
        <f>IF(A3790="","",'Skill Matrix'!D242)</f>
        <v/>
      </c>
      <c r="F3790">
        <f>IF(AND('Skill Matrix'!A242&lt;&gt;"",'Skill Matrix'!Q5&lt;&gt;""),'Skill Matrix'!Q5,"")</f>
        <v/>
      </c>
      <c r="G3790">
        <f>IF(OR(A3790="",'Skill Matrix'!Q242=""),"",'Skill Matrix'!Q242)</f>
        <v/>
      </c>
      <c r="H3790">
        <f>IF(A3790="","",'Employees'!F20)</f>
        <v/>
      </c>
    </row>
    <row r="3791">
      <c r="A3791">
        <f>IF(AND('Skill Matrix'!A242&lt;&gt;"",'Skill Matrix'!R5&lt;&gt;""),'Skill Matrix'!A242,"")</f>
        <v/>
      </c>
      <c r="B3791">
        <f>IF(A3791="","",'Employees'!C20)</f>
        <v/>
      </c>
      <c r="C3791">
        <f>IF(A3791="","",'Employees'!D20)</f>
        <v/>
      </c>
      <c r="D3791">
        <f>IF(A3791="","",'Skill Matrix'!C242)</f>
        <v/>
      </c>
      <c r="E3791">
        <f>IF(A3791="","",'Skill Matrix'!D242)</f>
        <v/>
      </c>
      <c r="F3791">
        <f>IF(AND('Skill Matrix'!A242&lt;&gt;"",'Skill Matrix'!R5&lt;&gt;""),'Skill Matrix'!R5,"")</f>
        <v/>
      </c>
      <c r="G3791">
        <f>IF(OR(A3791="",'Skill Matrix'!R242=""),"",'Skill Matrix'!R242)</f>
        <v/>
      </c>
      <c r="H3791">
        <f>IF(A3791="","",'Employees'!F20)</f>
        <v/>
      </c>
    </row>
    <row r="3792">
      <c r="A3792">
        <f>IF(AND('Skill Matrix'!A242&lt;&gt;"",'Skill Matrix'!S5&lt;&gt;""),'Skill Matrix'!A242,"")</f>
        <v/>
      </c>
      <c r="B3792">
        <f>IF(A3792="","",'Employees'!C20)</f>
        <v/>
      </c>
      <c r="C3792">
        <f>IF(A3792="","",'Employees'!D20)</f>
        <v/>
      </c>
      <c r="D3792">
        <f>IF(A3792="","",'Skill Matrix'!C242)</f>
        <v/>
      </c>
      <c r="E3792">
        <f>IF(A3792="","",'Skill Matrix'!D242)</f>
        <v/>
      </c>
      <c r="F3792">
        <f>IF(AND('Skill Matrix'!A242&lt;&gt;"",'Skill Matrix'!S5&lt;&gt;""),'Skill Matrix'!S5,"")</f>
        <v/>
      </c>
      <c r="G3792">
        <f>IF(OR(A3792="",'Skill Matrix'!S242=""),"",'Skill Matrix'!S242)</f>
        <v/>
      </c>
      <c r="H3792">
        <f>IF(A3792="","",'Employees'!F20)</f>
        <v/>
      </c>
    </row>
    <row r="3793">
      <c r="A3793">
        <f>IF(AND('Skill Matrix'!A242&lt;&gt;"",'Skill Matrix'!T5&lt;&gt;""),'Skill Matrix'!A242,"")</f>
        <v/>
      </c>
      <c r="B3793">
        <f>IF(A3793="","",'Employees'!C20)</f>
        <v/>
      </c>
      <c r="C3793">
        <f>IF(A3793="","",'Employees'!D20)</f>
        <v/>
      </c>
      <c r="D3793">
        <f>IF(A3793="","",'Skill Matrix'!C242)</f>
        <v/>
      </c>
      <c r="E3793">
        <f>IF(A3793="","",'Skill Matrix'!D242)</f>
        <v/>
      </c>
      <c r="F3793">
        <f>IF(AND('Skill Matrix'!A242&lt;&gt;"",'Skill Matrix'!T5&lt;&gt;""),'Skill Matrix'!T5,"")</f>
        <v/>
      </c>
      <c r="G3793">
        <f>IF(OR(A3793="",'Skill Matrix'!T242=""),"",'Skill Matrix'!T242)</f>
        <v/>
      </c>
      <c r="H3793">
        <f>IF(A3793="","",'Employees'!F20)</f>
        <v/>
      </c>
    </row>
    <row r="3794">
      <c r="A3794">
        <f>IF(AND('Skill Matrix'!A243&lt;&gt;"",'Skill Matrix'!E5&lt;&gt;""),'Skill Matrix'!A243,"")</f>
        <v/>
      </c>
      <c r="B3794">
        <f>IF(A3794="","",'Employees'!C20)</f>
        <v/>
      </c>
      <c r="C3794">
        <f>IF(A3794="","",'Employees'!D20)</f>
        <v/>
      </c>
      <c r="D3794">
        <f>IF(A3794="","",'Skill Matrix'!C243)</f>
        <v/>
      </c>
      <c r="E3794">
        <f>IF(A3794="","",'Skill Matrix'!D243)</f>
        <v/>
      </c>
      <c r="F3794">
        <f>IF(AND('Skill Matrix'!A243&lt;&gt;"",'Skill Matrix'!E5&lt;&gt;""),'Skill Matrix'!E5,"")</f>
        <v/>
      </c>
      <c r="G3794">
        <f>IF(OR(A3794="",'Skill Matrix'!E243=""),"",'Skill Matrix'!E243)</f>
        <v/>
      </c>
      <c r="H3794">
        <f>IF(A3794="","",'Employees'!F20)</f>
        <v/>
      </c>
    </row>
    <row r="3795">
      <c r="A3795">
        <f>IF(AND('Skill Matrix'!A243&lt;&gt;"",'Skill Matrix'!F5&lt;&gt;""),'Skill Matrix'!A243,"")</f>
        <v/>
      </c>
      <c r="B3795">
        <f>IF(A3795="","",'Employees'!C20)</f>
        <v/>
      </c>
      <c r="C3795">
        <f>IF(A3795="","",'Employees'!D20)</f>
        <v/>
      </c>
      <c r="D3795">
        <f>IF(A3795="","",'Skill Matrix'!C243)</f>
        <v/>
      </c>
      <c r="E3795">
        <f>IF(A3795="","",'Skill Matrix'!D243)</f>
        <v/>
      </c>
      <c r="F3795">
        <f>IF(AND('Skill Matrix'!A243&lt;&gt;"",'Skill Matrix'!F5&lt;&gt;""),'Skill Matrix'!F5,"")</f>
        <v/>
      </c>
      <c r="G3795">
        <f>IF(OR(A3795="",'Skill Matrix'!F243=""),"",'Skill Matrix'!F243)</f>
        <v/>
      </c>
      <c r="H3795">
        <f>IF(A3795="","",'Employees'!F20)</f>
        <v/>
      </c>
    </row>
    <row r="3796">
      <c r="A3796">
        <f>IF(AND('Skill Matrix'!A243&lt;&gt;"",'Skill Matrix'!G5&lt;&gt;""),'Skill Matrix'!A243,"")</f>
        <v/>
      </c>
      <c r="B3796">
        <f>IF(A3796="","",'Employees'!C20)</f>
        <v/>
      </c>
      <c r="C3796">
        <f>IF(A3796="","",'Employees'!D20)</f>
        <v/>
      </c>
      <c r="D3796">
        <f>IF(A3796="","",'Skill Matrix'!C243)</f>
        <v/>
      </c>
      <c r="E3796">
        <f>IF(A3796="","",'Skill Matrix'!D243)</f>
        <v/>
      </c>
      <c r="F3796">
        <f>IF(AND('Skill Matrix'!A243&lt;&gt;"",'Skill Matrix'!G5&lt;&gt;""),'Skill Matrix'!G5,"")</f>
        <v/>
      </c>
      <c r="G3796">
        <f>IF(OR(A3796="",'Skill Matrix'!G243=""),"",'Skill Matrix'!G243)</f>
        <v/>
      </c>
      <c r="H3796">
        <f>IF(A3796="","",'Employees'!F20)</f>
        <v/>
      </c>
    </row>
    <row r="3797">
      <c r="A3797">
        <f>IF(AND('Skill Matrix'!A243&lt;&gt;"",'Skill Matrix'!H5&lt;&gt;""),'Skill Matrix'!A243,"")</f>
        <v/>
      </c>
      <c r="B3797">
        <f>IF(A3797="","",'Employees'!C20)</f>
        <v/>
      </c>
      <c r="C3797">
        <f>IF(A3797="","",'Employees'!D20)</f>
        <v/>
      </c>
      <c r="D3797">
        <f>IF(A3797="","",'Skill Matrix'!C243)</f>
        <v/>
      </c>
      <c r="E3797">
        <f>IF(A3797="","",'Skill Matrix'!D243)</f>
        <v/>
      </c>
      <c r="F3797">
        <f>IF(AND('Skill Matrix'!A243&lt;&gt;"",'Skill Matrix'!H5&lt;&gt;""),'Skill Matrix'!H5,"")</f>
        <v/>
      </c>
      <c r="G3797">
        <f>IF(OR(A3797="",'Skill Matrix'!H243=""),"",'Skill Matrix'!H243)</f>
        <v/>
      </c>
      <c r="H3797">
        <f>IF(A3797="","",'Employees'!F20)</f>
        <v/>
      </c>
    </row>
    <row r="3798">
      <c r="A3798">
        <f>IF(AND('Skill Matrix'!A243&lt;&gt;"",'Skill Matrix'!I5&lt;&gt;""),'Skill Matrix'!A243,"")</f>
        <v/>
      </c>
      <c r="B3798">
        <f>IF(A3798="","",'Employees'!C20)</f>
        <v/>
      </c>
      <c r="C3798">
        <f>IF(A3798="","",'Employees'!D20)</f>
        <v/>
      </c>
      <c r="D3798">
        <f>IF(A3798="","",'Skill Matrix'!C243)</f>
        <v/>
      </c>
      <c r="E3798">
        <f>IF(A3798="","",'Skill Matrix'!D243)</f>
        <v/>
      </c>
      <c r="F3798">
        <f>IF(AND('Skill Matrix'!A243&lt;&gt;"",'Skill Matrix'!I5&lt;&gt;""),'Skill Matrix'!I5,"")</f>
        <v/>
      </c>
      <c r="G3798">
        <f>IF(OR(A3798="",'Skill Matrix'!I243=""),"",'Skill Matrix'!I243)</f>
        <v/>
      </c>
      <c r="H3798">
        <f>IF(A3798="","",'Employees'!F20)</f>
        <v/>
      </c>
    </row>
    <row r="3799">
      <c r="A3799">
        <f>IF(AND('Skill Matrix'!A243&lt;&gt;"",'Skill Matrix'!J5&lt;&gt;""),'Skill Matrix'!A243,"")</f>
        <v/>
      </c>
      <c r="B3799">
        <f>IF(A3799="","",'Employees'!C20)</f>
        <v/>
      </c>
      <c r="C3799">
        <f>IF(A3799="","",'Employees'!D20)</f>
        <v/>
      </c>
      <c r="D3799">
        <f>IF(A3799="","",'Skill Matrix'!C243)</f>
        <v/>
      </c>
      <c r="E3799">
        <f>IF(A3799="","",'Skill Matrix'!D243)</f>
        <v/>
      </c>
      <c r="F3799">
        <f>IF(AND('Skill Matrix'!A243&lt;&gt;"",'Skill Matrix'!J5&lt;&gt;""),'Skill Matrix'!J5,"")</f>
        <v/>
      </c>
      <c r="G3799">
        <f>IF(OR(A3799="",'Skill Matrix'!J243=""),"",'Skill Matrix'!J243)</f>
        <v/>
      </c>
      <c r="H3799">
        <f>IF(A3799="","",'Employees'!F20)</f>
        <v/>
      </c>
    </row>
    <row r="3800">
      <c r="A3800">
        <f>IF(AND('Skill Matrix'!A243&lt;&gt;"",'Skill Matrix'!K5&lt;&gt;""),'Skill Matrix'!A243,"")</f>
        <v/>
      </c>
      <c r="B3800">
        <f>IF(A3800="","",'Employees'!C20)</f>
        <v/>
      </c>
      <c r="C3800">
        <f>IF(A3800="","",'Employees'!D20)</f>
        <v/>
      </c>
      <c r="D3800">
        <f>IF(A3800="","",'Skill Matrix'!C243)</f>
        <v/>
      </c>
      <c r="E3800">
        <f>IF(A3800="","",'Skill Matrix'!D243)</f>
        <v/>
      </c>
      <c r="F3800">
        <f>IF(AND('Skill Matrix'!A243&lt;&gt;"",'Skill Matrix'!K5&lt;&gt;""),'Skill Matrix'!K5,"")</f>
        <v/>
      </c>
      <c r="G3800">
        <f>IF(OR(A3800="",'Skill Matrix'!K243=""),"",'Skill Matrix'!K243)</f>
        <v/>
      </c>
      <c r="H3800">
        <f>IF(A3800="","",'Employees'!F20)</f>
        <v/>
      </c>
    </row>
    <row r="3801">
      <c r="A3801">
        <f>IF(AND('Skill Matrix'!A243&lt;&gt;"",'Skill Matrix'!L5&lt;&gt;""),'Skill Matrix'!A243,"")</f>
        <v/>
      </c>
      <c r="B3801">
        <f>IF(A3801="","",'Employees'!C20)</f>
        <v/>
      </c>
      <c r="C3801">
        <f>IF(A3801="","",'Employees'!D20)</f>
        <v/>
      </c>
      <c r="D3801">
        <f>IF(A3801="","",'Skill Matrix'!C243)</f>
        <v/>
      </c>
      <c r="E3801">
        <f>IF(A3801="","",'Skill Matrix'!D243)</f>
        <v/>
      </c>
      <c r="F3801">
        <f>IF(AND('Skill Matrix'!A243&lt;&gt;"",'Skill Matrix'!L5&lt;&gt;""),'Skill Matrix'!L5,"")</f>
        <v/>
      </c>
      <c r="G3801">
        <f>IF(OR(A3801="",'Skill Matrix'!L243=""),"",'Skill Matrix'!L243)</f>
        <v/>
      </c>
      <c r="H3801">
        <f>IF(A3801="","",'Employees'!F20)</f>
        <v/>
      </c>
    </row>
    <row r="3802">
      <c r="A3802">
        <f>IF(AND('Skill Matrix'!A243&lt;&gt;"",'Skill Matrix'!M5&lt;&gt;""),'Skill Matrix'!A243,"")</f>
        <v/>
      </c>
      <c r="B3802">
        <f>IF(A3802="","",'Employees'!C20)</f>
        <v/>
      </c>
      <c r="C3802">
        <f>IF(A3802="","",'Employees'!D20)</f>
        <v/>
      </c>
      <c r="D3802">
        <f>IF(A3802="","",'Skill Matrix'!C243)</f>
        <v/>
      </c>
      <c r="E3802">
        <f>IF(A3802="","",'Skill Matrix'!D243)</f>
        <v/>
      </c>
      <c r="F3802">
        <f>IF(AND('Skill Matrix'!A243&lt;&gt;"",'Skill Matrix'!M5&lt;&gt;""),'Skill Matrix'!M5,"")</f>
        <v/>
      </c>
      <c r="G3802">
        <f>IF(OR(A3802="",'Skill Matrix'!M243=""),"",'Skill Matrix'!M243)</f>
        <v/>
      </c>
      <c r="H3802">
        <f>IF(A3802="","",'Employees'!F20)</f>
        <v/>
      </c>
    </row>
    <row r="3803">
      <c r="A3803">
        <f>IF(AND('Skill Matrix'!A243&lt;&gt;"",'Skill Matrix'!N5&lt;&gt;""),'Skill Matrix'!A243,"")</f>
        <v/>
      </c>
      <c r="B3803">
        <f>IF(A3803="","",'Employees'!C20)</f>
        <v/>
      </c>
      <c r="C3803">
        <f>IF(A3803="","",'Employees'!D20)</f>
        <v/>
      </c>
      <c r="D3803">
        <f>IF(A3803="","",'Skill Matrix'!C243)</f>
        <v/>
      </c>
      <c r="E3803">
        <f>IF(A3803="","",'Skill Matrix'!D243)</f>
        <v/>
      </c>
      <c r="F3803">
        <f>IF(AND('Skill Matrix'!A243&lt;&gt;"",'Skill Matrix'!N5&lt;&gt;""),'Skill Matrix'!N5,"")</f>
        <v/>
      </c>
      <c r="G3803">
        <f>IF(OR(A3803="",'Skill Matrix'!N243=""),"",'Skill Matrix'!N243)</f>
        <v/>
      </c>
      <c r="H3803">
        <f>IF(A3803="","",'Employees'!F20)</f>
        <v/>
      </c>
    </row>
    <row r="3804">
      <c r="A3804">
        <f>IF(AND('Skill Matrix'!A243&lt;&gt;"",'Skill Matrix'!O5&lt;&gt;""),'Skill Matrix'!A243,"")</f>
        <v/>
      </c>
      <c r="B3804">
        <f>IF(A3804="","",'Employees'!C20)</f>
        <v/>
      </c>
      <c r="C3804">
        <f>IF(A3804="","",'Employees'!D20)</f>
        <v/>
      </c>
      <c r="D3804">
        <f>IF(A3804="","",'Skill Matrix'!C243)</f>
        <v/>
      </c>
      <c r="E3804">
        <f>IF(A3804="","",'Skill Matrix'!D243)</f>
        <v/>
      </c>
      <c r="F3804">
        <f>IF(AND('Skill Matrix'!A243&lt;&gt;"",'Skill Matrix'!O5&lt;&gt;""),'Skill Matrix'!O5,"")</f>
        <v/>
      </c>
      <c r="G3804">
        <f>IF(OR(A3804="",'Skill Matrix'!O243=""),"",'Skill Matrix'!O243)</f>
        <v/>
      </c>
      <c r="H3804">
        <f>IF(A3804="","",'Employees'!F20)</f>
        <v/>
      </c>
    </row>
    <row r="3805">
      <c r="A3805">
        <f>IF(AND('Skill Matrix'!A243&lt;&gt;"",'Skill Matrix'!P5&lt;&gt;""),'Skill Matrix'!A243,"")</f>
        <v/>
      </c>
      <c r="B3805">
        <f>IF(A3805="","",'Employees'!C20)</f>
        <v/>
      </c>
      <c r="C3805">
        <f>IF(A3805="","",'Employees'!D20)</f>
        <v/>
      </c>
      <c r="D3805">
        <f>IF(A3805="","",'Skill Matrix'!C243)</f>
        <v/>
      </c>
      <c r="E3805">
        <f>IF(A3805="","",'Skill Matrix'!D243)</f>
        <v/>
      </c>
      <c r="F3805">
        <f>IF(AND('Skill Matrix'!A243&lt;&gt;"",'Skill Matrix'!P5&lt;&gt;""),'Skill Matrix'!P5,"")</f>
        <v/>
      </c>
      <c r="G3805">
        <f>IF(OR(A3805="",'Skill Matrix'!P243=""),"",'Skill Matrix'!P243)</f>
        <v/>
      </c>
      <c r="H3805">
        <f>IF(A3805="","",'Employees'!F20)</f>
        <v/>
      </c>
    </row>
    <row r="3806">
      <c r="A3806">
        <f>IF(AND('Skill Matrix'!A243&lt;&gt;"",'Skill Matrix'!Q5&lt;&gt;""),'Skill Matrix'!A243,"")</f>
        <v/>
      </c>
      <c r="B3806">
        <f>IF(A3806="","",'Employees'!C20)</f>
        <v/>
      </c>
      <c r="C3806">
        <f>IF(A3806="","",'Employees'!D20)</f>
        <v/>
      </c>
      <c r="D3806">
        <f>IF(A3806="","",'Skill Matrix'!C243)</f>
        <v/>
      </c>
      <c r="E3806">
        <f>IF(A3806="","",'Skill Matrix'!D243)</f>
        <v/>
      </c>
      <c r="F3806">
        <f>IF(AND('Skill Matrix'!A243&lt;&gt;"",'Skill Matrix'!Q5&lt;&gt;""),'Skill Matrix'!Q5,"")</f>
        <v/>
      </c>
      <c r="G3806">
        <f>IF(OR(A3806="",'Skill Matrix'!Q243=""),"",'Skill Matrix'!Q243)</f>
        <v/>
      </c>
      <c r="H3806">
        <f>IF(A3806="","",'Employees'!F20)</f>
        <v/>
      </c>
    </row>
    <row r="3807">
      <c r="A3807">
        <f>IF(AND('Skill Matrix'!A243&lt;&gt;"",'Skill Matrix'!R5&lt;&gt;""),'Skill Matrix'!A243,"")</f>
        <v/>
      </c>
      <c r="B3807">
        <f>IF(A3807="","",'Employees'!C20)</f>
        <v/>
      </c>
      <c r="C3807">
        <f>IF(A3807="","",'Employees'!D20)</f>
        <v/>
      </c>
      <c r="D3807">
        <f>IF(A3807="","",'Skill Matrix'!C243)</f>
        <v/>
      </c>
      <c r="E3807">
        <f>IF(A3807="","",'Skill Matrix'!D243)</f>
        <v/>
      </c>
      <c r="F3807">
        <f>IF(AND('Skill Matrix'!A243&lt;&gt;"",'Skill Matrix'!R5&lt;&gt;""),'Skill Matrix'!R5,"")</f>
        <v/>
      </c>
      <c r="G3807">
        <f>IF(OR(A3807="",'Skill Matrix'!R243=""),"",'Skill Matrix'!R243)</f>
        <v/>
      </c>
      <c r="H3807">
        <f>IF(A3807="","",'Employees'!F20)</f>
        <v/>
      </c>
    </row>
    <row r="3808">
      <c r="A3808">
        <f>IF(AND('Skill Matrix'!A243&lt;&gt;"",'Skill Matrix'!S5&lt;&gt;""),'Skill Matrix'!A243,"")</f>
        <v/>
      </c>
      <c r="B3808">
        <f>IF(A3808="","",'Employees'!C20)</f>
        <v/>
      </c>
      <c r="C3808">
        <f>IF(A3808="","",'Employees'!D20)</f>
        <v/>
      </c>
      <c r="D3808">
        <f>IF(A3808="","",'Skill Matrix'!C243)</f>
        <v/>
      </c>
      <c r="E3808">
        <f>IF(A3808="","",'Skill Matrix'!D243)</f>
        <v/>
      </c>
      <c r="F3808">
        <f>IF(AND('Skill Matrix'!A243&lt;&gt;"",'Skill Matrix'!S5&lt;&gt;""),'Skill Matrix'!S5,"")</f>
        <v/>
      </c>
      <c r="G3808">
        <f>IF(OR(A3808="",'Skill Matrix'!S243=""),"",'Skill Matrix'!S243)</f>
        <v/>
      </c>
      <c r="H3808">
        <f>IF(A3808="","",'Employees'!F20)</f>
        <v/>
      </c>
    </row>
    <row r="3809">
      <c r="A3809">
        <f>IF(AND('Skill Matrix'!A243&lt;&gt;"",'Skill Matrix'!T5&lt;&gt;""),'Skill Matrix'!A243,"")</f>
        <v/>
      </c>
      <c r="B3809">
        <f>IF(A3809="","",'Employees'!C20)</f>
        <v/>
      </c>
      <c r="C3809">
        <f>IF(A3809="","",'Employees'!D20)</f>
        <v/>
      </c>
      <c r="D3809">
        <f>IF(A3809="","",'Skill Matrix'!C243)</f>
        <v/>
      </c>
      <c r="E3809">
        <f>IF(A3809="","",'Skill Matrix'!D243)</f>
        <v/>
      </c>
      <c r="F3809">
        <f>IF(AND('Skill Matrix'!A243&lt;&gt;"",'Skill Matrix'!T5&lt;&gt;""),'Skill Matrix'!T5,"")</f>
        <v/>
      </c>
      <c r="G3809">
        <f>IF(OR(A3809="",'Skill Matrix'!T243=""),"",'Skill Matrix'!T243)</f>
        <v/>
      </c>
      <c r="H3809">
        <f>IF(A3809="","",'Employees'!F20)</f>
        <v/>
      </c>
    </row>
    <row r="3810">
      <c r="A3810">
        <f>IF(AND('Skill Matrix'!A244&lt;&gt;"",'Skill Matrix'!E5&lt;&gt;""),'Skill Matrix'!A244,"")</f>
        <v/>
      </c>
      <c r="B3810">
        <f>IF(A3810="","",'Employees'!C20)</f>
        <v/>
      </c>
      <c r="C3810">
        <f>IF(A3810="","",'Employees'!D20)</f>
        <v/>
      </c>
      <c r="D3810">
        <f>IF(A3810="","",'Skill Matrix'!C244)</f>
        <v/>
      </c>
      <c r="E3810">
        <f>IF(A3810="","",'Skill Matrix'!D244)</f>
        <v/>
      </c>
      <c r="F3810">
        <f>IF(AND('Skill Matrix'!A244&lt;&gt;"",'Skill Matrix'!E5&lt;&gt;""),'Skill Matrix'!E5,"")</f>
        <v/>
      </c>
      <c r="G3810">
        <f>IF(OR(A3810="",'Skill Matrix'!E244=""),"",'Skill Matrix'!E244)</f>
        <v/>
      </c>
      <c r="H3810">
        <f>IF(A3810="","",'Employees'!F20)</f>
        <v/>
      </c>
    </row>
    <row r="3811">
      <c r="A3811">
        <f>IF(AND('Skill Matrix'!A244&lt;&gt;"",'Skill Matrix'!F5&lt;&gt;""),'Skill Matrix'!A244,"")</f>
        <v/>
      </c>
      <c r="B3811">
        <f>IF(A3811="","",'Employees'!C20)</f>
        <v/>
      </c>
      <c r="C3811">
        <f>IF(A3811="","",'Employees'!D20)</f>
        <v/>
      </c>
      <c r="D3811">
        <f>IF(A3811="","",'Skill Matrix'!C244)</f>
        <v/>
      </c>
      <c r="E3811">
        <f>IF(A3811="","",'Skill Matrix'!D244)</f>
        <v/>
      </c>
      <c r="F3811">
        <f>IF(AND('Skill Matrix'!A244&lt;&gt;"",'Skill Matrix'!F5&lt;&gt;""),'Skill Matrix'!F5,"")</f>
        <v/>
      </c>
      <c r="G3811">
        <f>IF(OR(A3811="",'Skill Matrix'!F244=""),"",'Skill Matrix'!F244)</f>
        <v/>
      </c>
      <c r="H3811">
        <f>IF(A3811="","",'Employees'!F20)</f>
        <v/>
      </c>
    </row>
    <row r="3812">
      <c r="A3812">
        <f>IF(AND('Skill Matrix'!A244&lt;&gt;"",'Skill Matrix'!G5&lt;&gt;""),'Skill Matrix'!A244,"")</f>
        <v/>
      </c>
      <c r="B3812">
        <f>IF(A3812="","",'Employees'!C20)</f>
        <v/>
      </c>
      <c r="C3812">
        <f>IF(A3812="","",'Employees'!D20)</f>
        <v/>
      </c>
      <c r="D3812">
        <f>IF(A3812="","",'Skill Matrix'!C244)</f>
        <v/>
      </c>
      <c r="E3812">
        <f>IF(A3812="","",'Skill Matrix'!D244)</f>
        <v/>
      </c>
      <c r="F3812">
        <f>IF(AND('Skill Matrix'!A244&lt;&gt;"",'Skill Matrix'!G5&lt;&gt;""),'Skill Matrix'!G5,"")</f>
        <v/>
      </c>
      <c r="G3812">
        <f>IF(OR(A3812="",'Skill Matrix'!G244=""),"",'Skill Matrix'!G244)</f>
        <v/>
      </c>
      <c r="H3812">
        <f>IF(A3812="","",'Employees'!F20)</f>
        <v/>
      </c>
    </row>
    <row r="3813">
      <c r="A3813">
        <f>IF(AND('Skill Matrix'!A244&lt;&gt;"",'Skill Matrix'!H5&lt;&gt;""),'Skill Matrix'!A244,"")</f>
        <v/>
      </c>
      <c r="B3813">
        <f>IF(A3813="","",'Employees'!C20)</f>
        <v/>
      </c>
      <c r="C3813">
        <f>IF(A3813="","",'Employees'!D20)</f>
        <v/>
      </c>
      <c r="D3813">
        <f>IF(A3813="","",'Skill Matrix'!C244)</f>
        <v/>
      </c>
      <c r="E3813">
        <f>IF(A3813="","",'Skill Matrix'!D244)</f>
        <v/>
      </c>
      <c r="F3813">
        <f>IF(AND('Skill Matrix'!A244&lt;&gt;"",'Skill Matrix'!H5&lt;&gt;""),'Skill Matrix'!H5,"")</f>
        <v/>
      </c>
      <c r="G3813">
        <f>IF(OR(A3813="",'Skill Matrix'!H244=""),"",'Skill Matrix'!H244)</f>
        <v/>
      </c>
      <c r="H3813">
        <f>IF(A3813="","",'Employees'!F20)</f>
        <v/>
      </c>
    </row>
    <row r="3814">
      <c r="A3814">
        <f>IF(AND('Skill Matrix'!A244&lt;&gt;"",'Skill Matrix'!I5&lt;&gt;""),'Skill Matrix'!A244,"")</f>
        <v/>
      </c>
      <c r="B3814">
        <f>IF(A3814="","",'Employees'!C20)</f>
        <v/>
      </c>
      <c r="C3814">
        <f>IF(A3814="","",'Employees'!D20)</f>
        <v/>
      </c>
      <c r="D3814">
        <f>IF(A3814="","",'Skill Matrix'!C244)</f>
        <v/>
      </c>
      <c r="E3814">
        <f>IF(A3814="","",'Skill Matrix'!D244)</f>
        <v/>
      </c>
      <c r="F3814">
        <f>IF(AND('Skill Matrix'!A244&lt;&gt;"",'Skill Matrix'!I5&lt;&gt;""),'Skill Matrix'!I5,"")</f>
        <v/>
      </c>
      <c r="G3814">
        <f>IF(OR(A3814="",'Skill Matrix'!I244=""),"",'Skill Matrix'!I244)</f>
        <v/>
      </c>
      <c r="H3814">
        <f>IF(A3814="","",'Employees'!F20)</f>
        <v/>
      </c>
    </row>
    <row r="3815">
      <c r="A3815">
        <f>IF(AND('Skill Matrix'!A244&lt;&gt;"",'Skill Matrix'!J5&lt;&gt;""),'Skill Matrix'!A244,"")</f>
        <v/>
      </c>
      <c r="B3815">
        <f>IF(A3815="","",'Employees'!C20)</f>
        <v/>
      </c>
      <c r="C3815">
        <f>IF(A3815="","",'Employees'!D20)</f>
        <v/>
      </c>
      <c r="D3815">
        <f>IF(A3815="","",'Skill Matrix'!C244)</f>
        <v/>
      </c>
      <c r="E3815">
        <f>IF(A3815="","",'Skill Matrix'!D244)</f>
        <v/>
      </c>
      <c r="F3815">
        <f>IF(AND('Skill Matrix'!A244&lt;&gt;"",'Skill Matrix'!J5&lt;&gt;""),'Skill Matrix'!J5,"")</f>
        <v/>
      </c>
      <c r="G3815">
        <f>IF(OR(A3815="",'Skill Matrix'!J244=""),"",'Skill Matrix'!J244)</f>
        <v/>
      </c>
      <c r="H3815">
        <f>IF(A3815="","",'Employees'!F20)</f>
        <v/>
      </c>
    </row>
    <row r="3816">
      <c r="A3816">
        <f>IF(AND('Skill Matrix'!A244&lt;&gt;"",'Skill Matrix'!K5&lt;&gt;""),'Skill Matrix'!A244,"")</f>
        <v/>
      </c>
      <c r="B3816">
        <f>IF(A3816="","",'Employees'!C20)</f>
        <v/>
      </c>
      <c r="C3816">
        <f>IF(A3816="","",'Employees'!D20)</f>
        <v/>
      </c>
      <c r="D3816">
        <f>IF(A3816="","",'Skill Matrix'!C244)</f>
        <v/>
      </c>
      <c r="E3816">
        <f>IF(A3816="","",'Skill Matrix'!D244)</f>
        <v/>
      </c>
      <c r="F3816">
        <f>IF(AND('Skill Matrix'!A244&lt;&gt;"",'Skill Matrix'!K5&lt;&gt;""),'Skill Matrix'!K5,"")</f>
        <v/>
      </c>
      <c r="G3816">
        <f>IF(OR(A3816="",'Skill Matrix'!K244=""),"",'Skill Matrix'!K244)</f>
        <v/>
      </c>
      <c r="H3816">
        <f>IF(A3816="","",'Employees'!F20)</f>
        <v/>
      </c>
    </row>
    <row r="3817">
      <c r="A3817">
        <f>IF(AND('Skill Matrix'!A244&lt;&gt;"",'Skill Matrix'!L5&lt;&gt;""),'Skill Matrix'!A244,"")</f>
        <v/>
      </c>
      <c r="B3817">
        <f>IF(A3817="","",'Employees'!C20)</f>
        <v/>
      </c>
      <c r="C3817">
        <f>IF(A3817="","",'Employees'!D20)</f>
        <v/>
      </c>
      <c r="D3817">
        <f>IF(A3817="","",'Skill Matrix'!C244)</f>
        <v/>
      </c>
      <c r="E3817">
        <f>IF(A3817="","",'Skill Matrix'!D244)</f>
        <v/>
      </c>
      <c r="F3817">
        <f>IF(AND('Skill Matrix'!A244&lt;&gt;"",'Skill Matrix'!L5&lt;&gt;""),'Skill Matrix'!L5,"")</f>
        <v/>
      </c>
      <c r="G3817">
        <f>IF(OR(A3817="",'Skill Matrix'!L244=""),"",'Skill Matrix'!L244)</f>
        <v/>
      </c>
      <c r="H3817">
        <f>IF(A3817="","",'Employees'!F20)</f>
        <v/>
      </c>
    </row>
    <row r="3818">
      <c r="A3818">
        <f>IF(AND('Skill Matrix'!A244&lt;&gt;"",'Skill Matrix'!M5&lt;&gt;""),'Skill Matrix'!A244,"")</f>
        <v/>
      </c>
      <c r="B3818">
        <f>IF(A3818="","",'Employees'!C20)</f>
        <v/>
      </c>
      <c r="C3818">
        <f>IF(A3818="","",'Employees'!D20)</f>
        <v/>
      </c>
      <c r="D3818">
        <f>IF(A3818="","",'Skill Matrix'!C244)</f>
        <v/>
      </c>
      <c r="E3818">
        <f>IF(A3818="","",'Skill Matrix'!D244)</f>
        <v/>
      </c>
      <c r="F3818">
        <f>IF(AND('Skill Matrix'!A244&lt;&gt;"",'Skill Matrix'!M5&lt;&gt;""),'Skill Matrix'!M5,"")</f>
        <v/>
      </c>
      <c r="G3818">
        <f>IF(OR(A3818="",'Skill Matrix'!M244=""),"",'Skill Matrix'!M244)</f>
        <v/>
      </c>
      <c r="H3818">
        <f>IF(A3818="","",'Employees'!F20)</f>
        <v/>
      </c>
    </row>
    <row r="3819">
      <c r="A3819">
        <f>IF(AND('Skill Matrix'!A244&lt;&gt;"",'Skill Matrix'!N5&lt;&gt;""),'Skill Matrix'!A244,"")</f>
        <v/>
      </c>
      <c r="B3819">
        <f>IF(A3819="","",'Employees'!C20)</f>
        <v/>
      </c>
      <c r="C3819">
        <f>IF(A3819="","",'Employees'!D20)</f>
        <v/>
      </c>
      <c r="D3819">
        <f>IF(A3819="","",'Skill Matrix'!C244)</f>
        <v/>
      </c>
      <c r="E3819">
        <f>IF(A3819="","",'Skill Matrix'!D244)</f>
        <v/>
      </c>
      <c r="F3819">
        <f>IF(AND('Skill Matrix'!A244&lt;&gt;"",'Skill Matrix'!N5&lt;&gt;""),'Skill Matrix'!N5,"")</f>
        <v/>
      </c>
      <c r="G3819">
        <f>IF(OR(A3819="",'Skill Matrix'!N244=""),"",'Skill Matrix'!N244)</f>
        <v/>
      </c>
      <c r="H3819">
        <f>IF(A3819="","",'Employees'!F20)</f>
        <v/>
      </c>
    </row>
    <row r="3820">
      <c r="A3820">
        <f>IF(AND('Skill Matrix'!A244&lt;&gt;"",'Skill Matrix'!O5&lt;&gt;""),'Skill Matrix'!A244,"")</f>
        <v/>
      </c>
      <c r="B3820">
        <f>IF(A3820="","",'Employees'!C20)</f>
        <v/>
      </c>
      <c r="C3820">
        <f>IF(A3820="","",'Employees'!D20)</f>
        <v/>
      </c>
      <c r="D3820">
        <f>IF(A3820="","",'Skill Matrix'!C244)</f>
        <v/>
      </c>
      <c r="E3820">
        <f>IF(A3820="","",'Skill Matrix'!D244)</f>
        <v/>
      </c>
      <c r="F3820">
        <f>IF(AND('Skill Matrix'!A244&lt;&gt;"",'Skill Matrix'!O5&lt;&gt;""),'Skill Matrix'!O5,"")</f>
        <v/>
      </c>
      <c r="G3820">
        <f>IF(OR(A3820="",'Skill Matrix'!O244=""),"",'Skill Matrix'!O244)</f>
        <v/>
      </c>
      <c r="H3820">
        <f>IF(A3820="","",'Employees'!F20)</f>
        <v/>
      </c>
    </row>
    <row r="3821">
      <c r="A3821">
        <f>IF(AND('Skill Matrix'!A244&lt;&gt;"",'Skill Matrix'!P5&lt;&gt;""),'Skill Matrix'!A244,"")</f>
        <v/>
      </c>
      <c r="B3821">
        <f>IF(A3821="","",'Employees'!C20)</f>
        <v/>
      </c>
      <c r="C3821">
        <f>IF(A3821="","",'Employees'!D20)</f>
        <v/>
      </c>
      <c r="D3821">
        <f>IF(A3821="","",'Skill Matrix'!C244)</f>
        <v/>
      </c>
      <c r="E3821">
        <f>IF(A3821="","",'Skill Matrix'!D244)</f>
        <v/>
      </c>
      <c r="F3821">
        <f>IF(AND('Skill Matrix'!A244&lt;&gt;"",'Skill Matrix'!P5&lt;&gt;""),'Skill Matrix'!P5,"")</f>
        <v/>
      </c>
      <c r="G3821">
        <f>IF(OR(A3821="",'Skill Matrix'!P244=""),"",'Skill Matrix'!P244)</f>
        <v/>
      </c>
      <c r="H3821">
        <f>IF(A3821="","",'Employees'!F20)</f>
        <v/>
      </c>
    </row>
    <row r="3822">
      <c r="A3822">
        <f>IF(AND('Skill Matrix'!A244&lt;&gt;"",'Skill Matrix'!Q5&lt;&gt;""),'Skill Matrix'!A244,"")</f>
        <v/>
      </c>
      <c r="B3822">
        <f>IF(A3822="","",'Employees'!C20)</f>
        <v/>
      </c>
      <c r="C3822">
        <f>IF(A3822="","",'Employees'!D20)</f>
        <v/>
      </c>
      <c r="D3822">
        <f>IF(A3822="","",'Skill Matrix'!C244)</f>
        <v/>
      </c>
      <c r="E3822">
        <f>IF(A3822="","",'Skill Matrix'!D244)</f>
        <v/>
      </c>
      <c r="F3822">
        <f>IF(AND('Skill Matrix'!A244&lt;&gt;"",'Skill Matrix'!Q5&lt;&gt;""),'Skill Matrix'!Q5,"")</f>
        <v/>
      </c>
      <c r="G3822">
        <f>IF(OR(A3822="",'Skill Matrix'!Q244=""),"",'Skill Matrix'!Q244)</f>
        <v/>
      </c>
      <c r="H3822">
        <f>IF(A3822="","",'Employees'!F20)</f>
        <v/>
      </c>
    </row>
    <row r="3823">
      <c r="A3823">
        <f>IF(AND('Skill Matrix'!A244&lt;&gt;"",'Skill Matrix'!R5&lt;&gt;""),'Skill Matrix'!A244,"")</f>
        <v/>
      </c>
      <c r="B3823">
        <f>IF(A3823="","",'Employees'!C20)</f>
        <v/>
      </c>
      <c r="C3823">
        <f>IF(A3823="","",'Employees'!D20)</f>
        <v/>
      </c>
      <c r="D3823">
        <f>IF(A3823="","",'Skill Matrix'!C244)</f>
        <v/>
      </c>
      <c r="E3823">
        <f>IF(A3823="","",'Skill Matrix'!D244)</f>
        <v/>
      </c>
      <c r="F3823">
        <f>IF(AND('Skill Matrix'!A244&lt;&gt;"",'Skill Matrix'!R5&lt;&gt;""),'Skill Matrix'!R5,"")</f>
        <v/>
      </c>
      <c r="G3823">
        <f>IF(OR(A3823="",'Skill Matrix'!R244=""),"",'Skill Matrix'!R244)</f>
        <v/>
      </c>
      <c r="H3823">
        <f>IF(A3823="","",'Employees'!F20)</f>
        <v/>
      </c>
    </row>
    <row r="3824">
      <c r="A3824">
        <f>IF(AND('Skill Matrix'!A244&lt;&gt;"",'Skill Matrix'!S5&lt;&gt;""),'Skill Matrix'!A244,"")</f>
        <v/>
      </c>
      <c r="B3824">
        <f>IF(A3824="","",'Employees'!C20)</f>
        <v/>
      </c>
      <c r="C3824">
        <f>IF(A3824="","",'Employees'!D20)</f>
        <v/>
      </c>
      <c r="D3824">
        <f>IF(A3824="","",'Skill Matrix'!C244)</f>
        <v/>
      </c>
      <c r="E3824">
        <f>IF(A3824="","",'Skill Matrix'!D244)</f>
        <v/>
      </c>
      <c r="F3824">
        <f>IF(AND('Skill Matrix'!A244&lt;&gt;"",'Skill Matrix'!S5&lt;&gt;""),'Skill Matrix'!S5,"")</f>
        <v/>
      </c>
      <c r="G3824">
        <f>IF(OR(A3824="",'Skill Matrix'!S244=""),"",'Skill Matrix'!S244)</f>
        <v/>
      </c>
      <c r="H3824">
        <f>IF(A3824="","",'Employees'!F20)</f>
        <v/>
      </c>
    </row>
    <row r="3825">
      <c r="A3825">
        <f>IF(AND('Skill Matrix'!A244&lt;&gt;"",'Skill Matrix'!T5&lt;&gt;""),'Skill Matrix'!A244,"")</f>
        <v/>
      </c>
      <c r="B3825">
        <f>IF(A3825="","",'Employees'!C20)</f>
        <v/>
      </c>
      <c r="C3825">
        <f>IF(A3825="","",'Employees'!D20)</f>
        <v/>
      </c>
      <c r="D3825">
        <f>IF(A3825="","",'Skill Matrix'!C244)</f>
        <v/>
      </c>
      <c r="E3825">
        <f>IF(A3825="","",'Skill Matrix'!D244)</f>
        <v/>
      </c>
      <c r="F3825">
        <f>IF(AND('Skill Matrix'!A244&lt;&gt;"",'Skill Matrix'!T5&lt;&gt;""),'Skill Matrix'!T5,"")</f>
        <v/>
      </c>
      <c r="G3825">
        <f>IF(OR(A3825="",'Skill Matrix'!T244=""),"",'Skill Matrix'!T244)</f>
        <v/>
      </c>
      <c r="H3825">
        <f>IF(A3825="","",'Employees'!F20)</f>
        <v/>
      </c>
    </row>
    <row r="3826">
      <c r="A3826">
        <f>IF(AND('Skill Matrix'!A245&lt;&gt;"",'Skill Matrix'!E5&lt;&gt;""),'Skill Matrix'!A245,"")</f>
        <v/>
      </c>
      <c r="B3826">
        <f>IF(A3826="","",'Employees'!C20)</f>
        <v/>
      </c>
      <c r="C3826">
        <f>IF(A3826="","",'Employees'!D20)</f>
        <v/>
      </c>
      <c r="D3826">
        <f>IF(A3826="","",'Skill Matrix'!C245)</f>
        <v/>
      </c>
      <c r="E3826">
        <f>IF(A3826="","",'Skill Matrix'!D245)</f>
        <v/>
      </c>
      <c r="F3826">
        <f>IF(AND('Skill Matrix'!A245&lt;&gt;"",'Skill Matrix'!E5&lt;&gt;""),'Skill Matrix'!E5,"")</f>
        <v/>
      </c>
      <c r="G3826">
        <f>IF(OR(A3826="",'Skill Matrix'!E245=""),"",'Skill Matrix'!E245)</f>
        <v/>
      </c>
      <c r="H3826">
        <f>IF(A3826="","",'Employees'!F20)</f>
        <v/>
      </c>
    </row>
    <row r="3827">
      <c r="A3827">
        <f>IF(AND('Skill Matrix'!A245&lt;&gt;"",'Skill Matrix'!F5&lt;&gt;""),'Skill Matrix'!A245,"")</f>
        <v/>
      </c>
      <c r="B3827">
        <f>IF(A3827="","",'Employees'!C20)</f>
        <v/>
      </c>
      <c r="C3827">
        <f>IF(A3827="","",'Employees'!D20)</f>
        <v/>
      </c>
      <c r="D3827">
        <f>IF(A3827="","",'Skill Matrix'!C245)</f>
        <v/>
      </c>
      <c r="E3827">
        <f>IF(A3827="","",'Skill Matrix'!D245)</f>
        <v/>
      </c>
      <c r="F3827">
        <f>IF(AND('Skill Matrix'!A245&lt;&gt;"",'Skill Matrix'!F5&lt;&gt;""),'Skill Matrix'!F5,"")</f>
        <v/>
      </c>
      <c r="G3827">
        <f>IF(OR(A3827="",'Skill Matrix'!F245=""),"",'Skill Matrix'!F245)</f>
        <v/>
      </c>
      <c r="H3827">
        <f>IF(A3827="","",'Employees'!F20)</f>
        <v/>
      </c>
    </row>
    <row r="3828">
      <c r="A3828">
        <f>IF(AND('Skill Matrix'!A245&lt;&gt;"",'Skill Matrix'!G5&lt;&gt;""),'Skill Matrix'!A245,"")</f>
        <v/>
      </c>
      <c r="B3828">
        <f>IF(A3828="","",'Employees'!C20)</f>
        <v/>
      </c>
      <c r="C3828">
        <f>IF(A3828="","",'Employees'!D20)</f>
        <v/>
      </c>
      <c r="D3828">
        <f>IF(A3828="","",'Skill Matrix'!C245)</f>
        <v/>
      </c>
      <c r="E3828">
        <f>IF(A3828="","",'Skill Matrix'!D245)</f>
        <v/>
      </c>
      <c r="F3828">
        <f>IF(AND('Skill Matrix'!A245&lt;&gt;"",'Skill Matrix'!G5&lt;&gt;""),'Skill Matrix'!G5,"")</f>
        <v/>
      </c>
      <c r="G3828">
        <f>IF(OR(A3828="",'Skill Matrix'!G245=""),"",'Skill Matrix'!G245)</f>
        <v/>
      </c>
      <c r="H3828">
        <f>IF(A3828="","",'Employees'!F20)</f>
        <v/>
      </c>
    </row>
    <row r="3829">
      <c r="A3829">
        <f>IF(AND('Skill Matrix'!A245&lt;&gt;"",'Skill Matrix'!H5&lt;&gt;""),'Skill Matrix'!A245,"")</f>
        <v/>
      </c>
      <c r="B3829">
        <f>IF(A3829="","",'Employees'!C20)</f>
        <v/>
      </c>
      <c r="C3829">
        <f>IF(A3829="","",'Employees'!D20)</f>
        <v/>
      </c>
      <c r="D3829">
        <f>IF(A3829="","",'Skill Matrix'!C245)</f>
        <v/>
      </c>
      <c r="E3829">
        <f>IF(A3829="","",'Skill Matrix'!D245)</f>
        <v/>
      </c>
      <c r="F3829">
        <f>IF(AND('Skill Matrix'!A245&lt;&gt;"",'Skill Matrix'!H5&lt;&gt;""),'Skill Matrix'!H5,"")</f>
        <v/>
      </c>
      <c r="G3829">
        <f>IF(OR(A3829="",'Skill Matrix'!H245=""),"",'Skill Matrix'!H245)</f>
        <v/>
      </c>
      <c r="H3829">
        <f>IF(A3829="","",'Employees'!F20)</f>
        <v/>
      </c>
    </row>
    <row r="3830">
      <c r="A3830">
        <f>IF(AND('Skill Matrix'!A245&lt;&gt;"",'Skill Matrix'!I5&lt;&gt;""),'Skill Matrix'!A245,"")</f>
        <v/>
      </c>
      <c r="B3830">
        <f>IF(A3830="","",'Employees'!C20)</f>
        <v/>
      </c>
      <c r="C3830">
        <f>IF(A3830="","",'Employees'!D20)</f>
        <v/>
      </c>
      <c r="D3830">
        <f>IF(A3830="","",'Skill Matrix'!C245)</f>
        <v/>
      </c>
      <c r="E3830">
        <f>IF(A3830="","",'Skill Matrix'!D245)</f>
        <v/>
      </c>
      <c r="F3830">
        <f>IF(AND('Skill Matrix'!A245&lt;&gt;"",'Skill Matrix'!I5&lt;&gt;""),'Skill Matrix'!I5,"")</f>
        <v/>
      </c>
      <c r="G3830">
        <f>IF(OR(A3830="",'Skill Matrix'!I245=""),"",'Skill Matrix'!I245)</f>
        <v/>
      </c>
      <c r="H3830">
        <f>IF(A3830="","",'Employees'!F20)</f>
        <v/>
      </c>
    </row>
    <row r="3831">
      <c r="A3831">
        <f>IF(AND('Skill Matrix'!A245&lt;&gt;"",'Skill Matrix'!J5&lt;&gt;""),'Skill Matrix'!A245,"")</f>
        <v/>
      </c>
      <c r="B3831">
        <f>IF(A3831="","",'Employees'!C20)</f>
        <v/>
      </c>
      <c r="C3831">
        <f>IF(A3831="","",'Employees'!D20)</f>
        <v/>
      </c>
      <c r="D3831">
        <f>IF(A3831="","",'Skill Matrix'!C245)</f>
        <v/>
      </c>
      <c r="E3831">
        <f>IF(A3831="","",'Skill Matrix'!D245)</f>
        <v/>
      </c>
      <c r="F3831">
        <f>IF(AND('Skill Matrix'!A245&lt;&gt;"",'Skill Matrix'!J5&lt;&gt;""),'Skill Matrix'!J5,"")</f>
        <v/>
      </c>
      <c r="G3831">
        <f>IF(OR(A3831="",'Skill Matrix'!J245=""),"",'Skill Matrix'!J245)</f>
        <v/>
      </c>
      <c r="H3831">
        <f>IF(A3831="","",'Employees'!F20)</f>
        <v/>
      </c>
    </row>
    <row r="3832">
      <c r="A3832">
        <f>IF(AND('Skill Matrix'!A245&lt;&gt;"",'Skill Matrix'!K5&lt;&gt;""),'Skill Matrix'!A245,"")</f>
        <v/>
      </c>
      <c r="B3832">
        <f>IF(A3832="","",'Employees'!C20)</f>
        <v/>
      </c>
      <c r="C3832">
        <f>IF(A3832="","",'Employees'!D20)</f>
        <v/>
      </c>
      <c r="D3832">
        <f>IF(A3832="","",'Skill Matrix'!C245)</f>
        <v/>
      </c>
      <c r="E3832">
        <f>IF(A3832="","",'Skill Matrix'!D245)</f>
        <v/>
      </c>
      <c r="F3832">
        <f>IF(AND('Skill Matrix'!A245&lt;&gt;"",'Skill Matrix'!K5&lt;&gt;""),'Skill Matrix'!K5,"")</f>
        <v/>
      </c>
      <c r="G3832">
        <f>IF(OR(A3832="",'Skill Matrix'!K245=""),"",'Skill Matrix'!K245)</f>
        <v/>
      </c>
      <c r="H3832">
        <f>IF(A3832="","",'Employees'!F20)</f>
        <v/>
      </c>
    </row>
    <row r="3833">
      <c r="A3833">
        <f>IF(AND('Skill Matrix'!A245&lt;&gt;"",'Skill Matrix'!L5&lt;&gt;""),'Skill Matrix'!A245,"")</f>
        <v/>
      </c>
      <c r="B3833">
        <f>IF(A3833="","",'Employees'!C20)</f>
        <v/>
      </c>
      <c r="C3833">
        <f>IF(A3833="","",'Employees'!D20)</f>
        <v/>
      </c>
      <c r="D3833">
        <f>IF(A3833="","",'Skill Matrix'!C245)</f>
        <v/>
      </c>
      <c r="E3833">
        <f>IF(A3833="","",'Skill Matrix'!D245)</f>
        <v/>
      </c>
      <c r="F3833">
        <f>IF(AND('Skill Matrix'!A245&lt;&gt;"",'Skill Matrix'!L5&lt;&gt;""),'Skill Matrix'!L5,"")</f>
        <v/>
      </c>
      <c r="G3833">
        <f>IF(OR(A3833="",'Skill Matrix'!L245=""),"",'Skill Matrix'!L245)</f>
        <v/>
      </c>
      <c r="H3833">
        <f>IF(A3833="","",'Employees'!F20)</f>
        <v/>
      </c>
    </row>
    <row r="3834">
      <c r="A3834">
        <f>IF(AND('Skill Matrix'!A245&lt;&gt;"",'Skill Matrix'!M5&lt;&gt;""),'Skill Matrix'!A245,"")</f>
        <v/>
      </c>
      <c r="B3834">
        <f>IF(A3834="","",'Employees'!C20)</f>
        <v/>
      </c>
      <c r="C3834">
        <f>IF(A3834="","",'Employees'!D20)</f>
        <v/>
      </c>
      <c r="D3834">
        <f>IF(A3834="","",'Skill Matrix'!C245)</f>
        <v/>
      </c>
      <c r="E3834">
        <f>IF(A3834="","",'Skill Matrix'!D245)</f>
        <v/>
      </c>
      <c r="F3834">
        <f>IF(AND('Skill Matrix'!A245&lt;&gt;"",'Skill Matrix'!M5&lt;&gt;""),'Skill Matrix'!M5,"")</f>
        <v/>
      </c>
      <c r="G3834">
        <f>IF(OR(A3834="",'Skill Matrix'!M245=""),"",'Skill Matrix'!M245)</f>
        <v/>
      </c>
      <c r="H3834">
        <f>IF(A3834="","",'Employees'!F20)</f>
        <v/>
      </c>
    </row>
    <row r="3835">
      <c r="A3835">
        <f>IF(AND('Skill Matrix'!A245&lt;&gt;"",'Skill Matrix'!N5&lt;&gt;""),'Skill Matrix'!A245,"")</f>
        <v/>
      </c>
      <c r="B3835">
        <f>IF(A3835="","",'Employees'!C20)</f>
        <v/>
      </c>
      <c r="C3835">
        <f>IF(A3835="","",'Employees'!D20)</f>
        <v/>
      </c>
      <c r="D3835">
        <f>IF(A3835="","",'Skill Matrix'!C245)</f>
        <v/>
      </c>
      <c r="E3835">
        <f>IF(A3835="","",'Skill Matrix'!D245)</f>
        <v/>
      </c>
      <c r="F3835">
        <f>IF(AND('Skill Matrix'!A245&lt;&gt;"",'Skill Matrix'!N5&lt;&gt;""),'Skill Matrix'!N5,"")</f>
        <v/>
      </c>
      <c r="G3835">
        <f>IF(OR(A3835="",'Skill Matrix'!N245=""),"",'Skill Matrix'!N245)</f>
        <v/>
      </c>
      <c r="H3835">
        <f>IF(A3835="","",'Employees'!F20)</f>
        <v/>
      </c>
    </row>
    <row r="3836">
      <c r="A3836">
        <f>IF(AND('Skill Matrix'!A245&lt;&gt;"",'Skill Matrix'!O5&lt;&gt;""),'Skill Matrix'!A245,"")</f>
        <v/>
      </c>
      <c r="B3836">
        <f>IF(A3836="","",'Employees'!C20)</f>
        <v/>
      </c>
      <c r="C3836">
        <f>IF(A3836="","",'Employees'!D20)</f>
        <v/>
      </c>
      <c r="D3836">
        <f>IF(A3836="","",'Skill Matrix'!C245)</f>
        <v/>
      </c>
      <c r="E3836">
        <f>IF(A3836="","",'Skill Matrix'!D245)</f>
        <v/>
      </c>
      <c r="F3836">
        <f>IF(AND('Skill Matrix'!A245&lt;&gt;"",'Skill Matrix'!O5&lt;&gt;""),'Skill Matrix'!O5,"")</f>
        <v/>
      </c>
      <c r="G3836">
        <f>IF(OR(A3836="",'Skill Matrix'!O245=""),"",'Skill Matrix'!O245)</f>
        <v/>
      </c>
      <c r="H3836">
        <f>IF(A3836="","",'Employees'!F20)</f>
        <v/>
      </c>
    </row>
    <row r="3837">
      <c r="A3837">
        <f>IF(AND('Skill Matrix'!A245&lt;&gt;"",'Skill Matrix'!P5&lt;&gt;""),'Skill Matrix'!A245,"")</f>
        <v/>
      </c>
      <c r="B3837">
        <f>IF(A3837="","",'Employees'!C20)</f>
        <v/>
      </c>
      <c r="C3837">
        <f>IF(A3837="","",'Employees'!D20)</f>
        <v/>
      </c>
      <c r="D3837">
        <f>IF(A3837="","",'Skill Matrix'!C245)</f>
        <v/>
      </c>
      <c r="E3837">
        <f>IF(A3837="","",'Skill Matrix'!D245)</f>
        <v/>
      </c>
      <c r="F3837">
        <f>IF(AND('Skill Matrix'!A245&lt;&gt;"",'Skill Matrix'!P5&lt;&gt;""),'Skill Matrix'!P5,"")</f>
        <v/>
      </c>
      <c r="G3837">
        <f>IF(OR(A3837="",'Skill Matrix'!P245=""),"",'Skill Matrix'!P245)</f>
        <v/>
      </c>
      <c r="H3837">
        <f>IF(A3837="","",'Employees'!F20)</f>
        <v/>
      </c>
    </row>
    <row r="3838">
      <c r="A3838">
        <f>IF(AND('Skill Matrix'!A245&lt;&gt;"",'Skill Matrix'!Q5&lt;&gt;""),'Skill Matrix'!A245,"")</f>
        <v/>
      </c>
      <c r="B3838">
        <f>IF(A3838="","",'Employees'!C20)</f>
        <v/>
      </c>
      <c r="C3838">
        <f>IF(A3838="","",'Employees'!D20)</f>
        <v/>
      </c>
      <c r="D3838">
        <f>IF(A3838="","",'Skill Matrix'!C245)</f>
        <v/>
      </c>
      <c r="E3838">
        <f>IF(A3838="","",'Skill Matrix'!D245)</f>
        <v/>
      </c>
      <c r="F3838">
        <f>IF(AND('Skill Matrix'!A245&lt;&gt;"",'Skill Matrix'!Q5&lt;&gt;""),'Skill Matrix'!Q5,"")</f>
        <v/>
      </c>
      <c r="G3838">
        <f>IF(OR(A3838="",'Skill Matrix'!Q245=""),"",'Skill Matrix'!Q245)</f>
        <v/>
      </c>
      <c r="H3838">
        <f>IF(A3838="","",'Employees'!F20)</f>
        <v/>
      </c>
    </row>
    <row r="3839">
      <c r="A3839">
        <f>IF(AND('Skill Matrix'!A245&lt;&gt;"",'Skill Matrix'!R5&lt;&gt;""),'Skill Matrix'!A245,"")</f>
        <v/>
      </c>
      <c r="B3839">
        <f>IF(A3839="","",'Employees'!C20)</f>
        <v/>
      </c>
      <c r="C3839">
        <f>IF(A3839="","",'Employees'!D20)</f>
        <v/>
      </c>
      <c r="D3839">
        <f>IF(A3839="","",'Skill Matrix'!C245)</f>
        <v/>
      </c>
      <c r="E3839">
        <f>IF(A3839="","",'Skill Matrix'!D245)</f>
        <v/>
      </c>
      <c r="F3839">
        <f>IF(AND('Skill Matrix'!A245&lt;&gt;"",'Skill Matrix'!R5&lt;&gt;""),'Skill Matrix'!R5,"")</f>
        <v/>
      </c>
      <c r="G3839">
        <f>IF(OR(A3839="",'Skill Matrix'!R245=""),"",'Skill Matrix'!R245)</f>
        <v/>
      </c>
      <c r="H3839">
        <f>IF(A3839="","",'Employees'!F20)</f>
        <v/>
      </c>
    </row>
    <row r="3840">
      <c r="A3840">
        <f>IF(AND('Skill Matrix'!A245&lt;&gt;"",'Skill Matrix'!S5&lt;&gt;""),'Skill Matrix'!A245,"")</f>
        <v/>
      </c>
      <c r="B3840">
        <f>IF(A3840="","",'Employees'!C20)</f>
        <v/>
      </c>
      <c r="C3840">
        <f>IF(A3840="","",'Employees'!D20)</f>
        <v/>
      </c>
      <c r="D3840">
        <f>IF(A3840="","",'Skill Matrix'!C245)</f>
        <v/>
      </c>
      <c r="E3840">
        <f>IF(A3840="","",'Skill Matrix'!D245)</f>
        <v/>
      </c>
      <c r="F3840">
        <f>IF(AND('Skill Matrix'!A245&lt;&gt;"",'Skill Matrix'!S5&lt;&gt;""),'Skill Matrix'!S5,"")</f>
        <v/>
      </c>
      <c r="G3840">
        <f>IF(OR(A3840="",'Skill Matrix'!S245=""),"",'Skill Matrix'!S245)</f>
        <v/>
      </c>
      <c r="H3840">
        <f>IF(A3840="","",'Employees'!F20)</f>
        <v/>
      </c>
    </row>
    <row r="3841">
      <c r="A3841">
        <f>IF(AND('Skill Matrix'!A245&lt;&gt;"",'Skill Matrix'!T5&lt;&gt;""),'Skill Matrix'!A245,"")</f>
        <v/>
      </c>
      <c r="B3841">
        <f>IF(A3841="","",'Employees'!C20)</f>
        <v/>
      </c>
      <c r="C3841">
        <f>IF(A3841="","",'Employees'!D20)</f>
        <v/>
      </c>
      <c r="D3841">
        <f>IF(A3841="","",'Skill Matrix'!C245)</f>
        <v/>
      </c>
      <c r="E3841">
        <f>IF(A3841="","",'Skill Matrix'!D245)</f>
        <v/>
      </c>
      <c r="F3841">
        <f>IF(AND('Skill Matrix'!A245&lt;&gt;"",'Skill Matrix'!T5&lt;&gt;""),'Skill Matrix'!T5,"")</f>
        <v/>
      </c>
      <c r="G3841">
        <f>IF(OR(A3841="",'Skill Matrix'!T245=""),"",'Skill Matrix'!T245)</f>
        <v/>
      </c>
      <c r="H3841">
        <f>IF(A3841="","",'Employees'!F20)</f>
        <v/>
      </c>
    </row>
    <row r="3842">
      <c r="A3842">
        <f>IF(AND('Skill Matrix'!A246&lt;&gt;"",'Skill Matrix'!E5&lt;&gt;""),'Skill Matrix'!A246,"")</f>
        <v/>
      </c>
      <c r="B3842">
        <f>IF(A3842="","",'Employees'!C21)</f>
        <v/>
      </c>
      <c r="C3842">
        <f>IF(A3842="","",'Employees'!D21)</f>
        <v/>
      </c>
      <c r="D3842">
        <f>IF(A3842="","",'Skill Matrix'!C246)</f>
        <v/>
      </c>
      <c r="E3842">
        <f>IF(A3842="","",'Skill Matrix'!D246)</f>
        <v/>
      </c>
      <c r="F3842">
        <f>IF(AND('Skill Matrix'!A246&lt;&gt;"",'Skill Matrix'!E5&lt;&gt;""),'Skill Matrix'!E5,"")</f>
        <v/>
      </c>
      <c r="G3842">
        <f>IF(OR(A3842="",'Skill Matrix'!E246=""),"",'Skill Matrix'!E246)</f>
        <v/>
      </c>
      <c r="H3842">
        <f>IF(A3842="","",'Employees'!F21)</f>
        <v/>
      </c>
    </row>
    <row r="3843">
      <c r="A3843">
        <f>IF(AND('Skill Matrix'!A246&lt;&gt;"",'Skill Matrix'!F5&lt;&gt;""),'Skill Matrix'!A246,"")</f>
        <v/>
      </c>
      <c r="B3843">
        <f>IF(A3843="","",'Employees'!C21)</f>
        <v/>
      </c>
      <c r="C3843">
        <f>IF(A3843="","",'Employees'!D21)</f>
        <v/>
      </c>
      <c r="D3843">
        <f>IF(A3843="","",'Skill Matrix'!C246)</f>
        <v/>
      </c>
      <c r="E3843">
        <f>IF(A3843="","",'Skill Matrix'!D246)</f>
        <v/>
      </c>
      <c r="F3843">
        <f>IF(AND('Skill Matrix'!A246&lt;&gt;"",'Skill Matrix'!F5&lt;&gt;""),'Skill Matrix'!F5,"")</f>
        <v/>
      </c>
      <c r="G3843">
        <f>IF(OR(A3843="",'Skill Matrix'!F246=""),"",'Skill Matrix'!F246)</f>
        <v/>
      </c>
      <c r="H3843">
        <f>IF(A3843="","",'Employees'!F21)</f>
        <v/>
      </c>
    </row>
    <row r="3844">
      <c r="A3844">
        <f>IF(AND('Skill Matrix'!A246&lt;&gt;"",'Skill Matrix'!G5&lt;&gt;""),'Skill Matrix'!A246,"")</f>
        <v/>
      </c>
      <c r="B3844">
        <f>IF(A3844="","",'Employees'!C21)</f>
        <v/>
      </c>
      <c r="C3844">
        <f>IF(A3844="","",'Employees'!D21)</f>
        <v/>
      </c>
      <c r="D3844">
        <f>IF(A3844="","",'Skill Matrix'!C246)</f>
        <v/>
      </c>
      <c r="E3844">
        <f>IF(A3844="","",'Skill Matrix'!D246)</f>
        <v/>
      </c>
      <c r="F3844">
        <f>IF(AND('Skill Matrix'!A246&lt;&gt;"",'Skill Matrix'!G5&lt;&gt;""),'Skill Matrix'!G5,"")</f>
        <v/>
      </c>
      <c r="G3844">
        <f>IF(OR(A3844="",'Skill Matrix'!G246=""),"",'Skill Matrix'!G246)</f>
        <v/>
      </c>
      <c r="H3844">
        <f>IF(A3844="","",'Employees'!F21)</f>
        <v/>
      </c>
    </row>
    <row r="3845">
      <c r="A3845">
        <f>IF(AND('Skill Matrix'!A246&lt;&gt;"",'Skill Matrix'!H5&lt;&gt;""),'Skill Matrix'!A246,"")</f>
        <v/>
      </c>
      <c r="B3845">
        <f>IF(A3845="","",'Employees'!C21)</f>
        <v/>
      </c>
      <c r="C3845">
        <f>IF(A3845="","",'Employees'!D21)</f>
        <v/>
      </c>
      <c r="D3845">
        <f>IF(A3845="","",'Skill Matrix'!C246)</f>
        <v/>
      </c>
      <c r="E3845">
        <f>IF(A3845="","",'Skill Matrix'!D246)</f>
        <v/>
      </c>
      <c r="F3845">
        <f>IF(AND('Skill Matrix'!A246&lt;&gt;"",'Skill Matrix'!H5&lt;&gt;""),'Skill Matrix'!H5,"")</f>
        <v/>
      </c>
      <c r="G3845">
        <f>IF(OR(A3845="",'Skill Matrix'!H246=""),"",'Skill Matrix'!H246)</f>
        <v/>
      </c>
      <c r="H3845">
        <f>IF(A3845="","",'Employees'!F21)</f>
        <v/>
      </c>
    </row>
    <row r="3846">
      <c r="A3846">
        <f>IF(AND('Skill Matrix'!A246&lt;&gt;"",'Skill Matrix'!I5&lt;&gt;""),'Skill Matrix'!A246,"")</f>
        <v/>
      </c>
      <c r="B3846">
        <f>IF(A3846="","",'Employees'!C21)</f>
        <v/>
      </c>
      <c r="C3846">
        <f>IF(A3846="","",'Employees'!D21)</f>
        <v/>
      </c>
      <c r="D3846">
        <f>IF(A3846="","",'Skill Matrix'!C246)</f>
        <v/>
      </c>
      <c r="E3846">
        <f>IF(A3846="","",'Skill Matrix'!D246)</f>
        <v/>
      </c>
      <c r="F3846">
        <f>IF(AND('Skill Matrix'!A246&lt;&gt;"",'Skill Matrix'!I5&lt;&gt;""),'Skill Matrix'!I5,"")</f>
        <v/>
      </c>
      <c r="G3846">
        <f>IF(OR(A3846="",'Skill Matrix'!I246=""),"",'Skill Matrix'!I246)</f>
        <v/>
      </c>
      <c r="H3846">
        <f>IF(A3846="","",'Employees'!F21)</f>
        <v/>
      </c>
    </row>
    <row r="3847">
      <c r="A3847">
        <f>IF(AND('Skill Matrix'!A246&lt;&gt;"",'Skill Matrix'!J5&lt;&gt;""),'Skill Matrix'!A246,"")</f>
        <v/>
      </c>
      <c r="B3847">
        <f>IF(A3847="","",'Employees'!C21)</f>
        <v/>
      </c>
      <c r="C3847">
        <f>IF(A3847="","",'Employees'!D21)</f>
        <v/>
      </c>
      <c r="D3847">
        <f>IF(A3847="","",'Skill Matrix'!C246)</f>
        <v/>
      </c>
      <c r="E3847">
        <f>IF(A3847="","",'Skill Matrix'!D246)</f>
        <v/>
      </c>
      <c r="F3847">
        <f>IF(AND('Skill Matrix'!A246&lt;&gt;"",'Skill Matrix'!J5&lt;&gt;""),'Skill Matrix'!J5,"")</f>
        <v/>
      </c>
      <c r="G3847">
        <f>IF(OR(A3847="",'Skill Matrix'!J246=""),"",'Skill Matrix'!J246)</f>
        <v/>
      </c>
      <c r="H3847">
        <f>IF(A3847="","",'Employees'!F21)</f>
        <v/>
      </c>
    </row>
    <row r="3848">
      <c r="A3848">
        <f>IF(AND('Skill Matrix'!A246&lt;&gt;"",'Skill Matrix'!K5&lt;&gt;""),'Skill Matrix'!A246,"")</f>
        <v/>
      </c>
      <c r="B3848">
        <f>IF(A3848="","",'Employees'!C21)</f>
        <v/>
      </c>
      <c r="C3848">
        <f>IF(A3848="","",'Employees'!D21)</f>
        <v/>
      </c>
      <c r="D3848">
        <f>IF(A3848="","",'Skill Matrix'!C246)</f>
        <v/>
      </c>
      <c r="E3848">
        <f>IF(A3848="","",'Skill Matrix'!D246)</f>
        <v/>
      </c>
      <c r="F3848">
        <f>IF(AND('Skill Matrix'!A246&lt;&gt;"",'Skill Matrix'!K5&lt;&gt;""),'Skill Matrix'!K5,"")</f>
        <v/>
      </c>
      <c r="G3848">
        <f>IF(OR(A3848="",'Skill Matrix'!K246=""),"",'Skill Matrix'!K246)</f>
        <v/>
      </c>
      <c r="H3848">
        <f>IF(A3848="","",'Employees'!F21)</f>
        <v/>
      </c>
    </row>
    <row r="3849">
      <c r="A3849">
        <f>IF(AND('Skill Matrix'!A246&lt;&gt;"",'Skill Matrix'!L5&lt;&gt;""),'Skill Matrix'!A246,"")</f>
        <v/>
      </c>
      <c r="B3849">
        <f>IF(A3849="","",'Employees'!C21)</f>
        <v/>
      </c>
      <c r="C3849">
        <f>IF(A3849="","",'Employees'!D21)</f>
        <v/>
      </c>
      <c r="D3849">
        <f>IF(A3849="","",'Skill Matrix'!C246)</f>
        <v/>
      </c>
      <c r="E3849">
        <f>IF(A3849="","",'Skill Matrix'!D246)</f>
        <v/>
      </c>
      <c r="F3849">
        <f>IF(AND('Skill Matrix'!A246&lt;&gt;"",'Skill Matrix'!L5&lt;&gt;""),'Skill Matrix'!L5,"")</f>
        <v/>
      </c>
      <c r="G3849">
        <f>IF(OR(A3849="",'Skill Matrix'!L246=""),"",'Skill Matrix'!L246)</f>
        <v/>
      </c>
      <c r="H3849">
        <f>IF(A3849="","",'Employees'!F21)</f>
        <v/>
      </c>
    </row>
    <row r="3850">
      <c r="A3850">
        <f>IF(AND('Skill Matrix'!A246&lt;&gt;"",'Skill Matrix'!M5&lt;&gt;""),'Skill Matrix'!A246,"")</f>
        <v/>
      </c>
      <c r="B3850">
        <f>IF(A3850="","",'Employees'!C21)</f>
        <v/>
      </c>
      <c r="C3850">
        <f>IF(A3850="","",'Employees'!D21)</f>
        <v/>
      </c>
      <c r="D3850">
        <f>IF(A3850="","",'Skill Matrix'!C246)</f>
        <v/>
      </c>
      <c r="E3850">
        <f>IF(A3850="","",'Skill Matrix'!D246)</f>
        <v/>
      </c>
      <c r="F3850">
        <f>IF(AND('Skill Matrix'!A246&lt;&gt;"",'Skill Matrix'!M5&lt;&gt;""),'Skill Matrix'!M5,"")</f>
        <v/>
      </c>
      <c r="G3850">
        <f>IF(OR(A3850="",'Skill Matrix'!M246=""),"",'Skill Matrix'!M246)</f>
        <v/>
      </c>
      <c r="H3850">
        <f>IF(A3850="","",'Employees'!F21)</f>
        <v/>
      </c>
    </row>
    <row r="3851">
      <c r="A3851">
        <f>IF(AND('Skill Matrix'!A246&lt;&gt;"",'Skill Matrix'!N5&lt;&gt;""),'Skill Matrix'!A246,"")</f>
        <v/>
      </c>
      <c r="B3851">
        <f>IF(A3851="","",'Employees'!C21)</f>
        <v/>
      </c>
      <c r="C3851">
        <f>IF(A3851="","",'Employees'!D21)</f>
        <v/>
      </c>
      <c r="D3851">
        <f>IF(A3851="","",'Skill Matrix'!C246)</f>
        <v/>
      </c>
      <c r="E3851">
        <f>IF(A3851="","",'Skill Matrix'!D246)</f>
        <v/>
      </c>
      <c r="F3851">
        <f>IF(AND('Skill Matrix'!A246&lt;&gt;"",'Skill Matrix'!N5&lt;&gt;""),'Skill Matrix'!N5,"")</f>
        <v/>
      </c>
      <c r="G3851">
        <f>IF(OR(A3851="",'Skill Matrix'!N246=""),"",'Skill Matrix'!N246)</f>
        <v/>
      </c>
      <c r="H3851">
        <f>IF(A3851="","",'Employees'!F21)</f>
        <v/>
      </c>
    </row>
    <row r="3852">
      <c r="A3852">
        <f>IF(AND('Skill Matrix'!A246&lt;&gt;"",'Skill Matrix'!O5&lt;&gt;""),'Skill Matrix'!A246,"")</f>
        <v/>
      </c>
      <c r="B3852">
        <f>IF(A3852="","",'Employees'!C21)</f>
        <v/>
      </c>
      <c r="C3852">
        <f>IF(A3852="","",'Employees'!D21)</f>
        <v/>
      </c>
      <c r="D3852">
        <f>IF(A3852="","",'Skill Matrix'!C246)</f>
        <v/>
      </c>
      <c r="E3852">
        <f>IF(A3852="","",'Skill Matrix'!D246)</f>
        <v/>
      </c>
      <c r="F3852">
        <f>IF(AND('Skill Matrix'!A246&lt;&gt;"",'Skill Matrix'!O5&lt;&gt;""),'Skill Matrix'!O5,"")</f>
        <v/>
      </c>
      <c r="G3852">
        <f>IF(OR(A3852="",'Skill Matrix'!O246=""),"",'Skill Matrix'!O246)</f>
        <v/>
      </c>
      <c r="H3852">
        <f>IF(A3852="","",'Employees'!F21)</f>
        <v/>
      </c>
    </row>
    <row r="3853">
      <c r="A3853">
        <f>IF(AND('Skill Matrix'!A246&lt;&gt;"",'Skill Matrix'!P5&lt;&gt;""),'Skill Matrix'!A246,"")</f>
        <v/>
      </c>
      <c r="B3853">
        <f>IF(A3853="","",'Employees'!C21)</f>
        <v/>
      </c>
      <c r="C3853">
        <f>IF(A3853="","",'Employees'!D21)</f>
        <v/>
      </c>
      <c r="D3853">
        <f>IF(A3853="","",'Skill Matrix'!C246)</f>
        <v/>
      </c>
      <c r="E3853">
        <f>IF(A3853="","",'Skill Matrix'!D246)</f>
        <v/>
      </c>
      <c r="F3853">
        <f>IF(AND('Skill Matrix'!A246&lt;&gt;"",'Skill Matrix'!P5&lt;&gt;""),'Skill Matrix'!P5,"")</f>
        <v/>
      </c>
      <c r="G3853">
        <f>IF(OR(A3853="",'Skill Matrix'!P246=""),"",'Skill Matrix'!P246)</f>
        <v/>
      </c>
      <c r="H3853">
        <f>IF(A3853="","",'Employees'!F21)</f>
        <v/>
      </c>
    </row>
    <row r="3854">
      <c r="A3854">
        <f>IF(AND('Skill Matrix'!A246&lt;&gt;"",'Skill Matrix'!Q5&lt;&gt;""),'Skill Matrix'!A246,"")</f>
        <v/>
      </c>
      <c r="B3854">
        <f>IF(A3854="","",'Employees'!C21)</f>
        <v/>
      </c>
      <c r="C3854">
        <f>IF(A3854="","",'Employees'!D21)</f>
        <v/>
      </c>
      <c r="D3854">
        <f>IF(A3854="","",'Skill Matrix'!C246)</f>
        <v/>
      </c>
      <c r="E3854">
        <f>IF(A3854="","",'Skill Matrix'!D246)</f>
        <v/>
      </c>
      <c r="F3854">
        <f>IF(AND('Skill Matrix'!A246&lt;&gt;"",'Skill Matrix'!Q5&lt;&gt;""),'Skill Matrix'!Q5,"")</f>
        <v/>
      </c>
      <c r="G3854">
        <f>IF(OR(A3854="",'Skill Matrix'!Q246=""),"",'Skill Matrix'!Q246)</f>
        <v/>
      </c>
      <c r="H3854">
        <f>IF(A3854="","",'Employees'!F21)</f>
        <v/>
      </c>
    </row>
    <row r="3855">
      <c r="A3855">
        <f>IF(AND('Skill Matrix'!A246&lt;&gt;"",'Skill Matrix'!R5&lt;&gt;""),'Skill Matrix'!A246,"")</f>
        <v/>
      </c>
      <c r="B3855">
        <f>IF(A3855="","",'Employees'!C21)</f>
        <v/>
      </c>
      <c r="C3855">
        <f>IF(A3855="","",'Employees'!D21)</f>
        <v/>
      </c>
      <c r="D3855">
        <f>IF(A3855="","",'Skill Matrix'!C246)</f>
        <v/>
      </c>
      <c r="E3855">
        <f>IF(A3855="","",'Skill Matrix'!D246)</f>
        <v/>
      </c>
      <c r="F3855">
        <f>IF(AND('Skill Matrix'!A246&lt;&gt;"",'Skill Matrix'!R5&lt;&gt;""),'Skill Matrix'!R5,"")</f>
        <v/>
      </c>
      <c r="G3855">
        <f>IF(OR(A3855="",'Skill Matrix'!R246=""),"",'Skill Matrix'!R246)</f>
        <v/>
      </c>
      <c r="H3855">
        <f>IF(A3855="","",'Employees'!F21)</f>
        <v/>
      </c>
    </row>
    <row r="3856">
      <c r="A3856">
        <f>IF(AND('Skill Matrix'!A246&lt;&gt;"",'Skill Matrix'!S5&lt;&gt;""),'Skill Matrix'!A246,"")</f>
        <v/>
      </c>
      <c r="B3856">
        <f>IF(A3856="","",'Employees'!C21)</f>
        <v/>
      </c>
      <c r="C3856">
        <f>IF(A3856="","",'Employees'!D21)</f>
        <v/>
      </c>
      <c r="D3856">
        <f>IF(A3856="","",'Skill Matrix'!C246)</f>
        <v/>
      </c>
      <c r="E3856">
        <f>IF(A3856="","",'Skill Matrix'!D246)</f>
        <v/>
      </c>
      <c r="F3856">
        <f>IF(AND('Skill Matrix'!A246&lt;&gt;"",'Skill Matrix'!S5&lt;&gt;""),'Skill Matrix'!S5,"")</f>
        <v/>
      </c>
      <c r="G3856">
        <f>IF(OR(A3856="",'Skill Matrix'!S246=""),"",'Skill Matrix'!S246)</f>
        <v/>
      </c>
      <c r="H3856">
        <f>IF(A3856="","",'Employees'!F21)</f>
        <v/>
      </c>
    </row>
    <row r="3857">
      <c r="A3857">
        <f>IF(AND('Skill Matrix'!A246&lt;&gt;"",'Skill Matrix'!T5&lt;&gt;""),'Skill Matrix'!A246,"")</f>
        <v/>
      </c>
      <c r="B3857">
        <f>IF(A3857="","",'Employees'!C21)</f>
        <v/>
      </c>
      <c r="C3857">
        <f>IF(A3857="","",'Employees'!D21)</f>
        <v/>
      </c>
      <c r="D3857">
        <f>IF(A3857="","",'Skill Matrix'!C246)</f>
        <v/>
      </c>
      <c r="E3857">
        <f>IF(A3857="","",'Skill Matrix'!D246)</f>
        <v/>
      </c>
      <c r="F3857">
        <f>IF(AND('Skill Matrix'!A246&lt;&gt;"",'Skill Matrix'!T5&lt;&gt;""),'Skill Matrix'!T5,"")</f>
        <v/>
      </c>
      <c r="G3857">
        <f>IF(OR(A3857="",'Skill Matrix'!T246=""),"",'Skill Matrix'!T246)</f>
        <v/>
      </c>
      <c r="H3857">
        <f>IF(A3857="","",'Employees'!F21)</f>
        <v/>
      </c>
    </row>
    <row r="3858">
      <c r="A3858">
        <f>IF(AND('Skill Matrix'!A247&lt;&gt;"",'Skill Matrix'!E5&lt;&gt;""),'Skill Matrix'!A247,"")</f>
        <v/>
      </c>
      <c r="B3858">
        <f>IF(A3858="","",'Employees'!C21)</f>
        <v/>
      </c>
      <c r="C3858">
        <f>IF(A3858="","",'Employees'!D21)</f>
        <v/>
      </c>
      <c r="D3858">
        <f>IF(A3858="","",'Skill Matrix'!C247)</f>
        <v/>
      </c>
      <c r="E3858">
        <f>IF(A3858="","",'Skill Matrix'!D247)</f>
        <v/>
      </c>
      <c r="F3858">
        <f>IF(AND('Skill Matrix'!A247&lt;&gt;"",'Skill Matrix'!E5&lt;&gt;""),'Skill Matrix'!E5,"")</f>
        <v/>
      </c>
      <c r="G3858">
        <f>IF(OR(A3858="",'Skill Matrix'!E247=""),"",'Skill Matrix'!E247)</f>
        <v/>
      </c>
      <c r="H3858">
        <f>IF(A3858="","",'Employees'!F21)</f>
        <v/>
      </c>
    </row>
    <row r="3859">
      <c r="A3859">
        <f>IF(AND('Skill Matrix'!A247&lt;&gt;"",'Skill Matrix'!F5&lt;&gt;""),'Skill Matrix'!A247,"")</f>
        <v/>
      </c>
      <c r="B3859">
        <f>IF(A3859="","",'Employees'!C21)</f>
        <v/>
      </c>
      <c r="C3859">
        <f>IF(A3859="","",'Employees'!D21)</f>
        <v/>
      </c>
      <c r="D3859">
        <f>IF(A3859="","",'Skill Matrix'!C247)</f>
        <v/>
      </c>
      <c r="E3859">
        <f>IF(A3859="","",'Skill Matrix'!D247)</f>
        <v/>
      </c>
      <c r="F3859">
        <f>IF(AND('Skill Matrix'!A247&lt;&gt;"",'Skill Matrix'!F5&lt;&gt;""),'Skill Matrix'!F5,"")</f>
        <v/>
      </c>
      <c r="G3859">
        <f>IF(OR(A3859="",'Skill Matrix'!F247=""),"",'Skill Matrix'!F247)</f>
        <v/>
      </c>
      <c r="H3859">
        <f>IF(A3859="","",'Employees'!F21)</f>
        <v/>
      </c>
    </row>
    <row r="3860">
      <c r="A3860">
        <f>IF(AND('Skill Matrix'!A247&lt;&gt;"",'Skill Matrix'!G5&lt;&gt;""),'Skill Matrix'!A247,"")</f>
        <v/>
      </c>
      <c r="B3860">
        <f>IF(A3860="","",'Employees'!C21)</f>
        <v/>
      </c>
      <c r="C3860">
        <f>IF(A3860="","",'Employees'!D21)</f>
        <v/>
      </c>
      <c r="D3860">
        <f>IF(A3860="","",'Skill Matrix'!C247)</f>
        <v/>
      </c>
      <c r="E3860">
        <f>IF(A3860="","",'Skill Matrix'!D247)</f>
        <v/>
      </c>
      <c r="F3860">
        <f>IF(AND('Skill Matrix'!A247&lt;&gt;"",'Skill Matrix'!G5&lt;&gt;""),'Skill Matrix'!G5,"")</f>
        <v/>
      </c>
      <c r="G3860">
        <f>IF(OR(A3860="",'Skill Matrix'!G247=""),"",'Skill Matrix'!G247)</f>
        <v/>
      </c>
      <c r="H3860">
        <f>IF(A3860="","",'Employees'!F21)</f>
        <v/>
      </c>
    </row>
    <row r="3861">
      <c r="A3861">
        <f>IF(AND('Skill Matrix'!A247&lt;&gt;"",'Skill Matrix'!H5&lt;&gt;""),'Skill Matrix'!A247,"")</f>
        <v/>
      </c>
      <c r="B3861">
        <f>IF(A3861="","",'Employees'!C21)</f>
        <v/>
      </c>
      <c r="C3861">
        <f>IF(A3861="","",'Employees'!D21)</f>
        <v/>
      </c>
      <c r="D3861">
        <f>IF(A3861="","",'Skill Matrix'!C247)</f>
        <v/>
      </c>
      <c r="E3861">
        <f>IF(A3861="","",'Skill Matrix'!D247)</f>
        <v/>
      </c>
      <c r="F3861">
        <f>IF(AND('Skill Matrix'!A247&lt;&gt;"",'Skill Matrix'!H5&lt;&gt;""),'Skill Matrix'!H5,"")</f>
        <v/>
      </c>
      <c r="G3861">
        <f>IF(OR(A3861="",'Skill Matrix'!H247=""),"",'Skill Matrix'!H247)</f>
        <v/>
      </c>
      <c r="H3861">
        <f>IF(A3861="","",'Employees'!F21)</f>
        <v/>
      </c>
    </row>
    <row r="3862">
      <c r="A3862">
        <f>IF(AND('Skill Matrix'!A247&lt;&gt;"",'Skill Matrix'!I5&lt;&gt;""),'Skill Matrix'!A247,"")</f>
        <v/>
      </c>
      <c r="B3862">
        <f>IF(A3862="","",'Employees'!C21)</f>
        <v/>
      </c>
      <c r="C3862">
        <f>IF(A3862="","",'Employees'!D21)</f>
        <v/>
      </c>
      <c r="D3862">
        <f>IF(A3862="","",'Skill Matrix'!C247)</f>
        <v/>
      </c>
      <c r="E3862">
        <f>IF(A3862="","",'Skill Matrix'!D247)</f>
        <v/>
      </c>
      <c r="F3862">
        <f>IF(AND('Skill Matrix'!A247&lt;&gt;"",'Skill Matrix'!I5&lt;&gt;""),'Skill Matrix'!I5,"")</f>
        <v/>
      </c>
      <c r="G3862">
        <f>IF(OR(A3862="",'Skill Matrix'!I247=""),"",'Skill Matrix'!I247)</f>
        <v/>
      </c>
      <c r="H3862">
        <f>IF(A3862="","",'Employees'!F21)</f>
        <v/>
      </c>
    </row>
    <row r="3863">
      <c r="A3863">
        <f>IF(AND('Skill Matrix'!A247&lt;&gt;"",'Skill Matrix'!J5&lt;&gt;""),'Skill Matrix'!A247,"")</f>
        <v/>
      </c>
      <c r="B3863">
        <f>IF(A3863="","",'Employees'!C21)</f>
        <v/>
      </c>
      <c r="C3863">
        <f>IF(A3863="","",'Employees'!D21)</f>
        <v/>
      </c>
      <c r="D3863">
        <f>IF(A3863="","",'Skill Matrix'!C247)</f>
        <v/>
      </c>
      <c r="E3863">
        <f>IF(A3863="","",'Skill Matrix'!D247)</f>
        <v/>
      </c>
      <c r="F3863">
        <f>IF(AND('Skill Matrix'!A247&lt;&gt;"",'Skill Matrix'!J5&lt;&gt;""),'Skill Matrix'!J5,"")</f>
        <v/>
      </c>
      <c r="G3863">
        <f>IF(OR(A3863="",'Skill Matrix'!J247=""),"",'Skill Matrix'!J247)</f>
        <v/>
      </c>
      <c r="H3863">
        <f>IF(A3863="","",'Employees'!F21)</f>
        <v/>
      </c>
    </row>
    <row r="3864">
      <c r="A3864">
        <f>IF(AND('Skill Matrix'!A247&lt;&gt;"",'Skill Matrix'!K5&lt;&gt;""),'Skill Matrix'!A247,"")</f>
        <v/>
      </c>
      <c r="B3864">
        <f>IF(A3864="","",'Employees'!C21)</f>
        <v/>
      </c>
      <c r="C3864">
        <f>IF(A3864="","",'Employees'!D21)</f>
        <v/>
      </c>
      <c r="D3864">
        <f>IF(A3864="","",'Skill Matrix'!C247)</f>
        <v/>
      </c>
      <c r="E3864">
        <f>IF(A3864="","",'Skill Matrix'!D247)</f>
        <v/>
      </c>
      <c r="F3864">
        <f>IF(AND('Skill Matrix'!A247&lt;&gt;"",'Skill Matrix'!K5&lt;&gt;""),'Skill Matrix'!K5,"")</f>
        <v/>
      </c>
      <c r="G3864">
        <f>IF(OR(A3864="",'Skill Matrix'!K247=""),"",'Skill Matrix'!K247)</f>
        <v/>
      </c>
      <c r="H3864">
        <f>IF(A3864="","",'Employees'!F21)</f>
        <v/>
      </c>
    </row>
    <row r="3865">
      <c r="A3865">
        <f>IF(AND('Skill Matrix'!A247&lt;&gt;"",'Skill Matrix'!L5&lt;&gt;""),'Skill Matrix'!A247,"")</f>
        <v/>
      </c>
      <c r="B3865">
        <f>IF(A3865="","",'Employees'!C21)</f>
        <v/>
      </c>
      <c r="C3865">
        <f>IF(A3865="","",'Employees'!D21)</f>
        <v/>
      </c>
      <c r="D3865">
        <f>IF(A3865="","",'Skill Matrix'!C247)</f>
        <v/>
      </c>
      <c r="E3865">
        <f>IF(A3865="","",'Skill Matrix'!D247)</f>
        <v/>
      </c>
      <c r="F3865">
        <f>IF(AND('Skill Matrix'!A247&lt;&gt;"",'Skill Matrix'!L5&lt;&gt;""),'Skill Matrix'!L5,"")</f>
        <v/>
      </c>
      <c r="G3865">
        <f>IF(OR(A3865="",'Skill Matrix'!L247=""),"",'Skill Matrix'!L247)</f>
        <v/>
      </c>
      <c r="H3865">
        <f>IF(A3865="","",'Employees'!F21)</f>
        <v/>
      </c>
    </row>
    <row r="3866">
      <c r="A3866">
        <f>IF(AND('Skill Matrix'!A247&lt;&gt;"",'Skill Matrix'!M5&lt;&gt;""),'Skill Matrix'!A247,"")</f>
        <v/>
      </c>
      <c r="B3866">
        <f>IF(A3866="","",'Employees'!C21)</f>
        <v/>
      </c>
      <c r="C3866">
        <f>IF(A3866="","",'Employees'!D21)</f>
        <v/>
      </c>
      <c r="D3866">
        <f>IF(A3866="","",'Skill Matrix'!C247)</f>
        <v/>
      </c>
      <c r="E3866">
        <f>IF(A3866="","",'Skill Matrix'!D247)</f>
        <v/>
      </c>
      <c r="F3866">
        <f>IF(AND('Skill Matrix'!A247&lt;&gt;"",'Skill Matrix'!M5&lt;&gt;""),'Skill Matrix'!M5,"")</f>
        <v/>
      </c>
      <c r="G3866">
        <f>IF(OR(A3866="",'Skill Matrix'!M247=""),"",'Skill Matrix'!M247)</f>
        <v/>
      </c>
      <c r="H3866">
        <f>IF(A3866="","",'Employees'!F21)</f>
        <v/>
      </c>
    </row>
    <row r="3867">
      <c r="A3867">
        <f>IF(AND('Skill Matrix'!A247&lt;&gt;"",'Skill Matrix'!N5&lt;&gt;""),'Skill Matrix'!A247,"")</f>
        <v/>
      </c>
      <c r="B3867">
        <f>IF(A3867="","",'Employees'!C21)</f>
        <v/>
      </c>
      <c r="C3867">
        <f>IF(A3867="","",'Employees'!D21)</f>
        <v/>
      </c>
      <c r="D3867">
        <f>IF(A3867="","",'Skill Matrix'!C247)</f>
        <v/>
      </c>
      <c r="E3867">
        <f>IF(A3867="","",'Skill Matrix'!D247)</f>
        <v/>
      </c>
      <c r="F3867">
        <f>IF(AND('Skill Matrix'!A247&lt;&gt;"",'Skill Matrix'!N5&lt;&gt;""),'Skill Matrix'!N5,"")</f>
        <v/>
      </c>
      <c r="G3867">
        <f>IF(OR(A3867="",'Skill Matrix'!N247=""),"",'Skill Matrix'!N247)</f>
        <v/>
      </c>
      <c r="H3867">
        <f>IF(A3867="","",'Employees'!F21)</f>
        <v/>
      </c>
    </row>
    <row r="3868">
      <c r="A3868">
        <f>IF(AND('Skill Matrix'!A247&lt;&gt;"",'Skill Matrix'!O5&lt;&gt;""),'Skill Matrix'!A247,"")</f>
        <v/>
      </c>
      <c r="B3868">
        <f>IF(A3868="","",'Employees'!C21)</f>
        <v/>
      </c>
      <c r="C3868">
        <f>IF(A3868="","",'Employees'!D21)</f>
        <v/>
      </c>
      <c r="D3868">
        <f>IF(A3868="","",'Skill Matrix'!C247)</f>
        <v/>
      </c>
      <c r="E3868">
        <f>IF(A3868="","",'Skill Matrix'!D247)</f>
        <v/>
      </c>
      <c r="F3868">
        <f>IF(AND('Skill Matrix'!A247&lt;&gt;"",'Skill Matrix'!O5&lt;&gt;""),'Skill Matrix'!O5,"")</f>
        <v/>
      </c>
      <c r="G3868">
        <f>IF(OR(A3868="",'Skill Matrix'!O247=""),"",'Skill Matrix'!O247)</f>
        <v/>
      </c>
      <c r="H3868">
        <f>IF(A3868="","",'Employees'!F21)</f>
        <v/>
      </c>
    </row>
    <row r="3869">
      <c r="A3869">
        <f>IF(AND('Skill Matrix'!A247&lt;&gt;"",'Skill Matrix'!P5&lt;&gt;""),'Skill Matrix'!A247,"")</f>
        <v/>
      </c>
      <c r="B3869">
        <f>IF(A3869="","",'Employees'!C21)</f>
        <v/>
      </c>
      <c r="C3869">
        <f>IF(A3869="","",'Employees'!D21)</f>
        <v/>
      </c>
      <c r="D3869">
        <f>IF(A3869="","",'Skill Matrix'!C247)</f>
        <v/>
      </c>
      <c r="E3869">
        <f>IF(A3869="","",'Skill Matrix'!D247)</f>
        <v/>
      </c>
      <c r="F3869">
        <f>IF(AND('Skill Matrix'!A247&lt;&gt;"",'Skill Matrix'!P5&lt;&gt;""),'Skill Matrix'!P5,"")</f>
        <v/>
      </c>
      <c r="G3869">
        <f>IF(OR(A3869="",'Skill Matrix'!P247=""),"",'Skill Matrix'!P247)</f>
        <v/>
      </c>
      <c r="H3869">
        <f>IF(A3869="","",'Employees'!F21)</f>
        <v/>
      </c>
    </row>
    <row r="3870">
      <c r="A3870">
        <f>IF(AND('Skill Matrix'!A247&lt;&gt;"",'Skill Matrix'!Q5&lt;&gt;""),'Skill Matrix'!A247,"")</f>
        <v/>
      </c>
      <c r="B3870">
        <f>IF(A3870="","",'Employees'!C21)</f>
        <v/>
      </c>
      <c r="C3870">
        <f>IF(A3870="","",'Employees'!D21)</f>
        <v/>
      </c>
      <c r="D3870">
        <f>IF(A3870="","",'Skill Matrix'!C247)</f>
        <v/>
      </c>
      <c r="E3870">
        <f>IF(A3870="","",'Skill Matrix'!D247)</f>
        <v/>
      </c>
      <c r="F3870">
        <f>IF(AND('Skill Matrix'!A247&lt;&gt;"",'Skill Matrix'!Q5&lt;&gt;""),'Skill Matrix'!Q5,"")</f>
        <v/>
      </c>
      <c r="G3870">
        <f>IF(OR(A3870="",'Skill Matrix'!Q247=""),"",'Skill Matrix'!Q247)</f>
        <v/>
      </c>
      <c r="H3870">
        <f>IF(A3870="","",'Employees'!F21)</f>
        <v/>
      </c>
    </row>
    <row r="3871">
      <c r="A3871">
        <f>IF(AND('Skill Matrix'!A247&lt;&gt;"",'Skill Matrix'!R5&lt;&gt;""),'Skill Matrix'!A247,"")</f>
        <v/>
      </c>
      <c r="B3871">
        <f>IF(A3871="","",'Employees'!C21)</f>
        <v/>
      </c>
      <c r="C3871">
        <f>IF(A3871="","",'Employees'!D21)</f>
        <v/>
      </c>
      <c r="D3871">
        <f>IF(A3871="","",'Skill Matrix'!C247)</f>
        <v/>
      </c>
      <c r="E3871">
        <f>IF(A3871="","",'Skill Matrix'!D247)</f>
        <v/>
      </c>
      <c r="F3871">
        <f>IF(AND('Skill Matrix'!A247&lt;&gt;"",'Skill Matrix'!R5&lt;&gt;""),'Skill Matrix'!R5,"")</f>
        <v/>
      </c>
      <c r="G3871">
        <f>IF(OR(A3871="",'Skill Matrix'!R247=""),"",'Skill Matrix'!R247)</f>
        <v/>
      </c>
      <c r="H3871">
        <f>IF(A3871="","",'Employees'!F21)</f>
        <v/>
      </c>
    </row>
    <row r="3872">
      <c r="A3872">
        <f>IF(AND('Skill Matrix'!A247&lt;&gt;"",'Skill Matrix'!S5&lt;&gt;""),'Skill Matrix'!A247,"")</f>
        <v/>
      </c>
      <c r="B3872">
        <f>IF(A3872="","",'Employees'!C21)</f>
        <v/>
      </c>
      <c r="C3872">
        <f>IF(A3872="","",'Employees'!D21)</f>
        <v/>
      </c>
      <c r="D3872">
        <f>IF(A3872="","",'Skill Matrix'!C247)</f>
        <v/>
      </c>
      <c r="E3872">
        <f>IF(A3872="","",'Skill Matrix'!D247)</f>
        <v/>
      </c>
      <c r="F3872">
        <f>IF(AND('Skill Matrix'!A247&lt;&gt;"",'Skill Matrix'!S5&lt;&gt;""),'Skill Matrix'!S5,"")</f>
        <v/>
      </c>
      <c r="G3872">
        <f>IF(OR(A3872="",'Skill Matrix'!S247=""),"",'Skill Matrix'!S247)</f>
        <v/>
      </c>
      <c r="H3872">
        <f>IF(A3872="","",'Employees'!F21)</f>
        <v/>
      </c>
    </row>
    <row r="3873">
      <c r="A3873">
        <f>IF(AND('Skill Matrix'!A247&lt;&gt;"",'Skill Matrix'!T5&lt;&gt;""),'Skill Matrix'!A247,"")</f>
        <v/>
      </c>
      <c r="B3873">
        <f>IF(A3873="","",'Employees'!C21)</f>
        <v/>
      </c>
      <c r="C3873">
        <f>IF(A3873="","",'Employees'!D21)</f>
        <v/>
      </c>
      <c r="D3873">
        <f>IF(A3873="","",'Skill Matrix'!C247)</f>
        <v/>
      </c>
      <c r="E3873">
        <f>IF(A3873="","",'Skill Matrix'!D247)</f>
        <v/>
      </c>
      <c r="F3873">
        <f>IF(AND('Skill Matrix'!A247&lt;&gt;"",'Skill Matrix'!T5&lt;&gt;""),'Skill Matrix'!T5,"")</f>
        <v/>
      </c>
      <c r="G3873">
        <f>IF(OR(A3873="",'Skill Matrix'!T247=""),"",'Skill Matrix'!T247)</f>
        <v/>
      </c>
      <c r="H3873">
        <f>IF(A3873="","",'Employees'!F21)</f>
        <v/>
      </c>
    </row>
    <row r="3874">
      <c r="A3874">
        <f>IF(AND('Skill Matrix'!A248&lt;&gt;"",'Skill Matrix'!E5&lt;&gt;""),'Skill Matrix'!A248,"")</f>
        <v/>
      </c>
      <c r="B3874">
        <f>IF(A3874="","",'Employees'!C21)</f>
        <v/>
      </c>
      <c r="C3874">
        <f>IF(A3874="","",'Employees'!D21)</f>
        <v/>
      </c>
      <c r="D3874">
        <f>IF(A3874="","",'Skill Matrix'!C248)</f>
        <v/>
      </c>
      <c r="E3874">
        <f>IF(A3874="","",'Skill Matrix'!D248)</f>
        <v/>
      </c>
      <c r="F3874">
        <f>IF(AND('Skill Matrix'!A248&lt;&gt;"",'Skill Matrix'!E5&lt;&gt;""),'Skill Matrix'!E5,"")</f>
        <v/>
      </c>
      <c r="G3874">
        <f>IF(OR(A3874="",'Skill Matrix'!E248=""),"",'Skill Matrix'!E248)</f>
        <v/>
      </c>
      <c r="H3874">
        <f>IF(A3874="","",'Employees'!F21)</f>
        <v/>
      </c>
    </row>
    <row r="3875">
      <c r="A3875">
        <f>IF(AND('Skill Matrix'!A248&lt;&gt;"",'Skill Matrix'!F5&lt;&gt;""),'Skill Matrix'!A248,"")</f>
        <v/>
      </c>
      <c r="B3875">
        <f>IF(A3875="","",'Employees'!C21)</f>
        <v/>
      </c>
      <c r="C3875">
        <f>IF(A3875="","",'Employees'!D21)</f>
        <v/>
      </c>
      <c r="D3875">
        <f>IF(A3875="","",'Skill Matrix'!C248)</f>
        <v/>
      </c>
      <c r="E3875">
        <f>IF(A3875="","",'Skill Matrix'!D248)</f>
        <v/>
      </c>
      <c r="F3875">
        <f>IF(AND('Skill Matrix'!A248&lt;&gt;"",'Skill Matrix'!F5&lt;&gt;""),'Skill Matrix'!F5,"")</f>
        <v/>
      </c>
      <c r="G3875">
        <f>IF(OR(A3875="",'Skill Matrix'!F248=""),"",'Skill Matrix'!F248)</f>
        <v/>
      </c>
      <c r="H3875">
        <f>IF(A3875="","",'Employees'!F21)</f>
        <v/>
      </c>
    </row>
    <row r="3876">
      <c r="A3876">
        <f>IF(AND('Skill Matrix'!A248&lt;&gt;"",'Skill Matrix'!G5&lt;&gt;""),'Skill Matrix'!A248,"")</f>
        <v/>
      </c>
      <c r="B3876">
        <f>IF(A3876="","",'Employees'!C21)</f>
        <v/>
      </c>
      <c r="C3876">
        <f>IF(A3876="","",'Employees'!D21)</f>
        <v/>
      </c>
      <c r="D3876">
        <f>IF(A3876="","",'Skill Matrix'!C248)</f>
        <v/>
      </c>
      <c r="E3876">
        <f>IF(A3876="","",'Skill Matrix'!D248)</f>
        <v/>
      </c>
      <c r="F3876">
        <f>IF(AND('Skill Matrix'!A248&lt;&gt;"",'Skill Matrix'!G5&lt;&gt;""),'Skill Matrix'!G5,"")</f>
        <v/>
      </c>
      <c r="G3876">
        <f>IF(OR(A3876="",'Skill Matrix'!G248=""),"",'Skill Matrix'!G248)</f>
        <v/>
      </c>
      <c r="H3876">
        <f>IF(A3876="","",'Employees'!F21)</f>
        <v/>
      </c>
    </row>
    <row r="3877">
      <c r="A3877">
        <f>IF(AND('Skill Matrix'!A248&lt;&gt;"",'Skill Matrix'!H5&lt;&gt;""),'Skill Matrix'!A248,"")</f>
        <v/>
      </c>
      <c r="B3877">
        <f>IF(A3877="","",'Employees'!C21)</f>
        <v/>
      </c>
      <c r="C3877">
        <f>IF(A3877="","",'Employees'!D21)</f>
        <v/>
      </c>
      <c r="D3877">
        <f>IF(A3877="","",'Skill Matrix'!C248)</f>
        <v/>
      </c>
      <c r="E3877">
        <f>IF(A3877="","",'Skill Matrix'!D248)</f>
        <v/>
      </c>
      <c r="F3877">
        <f>IF(AND('Skill Matrix'!A248&lt;&gt;"",'Skill Matrix'!H5&lt;&gt;""),'Skill Matrix'!H5,"")</f>
        <v/>
      </c>
      <c r="G3877">
        <f>IF(OR(A3877="",'Skill Matrix'!H248=""),"",'Skill Matrix'!H248)</f>
        <v/>
      </c>
      <c r="H3877">
        <f>IF(A3877="","",'Employees'!F21)</f>
        <v/>
      </c>
    </row>
    <row r="3878">
      <c r="A3878">
        <f>IF(AND('Skill Matrix'!A248&lt;&gt;"",'Skill Matrix'!I5&lt;&gt;""),'Skill Matrix'!A248,"")</f>
        <v/>
      </c>
      <c r="B3878">
        <f>IF(A3878="","",'Employees'!C21)</f>
        <v/>
      </c>
      <c r="C3878">
        <f>IF(A3878="","",'Employees'!D21)</f>
        <v/>
      </c>
      <c r="D3878">
        <f>IF(A3878="","",'Skill Matrix'!C248)</f>
        <v/>
      </c>
      <c r="E3878">
        <f>IF(A3878="","",'Skill Matrix'!D248)</f>
        <v/>
      </c>
      <c r="F3878">
        <f>IF(AND('Skill Matrix'!A248&lt;&gt;"",'Skill Matrix'!I5&lt;&gt;""),'Skill Matrix'!I5,"")</f>
        <v/>
      </c>
      <c r="G3878">
        <f>IF(OR(A3878="",'Skill Matrix'!I248=""),"",'Skill Matrix'!I248)</f>
        <v/>
      </c>
      <c r="H3878">
        <f>IF(A3878="","",'Employees'!F21)</f>
        <v/>
      </c>
    </row>
    <row r="3879">
      <c r="A3879">
        <f>IF(AND('Skill Matrix'!A248&lt;&gt;"",'Skill Matrix'!J5&lt;&gt;""),'Skill Matrix'!A248,"")</f>
        <v/>
      </c>
      <c r="B3879">
        <f>IF(A3879="","",'Employees'!C21)</f>
        <v/>
      </c>
      <c r="C3879">
        <f>IF(A3879="","",'Employees'!D21)</f>
        <v/>
      </c>
      <c r="D3879">
        <f>IF(A3879="","",'Skill Matrix'!C248)</f>
        <v/>
      </c>
      <c r="E3879">
        <f>IF(A3879="","",'Skill Matrix'!D248)</f>
        <v/>
      </c>
      <c r="F3879">
        <f>IF(AND('Skill Matrix'!A248&lt;&gt;"",'Skill Matrix'!J5&lt;&gt;""),'Skill Matrix'!J5,"")</f>
        <v/>
      </c>
      <c r="G3879">
        <f>IF(OR(A3879="",'Skill Matrix'!J248=""),"",'Skill Matrix'!J248)</f>
        <v/>
      </c>
      <c r="H3879">
        <f>IF(A3879="","",'Employees'!F21)</f>
        <v/>
      </c>
    </row>
    <row r="3880">
      <c r="A3880">
        <f>IF(AND('Skill Matrix'!A248&lt;&gt;"",'Skill Matrix'!K5&lt;&gt;""),'Skill Matrix'!A248,"")</f>
        <v/>
      </c>
      <c r="B3880">
        <f>IF(A3880="","",'Employees'!C21)</f>
        <v/>
      </c>
      <c r="C3880">
        <f>IF(A3880="","",'Employees'!D21)</f>
        <v/>
      </c>
      <c r="D3880">
        <f>IF(A3880="","",'Skill Matrix'!C248)</f>
        <v/>
      </c>
      <c r="E3880">
        <f>IF(A3880="","",'Skill Matrix'!D248)</f>
        <v/>
      </c>
      <c r="F3880">
        <f>IF(AND('Skill Matrix'!A248&lt;&gt;"",'Skill Matrix'!K5&lt;&gt;""),'Skill Matrix'!K5,"")</f>
        <v/>
      </c>
      <c r="G3880">
        <f>IF(OR(A3880="",'Skill Matrix'!K248=""),"",'Skill Matrix'!K248)</f>
        <v/>
      </c>
      <c r="H3880">
        <f>IF(A3880="","",'Employees'!F21)</f>
        <v/>
      </c>
    </row>
    <row r="3881">
      <c r="A3881">
        <f>IF(AND('Skill Matrix'!A248&lt;&gt;"",'Skill Matrix'!L5&lt;&gt;""),'Skill Matrix'!A248,"")</f>
        <v/>
      </c>
      <c r="B3881">
        <f>IF(A3881="","",'Employees'!C21)</f>
        <v/>
      </c>
      <c r="C3881">
        <f>IF(A3881="","",'Employees'!D21)</f>
        <v/>
      </c>
      <c r="D3881">
        <f>IF(A3881="","",'Skill Matrix'!C248)</f>
        <v/>
      </c>
      <c r="E3881">
        <f>IF(A3881="","",'Skill Matrix'!D248)</f>
        <v/>
      </c>
      <c r="F3881">
        <f>IF(AND('Skill Matrix'!A248&lt;&gt;"",'Skill Matrix'!L5&lt;&gt;""),'Skill Matrix'!L5,"")</f>
        <v/>
      </c>
      <c r="G3881">
        <f>IF(OR(A3881="",'Skill Matrix'!L248=""),"",'Skill Matrix'!L248)</f>
        <v/>
      </c>
      <c r="H3881">
        <f>IF(A3881="","",'Employees'!F21)</f>
        <v/>
      </c>
    </row>
    <row r="3882">
      <c r="A3882">
        <f>IF(AND('Skill Matrix'!A248&lt;&gt;"",'Skill Matrix'!M5&lt;&gt;""),'Skill Matrix'!A248,"")</f>
        <v/>
      </c>
      <c r="B3882">
        <f>IF(A3882="","",'Employees'!C21)</f>
        <v/>
      </c>
      <c r="C3882">
        <f>IF(A3882="","",'Employees'!D21)</f>
        <v/>
      </c>
      <c r="D3882">
        <f>IF(A3882="","",'Skill Matrix'!C248)</f>
        <v/>
      </c>
      <c r="E3882">
        <f>IF(A3882="","",'Skill Matrix'!D248)</f>
        <v/>
      </c>
      <c r="F3882">
        <f>IF(AND('Skill Matrix'!A248&lt;&gt;"",'Skill Matrix'!M5&lt;&gt;""),'Skill Matrix'!M5,"")</f>
        <v/>
      </c>
      <c r="G3882">
        <f>IF(OR(A3882="",'Skill Matrix'!M248=""),"",'Skill Matrix'!M248)</f>
        <v/>
      </c>
      <c r="H3882">
        <f>IF(A3882="","",'Employees'!F21)</f>
        <v/>
      </c>
    </row>
    <row r="3883">
      <c r="A3883">
        <f>IF(AND('Skill Matrix'!A248&lt;&gt;"",'Skill Matrix'!N5&lt;&gt;""),'Skill Matrix'!A248,"")</f>
        <v/>
      </c>
      <c r="B3883">
        <f>IF(A3883="","",'Employees'!C21)</f>
        <v/>
      </c>
      <c r="C3883">
        <f>IF(A3883="","",'Employees'!D21)</f>
        <v/>
      </c>
      <c r="D3883">
        <f>IF(A3883="","",'Skill Matrix'!C248)</f>
        <v/>
      </c>
      <c r="E3883">
        <f>IF(A3883="","",'Skill Matrix'!D248)</f>
        <v/>
      </c>
      <c r="F3883">
        <f>IF(AND('Skill Matrix'!A248&lt;&gt;"",'Skill Matrix'!N5&lt;&gt;""),'Skill Matrix'!N5,"")</f>
        <v/>
      </c>
      <c r="G3883">
        <f>IF(OR(A3883="",'Skill Matrix'!N248=""),"",'Skill Matrix'!N248)</f>
        <v/>
      </c>
      <c r="H3883">
        <f>IF(A3883="","",'Employees'!F21)</f>
        <v/>
      </c>
    </row>
    <row r="3884">
      <c r="A3884">
        <f>IF(AND('Skill Matrix'!A248&lt;&gt;"",'Skill Matrix'!O5&lt;&gt;""),'Skill Matrix'!A248,"")</f>
        <v/>
      </c>
      <c r="B3884">
        <f>IF(A3884="","",'Employees'!C21)</f>
        <v/>
      </c>
      <c r="C3884">
        <f>IF(A3884="","",'Employees'!D21)</f>
        <v/>
      </c>
      <c r="D3884">
        <f>IF(A3884="","",'Skill Matrix'!C248)</f>
        <v/>
      </c>
      <c r="E3884">
        <f>IF(A3884="","",'Skill Matrix'!D248)</f>
        <v/>
      </c>
      <c r="F3884">
        <f>IF(AND('Skill Matrix'!A248&lt;&gt;"",'Skill Matrix'!O5&lt;&gt;""),'Skill Matrix'!O5,"")</f>
        <v/>
      </c>
      <c r="G3884">
        <f>IF(OR(A3884="",'Skill Matrix'!O248=""),"",'Skill Matrix'!O248)</f>
        <v/>
      </c>
      <c r="H3884">
        <f>IF(A3884="","",'Employees'!F21)</f>
        <v/>
      </c>
    </row>
    <row r="3885">
      <c r="A3885">
        <f>IF(AND('Skill Matrix'!A248&lt;&gt;"",'Skill Matrix'!P5&lt;&gt;""),'Skill Matrix'!A248,"")</f>
        <v/>
      </c>
      <c r="B3885">
        <f>IF(A3885="","",'Employees'!C21)</f>
        <v/>
      </c>
      <c r="C3885">
        <f>IF(A3885="","",'Employees'!D21)</f>
        <v/>
      </c>
      <c r="D3885">
        <f>IF(A3885="","",'Skill Matrix'!C248)</f>
        <v/>
      </c>
      <c r="E3885">
        <f>IF(A3885="","",'Skill Matrix'!D248)</f>
        <v/>
      </c>
      <c r="F3885">
        <f>IF(AND('Skill Matrix'!A248&lt;&gt;"",'Skill Matrix'!P5&lt;&gt;""),'Skill Matrix'!P5,"")</f>
        <v/>
      </c>
      <c r="G3885">
        <f>IF(OR(A3885="",'Skill Matrix'!P248=""),"",'Skill Matrix'!P248)</f>
        <v/>
      </c>
      <c r="H3885">
        <f>IF(A3885="","",'Employees'!F21)</f>
        <v/>
      </c>
    </row>
    <row r="3886">
      <c r="A3886">
        <f>IF(AND('Skill Matrix'!A248&lt;&gt;"",'Skill Matrix'!Q5&lt;&gt;""),'Skill Matrix'!A248,"")</f>
        <v/>
      </c>
      <c r="B3886">
        <f>IF(A3886="","",'Employees'!C21)</f>
        <v/>
      </c>
      <c r="C3886">
        <f>IF(A3886="","",'Employees'!D21)</f>
        <v/>
      </c>
      <c r="D3886">
        <f>IF(A3886="","",'Skill Matrix'!C248)</f>
        <v/>
      </c>
      <c r="E3886">
        <f>IF(A3886="","",'Skill Matrix'!D248)</f>
        <v/>
      </c>
      <c r="F3886">
        <f>IF(AND('Skill Matrix'!A248&lt;&gt;"",'Skill Matrix'!Q5&lt;&gt;""),'Skill Matrix'!Q5,"")</f>
        <v/>
      </c>
      <c r="G3886">
        <f>IF(OR(A3886="",'Skill Matrix'!Q248=""),"",'Skill Matrix'!Q248)</f>
        <v/>
      </c>
      <c r="H3886">
        <f>IF(A3886="","",'Employees'!F21)</f>
        <v/>
      </c>
    </row>
    <row r="3887">
      <c r="A3887">
        <f>IF(AND('Skill Matrix'!A248&lt;&gt;"",'Skill Matrix'!R5&lt;&gt;""),'Skill Matrix'!A248,"")</f>
        <v/>
      </c>
      <c r="B3887">
        <f>IF(A3887="","",'Employees'!C21)</f>
        <v/>
      </c>
      <c r="C3887">
        <f>IF(A3887="","",'Employees'!D21)</f>
        <v/>
      </c>
      <c r="D3887">
        <f>IF(A3887="","",'Skill Matrix'!C248)</f>
        <v/>
      </c>
      <c r="E3887">
        <f>IF(A3887="","",'Skill Matrix'!D248)</f>
        <v/>
      </c>
      <c r="F3887">
        <f>IF(AND('Skill Matrix'!A248&lt;&gt;"",'Skill Matrix'!R5&lt;&gt;""),'Skill Matrix'!R5,"")</f>
        <v/>
      </c>
      <c r="G3887">
        <f>IF(OR(A3887="",'Skill Matrix'!R248=""),"",'Skill Matrix'!R248)</f>
        <v/>
      </c>
      <c r="H3887">
        <f>IF(A3887="","",'Employees'!F21)</f>
        <v/>
      </c>
    </row>
    <row r="3888">
      <c r="A3888">
        <f>IF(AND('Skill Matrix'!A248&lt;&gt;"",'Skill Matrix'!S5&lt;&gt;""),'Skill Matrix'!A248,"")</f>
        <v/>
      </c>
      <c r="B3888">
        <f>IF(A3888="","",'Employees'!C21)</f>
        <v/>
      </c>
      <c r="C3888">
        <f>IF(A3888="","",'Employees'!D21)</f>
        <v/>
      </c>
      <c r="D3888">
        <f>IF(A3888="","",'Skill Matrix'!C248)</f>
        <v/>
      </c>
      <c r="E3888">
        <f>IF(A3888="","",'Skill Matrix'!D248)</f>
        <v/>
      </c>
      <c r="F3888">
        <f>IF(AND('Skill Matrix'!A248&lt;&gt;"",'Skill Matrix'!S5&lt;&gt;""),'Skill Matrix'!S5,"")</f>
        <v/>
      </c>
      <c r="G3888">
        <f>IF(OR(A3888="",'Skill Matrix'!S248=""),"",'Skill Matrix'!S248)</f>
        <v/>
      </c>
      <c r="H3888">
        <f>IF(A3888="","",'Employees'!F21)</f>
        <v/>
      </c>
    </row>
    <row r="3889">
      <c r="A3889">
        <f>IF(AND('Skill Matrix'!A248&lt;&gt;"",'Skill Matrix'!T5&lt;&gt;""),'Skill Matrix'!A248,"")</f>
        <v/>
      </c>
      <c r="B3889">
        <f>IF(A3889="","",'Employees'!C21)</f>
        <v/>
      </c>
      <c r="C3889">
        <f>IF(A3889="","",'Employees'!D21)</f>
        <v/>
      </c>
      <c r="D3889">
        <f>IF(A3889="","",'Skill Matrix'!C248)</f>
        <v/>
      </c>
      <c r="E3889">
        <f>IF(A3889="","",'Skill Matrix'!D248)</f>
        <v/>
      </c>
      <c r="F3889">
        <f>IF(AND('Skill Matrix'!A248&lt;&gt;"",'Skill Matrix'!T5&lt;&gt;""),'Skill Matrix'!T5,"")</f>
        <v/>
      </c>
      <c r="G3889">
        <f>IF(OR(A3889="",'Skill Matrix'!T248=""),"",'Skill Matrix'!T248)</f>
        <v/>
      </c>
      <c r="H3889">
        <f>IF(A3889="","",'Employees'!F21)</f>
        <v/>
      </c>
    </row>
    <row r="3890">
      <c r="A3890">
        <f>IF(AND('Skill Matrix'!A249&lt;&gt;"",'Skill Matrix'!E5&lt;&gt;""),'Skill Matrix'!A249,"")</f>
        <v/>
      </c>
      <c r="B3890">
        <f>IF(A3890="","",'Employees'!C21)</f>
        <v/>
      </c>
      <c r="C3890">
        <f>IF(A3890="","",'Employees'!D21)</f>
        <v/>
      </c>
      <c r="D3890">
        <f>IF(A3890="","",'Skill Matrix'!C249)</f>
        <v/>
      </c>
      <c r="E3890">
        <f>IF(A3890="","",'Skill Matrix'!D249)</f>
        <v/>
      </c>
      <c r="F3890">
        <f>IF(AND('Skill Matrix'!A249&lt;&gt;"",'Skill Matrix'!E5&lt;&gt;""),'Skill Matrix'!E5,"")</f>
        <v/>
      </c>
      <c r="G3890">
        <f>IF(OR(A3890="",'Skill Matrix'!E249=""),"",'Skill Matrix'!E249)</f>
        <v/>
      </c>
      <c r="H3890">
        <f>IF(A3890="","",'Employees'!F21)</f>
        <v/>
      </c>
    </row>
    <row r="3891">
      <c r="A3891">
        <f>IF(AND('Skill Matrix'!A249&lt;&gt;"",'Skill Matrix'!F5&lt;&gt;""),'Skill Matrix'!A249,"")</f>
        <v/>
      </c>
      <c r="B3891">
        <f>IF(A3891="","",'Employees'!C21)</f>
        <v/>
      </c>
      <c r="C3891">
        <f>IF(A3891="","",'Employees'!D21)</f>
        <v/>
      </c>
      <c r="D3891">
        <f>IF(A3891="","",'Skill Matrix'!C249)</f>
        <v/>
      </c>
      <c r="E3891">
        <f>IF(A3891="","",'Skill Matrix'!D249)</f>
        <v/>
      </c>
      <c r="F3891">
        <f>IF(AND('Skill Matrix'!A249&lt;&gt;"",'Skill Matrix'!F5&lt;&gt;""),'Skill Matrix'!F5,"")</f>
        <v/>
      </c>
      <c r="G3891">
        <f>IF(OR(A3891="",'Skill Matrix'!F249=""),"",'Skill Matrix'!F249)</f>
        <v/>
      </c>
      <c r="H3891">
        <f>IF(A3891="","",'Employees'!F21)</f>
        <v/>
      </c>
    </row>
    <row r="3892">
      <c r="A3892">
        <f>IF(AND('Skill Matrix'!A249&lt;&gt;"",'Skill Matrix'!G5&lt;&gt;""),'Skill Matrix'!A249,"")</f>
        <v/>
      </c>
      <c r="B3892">
        <f>IF(A3892="","",'Employees'!C21)</f>
        <v/>
      </c>
      <c r="C3892">
        <f>IF(A3892="","",'Employees'!D21)</f>
        <v/>
      </c>
      <c r="D3892">
        <f>IF(A3892="","",'Skill Matrix'!C249)</f>
        <v/>
      </c>
      <c r="E3892">
        <f>IF(A3892="","",'Skill Matrix'!D249)</f>
        <v/>
      </c>
      <c r="F3892">
        <f>IF(AND('Skill Matrix'!A249&lt;&gt;"",'Skill Matrix'!G5&lt;&gt;""),'Skill Matrix'!G5,"")</f>
        <v/>
      </c>
      <c r="G3892">
        <f>IF(OR(A3892="",'Skill Matrix'!G249=""),"",'Skill Matrix'!G249)</f>
        <v/>
      </c>
      <c r="H3892">
        <f>IF(A3892="","",'Employees'!F21)</f>
        <v/>
      </c>
    </row>
    <row r="3893">
      <c r="A3893">
        <f>IF(AND('Skill Matrix'!A249&lt;&gt;"",'Skill Matrix'!H5&lt;&gt;""),'Skill Matrix'!A249,"")</f>
        <v/>
      </c>
      <c r="B3893">
        <f>IF(A3893="","",'Employees'!C21)</f>
        <v/>
      </c>
      <c r="C3893">
        <f>IF(A3893="","",'Employees'!D21)</f>
        <v/>
      </c>
      <c r="D3893">
        <f>IF(A3893="","",'Skill Matrix'!C249)</f>
        <v/>
      </c>
      <c r="E3893">
        <f>IF(A3893="","",'Skill Matrix'!D249)</f>
        <v/>
      </c>
      <c r="F3893">
        <f>IF(AND('Skill Matrix'!A249&lt;&gt;"",'Skill Matrix'!H5&lt;&gt;""),'Skill Matrix'!H5,"")</f>
        <v/>
      </c>
      <c r="G3893">
        <f>IF(OR(A3893="",'Skill Matrix'!H249=""),"",'Skill Matrix'!H249)</f>
        <v/>
      </c>
      <c r="H3893">
        <f>IF(A3893="","",'Employees'!F21)</f>
        <v/>
      </c>
    </row>
    <row r="3894">
      <c r="A3894">
        <f>IF(AND('Skill Matrix'!A249&lt;&gt;"",'Skill Matrix'!I5&lt;&gt;""),'Skill Matrix'!A249,"")</f>
        <v/>
      </c>
      <c r="B3894">
        <f>IF(A3894="","",'Employees'!C21)</f>
        <v/>
      </c>
      <c r="C3894">
        <f>IF(A3894="","",'Employees'!D21)</f>
        <v/>
      </c>
      <c r="D3894">
        <f>IF(A3894="","",'Skill Matrix'!C249)</f>
        <v/>
      </c>
      <c r="E3894">
        <f>IF(A3894="","",'Skill Matrix'!D249)</f>
        <v/>
      </c>
      <c r="F3894">
        <f>IF(AND('Skill Matrix'!A249&lt;&gt;"",'Skill Matrix'!I5&lt;&gt;""),'Skill Matrix'!I5,"")</f>
        <v/>
      </c>
      <c r="G3894">
        <f>IF(OR(A3894="",'Skill Matrix'!I249=""),"",'Skill Matrix'!I249)</f>
        <v/>
      </c>
      <c r="H3894">
        <f>IF(A3894="","",'Employees'!F21)</f>
        <v/>
      </c>
    </row>
    <row r="3895">
      <c r="A3895">
        <f>IF(AND('Skill Matrix'!A249&lt;&gt;"",'Skill Matrix'!J5&lt;&gt;""),'Skill Matrix'!A249,"")</f>
        <v/>
      </c>
      <c r="B3895">
        <f>IF(A3895="","",'Employees'!C21)</f>
        <v/>
      </c>
      <c r="C3895">
        <f>IF(A3895="","",'Employees'!D21)</f>
        <v/>
      </c>
      <c r="D3895">
        <f>IF(A3895="","",'Skill Matrix'!C249)</f>
        <v/>
      </c>
      <c r="E3895">
        <f>IF(A3895="","",'Skill Matrix'!D249)</f>
        <v/>
      </c>
      <c r="F3895">
        <f>IF(AND('Skill Matrix'!A249&lt;&gt;"",'Skill Matrix'!J5&lt;&gt;""),'Skill Matrix'!J5,"")</f>
        <v/>
      </c>
      <c r="G3895">
        <f>IF(OR(A3895="",'Skill Matrix'!J249=""),"",'Skill Matrix'!J249)</f>
        <v/>
      </c>
      <c r="H3895">
        <f>IF(A3895="","",'Employees'!F21)</f>
        <v/>
      </c>
    </row>
    <row r="3896">
      <c r="A3896">
        <f>IF(AND('Skill Matrix'!A249&lt;&gt;"",'Skill Matrix'!K5&lt;&gt;""),'Skill Matrix'!A249,"")</f>
        <v/>
      </c>
      <c r="B3896">
        <f>IF(A3896="","",'Employees'!C21)</f>
        <v/>
      </c>
      <c r="C3896">
        <f>IF(A3896="","",'Employees'!D21)</f>
        <v/>
      </c>
      <c r="D3896">
        <f>IF(A3896="","",'Skill Matrix'!C249)</f>
        <v/>
      </c>
      <c r="E3896">
        <f>IF(A3896="","",'Skill Matrix'!D249)</f>
        <v/>
      </c>
      <c r="F3896">
        <f>IF(AND('Skill Matrix'!A249&lt;&gt;"",'Skill Matrix'!K5&lt;&gt;""),'Skill Matrix'!K5,"")</f>
        <v/>
      </c>
      <c r="G3896">
        <f>IF(OR(A3896="",'Skill Matrix'!K249=""),"",'Skill Matrix'!K249)</f>
        <v/>
      </c>
      <c r="H3896">
        <f>IF(A3896="","",'Employees'!F21)</f>
        <v/>
      </c>
    </row>
    <row r="3897">
      <c r="A3897">
        <f>IF(AND('Skill Matrix'!A249&lt;&gt;"",'Skill Matrix'!L5&lt;&gt;""),'Skill Matrix'!A249,"")</f>
        <v/>
      </c>
      <c r="B3897">
        <f>IF(A3897="","",'Employees'!C21)</f>
        <v/>
      </c>
      <c r="C3897">
        <f>IF(A3897="","",'Employees'!D21)</f>
        <v/>
      </c>
      <c r="D3897">
        <f>IF(A3897="","",'Skill Matrix'!C249)</f>
        <v/>
      </c>
      <c r="E3897">
        <f>IF(A3897="","",'Skill Matrix'!D249)</f>
        <v/>
      </c>
      <c r="F3897">
        <f>IF(AND('Skill Matrix'!A249&lt;&gt;"",'Skill Matrix'!L5&lt;&gt;""),'Skill Matrix'!L5,"")</f>
        <v/>
      </c>
      <c r="G3897">
        <f>IF(OR(A3897="",'Skill Matrix'!L249=""),"",'Skill Matrix'!L249)</f>
        <v/>
      </c>
      <c r="H3897">
        <f>IF(A3897="","",'Employees'!F21)</f>
        <v/>
      </c>
    </row>
    <row r="3898">
      <c r="A3898">
        <f>IF(AND('Skill Matrix'!A249&lt;&gt;"",'Skill Matrix'!M5&lt;&gt;""),'Skill Matrix'!A249,"")</f>
        <v/>
      </c>
      <c r="B3898">
        <f>IF(A3898="","",'Employees'!C21)</f>
        <v/>
      </c>
      <c r="C3898">
        <f>IF(A3898="","",'Employees'!D21)</f>
        <v/>
      </c>
      <c r="D3898">
        <f>IF(A3898="","",'Skill Matrix'!C249)</f>
        <v/>
      </c>
      <c r="E3898">
        <f>IF(A3898="","",'Skill Matrix'!D249)</f>
        <v/>
      </c>
      <c r="F3898">
        <f>IF(AND('Skill Matrix'!A249&lt;&gt;"",'Skill Matrix'!M5&lt;&gt;""),'Skill Matrix'!M5,"")</f>
        <v/>
      </c>
      <c r="G3898">
        <f>IF(OR(A3898="",'Skill Matrix'!M249=""),"",'Skill Matrix'!M249)</f>
        <v/>
      </c>
      <c r="H3898">
        <f>IF(A3898="","",'Employees'!F21)</f>
        <v/>
      </c>
    </row>
    <row r="3899">
      <c r="A3899">
        <f>IF(AND('Skill Matrix'!A249&lt;&gt;"",'Skill Matrix'!N5&lt;&gt;""),'Skill Matrix'!A249,"")</f>
        <v/>
      </c>
      <c r="B3899">
        <f>IF(A3899="","",'Employees'!C21)</f>
        <v/>
      </c>
      <c r="C3899">
        <f>IF(A3899="","",'Employees'!D21)</f>
        <v/>
      </c>
      <c r="D3899">
        <f>IF(A3899="","",'Skill Matrix'!C249)</f>
        <v/>
      </c>
      <c r="E3899">
        <f>IF(A3899="","",'Skill Matrix'!D249)</f>
        <v/>
      </c>
      <c r="F3899">
        <f>IF(AND('Skill Matrix'!A249&lt;&gt;"",'Skill Matrix'!N5&lt;&gt;""),'Skill Matrix'!N5,"")</f>
        <v/>
      </c>
      <c r="G3899">
        <f>IF(OR(A3899="",'Skill Matrix'!N249=""),"",'Skill Matrix'!N249)</f>
        <v/>
      </c>
      <c r="H3899">
        <f>IF(A3899="","",'Employees'!F21)</f>
        <v/>
      </c>
    </row>
    <row r="3900">
      <c r="A3900">
        <f>IF(AND('Skill Matrix'!A249&lt;&gt;"",'Skill Matrix'!O5&lt;&gt;""),'Skill Matrix'!A249,"")</f>
        <v/>
      </c>
      <c r="B3900">
        <f>IF(A3900="","",'Employees'!C21)</f>
        <v/>
      </c>
      <c r="C3900">
        <f>IF(A3900="","",'Employees'!D21)</f>
        <v/>
      </c>
      <c r="D3900">
        <f>IF(A3900="","",'Skill Matrix'!C249)</f>
        <v/>
      </c>
      <c r="E3900">
        <f>IF(A3900="","",'Skill Matrix'!D249)</f>
        <v/>
      </c>
      <c r="F3900">
        <f>IF(AND('Skill Matrix'!A249&lt;&gt;"",'Skill Matrix'!O5&lt;&gt;""),'Skill Matrix'!O5,"")</f>
        <v/>
      </c>
      <c r="G3900">
        <f>IF(OR(A3900="",'Skill Matrix'!O249=""),"",'Skill Matrix'!O249)</f>
        <v/>
      </c>
      <c r="H3900">
        <f>IF(A3900="","",'Employees'!F21)</f>
        <v/>
      </c>
    </row>
    <row r="3901">
      <c r="A3901">
        <f>IF(AND('Skill Matrix'!A249&lt;&gt;"",'Skill Matrix'!P5&lt;&gt;""),'Skill Matrix'!A249,"")</f>
        <v/>
      </c>
      <c r="B3901">
        <f>IF(A3901="","",'Employees'!C21)</f>
        <v/>
      </c>
      <c r="C3901">
        <f>IF(A3901="","",'Employees'!D21)</f>
        <v/>
      </c>
      <c r="D3901">
        <f>IF(A3901="","",'Skill Matrix'!C249)</f>
        <v/>
      </c>
      <c r="E3901">
        <f>IF(A3901="","",'Skill Matrix'!D249)</f>
        <v/>
      </c>
      <c r="F3901">
        <f>IF(AND('Skill Matrix'!A249&lt;&gt;"",'Skill Matrix'!P5&lt;&gt;""),'Skill Matrix'!P5,"")</f>
        <v/>
      </c>
      <c r="G3901">
        <f>IF(OR(A3901="",'Skill Matrix'!P249=""),"",'Skill Matrix'!P249)</f>
        <v/>
      </c>
      <c r="H3901">
        <f>IF(A3901="","",'Employees'!F21)</f>
        <v/>
      </c>
    </row>
    <row r="3902">
      <c r="A3902">
        <f>IF(AND('Skill Matrix'!A249&lt;&gt;"",'Skill Matrix'!Q5&lt;&gt;""),'Skill Matrix'!A249,"")</f>
        <v/>
      </c>
      <c r="B3902">
        <f>IF(A3902="","",'Employees'!C21)</f>
        <v/>
      </c>
      <c r="C3902">
        <f>IF(A3902="","",'Employees'!D21)</f>
        <v/>
      </c>
      <c r="D3902">
        <f>IF(A3902="","",'Skill Matrix'!C249)</f>
        <v/>
      </c>
      <c r="E3902">
        <f>IF(A3902="","",'Skill Matrix'!D249)</f>
        <v/>
      </c>
      <c r="F3902">
        <f>IF(AND('Skill Matrix'!A249&lt;&gt;"",'Skill Matrix'!Q5&lt;&gt;""),'Skill Matrix'!Q5,"")</f>
        <v/>
      </c>
      <c r="G3902">
        <f>IF(OR(A3902="",'Skill Matrix'!Q249=""),"",'Skill Matrix'!Q249)</f>
        <v/>
      </c>
      <c r="H3902">
        <f>IF(A3902="","",'Employees'!F21)</f>
        <v/>
      </c>
    </row>
    <row r="3903">
      <c r="A3903">
        <f>IF(AND('Skill Matrix'!A249&lt;&gt;"",'Skill Matrix'!R5&lt;&gt;""),'Skill Matrix'!A249,"")</f>
        <v/>
      </c>
      <c r="B3903">
        <f>IF(A3903="","",'Employees'!C21)</f>
        <v/>
      </c>
      <c r="C3903">
        <f>IF(A3903="","",'Employees'!D21)</f>
        <v/>
      </c>
      <c r="D3903">
        <f>IF(A3903="","",'Skill Matrix'!C249)</f>
        <v/>
      </c>
      <c r="E3903">
        <f>IF(A3903="","",'Skill Matrix'!D249)</f>
        <v/>
      </c>
      <c r="F3903">
        <f>IF(AND('Skill Matrix'!A249&lt;&gt;"",'Skill Matrix'!R5&lt;&gt;""),'Skill Matrix'!R5,"")</f>
        <v/>
      </c>
      <c r="G3903">
        <f>IF(OR(A3903="",'Skill Matrix'!R249=""),"",'Skill Matrix'!R249)</f>
        <v/>
      </c>
      <c r="H3903">
        <f>IF(A3903="","",'Employees'!F21)</f>
        <v/>
      </c>
    </row>
    <row r="3904">
      <c r="A3904">
        <f>IF(AND('Skill Matrix'!A249&lt;&gt;"",'Skill Matrix'!S5&lt;&gt;""),'Skill Matrix'!A249,"")</f>
        <v/>
      </c>
      <c r="B3904">
        <f>IF(A3904="","",'Employees'!C21)</f>
        <v/>
      </c>
      <c r="C3904">
        <f>IF(A3904="","",'Employees'!D21)</f>
        <v/>
      </c>
      <c r="D3904">
        <f>IF(A3904="","",'Skill Matrix'!C249)</f>
        <v/>
      </c>
      <c r="E3904">
        <f>IF(A3904="","",'Skill Matrix'!D249)</f>
        <v/>
      </c>
      <c r="F3904">
        <f>IF(AND('Skill Matrix'!A249&lt;&gt;"",'Skill Matrix'!S5&lt;&gt;""),'Skill Matrix'!S5,"")</f>
        <v/>
      </c>
      <c r="G3904">
        <f>IF(OR(A3904="",'Skill Matrix'!S249=""),"",'Skill Matrix'!S249)</f>
        <v/>
      </c>
      <c r="H3904">
        <f>IF(A3904="","",'Employees'!F21)</f>
        <v/>
      </c>
    </row>
    <row r="3905">
      <c r="A3905">
        <f>IF(AND('Skill Matrix'!A249&lt;&gt;"",'Skill Matrix'!T5&lt;&gt;""),'Skill Matrix'!A249,"")</f>
        <v/>
      </c>
      <c r="B3905">
        <f>IF(A3905="","",'Employees'!C21)</f>
        <v/>
      </c>
      <c r="C3905">
        <f>IF(A3905="","",'Employees'!D21)</f>
        <v/>
      </c>
      <c r="D3905">
        <f>IF(A3905="","",'Skill Matrix'!C249)</f>
        <v/>
      </c>
      <c r="E3905">
        <f>IF(A3905="","",'Skill Matrix'!D249)</f>
        <v/>
      </c>
      <c r="F3905">
        <f>IF(AND('Skill Matrix'!A249&lt;&gt;"",'Skill Matrix'!T5&lt;&gt;""),'Skill Matrix'!T5,"")</f>
        <v/>
      </c>
      <c r="G3905">
        <f>IF(OR(A3905="",'Skill Matrix'!T249=""),"",'Skill Matrix'!T249)</f>
        <v/>
      </c>
      <c r="H3905">
        <f>IF(A3905="","",'Employees'!F21)</f>
        <v/>
      </c>
    </row>
    <row r="3906">
      <c r="A3906">
        <f>IF(AND('Skill Matrix'!A250&lt;&gt;"",'Skill Matrix'!E5&lt;&gt;""),'Skill Matrix'!A250,"")</f>
        <v/>
      </c>
      <c r="B3906">
        <f>IF(A3906="","",'Employees'!C21)</f>
        <v/>
      </c>
      <c r="C3906">
        <f>IF(A3906="","",'Employees'!D21)</f>
        <v/>
      </c>
      <c r="D3906">
        <f>IF(A3906="","",'Skill Matrix'!C250)</f>
        <v/>
      </c>
      <c r="E3906">
        <f>IF(A3906="","",'Skill Matrix'!D250)</f>
        <v/>
      </c>
      <c r="F3906">
        <f>IF(AND('Skill Matrix'!A250&lt;&gt;"",'Skill Matrix'!E5&lt;&gt;""),'Skill Matrix'!E5,"")</f>
        <v/>
      </c>
      <c r="G3906">
        <f>IF(OR(A3906="",'Skill Matrix'!E250=""),"",'Skill Matrix'!E250)</f>
        <v/>
      </c>
      <c r="H3906">
        <f>IF(A3906="","",'Employees'!F21)</f>
        <v/>
      </c>
    </row>
    <row r="3907">
      <c r="A3907">
        <f>IF(AND('Skill Matrix'!A250&lt;&gt;"",'Skill Matrix'!F5&lt;&gt;""),'Skill Matrix'!A250,"")</f>
        <v/>
      </c>
      <c r="B3907">
        <f>IF(A3907="","",'Employees'!C21)</f>
        <v/>
      </c>
      <c r="C3907">
        <f>IF(A3907="","",'Employees'!D21)</f>
        <v/>
      </c>
      <c r="D3907">
        <f>IF(A3907="","",'Skill Matrix'!C250)</f>
        <v/>
      </c>
      <c r="E3907">
        <f>IF(A3907="","",'Skill Matrix'!D250)</f>
        <v/>
      </c>
      <c r="F3907">
        <f>IF(AND('Skill Matrix'!A250&lt;&gt;"",'Skill Matrix'!F5&lt;&gt;""),'Skill Matrix'!F5,"")</f>
        <v/>
      </c>
      <c r="G3907">
        <f>IF(OR(A3907="",'Skill Matrix'!F250=""),"",'Skill Matrix'!F250)</f>
        <v/>
      </c>
      <c r="H3907">
        <f>IF(A3907="","",'Employees'!F21)</f>
        <v/>
      </c>
    </row>
    <row r="3908">
      <c r="A3908">
        <f>IF(AND('Skill Matrix'!A250&lt;&gt;"",'Skill Matrix'!G5&lt;&gt;""),'Skill Matrix'!A250,"")</f>
        <v/>
      </c>
      <c r="B3908">
        <f>IF(A3908="","",'Employees'!C21)</f>
        <v/>
      </c>
      <c r="C3908">
        <f>IF(A3908="","",'Employees'!D21)</f>
        <v/>
      </c>
      <c r="D3908">
        <f>IF(A3908="","",'Skill Matrix'!C250)</f>
        <v/>
      </c>
      <c r="E3908">
        <f>IF(A3908="","",'Skill Matrix'!D250)</f>
        <v/>
      </c>
      <c r="F3908">
        <f>IF(AND('Skill Matrix'!A250&lt;&gt;"",'Skill Matrix'!G5&lt;&gt;""),'Skill Matrix'!G5,"")</f>
        <v/>
      </c>
      <c r="G3908">
        <f>IF(OR(A3908="",'Skill Matrix'!G250=""),"",'Skill Matrix'!G250)</f>
        <v/>
      </c>
      <c r="H3908">
        <f>IF(A3908="","",'Employees'!F21)</f>
        <v/>
      </c>
    </row>
    <row r="3909">
      <c r="A3909">
        <f>IF(AND('Skill Matrix'!A250&lt;&gt;"",'Skill Matrix'!H5&lt;&gt;""),'Skill Matrix'!A250,"")</f>
        <v/>
      </c>
      <c r="B3909">
        <f>IF(A3909="","",'Employees'!C21)</f>
        <v/>
      </c>
      <c r="C3909">
        <f>IF(A3909="","",'Employees'!D21)</f>
        <v/>
      </c>
      <c r="D3909">
        <f>IF(A3909="","",'Skill Matrix'!C250)</f>
        <v/>
      </c>
      <c r="E3909">
        <f>IF(A3909="","",'Skill Matrix'!D250)</f>
        <v/>
      </c>
      <c r="F3909">
        <f>IF(AND('Skill Matrix'!A250&lt;&gt;"",'Skill Matrix'!H5&lt;&gt;""),'Skill Matrix'!H5,"")</f>
        <v/>
      </c>
      <c r="G3909">
        <f>IF(OR(A3909="",'Skill Matrix'!H250=""),"",'Skill Matrix'!H250)</f>
        <v/>
      </c>
      <c r="H3909">
        <f>IF(A3909="","",'Employees'!F21)</f>
        <v/>
      </c>
    </row>
    <row r="3910">
      <c r="A3910">
        <f>IF(AND('Skill Matrix'!A250&lt;&gt;"",'Skill Matrix'!I5&lt;&gt;""),'Skill Matrix'!A250,"")</f>
        <v/>
      </c>
      <c r="B3910">
        <f>IF(A3910="","",'Employees'!C21)</f>
        <v/>
      </c>
      <c r="C3910">
        <f>IF(A3910="","",'Employees'!D21)</f>
        <v/>
      </c>
      <c r="D3910">
        <f>IF(A3910="","",'Skill Matrix'!C250)</f>
        <v/>
      </c>
      <c r="E3910">
        <f>IF(A3910="","",'Skill Matrix'!D250)</f>
        <v/>
      </c>
      <c r="F3910">
        <f>IF(AND('Skill Matrix'!A250&lt;&gt;"",'Skill Matrix'!I5&lt;&gt;""),'Skill Matrix'!I5,"")</f>
        <v/>
      </c>
      <c r="G3910">
        <f>IF(OR(A3910="",'Skill Matrix'!I250=""),"",'Skill Matrix'!I250)</f>
        <v/>
      </c>
      <c r="H3910">
        <f>IF(A3910="","",'Employees'!F21)</f>
        <v/>
      </c>
    </row>
    <row r="3911">
      <c r="A3911">
        <f>IF(AND('Skill Matrix'!A250&lt;&gt;"",'Skill Matrix'!J5&lt;&gt;""),'Skill Matrix'!A250,"")</f>
        <v/>
      </c>
      <c r="B3911">
        <f>IF(A3911="","",'Employees'!C21)</f>
        <v/>
      </c>
      <c r="C3911">
        <f>IF(A3911="","",'Employees'!D21)</f>
        <v/>
      </c>
      <c r="D3911">
        <f>IF(A3911="","",'Skill Matrix'!C250)</f>
        <v/>
      </c>
      <c r="E3911">
        <f>IF(A3911="","",'Skill Matrix'!D250)</f>
        <v/>
      </c>
      <c r="F3911">
        <f>IF(AND('Skill Matrix'!A250&lt;&gt;"",'Skill Matrix'!J5&lt;&gt;""),'Skill Matrix'!J5,"")</f>
        <v/>
      </c>
      <c r="G3911">
        <f>IF(OR(A3911="",'Skill Matrix'!J250=""),"",'Skill Matrix'!J250)</f>
        <v/>
      </c>
      <c r="H3911">
        <f>IF(A3911="","",'Employees'!F21)</f>
        <v/>
      </c>
    </row>
    <row r="3912">
      <c r="A3912">
        <f>IF(AND('Skill Matrix'!A250&lt;&gt;"",'Skill Matrix'!K5&lt;&gt;""),'Skill Matrix'!A250,"")</f>
        <v/>
      </c>
      <c r="B3912">
        <f>IF(A3912="","",'Employees'!C21)</f>
        <v/>
      </c>
      <c r="C3912">
        <f>IF(A3912="","",'Employees'!D21)</f>
        <v/>
      </c>
      <c r="D3912">
        <f>IF(A3912="","",'Skill Matrix'!C250)</f>
        <v/>
      </c>
      <c r="E3912">
        <f>IF(A3912="","",'Skill Matrix'!D250)</f>
        <v/>
      </c>
      <c r="F3912">
        <f>IF(AND('Skill Matrix'!A250&lt;&gt;"",'Skill Matrix'!K5&lt;&gt;""),'Skill Matrix'!K5,"")</f>
        <v/>
      </c>
      <c r="G3912">
        <f>IF(OR(A3912="",'Skill Matrix'!K250=""),"",'Skill Matrix'!K250)</f>
        <v/>
      </c>
      <c r="H3912">
        <f>IF(A3912="","",'Employees'!F21)</f>
        <v/>
      </c>
    </row>
    <row r="3913">
      <c r="A3913">
        <f>IF(AND('Skill Matrix'!A250&lt;&gt;"",'Skill Matrix'!L5&lt;&gt;""),'Skill Matrix'!A250,"")</f>
        <v/>
      </c>
      <c r="B3913">
        <f>IF(A3913="","",'Employees'!C21)</f>
        <v/>
      </c>
      <c r="C3913">
        <f>IF(A3913="","",'Employees'!D21)</f>
        <v/>
      </c>
      <c r="D3913">
        <f>IF(A3913="","",'Skill Matrix'!C250)</f>
        <v/>
      </c>
      <c r="E3913">
        <f>IF(A3913="","",'Skill Matrix'!D250)</f>
        <v/>
      </c>
      <c r="F3913">
        <f>IF(AND('Skill Matrix'!A250&lt;&gt;"",'Skill Matrix'!L5&lt;&gt;""),'Skill Matrix'!L5,"")</f>
        <v/>
      </c>
      <c r="G3913">
        <f>IF(OR(A3913="",'Skill Matrix'!L250=""),"",'Skill Matrix'!L250)</f>
        <v/>
      </c>
      <c r="H3913">
        <f>IF(A3913="","",'Employees'!F21)</f>
        <v/>
      </c>
    </row>
    <row r="3914">
      <c r="A3914">
        <f>IF(AND('Skill Matrix'!A250&lt;&gt;"",'Skill Matrix'!M5&lt;&gt;""),'Skill Matrix'!A250,"")</f>
        <v/>
      </c>
      <c r="B3914">
        <f>IF(A3914="","",'Employees'!C21)</f>
        <v/>
      </c>
      <c r="C3914">
        <f>IF(A3914="","",'Employees'!D21)</f>
        <v/>
      </c>
      <c r="D3914">
        <f>IF(A3914="","",'Skill Matrix'!C250)</f>
        <v/>
      </c>
      <c r="E3914">
        <f>IF(A3914="","",'Skill Matrix'!D250)</f>
        <v/>
      </c>
      <c r="F3914">
        <f>IF(AND('Skill Matrix'!A250&lt;&gt;"",'Skill Matrix'!M5&lt;&gt;""),'Skill Matrix'!M5,"")</f>
        <v/>
      </c>
      <c r="G3914">
        <f>IF(OR(A3914="",'Skill Matrix'!M250=""),"",'Skill Matrix'!M250)</f>
        <v/>
      </c>
      <c r="H3914">
        <f>IF(A3914="","",'Employees'!F21)</f>
        <v/>
      </c>
    </row>
    <row r="3915">
      <c r="A3915">
        <f>IF(AND('Skill Matrix'!A250&lt;&gt;"",'Skill Matrix'!N5&lt;&gt;""),'Skill Matrix'!A250,"")</f>
        <v/>
      </c>
      <c r="B3915">
        <f>IF(A3915="","",'Employees'!C21)</f>
        <v/>
      </c>
      <c r="C3915">
        <f>IF(A3915="","",'Employees'!D21)</f>
        <v/>
      </c>
      <c r="D3915">
        <f>IF(A3915="","",'Skill Matrix'!C250)</f>
        <v/>
      </c>
      <c r="E3915">
        <f>IF(A3915="","",'Skill Matrix'!D250)</f>
        <v/>
      </c>
      <c r="F3915">
        <f>IF(AND('Skill Matrix'!A250&lt;&gt;"",'Skill Matrix'!N5&lt;&gt;""),'Skill Matrix'!N5,"")</f>
        <v/>
      </c>
      <c r="G3915">
        <f>IF(OR(A3915="",'Skill Matrix'!N250=""),"",'Skill Matrix'!N250)</f>
        <v/>
      </c>
      <c r="H3915">
        <f>IF(A3915="","",'Employees'!F21)</f>
        <v/>
      </c>
    </row>
    <row r="3916">
      <c r="A3916">
        <f>IF(AND('Skill Matrix'!A250&lt;&gt;"",'Skill Matrix'!O5&lt;&gt;""),'Skill Matrix'!A250,"")</f>
        <v/>
      </c>
      <c r="B3916">
        <f>IF(A3916="","",'Employees'!C21)</f>
        <v/>
      </c>
      <c r="C3916">
        <f>IF(A3916="","",'Employees'!D21)</f>
        <v/>
      </c>
      <c r="D3916">
        <f>IF(A3916="","",'Skill Matrix'!C250)</f>
        <v/>
      </c>
      <c r="E3916">
        <f>IF(A3916="","",'Skill Matrix'!D250)</f>
        <v/>
      </c>
      <c r="F3916">
        <f>IF(AND('Skill Matrix'!A250&lt;&gt;"",'Skill Matrix'!O5&lt;&gt;""),'Skill Matrix'!O5,"")</f>
        <v/>
      </c>
      <c r="G3916">
        <f>IF(OR(A3916="",'Skill Matrix'!O250=""),"",'Skill Matrix'!O250)</f>
        <v/>
      </c>
      <c r="H3916">
        <f>IF(A3916="","",'Employees'!F21)</f>
        <v/>
      </c>
    </row>
    <row r="3917">
      <c r="A3917">
        <f>IF(AND('Skill Matrix'!A250&lt;&gt;"",'Skill Matrix'!P5&lt;&gt;""),'Skill Matrix'!A250,"")</f>
        <v/>
      </c>
      <c r="B3917">
        <f>IF(A3917="","",'Employees'!C21)</f>
        <v/>
      </c>
      <c r="C3917">
        <f>IF(A3917="","",'Employees'!D21)</f>
        <v/>
      </c>
      <c r="D3917">
        <f>IF(A3917="","",'Skill Matrix'!C250)</f>
        <v/>
      </c>
      <c r="E3917">
        <f>IF(A3917="","",'Skill Matrix'!D250)</f>
        <v/>
      </c>
      <c r="F3917">
        <f>IF(AND('Skill Matrix'!A250&lt;&gt;"",'Skill Matrix'!P5&lt;&gt;""),'Skill Matrix'!P5,"")</f>
        <v/>
      </c>
      <c r="G3917">
        <f>IF(OR(A3917="",'Skill Matrix'!P250=""),"",'Skill Matrix'!P250)</f>
        <v/>
      </c>
      <c r="H3917">
        <f>IF(A3917="","",'Employees'!F21)</f>
        <v/>
      </c>
    </row>
    <row r="3918">
      <c r="A3918">
        <f>IF(AND('Skill Matrix'!A250&lt;&gt;"",'Skill Matrix'!Q5&lt;&gt;""),'Skill Matrix'!A250,"")</f>
        <v/>
      </c>
      <c r="B3918">
        <f>IF(A3918="","",'Employees'!C21)</f>
        <v/>
      </c>
      <c r="C3918">
        <f>IF(A3918="","",'Employees'!D21)</f>
        <v/>
      </c>
      <c r="D3918">
        <f>IF(A3918="","",'Skill Matrix'!C250)</f>
        <v/>
      </c>
      <c r="E3918">
        <f>IF(A3918="","",'Skill Matrix'!D250)</f>
        <v/>
      </c>
      <c r="F3918">
        <f>IF(AND('Skill Matrix'!A250&lt;&gt;"",'Skill Matrix'!Q5&lt;&gt;""),'Skill Matrix'!Q5,"")</f>
        <v/>
      </c>
      <c r="G3918">
        <f>IF(OR(A3918="",'Skill Matrix'!Q250=""),"",'Skill Matrix'!Q250)</f>
        <v/>
      </c>
      <c r="H3918">
        <f>IF(A3918="","",'Employees'!F21)</f>
        <v/>
      </c>
    </row>
    <row r="3919">
      <c r="A3919">
        <f>IF(AND('Skill Matrix'!A250&lt;&gt;"",'Skill Matrix'!R5&lt;&gt;""),'Skill Matrix'!A250,"")</f>
        <v/>
      </c>
      <c r="B3919">
        <f>IF(A3919="","",'Employees'!C21)</f>
        <v/>
      </c>
      <c r="C3919">
        <f>IF(A3919="","",'Employees'!D21)</f>
        <v/>
      </c>
      <c r="D3919">
        <f>IF(A3919="","",'Skill Matrix'!C250)</f>
        <v/>
      </c>
      <c r="E3919">
        <f>IF(A3919="","",'Skill Matrix'!D250)</f>
        <v/>
      </c>
      <c r="F3919">
        <f>IF(AND('Skill Matrix'!A250&lt;&gt;"",'Skill Matrix'!R5&lt;&gt;""),'Skill Matrix'!R5,"")</f>
        <v/>
      </c>
      <c r="G3919">
        <f>IF(OR(A3919="",'Skill Matrix'!R250=""),"",'Skill Matrix'!R250)</f>
        <v/>
      </c>
      <c r="H3919">
        <f>IF(A3919="","",'Employees'!F21)</f>
        <v/>
      </c>
    </row>
    <row r="3920">
      <c r="A3920">
        <f>IF(AND('Skill Matrix'!A250&lt;&gt;"",'Skill Matrix'!S5&lt;&gt;""),'Skill Matrix'!A250,"")</f>
        <v/>
      </c>
      <c r="B3920">
        <f>IF(A3920="","",'Employees'!C21)</f>
        <v/>
      </c>
      <c r="C3920">
        <f>IF(A3920="","",'Employees'!D21)</f>
        <v/>
      </c>
      <c r="D3920">
        <f>IF(A3920="","",'Skill Matrix'!C250)</f>
        <v/>
      </c>
      <c r="E3920">
        <f>IF(A3920="","",'Skill Matrix'!D250)</f>
        <v/>
      </c>
      <c r="F3920">
        <f>IF(AND('Skill Matrix'!A250&lt;&gt;"",'Skill Matrix'!S5&lt;&gt;""),'Skill Matrix'!S5,"")</f>
        <v/>
      </c>
      <c r="G3920">
        <f>IF(OR(A3920="",'Skill Matrix'!S250=""),"",'Skill Matrix'!S250)</f>
        <v/>
      </c>
      <c r="H3920">
        <f>IF(A3920="","",'Employees'!F21)</f>
        <v/>
      </c>
    </row>
    <row r="3921">
      <c r="A3921">
        <f>IF(AND('Skill Matrix'!A250&lt;&gt;"",'Skill Matrix'!T5&lt;&gt;""),'Skill Matrix'!A250,"")</f>
        <v/>
      </c>
      <c r="B3921">
        <f>IF(A3921="","",'Employees'!C21)</f>
        <v/>
      </c>
      <c r="C3921">
        <f>IF(A3921="","",'Employees'!D21)</f>
        <v/>
      </c>
      <c r="D3921">
        <f>IF(A3921="","",'Skill Matrix'!C250)</f>
        <v/>
      </c>
      <c r="E3921">
        <f>IF(A3921="","",'Skill Matrix'!D250)</f>
        <v/>
      </c>
      <c r="F3921">
        <f>IF(AND('Skill Matrix'!A250&lt;&gt;"",'Skill Matrix'!T5&lt;&gt;""),'Skill Matrix'!T5,"")</f>
        <v/>
      </c>
      <c r="G3921">
        <f>IF(OR(A3921="",'Skill Matrix'!T250=""),"",'Skill Matrix'!T250)</f>
        <v/>
      </c>
      <c r="H3921">
        <f>IF(A3921="","",'Employees'!F21)</f>
        <v/>
      </c>
    </row>
    <row r="3922">
      <c r="A3922">
        <f>IF(AND('Skill Matrix'!A251&lt;&gt;"",'Skill Matrix'!E5&lt;&gt;""),'Skill Matrix'!A251,"")</f>
        <v/>
      </c>
      <c r="B3922">
        <f>IF(A3922="","",'Employees'!C21)</f>
        <v/>
      </c>
      <c r="C3922">
        <f>IF(A3922="","",'Employees'!D21)</f>
        <v/>
      </c>
      <c r="D3922">
        <f>IF(A3922="","",'Skill Matrix'!C251)</f>
        <v/>
      </c>
      <c r="E3922">
        <f>IF(A3922="","",'Skill Matrix'!D251)</f>
        <v/>
      </c>
      <c r="F3922">
        <f>IF(AND('Skill Matrix'!A251&lt;&gt;"",'Skill Matrix'!E5&lt;&gt;""),'Skill Matrix'!E5,"")</f>
        <v/>
      </c>
      <c r="G3922">
        <f>IF(OR(A3922="",'Skill Matrix'!E251=""),"",'Skill Matrix'!E251)</f>
        <v/>
      </c>
      <c r="H3922">
        <f>IF(A3922="","",'Employees'!F21)</f>
        <v/>
      </c>
    </row>
    <row r="3923">
      <c r="A3923">
        <f>IF(AND('Skill Matrix'!A251&lt;&gt;"",'Skill Matrix'!F5&lt;&gt;""),'Skill Matrix'!A251,"")</f>
        <v/>
      </c>
      <c r="B3923">
        <f>IF(A3923="","",'Employees'!C21)</f>
        <v/>
      </c>
      <c r="C3923">
        <f>IF(A3923="","",'Employees'!D21)</f>
        <v/>
      </c>
      <c r="D3923">
        <f>IF(A3923="","",'Skill Matrix'!C251)</f>
        <v/>
      </c>
      <c r="E3923">
        <f>IF(A3923="","",'Skill Matrix'!D251)</f>
        <v/>
      </c>
      <c r="F3923">
        <f>IF(AND('Skill Matrix'!A251&lt;&gt;"",'Skill Matrix'!F5&lt;&gt;""),'Skill Matrix'!F5,"")</f>
        <v/>
      </c>
      <c r="G3923">
        <f>IF(OR(A3923="",'Skill Matrix'!F251=""),"",'Skill Matrix'!F251)</f>
        <v/>
      </c>
      <c r="H3923">
        <f>IF(A3923="","",'Employees'!F21)</f>
        <v/>
      </c>
    </row>
    <row r="3924">
      <c r="A3924">
        <f>IF(AND('Skill Matrix'!A251&lt;&gt;"",'Skill Matrix'!G5&lt;&gt;""),'Skill Matrix'!A251,"")</f>
        <v/>
      </c>
      <c r="B3924">
        <f>IF(A3924="","",'Employees'!C21)</f>
        <v/>
      </c>
      <c r="C3924">
        <f>IF(A3924="","",'Employees'!D21)</f>
        <v/>
      </c>
      <c r="D3924">
        <f>IF(A3924="","",'Skill Matrix'!C251)</f>
        <v/>
      </c>
      <c r="E3924">
        <f>IF(A3924="","",'Skill Matrix'!D251)</f>
        <v/>
      </c>
      <c r="F3924">
        <f>IF(AND('Skill Matrix'!A251&lt;&gt;"",'Skill Matrix'!G5&lt;&gt;""),'Skill Matrix'!G5,"")</f>
        <v/>
      </c>
      <c r="G3924">
        <f>IF(OR(A3924="",'Skill Matrix'!G251=""),"",'Skill Matrix'!G251)</f>
        <v/>
      </c>
      <c r="H3924">
        <f>IF(A3924="","",'Employees'!F21)</f>
        <v/>
      </c>
    </row>
    <row r="3925">
      <c r="A3925">
        <f>IF(AND('Skill Matrix'!A251&lt;&gt;"",'Skill Matrix'!H5&lt;&gt;""),'Skill Matrix'!A251,"")</f>
        <v/>
      </c>
      <c r="B3925">
        <f>IF(A3925="","",'Employees'!C21)</f>
        <v/>
      </c>
      <c r="C3925">
        <f>IF(A3925="","",'Employees'!D21)</f>
        <v/>
      </c>
      <c r="D3925">
        <f>IF(A3925="","",'Skill Matrix'!C251)</f>
        <v/>
      </c>
      <c r="E3925">
        <f>IF(A3925="","",'Skill Matrix'!D251)</f>
        <v/>
      </c>
      <c r="F3925">
        <f>IF(AND('Skill Matrix'!A251&lt;&gt;"",'Skill Matrix'!H5&lt;&gt;""),'Skill Matrix'!H5,"")</f>
        <v/>
      </c>
      <c r="G3925">
        <f>IF(OR(A3925="",'Skill Matrix'!H251=""),"",'Skill Matrix'!H251)</f>
        <v/>
      </c>
      <c r="H3925">
        <f>IF(A3925="","",'Employees'!F21)</f>
        <v/>
      </c>
    </row>
    <row r="3926">
      <c r="A3926">
        <f>IF(AND('Skill Matrix'!A251&lt;&gt;"",'Skill Matrix'!I5&lt;&gt;""),'Skill Matrix'!A251,"")</f>
        <v/>
      </c>
      <c r="B3926">
        <f>IF(A3926="","",'Employees'!C21)</f>
        <v/>
      </c>
      <c r="C3926">
        <f>IF(A3926="","",'Employees'!D21)</f>
        <v/>
      </c>
      <c r="D3926">
        <f>IF(A3926="","",'Skill Matrix'!C251)</f>
        <v/>
      </c>
      <c r="E3926">
        <f>IF(A3926="","",'Skill Matrix'!D251)</f>
        <v/>
      </c>
      <c r="F3926">
        <f>IF(AND('Skill Matrix'!A251&lt;&gt;"",'Skill Matrix'!I5&lt;&gt;""),'Skill Matrix'!I5,"")</f>
        <v/>
      </c>
      <c r="G3926">
        <f>IF(OR(A3926="",'Skill Matrix'!I251=""),"",'Skill Matrix'!I251)</f>
        <v/>
      </c>
      <c r="H3926">
        <f>IF(A3926="","",'Employees'!F21)</f>
        <v/>
      </c>
    </row>
    <row r="3927">
      <c r="A3927">
        <f>IF(AND('Skill Matrix'!A251&lt;&gt;"",'Skill Matrix'!J5&lt;&gt;""),'Skill Matrix'!A251,"")</f>
        <v/>
      </c>
      <c r="B3927">
        <f>IF(A3927="","",'Employees'!C21)</f>
        <v/>
      </c>
      <c r="C3927">
        <f>IF(A3927="","",'Employees'!D21)</f>
        <v/>
      </c>
      <c r="D3927">
        <f>IF(A3927="","",'Skill Matrix'!C251)</f>
        <v/>
      </c>
      <c r="E3927">
        <f>IF(A3927="","",'Skill Matrix'!D251)</f>
        <v/>
      </c>
      <c r="F3927">
        <f>IF(AND('Skill Matrix'!A251&lt;&gt;"",'Skill Matrix'!J5&lt;&gt;""),'Skill Matrix'!J5,"")</f>
        <v/>
      </c>
      <c r="G3927">
        <f>IF(OR(A3927="",'Skill Matrix'!J251=""),"",'Skill Matrix'!J251)</f>
        <v/>
      </c>
      <c r="H3927">
        <f>IF(A3927="","",'Employees'!F21)</f>
        <v/>
      </c>
    </row>
    <row r="3928">
      <c r="A3928">
        <f>IF(AND('Skill Matrix'!A251&lt;&gt;"",'Skill Matrix'!K5&lt;&gt;""),'Skill Matrix'!A251,"")</f>
        <v/>
      </c>
      <c r="B3928">
        <f>IF(A3928="","",'Employees'!C21)</f>
        <v/>
      </c>
      <c r="C3928">
        <f>IF(A3928="","",'Employees'!D21)</f>
        <v/>
      </c>
      <c r="D3928">
        <f>IF(A3928="","",'Skill Matrix'!C251)</f>
        <v/>
      </c>
      <c r="E3928">
        <f>IF(A3928="","",'Skill Matrix'!D251)</f>
        <v/>
      </c>
      <c r="F3928">
        <f>IF(AND('Skill Matrix'!A251&lt;&gt;"",'Skill Matrix'!K5&lt;&gt;""),'Skill Matrix'!K5,"")</f>
        <v/>
      </c>
      <c r="G3928">
        <f>IF(OR(A3928="",'Skill Matrix'!K251=""),"",'Skill Matrix'!K251)</f>
        <v/>
      </c>
      <c r="H3928">
        <f>IF(A3928="","",'Employees'!F21)</f>
        <v/>
      </c>
    </row>
    <row r="3929">
      <c r="A3929">
        <f>IF(AND('Skill Matrix'!A251&lt;&gt;"",'Skill Matrix'!L5&lt;&gt;""),'Skill Matrix'!A251,"")</f>
        <v/>
      </c>
      <c r="B3929">
        <f>IF(A3929="","",'Employees'!C21)</f>
        <v/>
      </c>
      <c r="C3929">
        <f>IF(A3929="","",'Employees'!D21)</f>
        <v/>
      </c>
      <c r="D3929">
        <f>IF(A3929="","",'Skill Matrix'!C251)</f>
        <v/>
      </c>
      <c r="E3929">
        <f>IF(A3929="","",'Skill Matrix'!D251)</f>
        <v/>
      </c>
      <c r="F3929">
        <f>IF(AND('Skill Matrix'!A251&lt;&gt;"",'Skill Matrix'!L5&lt;&gt;""),'Skill Matrix'!L5,"")</f>
        <v/>
      </c>
      <c r="G3929">
        <f>IF(OR(A3929="",'Skill Matrix'!L251=""),"",'Skill Matrix'!L251)</f>
        <v/>
      </c>
      <c r="H3929">
        <f>IF(A3929="","",'Employees'!F21)</f>
        <v/>
      </c>
    </row>
    <row r="3930">
      <c r="A3930">
        <f>IF(AND('Skill Matrix'!A251&lt;&gt;"",'Skill Matrix'!M5&lt;&gt;""),'Skill Matrix'!A251,"")</f>
        <v/>
      </c>
      <c r="B3930">
        <f>IF(A3930="","",'Employees'!C21)</f>
        <v/>
      </c>
      <c r="C3930">
        <f>IF(A3930="","",'Employees'!D21)</f>
        <v/>
      </c>
      <c r="D3930">
        <f>IF(A3930="","",'Skill Matrix'!C251)</f>
        <v/>
      </c>
      <c r="E3930">
        <f>IF(A3930="","",'Skill Matrix'!D251)</f>
        <v/>
      </c>
      <c r="F3930">
        <f>IF(AND('Skill Matrix'!A251&lt;&gt;"",'Skill Matrix'!M5&lt;&gt;""),'Skill Matrix'!M5,"")</f>
        <v/>
      </c>
      <c r="G3930">
        <f>IF(OR(A3930="",'Skill Matrix'!M251=""),"",'Skill Matrix'!M251)</f>
        <v/>
      </c>
      <c r="H3930">
        <f>IF(A3930="","",'Employees'!F21)</f>
        <v/>
      </c>
    </row>
    <row r="3931">
      <c r="A3931">
        <f>IF(AND('Skill Matrix'!A251&lt;&gt;"",'Skill Matrix'!N5&lt;&gt;""),'Skill Matrix'!A251,"")</f>
        <v/>
      </c>
      <c r="B3931">
        <f>IF(A3931="","",'Employees'!C21)</f>
        <v/>
      </c>
      <c r="C3931">
        <f>IF(A3931="","",'Employees'!D21)</f>
        <v/>
      </c>
      <c r="D3931">
        <f>IF(A3931="","",'Skill Matrix'!C251)</f>
        <v/>
      </c>
      <c r="E3931">
        <f>IF(A3931="","",'Skill Matrix'!D251)</f>
        <v/>
      </c>
      <c r="F3931">
        <f>IF(AND('Skill Matrix'!A251&lt;&gt;"",'Skill Matrix'!N5&lt;&gt;""),'Skill Matrix'!N5,"")</f>
        <v/>
      </c>
      <c r="G3931">
        <f>IF(OR(A3931="",'Skill Matrix'!N251=""),"",'Skill Matrix'!N251)</f>
        <v/>
      </c>
      <c r="H3931">
        <f>IF(A3931="","",'Employees'!F21)</f>
        <v/>
      </c>
    </row>
    <row r="3932">
      <c r="A3932">
        <f>IF(AND('Skill Matrix'!A251&lt;&gt;"",'Skill Matrix'!O5&lt;&gt;""),'Skill Matrix'!A251,"")</f>
        <v/>
      </c>
      <c r="B3932">
        <f>IF(A3932="","",'Employees'!C21)</f>
        <v/>
      </c>
      <c r="C3932">
        <f>IF(A3932="","",'Employees'!D21)</f>
        <v/>
      </c>
      <c r="D3932">
        <f>IF(A3932="","",'Skill Matrix'!C251)</f>
        <v/>
      </c>
      <c r="E3932">
        <f>IF(A3932="","",'Skill Matrix'!D251)</f>
        <v/>
      </c>
      <c r="F3932">
        <f>IF(AND('Skill Matrix'!A251&lt;&gt;"",'Skill Matrix'!O5&lt;&gt;""),'Skill Matrix'!O5,"")</f>
        <v/>
      </c>
      <c r="G3932">
        <f>IF(OR(A3932="",'Skill Matrix'!O251=""),"",'Skill Matrix'!O251)</f>
        <v/>
      </c>
      <c r="H3932">
        <f>IF(A3932="","",'Employees'!F21)</f>
        <v/>
      </c>
    </row>
    <row r="3933">
      <c r="A3933">
        <f>IF(AND('Skill Matrix'!A251&lt;&gt;"",'Skill Matrix'!P5&lt;&gt;""),'Skill Matrix'!A251,"")</f>
        <v/>
      </c>
      <c r="B3933">
        <f>IF(A3933="","",'Employees'!C21)</f>
        <v/>
      </c>
      <c r="C3933">
        <f>IF(A3933="","",'Employees'!D21)</f>
        <v/>
      </c>
      <c r="D3933">
        <f>IF(A3933="","",'Skill Matrix'!C251)</f>
        <v/>
      </c>
      <c r="E3933">
        <f>IF(A3933="","",'Skill Matrix'!D251)</f>
        <v/>
      </c>
      <c r="F3933">
        <f>IF(AND('Skill Matrix'!A251&lt;&gt;"",'Skill Matrix'!P5&lt;&gt;""),'Skill Matrix'!P5,"")</f>
        <v/>
      </c>
      <c r="G3933">
        <f>IF(OR(A3933="",'Skill Matrix'!P251=""),"",'Skill Matrix'!P251)</f>
        <v/>
      </c>
      <c r="H3933">
        <f>IF(A3933="","",'Employees'!F21)</f>
        <v/>
      </c>
    </row>
    <row r="3934">
      <c r="A3934">
        <f>IF(AND('Skill Matrix'!A251&lt;&gt;"",'Skill Matrix'!Q5&lt;&gt;""),'Skill Matrix'!A251,"")</f>
        <v/>
      </c>
      <c r="B3934">
        <f>IF(A3934="","",'Employees'!C21)</f>
        <v/>
      </c>
      <c r="C3934">
        <f>IF(A3934="","",'Employees'!D21)</f>
        <v/>
      </c>
      <c r="D3934">
        <f>IF(A3934="","",'Skill Matrix'!C251)</f>
        <v/>
      </c>
      <c r="E3934">
        <f>IF(A3934="","",'Skill Matrix'!D251)</f>
        <v/>
      </c>
      <c r="F3934">
        <f>IF(AND('Skill Matrix'!A251&lt;&gt;"",'Skill Matrix'!Q5&lt;&gt;""),'Skill Matrix'!Q5,"")</f>
        <v/>
      </c>
      <c r="G3934">
        <f>IF(OR(A3934="",'Skill Matrix'!Q251=""),"",'Skill Matrix'!Q251)</f>
        <v/>
      </c>
      <c r="H3934">
        <f>IF(A3934="","",'Employees'!F21)</f>
        <v/>
      </c>
    </row>
    <row r="3935">
      <c r="A3935">
        <f>IF(AND('Skill Matrix'!A251&lt;&gt;"",'Skill Matrix'!R5&lt;&gt;""),'Skill Matrix'!A251,"")</f>
        <v/>
      </c>
      <c r="B3935">
        <f>IF(A3935="","",'Employees'!C21)</f>
        <v/>
      </c>
      <c r="C3935">
        <f>IF(A3935="","",'Employees'!D21)</f>
        <v/>
      </c>
      <c r="D3935">
        <f>IF(A3935="","",'Skill Matrix'!C251)</f>
        <v/>
      </c>
      <c r="E3935">
        <f>IF(A3935="","",'Skill Matrix'!D251)</f>
        <v/>
      </c>
      <c r="F3935">
        <f>IF(AND('Skill Matrix'!A251&lt;&gt;"",'Skill Matrix'!R5&lt;&gt;""),'Skill Matrix'!R5,"")</f>
        <v/>
      </c>
      <c r="G3935">
        <f>IF(OR(A3935="",'Skill Matrix'!R251=""),"",'Skill Matrix'!R251)</f>
        <v/>
      </c>
      <c r="H3935">
        <f>IF(A3935="","",'Employees'!F21)</f>
        <v/>
      </c>
    </row>
    <row r="3936">
      <c r="A3936">
        <f>IF(AND('Skill Matrix'!A251&lt;&gt;"",'Skill Matrix'!S5&lt;&gt;""),'Skill Matrix'!A251,"")</f>
        <v/>
      </c>
      <c r="B3936">
        <f>IF(A3936="","",'Employees'!C21)</f>
        <v/>
      </c>
      <c r="C3936">
        <f>IF(A3936="","",'Employees'!D21)</f>
        <v/>
      </c>
      <c r="D3936">
        <f>IF(A3936="","",'Skill Matrix'!C251)</f>
        <v/>
      </c>
      <c r="E3936">
        <f>IF(A3936="","",'Skill Matrix'!D251)</f>
        <v/>
      </c>
      <c r="F3936">
        <f>IF(AND('Skill Matrix'!A251&lt;&gt;"",'Skill Matrix'!S5&lt;&gt;""),'Skill Matrix'!S5,"")</f>
        <v/>
      </c>
      <c r="G3936">
        <f>IF(OR(A3936="",'Skill Matrix'!S251=""),"",'Skill Matrix'!S251)</f>
        <v/>
      </c>
      <c r="H3936">
        <f>IF(A3936="","",'Employees'!F21)</f>
        <v/>
      </c>
    </row>
    <row r="3937">
      <c r="A3937">
        <f>IF(AND('Skill Matrix'!A251&lt;&gt;"",'Skill Matrix'!T5&lt;&gt;""),'Skill Matrix'!A251,"")</f>
        <v/>
      </c>
      <c r="B3937">
        <f>IF(A3937="","",'Employees'!C21)</f>
        <v/>
      </c>
      <c r="C3937">
        <f>IF(A3937="","",'Employees'!D21)</f>
        <v/>
      </c>
      <c r="D3937">
        <f>IF(A3937="","",'Skill Matrix'!C251)</f>
        <v/>
      </c>
      <c r="E3937">
        <f>IF(A3937="","",'Skill Matrix'!D251)</f>
        <v/>
      </c>
      <c r="F3937">
        <f>IF(AND('Skill Matrix'!A251&lt;&gt;"",'Skill Matrix'!T5&lt;&gt;""),'Skill Matrix'!T5,"")</f>
        <v/>
      </c>
      <c r="G3937">
        <f>IF(OR(A3937="",'Skill Matrix'!T251=""),"",'Skill Matrix'!T251)</f>
        <v/>
      </c>
      <c r="H3937">
        <f>IF(A3937="","",'Employees'!F21)</f>
        <v/>
      </c>
    </row>
    <row r="3938">
      <c r="A3938">
        <f>IF(AND('Skill Matrix'!A252&lt;&gt;"",'Skill Matrix'!E5&lt;&gt;""),'Skill Matrix'!A252,"")</f>
        <v/>
      </c>
      <c r="B3938">
        <f>IF(A3938="","",'Employees'!C21)</f>
        <v/>
      </c>
      <c r="C3938">
        <f>IF(A3938="","",'Employees'!D21)</f>
        <v/>
      </c>
      <c r="D3938">
        <f>IF(A3938="","",'Skill Matrix'!C252)</f>
        <v/>
      </c>
      <c r="E3938">
        <f>IF(A3938="","",'Skill Matrix'!D252)</f>
        <v/>
      </c>
      <c r="F3938">
        <f>IF(AND('Skill Matrix'!A252&lt;&gt;"",'Skill Matrix'!E5&lt;&gt;""),'Skill Matrix'!E5,"")</f>
        <v/>
      </c>
      <c r="G3938">
        <f>IF(OR(A3938="",'Skill Matrix'!E252=""),"",'Skill Matrix'!E252)</f>
        <v/>
      </c>
      <c r="H3938">
        <f>IF(A3938="","",'Employees'!F21)</f>
        <v/>
      </c>
    </row>
    <row r="3939">
      <c r="A3939">
        <f>IF(AND('Skill Matrix'!A252&lt;&gt;"",'Skill Matrix'!F5&lt;&gt;""),'Skill Matrix'!A252,"")</f>
        <v/>
      </c>
      <c r="B3939">
        <f>IF(A3939="","",'Employees'!C21)</f>
        <v/>
      </c>
      <c r="C3939">
        <f>IF(A3939="","",'Employees'!D21)</f>
        <v/>
      </c>
      <c r="D3939">
        <f>IF(A3939="","",'Skill Matrix'!C252)</f>
        <v/>
      </c>
      <c r="E3939">
        <f>IF(A3939="","",'Skill Matrix'!D252)</f>
        <v/>
      </c>
      <c r="F3939">
        <f>IF(AND('Skill Matrix'!A252&lt;&gt;"",'Skill Matrix'!F5&lt;&gt;""),'Skill Matrix'!F5,"")</f>
        <v/>
      </c>
      <c r="G3939">
        <f>IF(OR(A3939="",'Skill Matrix'!F252=""),"",'Skill Matrix'!F252)</f>
        <v/>
      </c>
      <c r="H3939">
        <f>IF(A3939="","",'Employees'!F21)</f>
        <v/>
      </c>
    </row>
    <row r="3940">
      <c r="A3940">
        <f>IF(AND('Skill Matrix'!A252&lt;&gt;"",'Skill Matrix'!G5&lt;&gt;""),'Skill Matrix'!A252,"")</f>
        <v/>
      </c>
      <c r="B3940">
        <f>IF(A3940="","",'Employees'!C21)</f>
        <v/>
      </c>
      <c r="C3940">
        <f>IF(A3940="","",'Employees'!D21)</f>
        <v/>
      </c>
      <c r="D3940">
        <f>IF(A3940="","",'Skill Matrix'!C252)</f>
        <v/>
      </c>
      <c r="E3940">
        <f>IF(A3940="","",'Skill Matrix'!D252)</f>
        <v/>
      </c>
      <c r="F3940">
        <f>IF(AND('Skill Matrix'!A252&lt;&gt;"",'Skill Matrix'!G5&lt;&gt;""),'Skill Matrix'!G5,"")</f>
        <v/>
      </c>
      <c r="G3940">
        <f>IF(OR(A3940="",'Skill Matrix'!G252=""),"",'Skill Matrix'!G252)</f>
        <v/>
      </c>
      <c r="H3940">
        <f>IF(A3940="","",'Employees'!F21)</f>
        <v/>
      </c>
    </row>
    <row r="3941">
      <c r="A3941">
        <f>IF(AND('Skill Matrix'!A252&lt;&gt;"",'Skill Matrix'!H5&lt;&gt;""),'Skill Matrix'!A252,"")</f>
        <v/>
      </c>
      <c r="B3941">
        <f>IF(A3941="","",'Employees'!C21)</f>
        <v/>
      </c>
      <c r="C3941">
        <f>IF(A3941="","",'Employees'!D21)</f>
        <v/>
      </c>
      <c r="D3941">
        <f>IF(A3941="","",'Skill Matrix'!C252)</f>
        <v/>
      </c>
      <c r="E3941">
        <f>IF(A3941="","",'Skill Matrix'!D252)</f>
        <v/>
      </c>
      <c r="F3941">
        <f>IF(AND('Skill Matrix'!A252&lt;&gt;"",'Skill Matrix'!H5&lt;&gt;""),'Skill Matrix'!H5,"")</f>
        <v/>
      </c>
      <c r="G3941">
        <f>IF(OR(A3941="",'Skill Matrix'!H252=""),"",'Skill Matrix'!H252)</f>
        <v/>
      </c>
      <c r="H3941">
        <f>IF(A3941="","",'Employees'!F21)</f>
        <v/>
      </c>
    </row>
    <row r="3942">
      <c r="A3942">
        <f>IF(AND('Skill Matrix'!A252&lt;&gt;"",'Skill Matrix'!I5&lt;&gt;""),'Skill Matrix'!A252,"")</f>
        <v/>
      </c>
      <c r="B3942">
        <f>IF(A3942="","",'Employees'!C21)</f>
        <v/>
      </c>
      <c r="C3942">
        <f>IF(A3942="","",'Employees'!D21)</f>
        <v/>
      </c>
      <c r="D3942">
        <f>IF(A3942="","",'Skill Matrix'!C252)</f>
        <v/>
      </c>
      <c r="E3942">
        <f>IF(A3942="","",'Skill Matrix'!D252)</f>
        <v/>
      </c>
      <c r="F3942">
        <f>IF(AND('Skill Matrix'!A252&lt;&gt;"",'Skill Matrix'!I5&lt;&gt;""),'Skill Matrix'!I5,"")</f>
        <v/>
      </c>
      <c r="G3942">
        <f>IF(OR(A3942="",'Skill Matrix'!I252=""),"",'Skill Matrix'!I252)</f>
        <v/>
      </c>
      <c r="H3942">
        <f>IF(A3942="","",'Employees'!F21)</f>
        <v/>
      </c>
    </row>
    <row r="3943">
      <c r="A3943">
        <f>IF(AND('Skill Matrix'!A252&lt;&gt;"",'Skill Matrix'!J5&lt;&gt;""),'Skill Matrix'!A252,"")</f>
        <v/>
      </c>
      <c r="B3943">
        <f>IF(A3943="","",'Employees'!C21)</f>
        <v/>
      </c>
      <c r="C3943">
        <f>IF(A3943="","",'Employees'!D21)</f>
        <v/>
      </c>
      <c r="D3943">
        <f>IF(A3943="","",'Skill Matrix'!C252)</f>
        <v/>
      </c>
      <c r="E3943">
        <f>IF(A3943="","",'Skill Matrix'!D252)</f>
        <v/>
      </c>
      <c r="F3943">
        <f>IF(AND('Skill Matrix'!A252&lt;&gt;"",'Skill Matrix'!J5&lt;&gt;""),'Skill Matrix'!J5,"")</f>
        <v/>
      </c>
      <c r="G3943">
        <f>IF(OR(A3943="",'Skill Matrix'!J252=""),"",'Skill Matrix'!J252)</f>
        <v/>
      </c>
      <c r="H3943">
        <f>IF(A3943="","",'Employees'!F21)</f>
        <v/>
      </c>
    </row>
    <row r="3944">
      <c r="A3944">
        <f>IF(AND('Skill Matrix'!A252&lt;&gt;"",'Skill Matrix'!K5&lt;&gt;""),'Skill Matrix'!A252,"")</f>
        <v/>
      </c>
      <c r="B3944">
        <f>IF(A3944="","",'Employees'!C21)</f>
        <v/>
      </c>
      <c r="C3944">
        <f>IF(A3944="","",'Employees'!D21)</f>
        <v/>
      </c>
      <c r="D3944">
        <f>IF(A3944="","",'Skill Matrix'!C252)</f>
        <v/>
      </c>
      <c r="E3944">
        <f>IF(A3944="","",'Skill Matrix'!D252)</f>
        <v/>
      </c>
      <c r="F3944">
        <f>IF(AND('Skill Matrix'!A252&lt;&gt;"",'Skill Matrix'!K5&lt;&gt;""),'Skill Matrix'!K5,"")</f>
        <v/>
      </c>
      <c r="G3944">
        <f>IF(OR(A3944="",'Skill Matrix'!K252=""),"",'Skill Matrix'!K252)</f>
        <v/>
      </c>
      <c r="H3944">
        <f>IF(A3944="","",'Employees'!F21)</f>
        <v/>
      </c>
    </row>
    <row r="3945">
      <c r="A3945">
        <f>IF(AND('Skill Matrix'!A252&lt;&gt;"",'Skill Matrix'!L5&lt;&gt;""),'Skill Matrix'!A252,"")</f>
        <v/>
      </c>
      <c r="B3945">
        <f>IF(A3945="","",'Employees'!C21)</f>
        <v/>
      </c>
      <c r="C3945">
        <f>IF(A3945="","",'Employees'!D21)</f>
        <v/>
      </c>
      <c r="D3945">
        <f>IF(A3945="","",'Skill Matrix'!C252)</f>
        <v/>
      </c>
      <c r="E3945">
        <f>IF(A3945="","",'Skill Matrix'!D252)</f>
        <v/>
      </c>
      <c r="F3945">
        <f>IF(AND('Skill Matrix'!A252&lt;&gt;"",'Skill Matrix'!L5&lt;&gt;""),'Skill Matrix'!L5,"")</f>
        <v/>
      </c>
      <c r="G3945">
        <f>IF(OR(A3945="",'Skill Matrix'!L252=""),"",'Skill Matrix'!L252)</f>
        <v/>
      </c>
      <c r="H3945">
        <f>IF(A3945="","",'Employees'!F21)</f>
        <v/>
      </c>
    </row>
    <row r="3946">
      <c r="A3946">
        <f>IF(AND('Skill Matrix'!A252&lt;&gt;"",'Skill Matrix'!M5&lt;&gt;""),'Skill Matrix'!A252,"")</f>
        <v/>
      </c>
      <c r="B3946">
        <f>IF(A3946="","",'Employees'!C21)</f>
        <v/>
      </c>
      <c r="C3946">
        <f>IF(A3946="","",'Employees'!D21)</f>
        <v/>
      </c>
      <c r="D3946">
        <f>IF(A3946="","",'Skill Matrix'!C252)</f>
        <v/>
      </c>
      <c r="E3946">
        <f>IF(A3946="","",'Skill Matrix'!D252)</f>
        <v/>
      </c>
      <c r="F3946">
        <f>IF(AND('Skill Matrix'!A252&lt;&gt;"",'Skill Matrix'!M5&lt;&gt;""),'Skill Matrix'!M5,"")</f>
        <v/>
      </c>
      <c r="G3946">
        <f>IF(OR(A3946="",'Skill Matrix'!M252=""),"",'Skill Matrix'!M252)</f>
        <v/>
      </c>
      <c r="H3946">
        <f>IF(A3946="","",'Employees'!F21)</f>
        <v/>
      </c>
    </row>
    <row r="3947">
      <c r="A3947">
        <f>IF(AND('Skill Matrix'!A252&lt;&gt;"",'Skill Matrix'!N5&lt;&gt;""),'Skill Matrix'!A252,"")</f>
        <v/>
      </c>
      <c r="B3947">
        <f>IF(A3947="","",'Employees'!C21)</f>
        <v/>
      </c>
      <c r="C3947">
        <f>IF(A3947="","",'Employees'!D21)</f>
        <v/>
      </c>
      <c r="D3947">
        <f>IF(A3947="","",'Skill Matrix'!C252)</f>
        <v/>
      </c>
      <c r="E3947">
        <f>IF(A3947="","",'Skill Matrix'!D252)</f>
        <v/>
      </c>
      <c r="F3947">
        <f>IF(AND('Skill Matrix'!A252&lt;&gt;"",'Skill Matrix'!N5&lt;&gt;""),'Skill Matrix'!N5,"")</f>
        <v/>
      </c>
      <c r="G3947">
        <f>IF(OR(A3947="",'Skill Matrix'!N252=""),"",'Skill Matrix'!N252)</f>
        <v/>
      </c>
      <c r="H3947">
        <f>IF(A3947="","",'Employees'!F21)</f>
        <v/>
      </c>
    </row>
    <row r="3948">
      <c r="A3948">
        <f>IF(AND('Skill Matrix'!A252&lt;&gt;"",'Skill Matrix'!O5&lt;&gt;""),'Skill Matrix'!A252,"")</f>
        <v/>
      </c>
      <c r="B3948">
        <f>IF(A3948="","",'Employees'!C21)</f>
        <v/>
      </c>
      <c r="C3948">
        <f>IF(A3948="","",'Employees'!D21)</f>
        <v/>
      </c>
      <c r="D3948">
        <f>IF(A3948="","",'Skill Matrix'!C252)</f>
        <v/>
      </c>
      <c r="E3948">
        <f>IF(A3948="","",'Skill Matrix'!D252)</f>
        <v/>
      </c>
      <c r="F3948">
        <f>IF(AND('Skill Matrix'!A252&lt;&gt;"",'Skill Matrix'!O5&lt;&gt;""),'Skill Matrix'!O5,"")</f>
        <v/>
      </c>
      <c r="G3948">
        <f>IF(OR(A3948="",'Skill Matrix'!O252=""),"",'Skill Matrix'!O252)</f>
        <v/>
      </c>
      <c r="H3948">
        <f>IF(A3948="","",'Employees'!F21)</f>
        <v/>
      </c>
    </row>
    <row r="3949">
      <c r="A3949">
        <f>IF(AND('Skill Matrix'!A252&lt;&gt;"",'Skill Matrix'!P5&lt;&gt;""),'Skill Matrix'!A252,"")</f>
        <v/>
      </c>
      <c r="B3949">
        <f>IF(A3949="","",'Employees'!C21)</f>
        <v/>
      </c>
      <c r="C3949">
        <f>IF(A3949="","",'Employees'!D21)</f>
        <v/>
      </c>
      <c r="D3949">
        <f>IF(A3949="","",'Skill Matrix'!C252)</f>
        <v/>
      </c>
      <c r="E3949">
        <f>IF(A3949="","",'Skill Matrix'!D252)</f>
        <v/>
      </c>
      <c r="F3949">
        <f>IF(AND('Skill Matrix'!A252&lt;&gt;"",'Skill Matrix'!P5&lt;&gt;""),'Skill Matrix'!P5,"")</f>
        <v/>
      </c>
      <c r="G3949">
        <f>IF(OR(A3949="",'Skill Matrix'!P252=""),"",'Skill Matrix'!P252)</f>
        <v/>
      </c>
      <c r="H3949">
        <f>IF(A3949="","",'Employees'!F21)</f>
        <v/>
      </c>
    </row>
    <row r="3950">
      <c r="A3950">
        <f>IF(AND('Skill Matrix'!A252&lt;&gt;"",'Skill Matrix'!Q5&lt;&gt;""),'Skill Matrix'!A252,"")</f>
        <v/>
      </c>
      <c r="B3950">
        <f>IF(A3950="","",'Employees'!C21)</f>
        <v/>
      </c>
      <c r="C3950">
        <f>IF(A3950="","",'Employees'!D21)</f>
        <v/>
      </c>
      <c r="D3950">
        <f>IF(A3950="","",'Skill Matrix'!C252)</f>
        <v/>
      </c>
      <c r="E3950">
        <f>IF(A3950="","",'Skill Matrix'!D252)</f>
        <v/>
      </c>
      <c r="F3950">
        <f>IF(AND('Skill Matrix'!A252&lt;&gt;"",'Skill Matrix'!Q5&lt;&gt;""),'Skill Matrix'!Q5,"")</f>
        <v/>
      </c>
      <c r="G3950">
        <f>IF(OR(A3950="",'Skill Matrix'!Q252=""),"",'Skill Matrix'!Q252)</f>
        <v/>
      </c>
      <c r="H3950">
        <f>IF(A3950="","",'Employees'!F21)</f>
        <v/>
      </c>
    </row>
    <row r="3951">
      <c r="A3951">
        <f>IF(AND('Skill Matrix'!A252&lt;&gt;"",'Skill Matrix'!R5&lt;&gt;""),'Skill Matrix'!A252,"")</f>
        <v/>
      </c>
      <c r="B3951">
        <f>IF(A3951="","",'Employees'!C21)</f>
        <v/>
      </c>
      <c r="C3951">
        <f>IF(A3951="","",'Employees'!D21)</f>
        <v/>
      </c>
      <c r="D3951">
        <f>IF(A3951="","",'Skill Matrix'!C252)</f>
        <v/>
      </c>
      <c r="E3951">
        <f>IF(A3951="","",'Skill Matrix'!D252)</f>
        <v/>
      </c>
      <c r="F3951">
        <f>IF(AND('Skill Matrix'!A252&lt;&gt;"",'Skill Matrix'!R5&lt;&gt;""),'Skill Matrix'!R5,"")</f>
        <v/>
      </c>
      <c r="G3951">
        <f>IF(OR(A3951="",'Skill Matrix'!R252=""),"",'Skill Matrix'!R252)</f>
        <v/>
      </c>
      <c r="H3951">
        <f>IF(A3951="","",'Employees'!F21)</f>
        <v/>
      </c>
    </row>
    <row r="3952">
      <c r="A3952">
        <f>IF(AND('Skill Matrix'!A252&lt;&gt;"",'Skill Matrix'!S5&lt;&gt;""),'Skill Matrix'!A252,"")</f>
        <v/>
      </c>
      <c r="B3952">
        <f>IF(A3952="","",'Employees'!C21)</f>
        <v/>
      </c>
      <c r="C3952">
        <f>IF(A3952="","",'Employees'!D21)</f>
        <v/>
      </c>
      <c r="D3952">
        <f>IF(A3952="","",'Skill Matrix'!C252)</f>
        <v/>
      </c>
      <c r="E3952">
        <f>IF(A3952="","",'Skill Matrix'!D252)</f>
        <v/>
      </c>
      <c r="F3952">
        <f>IF(AND('Skill Matrix'!A252&lt;&gt;"",'Skill Matrix'!S5&lt;&gt;""),'Skill Matrix'!S5,"")</f>
        <v/>
      </c>
      <c r="G3952">
        <f>IF(OR(A3952="",'Skill Matrix'!S252=""),"",'Skill Matrix'!S252)</f>
        <v/>
      </c>
      <c r="H3952">
        <f>IF(A3952="","",'Employees'!F21)</f>
        <v/>
      </c>
    </row>
    <row r="3953">
      <c r="A3953">
        <f>IF(AND('Skill Matrix'!A252&lt;&gt;"",'Skill Matrix'!T5&lt;&gt;""),'Skill Matrix'!A252,"")</f>
        <v/>
      </c>
      <c r="B3953">
        <f>IF(A3953="","",'Employees'!C21)</f>
        <v/>
      </c>
      <c r="C3953">
        <f>IF(A3953="","",'Employees'!D21)</f>
        <v/>
      </c>
      <c r="D3953">
        <f>IF(A3953="","",'Skill Matrix'!C252)</f>
        <v/>
      </c>
      <c r="E3953">
        <f>IF(A3953="","",'Skill Matrix'!D252)</f>
        <v/>
      </c>
      <c r="F3953">
        <f>IF(AND('Skill Matrix'!A252&lt;&gt;"",'Skill Matrix'!T5&lt;&gt;""),'Skill Matrix'!T5,"")</f>
        <v/>
      </c>
      <c r="G3953">
        <f>IF(OR(A3953="",'Skill Matrix'!T252=""),"",'Skill Matrix'!T252)</f>
        <v/>
      </c>
      <c r="H3953">
        <f>IF(A3953="","",'Employees'!F21)</f>
        <v/>
      </c>
    </row>
    <row r="3954">
      <c r="A3954">
        <f>IF(AND('Skill Matrix'!A253&lt;&gt;"",'Skill Matrix'!E5&lt;&gt;""),'Skill Matrix'!A253,"")</f>
        <v/>
      </c>
      <c r="B3954">
        <f>IF(A3954="","",'Employees'!C21)</f>
        <v/>
      </c>
      <c r="C3954">
        <f>IF(A3954="","",'Employees'!D21)</f>
        <v/>
      </c>
      <c r="D3954">
        <f>IF(A3954="","",'Skill Matrix'!C253)</f>
        <v/>
      </c>
      <c r="E3954">
        <f>IF(A3954="","",'Skill Matrix'!D253)</f>
        <v/>
      </c>
      <c r="F3954">
        <f>IF(AND('Skill Matrix'!A253&lt;&gt;"",'Skill Matrix'!E5&lt;&gt;""),'Skill Matrix'!E5,"")</f>
        <v/>
      </c>
      <c r="G3954">
        <f>IF(OR(A3954="",'Skill Matrix'!E253=""),"",'Skill Matrix'!E253)</f>
        <v/>
      </c>
      <c r="H3954">
        <f>IF(A3954="","",'Employees'!F21)</f>
        <v/>
      </c>
    </row>
    <row r="3955">
      <c r="A3955">
        <f>IF(AND('Skill Matrix'!A253&lt;&gt;"",'Skill Matrix'!F5&lt;&gt;""),'Skill Matrix'!A253,"")</f>
        <v/>
      </c>
      <c r="B3955">
        <f>IF(A3955="","",'Employees'!C21)</f>
        <v/>
      </c>
      <c r="C3955">
        <f>IF(A3955="","",'Employees'!D21)</f>
        <v/>
      </c>
      <c r="D3955">
        <f>IF(A3955="","",'Skill Matrix'!C253)</f>
        <v/>
      </c>
      <c r="E3955">
        <f>IF(A3955="","",'Skill Matrix'!D253)</f>
        <v/>
      </c>
      <c r="F3955">
        <f>IF(AND('Skill Matrix'!A253&lt;&gt;"",'Skill Matrix'!F5&lt;&gt;""),'Skill Matrix'!F5,"")</f>
        <v/>
      </c>
      <c r="G3955">
        <f>IF(OR(A3955="",'Skill Matrix'!F253=""),"",'Skill Matrix'!F253)</f>
        <v/>
      </c>
      <c r="H3955">
        <f>IF(A3955="","",'Employees'!F21)</f>
        <v/>
      </c>
    </row>
    <row r="3956">
      <c r="A3956">
        <f>IF(AND('Skill Matrix'!A253&lt;&gt;"",'Skill Matrix'!G5&lt;&gt;""),'Skill Matrix'!A253,"")</f>
        <v/>
      </c>
      <c r="B3956">
        <f>IF(A3956="","",'Employees'!C21)</f>
        <v/>
      </c>
      <c r="C3956">
        <f>IF(A3956="","",'Employees'!D21)</f>
        <v/>
      </c>
      <c r="D3956">
        <f>IF(A3956="","",'Skill Matrix'!C253)</f>
        <v/>
      </c>
      <c r="E3956">
        <f>IF(A3956="","",'Skill Matrix'!D253)</f>
        <v/>
      </c>
      <c r="F3956">
        <f>IF(AND('Skill Matrix'!A253&lt;&gt;"",'Skill Matrix'!G5&lt;&gt;""),'Skill Matrix'!G5,"")</f>
        <v/>
      </c>
      <c r="G3956">
        <f>IF(OR(A3956="",'Skill Matrix'!G253=""),"",'Skill Matrix'!G253)</f>
        <v/>
      </c>
      <c r="H3956">
        <f>IF(A3956="","",'Employees'!F21)</f>
        <v/>
      </c>
    </row>
    <row r="3957">
      <c r="A3957">
        <f>IF(AND('Skill Matrix'!A253&lt;&gt;"",'Skill Matrix'!H5&lt;&gt;""),'Skill Matrix'!A253,"")</f>
        <v/>
      </c>
      <c r="B3957">
        <f>IF(A3957="","",'Employees'!C21)</f>
        <v/>
      </c>
      <c r="C3957">
        <f>IF(A3957="","",'Employees'!D21)</f>
        <v/>
      </c>
      <c r="D3957">
        <f>IF(A3957="","",'Skill Matrix'!C253)</f>
        <v/>
      </c>
      <c r="E3957">
        <f>IF(A3957="","",'Skill Matrix'!D253)</f>
        <v/>
      </c>
      <c r="F3957">
        <f>IF(AND('Skill Matrix'!A253&lt;&gt;"",'Skill Matrix'!H5&lt;&gt;""),'Skill Matrix'!H5,"")</f>
        <v/>
      </c>
      <c r="G3957">
        <f>IF(OR(A3957="",'Skill Matrix'!H253=""),"",'Skill Matrix'!H253)</f>
        <v/>
      </c>
      <c r="H3957">
        <f>IF(A3957="","",'Employees'!F21)</f>
        <v/>
      </c>
    </row>
    <row r="3958">
      <c r="A3958">
        <f>IF(AND('Skill Matrix'!A253&lt;&gt;"",'Skill Matrix'!I5&lt;&gt;""),'Skill Matrix'!A253,"")</f>
        <v/>
      </c>
      <c r="B3958">
        <f>IF(A3958="","",'Employees'!C21)</f>
        <v/>
      </c>
      <c r="C3958">
        <f>IF(A3958="","",'Employees'!D21)</f>
        <v/>
      </c>
      <c r="D3958">
        <f>IF(A3958="","",'Skill Matrix'!C253)</f>
        <v/>
      </c>
      <c r="E3958">
        <f>IF(A3958="","",'Skill Matrix'!D253)</f>
        <v/>
      </c>
      <c r="F3958">
        <f>IF(AND('Skill Matrix'!A253&lt;&gt;"",'Skill Matrix'!I5&lt;&gt;""),'Skill Matrix'!I5,"")</f>
        <v/>
      </c>
      <c r="G3958">
        <f>IF(OR(A3958="",'Skill Matrix'!I253=""),"",'Skill Matrix'!I253)</f>
        <v/>
      </c>
      <c r="H3958">
        <f>IF(A3958="","",'Employees'!F21)</f>
        <v/>
      </c>
    </row>
    <row r="3959">
      <c r="A3959">
        <f>IF(AND('Skill Matrix'!A253&lt;&gt;"",'Skill Matrix'!J5&lt;&gt;""),'Skill Matrix'!A253,"")</f>
        <v/>
      </c>
      <c r="B3959">
        <f>IF(A3959="","",'Employees'!C21)</f>
        <v/>
      </c>
      <c r="C3959">
        <f>IF(A3959="","",'Employees'!D21)</f>
        <v/>
      </c>
      <c r="D3959">
        <f>IF(A3959="","",'Skill Matrix'!C253)</f>
        <v/>
      </c>
      <c r="E3959">
        <f>IF(A3959="","",'Skill Matrix'!D253)</f>
        <v/>
      </c>
      <c r="F3959">
        <f>IF(AND('Skill Matrix'!A253&lt;&gt;"",'Skill Matrix'!J5&lt;&gt;""),'Skill Matrix'!J5,"")</f>
        <v/>
      </c>
      <c r="G3959">
        <f>IF(OR(A3959="",'Skill Matrix'!J253=""),"",'Skill Matrix'!J253)</f>
        <v/>
      </c>
      <c r="H3959">
        <f>IF(A3959="","",'Employees'!F21)</f>
        <v/>
      </c>
    </row>
    <row r="3960">
      <c r="A3960">
        <f>IF(AND('Skill Matrix'!A253&lt;&gt;"",'Skill Matrix'!K5&lt;&gt;""),'Skill Matrix'!A253,"")</f>
        <v/>
      </c>
      <c r="B3960">
        <f>IF(A3960="","",'Employees'!C21)</f>
        <v/>
      </c>
      <c r="C3960">
        <f>IF(A3960="","",'Employees'!D21)</f>
        <v/>
      </c>
      <c r="D3960">
        <f>IF(A3960="","",'Skill Matrix'!C253)</f>
        <v/>
      </c>
      <c r="E3960">
        <f>IF(A3960="","",'Skill Matrix'!D253)</f>
        <v/>
      </c>
      <c r="F3960">
        <f>IF(AND('Skill Matrix'!A253&lt;&gt;"",'Skill Matrix'!K5&lt;&gt;""),'Skill Matrix'!K5,"")</f>
        <v/>
      </c>
      <c r="G3960">
        <f>IF(OR(A3960="",'Skill Matrix'!K253=""),"",'Skill Matrix'!K253)</f>
        <v/>
      </c>
      <c r="H3960">
        <f>IF(A3960="","",'Employees'!F21)</f>
        <v/>
      </c>
    </row>
    <row r="3961">
      <c r="A3961">
        <f>IF(AND('Skill Matrix'!A253&lt;&gt;"",'Skill Matrix'!L5&lt;&gt;""),'Skill Matrix'!A253,"")</f>
        <v/>
      </c>
      <c r="B3961">
        <f>IF(A3961="","",'Employees'!C21)</f>
        <v/>
      </c>
      <c r="C3961">
        <f>IF(A3961="","",'Employees'!D21)</f>
        <v/>
      </c>
      <c r="D3961">
        <f>IF(A3961="","",'Skill Matrix'!C253)</f>
        <v/>
      </c>
      <c r="E3961">
        <f>IF(A3961="","",'Skill Matrix'!D253)</f>
        <v/>
      </c>
      <c r="F3961">
        <f>IF(AND('Skill Matrix'!A253&lt;&gt;"",'Skill Matrix'!L5&lt;&gt;""),'Skill Matrix'!L5,"")</f>
        <v/>
      </c>
      <c r="G3961">
        <f>IF(OR(A3961="",'Skill Matrix'!L253=""),"",'Skill Matrix'!L253)</f>
        <v/>
      </c>
      <c r="H3961">
        <f>IF(A3961="","",'Employees'!F21)</f>
        <v/>
      </c>
    </row>
    <row r="3962">
      <c r="A3962">
        <f>IF(AND('Skill Matrix'!A253&lt;&gt;"",'Skill Matrix'!M5&lt;&gt;""),'Skill Matrix'!A253,"")</f>
        <v/>
      </c>
      <c r="B3962">
        <f>IF(A3962="","",'Employees'!C21)</f>
        <v/>
      </c>
      <c r="C3962">
        <f>IF(A3962="","",'Employees'!D21)</f>
        <v/>
      </c>
      <c r="D3962">
        <f>IF(A3962="","",'Skill Matrix'!C253)</f>
        <v/>
      </c>
      <c r="E3962">
        <f>IF(A3962="","",'Skill Matrix'!D253)</f>
        <v/>
      </c>
      <c r="F3962">
        <f>IF(AND('Skill Matrix'!A253&lt;&gt;"",'Skill Matrix'!M5&lt;&gt;""),'Skill Matrix'!M5,"")</f>
        <v/>
      </c>
      <c r="G3962">
        <f>IF(OR(A3962="",'Skill Matrix'!M253=""),"",'Skill Matrix'!M253)</f>
        <v/>
      </c>
      <c r="H3962">
        <f>IF(A3962="","",'Employees'!F21)</f>
        <v/>
      </c>
    </row>
    <row r="3963">
      <c r="A3963">
        <f>IF(AND('Skill Matrix'!A253&lt;&gt;"",'Skill Matrix'!N5&lt;&gt;""),'Skill Matrix'!A253,"")</f>
        <v/>
      </c>
      <c r="B3963">
        <f>IF(A3963="","",'Employees'!C21)</f>
        <v/>
      </c>
      <c r="C3963">
        <f>IF(A3963="","",'Employees'!D21)</f>
        <v/>
      </c>
      <c r="D3963">
        <f>IF(A3963="","",'Skill Matrix'!C253)</f>
        <v/>
      </c>
      <c r="E3963">
        <f>IF(A3963="","",'Skill Matrix'!D253)</f>
        <v/>
      </c>
      <c r="F3963">
        <f>IF(AND('Skill Matrix'!A253&lt;&gt;"",'Skill Matrix'!N5&lt;&gt;""),'Skill Matrix'!N5,"")</f>
        <v/>
      </c>
      <c r="G3963">
        <f>IF(OR(A3963="",'Skill Matrix'!N253=""),"",'Skill Matrix'!N253)</f>
        <v/>
      </c>
      <c r="H3963">
        <f>IF(A3963="","",'Employees'!F21)</f>
        <v/>
      </c>
    </row>
    <row r="3964">
      <c r="A3964">
        <f>IF(AND('Skill Matrix'!A253&lt;&gt;"",'Skill Matrix'!O5&lt;&gt;""),'Skill Matrix'!A253,"")</f>
        <v/>
      </c>
      <c r="B3964">
        <f>IF(A3964="","",'Employees'!C21)</f>
        <v/>
      </c>
      <c r="C3964">
        <f>IF(A3964="","",'Employees'!D21)</f>
        <v/>
      </c>
      <c r="D3964">
        <f>IF(A3964="","",'Skill Matrix'!C253)</f>
        <v/>
      </c>
      <c r="E3964">
        <f>IF(A3964="","",'Skill Matrix'!D253)</f>
        <v/>
      </c>
      <c r="F3964">
        <f>IF(AND('Skill Matrix'!A253&lt;&gt;"",'Skill Matrix'!O5&lt;&gt;""),'Skill Matrix'!O5,"")</f>
        <v/>
      </c>
      <c r="G3964">
        <f>IF(OR(A3964="",'Skill Matrix'!O253=""),"",'Skill Matrix'!O253)</f>
        <v/>
      </c>
      <c r="H3964">
        <f>IF(A3964="","",'Employees'!F21)</f>
        <v/>
      </c>
    </row>
    <row r="3965">
      <c r="A3965">
        <f>IF(AND('Skill Matrix'!A253&lt;&gt;"",'Skill Matrix'!P5&lt;&gt;""),'Skill Matrix'!A253,"")</f>
        <v/>
      </c>
      <c r="B3965">
        <f>IF(A3965="","",'Employees'!C21)</f>
        <v/>
      </c>
      <c r="C3965">
        <f>IF(A3965="","",'Employees'!D21)</f>
        <v/>
      </c>
      <c r="D3965">
        <f>IF(A3965="","",'Skill Matrix'!C253)</f>
        <v/>
      </c>
      <c r="E3965">
        <f>IF(A3965="","",'Skill Matrix'!D253)</f>
        <v/>
      </c>
      <c r="F3965">
        <f>IF(AND('Skill Matrix'!A253&lt;&gt;"",'Skill Matrix'!P5&lt;&gt;""),'Skill Matrix'!P5,"")</f>
        <v/>
      </c>
      <c r="G3965">
        <f>IF(OR(A3965="",'Skill Matrix'!P253=""),"",'Skill Matrix'!P253)</f>
        <v/>
      </c>
      <c r="H3965">
        <f>IF(A3965="","",'Employees'!F21)</f>
        <v/>
      </c>
    </row>
    <row r="3966">
      <c r="A3966">
        <f>IF(AND('Skill Matrix'!A253&lt;&gt;"",'Skill Matrix'!Q5&lt;&gt;""),'Skill Matrix'!A253,"")</f>
        <v/>
      </c>
      <c r="B3966">
        <f>IF(A3966="","",'Employees'!C21)</f>
        <v/>
      </c>
      <c r="C3966">
        <f>IF(A3966="","",'Employees'!D21)</f>
        <v/>
      </c>
      <c r="D3966">
        <f>IF(A3966="","",'Skill Matrix'!C253)</f>
        <v/>
      </c>
      <c r="E3966">
        <f>IF(A3966="","",'Skill Matrix'!D253)</f>
        <v/>
      </c>
      <c r="F3966">
        <f>IF(AND('Skill Matrix'!A253&lt;&gt;"",'Skill Matrix'!Q5&lt;&gt;""),'Skill Matrix'!Q5,"")</f>
        <v/>
      </c>
      <c r="G3966">
        <f>IF(OR(A3966="",'Skill Matrix'!Q253=""),"",'Skill Matrix'!Q253)</f>
        <v/>
      </c>
      <c r="H3966">
        <f>IF(A3966="","",'Employees'!F21)</f>
        <v/>
      </c>
    </row>
    <row r="3967">
      <c r="A3967">
        <f>IF(AND('Skill Matrix'!A253&lt;&gt;"",'Skill Matrix'!R5&lt;&gt;""),'Skill Matrix'!A253,"")</f>
        <v/>
      </c>
      <c r="B3967">
        <f>IF(A3967="","",'Employees'!C21)</f>
        <v/>
      </c>
      <c r="C3967">
        <f>IF(A3967="","",'Employees'!D21)</f>
        <v/>
      </c>
      <c r="D3967">
        <f>IF(A3967="","",'Skill Matrix'!C253)</f>
        <v/>
      </c>
      <c r="E3967">
        <f>IF(A3967="","",'Skill Matrix'!D253)</f>
        <v/>
      </c>
      <c r="F3967">
        <f>IF(AND('Skill Matrix'!A253&lt;&gt;"",'Skill Matrix'!R5&lt;&gt;""),'Skill Matrix'!R5,"")</f>
        <v/>
      </c>
      <c r="G3967">
        <f>IF(OR(A3967="",'Skill Matrix'!R253=""),"",'Skill Matrix'!R253)</f>
        <v/>
      </c>
      <c r="H3967">
        <f>IF(A3967="","",'Employees'!F21)</f>
        <v/>
      </c>
    </row>
    <row r="3968">
      <c r="A3968">
        <f>IF(AND('Skill Matrix'!A253&lt;&gt;"",'Skill Matrix'!S5&lt;&gt;""),'Skill Matrix'!A253,"")</f>
        <v/>
      </c>
      <c r="B3968">
        <f>IF(A3968="","",'Employees'!C21)</f>
        <v/>
      </c>
      <c r="C3968">
        <f>IF(A3968="","",'Employees'!D21)</f>
        <v/>
      </c>
      <c r="D3968">
        <f>IF(A3968="","",'Skill Matrix'!C253)</f>
        <v/>
      </c>
      <c r="E3968">
        <f>IF(A3968="","",'Skill Matrix'!D253)</f>
        <v/>
      </c>
      <c r="F3968">
        <f>IF(AND('Skill Matrix'!A253&lt;&gt;"",'Skill Matrix'!S5&lt;&gt;""),'Skill Matrix'!S5,"")</f>
        <v/>
      </c>
      <c r="G3968">
        <f>IF(OR(A3968="",'Skill Matrix'!S253=""),"",'Skill Matrix'!S253)</f>
        <v/>
      </c>
      <c r="H3968">
        <f>IF(A3968="","",'Employees'!F21)</f>
        <v/>
      </c>
    </row>
    <row r="3969">
      <c r="A3969">
        <f>IF(AND('Skill Matrix'!A253&lt;&gt;"",'Skill Matrix'!T5&lt;&gt;""),'Skill Matrix'!A253,"")</f>
        <v/>
      </c>
      <c r="B3969">
        <f>IF(A3969="","",'Employees'!C21)</f>
        <v/>
      </c>
      <c r="C3969">
        <f>IF(A3969="","",'Employees'!D21)</f>
        <v/>
      </c>
      <c r="D3969">
        <f>IF(A3969="","",'Skill Matrix'!C253)</f>
        <v/>
      </c>
      <c r="E3969">
        <f>IF(A3969="","",'Skill Matrix'!D253)</f>
        <v/>
      </c>
      <c r="F3969">
        <f>IF(AND('Skill Matrix'!A253&lt;&gt;"",'Skill Matrix'!T5&lt;&gt;""),'Skill Matrix'!T5,"")</f>
        <v/>
      </c>
      <c r="G3969">
        <f>IF(OR(A3969="",'Skill Matrix'!T253=""),"",'Skill Matrix'!T253)</f>
        <v/>
      </c>
      <c r="H3969">
        <f>IF(A3969="","",'Employees'!F21)</f>
        <v/>
      </c>
    </row>
    <row r="3970">
      <c r="A3970">
        <f>IF(AND('Skill Matrix'!A254&lt;&gt;"",'Skill Matrix'!E5&lt;&gt;""),'Skill Matrix'!A254,"")</f>
        <v/>
      </c>
      <c r="B3970">
        <f>IF(A3970="","",'Employees'!C21)</f>
        <v/>
      </c>
      <c r="C3970">
        <f>IF(A3970="","",'Employees'!D21)</f>
        <v/>
      </c>
      <c r="D3970">
        <f>IF(A3970="","",'Skill Matrix'!C254)</f>
        <v/>
      </c>
      <c r="E3970">
        <f>IF(A3970="","",'Skill Matrix'!D254)</f>
        <v/>
      </c>
      <c r="F3970">
        <f>IF(AND('Skill Matrix'!A254&lt;&gt;"",'Skill Matrix'!E5&lt;&gt;""),'Skill Matrix'!E5,"")</f>
        <v/>
      </c>
      <c r="G3970">
        <f>IF(OR(A3970="",'Skill Matrix'!E254=""),"",'Skill Matrix'!E254)</f>
        <v/>
      </c>
      <c r="H3970">
        <f>IF(A3970="","",'Employees'!F21)</f>
        <v/>
      </c>
    </row>
    <row r="3971">
      <c r="A3971">
        <f>IF(AND('Skill Matrix'!A254&lt;&gt;"",'Skill Matrix'!F5&lt;&gt;""),'Skill Matrix'!A254,"")</f>
        <v/>
      </c>
      <c r="B3971">
        <f>IF(A3971="","",'Employees'!C21)</f>
        <v/>
      </c>
      <c r="C3971">
        <f>IF(A3971="","",'Employees'!D21)</f>
        <v/>
      </c>
      <c r="D3971">
        <f>IF(A3971="","",'Skill Matrix'!C254)</f>
        <v/>
      </c>
      <c r="E3971">
        <f>IF(A3971="","",'Skill Matrix'!D254)</f>
        <v/>
      </c>
      <c r="F3971">
        <f>IF(AND('Skill Matrix'!A254&lt;&gt;"",'Skill Matrix'!F5&lt;&gt;""),'Skill Matrix'!F5,"")</f>
        <v/>
      </c>
      <c r="G3971">
        <f>IF(OR(A3971="",'Skill Matrix'!F254=""),"",'Skill Matrix'!F254)</f>
        <v/>
      </c>
      <c r="H3971">
        <f>IF(A3971="","",'Employees'!F21)</f>
        <v/>
      </c>
    </row>
    <row r="3972">
      <c r="A3972">
        <f>IF(AND('Skill Matrix'!A254&lt;&gt;"",'Skill Matrix'!G5&lt;&gt;""),'Skill Matrix'!A254,"")</f>
        <v/>
      </c>
      <c r="B3972">
        <f>IF(A3972="","",'Employees'!C21)</f>
        <v/>
      </c>
      <c r="C3972">
        <f>IF(A3972="","",'Employees'!D21)</f>
        <v/>
      </c>
      <c r="D3972">
        <f>IF(A3972="","",'Skill Matrix'!C254)</f>
        <v/>
      </c>
      <c r="E3972">
        <f>IF(A3972="","",'Skill Matrix'!D254)</f>
        <v/>
      </c>
      <c r="F3972">
        <f>IF(AND('Skill Matrix'!A254&lt;&gt;"",'Skill Matrix'!G5&lt;&gt;""),'Skill Matrix'!G5,"")</f>
        <v/>
      </c>
      <c r="G3972">
        <f>IF(OR(A3972="",'Skill Matrix'!G254=""),"",'Skill Matrix'!G254)</f>
        <v/>
      </c>
      <c r="H3972">
        <f>IF(A3972="","",'Employees'!F21)</f>
        <v/>
      </c>
    </row>
    <row r="3973">
      <c r="A3973">
        <f>IF(AND('Skill Matrix'!A254&lt;&gt;"",'Skill Matrix'!H5&lt;&gt;""),'Skill Matrix'!A254,"")</f>
        <v/>
      </c>
      <c r="B3973">
        <f>IF(A3973="","",'Employees'!C21)</f>
        <v/>
      </c>
      <c r="C3973">
        <f>IF(A3973="","",'Employees'!D21)</f>
        <v/>
      </c>
      <c r="D3973">
        <f>IF(A3973="","",'Skill Matrix'!C254)</f>
        <v/>
      </c>
      <c r="E3973">
        <f>IF(A3973="","",'Skill Matrix'!D254)</f>
        <v/>
      </c>
      <c r="F3973">
        <f>IF(AND('Skill Matrix'!A254&lt;&gt;"",'Skill Matrix'!H5&lt;&gt;""),'Skill Matrix'!H5,"")</f>
        <v/>
      </c>
      <c r="G3973">
        <f>IF(OR(A3973="",'Skill Matrix'!H254=""),"",'Skill Matrix'!H254)</f>
        <v/>
      </c>
      <c r="H3973">
        <f>IF(A3973="","",'Employees'!F21)</f>
        <v/>
      </c>
    </row>
    <row r="3974">
      <c r="A3974">
        <f>IF(AND('Skill Matrix'!A254&lt;&gt;"",'Skill Matrix'!I5&lt;&gt;""),'Skill Matrix'!A254,"")</f>
        <v/>
      </c>
      <c r="B3974">
        <f>IF(A3974="","",'Employees'!C21)</f>
        <v/>
      </c>
      <c r="C3974">
        <f>IF(A3974="","",'Employees'!D21)</f>
        <v/>
      </c>
      <c r="D3974">
        <f>IF(A3974="","",'Skill Matrix'!C254)</f>
        <v/>
      </c>
      <c r="E3974">
        <f>IF(A3974="","",'Skill Matrix'!D254)</f>
        <v/>
      </c>
      <c r="F3974">
        <f>IF(AND('Skill Matrix'!A254&lt;&gt;"",'Skill Matrix'!I5&lt;&gt;""),'Skill Matrix'!I5,"")</f>
        <v/>
      </c>
      <c r="G3974">
        <f>IF(OR(A3974="",'Skill Matrix'!I254=""),"",'Skill Matrix'!I254)</f>
        <v/>
      </c>
      <c r="H3974">
        <f>IF(A3974="","",'Employees'!F21)</f>
        <v/>
      </c>
    </row>
    <row r="3975">
      <c r="A3975">
        <f>IF(AND('Skill Matrix'!A254&lt;&gt;"",'Skill Matrix'!J5&lt;&gt;""),'Skill Matrix'!A254,"")</f>
        <v/>
      </c>
      <c r="B3975">
        <f>IF(A3975="","",'Employees'!C21)</f>
        <v/>
      </c>
      <c r="C3975">
        <f>IF(A3975="","",'Employees'!D21)</f>
        <v/>
      </c>
      <c r="D3975">
        <f>IF(A3975="","",'Skill Matrix'!C254)</f>
        <v/>
      </c>
      <c r="E3975">
        <f>IF(A3975="","",'Skill Matrix'!D254)</f>
        <v/>
      </c>
      <c r="F3975">
        <f>IF(AND('Skill Matrix'!A254&lt;&gt;"",'Skill Matrix'!J5&lt;&gt;""),'Skill Matrix'!J5,"")</f>
        <v/>
      </c>
      <c r="G3975">
        <f>IF(OR(A3975="",'Skill Matrix'!J254=""),"",'Skill Matrix'!J254)</f>
        <v/>
      </c>
      <c r="H3975">
        <f>IF(A3975="","",'Employees'!F21)</f>
        <v/>
      </c>
    </row>
    <row r="3976">
      <c r="A3976">
        <f>IF(AND('Skill Matrix'!A254&lt;&gt;"",'Skill Matrix'!K5&lt;&gt;""),'Skill Matrix'!A254,"")</f>
        <v/>
      </c>
      <c r="B3976">
        <f>IF(A3976="","",'Employees'!C21)</f>
        <v/>
      </c>
      <c r="C3976">
        <f>IF(A3976="","",'Employees'!D21)</f>
        <v/>
      </c>
      <c r="D3976">
        <f>IF(A3976="","",'Skill Matrix'!C254)</f>
        <v/>
      </c>
      <c r="E3976">
        <f>IF(A3976="","",'Skill Matrix'!D254)</f>
        <v/>
      </c>
      <c r="F3976">
        <f>IF(AND('Skill Matrix'!A254&lt;&gt;"",'Skill Matrix'!K5&lt;&gt;""),'Skill Matrix'!K5,"")</f>
        <v/>
      </c>
      <c r="G3976">
        <f>IF(OR(A3976="",'Skill Matrix'!K254=""),"",'Skill Matrix'!K254)</f>
        <v/>
      </c>
      <c r="H3976">
        <f>IF(A3976="","",'Employees'!F21)</f>
        <v/>
      </c>
    </row>
    <row r="3977">
      <c r="A3977">
        <f>IF(AND('Skill Matrix'!A254&lt;&gt;"",'Skill Matrix'!L5&lt;&gt;""),'Skill Matrix'!A254,"")</f>
        <v/>
      </c>
      <c r="B3977">
        <f>IF(A3977="","",'Employees'!C21)</f>
        <v/>
      </c>
      <c r="C3977">
        <f>IF(A3977="","",'Employees'!D21)</f>
        <v/>
      </c>
      <c r="D3977">
        <f>IF(A3977="","",'Skill Matrix'!C254)</f>
        <v/>
      </c>
      <c r="E3977">
        <f>IF(A3977="","",'Skill Matrix'!D254)</f>
        <v/>
      </c>
      <c r="F3977">
        <f>IF(AND('Skill Matrix'!A254&lt;&gt;"",'Skill Matrix'!L5&lt;&gt;""),'Skill Matrix'!L5,"")</f>
        <v/>
      </c>
      <c r="G3977">
        <f>IF(OR(A3977="",'Skill Matrix'!L254=""),"",'Skill Matrix'!L254)</f>
        <v/>
      </c>
      <c r="H3977">
        <f>IF(A3977="","",'Employees'!F21)</f>
        <v/>
      </c>
    </row>
    <row r="3978">
      <c r="A3978">
        <f>IF(AND('Skill Matrix'!A254&lt;&gt;"",'Skill Matrix'!M5&lt;&gt;""),'Skill Matrix'!A254,"")</f>
        <v/>
      </c>
      <c r="B3978">
        <f>IF(A3978="","",'Employees'!C21)</f>
        <v/>
      </c>
      <c r="C3978">
        <f>IF(A3978="","",'Employees'!D21)</f>
        <v/>
      </c>
      <c r="D3978">
        <f>IF(A3978="","",'Skill Matrix'!C254)</f>
        <v/>
      </c>
      <c r="E3978">
        <f>IF(A3978="","",'Skill Matrix'!D254)</f>
        <v/>
      </c>
      <c r="F3978">
        <f>IF(AND('Skill Matrix'!A254&lt;&gt;"",'Skill Matrix'!M5&lt;&gt;""),'Skill Matrix'!M5,"")</f>
        <v/>
      </c>
      <c r="G3978">
        <f>IF(OR(A3978="",'Skill Matrix'!M254=""),"",'Skill Matrix'!M254)</f>
        <v/>
      </c>
      <c r="H3978">
        <f>IF(A3978="","",'Employees'!F21)</f>
        <v/>
      </c>
    </row>
    <row r="3979">
      <c r="A3979">
        <f>IF(AND('Skill Matrix'!A254&lt;&gt;"",'Skill Matrix'!N5&lt;&gt;""),'Skill Matrix'!A254,"")</f>
        <v/>
      </c>
      <c r="B3979">
        <f>IF(A3979="","",'Employees'!C21)</f>
        <v/>
      </c>
      <c r="C3979">
        <f>IF(A3979="","",'Employees'!D21)</f>
        <v/>
      </c>
      <c r="D3979">
        <f>IF(A3979="","",'Skill Matrix'!C254)</f>
        <v/>
      </c>
      <c r="E3979">
        <f>IF(A3979="","",'Skill Matrix'!D254)</f>
        <v/>
      </c>
      <c r="F3979">
        <f>IF(AND('Skill Matrix'!A254&lt;&gt;"",'Skill Matrix'!N5&lt;&gt;""),'Skill Matrix'!N5,"")</f>
        <v/>
      </c>
      <c r="G3979">
        <f>IF(OR(A3979="",'Skill Matrix'!N254=""),"",'Skill Matrix'!N254)</f>
        <v/>
      </c>
      <c r="H3979">
        <f>IF(A3979="","",'Employees'!F21)</f>
        <v/>
      </c>
    </row>
    <row r="3980">
      <c r="A3980">
        <f>IF(AND('Skill Matrix'!A254&lt;&gt;"",'Skill Matrix'!O5&lt;&gt;""),'Skill Matrix'!A254,"")</f>
        <v/>
      </c>
      <c r="B3980">
        <f>IF(A3980="","",'Employees'!C21)</f>
        <v/>
      </c>
      <c r="C3980">
        <f>IF(A3980="","",'Employees'!D21)</f>
        <v/>
      </c>
      <c r="D3980">
        <f>IF(A3980="","",'Skill Matrix'!C254)</f>
        <v/>
      </c>
      <c r="E3980">
        <f>IF(A3980="","",'Skill Matrix'!D254)</f>
        <v/>
      </c>
      <c r="F3980">
        <f>IF(AND('Skill Matrix'!A254&lt;&gt;"",'Skill Matrix'!O5&lt;&gt;""),'Skill Matrix'!O5,"")</f>
        <v/>
      </c>
      <c r="G3980">
        <f>IF(OR(A3980="",'Skill Matrix'!O254=""),"",'Skill Matrix'!O254)</f>
        <v/>
      </c>
      <c r="H3980">
        <f>IF(A3980="","",'Employees'!F21)</f>
        <v/>
      </c>
    </row>
    <row r="3981">
      <c r="A3981">
        <f>IF(AND('Skill Matrix'!A254&lt;&gt;"",'Skill Matrix'!P5&lt;&gt;""),'Skill Matrix'!A254,"")</f>
        <v/>
      </c>
      <c r="B3981">
        <f>IF(A3981="","",'Employees'!C21)</f>
        <v/>
      </c>
      <c r="C3981">
        <f>IF(A3981="","",'Employees'!D21)</f>
        <v/>
      </c>
      <c r="D3981">
        <f>IF(A3981="","",'Skill Matrix'!C254)</f>
        <v/>
      </c>
      <c r="E3981">
        <f>IF(A3981="","",'Skill Matrix'!D254)</f>
        <v/>
      </c>
      <c r="F3981">
        <f>IF(AND('Skill Matrix'!A254&lt;&gt;"",'Skill Matrix'!P5&lt;&gt;""),'Skill Matrix'!P5,"")</f>
        <v/>
      </c>
      <c r="G3981">
        <f>IF(OR(A3981="",'Skill Matrix'!P254=""),"",'Skill Matrix'!P254)</f>
        <v/>
      </c>
      <c r="H3981">
        <f>IF(A3981="","",'Employees'!F21)</f>
        <v/>
      </c>
    </row>
    <row r="3982">
      <c r="A3982">
        <f>IF(AND('Skill Matrix'!A254&lt;&gt;"",'Skill Matrix'!Q5&lt;&gt;""),'Skill Matrix'!A254,"")</f>
        <v/>
      </c>
      <c r="B3982">
        <f>IF(A3982="","",'Employees'!C21)</f>
        <v/>
      </c>
      <c r="C3982">
        <f>IF(A3982="","",'Employees'!D21)</f>
        <v/>
      </c>
      <c r="D3982">
        <f>IF(A3982="","",'Skill Matrix'!C254)</f>
        <v/>
      </c>
      <c r="E3982">
        <f>IF(A3982="","",'Skill Matrix'!D254)</f>
        <v/>
      </c>
      <c r="F3982">
        <f>IF(AND('Skill Matrix'!A254&lt;&gt;"",'Skill Matrix'!Q5&lt;&gt;""),'Skill Matrix'!Q5,"")</f>
        <v/>
      </c>
      <c r="G3982">
        <f>IF(OR(A3982="",'Skill Matrix'!Q254=""),"",'Skill Matrix'!Q254)</f>
        <v/>
      </c>
      <c r="H3982">
        <f>IF(A3982="","",'Employees'!F21)</f>
        <v/>
      </c>
    </row>
    <row r="3983">
      <c r="A3983">
        <f>IF(AND('Skill Matrix'!A254&lt;&gt;"",'Skill Matrix'!R5&lt;&gt;""),'Skill Matrix'!A254,"")</f>
        <v/>
      </c>
      <c r="B3983">
        <f>IF(A3983="","",'Employees'!C21)</f>
        <v/>
      </c>
      <c r="C3983">
        <f>IF(A3983="","",'Employees'!D21)</f>
        <v/>
      </c>
      <c r="D3983">
        <f>IF(A3983="","",'Skill Matrix'!C254)</f>
        <v/>
      </c>
      <c r="E3983">
        <f>IF(A3983="","",'Skill Matrix'!D254)</f>
        <v/>
      </c>
      <c r="F3983">
        <f>IF(AND('Skill Matrix'!A254&lt;&gt;"",'Skill Matrix'!R5&lt;&gt;""),'Skill Matrix'!R5,"")</f>
        <v/>
      </c>
      <c r="G3983">
        <f>IF(OR(A3983="",'Skill Matrix'!R254=""),"",'Skill Matrix'!R254)</f>
        <v/>
      </c>
      <c r="H3983">
        <f>IF(A3983="","",'Employees'!F21)</f>
        <v/>
      </c>
    </row>
    <row r="3984">
      <c r="A3984">
        <f>IF(AND('Skill Matrix'!A254&lt;&gt;"",'Skill Matrix'!S5&lt;&gt;""),'Skill Matrix'!A254,"")</f>
        <v/>
      </c>
      <c r="B3984">
        <f>IF(A3984="","",'Employees'!C21)</f>
        <v/>
      </c>
      <c r="C3984">
        <f>IF(A3984="","",'Employees'!D21)</f>
        <v/>
      </c>
      <c r="D3984">
        <f>IF(A3984="","",'Skill Matrix'!C254)</f>
        <v/>
      </c>
      <c r="E3984">
        <f>IF(A3984="","",'Skill Matrix'!D254)</f>
        <v/>
      </c>
      <c r="F3984">
        <f>IF(AND('Skill Matrix'!A254&lt;&gt;"",'Skill Matrix'!S5&lt;&gt;""),'Skill Matrix'!S5,"")</f>
        <v/>
      </c>
      <c r="G3984">
        <f>IF(OR(A3984="",'Skill Matrix'!S254=""),"",'Skill Matrix'!S254)</f>
        <v/>
      </c>
      <c r="H3984">
        <f>IF(A3984="","",'Employees'!F21)</f>
        <v/>
      </c>
    </row>
    <row r="3985">
      <c r="A3985">
        <f>IF(AND('Skill Matrix'!A254&lt;&gt;"",'Skill Matrix'!T5&lt;&gt;""),'Skill Matrix'!A254,"")</f>
        <v/>
      </c>
      <c r="B3985">
        <f>IF(A3985="","",'Employees'!C21)</f>
        <v/>
      </c>
      <c r="C3985">
        <f>IF(A3985="","",'Employees'!D21)</f>
        <v/>
      </c>
      <c r="D3985">
        <f>IF(A3985="","",'Skill Matrix'!C254)</f>
        <v/>
      </c>
      <c r="E3985">
        <f>IF(A3985="","",'Skill Matrix'!D254)</f>
        <v/>
      </c>
      <c r="F3985">
        <f>IF(AND('Skill Matrix'!A254&lt;&gt;"",'Skill Matrix'!T5&lt;&gt;""),'Skill Matrix'!T5,"")</f>
        <v/>
      </c>
      <c r="G3985">
        <f>IF(OR(A3985="",'Skill Matrix'!T254=""),"",'Skill Matrix'!T254)</f>
        <v/>
      </c>
      <c r="H3985">
        <f>IF(A3985="","",'Employees'!F21)</f>
        <v/>
      </c>
    </row>
    <row r="3986">
      <c r="A3986">
        <f>IF(AND('Skill Matrix'!A255&lt;&gt;"",'Skill Matrix'!E5&lt;&gt;""),'Skill Matrix'!A255,"")</f>
        <v/>
      </c>
      <c r="B3986">
        <f>IF(A3986="","",'Employees'!C21)</f>
        <v/>
      </c>
      <c r="C3986">
        <f>IF(A3986="","",'Employees'!D21)</f>
        <v/>
      </c>
      <c r="D3986">
        <f>IF(A3986="","",'Skill Matrix'!C255)</f>
        <v/>
      </c>
      <c r="E3986">
        <f>IF(A3986="","",'Skill Matrix'!D255)</f>
        <v/>
      </c>
      <c r="F3986">
        <f>IF(AND('Skill Matrix'!A255&lt;&gt;"",'Skill Matrix'!E5&lt;&gt;""),'Skill Matrix'!E5,"")</f>
        <v/>
      </c>
      <c r="G3986">
        <f>IF(OR(A3986="",'Skill Matrix'!E255=""),"",'Skill Matrix'!E255)</f>
        <v/>
      </c>
      <c r="H3986">
        <f>IF(A3986="","",'Employees'!F21)</f>
        <v/>
      </c>
    </row>
    <row r="3987">
      <c r="A3987">
        <f>IF(AND('Skill Matrix'!A255&lt;&gt;"",'Skill Matrix'!F5&lt;&gt;""),'Skill Matrix'!A255,"")</f>
        <v/>
      </c>
      <c r="B3987">
        <f>IF(A3987="","",'Employees'!C21)</f>
        <v/>
      </c>
      <c r="C3987">
        <f>IF(A3987="","",'Employees'!D21)</f>
        <v/>
      </c>
      <c r="D3987">
        <f>IF(A3987="","",'Skill Matrix'!C255)</f>
        <v/>
      </c>
      <c r="E3987">
        <f>IF(A3987="","",'Skill Matrix'!D255)</f>
        <v/>
      </c>
      <c r="F3987">
        <f>IF(AND('Skill Matrix'!A255&lt;&gt;"",'Skill Matrix'!F5&lt;&gt;""),'Skill Matrix'!F5,"")</f>
        <v/>
      </c>
      <c r="G3987">
        <f>IF(OR(A3987="",'Skill Matrix'!F255=""),"",'Skill Matrix'!F255)</f>
        <v/>
      </c>
      <c r="H3987">
        <f>IF(A3987="","",'Employees'!F21)</f>
        <v/>
      </c>
    </row>
    <row r="3988">
      <c r="A3988">
        <f>IF(AND('Skill Matrix'!A255&lt;&gt;"",'Skill Matrix'!G5&lt;&gt;""),'Skill Matrix'!A255,"")</f>
        <v/>
      </c>
      <c r="B3988">
        <f>IF(A3988="","",'Employees'!C21)</f>
        <v/>
      </c>
      <c r="C3988">
        <f>IF(A3988="","",'Employees'!D21)</f>
        <v/>
      </c>
      <c r="D3988">
        <f>IF(A3988="","",'Skill Matrix'!C255)</f>
        <v/>
      </c>
      <c r="E3988">
        <f>IF(A3988="","",'Skill Matrix'!D255)</f>
        <v/>
      </c>
      <c r="F3988">
        <f>IF(AND('Skill Matrix'!A255&lt;&gt;"",'Skill Matrix'!G5&lt;&gt;""),'Skill Matrix'!G5,"")</f>
        <v/>
      </c>
      <c r="G3988">
        <f>IF(OR(A3988="",'Skill Matrix'!G255=""),"",'Skill Matrix'!G255)</f>
        <v/>
      </c>
      <c r="H3988">
        <f>IF(A3988="","",'Employees'!F21)</f>
        <v/>
      </c>
    </row>
    <row r="3989">
      <c r="A3989">
        <f>IF(AND('Skill Matrix'!A255&lt;&gt;"",'Skill Matrix'!H5&lt;&gt;""),'Skill Matrix'!A255,"")</f>
        <v/>
      </c>
      <c r="B3989">
        <f>IF(A3989="","",'Employees'!C21)</f>
        <v/>
      </c>
      <c r="C3989">
        <f>IF(A3989="","",'Employees'!D21)</f>
        <v/>
      </c>
      <c r="D3989">
        <f>IF(A3989="","",'Skill Matrix'!C255)</f>
        <v/>
      </c>
      <c r="E3989">
        <f>IF(A3989="","",'Skill Matrix'!D255)</f>
        <v/>
      </c>
      <c r="F3989">
        <f>IF(AND('Skill Matrix'!A255&lt;&gt;"",'Skill Matrix'!H5&lt;&gt;""),'Skill Matrix'!H5,"")</f>
        <v/>
      </c>
      <c r="G3989">
        <f>IF(OR(A3989="",'Skill Matrix'!H255=""),"",'Skill Matrix'!H255)</f>
        <v/>
      </c>
      <c r="H3989">
        <f>IF(A3989="","",'Employees'!F21)</f>
        <v/>
      </c>
    </row>
    <row r="3990">
      <c r="A3990">
        <f>IF(AND('Skill Matrix'!A255&lt;&gt;"",'Skill Matrix'!I5&lt;&gt;""),'Skill Matrix'!A255,"")</f>
        <v/>
      </c>
      <c r="B3990">
        <f>IF(A3990="","",'Employees'!C21)</f>
        <v/>
      </c>
      <c r="C3990">
        <f>IF(A3990="","",'Employees'!D21)</f>
        <v/>
      </c>
      <c r="D3990">
        <f>IF(A3990="","",'Skill Matrix'!C255)</f>
        <v/>
      </c>
      <c r="E3990">
        <f>IF(A3990="","",'Skill Matrix'!D255)</f>
        <v/>
      </c>
      <c r="F3990">
        <f>IF(AND('Skill Matrix'!A255&lt;&gt;"",'Skill Matrix'!I5&lt;&gt;""),'Skill Matrix'!I5,"")</f>
        <v/>
      </c>
      <c r="G3990">
        <f>IF(OR(A3990="",'Skill Matrix'!I255=""),"",'Skill Matrix'!I255)</f>
        <v/>
      </c>
      <c r="H3990">
        <f>IF(A3990="","",'Employees'!F21)</f>
        <v/>
      </c>
    </row>
    <row r="3991">
      <c r="A3991">
        <f>IF(AND('Skill Matrix'!A255&lt;&gt;"",'Skill Matrix'!J5&lt;&gt;""),'Skill Matrix'!A255,"")</f>
        <v/>
      </c>
      <c r="B3991">
        <f>IF(A3991="","",'Employees'!C21)</f>
        <v/>
      </c>
      <c r="C3991">
        <f>IF(A3991="","",'Employees'!D21)</f>
        <v/>
      </c>
      <c r="D3991">
        <f>IF(A3991="","",'Skill Matrix'!C255)</f>
        <v/>
      </c>
      <c r="E3991">
        <f>IF(A3991="","",'Skill Matrix'!D255)</f>
        <v/>
      </c>
      <c r="F3991">
        <f>IF(AND('Skill Matrix'!A255&lt;&gt;"",'Skill Matrix'!J5&lt;&gt;""),'Skill Matrix'!J5,"")</f>
        <v/>
      </c>
      <c r="G3991">
        <f>IF(OR(A3991="",'Skill Matrix'!J255=""),"",'Skill Matrix'!J255)</f>
        <v/>
      </c>
      <c r="H3991">
        <f>IF(A3991="","",'Employees'!F21)</f>
        <v/>
      </c>
    </row>
    <row r="3992">
      <c r="A3992">
        <f>IF(AND('Skill Matrix'!A255&lt;&gt;"",'Skill Matrix'!K5&lt;&gt;""),'Skill Matrix'!A255,"")</f>
        <v/>
      </c>
      <c r="B3992">
        <f>IF(A3992="","",'Employees'!C21)</f>
        <v/>
      </c>
      <c r="C3992">
        <f>IF(A3992="","",'Employees'!D21)</f>
        <v/>
      </c>
      <c r="D3992">
        <f>IF(A3992="","",'Skill Matrix'!C255)</f>
        <v/>
      </c>
      <c r="E3992">
        <f>IF(A3992="","",'Skill Matrix'!D255)</f>
        <v/>
      </c>
      <c r="F3992">
        <f>IF(AND('Skill Matrix'!A255&lt;&gt;"",'Skill Matrix'!K5&lt;&gt;""),'Skill Matrix'!K5,"")</f>
        <v/>
      </c>
      <c r="G3992">
        <f>IF(OR(A3992="",'Skill Matrix'!K255=""),"",'Skill Matrix'!K255)</f>
        <v/>
      </c>
      <c r="H3992">
        <f>IF(A3992="","",'Employees'!F21)</f>
        <v/>
      </c>
    </row>
    <row r="3993">
      <c r="A3993">
        <f>IF(AND('Skill Matrix'!A255&lt;&gt;"",'Skill Matrix'!L5&lt;&gt;""),'Skill Matrix'!A255,"")</f>
        <v/>
      </c>
      <c r="B3993">
        <f>IF(A3993="","",'Employees'!C21)</f>
        <v/>
      </c>
      <c r="C3993">
        <f>IF(A3993="","",'Employees'!D21)</f>
        <v/>
      </c>
      <c r="D3993">
        <f>IF(A3993="","",'Skill Matrix'!C255)</f>
        <v/>
      </c>
      <c r="E3993">
        <f>IF(A3993="","",'Skill Matrix'!D255)</f>
        <v/>
      </c>
      <c r="F3993">
        <f>IF(AND('Skill Matrix'!A255&lt;&gt;"",'Skill Matrix'!L5&lt;&gt;""),'Skill Matrix'!L5,"")</f>
        <v/>
      </c>
      <c r="G3993">
        <f>IF(OR(A3993="",'Skill Matrix'!L255=""),"",'Skill Matrix'!L255)</f>
        <v/>
      </c>
      <c r="H3993">
        <f>IF(A3993="","",'Employees'!F21)</f>
        <v/>
      </c>
    </row>
    <row r="3994">
      <c r="A3994">
        <f>IF(AND('Skill Matrix'!A255&lt;&gt;"",'Skill Matrix'!M5&lt;&gt;""),'Skill Matrix'!A255,"")</f>
        <v/>
      </c>
      <c r="B3994">
        <f>IF(A3994="","",'Employees'!C21)</f>
        <v/>
      </c>
      <c r="C3994">
        <f>IF(A3994="","",'Employees'!D21)</f>
        <v/>
      </c>
      <c r="D3994">
        <f>IF(A3994="","",'Skill Matrix'!C255)</f>
        <v/>
      </c>
      <c r="E3994">
        <f>IF(A3994="","",'Skill Matrix'!D255)</f>
        <v/>
      </c>
      <c r="F3994">
        <f>IF(AND('Skill Matrix'!A255&lt;&gt;"",'Skill Matrix'!M5&lt;&gt;""),'Skill Matrix'!M5,"")</f>
        <v/>
      </c>
      <c r="G3994">
        <f>IF(OR(A3994="",'Skill Matrix'!M255=""),"",'Skill Matrix'!M255)</f>
        <v/>
      </c>
      <c r="H3994">
        <f>IF(A3994="","",'Employees'!F21)</f>
        <v/>
      </c>
    </row>
    <row r="3995">
      <c r="A3995">
        <f>IF(AND('Skill Matrix'!A255&lt;&gt;"",'Skill Matrix'!N5&lt;&gt;""),'Skill Matrix'!A255,"")</f>
        <v/>
      </c>
      <c r="B3995">
        <f>IF(A3995="","",'Employees'!C21)</f>
        <v/>
      </c>
      <c r="C3995">
        <f>IF(A3995="","",'Employees'!D21)</f>
        <v/>
      </c>
      <c r="D3995">
        <f>IF(A3995="","",'Skill Matrix'!C255)</f>
        <v/>
      </c>
      <c r="E3995">
        <f>IF(A3995="","",'Skill Matrix'!D255)</f>
        <v/>
      </c>
      <c r="F3995">
        <f>IF(AND('Skill Matrix'!A255&lt;&gt;"",'Skill Matrix'!N5&lt;&gt;""),'Skill Matrix'!N5,"")</f>
        <v/>
      </c>
      <c r="G3995">
        <f>IF(OR(A3995="",'Skill Matrix'!N255=""),"",'Skill Matrix'!N255)</f>
        <v/>
      </c>
      <c r="H3995">
        <f>IF(A3995="","",'Employees'!F21)</f>
        <v/>
      </c>
    </row>
    <row r="3996">
      <c r="A3996">
        <f>IF(AND('Skill Matrix'!A255&lt;&gt;"",'Skill Matrix'!O5&lt;&gt;""),'Skill Matrix'!A255,"")</f>
        <v/>
      </c>
      <c r="B3996">
        <f>IF(A3996="","",'Employees'!C21)</f>
        <v/>
      </c>
      <c r="C3996">
        <f>IF(A3996="","",'Employees'!D21)</f>
        <v/>
      </c>
      <c r="D3996">
        <f>IF(A3996="","",'Skill Matrix'!C255)</f>
        <v/>
      </c>
      <c r="E3996">
        <f>IF(A3996="","",'Skill Matrix'!D255)</f>
        <v/>
      </c>
      <c r="F3996">
        <f>IF(AND('Skill Matrix'!A255&lt;&gt;"",'Skill Matrix'!O5&lt;&gt;""),'Skill Matrix'!O5,"")</f>
        <v/>
      </c>
      <c r="G3996">
        <f>IF(OR(A3996="",'Skill Matrix'!O255=""),"",'Skill Matrix'!O255)</f>
        <v/>
      </c>
      <c r="H3996">
        <f>IF(A3996="","",'Employees'!F21)</f>
        <v/>
      </c>
    </row>
    <row r="3997">
      <c r="A3997">
        <f>IF(AND('Skill Matrix'!A255&lt;&gt;"",'Skill Matrix'!P5&lt;&gt;""),'Skill Matrix'!A255,"")</f>
        <v/>
      </c>
      <c r="B3997">
        <f>IF(A3997="","",'Employees'!C21)</f>
        <v/>
      </c>
      <c r="C3997">
        <f>IF(A3997="","",'Employees'!D21)</f>
        <v/>
      </c>
      <c r="D3997">
        <f>IF(A3997="","",'Skill Matrix'!C255)</f>
        <v/>
      </c>
      <c r="E3997">
        <f>IF(A3997="","",'Skill Matrix'!D255)</f>
        <v/>
      </c>
      <c r="F3997">
        <f>IF(AND('Skill Matrix'!A255&lt;&gt;"",'Skill Matrix'!P5&lt;&gt;""),'Skill Matrix'!P5,"")</f>
        <v/>
      </c>
      <c r="G3997">
        <f>IF(OR(A3997="",'Skill Matrix'!P255=""),"",'Skill Matrix'!P255)</f>
        <v/>
      </c>
      <c r="H3997">
        <f>IF(A3997="","",'Employees'!F21)</f>
        <v/>
      </c>
    </row>
    <row r="3998">
      <c r="A3998">
        <f>IF(AND('Skill Matrix'!A255&lt;&gt;"",'Skill Matrix'!Q5&lt;&gt;""),'Skill Matrix'!A255,"")</f>
        <v/>
      </c>
      <c r="B3998">
        <f>IF(A3998="","",'Employees'!C21)</f>
        <v/>
      </c>
      <c r="C3998">
        <f>IF(A3998="","",'Employees'!D21)</f>
        <v/>
      </c>
      <c r="D3998">
        <f>IF(A3998="","",'Skill Matrix'!C255)</f>
        <v/>
      </c>
      <c r="E3998">
        <f>IF(A3998="","",'Skill Matrix'!D255)</f>
        <v/>
      </c>
      <c r="F3998">
        <f>IF(AND('Skill Matrix'!A255&lt;&gt;"",'Skill Matrix'!Q5&lt;&gt;""),'Skill Matrix'!Q5,"")</f>
        <v/>
      </c>
      <c r="G3998">
        <f>IF(OR(A3998="",'Skill Matrix'!Q255=""),"",'Skill Matrix'!Q255)</f>
        <v/>
      </c>
      <c r="H3998">
        <f>IF(A3998="","",'Employees'!F21)</f>
        <v/>
      </c>
    </row>
    <row r="3999">
      <c r="A3999">
        <f>IF(AND('Skill Matrix'!A255&lt;&gt;"",'Skill Matrix'!R5&lt;&gt;""),'Skill Matrix'!A255,"")</f>
        <v/>
      </c>
      <c r="B3999">
        <f>IF(A3999="","",'Employees'!C21)</f>
        <v/>
      </c>
      <c r="C3999">
        <f>IF(A3999="","",'Employees'!D21)</f>
        <v/>
      </c>
      <c r="D3999">
        <f>IF(A3999="","",'Skill Matrix'!C255)</f>
        <v/>
      </c>
      <c r="E3999">
        <f>IF(A3999="","",'Skill Matrix'!D255)</f>
        <v/>
      </c>
      <c r="F3999">
        <f>IF(AND('Skill Matrix'!A255&lt;&gt;"",'Skill Matrix'!R5&lt;&gt;""),'Skill Matrix'!R5,"")</f>
        <v/>
      </c>
      <c r="G3999">
        <f>IF(OR(A3999="",'Skill Matrix'!R255=""),"",'Skill Matrix'!R255)</f>
        <v/>
      </c>
      <c r="H3999">
        <f>IF(A3999="","",'Employees'!F21)</f>
        <v/>
      </c>
    </row>
    <row r="4000">
      <c r="A4000">
        <f>IF(AND('Skill Matrix'!A255&lt;&gt;"",'Skill Matrix'!S5&lt;&gt;""),'Skill Matrix'!A255,"")</f>
        <v/>
      </c>
      <c r="B4000">
        <f>IF(A4000="","",'Employees'!C21)</f>
        <v/>
      </c>
      <c r="C4000">
        <f>IF(A4000="","",'Employees'!D21)</f>
        <v/>
      </c>
      <c r="D4000">
        <f>IF(A4000="","",'Skill Matrix'!C255)</f>
        <v/>
      </c>
      <c r="E4000">
        <f>IF(A4000="","",'Skill Matrix'!D255)</f>
        <v/>
      </c>
      <c r="F4000">
        <f>IF(AND('Skill Matrix'!A255&lt;&gt;"",'Skill Matrix'!S5&lt;&gt;""),'Skill Matrix'!S5,"")</f>
        <v/>
      </c>
      <c r="G4000">
        <f>IF(OR(A4000="",'Skill Matrix'!S255=""),"",'Skill Matrix'!S255)</f>
        <v/>
      </c>
      <c r="H4000">
        <f>IF(A4000="","",'Employees'!F21)</f>
        <v/>
      </c>
    </row>
    <row r="4001">
      <c r="A4001">
        <f>IF(AND('Skill Matrix'!A255&lt;&gt;"",'Skill Matrix'!T5&lt;&gt;""),'Skill Matrix'!A255,"")</f>
        <v/>
      </c>
      <c r="B4001">
        <f>IF(A4001="","",'Employees'!C21)</f>
        <v/>
      </c>
      <c r="C4001">
        <f>IF(A4001="","",'Employees'!D21)</f>
        <v/>
      </c>
      <c r="D4001">
        <f>IF(A4001="","",'Skill Matrix'!C255)</f>
        <v/>
      </c>
      <c r="E4001">
        <f>IF(A4001="","",'Skill Matrix'!D255)</f>
        <v/>
      </c>
      <c r="F4001">
        <f>IF(AND('Skill Matrix'!A255&lt;&gt;"",'Skill Matrix'!T5&lt;&gt;""),'Skill Matrix'!T5,"")</f>
        <v/>
      </c>
      <c r="G4001">
        <f>IF(OR(A4001="",'Skill Matrix'!T255=""),"",'Skill Matrix'!T255)</f>
        <v/>
      </c>
      <c r="H4001">
        <f>IF(A4001="","",'Employees'!F21)</f>
        <v/>
      </c>
    </row>
    <row r="4002">
      <c r="A4002">
        <f>IF(AND('Skill Matrix'!A256&lt;&gt;"",'Skill Matrix'!E5&lt;&gt;""),'Skill Matrix'!A256,"")</f>
        <v/>
      </c>
      <c r="B4002">
        <f>IF(A4002="","",'Employees'!C21)</f>
        <v/>
      </c>
      <c r="C4002">
        <f>IF(A4002="","",'Employees'!D21)</f>
        <v/>
      </c>
      <c r="D4002">
        <f>IF(A4002="","",'Skill Matrix'!C256)</f>
        <v/>
      </c>
      <c r="E4002">
        <f>IF(A4002="","",'Skill Matrix'!D256)</f>
        <v/>
      </c>
      <c r="F4002">
        <f>IF(AND('Skill Matrix'!A256&lt;&gt;"",'Skill Matrix'!E5&lt;&gt;""),'Skill Matrix'!E5,"")</f>
        <v/>
      </c>
      <c r="G4002">
        <f>IF(OR(A4002="",'Skill Matrix'!E256=""),"",'Skill Matrix'!E256)</f>
        <v/>
      </c>
      <c r="H4002">
        <f>IF(A4002="","",'Employees'!F21)</f>
        <v/>
      </c>
    </row>
    <row r="4003">
      <c r="A4003">
        <f>IF(AND('Skill Matrix'!A256&lt;&gt;"",'Skill Matrix'!F5&lt;&gt;""),'Skill Matrix'!A256,"")</f>
        <v/>
      </c>
      <c r="B4003">
        <f>IF(A4003="","",'Employees'!C21)</f>
        <v/>
      </c>
      <c r="C4003">
        <f>IF(A4003="","",'Employees'!D21)</f>
        <v/>
      </c>
      <c r="D4003">
        <f>IF(A4003="","",'Skill Matrix'!C256)</f>
        <v/>
      </c>
      <c r="E4003">
        <f>IF(A4003="","",'Skill Matrix'!D256)</f>
        <v/>
      </c>
      <c r="F4003">
        <f>IF(AND('Skill Matrix'!A256&lt;&gt;"",'Skill Matrix'!F5&lt;&gt;""),'Skill Matrix'!F5,"")</f>
        <v/>
      </c>
      <c r="G4003">
        <f>IF(OR(A4003="",'Skill Matrix'!F256=""),"",'Skill Matrix'!F256)</f>
        <v/>
      </c>
      <c r="H4003">
        <f>IF(A4003="","",'Employees'!F21)</f>
        <v/>
      </c>
    </row>
    <row r="4004">
      <c r="A4004">
        <f>IF(AND('Skill Matrix'!A256&lt;&gt;"",'Skill Matrix'!G5&lt;&gt;""),'Skill Matrix'!A256,"")</f>
        <v/>
      </c>
      <c r="B4004">
        <f>IF(A4004="","",'Employees'!C21)</f>
        <v/>
      </c>
      <c r="C4004">
        <f>IF(A4004="","",'Employees'!D21)</f>
        <v/>
      </c>
      <c r="D4004">
        <f>IF(A4004="","",'Skill Matrix'!C256)</f>
        <v/>
      </c>
      <c r="E4004">
        <f>IF(A4004="","",'Skill Matrix'!D256)</f>
        <v/>
      </c>
      <c r="F4004">
        <f>IF(AND('Skill Matrix'!A256&lt;&gt;"",'Skill Matrix'!G5&lt;&gt;""),'Skill Matrix'!G5,"")</f>
        <v/>
      </c>
      <c r="G4004">
        <f>IF(OR(A4004="",'Skill Matrix'!G256=""),"",'Skill Matrix'!G256)</f>
        <v/>
      </c>
      <c r="H4004">
        <f>IF(A4004="","",'Employees'!F21)</f>
        <v/>
      </c>
    </row>
    <row r="4005">
      <c r="A4005">
        <f>IF(AND('Skill Matrix'!A256&lt;&gt;"",'Skill Matrix'!H5&lt;&gt;""),'Skill Matrix'!A256,"")</f>
        <v/>
      </c>
      <c r="B4005">
        <f>IF(A4005="","",'Employees'!C21)</f>
        <v/>
      </c>
      <c r="C4005">
        <f>IF(A4005="","",'Employees'!D21)</f>
        <v/>
      </c>
      <c r="D4005">
        <f>IF(A4005="","",'Skill Matrix'!C256)</f>
        <v/>
      </c>
      <c r="E4005">
        <f>IF(A4005="","",'Skill Matrix'!D256)</f>
        <v/>
      </c>
      <c r="F4005">
        <f>IF(AND('Skill Matrix'!A256&lt;&gt;"",'Skill Matrix'!H5&lt;&gt;""),'Skill Matrix'!H5,"")</f>
        <v/>
      </c>
      <c r="G4005">
        <f>IF(OR(A4005="",'Skill Matrix'!H256=""),"",'Skill Matrix'!H256)</f>
        <v/>
      </c>
      <c r="H4005">
        <f>IF(A4005="","",'Employees'!F21)</f>
        <v/>
      </c>
    </row>
    <row r="4006">
      <c r="A4006">
        <f>IF(AND('Skill Matrix'!A256&lt;&gt;"",'Skill Matrix'!I5&lt;&gt;""),'Skill Matrix'!A256,"")</f>
        <v/>
      </c>
      <c r="B4006">
        <f>IF(A4006="","",'Employees'!C21)</f>
        <v/>
      </c>
      <c r="C4006">
        <f>IF(A4006="","",'Employees'!D21)</f>
        <v/>
      </c>
      <c r="D4006">
        <f>IF(A4006="","",'Skill Matrix'!C256)</f>
        <v/>
      </c>
      <c r="E4006">
        <f>IF(A4006="","",'Skill Matrix'!D256)</f>
        <v/>
      </c>
      <c r="F4006">
        <f>IF(AND('Skill Matrix'!A256&lt;&gt;"",'Skill Matrix'!I5&lt;&gt;""),'Skill Matrix'!I5,"")</f>
        <v/>
      </c>
      <c r="G4006">
        <f>IF(OR(A4006="",'Skill Matrix'!I256=""),"",'Skill Matrix'!I256)</f>
        <v/>
      </c>
      <c r="H4006">
        <f>IF(A4006="","",'Employees'!F21)</f>
        <v/>
      </c>
    </row>
    <row r="4007">
      <c r="A4007">
        <f>IF(AND('Skill Matrix'!A256&lt;&gt;"",'Skill Matrix'!J5&lt;&gt;""),'Skill Matrix'!A256,"")</f>
        <v/>
      </c>
      <c r="B4007">
        <f>IF(A4007="","",'Employees'!C21)</f>
        <v/>
      </c>
      <c r="C4007">
        <f>IF(A4007="","",'Employees'!D21)</f>
        <v/>
      </c>
      <c r="D4007">
        <f>IF(A4007="","",'Skill Matrix'!C256)</f>
        <v/>
      </c>
      <c r="E4007">
        <f>IF(A4007="","",'Skill Matrix'!D256)</f>
        <v/>
      </c>
      <c r="F4007">
        <f>IF(AND('Skill Matrix'!A256&lt;&gt;"",'Skill Matrix'!J5&lt;&gt;""),'Skill Matrix'!J5,"")</f>
        <v/>
      </c>
      <c r="G4007">
        <f>IF(OR(A4007="",'Skill Matrix'!J256=""),"",'Skill Matrix'!J256)</f>
        <v/>
      </c>
      <c r="H4007">
        <f>IF(A4007="","",'Employees'!F21)</f>
        <v/>
      </c>
    </row>
    <row r="4008">
      <c r="A4008">
        <f>IF(AND('Skill Matrix'!A256&lt;&gt;"",'Skill Matrix'!K5&lt;&gt;""),'Skill Matrix'!A256,"")</f>
        <v/>
      </c>
      <c r="B4008">
        <f>IF(A4008="","",'Employees'!C21)</f>
        <v/>
      </c>
      <c r="C4008">
        <f>IF(A4008="","",'Employees'!D21)</f>
        <v/>
      </c>
      <c r="D4008">
        <f>IF(A4008="","",'Skill Matrix'!C256)</f>
        <v/>
      </c>
      <c r="E4008">
        <f>IF(A4008="","",'Skill Matrix'!D256)</f>
        <v/>
      </c>
      <c r="F4008">
        <f>IF(AND('Skill Matrix'!A256&lt;&gt;"",'Skill Matrix'!K5&lt;&gt;""),'Skill Matrix'!K5,"")</f>
        <v/>
      </c>
      <c r="G4008">
        <f>IF(OR(A4008="",'Skill Matrix'!K256=""),"",'Skill Matrix'!K256)</f>
        <v/>
      </c>
      <c r="H4008">
        <f>IF(A4008="","",'Employees'!F21)</f>
        <v/>
      </c>
    </row>
    <row r="4009">
      <c r="A4009">
        <f>IF(AND('Skill Matrix'!A256&lt;&gt;"",'Skill Matrix'!L5&lt;&gt;""),'Skill Matrix'!A256,"")</f>
        <v/>
      </c>
      <c r="B4009">
        <f>IF(A4009="","",'Employees'!C21)</f>
        <v/>
      </c>
      <c r="C4009">
        <f>IF(A4009="","",'Employees'!D21)</f>
        <v/>
      </c>
      <c r="D4009">
        <f>IF(A4009="","",'Skill Matrix'!C256)</f>
        <v/>
      </c>
      <c r="E4009">
        <f>IF(A4009="","",'Skill Matrix'!D256)</f>
        <v/>
      </c>
      <c r="F4009">
        <f>IF(AND('Skill Matrix'!A256&lt;&gt;"",'Skill Matrix'!L5&lt;&gt;""),'Skill Matrix'!L5,"")</f>
        <v/>
      </c>
      <c r="G4009">
        <f>IF(OR(A4009="",'Skill Matrix'!L256=""),"",'Skill Matrix'!L256)</f>
        <v/>
      </c>
      <c r="H4009">
        <f>IF(A4009="","",'Employees'!F21)</f>
        <v/>
      </c>
    </row>
    <row r="4010">
      <c r="A4010">
        <f>IF(AND('Skill Matrix'!A256&lt;&gt;"",'Skill Matrix'!M5&lt;&gt;""),'Skill Matrix'!A256,"")</f>
        <v/>
      </c>
      <c r="B4010">
        <f>IF(A4010="","",'Employees'!C21)</f>
        <v/>
      </c>
      <c r="C4010">
        <f>IF(A4010="","",'Employees'!D21)</f>
        <v/>
      </c>
      <c r="D4010">
        <f>IF(A4010="","",'Skill Matrix'!C256)</f>
        <v/>
      </c>
      <c r="E4010">
        <f>IF(A4010="","",'Skill Matrix'!D256)</f>
        <v/>
      </c>
      <c r="F4010">
        <f>IF(AND('Skill Matrix'!A256&lt;&gt;"",'Skill Matrix'!M5&lt;&gt;""),'Skill Matrix'!M5,"")</f>
        <v/>
      </c>
      <c r="G4010">
        <f>IF(OR(A4010="",'Skill Matrix'!M256=""),"",'Skill Matrix'!M256)</f>
        <v/>
      </c>
      <c r="H4010">
        <f>IF(A4010="","",'Employees'!F21)</f>
        <v/>
      </c>
    </row>
    <row r="4011">
      <c r="A4011">
        <f>IF(AND('Skill Matrix'!A256&lt;&gt;"",'Skill Matrix'!N5&lt;&gt;""),'Skill Matrix'!A256,"")</f>
        <v/>
      </c>
      <c r="B4011">
        <f>IF(A4011="","",'Employees'!C21)</f>
        <v/>
      </c>
      <c r="C4011">
        <f>IF(A4011="","",'Employees'!D21)</f>
        <v/>
      </c>
      <c r="D4011">
        <f>IF(A4011="","",'Skill Matrix'!C256)</f>
        <v/>
      </c>
      <c r="E4011">
        <f>IF(A4011="","",'Skill Matrix'!D256)</f>
        <v/>
      </c>
      <c r="F4011">
        <f>IF(AND('Skill Matrix'!A256&lt;&gt;"",'Skill Matrix'!N5&lt;&gt;""),'Skill Matrix'!N5,"")</f>
        <v/>
      </c>
      <c r="G4011">
        <f>IF(OR(A4011="",'Skill Matrix'!N256=""),"",'Skill Matrix'!N256)</f>
        <v/>
      </c>
      <c r="H4011">
        <f>IF(A4011="","",'Employees'!F21)</f>
        <v/>
      </c>
    </row>
    <row r="4012">
      <c r="A4012">
        <f>IF(AND('Skill Matrix'!A256&lt;&gt;"",'Skill Matrix'!O5&lt;&gt;""),'Skill Matrix'!A256,"")</f>
        <v/>
      </c>
      <c r="B4012">
        <f>IF(A4012="","",'Employees'!C21)</f>
        <v/>
      </c>
      <c r="C4012">
        <f>IF(A4012="","",'Employees'!D21)</f>
        <v/>
      </c>
      <c r="D4012">
        <f>IF(A4012="","",'Skill Matrix'!C256)</f>
        <v/>
      </c>
      <c r="E4012">
        <f>IF(A4012="","",'Skill Matrix'!D256)</f>
        <v/>
      </c>
      <c r="F4012">
        <f>IF(AND('Skill Matrix'!A256&lt;&gt;"",'Skill Matrix'!O5&lt;&gt;""),'Skill Matrix'!O5,"")</f>
        <v/>
      </c>
      <c r="G4012">
        <f>IF(OR(A4012="",'Skill Matrix'!O256=""),"",'Skill Matrix'!O256)</f>
        <v/>
      </c>
      <c r="H4012">
        <f>IF(A4012="","",'Employees'!F21)</f>
        <v/>
      </c>
    </row>
    <row r="4013">
      <c r="A4013">
        <f>IF(AND('Skill Matrix'!A256&lt;&gt;"",'Skill Matrix'!P5&lt;&gt;""),'Skill Matrix'!A256,"")</f>
        <v/>
      </c>
      <c r="B4013">
        <f>IF(A4013="","",'Employees'!C21)</f>
        <v/>
      </c>
      <c r="C4013">
        <f>IF(A4013="","",'Employees'!D21)</f>
        <v/>
      </c>
      <c r="D4013">
        <f>IF(A4013="","",'Skill Matrix'!C256)</f>
        <v/>
      </c>
      <c r="E4013">
        <f>IF(A4013="","",'Skill Matrix'!D256)</f>
        <v/>
      </c>
      <c r="F4013">
        <f>IF(AND('Skill Matrix'!A256&lt;&gt;"",'Skill Matrix'!P5&lt;&gt;""),'Skill Matrix'!P5,"")</f>
        <v/>
      </c>
      <c r="G4013">
        <f>IF(OR(A4013="",'Skill Matrix'!P256=""),"",'Skill Matrix'!P256)</f>
        <v/>
      </c>
      <c r="H4013">
        <f>IF(A4013="","",'Employees'!F21)</f>
        <v/>
      </c>
    </row>
    <row r="4014">
      <c r="A4014">
        <f>IF(AND('Skill Matrix'!A256&lt;&gt;"",'Skill Matrix'!Q5&lt;&gt;""),'Skill Matrix'!A256,"")</f>
        <v/>
      </c>
      <c r="B4014">
        <f>IF(A4014="","",'Employees'!C21)</f>
        <v/>
      </c>
      <c r="C4014">
        <f>IF(A4014="","",'Employees'!D21)</f>
        <v/>
      </c>
      <c r="D4014">
        <f>IF(A4014="","",'Skill Matrix'!C256)</f>
        <v/>
      </c>
      <c r="E4014">
        <f>IF(A4014="","",'Skill Matrix'!D256)</f>
        <v/>
      </c>
      <c r="F4014">
        <f>IF(AND('Skill Matrix'!A256&lt;&gt;"",'Skill Matrix'!Q5&lt;&gt;""),'Skill Matrix'!Q5,"")</f>
        <v/>
      </c>
      <c r="G4014">
        <f>IF(OR(A4014="",'Skill Matrix'!Q256=""),"",'Skill Matrix'!Q256)</f>
        <v/>
      </c>
      <c r="H4014">
        <f>IF(A4014="","",'Employees'!F21)</f>
        <v/>
      </c>
    </row>
    <row r="4015">
      <c r="A4015">
        <f>IF(AND('Skill Matrix'!A256&lt;&gt;"",'Skill Matrix'!R5&lt;&gt;""),'Skill Matrix'!A256,"")</f>
        <v/>
      </c>
      <c r="B4015">
        <f>IF(A4015="","",'Employees'!C21)</f>
        <v/>
      </c>
      <c r="C4015">
        <f>IF(A4015="","",'Employees'!D21)</f>
        <v/>
      </c>
      <c r="D4015">
        <f>IF(A4015="","",'Skill Matrix'!C256)</f>
        <v/>
      </c>
      <c r="E4015">
        <f>IF(A4015="","",'Skill Matrix'!D256)</f>
        <v/>
      </c>
      <c r="F4015">
        <f>IF(AND('Skill Matrix'!A256&lt;&gt;"",'Skill Matrix'!R5&lt;&gt;""),'Skill Matrix'!R5,"")</f>
        <v/>
      </c>
      <c r="G4015">
        <f>IF(OR(A4015="",'Skill Matrix'!R256=""),"",'Skill Matrix'!R256)</f>
        <v/>
      </c>
      <c r="H4015">
        <f>IF(A4015="","",'Employees'!F21)</f>
        <v/>
      </c>
    </row>
    <row r="4016">
      <c r="A4016">
        <f>IF(AND('Skill Matrix'!A256&lt;&gt;"",'Skill Matrix'!S5&lt;&gt;""),'Skill Matrix'!A256,"")</f>
        <v/>
      </c>
      <c r="B4016">
        <f>IF(A4016="","",'Employees'!C21)</f>
        <v/>
      </c>
      <c r="C4016">
        <f>IF(A4016="","",'Employees'!D21)</f>
        <v/>
      </c>
      <c r="D4016">
        <f>IF(A4016="","",'Skill Matrix'!C256)</f>
        <v/>
      </c>
      <c r="E4016">
        <f>IF(A4016="","",'Skill Matrix'!D256)</f>
        <v/>
      </c>
      <c r="F4016">
        <f>IF(AND('Skill Matrix'!A256&lt;&gt;"",'Skill Matrix'!S5&lt;&gt;""),'Skill Matrix'!S5,"")</f>
        <v/>
      </c>
      <c r="G4016">
        <f>IF(OR(A4016="",'Skill Matrix'!S256=""),"",'Skill Matrix'!S256)</f>
        <v/>
      </c>
      <c r="H4016">
        <f>IF(A4016="","",'Employees'!F21)</f>
        <v/>
      </c>
    </row>
    <row r="4017">
      <c r="A4017">
        <f>IF(AND('Skill Matrix'!A256&lt;&gt;"",'Skill Matrix'!T5&lt;&gt;""),'Skill Matrix'!A256,"")</f>
        <v/>
      </c>
      <c r="B4017">
        <f>IF(A4017="","",'Employees'!C21)</f>
        <v/>
      </c>
      <c r="C4017">
        <f>IF(A4017="","",'Employees'!D21)</f>
        <v/>
      </c>
      <c r="D4017">
        <f>IF(A4017="","",'Skill Matrix'!C256)</f>
        <v/>
      </c>
      <c r="E4017">
        <f>IF(A4017="","",'Skill Matrix'!D256)</f>
        <v/>
      </c>
      <c r="F4017">
        <f>IF(AND('Skill Matrix'!A256&lt;&gt;"",'Skill Matrix'!T5&lt;&gt;""),'Skill Matrix'!T5,"")</f>
        <v/>
      </c>
      <c r="G4017">
        <f>IF(OR(A4017="",'Skill Matrix'!T256=""),"",'Skill Matrix'!T256)</f>
        <v/>
      </c>
      <c r="H4017">
        <f>IF(A4017="","",'Employees'!F21)</f>
        <v/>
      </c>
    </row>
    <row r="4018">
      <c r="A4018">
        <f>IF(AND('Skill Matrix'!A257&lt;&gt;"",'Skill Matrix'!E5&lt;&gt;""),'Skill Matrix'!A257,"")</f>
        <v/>
      </c>
      <c r="B4018">
        <f>IF(A4018="","",'Employees'!C21)</f>
        <v/>
      </c>
      <c r="C4018">
        <f>IF(A4018="","",'Employees'!D21)</f>
        <v/>
      </c>
      <c r="D4018">
        <f>IF(A4018="","",'Skill Matrix'!C257)</f>
        <v/>
      </c>
      <c r="E4018">
        <f>IF(A4018="","",'Skill Matrix'!D257)</f>
        <v/>
      </c>
      <c r="F4018">
        <f>IF(AND('Skill Matrix'!A257&lt;&gt;"",'Skill Matrix'!E5&lt;&gt;""),'Skill Matrix'!E5,"")</f>
        <v/>
      </c>
      <c r="G4018">
        <f>IF(OR(A4018="",'Skill Matrix'!E257=""),"",'Skill Matrix'!E257)</f>
        <v/>
      </c>
      <c r="H4018">
        <f>IF(A4018="","",'Employees'!F21)</f>
        <v/>
      </c>
    </row>
    <row r="4019">
      <c r="A4019">
        <f>IF(AND('Skill Matrix'!A257&lt;&gt;"",'Skill Matrix'!F5&lt;&gt;""),'Skill Matrix'!A257,"")</f>
        <v/>
      </c>
      <c r="B4019">
        <f>IF(A4019="","",'Employees'!C21)</f>
        <v/>
      </c>
      <c r="C4019">
        <f>IF(A4019="","",'Employees'!D21)</f>
        <v/>
      </c>
      <c r="D4019">
        <f>IF(A4019="","",'Skill Matrix'!C257)</f>
        <v/>
      </c>
      <c r="E4019">
        <f>IF(A4019="","",'Skill Matrix'!D257)</f>
        <v/>
      </c>
      <c r="F4019">
        <f>IF(AND('Skill Matrix'!A257&lt;&gt;"",'Skill Matrix'!F5&lt;&gt;""),'Skill Matrix'!F5,"")</f>
        <v/>
      </c>
      <c r="G4019">
        <f>IF(OR(A4019="",'Skill Matrix'!F257=""),"",'Skill Matrix'!F257)</f>
        <v/>
      </c>
      <c r="H4019">
        <f>IF(A4019="","",'Employees'!F21)</f>
        <v/>
      </c>
    </row>
    <row r="4020">
      <c r="A4020">
        <f>IF(AND('Skill Matrix'!A257&lt;&gt;"",'Skill Matrix'!G5&lt;&gt;""),'Skill Matrix'!A257,"")</f>
        <v/>
      </c>
      <c r="B4020">
        <f>IF(A4020="","",'Employees'!C21)</f>
        <v/>
      </c>
      <c r="C4020">
        <f>IF(A4020="","",'Employees'!D21)</f>
        <v/>
      </c>
      <c r="D4020">
        <f>IF(A4020="","",'Skill Matrix'!C257)</f>
        <v/>
      </c>
      <c r="E4020">
        <f>IF(A4020="","",'Skill Matrix'!D257)</f>
        <v/>
      </c>
      <c r="F4020">
        <f>IF(AND('Skill Matrix'!A257&lt;&gt;"",'Skill Matrix'!G5&lt;&gt;""),'Skill Matrix'!G5,"")</f>
        <v/>
      </c>
      <c r="G4020">
        <f>IF(OR(A4020="",'Skill Matrix'!G257=""),"",'Skill Matrix'!G257)</f>
        <v/>
      </c>
      <c r="H4020">
        <f>IF(A4020="","",'Employees'!F21)</f>
        <v/>
      </c>
    </row>
    <row r="4021">
      <c r="A4021">
        <f>IF(AND('Skill Matrix'!A257&lt;&gt;"",'Skill Matrix'!H5&lt;&gt;""),'Skill Matrix'!A257,"")</f>
        <v/>
      </c>
      <c r="B4021">
        <f>IF(A4021="","",'Employees'!C21)</f>
        <v/>
      </c>
      <c r="C4021">
        <f>IF(A4021="","",'Employees'!D21)</f>
        <v/>
      </c>
      <c r="D4021">
        <f>IF(A4021="","",'Skill Matrix'!C257)</f>
        <v/>
      </c>
      <c r="E4021">
        <f>IF(A4021="","",'Skill Matrix'!D257)</f>
        <v/>
      </c>
      <c r="F4021">
        <f>IF(AND('Skill Matrix'!A257&lt;&gt;"",'Skill Matrix'!H5&lt;&gt;""),'Skill Matrix'!H5,"")</f>
        <v/>
      </c>
      <c r="G4021">
        <f>IF(OR(A4021="",'Skill Matrix'!H257=""),"",'Skill Matrix'!H257)</f>
        <v/>
      </c>
      <c r="H4021">
        <f>IF(A4021="","",'Employees'!F21)</f>
        <v/>
      </c>
    </row>
    <row r="4022">
      <c r="A4022">
        <f>IF(AND('Skill Matrix'!A257&lt;&gt;"",'Skill Matrix'!I5&lt;&gt;""),'Skill Matrix'!A257,"")</f>
        <v/>
      </c>
      <c r="B4022">
        <f>IF(A4022="","",'Employees'!C21)</f>
        <v/>
      </c>
      <c r="C4022">
        <f>IF(A4022="","",'Employees'!D21)</f>
        <v/>
      </c>
      <c r="D4022">
        <f>IF(A4022="","",'Skill Matrix'!C257)</f>
        <v/>
      </c>
      <c r="E4022">
        <f>IF(A4022="","",'Skill Matrix'!D257)</f>
        <v/>
      </c>
      <c r="F4022">
        <f>IF(AND('Skill Matrix'!A257&lt;&gt;"",'Skill Matrix'!I5&lt;&gt;""),'Skill Matrix'!I5,"")</f>
        <v/>
      </c>
      <c r="G4022">
        <f>IF(OR(A4022="",'Skill Matrix'!I257=""),"",'Skill Matrix'!I257)</f>
        <v/>
      </c>
      <c r="H4022">
        <f>IF(A4022="","",'Employees'!F21)</f>
        <v/>
      </c>
    </row>
    <row r="4023">
      <c r="A4023">
        <f>IF(AND('Skill Matrix'!A257&lt;&gt;"",'Skill Matrix'!J5&lt;&gt;""),'Skill Matrix'!A257,"")</f>
        <v/>
      </c>
      <c r="B4023">
        <f>IF(A4023="","",'Employees'!C21)</f>
        <v/>
      </c>
      <c r="C4023">
        <f>IF(A4023="","",'Employees'!D21)</f>
        <v/>
      </c>
      <c r="D4023">
        <f>IF(A4023="","",'Skill Matrix'!C257)</f>
        <v/>
      </c>
      <c r="E4023">
        <f>IF(A4023="","",'Skill Matrix'!D257)</f>
        <v/>
      </c>
      <c r="F4023">
        <f>IF(AND('Skill Matrix'!A257&lt;&gt;"",'Skill Matrix'!J5&lt;&gt;""),'Skill Matrix'!J5,"")</f>
        <v/>
      </c>
      <c r="G4023">
        <f>IF(OR(A4023="",'Skill Matrix'!J257=""),"",'Skill Matrix'!J257)</f>
        <v/>
      </c>
      <c r="H4023">
        <f>IF(A4023="","",'Employees'!F21)</f>
        <v/>
      </c>
    </row>
    <row r="4024">
      <c r="A4024">
        <f>IF(AND('Skill Matrix'!A257&lt;&gt;"",'Skill Matrix'!K5&lt;&gt;""),'Skill Matrix'!A257,"")</f>
        <v/>
      </c>
      <c r="B4024">
        <f>IF(A4024="","",'Employees'!C21)</f>
        <v/>
      </c>
      <c r="C4024">
        <f>IF(A4024="","",'Employees'!D21)</f>
        <v/>
      </c>
      <c r="D4024">
        <f>IF(A4024="","",'Skill Matrix'!C257)</f>
        <v/>
      </c>
      <c r="E4024">
        <f>IF(A4024="","",'Skill Matrix'!D257)</f>
        <v/>
      </c>
      <c r="F4024">
        <f>IF(AND('Skill Matrix'!A257&lt;&gt;"",'Skill Matrix'!K5&lt;&gt;""),'Skill Matrix'!K5,"")</f>
        <v/>
      </c>
      <c r="G4024">
        <f>IF(OR(A4024="",'Skill Matrix'!K257=""),"",'Skill Matrix'!K257)</f>
        <v/>
      </c>
      <c r="H4024">
        <f>IF(A4024="","",'Employees'!F21)</f>
        <v/>
      </c>
    </row>
    <row r="4025">
      <c r="A4025">
        <f>IF(AND('Skill Matrix'!A257&lt;&gt;"",'Skill Matrix'!L5&lt;&gt;""),'Skill Matrix'!A257,"")</f>
        <v/>
      </c>
      <c r="B4025">
        <f>IF(A4025="","",'Employees'!C21)</f>
        <v/>
      </c>
      <c r="C4025">
        <f>IF(A4025="","",'Employees'!D21)</f>
        <v/>
      </c>
      <c r="D4025">
        <f>IF(A4025="","",'Skill Matrix'!C257)</f>
        <v/>
      </c>
      <c r="E4025">
        <f>IF(A4025="","",'Skill Matrix'!D257)</f>
        <v/>
      </c>
      <c r="F4025">
        <f>IF(AND('Skill Matrix'!A257&lt;&gt;"",'Skill Matrix'!L5&lt;&gt;""),'Skill Matrix'!L5,"")</f>
        <v/>
      </c>
      <c r="G4025">
        <f>IF(OR(A4025="",'Skill Matrix'!L257=""),"",'Skill Matrix'!L257)</f>
        <v/>
      </c>
      <c r="H4025">
        <f>IF(A4025="","",'Employees'!F21)</f>
        <v/>
      </c>
    </row>
    <row r="4026">
      <c r="A4026">
        <f>IF(AND('Skill Matrix'!A257&lt;&gt;"",'Skill Matrix'!M5&lt;&gt;""),'Skill Matrix'!A257,"")</f>
        <v/>
      </c>
      <c r="B4026">
        <f>IF(A4026="","",'Employees'!C21)</f>
        <v/>
      </c>
      <c r="C4026">
        <f>IF(A4026="","",'Employees'!D21)</f>
        <v/>
      </c>
      <c r="D4026">
        <f>IF(A4026="","",'Skill Matrix'!C257)</f>
        <v/>
      </c>
      <c r="E4026">
        <f>IF(A4026="","",'Skill Matrix'!D257)</f>
        <v/>
      </c>
      <c r="F4026">
        <f>IF(AND('Skill Matrix'!A257&lt;&gt;"",'Skill Matrix'!M5&lt;&gt;""),'Skill Matrix'!M5,"")</f>
        <v/>
      </c>
      <c r="G4026">
        <f>IF(OR(A4026="",'Skill Matrix'!M257=""),"",'Skill Matrix'!M257)</f>
        <v/>
      </c>
      <c r="H4026">
        <f>IF(A4026="","",'Employees'!F21)</f>
        <v/>
      </c>
    </row>
    <row r="4027">
      <c r="A4027">
        <f>IF(AND('Skill Matrix'!A257&lt;&gt;"",'Skill Matrix'!N5&lt;&gt;""),'Skill Matrix'!A257,"")</f>
        <v/>
      </c>
      <c r="B4027">
        <f>IF(A4027="","",'Employees'!C21)</f>
        <v/>
      </c>
      <c r="C4027">
        <f>IF(A4027="","",'Employees'!D21)</f>
        <v/>
      </c>
      <c r="D4027">
        <f>IF(A4027="","",'Skill Matrix'!C257)</f>
        <v/>
      </c>
      <c r="E4027">
        <f>IF(A4027="","",'Skill Matrix'!D257)</f>
        <v/>
      </c>
      <c r="F4027">
        <f>IF(AND('Skill Matrix'!A257&lt;&gt;"",'Skill Matrix'!N5&lt;&gt;""),'Skill Matrix'!N5,"")</f>
        <v/>
      </c>
      <c r="G4027">
        <f>IF(OR(A4027="",'Skill Matrix'!N257=""),"",'Skill Matrix'!N257)</f>
        <v/>
      </c>
      <c r="H4027">
        <f>IF(A4027="","",'Employees'!F21)</f>
        <v/>
      </c>
    </row>
    <row r="4028">
      <c r="A4028">
        <f>IF(AND('Skill Matrix'!A257&lt;&gt;"",'Skill Matrix'!O5&lt;&gt;""),'Skill Matrix'!A257,"")</f>
        <v/>
      </c>
      <c r="B4028">
        <f>IF(A4028="","",'Employees'!C21)</f>
        <v/>
      </c>
      <c r="C4028">
        <f>IF(A4028="","",'Employees'!D21)</f>
        <v/>
      </c>
      <c r="D4028">
        <f>IF(A4028="","",'Skill Matrix'!C257)</f>
        <v/>
      </c>
      <c r="E4028">
        <f>IF(A4028="","",'Skill Matrix'!D257)</f>
        <v/>
      </c>
      <c r="F4028">
        <f>IF(AND('Skill Matrix'!A257&lt;&gt;"",'Skill Matrix'!O5&lt;&gt;""),'Skill Matrix'!O5,"")</f>
        <v/>
      </c>
      <c r="G4028">
        <f>IF(OR(A4028="",'Skill Matrix'!O257=""),"",'Skill Matrix'!O257)</f>
        <v/>
      </c>
      <c r="H4028">
        <f>IF(A4028="","",'Employees'!F21)</f>
        <v/>
      </c>
    </row>
    <row r="4029">
      <c r="A4029">
        <f>IF(AND('Skill Matrix'!A257&lt;&gt;"",'Skill Matrix'!P5&lt;&gt;""),'Skill Matrix'!A257,"")</f>
        <v/>
      </c>
      <c r="B4029">
        <f>IF(A4029="","",'Employees'!C21)</f>
        <v/>
      </c>
      <c r="C4029">
        <f>IF(A4029="","",'Employees'!D21)</f>
        <v/>
      </c>
      <c r="D4029">
        <f>IF(A4029="","",'Skill Matrix'!C257)</f>
        <v/>
      </c>
      <c r="E4029">
        <f>IF(A4029="","",'Skill Matrix'!D257)</f>
        <v/>
      </c>
      <c r="F4029">
        <f>IF(AND('Skill Matrix'!A257&lt;&gt;"",'Skill Matrix'!P5&lt;&gt;""),'Skill Matrix'!P5,"")</f>
        <v/>
      </c>
      <c r="G4029">
        <f>IF(OR(A4029="",'Skill Matrix'!P257=""),"",'Skill Matrix'!P257)</f>
        <v/>
      </c>
      <c r="H4029">
        <f>IF(A4029="","",'Employees'!F21)</f>
        <v/>
      </c>
    </row>
    <row r="4030">
      <c r="A4030">
        <f>IF(AND('Skill Matrix'!A257&lt;&gt;"",'Skill Matrix'!Q5&lt;&gt;""),'Skill Matrix'!A257,"")</f>
        <v/>
      </c>
      <c r="B4030">
        <f>IF(A4030="","",'Employees'!C21)</f>
        <v/>
      </c>
      <c r="C4030">
        <f>IF(A4030="","",'Employees'!D21)</f>
        <v/>
      </c>
      <c r="D4030">
        <f>IF(A4030="","",'Skill Matrix'!C257)</f>
        <v/>
      </c>
      <c r="E4030">
        <f>IF(A4030="","",'Skill Matrix'!D257)</f>
        <v/>
      </c>
      <c r="F4030">
        <f>IF(AND('Skill Matrix'!A257&lt;&gt;"",'Skill Matrix'!Q5&lt;&gt;""),'Skill Matrix'!Q5,"")</f>
        <v/>
      </c>
      <c r="G4030">
        <f>IF(OR(A4030="",'Skill Matrix'!Q257=""),"",'Skill Matrix'!Q257)</f>
        <v/>
      </c>
      <c r="H4030">
        <f>IF(A4030="","",'Employees'!F21)</f>
        <v/>
      </c>
    </row>
    <row r="4031">
      <c r="A4031">
        <f>IF(AND('Skill Matrix'!A257&lt;&gt;"",'Skill Matrix'!R5&lt;&gt;""),'Skill Matrix'!A257,"")</f>
        <v/>
      </c>
      <c r="B4031">
        <f>IF(A4031="","",'Employees'!C21)</f>
        <v/>
      </c>
      <c r="C4031">
        <f>IF(A4031="","",'Employees'!D21)</f>
        <v/>
      </c>
      <c r="D4031">
        <f>IF(A4031="","",'Skill Matrix'!C257)</f>
        <v/>
      </c>
      <c r="E4031">
        <f>IF(A4031="","",'Skill Matrix'!D257)</f>
        <v/>
      </c>
      <c r="F4031">
        <f>IF(AND('Skill Matrix'!A257&lt;&gt;"",'Skill Matrix'!R5&lt;&gt;""),'Skill Matrix'!R5,"")</f>
        <v/>
      </c>
      <c r="G4031">
        <f>IF(OR(A4031="",'Skill Matrix'!R257=""),"",'Skill Matrix'!R257)</f>
        <v/>
      </c>
      <c r="H4031">
        <f>IF(A4031="","",'Employees'!F21)</f>
        <v/>
      </c>
    </row>
    <row r="4032">
      <c r="A4032">
        <f>IF(AND('Skill Matrix'!A257&lt;&gt;"",'Skill Matrix'!S5&lt;&gt;""),'Skill Matrix'!A257,"")</f>
        <v/>
      </c>
      <c r="B4032">
        <f>IF(A4032="","",'Employees'!C21)</f>
        <v/>
      </c>
      <c r="C4032">
        <f>IF(A4032="","",'Employees'!D21)</f>
        <v/>
      </c>
      <c r="D4032">
        <f>IF(A4032="","",'Skill Matrix'!C257)</f>
        <v/>
      </c>
      <c r="E4032">
        <f>IF(A4032="","",'Skill Matrix'!D257)</f>
        <v/>
      </c>
      <c r="F4032">
        <f>IF(AND('Skill Matrix'!A257&lt;&gt;"",'Skill Matrix'!S5&lt;&gt;""),'Skill Matrix'!S5,"")</f>
        <v/>
      </c>
      <c r="G4032">
        <f>IF(OR(A4032="",'Skill Matrix'!S257=""),"",'Skill Matrix'!S257)</f>
        <v/>
      </c>
      <c r="H4032">
        <f>IF(A4032="","",'Employees'!F21)</f>
        <v/>
      </c>
    </row>
    <row r="4033">
      <c r="A4033">
        <f>IF(AND('Skill Matrix'!A257&lt;&gt;"",'Skill Matrix'!T5&lt;&gt;""),'Skill Matrix'!A257,"")</f>
        <v/>
      </c>
      <c r="B4033">
        <f>IF(A4033="","",'Employees'!C21)</f>
        <v/>
      </c>
      <c r="C4033">
        <f>IF(A4033="","",'Employees'!D21)</f>
        <v/>
      </c>
      <c r="D4033">
        <f>IF(A4033="","",'Skill Matrix'!C257)</f>
        <v/>
      </c>
      <c r="E4033">
        <f>IF(A4033="","",'Skill Matrix'!D257)</f>
        <v/>
      </c>
      <c r="F4033">
        <f>IF(AND('Skill Matrix'!A257&lt;&gt;"",'Skill Matrix'!T5&lt;&gt;""),'Skill Matrix'!T5,"")</f>
        <v/>
      </c>
      <c r="G4033">
        <f>IF(OR(A4033="",'Skill Matrix'!T257=""),"",'Skill Matrix'!T257)</f>
        <v/>
      </c>
      <c r="H4033">
        <f>IF(A4033="","",'Employees'!F21)</f>
        <v/>
      </c>
    </row>
    <row r="4034">
      <c r="A4034">
        <f>IF(AND('Skill Matrix'!A258&lt;&gt;"",'Skill Matrix'!E5&lt;&gt;""),'Skill Matrix'!A258,"")</f>
        <v/>
      </c>
      <c r="B4034">
        <f>IF(A4034="","",'Employees'!C21)</f>
        <v/>
      </c>
      <c r="C4034">
        <f>IF(A4034="","",'Employees'!D21)</f>
        <v/>
      </c>
      <c r="D4034">
        <f>IF(A4034="","",'Skill Matrix'!C258)</f>
        <v/>
      </c>
      <c r="E4034">
        <f>IF(A4034="","",'Skill Matrix'!D258)</f>
        <v/>
      </c>
      <c r="F4034">
        <f>IF(AND('Skill Matrix'!A258&lt;&gt;"",'Skill Matrix'!E5&lt;&gt;""),'Skill Matrix'!E5,"")</f>
        <v/>
      </c>
      <c r="G4034">
        <f>IF(OR(A4034="",'Skill Matrix'!E258=""),"",'Skill Matrix'!E258)</f>
        <v/>
      </c>
      <c r="H4034">
        <f>IF(A4034="","",'Employees'!F21)</f>
        <v/>
      </c>
    </row>
    <row r="4035">
      <c r="A4035">
        <f>IF(AND('Skill Matrix'!A258&lt;&gt;"",'Skill Matrix'!F5&lt;&gt;""),'Skill Matrix'!A258,"")</f>
        <v/>
      </c>
      <c r="B4035">
        <f>IF(A4035="","",'Employees'!C21)</f>
        <v/>
      </c>
      <c r="C4035">
        <f>IF(A4035="","",'Employees'!D21)</f>
        <v/>
      </c>
      <c r="D4035">
        <f>IF(A4035="","",'Skill Matrix'!C258)</f>
        <v/>
      </c>
      <c r="E4035">
        <f>IF(A4035="","",'Skill Matrix'!D258)</f>
        <v/>
      </c>
      <c r="F4035">
        <f>IF(AND('Skill Matrix'!A258&lt;&gt;"",'Skill Matrix'!F5&lt;&gt;""),'Skill Matrix'!F5,"")</f>
        <v/>
      </c>
      <c r="G4035">
        <f>IF(OR(A4035="",'Skill Matrix'!F258=""),"",'Skill Matrix'!F258)</f>
        <v/>
      </c>
      <c r="H4035">
        <f>IF(A4035="","",'Employees'!F21)</f>
        <v/>
      </c>
    </row>
    <row r="4036">
      <c r="A4036">
        <f>IF(AND('Skill Matrix'!A258&lt;&gt;"",'Skill Matrix'!G5&lt;&gt;""),'Skill Matrix'!A258,"")</f>
        <v/>
      </c>
      <c r="B4036">
        <f>IF(A4036="","",'Employees'!C21)</f>
        <v/>
      </c>
      <c r="C4036">
        <f>IF(A4036="","",'Employees'!D21)</f>
        <v/>
      </c>
      <c r="D4036">
        <f>IF(A4036="","",'Skill Matrix'!C258)</f>
        <v/>
      </c>
      <c r="E4036">
        <f>IF(A4036="","",'Skill Matrix'!D258)</f>
        <v/>
      </c>
      <c r="F4036">
        <f>IF(AND('Skill Matrix'!A258&lt;&gt;"",'Skill Matrix'!G5&lt;&gt;""),'Skill Matrix'!G5,"")</f>
        <v/>
      </c>
      <c r="G4036">
        <f>IF(OR(A4036="",'Skill Matrix'!G258=""),"",'Skill Matrix'!G258)</f>
        <v/>
      </c>
      <c r="H4036">
        <f>IF(A4036="","",'Employees'!F21)</f>
        <v/>
      </c>
    </row>
    <row r="4037">
      <c r="A4037">
        <f>IF(AND('Skill Matrix'!A258&lt;&gt;"",'Skill Matrix'!H5&lt;&gt;""),'Skill Matrix'!A258,"")</f>
        <v/>
      </c>
      <c r="B4037">
        <f>IF(A4037="","",'Employees'!C21)</f>
        <v/>
      </c>
      <c r="C4037">
        <f>IF(A4037="","",'Employees'!D21)</f>
        <v/>
      </c>
      <c r="D4037">
        <f>IF(A4037="","",'Skill Matrix'!C258)</f>
        <v/>
      </c>
      <c r="E4037">
        <f>IF(A4037="","",'Skill Matrix'!D258)</f>
        <v/>
      </c>
      <c r="F4037">
        <f>IF(AND('Skill Matrix'!A258&lt;&gt;"",'Skill Matrix'!H5&lt;&gt;""),'Skill Matrix'!H5,"")</f>
        <v/>
      </c>
      <c r="G4037">
        <f>IF(OR(A4037="",'Skill Matrix'!H258=""),"",'Skill Matrix'!H258)</f>
        <v/>
      </c>
      <c r="H4037">
        <f>IF(A4037="","",'Employees'!F21)</f>
        <v/>
      </c>
    </row>
    <row r="4038">
      <c r="A4038">
        <f>IF(AND('Skill Matrix'!A258&lt;&gt;"",'Skill Matrix'!I5&lt;&gt;""),'Skill Matrix'!A258,"")</f>
        <v/>
      </c>
      <c r="B4038">
        <f>IF(A4038="","",'Employees'!C21)</f>
        <v/>
      </c>
      <c r="C4038">
        <f>IF(A4038="","",'Employees'!D21)</f>
        <v/>
      </c>
      <c r="D4038">
        <f>IF(A4038="","",'Skill Matrix'!C258)</f>
        <v/>
      </c>
      <c r="E4038">
        <f>IF(A4038="","",'Skill Matrix'!D258)</f>
        <v/>
      </c>
      <c r="F4038">
        <f>IF(AND('Skill Matrix'!A258&lt;&gt;"",'Skill Matrix'!I5&lt;&gt;""),'Skill Matrix'!I5,"")</f>
        <v/>
      </c>
      <c r="G4038">
        <f>IF(OR(A4038="",'Skill Matrix'!I258=""),"",'Skill Matrix'!I258)</f>
        <v/>
      </c>
      <c r="H4038">
        <f>IF(A4038="","",'Employees'!F21)</f>
        <v/>
      </c>
    </row>
    <row r="4039">
      <c r="A4039">
        <f>IF(AND('Skill Matrix'!A258&lt;&gt;"",'Skill Matrix'!J5&lt;&gt;""),'Skill Matrix'!A258,"")</f>
        <v/>
      </c>
      <c r="B4039">
        <f>IF(A4039="","",'Employees'!C21)</f>
        <v/>
      </c>
      <c r="C4039">
        <f>IF(A4039="","",'Employees'!D21)</f>
        <v/>
      </c>
      <c r="D4039">
        <f>IF(A4039="","",'Skill Matrix'!C258)</f>
        <v/>
      </c>
      <c r="E4039">
        <f>IF(A4039="","",'Skill Matrix'!D258)</f>
        <v/>
      </c>
      <c r="F4039">
        <f>IF(AND('Skill Matrix'!A258&lt;&gt;"",'Skill Matrix'!J5&lt;&gt;""),'Skill Matrix'!J5,"")</f>
        <v/>
      </c>
      <c r="G4039">
        <f>IF(OR(A4039="",'Skill Matrix'!J258=""),"",'Skill Matrix'!J258)</f>
        <v/>
      </c>
      <c r="H4039">
        <f>IF(A4039="","",'Employees'!F21)</f>
        <v/>
      </c>
    </row>
    <row r="4040">
      <c r="A4040">
        <f>IF(AND('Skill Matrix'!A258&lt;&gt;"",'Skill Matrix'!K5&lt;&gt;""),'Skill Matrix'!A258,"")</f>
        <v/>
      </c>
      <c r="B4040">
        <f>IF(A4040="","",'Employees'!C21)</f>
        <v/>
      </c>
      <c r="C4040">
        <f>IF(A4040="","",'Employees'!D21)</f>
        <v/>
      </c>
      <c r="D4040">
        <f>IF(A4040="","",'Skill Matrix'!C258)</f>
        <v/>
      </c>
      <c r="E4040">
        <f>IF(A4040="","",'Skill Matrix'!D258)</f>
        <v/>
      </c>
      <c r="F4040">
        <f>IF(AND('Skill Matrix'!A258&lt;&gt;"",'Skill Matrix'!K5&lt;&gt;""),'Skill Matrix'!K5,"")</f>
        <v/>
      </c>
      <c r="G4040">
        <f>IF(OR(A4040="",'Skill Matrix'!K258=""),"",'Skill Matrix'!K258)</f>
        <v/>
      </c>
      <c r="H4040">
        <f>IF(A4040="","",'Employees'!F21)</f>
        <v/>
      </c>
    </row>
    <row r="4041">
      <c r="A4041">
        <f>IF(AND('Skill Matrix'!A258&lt;&gt;"",'Skill Matrix'!L5&lt;&gt;""),'Skill Matrix'!A258,"")</f>
        <v/>
      </c>
      <c r="B4041">
        <f>IF(A4041="","",'Employees'!C21)</f>
        <v/>
      </c>
      <c r="C4041">
        <f>IF(A4041="","",'Employees'!D21)</f>
        <v/>
      </c>
      <c r="D4041">
        <f>IF(A4041="","",'Skill Matrix'!C258)</f>
        <v/>
      </c>
      <c r="E4041">
        <f>IF(A4041="","",'Skill Matrix'!D258)</f>
        <v/>
      </c>
      <c r="F4041">
        <f>IF(AND('Skill Matrix'!A258&lt;&gt;"",'Skill Matrix'!L5&lt;&gt;""),'Skill Matrix'!L5,"")</f>
        <v/>
      </c>
      <c r="G4041">
        <f>IF(OR(A4041="",'Skill Matrix'!L258=""),"",'Skill Matrix'!L258)</f>
        <v/>
      </c>
      <c r="H4041">
        <f>IF(A4041="","",'Employees'!F21)</f>
        <v/>
      </c>
    </row>
    <row r="4042">
      <c r="A4042">
        <f>IF(AND('Skill Matrix'!A258&lt;&gt;"",'Skill Matrix'!M5&lt;&gt;""),'Skill Matrix'!A258,"")</f>
        <v/>
      </c>
      <c r="B4042">
        <f>IF(A4042="","",'Employees'!C21)</f>
        <v/>
      </c>
      <c r="C4042">
        <f>IF(A4042="","",'Employees'!D21)</f>
        <v/>
      </c>
      <c r="D4042">
        <f>IF(A4042="","",'Skill Matrix'!C258)</f>
        <v/>
      </c>
      <c r="E4042">
        <f>IF(A4042="","",'Skill Matrix'!D258)</f>
        <v/>
      </c>
      <c r="F4042">
        <f>IF(AND('Skill Matrix'!A258&lt;&gt;"",'Skill Matrix'!M5&lt;&gt;""),'Skill Matrix'!M5,"")</f>
        <v/>
      </c>
      <c r="G4042">
        <f>IF(OR(A4042="",'Skill Matrix'!M258=""),"",'Skill Matrix'!M258)</f>
        <v/>
      </c>
      <c r="H4042">
        <f>IF(A4042="","",'Employees'!F21)</f>
        <v/>
      </c>
    </row>
    <row r="4043">
      <c r="A4043">
        <f>IF(AND('Skill Matrix'!A258&lt;&gt;"",'Skill Matrix'!N5&lt;&gt;""),'Skill Matrix'!A258,"")</f>
        <v/>
      </c>
      <c r="B4043">
        <f>IF(A4043="","",'Employees'!C21)</f>
        <v/>
      </c>
      <c r="C4043">
        <f>IF(A4043="","",'Employees'!D21)</f>
        <v/>
      </c>
      <c r="D4043">
        <f>IF(A4043="","",'Skill Matrix'!C258)</f>
        <v/>
      </c>
      <c r="E4043">
        <f>IF(A4043="","",'Skill Matrix'!D258)</f>
        <v/>
      </c>
      <c r="F4043">
        <f>IF(AND('Skill Matrix'!A258&lt;&gt;"",'Skill Matrix'!N5&lt;&gt;""),'Skill Matrix'!N5,"")</f>
        <v/>
      </c>
      <c r="G4043">
        <f>IF(OR(A4043="",'Skill Matrix'!N258=""),"",'Skill Matrix'!N258)</f>
        <v/>
      </c>
      <c r="H4043">
        <f>IF(A4043="","",'Employees'!F21)</f>
        <v/>
      </c>
    </row>
    <row r="4044">
      <c r="A4044">
        <f>IF(AND('Skill Matrix'!A258&lt;&gt;"",'Skill Matrix'!O5&lt;&gt;""),'Skill Matrix'!A258,"")</f>
        <v/>
      </c>
      <c r="B4044">
        <f>IF(A4044="","",'Employees'!C21)</f>
        <v/>
      </c>
      <c r="C4044">
        <f>IF(A4044="","",'Employees'!D21)</f>
        <v/>
      </c>
      <c r="D4044">
        <f>IF(A4044="","",'Skill Matrix'!C258)</f>
        <v/>
      </c>
      <c r="E4044">
        <f>IF(A4044="","",'Skill Matrix'!D258)</f>
        <v/>
      </c>
      <c r="F4044">
        <f>IF(AND('Skill Matrix'!A258&lt;&gt;"",'Skill Matrix'!O5&lt;&gt;""),'Skill Matrix'!O5,"")</f>
        <v/>
      </c>
      <c r="G4044">
        <f>IF(OR(A4044="",'Skill Matrix'!O258=""),"",'Skill Matrix'!O258)</f>
        <v/>
      </c>
      <c r="H4044">
        <f>IF(A4044="","",'Employees'!F21)</f>
        <v/>
      </c>
    </row>
    <row r="4045">
      <c r="A4045">
        <f>IF(AND('Skill Matrix'!A258&lt;&gt;"",'Skill Matrix'!P5&lt;&gt;""),'Skill Matrix'!A258,"")</f>
        <v/>
      </c>
      <c r="B4045">
        <f>IF(A4045="","",'Employees'!C21)</f>
        <v/>
      </c>
      <c r="C4045">
        <f>IF(A4045="","",'Employees'!D21)</f>
        <v/>
      </c>
      <c r="D4045">
        <f>IF(A4045="","",'Skill Matrix'!C258)</f>
        <v/>
      </c>
      <c r="E4045">
        <f>IF(A4045="","",'Skill Matrix'!D258)</f>
        <v/>
      </c>
      <c r="F4045">
        <f>IF(AND('Skill Matrix'!A258&lt;&gt;"",'Skill Matrix'!P5&lt;&gt;""),'Skill Matrix'!P5,"")</f>
        <v/>
      </c>
      <c r="G4045">
        <f>IF(OR(A4045="",'Skill Matrix'!P258=""),"",'Skill Matrix'!P258)</f>
        <v/>
      </c>
      <c r="H4045">
        <f>IF(A4045="","",'Employees'!F21)</f>
        <v/>
      </c>
    </row>
    <row r="4046">
      <c r="A4046">
        <f>IF(AND('Skill Matrix'!A258&lt;&gt;"",'Skill Matrix'!Q5&lt;&gt;""),'Skill Matrix'!A258,"")</f>
        <v/>
      </c>
      <c r="B4046">
        <f>IF(A4046="","",'Employees'!C21)</f>
        <v/>
      </c>
      <c r="C4046">
        <f>IF(A4046="","",'Employees'!D21)</f>
        <v/>
      </c>
      <c r="D4046">
        <f>IF(A4046="","",'Skill Matrix'!C258)</f>
        <v/>
      </c>
      <c r="E4046">
        <f>IF(A4046="","",'Skill Matrix'!D258)</f>
        <v/>
      </c>
      <c r="F4046">
        <f>IF(AND('Skill Matrix'!A258&lt;&gt;"",'Skill Matrix'!Q5&lt;&gt;""),'Skill Matrix'!Q5,"")</f>
        <v/>
      </c>
      <c r="G4046">
        <f>IF(OR(A4046="",'Skill Matrix'!Q258=""),"",'Skill Matrix'!Q258)</f>
        <v/>
      </c>
      <c r="H4046">
        <f>IF(A4046="","",'Employees'!F21)</f>
        <v/>
      </c>
    </row>
    <row r="4047">
      <c r="A4047">
        <f>IF(AND('Skill Matrix'!A258&lt;&gt;"",'Skill Matrix'!R5&lt;&gt;""),'Skill Matrix'!A258,"")</f>
        <v/>
      </c>
      <c r="B4047">
        <f>IF(A4047="","",'Employees'!C21)</f>
        <v/>
      </c>
      <c r="C4047">
        <f>IF(A4047="","",'Employees'!D21)</f>
        <v/>
      </c>
      <c r="D4047">
        <f>IF(A4047="","",'Skill Matrix'!C258)</f>
        <v/>
      </c>
      <c r="E4047">
        <f>IF(A4047="","",'Skill Matrix'!D258)</f>
        <v/>
      </c>
      <c r="F4047">
        <f>IF(AND('Skill Matrix'!A258&lt;&gt;"",'Skill Matrix'!R5&lt;&gt;""),'Skill Matrix'!R5,"")</f>
        <v/>
      </c>
      <c r="G4047">
        <f>IF(OR(A4047="",'Skill Matrix'!R258=""),"",'Skill Matrix'!R258)</f>
        <v/>
      </c>
      <c r="H4047">
        <f>IF(A4047="","",'Employees'!F21)</f>
        <v/>
      </c>
    </row>
    <row r="4048">
      <c r="A4048">
        <f>IF(AND('Skill Matrix'!A258&lt;&gt;"",'Skill Matrix'!S5&lt;&gt;""),'Skill Matrix'!A258,"")</f>
        <v/>
      </c>
      <c r="B4048">
        <f>IF(A4048="","",'Employees'!C21)</f>
        <v/>
      </c>
      <c r="C4048">
        <f>IF(A4048="","",'Employees'!D21)</f>
        <v/>
      </c>
      <c r="D4048">
        <f>IF(A4048="","",'Skill Matrix'!C258)</f>
        <v/>
      </c>
      <c r="E4048">
        <f>IF(A4048="","",'Skill Matrix'!D258)</f>
        <v/>
      </c>
      <c r="F4048">
        <f>IF(AND('Skill Matrix'!A258&lt;&gt;"",'Skill Matrix'!S5&lt;&gt;""),'Skill Matrix'!S5,"")</f>
        <v/>
      </c>
      <c r="G4048">
        <f>IF(OR(A4048="",'Skill Matrix'!S258=""),"",'Skill Matrix'!S258)</f>
        <v/>
      </c>
      <c r="H4048">
        <f>IF(A4048="","",'Employees'!F21)</f>
        <v/>
      </c>
    </row>
    <row r="4049">
      <c r="A4049">
        <f>IF(AND('Skill Matrix'!A258&lt;&gt;"",'Skill Matrix'!T5&lt;&gt;""),'Skill Matrix'!A258,"")</f>
        <v/>
      </c>
      <c r="B4049">
        <f>IF(A4049="","",'Employees'!C21)</f>
        <v/>
      </c>
      <c r="C4049">
        <f>IF(A4049="","",'Employees'!D21)</f>
        <v/>
      </c>
      <c r="D4049">
        <f>IF(A4049="","",'Skill Matrix'!C258)</f>
        <v/>
      </c>
      <c r="E4049">
        <f>IF(A4049="","",'Skill Matrix'!D258)</f>
        <v/>
      </c>
      <c r="F4049">
        <f>IF(AND('Skill Matrix'!A258&lt;&gt;"",'Skill Matrix'!T5&lt;&gt;""),'Skill Matrix'!T5,"")</f>
        <v/>
      </c>
      <c r="G4049">
        <f>IF(OR(A4049="",'Skill Matrix'!T258=""),"",'Skill Matrix'!T258)</f>
        <v/>
      </c>
      <c r="H4049">
        <f>IF(A4049="","",'Employees'!F21)</f>
        <v/>
      </c>
    </row>
    <row r="4050">
      <c r="A4050">
        <f>IF(AND('Skill Matrix'!A259&lt;&gt;"",'Skill Matrix'!E5&lt;&gt;""),'Skill Matrix'!A259,"")</f>
        <v/>
      </c>
      <c r="B4050">
        <f>IF(A4050="","",'Employees'!C21)</f>
        <v/>
      </c>
      <c r="C4050">
        <f>IF(A4050="","",'Employees'!D21)</f>
        <v/>
      </c>
      <c r="D4050">
        <f>IF(A4050="","",'Skill Matrix'!C259)</f>
        <v/>
      </c>
      <c r="E4050">
        <f>IF(A4050="","",'Skill Matrix'!D259)</f>
        <v/>
      </c>
      <c r="F4050">
        <f>IF(AND('Skill Matrix'!A259&lt;&gt;"",'Skill Matrix'!E5&lt;&gt;""),'Skill Matrix'!E5,"")</f>
        <v/>
      </c>
      <c r="G4050">
        <f>IF(OR(A4050="",'Skill Matrix'!E259=""),"",'Skill Matrix'!E259)</f>
        <v/>
      </c>
      <c r="H4050">
        <f>IF(A4050="","",'Employees'!F21)</f>
        <v/>
      </c>
    </row>
    <row r="4051">
      <c r="A4051">
        <f>IF(AND('Skill Matrix'!A259&lt;&gt;"",'Skill Matrix'!F5&lt;&gt;""),'Skill Matrix'!A259,"")</f>
        <v/>
      </c>
      <c r="B4051">
        <f>IF(A4051="","",'Employees'!C21)</f>
        <v/>
      </c>
      <c r="C4051">
        <f>IF(A4051="","",'Employees'!D21)</f>
        <v/>
      </c>
      <c r="D4051">
        <f>IF(A4051="","",'Skill Matrix'!C259)</f>
        <v/>
      </c>
      <c r="E4051">
        <f>IF(A4051="","",'Skill Matrix'!D259)</f>
        <v/>
      </c>
      <c r="F4051">
        <f>IF(AND('Skill Matrix'!A259&lt;&gt;"",'Skill Matrix'!F5&lt;&gt;""),'Skill Matrix'!F5,"")</f>
        <v/>
      </c>
      <c r="G4051">
        <f>IF(OR(A4051="",'Skill Matrix'!F259=""),"",'Skill Matrix'!F259)</f>
        <v/>
      </c>
      <c r="H4051">
        <f>IF(A4051="","",'Employees'!F21)</f>
        <v/>
      </c>
    </row>
    <row r="4052">
      <c r="A4052">
        <f>IF(AND('Skill Matrix'!A259&lt;&gt;"",'Skill Matrix'!G5&lt;&gt;""),'Skill Matrix'!A259,"")</f>
        <v/>
      </c>
      <c r="B4052">
        <f>IF(A4052="","",'Employees'!C21)</f>
        <v/>
      </c>
      <c r="C4052">
        <f>IF(A4052="","",'Employees'!D21)</f>
        <v/>
      </c>
      <c r="D4052">
        <f>IF(A4052="","",'Skill Matrix'!C259)</f>
        <v/>
      </c>
      <c r="E4052">
        <f>IF(A4052="","",'Skill Matrix'!D259)</f>
        <v/>
      </c>
      <c r="F4052">
        <f>IF(AND('Skill Matrix'!A259&lt;&gt;"",'Skill Matrix'!G5&lt;&gt;""),'Skill Matrix'!G5,"")</f>
        <v/>
      </c>
      <c r="G4052">
        <f>IF(OR(A4052="",'Skill Matrix'!G259=""),"",'Skill Matrix'!G259)</f>
        <v/>
      </c>
      <c r="H4052">
        <f>IF(A4052="","",'Employees'!F21)</f>
        <v/>
      </c>
    </row>
    <row r="4053">
      <c r="A4053">
        <f>IF(AND('Skill Matrix'!A259&lt;&gt;"",'Skill Matrix'!H5&lt;&gt;""),'Skill Matrix'!A259,"")</f>
        <v/>
      </c>
      <c r="B4053">
        <f>IF(A4053="","",'Employees'!C21)</f>
        <v/>
      </c>
      <c r="C4053">
        <f>IF(A4053="","",'Employees'!D21)</f>
        <v/>
      </c>
      <c r="D4053">
        <f>IF(A4053="","",'Skill Matrix'!C259)</f>
        <v/>
      </c>
      <c r="E4053">
        <f>IF(A4053="","",'Skill Matrix'!D259)</f>
        <v/>
      </c>
      <c r="F4053">
        <f>IF(AND('Skill Matrix'!A259&lt;&gt;"",'Skill Matrix'!H5&lt;&gt;""),'Skill Matrix'!H5,"")</f>
        <v/>
      </c>
      <c r="G4053">
        <f>IF(OR(A4053="",'Skill Matrix'!H259=""),"",'Skill Matrix'!H259)</f>
        <v/>
      </c>
      <c r="H4053">
        <f>IF(A4053="","",'Employees'!F21)</f>
        <v/>
      </c>
    </row>
    <row r="4054">
      <c r="A4054">
        <f>IF(AND('Skill Matrix'!A259&lt;&gt;"",'Skill Matrix'!I5&lt;&gt;""),'Skill Matrix'!A259,"")</f>
        <v/>
      </c>
      <c r="B4054">
        <f>IF(A4054="","",'Employees'!C21)</f>
        <v/>
      </c>
      <c r="C4054">
        <f>IF(A4054="","",'Employees'!D21)</f>
        <v/>
      </c>
      <c r="D4054">
        <f>IF(A4054="","",'Skill Matrix'!C259)</f>
        <v/>
      </c>
      <c r="E4054">
        <f>IF(A4054="","",'Skill Matrix'!D259)</f>
        <v/>
      </c>
      <c r="F4054">
        <f>IF(AND('Skill Matrix'!A259&lt;&gt;"",'Skill Matrix'!I5&lt;&gt;""),'Skill Matrix'!I5,"")</f>
        <v/>
      </c>
      <c r="G4054">
        <f>IF(OR(A4054="",'Skill Matrix'!I259=""),"",'Skill Matrix'!I259)</f>
        <v/>
      </c>
      <c r="H4054">
        <f>IF(A4054="","",'Employees'!F21)</f>
        <v/>
      </c>
    </row>
    <row r="4055">
      <c r="A4055">
        <f>IF(AND('Skill Matrix'!A259&lt;&gt;"",'Skill Matrix'!J5&lt;&gt;""),'Skill Matrix'!A259,"")</f>
        <v/>
      </c>
      <c r="B4055">
        <f>IF(A4055="","",'Employees'!C21)</f>
        <v/>
      </c>
      <c r="C4055">
        <f>IF(A4055="","",'Employees'!D21)</f>
        <v/>
      </c>
      <c r="D4055">
        <f>IF(A4055="","",'Skill Matrix'!C259)</f>
        <v/>
      </c>
      <c r="E4055">
        <f>IF(A4055="","",'Skill Matrix'!D259)</f>
        <v/>
      </c>
      <c r="F4055">
        <f>IF(AND('Skill Matrix'!A259&lt;&gt;"",'Skill Matrix'!J5&lt;&gt;""),'Skill Matrix'!J5,"")</f>
        <v/>
      </c>
      <c r="G4055">
        <f>IF(OR(A4055="",'Skill Matrix'!J259=""),"",'Skill Matrix'!J259)</f>
        <v/>
      </c>
      <c r="H4055">
        <f>IF(A4055="","",'Employees'!F21)</f>
        <v/>
      </c>
    </row>
    <row r="4056">
      <c r="A4056">
        <f>IF(AND('Skill Matrix'!A259&lt;&gt;"",'Skill Matrix'!K5&lt;&gt;""),'Skill Matrix'!A259,"")</f>
        <v/>
      </c>
      <c r="B4056">
        <f>IF(A4056="","",'Employees'!C21)</f>
        <v/>
      </c>
      <c r="C4056">
        <f>IF(A4056="","",'Employees'!D21)</f>
        <v/>
      </c>
      <c r="D4056">
        <f>IF(A4056="","",'Skill Matrix'!C259)</f>
        <v/>
      </c>
      <c r="E4056">
        <f>IF(A4056="","",'Skill Matrix'!D259)</f>
        <v/>
      </c>
      <c r="F4056">
        <f>IF(AND('Skill Matrix'!A259&lt;&gt;"",'Skill Matrix'!K5&lt;&gt;""),'Skill Matrix'!K5,"")</f>
        <v/>
      </c>
      <c r="G4056">
        <f>IF(OR(A4056="",'Skill Matrix'!K259=""),"",'Skill Matrix'!K259)</f>
        <v/>
      </c>
      <c r="H4056">
        <f>IF(A4056="","",'Employees'!F21)</f>
        <v/>
      </c>
    </row>
    <row r="4057">
      <c r="A4057">
        <f>IF(AND('Skill Matrix'!A259&lt;&gt;"",'Skill Matrix'!L5&lt;&gt;""),'Skill Matrix'!A259,"")</f>
        <v/>
      </c>
      <c r="B4057">
        <f>IF(A4057="","",'Employees'!C21)</f>
        <v/>
      </c>
      <c r="C4057">
        <f>IF(A4057="","",'Employees'!D21)</f>
        <v/>
      </c>
      <c r="D4057">
        <f>IF(A4057="","",'Skill Matrix'!C259)</f>
        <v/>
      </c>
      <c r="E4057">
        <f>IF(A4057="","",'Skill Matrix'!D259)</f>
        <v/>
      </c>
      <c r="F4057">
        <f>IF(AND('Skill Matrix'!A259&lt;&gt;"",'Skill Matrix'!L5&lt;&gt;""),'Skill Matrix'!L5,"")</f>
        <v/>
      </c>
      <c r="G4057">
        <f>IF(OR(A4057="",'Skill Matrix'!L259=""),"",'Skill Matrix'!L259)</f>
        <v/>
      </c>
      <c r="H4057">
        <f>IF(A4057="","",'Employees'!F21)</f>
        <v/>
      </c>
    </row>
    <row r="4058">
      <c r="A4058">
        <f>IF(AND('Skill Matrix'!A259&lt;&gt;"",'Skill Matrix'!M5&lt;&gt;""),'Skill Matrix'!A259,"")</f>
        <v/>
      </c>
      <c r="B4058">
        <f>IF(A4058="","",'Employees'!C21)</f>
        <v/>
      </c>
      <c r="C4058">
        <f>IF(A4058="","",'Employees'!D21)</f>
        <v/>
      </c>
      <c r="D4058">
        <f>IF(A4058="","",'Skill Matrix'!C259)</f>
        <v/>
      </c>
      <c r="E4058">
        <f>IF(A4058="","",'Skill Matrix'!D259)</f>
        <v/>
      </c>
      <c r="F4058">
        <f>IF(AND('Skill Matrix'!A259&lt;&gt;"",'Skill Matrix'!M5&lt;&gt;""),'Skill Matrix'!M5,"")</f>
        <v/>
      </c>
      <c r="G4058">
        <f>IF(OR(A4058="",'Skill Matrix'!M259=""),"",'Skill Matrix'!M259)</f>
        <v/>
      </c>
      <c r="H4058">
        <f>IF(A4058="","",'Employees'!F21)</f>
        <v/>
      </c>
    </row>
    <row r="4059">
      <c r="A4059">
        <f>IF(AND('Skill Matrix'!A259&lt;&gt;"",'Skill Matrix'!N5&lt;&gt;""),'Skill Matrix'!A259,"")</f>
        <v/>
      </c>
      <c r="B4059">
        <f>IF(A4059="","",'Employees'!C21)</f>
        <v/>
      </c>
      <c r="C4059">
        <f>IF(A4059="","",'Employees'!D21)</f>
        <v/>
      </c>
      <c r="D4059">
        <f>IF(A4059="","",'Skill Matrix'!C259)</f>
        <v/>
      </c>
      <c r="E4059">
        <f>IF(A4059="","",'Skill Matrix'!D259)</f>
        <v/>
      </c>
      <c r="F4059">
        <f>IF(AND('Skill Matrix'!A259&lt;&gt;"",'Skill Matrix'!N5&lt;&gt;""),'Skill Matrix'!N5,"")</f>
        <v/>
      </c>
      <c r="G4059">
        <f>IF(OR(A4059="",'Skill Matrix'!N259=""),"",'Skill Matrix'!N259)</f>
        <v/>
      </c>
      <c r="H4059">
        <f>IF(A4059="","",'Employees'!F21)</f>
        <v/>
      </c>
    </row>
    <row r="4060">
      <c r="A4060">
        <f>IF(AND('Skill Matrix'!A259&lt;&gt;"",'Skill Matrix'!O5&lt;&gt;""),'Skill Matrix'!A259,"")</f>
        <v/>
      </c>
      <c r="B4060">
        <f>IF(A4060="","",'Employees'!C21)</f>
        <v/>
      </c>
      <c r="C4060">
        <f>IF(A4060="","",'Employees'!D21)</f>
        <v/>
      </c>
      <c r="D4060">
        <f>IF(A4060="","",'Skill Matrix'!C259)</f>
        <v/>
      </c>
      <c r="E4060">
        <f>IF(A4060="","",'Skill Matrix'!D259)</f>
        <v/>
      </c>
      <c r="F4060">
        <f>IF(AND('Skill Matrix'!A259&lt;&gt;"",'Skill Matrix'!O5&lt;&gt;""),'Skill Matrix'!O5,"")</f>
        <v/>
      </c>
      <c r="G4060">
        <f>IF(OR(A4060="",'Skill Matrix'!O259=""),"",'Skill Matrix'!O259)</f>
        <v/>
      </c>
      <c r="H4060">
        <f>IF(A4060="","",'Employees'!F21)</f>
        <v/>
      </c>
    </row>
    <row r="4061">
      <c r="A4061">
        <f>IF(AND('Skill Matrix'!A259&lt;&gt;"",'Skill Matrix'!P5&lt;&gt;""),'Skill Matrix'!A259,"")</f>
        <v/>
      </c>
      <c r="B4061">
        <f>IF(A4061="","",'Employees'!C21)</f>
        <v/>
      </c>
      <c r="C4061">
        <f>IF(A4061="","",'Employees'!D21)</f>
        <v/>
      </c>
      <c r="D4061">
        <f>IF(A4061="","",'Skill Matrix'!C259)</f>
        <v/>
      </c>
      <c r="E4061">
        <f>IF(A4061="","",'Skill Matrix'!D259)</f>
        <v/>
      </c>
      <c r="F4061">
        <f>IF(AND('Skill Matrix'!A259&lt;&gt;"",'Skill Matrix'!P5&lt;&gt;""),'Skill Matrix'!P5,"")</f>
        <v/>
      </c>
      <c r="G4061">
        <f>IF(OR(A4061="",'Skill Matrix'!P259=""),"",'Skill Matrix'!P259)</f>
        <v/>
      </c>
      <c r="H4061">
        <f>IF(A4061="","",'Employees'!F21)</f>
        <v/>
      </c>
    </row>
    <row r="4062">
      <c r="A4062">
        <f>IF(AND('Skill Matrix'!A259&lt;&gt;"",'Skill Matrix'!Q5&lt;&gt;""),'Skill Matrix'!A259,"")</f>
        <v/>
      </c>
      <c r="B4062">
        <f>IF(A4062="","",'Employees'!C21)</f>
        <v/>
      </c>
      <c r="C4062">
        <f>IF(A4062="","",'Employees'!D21)</f>
        <v/>
      </c>
      <c r="D4062">
        <f>IF(A4062="","",'Skill Matrix'!C259)</f>
        <v/>
      </c>
      <c r="E4062">
        <f>IF(A4062="","",'Skill Matrix'!D259)</f>
        <v/>
      </c>
      <c r="F4062">
        <f>IF(AND('Skill Matrix'!A259&lt;&gt;"",'Skill Matrix'!Q5&lt;&gt;""),'Skill Matrix'!Q5,"")</f>
        <v/>
      </c>
      <c r="G4062">
        <f>IF(OR(A4062="",'Skill Matrix'!Q259=""),"",'Skill Matrix'!Q259)</f>
        <v/>
      </c>
      <c r="H4062">
        <f>IF(A4062="","",'Employees'!F21)</f>
        <v/>
      </c>
    </row>
    <row r="4063">
      <c r="A4063">
        <f>IF(AND('Skill Matrix'!A259&lt;&gt;"",'Skill Matrix'!R5&lt;&gt;""),'Skill Matrix'!A259,"")</f>
        <v/>
      </c>
      <c r="B4063">
        <f>IF(A4063="","",'Employees'!C21)</f>
        <v/>
      </c>
      <c r="C4063">
        <f>IF(A4063="","",'Employees'!D21)</f>
        <v/>
      </c>
      <c r="D4063">
        <f>IF(A4063="","",'Skill Matrix'!C259)</f>
        <v/>
      </c>
      <c r="E4063">
        <f>IF(A4063="","",'Skill Matrix'!D259)</f>
        <v/>
      </c>
      <c r="F4063">
        <f>IF(AND('Skill Matrix'!A259&lt;&gt;"",'Skill Matrix'!R5&lt;&gt;""),'Skill Matrix'!R5,"")</f>
        <v/>
      </c>
      <c r="G4063">
        <f>IF(OR(A4063="",'Skill Matrix'!R259=""),"",'Skill Matrix'!R259)</f>
        <v/>
      </c>
      <c r="H4063">
        <f>IF(A4063="","",'Employees'!F21)</f>
        <v/>
      </c>
    </row>
    <row r="4064">
      <c r="A4064">
        <f>IF(AND('Skill Matrix'!A259&lt;&gt;"",'Skill Matrix'!S5&lt;&gt;""),'Skill Matrix'!A259,"")</f>
        <v/>
      </c>
      <c r="B4064">
        <f>IF(A4064="","",'Employees'!C21)</f>
        <v/>
      </c>
      <c r="C4064">
        <f>IF(A4064="","",'Employees'!D21)</f>
        <v/>
      </c>
      <c r="D4064">
        <f>IF(A4064="","",'Skill Matrix'!C259)</f>
        <v/>
      </c>
      <c r="E4064">
        <f>IF(A4064="","",'Skill Matrix'!D259)</f>
        <v/>
      </c>
      <c r="F4064">
        <f>IF(AND('Skill Matrix'!A259&lt;&gt;"",'Skill Matrix'!S5&lt;&gt;""),'Skill Matrix'!S5,"")</f>
        <v/>
      </c>
      <c r="G4064">
        <f>IF(OR(A4064="",'Skill Matrix'!S259=""),"",'Skill Matrix'!S259)</f>
        <v/>
      </c>
      <c r="H4064">
        <f>IF(A4064="","",'Employees'!F21)</f>
        <v/>
      </c>
    </row>
    <row r="4065">
      <c r="A4065">
        <f>IF(AND('Skill Matrix'!A259&lt;&gt;"",'Skill Matrix'!T5&lt;&gt;""),'Skill Matrix'!A259,"")</f>
        <v/>
      </c>
      <c r="B4065">
        <f>IF(A4065="","",'Employees'!C21)</f>
        <v/>
      </c>
      <c r="C4065">
        <f>IF(A4065="","",'Employees'!D21)</f>
        <v/>
      </c>
      <c r="D4065">
        <f>IF(A4065="","",'Skill Matrix'!C259)</f>
        <v/>
      </c>
      <c r="E4065">
        <f>IF(A4065="","",'Skill Matrix'!D259)</f>
        <v/>
      </c>
      <c r="F4065">
        <f>IF(AND('Skill Matrix'!A259&lt;&gt;"",'Skill Matrix'!T5&lt;&gt;""),'Skill Matrix'!T5,"")</f>
        <v/>
      </c>
      <c r="G4065">
        <f>IF(OR(A4065="",'Skill Matrix'!T259=""),"",'Skill Matrix'!T259)</f>
        <v/>
      </c>
      <c r="H4065">
        <f>IF(A4065="","",'Employees'!F21)</f>
        <v/>
      </c>
    </row>
    <row r="4066">
      <c r="A4066">
        <f>IF(AND('Skill Matrix'!A260&lt;&gt;"",'Skill Matrix'!E5&lt;&gt;""),'Skill Matrix'!A260,"")</f>
        <v/>
      </c>
      <c r="B4066">
        <f>IF(A4066="","",'Employees'!C21)</f>
        <v/>
      </c>
      <c r="C4066">
        <f>IF(A4066="","",'Employees'!D21)</f>
        <v/>
      </c>
      <c r="D4066">
        <f>IF(A4066="","",'Skill Matrix'!C260)</f>
        <v/>
      </c>
      <c r="E4066">
        <f>IF(A4066="","",'Skill Matrix'!D260)</f>
        <v/>
      </c>
      <c r="F4066">
        <f>IF(AND('Skill Matrix'!A260&lt;&gt;"",'Skill Matrix'!E5&lt;&gt;""),'Skill Matrix'!E5,"")</f>
        <v/>
      </c>
      <c r="G4066">
        <f>IF(OR(A4066="",'Skill Matrix'!E260=""),"",'Skill Matrix'!E260)</f>
        <v/>
      </c>
      <c r="H4066">
        <f>IF(A4066="","",'Employees'!F21)</f>
        <v/>
      </c>
    </row>
    <row r="4067">
      <c r="A4067">
        <f>IF(AND('Skill Matrix'!A260&lt;&gt;"",'Skill Matrix'!F5&lt;&gt;""),'Skill Matrix'!A260,"")</f>
        <v/>
      </c>
      <c r="B4067">
        <f>IF(A4067="","",'Employees'!C21)</f>
        <v/>
      </c>
      <c r="C4067">
        <f>IF(A4067="","",'Employees'!D21)</f>
        <v/>
      </c>
      <c r="D4067">
        <f>IF(A4067="","",'Skill Matrix'!C260)</f>
        <v/>
      </c>
      <c r="E4067">
        <f>IF(A4067="","",'Skill Matrix'!D260)</f>
        <v/>
      </c>
      <c r="F4067">
        <f>IF(AND('Skill Matrix'!A260&lt;&gt;"",'Skill Matrix'!F5&lt;&gt;""),'Skill Matrix'!F5,"")</f>
        <v/>
      </c>
      <c r="G4067">
        <f>IF(OR(A4067="",'Skill Matrix'!F260=""),"",'Skill Matrix'!F260)</f>
        <v/>
      </c>
      <c r="H4067">
        <f>IF(A4067="","",'Employees'!F21)</f>
        <v/>
      </c>
    </row>
    <row r="4068">
      <c r="A4068">
        <f>IF(AND('Skill Matrix'!A260&lt;&gt;"",'Skill Matrix'!G5&lt;&gt;""),'Skill Matrix'!A260,"")</f>
        <v/>
      </c>
      <c r="B4068">
        <f>IF(A4068="","",'Employees'!C21)</f>
        <v/>
      </c>
      <c r="C4068">
        <f>IF(A4068="","",'Employees'!D21)</f>
        <v/>
      </c>
      <c r="D4068">
        <f>IF(A4068="","",'Skill Matrix'!C260)</f>
        <v/>
      </c>
      <c r="E4068">
        <f>IF(A4068="","",'Skill Matrix'!D260)</f>
        <v/>
      </c>
      <c r="F4068">
        <f>IF(AND('Skill Matrix'!A260&lt;&gt;"",'Skill Matrix'!G5&lt;&gt;""),'Skill Matrix'!G5,"")</f>
        <v/>
      </c>
      <c r="G4068">
        <f>IF(OR(A4068="",'Skill Matrix'!G260=""),"",'Skill Matrix'!G260)</f>
        <v/>
      </c>
      <c r="H4068">
        <f>IF(A4068="","",'Employees'!F21)</f>
        <v/>
      </c>
    </row>
    <row r="4069">
      <c r="A4069">
        <f>IF(AND('Skill Matrix'!A260&lt;&gt;"",'Skill Matrix'!H5&lt;&gt;""),'Skill Matrix'!A260,"")</f>
        <v/>
      </c>
      <c r="B4069">
        <f>IF(A4069="","",'Employees'!C21)</f>
        <v/>
      </c>
      <c r="C4069">
        <f>IF(A4069="","",'Employees'!D21)</f>
        <v/>
      </c>
      <c r="D4069">
        <f>IF(A4069="","",'Skill Matrix'!C260)</f>
        <v/>
      </c>
      <c r="E4069">
        <f>IF(A4069="","",'Skill Matrix'!D260)</f>
        <v/>
      </c>
      <c r="F4069">
        <f>IF(AND('Skill Matrix'!A260&lt;&gt;"",'Skill Matrix'!H5&lt;&gt;""),'Skill Matrix'!H5,"")</f>
        <v/>
      </c>
      <c r="G4069">
        <f>IF(OR(A4069="",'Skill Matrix'!H260=""),"",'Skill Matrix'!H260)</f>
        <v/>
      </c>
      <c r="H4069">
        <f>IF(A4069="","",'Employees'!F21)</f>
        <v/>
      </c>
    </row>
    <row r="4070">
      <c r="A4070">
        <f>IF(AND('Skill Matrix'!A260&lt;&gt;"",'Skill Matrix'!I5&lt;&gt;""),'Skill Matrix'!A260,"")</f>
        <v/>
      </c>
      <c r="B4070">
        <f>IF(A4070="","",'Employees'!C21)</f>
        <v/>
      </c>
      <c r="C4070">
        <f>IF(A4070="","",'Employees'!D21)</f>
        <v/>
      </c>
      <c r="D4070">
        <f>IF(A4070="","",'Skill Matrix'!C260)</f>
        <v/>
      </c>
      <c r="E4070">
        <f>IF(A4070="","",'Skill Matrix'!D260)</f>
        <v/>
      </c>
      <c r="F4070">
        <f>IF(AND('Skill Matrix'!A260&lt;&gt;"",'Skill Matrix'!I5&lt;&gt;""),'Skill Matrix'!I5,"")</f>
        <v/>
      </c>
      <c r="G4070">
        <f>IF(OR(A4070="",'Skill Matrix'!I260=""),"",'Skill Matrix'!I260)</f>
        <v/>
      </c>
      <c r="H4070">
        <f>IF(A4070="","",'Employees'!F21)</f>
        <v/>
      </c>
    </row>
    <row r="4071">
      <c r="A4071">
        <f>IF(AND('Skill Matrix'!A260&lt;&gt;"",'Skill Matrix'!J5&lt;&gt;""),'Skill Matrix'!A260,"")</f>
        <v/>
      </c>
      <c r="B4071">
        <f>IF(A4071="","",'Employees'!C21)</f>
        <v/>
      </c>
      <c r="C4071">
        <f>IF(A4071="","",'Employees'!D21)</f>
        <v/>
      </c>
      <c r="D4071">
        <f>IF(A4071="","",'Skill Matrix'!C260)</f>
        <v/>
      </c>
      <c r="E4071">
        <f>IF(A4071="","",'Skill Matrix'!D260)</f>
        <v/>
      </c>
      <c r="F4071">
        <f>IF(AND('Skill Matrix'!A260&lt;&gt;"",'Skill Matrix'!J5&lt;&gt;""),'Skill Matrix'!J5,"")</f>
        <v/>
      </c>
      <c r="G4071">
        <f>IF(OR(A4071="",'Skill Matrix'!J260=""),"",'Skill Matrix'!J260)</f>
        <v/>
      </c>
      <c r="H4071">
        <f>IF(A4071="","",'Employees'!F21)</f>
        <v/>
      </c>
    </row>
    <row r="4072">
      <c r="A4072">
        <f>IF(AND('Skill Matrix'!A260&lt;&gt;"",'Skill Matrix'!K5&lt;&gt;""),'Skill Matrix'!A260,"")</f>
        <v/>
      </c>
      <c r="B4072">
        <f>IF(A4072="","",'Employees'!C21)</f>
        <v/>
      </c>
      <c r="C4072">
        <f>IF(A4072="","",'Employees'!D21)</f>
        <v/>
      </c>
      <c r="D4072">
        <f>IF(A4072="","",'Skill Matrix'!C260)</f>
        <v/>
      </c>
      <c r="E4072">
        <f>IF(A4072="","",'Skill Matrix'!D260)</f>
        <v/>
      </c>
      <c r="F4072">
        <f>IF(AND('Skill Matrix'!A260&lt;&gt;"",'Skill Matrix'!K5&lt;&gt;""),'Skill Matrix'!K5,"")</f>
        <v/>
      </c>
      <c r="G4072">
        <f>IF(OR(A4072="",'Skill Matrix'!K260=""),"",'Skill Matrix'!K260)</f>
        <v/>
      </c>
      <c r="H4072">
        <f>IF(A4072="","",'Employees'!F21)</f>
        <v/>
      </c>
    </row>
    <row r="4073">
      <c r="A4073">
        <f>IF(AND('Skill Matrix'!A260&lt;&gt;"",'Skill Matrix'!L5&lt;&gt;""),'Skill Matrix'!A260,"")</f>
        <v/>
      </c>
      <c r="B4073">
        <f>IF(A4073="","",'Employees'!C21)</f>
        <v/>
      </c>
      <c r="C4073">
        <f>IF(A4073="","",'Employees'!D21)</f>
        <v/>
      </c>
      <c r="D4073">
        <f>IF(A4073="","",'Skill Matrix'!C260)</f>
        <v/>
      </c>
      <c r="E4073">
        <f>IF(A4073="","",'Skill Matrix'!D260)</f>
        <v/>
      </c>
      <c r="F4073">
        <f>IF(AND('Skill Matrix'!A260&lt;&gt;"",'Skill Matrix'!L5&lt;&gt;""),'Skill Matrix'!L5,"")</f>
        <v/>
      </c>
      <c r="G4073">
        <f>IF(OR(A4073="",'Skill Matrix'!L260=""),"",'Skill Matrix'!L260)</f>
        <v/>
      </c>
      <c r="H4073">
        <f>IF(A4073="","",'Employees'!F21)</f>
        <v/>
      </c>
    </row>
    <row r="4074">
      <c r="A4074">
        <f>IF(AND('Skill Matrix'!A260&lt;&gt;"",'Skill Matrix'!M5&lt;&gt;""),'Skill Matrix'!A260,"")</f>
        <v/>
      </c>
      <c r="B4074">
        <f>IF(A4074="","",'Employees'!C21)</f>
        <v/>
      </c>
      <c r="C4074">
        <f>IF(A4074="","",'Employees'!D21)</f>
        <v/>
      </c>
      <c r="D4074">
        <f>IF(A4074="","",'Skill Matrix'!C260)</f>
        <v/>
      </c>
      <c r="E4074">
        <f>IF(A4074="","",'Skill Matrix'!D260)</f>
        <v/>
      </c>
      <c r="F4074">
        <f>IF(AND('Skill Matrix'!A260&lt;&gt;"",'Skill Matrix'!M5&lt;&gt;""),'Skill Matrix'!M5,"")</f>
        <v/>
      </c>
      <c r="G4074">
        <f>IF(OR(A4074="",'Skill Matrix'!M260=""),"",'Skill Matrix'!M260)</f>
        <v/>
      </c>
      <c r="H4074">
        <f>IF(A4074="","",'Employees'!F21)</f>
        <v/>
      </c>
    </row>
    <row r="4075">
      <c r="A4075">
        <f>IF(AND('Skill Matrix'!A260&lt;&gt;"",'Skill Matrix'!N5&lt;&gt;""),'Skill Matrix'!A260,"")</f>
        <v/>
      </c>
      <c r="B4075">
        <f>IF(A4075="","",'Employees'!C21)</f>
        <v/>
      </c>
      <c r="C4075">
        <f>IF(A4075="","",'Employees'!D21)</f>
        <v/>
      </c>
      <c r="D4075">
        <f>IF(A4075="","",'Skill Matrix'!C260)</f>
        <v/>
      </c>
      <c r="E4075">
        <f>IF(A4075="","",'Skill Matrix'!D260)</f>
        <v/>
      </c>
      <c r="F4075">
        <f>IF(AND('Skill Matrix'!A260&lt;&gt;"",'Skill Matrix'!N5&lt;&gt;""),'Skill Matrix'!N5,"")</f>
        <v/>
      </c>
      <c r="G4075">
        <f>IF(OR(A4075="",'Skill Matrix'!N260=""),"",'Skill Matrix'!N260)</f>
        <v/>
      </c>
      <c r="H4075">
        <f>IF(A4075="","",'Employees'!F21)</f>
        <v/>
      </c>
    </row>
    <row r="4076">
      <c r="A4076">
        <f>IF(AND('Skill Matrix'!A260&lt;&gt;"",'Skill Matrix'!O5&lt;&gt;""),'Skill Matrix'!A260,"")</f>
        <v/>
      </c>
      <c r="B4076">
        <f>IF(A4076="","",'Employees'!C21)</f>
        <v/>
      </c>
      <c r="C4076">
        <f>IF(A4076="","",'Employees'!D21)</f>
        <v/>
      </c>
      <c r="D4076">
        <f>IF(A4076="","",'Skill Matrix'!C260)</f>
        <v/>
      </c>
      <c r="E4076">
        <f>IF(A4076="","",'Skill Matrix'!D260)</f>
        <v/>
      </c>
      <c r="F4076">
        <f>IF(AND('Skill Matrix'!A260&lt;&gt;"",'Skill Matrix'!O5&lt;&gt;""),'Skill Matrix'!O5,"")</f>
        <v/>
      </c>
      <c r="G4076">
        <f>IF(OR(A4076="",'Skill Matrix'!O260=""),"",'Skill Matrix'!O260)</f>
        <v/>
      </c>
      <c r="H4076">
        <f>IF(A4076="","",'Employees'!F21)</f>
        <v/>
      </c>
    </row>
    <row r="4077">
      <c r="A4077">
        <f>IF(AND('Skill Matrix'!A260&lt;&gt;"",'Skill Matrix'!P5&lt;&gt;""),'Skill Matrix'!A260,"")</f>
        <v/>
      </c>
      <c r="B4077">
        <f>IF(A4077="","",'Employees'!C21)</f>
        <v/>
      </c>
      <c r="C4077">
        <f>IF(A4077="","",'Employees'!D21)</f>
        <v/>
      </c>
      <c r="D4077">
        <f>IF(A4077="","",'Skill Matrix'!C260)</f>
        <v/>
      </c>
      <c r="E4077">
        <f>IF(A4077="","",'Skill Matrix'!D260)</f>
        <v/>
      </c>
      <c r="F4077">
        <f>IF(AND('Skill Matrix'!A260&lt;&gt;"",'Skill Matrix'!P5&lt;&gt;""),'Skill Matrix'!P5,"")</f>
        <v/>
      </c>
      <c r="G4077">
        <f>IF(OR(A4077="",'Skill Matrix'!P260=""),"",'Skill Matrix'!P260)</f>
        <v/>
      </c>
      <c r="H4077">
        <f>IF(A4077="","",'Employees'!F21)</f>
        <v/>
      </c>
    </row>
    <row r="4078">
      <c r="A4078">
        <f>IF(AND('Skill Matrix'!A260&lt;&gt;"",'Skill Matrix'!Q5&lt;&gt;""),'Skill Matrix'!A260,"")</f>
        <v/>
      </c>
      <c r="B4078">
        <f>IF(A4078="","",'Employees'!C21)</f>
        <v/>
      </c>
      <c r="C4078">
        <f>IF(A4078="","",'Employees'!D21)</f>
        <v/>
      </c>
      <c r="D4078">
        <f>IF(A4078="","",'Skill Matrix'!C260)</f>
        <v/>
      </c>
      <c r="E4078">
        <f>IF(A4078="","",'Skill Matrix'!D260)</f>
        <v/>
      </c>
      <c r="F4078">
        <f>IF(AND('Skill Matrix'!A260&lt;&gt;"",'Skill Matrix'!Q5&lt;&gt;""),'Skill Matrix'!Q5,"")</f>
        <v/>
      </c>
      <c r="G4078">
        <f>IF(OR(A4078="",'Skill Matrix'!Q260=""),"",'Skill Matrix'!Q260)</f>
        <v/>
      </c>
      <c r="H4078">
        <f>IF(A4078="","",'Employees'!F21)</f>
        <v/>
      </c>
    </row>
    <row r="4079">
      <c r="A4079">
        <f>IF(AND('Skill Matrix'!A260&lt;&gt;"",'Skill Matrix'!R5&lt;&gt;""),'Skill Matrix'!A260,"")</f>
        <v/>
      </c>
      <c r="B4079">
        <f>IF(A4079="","",'Employees'!C21)</f>
        <v/>
      </c>
      <c r="C4079">
        <f>IF(A4079="","",'Employees'!D21)</f>
        <v/>
      </c>
      <c r="D4079">
        <f>IF(A4079="","",'Skill Matrix'!C260)</f>
        <v/>
      </c>
      <c r="E4079">
        <f>IF(A4079="","",'Skill Matrix'!D260)</f>
        <v/>
      </c>
      <c r="F4079">
        <f>IF(AND('Skill Matrix'!A260&lt;&gt;"",'Skill Matrix'!R5&lt;&gt;""),'Skill Matrix'!R5,"")</f>
        <v/>
      </c>
      <c r="G4079">
        <f>IF(OR(A4079="",'Skill Matrix'!R260=""),"",'Skill Matrix'!R260)</f>
        <v/>
      </c>
      <c r="H4079">
        <f>IF(A4079="","",'Employees'!F21)</f>
        <v/>
      </c>
    </row>
    <row r="4080">
      <c r="A4080">
        <f>IF(AND('Skill Matrix'!A260&lt;&gt;"",'Skill Matrix'!S5&lt;&gt;""),'Skill Matrix'!A260,"")</f>
        <v/>
      </c>
      <c r="B4080">
        <f>IF(A4080="","",'Employees'!C21)</f>
        <v/>
      </c>
      <c r="C4080">
        <f>IF(A4080="","",'Employees'!D21)</f>
        <v/>
      </c>
      <c r="D4080">
        <f>IF(A4080="","",'Skill Matrix'!C260)</f>
        <v/>
      </c>
      <c r="E4080">
        <f>IF(A4080="","",'Skill Matrix'!D260)</f>
        <v/>
      </c>
      <c r="F4080">
        <f>IF(AND('Skill Matrix'!A260&lt;&gt;"",'Skill Matrix'!S5&lt;&gt;""),'Skill Matrix'!S5,"")</f>
        <v/>
      </c>
      <c r="G4080">
        <f>IF(OR(A4080="",'Skill Matrix'!S260=""),"",'Skill Matrix'!S260)</f>
        <v/>
      </c>
      <c r="H4080">
        <f>IF(A4080="","",'Employees'!F21)</f>
        <v/>
      </c>
    </row>
    <row r="4081">
      <c r="A4081">
        <f>IF(AND('Skill Matrix'!A260&lt;&gt;"",'Skill Matrix'!T5&lt;&gt;""),'Skill Matrix'!A260,"")</f>
        <v/>
      </c>
      <c r="B4081">
        <f>IF(A4081="","",'Employees'!C21)</f>
        <v/>
      </c>
      <c r="C4081">
        <f>IF(A4081="","",'Employees'!D21)</f>
        <v/>
      </c>
      <c r="D4081">
        <f>IF(A4081="","",'Skill Matrix'!C260)</f>
        <v/>
      </c>
      <c r="E4081">
        <f>IF(A4081="","",'Skill Matrix'!D260)</f>
        <v/>
      </c>
      <c r="F4081">
        <f>IF(AND('Skill Matrix'!A260&lt;&gt;"",'Skill Matrix'!T5&lt;&gt;""),'Skill Matrix'!T5,"")</f>
        <v/>
      </c>
      <c r="G4081">
        <f>IF(OR(A4081="",'Skill Matrix'!T260=""),"",'Skill Matrix'!T260)</f>
        <v/>
      </c>
      <c r="H4081">
        <f>IF(A4081="","",'Employees'!F21)</f>
        <v/>
      </c>
    </row>
    <row r="4082">
      <c r="A4082">
        <f>IF(AND('Skill Matrix'!A261&lt;&gt;"",'Skill Matrix'!E5&lt;&gt;""),'Skill Matrix'!A261,"")</f>
        <v/>
      </c>
      <c r="B4082">
        <f>IF(A4082="","",'Employees'!C21)</f>
        <v/>
      </c>
      <c r="C4082">
        <f>IF(A4082="","",'Employees'!D21)</f>
        <v/>
      </c>
      <c r="D4082">
        <f>IF(A4082="","",'Skill Matrix'!C261)</f>
        <v/>
      </c>
      <c r="E4082">
        <f>IF(A4082="","",'Skill Matrix'!D261)</f>
        <v/>
      </c>
      <c r="F4082">
        <f>IF(AND('Skill Matrix'!A261&lt;&gt;"",'Skill Matrix'!E5&lt;&gt;""),'Skill Matrix'!E5,"")</f>
        <v/>
      </c>
      <c r="G4082">
        <f>IF(OR(A4082="",'Skill Matrix'!E261=""),"",'Skill Matrix'!E261)</f>
        <v/>
      </c>
      <c r="H4082">
        <f>IF(A4082="","",'Employees'!F21)</f>
        <v/>
      </c>
    </row>
    <row r="4083">
      <c r="A4083">
        <f>IF(AND('Skill Matrix'!A261&lt;&gt;"",'Skill Matrix'!F5&lt;&gt;""),'Skill Matrix'!A261,"")</f>
        <v/>
      </c>
      <c r="B4083">
        <f>IF(A4083="","",'Employees'!C21)</f>
        <v/>
      </c>
      <c r="C4083">
        <f>IF(A4083="","",'Employees'!D21)</f>
        <v/>
      </c>
      <c r="D4083">
        <f>IF(A4083="","",'Skill Matrix'!C261)</f>
        <v/>
      </c>
      <c r="E4083">
        <f>IF(A4083="","",'Skill Matrix'!D261)</f>
        <v/>
      </c>
      <c r="F4083">
        <f>IF(AND('Skill Matrix'!A261&lt;&gt;"",'Skill Matrix'!F5&lt;&gt;""),'Skill Matrix'!F5,"")</f>
        <v/>
      </c>
      <c r="G4083">
        <f>IF(OR(A4083="",'Skill Matrix'!F261=""),"",'Skill Matrix'!F261)</f>
        <v/>
      </c>
      <c r="H4083">
        <f>IF(A4083="","",'Employees'!F21)</f>
        <v/>
      </c>
    </row>
    <row r="4084">
      <c r="A4084">
        <f>IF(AND('Skill Matrix'!A261&lt;&gt;"",'Skill Matrix'!G5&lt;&gt;""),'Skill Matrix'!A261,"")</f>
        <v/>
      </c>
      <c r="B4084">
        <f>IF(A4084="","",'Employees'!C21)</f>
        <v/>
      </c>
      <c r="C4084">
        <f>IF(A4084="","",'Employees'!D21)</f>
        <v/>
      </c>
      <c r="D4084">
        <f>IF(A4084="","",'Skill Matrix'!C261)</f>
        <v/>
      </c>
      <c r="E4084">
        <f>IF(A4084="","",'Skill Matrix'!D261)</f>
        <v/>
      </c>
      <c r="F4084">
        <f>IF(AND('Skill Matrix'!A261&lt;&gt;"",'Skill Matrix'!G5&lt;&gt;""),'Skill Matrix'!G5,"")</f>
        <v/>
      </c>
      <c r="G4084">
        <f>IF(OR(A4084="",'Skill Matrix'!G261=""),"",'Skill Matrix'!G261)</f>
        <v/>
      </c>
      <c r="H4084">
        <f>IF(A4084="","",'Employees'!F21)</f>
        <v/>
      </c>
    </row>
    <row r="4085">
      <c r="A4085">
        <f>IF(AND('Skill Matrix'!A261&lt;&gt;"",'Skill Matrix'!H5&lt;&gt;""),'Skill Matrix'!A261,"")</f>
        <v/>
      </c>
      <c r="B4085">
        <f>IF(A4085="","",'Employees'!C21)</f>
        <v/>
      </c>
      <c r="C4085">
        <f>IF(A4085="","",'Employees'!D21)</f>
        <v/>
      </c>
      <c r="D4085">
        <f>IF(A4085="","",'Skill Matrix'!C261)</f>
        <v/>
      </c>
      <c r="E4085">
        <f>IF(A4085="","",'Skill Matrix'!D261)</f>
        <v/>
      </c>
      <c r="F4085">
        <f>IF(AND('Skill Matrix'!A261&lt;&gt;"",'Skill Matrix'!H5&lt;&gt;""),'Skill Matrix'!H5,"")</f>
        <v/>
      </c>
      <c r="G4085">
        <f>IF(OR(A4085="",'Skill Matrix'!H261=""),"",'Skill Matrix'!H261)</f>
        <v/>
      </c>
      <c r="H4085">
        <f>IF(A4085="","",'Employees'!F21)</f>
        <v/>
      </c>
    </row>
    <row r="4086">
      <c r="A4086">
        <f>IF(AND('Skill Matrix'!A261&lt;&gt;"",'Skill Matrix'!I5&lt;&gt;""),'Skill Matrix'!A261,"")</f>
        <v/>
      </c>
      <c r="B4086">
        <f>IF(A4086="","",'Employees'!C21)</f>
        <v/>
      </c>
      <c r="C4086">
        <f>IF(A4086="","",'Employees'!D21)</f>
        <v/>
      </c>
      <c r="D4086">
        <f>IF(A4086="","",'Skill Matrix'!C261)</f>
        <v/>
      </c>
      <c r="E4086">
        <f>IF(A4086="","",'Skill Matrix'!D261)</f>
        <v/>
      </c>
      <c r="F4086">
        <f>IF(AND('Skill Matrix'!A261&lt;&gt;"",'Skill Matrix'!I5&lt;&gt;""),'Skill Matrix'!I5,"")</f>
        <v/>
      </c>
      <c r="G4086">
        <f>IF(OR(A4086="",'Skill Matrix'!I261=""),"",'Skill Matrix'!I261)</f>
        <v/>
      </c>
      <c r="H4086">
        <f>IF(A4086="","",'Employees'!F21)</f>
        <v/>
      </c>
    </row>
    <row r="4087">
      <c r="A4087">
        <f>IF(AND('Skill Matrix'!A261&lt;&gt;"",'Skill Matrix'!J5&lt;&gt;""),'Skill Matrix'!A261,"")</f>
        <v/>
      </c>
      <c r="B4087">
        <f>IF(A4087="","",'Employees'!C21)</f>
        <v/>
      </c>
      <c r="C4087">
        <f>IF(A4087="","",'Employees'!D21)</f>
        <v/>
      </c>
      <c r="D4087">
        <f>IF(A4087="","",'Skill Matrix'!C261)</f>
        <v/>
      </c>
      <c r="E4087">
        <f>IF(A4087="","",'Skill Matrix'!D261)</f>
        <v/>
      </c>
      <c r="F4087">
        <f>IF(AND('Skill Matrix'!A261&lt;&gt;"",'Skill Matrix'!J5&lt;&gt;""),'Skill Matrix'!J5,"")</f>
        <v/>
      </c>
      <c r="G4087">
        <f>IF(OR(A4087="",'Skill Matrix'!J261=""),"",'Skill Matrix'!J261)</f>
        <v/>
      </c>
      <c r="H4087">
        <f>IF(A4087="","",'Employees'!F21)</f>
        <v/>
      </c>
    </row>
    <row r="4088">
      <c r="A4088">
        <f>IF(AND('Skill Matrix'!A261&lt;&gt;"",'Skill Matrix'!K5&lt;&gt;""),'Skill Matrix'!A261,"")</f>
        <v/>
      </c>
      <c r="B4088">
        <f>IF(A4088="","",'Employees'!C21)</f>
        <v/>
      </c>
      <c r="C4088">
        <f>IF(A4088="","",'Employees'!D21)</f>
        <v/>
      </c>
      <c r="D4088">
        <f>IF(A4088="","",'Skill Matrix'!C261)</f>
        <v/>
      </c>
      <c r="E4088">
        <f>IF(A4088="","",'Skill Matrix'!D261)</f>
        <v/>
      </c>
      <c r="F4088">
        <f>IF(AND('Skill Matrix'!A261&lt;&gt;"",'Skill Matrix'!K5&lt;&gt;""),'Skill Matrix'!K5,"")</f>
        <v/>
      </c>
      <c r="G4088">
        <f>IF(OR(A4088="",'Skill Matrix'!K261=""),"",'Skill Matrix'!K261)</f>
        <v/>
      </c>
      <c r="H4088">
        <f>IF(A4088="","",'Employees'!F21)</f>
        <v/>
      </c>
    </row>
    <row r="4089">
      <c r="A4089">
        <f>IF(AND('Skill Matrix'!A261&lt;&gt;"",'Skill Matrix'!L5&lt;&gt;""),'Skill Matrix'!A261,"")</f>
        <v/>
      </c>
      <c r="B4089">
        <f>IF(A4089="","",'Employees'!C21)</f>
        <v/>
      </c>
      <c r="C4089">
        <f>IF(A4089="","",'Employees'!D21)</f>
        <v/>
      </c>
      <c r="D4089">
        <f>IF(A4089="","",'Skill Matrix'!C261)</f>
        <v/>
      </c>
      <c r="E4089">
        <f>IF(A4089="","",'Skill Matrix'!D261)</f>
        <v/>
      </c>
      <c r="F4089">
        <f>IF(AND('Skill Matrix'!A261&lt;&gt;"",'Skill Matrix'!L5&lt;&gt;""),'Skill Matrix'!L5,"")</f>
        <v/>
      </c>
      <c r="G4089">
        <f>IF(OR(A4089="",'Skill Matrix'!L261=""),"",'Skill Matrix'!L261)</f>
        <v/>
      </c>
      <c r="H4089">
        <f>IF(A4089="","",'Employees'!F21)</f>
        <v/>
      </c>
    </row>
    <row r="4090">
      <c r="A4090">
        <f>IF(AND('Skill Matrix'!A261&lt;&gt;"",'Skill Matrix'!M5&lt;&gt;""),'Skill Matrix'!A261,"")</f>
        <v/>
      </c>
      <c r="B4090">
        <f>IF(A4090="","",'Employees'!C21)</f>
        <v/>
      </c>
      <c r="C4090">
        <f>IF(A4090="","",'Employees'!D21)</f>
        <v/>
      </c>
      <c r="D4090">
        <f>IF(A4090="","",'Skill Matrix'!C261)</f>
        <v/>
      </c>
      <c r="E4090">
        <f>IF(A4090="","",'Skill Matrix'!D261)</f>
        <v/>
      </c>
      <c r="F4090">
        <f>IF(AND('Skill Matrix'!A261&lt;&gt;"",'Skill Matrix'!M5&lt;&gt;""),'Skill Matrix'!M5,"")</f>
        <v/>
      </c>
      <c r="G4090">
        <f>IF(OR(A4090="",'Skill Matrix'!M261=""),"",'Skill Matrix'!M261)</f>
        <v/>
      </c>
      <c r="H4090">
        <f>IF(A4090="","",'Employees'!F21)</f>
        <v/>
      </c>
    </row>
    <row r="4091">
      <c r="A4091">
        <f>IF(AND('Skill Matrix'!A261&lt;&gt;"",'Skill Matrix'!N5&lt;&gt;""),'Skill Matrix'!A261,"")</f>
        <v/>
      </c>
      <c r="B4091">
        <f>IF(A4091="","",'Employees'!C21)</f>
        <v/>
      </c>
      <c r="C4091">
        <f>IF(A4091="","",'Employees'!D21)</f>
        <v/>
      </c>
      <c r="D4091">
        <f>IF(A4091="","",'Skill Matrix'!C261)</f>
        <v/>
      </c>
      <c r="E4091">
        <f>IF(A4091="","",'Skill Matrix'!D261)</f>
        <v/>
      </c>
      <c r="F4091">
        <f>IF(AND('Skill Matrix'!A261&lt;&gt;"",'Skill Matrix'!N5&lt;&gt;""),'Skill Matrix'!N5,"")</f>
        <v/>
      </c>
      <c r="G4091">
        <f>IF(OR(A4091="",'Skill Matrix'!N261=""),"",'Skill Matrix'!N261)</f>
        <v/>
      </c>
      <c r="H4091">
        <f>IF(A4091="","",'Employees'!F21)</f>
        <v/>
      </c>
    </row>
    <row r="4092">
      <c r="A4092">
        <f>IF(AND('Skill Matrix'!A261&lt;&gt;"",'Skill Matrix'!O5&lt;&gt;""),'Skill Matrix'!A261,"")</f>
        <v/>
      </c>
      <c r="B4092">
        <f>IF(A4092="","",'Employees'!C21)</f>
        <v/>
      </c>
      <c r="C4092">
        <f>IF(A4092="","",'Employees'!D21)</f>
        <v/>
      </c>
      <c r="D4092">
        <f>IF(A4092="","",'Skill Matrix'!C261)</f>
        <v/>
      </c>
      <c r="E4092">
        <f>IF(A4092="","",'Skill Matrix'!D261)</f>
        <v/>
      </c>
      <c r="F4092">
        <f>IF(AND('Skill Matrix'!A261&lt;&gt;"",'Skill Matrix'!O5&lt;&gt;""),'Skill Matrix'!O5,"")</f>
        <v/>
      </c>
      <c r="G4092">
        <f>IF(OR(A4092="",'Skill Matrix'!O261=""),"",'Skill Matrix'!O261)</f>
        <v/>
      </c>
      <c r="H4092">
        <f>IF(A4092="","",'Employees'!F21)</f>
        <v/>
      </c>
    </row>
    <row r="4093">
      <c r="A4093">
        <f>IF(AND('Skill Matrix'!A261&lt;&gt;"",'Skill Matrix'!P5&lt;&gt;""),'Skill Matrix'!A261,"")</f>
        <v/>
      </c>
      <c r="B4093">
        <f>IF(A4093="","",'Employees'!C21)</f>
        <v/>
      </c>
      <c r="C4093">
        <f>IF(A4093="","",'Employees'!D21)</f>
        <v/>
      </c>
      <c r="D4093">
        <f>IF(A4093="","",'Skill Matrix'!C261)</f>
        <v/>
      </c>
      <c r="E4093">
        <f>IF(A4093="","",'Skill Matrix'!D261)</f>
        <v/>
      </c>
      <c r="F4093">
        <f>IF(AND('Skill Matrix'!A261&lt;&gt;"",'Skill Matrix'!P5&lt;&gt;""),'Skill Matrix'!P5,"")</f>
        <v/>
      </c>
      <c r="G4093">
        <f>IF(OR(A4093="",'Skill Matrix'!P261=""),"",'Skill Matrix'!P261)</f>
        <v/>
      </c>
      <c r="H4093">
        <f>IF(A4093="","",'Employees'!F21)</f>
        <v/>
      </c>
    </row>
    <row r="4094">
      <c r="A4094">
        <f>IF(AND('Skill Matrix'!A261&lt;&gt;"",'Skill Matrix'!Q5&lt;&gt;""),'Skill Matrix'!A261,"")</f>
        <v/>
      </c>
      <c r="B4094">
        <f>IF(A4094="","",'Employees'!C21)</f>
        <v/>
      </c>
      <c r="C4094">
        <f>IF(A4094="","",'Employees'!D21)</f>
        <v/>
      </c>
      <c r="D4094">
        <f>IF(A4094="","",'Skill Matrix'!C261)</f>
        <v/>
      </c>
      <c r="E4094">
        <f>IF(A4094="","",'Skill Matrix'!D261)</f>
        <v/>
      </c>
      <c r="F4094">
        <f>IF(AND('Skill Matrix'!A261&lt;&gt;"",'Skill Matrix'!Q5&lt;&gt;""),'Skill Matrix'!Q5,"")</f>
        <v/>
      </c>
      <c r="G4094">
        <f>IF(OR(A4094="",'Skill Matrix'!Q261=""),"",'Skill Matrix'!Q261)</f>
        <v/>
      </c>
      <c r="H4094">
        <f>IF(A4094="","",'Employees'!F21)</f>
        <v/>
      </c>
    </row>
    <row r="4095">
      <c r="A4095">
        <f>IF(AND('Skill Matrix'!A261&lt;&gt;"",'Skill Matrix'!R5&lt;&gt;""),'Skill Matrix'!A261,"")</f>
        <v/>
      </c>
      <c r="B4095">
        <f>IF(A4095="","",'Employees'!C21)</f>
        <v/>
      </c>
      <c r="C4095">
        <f>IF(A4095="","",'Employees'!D21)</f>
        <v/>
      </c>
      <c r="D4095">
        <f>IF(A4095="","",'Skill Matrix'!C261)</f>
        <v/>
      </c>
      <c r="E4095">
        <f>IF(A4095="","",'Skill Matrix'!D261)</f>
        <v/>
      </c>
      <c r="F4095">
        <f>IF(AND('Skill Matrix'!A261&lt;&gt;"",'Skill Matrix'!R5&lt;&gt;""),'Skill Matrix'!R5,"")</f>
        <v/>
      </c>
      <c r="G4095">
        <f>IF(OR(A4095="",'Skill Matrix'!R261=""),"",'Skill Matrix'!R261)</f>
        <v/>
      </c>
      <c r="H4095">
        <f>IF(A4095="","",'Employees'!F21)</f>
        <v/>
      </c>
    </row>
    <row r="4096">
      <c r="A4096">
        <f>IF(AND('Skill Matrix'!A261&lt;&gt;"",'Skill Matrix'!S5&lt;&gt;""),'Skill Matrix'!A261,"")</f>
        <v/>
      </c>
      <c r="B4096">
        <f>IF(A4096="","",'Employees'!C21)</f>
        <v/>
      </c>
      <c r="C4096">
        <f>IF(A4096="","",'Employees'!D21)</f>
        <v/>
      </c>
      <c r="D4096">
        <f>IF(A4096="","",'Skill Matrix'!C261)</f>
        <v/>
      </c>
      <c r="E4096">
        <f>IF(A4096="","",'Skill Matrix'!D261)</f>
        <v/>
      </c>
      <c r="F4096">
        <f>IF(AND('Skill Matrix'!A261&lt;&gt;"",'Skill Matrix'!S5&lt;&gt;""),'Skill Matrix'!S5,"")</f>
        <v/>
      </c>
      <c r="G4096">
        <f>IF(OR(A4096="",'Skill Matrix'!S261=""),"",'Skill Matrix'!S261)</f>
        <v/>
      </c>
      <c r="H4096">
        <f>IF(A4096="","",'Employees'!F21)</f>
        <v/>
      </c>
    </row>
    <row r="4097">
      <c r="A4097">
        <f>IF(AND('Skill Matrix'!A261&lt;&gt;"",'Skill Matrix'!T5&lt;&gt;""),'Skill Matrix'!A261,"")</f>
        <v/>
      </c>
      <c r="B4097">
        <f>IF(A4097="","",'Employees'!C21)</f>
        <v/>
      </c>
      <c r="C4097">
        <f>IF(A4097="","",'Employees'!D21)</f>
        <v/>
      </c>
      <c r="D4097">
        <f>IF(A4097="","",'Skill Matrix'!C261)</f>
        <v/>
      </c>
      <c r="E4097">
        <f>IF(A4097="","",'Skill Matrix'!D261)</f>
        <v/>
      </c>
      <c r="F4097">
        <f>IF(AND('Skill Matrix'!A261&lt;&gt;"",'Skill Matrix'!T5&lt;&gt;""),'Skill Matrix'!T5,"")</f>
        <v/>
      </c>
      <c r="G4097">
        <f>IF(OR(A4097="",'Skill Matrix'!T261=""),"",'Skill Matrix'!T261)</f>
        <v/>
      </c>
      <c r="H4097">
        <f>IF(A4097="","",'Employees'!F21)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sheetData>
    <row r="1">
      <c r="A1" t="inlineStr">
        <is>
          <t>LatestYear</t>
        </is>
      </c>
      <c r="B1">
        <f>IFERROR(MAXIFS(DataYear,DataRating,"&gt;=1"),YEAR(TODAY()))</f>
        <v/>
      </c>
    </row>
    <row r="2">
      <c r="A2" t="inlineStr">
        <is>
          <t>PreviousYear</t>
        </is>
      </c>
      <c r="B2">
        <f>IFERROR(MAXIFS(DataYear,DataRating,"&gt;=1",DataYear,"&lt;"&amp;B1),"")</f>
        <v/>
      </c>
    </row>
    <row r="4">
      <c r="A4" t="inlineStr">
        <is>
          <t>Year</t>
        </is>
      </c>
      <c r="B4" t="inlineStr">
        <is>
          <t>TeamAvg</t>
        </is>
      </c>
      <c r="D4" t="inlineStr">
        <is>
          <t>Year</t>
        </is>
      </c>
      <c r="E4" t="inlineStr">
        <is>
          <t>EmpAvg</t>
        </is>
      </c>
      <c r="G4" t="inlineStr">
        <is>
          <t>Skill</t>
        </is>
      </c>
      <c r="H4" t="inlineStr">
        <is>
          <t>First</t>
        </is>
      </c>
      <c r="I4" t="inlineStr">
        <is>
          <t>LastYear</t>
        </is>
      </c>
      <c r="J4" t="inlineStr">
        <is>
          <t>Latest</t>
        </is>
      </c>
      <c r="L4" t="inlineStr">
        <is>
          <t>SetSkill</t>
        </is>
      </c>
      <c r="M4">
        <f>IFERROR(INDEX(FILTER('Skill Sets'!$B$6:$B$45,'Skill Sets'!$A$6:$A$45=SkillSetFilter),1),"")</f>
        <v/>
      </c>
      <c r="N4">
        <f>IFERROR(INDEX(FILTER('Skill Sets'!$B$6:$B$45,'Skill Sets'!$A$6:$A$45=SkillSetFilter),2),"")</f>
        <v/>
      </c>
      <c r="O4">
        <f>IFERROR(INDEX(FILTER('Skill Sets'!$B$6:$B$45,'Skill Sets'!$A$6:$A$45=SkillSetFilter),3),"")</f>
        <v/>
      </c>
      <c r="P4">
        <f>IFERROR(INDEX(FILTER('Skill Sets'!$B$6:$B$45,'Skill Sets'!$A$6:$A$45=SkillSetFilter),4),"")</f>
        <v/>
      </c>
      <c r="Q4">
        <f>IFERROR(INDEX(FILTER('Skill Sets'!$B$6:$B$45,'Skill Sets'!$A$6:$A$45=SkillSetFilter),5),"")</f>
        <v/>
      </c>
      <c r="R4">
        <f>IFERROR(INDEX(FILTER('Skill Sets'!$B$6:$B$45,'Skill Sets'!$A$6:$A$45=SkillSetFilter),6),"")</f>
        <v/>
      </c>
    </row>
    <row r="5">
      <c r="A5" s="128">
        <f>IF('Years'!B8="","",'Years'!B8)</f>
        <v/>
      </c>
      <c r="B5" s="129">
        <f>IF(A5="","",IFERROR(IF(DeptFilter="(All departments)",AVERAGEIFS(DataRating,DataYear,A5),AVERAGEIFS(DataRating,DataYear,A5,DataDept,DeptFilter)),NA()))</f>
        <v/>
      </c>
      <c r="D5">
        <f>A5</f>
        <v/>
      </c>
      <c r="E5" s="129">
        <f>IF(OR(D5="",EmpFilter=""),"",IFERROR(AVERAGEIFS(DataRating,DataYear,D5,DataEmployee,EmpFilter),NA()))</f>
        <v/>
      </c>
      <c r="G5">
        <f>IF('Skills'!B6="","",'Skills'!B6)</f>
        <v/>
      </c>
      <c r="H5">
        <f>IF(OR(G5="",EmpFilter=""),"",IF(COUNTIFS(DataEmployee,EmpFilter,DataSkill,G5,DataRating,"&gt;=1")=0,"",IFERROR(SUMIFS(DataRating,DataEmployee,EmpFilter,DataSkill,G5,DataYear,MINIFS(DataYear,DataEmployee,EmpFilter,DataSkill,G5,DataRating,"&gt;=1")),"")))</f>
        <v/>
      </c>
      <c r="I5">
        <f>IF(OR(G5="",EmpFilter="",PreviousYear=""),"",IF(COUNTIFS(DataEmployee,EmpFilter,DataSkill,G5,DataYear,PreviousYear,DataRating,"&gt;=1")=0,"",IFERROR(SUMIFS(DataRating,DataEmployee,EmpFilter,DataSkill,G5,DataYear,PreviousYear),"")))</f>
        <v/>
      </c>
      <c r="J5">
        <f>IF(OR(G5="",EmpFilter=""),"",IF(COUNTIFS(DataEmployee,EmpFilter,DataSkill,G5,DataYear,LatestYear,DataRating,"&gt;=1")=0,"",IFERROR(SUMIFS(DataRating,DataEmployee,EmpFilter,DataSkill,G5,DataYear,LatestYear),"")))</f>
        <v/>
      </c>
      <c r="L5" t="inlineStr">
        <is>
          <t>Min</t>
        </is>
      </c>
      <c r="M5">
        <f>IFERROR(INDEX(FILTER('Skill Sets'!$C$6:$C$45,'Skill Sets'!$A$6:$A$45=SkillSetFilter),1),"")</f>
        <v/>
      </c>
      <c r="N5">
        <f>IFERROR(INDEX(FILTER('Skill Sets'!$C$6:$C$45,'Skill Sets'!$A$6:$A$45=SkillSetFilter),2),"")</f>
        <v/>
      </c>
      <c r="O5">
        <f>IFERROR(INDEX(FILTER('Skill Sets'!$C$6:$C$45,'Skill Sets'!$A$6:$A$45=SkillSetFilter),3),"")</f>
        <v/>
      </c>
      <c r="P5">
        <f>IFERROR(INDEX(FILTER('Skill Sets'!$C$6:$C$45,'Skill Sets'!$A$6:$A$45=SkillSetFilter),4),"")</f>
        <v/>
      </c>
      <c r="Q5">
        <f>IFERROR(INDEX(FILTER('Skill Sets'!$C$6:$C$45,'Skill Sets'!$A$6:$A$45=SkillSetFilter),5),"")</f>
        <v/>
      </c>
      <c r="R5">
        <f>IFERROR(INDEX(FILTER('Skill Sets'!$C$6:$C$45,'Skill Sets'!$A$6:$A$45=SkillSetFilter),6),"")</f>
        <v/>
      </c>
    </row>
    <row r="6">
      <c r="A6" s="128">
        <f>IF('Years'!B9="","",'Years'!B9)</f>
        <v/>
      </c>
      <c r="B6" s="129">
        <f>IF(A6="","",IFERROR(IF(DeptFilter="(All departments)",AVERAGEIFS(DataRating,DataYear,A6),AVERAGEIFS(DataRating,DataYear,A6,DataDept,DeptFilter)),NA()))</f>
        <v/>
      </c>
      <c r="D6">
        <f>A6</f>
        <v/>
      </c>
      <c r="E6" s="129">
        <f>IF(OR(D6="",EmpFilter=""),"",IFERROR(AVERAGEIFS(DataRating,DataYear,D6,DataEmployee,EmpFilter),NA()))</f>
        <v/>
      </c>
      <c r="G6">
        <f>IF('Skills'!B7="","",'Skills'!B7)</f>
        <v/>
      </c>
      <c r="H6">
        <f>IF(OR(G6="",EmpFilter=""),"",IF(COUNTIFS(DataEmployee,EmpFilter,DataSkill,G6,DataRating,"&gt;=1")=0,"",IFERROR(SUMIFS(DataRating,DataEmployee,EmpFilter,DataSkill,G6,DataYear,MINIFS(DataYear,DataEmployee,EmpFilter,DataSkill,G6,DataRating,"&gt;=1")),"")))</f>
        <v/>
      </c>
      <c r="I6">
        <f>IF(OR(G6="",EmpFilter="",PreviousYear=""),"",IF(COUNTIFS(DataEmployee,EmpFilter,DataSkill,G6,DataYear,PreviousYear,DataRating,"&gt;=1")=0,"",IFERROR(SUMIFS(DataRating,DataEmployee,EmpFilter,DataSkill,G6,DataYear,PreviousYear),"")))</f>
        <v/>
      </c>
      <c r="J6">
        <f>IF(OR(G6="",EmpFilter=""),"",IF(COUNTIFS(DataEmployee,EmpFilter,DataSkill,G6,DataYear,LatestYear,DataRating,"&gt;=1")=0,"",IFERROR(SUMIFS(DataRating,DataEmployee,EmpFilter,DataSkill,G6,DataYear,LatestYear),"")))</f>
        <v/>
      </c>
    </row>
    <row r="7">
      <c r="A7" s="128">
        <f>IF('Years'!B10="","",'Years'!B10)</f>
        <v/>
      </c>
      <c r="B7" s="129">
        <f>IF(A7="","",IFERROR(IF(DeptFilter="(All departments)",AVERAGEIFS(DataRating,DataYear,A7),AVERAGEIFS(DataRating,DataYear,A7,DataDept,DeptFilter)),NA()))</f>
        <v/>
      </c>
      <c r="D7">
        <f>A7</f>
        <v/>
      </c>
      <c r="E7" s="129">
        <f>IF(OR(D7="",EmpFilter=""),"",IFERROR(AVERAGEIFS(DataRating,DataYear,D7,DataEmployee,EmpFilter),NA()))</f>
        <v/>
      </c>
      <c r="G7">
        <f>IF('Skills'!B8="","",'Skills'!B8)</f>
        <v/>
      </c>
      <c r="H7">
        <f>IF(OR(G7="",EmpFilter=""),"",IF(COUNTIFS(DataEmployee,EmpFilter,DataSkill,G7,DataRating,"&gt;=1")=0,"",IFERROR(SUMIFS(DataRating,DataEmployee,EmpFilter,DataSkill,G7,DataYear,MINIFS(DataYear,DataEmployee,EmpFilter,DataSkill,G7,DataRating,"&gt;=1")),"")))</f>
        <v/>
      </c>
      <c r="I7">
        <f>IF(OR(G7="",EmpFilter="",PreviousYear=""),"",IF(COUNTIFS(DataEmployee,EmpFilter,DataSkill,G7,DataYear,PreviousYear,DataRating,"&gt;=1")=0,"",IFERROR(SUMIFS(DataRating,DataEmployee,EmpFilter,DataSkill,G7,DataYear,PreviousYear),"")))</f>
        <v/>
      </c>
      <c r="J7">
        <f>IF(OR(G7="",EmpFilter=""),"",IF(COUNTIFS(DataEmployee,EmpFilter,DataSkill,G7,DataYear,LatestYear,DataRating,"&gt;=1")=0,"",IFERROR(SUMIFS(DataRating,DataEmployee,EmpFilter,DataSkill,G7,DataYear,LatestYear),"")))</f>
        <v/>
      </c>
      <c r="L7" t="inlineStr">
        <is>
          <t>Employee</t>
        </is>
      </c>
      <c r="M7" t="inlineStr">
        <is>
          <t>Score</t>
        </is>
      </c>
      <c r="N7" t="inlineStr">
        <is>
          <t>VsLast</t>
        </is>
      </c>
      <c r="O7" t="inlineStr">
        <is>
          <t>Coverage</t>
        </is>
      </c>
      <c r="P7" t="inlineStr">
        <is>
          <t>MetMin</t>
        </is>
      </c>
      <c r="Q7" t="inlineStr">
        <is>
          <t>Rank</t>
        </is>
      </c>
      <c r="S7" t="inlineStr">
        <is>
          <t>RankedEmployee</t>
        </is>
      </c>
      <c r="T7" t="inlineStr">
        <is>
          <t>RankedScore</t>
        </is>
      </c>
    </row>
    <row r="8">
      <c r="A8" s="128">
        <f>IF('Years'!B11="","",'Years'!B11)</f>
        <v/>
      </c>
      <c r="B8" s="129">
        <f>IF(A8="","",IFERROR(IF(DeptFilter="(All departments)",AVERAGEIFS(DataRating,DataYear,A8),AVERAGEIFS(DataRating,DataYear,A8,DataDept,DeptFilter)),NA()))</f>
        <v/>
      </c>
      <c r="D8">
        <f>A8</f>
        <v/>
      </c>
      <c r="E8" s="129">
        <f>IF(OR(D8="",EmpFilter=""),"",IFERROR(AVERAGEIFS(DataRating,DataYear,D8,DataEmployee,EmpFilter),NA()))</f>
        <v/>
      </c>
      <c r="G8">
        <f>IF('Skills'!B9="","",'Skills'!B9)</f>
        <v/>
      </c>
      <c r="H8">
        <f>IF(OR(G8="",EmpFilter=""),"",IF(COUNTIFS(DataEmployee,EmpFilter,DataSkill,G8,DataRating,"&gt;=1")=0,"",IFERROR(SUMIFS(DataRating,DataEmployee,EmpFilter,DataSkill,G8,DataYear,MINIFS(DataYear,DataEmployee,EmpFilter,DataSkill,G8,DataRating,"&gt;=1")),"")))</f>
        <v/>
      </c>
      <c r="I8">
        <f>IF(OR(G8="",EmpFilter="",PreviousYear=""),"",IF(COUNTIFS(DataEmployee,EmpFilter,DataSkill,G8,DataYear,PreviousYear,DataRating,"&gt;=1")=0,"",IFERROR(SUMIFS(DataRating,DataEmployee,EmpFilter,DataSkill,G8,DataYear,PreviousYear),"")))</f>
        <v/>
      </c>
      <c r="J8">
        <f>IF(OR(G8="",EmpFilter=""),"",IF(COUNTIFS(DataEmployee,EmpFilter,DataSkill,G8,DataYear,LatestYear,DataRating,"&gt;=1")=0,"",IFERROR(SUMIFS(DataRating,DataEmployee,EmpFilter,DataSkill,G8,DataYear,LatestYear),"")))</f>
        <v/>
      </c>
      <c r="L8">
        <f>IF('Employees'!B6="","",'Employees'!B6)</f>
        <v/>
      </c>
      <c r="M8" s="129">
        <f>IF(L8="","",IFERROR(IF((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0,"",(IF(M$4="","",SUMIFS(DataRating,DataEmployee,L8,DataSkill,M$4,DataYear,LatestYear))+IF(N$4="","",SUMIFS(DataRating,DataEmployee,L8,DataSkill,N$4,DataYear,LatestYear))+IF(O$4="","",SUMIFS(DataRating,DataEmployee,L8,DataSkill,O$4,DataYear,LatestYear))+IF(P$4="","",SUMIFS(DataRating,DataEmployee,L8,DataSkill,P$4,DataYear,LatestYear))+IF(Q$4="","",SUMIFS(DataRating,DataEmployee,L8,DataSkill,Q$4,DataYear,LatestYear))+IF(R$4="","",SUMIFS(DataRating,DataEmployee,L8,DataSkill,R$4,DataYear,LatestYear)))/(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f>
        <v/>
      </c>
      <c r="N8" s="130">
        <f>IF(OR(L8="",M8="",PreviousYear=""),"",IFERROR(IF((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0,"",(IF(M$4="","",SUMIFS(DataRating,DataEmployee,L8,DataSkill,M$4,DataYear,LatestYear))+IF(N$4="","",SUMIFS(DataRating,DataEmployee,L8,DataSkill,N$4,DataYear,LatestYear))+IF(O$4="","",SUMIFS(DataRating,DataEmployee,L8,DataSkill,O$4,DataYear,LatestYear))+IF(P$4="","",SUMIFS(DataRating,DataEmployee,L8,DataSkill,P$4,DataYear,LatestYear))+IF(Q$4="","",SUMIFS(DataRating,DataEmployee,L8,DataSkill,Q$4,DataYear,LatestYear))+IF(R$4="","",SUMIFS(DataRating,DataEmployee,L8,DataSkill,R$4,DataYear,LatestYear)))/(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IFERROR((IF(OR(M$4="",PreviousYear=""),"",SUMIFS(DataRating,DataEmployee,L8,DataSkill,M$4,DataYear,PreviousYear))+IF(OR(N$4="",PreviousYear=""),"",SUMIFS(DataRating,DataEmployee,L8,DataSkill,N$4,DataYear,PreviousYear))+IF(OR(O$4="",PreviousYear=""),"",SUMIFS(DataRating,DataEmployee,L8,DataSkill,O$4,DataYear,PreviousYear))+IF(OR(P$4="",PreviousYear=""),"",SUMIFS(DataRating,DataEmployee,L8,DataSkill,P$4,DataYear,PreviousYear))+IF(OR(Q$4="",PreviousYear=""),"",SUMIFS(DataRating,DataEmployee,L8,DataSkill,Q$4,DataYear,PreviousYear))+IF(OR(R$4="",PreviousYear=""),"",SUMIFS(DataRating,DataEmployee,L8,DataSkill,R$4,DataYear,PreviousYear)))/MAX(1,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f>
        <v/>
      </c>
      <c r="O8">
        <f>IF(L8="","",IF(OR(M$4="",SUMIFS(DataRating,DataEmployee,L8,DataSkill,M$4,DataYear,LatestYear)=0),0,1)+IF(OR(N$4="",SUMIFS(DataRating,DataEmployee,L8,DataSkill,N$4,DataYear,LatestYear)=0),0,1)+IF(OR(O$4="",SUMIFS(DataRating,DataEmployee,L8,DataSkill,O$4,DataYear,LatestYear)=0),0,1)+IF(OR(P$4="",SUMIFS(DataRating,DataEmployee,L8,DataSkill,P$4,DataYear,LatestYear)=0),0,1)+IF(OR(Q$4="",SUMIFS(DataRating,DataEmployee,L8,DataSkill,Q$4,DataYear,LatestYear)=0),0,1)+IF(OR(R$4="",SUMIFS(DataRating,DataEmployee,L8,DataSkill,R$4,DataYear,LatestYear)=0),0,1)&amp;"/"&amp;COUNTA(M$4:R$4))</f>
        <v/>
      </c>
      <c r="P8">
        <f>IF(L8="","",IF(OR(M$4="",M$5=""),0,IF(SUMIFS(DataRating,DataEmployee,L8,DataSkill,M$4,DataYear,LatestYear)&gt;=M$5,1,0))+IF(OR(N$4="",N$5=""),0,IF(SUMIFS(DataRating,DataEmployee,L8,DataSkill,N$4,DataYear,LatestYear)&gt;=N$5,1,0))+IF(OR(O$4="",O$5=""),0,IF(SUMIFS(DataRating,DataEmployee,L8,DataSkill,O$4,DataYear,LatestYear)&gt;=O$5,1,0))+IF(OR(P$4="",P$5=""),0,IF(SUMIFS(DataRating,DataEmployee,L8,DataSkill,P$4,DataYear,LatestYear)&gt;=P$5,1,0))+IF(OR(Q$4="",Q$5=""),0,IF(SUMIFS(DataRating,DataEmployee,L8,DataSkill,Q$4,DataYear,LatestYear)&gt;=Q$5,1,0))+IF(OR(R$4="",R$5=""),0,IF(SUMIFS(DataRating,DataEmployee,L8,DataSkill,R$4,DataYear,LatestYear)&gt;=R$5,1,0))&amp;"/"&amp;COUNT(M$5:R$5))</f>
        <v/>
      </c>
      <c r="Q8">
        <f>IF(OR(L8="",M8=""),"",RANK(M8,$M$8:$M$23,0)+COUNTIF($M$8:M8,M8)-1)</f>
        <v/>
      </c>
      <c r="S8">
        <f>IFERROR(INDEX($L$8:$L$23,MATCH(1,$Q$8:$Q$23,0)),"")</f>
        <v/>
      </c>
      <c r="T8" s="129">
        <f>IFERROR(INDEX($M$8:$M$23,MATCH(1,$Q$8:$Q$23,0)),"")</f>
        <v/>
      </c>
    </row>
    <row r="9">
      <c r="A9" s="128">
        <f>IF('Years'!B12="","",'Years'!B12)</f>
        <v/>
      </c>
      <c r="B9" s="129">
        <f>IF(A9="","",IFERROR(IF(DeptFilter="(All departments)",AVERAGEIFS(DataRating,DataYear,A9),AVERAGEIFS(DataRating,DataYear,A9,DataDept,DeptFilter)),NA()))</f>
        <v/>
      </c>
      <c r="D9">
        <f>A9</f>
        <v/>
      </c>
      <c r="E9" s="129">
        <f>IF(OR(D9="",EmpFilter=""),"",IFERROR(AVERAGEIFS(DataRating,DataYear,D9,DataEmployee,EmpFilter),NA()))</f>
        <v/>
      </c>
      <c r="G9">
        <f>IF('Skills'!B10="","",'Skills'!B10)</f>
        <v/>
      </c>
      <c r="H9">
        <f>IF(OR(G9="",EmpFilter=""),"",IF(COUNTIFS(DataEmployee,EmpFilter,DataSkill,G9,DataRating,"&gt;=1")=0,"",IFERROR(SUMIFS(DataRating,DataEmployee,EmpFilter,DataSkill,G9,DataYear,MINIFS(DataYear,DataEmployee,EmpFilter,DataSkill,G9,DataRating,"&gt;=1")),"")))</f>
        <v/>
      </c>
      <c r="I9">
        <f>IF(OR(G9="",EmpFilter="",PreviousYear=""),"",IF(COUNTIFS(DataEmployee,EmpFilter,DataSkill,G9,DataYear,PreviousYear,DataRating,"&gt;=1")=0,"",IFERROR(SUMIFS(DataRating,DataEmployee,EmpFilter,DataSkill,G9,DataYear,PreviousYear),"")))</f>
        <v/>
      </c>
      <c r="J9">
        <f>IF(OR(G9="",EmpFilter=""),"",IF(COUNTIFS(DataEmployee,EmpFilter,DataSkill,G9,DataYear,LatestYear,DataRating,"&gt;=1")=0,"",IFERROR(SUMIFS(DataRating,DataEmployee,EmpFilter,DataSkill,G9,DataYear,LatestYear),"")))</f>
        <v/>
      </c>
      <c r="L9">
        <f>IF('Employees'!B7="","",'Employees'!B7)</f>
        <v/>
      </c>
      <c r="M9" s="129">
        <f>IF(L9="","",IFERROR(IF((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0,"",(IF(M$4="","",SUMIFS(DataRating,DataEmployee,L9,DataSkill,M$4,DataYear,LatestYear))+IF(N$4="","",SUMIFS(DataRating,DataEmployee,L9,DataSkill,N$4,DataYear,LatestYear))+IF(O$4="","",SUMIFS(DataRating,DataEmployee,L9,DataSkill,O$4,DataYear,LatestYear))+IF(P$4="","",SUMIFS(DataRating,DataEmployee,L9,DataSkill,P$4,DataYear,LatestYear))+IF(Q$4="","",SUMIFS(DataRating,DataEmployee,L9,DataSkill,Q$4,DataYear,LatestYear))+IF(R$4="","",SUMIFS(DataRating,DataEmployee,L9,DataSkill,R$4,DataYear,LatestYear)))/(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f>
        <v/>
      </c>
      <c r="N9" s="130">
        <f>IF(OR(L9="",M9="",PreviousYear=""),"",IFERROR(IF((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0,"",(IF(M$4="","",SUMIFS(DataRating,DataEmployee,L9,DataSkill,M$4,DataYear,LatestYear))+IF(N$4="","",SUMIFS(DataRating,DataEmployee,L9,DataSkill,N$4,DataYear,LatestYear))+IF(O$4="","",SUMIFS(DataRating,DataEmployee,L9,DataSkill,O$4,DataYear,LatestYear))+IF(P$4="","",SUMIFS(DataRating,DataEmployee,L9,DataSkill,P$4,DataYear,LatestYear))+IF(Q$4="","",SUMIFS(DataRating,DataEmployee,L9,DataSkill,Q$4,DataYear,LatestYear))+IF(R$4="","",SUMIFS(DataRating,DataEmployee,L9,DataSkill,R$4,DataYear,LatestYear)))/(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IFERROR((IF(OR(M$4="",PreviousYear=""),"",SUMIFS(DataRating,DataEmployee,L9,DataSkill,M$4,DataYear,PreviousYear))+IF(OR(N$4="",PreviousYear=""),"",SUMIFS(DataRating,DataEmployee,L9,DataSkill,N$4,DataYear,PreviousYear))+IF(OR(O$4="",PreviousYear=""),"",SUMIFS(DataRating,DataEmployee,L9,DataSkill,O$4,DataYear,PreviousYear))+IF(OR(P$4="",PreviousYear=""),"",SUMIFS(DataRating,DataEmployee,L9,DataSkill,P$4,DataYear,PreviousYear))+IF(OR(Q$4="",PreviousYear=""),"",SUMIFS(DataRating,DataEmployee,L9,DataSkill,Q$4,DataYear,PreviousYear))+IF(OR(R$4="",PreviousYear=""),"",SUMIFS(DataRating,DataEmployee,L9,DataSkill,R$4,DataYear,PreviousYear)))/MAX(1,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f>
        <v/>
      </c>
      <c r="O9">
        <f>IF(L9="","",IF(OR(M$4="",SUMIFS(DataRating,DataEmployee,L9,DataSkill,M$4,DataYear,LatestYear)=0),0,1)+IF(OR(N$4="",SUMIFS(DataRating,DataEmployee,L9,DataSkill,N$4,DataYear,LatestYear)=0),0,1)+IF(OR(O$4="",SUMIFS(DataRating,DataEmployee,L9,DataSkill,O$4,DataYear,LatestYear)=0),0,1)+IF(OR(P$4="",SUMIFS(DataRating,DataEmployee,L9,DataSkill,P$4,DataYear,LatestYear)=0),0,1)+IF(OR(Q$4="",SUMIFS(DataRating,DataEmployee,L9,DataSkill,Q$4,DataYear,LatestYear)=0),0,1)+IF(OR(R$4="",SUMIFS(DataRating,DataEmployee,L9,DataSkill,R$4,DataYear,LatestYear)=0),0,1)&amp;"/"&amp;COUNTA(M$4:R$4))</f>
        <v/>
      </c>
      <c r="P9">
        <f>IF(L9="","",IF(OR(M$4="",M$5=""),0,IF(SUMIFS(DataRating,DataEmployee,L9,DataSkill,M$4,DataYear,LatestYear)&gt;=M$5,1,0))+IF(OR(N$4="",N$5=""),0,IF(SUMIFS(DataRating,DataEmployee,L9,DataSkill,N$4,DataYear,LatestYear)&gt;=N$5,1,0))+IF(OR(O$4="",O$5=""),0,IF(SUMIFS(DataRating,DataEmployee,L9,DataSkill,O$4,DataYear,LatestYear)&gt;=O$5,1,0))+IF(OR(P$4="",P$5=""),0,IF(SUMIFS(DataRating,DataEmployee,L9,DataSkill,P$4,DataYear,LatestYear)&gt;=P$5,1,0))+IF(OR(Q$4="",Q$5=""),0,IF(SUMIFS(DataRating,DataEmployee,L9,DataSkill,Q$4,DataYear,LatestYear)&gt;=Q$5,1,0))+IF(OR(R$4="",R$5=""),0,IF(SUMIFS(DataRating,DataEmployee,L9,DataSkill,R$4,DataYear,LatestYear)&gt;=R$5,1,0))&amp;"/"&amp;COUNT(M$5:R$5))</f>
        <v/>
      </c>
      <c r="Q9">
        <f>IF(OR(L9="",M9=""),"",RANK(M9,$M$8:$M$23,0)+COUNTIF($M$8:M9,M9)-1)</f>
        <v/>
      </c>
      <c r="S9">
        <f>IFERROR(INDEX($L$8:$L$23,MATCH(2,$Q$8:$Q$23,0)),"")</f>
        <v/>
      </c>
      <c r="T9" s="129">
        <f>IFERROR(INDEX($M$8:$M$23,MATCH(2,$Q$8:$Q$23,0)),"")</f>
        <v/>
      </c>
    </row>
    <row r="10">
      <c r="A10" s="128">
        <f>IF('Years'!B13="","",'Years'!B13)</f>
        <v/>
      </c>
      <c r="B10" s="129">
        <f>IF(A10="","",IFERROR(IF(DeptFilter="(All departments)",AVERAGEIFS(DataRating,DataYear,A10),AVERAGEIFS(DataRating,DataYear,A10,DataDept,DeptFilter)),NA()))</f>
        <v/>
      </c>
      <c r="D10">
        <f>A10</f>
        <v/>
      </c>
      <c r="E10" s="129">
        <f>IF(OR(D10="",EmpFilter=""),"",IFERROR(AVERAGEIFS(DataRating,DataYear,D10,DataEmployee,EmpFilter),NA()))</f>
        <v/>
      </c>
      <c r="G10">
        <f>IF('Skills'!B11="","",'Skills'!B11)</f>
        <v/>
      </c>
      <c r="H10">
        <f>IF(OR(G10="",EmpFilter=""),"",IF(COUNTIFS(DataEmployee,EmpFilter,DataSkill,G10,DataRating,"&gt;=1")=0,"",IFERROR(SUMIFS(DataRating,DataEmployee,EmpFilter,DataSkill,G10,DataYear,MINIFS(DataYear,DataEmployee,EmpFilter,DataSkill,G10,DataRating,"&gt;=1")),"")))</f>
        <v/>
      </c>
      <c r="I10">
        <f>IF(OR(G10="",EmpFilter="",PreviousYear=""),"",IF(COUNTIFS(DataEmployee,EmpFilter,DataSkill,G10,DataYear,PreviousYear,DataRating,"&gt;=1")=0,"",IFERROR(SUMIFS(DataRating,DataEmployee,EmpFilter,DataSkill,G10,DataYear,PreviousYear),"")))</f>
        <v/>
      </c>
      <c r="J10">
        <f>IF(OR(G10="",EmpFilter=""),"",IF(COUNTIFS(DataEmployee,EmpFilter,DataSkill,G10,DataYear,LatestYear,DataRating,"&gt;=1")=0,"",IFERROR(SUMIFS(DataRating,DataEmployee,EmpFilter,DataSkill,G10,DataYear,LatestYear),"")))</f>
        <v/>
      </c>
      <c r="L10">
        <f>IF('Employees'!B8="","",'Employees'!B8)</f>
        <v/>
      </c>
      <c r="M10" s="129">
        <f>IF(L10="","",IFERROR(IF((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0,"",(IF(M$4="","",SUMIFS(DataRating,DataEmployee,L10,DataSkill,M$4,DataYear,LatestYear))+IF(N$4="","",SUMIFS(DataRating,DataEmployee,L10,DataSkill,N$4,DataYear,LatestYear))+IF(O$4="","",SUMIFS(DataRating,DataEmployee,L10,DataSkill,O$4,DataYear,LatestYear))+IF(P$4="","",SUMIFS(DataRating,DataEmployee,L10,DataSkill,P$4,DataYear,LatestYear))+IF(Q$4="","",SUMIFS(DataRating,DataEmployee,L10,DataSkill,Q$4,DataYear,LatestYear))+IF(R$4="","",SUMIFS(DataRating,DataEmployee,L10,DataSkill,R$4,DataYear,LatestYear)))/(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f>
        <v/>
      </c>
      <c r="N10" s="130">
        <f>IF(OR(L10="",M10="",PreviousYear=""),"",IFERROR(IF((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0,"",(IF(M$4="","",SUMIFS(DataRating,DataEmployee,L10,DataSkill,M$4,DataYear,LatestYear))+IF(N$4="","",SUMIFS(DataRating,DataEmployee,L10,DataSkill,N$4,DataYear,LatestYear))+IF(O$4="","",SUMIFS(DataRating,DataEmployee,L10,DataSkill,O$4,DataYear,LatestYear))+IF(P$4="","",SUMIFS(DataRating,DataEmployee,L10,DataSkill,P$4,DataYear,LatestYear))+IF(Q$4="","",SUMIFS(DataRating,DataEmployee,L10,DataSkill,Q$4,DataYear,LatestYear))+IF(R$4="","",SUMIFS(DataRating,DataEmployee,L10,DataSkill,R$4,DataYear,LatestYear)))/(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IFERROR((IF(OR(M$4="",PreviousYear=""),"",SUMIFS(DataRating,DataEmployee,L10,DataSkill,M$4,DataYear,PreviousYear))+IF(OR(N$4="",PreviousYear=""),"",SUMIFS(DataRating,DataEmployee,L10,DataSkill,N$4,DataYear,PreviousYear))+IF(OR(O$4="",PreviousYear=""),"",SUMIFS(DataRating,DataEmployee,L10,DataSkill,O$4,DataYear,PreviousYear))+IF(OR(P$4="",PreviousYear=""),"",SUMIFS(DataRating,DataEmployee,L10,DataSkill,P$4,DataYear,PreviousYear))+IF(OR(Q$4="",PreviousYear=""),"",SUMIFS(DataRating,DataEmployee,L10,DataSkill,Q$4,DataYear,PreviousYear))+IF(OR(R$4="",PreviousYear=""),"",SUMIFS(DataRating,DataEmployee,L10,DataSkill,R$4,DataYear,PreviousYear)))/MAX(1,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f>
        <v/>
      </c>
      <c r="O10">
        <f>IF(L10="","",IF(OR(M$4="",SUMIFS(DataRating,DataEmployee,L10,DataSkill,M$4,DataYear,LatestYear)=0),0,1)+IF(OR(N$4="",SUMIFS(DataRating,DataEmployee,L10,DataSkill,N$4,DataYear,LatestYear)=0),0,1)+IF(OR(O$4="",SUMIFS(DataRating,DataEmployee,L10,DataSkill,O$4,DataYear,LatestYear)=0),0,1)+IF(OR(P$4="",SUMIFS(DataRating,DataEmployee,L10,DataSkill,P$4,DataYear,LatestYear)=0),0,1)+IF(OR(Q$4="",SUMIFS(DataRating,DataEmployee,L10,DataSkill,Q$4,DataYear,LatestYear)=0),0,1)+IF(OR(R$4="",SUMIFS(DataRating,DataEmployee,L10,DataSkill,R$4,DataYear,LatestYear)=0),0,1)&amp;"/"&amp;COUNTA(M$4:R$4))</f>
        <v/>
      </c>
      <c r="P10">
        <f>IF(L10="","",IF(OR(M$4="",M$5=""),0,IF(SUMIFS(DataRating,DataEmployee,L10,DataSkill,M$4,DataYear,LatestYear)&gt;=M$5,1,0))+IF(OR(N$4="",N$5=""),0,IF(SUMIFS(DataRating,DataEmployee,L10,DataSkill,N$4,DataYear,LatestYear)&gt;=N$5,1,0))+IF(OR(O$4="",O$5=""),0,IF(SUMIFS(DataRating,DataEmployee,L10,DataSkill,O$4,DataYear,LatestYear)&gt;=O$5,1,0))+IF(OR(P$4="",P$5=""),0,IF(SUMIFS(DataRating,DataEmployee,L10,DataSkill,P$4,DataYear,LatestYear)&gt;=P$5,1,0))+IF(OR(Q$4="",Q$5=""),0,IF(SUMIFS(DataRating,DataEmployee,L10,DataSkill,Q$4,DataYear,LatestYear)&gt;=Q$5,1,0))+IF(OR(R$4="",R$5=""),0,IF(SUMIFS(DataRating,DataEmployee,L10,DataSkill,R$4,DataYear,LatestYear)&gt;=R$5,1,0))&amp;"/"&amp;COUNT(M$5:R$5))</f>
        <v/>
      </c>
      <c r="Q10">
        <f>IF(OR(L10="",M10=""),"",RANK(M10,$M$8:$M$23,0)+COUNTIF($M$8:M10,M10)-1)</f>
        <v/>
      </c>
      <c r="S10">
        <f>IFERROR(INDEX($L$8:$L$23,MATCH(3,$Q$8:$Q$23,0)),"")</f>
        <v/>
      </c>
      <c r="T10" s="129">
        <f>IFERROR(INDEX($M$8:$M$23,MATCH(3,$Q$8:$Q$23,0)),"")</f>
        <v/>
      </c>
    </row>
    <row r="11">
      <c r="A11" s="128">
        <f>IF('Years'!B14="","",'Years'!B14)</f>
        <v/>
      </c>
      <c r="B11" s="129">
        <f>IF(A11="","",IFERROR(IF(DeptFilter="(All departments)",AVERAGEIFS(DataRating,DataYear,A11),AVERAGEIFS(DataRating,DataYear,A11,DataDept,DeptFilter)),NA()))</f>
        <v/>
      </c>
      <c r="D11">
        <f>A11</f>
        <v/>
      </c>
      <c r="E11" s="129">
        <f>IF(OR(D11="",EmpFilter=""),"",IFERROR(AVERAGEIFS(DataRating,DataYear,D11,DataEmployee,EmpFilter),NA()))</f>
        <v/>
      </c>
      <c r="G11">
        <f>IF('Skills'!B12="","",'Skills'!B12)</f>
        <v/>
      </c>
      <c r="H11">
        <f>IF(OR(G11="",EmpFilter=""),"",IF(COUNTIFS(DataEmployee,EmpFilter,DataSkill,G11,DataRating,"&gt;=1")=0,"",IFERROR(SUMIFS(DataRating,DataEmployee,EmpFilter,DataSkill,G11,DataYear,MINIFS(DataYear,DataEmployee,EmpFilter,DataSkill,G11,DataRating,"&gt;=1")),"")))</f>
        <v/>
      </c>
      <c r="I11">
        <f>IF(OR(G11="",EmpFilter="",PreviousYear=""),"",IF(COUNTIFS(DataEmployee,EmpFilter,DataSkill,G11,DataYear,PreviousYear,DataRating,"&gt;=1")=0,"",IFERROR(SUMIFS(DataRating,DataEmployee,EmpFilter,DataSkill,G11,DataYear,PreviousYear),"")))</f>
        <v/>
      </c>
      <c r="J11">
        <f>IF(OR(G11="",EmpFilter=""),"",IF(COUNTIFS(DataEmployee,EmpFilter,DataSkill,G11,DataYear,LatestYear,DataRating,"&gt;=1")=0,"",IFERROR(SUMIFS(DataRating,DataEmployee,EmpFilter,DataSkill,G11,DataYear,LatestYear),"")))</f>
        <v/>
      </c>
      <c r="L11">
        <f>IF('Employees'!B9="","",'Employees'!B9)</f>
        <v/>
      </c>
      <c r="M11" s="129">
        <f>IF(L11="","",IFERROR(IF((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0,"",(IF(M$4="","",SUMIFS(DataRating,DataEmployee,L11,DataSkill,M$4,DataYear,LatestYear))+IF(N$4="","",SUMIFS(DataRating,DataEmployee,L11,DataSkill,N$4,DataYear,LatestYear))+IF(O$4="","",SUMIFS(DataRating,DataEmployee,L11,DataSkill,O$4,DataYear,LatestYear))+IF(P$4="","",SUMIFS(DataRating,DataEmployee,L11,DataSkill,P$4,DataYear,LatestYear))+IF(Q$4="","",SUMIFS(DataRating,DataEmployee,L11,DataSkill,Q$4,DataYear,LatestYear))+IF(R$4="","",SUMIFS(DataRating,DataEmployee,L11,DataSkill,R$4,DataYear,LatestYear)))/(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f>
        <v/>
      </c>
      <c r="N11" s="130">
        <f>IF(OR(L11="",M11="",PreviousYear=""),"",IFERROR(IF((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0,"",(IF(M$4="","",SUMIFS(DataRating,DataEmployee,L11,DataSkill,M$4,DataYear,LatestYear))+IF(N$4="","",SUMIFS(DataRating,DataEmployee,L11,DataSkill,N$4,DataYear,LatestYear))+IF(O$4="","",SUMIFS(DataRating,DataEmployee,L11,DataSkill,O$4,DataYear,LatestYear))+IF(P$4="","",SUMIFS(DataRating,DataEmployee,L11,DataSkill,P$4,DataYear,LatestYear))+IF(Q$4="","",SUMIFS(DataRating,DataEmployee,L11,DataSkill,Q$4,DataYear,LatestYear))+IF(R$4="","",SUMIFS(DataRating,DataEmployee,L11,DataSkill,R$4,DataYear,LatestYear)))/(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IFERROR((IF(OR(M$4="",PreviousYear=""),"",SUMIFS(DataRating,DataEmployee,L11,DataSkill,M$4,DataYear,PreviousYear))+IF(OR(N$4="",PreviousYear=""),"",SUMIFS(DataRating,DataEmployee,L11,DataSkill,N$4,DataYear,PreviousYear))+IF(OR(O$4="",PreviousYear=""),"",SUMIFS(DataRating,DataEmployee,L11,DataSkill,O$4,DataYear,PreviousYear))+IF(OR(P$4="",PreviousYear=""),"",SUMIFS(DataRating,DataEmployee,L11,DataSkill,P$4,DataYear,PreviousYear))+IF(OR(Q$4="",PreviousYear=""),"",SUMIFS(DataRating,DataEmployee,L11,DataSkill,Q$4,DataYear,PreviousYear))+IF(OR(R$4="",PreviousYear=""),"",SUMIFS(DataRating,DataEmployee,L11,DataSkill,R$4,DataYear,PreviousYear)))/MAX(1,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f>
        <v/>
      </c>
      <c r="O11">
        <f>IF(L11="","",IF(OR(M$4="",SUMIFS(DataRating,DataEmployee,L11,DataSkill,M$4,DataYear,LatestYear)=0),0,1)+IF(OR(N$4="",SUMIFS(DataRating,DataEmployee,L11,DataSkill,N$4,DataYear,LatestYear)=0),0,1)+IF(OR(O$4="",SUMIFS(DataRating,DataEmployee,L11,DataSkill,O$4,DataYear,LatestYear)=0),0,1)+IF(OR(P$4="",SUMIFS(DataRating,DataEmployee,L11,DataSkill,P$4,DataYear,LatestYear)=0),0,1)+IF(OR(Q$4="",SUMIFS(DataRating,DataEmployee,L11,DataSkill,Q$4,DataYear,LatestYear)=0),0,1)+IF(OR(R$4="",SUMIFS(DataRating,DataEmployee,L11,DataSkill,R$4,DataYear,LatestYear)=0),0,1)&amp;"/"&amp;COUNTA(M$4:R$4))</f>
        <v/>
      </c>
      <c r="P11">
        <f>IF(L11="","",IF(OR(M$4="",M$5=""),0,IF(SUMIFS(DataRating,DataEmployee,L11,DataSkill,M$4,DataYear,LatestYear)&gt;=M$5,1,0))+IF(OR(N$4="",N$5=""),0,IF(SUMIFS(DataRating,DataEmployee,L11,DataSkill,N$4,DataYear,LatestYear)&gt;=N$5,1,0))+IF(OR(O$4="",O$5=""),0,IF(SUMIFS(DataRating,DataEmployee,L11,DataSkill,O$4,DataYear,LatestYear)&gt;=O$5,1,0))+IF(OR(P$4="",P$5=""),0,IF(SUMIFS(DataRating,DataEmployee,L11,DataSkill,P$4,DataYear,LatestYear)&gt;=P$5,1,0))+IF(OR(Q$4="",Q$5=""),0,IF(SUMIFS(DataRating,DataEmployee,L11,DataSkill,Q$4,DataYear,LatestYear)&gt;=Q$5,1,0))+IF(OR(R$4="",R$5=""),0,IF(SUMIFS(DataRating,DataEmployee,L11,DataSkill,R$4,DataYear,LatestYear)&gt;=R$5,1,0))&amp;"/"&amp;COUNT(M$5:R$5))</f>
        <v/>
      </c>
      <c r="Q11">
        <f>IF(OR(L11="",M11=""),"",RANK(M11,$M$8:$M$23,0)+COUNTIF($M$8:M11,M11)-1)</f>
        <v/>
      </c>
      <c r="S11">
        <f>IFERROR(INDEX($L$8:$L$23,MATCH(4,$Q$8:$Q$23,0)),"")</f>
        <v/>
      </c>
      <c r="T11" s="129">
        <f>IFERROR(INDEX($M$8:$M$23,MATCH(4,$Q$8:$Q$23,0)),"")</f>
        <v/>
      </c>
    </row>
    <row r="12">
      <c r="A12" s="128">
        <f>IF('Years'!B15="","",'Years'!B15)</f>
        <v/>
      </c>
      <c r="B12" s="129">
        <f>IF(A12="","",IFERROR(IF(DeptFilter="(All departments)",AVERAGEIFS(DataRating,DataYear,A12),AVERAGEIFS(DataRating,DataYear,A12,DataDept,DeptFilter)),NA()))</f>
        <v/>
      </c>
      <c r="D12">
        <f>A12</f>
        <v/>
      </c>
      <c r="E12" s="129">
        <f>IF(OR(D12="",EmpFilter=""),"",IFERROR(AVERAGEIFS(DataRating,DataYear,D12,DataEmployee,EmpFilter),NA()))</f>
        <v/>
      </c>
      <c r="G12">
        <f>IF('Skills'!B13="","",'Skills'!B13)</f>
        <v/>
      </c>
      <c r="H12">
        <f>IF(OR(G12="",EmpFilter=""),"",IF(COUNTIFS(DataEmployee,EmpFilter,DataSkill,G12,DataRating,"&gt;=1")=0,"",IFERROR(SUMIFS(DataRating,DataEmployee,EmpFilter,DataSkill,G12,DataYear,MINIFS(DataYear,DataEmployee,EmpFilter,DataSkill,G12,DataRating,"&gt;=1")),"")))</f>
        <v/>
      </c>
      <c r="I12">
        <f>IF(OR(G12="",EmpFilter="",PreviousYear=""),"",IF(COUNTIFS(DataEmployee,EmpFilter,DataSkill,G12,DataYear,PreviousYear,DataRating,"&gt;=1")=0,"",IFERROR(SUMIFS(DataRating,DataEmployee,EmpFilter,DataSkill,G12,DataYear,PreviousYear),"")))</f>
        <v/>
      </c>
      <c r="J12">
        <f>IF(OR(G12="",EmpFilter=""),"",IF(COUNTIFS(DataEmployee,EmpFilter,DataSkill,G12,DataYear,LatestYear,DataRating,"&gt;=1")=0,"",IFERROR(SUMIFS(DataRating,DataEmployee,EmpFilter,DataSkill,G12,DataYear,LatestYear),"")))</f>
        <v/>
      </c>
      <c r="L12">
        <f>IF('Employees'!B10="","",'Employees'!B10)</f>
        <v/>
      </c>
      <c r="M12" s="129">
        <f>IF(L12="","",IFERROR(IF((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0,"",(IF(M$4="","",SUMIFS(DataRating,DataEmployee,L12,DataSkill,M$4,DataYear,LatestYear))+IF(N$4="","",SUMIFS(DataRating,DataEmployee,L12,DataSkill,N$4,DataYear,LatestYear))+IF(O$4="","",SUMIFS(DataRating,DataEmployee,L12,DataSkill,O$4,DataYear,LatestYear))+IF(P$4="","",SUMIFS(DataRating,DataEmployee,L12,DataSkill,P$4,DataYear,LatestYear))+IF(Q$4="","",SUMIFS(DataRating,DataEmployee,L12,DataSkill,Q$4,DataYear,LatestYear))+IF(R$4="","",SUMIFS(DataRating,DataEmployee,L12,DataSkill,R$4,DataYear,LatestYear)))/(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f>
        <v/>
      </c>
      <c r="N12" s="130">
        <f>IF(OR(L12="",M12="",PreviousYear=""),"",IFERROR(IF((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0,"",(IF(M$4="","",SUMIFS(DataRating,DataEmployee,L12,DataSkill,M$4,DataYear,LatestYear))+IF(N$4="","",SUMIFS(DataRating,DataEmployee,L12,DataSkill,N$4,DataYear,LatestYear))+IF(O$4="","",SUMIFS(DataRating,DataEmployee,L12,DataSkill,O$4,DataYear,LatestYear))+IF(P$4="","",SUMIFS(DataRating,DataEmployee,L12,DataSkill,P$4,DataYear,LatestYear))+IF(Q$4="","",SUMIFS(DataRating,DataEmployee,L12,DataSkill,Q$4,DataYear,LatestYear))+IF(R$4="","",SUMIFS(DataRating,DataEmployee,L12,DataSkill,R$4,DataYear,LatestYear)))/(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IFERROR((IF(OR(M$4="",PreviousYear=""),"",SUMIFS(DataRating,DataEmployee,L12,DataSkill,M$4,DataYear,PreviousYear))+IF(OR(N$4="",PreviousYear=""),"",SUMIFS(DataRating,DataEmployee,L12,DataSkill,N$4,DataYear,PreviousYear))+IF(OR(O$4="",PreviousYear=""),"",SUMIFS(DataRating,DataEmployee,L12,DataSkill,O$4,DataYear,PreviousYear))+IF(OR(P$4="",PreviousYear=""),"",SUMIFS(DataRating,DataEmployee,L12,DataSkill,P$4,DataYear,PreviousYear))+IF(OR(Q$4="",PreviousYear=""),"",SUMIFS(DataRating,DataEmployee,L12,DataSkill,Q$4,DataYear,PreviousYear))+IF(OR(R$4="",PreviousYear=""),"",SUMIFS(DataRating,DataEmployee,L12,DataSkill,R$4,DataYear,PreviousYear)))/MAX(1,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f>
        <v/>
      </c>
      <c r="O12">
        <f>IF(L12="","",IF(OR(M$4="",SUMIFS(DataRating,DataEmployee,L12,DataSkill,M$4,DataYear,LatestYear)=0),0,1)+IF(OR(N$4="",SUMIFS(DataRating,DataEmployee,L12,DataSkill,N$4,DataYear,LatestYear)=0),0,1)+IF(OR(O$4="",SUMIFS(DataRating,DataEmployee,L12,DataSkill,O$4,DataYear,LatestYear)=0),0,1)+IF(OR(P$4="",SUMIFS(DataRating,DataEmployee,L12,DataSkill,P$4,DataYear,LatestYear)=0),0,1)+IF(OR(Q$4="",SUMIFS(DataRating,DataEmployee,L12,DataSkill,Q$4,DataYear,LatestYear)=0),0,1)+IF(OR(R$4="",SUMIFS(DataRating,DataEmployee,L12,DataSkill,R$4,DataYear,LatestYear)=0),0,1)&amp;"/"&amp;COUNTA(M$4:R$4))</f>
        <v/>
      </c>
      <c r="P12">
        <f>IF(L12="","",IF(OR(M$4="",M$5=""),0,IF(SUMIFS(DataRating,DataEmployee,L12,DataSkill,M$4,DataYear,LatestYear)&gt;=M$5,1,0))+IF(OR(N$4="",N$5=""),0,IF(SUMIFS(DataRating,DataEmployee,L12,DataSkill,N$4,DataYear,LatestYear)&gt;=N$5,1,0))+IF(OR(O$4="",O$5=""),0,IF(SUMIFS(DataRating,DataEmployee,L12,DataSkill,O$4,DataYear,LatestYear)&gt;=O$5,1,0))+IF(OR(P$4="",P$5=""),0,IF(SUMIFS(DataRating,DataEmployee,L12,DataSkill,P$4,DataYear,LatestYear)&gt;=P$5,1,0))+IF(OR(Q$4="",Q$5=""),0,IF(SUMIFS(DataRating,DataEmployee,L12,DataSkill,Q$4,DataYear,LatestYear)&gt;=Q$5,1,0))+IF(OR(R$4="",R$5=""),0,IF(SUMIFS(DataRating,DataEmployee,L12,DataSkill,R$4,DataYear,LatestYear)&gt;=R$5,1,0))&amp;"/"&amp;COUNT(M$5:R$5))</f>
        <v/>
      </c>
      <c r="Q12">
        <f>IF(OR(L12="",M12=""),"",RANK(M12,$M$8:$M$23,0)+COUNTIF($M$8:M12,M12)-1)</f>
        <v/>
      </c>
      <c r="S12">
        <f>IFERROR(INDEX($L$8:$L$23,MATCH(5,$Q$8:$Q$23,0)),"")</f>
        <v/>
      </c>
      <c r="T12" s="129">
        <f>IFERROR(INDEX($M$8:$M$23,MATCH(5,$Q$8:$Q$23,0)),"")</f>
        <v/>
      </c>
    </row>
    <row r="13">
      <c r="A13" s="128">
        <f>IF('Years'!B16="","",'Years'!B16)</f>
        <v/>
      </c>
      <c r="B13" s="129">
        <f>IF(A13="","",IFERROR(IF(DeptFilter="(All departments)",AVERAGEIFS(DataRating,DataYear,A13),AVERAGEIFS(DataRating,DataYear,A13,DataDept,DeptFilter)),NA()))</f>
        <v/>
      </c>
      <c r="D13">
        <f>A13</f>
        <v/>
      </c>
      <c r="E13" s="129">
        <f>IF(OR(D13="",EmpFilter=""),"",IFERROR(AVERAGEIFS(DataRating,DataYear,D13,DataEmployee,EmpFilter),NA()))</f>
        <v/>
      </c>
      <c r="G13">
        <f>IF('Skills'!B14="","",'Skills'!B14)</f>
        <v/>
      </c>
      <c r="H13">
        <f>IF(OR(G13="",EmpFilter=""),"",IF(COUNTIFS(DataEmployee,EmpFilter,DataSkill,G13,DataRating,"&gt;=1")=0,"",IFERROR(SUMIFS(DataRating,DataEmployee,EmpFilter,DataSkill,G13,DataYear,MINIFS(DataYear,DataEmployee,EmpFilter,DataSkill,G13,DataRating,"&gt;=1")),"")))</f>
        <v/>
      </c>
      <c r="I13">
        <f>IF(OR(G13="",EmpFilter="",PreviousYear=""),"",IF(COUNTIFS(DataEmployee,EmpFilter,DataSkill,G13,DataYear,PreviousYear,DataRating,"&gt;=1")=0,"",IFERROR(SUMIFS(DataRating,DataEmployee,EmpFilter,DataSkill,G13,DataYear,PreviousYear),"")))</f>
        <v/>
      </c>
      <c r="J13">
        <f>IF(OR(G13="",EmpFilter=""),"",IF(COUNTIFS(DataEmployee,EmpFilter,DataSkill,G13,DataYear,LatestYear,DataRating,"&gt;=1")=0,"",IFERROR(SUMIFS(DataRating,DataEmployee,EmpFilter,DataSkill,G13,DataYear,LatestYear),"")))</f>
        <v/>
      </c>
      <c r="L13">
        <f>IF('Employees'!B11="","",'Employees'!B11)</f>
        <v/>
      </c>
      <c r="M13" s="129">
        <f>IF(L13="","",IFERROR(IF((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0,"",(IF(M$4="","",SUMIFS(DataRating,DataEmployee,L13,DataSkill,M$4,DataYear,LatestYear))+IF(N$4="","",SUMIFS(DataRating,DataEmployee,L13,DataSkill,N$4,DataYear,LatestYear))+IF(O$4="","",SUMIFS(DataRating,DataEmployee,L13,DataSkill,O$4,DataYear,LatestYear))+IF(P$4="","",SUMIFS(DataRating,DataEmployee,L13,DataSkill,P$4,DataYear,LatestYear))+IF(Q$4="","",SUMIFS(DataRating,DataEmployee,L13,DataSkill,Q$4,DataYear,LatestYear))+IF(R$4="","",SUMIFS(DataRating,DataEmployee,L13,DataSkill,R$4,DataYear,LatestYear)))/(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f>
        <v/>
      </c>
      <c r="N13" s="130">
        <f>IF(OR(L13="",M13="",PreviousYear=""),"",IFERROR(IF((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0,"",(IF(M$4="","",SUMIFS(DataRating,DataEmployee,L13,DataSkill,M$4,DataYear,LatestYear))+IF(N$4="","",SUMIFS(DataRating,DataEmployee,L13,DataSkill,N$4,DataYear,LatestYear))+IF(O$4="","",SUMIFS(DataRating,DataEmployee,L13,DataSkill,O$4,DataYear,LatestYear))+IF(P$4="","",SUMIFS(DataRating,DataEmployee,L13,DataSkill,P$4,DataYear,LatestYear))+IF(Q$4="","",SUMIFS(DataRating,DataEmployee,L13,DataSkill,Q$4,DataYear,LatestYear))+IF(R$4="","",SUMIFS(DataRating,DataEmployee,L13,DataSkill,R$4,DataYear,LatestYear)))/(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IFERROR((IF(OR(M$4="",PreviousYear=""),"",SUMIFS(DataRating,DataEmployee,L13,DataSkill,M$4,DataYear,PreviousYear))+IF(OR(N$4="",PreviousYear=""),"",SUMIFS(DataRating,DataEmployee,L13,DataSkill,N$4,DataYear,PreviousYear))+IF(OR(O$4="",PreviousYear=""),"",SUMIFS(DataRating,DataEmployee,L13,DataSkill,O$4,DataYear,PreviousYear))+IF(OR(P$4="",PreviousYear=""),"",SUMIFS(DataRating,DataEmployee,L13,DataSkill,P$4,DataYear,PreviousYear))+IF(OR(Q$4="",PreviousYear=""),"",SUMIFS(DataRating,DataEmployee,L13,DataSkill,Q$4,DataYear,PreviousYear))+IF(OR(R$4="",PreviousYear=""),"",SUMIFS(DataRating,DataEmployee,L13,DataSkill,R$4,DataYear,PreviousYear)))/MAX(1,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f>
        <v/>
      </c>
      <c r="O13">
        <f>IF(L13="","",IF(OR(M$4="",SUMIFS(DataRating,DataEmployee,L13,DataSkill,M$4,DataYear,LatestYear)=0),0,1)+IF(OR(N$4="",SUMIFS(DataRating,DataEmployee,L13,DataSkill,N$4,DataYear,LatestYear)=0),0,1)+IF(OR(O$4="",SUMIFS(DataRating,DataEmployee,L13,DataSkill,O$4,DataYear,LatestYear)=0),0,1)+IF(OR(P$4="",SUMIFS(DataRating,DataEmployee,L13,DataSkill,P$4,DataYear,LatestYear)=0),0,1)+IF(OR(Q$4="",SUMIFS(DataRating,DataEmployee,L13,DataSkill,Q$4,DataYear,LatestYear)=0),0,1)+IF(OR(R$4="",SUMIFS(DataRating,DataEmployee,L13,DataSkill,R$4,DataYear,LatestYear)=0),0,1)&amp;"/"&amp;COUNTA(M$4:R$4))</f>
        <v/>
      </c>
      <c r="P13">
        <f>IF(L13="","",IF(OR(M$4="",M$5=""),0,IF(SUMIFS(DataRating,DataEmployee,L13,DataSkill,M$4,DataYear,LatestYear)&gt;=M$5,1,0))+IF(OR(N$4="",N$5=""),0,IF(SUMIFS(DataRating,DataEmployee,L13,DataSkill,N$4,DataYear,LatestYear)&gt;=N$5,1,0))+IF(OR(O$4="",O$5=""),0,IF(SUMIFS(DataRating,DataEmployee,L13,DataSkill,O$4,DataYear,LatestYear)&gt;=O$5,1,0))+IF(OR(P$4="",P$5=""),0,IF(SUMIFS(DataRating,DataEmployee,L13,DataSkill,P$4,DataYear,LatestYear)&gt;=P$5,1,0))+IF(OR(Q$4="",Q$5=""),0,IF(SUMIFS(DataRating,DataEmployee,L13,DataSkill,Q$4,DataYear,LatestYear)&gt;=Q$5,1,0))+IF(OR(R$4="",R$5=""),0,IF(SUMIFS(DataRating,DataEmployee,L13,DataSkill,R$4,DataYear,LatestYear)&gt;=R$5,1,0))&amp;"/"&amp;COUNT(M$5:R$5))</f>
        <v/>
      </c>
      <c r="Q13">
        <f>IF(OR(L13="",M13=""),"",RANK(M13,$M$8:$M$23,0)+COUNTIF($M$8:M13,M13)-1)</f>
        <v/>
      </c>
      <c r="S13">
        <f>IFERROR(INDEX($L$8:$L$23,MATCH(6,$Q$8:$Q$23,0)),"")</f>
        <v/>
      </c>
      <c r="T13" s="129">
        <f>IFERROR(INDEX($M$8:$M$23,MATCH(6,$Q$8:$Q$23,0)),"")</f>
        <v/>
      </c>
    </row>
    <row r="14">
      <c r="A14" s="128">
        <f>IF('Years'!B17="","",'Years'!B17)</f>
        <v/>
      </c>
      <c r="B14" s="129">
        <f>IF(A14="","",IFERROR(IF(DeptFilter="(All departments)",AVERAGEIFS(DataRating,DataYear,A14),AVERAGEIFS(DataRating,DataYear,A14,DataDept,DeptFilter)),NA()))</f>
        <v/>
      </c>
      <c r="D14">
        <f>A14</f>
        <v/>
      </c>
      <c r="E14" s="129">
        <f>IF(OR(D14="",EmpFilter=""),"",IFERROR(AVERAGEIFS(DataRating,DataYear,D14,DataEmployee,EmpFilter),NA()))</f>
        <v/>
      </c>
      <c r="G14">
        <f>IF('Skills'!B15="","",'Skills'!B15)</f>
        <v/>
      </c>
      <c r="H14">
        <f>IF(OR(G14="",EmpFilter=""),"",IF(COUNTIFS(DataEmployee,EmpFilter,DataSkill,G14,DataRating,"&gt;=1")=0,"",IFERROR(SUMIFS(DataRating,DataEmployee,EmpFilter,DataSkill,G14,DataYear,MINIFS(DataYear,DataEmployee,EmpFilter,DataSkill,G14,DataRating,"&gt;=1")),"")))</f>
        <v/>
      </c>
      <c r="I14">
        <f>IF(OR(G14="",EmpFilter="",PreviousYear=""),"",IF(COUNTIFS(DataEmployee,EmpFilter,DataSkill,G14,DataYear,PreviousYear,DataRating,"&gt;=1")=0,"",IFERROR(SUMIFS(DataRating,DataEmployee,EmpFilter,DataSkill,G14,DataYear,PreviousYear),"")))</f>
        <v/>
      </c>
      <c r="J14">
        <f>IF(OR(G14="",EmpFilter=""),"",IF(COUNTIFS(DataEmployee,EmpFilter,DataSkill,G14,DataYear,LatestYear,DataRating,"&gt;=1")=0,"",IFERROR(SUMIFS(DataRating,DataEmployee,EmpFilter,DataSkill,G14,DataYear,LatestYear),"")))</f>
        <v/>
      </c>
      <c r="L14">
        <f>IF('Employees'!B12="","",'Employees'!B12)</f>
        <v/>
      </c>
      <c r="M14" s="129">
        <f>IF(L14="","",IFERROR(IF((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0,"",(IF(M$4="","",SUMIFS(DataRating,DataEmployee,L14,DataSkill,M$4,DataYear,LatestYear))+IF(N$4="","",SUMIFS(DataRating,DataEmployee,L14,DataSkill,N$4,DataYear,LatestYear))+IF(O$4="","",SUMIFS(DataRating,DataEmployee,L14,DataSkill,O$4,DataYear,LatestYear))+IF(P$4="","",SUMIFS(DataRating,DataEmployee,L14,DataSkill,P$4,DataYear,LatestYear))+IF(Q$4="","",SUMIFS(DataRating,DataEmployee,L14,DataSkill,Q$4,DataYear,LatestYear))+IF(R$4="","",SUMIFS(DataRating,DataEmployee,L14,DataSkill,R$4,DataYear,LatestYear)))/(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f>
        <v/>
      </c>
      <c r="N14" s="130">
        <f>IF(OR(L14="",M14="",PreviousYear=""),"",IFERROR(IF((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0,"",(IF(M$4="","",SUMIFS(DataRating,DataEmployee,L14,DataSkill,M$4,DataYear,LatestYear))+IF(N$4="","",SUMIFS(DataRating,DataEmployee,L14,DataSkill,N$4,DataYear,LatestYear))+IF(O$4="","",SUMIFS(DataRating,DataEmployee,L14,DataSkill,O$4,DataYear,LatestYear))+IF(P$4="","",SUMIFS(DataRating,DataEmployee,L14,DataSkill,P$4,DataYear,LatestYear))+IF(Q$4="","",SUMIFS(DataRating,DataEmployee,L14,DataSkill,Q$4,DataYear,LatestYear))+IF(R$4="","",SUMIFS(DataRating,DataEmployee,L14,DataSkill,R$4,DataYear,LatestYear)))/(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IFERROR((IF(OR(M$4="",PreviousYear=""),"",SUMIFS(DataRating,DataEmployee,L14,DataSkill,M$4,DataYear,PreviousYear))+IF(OR(N$4="",PreviousYear=""),"",SUMIFS(DataRating,DataEmployee,L14,DataSkill,N$4,DataYear,PreviousYear))+IF(OR(O$4="",PreviousYear=""),"",SUMIFS(DataRating,DataEmployee,L14,DataSkill,O$4,DataYear,PreviousYear))+IF(OR(P$4="",PreviousYear=""),"",SUMIFS(DataRating,DataEmployee,L14,DataSkill,P$4,DataYear,PreviousYear))+IF(OR(Q$4="",PreviousYear=""),"",SUMIFS(DataRating,DataEmployee,L14,DataSkill,Q$4,DataYear,PreviousYear))+IF(OR(R$4="",PreviousYear=""),"",SUMIFS(DataRating,DataEmployee,L14,DataSkill,R$4,DataYear,PreviousYear)))/MAX(1,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f>
        <v/>
      </c>
      <c r="O14">
        <f>IF(L14="","",IF(OR(M$4="",SUMIFS(DataRating,DataEmployee,L14,DataSkill,M$4,DataYear,LatestYear)=0),0,1)+IF(OR(N$4="",SUMIFS(DataRating,DataEmployee,L14,DataSkill,N$4,DataYear,LatestYear)=0),0,1)+IF(OR(O$4="",SUMIFS(DataRating,DataEmployee,L14,DataSkill,O$4,DataYear,LatestYear)=0),0,1)+IF(OR(P$4="",SUMIFS(DataRating,DataEmployee,L14,DataSkill,P$4,DataYear,LatestYear)=0),0,1)+IF(OR(Q$4="",SUMIFS(DataRating,DataEmployee,L14,DataSkill,Q$4,DataYear,LatestYear)=0),0,1)+IF(OR(R$4="",SUMIFS(DataRating,DataEmployee,L14,DataSkill,R$4,DataYear,LatestYear)=0),0,1)&amp;"/"&amp;COUNTA(M$4:R$4))</f>
        <v/>
      </c>
      <c r="P14">
        <f>IF(L14="","",IF(OR(M$4="",M$5=""),0,IF(SUMIFS(DataRating,DataEmployee,L14,DataSkill,M$4,DataYear,LatestYear)&gt;=M$5,1,0))+IF(OR(N$4="",N$5=""),0,IF(SUMIFS(DataRating,DataEmployee,L14,DataSkill,N$4,DataYear,LatestYear)&gt;=N$5,1,0))+IF(OR(O$4="",O$5=""),0,IF(SUMIFS(DataRating,DataEmployee,L14,DataSkill,O$4,DataYear,LatestYear)&gt;=O$5,1,0))+IF(OR(P$4="",P$5=""),0,IF(SUMIFS(DataRating,DataEmployee,L14,DataSkill,P$4,DataYear,LatestYear)&gt;=P$5,1,0))+IF(OR(Q$4="",Q$5=""),0,IF(SUMIFS(DataRating,DataEmployee,L14,DataSkill,Q$4,DataYear,LatestYear)&gt;=Q$5,1,0))+IF(OR(R$4="",R$5=""),0,IF(SUMIFS(DataRating,DataEmployee,L14,DataSkill,R$4,DataYear,LatestYear)&gt;=R$5,1,0))&amp;"/"&amp;COUNT(M$5:R$5))</f>
        <v/>
      </c>
      <c r="Q14">
        <f>IF(OR(L14="",M14=""),"",RANK(M14,$M$8:$M$23,0)+COUNTIF($M$8:M14,M14)-1)</f>
        <v/>
      </c>
      <c r="S14">
        <f>IFERROR(INDEX($L$8:$L$23,MATCH(7,$Q$8:$Q$23,0)),"")</f>
        <v/>
      </c>
      <c r="T14" s="129">
        <f>IFERROR(INDEX($M$8:$M$23,MATCH(7,$Q$8:$Q$23,0)),"")</f>
        <v/>
      </c>
    </row>
    <row r="15">
      <c r="A15" s="128">
        <f>IF('Years'!B18="","",'Years'!B18)</f>
        <v/>
      </c>
      <c r="B15" s="129">
        <f>IF(A15="","",IFERROR(IF(DeptFilter="(All departments)",AVERAGEIFS(DataRating,DataYear,A15),AVERAGEIFS(DataRating,DataYear,A15,DataDept,DeptFilter)),NA()))</f>
        <v/>
      </c>
      <c r="D15">
        <f>A15</f>
        <v/>
      </c>
      <c r="E15" s="129">
        <f>IF(OR(D15="",EmpFilter=""),"",IFERROR(AVERAGEIFS(DataRating,DataYear,D15,DataEmployee,EmpFilter),NA()))</f>
        <v/>
      </c>
      <c r="G15">
        <f>IF('Skills'!B16="","",'Skills'!B16)</f>
        <v/>
      </c>
      <c r="H15">
        <f>IF(OR(G15="",EmpFilter=""),"",IF(COUNTIFS(DataEmployee,EmpFilter,DataSkill,G15,DataRating,"&gt;=1")=0,"",IFERROR(SUMIFS(DataRating,DataEmployee,EmpFilter,DataSkill,G15,DataYear,MINIFS(DataYear,DataEmployee,EmpFilter,DataSkill,G15,DataRating,"&gt;=1")),"")))</f>
        <v/>
      </c>
      <c r="I15">
        <f>IF(OR(G15="",EmpFilter="",PreviousYear=""),"",IF(COUNTIFS(DataEmployee,EmpFilter,DataSkill,G15,DataYear,PreviousYear,DataRating,"&gt;=1")=0,"",IFERROR(SUMIFS(DataRating,DataEmployee,EmpFilter,DataSkill,G15,DataYear,PreviousYear),"")))</f>
        <v/>
      </c>
      <c r="J15">
        <f>IF(OR(G15="",EmpFilter=""),"",IF(COUNTIFS(DataEmployee,EmpFilter,DataSkill,G15,DataYear,LatestYear,DataRating,"&gt;=1")=0,"",IFERROR(SUMIFS(DataRating,DataEmployee,EmpFilter,DataSkill,G15,DataYear,LatestYear),"")))</f>
        <v/>
      </c>
      <c r="L15">
        <f>IF('Employees'!B13="","",'Employees'!B13)</f>
        <v/>
      </c>
      <c r="M15" s="129">
        <f>IF(L15="","",IFERROR(IF((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0,"",(IF(M$4="","",SUMIFS(DataRating,DataEmployee,L15,DataSkill,M$4,DataYear,LatestYear))+IF(N$4="","",SUMIFS(DataRating,DataEmployee,L15,DataSkill,N$4,DataYear,LatestYear))+IF(O$4="","",SUMIFS(DataRating,DataEmployee,L15,DataSkill,O$4,DataYear,LatestYear))+IF(P$4="","",SUMIFS(DataRating,DataEmployee,L15,DataSkill,P$4,DataYear,LatestYear))+IF(Q$4="","",SUMIFS(DataRating,DataEmployee,L15,DataSkill,Q$4,DataYear,LatestYear))+IF(R$4="","",SUMIFS(DataRating,DataEmployee,L15,DataSkill,R$4,DataYear,LatestYear)))/(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f>
        <v/>
      </c>
      <c r="N15" s="130">
        <f>IF(OR(L15="",M15="",PreviousYear=""),"",IFERROR(IF((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0,"",(IF(M$4="","",SUMIFS(DataRating,DataEmployee,L15,DataSkill,M$4,DataYear,LatestYear))+IF(N$4="","",SUMIFS(DataRating,DataEmployee,L15,DataSkill,N$4,DataYear,LatestYear))+IF(O$4="","",SUMIFS(DataRating,DataEmployee,L15,DataSkill,O$4,DataYear,LatestYear))+IF(P$4="","",SUMIFS(DataRating,DataEmployee,L15,DataSkill,P$4,DataYear,LatestYear))+IF(Q$4="","",SUMIFS(DataRating,DataEmployee,L15,DataSkill,Q$4,DataYear,LatestYear))+IF(R$4="","",SUMIFS(DataRating,DataEmployee,L15,DataSkill,R$4,DataYear,LatestYear)))/(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IFERROR((IF(OR(M$4="",PreviousYear=""),"",SUMIFS(DataRating,DataEmployee,L15,DataSkill,M$4,DataYear,PreviousYear))+IF(OR(N$4="",PreviousYear=""),"",SUMIFS(DataRating,DataEmployee,L15,DataSkill,N$4,DataYear,PreviousYear))+IF(OR(O$4="",PreviousYear=""),"",SUMIFS(DataRating,DataEmployee,L15,DataSkill,O$4,DataYear,PreviousYear))+IF(OR(P$4="",PreviousYear=""),"",SUMIFS(DataRating,DataEmployee,L15,DataSkill,P$4,DataYear,PreviousYear))+IF(OR(Q$4="",PreviousYear=""),"",SUMIFS(DataRating,DataEmployee,L15,DataSkill,Q$4,DataYear,PreviousYear))+IF(OR(R$4="",PreviousYear=""),"",SUMIFS(DataRating,DataEmployee,L15,DataSkill,R$4,DataYear,PreviousYear)))/MAX(1,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f>
        <v/>
      </c>
      <c r="O15">
        <f>IF(L15="","",IF(OR(M$4="",SUMIFS(DataRating,DataEmployee,L15,DataSkill,M$4,DataYear,LatestYear)=0),0,1)+IF(OR(N$4="",SUMIFS(DataRating,DataEmployee,L15,DataSkill,N$4,DataYear,LatestYear)=0),0,1)+IF(OR(O$4="",SUMIFS(DataRating,DataEmployee,L15,DataSkill,O$4,DataYear,LatestYear)=0),0,1)+IF(OR(P$4="",SUMIFS(DataRating,DataEmployee,L15,DataSkill,P$4,DataYear,LatestYear)=0),0,1)+IF(OR(Q$4="",SUMIFS(DataRating,DataEmployee,L15,DataSkill,Q$4,DataYear,LatestYear)=0),0,1)+IF(OR(R$4="",SUMIFS(DataRating,DataEmployee,L15,DataSkill,R$4,DataYear,LatestYear)=0),0,1)&amp;"/"&amp;COUNTA(M$4:R$4))</f>
        <v/>
      </c>
      <c r="P15">
        <f>IF(L15="","",IF(OR(M$4="",M$5=""),0,IF(SUMIFS(DataRating,DataEmployee,L15,DataSkill,M$4,DataYear,LatestYear)&gt;=M$5,1,0))+IF(OR(N$4="",N$5=""),0,IF(SUMIFS(DataRating,DataEmployee,L15,DataSkill,N$4,DataYear,LatestYear)&gt;=N$5,1,0))+IF(OR(O$4="",O$5=""),0,IF(SUMIFS(DataRating,DataEmployee,L15,DataSkill,O$4,DataYear,LatestYear)&gt;=O$5,1,0))+IF(OR(P$4="",P$5=""),0,IF(SUMIFS(DataRating,DataEmployee,L15,DataSkill,P$4,DataYear,LatestYear)&gt;=P$5,1,0))+IF(OR(Q$4="",Q$5=""),0,IF(SUMIFS(DataRating,DataEmployee,L15,DataSkill,Q$4,DataYear,LatestYear)&gt;=Q$5,1,0))+IF(OR(R$4="",R$5=""),0,IF(SUMIFS(DataRating,DataEmployee,L15,DataSkill,R$4,DataYear,LatestYear)&gt;=R$5,1,0))&amp;"/"&amp;COUNT(M$5:R$5))</f>
        <v/>
      </c>
      <c r="Q15">
        <f>IF(OR(L15="",M15=""),"",RANK(M15,$M$8:$M$23,0)+COUNTIF($M$8:M15,M15)-1)</f>
        <v/>
      </c>
      <c r="S15">
        <f>IFERROR(INDEX($L$8:$L$23,MATCH(8,$Q$8:$Q$23,0)),"")</f>
        <v/>
      </c>
      <c r="T15" s="129">
        <f>IFERROR(INDEX($M$8:$M$23,MATCH(8,$Q$8:$Q$23,0)),"")</f>
        <v/>
      </c>
    </row>
    <row r="16">
      <c r="A16" s="128">
        <f>IF('Years'!B19="","",'Years'!B19)</f>
        <v/>
      </c>
      <c r="B16" s="129">
        <f>IF(A16="","",IFERROR(IF(DeptFilter="(All departments)",AVERAGEIFS(DataRating,DataYear,A16),AVERAGEIFS(DataRating,DataYear,A16,DataDept,DeptFilter)),NA()))</f>
        <v/>
      </c>
      <c r="D16">
        <f>A16</f>
        <v/>
      </c>
      <c r="E16" s="129">
        <f>IF(OR(D16="",EmpFilter=""),"",IFERROR(AVERAGEIFS(DataRating,DataYear,D16,DataEmployee,EmpFilter),NA()))</f>
        <v/>
      </c>
      <c r="G16">
        <f>IF('Skills'!B17="","",'Skills'!B17)</f>
        <v/>
      </c>
      <c r="H16">
        <f>IF(OR(G16="",EmpFilter=""),"",IF(COUNTIFS(DataEmployee,EmpFilter,DataSkill,G16,DataRating,"&gt;=1")=0,"",IFERROR(SUMIFS(DataRating,DataEmployee,EmpFilter,DataSkill,G16,DataYear,MINIFS(DataYear,DataEmployee,EmpFilter,DataSkill,G16,DataRating,"&gt;=1")),"")))</f>
        <v/>
      </c>
      <c r="I16">
        <f>IF(OR(G16="",EmpFilter="",PreviousYear=""),"",IF(COUNTIFS(DataEmployee,EmpFilter,DataSkill,G16,DataYear,PreviousYear,DataRating,"&gt;=1")=0,"",IFERROR(SUMIFS(DataRating,DataEmployee,EmpFilter,DataSkill,G16,DataYear,PreviousYear),"")))</f>
        <v/>
      </c>
      <c r="J16">
        <f>IF(OR(G16="",EmpFilter=""),"",IF(COUNTIFS(DataEmployee,EmpFilter,DataSkill,G16,DataYear,LatestYear,DataRating,"&gt;=1")=0,"",IFERROR(SUMIFS(DataRating,DataEmployee,EmpFilter,DataSkill,G16,DataYear,LatestYear),"")))</f>
        <v/>
      </c>
      <c r="L16">
        <f>IF('Employees'!B14="","",'Employees'!B14)</f>
        <v/>
      </c>
      <c r="M16" s="129">
        <f>IF(L16="","",IFERROR(IF((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0,"",(IF(M$4="","",SUMIFS(DataRating,DataEmployee,L16,DataSkill,M$4,DataYear,LatestYear))+IF(N$4="","",SUMIFS(DataRating,DataEmployee,L16,DataSkill,N$4,DataYear,LatestYear))+IF(O$4="","",SUMIFS(DataRating,DataEmployee,L16,DataSkill,O$4,DataYear,LatestYear))+IF(P$4="","",SUMIFS(DataRating,DataEmployee,L16,DataSkill,P$4,DataYear,LatestYear))+IF(Q$4="","",SUMIFS(DataRating,DataEmployee,L16,DataSkill,Q$4,DataYear,LatestYear))+IF(R$4="","",SUMIFS(DataRating,DataEmployee,L16,DataSkill,R$4,DataYear,LatestYear)))/(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f>
        <v/>
      </c>
      <c r="N16" s="130">
        <f>IF(OR(L16="",M16="",PreviousYear=""),"",IFERROR(IF((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0,"",(IF(M$4="","",SUMIFS(DataRating,DataEmployee,L16,DataSkill,M$4,DataYear,LatestYear))+IF(N$4="","",SUMIFS(DataRating,DataEmployee,L16,DataSkill,N$4,DataYear,LatestYear))+IF(O$4="","",SUMIFS(DataRating,DataEmployee,L16,DataSkill,O$4,DataYear,LatestYear))+IF(P$4="","",SUMIFS(DataRating,DataEmployee,L16,DataSkill,P$4,DataYear,LatestYear))+IF(Q$4="","",SUMIFS(DataRating,DataEmployee,L16,DataSkill,Q$4,DataYear,LatestYear))+IF(R$4="","",SUMIFS(DataRating,DataEmployee,L16,DataSkill,R$4,DataYear,LatestYear)))/(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IFERROR((IF(OR(M$4="",PreviousYear=""),"",SUMIFS(DataRating,DataEmployee,L16,DataSkill,M$4,DataYear,PreviousYear))+IF(OR(N$4="",PreviousYear=""),"",SUMIFS(DataRating,DataEmployee,L16,DataSkill,N$4,DataYear,PreviousYear))+IF(OR(O$4="",PreviousYear=""),"",SUMIFS(DataRating,DataEmployee,L16,DataSkill,O$4,DataYear,PreviousYear))+IF(OR(P$4="",PreviousYear=""),"",SUMIFS(DataRating,DataEmployee,L16,DataSkill,P$4,DataYear,PreviousYear))+IF(OR(Q$4="",PreviousYear=""),"",SUMIFS(DataRating,DataEmployee,L16,DataSkill,Q$4,DataYear,PreviousYear))+IF(OR(R$4="",PreviousYear=""),"",SUMIFS(DataRating,DataEmployee,L16,DataSkill,R$4,DataYear,PreviousYear)))/MAX(1,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f>
        <v/>
      </c>
      <c r="O16">
        <f>IF(L16="","",IF(OR(M$4="",SUMIFS(DataRating,DataEmployee,L16,DataSkill,M$4,DataYear,LatestYear)=0),0,1)+IF(OR(N$4="",SUMIFS(DataRating,DataEmployee,L16,DataSkill,N$4,DataYear,LatestYear)=0),0,1)+IF(OR(O$4="",SUMIFS(DataRating,DataEmployee,L16,DataSkill,O$4,DataYear,LatestYear)=0),0,1)+IF(OR(P$4="",SUMIFS(DataRating,DataEmployee,L16,DataSkill,P$4,DataYear,LatestYear)=0),0,1)+IF(OR(Q$4="",SUMIFS(DataRating,DataEmployee,L16,DataSkill,Q$4,DataYear,LatestYear)=0),0,1)+IF(OR(R$4="",SUMIFS(DataRating,DataEmployee,L16,DataSkill,R$4,DataYear,LatestYear)=0),0,1)&amp;"/"&amp;COUNTA(M$4:R$4))</f>
        <v/>
      </c>
      <c r="P16">
        <f>IF(L16="","",IF(OR(M$4="",M$5=""),0,IF(SUMIFS(DataRating,DataEmployee,L16,DataSkill,M$4,DataYear,LatestYear)&gt;=M$5,1,0))+IF(OR(N$4="",N$5=""),0,IF(SUMIFS(DataRating,DataEmployee,L16,DataSkill,N$4,DataYear,LatestYear)&gt;=N$5,1,0))+IF(OR(O$4="",O$5=""),0,IF(SUMIFS(DataRating,DataEmployee,L16,DataSkill,O$4,DataYear,LatestYear)&gt;=O$5,1,0))+IF(OR(P$4="",P$5=""),0,IF(SUMIFS(DataRating,DataEmployee,L16,DataSkill,P$4,DataYear,LatestYear)&gt;=P$5,1,0))+IF(OR(Q$4="",Q$5=""),0,IF(SUMIFS(DataRating,DataEmployee,L16,DataSkill,Q$4,DataYear,LatestYear)&gt;=Q$5,1,0))+IF(OR(R$4="",R$5=""),0,IF(SUMIFS(DataRating,DataEmployee,L16,DataSkill,R$4,DataYear,LatestYear)&gt;=R$5,1,0))&amp;"/"&amp;COUNT(M$5:R$5))</f>
        <v/>
      </c>
      <c r="Q16">
        <f>IF(OR(L16="",M16=""),"",RANK(M16,$M$8:$M$23,0)+COUNTIF($M$8:M16,M16)-1)</f>
        <v/>
      </c>
      <c r="S16">
        <f>IFERROR(INDEX($L$8:$L$23,MATCH(9,$Q$8:$Q$23,0)),"")</f>
        <v/>
      </c>
      <c r="T16" s="129">
        <f>IFERROR(INDEX($M$8:$M$23,MATCH(9,$Q$8:$Q$23,0)),"")</f>
        <v/>
      </c>
    </row>
    <row r="17">
      <c r="A17" s="128">
        <f>IF('Years'!B20="","",'Years'!B20)</f>
        <v/>
      </c>
      <c r="B17" s="129">
        <f>IF(A17="","",IFERROR(IF(DeptFilter="(All departments)",AVERAGEIFS(DataRating,DataYear,A17),AVERAGEIFS(DataRating,DataYear,A17,DataDept,DeptFilter)),NA()))</f>
        <v/>
      </c>
      <c r="D17">
        <f>A17</f>
        <v/>
      </c>
      <c r="E17" s="129">
        <f>IF(OR(D17="",EmpFilter=""),"",IFERROR(AVERAGEIFS(DataRating,DataYear,D17,DataEmployee,EmpFilter),NA()))</f>
        <v/>
      </c>
      <c r="G17">
        <f>IF('Skills'!B18="","",'Skills'!B18)</f>
        <v/>
      </c>
      <c r="H17">
        <f>IF(OR(G17="",EmpFilter=""),"",IF(COUNTIFS(DataEmployee,EmpFilter,DataSkill,G17,DataRating,"&gt;=1")=0,"",IFERROR(SUMIFS(DataRating,DataEmployee,EmpFilter,DataSkill,G17,DataYear,MINIFS(DataYear,DataEmployee,EmpFilter,DataSkill,G17,DataRating,"&gt;=1")),"")))</f>
        <v/>
      </c>
      <c r="I17">
        <f>IF(OR(G17="",EmpFilter="",PreviousYear=""),"",IF(COUNTIFS(DataEmployee,EmpFilter,DataSkill,G17,DataYear,PreviousYear,DataRating,"&gt;=1")=0,"",IFERROR(SUMIFS(DataRating,DataEmployee,EmpFilter,DataSkill,G17,DataYear,PreviousYear),"")))</f>
        <v/>
      </c>
      <c r="J17">
        <f>IF(OR(G17="",EmpFilter=""),"",IF(COUNTIFS(DataEmployee,EmpFilter,DataSkill,G17,DataYear,LatestYear,DataRating,"&gt;=1")=0,"",IFERROR(SUMIFS(DataRating,DataEmployee,EmpFilter,DataSkill,G17,DataYear,LatestYear),"")))</f>
        <v/>
      </c>
      <c r="L17">
        <f>IF('Employees'!B15="","",'Employees'!B15)</f>
        <v/>
      </c>
      <c r="M17" s="129">
        <f>IF(L17="","",IFERROR(IF((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0,"",(IF(M$4="","",SUMIFS(DataRating,DataEmployee,L17,DataSkill,M$4,DataYear,LatestYear))+IF(N$4="","",SUMIFS(DataRating,DataEmployee,L17,DataSkill,N$4,DataYear,LatestYear))+IF(O$4="","",SUMIFS(DataRating,DataEmployee,L17,DataSkill,O$4,DataYear,LatestYear))+IF(P$4="","",SUMIFS(DataRating,DataEmployee,L17,DataSkill,P$4,DataYear,LatestYear))+IF(Q$4="","",SUMIFS(DataRating,DataEmployee,L17,DataSkill,Q$4,DataYear,LatestYear))+IF(R$4="","",SUMIFS(DataRating,DataEmployee,L17,DataSkill,R$4,DataYear,LatestYear)))/(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f>
        <v/>
      </c>
      <c r="N17" s="130">
        <f>IF(OR(L17="",M17="",PreviousYear=""),"",IFERROR(IF((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0,"",(IF(M$4="","",SUMIFS(DataRating,DataEmployee,L17,DataSkill,M$4,DataYear,LatestYear))+IF(N$4="","",SUMIFS(DataRating,DataEmployee,L17,DataSkill,N$4,DataYear,LatestYear))+IF(O$4="","",SUMIFS(DataRating,DataEmployee,L17,DataSkill,O$4,DataYear,LatestYear))+IF(P$4="","",SUMIFS(DataRating,DataEmployee,L17,DataSkill,P$4,DataYear,LatestYear))+IF(Q$4="","",SUMIFS(DataRating,DataEmployee,L17,DataSkill,Q$4,DataYear,LatestYear))+IF(R$4="","",SUMIFS(DataRating,DataEmployee,L17,DataSkill,R$4,DataYear,LatestYear)))/(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IFERROR((IF(OR(M$4="",PreviousYear=""),"",SUMIFS(DataRating,DataEmployee,L17,DataSkill,M$4,DataYear,PreviousYear))+IF(OR(N$4="",PreviousYear=""),"",SUMIFS(DataRating,DataEmployee,L17,DataSkill,N$4,DataYear,PreviousYear))+IF(OR(O$4="",PreviousYear=""),"",SUMIFS(DataRating,DataEmployee,L17,DataSkill,O$4,DataYear,PreviousYear))+IF(OR(P$4="",PreviousYear=""),"",SUMIFS(DataRating,DataEmployee,L17,DataSkill,P$4,DataYear,PreviousYear))+IF(OR(Q$4="",PreviousYear=""),"",SUMIFS(DataRating,DataEmployee,L17,DataSkill,Q$4,DataYear,PreviousYear))+IF(OR(R$4="",PreviousYear=""),"",SUMIFS(DataRating,DataEmployee,L17,DataSkill,R$4,DataYear,PreviousYear)))/MAX(1,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f>
        <v/>
      </c>
      <c r="O17">
        <f>IF(L17="","",IF(OR(M$4="",SUMIFS(DataRating,DataEmployee,L17,DataSkill,M$4,DataYear,LatestYear)=0),0,1)+IF(OR(N$4="",SUMIFS(DataRating,DataEmployee,L17,DataSkill,N$4,DataYear,LatestYear)=0),0,1)+IF(OR(O$4="",SUMIFS(DataRating,DataEmployee,L17,DataSkill,O$4,DataYear,LatestYear)=0),0,1)+IF(OR(P$4="",SUMIFS(DataRating,DataEmployee,L17,DataSkill,P$4,DataYear,LatestYear)=0),0,1)+IF(OR(Q$4="",SUMIFS(DataRating,DataEmployee,L17,DataSkill,Q$4,DataYear,LatestYear)=0),0,1)+IF(OR(R$4="",SUMIFS(DataRating,DataEmployee,L17,DataSkill,R$4,DataYear,LatestYear)=0),0,1)&amp;"/"&amp;COUNTA(M$4:R$4))</f>
        <v/>
      </c>
      <c r="P17">
        <f>IF(L17="","",IF(OR(M$4="",M$5=""),0,IF(SUMIFS(DataRating,DataEmployee,L17,DataSkill,M$4,DataYear,LatestYear)&gt;=M$5,1,0))+IF(OR(N$4="",N$5=""),0,IF(SUMIFS(DataRating,DataEmployee,L17,DataSkill,N$4,DataYear,LatestYear)&gt;=N$5,1,0))+IF(OR(O$4="",O$5=""),0,IF(SUMIFS(DataRating,DataEmployee,L17,DataSkill,O$4,DataYear,LatestYear)&gt;=O$5,1,0))+IF(OR(P$4="",P$5=""),0,IF(SUMIFS(DataRating,DataEmployee,L17,DataSkill,P$4,DataYear,LatestYear)&gt;=P$5,1,0))+IF(OR(Q$4="",Q$5=""),0,IF(SUMIFS(DataRating,DataEmployee,L17,DataSkill,Q$4,DataYear,LatestYear)&gt;=Q$5,1,0))+IF(OR(R$4="",R$5=""),0,IF(SUMIFS(DataRating,DataEmployee,L17,DataSkill,R$4,DataYear,LatestYear)&gt;=R$5,1,0))&amp;"/"&amp;COUNT(M$5:R$5))</f>
        <v/>
      </c>
      <c r="Q17">
        <f>IF(OR(L17="",M17=""),"",RANK(M17,$M$8:$M$23,0)+COUNTIF($M$8:M17,M17)-1)</f>
        <v/>
      </c>
      <c r="S17">
        <f>IFERROR(INDEX($L$8:$L$23,MATCH(10,$Q$8:$Q$23,0)),"")</f>
        <v/>
      </c>
      <c r="T17" s="129">
        <f>IFERROR(INDEX($M$8:$M$23,MATCH(10,$Q$8:$Q$23,0)),"")</f>
        <v/>
      </c>
    </row>
    <row r="18">
      <c r="A18" s="128">
        <f>IF('Years'!B21="","",'Years'!B21)</f>
        <v/>
      </c>
      <c r="B18" s="129">
        <f>IF(A18="","",IFERROR(IF(DeptFilter="(All departments)",AVERAGEIFS(DataRating,DataYear,A18),AVERAGEIFS(DataRating,DataYear,A18,DataDept,DeptFilter)),NA()))</f>
        <v/>
      </c>
      <c r="D18">
        <f>A18</f>
        <v/>
      </c>
      <c r="E18" s="129">
        <f>IF(OR(D18="",EmpFilter=""),"",IFERROR(AVERAGEIFS(DataRating,DataYear,D18,DataEmployee,EmpFilter),NA()))</f>
        <v/>
      </c>
      <c r="G18">
        <f>IF('Skills'!B19="","",'Skills'!B19)</f>
        <v/>
      </c>
      <c r="H18">
        <f>IF(OR(G18="",EmpFilter=""),"",IF(COUNTIFS(DataEmployee,EmpFilter,DataSkill,G18,DataRating,"&gt;=1")=0,"",IFERROR(SUMIFS(DataRating,DataEmployee,EmpFilter,DataSkill,G18,DataYear,MINIFS(DataYear,DataEmployee,EmpFilter,DataSkill,G18,DataRating,"&gt;=1")),"")))</f>
        <v/>
      </c>
      <c r="I18">
        <f>IF(OR(G18="",EmpFilter="",PreviousYear=""),"",IF(COUNTIFS(DataEmployee,EmpFilter,DataSkill,G18,DataYear,PreviousYear,DataRating,"&gt;=1")=0,"",IFERROR(SUMIFS(DataRating,DataEmployee,EmpFilter,DataSkill,G18,DataYear,PreviousYear),"")))</f>
        <v/>
      </c>
      <c r="J18">
        <f>IF(OR(G18="",EmpFilter=""),"",IF(COUNTIFS(DataEmployee,EmpFilter,DataSkill,G18,DataYear,LatestYear,DataRating,"&gt;=1")=0,"",IFERROR(SUMIFS(DataRating,DataEmployee,EmpFilter,DataSkill,G18,DataYear,LatestYear),"")))</f>
        <v/>
      </c>
      <c r="L18">
        <f>IF('Employees'!B16="","",'Employees'!B16)</f>
        <v/>
      </c>
      <c r="M18" s="129">
        <f>IF(L18="","",IFERROR(IF((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0,"",(IF(M$4="","",SUMIFS(DataRating,DataEmployee,L18,DataSkill,M$4,DataYear,LatestYear))+IF(N$4="","",SUMIFS(DataRating,DataEmployee,L18,DataSkill,N$4,DataYear,LatestYear))+IF(O$4="","",SUMIFS(DataRating,DataEmployee,L18,DataSkill,O$4,DataYear,LatestYear))+IF(P$4="","",SUMIFS(DataRating,DataEmployee,L18,DataSkill,P$4,DataYear,LatestYear))+IF(Q$4="","",SUMIFS(DataRating,DataEmployee,L18,DataSkill,Q$4,DataYear,LatestYear))+IF(R$4="","",SUMIFS(DataRating,DataEmployee,L18,DataSkill,R$4,DataYear,LatestYear)))/(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f>
        <v/>
      </c>
      <c r="N18" s="130">
        <f>IF(OR(L18="",M18="",PreviousYear=""),"",IFERROR(IF((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0,"",(IF(M$4="","",SUMIFS(DataRating,DataEmployee,L18,DataSkill,M$4,DataYear,LatestYear))+IF(N$4="","",SUMIFS(DataRating,DataEmployee,L18,DataSkill,N$4,DataYear,LatestYear))+IF(O$4="","",SUMIFS(DataRating,DataEmployee,L18,DataSkill,O$4,DataYear,LatestYear))+IF(P$4="","",SUMIFS(DataRating,DataEmployee,L18,DataSkill,P$4,DataYear,LatestYear))+IF(Q$4="","",SUMIFS(DataRating,DataEmployee,L18,DataSkill,Q$4,DataYear,LatestYear))+IF(R$4="","",SUMIFS(DataRating,DataEmployee,L18,DataSkill,R$4,DataYear,LatestYear)))/(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IFERROR((IF(OR(M$4="",PreviousYear=""),"",SUMIFS(DataRating,DataEmployee,L18,DataSkill,M$4,DataYear,PreviousYear))+IF(OR(N$4="",PreviousYear=""),"",SUMIFS(DataRating,DataEmployee,L18,DataSkill,N$4,DataYear,PreviousYear))+IF(OR(O$4="",PreviousYear=""),"",SUMIFS(DataRating,DataEmployee,L18,DataSkill,O$4,DataYear,PreviousYear))+IF(OR(P$4="",PreviousYear=""),"",SUMIFS(DataRating,DataEmployee,L18,DataSkill,P$4,DataYear,PreviousYear))+IF(OR(Q$4="",PreviousYear=""),"",SUMIFS(DataRating,DataEmployee,L18,DataSkill,Q$4,DataYear,PreviousYear))+IF(OR(R$4="",PreviousYear=""),"",SUMIFS(DataRating,DataEmployee,L18,DataSkill,R$4,DataYear,PreviousYear)))/MAX(1,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f>
        <v/>
      </c>
      <c r="O18">
        <f>IF(L18="","",IF(OR(M$4="",SUMIFS(DataRating,DataEmployee,L18,DataSkill,M$4,DataYear,LatestYear)=0),0,1)+IF(OR(N$4="",SUMIFS(DataRating,DataEmployee,L18,DataSkill,N$4,DataYear,LatestYear)=0),0,1)+IF(OR(O$4="",SUMIFS(DataRating,DataEmployee,L18,DataSkill,O$4,DataYear,LatestYear)=0),0,1)+IF(OR(P$4="",SUMIFS(DataRating,DataEmployee,L18,DataSkill,P$4,DataYear,LatestYear)=0),0,1)+IF(OR(Q$4="",SUMIFS(DataRating,DataEmployee,L18,DataSkill,Q$4,DataYear,LatestYear)=0),0,1)+IF(OR(R$4="",SUMIFS(DataRating,DataEmployee,L18,DataSkill,R$4,DataYear,LatestYear)=0),0,1)&amp;"/"&amp;COUNTA(M$4:R$4))</f>
        <v/>
      </c>
      <c r="P18">
        <f>IF(L18="","",IF(OR(M$4="",M$5=""),0,IF(SUMIFS(DataRating,DataEmployee,L18,DataSkill,M$4,DataYear,LatestYear)&gt;=M$5,1,0))+IF(OR(N$4="",N$5=""),0,IF(SUMIFS(DataRating,DataEmployee,L18,DataSkill,N$4,DataYear,LatestYear)&gt;=N$5,1,0))+IF(OR(O$4="",O$5=""),0,IF(SUMIFS(DataRating,DataEmployee,L18,DataSkill,O$4,DataYear,LatestYear)&gt;=O$5,1,0))+IF(OR(P$4="",P$5=""),0,IF(SUMIFS(DataRating,DataEmployee,L18,DataSkill,P$4,DataYear,LatestYear)&gt;=P$5,1,0))+IF(OR(Q$4="",Q$5=""),0,IF(SUMIFS(DataRating,DataEmployee,L18,DataSkill,Q$4,DataYear,LatestYear)&gt;=Q$5,1,0))+IF(OR(R$4="",R$5=""),0,IF(SUMIFS(DataRating,DataEmployee,L18,DataSkill,R$4,DataYear,LatestYear)&gt;=R$5,1,0))&amp;"/"&amp;COUNT(M$5:R$5))</f>
        <v/>
      </c>
      <c r="Q18">
        <f>IF(OR(L18="",M18=""),"",RANK(M18,$M$8:$M$23,0)+COUNTIF($M$8:M18,M18)-1)</f>
        <v/>
      </c>
      <c r="S18">
        <f>IFERROR(INDEX($L$8:$L$23,MATCH(11,$Q$8:$Q$23,0)),"")</f>
        <v/>
      </c>
      <c r="T18" s="129">
        <f>IFERROR(INDEX($M$8:$M$23,MATCH(11,$Q$8:$Q$23,0)),"")</f>
        <v/>
      </c>
    </row>
    <row r="19">
      <c r="A19" s="128">
        <f>IF('Years'!B22="","",'Years'!B22)</f>
        <v/>
      </c>
      <c r="B19" s="129">
        <f>IF(A19="","",IFERROR(IF(DeptFilter="(All departments)",AVERAGEIFS(DataRating,DataYear,A19),AVERAGEIFS(DataRating,DataYear,A19,DataDept,DeptFilter)),NA()))</f>
        <v/>
      </c>
      <c r="D19">
        <f>A19</f>
        <v/>
      </c>
      <c r="E19" s="129">
        <f>IF(OR(D19="",EmpFilter=""),"",IFERROR(AVERAGEIFS(DataRating,DataYear,D19,DataEmployee,EmpFilter),NA()))</f>
        <v/>
      </c>
      <c r="G19">
        <f>IF('Skills'!B20="","",'Skills'!B20)</f>
        <v/>
      </c>
      <c r="H19">
        <f>IF(OR(G19="",EmpFilter=""),"",IF(COUNTIFS(DataEmployee,EmpFilter,DataSkill,G19,DataRating,"&gt;=1")=0,"",IFERROR(SUMIFS(DataRating,DataEmployee,EmpFilter,DataSkill,G19,DataYear,MINIFS(DataYear,DataEmployee,EmpFilter,DataSkill,G19,DataRating,"&gt;=1")),"")))</f>
        <v/>
      </c>
      <c r="I19">
        <f>IF(OR(G19="",EmpFilter="",PreviousYear=""),"",IF(COUNTIFS(DataEmployee,EmpFilter,DataSkill,G19,DataYear,PreviousYear,DataRating,"&gt;=1")=0,"",IFERROR(SUMIFS(DataRating,DataEmployee,EmpFilter,DataSkill,G19,DataYear,PreviousYear),"")))</f>
        <v/>
      </c>
      <c r="J19">
        <f>IF(OR(G19="",EmpFilter=""),"",IF(COUNTIFS(DataEmployee,EmpFilter,DataSkill,G19,DataYear,LatestYear,DataRating,"&gt;=1")=0,"",IFERROR(SUMIFS(DataRating,DataEmployee,EmpFilter,DataSkill,G19,DataYear,LatestYear),"")))</f>
        <v/>
      </c>
      <c r="L19">
        <f>IF('Employees'!B17="","",'Employees'!B17)</f>
        <v/>
      </c>
      <c r="M19" s="129">
        <f>IF(L19="","",IFERROR(IF((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0,"",(IF(M$4="","",SUMIFS(DataRating,DataEmployee,L19,DataSkill,M$4,DataYear,LatestYear))+IF(N$4="","",SUMIFS(DataRating,DataEmployee,L19,DataSkill,N$4,DataYear,LatestYear))+IF(O$4="","",SUMIFS(DataRating,DataEmployee,L19,DataSkill,O$4,DataYear,LatestYear))+IF(P$4="","",SUMIFS(DataRating,DataEmployee,L19,DataSkill,P$4,DataYear,LatestYear))+IF(Q$4="","",SUMIFS(DataRating,DataEmployee,L19,DataSkill,Q$4,DataYear,LatestYear))+IF(R$4="","",SUMIFS(DataRating,DataEmployee,L19,DataSkill,R$4,DataYear,LatestYear)))/(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f>
        <v/>
      </c>
      <c r="N19" s="130">
        <f>IF(OR(L19="",M19="",PreviousYear=""),"",IFERROR(IF((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0,"",(IF(M$4="","",SUMIFS(DataRating,DataEmployee,L19,DataSkill,M$4,DataYear,LatestYear))+IF(N$4="","",SUMIFS(DataRating,DataEmployee,L19,DataSkill,N$4,DataYear,LatestYear))+IF(O$4="","",SUMIFS(DataRating,DataEmployee,L19,DataSkill,O$4,DataYear,LatestYear))+IF(P$4="","",SUMIFS(DataRating,DataEmployee,L19,DataSkill,P$4,DataYear,LatestYear))+IF(Q$4="","",SUMIFS(DataRating,DataEmployee,L19,DataSkill,Q$4,DataYear,LatestYear))+IF(R$4="","",SUMIFS(DataRating,DataEmployee,L19,DataSkill,R$4,DataYear,LatestYear)))/(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IFERROR((IF(OR(M$4="",PreviousYear=""),"",SUMIFS(DataRating,DataEmployee,L19,DataSkill,M$4,DataYear,PreviousYear))+IF(OR(N$4="",PreviousYear=""),"",SUMIFS(DataRating,DataEmployee,L19,DataSkill,N$4,DataYear,PreviousYear))+IF(OR(O$4="",PreviousYear=""),"",SUMIFS(DataRating,DataEmployee,L19,DataSkill,O$4,DataYear,PreviousYear))+IF(OR(P$4="",PreviousYear=""),"",SUMIFS(DataRating,DataEmployee,L19,DataSkill,P$4,DataYear,PreviousYear))+IF(OR(Q$4="",PreviousYear=""),"",SUMIFS(DataRating,DataEmployee,L19,DataSkill,Q$4,DataYear,PreviousYear))+IF(OR(R$4="",PreviousYear=""),"",SUMIFS(DataRating,DataEmployee,L19,DataSkill,R$4,DataYear,PreviousYear)))/MAX(1,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f>
        <v/>
      </c>
      <c r="O19">
        <f>IF(L19="","",IF(OR(M$4="",SUMIFS(DataRating,DataEmployee,L19,DataSkill,M$4,DataYear,LatestYear)=0),0,1)+IF(OR(N$4="",SUMIFS(DataRating,DataEmployee,L19,DataSkill,N$4,DataYear,LatestYear)=0),0,1)+IF(OR(O$4="",SUMIFS(DataRating,DataEmployee,L19,DataSkill,O$4,DataYear,LatestYear)=0),0,1)+IF(OR(P$4="",SUMIFS(DataRating,DataEmployee,L19,DataSkill,P$4,DataYear,LatestYear)=0),0,1)+IF(OR(Q$4="",SUMIFS(DataRating,DataEmployee,L19,DataSkill,Q$4,DataYear,LatestYear)=0),0,1)+IF(OR(R$4="",SUMIFS(DataRating,DataEmployee,L19,DataSkill,R$4,DataYear,LatestYear)=0),0,1)&amp;"/"&amp;COUNTA(M$4:R$4))</f>
        <v/>
      </c>
      <c r="P19">
        <f>IF(L19="","",IF(OR(M$4="",M$5=""),0,IF(SUMIFS(DataRating,DataEmployee,L19,DataSkill,M$4,DataYear,LatestYear)&gt;=M$5,1,0))+IF(OR(N$4="",N$5=""),0,IF(SUMIFS(DataRating,DataEmployee,L19,DataSkill,N$4,DataYear,LatestYear)&gt;=N$5,1,0))+IF(OR(O$4="",O$5=""),0,IF(SUMIFS(DataRating,DataEmployee,L19,DataSkill,O$4,DataYear,LatestYear)&gt;=O$5,1,0))+IF(OR(P$4="",P$5=""),0,IF(SUMIFS(DataRating,DataEmployee,L19,DataSkill,P$4,DataYear,LatestYear)&gt;=P$5,1,0))+IF(OR(Q$4="",Q$5=""),0,IF(SUMIFS(DataRating,DataEmployee,L19,DataSkill,Q$4,DataYear,LatestYear)&gt;=Q$5,1,0))+IF(OR(R$4="",R$5=""),0,IF(SUMIFS(DataRating,DataEmployee,L19,DataSkill,R$4,DataYear,LatestYear)&gt;=R$5,1,0))&amp;"/"&amp;COUNT(M$5:R$5))</f>
        <v/>
      </c>
      <c r="Q19">
        <f>IF(OR(L19="",M19=""),"",RANK(M19,$M$8:$M$23,0)+COUNTIF($M$8:M19,M19)-1)</f>
        <v/>
      </c>
      <c r="S19">
        <f>IFERROR(INDEX($L$8:$L$23,MATCH(12,$Q$8:$Q$23,0)),"")</f>
        <v/>
      </c>
      <c r="T19" s="129">
        <f>IFERROR(INDEX($M$8:$M$23,MATCH(12,$Q$8:$Q$23,0)),"")</f>
        <v/>
      </c>
    </row>
    <row r="20">
      <c r="A20" s="128">
        <f>IF('Years'!B23="","",'Years'!B23)</f>
        <v/>
      </c>
      <c r="B20" s="129">
        <f>IF(A20="","",IFERROR(IF(DeptFilter="(All departments)",AVERAGEIFS(DataRating,DataYear,A20),AVERAGEIFS(DataRating,DataYear,A20,DataDept,DeptFilter)),NA()))</f>
        <v/>
      </c>
      <c r="D20">
        <f>A20</f>
        <v/>
      </c>
      <c r="E20" s="129">
        <f>IF(OR(D20="",EmpFilter=""),"",IFERROR(AVERAGEIFS(DataRating,DataYear,D20,DataEmployee,EmpFilter),NA()))</f>
        <v/>
      </c>
      <c r="G20">
        <f>IF('Skills'!B21="","",'Skills'!B21)</f>
        <v/>
      </c>
      <c r="H20">
        <f>IF(OR(G20="",EmpFilter=""),"",IF(COUNTIFS(DataEmployee,EmpFilter,DataSkill,G20,DataRating,"&gt;=1")=0,"",IFERROR(SUMIFS(DataRating,DataEmployee,EmpFilter,DataSkill,G20,DataYear,MINIFS(DataYear,DataEmployee,EmpFilter,DataSkill,G20,DataRating,"&gt;=1")),"")))</f>
        <v/>
      </c>
      <c r="I20">
        <f>IF(OR(G20="",EmpFilter="",PreviousYear=""),"",IF(COUNTIFS(DataEmployee,EmpFilter,DataSkill,G20,DataYear,PreviousYear,DataRating,"&gt;=1")=0,"",IFERROR(SUMIFS(DataRating,DataEmployee,EmpFilter,DataSkill,G20,DataYear,PreviousYear),"")))</f>
        <v/>
      </c>
      <c r="J20">
        <f>IF(OR(G20="",EmpFilter=""),"",IF(COUNTIFS(DataEmployee,EmpFilter,DataSkill,G20,DataYear,LatestYear,DataRating,"&gt;=1")=0,"",IFERROR(SUMIFS(DataRating,DataEmployee,EmpFilter,DataSkill,G20,DataYear,LatestYear),"")))</f>
        <v/>
      </c>
      <c r="L20">
        <f>IF('Employees'!B18="","",'Employees'!B18)</f>
        <v/>
      </c>
      <c r="M20" s="129">
        <f>IF(L20="","",IFERROR(IF((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0,"",(IF(M$4="","",SUMIFS(DataRating,DataEmployee,L20,DataSkill,M$4,DataYear,LatestYear))+IF(N$4="","",SUMIFS(DataRating,DataEmployee,L20,DataSkill,N$4,DataYear,LatestYear))+IF(O$4="","",SUMIFS(DataRating,DataEmployee,L20,DataSkill,O$4,DataYear,LatestYear))+IF(P$4="","",SUMIFS(DataRating,DataEmployee,L20,DataSkill,P$4,DataYear,LatestYear))+IF(Q$4="","",SUMIFS(DataRating,DataEmployee,L20,DataSkill,Q$4,DataYear,LatestYear))+IF(R$4="","",SUMIFS(DataRating,DataEmployee,L20,DataSkill,R$4,DataYear,LatestYear)))/(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f>
        <v/>
      </c>
      <c r="N20" s="130">
        <f>IF(OR(L20="",M20="",PreviousYear=""),"",IFERROR(IF((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0,"",(IF(M$4="","",SUMIFS(DataRating,DataEmployee,L20,DataSkill,M$4,DataYear,LatestYear))+IF(N$4="","",SUMIFS(DataRating,DataEmployee,L20,DataSkill,N$4,DataYear,LatestYear))+IF(O$4="","",SUMIFS(DataRating,DataEmployee,L20,DataSkill,O$4,DataYear,LatestYear))+IF(P$4="","",SUMIFS(DataRating,DataEmployee,L20,DataSkill,P$4,DataYear,LatestYear))+IF(Q$4="","",SUMIFS(DataRating,DataEmployee,L20,DataSkill,Q$4,DataYear,LatestYear))+IF(R$4="","",SUMIFS(DataRating,DataEmployee,L20,DataSkill,R$4,DataYear,LatestYear)))/(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IFERROR((IF(OR(M$4="",PreviousYear=""),"",SUMIFS(DataRating,DataEmployee,L20,DataSkill,M$4,DataYear,PreviousYear))+IF(OR(N$4="",PreviousYear=""),"",SUMIFS(DataRating,DataEmployee,L20,DataSkill,N$4,DataYear,PreviousYear))+IF(OR(O$4="",PreviousYear=""),"",SUMIFS(DataRating,DataEmployee,L20,DataSkill,O$4,DataYear,PreviousYear))+IF(OR(P$4="",PreviousYear=""),"",SUMIFS(DataRating,DataEmployee,L20,DataSkill,P$4,DataYear,PreviousYear))+IF(OR(Q$4="",PreviousYear=""),"",SUMIFS(DataRating,DataEmployee,L20,DataSkill,Q$4,DataYear,PreviousYear))+IF(OR(R$4="",PreviousYear=""),"",SUMIFS(DataRating,DataEmployee,L20,DataSkill,R$4,DataYear,PreviousYear)))/MAX(1,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f>
        <v/>
      </c>
      <c r="O20">
        <f>IF(L20="","",IF(OR(M$4="",SUMIFS(DataRating,DataEmployee,L20,DataSkill,M$4,DataYear,LatestYear)=0),0,1)+IF(OR(N$4="",SUMIFS(DataRating,DataEmployee,L20,DataSkill,N$4,DataYear,LatestYear)=0),0,1)+IF(OR(O$4="",SUMIFS(DataRating,DataEmployee,L20,DataSkill,O$4,DataYear,LatestYear)=0),0,1)+IF(OR(P$4="",SUMIFS(DataRating,DataEmployee,L20,DataSkill,P$4,DataYear,LatestYear)=0),0,1)+IF(OR(Q$4="",SUMIFS(DataRating,DataEmployee,L20,DataSkill,Q$4,DataYear,LatestYear)=0),0,1)+IF(OR(R$4="",SUMIFS(DataRating,DataEmployee,L20,DataSkill,R$4,DataYear,LatestYear)=0),0,1)&amp;"/"&amp;COUNTA(M$4:R$4))</f>
        <v/>
      </c>
      <c r="P20">
        <f>IF(L20="","",IF(OR(M$4="",M$5=""),0,IF(SUMIFS(DataRating,DataEmployee,L20,DataSkill,M$4,DataYear,LatestYear)&gt;=M$5,1,0))+IF(OR(N$4="",N$5=""),0,IF(SUMIFS(DataRating,DataEmployee,L20,DataSkill,N$4,DataYear,LatestYear)&gt;=N$5,1,0))+IF(OR(O$4="",O$5=""),0,IF(SUMIFS(DataRating,DataEmployee,L20,DataSkill,O$4,DataYear,LatestYear)&gt;=O$5,1,0))+IF(OR(P$4="",P$5=""),0,IF(SUMIFS(DataRating,DataEmployee,L20,DataSkill,P$4,DataYear,LatestYear)&gt;=P$5,1,0))+IF(OR(Q$4="",Q$5=""),0,IF(SUMIFS(DataRating,DataEmployee,L20,DataSkill,Q$4,DataYear,LatestYear)&gt;=Q$5,1,0))+IF(OR(R$4="",R$5=""),0,IF(SUMIFS(DataRating,DataEmployee,L20,DataSkill,R$4,DataYear,LatestYear)&gt;=R$5,1,0))&amp;"/"&amp;COUNT(M$5:R$5))</f>
        <v/>
      </c>
      <c r="Q20">
        <f>IF(OR(L20="",M20=""),"",RANK(M20,$M$8:$M$23,0)+COUNTIF($M$8:M20,M20)-1)</f>
        <v/>
      </c>
      <c r="S20">
        <f>IFERROR(INDEX($L$8:$L$23,MATCH(13,$Q$8:$Q$23,0)),"")</f>
        <v/>
      </c>
      <c r="T20" s="129">
        <f>IFERROR(INDEX($M$8:$M$23,MATCH(13,$Q$8:$Q$23,0)),"")</f>
        <v/>
      </c>
    </row>
    <row r="21">
      <c r="L21">
        <f>IF('Employees'!B19="","",'Employees'!B19)</f>
        <v/>
      </c>
      <c r="M21" s="129">
        <f>IF(L21="","",IFERROR(IF((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0,"",(IF(M$4="","",SUMIFS(DataRating,DataEmployee,L21,DataSkill,M$4,DataYear,LatestYear))+IF(N$4="","",SUMIFS(DataRating,DataEmployee,L21,DataSkill,N$4,DataYear,LatestYear))+IF(O$4="","",SUMIFS(DataRating,DataEmployee,L21,DataSkill,O$4,DataYear,LatestYear))+IF(P$4="","",SUMIFS(DataRating,DataEmployee,L21,DataSkill,P$4,DataYear,LatestYear))+IF(Q$4="","",SUMIFS(DataRating,DataEmployee,L21,DataSkill,Q$4,DataYear,LatestYear))+IF(R$4="","",SUMIFS(DataRating,DataEmployee,L21,DataSkill,R$4,DataYear,LatestYear)))/(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f>
        <v/>
      </c>
      <c r="N21" s="130">
        <f>IF(OR(L21="",M21="",PreviousYear=""),"",IFERROR(IF((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0,"",(IF(M$4="","",SUMIFS(DataRating,DataEmployee,L21,DataSkill,M$4,DataYear,LatestYear))+IF(N$4="","",SUMIFS(DataRating,DataEmployee,L21,DataSkill,N$4,DataYear,LatestYear))+IF(O$4="","",SUMIFS(DataRating,DataEmployee,L21,DataSkill,O$4,DataYear,LatestYear))+IF(P$4="","",SUMIFS(DataRating,DataEmployee,L21,DataSkill,P$4,DataYear,LatestYear))+IF(Q$4="","",SUMIFS(DataRating,DataEmployee,L21,DataSkill,Q$4,DataYear,LatestYear))+IF(R$4="","",SUMIFS(DataRating,DataEmployee,L21,DataSkill,R$4,DataYear,LatestYear)))/(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IFERROR((IF(OR(M$4="",PreviousYear=""),"",SUMIFS(DataRating,DataEmployee,L21,DataSkill,M$4,DataYear,PreviousYear))+IF(OR(N$4="",PreviousYear=""),"",SUMIFS(DataRating,DataEmployee,L21,DataSkill,N$4,DataYear,PreviousYear))+IF(OR(O$4="",PreviousYear=""),"",SUMIFS(DataRating,DataEmployee,L21,DataSkill,O$4,DataYear,PreviousYear))+IF(OR(P$4="",PreviousYear=""),"",SUMIFS(DataRating,DataEmployee,L21,DataSkill,P$4,DataYear,PreviousYear))+IF(OR(Q$4="",PreviousYear=""),"",SUMIFS(DataRating,DataEmployee,L21,DataSkill,Q$4,DataYear,PreviousYear))+IF(OR(R$4="",PreviousYear=""),"",SUMIFS(DataRating,DataEmployee,L21,DataSkill,R$4,DataYear,PreviousYear)))/MAX(1,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f>
        <v/>
      </c>
      <c r="O21">
        <f>IF(L21="","",IF(OR(M$4="",SUMIFS(DataRating,DataEmployee,L21,DataSkill,M$4,DataYear,LatestYear)=0),0,1)+IF(OR(N$4="",SUMIFS(DataRating,DataEmployee,L21,DataSkill,N$4,DataYear,LatestYear)=0),0,1)+IF(OR(O$4="",SUMIFS(DataRating,DataEmployee,L21,DataSkill,O$4,DataYear,LatestYear)=0),0,1)+IF(OR(P$4="",SUMIFS(DataRating,DataEmployee,L21,DataSkill,P$4,DataYear,LatestYear)=0),0,1)+IF(OR(Q$4="",SUMIFS(DataRating,DataEmployee,L21,DataSkill,Q$4,DataYear,LatestYear)=0),0,1)+IF(OR(R$4="",SUMIFS(DataRating,DataEmployee,L21,DataSkill,R$4,DataYear,LatestYear)=0),0,1)&amp;"/"&amp;COUNTA(M$4:R$4))</f>
        <v/>
      </c>
      <c r="P21">
        <f>IF(L21="","",IF(OR(M$4="",M$5=""),0,IF(SUMIFS(DataRating,DataEmployee,L21,DataSkill,M$4,DataYear,LatestYear)&gt;=M$5,1,0))+IF(OR(N$4="",N$5=""),0,IF(SUMIFS(DataRating,DataEmployee,L21,DataSkill,N$4,DataYear,LatestYear)&gt;=N$5,1,0))+IF(OR(O$4="",O$5=""),0,IF(SUMIFS(DataRating,DataEmployee,L21,DataSkill,O$4,DataYear,LatestYear)&gt;=O$5,1,0))+IF(OR(P$4="",P$5=""),0,IF(SUMIFS(DataRating,DataEmployee,L21,DataSkill,P$4,DataYear,LatestYear)&gt;=P$5,1,0))+IF(OR(Q$4="",Q$5=""),0,IF(SUMIFS(DataRating,DataEmployee,L21,DataSkill,Q$4,DataYear,LatestYear)&gt;=Q$5,1,0))+IF(OR(R$4="",R$5=""),0,IF(SUMIFS(DataRating,DataEmployee,L21,DataSkill,R$4,DataYear,LatestYear)&gt;=R$5,1,0))&amp;"/"&amp;COUNT(M$5:R$5))</f>
        <v/>
      </c>
      <c r="Q21">
        <f>IF(OR(L21="",M21=""),"",RANK(M21,$M$8:$M$23,0)+COUNTIF($M$8:M21,M21)-1)</f>
        <v/>
      </c>
      <c r="S21">
        <f>IFERROR(INDEX($L$8:$L$23,MATCH(14,$Q$8:$Q$23,0)),"")</f>
        <v/>
      </c>
      <c r="T21" s="129">
        <f>IFERROR(INDEX($M$8:$M$23,MATCH(14,$Q$8:$Q$23,0)),"")</f>
        <v/>
      </c>
    </row>
    <row r="22">
      <c r="L22">
        <f>IF('Employees'!B20="","",'Employees'!B20)</f>
        <v/>
      </c>
      <c r="M22" s="129">
        <f>IF(L22="","",IFERROR(IF((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0,"",(IF(M$4="","",SUMIFS(DataRating,DataEmployee,L22,DataSkill,M$4,DataYear,LatestYear))+IF(N$4="","",SUMIFS(DataRating,DataEmployee,L22,DataSkill,N$4,DataYear,LatestYear))+IF(O$4="","",SUMIFS(DataRating,DataEmployee,L22,DataSkill,O$4,DataYear,LatestYear))+IF(P$4="","",SUMIFS(DataRating,DataEmployee,L22,DataSkill,P$4,DataYear,LatestYear))+IF(Q$4="","",SUMIFS(DataRating,DataEmployee,L22,DataSkill,Q$4,DataYear,LatestYear))+IF(R$4="","",SUMIFS(DataRating,DataEmployee,L22,DataSkill,R$4,DataYear,LatestYear)))/(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f>
        <v/>
      </c>
      <c r="N22" s="130">
        <f>IF(OR(L22="",M22="",PreviousYear=""),"",IFERROR(IF((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0,"",(IF(M$4="","",SUMIFS(DataRating,DataEmployee,L22,DataSkill,M$4,DataYear,LatestYear))+IF(N$4="","",SUMIFS(DataRating,DataEmployee,L22,DataSkill,N$4,DataYear,LatestYear))+IF(O$4="","",SUMIFS(DataRating,DataEmployee,L22,DataSkill,O$4,DataYear,LatestYear))+IF(P$4="","",SUMIFS(DataRating,DataEmployee,L22,DataSkill,P$4,DataYear,LatestYear))+IF(Q$4="","",SUMIFS(DataRating,DataEmployee,L22,DataSkill,Q$4,DataYear,LatestYear))+IF(R$4="","",SUMIFS(DataRating,DataEmployee,L22,DataSkill,R$4,DataYear,LatestYear)))/(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IFERROR((IF(OR(M$4="",PreviousYear=""),"",SUMIFS(DataRating,DataEmployee,L22,DataSkill,M$4,DataYear,PreviousYear))+IF(OR(N$4="",PreviousYear=""),"",SUMIFS(DataRating,DataEmployee,L22,DataSkill,N$4,DataYear,PreviousYear))+IF(OR(O$4="",PreviousYear=""),"",SUMIFS(DataRating,DataEmployee,L22,DataSkill,O$4,DataYear,PreviousYear))+IF(OR(P$4="",PreviousYear=""),"",SUMIFS(DataRating,DataEmployee,L22,DataSkill,P$4,DataYear,PreviousYear))+IF(OR(Q$4="",PreviousYear=""),"",SUMIFS(DataRating,DataEmployee,L22,DataSkill,Q$4,DataYear,PreviousYear))+IF(OR(R$4="",PreviousYear=""),"",SUMIFS(DataRating,DataEmployee,L22,DataSkill,R$4,DataYear,PreviousYear)))/MAX(1,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f>
        <v/>
      </c>
      <c r="O22">
        <f>IF(L22="","",IF(OR(M$4="",SUMIFS(DataRating,DataEmployee,L22,DataSkill,M$4,DataYear,LatestYear)=0),0,1)+IF(OR(N$4="",SUMIFS(DataRating,DataEmployee,L22,DataSkill,N$4,DataYear,LatestYear)=0),0,1)+IF(OR(O$4="",SUMIFS(DataRating,DataEmployee,L22,DataSkill,O$4,DataYear,LatestYear)=0),0,1)+IF(OR(P$4="",SUMIFS(DataRating,DataEmployee,L22,DataSkill,P$4,DataYear,LatestYear)=0),0,1)+IF(OR(Q$4="",SUMIFS(DataRating,DataEmployee,L22,DataSkill,Q$4,DataYear,LatestYear)=0),0,1)+IF(OR(R$4="",SUMIFS(DataRating,DataEmployee,L22,DataSkill,R$4,DataYear,LatestYear)=0),0,1)&amp;"/"&amp;COUNTA(M$4:R$4))</f>
        <v/>
      </c>
      <c r="P22">
        <f>IF(L22="","",IF(OR(M$4="",M$5=""),0,IF(SUMIFS(DataRating,DataEmployee,L22,DataSkill,M$4,DataYear,LatestYear)&gt;=M$5,1,0))+IF(OR(N$4="",N$5=""),0,IF(SUMIFS(DataRating,DataEmployee,L22,DataSkill,N$4,DataYear,LatestYear)&gt;=N$5,1,0))+IF(OR(O$4="",O$5=""),0,IF(SUMIFS(DataRating,DataEmployee,L22,DataSkill,O$4,DataYear,LatestYear)&gt;=O$5,1,0))+IF(OR(P$4="",P$5=""),0,IF(SUMIFS(DataRating,DataEmployee,L22,DataSkill,P$4,DataYear,LatestYear)&gt;=P$5,1,0))+IF(OR(Q$4="",Q$5=""),0,IF(SUMIFS(DataRating,DataEmployee,L22,DataSkill,Q$4,DataYear,LatestYear)&gt;=Q$5,1,0))+IF(OR(R$4="",R$5=""),0,IF(SUMIFS(DataRating,DataEmployee,L22,DataSkill,R$4,DataYear,LatestYear)&gt;=R$5,1,0))&amp;"/"&amp;COUNT(M$5:R$5))</f>
        <v/>
      </c>
      <c r="Q22">
        <f>IF(OR(L22="",M22=""),"",RANK(M22,$M$8:$M$23,0)+COUNTIF($M$8:M22,M22)-1)</f>
        <v/>
      </c>
      <c r="S22">
        <f>IFERROR(INDEX($L$8:$L$23,MATCH(15,$Q$8:$Q$23,0)),"")</f>
        <v/>
      </c>
      <c r="T22" s="129">
        <f>IFERROR(INDEX($M$8:$M$23,MATCH(15,$Q$8:$Q$23,0)),"")</f>
        <v/>
      </c>
    </row>
    <row r="23">
      <c r="L23">
        <f>IF('Employees'!B21="","",'Employees'!B21)</f>
        <v/>
      </c>
      <c r="M23" s="129">
        <f>IF(L23="","",IFERROR(IF((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0,"",(IF(M$4="","",SUMIFS(DataRating,DataEmployee,L23,DataSkill,M$4,DataYear,LatestYear))+IF(N$4="","",SUMIFS(DataRating,DataEmployee,L23,DataSkill,N$4,DataYear,LatestYear))+IF(O$4="","",SUMIFS(DataRating,DataEmployee,L23,DataSkill,O$4,DataYear,LatestYear))+IF(P$4="","",SUMIFS(DataRating,DataEmployee,L23,DataSkill,P$4,DataYear,LatestYear))+IF(Q$4="","",SUMIFS(DataRating,DataEmployee,L23,DataSkill,Q$4,DataYear,LatestYear))+IF(R$4="","",SUMIFS(DataRating,DataEmployee,L23,DataSkill,R$4,DataYear,LatestYear)))/(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f>
        <v/>
      </c>
      <c r="N23" s="130">
        <f>IF(OR(L23="",M23="",PreviousYear=""),"",IFERROR(IF((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0,"",(IF(M$4="","",SUMIFS(DataRating,DataEmployee,L23,DataSkill,M$4,DataYear,LatestYear))+IF(N$4="","",SUMIFS(DataRating,DataEmployee,L23,DataSkill,N$4,DataYear,LatestYear))+IF(O$4="","",SUMIFS(DataRating,DataEmployee,L23,DataSkill,O$4,DataYear,LatestYear))+IF(P$4="","",SUMIFS(DataRating,DataEmployee,L23,DataSkill,P$4,DataYear,LatestYear))+IF(Q$4="","",SUMIFS(DataRating,DataEmployee,L23,DataSkill,Q$4,DataYear,LatestYear))+IF(R$4="","",SUMIFS(DataRating,DataEmployee,L23,DataSkill,R$4,DataYear,LatestYear)))/(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IFERROR((IF(OR(M$4="",PreviousYear=""),"",SUMIFS(DataRating,DataEmployee,L23,DataSkill,M$4,DataYear,PreviousYear))+IF(OR(N$4="",PreviousYear=""),"",SUMIFS(DataRating,DataEmployee,L23,DataSkill,N$4,DataYear,PreviousYear))+IF(OR(O$4="",PreviousYear=""),"",SUMIFS(DataRating,DataEmployee,L23,DataSkill,O$4,DataYear,PreviousYear))+IF(OR(P$4="",PreviousYear=""),"",SUMIFS(DataRating,DataEmployee,L23,DataSkill,P$4,DataYear,PreviousYear))+IF(OR(Q$4="",PreviousYear=""),"",SUMIFS(DataRating,DataEmployee,L23,DataSkill,Q$4,DataYear,PreviousYear))+IF(OR(R$4="",PreviousYear=""),"",SUMIFS(DataRating,DataEmployee,L23,DataSkill,R$4,DataYear,PreviousYear)))/MAX(1,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f>
        <v/>
      </c>
      <c r="O23">
        <f>IF(L23="","",IF(OR(M$4="",SUMIFS(DataRating,DataEmployee,L23,DataSkill,M$4,DataYear,LatestYear)=0),0,1)+IF(OR(N$4="",SUMIFS(DataRating,DataEmployee,L23,DataSkill,N$4,DataYear,LatestYear)=0),0,1)+IF(OR(O$4="",SUMIFS(DataRating,DataEmployee,L23,DataSkill,O$4,DataYear,LatestYear)=0),0,1)+IF(OR(P$4="",SUMIFS(DataRating,DataEmployee,L23,DataSkill,P$4,DataYear,LatestYear)=0),0,1)+IF(OR(Q$4="",SUMIFS(DataRating,DataEmployee,L23,DataSkill,Q$4,DataYear,LatestYear)=0),0,1)+IF(OR(R$4="",SUMIFS(DataRating,DataEmployee,L23,DataSkill,R$4,DataYear,LatestYear)=0),0,1)&amp;"/"&amp;COUNTA(M$4:R$4))</f>
        <v/>
      </c>
      <c r="P23">
        <f>IF(L23="","",IF(OR(M$4="",M$5=""),0,IF(SUMIFS(DataRating,DataEmployee,L23,DataSkill,M$4,DataYear,LatestYear)&gt;=M$5,1,0))+IF(OR(N$4="",N$5=""),0,IF(SUMIFS(DataRating,DataEmployee,L23,DataSkill,N$4,DataYear,LatestYear)&gt;=N$5,1,0))+IF(OR(O$4="",O$5=""),0,IF(SUMIFS(DataRating,DataEmployee,L23,DataSkill,O$4,DataYear,LatestYear)&gt;=O$5,1,0))+IF(OR(P$4="",P$5=""),0,IF(SUMIFS(DataRating,DataEmployee,L23,DataSkill,P$4,DataYear,LatestYear)&gt;=P$5,1,0))+IF(OR(Q$4="",Q$5=""),0,IF(SUMIFS(DataRating,DataEmployee,L23,DataSkill,Q$4,DataYear,LatestYear)&gt;=Q$5,1,0))+IF(OR(R$4="",R$5=""),0,IF(SUMIFS(DataRating,DataEmployee,L23,DataSkill,R$4,DataYear,LatestYear)&gt;=R$5,1,0))&amp;"/"&amp;COUNT(M$5:R$5))</f>
        <v/>
      </c>
      <c r="Q23">
        <f>IF(OR(L23="",M23=""),"",RANK(M23,$M$8:$M$23,0)+COUNTIF($M$8:M23,M23)-1)</f>
        <v/>
      </c>
      <c r="S23">
        <f>IFERROR(INDEX($L$8:$L$23,MATCH(16,$Q$8:$Q$23,0)),"")</f>
        <v/>
      </c>
      <c r="T23" s="129">
        <f>IFERROR(INDEX($M$8:$M$23,MATCH(16,$Q$8:$Q$23,0)),"")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Skill Matrix</dc:creator>
  <dc:title>Employee Skill Matrix</dc:title>
  <dc:description>Rate skills 1–5 across multiple years, add years/skills/people later, and explore a person or a job profile on the dashboard.</dc:description>
  <dcterms:created xsi:type="dcterms:W3CDTF">2026-08-14T11:32:25Z</dcterms:created>
  <dcterms:modified xsi:type="dcterms:W3CDTF">2026-08-14T11:32:25Z</dcterms:modified>
</cp:coreProperties>
</file>