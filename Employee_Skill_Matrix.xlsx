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comments/comment2.xml" ContentType="application/vnd.openxmlformats-officedocument.spreadsheetml.comments+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Skill Matrix" sheetId="2" state="visible" r:id="rId2"/>
    <sheet name="Dashboard" sheetId="3" state="visible" r:id="rId3"/>
    <sheet name="Employees" sheetId="4" state="visible" r:id="rId4"/>
    <sheet name="Skills" sheetId="5" state="visible" r:id="rId5"/>
    <sheet name="Settings" sheetId="6" state="visible" r:id="rId6"/>
    <sheet name="Data" sheetId="7" state="hidden" r:id="rId7"/>
  </sheets>
  <definedNames>
    <definedName name="ThisYear">'Settings'!$B$6</definedName>
    <definedName name="LastYear">'Settings'!$B$7</definedName>
    <definedName name="MinRating">'Settings'!$B$8</definedName>
    <definedName name="MaxRating">'Settings'!$B$9</definedName>
    <definedName name="TargetRating">'Settings'!$B$10</definedName>
    <definedName name="DataLastYear">'Data'!$E$2:$E$257</definedName>
    <definedName name="DataThisYear">'Data'!$F$2:$F$257</definedName>
    <definedName name="DataSkill">'Data'!$C$2:$C$257</definedName>
    <definedName name="DataEmployee">'Data'!$A$2:$A$257</definedName>
    <definedName name="DataChange">'Data'!$G$2:$G$257</definedName>
    <definedName name="_xlnm.Print_Titles" localSheetId="1">'Skill Matrix'!$1:$5,'Skill Matrix'!$A:$B</definedName>
  </definedNames>
  <calcPr calcId="124519" fullCalcOnLoad="1"/>
</workbook>
</file>

<file path=xl/styles.xml><?xml version="1.0" encoding="utf-8"?>
<styleSheet xmlns="http://schemas.openxmlformats.org/spreadsheetml/2006/main">
  <numFmts count="2">
    <numFmt numFmtId="164" formatCode="+0;-0;0"/>
    <numFmt numFmtId="165" formatCode="+0.00;-0.00;0.00"/>
  </numFmts>
  <fonts count="25">
    <font>
      <name val="Calibri"/>
      <family val="2"/>
      <color theme="1"/>
      <sz val="11"/>
      <scheme val="minor"/>
    </font>
    <font>
      <name val="Calibri"/>
      <b val="1"/>
      <color rgb="00FFFFFF"/>
      <sz val="11"/>
      <u val="single"/>
    </font>
    <font>
      <name val="Calibri"/>
      <color rgb="00FFFFFF"/>
      <sz val="11"/>
      <u val="single"/>
    </font>
    <font>
      <name val="Calibri"/>
      <b val="1"/>
      <color rgb="001B365D"/>
      <sz val="22"/>
    </font>
    <font>
      <name val="Calibri"/>
      <color rgb="005E6C7A"/>
      <sz val="12"/>
    </font>
    <font>
      <name val="Calibri"/>
      <b val="1"/>
      <color rgb="00FFFFFF"/>
      <sz val="13"/>
    </font>
    <font>
      <name val="Calibri"/>
      <color rgb="001F2933"/>
      <sz val="11"/>
    </font>
    <font>
      <name val="Calibri"/>
      <b val="1"/>
      <color rgb="001B365D"/>
      <sz val="14"/>
    </font>
    <font>
      <name val="Calibri"/>
      <b val="1"/>
      <color rgb="001F2933"/>
      <sz val="12"/>
    </font>
    <font>
      <name val="Calibri"/>
      <color rgb="001F2933"/>
      <sz val="10"/>
    </font>
    <font>
      <name val="Calibri"/>
      <color rgb="005E6C7A"/>
      <sz val="11"/>
    </font>
    <font>
      <name val="Calibri"/>
      <i val="1"/>
      <color rgb="005E6C7A"/>
      <sz val="11"/>
    </font>
    <font>
      <name val="Calibri"/>
      <b val="1"/>
      <color rgb="00FFFFFF"/>
      <sz val="12"/>
    </font>
    <font>
      <name val="Calibri"/>
      <b val="1"/>
      <color rgb="00FFFFFF"/>
      <sz val="9"/>
    </font>
    <font>
      <name val="Calibri"/>
      <b val="1"/>
      <color rgb="001B365D"/>
      <sz val="11"/>
    </font>
    <font>
      <name val="Calibri"/>
      <b val="1"/>
      <color rgb="00FFFFFF"/>
      <sz val="10"/>
    </font>
    <font>
      <name val="Calibri"/>
      <b val="1"/>
      <color rgb="001F2933"/>
      <sz val="11"/>
    </font>
    <font>
      <name val="Calibri"/>
      <b val="1"/>
      <color rgb="001B365D"/>
      <sz val="12"/>
    </font>
    <font>
      <name val="Calibri"/>
      <b val="1"/>
      <color rgb="001F2933"/>
      <sz val="10"/>
    </font>
    <font>
      <name val="Calibri"/>
      <i val="1"/>
      <color rgb="005E6C7A"/>
      <sz val="10"/>
    </font>
    <font>
      <name val="Calibri"/>
      <b val="1"/>
      <color rgb="00FFFFFF"/>
      <sz val="26"/>
    </font>
    <font>
      <name val="Calibri"/>
      <b val="1"/>
      <color rgb="001B365D"/>
      <sz val="26"/>
    </font>
    <font>
      <name val="Calibri"/>
      <b val="1"/>
      <color rgb="00FFFFFF"/>
      <sz val="11"/>
    </font>
    <font>
      <name val="Calibri"/>
      <b val="1"/>
      <color rgb="000E7C7B"/>
      <sz val="14"/>
    </font>
    <font>
      <name val="Calibri"/>
      <b val="1"/>
      <color rgb="001F2933"/>
      <sz val="16"/>
    </font>
  </fonts>
  <fills count="20">
    <fill>
      <patternFill/>
    </fill>
    <fill>
      <patternFill patternType="gray125"/>
    </fill>
    <fill>
      <patternFill patternType="solid">
        <fgColor rgb="000E7C7B"/>
      </patternFill>
    </fill>
    <fill>
      <patternFill patternType="solid">
        <fgColor rgb="001B365D"/>
      </patternFill>
    </fill>
    <fill>
      <patternFill patternType="solid">
        <fgColor rgb="00F4F6F8"/>
      </patternFill>
    </fill>
    <fill>
      <patternFill patternType="solid">
        <fgColor rgb="003D5A80"/>
      </patternFill>
    </fill>
    <fill>
      <patternFill patternType="solid">
        <fgColor rgb="00C4A35A"/>
      </patternFill>
    </fill>
    <fill>
      <patternFill patternType="solid">
        <fgColor rgb="00F5D0D0"/>
      </patternFill>
    </fill>
    <fill>
      <patternFill patternType="solid">
        <fgColor rgb="00FAD9C4"/>
      </patternFill>
    </fill>
    <fill>
      <patternFill patternType="solid">
        <fgColor rgb="00FBF3D0"/>
      </patternFill>
    </fill>
    <fill>
      <patternFill patternType="solid">
        <fgColor rgb="00D4EDDA"/>
      </patternFill>
    </fill>
    <fill>
      <patternFill patternType="solid">
        <fgColor rgb="00A8D5BA"/>
      </patternFill>
    </fill>
    <fill>
      <patternFill patternType="solid">
        <fgColor rgb="005B8FB9"/>
      </patternFill>
    </fill>
    <fill>
      <patternFill patternType="solid">
        <fgColor rgb="008A8178"/>
      </patternFill>
    </fill>
    <fill>
      <patternFill patternType="solid">
        <fgColor rgb="00FFFFFF"/>
      </patternFill>
    </fill>
    <fill>
      <patternFill patternType="solid">
        <fgColor rgb="00E8F1FA"/>
      </patternFill>
    </fill>
    <fill>
      <patternFill patternType="solid">
        <fgColor rgb="00E6F6F1"/>
      </patternFill>
    </fill>
    <fill>
      <patternFill patternType="solid">
        <fgColor rgb="00F7F5F2"/>
      </patternFill>
    </fill>
    <fill>
      <patternFill patternType="solid">
        <fgColor rgb="00FFF8E7"/>
      </patternFill>
    </fill>
    <fill>
      <patternFill patternType="solid">
        <fgColor rgb="00B42318"/>
      </patternFill>
    </fill>
  </fills>
  <borders count="12">
    <border>
      <left/>
      <right/>
      <top/>
      <bottom/>
      <diagonal/>
    </border>
    <border>
      <left style="thin">
        <color rgb="000A3A5C"/>
      </left>
      <right style="thin">
        <color rgb="000A3A5C"/>
      </right>
      <top style="thin">
        <color rgb="000A3A5C"/>
      </top>
      <bottom style="thin">
        <color rgb="000A3A5C"/>
      </bottom>
    </border>
    <border>
      <left style="thin">
        <color rgb="00D0D7DE"/>
      </left>
      <right style="thin">
        <color rgb="00D0D7DE"/>
      </right>
      <top style="thin">
        <color rgb="00D0D7DE"/>
      </top>
      <bottom/>
    </border>
    <border>
      <left style="thin">
        <color rgb="00D0D7DE"/>
      </left>
      <right style="thin">
        <color rgb="00D0D7DE"/>
      </right>
      <top/>
      <bottom/>
    </border>
    <border>
      <left style="thin">
        <color rgb="00D0D7DE"/>
      </left>
      <right style="thin">
        <color rgb="00D0D7DE"/>
      </right>
      <top/>
      <bottom style="thin">
        <color rgb="00D0D7DE"/>
      </bottom>
    </border>
    <border>
      <left style="thin">
        <color rgb="00D0D7DE"/>
      </left>
      <right style="thin">
        <color rgb="00D0D7DE"/>
      </right>
      <top style="thin">
        <color rgb="00D0D7DE"/>
      </top>
      <bottom style="thin">
        <color rgb="00D0D7DE"/>
      </bottom>
    </border>
    <border>
      <left style="thin">
        <color rgb="00FFFFFF"/>
      </left>
      <right style="thin">
        <color rgb="00FFFFFF"/>
      </right>
      <top style="thin">
        <color rgb="00FFFFFF"/>
      </top>
      <bottom style="thin">
        <color rgb="00FFFFFF"/>
      </bottom>
    </border>
    <border>
      <left style="medium">
        <color rgb="001B365D"/>
      </left>
      <right style="medium">
        <color rgb="001B365D"/>
      </right>
      <top style="medium">
        <color rgb="001B365D"/>
      </top>
      <bottom style="medium">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s>
  <cellStyleXfs count="1">
    <xf numFmtId="0" fontId="0" fillId="0" borderId="0"/>
  </cellStyleXfs>
  <cellXfs count="110">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0" fillId="3" borderId="0" pivotButton="0" quotePrefix="0" xfId="0"/>
    <xf numFmtId="0" fontId="3" fillId="0" borderId="0" applyAlignment="1" pivotButton="0" quotePrefix="0" xfId="0">
      <alignment horizontal="left" vertical="center"/>
    </xf>
    <xf numFmtId="0" fontId="4" fillId="0" borderId="0" applyAlignment="1" pivotButton="0" quotePrefix="0" xfId="0">
      <alignment horizontal="left" vertical="center" wrapText="1"/>
    </xf>
    <xf numFmtId="0" fontId="5" fillId="3" borderId="0" applyAlignment="1" pivotButton="0" quotePrefix="0" xfId="0">
      <alignment horizontal="left" vertical="center"/>
    </xf>
    <xf numFmtId="0" fontId="5" fillId="2" borderId="0" applyAlignment="1" pivotButton="0" quotePrefix="0" xfId="0">
      <alignment horizontal="left" vertical="center"/>
    </xf>
    <xf numFmtId="0" fontId="0" fillId="2" borderId="0" pivotButton="0" quotePrefix="0" xfId="0"/>
    <xf numFmtId="0" fontId="6" fillId="4" borderId="2" applyAlignment="1" pivotButton="0" quotePrefix="0" xfId="0">
      <alignment horizontal="left" vertical="top" wrapText="1"/>
    </xf>
    <xf numFmtId="0" fontId="0" fillId="4" borderId="2" pivotButton="0" quotePrefix="0" xfId="0"/>
    <xf numFmtId="0" fontId="0" fillId="4" borderId="3" pivotButton="0" quotePrefix="0" xfId="0"/>
    <xf numFmtId="0" fontId="0" fillId="4" borderId="4" pivotButton="0" quotePrefix="0" xfId="0"/>
    <xf numFmtId="0" fontId="5" fillId="5" borderId="0" applyAlignment="1" pivotButton="0" quotePrefix="0" xfId="0">
      <alignment horizontal="left" vertical="center"/>
    </xf>
    <xf numFmtId="0" fontId="0" fillId="5" borderId="0" pivotButton="0" quotePrefix="0" xfId="0"/>
    <xf numFmtId="0" fontId="5" fillId="6" borderId="0" applyAlignment="1" pivotButton="0" quotePrefix="0" xfId="0">
      <alignment horizontal="left" vertical="center"/>
    </xf>
    <xf numFmtId="0" fontId="0" fillId="6" borderId="0" pivotButton="0" quotePrefix="0" xfId="0"/>
    <xf numFmtId="0" fontId="7" fillId="0" borderId="0" pivotButton="0" quotePrefix="0" xfId="0"/>
    <xf numFmtId="0" fontId="8" fillId="7" borderId="5" applyAlignment="1" pivotButton="0" quotePrefix="0" xfId="0">
      <alignment horizontal="center" vertical="center"/>
    </xf>
    <xf numFmtId="0" fontId="0" fillId="7" borderId="5" pivotButton="0" quotePrefix="0" xfId="0"/>
    <xf numFmtId="0" fontId="8" fillId="8" borderId="5" applyAlignment="1" pivotButton="0" quotePrefix="0" xfId="0">
      <alignment horizontal="center" vertical="center"/>
    </xf>
    <xf numFmtId="0" fontId="0" fillId="8" borderId="5" pivotButton="0" quotePrefix="0" xfId="0"/>
    <xf numFmtId="0" fontId="8" fillId="9" borderId="5" applyAlignment="1" pivotButton="0" quotePrefix="0" xfId="0">
      <alignment horizontal="center" vertical="center"/>
    </xf>
    <xf numFmtId="0" fontId="0" fillId="9" borderId="5" pivotButton="0" quotePrefix="0" xfId="0"/>
    <xf numFmtId="0" fontId="8" fillId="10" borderId="5" applyAlignment="1" pivotButton="0" quotePrefix="0" xfId="0">
      <alignment horizontal="center" vertical="center"/>
    </xf>
    <xf numFmtId="0" fontId="0" fillId="10" borderId="5" pivotButton="0" quotePrefix="0" xfId="0"/>
    <xf numFmtId="0" fontId="8" fillId="11" borderId="5" applyAlignment="1" pivotButton="0" quotePrefix="0" xfId="0">
      <alignment horizontal="center" vertical="center"/>
    </xf>
    <xf numFmtId="0" fontId="0" fillId="11" borderId="5" pivotButton="0" quotePrefix="0" xfId="0"/>
    <xf numFmtId="0" fontId="9" fillId="7" borderId="5" applyAlignment="1" pivotButton="0" quotePrefix="0" xfId="0">
      <alignment horizontal="center" vertical="top" wrapText="1"/>
    </xf>
    <xf numFmtId="0" fontId="9" fillId="8" borderId="5" applyAlignment="1" pivotButton="0" quotePrefix="0" xfId="0">
      <alignment horizontal="center" vertical="top" wrapText="1"/>
    </xf>
    <xf numFmtId="0" fontId="9" fillId="9" borderId="5" applyAlignment="1" pivotButton="0" quotePrefix="0" xfId="0">
      <alignment horizontal="center" vertical="top" wrapText="1"/>
    </xf>
    <xf numFmtId="0" fontId="9" fillId="10" borderId="5" applyAlignment="1" pivotButton="0" quotePrefix="0" xfId="0">
      <alignment horizontal="center" vertical="top" wrapText="1"/>
    </xf>
    <xf numFmtId="0" fontId="9" fillId="11" borderId="5" applyAlignment="1" pivotButton="0" quotePrefix="0" xfId="0">
      <alignment horizontal="center" vertical="top" wrapText="1"/>
    </xf>
    <xf numFmtId="0" fontId="10"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3" borderId="5" applyAlignment="1" pivotButton="0" quotePrefix="0" xfId="0">
      <alignment horizontal="center" vertical="center" wrapText="1"/>
    </xf>
    <xf numFmtId="0" fontId="13" fillId="2" borderId="5" applyAlignment="1" pivotButton="0" quotePrefix="0" xfId="0">
      <alignment horizontal="center" vertical="center"/>
    </xf>
    <xf numFmtId="0" fontId="0" fillId="2" borderId="5" pivotButton="0" quotePrefix="0" xfId="0"/>
    <xf numFmtId="0" fontId="0" fillId="3" borderId="5" pivotButton="0" quotePrefix="0" xfId="0"/>
    <xf numFmtId="0" fontId="14" fillId="4" borderId="5" applyAlignment="1" pivotButton="0" quotePrefix="0" xfId="0">
      <alignment horizontal="center" vertical="center" wrapText="1"/>
    </xf>
    <xf numFmtId="0" fontId="0" fillId="4" borderId="5" pivotButton="0" quotePrefix="0" xfId="0"/>
    <xf numFmtId="0" fontId="15" fillId="12" borderId="5" applyAlignment="1" pivotButton="0" quotePrefix="0" xfId="0">
      <alignment horizontal="center" vertical="center"/>
    </xf>
    <xf numFmtId="0" fontId="15" fillId="2" borderId="5" applyAlignment="1" pivotButton="0" quotePrefix="0" xfId="0">
      <alignment horizontal="center" vertical="center"/>
    </xf>
    <xf numFmtId="0" fontId="15" fillId="13" borderId="5" applyAlignment="1" pivotButton="0" quotePrefix="0" xfId="0">
      <alignment horizontal="center" vertical="center"/>
    </xf>
    <xf numFmtId="0" fontId="16" fillId="14" borderId="5" applyAlignment="1" pivotButton="0" quotePrefix="0" xfId="0">
      <alignment horizontal="left" vertical="center"/>
    </xf>
    <xf numFmtId="0" fontId="10" fillId="14" borderId="5" applyAlignment="1" pivotButton="0" quotePrefix="0" xfId="0">
      <alignment horizontal="left" vertical="center"/>
    </xf>
    <xf numFmtId="0" fontId="8" fillId="15" borderId="5" applyAlignment="1" pivotButton="0" quotePrefix="0" xfId="0">
      <alignment horizontal="center" vertical="center"/>
    </xf>
    <xf numFmtId="0" fontId="8" fillId="16" borderId="5" applyAlignment="1" pivotButton="0" quotePrefix="0" xfId="0">
      <alignment horizontal="center" vertical="center"/>
    </xf>
    <xf numFmtId="164" fontId="6" fillId="17" borderId="5" applyAlignment="1" pivotButton="0" quotePrefix="0" xfId="0">
      <alignment horizontal="center" vertical="center"/>
    </xf>
    <xf numFmtId="0" fontId="17" fillId="0" borderId="0" pivotButton="0" quotePrefix="0" xfId="0"/>
    <xf numFmtId="0" fontId="18" fillId="7" borderId="5" applyAlignment="1" pivotButton="0" quotePrefix="0" xfId="0">
      <alignment horizontal="center" vertical="center"/>
    </xf>
    <xf numFmtId="0" fontId="18" fillId="8" borderId="5" applyAlignment="1" pivotButton="0" quotePrefix="0" xfId="0">
      <alignment horizontal="center" vertical="center"/>
    </xf>
    <xf numFmtId="0" fontId="18" fillId="9" borderId="5" applyAlignment="1" pivotButton="0" quotePrefix="0" xfId="0">
      <alignment horizontal="center" vertical="center"/>
    </xf>
    <xf numFmtId="0" fontId="18" fillId="10" borderId="5" applyAlignment="1" pivotButton="0" quotePrefix="0" xfId="0">
      <alignment horizontal="center" vertical="center"/>
    </xf>
    <xf numFmtId="0" fontId="18" fillId="11" borderId="5" applyAlignment="1" pivotButton="0" quotePrefix="0" xfId="0">
      <alignment horizontal="center" vertical="center"/>
    </xf>
    <xf numFmtId="0" fontId="19" fillId="0" borderId="0" applyAlignment="1" pivotButton="0" quotePrefix="0" xfId="0">
      <alignment horizontal="left" vertical="center" wrapText="1"/>
    </xf>
    <xf numFmtId="0" fontId="11" fillId="0" borderId="0" pivotButton="0" quotePrefix="0" xfId="0"/>
    <xf numFmtId="0" fontId="15" fillId="2" borderId="6" applyAlignment="1" pivotButton="0" quotePrefix="0" xfId="0">
      <alignment horizontal="center" vertical="center"/>
    </xf>
    <xf numFmtId="0" fontId="0" fillId="2" borderId="6" pivotButton="0" quotePrefix="0" xfId="0"/>
    <xf numFmtId="0" fontId="15" fillId="12" borderId="6" applyAlignment="1" pivotButton="0" quotePrefix="0" xfId="0">
      <alignment horizontal="center" vertical="center"/>
    </xf>
    <xf numFmtId="0" fontId="0" fillId="12" borderId="6" pivotButton="0" quotePrefix="0" xfId="0"/>
    <xf numFmtId="0" fontId="15" fillId="6" borderId="6" applyAlignment="1" pivotButton="0" quotePrefix="0" xfId="0">
      <alignment horizontal="center" vertical="center"/>
    </xf>
    <xf numFmtId="0" fontId="0" fillId="6" borderId="6" pivotButton="0" quotePrefix="0" xfId="0"/>
    <xf numFmtId="0" fontId="15" fillId="19" borderId="6" applyAlignment="1" pivotButton="0" quotePrefix="0" xfId="0">
      <alignment horizontal="center" vertical="center"/>
    </xf>
    <xf numFmtId="0" fontId="0" fillId="19" borderId="6" pivotButton="0" quotePrefix="0" xfId="0"/>
    <xf numFmtId="0" fontId="15" fillId="3" borderId="6" applyAlignment="1" pivotButton="0" quotePrefix="0" xfId="0">
      <alignment horizontal="center" vertical="center"/>
    </xf>
    <xf numFmtId="0" fontId="0" fillId="3" borderId="6" pivotButton="0" quotePrefix="0" xfId="0"/>
    <xf numFmtId="2" fontId="20" fillId="2" borderId="6" applyAlignment="1" pivotButton="0" quotePrefix="0" xfId="0">
      <alignment horizontal="center" vertical="center"/>
    </xf>
    <xf numFmtId="2" fontId="20" fillId="12" borderId="6" applyAlignment="1" pivotButton="0" quotePrefix="0" xfId="0">
      <alignment horizontal="center" vertical="center"/>
    </xf>
    <xf numFmtId="165" fontId="21" fillId="18" borderId="6" applyAlignment="1" pivotButton="0" quotePrefix="0" xfId="0">
      <alignment horizontal="center" vertical="center"/>
    </xf>
    <xf numFmtId="0" fontId="0" fillId="18" borderId="6" pivotButton="0" quotePrefix="0" xfId="0"/>
    <xf numFmtId="1" fontId="20" fillId="19" borderId="6" applyAlignment="1" pivotButton="0" quotePrefix="0" xfId="0">
      <alignment horizontal="center" vertical="center"/>
    </xf>
    <xf numFmtId="1" fontId="20" fillId="3" borderId="6" applyAlignment="1" pivotButton="0" quotePrefix="0" xfId="0">
      <alignment horizontal="center" vertical="center"/>
    </xf>
    <xf numFmtId="0" fontId="15" fillId="3" borderId="5" applyAlignment="1" pivotButton="0" quotePrefix="0" xfId="0">
      <alignment horizontal="center" vertical="center" wrapText="1"/>
    </xf>
    <xf numFmtId="0" fontId="6" fillId="0" borderId="5" applyAlignment="1" pivotButton="0" quotePrefix="0" xfId="0">
      <alignment horizontal="left" vertical="center"/>
    </xf>
    <xf numFmtId="2" fontId="6" fillId="0" borderId="5" applyAlignment="1" pivotButton="0" quotePrefix="0" xfId="0">
      <alignment horizontal="center" vertical="center"/>
    </xf>
    <xf numFmtId="165" fontId="6" fillId="0" borderId="5" applyAlignment="1" pivotButton="0" quotePrefix="0" xfId="0">
      <alignment horizontal="center" vertical="center"/>
    </xf>
    <xf numFmtId="0" fontId="6" fillId="0" borderId="5" applyAlignment="1" pivotButton="0" quotePrefix="0" xfId="0">
      <alignment horizontal="center" vertical="center"/>
    </xf>
    <xf numFmtId="0" fontId="15" fillId="3" borderId="5" applyAlignment="1" pivotButton="0" quotePrefix="0" xfId="0">
      <alignment horizontal="center" vertical="center"/>
    </xf>
    <xf numFmtId="0" fontId="0" fillId="0" borderId="5" applyAlignment="1" pivotButton="0" quotePrefix="0" xfId="0">
      <alignment horizontal="center" vertical="center"/>
    </xf>
    <xf numFmtId="0" fontId="22" fillId="3" borderId="0" applyAlignment="1" pivotButton="0" quotePrefix="0" xfId="0">
      <alignment horizontal="center" vertical="center"/>
    </xf>
    <xf numFmtId="0" fontId="6" fillId="18" borderId="5" applyAlignment="1" pivotButton="0" quotePrefix="0" xfId="0">
      <alignment horizontal="center" vertical="center"/>
    </xf>
    <xf numFmtId="0" fontId="6" fillId="18" borderId="5" applyAlignment="1" pivotButton="0" quotePrefix="0" xfId="0">
      <alignment horizontal="left" vertical="center"/>
    </xf>
    <xf numFmtId="0" fontId="6" fillId="0" borderId="5" applyAlignment="1" pivotButton="0" quotePrefix="0" xfId="0">
      <alignment horizontal="center" vertical="center" wrapText="1"/>
    </xf>
    <xf numFmtId="0" fontId="6" fillId="0" borderId="5" applyAlignment="1" pivotButton="0" quotePrefix="0" xfId="0">
      <alignment horizontal="left" vertical="center" wrapText="1"/>
    </xf>
    <xf numFmtId="0" fontId="6" fillId="18" borderId="5" applyAlignment="1" pivotButton="0" quotePrefix="0" xfId="0">
      <alignment horizontal="center" vertical="center" wrapText="1"/>
    </xf>
    <xf numFmtId="0" fontId="6" fillId="18" borderId="5" applyAlignment="1" pivotButton="0" quotePrefix="0" xfId="0">
      <alignment horizontal="left" vertical="center" wrapText="1"/>
    </xf>
    <xf numFmtId="0" fontId="16" fillId="4" borderId="5" pivotButton="0" quotePrefix="0" xfId="0"/>
    <xf numFmtId="0" fontId="23" fillId="18" borderId="7" applyAlignment="1" pivotButton="0" quotePrefix="0" xfId="0">
      <alignment horizontal="center" vertical="center"/>
    </xf>
    <xf numFmtId="0" fontId="10" fillId="0" borderId="5" pivotButton="0" quotePrefix="0" xfId="0"/>
    <xf numFmtId="0" fontId="0" fillId="0" borderId="10" pivotButton="0" quotePrefix="0" xfId="0"/>
    <xf numFmtId="0" fontId="0" fillId="0" borderId="11" pivotButton="0" quotePrefix="0" xfId="0"/>
    <xf numFmtId="0" fontId="22" fillId="3" borderId="5" applyAlignment="1" pivotButton="0" quotePrefix="0" xfId="0">
      <alignment horizontal="center" vertical="center"/>
    </xf>
    <xf numFmtId="0" fontId="24" fillId="7" borderId="5" applyAlignment="1" pivotButton="0" quotePrefix="0" xfId="0">
      <alignment horizontal="center" vertical="center"/>
    </xf>
    <xf numFmtId="0" fontId="8" fillId="7" borderId="5" pivotButton="0" quotePrefix="0" xfId="0"/>
    <xf numFmtId="0" fontId="6" fillId="7" borderId="5" applyAlignment="1" pivotButton="0" quotePrefix="0" xfId="0">
      <alignment horizontal="left" vertical="center" wrapText="1"/>
    </xf>
    <xf numFmtId="0" fontId="24" fillId="8" borderId="5" applyAlignment="1" pivotButton="0" quotePrefix="0" xfId="0">
      <alignment horizontal="center" vertical="center"/>
    </xf>
    <xf numFmtId="0" fontId="8" fillId="8" borderId="5" pivotButton="0" quotePrefix="0" xfId="0"/>
    <xf numFmtId="0" fontId="6" fillId="8" borderId="5" applyAlignment="1" pivotButton="0" quotePrefix="0" xfId="0">
      <alignment horizontal="left" vertical="center" wrapText="1"/>
    </xf>
    <xf numFmtId="0" fontId="24" fillId="9" borderId="5" applyAlignment="1" pivotButton="0" quotePrefix="0" xfId="0">
      <alignment horizontal="center" vertical="center"/>
    </xf>
    <xf numFmtId="0" fontId="8" fillId="9" borderId="5" pivotButton="0" quotePrefix="0" xfId="0"/>
    <xf numFmtId="0" fontId="6" fillId="9" borderId="5" applyAlignment="1" pivotButton="0" quotePrefix="0" xfId="0">
      <alignment horizontal="left" vertical="center" wrapText="1"/>
    </xf>
    <xf numFmtId="0" fontId="24" fillId="10" borderId="5" applyAlignment="1" pivotButton="0" quotePrefix="0" xfId="0">
      <alignment horizontal="center" vertical="center"/>
    </xf>
    <xf numFmtId="0" fontId="8" fillId="10" borderId="5" pivotButton="0" quotePrefix="0" xfId="0"/>
    <xf numFmtId="0" fontId="6" fillId="10" borderId="5" applyAlignment="1" pivotButton="0" quotePrefix="0" xfId="0">
      <alignment horizontal="left" vertical="center" wrapText="1"/>
    </xf>
    <xf numFmtId="0" fontId="24" fillId="11" borderId="5" applyAlignment="1" pivotButton="0" quotePrefix="0" xfId="0">
      <alignment horizontal="center" vertical="center"/>
    </xf>
    <xf numFmtId="0" fontId="8" fillId="11" borderId="5" pivotButton="0" quotePrefix="0" xfId="0"/>
    <xf numFmtId="0" fontId="6" fillId="11" borderId="5" applyAlignment="1" pivotButton="0" quotePrefix="0" xfId="0">
      <alignment horizontal="left" vertical="center" wrapText="1"/>
    </xf>
    <xf numFmtId="0" fontId="6" fillId="0" borderId="0" applyAlignment="1" pivotButton="0" quotePrefix="0" xfId="0">
      <alignment horizontal="left" vertical="center" wrapText="1"/>
    </xf>
    <xf numFmtId="0" fontId="22" fillId="3" borderId="0" pivotButton="0" quotePrefix="0" xfId="0"/>
  </cellXfs>
  <cellStyles count="1">
    <cellStyle name="Normal" xfId="0" builtinId="0" hidden="0"/>
  </cellStyles>
  <dxfs count="16">
    <dxf>
      <font>
        <name val="Calibri"/>
        <b val="1"/>
        <color rgb="001F2933"/>
        <sz val="12"/>
      </font>
      <fill>
        <patternFill patternType="solid">
          <fgColor rgb="00F5D0D0"/>
        </patternFill>
      </fill>
    </dxf>
    <dxf>
      <font>
        <name val="Calibri"/>
        <b val="1"/>
        <color rgb="001F2933"/>
        <sz val="12"/>
      </font>
      <fill>
        <patternFill patternType="solid">
          <fgColor rgb="00FAD9C4"/>
        </patternFill>
      </fill>
    </dxf>
    <dxf>
      <font>
        <name val="Calibri"/>
        <b val="1"/>
        <color rgb="001F2933"/>
        <sz val="12"/>
      </font>
      <fill>
        <patternFill patternType="solid">
          <fgColor rgb="00FBF3D0"/>
        </patternFill>
      </fill>
    </dxf>
    <dxf>
      <font>
        <name val="Calibri"/>
        <b val="1"/>
        <color rgb="001F2933"/>
        <sz val="12"/>
      </font>
      <fill>
        <patternFill patternType="solid">
          <fgColor rgb="00D4EDDA"/>
        </patternFill>
      </fill>
    </dxf>
    <dxf>
      <font>
        <name val="Calibri"/>
        <b val="1"/>
        <color rgb="001F2933"/>
        <sz val="12"/>
      </font>
      <fill>
        <patternFill patternType="solid">
          <fgColor rgb="00A8D5BA"/>
        </patternFill>
      </fill>
    </dxf>
    <dxf>
      <font>
        <name val="Calibri"/>
        <b val="1"/>
        <color rgb="001E7A46"/>
        <sz val="11"/>
      </font>
      <fill>
        <patternFill patternType="solid">
          <fgColor rgb="00D4EDDA"/>
        </patternFill>
      </fill>
    </dxf>
    <dxf>
      <font>
        <name val="Calibri"/>
        <b val="1"/>
        <color rgb="00B42318"/>
        <sz val="11"/>
      </font>
      <fill>
        <patternFill patternType="solid">
          <fgColor rgb="00F8D7DA"/>
        </patternFill>
      </fill>
    </dxf>
    <dxf>
      <font>
        <name val="Calibri"/>
        <color rgb="005E6C7A"/>
        <sz val="11"/>
      </font>
      <fill>
        <patternFill patternType="solid">
          <fgColor rgb="00E9ECEF"/>
        </patternFill>
      </fill>
    </dxf>
    <dxf>
      <font>
        <name val="Calibri"/>
        <b val="1"/>
        <color rgb="00FFFFFF"/>
        <sz val="9"/>
      </font>
      <fill>
        <patternFill patternType="solid">
          <fgColor rgb="001B365D"/>
        </patternFill>
      </fill>
    </dxf>
    <dxf>
      <font>
        <name val="Calibri"/>
        <b val="1"/>
        <color rgb="00FFFFFF"/>
        <sz val="9"/>
      </font>
      <fill>
        <patternFill patternType="solid">
          <fgColor rgb="003D5A80"/>
        </patternFill>
      </fill>
    </dxf>
    <dxf>
      <font>
        <name val="Calibri"/>
        <b val="1"/>
        <color rgb="00FFFFFF"/>
        <sz val="9"/>
      </font>
      <fill>
        <patternFill patternType="solid">
          <fgColor rgb="000E7C7B"/>
        </patternFill>
      </fill>
    </dxf>
    <dxf>
      <font>
        <name val="Calibri"/>
        <b val="1"/>
        <color rgb="00FFFFFF"/>
        <sz val="9"/>
      </font>
      <fill>
        <patternFill patternType="solid">
          <fgColor rgb="006B5B95"/>
        </patternFill>
      </fill>
    </dxf>
    <dxf>
      <font>
        <name val="Calibri"/>
        <b val="1"/>
        <color rgb="00FFFFFF"/>
        <sz val="9"/>
      </font>
      <fill>
        <patternFill patternType="solid">
          <fgColor rgb="009AA5B1"/>
        </patternFill>
      </fill>
    </dxf>
    <dxf>
      <font>
        <name val="Calibri"/>
        <i val="1"/>
        <color rgb="005E6C7A"/>
        <sz val="10"/>
      </font>
      <fill>
        <patternFill patternType="solid">
          <fgColor rgb="00FFF8E7"/>
        </patternFill>
      </fill>
    </dxf>
    <dxf>
      <font>
        <name val="Calibri"/>
        <b val="1"/>
        <color rgb="001E7A46"/>
        <sz val="11"/>
      </font>
    </dxf>
    <dxf>
      <font>
        <name val="Calibri"/>
        <b val="1"/>
        <color rgb="00B42318"/>
        <sz val="11"/>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style val="10"/>
  <chart>
    <title>
      <tx>
        <rich>
          <a:bodyPr/>
          <a:p>
            <a:pPr>
              <a:defRPr/>
            </a:pPr>
            <a:r>
              <a:t>Average rating by skill</a:t>
            </a:r>
          </a:p>
        </rich>
      </tx>
    </title>
    <plotArea>
      <barChart>
        <barDir val="col"/>
        <grouping val="clustered"/>
        <ser>
          <idx val="0"/>
          <order val="0"/>
          <tx>
            <strRef>
              <f>'Dashboard'!C11</f>
            </strRef>
          </tx>
          <spPr>
            <a:solidFill>
              <a:srgbClr val="5B8FB9"/>
            </a:solidFill>
            <a:ln>
              <a:prstDash val="solid"/>
            </a:ln>
          </spPr>
          <cat>
            <numRef>
              <f>'Dashboard'!$A$12:$A$21</f>
            </numRef>
          </cat>
          <val>
            <numRef>
              <f>'Dashboard'!$C$12:$C$21</f>
            </numRef>
          </val>
        </ser>
        <ser>
          <idx val="1"/>
          <order val="1"/>
          <tx>
            <strRef>
              <f>'Dashboard'!D11</f>
            </strRef>
          </tx>
          <spPr>
            <a:solidFill>
              <a:srgbClr val="0E7C7B"/>
            </a:solidFill>
            <a:ln>
              <a:prstDash val="solid"/>
            </a:ln>
          </spPr>
          <cat>
            <numRef>
              <f>'Dashboard'!$A$12:$A$21</f>
            </numRef>
          </cat>
          <val>
            <numRef>
              <f>'Dashboard'!$D$12:$D$21</f>
            </numRef>
          </val>
        </ser>
        <gapWidth val="150"/>
        <axId val="10"/>
        <axId val="100"/>
      </barChart>
      <catAx>
        <axId val="10"/>
        <scaling>
          <orientation val="minMax"/>
        </scaling>
        <axPos val="l"/>
        <majorTickMark val="none"/>
        <minorTickMark val="none"/>
        <crossAx val="100"/>
        <lblOffset val="100"/>
      </catAx>
      <valAx>
        <axId val="100"/>
        <scaling>
          <orientation val="minMax"/>
          <max val="5"/>
          <min val="0"/>
        </scaling>
        <axPos val="l"/>
        <title>
          <tx>
            <rich>
              <a:bodyPr/>
              <a:p>
                <a:pPr>
                  <a:defRPr/>
                </a:pPr>
                <a:r>
                  <a:t>Average (1–5)</a:t>
                </a:r>
              </a:p>
            </rich>
          </tx>
        </title>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Average rating by employee</a:t>
            </a:r>
          </a:p>
        </rich>
      </tx>
    </title>
    <plotArea>
      <barChart>
        <barDir val="bar"/>
        <grouping val="clustered"/>
        <ser>
          <idx val="0"/>
          <order val="0"/>
          <tx>
            <strRef>
              <f>'Dashboard'!C31</f>
            </strRef>
          </tx>
          <spPr>
            <a:solidFill>
              <a:srgbClr val="5B8FB9"/>
            </a:solidFill>
            <a:ln>
              <a:prstDash val="solid"/>
            </a:ln>
          </spPr>
          <cat>
            <numRef>
              <f>'Dashboard'!$A$32:$A$39</f>
            </numRef>
          </cat>
          <val>
            <numRef>
              <f>'Dashboard'!$C$32:$C$39</f>
            </numRef>
          </val>
        </ser>
        <ser>
          <idx val="1"/>
          <order val="1"/>
          <tx>
            <strRef>
              <f>'Dashboard'!D31</f>
            </strRef>
          </tx>
          <spPr>
            <a:solidFill>
              <a:srgbClr val="0E7C7B"/>
            </a:solidFill>
            <a:ln>
              <a:prstDash val="solid"/>
            </a:ln>
          </spPr>
          <cat>
            <numRef>
              <f>'Dashboard'!$A$32:$A$39</f>
            </numRef>
          </cat>
          <val>
            <numRef>
              <f>'Dashboard'!$D$32:$D$39</f>
            </numRef>
          </val>
        </ser>
        <gapWidth val="150"/>
        <axId val="10"/>
        <axId val="100"/>
      </barChart>
      <catAx>
        <axId val="10"/>
        <scaling>
          <orientation val="minMax"/>
          <max val="5"/>
          <min val="0"/>
        </scaling>
        <axPos val="l"/>
        <title>
          <tx>
            <rich>
              <a:bodyPr/>
              <a:p>
                <a:pPr>
                  <a:defRPr/>
                </a:pPr>
                <a:r>
                  <a:t>Average (1–5)</a:t>
                </a:r>
              </a:p>
            </rich>
          </tx>
        </title>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Count of ratings 1–5</a:t>
            </a:r>
          </a:p>
        </rich>
      </tx>
    </title>
    <plotArea>
      <barChart>
        <barDir val="col"/>
        <grouping val="clustered"/>
        <ser>
          <idx val="0"/>
          <order val="0"/>
          <tx>
            <strRef>
              <f>'Dashboard'!B51</f>
            </strRef>
          </tx>
          <spPr>
            <a:solidFill>
              <a:srgbClr val="5B8FB9"/>
            </a:solidFill>
            <a:ln>
              <a:prstDash val="solid"/>
            </a:ln>
          </spPr>
          <cat>
            <numRef>
              <f>'Dashboard'!$A$52:$A$56</f>
            </numRef>
          </cat>
          <val>
            <numRef>
              <f>'Dashboard'!$B$52:$B$56</f>
            </numRef>
          </val>
        </ser>
        <ser>
          <idx val="1"/>
          <order val="1"/>
          <tx>
            <strRef>
              <f>'Dashboard'!C51</f>
            </strRef>
          </tx>
          <spPr>
            <a:solidFill>
              <a:srgbClr val="0E7C7B"/>
            </a:solidFill>
            <a:ln>
              <a:prstDash val="solid"/>
            </a:ln>
          </spPr>
          <cat>
            <numRef>
              <f>'Dashboard'!$A$52:$A$56</f>
            </numRef>
          </cat>
          <val>
            <numRef>
              <f>'Dashboard'!$C$52:$C$56</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b"/>
    </legend>
    <plotVisOnly val="1"/>
    <dispBlanksAs val="gap"/>
  </chart>
</chartSpace>
</file>

<file path=xl/comments/comment1.xml><?xml version="1.0" encoding="utf-8"?>
<comments xmlns="http://schemas.openxmlformats.org/spreadsheetml/2006/main">
  <authors>
    <author>Skill Matrix</author>
  </authors>
  <commentList>
    <comment ref="B14" authorId="0" shapeId="0">
      <text>
        <t>Type a new employee's full name here. They will appear on the Skill Matrix automatically.</t>
      </text>
    </comment>
  </commentList>
</comments>
</file>

<file path=xl/comments/comment2.xml><?xml version="1.0" encoding="utf-8"?>
<comments xmlns="http://schemas.openxmlformats.org/spreadsheetml/2006/main">
  <authors>
    <author>Skill Matrix</author>
  </authors>
  <commentList>
    <comment ref="B16" authorId="0" shapeId="0">
      <text>
        <t>Type a new skill name here. It becomes the next column group on the Skill Matrix.</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29</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49</row>
      <rowOff>0</rowOff>
    </from>
    <ext cx="4320000" cy="252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tblEmployees" displayName="tblEmployees" ref="A5:F21" headerRowCount="1">
  <autoFilter ref="A5:F21"/>
  <tableColumns count="6">
    <tableColumn id="1" name="Employee ID"/>
    <tableColumn id="2" name="Full Name"/>
    <tableColumn id="3" name="Department"/>
    <tableColumn id="4" name="Job Title"/>
    <tableColumn id="5" name="Manager"/>
    <tableColumn id="6" name="Status"/>
  </tableColumns>
  <tableStyleInfo name="TableStyleMedium2" showFirstColumn="0" showLastColumn="0" showRowStripes="1" showColumnStripes="0"/>
</table>
</file>

<file path=xl/tables/table2.xml><?xml version="1.0" encoding="utf-8"?>
<table xmlns="http://schemas.openxmlformats.org/spreadsheetml/2006/main" id="2" name="tblSkills" displayName="tblSkills" ref="A5:D21" headerRowCount="1">
  <autoFilter ref="A5:D21"/>
  <tableColumns count="4">
    <tableColumn id="1" name="Skill ID"/>
    <tableColumn id="2" name="Skill Name"/>
    <tableColumn id="3" name="Category"/>
    <tableColumn id="4"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Settings'!A1" TargetMode="External" Id="rId6" /></Relationships>
</file>

<file path=xl/worksheets/_rels/sheet2.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Settings'!A1" TargetMode="External" Id="rId6" /></Relationships>
</file>

<file path=xl/worksheets/_rels/sheet3.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Settings'!A1" TargetMode="External" Id="rId6" /><Relationship Type="http://schemas.openxmlformats.org/officeDocument/2006/relationships/drawing" Target="/xl/drawings/drawing1.xml" Id="rId7" /></Relationships>
</file>

<file path=xl/worksheets/_rels/sheet4.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Settings'!A1" TargetMode="External" Id="rId6" /><Relationship Type="http://schemas.openxmlformats.org/officeDocument/2006/relationships/table" Target="/xl/tables/table1.xml" Id="rId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Settings'!A1" TargetMode="External" Id="rId6" /><Relationship Type="http://schemas.openxmlformats.org/officeDocument/2006/relationships/table" Target="/xl/tables/table2.xml" Id="rId7"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ow to Use'!A1" TargetMode="External" Id="rId1" /><Relationship Type="http://schemas.openxmlformats.org/officeDocument/2006/relationships/hyperlink" Target="#'Skill Matrix'!A1" TargetMode="External" Id="rId2" /><Relationship Type="http://schemas.openxmlformats.org/officeDocument/2006/relationships/hyperlink" Target="#'Dashboard'!A1" TargetMode="External" Id="rId3" /><Relationship Type="http://schemas.openxmlformats.org/officeDocument/2006/relationships/hyperlink" Target="#'Employees'!A1" TargetMode="External" Id="rId4" /><Relationship Type="http://schemas.openxmlformats.org/officeDocument/2006/relationships/hyperlink" Target="#'Skills'!A1" TargetMode="External" Id="rId5" /><Relationship Type="http://schemas.openxmlformats.org/officeDocument/2006/relationships/hyperlink" Target="#'Settings'!A1" TargetMode="External" Id="rId6" /></Relationships>
</file>

<file path=xl/worksheets/sheet1.xml><?xml version="1.0" encoding="utf-8"?>
<worksheet xmlns="http://schemas.openxmlformats.org/spreadsheetml/2006/main">
  <sheetPr>
    <tabColor rgb="000E7C7B"/>
    <outlinePr summaryBelow="1" summaryRight="1"/>
    <pageSetUpPr fitToPage="1"/>
  </sheetPr>
  <dimension ref="A1:L33"/>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ht="24" customHeight="1">
      <c r="A1" s="1" t="inlineStr">
        <is>
          <t>How to Use</t>
        </is>
      </c>
      <c r="B1" s="2" t="inlineStr">
        <is>
          <t>Skill Matrix</t>
        </is>
      </c>
      <c r="C1" s="2" t="inlineStr">
        <is>
          <t>Dashboard</t>
        </is>
      </c>
      <c r="D1" s="2" t="inlineStr">
        <is>
          <t>Employees</t>
        </is>
      </c>
      <c r="E1" s="2" t="inlineStr">
        <is>
          <t>Skills</t>
        </is>
      </c>
      <c r="F1" s="2" t="inlineStr">
        <is>
          <t>Settings</t>
        </is>
      </c>
      <c r="G1" s="3" t="inlineStr"/>
      <c r="H1" s="3" t="inlineStr"/>
      <c r="I1" s="3" t="inlineStr"/>
      <c r="J1" s="3" t="inlineStr"/>
      <c r="K1" s="3" t="inlineStr"/>
      <c r="L1" s="3" t="inlineStr"/>
    </row>
    <row r="2" ht="28" customHeight="1">
      <c r="A2" s="4" t="inlineStr">
        <is>
          <t>How to use this skill matrix</t>
        </is>
      </c>
    </row>
    <row r="3" ht="36" customHeight="1">
      <c r="A3" s="5" t="inlineStr">
        <is>
          <t>Rate each person’s skills from 1 to 5, compare last year with this year, and add new skills whenever the team grows. Sample people and ratings are included so you can see how it works — replace them with your team.</t>
        </is>
      </c>
    </row>
    <row r="5">
      <c r="A5" s="6" t="inlineStr">
        <is>
          <t>1. Rate skills (1–5)</t>
        </is>
      </c>
      <c r="B5" s="3" t="n"/>
      <c r="C5" s="3" t="n"/>
      <c r="D5" s="3" t="n"/>
      <c r="E5" s="3" t="n"/>
      <c r="F5" s="3" t="n"/>
      <c r="G5" s="7" t="inlineStr">
        <is>
          <t>2. Add a skill later</t>
        </is>
      </c>
      <c r="H5" s="8" t="n"/>
      <c r="I5" s="8" t="n"/>
      <c r="J5" s="8" t="n"/>
      <c r="K5" s="8" t="n"/>
      <c r="L5" s="8" t="n"/>
    </row>
    <row r="6" ht="20" customHeight="1">
      <c r="A6" s="9" t="inlineStr">
        <is>
          <t>Open the Skill Matrix sheet.
Each skill has three columns:
• Last year — what you recorded last cycle
• This year — the current rating
• Change — this year minus last year (automatic)
Type a whole number from 1 to 5. Cells color themselves:
1 beginner · 2 basic · 3 competent · 4 proficient · 5 expert
Green change = improved. Red change = declined.</t>
        </is>
      </c>
      <c r="B6" s="10" t="n"/>
      <c r="C6" s="10" t="n"/>
      <c r="D6" s="10" t="n"/>
      <c r="E6" s="10" t="n"/>
      <c r="F6" s="10" t="n"/>
      <c r="G6" s="9" t="inlineStr">
        <is>
          <t>Open the Skills sheet.
In the next yellow row, enter:
• Skill name (required) — this becomes a new column group
• Category (optional) — Technical, Tools, Soft Skills, or Domain
• Description (optional)
Go back to Skill Matrix. The next placeholder columns will show the new skill name.
Enter last-year and this-year ratings for each employee. The dashboard updates by itself.
16 skill slots are ready. If you fill them all, see “Need more slots?” below.</t>
        </is>
      </c>
      <c r="H6" s="10" t="n"/>
      <c r="I6" s="10" t="n"/>
      <c r="J6" s="10" t="n"/>
      <c r="K6" s="10" t="n"/>
      <c r="L6" s="10" t="n"/>
    </row>
    <row r="7">
      <c r="A7" s="11" t="n"/>
      <c r="B7" s="11" t="n"/>
      <c r="C7" s="11" t="n"/>
      <c r="D7" s="11" t="n"/>
      <c r="E7" s="11" t="n"/>
      <c r="F7" s="11" t="n"/>
      <c r="G7" s="11" t="n"/>
      <c r="H7" s="11" t="n"/>
      <c r="I7" s="11" t="n"/>
      <c r="J7" s="11" t="n"/>
      <c r="K7" s="11" t="n"/>
      <c r="L7" s="11" t="n"/>
    </row>
    <row r="8">
      <c r="A8" s="11" t="n"/>
      <c r="B8" s="11" t="n"/>
      <c r="C8" s="11" t="n"/>
      <c r="D8" s="11" t="n"/>
      <c r="E8" s="11" t="n"/>
      <c r="F8" s="11" t="n"/>
      <c r="G8" s="11" t="n"/>
      <c r="H8" s="11" t="n"/>
      <c r="I8" s="11" t="n"/>
      <c r="J8" s="11" t="n"/>
      <c r="K8" s="11" t="n"/>
      <c r="L8" s="11" t="n"/>
    </row>
    <row r="9">
      <c r="A9" s="11" t="n"/>
      <c r="B9" s="11" t="n"/>
      <c r="C9" s="11" t="n"/>
      <c r="D9" s="11" t="n"/>
      <c r="E9" s="11" t="n"/>
      <c r="F9" s="11" t="n"/>
      <c r="G9" s="11" t="n"/>
      <c r="H9" s="11" t="n"/>
      <c r="I9" s="11" t="n"/>
      <c r="J9" s="11" t="n"/>
      <c r="K9" s="11" t="n"/>
      <c r="L9" s="11" t="n"/>
    </row>
    <row r="10">
      <c r="A10" s="11" t="n"/>
      <c r="B10" s="11" t="n"/>
      <c r="C10" s="11" t="n"/>
      <c r="D10" s="11" t="n"/>
      <c r="E10" s="11" t="n"/>
      <c r="F10" s="11" t="n"/>
      <c r="G10" s="11" t="n"/>
      <c r="H10" s="11" t="n"/>
      <c r="I10" s="11" t="n"/>
      <c r="J10" s="11" t="n"/>
      <c r="K10" s="11" t="n"/>
      <c r="L10" s="11" t="n"/>
    </row>
    <row r="11">
      <c r="A11" s="11" t="n"/>
      <c r="B11" s="11" t="n"/>
      <c r="C11" s="11" t="n"/>
      <c r="D11" s="11" t="n"/>
      <c r="E11" s="11" t="n"/>
      <c r="F11" s="11" t="n"/>
      <c r="G11" s="11" t="n"/>
      <c r="H11" s="11" t="n"/>
      <c r="I11" s="11" t="n"/>
      <c r="J11" s="11" t="n"/>
      <c r="K11" s="11" t="n"/>
      <c r="L11" s="11" t="n"/>
    </row>
    <row r="12">
      <c r="A12" s="11" t="n"/>
      <c r="B12" s="11" t="n"/>
      <c r="C12" s="11" t="n"/>
      <c r="D12" s="11" t="n"/>
      <c r="E12" s="11" t="n"/>
      <c r="F12" s="11" t="n"/>
      <c r="G12" s="11" t="n"/>
      <c r="H12" s="11" t="n"/>
      <c r="I12" s="11" t="n"/>
      <c r="J12" s="11" t="n"/>
      <c r="K12" s="11" t="n"/>
      <c r="L12" s="11" t="n"/>
    </row>
    <row r="13">
      <c r="A13" s="11" t="n"/>
      <c r="B13" s="11" t="n"/>
      <c r="C13" s="11" t="n"/>
      <c r="D13" s="11" t="n"/>
      <c r="E13" s="11" t="n"/>
      <c r="F13" s="11" t="n"/>
      <c r="G13" s="11" t="n"/>
      <c r="H13" s="11" t="n"/>
      <c r="I13" s="11" t="n"/>
      <c r="J13" s="11" t="n"/>
      <c r="K13" s="11" t="n"/>
      <c r="L13" s="11" t="n"/>
    </row>
    <row r="14">
      <c r="A14" s="12" t="n"/>
      <c r="B14" s="12" t="n"/>
      <c r="C14" s="12" t="n"/>
      <c r="D14" s="12" t="n"/>
      <c r="E14" s="12" t="n"/>
      <c r="F14" s="12" t="n"/>
      <c r="G14" s="12" t="n"/>
      <c r="H14" s="12" t="n"/>
      <c r="I14" s="12" t="n"/>
      <c r="J14" s="12" t="n"/>
      <c r="K14" s="12" t="n"/>
      <c r="L14" s="12" t="n"/>
    </row>
    <row r="16">
      <c r="A16" s="13" t="inlineStr">
        <is>
          <t>3. Add an employee later</t>
        </is>
      </c>
      <c r="B16" s="14" t="n"/>
      <c r="C16" s="14" t="n"/>
      <c r="D16" s="14" t="n"/>
      <c r="E16" s="14" t="n"/>
      <c r="F16" s="14" t="n"/>
      <c r="G16" s="15" t="inlineStr">
        <is>
          <t>4. Compare last year with this year</t>
        </is>
      </c>
      <c r="H16" s="16" t="n"/>
      <c r="I16" s="16" t="n"/>
      <c r="J16" s="16" t="n"/>
      <c r="K16" s="16" t="n"/>
      <c r="L16" s="16" t="n"/>
    </row>
    <row r="17" ht="20" customHeight="1">
      <c r="A17" s="9" t="inlineStr">
        <is>
          <t>Open the Employees sheet.
Use the next yellow row. Keep the Employee ID and fill in Full Name and Department (job title and manager are optional).
The Skill Matrix adds a row for that person. Rate each skill.
16 employee slots are ready.</t>
        </is>
      </c>
      <c r="B17" s="10" t="n"/>
      <c r="C17" s="10" t="n"/>
      <c r="D17" s="10" t="n"/>
      <c r="E17" s="10" t="n"/>
      <c r="F17" s="10" t="n"/>
      <c r="G17" s="9" t="inlineStr">
        <is>
          <t>On Skill Matrix, read the Change column next to each skill.
Open Dashboard for:
• Team average this year vs last year
• Each skill’s average and whether it improved
• Each person’s average
• Skills below the target rating (set on Settings)
• How many 1s, 2s, 3s, 4s, and 5s you gave
Change the years and the target on the Settings sheet.</t>
        </is>
      </c>
      <c r="H17" s="10" t="n"/>
      <c r="I17" s="10" t="n"/>
      <c r="J17" s="10" t="n"/>
      <c r="K17" s="10" t="n"/>
      <c r="L17" s="10" t="n"/>
    </row>
    <row r="18">
      <c r="A18" s="11" t="n"/>
      <c r="B18" s="11" t="n"/>
      <c r="C18" s="11" t="n"/>
      <c r="D18" s="11" t="n"/>
      <c r="E18" s="11" t="n"/>
      <c r="F18" s="11" t="n"/>
      <c r="G18" s="11" t="n"/>
      <c r="H18" s="11" t="n"/>
      <c r="I18" s="11" t="n"/>
      <c r="J18" s="11" t="n"/>
      <c r="K18" s="11" t="n"/>
      <c r="L18" s="11" t="n"/>
    </row>
    <row r="19">
      <c r="A19" s="11" t="n"/>
      <c r="B19" s="11" t="n"/>
      <c r="C19" s="11" t="n"/>
      <c r="D19" s="11" t="n"/>
      <c r="E19" s="11" t="n"/>
      <c r="F19" s="11" t="n"/>
      <c r="G19" s="11" t="n"/>
      <c r="H19" s="11" t="n"/>
      <c r="I19" s="11" t="n"/>
      <c r="J19" s="11" t="n"/>
      <c r="K19" s="11" t="n"/>
      <c r="L19" s="11" t="n"/>
    </row>
    <row r="20">
      <c r="A20" s="11" t="n"/>
      <c r="B20" s="11" t="n"/>
      <c r="C20" s="11" t="n"/>
      <c r="D20" s="11" t="n"/>
      <c r="E20" s="11" t="n"/>
      <c r="F20" s="11" t="n"/>
      <c r="G20" s="11" t="n"/>
      <c r="H20" s="11" t="n"/>
      <c r="I20" s="11" t="n"/>
      <c r="J20" s="11" t="n"/>
      <c r="K20" s="11" t="n"/>
      <c r="L20" s="11" t="n"/>
    </row>
    <row r="21">
      <c r="A21" s="11" t="n"/>
      <c r="B21" s="11" t="n"/>
      <c r="C21" s="11" t="n"/>
      <c r="D21" s="11" t="n"/>
      <c r="E21" s="11" t="n"/>
      <c r="F21" s="11" t="n"/>
      <c r="G21" s="11" t="n"/>
      <c r="H21" s="11" t="n"/>
      <c r="I21" s="11" t="n"/>
      <c r="J21" s="11" t="n"/>
      <c r="K21" s="11" t="n"/>
      <c r="L21" s="11" t="n"/>
    </row>
    <row r="22">
      <c r="A22" s="11" t="n"/>
      <c r="B22" s="11" t="n"/>
      <c r="C22" s="11" t="n"/>
      <c r="D22" s="11" t="n"/>
      <c r="E22" s="11" t="n"/>
      <c r="F22" s="11" t="n"/>
      <c r="G22" s="11" t="n"/>
      <c r="H22" s="11" t="n"/>
      <c r="I22" s="11" t="n"/>
      <c r="J22" s="11" t="n"/>
      <c r="K22" s="11" t="n"/>
      <c r="L22" s="11" t="n"/>
    </row>
    <row r="23">
      <c r="A23" s="11" t="n"/>
      <c r="B23" s="11" t="n"/>
      <c r="C23" s="11" t="n"/>
      <c r="D23" s="11" t="n"/>
      <c r="E23" s="11" t="n"/>
      <c r="F23" s="11" t="n"/>
      <c r="G23" s="11" t="n"/>
      <c r="H23" s="11" t="n"/>
      <c r="I23" s="11" t="n"/>
      <c r="J23" s="11" t="n"/>
      <c r="K23" s="11" t="n"/>
      <c r="L23" s="11" t="n"/>
    </row>
    <row r="24">
      <c r="A24" s="12" t="n"/>
      <c r="B24" s="12" t="n"/>
      <c r="C24" s="12" t="n"/>
      <c r="D24" s="12" t="n"/>
      <c r="E24" s="12" t="n"/>
      <c r="F24" s="12" t="n"/>
      <c r="G24" s="12" t="n"/>
      <c r="H24" s="12" t="n"/>
      <c r="I24" s="12" t="n"/>
      <c r="J24" s="12" t="n"/>
      <c r="K24" s="12" t="n"/>
      <c r="L24" s="12" t="n"/>
    </row>
    <row r="26">
      <c r="A26" s="17" t="inlineStr">
        <is>
          <t>Rating scale</t>
        </is>
      </c>
    </row>
    <row r="27">
      <c r="A27" s="18" t="inlineStr">
        <is>
          <t>1  Beginner</t>
        </is>
      </c>
      <c r="B27" s="19" t="n"/>
      <c r="C27" s="20" t="inlineStr">
        <is>
          <t>2  Basic</t>
        </is>
      </c>
      <c r="D27" s="21" t="n"/>
      <c r="E27" s="22" t="inlineStr">
        <is>
          <t>3  Competent</t>
        </is>
      </c>
      <c r="F27" s="23" t="n"/>
      <c r="G27" s="24" t="inlineStr">
        <is>
          <t>4  Proficient</t>
        </is>
      </c>
      <c r="H27" s="25" t="n"/>
      <c r="I27" s="26" t="inlineStr">
        <is>
          <t>5  Expert</t>
        </is>
      </c>
      <c r="J27" s="27" t="n"/>
    </row>
    <row r="28" ht="20" customHeight="1">
      <c r="A28" s="28" t="inlineStr">
        <is>
          <t>Little or no hands-on experience. Needs close guidance.</t>
        </is>
      </c>
      <c r="B28" s="19" t="n"/>
      <c r="C28" s="29" t="inlineStr">
        <is>
          <t>Can complete simple tasks with help or a checklist.</t>
        </is>
      </c>
      <c r="D28" s="21" t="n"/>
      <c r="E28" s="30" t="inlineStr">
        <is>
          <t>Works independently on standard tasks. Meets the target.</t>
        </is>
      </c>
      <c r="F28" s="23" t="n"/>
      <c r="G28" s="31" t="inlineStr">
        <is>
          <t>Handles complex work and can coach others.</t>
        </is>
      </c>
      <c r="H28" s="25" t="n"/>
      <c r="I28" s="32" t="inlineStr">
        <is>
          <t>Go-to specialist. Sets the standard for the team.</t>
        </is>
      </c>
      <c r="J28" s="27" t="n"/>
    </row>
    <row r="29" ht="28" customHeight="1">
      <c r="A29" s="19" t="n"/>
      <c r="B29" s="19" t="n"/>
      <c r="C29" s="21" t="n"/>
      <c r="D29" s="21" t="n"/>
      <c r="E29" s="23" t="n"/>
      <c r="F29" s="23" t="n"/>
      <c r="G29" s="25" t="n"/>
      <c r="H29" s="25" t="n"/>
      <c r="I29" s="27" t="n"/>
      <c r="J29" s="27" t="n"/>
    </row>
    <row r="31">
      <c r="A31" s="33" t="inlineStr">
        <is>
          <t>Need more slots? On Skills or Employees, click a row inside the table and use Home → Insert → Insert Table Rows Below. Then copy the last Skill Matrix column group (three columns: last year, this year, change) and insert the copy to the right. Point the new header formulas at the extra Skills row, and copy the Change formula down. Most teams will not need this — 16 skills and 16 people are already set up.
A hidden Data sheet powers the dashboard. You do not need to edit it.</t>
        </is>
      </c>
    </row>
    <row r="32"/>
    <row r="33"/>
  </sheetData>
  <mergeCells count="22">
    <mergeCell ref="A16:F16"/>
    <mergeCell ref="E28:F29"/>
    <mergeCell ref="G28:H29"/>
    <mergeCell ref="G27:H27"/>
    <mergeCell ref="A17:F24"/>
    <mergeCell ref="I27:J27"/>
    <mergeCell ref="A3:L3"/>
    <mergeCell ref="A26:L26"/>
    <mergeCell ref="A2:L2"/>
    <mergeCell ref="G5:L5"/>
    <mergeCell ref="A6:F14"/>
    <mergeCell ref="A5:F5"/>
    <mergeCell ref="A27:B27"/>
    <mergeCell ref="A28:B29"/>
    <mergeCell ref="G6:L14"/>
    <mergeCell ref="G16:L16"/>
    <mergeCell ref="C28:D29"/>
    <mergeCell ref="C27:D27"/>
    <mergeCell ref="E27:F27"/>
    <mergeCell ref="G17:L24"/>
    <mergeCell ref="A31:L33"/>
    <mergeCell ref="I28:J29"/>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s>
  <pageMargins left="0.75" right="0.75" top="1" bottom="1" header="0.5" footer="0.5"/>
  <pageSetup orientation="landscape" paperSize="3" fitToHeight="1" fitToWidth="1"/>
  <headerFooter>
    <oddHeader>&amp;L&amp;BEmployee Skill Matrix</oddHeader>
    <oddFooter>&amp;RPage &amp;P of &amp;N</oddFooter>
    <evenHeader/>
    <evenFooter/>
    <firstHeader/>
    <firstFooter/>
  </headerFooter>
</worksheet>
</file>

<file path=xl/worksheets/sheet2.xml><?xml version="1.0" encoding="utf-8"?>
<worksheet xmlns="http://schemas.openxmlformats.org/spreadsheetml/2006/main">
  <sheetPr>
    <tabColor rgb="001B365D"/>
    <outlinePr summaryBelow="1" summaryRight="1"/>
    <pageSetUpPr fitToPage="1"/>
  </sheetPr>
  <dimension ref="A1:AX24"/>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1" customWidth="1" min="3" max="3"/>
    <col width="11" customWidth="1" min="4" max="4"/>
    <col width="10" customWidth="1" min="5" max="5"/>
    <col width="11" customWidth="1" min="6" max="6"/>
    <col width="11" customWidth="1" min="7" max="7"/>
    <col width="10" customWidth="1" min="8" max="8"/>
    <col width="11" customWidth="1" min="9" max="9"/>
    <col width="11" customWidth="1" min="10" max="10"/>
    <col width="10" customWidth="1" min="11" max="11"/>
    <col width="11" customWidth="1" min="12" max="12"/>
    <col width="11" customWidth="1" min="13" max="13"/>
    <col width="10" customWidth="1" min="14" max="14"/>
    <col width="11" customWidth="1" min="15" max="15"/>
    <col width="11" customWidth="1" min="16" max="16"/>
    <col width="10" customWidth="1" min="17" max="17"/>
    <col width="11" customWidth="1" min="18" max="18"/>
    <col width="11" customWidth="1" min="19" max="19"/>
    <col width="10" customWidth="1" min="20" max="20"/>
    <col width="11" customWidth="1" min="21" max="21"/>
    <col width="11" customWidth="1" min="22" max="22"/>
    <col width="10" customWidth="1" min="23" max="23"/>
    <col width="11" customWidth="1" min="24" max="24"/>
    <col width="11" customWidth="1" min="25" max="25"/>
    <col width="10" customWidth="1" min="26" max="26"/>
    <col width="11" customWidth="1" min="27" max="27"/>
    <col width="11" customWidth="1" min="28" max="28"/>
    <col width="10" customWidth="1" min="29" max="29"/>
    <col width="11" customWidth="1" min="30" max="30"/>
    <col width="11" customWidth="1" min="31" max="31"/>
    <col width="10" customWidth="1" min="32" max="32"/>
    <col width="11" customWidth="1" min="33" max="33"/>
    <col width="11" customWidth="1" min="34" max="34"/>
    <col width="10" customWidth="1" min="35" max="35"/>
    <col width="11" customWidth="1" min="36" max="36"/>
    <col width="11" customWidth="1" min="37" max="37"/>
    <col width="10" customWidth="1" min="38" max="38"/>
    <col width="11" customWidth="1" min="39" max="39"/>
    <col width="11" customWidth="1" min="40" max="40"/>
    <col width="10" customWidth="1" min="41" max="41"/>
    <col width="11" customWidth="1" min="42" max="42"/>
    <col width="11" customWidth="1" min="43" max="43"/>
    <col width="10" customWidth="1" min="44" max="44"/>
    <col width="11" customWidth="1" min="45" max="45"/>
    <col width="11" customWidth="1" min="46" max="46"/>
    <col width="10" customWidth="1" min="47" max="47"/>
    <col width="11" customWidth="1" min="48" max="48"/>
    <col width="11" customWidth="1" min="49" max="49"/>
    <col width="10" customWidth="1" min="50" max="50"/>
  </cols>
  <sheetData>
    <row r="1" ht="24" customHeight="1">
      <c r="A1" s="2" t="inlineStr">
        <is>
          <t>How to Use</t>
        </is>
      </c>
      <c r="B1" s="1" t="inlineStr">
        <is>
          <t>Skill Matrix</t>
        </is>
      </c>
      <c r="C1" s="2" t="inlineStr">
        <is>
          <t>Dashboard</t>
        </is>
      </c>
      <c r="D1" s="2" t="inlineStr">
        <is>
          <t>Employees</t>
        </is>
      </c>
      <c r="E1" s="2" t="inlineStr">
        <is>
          <t>Skills</t>
        </is>
      </c>
      <c r="F1" s="2" t="inlineStr">
        <is>
          <t>Settings</t>
        </is>
      </c>
      <c r="G1" s="3" t="inlineStr"/>
      <c r="H1" s="3" t="inlineStr"/>
      <c r="I1" s="3" t="inlineStr"/>
      <c r="J1" s="3" t="inlineStr"/>
      <c r="K1" s="3" t="inlineStr"/>
      <c r="L1" s="3" t="inlineStr"/>
      <c r="M1" s="3" t="inlineStr"/>
      <c r="N1" s="3" t="inlineStr"/>
      <c r="O1" s="3" t="inlineStr"/>
      <c r="P1" s="3" t="inlineStr"/>
      <c r="Q1" s="3" t="inlineStr"/>
      <c r="R1" s="3" t="inlineStr"/>
      <c r="S1" s="3" t="inlineStr"/>
      <c r="T1" s="3" t="inlineStr"/>
      <c r="U1" s="3" t="inlineStr"/>
      <c r="V1" s="3" t="inlineStr"/>
      <c r="W1" s="3" t="inlineStr"/>
      <c r="X1" s="3" t="inlineStr"/>
      <c r="Y1" s="3" t="inlineStr"/>
      <c r="Z1" s="3" t="inlineStr"/>
      <c r="AA1" s="3" t="inlineStr"/>
      <c r="AB1" s="3" t="inlineStr"/>
      <c r="AC1" s="3" t="inlineStr"/>
      <c r="AD1" s="3" t="inlineStr"/>
      <c r="AE1" s="3" t="inlineStr"/>
      <c r="AF1" s="3" t="inlineStr"/>
      <c r="AG1" s="3" t="inlineStr"/>
      <c r="AH1" s="3" t="inlineStr"/>
      <c r="AI1" s="3" t="inlineStr"/>
      <c r="AJ1" s="3" t="inlineStr"/>
      <c r="AK1" s="3" t="inlineStr"/>
      <c r="AL1" s="3" t="inlineStr"/>
      <c r="AM1" s="3" t="inlineStr"/>
      <c r="AN1" s="3" t="inlineStr"/>
      <c r="AO1" s="3" t="inlineStr"/>
      <c r="AP1" s="3" t="inlineStr"/>
      <c r="AQ1" s="3" t="inlineStr"/>
      <c r="AR1" s="3" t="inlineStr"/>
      <c r="AS1" s="3" t="inlineStr"/>
      <c r="AT1" s="3" t="inlineStr"/>
      <c r="AU1" s="3" t="inlineStr"/>
      <c r="AV1" s="3" t="inlineStr"/>
      <c r="AW1" s="3" t="inlineStr"/>
      <c r="AX1" s="3" t="inlineStr"/>
    </row>
    <row r="2" ht="32" customHeight="1">
      <c r="A2" s="4" t="inlineStr">
        <is>
          <t>Employee skill matrix</t>
        </is>
      </c>
      <c r="I2" s="34" t="inlineStr">
        <is>
          <t>Rate 1 (beginner) to 5 (expert). Yellow skill rows on the Skills sheet become new columns here. Do not type in Change — it is calculated.</t>
        </is>
      </c>
    </row>
    <row r="3" ht="18" customHeight="1">
      <c r="A3" s="35" t="inlineStr">
        <is>
          <t>Employee</t>
        </is>
      </c>
      <c r="B3" s="35" t="inlineStr">
        <is>
          <t>Department</t>
        </is>
      </c>
      <c r="C3" s="36">
        <f>IF('Skills'!B6="","",'Skills'!C6)</f>
        <v/>
      </c>
      <c r="D3" s="37" t="n"/>
      <c r="E3" s="37" t="n"/>
      <c r="F3" s="36">
        <f>IF('Skills'!B7="","",'Skills'!C7)</f>
        <v/>
      </c>
      <c r="G3" s="37" t="n"/>
      <c r="H3" s="37" t="n"/>
      <c r="I3" s="36">
        <f>IF('Skills'!B8="","",'Skills'!C8)</f>
        <v/>
      </c>
      <c r="J3" s="37" t="n"/>
      <c r="K3" s="37" t="n"/>
      <c r="L3" s="36">
        <f>IF('Skills'!B9="","",'Skills'!C9)</f>
        <v/>
      </c>
      <c r="M3" s="37" t="n"/>
      <c r="N3" s="37" t="n"/>
      <c r="O3" s="36">
        <f>IF('Skills'!B10="","",'Skills'!C10)</f>
        <v/>
      </c>
      <c r="P3" s="37" t="n"/>
      <c r="Q3" s="37" t="n"/>
      <c r="R3" s="36">
        <f>IF('Skills'!B11="","",'Skills'!C11)</f>
        <v/>
      </c>
      <c r="S3" s="37" t="n"/>
      <c r="T3" s="37" t="n"/>
      <c r="U3" s="36">
        <f>IF('Skills'!B12="","",'Skills'!C12)</f>
        <v/>
      </c>
      <c r="V3" s="37" t="n"/>
      <c r="W3" s="37" t="n"/>
      <c r="X3" s="36">
        <f>IF('Skills'!B13="","",'Skills'!C13)</f>
        <v/>
      </c>
      <c r="Y3" s="37" t="n"/>
      <c r="Z3" s="37" t="n"/>
      <c r="AA3" s="36">
        <f>IF('Skills'!B14="","",'Skills'!C14)</f>
        <v/>
      </c>
      <c r="AB3" s="37" t="n"/>
      <c r="AC3" s="37" t="n"/>
      <c r="AD3" s="36">
        <f>IF('Skills'!B15="","",'Skills'!C15)</f>
        <v/>
      </c>
      <c r="AE3" s="37" t="n"/>
      <c r="AF3" s="37" t="n"/>
      <c r="AG3" s="36">
        <f>IF('Skills'!B16="","",'Skills'!C16)</f>
        <v/>
      </c>
      <c r="AH3" s="37" t="n"/>
      <c r="AI3" s="37" t="n"/>
      <c r="AJ3" s="36">
        <f>IF('Skills'!B17="","",'Skills'!C17)</f>
        <v/>
      </c>
      <c r="AK3" s="37" t="n"/>
      <c r="AL3" s="37" t="n"/>
      <c r="AM3" s="36">
        <f>IF('Skills'!B18="","",'Skills'!C18)</f>
        <v/>
      </c>
      <c r="AN3" s="37" t="n"/>
      <c r="AO3" s="37" t="n"/>
      <c r="AP3" s="36">
        <f>IF('Skills'!B19="","",'Skills'!C19)</f>
        <v/>
      </c>
      <c r="AQ3" s="37" t="n"/>
      <c r="AR3" s="37" t="n"/>
      <c r="AS3" s="36">
        <f>IF('Skills'!B20="","",'Skills'!C20)</f>
        <v/>
      </c>
      <c r="AT3" s="37" t="n"/>
      <c r="AU3" s="37" t="n"/>
      <c r="AV3" s="36">
        <f>IF('Skills'!B21="","",'Skills'!C21)</f>
        <v/>
      </c>
      <c r="AW3" s="37" t="n"/>
      <c r="AX3" s="37" t="n"/>
    </row>
    <row r="4" ht="32" customHeight="1">
      <c r="A4" s="38" t="n"/>
      <c r="B4" s="38" t="n"/>
      <c r="C4" s="39">
        <f>IF('Skills'!B6="","",'Skills'!B6)</f>
        <v/>
      </c>
      <c r="D4" s="40" t="n"/>
      <c r="E4" s="40" t="n"/>
      <c r="F4" s="39">
        <f>IF('Skills'!B7="","",'Skills'!B7)</f>
        <v/>
      </c>
      <c r="G4" s="40" t="n"/>
      <c r="H4" s="40" t="n"/>
      <c r="I4" s="39">
        <f>IF('Skills'!B8="","",'Skills'!B8)</f>
        <v/>
      </c>
      <c r="J4" s="40" t="n"/>
      <c r="K4" s="40" t="n"/>
      <c r="L4" s="39">
        <f>IF('Skills'!B9="","",'Skills'!B9)</f>
        <v/>
      </c>
      <c r="M4" s="40" t="n"/>
      <c r="N4" s="40" t="n"/>
      <c r="O4" s="39">
        <f>IF('Skills'!B10="","",'Skills'!B10)</f>
        <v/>
      </c>
      <c r="P4" s="40" t="n"/>
      <c r="Q4" s="40" t="n"/>
      <c r="R4" s="39">
        <f>IF('Skills'!B11="","",'Skills'!B11)</f>
        <v/>
      </c>
      <c r="S4" s="40" t="n"/>
      <c r="T4" s="40" t="n"/>
      <c r="U4" s="39">
        <f>IF('Skills'!B12="","",'Skills'!B12)</f>
        <v/>
      </c>
      <c r="V4" s="40" t="n"/>
      <c r="W4" s="40" t="n"/>
      <c r="X4" s="39">
        <f>IF('Skills'!B13="","",'Skills'!B13)</f>
        <v/>
      </c>
      <c r="Y4" s="40" t="n"/>
      <c r="Z4" s="40" t="n"/>
      <c r="AA4" s="39">
        <f>IF('Skills'!B14="","",'Skills'!B14)</f>
        <v/>
      </c>
      <c r="AB4" s="40" t="n"/>
      <c r="AC4" s="40" t="n"/>
      <c r="AD4" s="39">
        <f>IF('Skills'!B15="","",'Skills'!B15)</f>
        <v/>
      </c>
      <c r="AE4" s="40" t="n"/>
      <c r="AF4" s="40" t="n"/>
      <c r="AG4" s="39">
        <f>IF('Skills'!B16="","",'Skills'!B16)</f>
        <v/>
      </c>
      <c r="AH4" s="40" t="n"/>
      <c r="AI4" s="40" t="n"/>
      <c r="AJ4" s="39">
        <f>IF('Skills'!B17="","",'Skills'!B17)</f>
        <v/>
      </c>
      <c r="AK4" s="40" t="n"/>
      <c r="AL4" s="40" t="n"/>
      <c r="AM4" s="39">
        <f>IF('Skills'!B18="","",'Skills'!B18)</f>
        <v/>
      </c>
      <c r="AN4" s="40" t="n"/>
      <c r="AO4" s="40" t="n"/>
      <c r="AP4" s="39">
        <f>IF('Skills'!B19="","",'Skills'!B19)</f>
        <v/>
      </c>
      <c r="AQ4" s="40" t="n"/>
      <c r="AR4" s="40" t="n"/>
      <c r="AS4" s="39">
        <f>IF('Skills'!B20="","",'Skills'!B20)</f>
        <v/>
      </c>
      <c r="AT4" s="40" t="n"/>
      <c r="AU4" s="40" t="n"/>
      <c r="AV4" s="39">
        <f>IF('Skills'!B21="","",'Skills'!B21)</f>
        <v/>
      </c>
      <c r="AW4" s="40" t="n"/>
      <c r="AX4" s="40" t="n"/>
    </row>
    <row r="5" ht="20" customHeight="1">
      <c r="A5" s="38" t="n"/>
      <c r="B5" s="38" t="n"/>
      <c r="C5" s="41">
        <f>LastYear</f>
        <v/>
      </c>
      <c r="D5" s="42">
        <f>ThisYear</f>
        <v/>
      </c>
      <c r="E5" s="43" t="inlineStr">
        <is>
          <t>Change</t>
        </is>
      </c>
      <c r="F5" s="41">
        <f>LastYear</f>
        <v/>
      </c>
      <c r="G5" s="42">
        <f>ThisYear</f>
        <v/>
      </c>
      <c r="H5" s="43" t="inlineStr">
        <is>
          <t>Change</t>
        </is>
      </c>
      <c r="I5" s="41">
        <f>LastYear</f>
        <v/>
      </c>
      <c r="J5" s="42">
        <f>ThisYear</f>
        <v/>
      </c>
      <c r="K5" s="43" t="inlineStr">
        <is>
          <t>Change</t>
        </is>
      </c>
      <c r="L5" s="41">
        <f>LastYear</f>
        <v/>
      </c>
      <c r="M5" s="42">
        <f>ThisYear</f>
        <v/>
      </c>
      <c r="N5" s="43" t="inlineStr">
        <is>
          <t>Change</t>
        </is>
      </c>
      <c r="O5" s="41">
        <f>LastYear</f>
        <v/>
      </c>
      <c r="P5" s="42">
        <f>ThisYear</f>
        <v/>
      </c>
      <c r="Q5" s="43" t="inlineStr">
        <is>
          <t>Change</t>
        </is>
      </c>
      <c r="R5" s="41">
        <f>LastYear</f>
        <v/>
      </c>
      <c r="S5" s="42">
        <f>ThisYear</f>
        <v/>
      </c>
      <c r="T5" s="43" t="inlineStr">
        <is>
          <t>Change</t>
        </is>
      </c>
      <c r="U5" s="41">
        <f>LastYear</f>
        <v/>
      </c>
      <c r="V5" s="42">
        <f>ThisYear</f>
        <v/>
      </c>
      <c r="W5" s="43" t="inlineStr">
        <is>
          <t>Change</t>
        </is>
      </c>
      <c r="X5" s="41">
        <f>LastYear</f>
        <v/>
      </c>
      <c r="Y5" s="42">
        <f>ThisYear</f>
        <v/>
      </c>
      <c r="Z5" s="43" t="inlineStr">
        <is>
          <t>Change</t>
        </is>
      </c>
      <c r="AA5" s="41">
        <f>LastYear</f>
        <v/>
      </c>
      <c r="AB5" s="42">
        <f>ThisYear</f>
        <v/>
      </c>
      <c r="AC5" s="43" t="inlineStr">
        <is>
          <t>Change</t>
        </is>
      </c>
      <c r="AD5" s="41">
        <f>LastYear</f>
        <v/>
      </c>
      <c r="AE5" s="42">
        <f>ThisYear</f>
        <v/>
      </c>
      <c r="AF5" s="43" t="inlineStr">
        <is>
          <t>Change</t>
        </is>
      </c>
      <c r="AG5" s="41">
        <f>LastYear</f>
        <v/>
      </c>
      <c r="AH5" s="42">
        <f>ThisYear</f>
        <v/>
      </c>
      <c r="AI5" s="43" t="inlineStr">
        <is>
          <t>Change</t>
        </is>
      </c>
      <c r="AJ5" s="41">
        <f>LastYear</f>
        <v/>
      </c>
      <c r="AK5" s="42">
        <f>ThisYear</f>
        <v/>
      </c>
      <c r="AL5" s="43" t="inlineStr">
        <is>
          <t>Change</t>
        </is>
      </c>
      <c r="AM5" s="41">
        <f>LastYear</f>
        <v/>
      </c>
      <c r="AN5" s="42">
        <f>ThisYear</f>
        <v/>
      </c>
      <c r="AO5" s="43" t="inlineStr">
        <is>
          <t>Change</t>
        </is>
      </c>
      <c r="AP5" s="41">
        <f>LastYear</f>
        <v/>
      </c>
      <c r="AQ5" s="42">
        <f>ThisYear</f>
        <v/>
      </c>
      <c r="AR5" s="43" t="inlineStr">
        <is>
          <t>Change</t>
        </is>
      </c>
      <c r="AS5" s="41">
        <f>LastYear</f>
        <v/>
      </c>
      <c r="AT5" s="42">
        <f>ThisYear</f>
        <v/>
      </c>
      <c r="AU5" s="43" t="inlineStr">
        <is>
          <t>Change</t>
        </is>
      </c>
      <c r="AV5" s="41">
        <f>LastYear</f>
        <v/>
      </c>
      <c r="AW5" s="42">
        <f>ThisYear</f>
        <v/>
      </c>
      <c r="AX5" s="43" t="inlineStr">
        <is>
          <t>Change</t>
        </is>
      </c>
    </row>
    <row r="6" ht="22" customHeight="1">
      <c r="A6" s="44">
        <f>IF('Employees'!B6="","",'Employees'!B6)</f>
        <v/>
      </c>
      <c r="B6" s="45">
        <f>IF('Employees'!B6="","",'Employees'!C6)</f>
        <v/>
      </c>
      <c r="C6" s="46" t="n">
        <v>3</v>
      </c>
      <c r="D6" s="47" t="n">
        <v>4</v>
      </c>
      <c r="E6" s="48">
        <f>IF(OR(C6="",D6=""),"",D6-C6)</f>
        <v/>
      </c>
      <c r="F6" s="46" t="n">
        <v>3</v>
      </c>
      <c r="G6" s="47" t="n">
        <v>3</v>
      </c>
      <c r="H6" s="48">
        <f>IF(OR(F6="",G6=""),"",G6-F6)</f>
        <v/>
      </c>
      <c r="I6" s="46" t="n">
        <v>2</v>
      </c>
      <c r="J6" s="47" t="n">
        <v>3</v>
      </c>
      <c r="K6" s="48">
        <f>IF(OR(I6="",J6=""),"",J6-I6)</f>
        <v/>
      </c>
      <c r="L6" s="46" t="n">
        <v>2</v>
      </c>
      <c r="M6" s="47" t="n">
        <v>3</v>
      </c>
      <c r="N6" s="48">
        <f>IF(OR(L6="",M6=""),"",M6-L6)</f>
        <v/>
      </c>
      <c r="O6" s="46" t="n">
        <v>4</v>
      </c>
      <c r="P6" s="47" t="n">
        <v>4</v>
      </c>
      <c r="Q6" s="48">
        <f>IF(OR(O6="",P6=""),"",P6-O6)</f>
        <v/>
      </c>
      <c r="R6" s="46" t="n">
        <v>3</v>
      </c>
      <c r="S6" s="47" t="n">
        <v>4</v>
      </c>
      <c r="T6" s="48">
        <f>IF(OR(R6="",S6=""),"",S6-R6)</f>
        <v/>
      </c>
      <c r="U6" s="46" t="n">
        <v>2</v>
      </c>
      <c r="V6" s="47" t="n">
        <v>2</v>
      </c>
      <c r="W6" s="48">
        <f>IF(OR(U6="",V6=""),"",V6-U6)</f>
        <v/>
      </c>
      <c r="X6" s="46" t="n">
        <v>4</v>
      </c>
      <c r="Y6" s="47" t="n">
        <v>4</v>
      </c>
      <c r="Z6" s="48">
        <f>IF(OR(X6="",Y6=""),"",Y6-X6)</f>
        <v/>
      </c>
      <c r="AA6" s="46" t="n">
        <v>2</v>
      </c>
      <c r="AB6" s="47" t="n">
        <v>2</v>
      </c>
      <c r="AC6" s="48">
        <f>IF(OR(AA6="",AB6=""),"",AB6-AA6)</f>
        <v/>
      </c>
      <c r="AD6" s="46" t="n">
        <v>2</v>
      </c>
      <c r="AE6" s="47" t="n">
        <v>3</v>
      </c>
      <c r="AF6" s="48">
        <f>IF(OR(AD6="",AE6=""),"",AE6-AD6)</f>
        <v/>
      </c>
      <c r="AG6" s="46" t="inlineStr"/>
      <c r="AH6" s="47" t="inlineStr"/>
      <c r="AI6" s="48">
        <f>IF(OR(AG6="",AH6=""),"",AH6-AG6)</f>
        <v/>
      </c>
      <c r="AJ6" s="46" t="inlineStr"/>
      <c r="AK6" s="47" t="inlineStr"/>
      <c r="AL6" s="48">
        <f>IF(OR(AJ6="",AK6=""),"",AK6-AJ6)</f>
        <v/>
      </c>
      <c r="AM6" s="46" t="inlineStr"/>
      <c r="AN6" s="47" t="inlineStr"/>
      <c r="AO6" s="48">
        <f>IF(OR(AM6="",AN6=""),"",AN6-AM6)</f>
        <v/>
      </c>
      <c r="AP6" s="46" t="inlineStr"/>
      <c r="AQ6" s="47" t="inlineStr"/>
      <c r="AR6" s="48">
        <f>IF(OR(AP6="",AQ6=""),"",AQ6-AP6)</f>
        <v/>
      </c>
      <c r="AS6" s="46" t="inlineStr"/>
      <c r="AT6" s="47" t="inlineStr"/>
      <c r="AU6" s="48">
        <f>IF(OR(AS6="",AT6=""),"",AT6-AS6)</f>
        <v/>
      </c>
      <c r="AV6" s="46" t="inlineStr"/>
      <c r="AW6" s="47" t="inlineStr"/>
      <c r="AX6" s="48">
        <f>IF(OR(AV6="",AW6=""),"",AW6-AV6)</f>
        <v/>
      </c>
    </row>
    <row r="7" ht="22" customHeight="1">
      <c r="A7" s="44">
        <f>IF('Employees'!B7="","",'Employees'!B7)</f>
        <v/>
      </c>
      <c r="B7" s="45">
        <f>IF('Employees'!B7="","",'Employees'!C7)</f>
        <v/>
      </c>
      <c r="C7" s="46" t="n">
        <v>5</v>
      </c>
      <c r="D7" s="47" t="n">
        <v>5</v>
      </c>
      <c r="E7" s="48">
        <f>IF(OR(C7="",D7=""),"",D7-C7)</f>
        <v/>
      </c>
      <c r="F7" s="46" t="n">
        <v>4</v>
      </c>
      <c r="G7" s="47" t="n">
        <v>4</v>
      </c>
      <c r="H7" s="48">
        <f>IF(OR(F7="",G7=""),"",G7-F7)</f>
        <v/>
      </c>
      <c r="I7" s="46" t="n">
        <v>3</v>
      </c>
      <c r="J7" s="47" t="n">
        <v>3</v>
      </c>
      <c r="K7" s="48">
        <f>IF(OR(I7="",J7=""),"",J7-I7)</f>
        <v/>
      </c>
      <c r="L7" s="46" t="n">
        <v>3</v>
      </c>
      <c r="M7" s="47" t="n">
        <v>4</v>
      </c>
      <c r="N7" s="48">
        <f>IF(OR(L7="",M7=""),"",M7-L7)</f>
        <v/>
      </c>
      <c r="O7" s="46" t="n">
        <v>5</v>
      </c>
      <c r="P7" s="47" t="n">
        <v>5</v>
      </c>
      <c r="Q7" s="48">
        <f>IF(OR(O7="",P7=""),"",P7-O7)</f>
        <v/>
      </c>
      <c r="R7" s="46" t="n">
        <v>4</v>
      </c>
      <c r="S7" s="47" t="n">
        <v>4</v>
      </c>
      <c r="T7" s="48">
        <f>IF(OR(R7="",S7=""),"",S7-R7)</f>
        <v/>
      </c>
      <c r="U7" s="46" t="n">
        <v>3</v>
      </c>
      <c r="V7" s="47" t="n">
        <v>4</v>
      </c>
      <c r="W7" s="48">
        <f>IF(OR(U7="",V7=""),"",V7-U7)</f>
        <v/>
      </c>
      <c r="X7" s="46" t="n">
        <v>5</v>
      </c>
      <c r="Y7" s="47" t="n">
        <v>5</v>
      </c>
      <c r="Z7" s="48">
        <f>IF(OR(X7="",Y7=""),"",Y7-X7)</f>
        <v/>
      </c>
      <c r="AA7" s="46" t="n">
        <v>3</v>
      </c>
      <c r="AB7" s="47" t="n">
        <v>3</v>
      </c>
      <c r="AC7" s="48">
        <f>IF(OR(AA7="",AB7=""),"",AB7-AA7)</f>
        <v/>
      </c>
      <c r="AD7" s="46" t="n">
        <v>3</v>
      </c>
      <c r="AE7" s="47" t="n">
        <v>3</v>
      </c>
      <c r="AF7" s="48">
        <f>IF(OR(AD7="",AE7=""),"",AE7-AD7)</f>
        <v/>
      </c>
      <c r="AG7" s="46" t="inlineStr"/>
      <c r="AH7" s="47" t="inlineStr"/>
      <c r="AI7" s="48">
        <f>IF(OR(AG7="",AH7=""),"",AH7-AG7)</f>
        <v/>
      </c>
      <c r="AJ7" s="46" t="inlineStr"/>
      <c r="AK7" s="47" t="inlineStr"/>
      <c r="AL7" s="48">
        <f>IF(OR(AJ7="",AK7=""),"",AK7-AJ7)</f>
        <v/>
      </c>
      <c r="AM7" s="46" t="inlineStr"/>
      <c r="AN7" s="47" t="inlineStr"/>
      <c r="AO7" s="48">
        <f>IF(OR(AM7="",AN7=""),"",AN7-AM7)</f>
        <v/>
      </c>
      <c r="AP7" s="46" t="inlineStr"/>
      <c r="AQ7" s="47" t="inlineStr"/>
      <c r="AR7" s="48">
        <f>IF(OR(AP7="",AQ7=""),"",AQ7-AP7)</f>
        <v/>
      </c>
      <c r="AS7" s="46" t="inlineStr"/>
      <c r="AT7" s="47" t="inlineStr"/>
      <c r="AU7" s="48">
        <f>IF(OR(AS7="",AT7=""),"",AT7-AS7)</f>
        <v/>
      </c>
      <c r="AV7" s="46" t="inlineStr"/>
      <c r="AW7" s="47" t="inlineStr"/>
      <c r="AX7" s="48">
        <f>IF(OR(AV7="",AW7=""),"",AW7-AV7)</f>
        <v/>
      </c>
    </row>
    <row r="8" ht="22" customHeight="1">
      <c r="A8" s="44">
        <f>IF('Employees'!B8="","",'Employees'!B8)</f>
        <v/>
      </c>
      <c r="B8" s="45">
        <f>IF('Employees'!B8="","",'Employees'!C8)</f>
        <v/>
      </c>
      <c r="C8" s="46" t="n">
        <v>2</v>
      </c>
      <c r="D8" s="47" t="n">
        <v>3</v>
      </c>
      <c r="E8" s="48">
        <f>IF(OR(C8="",D8=""),"",D8-C8)</f>
        <v/>
      </c>
      <c r="F8" s="46" t="n">
        <v>5</v>
      </c>
      <c r="G8" s="47" t="n">
        <v>5</v>
      </c>
      <c r="H8" s="48">
        <f>IF(OR(F8="",G8=""),"",G8-F8)</f>
        <v/>
      </c>
      <c r="I8" s="46" t="n">
        <v>5</v>
      </c>
      <c r="J8" s="47" t="n">
        <v>5</v>
      </c>
      <c r="K8" s="48">
        <f>IF(OR(I8="",J8=""),"",J8-I8)</f>
        <v/>
      </c>
      <c r="L8" s="46" t="n">
        <v>4</v>
      </c>
      <c r="M8" s="47" t="n">
        <v>5</v>
      </c>
      <c r="N8" s="48">
        <f>IF(OR(L8="",M8=""),"",M8-L8)</f>
        <v/>
      </c>
      <c r="O8" s="46" t="n">
        <v>2</v>
      </c>
      <c r="P8" s="47" t="n">
        <v>3</v>
      </c>
      <c r="Q8" s="48">
        <f>IF(OR(O8="",P8=""),"",P8-O8)</f>
        <v/>
      </c>
      <c r="R8" s="46" t="n">
        <v>4</v>
      </c>
      <c r="S8" s="47" t="n">
        <v>4</v>
      </c>
      <c r="T8" s="48">
        <f>IF(OR(R8="",S8=""),"",S8-R8)</f>
        <v/>
      </c>
      <c r="U8" s="46" t="n">
        <v>2</v>
      </c>
      <c r="V8" s="47" t="n">
        <v>3</v>
      </c>
      <c r="W8" s="48">
        <f>IF(OR(U8="",V8=""),"",V8-U8)</f>
        <v/>
      </c>
      <c r="X8" s="46" t="n">
        <v>4</v>
      </c>
      <c r="Y8" s="47" t="n">
        <v>4</v>
      </c>
      <c r="Z8" s="48">
        <f>IF(OR(X8="",Y8=""),"",Y8-X8)</f>
        <v/>
      </c>
      <c r="AA8" s="46" t="n">
        <v>3</v>
      </c>
      <c r="AB8" s="47" t="n">
        <v>3</v>
      </c>
      <c r="AC8" s="48">
        <f>IF(OR(AA8="",AB8=""),"",AB8-AA8)</f>
        <v/>
      </c>
      <c r="AD8" s="46" t="n">
        <v>3</v>
      </c>
      <c r="AE8" s="47" t="n">
        <v>4</v>
      </c>
      <c r="AF8" s="48">
        <f>IF(OR(AD8="",AE8=""),"",AE8-AD8)</f>
        <v/>
      </c>
      <c r="AG8" s="46" t="inlineStr"/>
      <c r="AH8" s="47" t="inlineStr"/>
      <c r="AI8" s="48">
        <f>IF(OR(AG8="",AH8=""),"",AH8-AG8)</f>
        <v/>
      </c>
      <c r="AJ8" s="46" t="inlineStr"/>
      <c r="AK8" s="47" t="inlineStr"/>
      <c r="AL8" s="48">
        <f>IF(OR(AJ8="",AK8=""),"",AK8-AJ8)</f>
        <v/>
      </c>
      <c r="AM8" s="46" t="inlineStr"/>
      <c r="AN8" s="47" t="inlineStr"/>
      <c r="AO8" s="48">
        <f>IF(OR(AM8="",AN8=""),"",AN8-AM8)</f>
        <v/>
      </c>
      <c r="AP8" s="46" t="inlineStr"/>
      <c r="AQ8" s="47" t="inlineStr"/>
      <c r="AR8" s="48">
        <f>IF(OR(AP8="",AQ8=""),"",AQ8-AP8)</f>
        <v/>
      </c>
      <c r="AS8" s="46" t="inlineStr"/>
      <c r="AT8" s="47" t="inlineStr"/>
      <c r="AU8" s="48">
        <f>IF(OR(AS8="",AT8=""),"",AT8-AS8)</f>
        <v/>
      </c>
      <c r="AV8" s="46" t="inlineStr"/>
      <c r="AW8" s="47" t="inlineStr"/>
      <c r="AX8" s="48">
        <f>IF(OR(AV8="",AW8=""),"",AW8-AV8)</f>
        <v/>
      </c>
    </row>
    <row r="9" ht="22" customHeight="1">
      <c r="A9" s="44">
        <f>IF('Employees'!B9="","",'Employees'!B9)</f>
        <v/>
      </c>
      <c r="B9" s="45">
        <f>IF('Employees'!B9="","",'Employees'!C9)</f>
        <v/>
      </c>
      <c r="C9" s="46" t="n">
        <v>1</v>
      </c>
      <c r="D9" s="47" t="n">
        <v>2</v>
      </c>
      <c r="E9" s="48">
        <f>IF(OR(C9="",D9=""),"",D9-C9)</f>
        <v/>
      </c>
      <c r="F9" s="46" t="n">
        <v>2</v>
      </c>
      <c r="G9" s="47" t="n">
        <v>2</v>
      </c>
      <c r="H9" s="48">
        <f>IF(OR(F9="",G9=""),"",G9-F9)</f>
        <v/>
      </c>
      <c r="I9" s="46" t="n">
        <v>4</v>
      </c>
      <c r="J9" s="47" t="n">
        <v>4</v>
      </c>
      <c r="K9" s="48">
        <f>IF(OR(I9="",J9=""),"",J9-I9)</f>
        <v/>
      </c>
      <c r="L9" s="46" t="n">
        <v>3</v>
      </c>
      <c r="M9" s="47" t="n">
        <v>3</v>
      </c>
      <c r="N9" s="48">
        <f>IF(OR(L9="",M9=""),"",M9-L9)</f>
        <v/>
      </c>
      <c r="O9" s="46" t="n">
        <v>1</v>
      </c>
      <c r="P9" s="47" t="n">
        <v>2</v>
      </c>
      <c r="Q9" s="48">
        <f>IF(OR(O9="",P9=""),"",P9-O9)</f>
        <v/>
      </c>
      <c r="R9" s="46" t="n">
        <v>5</v>
      </c>
      <c r="S9" s="47" t="n">
        <v>5</v>
      </c>
      <c r="T9" s="48">
        <f>IF(OR(R9="",S9=""),"",S9-R9)</f>
        <v/>
      </c>
      <c r="U9" s="46" t="n">
        <v>4</v>
      </c>
      <c r="V9" s="47" t="n">
        <v>5</v>
      </c>
      <c r="W9" s="48">
        <f>IF(OR(U9="",V9=""),"",V9-U9)</f>
        <v/>
      </c>
      <c r="X9" s="46" t="n">
        <v>4</v>
      </c>
      <c r="Y9" s="47" t="n">
        <v>4</v>
      </c>
      <c r="Z9" s="48">
        <f>IF(OR(X9="",Y9=""),"",Y9-X9)</f>
        <v/>
      </c>
      <c r="AA9" s="46" t="n">
        <v>5</v>
      </c>
      <c r="AB9" s="47" t="n">
        <v>5</v>
      </c>
      <c r="AC9" s="48">
        <f>IF(OR(AA9="",AB9=""),"",AB9-AA9)</f>
        <v/>
      </c>
      <c r="AD9" s="46" t="n">
        <v>5</v>
      </c>
      <c r="AE9" s="47" t="n">
        <v>5</v>
      </c>
      <c r="AF9" s="48">
        <f>IF(OR(AD9="",AE9=""),"",AE9-AD9)</f>
        <v/>
      </c>
      <c r="AG9" s="46" t="inlineStr"/>
      <c r="AH9" s="47" t="inlineStr"/>
      <c r="AI9" s="48">
        <f>IF(OR(AG9="",AH9=""),"",AH9-AG9)</f>
        <v/>
      </c>
      <c r="AJ9" s="46" t="inlineStr"/>
      <c r="AK9" s="47" t="inlineStr"/>
      <c r="AL9" s="48">
        <f>IF(OR(AJ9="",AK9=""),"",AK9-AJ9)</f>
        <v/>
      </c>
      <c r="AM9" s="46" t="inlineStr"/>
      <c r="AN9" s="47" t="inlineStr"/>
      <c r="AO9" s="48">
        <f>IF(OR(AM9="",AN9=""),"",AN9-AM9)</f>
        <v/>
      </c>
      <c r="AP9" s="46" t="inlineStr"/>
      <c r="AQ9" s="47" t="inlineStr"/>
      <c r="AR9" s="48">
        <f>IF(OR(AP9="",AQ9=""),"",AQ9-AP9)</f>
        <v/>
      </c>
      <c r="AS9" s="46" t="inlineStr"/>
      <c r="AT9" s="47" t="inlineStr"/>
      <c r="AU9" s="48">
        <f>IF(OR(AS9="",AT9=""),"",AT9-AS9)</f>
        <v/>
      </c>
      <c r="AV9" s="46" t="inlineStr"/>
      <c r="AW9" s="47" t="inlineStr"/>
      <c r="AX9" s="48">
        <f>IF(OR(AV9="",AW9=""),"",AW9-AV9)</f>
        <v/>
      </c>
    </row>
    <row r="10" ht="22" customHeight="1">
      <c r="A10" s="44">
        <f>IF('Employees'!B10="","",'Employees'!B10)</f>
        <v/>
      </c>
      <c r="B10" s="45">
        <f>IF('Employees'!B10="","",'Employees'!C10)</f>
        <v/>
      </c>
      <c r="C10" s="46" t="n">
        <v>1</v>
      </c>
      <c r="D10" s="47" t="n">
        <v>1</v>
      </c>
      <c r="E10" s="48">
        <f>IF(OR(C10="",D10=""),"",D10-C10)</f>
        <v/>
      </c>
      <c r="F10" s="46" t="n">
        <v>1</v>
      </c>
      <c r="G10" s="47" t="n">
        <v>2</v>
      </c>
      <c r="H10" s="48">
        <f>IF(OR(F10="",G10=""),"",G10-F10)</f>
        <v/>
      </c>
      <c r="I10" s="46" t="n">
        <v>3</v>
      </c>
      <c r="J10" s="47" t="n">
        <v>4</v>
      </c>
      <c r="K10" s="48">
        <f>IF(OR(I10="",J10=""),"",J10-I10)</f>
        <v/>
      </c>
      <c r="L10" s="46" t="n">
        <v>2</v>
      </c>
      <c r="M10" s="47" t="n">
        <v>3</v>
      </c>
      <c r="N10" s="48">
        <f>IF(OR(L10="",M10=""),"",M10-L10)</f>
        <v/>
      </c>
      <c r="O10" s="46" t="n">
        <v>2</v>
      </c>
      <c r="P10" s="47" t="n">
        <v>2</v>
      </c>
      <c r="Q10" s="48">
        <f>IF(OR(O10="",P10=""),"",P10-O10)</f>
        <v/>
      </c>
      <c r="R10" s="46" t="n">
        <v>5</v>
      </c>
      <c r="S10" s="47" t="n">
        <v>5</v>
      </c>
      <c r="T10" s="48">
        <f>IF(OR(R10="",S10=""),"",S10-R10)</f>
        <v/>
      </c>
      <c r="U10" s="46" t="n">
        <v>3</v>
      </c>
      <c r="V10" s="47" t="n">
        <v>3</v>
      </c>
      <c r="W10" s="48">
        <f>IF(OR(U10="",V10=""),"",V10-U10)</f>
        <v/>
      </c>
      <c r="X10" s="46" t="n">
        <v>4</v>
      </c>
      <c r="Y10" s="47" t="n">
        <v>5</v>
      </c>
      <c r="Z10" s="48">
        <f>IF(OR(X10="",Y10=""),"",Y10-X10)</f>
        <v/>
      </c>
      <c r="AA10" s="46" t="n">
        <v>3</v>
      </c>
      <c r="AB10" s="47" t="n">
        <v>3</v>
      </c>
      <c r="AC10" s="48">
        <f>IF(OR(AA10="",AB10=""),"",AB10-AA10)</f>
        <v/>
      </c>
      <c r="AD10" s="46" t="n">
        <v>4</v>
      </c>
      <c r="AE10" s="47" t="n">
        <v>4</v>
      </c>
      <c r="AF10" s="48">
        <f>IF(OR(AD10="",AE10=""),"",AE10-AD10)</f>
        <v/>
      </c>
      <c r="AG10" s="46" t="inlineStr"/>
      <c r="AH10" s="47" t="inlineStr"/>
      <c r="AI10" s="48">
        <f>IF(OR(AG10="",AH10=""),"",AH10-AG10)</f>
        <v/>
      </c>
      <c r="AJ10" s="46" t="inlineStr"/>
      <c r="AK10" s="47" t="inlineStr"/>
      <c r="AL10" s="48">
        <f>IF(OR(AJ10="",AK10=""),"",AK10-AJ10)</f>
        <v/>
      </c>
      <c r="AM10" s="46" t="inlineStr"/>
      <c r="AN10" s="47" t="inlineStr"/>
      <c r="AO10" s="48">
        <f>IF(OR(AM10="",AN10=""),"",AN10-AM10)</f>
        <v/>
      </c>
      <c r="AP10" s="46" t="inlineStr"/>
      <c r="AQ10" s="47" t="inlineStr"/>
      <c r="AR10" s="48">
        <f>IF(OR(AP10="",AQ10=""),"",AQ10-AP10)</f>
        <v/>
      </c>
      <c r="AS10" s="46" t="inlineStr"/>
      <c r="AT10" s="47" t="inlineStr"/>
      <c r="AU10" s="48">
        <f>IF(OR(AS10="",AT10=""),"",AT10-AS10)</f>
        <v/>
      </c>
      <c r="AV10" s="46" t="inlineStr"/>
      <c r="AW10" s="47" t="inlineStr"/>
      <c r="AX10" s="48">
        <f>IF(OR(AV10="",AW10=""),"",AW10-AV10)</f>
        <v/>
      </c>
    </row>
    <row r="11" ht="22" customHeight="1">
      <c r="A11" s="44">
        <f>IF('Employees'!B11="","",'Employees'!B11)</f>
        <v/>
      </c>
      <c r="B11" s="45">
        <f>IF('Employees'!B11="","",'Employees'!C11)</f>
        <v/>
      </c>
      <c r="C11" s="46" t="n">
        <v>2</v>
      </c>
      <c r="D11" s="47" t="n">
        <v>3</v>
      </c>
      <c r="E11" s="48">
        <f>IF(OR(C11="",D11=""),"",D11-C11)</f>
        <v/>
      </c>
      <c r="F11" s="46" t="n">
        <v>3</v>
      </c>
      <c r="G11" s="47" t="n">
        <v>3</v>
      </c>
      <c r="H11" s="48">
        <f>IF(OR(F11="",G11=""),"",G11-F11)</f>
        <v/>
      </c>
      <c r="I11" s="46" t="n">
        <v>4</v>
      </c>
      <c r="J11" s="47" t="n">
        <v>4</v>
      </c>
      <c r="K11" s="48">
        <f>IF(OR(I11="",J11=""),"",J11-I11)</f>
        <v/>
      </c>
      <c r="L11" s="46" t="n">
        <v>3</v>
      </c>
      <c r="M11" s="47" t="n">
        <v>3</v>
      </c>
      <c r="N11" s="48">
        <f>IF(OR(L11="",M11=""),"",M11-L11)</f>
        <v/>
      </c>
      <c r="O11" s="46" t="n">
        <v>4</v>
      </c>
      <c r="P11" s="47" t="n">
        <v>4</v>
      </c>
      <c r="Q11" s="48">
        <f>IF(OR(O11="",P11=""),"",P11-O11)</f>
        <v/>
      </c>
      <c r="R11" s="46" t="n">
        <v>3</v>
      </c>
      <c r="S11" s="47" t="n">
        <v>4</v>
      </c>
      <c r="T11" s="48">
        <f>IF(OR(R11="",S11=""),"",S11-R11)</f>
        <v/>
      </c>
      <c r="U11" s="46" t="n">
        <v>2</v>
      </c>
      <c r="V11" s="47" t="n">
        <v>2</v>
      </c>
      <c r="W11" s="48">
        <f>IF(OR(U11="",V11=""),"",V11-U11)</f>
        <v/>
      </c>
      <c r="X11" s="46" t="n">
        <v>4</v>
      </c>
      <c r="Y11" s="47" t="n">
        <v>5</v>
      </c>
      <c r="Z11" s="48">
        <f>IF(OR(X11="",Y11=""),"",Y11-X11)</f>
        <v/>
      </c>
      <c r="AA11" s="46" t="n">
        <v>2</v>
      </c>
      <c r="AB11" s="47" t="n">
        <v>3</v>
      </c>
      <c r="AC11" s="48">
        <f>IF(OR(AA11="",AB11=""),"",AB11-AA11)</f>
        <v/>
      </c>
      <c r="AD11" s="46" t="n">
        <v>2</v>
      </c>
      <c r="AE11" s="47" t="n">
        <v>3</v>
      </c>
      <c r="AF11" s="48">
        <f>IF(OR(AD11="",AE11=""),"",AE11-AD11)</f>
        <v/>
      </c>
      <c r="AG11" s="46" t="inlineStr"/>
      <c r="AH11" s="47" t="inlineStr"/>
      <c r="AI11" s="48">
        <f>IF(OR(AG11="",AH11=""),"",AH11-AG11)</f>
        <v/>
      </c>
      <c r="AJ11" s="46" t="inlineStr"/>
      <c r="AK11" s="47" t="inlineStr"/>
      <c r="AL11" s="48">
        <f>IF(OR(AJ11="",AK11=""),"",AK11-AJ11)</f>
        <v/>
      </c>
      <c r="AM11" s="46" t="inlineStr"/>
      <c r="AN11" s="47" t="inlineStr"/>
      <c r="AO11" s="48">
        <f>IF(OR(AM11="",AN11=""),"",AN11-AM11)</f>
        <v/>
      </c>
      <c r="AP11" s="46" t="inlineStr"/>
      <c r="AQ11" s="47" t="inlineStr"/>
      <c r="AR11" s="48">
        <f>IF(OR(AP11="",AQ11=""),"",AQ11-AP11)</f>
        <v/>
      </c>
      <c r="AS11" s="46" t="inlineStr"/>
      <c r="AT11" s="47" t="inlineStr"/>
      <c r="AU11" s="48">
        <f>IF(OR(AS11="",AT11=""),"",AT11-AS11)</f>
        <v/>
      </c>
      <c r="AV11" s="46" t="inlineStr"/>
      <c r="AW11" s="47" t="inlineStr"/>
      <c r="AX11" s="48">
        <f>IF(OR(AV11="",AW11=""),"",AW11-AV11)</f>
        <v/>
      </c>
    </row>
    <row r="12" ht="22" customHeight="1">
      <c r="A12" s="44">
        <f>IF('Employees'!B12="","",'Employees'!B12)</f>
        <v/>
      </c>
      <c r="B12" s="45">
        <f>IF('Employees'!B12="","",'Employees'!C12)</f>
        <v/>
      </c>
      <c r="C12" s="46" t="n">
        <v>1</v>
      </c>
      <c r="D12" s="47" t="n">
        <v>1</v>
      </c>
      <c r="E12" s="48">
        <f>IF(OR(C12="",D12=""),"",D12-C12)</f>
        <v/>
      </c>
      <c r="F12" s="46" t="n">
        <v>2</v>
      </c>
      <c r="G12" s="47" t="n">
        <v>2</v>
      </c>
      <c r="H12" s="48">
        <f>IF(OR(F12="",G12=""),"",G12-F12)</f>
        <v/>
      </c>
      <c r="I12" s="46" t="n">
        <v>5</v>
      </c>
      <c r="J12" s="47" t="n">
        <v>5</v>
      </c>
      <c r="K12" s="48">
        <f>IF(OR(I12="",J12=""),"",J12-I12)</f>
        <v/>
      </c>
      <c r="L12" s="46" t="n">
        <v>3</v>
      </c>
      <c r="M12" s="47" t="n">
        <v>3</v>
      </c>
      <c r="N12" s="48">
        <f>IF(OR(L12="",M12=""),"",M12-L12)</f>
        <v/>
      </c>
      <c r="O12" s="46" t="n">
        <v>1</v>
      </c>
      <c r="P12" s="47" t="n">
        <v>1</v>
      </c>
      <c r="Q12" s="48">
        <f>IF(OR(O12="",P12=""),"",P12-O12)</f>
        <v/>
      </c>
      <c r="R12" s="46" t="n">
        <v>4</v>
      </c>
      <c r="S12" s="47" t="n">
        <v>4</v>
      </c>
      <c r="T12" s="48">
        <f>IF(OR(R12="",S12=""),"",S12-R12)</f>
        <v/>
      </c>
      <c r="U12" s="46" t="n">
        <v>4</v>
      </c>
      <c r="V12" s="47" t="n">
        <v>4</v>
      </c>
      <c r="W12" s="48">
        <f>IF(OR(U12="",V12=""),"",V12-U12)</f>
        <v/>
      </c>
      <c r="X12" s="46" t="n">
        <v>4</v>
      </c>
      <c r="Y12" s="47" t="n">
        <v>4</v>
      </c>
      <c r="Z12" s="48">
        <f>IF(OR(X12="",Y12=""),"",Y12-X12)</f>
        <v/>
      </c>
      <c r="AA12" s="46" t="n">
        <v>4</v>
      </c>
      <c r="AB12" s="47" t="n">
        <v>5</v>
      </c>
      <c r="AC12" s="48">
        <f>IF(OR(AA12="",AB12=""),"",AB12-AA12)</f>
        <v/>
      </c>
      <c r="AD12" s="46" t="n">
        <v>4</v>
      </c>
      <c r="AE12" s="47" t="n">
        <v>4</v>
      </c>
      <c r="AF12" s="48">
        <f>IF(OR(AD12="",AE12=""),"",AE12-AD12)</f>
        <v/>
      </c>
      <c r="AG12" s="46" t="inlineStr"/>
      <c r="AH12" s="47" t="inlineStr"/>
      <c r="AI12" s="48">
        <f>IF(OR(AG12="",AH12=""),"",AH12-AG12)</f>
        <v/>
      </c>
      <c r="AJ12" s="46" t="inlineStr"/>
      <c r="AK12" s="47" t="inlineStr"/>
      <c r="AL12" s="48">
        <f>IF(OR(AJ12="",AK12=""),"",AK12-AJ12)</f>
        <v/>
      </c>
      <c r="AM12" s="46" t="inlineStr"/>
      <c r="AN12" s="47" t="inlineStr"/>
      <c r="AO12" s="48">
        <f>IF(OR(AM12="",AN12=""),"",AN12-AM12)</f>
        <v/>
      </c>
      <c r="AP12" s="46" t="inlineStr"/>
      <c r="AQ12" s="47" t="inlineStr"/>
      <c r="AR12" s="48">
        <f>IF(OR(AP12="",AQ12=""),"",AQ12-AP12)</f>
        <v/>
      </c>
      <c r="AS12" s="46" t="inlineStr"/>
      <c r="AT12" s="47" t="inlineStr"/>
      <c r="AU12" s="48">
        <f>IF(OR(AS12="",AT12=""),"",AT12-AS12)</f>
        <v/>
      </c>
      <c r="AV12" s="46" t="inlineStr"/>
      <c r="AW12" s="47" t="inlineStr"/>
      <c r="AX12" s="48">
        <f>IF(OR(AV12="",AW12=""),"",AW12-AV12)</f>
        <v/>
      </c>
    </row>
    <row r="13" ht="22" customHeight="1">
      <c r="A13" s="44">
        <f>IF('Employees'!B13="","",'Employees'!B13)</f>
        <v/>
      </c>
      <c r="B13" s="45">
        <f>IF('Employees'!B13="","",'Employees'!C13)</f>
        <v/>
      </c>
      <c r="C13" s="46" t="n">
        <v>4</v>
      </c>
      <c r="D13" s="47" t="n">
        <v>5</v>
      </c>
      <c r="E13" s="48">
        <f>IF(OR(C13="",D13=""),"",D13-C13)</f>
        <v/>
      </c>
      <c r="F13" s="46" t="n">
        <v>5</v>
      </c>
      <c r="G13" s="47" t="n">
        <v>5</v>
      </c>
      <c r="H13" s="48">
        <f>IF(OR(F13="",G13=""),"",G13-F13)</f>
        <v/>
      </c>
      <c r="I13" s="46" t="n">
        <v>3</v>
      </c>
      <c r="J13" s="47" t="n">
        <v>3</v>
      </c>
      <c r="K13" s="48">
        <f>IF(OR(I13="",J13=""),"",J13-I13)</f>
        <v/>
      </c>
      <c r="L13" s="46" t="n">
        <v>5</v>
      </c>
      <c r="M13" s="47" t="n">
        <v>5</v>
      </c>
      <c r="N13" s="48">
        <f>IF(OR(L13="",M13=""),"",M13-L13)</f>
        <v/>
      </c>
      <c r="O13" s="46" t="n">
        <v>4</v>
      </c>
      <c r="P13" s="47" t="n">
        <v>5</v>
      </c>
      <c r="Q13" s="48">
        <f>IF(OR(O13="",P13=""),"",P13-O13)</f>
        <v/>
      </c>
      <c r="R13" s="46" t="n">
        <v>3</v>
      </c>
      <c r="S13" s="47" t="n">
        <v>3</v>
      </c>
      <c r="T13" s="48">
        <f>IF(OR(R13="",S13=""),"",S13-R13)</f>
        <v/>
      </c>
      <c r="U13" s="46" t="n">
        <v>2</v>
      </c>
      <c r="V13" s="47" t="n">
        <v>3</v>
      </c>
      <c r="W13" s="48">
        <f>IF(OR(U13="",V13=""),"",V13-U13)</f>
        <v/>
      </c>
      <c r="X13" s="46" t="n">
        <v>4</v>
      </c>
      <c r="Y13" s="47" t="n">
        <v>4</v>
      </c>
      <c r="Z13" s="48">
        <f>IF(OR(X13="",Y13=""),"",Y13-X13)</f>
        <v/>
      </c>
      <c r="AA13" s="46" t="n">
        <v>2</v>
      </c>
      <c r="AB13" s="47" t="n">
        <v>3</v>
      </c>
      <c r="AC13" s="48">
        <f>IF(OR(AA13="",AB13=""),"",AB13-AA13)</f>
        <v/>
      </c>
      <c r="AD13" s="46" t="n">
        <v>2</v>
      </c>
      <c r="AE13" s="47" t="n">
        <v>3</v>
      </c>
      <c r="AF13" s="48">
        <f>IF(OR(AD13="",AE13=""),"",AE13-AD13)</f>
        <v/>
      </c>
      <c r="AG13" s="46" t="inlineStr"/>
      <c r="AH13" s="47" t="inlineStr"/>
      <c r="AI13" s="48">
        <f>IF(OR(AG13="",AH13=""),"",AH13-AG13)</f>
        <v/>
      </c>
      <c r="AJ13" s="46" t="inlineStr"/>
      <c r="AK13" s="47" t="inlineStr"/>
      <c r="AL13" s="48">
        <f>IF(OR(AJ13="",AK13=""),"",AK13-AJ13)</f>
        <v/>
      </c>
      <c r="AM13" s="46" t="inlineStr"/>
      <c r="AN13" s="47" t="inlineStr"/>
      <c r="AO13" s="48">
        <f>IF(OR(AM13="",AN13=""),"",AN13-AM13)</f>
        <v/>
      </c>
      <c r="AP13" s="46" t="inlineStr"/>
      <c r="AQ13" s="47" t="inlineStr"/>
      <c r="AR13" s="48">
        <f>IF(OR(AP13="",AQ13=""),"",AQ13-AP13)</f>
        <v/>
      </c>
      <c r="AS13" s="46" t="inlineStr"/>
      <c r="AT13" s="47" t="inlineStr"/>
      <c r="AU13" s="48">
        <f>IF(OR(AS13="",AT13=""),"",AT13-AS13)</f>
        <v/>
      </c>
      <c r="AV13" s="46" t="inlineStr"/>
      <c r="AW13" s="47" t="inlineStr"/>
      <c r="AX13" s="48">
        <f>IF(OR(AV13="",AW13=""),"",AW13-AV13)</f>
        <v/>
      </c>
    </row>
    <row r="14" ht="22" customHeight="1">
      <c r="A14" s="44">
        <f>IF('Employees'!B14="","",'Employees'!B14)</f>
        <v/>
      </c>
      <c r="B14" s="45">
        <f>IF('Employees'!B14="","",'Employees'!C14)</f>
        <v/>
      </c>
      <c r="C14" s="46" t="inlineStr"/>
      <c r="D14" s="47" t="inlineStr"/>
      <c r="E14" s="48">
        <f>IF(OR(C14="",D14=""),"",D14-C14)</f>
        <v/>
      </c>
      <c r="F14" s="46" t="inlineStr"/>
      <c r="G14" s="47" t="inlineStr"/>
      <c r="H14" s="48">
        <f>IF(OR(F14="",G14=""),"",G14-F14)</f>
        <v/>
      </c>
      <c r="I14" s="46" t="inlineStr"/>
      <c r="J14" s="47" t="inlineStr"/>
      <c r="K14" s="48">
        <f>IF(OR(I14="",J14=""),"",J14-I14)</f>
        <v/>
      </c>
      <c r="L14" s="46" t="inlineStr"/>
      <c r="M14" s="47" t="inlineStr"/>
      <c r="N14" s="48">
        <f>IF(OR(L14="",M14=""),"",M14-L14)</f>
        <v/>
      </c>
      <c r="O14" s="46" t="inlineStr"/>
      <c r="P14" s="47" t="inlineStr"/>
      <c r="Q14" s="48">
        <f>IF(OR(O14="",P14=""),"",P14-O14)</f>
        <v/>
      </c>
      <c r="R14" s="46" t="inlineStr"/>
      <c r="S14" s="47" t="inlineStr"/>
      <c r="T14" s="48">
        <f>IF(OR(R14="",S14=""),"",S14-R14)</f>
        <v/>
      </c>
      <c r="U14" s="46" t="inlineStr"/>
      <c r="V14" s="47" t="inlineStr"/>
      <c r="W14" s="48">
        <f>IF(OR(U14="",V14=""),"",V14-U14)</f>
        <v/>
      </c>
      <c r="X14" s="46" t="inlineStr"/>
      <c r="Y14" s="47" t="inlineStr"/>
      <c r="Z14" s="48">
        <f>IF(OR(X14="",Y14=""),"",Y14-X14)</f>
        <v/>
      </c>
      <c r="AA14" s="46" t="inlineStr"/>
      <c r="AB14" s="47" t="inlineStr"/>
      <c r="AC14" s="48">
        <f>IF(OR(AA14="",AB14=""),"",AB14-AA14)</f>
        <v/>
      </c>
      <c r="AD14" s="46" t="inlineStr"/>
      <c r="AE14" s="47" t="inlineStr"/>
      <c r="AF14" s="48">
        <f>IF(OR(AD14="",AE14=""),"",AE14-AD14)</f>
        <v/>
      </c>
      <c r="AG14" s="46" t="inlineStr"/>
      <c r="AH14" s="47" t="inlineStr"/>
      <c r="AI14" s="48">
        <f>IF(OR(AG14="",AH14=""),"",AH14-AG14)</f>
        <v/>
      </c>
      <c r="AJ14" s="46" t="inlineStr"/>
      <c r="AK14" s="47" t="inlineStr"/>
      <c r="AL14" s="48">
        <f>IF(OR(AJ14="",AK14=""),"",AK14-AJ14)</f>
        <v/>
      </c>
      <c r="AM14" s="46" t="inlineStr"/>
      <c r="AN14" s="47" t="inlineStr"/>
      <c r="AO14" s="48">
        <f>IF(OR(AM14="",AN14=""),"",AN14-AM14)</f>
        <v/>
      </c>
      <c r="AP14" s="46" t="inlineStr"/>
      <c r="AQ14" s="47" t="inlineStr"/>
      <c r="AR14" s="48">
        <f>IF(OR(AP14="",AQ14=""),"",AQ14-AP14)</f>
        <v/>
      </c>
      <c r="AS14" s="46" t="inlineStr"/>
      <c r="AT14" s="47" t="inlineStr"/>
      <c r="AU14" s="48">
        <f>IF(OR(AS14="",AT14=""),"",AT14-AS14)</f>
        <v/>
      </c>
      <c r="AV14" s="46" t="inlineStr"/>
      <c r="AW14" s="47" t="inlineStr"/>
      <c r="AX14" s="48">
        <f>IF(OR(AV14="",AW14=""),"",AW14-AV14)</f>
        <v/>
      </c>
    </row>
    <row r="15" ht="22" customHeight="1">
      <c r="A15" s="44">
        <f>IF('Employees'!B15="","",'Employees'!B15)</f>
        <v/>
      </c>
      <c r="B15" s="45">
        <f>IF('Employees'!B15="","",'Employees'!C15)</f>
        <v/>
      </c>
      <c r="C15" s="46" t="inlineStr"/>
      <c r="D15" s="47" t="inlineStr"/>
      <c r="E15" s="48">
        <f>IF(OR(C15="",D15=""),"",D15-C15)</f>
        <v/>
      </c>
      <c r="F15" s="46" t="inlineStr"/>
      <c r="G15" s="47" t="inlineStr"/>
      <c r="H15" s="48">
        <f>IF(OR(F15="",G15=""),"",G15-F15)</f>
        <v/>
      </c>
      <c r="I15" s="46" t="inlineStr"/>
      <c r="J15" s="47" t="inlineStr"/>
      <c r="K15" s="48">
        <f>IF(OR(I15="",J15=""),"",J15-I15)</f>
        <v/>
      </c>
      <c r="L15" s="46" t="inlineStr"/>
      <c r="M15" s="47" t="inlineStr"/>
      <c r="N15" s="48">
        <f>IF(OR(L15="",M15=""),"",M15-L15)</f>
        <v/>
      </c>
      <c r="O15" s="46" t="inlineStr"/>
      <c r="P15" s="47" t="inlineStr"/>
      <c r="Q15" s="48">
        <f>IF(OR(O15="",P15=""),"",P15-O15)</f>
        <v/>
      </c>
      <c r="R15" s="46" t="inlineStr"/>
      <c r="S15" s="47" t="inlineStr"/>
      <c r="T15" s="48">
        <f>IF(OR(R15="",S15=""),"",S15-R15)</f>
        <v/>
      </c>
      <c r="U15" s="46" t="inlineStr"/>
      <c r="V15" s="47" t="inlineStr"/>
      <c r="W15" s="48">
        <f>IF(OR(U15="",V15=""),"",V15-U15)</f>
        <v/>
      </c>
      <c r="X15" s="46" t="inlineStr"/>
      <c r="Y15" s="47" t="inlineStr"/>
      <c r="Z15" s="48">
        <f>IF(OR(X15="",Y15=""),"",Y15-X15)</f>
        <v/>
      </c>
      <c r="AA15" s="46" t="inlineStr"/>
      <c r="AB15" s="47" t="inlineStr"/>
      <c r="AC15" s="48">
        <f>IF(OR(AA15="",AB15=""),"",AB15-AA15)</f>
        <v/>
      </c>
      <c r="AD15" s="46" t="inlineStr"/>
      <c r="AE15" s="47" t="inlineStr"/>
      <c r="AF15" s="48">
        <f>IF(OR(AD15="",AE15=""),"",AE15-AD15)</f>
        <v/>
      </c>
      <c r="AG15" s="46" t="inlineStr"/>
      <c r="AH15" s="47" t="inlineStr"/>
      <c r="AI15" s="48">
        <f>IF(OR(AG15="",AH15=""),"",AH15-AG15)</f>
        <v/>
      </c>
      <c r="AJ15" s="46" t="inlineStr"/>
      <c r="AK15" s="47" t="inlineStr"/>
      <c r="AL15" s="48">
        <f>IF(OR(AJ15="",AK15=""),"",AK15-AJ15)</f>
        <v/>
      </c>
      <c r="AM15" s="46" t="inlineStr"/>
      <c r="AN15" s="47" t="inlineStr"/>
      <c r="AO15" s="48">
        <f>IF(OR(AM15="",AN15=""),"",AN15-AM15)</f>
        <v/>
      </c>
      <c r="AP15" s="46" t="inlineStr"/>
      <c r="AQ15" s="47" t="inlineStr"/>
      <c r="AR15" s="48">
        <f>IF(OR(AP15="",AQ15=""),"",AQ15-AP15)</f>
        <v/>
      </c>
      <c r="AS15" s="46" t="inlineStr"/>
      <c r="AT15" s="47" t="inlineStr"/>
      <c r="AU15" s="48">
        <f>IF(OR(AS15="",AT15=""),"",AT15-AS15)</f>
        <v/>
      </c>
      <c r="AV15" s="46" t="inlineStr"/>
      <c r="AW15" s="47" t="inlineStr"/>
      <c r="AX15" s="48">
        <f>IF(OR(AV15="",AW15=""),"",AW15-AV15)</f>
        <v/>
      </c>
    </row>
    <row r="16" ht="22" customHeight="1">
      <c r="A16" s="44">
        <f>IF('Employees'!B16="","",'Employees'!B16)</f>
        <v/>
      </c>
      <c r="B16" s="45">
        <f>IF('Employees'!B16="","",'Employees'!C16)</f>
        <v/>
      </c>
      <c r="C16" s="46" t="inlineStr"/>
      <c r="D16" s="47" t="inlineStr"/>
      <c r="E16" s="48">
        <f>IF(OR(C16="",D16=""),"",D16-C16)</f>
        <v/>
      </c>
      <c r="F16" s="46" t="inlineStr"/>
      <c r="G16" s="47" t="inlineStr"/>
      <c r="H16" s="48">
        <f>IF(OR(F16="",G16=""),"",G16-F16)</f>
        <v/>
      </c>
      <c r="I16" s="46" t="inlineStr"/>
      <c r="J16" s="47" t="inlineStr"/>
      <c r="K16" s="48">
        <f>IF(OR(I16="",J16=""),"",J16-I16)</f>
        <v/>
      </c>
      <c r="L16" s="46" t="inlineStr"/>
      <c r="M16" s="47" t="inlineStr"/>
      <c r="N16" s="48">
        <f>IF(OR(L16="",M16=""),"",M16-L16)</f>
        <v/>
      </c>
      <c r="O16" s="46" t="inlineStr"/>
      <c r="P16" s="47" t="inlineStr"/>
      <c r="Q16" s="48">
        <f>IF(OR(O16="",P16=""),"",P16-O16)</f>
        <v/>
      </c>
      <c r="R16" s="46" t="inlineStr"/>
      <c r="S16" s="47" t="inlineStr"/>
      <c r="T16" s="48">
        <f>IF(OR(R16="",S16=""),"",S16-R16)</f>
        <v/>
      </c>
      <c r="U16" s="46" t="inlineStr"/>
      <c r="V16" s="47" t="inlineStr"/>
      <c r="W16" s="48">
        <f>IF(OR(U16="",V16=""),"",V16-U16)</f>
        <v/>
      </c>
      <c r="X16" s="46" t="inlineStr"/>
      <c r="Y16" s="47" t="inlineStr"/>
      <c r="Z16" s="48">
        <f>IF(OR(X16="",Y16=""),"",Y16-X16)</f>
        <v/>
      </c>
      <c r="AA16" s="46" t="inlineStr"/>
      <c r="AB16" s="47" t="inlineStr"/>
      <c r="AC16" s="48">
        <f>IF(OR(AA16="",AB16=""),"",AB16-AA16)</f>
        <v/>
      </c>
      <c r="AD16" s="46" t="inlineStr"/>
      <c r="AE16" s="47" t="inlineStr"/>
      <c r="AF16" s="48">
        <f>IF(OR(AD16="",AE16=""),"",AE16-AD16)</f>
        <v/>
      </c>
      <c r="AG16" s="46" t="inlineStr"/>
      <c r="AH16" s="47" t="inlineStr"/>
      <c r="AI16" s="48">
        <f>IF(OR(AG16="",AH16=""),"",AH16-AG16)</f>
        <v/>
      </c>
      <c r="AJ16" s="46" t="inlineStr"/>
      <c r="AK16" s="47" t="inlineStr"/>
      <c r="AL16" s="48">
        <f>IF(OR(AJ16="",AK16=""),"",AK16-AJ16)</f>
        <v/>
      </c>
      <c r="AM16" s="46" t="inlineStr"/>
      <c r="AN16" s="47" t="inlineStr"/>
      <c r="AO16" s="48">
        <f>IF(OR(AM16="",AN16=""),"",AN16-AM16)</f>
        <v/>
      </c>
      <c r="AP16" s="46" t="inlineStr"/>
      <c r="AQ16" s="47" t="inlineStr"/>
      <c r="AR16" s="48">
        <f>IF(OR(AP16="",AQ16=""),"",AQ16-AP16)</f>
        <v/>
      </c>
      <c r="AS16" s="46" t="inlineStr"/>
      <c r="AT16" s="47" t="inlineStr"/>
      <c r="AU16" s="48">
        <f>IF(OR(AS16="",AT16=""),"",AT16-AS16)</f>
        <v/>
      </c>
      <c r="AV16" s="46" t="inlineStr"/>
      <c r="AW16" s="47" t="inlineStr"/>
      <c r="AX16" s="48">
        <f>IF(OR(AV16="",AW16=""),"",AW16-AV16)</f>
        <v/>
      </c>
    </row>
    <row r="17" ht="22" customHeight="1">
      <c r="A17" s="44">
        <f>IF('Employees'!B17="","",'Employees'!B17)</f>
        <v/>
      </c>
      <c r="B17" s="45">
        <f>IF('Employees'!B17="","",'Employees'!C17)</f>
        <v/>
      </c>
      <c r="C17" s="46" t="inlineStr"/>
      <c r="D17" s="47" t="inlineStr"/>
      <c r="E17" s="48">
        <f>IF(OR(C17="",D17=""),"",D17-C17)</f>
        <v/>
      </c>
      <c r="F17" s="46" t="inlineStr"/>
      <c r="G17" s="47" t="inlineStr"/>
      <c r="H17" s="48">
        <f>IF(OR(F17="",G17=""),"",G17-F17)</f>
        <v/>
      </c>
      <c r="I17" s="46" t="inlineStr"/>
      <c r="J17" s="47" t="inlineStr"/>
      <c r="K17" s="48">
        <f>IF(OR(I17="",J17=""),"",J17-I17)</f>
        <v/>
      </c>
      <c r="L17" s="46" t="inlineStr"/>
      <c r="M17" s="47" t="inlineStr"/>
      <c r="N17" s="48">
        <f>IF(OR(L17="",M17=""),"",M17-L17)</f>
        <v/>
      </c>
      <c r="O17" s="46" t="inlineStr"/>
      <c r="P17" s="47" t="inlineStr"/>
      <c r="Q17" s="48">
        <f>IF(OR(O17="",P17=""),"",P17-O17)</f>
        <v/>
      </c>
      <c r="R17" s="46" t="inlineStr"/>
      <c r="S17" s="47" t="inlineStr"/>
      <c r="T17" s="48">
        <f>IF(OR(R17="",S17=""),"",S17-R17)</f>
        <v/>
      </c>
      <c r="U17" s="46" t="inlineStr"/>
      <c r="V17" s="47" t="inlineStr"/>
      <c r="W17" s="48">
        <f>IF(OR(U17="",V17=""),"",V17-U17)</f>
        <v/>
      </c>
      <c r="X17" s="46" t="inlineStr"/>
      <c r="Y17" s="47" t="inlineStr"/>
      <c r="Z17" s="48">
        <f>IF(OR(X17="",Y17=""),"",Y17-X17)</f>
        <v/>
      </c>
      <c r="AA17" s="46" t="inlineStr"/>
      <c r="AB17" s="47" t="inlineStr"/>
      <c r="AC17" s="48">
        <f>IF(OR(AA17="",AB17=""),"",AB17-AA17)</f>
        <v/>
      </c>
      <c r="AD17" s="46" t="inlineStr"/>
      <c r="AE17" s="47" t="inlineStr"/>
      <c r="AF17" s="48">
        <f>IF(OR(AD17="",AE17=""),"",AE17-AD17)</f>
        <v/>
      </c>
      <c r="AG17" s="46" t="inlineStr"/>
      <c r="AH17" s="47" t="inlineStr"/>
      <c r="AI17" s="48">
        <f>IF(OR(AG17="",AH17=""),"",AH17-AG17)</f>
        <v/>
      </c>
      <c r="AJ17" s="46" t="inlineStr"/>
      <c r="AK17" s="47" t="inlineStr"/>
      <c r="AL17" s="48">
        <f>IF(OR(AJ17="",AK17=""),"",AK17-AJ17)</f>
        <v/>
      </c>
      <c r="AM17" s="46" t="inlineStr"/>
      <c r="AN17" s="47" t="inlineStr"/>
      <c r="AO17" s="48">
        <f>IF(OR(AM17="",AN17=""),"",AN17-AM17)</f>
        <v/>
      </c>
      <c r="AP17" s="46" t="inlineStr"/>
      <c r="AQ17" s="47" t="inlineStr"/>
      <c r="AR17" s="48">
        <f>IF(OR(AP17="",AQ17=""),"",AQ17-AP17)</f>
        <v/>
      </c>
      <c r="AS17" s="46" t="inlineStr"/>
      <c r="AT17" s="47" t="inlineStr"/>
      <c r="AU17" s="48">
        <f>IF(OR(AS17="",AT17=""),"",AT17-AS17)</f>
        <v/>
      </c>
      <c r="AV17" s="46" t="inlineStr"/>
      <c r="AW17" s="47" t="inlineStr"/>
      <c r="AX17" s="48">
        <f>IF(OR(AV17="",AW17=""),"",AW17-AV17)</f>
        <v/>
      </c>
    </row>
    <row r="18" ht="22" customHeight="1">
      <c r="A18" s="44">
        <f>IF('Employees'!B18="","",'Employees'!B18)</f>
        <v/>
      </c>
      <c r="B18" s="45">
        <f>IF('Employees'!B18="","",'Employees'!C18)</f>
        <v/>
      </c>
      <c r="C18" s="46" t="inlineStr"/>
      <c r="D18" s="47" t="inlineStr"/>
      <c r="E18" s="48">
        <f>IF(OR(C18="",D18=""),"",D18-C18)</f>
        <v/>
      </c>
      <c r="F18" s="46" t="inlineStr"/>
      <c r="G18" s="47" t="inlineStr"/>
      <c r="H18" s="48">
        <f>IF(OR(F18="",G18=""),"",G18-F18)</f>
        <v/>
      </c>
      <c r="I18" s="46" t="inlineStr"/>
      <c r="J18" s="47" t="inlineStr"/>
      <c r="K18" s="48">
        <f>IF(OR(I18="",J18=""),"",J18-I18)</f>
        <v/>
      </c>
      <c r="L18" s="46" t="inlineStr"/>
      <c r="M18" s="47" t="inlineStr"/>
      <c r="N18" s="48">
        <f>IF(OR(L18="",M18=""),"",M18-L18)</f>
        <v/>
      </c>
      <c r="O18" s="46" t="inlineStr"/>
      <c r="P18" s="47" t="inlineStr"/>
      <c r="Q18" s="48">
        <f>IF(OR(O18="",P18=""),"",P18-O18)</f>
        <v/>
      </c>
      <c r="R18" s="46" t="inlineStr"/>
      <c r="S18" s="47" t="inlineStr"/>
      <c r="T18" s="48">
        <f>IF(OR(R18="",S18=""),"",S18-R18)</f>
        <v/>
      </c>
      <c r="U18" s="46" t="inlineStr"/>
      <c r="V18" s="47" t="inlineStr"/>
      <c r="W18" s="48">
        <f>IF(OR(U18="",V18=""),"",V18-U18)</f>
        <v/>
      </c>
      <c r="X18" s="46" t="inlineStr"/>
      <c r="Y18" s="47" t="inlineStr"/>
      <c r="Z18" s="48">
        <f>IF(OR(X18="",Y18=""),"",Y18-X18)</f>
        <v/>
      </c>
      <c r="AA18" s="46" t="inlineStr"/>
      <c r="AB18" s="47" t="inlineStr"/>
      <c r="AC18" s="48">
        <f>IF(OR(AA18="",AB18=""),"",AB18-AA18)</f>
        <v/>
      </c>
      <c r="AD18" s="46" t="inlineStr"/>
      <c r="AE18" s="47" t="inlineStr"/>
      <c r="AF18" s="48">
        <f>IF(OR(AD18="",AE18=""),"",AE18-AD18)</f>
        <v/>
      </c>
      <c r="AG18" s="46" t="inlineStr"/>
      <c r="AH18" s="47" t="inlineStr"/>
      <c r="AI18" s="48">
        <f>IF(OR(AG18="",AH18=""),"",AH18-AG18)</f>
        <v/>
      </c>
      <c r="AJ18" s="46" t="inlineStr"/>
      <c r="AK18" s="47" t="inlineStr"/>
      <c r="AL18" s="48">
        <f>IF(OR(AJ18="",AK18=""),"",AK18-AJ18)</f>
        <v/>
      </c>
      <c r="AM18" s="46" t="inlineStr"/>
      <c r="AN18" s="47" t="inlineStr"/>
      <c r="AO18" s="48">
        <f>IF(OR(AM18="",AN18=""),"",AN18-AM18)</f>
        <v/>
      </c>
      <c r="AP18" s="46" t="inlineStr"/>
      <c r="AQ18" s="47" t="inlineStr"/>
      <c r="AR18" s="48">
        <f>IF(OR(AP18="",AQ18=""),"",AQ18-AP18)</f>
        <v/>
      </c>
      <c r="AS18" s="46" t="inlineStr"/>
      <c r="AT18" s="47" t="inlineStr"/>
      <c r="AU18" s="48">
        <f>IF(OR(AS18="",AT18=""),"",AT18-AS18)</f>
        <v/>
      </c>
      <c r="AV18" s="46" t="inlineStr"/>
      <c r="AW18" s="47" t="inlineStr"/>
      <c r="AX18" s="48">
        <f>IF(OR(AV18="",AW18=""),"",AW18-AV18)</f>
        <v/>
      </c>
    </row>
    <row r="19" ht="22" customHeight="1">
      <c r="A19" s="44">
        <f>IF('Employees'!B19="","",'Employees'!B19)</f>
        <v/>
      </c>
      <c r="B19" s="45">
        <f>IF('Employees'!B19="","",'Employees'!C19)</f>
        <v/>
      </c>
      <c r="C19" s="46" t="inlineStr"/>
      <c r="D19" s="47" t="inlineStr"/>
      <c r="E19" s="48">
        <f>IF(OR(C19="",D19=""),"",D19-C19)</f>
        <v/>
      </c>
      <c r="F19" s="46" t="inlineStr"/>
      <c r="G19" s="47" t="inlineStr"/>
      <c r="H19" s="48">
        <f>IF(OR(F19="",G19=""),"",G19-F19)</f>
        <v/>
      </c>
      <c r="I19" s="46" t="inlineStr"/>
      <c r="J19" s="47" t="inlineStr"/>
      <c r="K19" s="48">
        <f>IF(OR(I19="",J19=""),"",J19-I19)</f>
        <v/>
      </c>
      <c r="L19" s="46" t="inlineStr"/>
      <c r="M19" s="47" t="inlineStr"/>
      <c r="N19" s="48">
        <f>IF(OR(L19="",M19=""),"",M19-L19)</f>
        <v/>
      </c>
      <c r="O19" s="46" t="inlineStr"/>
      <c r="P19" s="47" t="inlineStr"/>
      <c r="Q19" s="48">
        <f>IF(OR(O19="",P19=""),"",P19-O19)</f>
        <v/>
      </c>
      <c r="R19" s="46" t="inlineStr"/>
      <c r="S19" s="47" t="inlineStr"/>
      <c r="T19" s="48">
        <f>IF(OR(R19="",S19=""),"",S19-R19)</f>
        <v/>
      </c>
      <c r="U19" s="46" t="inlineStr"/>
      <c r="V19" s="47" t="inlineStr"/>
      <c r="W19" s="48">
        <f>IF(OR(U19="",V19=""),"",V19-U19)</f>
        <v/>
      </c>
      <c r="X19" s="46" t="inlineStr"/>
      <c r="Y19" s="47" t="inlineStr"/>
      <c r="Z19" s="48">
        <f>IF(OR(X19="",Y19=""),"",Y19-X19)</f>
        <v/>
      </c>
      <c r="AA19" s="46" t="inlineStr"/>
      <c r="AB19" s="47" t="inlineStr"/>
      <c r="AC19" s="48">
        <f>IF(OR(AA19="",AB19=""),"",AB19-AA19)</f>
        <v/>
      </c>
      <c r="AD19" s="46" t="inlineStr"/>
      <c r="AE19" s="47" t="inlineStr"/>
      <c r="AF19" s="48">
        <f>IF(OR(AD19="",AE19=""),"",AE19-AD19)</f>
        <v/>
      </c>
      <c r="AG19" s="46" t="inlineStr"/>
      <c r="AH19" s="47" t="inlineStr"/>
      <c r="AI19" s="48">
        <f>IF(OR(AG19="",AH19=""),"",AH19-AG19)</f>
        <v/>
      </c>
      <c r="AJ19" s="46" t="inlineStr"/>
      <c r="AK19" s="47" t="inlineStr"/>
      <c r="AL19" s="48">
        <f>IF(OR(AJ19="",AK19=""),"",AK19-AJ19)</f>
        <v/>
      </c>
      <c r="AM19" s="46" t="inlineStr"/>
      <c r="AN19" s="47" t="inlineStr"/>
      <c r="AO19" s="48">
        <f>IF(OR(AM19="",AN19=""),"",AN19-AM19)</f>
        <v/>
      </c>
      <c r="AP19" s="46" t="inlineStr"/>
      <c r="AQ19" s="47" t="inlineStr"/>
      <c r="AR19" s="48">
        <f>IF(OR(AP19="",AQ19=""),"",AQ19-AP19)</f>
        <v/>
      </c>
      <c r="AS19" s="46" t="inlineStr"/>
      <c r="AT19" s="47" t="inlineStr"/>
      <c r="AU19" s="48">
        <f>IF(OR(AS19="",AT19=""),"",AT19-AS19)</f>
        <v/>
      </c>
      <c r="AV19" s="46" t="inlineStr"/>
      <c r="AW19" s="47" t="inlineStr"/>
      <c r="AX19" s="48">
        <f>IF(OR(AV19="",AW19=""),"",AW19-AV19)</f>
        <v/>
      </c>
    </row>
    <row r="20" ht="22" customHeight="1">
      <c r="A20" s="44">
        <f>IF('Employees'!B20="","",'Employees'!B20)</f>
        <v/>
      </c>
      <c r="B20" s="45">
        <f>IF('Employees'!B20="","",'Employees'!C20)</f>
        <v/>
      </c>
      <c r="C20" s="46" t="inlineStr"/>
      <c r="D20" s="47" t="inlineStr"/>
      <c r="E20" s="48">
        <f>IF(OR(C20="",D20=""),"",D20-C20)</f>
        <v/>
      </c>
      <c r="F20" s="46" t="inlineStr"/>
      <c r="G20" s="47" t="inlineStr"/>
      <c r="H20" s="48">
        <f>IF(OR(F20="",G20=""),"",G20-F20)</f>
        <v/>
      </c>
      <c r="I20" s="46" t="inlineStr"/>
      <c r="J20" s="47" t="inlineStr"/>
      <c r="K20" s="48">
        <f>IF(OR(I20="",J20=""),"",J20-I20)</f>
        <v/>
      </c>
      <c r="L20" s="46" t="inlineStr"/>
      <c r="M20" s="47" t="inlineStr"/>
      <c r="N20" s="48">
        <f>IF(OR(L20="",M20=""),"",M20-L20)</f>
        <v/>
      </c>
      <c r="O20" s="46" t="inlineStr"/>
      <c r="P20" s="47" t="inlineStr"/>
      <c r="Q20" s="48">
        <f>IF(OR(O20="",P20=""),"",P20-O20)</f>
        <v/>
      </c>
      <c r="R20" s="46" t="inlineStr"/>
      <c r="S20" s="47" t="inlineStr"/>
      <c r="T20" s="48">
        <f>IF(OR(R20="",S20=""),"",S20-R20)</f>
        <v/>
      </c>
      <c r="U20" s="46" t="inlineStr"/>
      <c r="V20" s="47" t="inlineStr"/>
      <c r="W20" s="48">
        <f>IF(OR(U20="",V20=""),"",V20-U20)</f>
        <v/>
      </c>
      <c r="X20" s="46" t="inlineStr"/>
      <c r="Y20" s="47" t="inlineStr"/>
      <c r="Z20" s="48">
        <f>IF(OR(X20="",Y20=""),"",Y20-X20)</f>
        <v/>
      </c>
      <c r="AA20" s="46" t="inlineStr"/>
      <c r="AB20" s="47" t="inlineStr"/>
      <c r="AC20" s="48">
        <f>IF(OR(AA20="",AB20=""),"",AB20-AA20)</f>
        <v/>
      </c>
      <c r="AD20" s="46" t="inlineStr"/>
      <c r="AE20" s="47" t="inlineStr"/>
      <c r="AF20" s="48">
        <f>IF(OR(AD20="",AE20=""),"",AE20-AD20)</f>
        <v/>
      </c>
      <c r="AG20" s="46" t="inlineStr"/>
      <c r="AH20" s="47" t="inlineStr"/>
      <c r="AI20" s="48">
        <f>IF(OR(AG20="",AH20=""),"",AH20-AG20)</f>
        <v/>
      </c>
      <c r="AJ20" s="46" t="inlineStr"/>
      <c r="AK20" s="47" t="inlineStr"/>
      <c r="AL20" s="48">
        <f>IF(OR(AJ20="",AK20=""),"",AK20-AJ20)</f>
        <v/>
      </c>
      <c r="AM20" s="46" t="inlineStr"/>
      <c r="AN20" s="47" t="inlineStr"/>
      <c r="AO20" s="48">
        <f>IF(OR(AM20="",AN20=""),"",AN20-AM20)</f>
        <v/>
      </c>
      <c r="AP20" s="46" t="inlineStr"/>
      <c r="AQ20" s="47" t="inlineStr"/>
      <c r="AR20" s="48">
        <f>IF(OR(AP20="",AQ20=""),"",AQ20-AP20)</f>
        <v/>
      </c>
      <c r="AS20" s="46" t="inlineStr"/>
      <c r="AT20" s="47" t="inlineStr"/>
      <c r="AU20" s="48">
        <f>IF(OR(AS20="",AT20=""),"",AT20-AS20)</f>
        <v/>
      </c>
      <c r="AV20" s="46" t="inlineStr"/>
      <c r="AW20" s="47" t="inlineStr"/>
      <c r="AX20" s="48">
        <f>IF(OR(AV20="",AW20=""),"",AW20-AV20)</f>
        <v/>
      </c>
    </row>
    <row r="21" ht="22" customHeight="1">
      <c r="A21" s="44">
        <f>IF('Employees'!B21="","",'Employees'!B21)</f>
        <v/>
      </c>
      <c r="B21" s="45">
        <f>IF('Employees'!B21="","",'Employees'!C21)</f>
        <v/>
      </c>
      <c r="C21" s="46" t="inlineStr"/>
      <c r="D21" s="47" t="inlineStr"/>
      <c r="E21" s="48">
        <f>IF(OR(C21="",D21=""),"",D21-C21)</f>
        <v/>
      </c>
      <c r="F21" s="46" t="inlineStr"/>
      <c r="G21" s="47" t="inlineStr"/>
      <c r="H21" s="48">
        <f>IF(OR(F21="",G21=""),"",G21-F21)</f>
        <v/>
      </c>
      <c r="I21" s="46" t="inlineStr"/>
      <c r="J21" s="47" t="inlineStr"/>
      <c r="K21" s="48">
        <f>IF(OR(I21="",J21=""),"",J21-I21)</f>
        <v/>
      </c>
      <c r="L21" s="46" t="inlineStr"/>
      <c r="M21" s="47" t="inlineStr"/>
      <c r="N21" s="48">
        <f>IF(OR(L21="",M21=""),"",M21-L21)</f>
        <v/>
      </c>
      <c r="O21" s="46" t="inlineStr"/>
      <c r="P21" s="47" t="inlineStr"/>
      <c r="Q21" s="48">
        <f>IF(OR(O21="",P21=""),"",P21-O21)</f>
        <v/>
      </c>
      <c r="R21" s="46" t="inlineStr"/>
      <c r="S21" s="47" t="inlineStr"/>
      <c r="T21" s="48">
        <f>IF(OR(R21="",S21=""),"",S21-R21)</f>
        <v/>
      </c>
      <c r="U21" s="46" t="inlineStr"/>
      <c r="V21" s="47" t="inlineStr"/>
      <c r="W21" s="48">
        <f>IF(OR(U21="",V21=""),"",V21-U21)</f>
        <v/>
      </c>
      <c r="X21" s="46" t="inlineStr"/>
      <c r="Y21" s="47" t="inlineStr"/>
      <c r="Z21" s="48">
        <f>IF(OR(X21="",Y21=""),"",Y21-X21)</f>
        <v/>
      </c>
      <c r="AA21" s="46" t="inlineStr"/>
      <c r="AB21" s="47" t="inlineStr"/>
      <c r="AC21" s="48">
        <f>IF(OR(AA21="",AB21=""),"",AB21-AA21)</f>
        <v/>
      </c>
      <c r="AD21" s="46" t="inlineStr"/>
      <c r="AE21" s="47" t="inlineStr"/>
      <c r="AF21" s="48">
        <f>IF(OR(AD21="",AE21=""),"",AE21-AD21)</f>
        <v/>
      </c>
      <c r="AG21" s="46" t="inlineStr"/>
      <c r="AH21" s="47" t="inlineStr"/>
      <c r="AI21" s="48">
        <f>IF(OR(AG21="",AH21=""),"",AH21-AG21)</f>
        <v/>
      </c>
      <c r="AJ21" s="46" t="inlineStr"/>
      <c r="AK21" s="47" t="inlineStr"/>
      <c r="AL21" s="48">
        <f>IF(OR(AJ21="",AK21=""),"",AK21-AJ21)</f>
        <v/>
      </c>
      <c r="AM21" s="46" t="inlineStr"/>
      <c r="AN21" s="47" t="inlineStr"/>
      <c r="AO21" s="48">
        <f>IF(OR(AM21="",AN21=""),"",AN21-AM21)</f>
        <v/>
      </c>
      <c r="AP21" s="46" t="inlineStr"/>
      <c r="AQ21" s="47" t="inlineStr"/>
      <c r="AR21" s="48">
        <f>IF(OR(AP21="",AQ21=""),"",AQ21-AP21)</f>
        <v/>
      </c>
      <c r="AS21" s="46" t="inlineStr"/>
      <c r="AT21" s="47" t="inlineStr"/>
      <c r="AU21" s="48">
        <f>IF(OR(AS21="",AT21=""),"",AT21-AS21)</f>
        <v/>
      </c>
      <c r="AV21" s="46" t="inlineStr"/>
      <c r="AW21" s="47" t="inlineStr"/>
      <c r="AX21" s="48">
        <f>IF(OR(AV21="",AW21=""),"",AW21-AV21)</f>
        <v/>
      </c>
    </row>
    <row r="23">
      <c r="A23" s="49" t="inlineStr">
        <is>
          <t>Rating scale</t>
        </is>
      </c>
      <c r="C23" s="50" t="inlineStr">
        <is>
          <t>1  Beginner</t>
        </is>
      </c>
      <c r="D23" s="51" t="inlineStr">
        <is>
          <t>2  Basic</t>
        </is>
      </c>
      <c r="E23" s="52" t="inlineStr">
        <is>
          <t>3  Competent</t>
        </is>
      </c>
      <c r="F23" s="53" t="inlineStr">
        <is>
          <t>4  Proficient</t>
        </is>
      </c>
      <c r="G23" s="54" t="inlineStr">
        <is>
          <t>5  Expert</t>
        </is>
      </c>
    </row>
    <row r="24" ht="32" customHeight="1">
      <c r="A24" s="55" t="inlineStr">
        <is>
          <t>To add a skill: type its name in the next yellow row on the Skills sheet. To add a person: use the next yellow row on the Employees sheet. Green Change = improved vs last year; red = declined.</t>
        </is>
      </c>
    </row>
  </sheetData>
  <mergeCells count="38">
    <mergeCell ref="A24:H24"/>
    <mergeCell ref="O4:Q4"/>
    <mergeCell ref="X3:Z3"/>
    <mergeCell ref="AA4:AC4"/>
    <mergeCell ref="AJ3:AL3"/>
    <mergeCell ref="L4:N4"/>
    <mergeCell ref="I3:K3"/>
    <mergeCell ref="U3:W3"/>
    <mergeCell ref="R3:T3"/>
    <mergeCell ref="AM4:AO4"/>
    <mergeCell ref="X4:Z4"/>
    <mergeCell ref="AG3:AI3"/>
    <mergeCell ref="B3:B5"/>
    <mergeCell ref="I4:K4"/>
    <mergeCell ref="AA3:AC3"/>
    <mergeCell ref="AJ4:AL4"/>
    <mergeCell ref="AM3:AO3"/>
    <mergeCell ref="AS3:AU3"/>
    <mergeCell ref="A2:H2"/>
    <mergeCell ref="AD4:AF4"/>
    <mergeCell ref="U4:W4"/>
    <mergeCell ref="C3:E3"/>
    <mergeCell ref="F4:H4"/>
    <mergeCell ref="AD3:AF3"/>
    <mergeCell ref="AP4:AR4"/>
    <mergeCell ref="AV4:AX4"/>
    <mergeCell ref="A23:B23"/>
    <mergeCell ref="AG4:AI4"/>
    <mergeCell ref="O3:Q3"/>
    <mergeCell ref="AP3:AR3"/>
    <mergeCell ref="R4:T4"/>
    <mergeCell ref="A3:A5"/>
    <mergeCell ref="C4:E4"/>
    <mergeCell ref="AS4:AU4"/>
    <mergeCell ref="AV3:AX3"/>
    <mergeCell ref="F3:H3"/>
    <mergeCell ref="L3:N3"/>
    <mergeCell ref="I2:AX2"/>
  </mergeCells>
  <conditionalFormatting sqref="C6:C21">
    <cfRule type="cellIs" priority="1" operator="equal" dxfId="0">
      <formula>1</formula>
    </cfRule>
    <cfRule type="cellIs" priority="2" operator="equal" dxfId="1">
      <formula>2</formula>
    </cfRule>
    <cfRule type="cellIs" priority="3" operator="equal" dxfId="2">
      <formula>3</formula>
    </cfRule>
    <cfRule type="cellIs" priority="4" operator="equal" dxfId="3">
      <formula>4</formula>
    </cfRule>
    <cfRule type="cellIs" priority="5" operator="equal" dxfId="4">
      <formula>5</formula>
    </cfRule>
  </conditionalFormatting>
  <conditionalFormatting sqref="D6:D21">
    <cfRule type="cellIs" priority="6" operator="equal" dxfId="0">
      <formula>1</formula>
    </cfRule>
    <cfRule type="cellIs" priority="7" operator="equal" dxfId="1">
      <formula>2</formula>
    </cfRule>
    <cfRule type="cellIs" priority="8" operator="equal" dxfId="2">
      <formula>3</formula>
    </cfRule>
    <cfRule type="cellIs" priority="9" operator="equal" dxfId="3">
      <formula>4</formula>
    </cfRule>
    <cfRule type="cellIs" priority="10" operator="equal" dxfId="4">
      <formula>5</formula>
    </cfRule>
  </conditionalFormatting>
  <conditionalFormatting sqref="E6:E21">
    <cfRule type="cellIs" priority="11" operator="greaterThan" dxfId="5">
      <formula>0</formula>
    </cfRule>
    <cfRule type="cellIs" priority="12" operator="lessThan" dxfId="6">
      <formula>0</formula>
    </cfRule>
    <cfRule type="cellIs" priority="13" operator="equal" dxfId="7">
      <formula>0</formula>
    </cfRule>
  </conditionalFormatting>
  <conditionalFormatting sqref="F6:F21">
    <cfRule type="cellIs" priority="14" operator="equal" dxfId="0">
      <formula>1</formula>
    </cfRule>
    <cfRule type="cellIs" priority="15" operator="equal" dxfId="1">
      <formula>2</formula>
    </cfRule>
    <cfRule type="cellIs" priority="16" operator="equal" dxfId="2">
      <formula>3</formula>
    </cfRule>
    <cfRule type="cellIs" priority="17" operator="equal" dxfId="3">
      <formula>4</formula>
    </cfRule>
    <cfRule type="cellIs" priority="18" operator="equal" dxfId="4">
      <formula>5</formula>
    </cfRule>
  </conditionalFormatting>
  <conditionalFormatting sqref="G6:G21">
    <cfRule type="cellIs" priority="19" operator="equal" dxfId="0">
      <formula>1</formula>
    </cfRule>
    <cfRule type="cellIs" priority="20" operator="equal" dxfId="1">
      <formula>2</formula>
    </cfRule>
    <cfRule type="cellIs" priority="21" operator="equal" dxfId="2">
      <formula>3</formula>
    </cfRule>
    <cfRule type="cellIs" priority="22" operator="equal" dxfId="3">
      <formula>4</formula>
    </cfRule>
    <cfRule type="cellIs" priority="23" operator="equal" dxfId="4">
      <formula>5</formula>
    </cfRule>
  </conditionalFormatting>
  <conditionalFormatting sqref="H6:H21">
    <cfRule type="cellIs" priority="24" operator="greaterThan" dxfId="5">
      <formula>0</formula>
    </cfRule>
    <cfRule type="cellIs" priority="25" operator="lessThan" dxfId="6">
      <formula>0</formula>
    </cfRule>
    <cfRule type="cellIs" priority="26" operator="equal" dxfId="7">
      <formula>0</formula>
    </cfRule>
  </conditionalFormatting>
  <conditionalFormatting sqref="I6:I21">
    <cfRule type="cellIs" priority="27" operator="equal" dxfId="0">
      <formula>1</formula>
    </cfRule>
    <cfRule type="cellIs" priority="28" operator="equal" dxfId="1">
      <formula>2</formula>
    </cfRule>
    <cfRule type="cellIs" priority="29" operator="equal" dxfId="2">
      <formula>3</formula>
    </cfRule>
    <cfRule type="cellIs" priority="30" operator="equal" dxfId="3">
      <formula>4</formula>
    </cfRule>
    <cfRule type="cellIs" priority="31" operator="equal" dxfId="4">
      <formula>5</formula>
    </cfRule>
  </conditionalFormatting>
  <conditionalFormatting sqref="J6:J21">
    <cfRule type="cellIs" priority="32" operator="equal" dxfId="0">
      <formula>1</formula>
    </cfRule>
    <cfRule type="cellIs" priority="33" operator="equal" dxfId="1">
      <formula>2</formula>
    </cfRule>
    <cfRule type="cellIs" priority="34" operator="equal" dxfId="2">
      <formula>3</formula>
    </cfRule>
    <cfRule type="cellIs" priority="35" operator="equal" dxfId="3">
      <formula>4</formula>
    </cfRule>
    <cfRule type="cellIs" priority="36" operator="equal" dxfId="4">
      <formula>5</formula>
    </cfRule>
  </conditionalFormatting>
  <conditionalFormatting sqref="K6:K21">
    <cfRule type="cellIs" priority="37" operator="greaterThan" dxfId="5">
      <formula>0</formula>
    </cfRule>
    <cfRule type="cellIs" priority="38" operator="lessThan" dxfId="6">
      <formula>0</formula>
    </cfRule>
    <cfRule type="cellIs" priority="39" operator="equal" dxfId="7">
      <formula>0</formula>
    </cfRule>
  </conditionalFormatting>
  <conditionalFormatting sqref="L6:L21">
    <cfRule type="cellIs" priority="40" operator="equal" dxfId="0">
      <formula>1</formula>
    </cfRule>
    <cfRule type="cellIs" priority="41" operator="equal" dxfId="1">
      <formula>2</formula>
    </cfRule>
    <cfRule type="cellIs" priority="42" operator="equal" dxfId="2">
      <formula>3</formula>
    </cfRule>
    <cfRule type="cellIs" priority="43" operator="equal" dxfId="3">
      <formula>4</formula>
    </cfRule>
    <cfRule type="cellIs" priority="44" operator="equal" dxfId="4">
      <formula>5</formula>
    </cfRule>
  </conditionalFormatting>
  <conditionalFormatting sqref="M6:M21">
    <cfRule type="cellIs" priority="45" operator="equal" dxfId="0">
      <formula>1</formula>
    </cfRule>
    <cfRule type="cellIs" priority="46" operator="equal" dxfId="1">
      <formula>2</formula>
    </cfRule>
    <cfRule type="cellIs" priority="47" operator="equal" dxfId="2">
      <formula>3</formula>
    </cfRule>
    <cfRule type="cellIs" priority="48" operator="equal" dxfId="3">
      <formula>4</formula>
    </cfRule>
    <cfRule type="cellIs" priority="49" operator="equal" dxfId="4">
      <formula>5</formula>
    </cfRule>
  </conditionalFormatting>
  <conditionalFormatting sqref="N6:N21">
    <cfRule type="cellIs" priority="50" operator="greaterThan" dxfId="5">
      <formula>0</formula>
    </cfRule>
    <cfRule type="cellIs" priority="51" operator="lessThan" dxfId="6">
      <formula>0</formula>
    </cfRule>
    <cfRule type="cellIs" priority="52" operator="equal" dxfId="7">
      <formula>0</formula>
    </cfRule>
  </conditionalFormatting>
  <conditionalFormatting sqref="O6:O21">
    <cfRule type="cellIs" priority="53" operator="equal" dxfId="0">
      <formula>1</formula>
    </cfRule>
    <cfRule type="cellIs" priority="54" operator="equal" dxfId="1">
      <formula>2</formula>
    </cfRule>
    <cfRule type="cellIs" priority="55" operator="equal" dxfId="2">
      <formula>3</formula>
    </cfRule>
    <cfRule type="cellIs" priority="56" operator="equal" dxfId="3">
      <formula>4</formula>
    </cfRule>
    <cfRule type="cellIs" priority="57" operator="equal" dxfId="4">
      <formula>5</formula>
    </cfRule>
  </conditionalFormatting>
  <conditionalFormatting sqref="P6:P21">
    <cfRule type="cellIs" priority="58" operator="equal" dxfId="0">
      <formula>1</formula>
    </cfRule>
    <cfRule type="cellIs" priority="59" operator="equal" dxfId="1">
      <formula>2</formula>
    </cfRule>
    <cfRule type="cellIs" priority="60" operator="equal" dxfId="2">
      <formula>3</formula>
    </cfRule>
    <cfRule type="cellIs" priority="61" operator="equal" dxfId="3">
      <formula>4</formula>
    </cfRule>
    <cfRule type="cellIs" priority="62" operator="equal" dxfId="4">
      <formula>5</formula>
    </cfRule>
  </conditionalFormatting>
  <conditionalFormatting sqref="Q6:Q21">
    <cfRule type="cellIs" priority="63" operator="greaterThan" dxfId="5">
      <formula>0</formula>
    </cfRule>
    <cfRule type="cellIs" priority="64" operator="lessThan" dxfId="6">
      <formula>0</formula>
    </cfRule>
    <cfRule type="cellIs" priority="65" operator="equal" dxfId="7">
      <formula>0</formula>
    </cfRule>
  </conditionalFormatting>
  <conditionalFormatting sqref="R6:R21">
    <cfRule type="cellIs" priority="66" operator="equal" dxfId="0">
      <formula>1</formula>
    </cfRule>
    <cfRule type="cellIs" priority="67" operator="equal" dxfId="1">
      <formula>2</formula>
    </cfRule>
    <cfRule type="cellIs" priority="68" operator="equal" dxfId="2">
      <formula>3</formula>
    </cfRule>
    <cfRule type="cellIs" priority="69" operator="equal" dxfId="3">
      <formula>4</formula>
    </cfRule>
    <cfRule type="cellIs" priority="70" operator="equal" dxfId="4">
      <formula>5</formula>
    </cfRule>
  </conditionalFormatting>
  <conditionalFormatting sqref="S6:S21">
    <cfRule type="cellIs" priority="71" operator="equal" dxfId="0">
      <formula>1</formula>
    </cfRule>
    <cfRule type="cellIs" priority="72" operator="equal" dxfId="1">
      <formula>2</formula>
    </cfRule>
    <cfRule type="cellIs" priority="73" operator="equal" dxfId="2">
      <formula>3</formula>
    </cfRule>
    <cfRule type="cellIs" priority="74" operator="equal" dxfId="3">
      <formula>4</formula>
    </cfRule>
    <cfRule type="cellIs" priority="75" operator="equal" dxfId="4">
      <formula>5</formula>
    </cfRule>
  </conditionalFormatting>
  <conditionalFormatting sqref="T6:T21">
    <cfRule type="cellIs" priority="76" operator="greaterThan" dxfId="5">
      <formula>0</formula>
    </cfRule>
    <cfRule type="cellIs" priority="77" operator="lessThan" dxfId="6">
      <formula>0</formula>
    </cfRule>
    <cfRule type="cellIs" priority="78" operator="equal" dxfId="7">
      <formula>0</formula>
    </cfRule>
  </conditionalFormatting>
  <conditionalFormatting sqref="U6:U21">
    <cfRule type="cellIs" priority="79" operator="equal" dxfId="0">
      <formula>1</formula>
    </cfRule>
    <cfRule type="cellIs" priority="80" operator="equal" dxfId="1">
      <formula>2</formula>
    </cfRule>
    <cfRule type="cellIs" priority="81" operator="equal" dxfId="2">
      <formula>3</formula>
    </cfRule>
    <cfRule type="cellIs" priority="82" operator="equal" dxfId="3">
      <formula>4</formula>
    </cfRule>
    <cfRule type="cellIs" priority="83" operator="equal" dxfId="4">
      <formula>5</formula>
    </cfRule>
  </conditionalFormatting>
  <conditionalFormatting sqref="V6:V21">
    <cfRule type="cellIs" priority="84" operator="equal" dxfId="0">
      <formula>1</formula>
    </cfRule>
    <cfRule type="cellIs" priority="85" operator="equal" dxfId="1">
      <formula>2</formula>
    </cfRule>
    <cfRule type="cellIs" priority="86" operator="equal" dxfId="2">
      <formula>3</formula>
    </cfRule>
    <cfRule type="cellIs" priority="87" operator="equal" dxfId="3">
      <formula>4</formula>
    </cfRule>
    <cfRule type="cellIs" priority="88" operator="equal" dxfId="4">
      <formula>5</formula>
    </cfRule>
  </conditionalFormatting>
  <conditionalFormatting sqref="W6:W21">
    <cfRule type="cellIs" priority="89" operator="greaterThan" dxfId="5">
      <formula>0</formula>
    </cfRule>
    <cfRule type="cellIs" priority="90" operator="lessThan" dxfId="6">
      <formula>0</formula>
    </cfRule>
    <cfRule type="cellIs" priority="91" operator="equal" dxfId="7">
      <formula>0</formula>
    </cfRule>
  </conditionalFormatting>
  <conditionalFormatting sqref="X6:X21">
    <cfRule type="cellIs" priority="92" operator="equal" dxfId="0">
      <formula>1</formula>
    </cfRule>
    <cfRule type="cellIs" priority="93" operator="equal" dxfId="1">
      <formula>2</formula>
    </cfRule>
    <cfRule type="cellIs" priority="94" operator="equal" dxfId="2">
      <formula>3</formula>
    </cfRule>
    <cfRule type="cellIs" priority="95" operator="equal" dxfId="3">
      <formula>4</formula>
    </cfRule>
    <cfRule type="cellIs" priority="96" operator="equal" dxfId="4">
      <formula>5</formula>
    </cfRule>
  </conditionalFormatting>
  <conditionalFormatting sqref="Y6:Y21">
    <cfRule type="cellIs" priority="97" operator="equal" dxfId="0">
      <formula>1</formula>
    </cfRule>
    <cfRule type="cellIs" priority="98" operator="equal" dxfId="1">
      <formula>2</formula>
    </cfRule>
    <cfRule type="cellIs" priority="99" operator="equal" dxfId="2">
      <formula>3</formula>
    </cfRule>
    <cfRule type="cellIs" priority="100" operator="equal" dxfId="3">
      <formula>4</formula>
    </cfRule>
    <cfRule type="cellIs" priority="101" operator="equal" dxfId="4">
      <formula>5</formula>
    </cfRule>
  </conditionalFormatting>
  <conditionalFormatting sqref="Z6:Z21">
    <cfRule type="cellIs" priority="102" operator="greaterThan" dxfId="5">
      <formula>0</formula>
    </cfRule>
    <cfRule type="cellIs" priority="103" operator="lessThan" dxfId="6">
      <formula>0</formula>
    </cfRule>
    <cfRule type="cellIs" priority="104" operator="equal" dxfId="7">
      <formula>0</formula>
    </cfRule>
  </conditionalFormatting>
  <conditionalFormatting sqref="AA6:AA21">
    <cfRule type="cellIs" priority="105" operator="equal" dxfId="0">
      <formula>1</formula>
    </cfRule>
    <cfRule type="cellIs" priority="106" operator="equal" dxfId="1">
      <formula>2</formula>
    </cfRule>
    <cfRule type="cellIs" priority="107" operator="equal" dxfId="2">
      <formula>3</formula>
    </cfRule>
    <cfRule type="cellIs" priority="108" operator="equal" dxfId="3">
      <formula>4</formula>
    </cfRule>
    <cfRule type="cellIs" priority="109" operator="equal" dxfId="4">
      <formula>5</formula>
    </cfRule>
  </conditionalFormatting>
  <conditionalFormatting sqref="AB6:AB21">
    <cfRule type="cellIs" priority="110" operator="equal" dxfId="0">
      <formula>1</formula>
    </cfRule>
    <cfRule type="cellIs" priority="111" operator="equal" dxfId="1">
      <formula>2</formula>
    </cfRule>
    <cfRule type="cellIs" priority="112" operator="equal" dxfId="2">
      <formula>3</formula>
    </cfRule>
    <cfRule type="cellIs" priority="113" operator="equal" dxfId="3">
      <formula>4</formula>
    </cfRule>
    <cfRule type="cellIs" priority="114" operator="equal" dxfId="4">
      <formula>5</formula>
    </cfRule>
  </conditionalFormatting>
  <conditionalFormatting sqref="AC6:AC21">
    <cfRule type="cellIs" priority="115" operator="greaterThan" dxfId="5">
      <formula>0</formula>
    </cfRule>
    <cfRule type="cellIs" priority="116" operator="lessThan" dxfId="6">
      <formula>0</formula>
    </cfRule>
    <cfRule type="cellIs" priority="117" operator="equal" dxfId="7">
      <formula>0</formula>
    </cfRule>
  </conditionalFormatting>
  <conditionalFormatting sqref="AD6:AD21">
    <cfRule type="cellIs" priority="118" operator="equal" dxfId="0">
      <formula>1</formula>
    </cfRule>
    <cfRule type="cellIs" priority="119" operator="equal" dxfId="1">
      <formula>2</formula>
    </cfRule>
    <cfRule type="cellIs" priority="120" operator="equal" dxfId="2">
      <formula>3</formula>
    </cfRule>
    <cfRule type="cellIs" priority="121" operator="equal" dxfId="3">
      <formula>4</formula>
    </cfRule>
    <cfRule type="cellIs" priority="122" operator="equal" dxfId="4">
      <formula>5</formula>
    </cfRule>
  </conditionalFormatting>
  <conditionalFormatting sqref="AE6:AE21">
    <cfRule type="cellIs" priority="123" operator="equal" dxfId="0">
      <formula>1</formula>
    </cfRule>
    <cfRule type="cellIs" priority="124" operator="equal" dxfId="1">
      <formula>2</formula>
    </cfRule>
    <cfRule type="cellIs" priority="125" operator="equal" dxfId="2">
      <formula>3</formula>
    </cfRule>
    <cfRule type="cellIs" priority="126" operator="equal" dxfId="3">
      <formula>4</formula>
    </cfRule>
    <cfRule type="cellIs" priority="127" operator="equal" dxfId="4">
      <formula>5</formula>
    </cfRule>
  </conditionalFormatting>
  <conditionalFormatting sqref="AF6:AF21">
    <cfRule type="cellIs" priority="128" operator="greaterThan" dxfId="5">
      <formula>0</formula>
    </cfRule>
    <cfRule type="cellIs" priority="129" operator="lessThan" dxfId="6">
      <formula>0</formula>
    </cfRule>
    <cfRule type="cellIs" priority="130" operator="equal" dxfId="7">
      <formula>0</formula>
    </cfRule>
  </conditionalFormatting>
  <conditionalFormatting sqref="AG6:AG21">
    <cfRule type="cellIs" priority="131" operator="equal" dxfId="0">
      <formula>1</formula>
    </cfRule>
    <cfRule type="cellIs" priority="132" operator="equal" dxfId="1">
      <formula>2</formula>
    </cfRule>
    <cfRule type="cellIs" priority="133" operator="equal" dxfId="2">
      <formula>3</formula>
    </cfRule>
    <cfRule type="cellIs" priority="134" operator="equal" dxfId="3">
      <formula>4</formula>
    </cfRule>
    <cfRule type="cellIs" priority="135" operator="equal" dxfId="4">
      <formula>5</formula>
    </cfRule>
  </conditionalFormatting>
  <conditionalFormatting sqref="AH6:AH21">
    <cfRule type="cellIs" priority="136" operator="equal" dxfId="0">
      <formula>1</formula>
    </cfRule>
    <cfRule type="cellIs" priority="137" operator="equal" dxfId="1">
      <formula>2</formula>
    </cfRule>
    <cfRule type="cellIs" priority="138" operator="equal" dxfId="2">
      <formula>3</formula>
    </cfRule>
    <cfRule type="cellIs" priority="139" operator="equal" dxfId="3">
      <formula>4</formula>
    </cfRule>
    <cfRule type="cellIs" priority="140" operator="equal" dxfId="4">
      <formula>5</formula>
    </cfRule>
  </conditionalFormatting>
  <conditionalFormatting sqref="AI6:AI21">
    <cfRule type="cellIs" priority="141" operator="greaterThan" dxfId="5">
      <formula>0</formula>
    </cfRule>
    <cfRule type="cellIs" priority="142" operator="lessThan" dxfId="6">
      <formula>0</formula>
    </cfRule>
    <cfRule type="cellIs" priority="143" operator="equal" dxfId="7">
      <formula>0</formula>
    </cfRule>
  </conditionalFormatting>
  <conditionalFormatting sqref="AJ6:AJ21">
    <cfRule type="cellIs" priority="144" operator="equal" dxfId="0">
      <formula>1</formula>
    </cfRule>
    <cfRule type="cellIs" priority="145" operator="equal" dxfId="1">
      <formula>2</formula>
    </cfRule>
    <cfRule type="cellIs" priority="146" operator="equal" dxfId="2">
      <formula>3</formula>
    </cfRule>
    <cfRule type="cellIs" priority="147" operator="equal" dxfId="3">
      <formula>4</formula>
    </cfRule>
    <cfRule type="cellIs" priority="148" operator="equal" dxfId="4">
      <formula>5</formula>
    </cfRule>
  </conditionalFormatting>
  <conditionalFormatting sqref="AK6:AK21">
    <cfRule type="cellIs" priority="149" operator="equal" dxfId="0">
      <formula>1</formula>
    </cfRule>
    <cfRule type="cellIs" priority="150" operator="equal" dxfId="1">
      <formula>2</formula>
    </cfRule>
    <cfRule type="cellIs" priority="151" operator="equal" dxfId="2">
      <formula>3</formula>
    </cfRule>
    <cfRule type="cellIs" priority="152" operator="equal" dxfId="3">
      <formula>4</formula>
    </cfRule>
    <cfRule type="cellIs" priority="153" operator="equal" dxfId="4">
      <formula>5</formula>
    </cfRule>
  </conditionalFormatting>
  <conditionalFormatting sqref="AL6:AL21">
    <cfRule type="cellIs" priority="154" operator="greaterThan" dxfId="5">
      <formula>0</formula>
    </cfRule>
    <cfRule type="cellIs" priority="155" operator="lessThan" dxfId="6">
      <formula>0</formula>
    </cfRule>
    <cfRule type="cellIs" priority="156" operator="equal" dxfId="7">
      <formula>0</formula>
    </cfRule>
  </conditionalFormatting>
  <conditionalFormatting sqref="AM6:AM21">
    <cfRule type="cellIs" priority="157" operator="equal" dxfId="0">
      <formula>1</formula>
    </cfRule>
    <cfRule type="cellIs" priority="158" operator="equal" dxfId="1">
      <formula>2</formula>
    </cfRule>
    <cfRule type="cellIs" priority="159" operator="equal" dxfId="2">
      <formula>3</formula>
    </cfRule>
    <cfRule type="cellIs" priority="160" operator="equal" dxfId="3">
      <formula>4</formula>
    </cfRule>
    <cfRule type="cellIs" priority="161" operator="equal" dxfId="4">
      <formula>5</formula>
    </cfRule>
  </conditionalFormatting>
  <conditionalFormatting sqref="AN6:AN21">
    <cfRule type="cellIs" priority="162" operator="equal" dxfId="0">
      <formula>1</formula>
    </cfRule>
    <cfRule type="cellIs" priority="163" operator="equal" dxfId="1">
      <formula>2</formula>
    </cfRule>
    <cfRule type="cellIs" priority="164" operator="equal" dxfId="2">
      <formula>3</formula>
    </cfRule>
    <cfRule type="cellIs" priority="165" operator="equal" dxfId="3">
      <formula>4</formula>
    </cfRule>
    <cfRule type="cellIs" priority="166" operator="equal" dxfId="4">
      <formula>5</formula>
    </cfRule>
  </conditionalFormatting>
  <conditionalFormatting sqref="AO6:AO21">
    <cfRule type="cellIs" priority="167" operator="greaterThan" dxfId="5">
      <formula>0</formula>
    </cfRule>
    <cfRule type="cellIs" priority="168" operator="lessThan" dxfId="6">
      <formula>0</formula>
    </cfRule>
    <cfRule type="cellIs" priority="169" operator="equal" dxfId="7">
      <formula>0</formula>
    </cfRule>
  </conditionalFormatting>
  <conditionalFormatting sqref="AP6:AP21">
    <cfRule type="cellIs" priority="170" operator="equal" dxfId="0">
      <formula>1</formula>
    </cfRule>
    <cfRule type="cellIs" priority="171" operator="equal" dxfId="1">
      <formula>2</formula>
    </cfRule>
    <cfRule type="cellIs" priority="172" operator="equal" dxfId="2">
      <formula>3</formula>
    </cfRule>
    <cfRule type="cellIs" priority="173" operator="equal" dxfId="3">
      <formula>4</formula>
    </cfRule>
    <cfRule type="cellIs" priority="174" operator="equal" dxfId="4">
      <formula>5</formula>
    </cfRule>
  </conditionalFormatting>
  <conditionalFormatting sqref="AQ6:AQ21">
    <cfRule type="cellIs" priority="175" operator="equal" dxfId="0">
      <formula>1</formula>
    </cfRule>
    <cfRule type="cellIs" priority="176" operator="equal" dxfId="1">
      <formula>2</formula>
    </cfRule>
    <cfRule type="cellIs" priority="177" operator="equal" dxfId="2">
      <formula>3</formula>
    </cfRule>
    <cfRule type="cellIs" priority="178" operator="equal" dxfId="3">
      <formula>4</formula>
    </cfRule>
    <cfRule type="cellIs" priority="179" operator="equal" dxfId="4">
      <formula>5</formula>
    </cfRule>
  </conditionalFormatting>
  <conditionalFormatting sqref="AR6:AR21">
    <cfRule type="cellIs" priority="180" operator="greaterThan" dxfId="5">
      <formula>0</formula>
    </cfRule>
    <cfRule type="cellIs" priority="181" operator="lessThan" dxfId="6">
      <formula>0</formula>
    </cfRule>
    <cfRule type="cellIs" priority="182" operator="equal" dxfId="7">
      <formula>0</formula>
    </cfRule>
  </conditionalFormatting>
  <conditionalFormatting sqref="AS6:AS21">
    <cfRule type="cellIs" priority="183" operator="equal" dxfId="0">
      <formula>1</formula>
    </cfRule>
    <cfRule type="cellIs" priority="184" operator="equal" dxfId="1">
      <formula>2</formula>
    </cfRule>
    <cfRule type="cellIs" priority="185" operator="equal" dxfId="2">
      <formula>3</formula>
    </cfRule>
    <cfRule type="cellIs" priority="186" operator="equal" dxfId="3">
      <formula>4</formula>
    </cfRule>
    <cfRule type="cellIs" priority="187" operator="equal" dxfId="4">
      <formula>5</formula>
    </cfRule>
  </conditionalFormatting>
  <conditionalFormatting sqref="AT6:AT21">
    <cfRule type="cellIs" priority="188" operator="equal" dxfId="0">
      <formula>1</formula>
    </cfRule>
    <cfRule type="cellIs" priority="189" operator="equal" dxfId="1">
      <formula>2</formula>
    </cfRule>
    <cfRule type="cellIs" priority="190" operator="equal" dxfId="2">
      <formula>3</formula>
    </cfRule>
    <cfRule type="cellIs" priority="191" operator="equal" dxfId="3">
      <formula>4</formula>
    </cfRule>
    <cfRule type="cellIs" priority="192" operator="equal" dxfId="4">
      <formula>5</formula>
    </cfRule>
  </conditionalFormatting>
  <conditionalFormatting sqref="AU6:AU21">
    <cfRule type="cellIs" priority="193" operator="greaterThan" dxfId="5">
      <formula>0</formula>
    </cfRule>
    <cfRule type="cellIs" priority="194" operator="lessThan" dxfId="6">
      <formula>0</formula>
    </cfRule>
    <cfRule type="cellIs" priority="195" operator="equal" dxfId="7">
      <formula>0</formula>
    </cfRule>
  </conditionalFormatting>
  <conditionalFormatting sqref="AV6:AV21">
    <cfRule type="cellIs" priority="196" operator="equal" dxfId="0">
      <formula>1</formula>
    </cfRule>
    <cfRule type="cellIs" priority="197" operator="equal" dxfId="1">
      <formula>2</formula>
    </cfRule>
    <cfRule type="cellIs" priority="198" operator="equal" dxfId="2">
      <formula>3</formula>
    </cfRule>
    <cfRule type="cellIs" priority="199" operator="equal" dxfId="3">
      <formula>4</formula>
    </cfRule>
    <cfRule type="cellIs" priority="200" operator="equal" dxfId="4">
      <formula>5</formula>
    </cfRule>
  </conditionalFormatting>
  <conditionalFormatting sqref="AW6:AW21">
    <cfRule type="cellIs" priority="201" operator="equal" dxfId="0">
      <formula>1</formula>
    </cfRule>
    <cfRule type="cellIs" priority="202" operator="equal" dxfId="1">
      <formula>2</formula>
    </cfRule>
    <cfRule type="cellIs" priority="203" operator="equal" dxfId="2">
      <formula>3</formula>
    </cfRule>
    <cfRule type="cellIs" priority="204" operator="equal" dxfId="3">
      <formula>4</formula>
    </cfRule>
    <cfRule type="cellIs" priority="205" operator="equal" dxfId="4">
      <formula>5</formula>
    </cfRule>
  </conditionalFormatting>
  <conditionalFormatting sqref="AX6:AX21">
    <cfRule type="cellIs" priority="206" operator="greaterThan" dxfId="5">
      <formula>0</formula>
    </cfRule>
    <cfRule type="cellIs" priority="207" operator="lessThan" dxfId="6">
      <formula>0</formula>
    </cfRule>
    <cfRule type="cellIs" priority="208" operator="equal" dxfId="7">
      <formula>0</formula>
    </cfRule>
  </conditionalFormatting>
  <conditionalFormatting sqref="C3:E3">
    <cfRule type="expression" priority="209" dxfId="8">
      <formula>C3="Technical"</formula>
    </cfRule>
    <cfRule type="expression" priority="210" dxfId="9">
      <formula>C3="Tools"</formula>
    </cfRule>
    <cfRule type="expression" priority="211" dxfId="10">
      <formula>C3="Soft Skills"</formula>
    </cfRule>
    <cfRule type="expression" priority="212" dxfId="11">
      <formula>C3="Domain"</formula>
    </cfRule>
    <cfRule type="expression" priority="213" dxfId="12">
      <formula>C3=""</formula>
    </cfRule>
  </conditionalFormatting>
  <conditionalFormatting sqref="C4:E4">
    <cfRule type="expression" priority="214" dxfId="13">
      <formula>'Skills'!B6=""</formula>
    </cfRule>
  </conditionalFormatting>
  <conditionalFormatting sqref="F3:H3">
    <cfRule type="expression" priority="215" dxfId="8">
      <formula>F3="Technical"</formula>
    </cfRule>
    <cfRule type="expression" priority="216" dxfId="9">
      <formula>F3="Tools"</formula>
    </cfRule>
    <cfRule type="expression" priority="217" dxfId="10">
      <formula>F3="Soft Skills"</formula>
    </cfRule>
    <cfRule type="expression" priority="218" dxfId="11">
      <formula>F3="Domain"</formula>
    </cfRule>
    <cfRule type="expression" priority="219" dxfId="12">
      <formula>F3=""</formula>
    </cfRule>
  </conditionalFormatting>
  <conditionalFormatting sqref="F4:H4">
    <cfRule type="expression" priority="220" dxfId="13">
      <formula>'Skills'!B7=""</formula>
    </cfRule>
  </conditionalFormatting>
  <conditionalFormatting sqref="I3:K3">
    <cfRule type="expression" priority="221" dxfId="8">
      <formula>I3="Technical"</formula>
    </cfRule>
    <cfRule type="expression" priority="222" dxfId="9">
      <formula>I3="Tools"</formula>
    </cfRule>
    <cfRule type="expression" priority="223" dxfId="10">
      <formula>I3="Soft Skills"</formula>
    </cfRule>
    <cfRule type="expression" priority="224" dxfId="11">
      <formula>I3="Domain"</formula>
    </cfRule>
    <cfRule type="expression" priority="225" dxfId="12">
      <formula>I3=""</formula>
    </cfRule>
  </conditionalFormatting>
  <conditionalFormatting sqref="I4:K4">
    <cfRule type="expression" priority="226" dxfId="13">
      <formula>'Skills'!B8=""</formula>
    </cfRule>
  </conditionalFormatting>
  <conditionalFormatting sqref="L3:N3">
    <cfRule type="expression" priority="227" dxfId="8">
      <formula>L3="Technical"</formula>
    </cfRule>
    <cfRule type="expression" priority="228" dxfId="9">
      <formula>L3="Tools"</formula>
    </cfRule>
    <cfRule type="expression" priority="229" dxfId="10">
      <formula>L3="Soft Skills"</formula>
    </cfRule>
    <cfRule type="expression" priority="230" dxfId="11">
      <formula>L3="Domain"</formula>
    </cfRule>
    <cfRule type="expression" priority="231" dxfId="12">
      <formula>L3=""</formula>
    </cfRule>
  </conditionalFormatting>
  <conditionalFormatting sqref="L4:N4">
    <cfRule type="expression" priority="232" dxfId="13">
      <formula>'Skills'!B9=""</formula>
    </cfRule>
  </conditionalFormatting>
  <conditionalFormatting sqref="O3:Q3">
    <cfRule type="expression" priority="233" dxfId="8">
      <formula>O3="Technical"</formula>
    </cfRule>
    <cfRule type="expression" priority="234" dxfId="9">
      <formula>O3="Tools"</formula>
    </cfRule>
    <cfRule type="expression" priority="235" dxfId="10">
      <formula>O3="Soft Skills"</formula>
    </cfRule>
    <cfRule type="expression" priority="236" dxfId="11">
      <formula>O3="Domain"</formula>
    </cfRule>
    <cfRule type="expression" priority="237" dxfId="12">
      <formula>O3=""</formula>
    </cfRule>
  </conditionalFormatting>
  <conditionalFormatting sqref="O4:Q4">
    <cfRule type="expression" priority="238" dxfId="13">
      <formula>'Skills'!B10=""</formula>
    </cfRule>
  </conditionalFormatting>
  <conditionalFormatting sqref="R3:T3">
    <cfRule type="expression" priority="239" dxfId="8">
      <formula>R3="Technical"</formula>
    </cfRule>
    <cfRule type="expression" priority="240" dxfId="9">
      <formula>R3="Tools"</formula>
    </cfRule>
    <cfRule type="expression" priority="241" dxfId="10">
      <formula>R3="Soft Skills"</formula>
    </cfRule>
    <cfRule type="expression" priority="242" dxfId="11">
      <formula>R3="Domain"</formula>
    </cfRule>
    <cfRule type="expression" priority="243" dxfId="12">
      <formula>R3=""</formula>
    </cfRule>
  </conditionalFormatting>
  <conditionalFormatting sqref="R4:T4">
    <cfRule type="expression" priority="244" dxfId="13">
      <formula>'Skills'!B11=""</formula>
    </cfRule>
  </conditionalFormatting>
  <conditionalFormatting sqref="U3:W3">
    <cfRule type="expression" priority="245" dxfId="8">
      <formula>U3="Technical"</formula>
    </cfRule>
    <cfRule type="expression" priority="246" dxfId="9">
      <formula>U3="Tools"</formula>
    </cfRule>
    <cfRule type="expression" priority="247" dxfId="10">
      <formula>U3="Soft Skills"</formula>
    </cfRule>
    <cfRule type="expression" priority="248" dxfId="11">
      <formula>U3="Domain"</formula>
    </cfRule>
    <cfRule type="expression" priority="249" dxfId="12">
      <formula>U3=""</formula>
    </cfRule>
  </conditionalFormatting>
  <conditionalFormatting sqref="U4:W4">
    <cfRule type="expression" priority="250" dxfId="13">
      <formula>'Skills'!B12=""</formula>
    </cfRule>
  </conditionalFormatting>
  <conditionalFormatting sqref="X3:Z3">
    <cfRule type="expression" priority="251" dxfId="8">
      <formula>X3="Technical"</formula>
    </cfRule>
    <cfRule type="expression" priority="252" dxfId="9">
      <formula>X3="Tools"</formula>
    </cfRule>
    <cfRule type="expression" priority="253" dxfId="10">
      <formula>X3="Soft Skills"</formula>
    </cfRule>
    <cfRule type="expression" priority="254" dxfId="11">
      <formula>X3="Domain"</formula>
    </cfRule>
    <cfRule type="expression" priority="255" dxfId="12">
      <formula>X3=""</formula>
    </cfRule>
  </conditionalFormatting>
  <conditionalFormatting sqref="X4:Z4">
    <cfRule type="expression" priority="256" dxfId="13">
      <formula>'Skills'!B13=""</formula>
    </cfRule>
  </conditionalFormatting>
  <conditionalFormatting sqref="AA3:AC3">
    <cfRule type="expression" priority="257" dxfId="8">
      <formula>AA3="Technical"</formula>
    </cfRule>
    <cfRule type="expression" priority="258" dxfId="9">
      <formula>AA3="Tools"</formula>
    </cfRule>
    <cfRule type="expression" priority="259" dxfId="10">
      <formula>AA3="Soft Skills"</formula>
    </cfRule>
    <cfRule type="expression" priority="260" dxfId="11">
      <formula>AA3="Domain"</formula>
    </cfRule>
    <cfRule type="expression" priority="261" dxfId="12">
      <formula>AA3=""</formula>
    </cfRule>
  </conditionalFormatting>
  <conditionalFormatting sqref="AA4:AC4">
    <cfRule type="expression" priority="262" dxfId="13">
      <formula>'Skills'!B14=""</formula>
    </cfRule>
  </conditionalFormatting>
  <conditionalFormatting sqref="AD3:AF3">
    <cfRule type="expression" priority="263" dxfId="8">
      <formula>AD3="Technical"</formula>
    </cfRule>
    <cfRule type="expression" priority="264" dxfId="9">
      <formula>AD3="Tools"</formula>
    </cfRule>
    <cfRule type="expression" priority="265" dxfId="10">
      <formula>AD3="Soft Skills"</formula>
    </cfRule>
    <cfRule type="expression" priority="266" dxfId="11">
      <formula>AD3="Domain"</formula>
    </cfRule>
    <cfRule type="expression" priority="267" dxfId="12">
      <formula>AD3=""</formula>
    </cfRule>
  </conditionalFormatting>
  <conditionalFormatting sqref="AD4:AF4">
    <cfRule type="expression" priority="268" dxfId="13">
      <formula>'Skills'!B15=""</formula>
    </cfRule>
  </conditionalFormatting>
  <conditionalFormatting sqref="AG3:AI3">
    <cfRule type="expression" priority="269" dxfId="8">
      <formula>AG3="Technical"</formula>
    </cfRule>
    <cfRule type="expression" priority="270" dxfId="9">
      <formula>AG3="Tools"</formula>
    </cfRule>
    <cfRule type="expression" priority="271" dxfId="10">
      <formula>AG3="Soft Skills"</formula>
    </cfRule>
    <cfRule type="expression" priority="272" dxfId="11">
      <formula>AG3="Domain"</formula>
    </cfRule>
    <cfRule type="expression" priority="273" dxfId="12">
      <formula>AG3=""</formula>
    </cfRule>
  </conditionalFormatting>
  <conditionalFormatting sqref="AG4:AI4">
    <cfRule type="expression" priority="274" dxfId="13">
      <formula>'Skills'!B16=""</formula>
    </cfRule>
  </conditionalFormatting>
  <conditionalFormatting sqref="AJ3:AL3">
    <cfRule type="expression" priority="275" dxfId="8">
      <formula>AJ3="Technical"</formula>
    </cfRule>
    <cfRule type="expression" priority="276" dxfId="9">
      <formula>AJ3="Tools"</formula>
    </cfRule>
    <cfRule type="expression" priority="277" dxfId="10">
      <formula>AJ3="Soft Skills"</formula>
    </cfRule>
    <cfRule type="expression" priority="278" dxfId="11">
      <formula>AJ3="Domain"</formula>
    </cfRule>
    <cfRule type="expression" priority="279" dxfId="12">
      <formula>AJ3=""</formula>
    </cfRule>
  </conditionalFormatting>
  <conditionalFormatting sqref="AJ4:AL4">
    <cfRule type="expression" priority="280" dxfId="13">
      <formula>'Skills'!B17=""</formula>
    </cfRule>
  </conditionalFormatting>
  <conditionalFormatting sqref="AM3:AO3">
    <cfRule type="expression" priority="281" dxfId="8">
      <formula>AM3="Technical"</formula>
    </cfRule>
    <cfRule type="expression" priority="282" dxfId="9">
      <formula>AM3="Tools"</formula>
    </cfRule>
    <cfRule type="expression" priority="283" dxfId="10">
      <formula>AM3="Soft Skills"</formula>
    </cfRule>
    <cfRule type="expression" priority="284" dxfId="11">
      <formula>AM3="Domain"</formula>
    </cfRule>
    <cfRule type="expression" priority="285" dxfId="12">
      <formula>AM3=""</formula>
    </cfRule>
  </conditionalFormatting>
  <conditionalFormatting sqref="AM4:AO4">
    <cfRule type="expression" priority="286" dxfId="13">
      <formula>'Skills'!B18=""</formula>
    </cfRule>
  </conditionalFormatting>
  <conditionalFormatting sqref="AP3:AR3">
    <cfRule type="expression" priority="287" dxfId="8">
      <formula>AP3="Technical"</formula>
    </cfRule>
    <cfRule type="expression" priority="288" dxfId="9">
      <formula>AP3="Tools"</formula>
    </cfRule>
    <cfRule type="expression" priority="289" dxfId="10">
      <formula>AP3="Soft Skills"</formula>
    </cfRule>
    <cfRule type="expression" priority="290" dxfId="11">
      <formula>AP3="Domain"</formula>
    </cfRule>
    <cfRule type="expression" priority="291" dxfId="12">
      <formula>AP3=""</formula>
    </cfRule>
  </conditionalFormatting>
  <conditionalFormatting sqref="AP4:AR4">
    <cfRule type="expression" priority="292" dxfId="13">
      <formula>'Skills'!B19=""</formula>
    </cfRule>
  </conditionalFormatting>
  <conditionalFormatting sqref="AS3:AU3">
    <cfRule type="expression" priority="293" dxfId="8">
      <formula>AS3="Technical"</formula>
    </cfRule>
    <cfRule type="expression" priority="294" dxfId="9">
      <formula>AS3="Tools"</formula>
    </cfRule>
    <cfRule type="expression" priority="295" dxfId="10">
      <formula>AS3="Soft Skills"</formula>
    </cfRule>
    <cfRule type="expression" priority="296" dxfId="11">
      <formula>AS3="Domain"</formula>
    </cfRule>
    <cfRule type="expression" priority="297" dxfId="12">
      <formula>AS3=""</formula>
    </cfRule>
  </conditionalFormatting>
  <conditionalFormatting sqref="AS4:AU4">
    <cfRule type="expression" priority="298" dxfId="13">
      <formula>'Skills'!B20=""</formula>
    </cfRule>
  </conditionalFormatting>
  <conditionalFormatting sqref="AV3:AX3">
    <cfRule type="expression" priority="299" dxfId="8">
      <formula>AV3="Technical"</formula>
    </cfRule>
    <cfRule type="expression" priority="300" dxfId="9">
      <formula>AV3="Tools"</formula>
    </cfRule>
    <cfRule type="expression" priority="301" dxfId="10">
      <formula>AV3="Soft Skills"</formula>
    </cfRule>
    <cfRule type="expression" priority="302" dxfId="11">
      <formula>AV3="Domain"</formula>
    </cfRule>
    <cfRule type="expression" priority="303" dxfId="12">
      <formula>AV3=""</formula>
    </cfRule>
  </conditionalFormatting>
  <conditionalFormatting sqref="AV4:AX4">
    <cfRule type="expression" priority="304" dxfId="13">
      <formula>'Skills'!B21=""</formula>
    </cfRule>
  </conditionalFormatting>
  <dataValidations count="1">
    <dataValidation sqref="C6:D21 F6:G21 I6:J21 L6:M21 O6:P21 R6:S21 U6:V21 X6:Y21 AA6:AB21 AD6:AE21 AG6:AH21 AJ6:AK21 AM6:AN21 AP6:AQ21 AS6:AT21 AV6:AW21" showDropDown="0" showInputMessage="1" showErrorMessage="1" allowBlank="1" errorTitle="Rating must be 1–5" error="Enter a whole number from 1 (beginner) to 5 (expert), or leave the cell blank." promptTitle="Skill rating" prompt="1 = beginner · 2 = basic · 3 = competent · 4 = proficient · 5 = expert" type="whole" operator="between">
      <formula1>1</formula1>
      <formula2>5</formula2>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s>
  <pageMargins left="0.75" right="0.75" top="1" bottom="1" header="0.5" footer="0.5"/>
  <pageSetup orientation="landscape" paperSize="3" fitToHeight="1" fitToWidth="1"/>
  <headerFooter>
    <oddHeader>&amp;L&amp;BEmployee Skill Matrix</oddHeader>
    <oddFooter>&amp;RPage &amp;P of &amp;N</oddFooter>
    <evenHeader/>
    <evenFooter/>
    <firstHeader/>
    <firstFooter/>
  </headerFooter>
</worksheet>
</file>

<file path=xl/worksheets/sheet3.xml><?xml version="1.0" encoding="utf-8"?>
<worksheet xmlns="http://schemas.openxmlformats.org/spreadsheetml/2006/main">
  <sheetPr>
    <tabColor rgb="00C4A35A"/>
    <outlinePr summaryBelow="1" summaryRight="1"/>
    <pageSetUpPr fitToPage="1"/>
  </sheetPr>
  <dimension ref="A1:P59"/>
  <sheetViews>
    <sheetView showGridLines="0" zoomScale="100" workbookViewId="0">
      <pane ySplit="4" topLeftCell="A5" activePane="bottomLeft" state="frozen"/>
      <selection pane="bottomLeft" activeCell="A1" sqref="A1"/>
    </sheetView>
  </sheetViews>
  <sheetFormatPr baseColWidth="8" defaultRowHeight="15"/>
  <cols>
    <col width="24" customWidth="1" min="1" max="1"/>
    <col width="16" customWidth="1" min="2" max="2"/>
    <col width="16" customWidth="1" min="3" max="3"/>
    <col width="16" customWidth="1" min="4" max="4"/>
    <col width="12" customWidth="1" min="5" max="5"/>
    <col width="14" customWidth="1" min="6" max="6"/>
    <col width="12" customWidth="1" min="7" max="7"/>
    <col width="14"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ht="24" customHeight="1">
      <c r="A1" s="2" t="inlineStr">
        <is>
          <t>How to Use</t>
        </is>
      </c>
      <c r="B1" s="2" t="inlineStr">
        <is>
          <t>Skill Matrix</t>
        </is>
      </c>
      <c r="C1" s="1" t="inlineStr">
        <is>
          <t>Dashboard</t>
        </is>
      </c>
      <c r="D1" s="2" t="inlineStr">
        <is>
          <t>Employees</t>
        </is>
      </c>
      <c r="E1" s="2" t="inlineStr">
        <is>
          <t>Skills</t>
        </is>
      </c>
      <c r="F1" s="2" t="inlineStr">
        <is>
          <t>Settings</t>
        </is>
      </c>
      <c r="G1" s="3" t="inlineStr"/>
      <c r="H1" s="3" t="inlineStr"/>
      <c r="I1" s="3" t="inlineStr"/>
      <c r="J1" s="3" t="inlineStr"/>
      <c r="K1" s="3" t="inlineStr"/>
      <c r="L1" s="3" t="inlineStr"/>
      <c r="M1" s="3" t="inlineStr"/>
      <c r="N1" s="3" t="inlineStr"/>
      <c r="O1" s="3" t="inlineStr"/>
      <c r="P1" s="3" t="inlineStr"/>
    </row>
    <row r="2" ht="28" customHeight="1">
      <c r="A2" s="4" t="inlineStr">
        <is>
          <t>Year-over-year dashboard</t>
        </is>
      </c>
    </row>
    <row r="3">
      <c r="A3" s="56">
        <f>CONCATENATE("Comparing ",LastYear," with ",ThisYear,". Target rating: ",TargetRating,". Add skills or people and this page updates automatically.")</f>
        <v/>
      </c>
    </row>
    <row r="5">
      <c r="A5" s="57" t="inlineStr">
        <is>
          <t>This year average</t>
        </is>
      </c>
      <c r="B5" s="58" t="n"/>
      <c r="C5" s="58" t="n"/>
      <c r="D5" s="59" t="inlineStr">
        <is>
          <t>Last year average</t>
        </is>
      </c>
      <c r="E5" s="60" t="n"/>
      <c r="F5" s="60" t="n"/>
      <c r="G5" s="61" t="inlineStr">
        <is>
          <t>Year-over-year</t>
        </is>
      </c>
      <c r="H5" s="62" t="n"/>
      <c r="I5" s="62" t="n"/>
      <c r="J5" s="63" t="inlineStr">
        <is>
          <t>Skills below target</t>
        </is>
      </c>
      <c r="K5" s="64" t="n"/>
      <c r="L5" s="64" t="n"/>
      <c r="M5" s="65" t="inlineStr">
        <is>
          <t>Ratings entered</t>
        </is>
      </c>
      <c r="N5" s="66" t="n"/>
      <c r="O5" s="66" t="n"/>
    </row>
    <row r="6" ht="22" customHeight="1">
      <c r="A6" s="67">
        <f>IFERROR(ROUND(AVERAGE(DataThisYear),2),"—")</f>
        <v/>
      </c>
      <c r="B6" s="58" t="n"/>
      <c r="C6" s="58" t="n"/>
      <c r="D6" s="68">
        <f>IFERROR(ROUND(AVERAGE(DataLastYear),2),"—")</f>
        <v/>
      </c>
      <c r="E6" s="60" t="n"/>
      <c r="F6" s="60" t="n"/>
      <c r="G6" s="69">
        <f>IFERROR(ROUND(AVERAGE(DataThisYear)-AVERAGE(DataLastYear),2),"—")</f>
        <v/>
      </c>
      <c r="H6" s="70" t="n"/>
      <c r="I6" s="70" t="n"/>
      <c r="J6" s="71">
        <f>COUNTIF(H12:H27,"Yes")</f>
        <v/>
      </c>
      <c r="K6" s="64" t="n"/>
      <c r="L6" s="64" t="n"/>
      <c r="M6" s="72">
        <f>COUNT(DataThisYear)</f>
        <v/>
      </c>
      <c r="N6" s="66" t="n"/>
      <c r="O6" s="66" t="n"/>
    </row>
    <row r="7" ht="22" customHeight="1">
      <c r="A7" s="58" t="n"/>
      <c r="B7" s="58" t="n"/>
      <c r="C7" s="58" t="n"/>
      <c r="D7" s="60" t="n"/>
      <c r="E7" s="60" t="n"/>
      <c r="F7" s="60" t="n"/>
      <c r="G7" s="70" t="n"/>
      <c r="H7" s="70" t="n"/>
      <c r="I7" s="70" t="n"/>
      <c r="J7" s="64" t="n"/>
      <c r="K7" s="64" t="n"/>
      <c r="L7" s="64" t="n"/>
      <c r="M7" s="66" t="n"/>
      <c r="N7" s="66" t="n"/>
      <c r="O7" s="66" t="n"/>
    </row>
    <row r="10">
      <c r="A10" s="17" t="inlineStr">
        <is>
          <t>Skill comparison — last year vs this year</t>
        </is>
      </c>
    </row>
    <row r="11" ht="28" customHeight="1">
      <c r="A11" s="73" t="inlineStr">
        <is>
          <t>Skill</t>
        </is>
      </c>
      <c r="B11" s="73" t="inlineStr">
        <is>
          <t>Category</t>
        </is>
      </c>
      <c r="C11" s="73" t="inlineStr">
        <is>
          <t>Last year avg</t>
        </is>
      </c>
      <c r="D11" s="73" t="inlineStr">
        <is>
          <t>This year avg</t>
        </is>
      </c>
      <c r="E11" s="73" t="inlineStr">
        <is>
          <t>Change</t>
        </is>
      </c>
      <c r="F11" s="73" t="inlineStr">
        <is>
          <t>Status</t>
        </is>
      </c>
      <c r="G11" s="73" t="inlineStr">
        <is>
          <t># rated</t>
        </is>
      </c>
      <c r="H11" s="73" t="inlineStr">
        <is>
          <t>Below target?</t>
        </is>
      </c>
    </row>
    <row r="12" ht="20" customHeight="1">
      <c r="A12" s="74">
        <f>IF('Skills'!B6="","",'Skills'!B6)</f>
        <v/>
      </c>
      <c r="B12" s="74">
        <f>IF(A12="","",'Skills'!C6)</f>
        <v/>
      </c>
      <c r="C12" s="75">
        <f>IF(A12="","",IFERROR(ROUND(AVERAGEIF(DataSkill,A12,DataLastYear),2),""))</f>
        <v/>
      </c>
      <c r="D12" s="75">
        <f>IF(A12="","",IFERROR(ROUND(AVERAGEIF(DataSkill,A12,DataThisYear),2),""))</f>
        <v/>
      </c>
      <c r="E12" s="76">
        <f>IF(OR(C12="",D12=""),"",ROUND(D12-C12,2))</f>
        <v/>
      </c>
      <c r="F12" s="77">
        <f>IF(E12="","",IF(E12&gt;0,"Improved",IF(E12&lt;0,"Declined","Unchanged")))</f>
        <v/>
      </c>
      <c r="G12" s="77">
        <f>IF(A12="","",COUNTIFS(DataSkill,A12,DataThisYear,"&gt;=1"))</f>
        <v/>
      </c>
      <c r="H12" s="77">
        <f>IF(OR(A12="",D12=""),"",IF(D12&lt;TargetRating,"Yes","No"))</f>
        <v/>
      </c>
    </row>
    <row r="13" ht="20" customHeight="1">
      <c r="A13" s="74">
        <f>IF('Skills'!B7="","",'Skills'!B7)</f>
        <v/>
      </c>
      <c r="B13" s="74">
        <f>IF(A13="","",'Skills'!C7)</f>
        <v/>
      </c>
      <c r="C13" s="75">
        <f>IF(A13="","",IFERROR(ROUND(AVERAGEIF(DataSkill,A13,DataLastYear),2),""))</f>
        <v/>
      </c>
      <c r="D13" s="75">
        <f>IF(A13="","",IFERROR(ROUND(AVERAGEIF(DataSkill,A13,DataThisYear),2),""))</f>
        <v/>
      </c>
      <c r="E13" s="76">
        <f>IF(OR(C13="",D13=""),"",ROUND(D13-C13,2))</f>
        <v/>
      </c>
      <c r="F13" s="77">
        <f>IF(E13="","",IF(E13&gt;0,"Improved",IF(E13&lt;0,"Declined","Unchanged")))</f>
        <v/>
      </c>
      <c r="G13" s="77">
        <f>IF(A13="","",COUNTIFS(DataSkill,A13,DataThisYear,"&gt;=1"))</f>
        <v/>
      </c>
      <c r="H13" s="77">
        <f>IF(OR(A13="",D13=""),"",IF(D13&lt;TargetRating,"Yes","No"))</f>
        <v/>
      </c>
    </row>
    <row r="14" ht="20" customHeight="1">
      <c r="A14" s="74">
        <f>IF('Skills'!B8="","",'Skills'!B8)</f>
        <v/>
      </c>
      <c r="B14" s="74">
        <f>IF(A14="","",'Skills'!C8)</f>
        <v/>
      </c>
      <c r="C14" s="75">
        <f>IF(A14="","",IFERROR(ROUND(AVERAGEIF(DataSkill,A14,DataLastYear),2),""))</f>
        <v/>
      </c>
      <c r="D14" s="75">
        <f>IF(A14="","",IFERROR(ROUND(AVERAGEIF(DataSkill,A14,DataThisYear),2),""))</f>
        <v/>
      </c>
      <c r="E14" s="76">
        <f>IF(OR(C14="",D14=""),"",ROUND(D14-C14,2))</f>
        <v/>
      </c>
      <c r="F14" s="77">
        <f>IF(E14="","",IF(E14&gt;0,"Improved",IF(E14&lt;0,"Declined","Unchanged")))</f>
        <v/>
      </c>
      <c r="G14" s="77">
        <f>IF(A14="","",COUNTIFS(DataSkill,A14,DataThisYear,"&gt;=1"))</f>
        <v/>
      </c>
      <c r="H14" s="77">
        <f>IF(OR(A14="",D14=""),"",IF(D14&lt;TargetRating,"Yes","No"))</f>
        <v/>
      </c>
    </row>
    <row r="15" ht="20" customHeight="1">
      <c r="A15" s="74">
        <f>IF('Skills'!B9="","",'Skills'!B9)</f>
        <v/>
      </c>
      <c r="B15" s="74">
        <f>IF(A15="","",'Skills'!C9)</f>
        <v/>
      </c>
      <c r="C15" s="75">
        <f>IF(A15="","",IFERROR(ROUND(AVERAGEIF(DataSkill,A15,DataLastYear),2),""))</f>
        <v/>
      </c>
      <c r="D15" s="75">
        <f>IF(A15="","",IFERROR(ROUND(AVERAGEIF(DataSkill,A15,DataThisYear),2),""))</f>
        <v/>
      </c>
      <c r="E15" s="76">
        <f>IF(OR(C15="",D15=""),"",ROUND(D15-C15,2))</f>
        <v/>
      </c>
      <c r="F15" s="77">
        <f>IF(E15="","",IF(E15&gt;0,"Improved",IF(E15&lt;0,"Declined","Unchanged")))</f>
        <v/>
      </c>
      <c r="G15" s="77">
        <f>IF(A15="","",COUNTIFS(DataSkill,A15,DataThisYear,"&gt;=1"))</f>
        <v/>
      </c>
      <c r="H15" s="77">
        <f>IF(OR(A15="",D15=""),"",IF(D15&lt;TargetRating,"Yes","No"))</f>
        <v/>
      </c>
    </row>
    <row r="16" ht="20" customHeight="1">
      <c r="A16" s="74">
        <f>IF('Skills'!B10="","",'Skills'!B10)</f>
        <v/>
      </c>
      <c r="B16" s="74">
        <f>IF(A16="","",'Skills'!C10)</f>
        <v/>
      </c>
      <c r="C16" s="75">
        <f>IF(A16="","",IFERROR(ROUND(AVERAGEIF(DataSkill,A16,DataLastYear),2),""))</f>
        <v/>
      </c>
      <c r="D16" s="75">
        <f>IF(A16="","",IFERROR(ROUND(AVERAGEIF(DataSkill,A16,DataThisYear),2),""))</f>
        <v/>
      </c>
      <c r="E16" s="76">
        <f>IF(OR(C16="",D16=""),"",ROUND(D16-C16,2))</f>
        <v/>
      </c>
      <c r="F16" s="77">
        <f>IF(E16="","",IF(E16&gt;0,"Improved",IF(E16&lt;0,"Declined","Unchanged")))</f>
        <v/>
      </c>
      <c r="G16" s="77">
        <f>IF(A16="","",COUNTIFS(DataSkill,A16,DataThisYear,"&gt;=1"))</f>
        <v/>
      </c>
      <c r="H16" s="77">
        <f>IF(OR(A16="",D16=""),"",IF(D16&lt;TargetRating,"Yes","No"))</f>
        <v/>
      </c>
    </row>
    <row r="17" ht="20" customHeight="1">
      <c r="A17" s="74">
        <f>IF('Skills'!B11="","",'Skills'!B11)</f>
        <v/>
      </c>
      <c r="B17" s="74">
        <f>IF(A17="","",'Skills'!C11)</f>
        <v/>
      </c>
      <c r="C17" s="75">
        <f>IF(A17="","",IFERROR(ROUND(AVERAGEIF(DataSkill,A17,DataLastYear),2),""))</f>
        <v/>
      </c>
      <c r="D17" s="75">
        <f>IF(A17="","",IFERROR(ROUND(AVERAGEIF(DataSkill,A17,DataThisYear),2),""))</f>
        <v/>
      </c>
      <c r="E17" s="76">
        <f>IF(OR(C17="",D17=""),"",ROUND(D17-C17,2))</f>
        <v/>
      </c>
      <c r="F17" s="77">
        <f>IF(E17="","",IF(E17&gt;0,"Improved",IF(E17&lt;0,"Declined","Unchanged")))</f>
        <v/>
      </c>
      <c r="G17" s="77">
        <f>IF(A17="","",COUNTIFS(DataSkill,A17,DataThisYear,"&gt;=1"))</f>
        <v/>
      </c>
      <c r="H17" s="77">
        <f>IF(OR(A17="",D17=""),"",IF(D17&lt;TargetRating,"Yes","No"))</f>
        <v/>
      </c>
    </row>
    <row r="18" ht="20" customHeight="1">
      <c r="A18" s="74">
        <f>IF('Skills'!B12="","",'Skills'!B12)</f>
        <v/>
      </c>
      <c r="B18" s="74">
        <f>IF(A18="","",'Skills'!C12)</f>
        <v/>
      </c>
      <c r="C18" s="75">
        <f>IF(A18="","",IFERROR(ROUND(AVERAGEIF(DataSkill,A18,DataLastYear),2),""))</f>
        <v/>
      </c>
      <c r="D18" s="75">
        <f>IF(A18="","",IFERROR(ROUND(AVERAGEIF(DataSkill,A18,DataThisYear),2),""))</f>
        <v/>
      </c>
      <c r="E18" s="76">
        <f>IF(OR(C18="",D18=""),"",ROUND(D18-C18,2))</f>
        <v/>
      </c>
      <c r="F18" s="77">
        <f>IF(E18="","",IF(E18&gt;0,"Improved",IF(E18&lt;0,"Declined","Unchanged")))</f>
        <v/>
      </c>
      <c r="G18" s="77">
        <f>IF(A18="","",COUNTIFS(DataSkill,A18,DataThisYear,"&gt;=1"))</f>
        <v/>
      </c>
      <c r="H18" s="77">
        <f>IF(OR(A18="",D18=""),"",IF(D18&lt;TargetRating,"Yes","No"))</f>
        <v/>
      </c>
    </row>
    <row r="19" ht="20" customHeight="1">
      <c r="A19" s="74">
        <f>IF('Skills'!B13="","",'Skills'!B13)</f>
        <v/>
      </c>
      <c r="B19" s="74">
        <f>IF(A19="","",'Skills'!C13)</f>
        <v/>
      </c>
      <c r="C19" s="75">
        <f>IF(A19="","",IFERROR(ROUND(AVERAGEIF(DataSkill,A19,DataLastYear),2),""))</f>
        <v/>
      </c>
      <c r="D19" s="75">
        <f>IF(A19="","",IFERROR(ROUND(AVERAGEIF(DataSkill,A19,DataThisYear),2),""))</f>
        <v/>
      </c>
      <c r="E19" s="76">
        <f>IF(OR(C19="",D19=""),"",ROUND(D19-C19,2))</f>
        <v/>
      </c>
      <c r="F19" s="77">
        <f>IF(E19="","",IF(E19&gt;0,"Improved",IF(E19&lt;0,"Declined","Unchanged")))</f>
        <v/>
      </c>
      <c r="G19" s="77">
        <f>IF(A19="","",COUNTIFS(DataSkill,A19,DataThisYear,"&gt;=1"))</f>
        <v/>
      </c>
      <c r="H19" s="77">
        <f>IF(OR(A19="",D19=""),"",IF(D19&lt;TargetRating,"Yes","No"))</f>
        <v/>
      </c>
    </row>
    <row r="20" ht="20" customHeight="1">
      <c r="A20" s="74">
        <f>IF('Skills'!B14="","",'Skills'!B14)</f>
        <v/>
      </c>
      <c r="B20" s="74">
        <f>IF(A20="","",'Skills'!C14)</f>
        <v/>
      </c>
      <c r="C20" s="75">
        <f>IF(A20="","",IFERROR(ROUND(AVERAGEIF(DataSkill,A20,DataLastYear),2),""))</f>
        <v/>
      </c>
      <c r="D20" s="75">
        <f>IF(A20="","",IFERROR(ROUND(AVERAGEIF(DataSkill,A20,DataThisYear),2),""))</f>
        <v/>
      </c>
      <c r="E20" s="76">
        <f>IF(OR(C20="",D20=""),"",ROUND(D20-C20,2))</f>
        <v/>
      </c>
      <c r="F20" s="77">
        <f>IF(E20="","",IF(E20&gt;0,"Improved",IF(E20&lt;0,"Declined","Unchanged")))</f>
        <v/>
      </c>
      <c r="G20" s="77">
        <f>IF(A20="","",COUNTIFS(DataSkill,A20,DataThisYear,"&gt;=1"))</f>
        <v/>
      </c>
      <c r="H20" s="77">
        <f>IF(OR(A20="",D20=""),"",IF(D20&lt;TargetRating,"Yes","No"))</f>
        <v/>
      </c>
    </row>
    <row r="21" ht="20" customHeight="1">
      <c r="A21" s="74">
        <f>IF('Skills'!B15="","",'Skills'!B15)</f>
        <v/>
      </c>
      <c r="B21" s="74">
        <f>IF(A21="","",'Skills'!C15)</f>
        <v/>
      </c>
      <c r="C21" s="75">
        <f>IF(A21="","",IFERROR(ROUND(AVERAGEIF(DataSkill,A21,DataLastYear),2),""))</f>
        <v/>
      </c>
      <c r="D21" s="75">
        <f>IF(A21="","",IFERROR(ROUND(AVERAGEIF(DataSkill,A21,DataThisYear),2),""))</f>
        <v/>
      </c>
      <c r="E21" s="76">
        <f>IF(OR(C21="",D21=""),"",ROUND(D21-C21,2))</f>
        <v/>
      </c>
      <c r="F21" s="77">
        <f>IF(E21="","",IF(E21&gt;0,"Improved",IF(E21&lt;0,"Declined","Unchanged")))</f>
        <v/>
      </c>
      <c r="G21" s="77">
        <f>IF(A21="","",COUNTIFS(DataSkill,A21,DataThisYear,"&gt;=1"))</f>
        <v/>
      </c>
      <c r="H21" s="77">
        <f>IF(OR(A21="",D21=""),"",IF(D21&lt;TargetRating,"Yes","No"))</f>
        <v/>
      </c>
    </row>
    <row r="22" ht="20" customHeight="1">
      <c r="A22" s="74">
        <f>IF('Skills'!B16="","",'Skills'!B16)</f>
        <v/>
      </c>
      <c r="B22" s="74">
        <f>IF(A22="","",'Skills'!C16)</f>
        <v/>
      </c>
      <c r="C22" s="75">
        <f>IF(A22="","",IFERROR(ROUND(AVERAGEIF(DataSkill,A22,DataLastYear),2),""))</f>
        <v/>
      </c>
      <c r="D22" s="75">
        <f>IF(A22="","",IFERROR(ROUND(AVERAGEIF(DataSkill,A22,DataThisYear),2),""))</f>
        <v/>
      </c>
      <c r="E22" s="76">
        <f>IF(OR(C22="",D22=""),"",ROUND(D22-C22,2))</f>
        <v/>
      </c>
      <c r="F22" s="77">
        <f>IF(E22="","",IF(E22&gt;0,"Improved",IF(E22&lt;0,"Declined","Unchanged")))</f>
        <v/>
      </c>
      <c r="G22" s="77">
        <f>IF(A22="","",COUNTIFS(DataSkill,A22,DataThisYear,"&gt;=1"))</f>
        <v/>
      </c>
      <c r="H22" s="77">
        <f>IF(OR(A22="",D22=""),"",IF(D22&lt;TargetRating,"Yes","No"))</f>
        <v/>
      </c>
    </row>
    <row r="23" ht="20" customHeight="1">
      <c r="A23" s="74">
        <f>IF('Skills'!B17="","",'Skills'!B17)</f>
        <v/>
      </c>
      <c r="B23" s="74">
        <f>IF(A23="","",'Skills'!C17)</f>
        <v/>
      </c>
      <c r="C23" s="75">
        <f>IF(A23="","",IFERROR(ROUND(AVERAGEIF(DataSkill,A23,DataLastYear),2),""))</f>
        <v/>
      </c>
      <c r="D23" s="75">
        <f>IF(A23="","",IFERROR(ROUND(AVERAGEIF(DataSkill,A23,DataThisYear),2),""))</f>
        <v/>
      </c>
      <c r="E23" s="76">
        <f>IF(OR(C23="",D23=""),"",ROUND(D23-C23,2))</f>
        <v/>
      </c>
      <c r="F23" s="77">
        <f>IF(E23="","",IF(E23&gt;0,"Improved",IF(E23&lt;0,"Declined","Unchanged")))</f>
        <v/>
      </c>
      <c r="G23" s="77">
        <f>IF(A23="","",COUNTIFS(DataSkill,A23,DataThisYear,"&gt;=1"))</f>
        <v/>
      </c>
      <c r="H23" s="77">
        <f>IF(OR(A23="",D23=""),"",IF(D23&lt;TargetRating,"Yes","No"))</f>
        <v/>
      </c>
    </row>
    <row r="24" ht="20" customHeight="1">
      <c r="A24" s="74">
        <f>IF('Skills'!B18="","",'Skills'!B18)</f>
        <v/>
      </c>
      <c r="B24" s="74">
        <f>IF(A24="","",'Skills'!C18)</f>
        <v/>
      </c>
      <c r="C24" s="75">
        <f>IF(A24="","",IFERROR(ROUND(AVERAGEIF(DataSkill,A24,DataLastYear),2),""))</f>
        <v/>
      </c>
      <c r="D24" s="75">
        <f>IF(A24="","",IFERROR(ROUND(AVERAGEIF(DataSkill,A24,DataThisYear),2),""))</f>
        <v/>
      </c>
      <c r="E24" s="76">
        <f>IF(OR(C24="",D24=""),"",ROUND(D24-C24,2))</f>
        <v/>
      </c>
      <c r="F24" s="77">
        <f>IF(E24="","",IF(E24&gt;0,"Improved",IF(E24&lt;0,"Declined","Unchanged")))</f>
        <v/>
      </c>
      <c r="G24" s="77">
        <f>IF(A24="","",COUNTIFS(DataSkill,A24,DataThisYear,"&gt;=1"))</f>
        <v/>
      </c>
      <c r="H24" s="77">
        <f>IF(OR(A24="",D24=""),"",IF(D24&lt;TargetRating,"Yes","No"))</f>
        <v/>
      </c>
    </row>
    <row r="25" ht="20" customHeight="1">
      <c r="A25" s="74">
        <f>IF('Skills'!B19="","",'Skills'!B19)</f>
        <v/>
      </c>
      <c r="B25" s="74">
        <f>IF(A25="","",'Skills'!C19)</f>
        <v/>
      </c>
      <c r="C25" s="75">
        <f>IF(A25="","",IFERROR(ROUND(AVERAGEIF(DataSkill,A25,DataLastYear),2),""))</f>
        <v/>
      </c>
      <c r="D25" s="75">
        <f>IF(A25="","",IFERROR(ROUND(AVERAGEIF(DataSkill,A25,DataThisYear),2),""))</f>
        <v/>
      </c>
      <c r="E25" s="76">
        <f>IF(OR(C25="",D25=""),"",ROUND(D25-C25,2))</f>
        <v/>
      </c>
      <c r="F25" s="77">
        <f>IF(E25="","",IF(E25&gt;0,"Improved",IF(E25&lt;0,"Declined","Unchanged")))</f>
        <v/>
      </c>
      <c r="G25" s="77">
        <f>IF(A25="","",COUNTIFS(DataSkill,A25,DataThisYear,"&gt;=1"))</f>
        <v/>
      </c>
      <c r="H25" s="77">
        <f>IF(OR(A25="",D25=""),"",IF(D25&lt;TargetRating,"Yes","No"))</f>
        <v/>
      </c>
    </row>
    <row r="26" ht="20" customHeight="1">
      <c r="A26" s="74">
        <f>IF('Skills'!B20="","",'Skills'!B20)</f>
        <v/>
      </c>
      <c r="B26" s="74">
        <f>IF(A26="","",'Skills'!C20)</f>
        <v/>
      </c>
      <c r="C26" s="75">
        <f>IF(A26="","",IFERROR(ROUND(AVERAGEIF(DataSkill,A26,DataLastYear),2),""))</f>
        <v/>
      </c>
      <c r="D26" s="75">
        <f>IF(A26="","",IFERROR(ROUND(AVERAGEIF(DataSkill,A26,DataThisYear),2),""))</f>
        <v/>
      </c>
      <c r="E26" s="76">
        <f>IF(OR(C26="",D26=""),"",ROUND(D26-C26,2))</f>
        <v/>
      </c>
      <c r="F26" s="77">
        <f>IF(E26="","",IF(E26&gt;0,"Improved",IF(E26&lt;0,"Declined","Unchanged")))</f>
        <v/>
      </c>
      <c r="G26" s="77">
        <f>IF(A26="","",COUNTIFS(DataSkill,A26,DataThisYear,"&gt;=1"))</f>
        <v/>
      </c>
      <c r="H26" s="77">
        <f>IF(OR(A26="",D26=""),"",IF(D26&lt;TargetRating,"Yes","No"))</f>
        <v/>
      </c>
    </row>
    <row r="27" ht="20" customHeight="1">
      <c r="A27" s="74">
        <f>IF('Skills'!B21="","",'Skills'!B21)</f>
        <v/>
      </c>
      <c r="B27" s="74">
        <f>IF(A27="","",'Skills'!C21)</f>
        <v/>
      </c>
      <c r="C27" s="75">
        <f>IF(A27="","",IFERROR(ROUND(AVERAGEIF(DataSkill,A27,DataLastYear),2),""))</f>
        <v/>
      </c>
      <c r="D27" s="75">
        <f>IF(A27="","",IFERROR(ROUND(AVERAGEIF(DataSkill,A27,DataThisYear),2),""))</f>
        <v/>
      </c>
      <c r="E27" s="76">
        <f>IF(OR(C27="",D27=""),"",ROUND(D27-C27,2))</f>
        <v/>
      </c>
      <c r="F27" s="77">
        <f>IF(E27="","",IF(E27&gt;0,"Improved",IF(E27&lt;0,"Declined","Unchanged")))</f>
        <v/>
      </c>
      <c r="G27" s="77">
        <f>IF(A27="","",COUNTIFS(DataSkill,A27,DataThisYear,"&gt;=1"))</f>
        <v/>
      </c>
      <c r="H27" s="77">
        <f>IF(OR(A27="",D27=""),"",IF(D27&lt;TargetRating,"Yes","No"))</f>
        <v/>
      </c>
    </row>
    <row r="30">
      <c r="A30" s="17" t="inlineStr">
        <is>
          <t>Employee comparison — last year vs this year</t>
        </is>
      </c>
    </row>
    <row r="31">
      <c r="A31" s="73" t="inlineStr">
        <is>
          <t>Employee</t>
        </is>
      </c>
      <c r="B31" s="73" t="inlineStr">
        <is>
          <t>Department</t>
        </is>
      </c>
      <c r="C31" s="73" t="inlineStr">
        <is>
          <t>Last year avg</t>
        </is>
      </c>
      <c r="D31" s="73" t="inlineStr">
        <is>
          <t>This year avg</t>
        </is>
      </c>
      <c r="E31" s="73" t="inlineStr">
        <is>
          <t>Change</t>
        </is>
      </c>
      <c r="F31" s="73" t="inlineStr">
        <is>
          <t>Below target?</t>
        </is>
      </c>
    </row>
    <row r="32">
      <c r="A32" s="74">
        <f>IF('Employees'!B6="","",'Employees'!B6)</f>
        <v/>
      </c>
      <c r="B32" s="74">
        <f>IF(A32="","",'Employees'!C6)</f>
        <v/>
      </c>
      <c r="C32" s="75">
        <f>IF(A32="","",IFERROR(ROUND(AVERAGEIF(DataEmployee,A32,DataLastYear),2),""))</f>
        <v/>
      </c>
      <c r="D32" s="75">
        <f>IF(A32="","",IFERROR(ROUND(AVERAGEIF(DataEmployee,A32,DataThisYear),2),""))</f>
        <v/>
      </c>
      <c r="E32" s="76">
        <f>IF(OR(C32="",D32=""),"",ROUND(D32-C32,2))</f>
        <v/>
      </c>
      <c r="F32" s="77">
        <f>IF(OR(A32="",D32=""),"",IF(D32&lt;TargetRating,"Yes","No"))</f>
        <v/>
      </c>
    </row>
    <row r="33">
      <c r="A33" s="74">
        <f>IF('Employees'!B7="","",'Employees'!B7)</f>
        <v/>
      </c>
      <c r="B33" s="74">
        <f>IF(A33="","",'Employees'!C7)</f>
        <v/>
      </c>
      <c r="C33" s="75">
        <f>IF(A33="","",IFERROR(ROUND(AVERAGEIF(DataEmployee,A33,DataLastYear),2),""))</f>
        <v/>
      </c>
      <c r="D33" s="75">
        <f>IF(A33="","",IFERROR(ROUND(AVERAGEIF(DataEmployee,A33,DataThisYear),2),""))</f>
        <v/>
      </c>
      <c r="E33" s="76">
        <f>IF(OR(C33="",D33=""),"",ROUND(D33-C33,2))</f>
        <v/>
      </c>
      <c r="F33" s="77">
        <f>IF(OR(A33="",D33=""),"",IF(D33&lt;TargetRating,"Yes","No"))</f>
        <v/>
      </c>
    </row>
    <row r="34">
      <c r="A34" s="74">
        <f>IF('Employees'!B8="","",'Employees'!B8)</f>
        <v/>
      </c>
      <c r="B34" s="74">
        <f>IF(A34="","",'Employees'!C8)</f>
        <v/>
      </c>
      <c r="C34" s="75">
        <f>IF(A34="","",IFERROR(ROUND(AVERAGEIF(DataEmployee,A34,DataLastYear),2),""))</f>
        <v/>
      </c>
      <c r="D34" s="75">
        <f>IF(A34="","",IFERROR(ROUND(AVERAGEIF(DataEmployee,A34,DataThisYear),2),""))</f>
        <v/>
      </c>
      <c r="E34" s="76">
        <f>IF(OR(C34="",D34=""),"",ROUND(D34-C34,2))</f>
        <v/>
      </c>
      <c r="F34" s="77">
        <f>IF(OR(A34="",D34=""),"",IF(D34&lt;TargetRating,"Yes","No"))</f>
        <v/>
      </c>
    </row>
    <row r="35">
      <c r="A35" s="74">
        <f>IF('Employees'!B9="","",'Employees'!B9)</f>
        <v/>
      </c>
      <c r="B35" s="74">
        <f>IF(A35="","",'Employees'!C9)</f>
        <v/>
      </c>
      <c r="C35" s="75">
        <f>IF(A35="","",IFERROR(ROUND(AVERAGEIF(DataEmployee,A35,DataLastYear),2),""))</f>
        <v/>
      </c>
      <c r="D35" s="75">
        <f>IF(A35="","",IFERROR(ROUND(AVERAGEIF(DataEmployee,A35,DataThisYear),2),""))</f>
        <v/>
      </c>
      <c r="E35" s="76">
        <f>IF(OR(C35="",D35=""),"",ROUND(D35-C35,2))</f>
        <v/>
      </c>
      <c r="F35" s="77">
        <f>IF(OR(A35="",D35=""),"",IF(D35&lt;TargetRating,"Yes","No"))</f>
        <v/>
      </c>
    </row>
    <row r="36">
      <c r="A36" s="74">
        <f>IF('Employees'!B10="","",'Employees'!B10)</f>
        <v/>
      </c>
      <c r="B36" s="74">
        <f>IF(A36="","",'Employees'!C10)</f>
        <v/>
      </c>
      <c r="C36" s="75">
        <f>IF(A36="","",IFERROR(ROUND(AVERAGEIF(DataEmployee,A36,DataLastYear),2),""))</f>
        <v/>
      </c>
      <c r="D36" s="75">
        <f>IF(A36="","",IFERROR(ROUND(AVERAGEIF(DataEmployee,A36,DataThisYear),2),""))</f>
        <v/>
      </c>
      <c r="E36" s="76">
        <f>IF(OR(C36="",D36=""),"",ROUND(D36-C36,2))</f>
        <v/>
      </c>
      <c r="F36" s="77">
        <f>IF(OR(A36="",D36=""),"",IF(D36&lt;TargetRating,"Yes","No"))</f>
        <v/>
      </c>
    </row>
    <row r="37">
      <c r="A37" s="74">
        <f>IF('Employees'!B11="","",'Employees'!B11)</f>
        <v/>
      </c>
      <c r="B37" s="74">
        <f>IF(A37="","",'Employees'!C11)</f>
        <v/>
      </c>
      <c r="C37" s="75">
        <f>IF(A37="","",IFERROR(ROUND(AVERAGEIF(DataEmployee,A37,DataLastYear),2),""))</f>
        <v/>
      </c>
      <c r="D37" s="75">
        <f>IF(A37="","",IFERROR(ROUND(AVERAGEIF(DataEmployee,A37,DataThisYear),2),""))</f>
        <v/>
      </c>
      <c r="E37" s="76">
        <f>IF(OR(C37="",D37=""),"",ROUND(D37-C37,2))</f>
        <v/>
      </c>
      <c r="F37" s="77">
        <f>IF(OR(A37="",D37=""),"",IF(D37&lt;TargetRating,"Yes","No"))</f>
        <v/>
      </c>
    </row>
    <row r="38">
      <c r="A38" s="74">
        <f>IF('Employees'!B12="","",'Employees'!B12)</f>
        <v/>
      </c>
      <c r="B38" s="74">
        <f>IF(A38="","",'Employees'!C12)</f>
        <v/>
      </c>
      <c r="C38" s="75">
        <f>IF(A38="","",IFERROR(ROUND(AVERAGEIF(DataEmployee,A38,DataLastYear),2),""))</f>
        <v/>
      </c>
      <c r="D38" s="75">
        <f>IF(A38="","",IFERROR(ROUND(AVERAGEIF(DataEmployee,A38,DataThisYear),2),""))</f>
        <v/>
      </c>
      <c r="E38" s="76">
        <f>IF(OR(C38="",D38=""),"",ROUND(D38-C38,2))</f>
        <v/>
      </c>
      <c r="F38" s="77">
        <f>IF(OR(A38="",D38=""),"",IF(D38&lt;TargetRating,"Yes","No"))</f>
        <v/>
      </c>
    </row>
    <row r="39">
      <c r="A39" s="74">
        <f>IF('Employees'!B13="","",'Employees'!B13)</f>
        <v/>
      </c>
      <c r="B39" s="74">
        <f>IF(A39="","",'Employees'!C13)</f>
        <v/>
      </c>
      <c r="C39" s="75">
        <f>IF(A39="","",IFERROR(ROUND(AVERAGEIF(DataEmployee,A39,DataLastYear),2),""))</f>
        <v/>
      </c>
      <c r="D39" s="75">
        <f>IF(A39="","",IFERROR(ROUND(AVERAGEIF(DataEmployee,A39,DataThisYear),2),""))</f>
        <v/>
      </c>
      <c r="E39" s="76">
        <f>IF(OR(C39="",D39=""),"",ROUND(D39-C39,2))</f>
        <v/>
      </c>
      <c r="F39" s="77">
        <f>IF(OR(A39="",D39=""),"",IF(D39&lt;TargetRating,"Yes","No"))</f>
        <v/>
      </c>
    </row>
    <row r="40">
      <c r="A40" s="74">
        <f>IF('Employees'!B14="","",'Employees'!B14)</f>
        <v/>
      </c>
      <c r="B40" s="74">
        <f>IF(A40="","",'Employees'!C14)</f>
        <v/>
      </c>
      <c r="C40" s="75">
        <f>IF(A40="","",IFERROR(ROUND(AVERAGEIF(DataEmployee,A40,DataLastYear),2),""))</f>
        <v/>
      </c>
      <c r="D40" s="75">
        <f>IF(A40="","",IFERROR(ROUND(AVERAGEIF(DataEmployee,A40,DataThisYear),2),""))</f>
        <v/>
      </c>
      <c r="E40" s="76">
        <f>IF(OR(C40="",D40=""),"",ROUND(D40-C40,2))</f>
        <v/>
      </c>
      <c r="F40" s="77">
        <f>IF(OR(A40="",D40=""),"",IF(D40&lt;TargetRating,"Yes","No"))</f>
        <v/>
      </c>
    </row>
    <row r="41">
      <c r="A41" s="74">
        <f>IF('Employees'!B15="","",'Employees'!B15)</f>
        <v/>
      </c>
      <c r="B41" s="74">
        <f>IF(A41="","",'Employees'!C15)</f>
        <v/>
      </c>
      <c r="C41" s="75">
        <f>IF(A41="","",IFERROR(ROUND(AVERAGEIF(DataEmployee,A41,DataLastYear),2),""))</f>
        <v/>
      </c>
      <c r="D41" s="75">
        <f>IF(A41="","",IFERROR(ROUND(AVERAGEIF(DataEmployee,A41,DataThisYear),2),""))</f>
        <v/>
      </c>
      <c r="E41" s="76">
        <f>IF(OR(C41="",D41=""),"",ROUND(D41-C41,2))</f>
        <v/>
      </c>
      <c r="F41" s="77">
        <f>IF(OR(A41="",D41=""),"",IF(D41&lt;TargetRating,"Yes","No"))</f>
        <v/>
      </c>
    </row>
    <row r="42">
      <c r="A42" s="74">
        <f>IF('Employees'!B16="","",'Employees'!B16)</f>
        <v/>
      </c>
      <c r="B42" s="74">
        <f>IF(A42="","",'Employees'!C16)</f>
        <v/>
      </c>
      <c r="C42" s="75">
        <f>IF(A42="","",IFERROR(ROUND(AVERAGEIF(DataEmployee,A42,DataLastYear),2),""))</f>
        <v/>
      </c>
      <c r="D42" s="75">
        <f>IF(A42="","",IFERROR(ROUND(AVERAGEIF(DataEmployee,A42,DataThisYear),2),""))</f>
        <v/>
      </c>
      <c r="E42" s="76">
        <f>IF(OR(C42="",D42=""),"",ROUND(D42-C42,2))</f>
        <v/>
      </c>
      <c r="F42" s="77">
        <f>IF(OR(A42="",D42=""),"",IF(D42&lt;TargetRating,"Yes","No"))</f>
        <v/>
      </c>
    </row>
    <row r="43">
      <c r="A43" s="74">
        <f>IF('Employees'!B17="","",'Employees'!B17)</f>
        <v/>
      </c>
      <c r="B43" s="74">
        <f>IF(A43="","",'Employees'!C17)</f>
        <v/>
      </c>
      <c r="C43" s="75">
        <f>IF(A43="","",IFERROR(ROUND(AVERAGEIF(DataEmployee,A43,DataLastYear),2),""))</f>
        <v/>
      </c>
      <c r="D43" s="75">
        <f>IF(A43="","",IFERROR(ROUND(AVERAGEIF(DataEmployee,A43,DataThisYear),2),""))</f>
        <v/>
      </c>
      <c r="E43" s="76">
        <f>IF(OR(C43="",D43=""),"",ROUND(D43-C43,2))</f>
        <v/>
      </c>
      <c r="F43" s="77">
        <f>IF(OR(A43="",D43=""),"",IF(D43&lt;TargetRating,"Yes","No"))</f>
        <v/>
      </c>
    </row>
    <row r="44">
      <c r="A44" s="74">
        <f>IF('Employees'!B18="","",'Employees'!B18)</f>
        <v/>
      </c>
      <c r="B44" s="74">
        <f>IF(A44="","",'Employees'!C18)</f>
        <v/>
      </c>
      <c r="C44" s="75">
        <f>IF(A44="","",IFERROR(ROUND(AVERAGEIF(DataEmployee,A44,DataLastYear),2),""))</f>
        <v/>
      </c>
      <c r="D44" s="75">
        <f>IF(A44="","",IFERROR(ROUND(AVERAGEIF(DataEmployee,A44,DataThisYear),2),""))</f>
        <v/>
      </c>
      <c r="E44" s="76">
        <f>IF(OR(C44="",D44=""),"",ROUND(D44-C44,2))</f>
        <v/>
      </c>
      <c r="F44" s="77">
        <f>IF(OR(A44="",D44=""),"",IF(D44&lt;TargetRating,"Yes","No"))</f>
        <v/>
      </c>
    </row>
    <row r="45">
      <c r="A45" s="74">
        <f>IF('Employees'!B19="","",'Employees'!B19)</f>
        <v/>
      </c>
      <c r="B45" s="74">
        <f>IF(A45="","",'Employees'!C19)</f>
        <v/>
      </c>
      <c r="C45" s="75">
        <f>IF(A45="","",IFERROR(ROUND(AVERAGEIF(DataEmployee,A45,DataLastYear),2),""))</f>
        <v/>
      </c>
      <c r="D45" s="75">
        <f>IF(A45="","",IFERROR(ROUND(AVERAGEIF(DataEmployee,A45,DataThisYear),2),""))</f>
        <v/>
      </c>
      <c r="E45" s="76">
        <f>IF(OR(C45="",D45=""),"",ROUND(D45-C45,2))</f>
        <v/>
      </c>
      <c r="F45" s="77">
        <f>IF(OR(A45="",D45=""),"",IF(D45&lt;TargetRating,"Yes","No"))</f>
        <v/>
      </c>
    </row>
    <row r="46">
      <c r="A46" s="74">
        <f>IF('Employees'!B20="","",'Employees'!B20)</f>
        <v/>
      </c>
      <c r="B46" s="74">
        <f>IF(A46="","",'Employees'!C20)</f>
        <v/>
      </c>
      <c r="C46" s="75">
        <f>IF(A46="","",IFERROR(ROUND(AVERAGEIF(DataEmployee,A46,DataLastYear),2),""))</f>
        <v/>
      </c>
      <c r="D46" s="75">
        <f>IF(A46="","",IFERROR(ROUND(AVERAGEIF(DataEmployee,A46,DataThisYear),2),""))</f>
        <v/>
      </c>
      <c r="E46" s="76">
        <f>IF(OR(C46="",D46=""),"",ROUND(D46-C46,2))</f>
        <v/>
      </c>
      <c r="F46" s="77">
        <f>IF(OR(A46="",D46=""),"",IF(D46&lt;TargetRating,"Yes","No"))</f>
        <v/>
      </c>
    </row>
    <row r="47">
      <c r="A47" s="74">
        <f>IF('Employees'!B21="","",'Employees'!B21)</f>
        <v/>
      </c>
      <c r="B47" s="74">
        <f>IF(A47="","",'Employees'!C21)</f>
        <v/>
      </c>
      <c r="C47" s="75">
        <f>IF(A47="","",IFERROR(ROUND(AVERAGEIF(DataEmployee,A47,DataLastYear),2),""))</f>
        <v/>
      </c>
      <c r="D47" s="75">
        <f>IF(A47="","",IFERROR(ROUND(AVERAGEIF(DataEmployee,A47,DataThisYear),2),""))</f>
        <v/>
      </c>
      <c r="E47" s="76">
        <f>IF(OR(C47="",D47=""),"",ROUND(D47-C47,2))</f>
        <v/>
      </c>
      <c r="F47" s="77">
        <f>IF(OR(A47="",D47=""),"",IF(D47&lt;TargetRating,"Yes","No"))</f>
        <v/>
      </c>
    </row>
    <row r="50">
      <c r="A50" s="17" t="inlineStr">
        <is>
          <t>How ratings are distributed</t>
        </is>
      </c>
    </row>
    <row r="51">
      <c r="A51" s="78" t="inlineStr">
        <is>
          <t>Rating</t>
        </is>
      </c>
      <c r="B51" s="78" t="inlineStr">
        <is>
          <t>Last year</t>
        </is>
      </c>
      <c r="C51" s="78" t="inlineStr">
        <is>
          <t>This year</t>
        </is>
      </c>
    </row>
    <row r="52">
      <c r="A52" s="18" t="n">
        <v>1</v>
      </c>
      <c r="B52" s="79">
        <f>COUNTIF(DataLastYear,1)</f>
        <v/>
      </c>
      <c r="C52" s="79">
        <f>COUNTIF(DataThisYear,1)</f>
        <v/>
      </c>
    </row>
    <row r="53">
      <c r="A53" s="20" t="n">
        <v>2</v>
      </c>
      <c r="B53" s="79">
        <f>COUNTIF(DataLastYear,2)</f>
        <v/>
      </c>
      <c r="C53" s="79">
        <f>COUNTIF(DataThisYear,2)</f>
        <v/>
      </c>
    </row>
    <row r="54">
      <c r="A54" s="22" t="n">
        <v>3</v>
      </c>
      <c r="B54" s="79">
        <f>COUNTIF(DataLastYear,3)</f>
        <v/>
      </c>
      <c r="C54" s="79">
        <f>COUNTIF(DataThisYear,3)</f>
        <v/>
      </c>
    </row>
    <row r="55">
      <c r="A55" s="24" t="n">
        <v>4</v>
      </c>
      <c r="B55" s="79">
        <f>COUNTIF(DataLastYear,4)</f>
        <v/>
      </c>
      <c r="C55" s="79">
        <f>COUNTIF(DataThisYear,4)</f>
        <v/>
      </c>
    </row>
    <row r="56">
      <c r="A56" s="26" t="n">
        <v>5</v>
      </c>
      <c r="B56" s="79">
        <f>COUNTIF(DataLastYear,5)</f>
        <v/>
      </c>
      <c r="C56" s="79">
        <f>COUNTIF(DataThisYear,5)</f>
        <v/>
      </c>
    </row>
    <row r="58">
      <c r="A58" s="55" t="inlineStr">
        <is>
          <t>Tip: sort the Skill comparison table by Change or This year avg to see the biggest gaps. After you add more than 10 skills, right-click a chart → Select Data and extend the range.</t>
        </is>
      </c>
    </row>
    <row r="59"/>
  </sheetData>
  <mergeCells count="16">
    <mergeCell ref="J5:L5"/>
    <mergeCell ref="A6:C7"/>
    <mergeCell ref="A3:H3"/>
    <mergeCell ref="D6:F7"/>
    <mergeCell ref="G6:I7"/>
    <mergeCell ref="J6:L7"/>
    <mergeCell ref="D5:F5"/>
    <mergeCell ref="A5:C5"/>
    <mergeCell ref="G5:I5"/>
    <mergeCell ref="A50:D50"/>
    <mergeCell ref="A2:H2"/>
    <mergeCell ref="M5:O5"/>
    <mergeCell ref="A10:H10"/>
    <mergeCell ref="A58:H59"/>
    <mergeCell ref="A30:F30"/>
    <mergeCell ref="M6:O7"/>
  </mergeCells>
  <conditionalFormatting sqref="E12">
    <cfRule type="cellIs" priority="1" operator="greaterThan" dxfId="5">
      <formula>0</formula>
    </cfRule>
    <cfRule type="cellIs" priority="2" operator="lessThan" dxfId="6">
      <formula>0</formula>
    </cfRule>
  </conditionalFormatting>
  <conditionalFormatting sqref="H12">
    <cfRule type="cellIs" priority="3" operator="equal" dxfId="6">
      <formula>"Yes"</formula>
    </cfRule>
  </conditionalFormatting>
  <conditionalFormatting sqref="F12">
    <cfRule type="cellIs" priority="4" operator="equal" dxfId="14">
      <formula>"Improved"</formula>
    </cfRule>
    <cfRule type="cellIs" priority="5" operator="equal" dxfId="15">
      <formula>"Declined"</formula>
    </cfRule>
  </conditionalFormatting>
  <conditionalFormatting sqref="E13">
    <cfRule type="cellIs" priority="6" operator="greaterThan" dxfId="5">
      <formula>0</formula>
    </cfRule>
    <cfRule type="cellIs" priority="7" operator="lessThan" dxfId="6">
      <formula>0</formula>
    </cfRule>
  </conditionalFormatting>
  <conditionalFormatting sqref="H13">
    <cfRule type="cellIs" priority="8" operator="equal" dxfId="6">
      <formula>"Yes"</formula>
    </cfRule>
  </conditionalFormatting>
  <conditionalFormatting sqref="F13">
    <cfRule type="cellIs" priority="9" operator="equal" dxfId="14">
      <formula>"Improved"</formula>
    </cfRule>
    <cfRule type="cellIs" priority="10" operator="equal" dxfId="15">
      <formula>"Declined"</formula>
    </cfRule>
  </conditionalFormatting>
  <conditionalFormatting sqref="E14">
    <cfRule type="cellIs" priority="11" operator="greaterThan" dxfId="5">
      <formula>0</formula>
    </cfRule>
    <cfRule type="cellIs" priority="12" operator="lessThan" dxfId="6">
      <formula>0</formula>
    </cfRule>
  </conditionalFormatting>
  <conditionalFormatting sqref="H14">
    <cfRule type="cellIs" priority="13" operator="equal" dxfId="6">
      <formula>"Yes"</formula>
    </cfRule>
  </conditionalFormatting>
  <conditionalFormatting sqref="F14">
    <cfRule type="cellIs" priority="14" operator="equal" dxfId="14">
      <formula>"Improved"</formula>
    </cfRule>
    <cfRule type="cellIs" priority="15" operator="equal" dxfId="15">
      <formula>"Declined"</formula>
    </cfRule>
  </conditionalFormatting>
  <conditionalFormatting sqref="E15">
    <cfRule type="cellIs" priority="16" operator="greaterThan" dxfId="5">
      <formula>0</formula>
    </cfRule>
    <cfRule type="cellIs" priority="17" operator="lessThan" dxfId="6">
      <formula>0</formula>
    </cfRule>
  </conditionalFormatting>
  <conditionalFormatting sqref="H15">
    <cfRule type="cellIs" priority="18" operator="equal" dxfId="6">
      <formula>"Yes"</formula>
    </cfRule>
  </conditionalFormatting>
  <conditionalFormatting sqref="F15">
    <cfRule type="cellIs" priority="19" operator="equal" dxfId="14">
      <formula>"Improved"</formula>
    </cfRule>
    <cfRule type="cellIs" priority="20" operator="equal" dxfId="15">
      <formula>"Declined"</formula>
    </cfRule>
  </conditionalFormatting>
  <conditionalFormatting sqref="E16">
    <cfRule type="cellIs" priority="21" operator="greaterThan" dxfId="5">
      <formula>0</formula>
    </cfRule>
    <cfRule type="cellIs" priority="22" operator="lessThan" dxfId="6">
      <formula>0</formula>
    </cfRule>
  </conditionalFormatting>
  <conditionalFormatting sqref="H16">
    <cfRule type="cellIs" priority="23" operator="equal" dxfId="6">
      <formula>"Yes"</formula>
    </cfRule>
  </conditionalFormatting>
  <conditionalFormatting sqref="F16">
    <cfRule type="cellIs" priority="24" operator="equal" dxfId="14">
      <formula>"Improved"</formula>
    </cfRule>
    <cfRule type="cellIs" priority="25" operator="equal" dxfId="15">
      <formula>"Declined"</formula>
    </cfRule>
  </conditionalFormatting>
  <conditionalFormatting sqref="E17">
    <cfRule type="cellIs" priority="26" operator="greaterThan" dxfId="5">
      <formula>0</formula>
    </cfRule>
    <cfRule type="cellIs" priority="27" operator="lessThan" dxfId="6">
      <formula>0</formula>
    </cfRule>
  </conditionalFormatting>
  <conditionalFormatting sqref="H17">
    <cfRule type="cellIs" priority="28" operator="equal" dxfId="6">
      <formula>"Yes"</formula>
    </cfRule>
  </conditionalFormatting>
  <conditionalFormatting sqref="F17">
    <cfRule type="cellIs" priority="29" operator="equal" dxfId="14">
      <formula>"Improved"</formula>
    </cfRule>
    <cfRule type="cellIs" priority="30" operator="equal" dxfId="15">
      <formula>"Declined"</formula>
    </cfRule>
  </conditionalFormatting>
  <conditionalFormatting sqref="E18">
    <cfRule type="cellIs" priority="31" operator="greaterThan" dxfId="5">
      <formula>0</formula>
    </cfRule>
    <cfRule type="cellIs" priority="32" operator="lessThan" dxfId="6">
      <formula>0</formula>
    </cfRule>
  </conditionalFormatting>
  <conditionalFormatting sqref="H18">
    <cfRule type="cellIs" priority="33" operator="equal" dxfId="6">
      <formula>"Yes"</formula>
    </cfRule>
  </conditionalFormatting>
  <conditionalFormatting sqref="F18">
    <cfRule type="cellIs" priority="34" operator="equal" dxfId="14">
      <formula>"Improved"</formula>
    </cfRule>
    <cfRule type="cellIs" priority="35" operator="equal" dxfId="15">
      <formula>"Declined"</formula>
    </cfRule>
  </conditionalFormatting>
  <conditionalFormatting sqref="E19">
    <cfRule type="cellIs" priority="36" operator="greaterThan" dxfId="5">
      <formula>0</formula>
    </cfRule>
    <cfRule type="cellIs" priority="37" operator="lessThan" dxfId="6">
      <formula>0</formula>
    </cfRule>
  </conditionalFormatting>
  <conditionalFormatting sqref="H19">
    <cfRule type="cellIs" priority="38" operator="equal" dxfId="6">
      <formula>"Yes"</formula>
    </cfRule>
  </conditionalFormatting>
  <conditionalFormatting sqref="F19">
    <cfRule type="cellIs" priority="39" operator="equal" dxfId="14">
      <formula>"Improved"</formula>
    </cfRule>
    <cfRule type="cellIs" priority="40" operator="equal" dxfId="15">
      <formula>"Declined"</formula>
    </cfRule>
  </conditionalFormatting>
  <conditionalFormatting sqref="E20">
    <cfRule type="cellIs" priority="41" operator="greaterThan" dxfId="5">
      <formula>0</formula>
    </cfRule>
    <cfRule type="cellIs" priority="42" operator="lessThan" dxfId="6">
      <formula>0</formula>
    </cfRule>
  </conditionalFormatting>
  <conditionalFormatting sqref="H20">
    <cfRule type="cellIs" priority="43" operator="equal" dxfId="6">
      <formula>"Yes"</formula>
    </cfRule>
  </conditionalFormatting>
  <conditionalFormatting sqref="F20">
    <cfRule type="cellIs" priority="44" operator="equal" dxfId="14">
      <formula>"Improved"</formula>
    </cfRule>
    <cfRule type="cellIs" priority="45" operator="equal" dxfId="15">
      <formula>"Declined"</formula>
    </cfRule>
  </conditionalFormatting>
  <conditionalFormatting sqref="E21">
    <cfRule type="cellIs" priority="46" operator="greaterThan" dxfId="5">
      <formula>0</formula>
    </cfRule>
    <cfRule type="cellIs" priority="47" operator="lessThan" dxfId="6">
      <formula>0</formula>
    </cfRule>
  </conditionalFormatting>
  <conditionalFormatting sqref="H21">
    <cfRule type="cellIs" priority="48" operator="equal" dxfId="6">
      <formula>"Yes"</formula>
    </cfRule>
  </conditionalFormatting>
  <conditionalFormatting sqref="F21">
    <cfRule type="cellIs" priority="49" operator="equal" dxfId="14">
      <formula>"Improved"</formula>
    </cfRule>
    <cfRule type="cellIs" priority="50" operator="equal" dxfId="15">
      <formula>"Declined"</formula>
    </cfRule>
  </conditionalFormatting>
  <conditionalFormatting sqref="E22">
    <cfRule type="cellIs" priority="51" operator="greaterThan" dxfId="5">
      <formula>0</formula>
    </cfRule>
    <cfRule type="cellIs" priority="52" operator="lessThan" dxfId="6">
      <formula>0</formula>
    </cfRule>
  </conditionalFormatting>
  <conditionalFormatting sqref="H22">
    <cfRule type="cellIs" priority="53" operator="equal" dxfId="6">
      <formula>"Yes"</formula>
    </cfRule>
  </conditionalFormatting>
  <conditionalFormatting sqref="F22">
    <cfRule type="cellIs" priority="54" operator="equal" dxfId="14">
      <formula>"Improved"</formula>
    </cfRule>
    <cfRule type="cellIs" priority="55" operator="equal" dxfId="15">
      <formula>"Declined"</formula>
    </cfRule>
  </conditionalFormatting>
  <conditionalFormatting sqref="E23">
    <cfRule type="cellIs" priority="56" operator="greaterThan" dxfId="5">
      <formula>0</formula>
    </cfRule>
    <cfRule type="cellIs" priority="57" operator="lessThan" dxfId="6">
      <formula>0</formula>
    </cfRule>
  </conditionalFormatting>
  <conditionalFormatting sqref="H23">
    <cfRule type="cellIs" priority="58" operator="equal" dxfId="6">
      <formula>"Yes"</formula>
    </cfRule>
  </conditionalFormatting>
  <conditionalFormatting sqref="F23">
    <cfRule type="cellIs" priority="59" operator="equal" dxfId="14">
      <formula>"Improved"</formula>
    </cfRule>
    <cfRule type="cellIs" priority="60" operator="equal" dxfId="15">
      <formula>"Declined"</formula>
    </cfRule>
  </conditionalFormatting>
  <conditionalFormatting sqref="E24">
    <cfRule type="cellIs" priority="61" operator="greaterThan" dxfId="5">
      <formula>0</formula>
    </cfRule>
    <cfRule type="cellIs" priority="62" operator="lessThan" dxfId="6">
      <formula>0</formula>
    </cfRule>
  </conditionalFormatting>
  <conditionalFormatting sqref="H24">
    <cfRule type="cellIs" priority="63" operator="equal" dxfId="6">
      <formula>"Yes"</formula>
    </cfRule>
  </conditionalFormatting>
  <conditionalFormatting sqref="F24">
    <cfRule type="cellIs" priority="64" operator="equal" dxfId="14">
      <formula>"Improved"</formula>
    </cfRule>
    <cfRule type="cellIs" priority="65" operator="equal" dxfId="15">
      <formula>"Declined"</formula>
    </cfRule>
  </conditionalFormatting>
  <conditionalFormatting sqref="E25">
    <cfRule type="cellIs" priority="66" operator="greaterThan" dxfId="5">
      <formula>0</formula>
    </cfRule>
    <cfRule type="cellIs" priority="67" operator="lessThan" dxfId="6">
      <formula>0</formula>
    </cfRule>
  </conditionalFormatting>
  <conditionalFormatting sqref="H25">
    <cfRule type="cellIs" priority="68" operator="equal" dxfId="6">
      <formula>"Yes"</formula>
    </cfRule>
  </conditionalFormatting>
  <conditionalFormatting sqref="F25">
    <cfRule type="cellIs" priority="69" operator="equal" dxfId="14">
      <formula>"Improved"</formula>
    </cfRule>
    <cfRule type="cellIs" priority="70" operator="equal" dxfId="15">
      <formula>"Declined"</formula>
    </cfRule>
  </conditionalFormatting>
  <conditionalFormatting sqref="E26">
    <cfRule type="cellIs" priority="71" operator="greaterThan" dxfId="5">
      <formula>0</formula>
    </cfRule>
    <cfRule type="cellIs" priority="72" operator="lessThan" dxfId="6">
      <formula>0</formula>
    </cfRule>
  </conditionalFormatting>
  <conditionalFormatting sqref="H26">
    <cfRule type="cellIs" priority="73" operator="equal" dxfId="6">
      <formula>"Yes"</formula>
    </cfRule>
  </conditionalFormatting>
  <conditionalFormatting sqref="F26">
    <cfRule type="cellIs" priority="74" operator="equal" dxfId="14">
      <formula>"Improved"</formula>
    </cfRule>
    <cfRule type="cellIs" priority="75" operator="equal" dxfId="15">
      <formula>"Declined"</formula>
    </cfRule>
  </conditionalFormatting>
  <conditionalFormatting sqref="E27">
    <cfRule type="cellIs" priority="76" operator="greaterThan" dxfId="5">
      <formula>0</formula>
    </cfRule>
    <cfRule type="cellIs" priority="77" operator="lessThan" dxfId="6">
      <formula>0</formula>
    </cfRule>
  </conditionalFormatting>
  <conditionalFormatting sqref="H27">
    <cfRule type="cellIs" priority="78" operator="equal" dxfId="6">
      <formula>"Yes"</formula>
    </cfRule>
  </conditionalFormatting>
  <conditionalFormatting sqref="F27">
    <cfRule type="cellIs" priority="79" operator="equal" dxfId="14">
      <formula>"Improved"</formula>
    </cfRule>
    <cfRule type="cellIs" priority="80" operator="equal" dxfId="15">
      <formula>"Declined"</formula>
    </cfRule>
  </conditionalFormatting>
  <conditionalFormatting sqref="E32">
    <cfRule type="cellIs" priority="81" operator="greaterThan" dxfId="5">
      <formula>0</formula>
    </cfRule>
    <cfRule type="cellIs" priority="82" operator="lessThan" dxfId="6">
      <formula>0</formula>
    </cfRule>
  </conditionalFormatting>
  <conditionalFormatting sqref="F32">
    <cfRule type="cellIs" priority="83" operator="equal" dxfId="6">
      <formula>"Yes"</formula>
    </cfRule>
  </conditionalFormatting>
  <conditionalFormatting sqref="E33">
    <cfRule type="cellIs" priority="84" operator="greaterThan" dxfId="5">
      <formula>0</formula>
    </cfRule>
    <cfRule type="cellIs" priority="85" operator="lessThan" dxfId="6">
      <formula>0</formula>
    </cfRule>
  </conditionalFormatting>
  <conditionalFormatting sqref="F33">
    <cfRule type="cellIs" priority="86" operator="equal" dxfId="6">
      <formula>"Yes"</formula>
    </cfRule>
  </conditionalFormatting>
  <conditionalFormatting sqref="E34">
    <cfRule type="cellIs" priority="87" operator="greaterThan" dxfId="5">
      <formula>0</formula>
    </cfRule>
    <cfRule type="cellIs" priority="88" operator="lessThan" dxfId="6">
      <formula>0</formula>
    </cfRule>
  </conditionalFormatting>
  <conditionalFormatting sqref="F34">
    <cfRule type="cellIs" priority="89" operator="equal" dxfId="6">
      <formula>"Yes"</formula>
    </cfRule>
  </conditionalFormatting>
  <conditionalFormatting sqref="E35">
    <cfRule type="cellIs" priority="90" operator="greaterThan" dxfId="5">
      <formula>0</formula>
    </cfRule>
    <cfRule type="cellIs" priority="91" operator="lessThan" dxfId="6">
      <formula>0</formula>
    </cfRule>
  </conditionalFormatting>
  <conditionalFormatting sqref="F35">
    <cfRule type="cellIs" priority="92" operator="equal" dxfId="6">
      <formula>"Yes"</formula>
    </cfRule>
  </conditionalFormatting>
  <conditionalFormatting sqref="E36">
    <cfRule type="cellIs" priority="93" operator="greaterThan" dxfId="5">
      <formula>0</formula>
    </cfRule>
    <cfRule type="cellIs" priority="94" operator="lessThan" dxfId="6">
      <formula>0</formula>
    </cfRule>
  </conditionalFormatting>
  <conditionalFormatting sqref="F36">
    <cfRule type="cellIs" priority="95" operator="equal" dxfId="6">
      <formula>"Yes"</formula>
    </cfRule>
  </conditionalFormatting>
  <conditionalFormatting sqref="E37">
    <cfRule type="cellIs" priority="96" operator="greaterThan" dxfId="5">
      <formula>0</formula>
    </cfRule>
    <cfRule type="cellIs" priority="97" operator="lessThan" dxfId="6">
      <formula>0</formula>
    </cfRule>
  </conditionalFormatting>
  <conditionalFormatting sqref="F37">
    <cfRule type="cellIs" priority="98" operator="equal" dxfId="6">
      <formula>"Yes"</formula>
    </cfRule>
  </conditionalFormatting>
  <conditionalFormatting sqref="E38">
    <cfRule type="cellIs" priority="99" operator="greaterThan" dxfId="5">
      <formula>0</formula>
    </cfRule>
    <cfRule type="cellIs" priority="100" operator="lessThan" dxfId="6">
      <formula>0</formula>
    </cfRule>
  </conditionalFormatting>
  <conditionalFormatting sqref="F38">
    <cfRule type="cellIs" priority="101" operator="equal" dxfId="6">
      <formula>"Yes"</formula>
    </cfRule>
  </conditionalFormatting>
  <conditionalFormatting sqref="E39">
    <cfRule type="cellIs" priority="102" operator="greaterThan" dxfId="5">
      <formula>0</formula>
    </cfRule>
    <cfRule type="cellIs" priority="103" operator="lessThan" dxfId="6">
      <formula>0</formula>
    </cfRule>
  </conditionalFormatting>
  <conditionalFormatting sqref="F39">
    <cfRule type="cellIs" priority="104" operator="equal" dxfId="6">
      <formula>"Yes"</formula>
    </cfRule>
  </conditionalFormatting>
  <conditionalFormatting sqref="E40">
    <cfRule type="cellIs" priority="105" operator="greaterThan" dxfId="5">
      <formula>0</formula>
    </cfRule>
    <cfRule type="cellIs" priority="106" operator="lessThan" dxfId="6">
      <formula>0</formula>
    </cfRule>
  </conditionalFormatting>
  <conditionalFormatting sqref="F40">
    <cfRule type="cellIs" priority="107" operator="equal" dxfId="6">
      <formula>"Yes"</formula>
    </cfRule>
  </conditionalFormatting>
  <conditionalFormatting sqref="E41">
    <cfRule type="cellIs" priority="108" operator="greaterThan" dxfId="5">
      <formula>0</formula>
    </cfRule>
    <cfRule type="cellIs" priority="109" operator="lessThan" dxfId="6">
      <formula>0</formula>
    </cfRule>
  </conditionalFormatting>
  <conditionalFormatting sqref="F41">
    <cfRule type="cellIs" priority="110" operator="equal" dxfId="6">
      <formula>"Yes"</formula>
    </cfRule>
  </conditionalFormatting>
  <conditionalFormatting sqref="E42">
    <cfRule type="cellIs" priority="111" operator="greaterThan" dxfId="5">
      <formula>0</formula>
    </cfRule>
    <cfRule type="cellIs" priority="112" operator="lessThan" dxfId="6">
      <formula>0</formula>
    </cfRule>
  </conditionalFormatting>
  <conditionalFormatting sqref="F42">
    <cfRule type="cellIs" priority="113" operator="equal" dxfId="6">
      <formula>"Yes"</formula>
    </cfRule>
  </conditionalFormatting>
  <conditionalFormatting sqref="E43">
    <cfRule type="cellIs" priority="114" operator="greaterThan" dxfId="5">
      <formula>0</formula>
    </cfRule>
    <cfRule type="cellIs" priority="115" operator="lessThan" dxfId="6">
      <formula>0</formula>
    </cfRule>
  </conditionalFormatting>
  <conditionalFormatting sqref="F43">
    <cfRule type="cellIs" priority="116" operator="equal" dxfId="6">
      <formula>"Yes"</formula>
    </cfRule>
  </conditionalFormatting>
  <conditionalFormatting sqref="E44">
    <cfRule type="cellIs" priority="117" operator="greaterThan" dxfId="5">
      <formula>0</formula>
    </cfRule>
    <cfRule type="cellIs" priority="118" operator="lessThan" dxfId="6">
      <formula>0</formula>
    </cfRule>
  </conditionalFormatting>
  <conditionalFormatting sqref="F44">
    <cfRule type="cellIs" priority="119" operator="equal" dxfId="6">
      <formula>"Yes"</formula>
    </cfRule>
  </conditionalFormatting>
  <conditionalFormatting sqref="E45">
    <cfRule type="cellIs" priority="120" operator="greaterThan" dxfId="5">
      <formula>0</formula>
    </cfRule>
    <cfRule type="cellIs" priority="121" operator="lessThan" dxfId="6">
      <formula>0</formula>
    </cfRule>
  </conditionalFormatting>
  <conditionalFormatting sqref="F45">
    <cfRule type="cellIs" priority="122" operator="equal" dxfId="6">
      <formula>"Yes"</formula>
    </cfRule>
  </conditionalFormatting>
  <conditionalFormatting sqref="E46">
    <cfRule type="cellIs" priority="123" operator="greaterThan" dxfId="5">
      <formula>0</formula>
    </cfRule>
    <cfRule type="cellIs" priority="124" operator="lessThan" dxfId="6">
      <formula>0</formula>
    </cfRule>
  </conditionalFormatting>
  <conditionalFormatting sqref="F46">
    <cfRule type="cellIs" priority="125" operator="equal" dxfId="6">
      <formula>"Yes"</formula>
    </cfRule>
  </conditionalFormatting>
  <conditionalFormatting sqref="E47">
    <cfRule type="cellIs" priority="126" operator="greaterThan" dxfId="5">
      <formula>0</formula>
    </cfRule>
    <cfRule type="cellIs" priority="127" operator="lessThan" dxfId="6">
      <formula>0</formula>
    </cfRule>
  </conditionalFormatting>
  <conditionalFormatting sqref="F47">
    <cfRule type="cellIs" priority="128" operator="equal" dxfId="6">
      <formula>"Yes"</formula>
    </cfRule>
  </conditionalFormatting>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s>
  <pageMargins left="0.75" right="0.75" top="1" bottom="1" header="0.5" footer="0.5"/>
  <pageSetup orientation="landscape" paperSize="3" fitToHeight="1" fitToWidth="1"/>
  <headerFooter>
    <oddHeader>&amp;L&amp;BEmployee Skill Matrix</oddHeader>
    <oddFooter>&amp;RPage &amp;P of &amp;N</oddFooter>
    <evenHeader/>
    <evenFooter/>
    <firstHeader/>
    <firstFooter/>
  </headerFooter>
  <drawing xmlns:r="http://schemas.openxmlformats.org/officeDocument/2006/relationships" r:id="rId7"/>
</worksheet>
</file>

<file path=xl/worksheets/sheet4.xml><?xml version="1.0" encoding="utf-8"?>
<worksheet xmlns="http://schemas.openxmlformats.org/spreadsheetml/2006/main">
  <sheetPr>
    <tabColor rgb="003D5A80"/>
    <outlinePr summaryBelow="1" summaryRight="1"/>
    <pageSetUpPr fitToPage="1"/>
  </sheetPr>
  <dimension ref="A1:F21"/>
  <sheetViews>
    <sheetView workbookViewId="0">
      <pane ySplit="5" topLeftCell="A6" activePane="bottomLeft" state="frozen"/>
      <selection pane="bottomLeft" activeCell="A1" sqref="A1"/>
    </sheetView>
  </sheetViews>
  <sheetFormatPr baseColWidth="8" defaultRowHeight="15"/>
  <cols>
    <col width="14" customWidth="1" min="1" max="1"/>
    <col width="22" customWidth="1" min="2" max="2"/>
    <col width="16" customWidth="1" min="3" max="3"/>
    <col width="22" customWidth="1" min="4" max="4"/>
    <col width="18" customWidth="1" min="5" max="5"/>
    <col width="12" customWidth="1" min="6" max="6"/>
  </cols>
  <sheetData>
    <row r="1" ht="24" customHeight="1">
      <c r="A1" s="2" t="inlineStr">
        <is>
          <t>How to Use</t>
        </is>
      </c>
      <c r="B1" s="2" t="inlineStr">
        <is>
          <t>Skill Matrix</t>
        </is>
      </c>
      <c r="C1" s="2" t="inlineStr">
        <is>
          <t>Dashboard</t>
        </is>
      </c>
      <c r="D1" s="1" t="inlineStr">
        <is>
          <t>Employees</t>
        </is>
      </c>
      <c r="E1" s="2" t="inlineStr">
        <is>
          <t>Skills</t>
        </is>
      </c>
      <c r="F1" s="2" t="inlineStr">
        <is>
          <t>Settings</t>
        </is>
      </c>
    </row>
    <row r="2" ht="28" customHeight="1">
      <c r="A2" s="4" t="inlineStr">
        <is>
          <t>Employees</t>
        </is>
      </c>
    </row>
    <row r="3" ht="36" customHeight="1">
      <c r="A3" s="34" t="inlineStr">
        <is>
          <t>Add a person in the next empty row (keep the Employee ID). They will appear automatically on the Skill Matrix. 16 slots are set up; insert a row in the table if you need more.</t>
        </is>
      </c>
    </row>
    <row r="5">
      <c r="A5" s="80" t="inlineStr">
        <is>
          <t>Employee ID</t>
        </is>
      </c>
      <c r="B5" s="80" t="inlineStr">
        <is>
          <t>Full Name</t>
        </is>
      </c>
      <c r="C5" s="80" t="inlineStr">
        <is>
          <t>Department</t>
        </is>
      </c>
      <c r="D5" s="80" t="inlineStr">
        <is>
          <t>Job Title</t>
        </is>
      </c>
      <c r="E5" s="80" t="inlineStr">
        <is>
          <t>Manager</t>
        </is>
      </c>
      <c r="F5" s="80" t="inlineStr">
        <is>
          <t>Status</t>
        </is>
      </c>
    </row>
    <row r="6">
      <c r="A6" s="77" t="inlineStr">
        <is>
          <t>EMP-001</t>
        </is>
      </c>
      <c r="B6" s="74" t="inlineStr">
        <is>
          <t>Alex Rivera</t>
        </is>
      </c>
      <c r="C6" s="74" t="inlineStr">
        <is>
          <t>Engineering</t>
        </is>
      </c>
      <c r="D6" s="74" t="inlineStr">
        <is>
          <t>Software Engineer</t>
        </is>
      </c>
      <c r="E6" s="74" t="inlineStr">
        <is>
          <t>Dana Wright</t>
        </is>
      </c>
      <c r="F6" s="74" t="inlineStr">
        <is>
          <t>Active</t>
        </is>
      </c>
    </row>
    <row r="7">
      <c r="A7" s="77" t="inlineStr">
        <is>
          <t>EMP-002</t>
        </is>
      </c>
      <c r="B7" s="74" t="inlineStr">
        <is>
          <t>Jordan Chen</t>
        </is>
      </c>
      <c r="C7" s="74" t="inlineStr">
        <is>
          <t>Engineering</t>
        </is>
      </c>
      <c r="D7" s="74" t="inlineStr">
        <is>
          <t>Senior Developer</t>
        </is>
      </c>
      <c r="E7" s="74" t="inlineStr">
        <is>
          <t>Dana Wright</t>
        </is>
      </c>
      <c r="F7" s="74" t="inlineStr">
        <is>
          <t>Active</t>
        </is>
      </c>
    </row>
    <row r="8">
      <c r="A8" s="77" t="inlineStr">
        <is>
          <t>EMP-003</t>
        </is>
      </c>
      <c r="B8" s="74" t="inlineStr">
        <is>
          <t>Sam Patel</t>
        </is>
      </c>
      <c r="C8" s="74" t="inlineStr">
        <is>
          <t>Data</t>
        </is>
      </c>
      <c r="D8" s="74" t="inlineStr">
        <is>
          <t>Data Analyst</t>
        </is>
      </c>
      <c r="E8" s="74" t="inlineStr">
        <is>
          <t>Quinn Foster</t>
        </is>
      </c>
      <c r="F8" s="74" t="inlineStr">
        <is>
          <t>Active</t>
        </is>
      </c>
    </row>
    <row r="9">
      <c r="A9" s="77" t="inlineStr">
        <is>
          <t>EMP-004</t>
        </is>
      </c>
      <c r="B9" s="74" t="inlineStr">
        <is>
          <t>Taylor Brooks</t>
        </is>
      </c>
      <c r="C9" s="74" t="inlineStr">
        <is>
          <t>Product</t>
        </is>
      </c>
      <c r="D9" s="74" t="inlineStr">
        <is>
          <t>Product Manager</t>
        </is>
      </c>
      <c r="E9" s="74" t="inlineStr">
        <is>
          <t>Quinn Foster</t>
        </is>
      </c>
      <c r="F9" s="74" t="inlineStr">
        <is>
          <t>Active</t>
        </is>
      </c>
    </row>
    <row r="10">
      <c r="A10" s="77" t="inlineStr">
        <is>
          <t>EMP-005</t>
        </is>
      </c>
      <c r="B10" s="74" t="inlineStr">
        <is>
          <t>Morgan Lee</t>
        </is>
      </c>
      <c r="C10" s="74" t="inlineStr">
        <is>
          <t>Design</t>
        </is>
      </c>
      <c r="D10" s="74" t="inlineStr">
        <is>
          <t>UX Designer</t>
        </is>
      </c>
      <c r="E10" s="74" t="inlineStr">
        <is>
          <t>Quinn Foster</t>
        </is>
      </c>
      <c r="F10" s="74" t="inlineStr">
        <is>
          <t>Active</t>
        </is>
      </c>
    </row>
    <row r="11">
      <c r="A11" s="77" t="inlineStr">
        <is>
          <t>EMP-006</t>
        </is>
      </c>
      <c r="B11" s="74" t="inlineStr">
        <is>
          <t>Casey Nguyen</t>
        </is>
      </c>
      <c r="C11" s="74" t="inlineStr">
        <is>
          <t>Engineering</t>
        </is>
      </c>
      <c r="D11" s="74" t="inlineStr">
        <is>
          <t>QA Engineer</t>
        </is>
      </c>
      <c r="E11" s="74" t="inlineStr">
        <is>
          <t>Dana Wright</t>
        </is>
      </c>
      <c r="F11" s="74" t="inlineStr">
        <is>
          <t>Active</t>
        </is>
      </c>
    </row>
    <row r="12">
      <c r="A12" s="77" t="inlineStr">
        <is>
          <t>EMP-007</t>
        </is>
      </c>
      <c r="B12" s="74" t="inlineStr">
        <is>
          <t>Riley Thompson</t>
        </is>
      </c>
      <c r="C12" s="74" t="inlineStr">
        <is>
          <t>Operations</t>
        </is>
      </c>
      <c r="D12" s="74" t="inlineStr">
        <is>
          <t>Operations Lead</t>
        </is>
      </c>
      <c r="E12" s="74" t="inlineStr">
        <is>
          <t>Dana Wright</t>
        </is>
      </c>
      <c r="F12" s="74" t="inlineStr">
        <is>
          <t>Active</t>
        </is>
      </c>
    </row>
    <row r="13">
      <c r="A13" s="77" t="inlineStr">
        <is>
          <t>EMP-008</t>
        </is>
      </c>
      <c r="B13" s="74" t="inlineStr">
        <is>
          <t>Avery Kim</t>
        </is>
      </c>
      <c r="C13" s="74" t="inlineStr">
        <is>
          <t>Data</t>
        </is>
      </c>
      <c r="D13" s="74" t="inlineStr">
        <is>
          <t>Data Engineer</t>
        </is>
      </c>
      <c r="E13" s="74" t="inlineStr">
        <is>
          <t>Quinn Foster</t>
        </is>
      </c>
      <c r="F13" s="74" t="inlineStr">
        <is>
          <t>Active</t>
        </is>
      </c>
    </row>
    <row r="14">
      <c r="A14" s="81" t="inlineStr">
        <is>
          <t>EMP-009</t>
        </is>
      </c>
      <c r="B14" s="82" t="inlineStr"/>
      <c r="C14" s="82" t="inlineStr"/>
      <c r="D14" s="82" t="inlineStr"/>
      <c r="E14" s="82" t="inlineStr"/>
      <c r="F14" s="82" t="inlineStr"/>
    </row>
    <row r="15">
      <c r="A15" s="81" t="inlineStr">
        <is>
          <t>EMP-010</t>
        </is>
      </c>
      <c r="B15" s="82" t="inlineStr"/>
      <c r="C15" s="82" t="inlineStr"/>
      <c r="D15" s="82" t="inlineStr"/>
      <c r="E15" s="82" t="inlineStr"/>
      <c r="F15" s="82" t="inlineStr"/>
    </row>
    <row r="16">
      <c r="A16" s="81" t="inlineStr">
        <is>
          <t>EMP-011</t>
        </is>
      </c>
      <c r="B16" s="82" t="inlineStr"/>
      <c r="C16" s="82" t="inlineStr"/>
      <c r="D16" s="82" t="inlineStr"/>
      <c r="E16" s="82" t="inlineStr"/>
      <c r="F16" s="82" t="inlineStr"/>
    </row>
    <row r="17">
      <c r="A17" s="81" t="inlineStr">
        <is>
          <t>EMP-012</t>
        </is>
      </c>
      <c r="B17" s="82" t="inlineStr"/>
      <c r="C17" s="82" t="inlineStr"/>
      <c r="D17" s="82" t="inlineStr"/>
      <c r="E17" s="82" t="inlineStr"/>
      <c r="F17" s="82" t="inlineStr"/>
    </row>
    <row r="18">
      <c r="A18" s="81" t="inlineStr">
        <is>
          <t>EMP-013</t>
        </is>
      </c>
      <c r="B18" s="82" t="inlineStr"/>
      <c r="C18" s="82" t="inlineStr"/>
      <c r="D18" s="82" t="inlineStr"/>
      <c r="E18" s="82" t="inlineStr"/>
      <c r="F18" s="82" t="inlineStr"/>
    </row>
    <row r="19">
      <c r="A19" s="81" t="inlineStr">
        <is>
          <t>EMP-014</t>
        </is>
      </c>
      <c r="B19" s="82" t="inlineStr"/>
      <c r="C19" s="82" t="inlineStr"/>
      <c r="D19" s="82" t="inlineStr"/>
      <c r="E19" s="82" t="inlineStr"/>
      <c r="F19" s="82" t="inlineStr"/>
    </row>
    <row r="20">
      <c r="A20" s="81" t="inlineStr">
        <is>
          <t>EMP-015</t>
        </is>
      </c>
      <c r="B20" s="82" t="inlineStr"/>
      <c r="C20" s="82" t="inlineStr"/>
      <c r="D20" s="82" t="inlineStr"/>
      <c r="E20" s="82" t="inlineStr"/>
      <c r="F20" s="82" t="inlineStr"/>
    </row>
    <row r="21">
      <c r="A21" s="81" t="inlineStr">
        <is>
          <t>EMP-016</t>
        </is>
      </c>
      <c r="B21" s="82" t="inlineStr"/>
      <c r="C21" s="82" t="inlineStr"/>
      <c r="D21" s="82" t="inlineStr"/>
      <c r="E21" s="82" t="inlineStr"/>
      <c r="F21" s="82" t="inlineStr"/>
    </row>
  </sheetData>
  <mergeCells count="2">
    <mergeCell ref="A3:F3"/>
    <mergeCell ref="A2:F2"/>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s>
  <pageMargins left="0.75" right="0.75" top="1" bottom="1" header="0.5" footer="0.5"/>
  <pageSetup orientation="portrait" paperSize="3"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7"/>
  </tableParts>
</worksheet>
</file>

<file path=xl/worksheets/sheet5.xml><?xml version="1.0" encoding="utf-8"?>
<worksheet xmlns="http://schemas.openxmlformats.org/spreadsheetml/2006/main">
  <sheetPr>
    <tabColor rgb="000E7C7B"/>
    <outlinePr summaryBelow="1" summaryRight="1"/>
    <pageSetUpPr fitToPage="1"/>
  </sheetPr>
  <dimension ref="A1:F21"/>
  <sheetViews>
    <sheetView workbookViewId="0">
      <pane ySplit="5" topLeftCell="A6" activePane="bottomLeft" state="frozen"/>
      <selection pane="bottomLeft" activeCell="A1" sqref="A1"/>
    </sheetView>
  </sheetViews>
  <sheetFormatPr baseColWidth="8" defaultRowHeight="15"/>
  <cols>
    <col width="12" customWidth="1" min="1" max="1"/>
    <col width="28" customWidth="1" min="2" max="2"/>
    <col width="16" customWidth="1" min="3" max="3"/>
    <col width="62" customWidth="1" min="4" max="4"/>
  </cols>
  <sheetData>
    <row r="1" ht="24" customHeight="1">
      <c r="A1" s="2" t="inlineStr">
        <is>
          <t>How to Use</t>
        </is>
      </c>
      <c r="B1" s="2" t="inlineStr">
        <is>
          <t>Skill Matrix</t>
        </is>
      </c>
      <c r="C1" s="2" t="inlineStr">
        <is>
          <t>Dashboard</t>
        </is>
      </c>
      <c r="D1" s="2" t="inlineStr">
        <is>
          <t>Employees</t>
        </is>
      </c>
      <c r="E1" s="1" t="inlineStr">
        <is>
          <t>Skills</t>
        </is>
      </c>
      <c r="F1" s="2" t="inlineStr">
        <is>
          <t>Settings</t>
        </is>
      </c>
    </row>
    <row r="2" ht="28" customHeight="1">
      <c r="A2" s="4" t="inlineStr">
        <is>
          <t>Skills catalog</t>
        </is>
      </c>
    </row>
    <row r="3" ht="48" customHeight="1">
      <c r="A3" s="34" t="inlineStr">
        <is>
          <t>To add a skill later: type a name in the next yellow row. The Skill Matrix picks it up in the next empty column group. Then enter Last Year and This Year ratings (1–5) for each employee.</t>
        </is>
      </c>
    </row>
    <row r="5">
      <c r="A5" s="80" t="inlineStr">
        <is>
          <t>Skill ID</t>
        </is>
      </c>
      <c r="B5" s="80" t="inlineStr">
        <is>
          <t>Skill Name</t>
        </is>
      </c>
      <c r="C5" s="80" t="inlineStr">
        <is>
          <t>Category</t>
        </is>
      </c>
      <c r="D5" s="80" t="inlineStr">
        <is>
          <t>Description</t>
        </is>
      </c>
    </row>
    <row r="6" ht="22" customHeight="1">
      <c r="A6" s="83" t="inlineStr">
        <is>
          <t>SK-001</t>
        </is>
      </c>
      <c r="B6" s="84" t="inlineStr">
        <is>
          <t>Python</t>
        </is>
      </c>
      <c r="C6" s="84" t="inlineStr">
        <is>
          <t>Technical</t>
        </is>
      </c>
      <c r="D6" s="84" t="inlineStr">
        <is>
          <t>Writing, reading, and debugging Python code</t>
        </is>
      </c>
    </row>
    <row r="7" ht="22" customHeight="1">
      <c r="A7" s="83" t="inlineStr">
        <is>
          <t>SK-002</t>
        </is>
      </c>
      <c r="B7" s="84" t="inlineStr">
        <is>
          <t>SQL</t>
        </is>
      </c>
      <c r="C7" s="84" t="inlineStr">
        <is>
          <t>Technical</t>
        </is>
      </c>
      <c r="D7" s="84" t="inlineStr">
        <is>
          <t>Querying and transforming data in databases</t>
        </is>
      </c>
    </row>
    <row r="8" ht="22" customHeight="1">
      <c r="A8" s="83" t="inlineStr">
        <is>
          <t>SK-003</t>
        </is>
      </c>
      <c r="B8" s="84" t="inlineStr">
        <is>
          <t>Excel</t>
        </is>
      </c>
      <c r="C8" s="84" t="inlineStr">
        <is>
          <t>Technical</t>
        </is>
      </c>
      <c r="D8" s="84" t="inlineStr">
        <is>
          <t>Spreadsheets, formulas, pivot tables, and reporting</t>
        </is>
      </c>
    </row>
    <row r="9" ht="22" customHeight="1">
      <c r="A9" s="83" t="inlineStr">
        <is>
          <t>SK-004</t>
        </is>
      </c>
      <c r="B9" s="84" t="inlineStr">
        <is>
          <t>Data Analysis</t>
        </is>
      </c>
      <c r="C9" s="84" t="inlineStr">
        <is>
          <t>Technical</t>
        </is>
      </c>
      <c r="D9" s="84" t="inlineStr">
        <is>
          <t>Interpreting data to support decisions</t>
        </is>
      </c>
    </row>
    <row r="10" ht="22" customHeight="1">
      <c r="A10" s="83" t="inlineStr">
        <is>
          <t>SK-005</t>
        </is>
      </c>
      <c r="B10" s="84" t="inlineStr">
        <is>
          <t>Git</t>
        </is>
      </c>
      <c r="C10" s="84" t="inlineStr">
        <is>
          <t>Tools</t>
        </is>
      </c>
      <c r="D10" s="84" t="inlineStr">
        <is>
          <t>Version control, branching, and code review</t>
        </is>
      </c>
    </row>
    <row r="11" ht="22" customHeight="1">
      <c r="A11" s="83" t="inlineStr">
        <is>
          <t>SK-006</t>
        </is>
      </c>
      <c r="B11" s="84" t="inlineStr">
        <is>
          <t>Communication</t>
        </is>
      </c>
      <c r="C11" s="84" t="inlineStr">
        <is>
          <t>Soft Skills</t>
        </is>
      </c>
      <c r="D11" s="84" t="inlineStr">
        <is>
          <t>Clear writing, speaking, and listening</t>
        </is>
      </c>
    </row>
    <row r="12" ht="22" customHeight="1">
      <c r="A12" s="83" t="inlineStr">
        <is>
          <t>SK-007</t>
        </is>
      </c>
      <c r="B12" s="84" t="inlineStr">
        <is>
          <t>Leadership</t>
        </is>
      </c>
      <c r="C12" s="84" t="inlineStr">
        <is>
          <t>Soft Skills</t>
        </is>
      </c>
      <c r="D12" s="84" t="inlineStr">
        <is>
          <t>Guiding others and owning outcomes</t>
        </is>
      </c>
    </row>
    <row r="13" ht="22" customHeight="1">
      <c r="A13" s="83" t="inlineStr">
        <is>
          <t>SK-008</t>
        </is>
      </c>
      <c r="B13" s="84" t="inlineStr">
        <is>
          <t>Problem Solving</t>
        </is>
      </c>
      <c r="C13" s="84" t="inlineStr">
        <is>
          <t>Soft Skills</t>
        </is>
      </c>
      <c r="D13" s="84" t="inlineStr">
        <is>
          <t>Breaking down issues and finding solutions</t>
        </is>
      </c>
    </row>
    <row r="14" ht="22" customHeight="1">
      <c r="A14" s="83" t="inlineStr">
        <is>
          <t>SK-009</t>
        </is>
      </c>
      <c r="B14" s="84" t="inlineStr">
        <is>
          <t>Project Management</t>
        </is>
      </c>
      <c r="C14" s="84" t="inlineStr">
        <is>
          <t>Domain</t>
        </is>
      </c>
      <c r="D14" s="84" t="inlineStr">
        <is>
          <t>Planning, tracking, and delivering work</t>
        </is>
      </c>
    </row>
    <row r="15" ht="22" customHeight="1">
      <c r="A15" s="83" t="inlineStr">
        <is>
          <t>SK-010</t>
        </is>
      </c>
      <c r="B15" s="84" t="inlineStr">
        <is>
          <t>Stakeholder Management</t>
        </is>
      </c>
      <c r="C15" s="84" t="inlineStr">
        <is>
          <t>Domain</t>
        </is>
      </c>
      <c r="D15" s="84" t="inlineStr">
        <is>
          <t>Aligning partners and managing expectations</t>
        </is>
      </c>
    </row>
    <row r="16" ht="22" customHeight="1">
      <c r="A16" s="85" t="inlineStr">
        <is>
          <t>SK-011</t>
        </is>
      </c>
      <c r="B16" s="86" t="inlineStr"/>
      <c r="C16" s="86" t="inlineStr"/>
      <c r="D16" s="86" t="inlineStr"/>
    </row>
    <row r="17" ht="22" customHeight="1">
      <c r="A17" s="85" t="inlineStr">
        <is>
          <t>SK-012</t>
        </is>
      </c>
      <c r="B17" s="86" t="inlineStr"/>
      <c r="C17" s="86" t="inlineStr"/>
      <c r="D17" s="86" t="inlineStr"/>
    </row>
    <row r="18" ht="22" customHeight="1">
      <c r="A18" s="85" t="inlineStr">
        <is>
          <t>SK-013</t>
        </is>
      </c>
      <c r="B18" s="86" t="inlineStr"/>
      <c r="C18" s="86" t="inlineStr"/>
      <c r="D18" s="86" t="inlineStr"/>
    </row>
    <row r="19" ht="22" customHeight="1">
      <c r="A19" s="85" t="inlineStr">
        <is>
          <t>SK-014</t>
        </is>
      </c>
      <c r="B19" s="86" t="inlineStr"/>
      <c r="C19" s="86" t="inlineStr"/>
      <c r="D19" s="86" t="inlineStr"/>
    </row>
    <row r="20" ht="22" customHeight="1">
      <c r="A20" s="85" t="inlineStr">
        <is>
          <t>SK-015</t>
        </is>
      </c>
      <c r="B20" s="86" t="inlineStr"/>
      <c r="C20" s="86" t="inlineStr"/>
      <c r="D20" s="86" t="inlineStr"/>
    </row>
    <row r="21" ht="22" customHeight="1">
      <c r="A21" s="85" t="inlineStr">
        <is>
          <t>SK-016</t>
        </is>
      </c>
      <c r="B21" s="86" t="inlineStr"/>
      <c r="C21" s="86" t="inlineStr"/>
      <c r="D21" s="86" t="inlineStr"/>
    </row>
  </sheetData>
  <mergeCells count="2">
    <mergeCell ref="A3:D3"/>
    <mergeCell ref="A2:D2"/>
  </mergeCells>
  <dataValidations count="1">
    <dataValidation sqref="C6:C21" showDropDown="0" showInputMessage="0" showErrorMessage="0" allowBlank="1" errorTitle="Category" error="Choose Technical, Tools, Soft Skills, or Domain — or add a new category to this list." promptTitle="Category" prompt="Optional: group related skills" type="list">
      <formula1>"Technical,Tools,Soft Skills,Domain"</formula1>
    </dataValidation>
  </dataValidation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s>
  <pageMargins left="0.75" right="0.75" top="1" bottom="1" header="0.5" footer="0.5"/>
  <pageSetup orientation="portrait" paperSize="3" fitToHeight="1" fitToWidth="1"/>
  <headerFooter>
    <oddHeader>&amp;L&amp;BEmployee Skill Matrix</oddHeader>
    <oddFooter>&amp;RPage &amp;P of &amp;N</oddFooter>
    <evenHeader/>
    <evenFooter/>
    <firstHeader/>
    <firstFooter/>
  </headerFooter>
  <legacyDrawing xmlns:r="http://schemas.openxmlformats.org/officeDocument/2006/relationships" r:id="anysvml"/>
  <tableParts count="1">
    <tablePart xmlns:r="http://schemas.openxmlformats.org/officeDocument/2006/relationships" r:id="rId7"/>
  </tableParts>
</worksheet>
</file>

<file path=xl/worksheets/sheet6.xml><?xml version="1.0" encoding="utf-8"?>
<worksheet xmlns="http://schemas.openxmlformats.org/spreadsheetml/2006/main">
  <sheetPr>
    <tabColor rgb="00C4A35A"/>
    <outlinePr summaryBelow="1" summaryRight="1"/>
    <pageSetUpPr fitToPage="1"/>
  </sheetPr>
  <dimension ref="A1:H24"/>
  <sheetViews>
    <sheetView workbookViewId="0">
      <pane ySplit="1" topLeftCell="A2" activePane="bottomLeft" state="frozen"/>
      <selection pane="bottomLeft" activeCell="A1" sqref="A1"/>
    </sheetView>
  </sheetViews>
  <sheetFormatPr baseColWidth="8" defaultRowHeight="15"/>
  <cols>
    <col width="22" customWidth="1" min="1" max="1"/>
    <col width="16" customWidth="1" min="2" max="2"/>
    <col width="18" customWidth="1" min="3" max="3"/>
    <col width="18" customWidth="1" min="4" max="4"/>
    <col width="18" customWidth="1" min="5" max="5"/>
    <col width="18" customWidth="1" min="6" max="6"/>
    <col width="18" customWidth="1" min="7" max="7"/>
    <col width="18" customWidth="1" min="8" max="8"/>
  </cols>
  <sheetData>
    <row r="1" ht="24" customHeight="1">
      <c r="A1" s="2" t="inlineStr">
        <is>
          <t>How to Use</t>
        </is>
      </c>
      <c r="B1" s="2" t="inlineStr">
        <is>
          <t>Skill Matrix</t>
        </is>
      </c>
      <c r="C1" s="2" t="inlineStr">
        <is>
          <t>Dashboard</t>
        </is>
      </c>
      <c r="D1" s="2" t="inlineStr">
        <is>
          <t>Employees</t>
        </is>
      </c>
      <c r="E1" s="2" t="inlineStr">
        <is>
          <t>Skills</t>
        </is>
      </c>
      <c r="F1" s="1" t="inlineStr">
        <is>
          <t>Settings</t>
        </is>
      </c>
      <c r="G1" s="3" t="inlineStr"/>
      <c r="H1" s="3" t="inlineStr"/>
    </row>
    <row r="2" ht="28" customHeight="1">
      <c r="A2" s="4" t="inlineStr">
        <is>
          <t>Settings</t>
        </is>
      </c>
    </row>
    <row r="3">
      <c r="A3" s="56" t="inlineStr">
        <is>
          <t>Change the years and target rating here. Headers and the dashboard update automatically.</t>
        </is>
      </c>
    </row>
    <row r="5">
      <c r="A5" s="80" t="inlineStr">
        <is>
          <t>Label</t>
        </is>
      </c>
      <c r="B5" s="80" t="inlineStr">
        <is>
          <t>Value</t>
        </is>
      </c>
      <c r="C5" s="80" t="inlineStr">
        <is>
          <t>What it controls</t>
        </is>
      </c>
    </row>
    <row r="6">
      <c r="A6" s="87" t="inlineStr">
        <is>
          <t>This year</t>
        </is>
      </c>
      <c r="B6" s="88" t="n">
        <v>2026</v>
      </c>
      <c r="C6" s="89" t="inlineStr">
        <is>
          <t>Appears as the This Year column on the Skill Matrix and Dashboard.</t>
        </is>
      </c>
      <c r="D6" s="90" t="n"/>
      <c r="E6" s="90" t="n"/>
      <c r="F6" s="90" t="n"/>
      <c r="G6" s="90" t="n"/>
      <c r="H6" s="91" t="n"/>
    </row>
    <row r="7">
      <c r="A7" s="87" t="inlineStr">
        <is>
          <t>Last year</t>
        </is>
      </c>
      <c r="B7" s="88" t="n">
        <v>2025</v>
      </c>
      <c r="C7" s="89" t="inlineStr">
        <is>
          <t>Appears as the Last Year column for comparison.</t>
        </is>
      </c>
      <c r="D7" s="90" t="n"/>
      <c r="E7" s="90" t="n"/>
      <c r="F7" s="90" t="n"/>
      <c r="G7" s="90" t="n"/>
      <c r="H7" s="91" t="n"/>
    </row>
    <row r="8">
      <c r="A8" s="87" t="inlineStr">
        <is>
          <t>Minimum rating</t>
        </is>
      </c>
      <c r="B8" s="88" t="n">
        <v>1</v>
      </c>
      <c r="C8" s="89" t="inlineStr">
        <is>
          <t>Lowest score you can enter. Keep at 1.</t>
        </is>
      </c>
      <c r="D8" s="90" t="n"/>
      <c r="E8" s="90" t="n"/>
      <c r="F8" s="90" t="n"/>
      <c r="G8" s="90" t="n"/>
      <c r="H8" s="91" t="n"/>
    </row>
    <row r="9">
      <c r="A9" s="87" t="inlineStr">
        <is>
          <t>Maximum rating</t>
        </is>
      </c>
      <c r="B9" s="88" t="n">
        <v>5</v>
      </c>
      <c r="C9" s="89" t="inlineStr">
        <is>
          <t>Highest score you can enter. Keep at 5.</t>
        </is>
      </c>
      <c r="D9" s="90" t="n"/>
      <c r="E9" s="90" t="n"/>
      <c r="F9" s="90" t="n"/>
      <c r="G9" s="90" t="n"/>
      <c r="H9" s="91" t="n"/>
    </row>
    <row r="10">
      <c r="A10" s="87" t="inlineStr">
        <is>
          <t>Target rating</t>
        </is>
      </c>
      <c r="B10" s="88" t="n">
        <v>3</v>
      </c>
      <c r="C10" s="89" t="inlineStr">
        <is>
          <t>Scores below this are flagged as development needs.</t>
        </is>
      </c>
      <c r="D10" s="90" t="n"/>
      <c r="E10" s="90" t="n"/>
      <c r="F10" s="90" t="n"/>
      <c r="G10" s="90" t="n"/>
      <c r="H10" s="91" t="n"/>
    </row>
    <row r="12">
      <c r="A12" s="17" t="inlineStr">
        <is>
          <t>Rating scale (1–5)</t>
        </is>
      </c>
    </row>
    <row r="13">
      <c r="A13" s="92" t="inlineStr">
        <is>
          <t>Rating</t>
        </is>
      </c>
      <c r="B13" s="92" t="inlineStr">
        <is>
          <t>Level</t>
        </is>
      </c>
      <c r="C13" s="92" t="inlineStr">
        <is>
          <t>Meaning</t>
        </is>
      </c>
    </row>
    <row r="14" ht="28" customHeight="1">
      <c r="A14" s="93" t="n">
        <v>1</v>
      </c>
      <c r="B14" s="94" t="inlineStr">
        <is>
          <t>Beginner</t>
        </is>
      </c>
      <c r="C14" s="95" t="inlineStr">
        <is>
          <t>Little or no hands-on experience. Needs close guidance.</t>
        </is>
      </c>
      <c r="D14" s="90" t="n"/>
      <c r="E14" s="90" t="n"/>
      <c r="F14" s="90" t="n"/>
      <c r="G14" s="90" t="n"/>
      <c r="H14" s="91" t="n"/>
    </row>
    <row r="15" ht="28" customHeight="1">
      <c r="A15" s="96" t="n">
        <v>2</v>
      </c>
      <c r="B15" s="97" t="inlineStr">
        <is>
          <t>Basic</t>
        </is>
      </c>
      <c r="C15" s="98" t="inlineStr">
        <is>
          <t>Can complete simple tasks with help or a checklist.</t>
        </is>
      </c>
      <c r="D15" s="90" t="n"/>
      <c r="E15" s="90" t="n"/>
      <c r="F15" s="90" t="n"/>
      <c r="G15" s="90" t="n"/>
      <c r="H15" s="91" t="n"/>
    </row>
    <row r="16" ht="28" customHeight="1">
      <c r="A16" s="99" t="n">
        <v>3</v>
      </c>
      <c r="B16" s="100" t="inlineStr">
        <is>
          <t>Competent</t>
        </is>
      </c>
      <c r="C16" s="101" t="inlineStr">
        <is>
          <t>Works independently on standard tasks. Meets the target.</t>
        </is>
      </c>
      <c r="D16" s="90" t="n"/>
      <c r="E16" s="90" t="n"/>
      <c r="F16" s="90" t="n"/>
      <c r="G16" s="90" t="n"/>
      <c r="H16" s="91" t="n"/>
    </row>
    <row r="17" ht="28" customHeight="1">
      <c r="A17" s="102" t="n">
        <v>4</v>
      </c>
      <c r="B17" s="103" t="inlineStr">
        <is>
          <t>Proficient</t>
        </is>
      </c>
      <c r="C17" s="104" t="inlineStr">
        <is>
          <t>Handles complex work and can coach others.</t>
        </is>
      </c>
      <c r="D17" s="90" t="n"/>
      <c r="E17" s="90" t="n"/>
      <c r="F17" s="90" t="n"/>
      <c r="G17" s="90" t="n"/>
      <c r="H17" s="91" t="n"/>
    </row>
    <row r="18" ht="28" customHeight="1">
      <c r="A18" s="105" t="n">
        <v>5</v>
      </c>
      <c r="B18" s="106" t="inlineStr">
        <is>
          <t>Expert</t>
        </is>
      </c>
      <c r="C18" s="107" t="inlineStr">
        <is>
          <t>Go-to specialist. Sets the standard for the team.</t>
        </is>
      </c>
      <c r="D18" s="90" t="n"/>
      <c r="E18" s="90" t="n"/>
      <c r="F18" s="90" t="n"/>
      <c r="G18" s="90" t="n"/>
      <c r="H18" s="91" t="n"/>
    </row>
    <row r="20">
      <c r="A20" s="17" t="inlineStr">
        <is>
          <t>Starting a new review year</t>
        </is>
      </c>
    </row>
    <row r="21" ht="22" customHeight="1">
      <c r="A21" s="108" t="inlineStr">
        <is>
          <t>1. Copy every This Year rating on the Skill Matrix and paste it into the matching Last Year column (Paste Values).</t>
        </is>
      </c>
    </row>
    <row r="22" ht="22" customHeight="1">
      <c r="A22" s="108" t="inlineStr">
        <is>
          <t>2. Clear the This Year columns, then enter the new ratings.</t>
        </is>
      </c>
    </row>
    <row r="23" ht="22" customHeight="1">
      <c r="A23" s="108" t="inlineStr">
        <is>
          <t>3. Update This year and Last year in the yellow cells above.</t>
        </is>
      </c>
    </row>
    <row r="24" ht="22" customHeight="1">
      <c r="A24" s="108" t="inlineStr">
        <is>
          <t>4. The Change columns and Dashboard will recalculate on their own.</t>
        </is>
      </c>
    </row>
  </sheetData>
  <mergeCells count="18">
    <mergeCell ref="C6:H6"/>
    <mergeCell ref="A3:H3"/>
    <mergeCell ref="C10:H10"/>
    <mergeCell ref="C16:H16"/>
    <mergeCell ref="A21:H21"/>
    <mergeCell ref="A23:H23"/>
    <mergeCell ref="C14:H14"/>
    <mergeCell ref="A20:H20"/>
    <mergeCell ref="A24:H24"/>
    <mergeCell ref="A2:H2"/>
    <mergeCell ref="C9:H9"/>
    <mergeCell ref="C8:H8"/>
    <mergeCell ref="C18:H18"/>
    <mergeCell ref="C17:H17"/>
    <mergeCell ref="A12:C12"/>
    <mergeCell ref="C7:H7"/>
    <mergeCell ref="A22:H22"/>
    <mergeCell ref="C15:H15"/>
  </mergeCells>
  <hyperlinks>
    <hyperlink xmlns:r="http://schemas.openxmlformats.org/officeDocument/2006/relationships" ref="A1" r:id="rId1"/>
    <hyperlink xmlns:r="http://schemas.openxmlformats.org/officeDocument/2006/relationships" ref="B1" r:id="rId2"/>
    <hyperlink xmlns:r="http://schemas.openxmlformats.org/officeDocument/2006/relationships" ref="C1" r:id="rId3"/>
    <hyperlink xmlns:r="http://schemas.openxmlformats.org/officeDocument/2006/relationships" ref="D1" r:id="rId4"/>
    <hyperlink xmlns:r="http://schemas.openxmlformats.org/officeDocument/2006/relationships" ref="E1" r:id="rId5"/>
    <hyperlink xmlns:r="http://schemas.openxmlformats.org/officeDocument/2006/relationships" ref="F1" r:id="rId6"/>
  </hyperlinks>
  <pageMargins left="0.75" right="0.75" top="1" bottom="1" header="0.5" footer="0.5"/>
  <pageSetup orientation="portrait" paperSize="3" fitToHeight="1" fitToWidth="1"/>
  <headerFooter>
    <oddHeader>&amp;L&amp;BEmployee Skill Matrix</oddHeader>
    <oddFooter>&amp;RPage &amp;P of &amp;N</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G257"/>
  <sheetViews>
    <sheetView workbookViewId="0">
      <selection activeCell="A1" sqref="A1"/>
    </sheetView>
  </sheetViews>
  <sheetFormatPr baseColWidth="8" defaultRowHeight="15"/>
  <cols>
    <col width="22" customWidth="1" min="1" max="1"/>
    <col width="16" customWidth="1" min="2" max="2"/>
    <col width="24" customWidth="1" min="3" max="3"/>
    <col width="16" customWidth="1" min="4" max="4"/>
    <col width="12" customWidth="1" min="5" max="5"/>
    <col width="12" customWidth="1" min="6" max="6"/>
    <col width="12" customWidth="1" min="7" max="7"/>
  </cols>
  <sheetData>
    <row r="1">
      <c r="A1" s="109" t="inlineStr">
        <is>
          <t>Employee</t>
        </is>
      </c>
      <c r="B1" s="109" t="inlineStr">
        <is>
          <t>Department</t>
        </is>
      </c>
      <c r="C1" s="109" t="inlineStr">
        <is>
          <t>Skill</t>
        </is>
      </c>
      <c r="D1" s="109" t="inlineStr">
        <is>
          <t>Category</t>
        </is>
      </c>
      <c r="E1" s="109" t="inlineStr">
        <is>
          <t>Last Year</t>
        </is>
      </c>
      <c r="F1" s="109" t="inlineStr">
        <is>
          <t>This Year</t>
        </is>
      </c>
      <c r="G1" s="109" t="inlineStr">
        <is>
          <t>Change</t>
        </is>
      </c>
    </row>
    <row r="2">
      <c r="A2">
        <f>IF(AND('Skill Matrix'!A6&lt;&gt;"",'Skills'!B6&lt;&gt;""),'Skill Matrix'!A6,"")</f>
        <v/>
      </c>
      <c r="B2">
        <f>IF(A2="","",'Skill Matrix'!B6)</f>
        <v/>
      </c>
      <c r="C2">
        <f>IF(A2="","",'Skill Matrix'!C4)</f>
        <v/>
      </c>
      <c r="D2">
        <f>IF(A2="","",'Skill Matrix'!C3)</f>
        <v/>
      </c>
      <c r="E2">
        <f>IF(OR(A2="",'Skill Matrix'!C6=""),"",'Skill Matrix'!C6)</f>
        <v/>
      </c>
      <c r="F2">
        <f>IF(OR(A2="",'Skill Matrix'!D6=""),"",'Skill Matrix'!D6)</f>
        <v/>
      </c>
      <c r="G2">
        <f>IF(OR(E2="",F2=""),"",F2-E2)</f>
        <v/>
      </c>
    </row>
    <row r="3">
      <c r="A3">
        <f>IF(AND('Skill Matrix'!A6&lt;&gt;"",'Skills'!B7&lt;&gt;""),'Skill Matrix'!A6,"")</f>
        <v/>
      </c>
      <c r="B3">
        <f>IF(A3="","",'Skill Matrix'!B6)</f>
        <v/>
      </c>
      <c r="C3">
        <f>IF(A3="","",'Skill Matrix'!F4)</f>
        <v/>
      </c>
      <c r="D3">
        <f>IF(A3="","",'Skill Matrix'!F3)</f>
        <v/>
      </c>
      <c r="E3">
        <f>IF(OR(A3="",'Skill Matrix'!F6=""),"",'Skill Matrix'!F6)</f>
        <v/>
      </c>
      <c r="F3">
        <f>IF(OR(A3="",'Skill Matrix'!G6=""),"",'Skill Matrix'!G6)</f>
        <v/>
      </c>
      <c r="G3">
        <f>IF(OR(E3="",F3=""),"",F3-E3)</f>
        <v/>
      </c>
    </row>
    <row r="4">
      <c r="A4">
        <f>IF(AND('Skill Matrix'!A6&lt;&gt;"",'Skills'!B8&lt;&gt;""),'Skill Matrix'!A6,"")</f>
        <v/>
      </c>
      <c r="B4">
        <f>IF(A4="","",'Skill Matrix'!B6)</f>
        <v/>
      </c>
      <c r="C4">
        <f>IF(A4="","",'Skill Matrix'!I4)</f>
        <v/>
      </c>
      <c r="D4">
        <f>IF(A4="","",'Skill Matrix'!I3)</f>
        <v/>
      </c>
      <c r="E4">
        <f>IF(OR(A4="",'Skill Matrix'!I6=""),"",'Skill Matrix'!I6)</f>
        <v/>
      </c>
      <c r="F4">
        <f>IF(OR(A4="",'Skill Matrix'!J6=""),"",'Skill Matrix'!J6)</f>
        <v/>
      </c>
      <c r="G4">
        <f>IF(OR(E4="",F4=""),"",F4-E4)</f>
        <v/>
      </c>
    </row>
    <row r="5">
      <c r="A5">
        <f>IF(AND('Skill Matrix'!A6&lt;&gt;"",'Skills'!B9&lt;&gt;""),'Skill Matrix'!A6,"")</f>
        <v/>
      </c>
      <c r="B5">
        <f>IF(A5="","",'Skill Matrix'!B6)</f>
        <v/>
      </c>
      <c r="C5">
        <f>IF(A5="","",'Skill Matrix'!L4)</f>
        <v/>
      </c>
      <c r="D5">
        <f>IF(A5="","",'Skill Matrix'!L3)</f>
        <v/>
      </c>
      <c r="E5">
        <f>IF(OR(A5="",'Skill Matrix'!L6=""),"",'Skill Matrix'!L6)</f>
        <v/>
      </c>
      <c r="F5">
        <f>IF(OR(A5="",'Skill Matrix'!M6=""),"",'Skill Matrix'!M6)</f>
        <v/>
      </c>
      <c r="G5">
        <f>IF(OR(E5="",F5=""),"",F5-E5)</f>
        <v/>
      </c>
    </row>
    <row r="6">
      <c r="A6">
        <f>IF(AND('Skill Matrix'!A6&lt;&gt;"",'Skills'!B10&lt;&gt;""),'Skill Matrix'!A6,"")</f>
        <v/>
      </c>
      <c r="B6">
        <f>IF(A6="","",'Skill Matrix'!B6)</f>
        <v/>
      </c>
      <c r="C6">
        <f>IF(A6="","",'Skill Matrix'!O4)</f>
        <v/>
      </c>
      <c r="D6">
        <f>IF(A6="","",'Skill Matrix'!O3)</f>
        <v/>
      </c>
      <c r="E6">
        <f>IF(OR(A6="",'Skill Matrix'!O6=""),"",'Skill Matrix'!O6)</f>
        <v/>
      </c>
      <c r="F6">
        <f>IF(OR(A6="",'Skill Matrix'!P6=""),"",'Skill Matrix'!P6)</f>
        <v/>
      </c>
      <c r="G6">
        <f>IF(OR(E6="",F6=""),"",F6-E6)</f>
        <v/>
      </c>
    </row>
    <row r="7">
      <c r="A7">
        <f>IF(AND('Skill Matrix'!A6&lt;&gt;"",'Skills'!B11&lt;&gt;""),'Skill Matrix'!A6,"")</f>
        <v/>
      </c>
      <c r="B7">
        <f>IF(A7="","",'Skill Matrix'!B6)</f>
        <v/>
      </c>
      <c r="C7">
        <f>IF(A7="","",'Skill Matrix'!R4)</f>
        <v/>
      </c>
      <c r="D7">
        <f>IF(A7="","",'Skill Matrix'!R3)</f>
        <v/>
      </c>
      <c r="E7">
        <f>IF(OR(A7="",'Skill Matrix'!R6=""),"",'Skill Matrix'!R6)</f>
        <v/>
      </c>
      <c r="F7">
        <f>IF(OR(A7="",'Skill Matrix'!S6=""),"",'Skill Matrix'!S6)</f>
        <v/>
      </c>
      <c r="G7">
        <f>IF(OR(E7="",F7=""),"",F7-E7)</f>
        <v/>
      </c>
    </row>
    <row r="8">
      <c r="A8">
        <f>IF(AND('Skill Matrix'!A6&lt;&gt;"",'Skills'!B12&lt;&gt;""),'Skill Matrix'!A6,"")</f>
        <v/>
      </c>
      <c r="B8">
        <f>IF(A8="","",'Skill Matrix'!B6)</f>
        <v/>
      </c>
      <c r="C8">
        <f>IF(A8="","",'Skill Matrix'!U4)</f>
        <v/>
      </c>
      <c r="D8">
        <f>IF(A8="","",'Skill Matrix'!U3)</f>
        <v/>
      </c>
      <c r="E8">
        <f>IF(OR(A8="",'Skill Matrix'!U6=""),"",'Skill Matrix'!U6)</f>
        <v/>
      </c>
      <c r="F8">
        <f>IF(OR(A8="",'Skill Matrix'!V6=""),"",'Skill Matrix'!V6)</f>
        <v/>
      </c>
      <c r="G8">
        <f>IF(OR(E8="",F8=""),"",F8-E8)</f>
        <v/>
      </c>
    </row>
    <row r="9">
      <c r="A9">
        <f>IF(AND('Skill Matrix'!A6&lt;&gt;"",'Skills'!B13&lt;&gt;""),'Skill Matrix'!A6,"")</f>
        <v/>
      </c>
      <c r="B9">
        <f>IF(A9="","",'Skill Matrix'!B6)</f>
        <v/>
      </c>
      <c r="C9">
        <f>IF(A9="","",'Skill Matrix'!X4)</f>
        <v/>
      </c>
      <c r="D9">
        <f>IF(A9="","",'Skill Matrix'!X3)</f>
        <v/>
      </c>
      <c r="E9">
        <f>IF(OR(A9="",'Skill Matrix'!X6=""),"",'Skill Matrix'!X6)</f>
        <v/>
      </c>
      <c r="F9">
        <f>IF(OR(A9="",'Skill Matrix'!Y6=""),"",'Skill Matrix'!Y6)</f>
        <v/>
      </c>
      <c r="G9">
        <f>IF(OR(E9="",F9=""),"",F9-E9)</f>
        <v/>
      </c>
    </row>
    <row r="10">
      <c r="A10">
        <f>IF(AND('Skill Matrix'!A6&lt;&gt;"",'Skills'!B14&lt;&gt;""),'Skill Matrix'!A6,"")</f>
        <v/>
      </c>
      <c r="B10">
        <f>IF(A10="","",'Skill Matrix'!B6)</f>
        <v/>
      </c>
      <c r="C10">
        <f>IF(A10="","",'Skill Matrix'!AA4)</f>
        <v/>
      </c>
      <c r="D10">
        <f>IF(A10="","",'Skill Matrix'!AA3)</f>
        <v/>
      </c>
      <c r="E10">
        <f>IF(OR(A10="",'Skill Matrix'!AA6=""),"",'Skill Matrix'!AA6)</f>
        <v/>
      </c>
      <c r="F10">
        <f>IF(OR(A10="",'Skill Matrix'!AB6=""),"",'Skill Matrix'!AB6)</f>
        <v/>
      </c>
      <c r="G10">
        <f>IF(OR(E10="",F10=""),"",F10-E10)</f>
        <v/>
      </c>
    </row>
    <row r="11">
      <c r="A11">
        <f>IF(AND('Skill Matrix'!A6&lt;&gt;"",'Skills'!B15&lt;&gt;""),'Skill Matrix'!A6,"")</f>
        <v/>
      </c>
      <c r="B11">
        <f>IF(A11="","",'Skill Matrix'!B6)</f>
        <v/>
      </c>
      <c r="C11">
        <f>IF(A11="","",'Skill Matrix'!AD4)</f>
        <v/>
      </c>
      <c r="D11">
        <f>IF(A11="","",'Skill Matrix'!AD3)</f>
        <v/>
      </c>
      <c r="E11">
        <f>IF(OR(A11="",'Skill Matrix'!AD6=""),"",'Skill Matrix'!AD6)</f>
        <v/>
      </c>
      <c r="F11">
        <f>IF(OR(A11="",'Skill Matrix'!AE6=""),"",'Skill Matrix'!AE6)</f>
        <v/>
      </c>
      <c r="G11">
        <f>IF(OR(E11="",F11=""),"",F11-E11)</f>
        <v/>
      </c>
    </row>
    <row r="12">
      <c r="A12">
        <f>IF(AND('Skill Matrix'!A6&lt;&gt;"",'Skills'!B16&lt;&gt;""),'Skill Matrix'!A6,"")</f>
        <v/>
      </c>
      <c r="B12">
        <f>IF(A12="","",'Skill Matrix'!B6)</f>
        <v/>
      </c>
      <c r="C12">
        <f>IF(A12="","",'Skill Matrix'!AG4)</f>
        <v/>
      </c>
      <c r="D12">
        <f>IF(A12="","",'Skill Matrix'!AG3)</f>
        <v/>
      </c>
      <c r="E12">
        <f>IF(OR(A12="",'Skill Matrix'!AG6=""),"",'Skill Matrix'!AG6)</f>
        <v/>
      </c>
      <c r="F12">
        <f>IF(OR(A12="",'Skill Matrix'!AH6=""),"",'Skill Matrix'!AH6)</f>
        <v/>
      </c>
      <c r="G12">
        <f>IF(OR(E12="",F12=""),"",F12-E12)</f>
        <v/>
      </c>
    </row>
    <row r="13">
      <c r="A13">
        <f>IF(AND('Skill Matrix'!A6&lt;&gt;"",'Skills'!B17&lt;&gt;""),'Skill Matrix'!A6,"")</f>
        <v/>
      </c>
      <c r="B13">
        <f>IF(A13="","",'Skill Matrix'!B6)</f>
        <v/>
      </c>
      <c r="C13">
        <f>IF(A13="","",'Skill Matrix'!AJ4)</f>
        <v/>
      </c>
      <c r="D13">
        <f>IF(A13="","",'Skill Matrix'!AJ3)</f>
        <v/>
      </c>
      <c r="E13">
        <f>IF(OR(A13="",'Skill Matrix'!AJ6=""),"",'Skill Matrix'!AJ6)</f>
        <v/>
      </c>
      <c r="F13">
        <f>IF(OR(A13="",'Skill Matrix'!AK6=""),"",'Skill Matrix'!AK6)</f>
        <v/>
      </c>
      <c r="G13">
        <f>IF(OR(E13="",F13=""),"",F13-E13)</f>
        <v/>
      </c>
    </row>
    <row r="14">
      <c r="A14">
        <f>IF(AND('Skill Matrix'!A6&lt;&gt;"",'Skills'!B18&lt;&gt;""),'Skill Matrix'!A6,"")</f>
        <v/>
      </c>
      <c r="B14">
        <f>IF(A14="","",'Skill Matrix'!B6)</f>
        <v/>
      </c>
      <c r="C14">
        <f>IF(A14="","",'Skill Matrix'!AM4)</f>
        <v/>
      </c>
      <c r="D14">
        <f>IF(A14="","",'Skill Matrix'!AM3)</f>
        <v/>
      </c>
      <c r="E14">
        <f>IF(OR(A14="",'Skill Matrix'!AM6=""),"",'Skill Matrix'!AM6)</f>
        <v/>
      </c>
      <c r="F14">
        <f>IF(OR(A14="",'Skill Matrix'!AN6=""),"",'Skill Matrix'!AN6)</f>
        <v/>
      </c>
      <c r="G14">
        <f>IF(OR(E14="",F14=""),"",F14-E14)</f>
        <v/>
      </c>
    </row>
    <row r="15">
      <c r="A15">
        <f>IF(AND('Skill Matrix'!A6&lt;&gt;"",'Skills'!B19&lt;&gt;""),'Skill Matrix'!A6,"")</f>
        <v/>
      </c>
      <c r="B15">
        <f>IF(A15="","",'Skill Matrix'!B6)</f>
        <v/>
      </c>
      <c r="C15">
        <f>IF(A15="","",'Skill Matrix'!AP4)</f>
        <v/>
      </c>
      <c r="D15">
        <f>IF(A15="","",'Skill Matrix'!AP3)</f>
        <v/>
      </c>
      <c r="E15">
        <f>IF(OR(A15="",'Skill Matrix'!AP6=""),"",'Skill Matrix'!AP6)</f>
        <v/>
      </c>
      <c r="F15">
        <f>IF(OR(A15="",'Skill Matrix'!AQ6=""),"",'Skill Matrix'!AQ6)</f>
        <v/>
      </c>
      <c r="G15">
        <f>IF(OR(E15="",F15=""),"",F15-E15)</f>
        <v/>
      </c>
    </row>
    <row r="16">
      <c r="A16">
        <f>IF(AND('Skill Matrix'!A6&lt;&gt;"",'Skills'!B20&lt;&gt;""),'Skill Matrix'!A6,"")</f>
        <v/>
      </c>
      <c r="B16">
        <f>IF(A16="","",'Skill Matrix'!B6)</f>
        <v/>
      </c>
      <c r="C16">
        <f>IF(A16="","",'Skill Matrix'!AS4)</f>
        <v/>
      </c>
      <c r="D16">
        <f>IF(A16="","",'Skill Matrix'!AS3)</f>
        <v/>
      </c>
      <c r="E16">
        <f>IF(OR(A16="",'Skill Matrix'!AS6=""),"",'Skill Matrix'!AS6)</f>
        <v/>
      </c>
      <c r="F16">
        <f>IF(OR(A16="",'Skill Matrix'!AT6=""),"",'Skill Matrix'!AT6)</f>
        <v/>
      </c>
      <c r="G16">
        <f>IF(OR(E16="",F16=""),"",F16-E16)</f>
        <v/>
      </c>
    </row>
    <row r="17">
      <c r="A17">
        <f>IF(AND('Skill Matrix'!A6&lt;&gt;"",'Skills'!B21&lt;&gt;""),'Skill Matrix'!A6,"")</f>
        <v/>
      </c>
      <c r="B17">
        <f>IF(A17="","",'Skill Matrix'!B6)</f>
        <v/>
      </c>
      <c r="C17">
        <f>IF(A17="","",'Skill Matrix'!AV4)</f>
        <v/>
      </c>
      <c r="D17">
        <f>IF(A17="","",'Skill Matrix'!AV3)</f>
        <v/>
      </c>
      <c r="E17">
        <f>IF(OR(A17="",'Skill Matrix'!AV6=""),"",'Skill Matrix'!AV6)</f>
        <v/>
      </c>
      <c r="F17">
        <f>IF(OR(A17="",'Skill Matrix'!AW6=""),"",'Skill Matrix'!AW6)</f>
        <v/>
      </c>
      <c r="G17">
        <f>IF(OR(E17="",F17=""),"",F17-E17)</f>
        <v/>
      </c>
    </row>
    <row r="18">
      <c r="A18">
        <f>IF(AND('Skill Matrix'!A7&lt;&gt;"",'Skills'!B6&lt;&gt;""),'Skill Matrix'!A7,"")</f>
        <v/>
      </c>
      <c r="B18">
        <f>IF(A18="","",'Skill Matrix'!B7)</f>
        <v/>
      </c>
      <c r="C18">
        <f>IF(A18="","",'Skill Matrix'!C4)</f>
        <v/>
      </c>
      <c r="D18">
        <f>IF(A18="","",'Skill Matrix'!C3)</f>
        <v/>
      </c>
      <c r="E18">
        <f>IF(OR(A18="",'Skill Matrix'!C7=""),"",'Skill Matrix'!C7)</f>
        <v/>
      </c>
      <c r="F18">
        <f>IF(OR(A18="",'Skill Matrix'!D7=""),"",'Skill Matrix'!D7)</f>
        <v/>
      </c>
      <c r="G18">
        <f>IF(OR(E18="",F18=""),"",F18-E18)</f>
        <v/>
      </c>
    </row>
    <row r="19">
      <c r="A19">
        <f>IF(AND('Skill Matrix'!A7&lt;&gt;"",'Skills'!B7&lt;&gt;""),'Skill Matrix'!A7,"")</f>
        <v/>
      </c>
      <c r="B19">
        <f>IF(A19="","",'Skill Matrix'!B7)</f>
        <v/>
      </c>
      <c r="C19">
        <f>IF(A19="","",'Skill Matrix'!F4)</f>
        <v/>
      </c>
      <c r="D19">
        <f>IF(A19="","",'Skill Matrix'!F3)</f>
        <v/>
      </c>
      <c r="E19">
        <f>IF(OR(A19="",'Skill Matrix'!F7=""),"",'Skill Matrix'!F7)</f>
        <v/>
      </c>
      <c r="F19">
        <f>IF(OR(A19="",'Skill Matrix'!G7=""),"",'Skill Matrix'!G7)</f>
        <v/>
      </c>
      <c r="G19">
        <f>IF(OR(E19="",F19=""),"",F19-E19)</f>
        <v/>
      </c>
    </row>
    <row r="20">
      <c r="A20">
        <f>IF(AND('Skill Matrix'!A7&lt;&gt;"",'Skills'!B8&lt;&gt;""),'Skill Matrix'!A7,"")</f>
        <v/>
      </c>
      <c r="B20">
        <f>IF(A20="","",'Skill Matrix'!B7)</f>
        <v/>
      </c>
      <c r="C20">
        <f>IF(A20="","",'Skill Matrix'!I4)</f>
        <v/>
      </c>
      <c r="D20">
        <f>IF(A20="","",'Skill Matrix'!I3)</f>
        <v/>
      </c>
      <c r="E20">
        <f>IF(OR(A20="",'Skill Matrix'!I7=""),"",'Skill Matrix'!I7)</f>
        <v/>
      </c>
      <c r="F20">
        <f>IF(OR(A20="",'Skill Matrix'!J7=""),"",'Skill Matrix'!J7)</f>
        <v/>
      </c>
      <c r="G20">
        <f>IF(OR(E20="",F20=""),"",F20-E20)</f>
        <v/>
      </c>
    </row>
    <row r="21">
      <c r="A21">
        <f>IF(AND('Skill Matrix'!A7&lt;&gt;"",'Skills'!B9&lt;&gt;""),'Skill Matrix'!A7,"")</f>
        <v/>
      </c>
      <c r="B21">
        <f>IF(A21="","",'Skill Matrix'!B7)</f>
        <v/>
      </c>
      <c r="C21">
        <f>IF(A21="","",'Skill Matrix'!L4)</f>
        <v/>
      </c>
      <c r="D21">
        <f>IF(A21="","",'Skill Matrix'!L3)</f>
        <v/>
      </c>
      <c r="E21">
        <f>IF(OR(A21="",'Skill Matrix'!L7=""),"",'Skill Matrix'!L7)</f>
        <v/>
      </c>
      <c r="F21">
        <f>IF(OR(A21="",'Skill Matrix'!M7=""),"",'Skill Matrix'!M7)</f>
        <v/>
      </c>
      <c r="G21">
        <f>IF(OR(E21="",F21=""),"",F21-E21)</f>
        <v/>
      </c>
    </row>
    <row r="22">
      <c r="A22">
        <f>IF(AND('Skill Matrix'!A7&lt;&gt;"",'Skills'!B10&lt;&gt;""),'Skill Matrix'!A7,"")</f>
        <v/>
      </c>
      <c r="B22">
        <f>IF(A22="","",'Skill Matrix'!B7)</f>
        <v/>
      </c>
      <c r="C22">
        <f>IF(A22="","",'Skill Matrix'!O4)</f>
        <v/>
      </c>
      <c r="D22">
        <f>IF(A22="","",'Skill Matrix'!O3)</f>
        <v/>
      </c>
      <c r="E22">
        <f>IF(OR(A22="",'Skill Matrix'!O7=""),"",'Skill Matrix'!O7)</f>
        <v/>
      </c>
      <c r="F22">
        <f>IF(OR(A22="",'Skill Matrix'!P7=""),"",'Skill Matrix'!P7)</f>
        <v/>
      </c>
      <c r="G22">
        <f>IF(OR(E22="",F22=""),"",F22-E22)</f>
        <v/>
      </c>
    </row>
    <row r="23">
      <c r="A23">
        <f>IF(AND('Skill Matrix'!A7&lt;&gt;"",'Skills'!B11&lt;&gt;""),'Skill Matrix'!A7,"")</f>
        <v/>
      </c>
      <c r="B23">
        <f>IF(A23="","",'Skill Matrix'!B7)</f>
        <v/>
      </c>
      <c r="C23">
        <f>IF(A23="","",'Skill Matrix'!R4)</f>
        <v/>
      </c>
      <c r="D23">
        <f>IF(A23="","",'Skill Matrix'!R3)</f>
        <v/>
      </c>
      <c r="E23">
        <f>IF(OR(A23="",'Skill Matrix'!R7=""),"",'Skill Matrix'!R7)</f>
        <v/>
      </c>
      <c r="F23">
        <f>IF(OR(A23="",'Skill Matrix'!S7=""),"",'Skill Matrix'!S7)</f>
        <v/>
      </c>
      <c r="G23">
        <f>IF(OR(E23="",F23=""),"",F23-E23)</f>
        <v/>
      </c>
    </row>
    <row r="24">
      <c r="A24">
        <f>IF(AND('Skill Matrix'!A7&lt;&gt;"",'Skills'!B12&lt;&gt;""),'Skill Matrix'!A7,"")</f>
        <v/>
      </c>
      <c r="B24">
        <f>IF(A24="","",'Skill Matrix'!B7)</f>
        <v/>
      </c>
      <c r="C24">
        <f>IF(A24="","",'Skill Matrix'!U4)</f>
        <v/>
      </c>
      <c r="D24">
        <f>IF(A24="","",'Skill Matrix'!U3)</f>
        <v/>
      </c>
      <c r="E24">
        <f>IF(OR(A24="",'Skill Matrix'!U7=""),"",'Skill Matrix'!U7)</f>
        <v/>
      </c>
      <c r="F24">
        <f>IF(OR(A24="",'Skill Matrix'!V7=""),"",'Skill Matrix'!V7)</f>
        <v/>
      </c>
      <c r="G24">
        <f>IF(OR(E24="",F24=""),"",F24-E24)</f>
        <v/>
      </c>
    </row>
    <row r="25">
      <c r="A25">
        <f>IF(AND('Skill Matrix'!A7&lt;&gt;"",'Skills'!B13&lt;&gt;""),'Skill Matrix'!A7,"")</f>
        <v/>
      </c>
      <c r="B25">
        <f>IF(A25="","",'Skill Matrix'!B7)</f>
        <v/>
      </c>
      <c r="C25">
        <f>IF(A25="","",'Skill Matrix'!X4)</f>
        <v/>
      </c>
      <c r="D25">
        <f>IF(A25="","",'Skill Matrix'!X3)</f>
        <v/>
      </c>
      <c r="E25">
        <f>IF(OR(A25="",'Skill Matrix'!X7=""),"",'Skill Matrix'!X7)</f>
        <v/>
      </c>
      <c r="F25">
        <f>IF(OR(A25="",'Skill Matrix'!Y7=""),"",'Skill Matrix'!Y7)</f>
        <v/>
      </c>
      <c r="G25">
        <f>IF(OR(E25="",F25=""),"",F25-E25)</f>
        <v/>
      </c>
    </row>
    <row r="26">
      <c r="A26">
        <f>IF(AND('Skill Matrix'!A7&lt;&gt;"",'Skills'!B14&lt;&gt;""),'Skill Matrix'!A7,"")</f>
        <v/>
      </c>
      <c r="B26">
        <f>IF(A26="","",'Skill Matrix'!B7)</f>
        <v/>
      </c>
      <c r="C26">
        <f>IF(A26="","",'Skill Matrix'!AA4)</f>
        <v/>
      </c>
      <c r="D26">
        <f>IF(A26="","",'Skill Matrix'!AA3)</f>
        <v/>
      </c>
      <c r="E26">
        <f>IF(OR(A26="",'Skill Matrix'!AA7=""),"",'Skill Matrix'!AA7)</f>
        <v/>
      </c>
      <c r="F26">
        <f>IF(OR(A26="",'Skill Matrix'!AB7=""),"",'Skill Matrix'!AB7)</f>
        <v/>
      </c>
      <c r="G26">
        <f>IF(OR(E26="",F26=""),"",F26-E26)</f>
        <v/>
      </c>
    </row>
    <row r="27">
      <c r="A27">
        <f>IF(AND('Skill Matrix'!A7&lt;&gt;"",'Skills'!B15&lt;&gt;""),'Skill Matrix'!A7,"")</f>
        <v/>
      </c>
      <c r="B27">
        <f>IF(A27="","",'Skill Matrix'!B7)</f>
        <v/>
      </c>
      <c r="C27">
        <f>IF(A27="","",'Skill Matrix'!AD4)</f>
        <v/>
      </c>
      <c r="D27">
        <f>IF(A27="","",'Skill Matrix'!AD3)</f>
        <v/>
      </c>
      <c r="E27">
        <f>IF(OR(A27="",'Skill Matrix'!AD7=""),"",'Skill Matrix'!AD7)</f>
        <v/>
      </c>
      <c r="F27">
        <f>IF(OR(A27="",'Skill Matrix'!AE7=""),"",'Skill Matrix'!AE7)</f>
        <v/>
      </c>
      <c r="G27">
        <f>IF(OR(E27="",F27=""),"",F27-E27)</f>
        <v/>
      </c>
    </row>
    <row r="28">
      <c r="A28">
        <f>IF(AND('Skill Matrix'!A7&lt;&gt;"",'Skills'!B16&lt;&gt;""),'Skill Matrix'!A7,"")</f>
        <v/>
      </c>
      <c r="B28">
        <f>IF(A28="","",'Skill Matrix'!B7)</f>
        <v/>
      </c>
      <c r="C28">
        <f>IF(A28="","",'Skill Matrix'!AG4)</f>
        <v/>
      </c>
      <c r="D28">
        <f>IF(A28="","",'Skill Matrix'!AG3)</f>
        <v/>
      </c>
      <c r="E28">
        <f>IF(OR(A28="",'Skill Matrix'!AG7=""),"",'Skill Matrix'!AG7)</f>
        <v/>
      </c>
      <c r="F28">
        <f>IF(OR(A28="",'Skill Matrix'!AH7=""),"",'Skill Matrix'!AH7)</f>
        <v/>
      </c>
      <c r="G28">
        <f>IF(OR(E28="",F28=""),"",F28-E28)</f>
        <v/>
      </c>
    </row>
    <row r="29">
      <c r="A29">
        <f>IF(AND('Skill Matrix'!A7&lt;&gt;"",'Skills'!B17&lt;&gt;""),'Skill Matrix'!A7,"")</f>
        <v/>
      </c>
      <c r="B29">
        <f>IF(A29="","",'Skill Matrix'!B7)</f>
        <v/>
      </c>
      <c r="C29">
        <f>IF(A29="","",'Skill Matrix'!AJ4)</f>
        <v/>
      </c>
      <c r="D29">
        <f>IF(A29="","",'Skill Matrix'!AJ3)</f>
        <v/>
      </c>
      <c r="E29">
        <f>IF(OR(A29="",'Skill Matrix'!AJ7=""),"",'Skill Matrix'!AJ7)</f>
        <v/>
      </c>
      <c r="F29">
        <f>IF(OR(A29="",'Skill Matrix'!AK7=""),"",'Skill Matrix'!AK7)</f>
        <v/>
      </c>
      <c r="G29">
        <f>IF(OR(E29="",F29=""),"",F29-E29)</f>
        <v/>
      </c>
    </row>
    <row r="30">
      <c r="A30">
        <f>IF(AND('Skill Matrix'!A7&lt;&gt;"",'Skills'!B18&lt;&gt;""),'Skill Matrix'!A7,"")</f>
        <v/>
      </c>
      <c r="B30">
        <f>IF(A30="","",'Skill Matrix'!B7)</f>
        <v/>
      </c>
      <c r="C30">
        <f>IF(A30="","",'Skill Matrix'!AM4)</f>
        <v/>
      </c>
      <c r="D30">
        <f>IF(A30="","",'Skill Matrix'!AM3)</f>
        <v/>
      </c>
      <c r="E30">
        <f>IF(OR(A30="",'Skill Matrix'!AM7=""),"",'Skill Matrix'!AM7)</f>
        <v/>
      </c>
      <c r="F30">
        <f>IF(OR(A30="",'Skill Matrix'!AN7=""),"",'Skill Matrix'!AN7)</f>
        <v/>
      </c>
      <c r="G30">
        <f>IF(OR(E30="",F30=""),"",F30-E30)</f>
        <v/>
      </c>
    </row>
    <row r="31">
      <c r="A31">
        <f>IF(AND('Skill Matrix'!A7&lt;&gt;"",'Skills'!B19&lt;&gt;""),'Skill Matrix'!A7,"")</f>
        <v/>
      </c>
      <c r="B31">
        <f>IF(A31="","",'Skill Matrix'!B7)</f>
        <v/>
      </c>
      <c r="C31">
        <f>IF(A31="","",'Skill Matrix'!AP4)</f>
        <v/>
      </c>
      <c r="D31">
        <f>IF(A31="","",'Skill Matrix'!AP3)</f>
        <v/>
      </c>
      <c r="E31">
        <f>IF(OR(A31="",'Skill Matrix'!AP7=""),"",'Skill Matrix'!AP7)</f>
        <v/>
      </c>
      <c r="F31">
        <f>IF(OR(A31="",'Skill Matrix'!AQ7=""),"",'Skill Matrix'!AQ7)</f>
        <v/>
      </c>
      <c r="G31">
        <f>IF(OR(E31="",F31=""),"",F31-E31)</f>
        <v/>
      </c>
    </row>
    <row r="32">
      <c r="A32">
        <f>IF(AND('Skill Matrix'!A7&lt;&gt;"",'Skills'!B20&lt;&gt;""),'Skill Matrix'!A7,"")</f>
        <v/>
      </c>
      <c r="B32">
        <f>IF(A32="","",'Skill Matrix'!B7)</f>
        <v/>
      </c>
      <c r="C32">
        <f>IF(A32="","",'Skill Matrix'!AS4)</f>
        <v/>
      </c>
      <c r="D32">
        <f>IF(A32="","",'Skill Matrix'!AS3)</f>
        <v/>
      </c>
      <c r="E32">
        <f>IF(OR(A32="",'Skill Matrix'!AS7=""),"",'Skill Matrix'!AS7)</f>
        <v/>
      </c>
      <c r="F32">
        <f>IF(OR(A32="",'Skill Matrix'!AT7=""),"",'Skill Matrix'!AT7)</f>
        <v/>
      </c>
      <c r="G32">
        <f>IF(OR(E32="",F32=""),"",F32-E32)</f>
        <v/>
      </c>
    </row>
    <row r="33">
      <c r="A33">
        <f>IF(AND('Skill Matrix'!A7&lt;&gt;"",'Skills'!B21&lt;&gt;""),'Skill Matrix'!A7,"")</f>
        <v/>
      </c>
      <c r="B33">
        <f>IF(A33="","",'Skill Matrix'!B7)</f>
        <v/>
      </c>
      <c r="C33">
        <f>IF(A33="","",'Skill Matrix'!AV4)</f>
        <v/>
      </c>
      <c r="D33">
        <f>IF(A33="","",'Skill Matrix'!AV3)</f>
        <v/>
      </c>
      <c r="E33">
        <f>IF(OR(A33="",'Skill Matrix'!AV7=""),"",'Skill Matrix'!AV7)</f>
        <v/>
      </c>
      <c r="F33">
        <f>IF(OR(A33="",'Skill Matrix'!AW7=""),"",'Skill Matrix'!AW7)</f>
        <v/>
      </c>
      <c r="G33">
        <f>IF(OR(E33="",F33=""),"",F33-E33)</f>
        <v/>
      </c>
    </row>
    <row r="34">
      <c r="A34">
        <f>IF(AND('Skill Matrix'!A8&lt;&gt;"",'Skills'!B6&lt;&gt;""),'Skill Matrix'!A8,"")</f>
        <v/>
      </c>
      <c r="B34">
        <f>IF(A34="","",'Skill Matrix'!B8)</f>
        <v/>
      </c>
      <c r="C34">
        <f>IF(A34="","",'Skill Matrix'!C4)</f>
        <v/>
      </c>
      <c r="D34">
        <f>IF(A34="","",'Skill Matrix'!C3)</f>
        <v/>
      </c>
      <c r="E34">
        <f>IF(OR(A34="",'Skill Matrix'!C8=""),"",'Skill Matrix'!C8)</f>
        <v/>
      </c>
      <c r="F34">
        <f>IF(OR(A34="",'Skill Matrix'!D8=""),"",'Skill Matrix'!D8)</f>
        <v/>
      </c>
      <c r="G34">
        <f>IF(OR(E34="",F34=""),"",F34-E34)</f>
        <v/>
      </c>
    </row>
    <row r="35">
      <c r="A35">
        <f>IF(AND('Skill Matrix'!A8&lt;&gt;"",'Skills'!B7&lt;&gt;""),'Skill Matrix'!A8,"")</f>
        <v/>
      </c>
      <c r="B35">
        <f>IF(A35="","",'Skill Matrix'!B8)</f>
        <v/>
      </c>
      <c r="C35">
        <f>IF(A35="","",'Skill Matrix'!F4)</f>
        <v/>
      </c>
      <c r="D35">
        <f>IF(A35="","",'Skill Matrix'!F3)</f>
        <v/>
      </c>
      <c r="E35">
        <f>IF(OR(A35="",'Skill Matrix'!F8=""),"",'Skill Matrix'!F8)</f>
        <v/>
      </c>
      <c r="F35">
        <f>IF(OR(A35="",'Skill Matrix'!G8=""),"",'Skill Matrix'!G8)</f>
        <v/>
      </c>
      <c r="G35">
        <f>IF(OR(E35="",F35=""),"",F35-E35)</f>
        <v/>
      </c>
    </row>
    <row r="36">
      <c r="A36">
        <f>IF(AND('Skill Matrix'!A8&lt;&gt;"",'Skills'!B8&lt;&gt;""),'Skill Matrix'!A8,"")</f>
        <v/>
      </c>
      <c r="B36">
        <f>IF(A36="","",'Skill Matrix'!B8)</f>
        <v/>
      </c>
      <c r="C36">
        <f>IF(A36="","",'Skill Matrix'!I4)</f>
        <v/>
      </c>
      <c r="D36">
        <f>IF(A36="","",'Skill Matrix'!I3)</f>
        <v/>
      </c>
      <c r="E36">
        <f>IF(OR(A36="",'Skill Matrix'!I8=""),"",'Skill Matrix'!I8)</f>
        <v/>
      </c>
      <c r="F36">
        <f>IF(OR(A36="",'Skill Matrix'!J8=""),"",'Skill Matrix'!J8)</f>
        <v/>
      </c>
      <c r="G36">
        <f>IF(OR(E36="",F36=""),"",F36-E36)</f>
        <v/>
      </c>
    </row>
    <row r="37">
      <c r="A37">
        <f>IF(AND('Skill Matrix'!A8&lt;&gt;"",'Skills'!B9&lt;&gt;""),'Skill Matrix'!A8,"")</f>
        <v/>
      </c>
      <c r="B37">
        <f>IF(A37="","",'Skill Matrix'!B8)</f>
        <v/>
      </c>
      <c r="C37">
        <f>IF(A37="","",'Skill Matrix'!L4)</f>
        <v/>
      </c>
      <c r="D37">
        <f>IF(A37="","",'Skill Matrix'!L3)</f>
        <v/>
      </c>
      <c r="E37">
        <f>IF(OR(A37="",'Skill Matrix'!L8=""),"",'Skill Matrix'!L8)</f>
        <v/>
      </c>
      <c r="F37">
        <f>IF(OR(A37="",'Skill Matrix'!M8=""),"",'Skill Matrix'!M8)</f>
        <v/>
      </c>
      <c r="G37">
        <f>IF(OR(E37="",F37=""),"",F37-E37)</f>
        <v/>
      </c>
    </row>
    <row r="38">
      <c r="A38">
        <f>IF(AND('Skill Matrix'!A8&lt;&gt;"",'Skills'!B10&lt;&gt;""),'Skill Matrix'!A8,"")</f>
        <v/>
      </c>
      <c r="B38">
        <f>IF(A38="","",'Skill Matrix'!B8)</f>
        <v/>
      </c>
      <c r="C38">
        <f>IF(A38="","",'Skill Matrix'!O4)</f>
        <v/>
      </c>
      <c r="D38">
        <f>IF(A38="","",'Skill Matrix'!O3)</f>
        <v/>
      </c>
      <c r="E38">
        <f>IF(OR(A38="",'Skill Matrix'!O8=""),"",'Skill Matrix'!O8)</f>
        <v/>
      </c>
      <c r="F38">
        <f>IF(OR(A38="",'Skill Matrix'!P8=""),"",'Skill Matrix'!P8)</f>
        <v/>
      </c>
      <c r="G38">
        <f>IF(OR(E38="",F38=""),"",F38-E38)</f>
        <v/>
      </c>
    </row>
    <row r="39">
      <c r="A39">
        <f>IF(AND('Skill Matrix'!A8&lt;&gt;"",'Skills'!B11&lt;&gt;""),'Skill Matrix'!A8,"")</f>
        <v/>
      </c>
      <c r="B39">
        <f>IF(A39="","",'Skill Matrix'!B8)</f>
        <v/>
      </c>
      <c r="C39">
        <f>IF(A39="","",'Skill Matrix'!R4)</f>
        <v/>
      </c>
      <c r="D39">
        <f>IF(A39="","",'Skill Matrix'!R3)</f>
        <v/>
      </c>
      <c r="E39">
        <f>IF(OR(A39="",'Skill Matrix'!R8=""),"",'Skill Matrix'!R8)</f>
        <v/>
      </c>
      <c r="F39">
        <f>IF(OR(A39="",'Skill Matrix'!S8=""),"",'Skill Matrix'!S8)</f>
        <v/>
      </c>
      <c r="G39">
        <f>IF(OR(E39="",F39=""),"",F39-E39)</f>
        <v/>
      </c>
    </row>
    <row r="40">
      <c r="A40">
        <f>IF(AND('Skill Matrix'!A8&lt;&gt;"",'Skills'!B12&lt;&gt;""),'Skill Matrix'!A8,"")</f>
        <v/>
      </c>
      <c r="B40">
        <f>IF(A40="","",'Skill Matrix'!B8)</f>
        <v/>
      </c>
      <c r="C40">
        <f>IF(A40="","",'Skill Matrix'!U4)</f>
        <v/>
      </c>
      <c r="D40">
        <f>IF(A40="","",'Skill Matrix'!U3)</f>
        <v/>
      </c>
      <c r="E40">
        <f>IF(OR(A40="",'Skill Matrix'!U8=""),"",'Skill Matrix'!U8)</f>
        <v/>
      </c>
      <c r="F40">
        <f>IF(OR(A40="",'Skill Matrix'!V8=""),"",'Skill Matrix'!V8)</f>
        <v/>
      </c>
      <c r="G40">
        <f>IF(OR(E40="",F40=""),"",F40-E40)</f>
        <v/>
      </c>
    </row>
    <row r="41">
      <c r="A41">
        <f>IF(AND('Skill Matrix'!A8&lt;&gt;"",'Skills'!B13&lt;&gt;""),'Skill Matrix'!A8,"")</f>
        <v/>
      </c>
      <c r="B41">
        <f>IF(A41="","",'Skill Matrix'!B8)</f>
        <v/>
      </c>
      <c r="C41">
        <f>IF(A41="","",'Skill Matrix'!X4)</f>
        <v/>
      </c>
      <c r="D41">
        <f>IF(A41="","",'Skill Matrix'!X3)</f>
        <v/>
      </c>
      <c r="E41">
        <f>IF(OR(A41="",'Skill Matrix'!X8=""),"",'Skill Matrix'!X8)</f>
        <v/>
      </c>
      <c r="F41">
        <f>IF(OR(A41="",'Skill Matrix'!Y8=""),"",'Skill Matrix'!Y8)</f>
        <v/>
      </c>
      <c r="G41">
        <f>IF(OR(E41="",F41=""),"",F41-E41)</f>
        <v/>
      </c>
    </row>
    <row r="42">
      <c r="A42">
        <f>IF(AND('Skill Matrix'!A8&lt;&gt;"",'Skills'!B14&lt;&gt;""),'Skill Matrix'!A8,"")</f>
        <v/>
      </c>
      <c r="B42">
        <f>IF(A42="","",'Skill Matrix'!B8)</f>
        <v/>
      </c>
      <c r="C42">
        <f>IF(A42="","",'Skill Matrix'!AA4)</f>
        <v/>
      </c>
      <c r="D42">
        <f>IF(A42="","",'Skill Matrix'!AA3)</f>
        <v/>
      </c>
      <c r="E42">
        <f>IF(OR(A42="",'Skill Matrix'!AA8=""),"",'Skill Matrix'!AA8)</f>
        <v/>
      </c>
      <c r="F42">
        <f>IF(OR(A42="",'Skill Matrix'!AB8=""),"",'Skill Matrix'!AB8)</f>
        <v/>
      </c>
      <c r="G42">
        <f>IF(OR(E42="",F42=""),"",F42-E42)</f>
        <v/>
      </c>
    </row>
    <row r="43">
      <c r="A43">
        <f>IF(AND('Skill Matrix'!A8&lt;&gt;"",'Skills'!B15&lt;&gt;""),'Skill Matrix'!A8,"")</f>
        <v/>
      </c>
      <c r="B43">
        <f>IF(A43="","",'Skill Matrix'!B8)</f>
        <v/>
      </c>
      <c r="C43">
        <f>IF(A43="","",'Skill Matrix'!AD4)</f>
        <v/>
      </c>
      <c r="D43">
        <f>IF(A43="","",'Skill Matrix'!AD3)</f>
        <v/>
      </c>
      <c r="E43">
        <f>IF(OR(A43="",'Skill Matrix'!AD8=""),"",'Skill Matrix'!AD8)</f>
        <v/>
      </c>
      <c r="F43">
        <f>IF(OR(A43="",'Skill Matrix'!AE8=""),"",'Skill Matrix'!AE8)</f>
        <v/>
      </c>
      <c r="G43">
        <f>IF(OR(E43="",F43=""),"",F43-E43)</f>
        <v/>
      </c>
    </row>
    <row r="44">
      <c r="A44">
        <f>IF(AND('Skill Matrix'!A8&lt;&gt;"",'Skills'!B16&lt;&gt;""),'Skill Matrix'!A8,"")</f>
        <v/>
      </c>
      <c r="B44">
        <f>IF(A44="","",'Skill Matrix'!B8)</f>
        <v/>
      </c>
      <c r="C44">
        <f>IF(A44="","",'Skill Matrix'!AG4)</f>
        <v/>
      </c>
      <c r="D44">
        <f>IF(A44="","",'Skill Matrix'!AG3)</f>
        <v/>
      </c>
      <c r="E44">
        <f>IF(OR(A44="",'Skill Matrix'!AG8=""),"",'Skill Matrix'!AG8)</f>
        <v/>
      </c>
      <c r="F44">
        <f>IF(OR(A44="",'Skill Matrix'!AH8=""),"",'Skill Matrix'!AH8)</f>
        <v/>
      </c>
      <c r="G44">
        <f>IF(OR(E44="",F44=""),"",F44-E44)</f>
        <v/>
      </c>
    </row>
    <row r="45">
      <c r="A45">
        <f>IF(AND('Skill Matrix'!A8&lt;&gt;"",'Skills'!B17&lt;&gt;""),'Skill Matrix'!A8,"")</f>
        <v/>
      </c>
      <c r="B45">
        <f>IF(A45="","",'Skill Matrix'!B8)</f>
        <v/>
      </c>
      <c r="C45">
        <f>IF(A45="","",'Skill Matrix'!AJ4)</f>
        <v/>
      </c>
      <c r="D45">
        <f>IF(A45="","",'Skill Matrix'!AJ3)</f>
        <v/>
      </c>
      <c r="E45">
        <f>IF(OR(A45="",'Skill Matrix'!AJ8=""),"",'Skill Matrix'!AJ8)</f>
        <v/>
      </c>
      <c r="F45">
        <f>IF(OR(A45="",'Skill Matrix'!AK8=""),"",'Skill Matrix'!AK8)</f>
        <v/>
      </c>
      <c r="G45">
        <f>IF(OR(E45="",F45=""),"",F45-E45)</f>
        <v/>
      </c>
    </row>
    <row r="46">
      <c r="A46">
        <f>IF(AND('Skill Matrix'!A8&lt;&gt;"",'Skills'!B18&lt;&gt;""),'Skill Matrix'!A8,"")</f>
        <v/>
      </c>
      <c r="B46">
        <f>IF(A46="","",'Skill Matrix'!B8)</f>
        <v/>
      </c>
      <c r="C46">
        <f>IF(A46="","",'Skill Matrix'!AM4)</f>
        <v/>
      </c>
      <c r="D46">
        <f>IF(A46="","",'Skill Matrix'!AM3)</f>
        <v/>
      </c>
      <c r="E46">
        <f>IF(OR(A46="",'Skill Matrix'!AM8=""),"",'Skill Matrix'!AM8)</f>
        <v/>
      </c>
      <c r="F46">
        <f>IF(OR(A46="",'Skill Matrix'!AN8=""),"",'Skill Matrix'!AN8)</f>
        <v/>
      </c>
      <c r="G46">
        <f>IF(OR(E46="",F46=""),"",F46-E46)</f>
        <v/>
      </c>
    </row>
    <row r="47">
      <c r="A47">
        <f>IF(AND('Skill Matrix'!A8&lt;&gt;"",'Skills'!B19&lt;&gt;""),'Skill Matrix'!A8,"")</f>
        <v/>
      </c>
      <c r="B47">
        <f>IF(A47="","",'Skill Matrix'!B8)</f>
        <v/>
      </c>
      <c r="C47">
        <f>IF(A47="","",'Skill Matrix'!AP4)</f>
        <v/>
      </c>
      <c r="D47">
        <f>IF(A47="","",'Skill Matrix'!AP3)</f>
        <v/>
      </c>
      <c r="E47">
        <f>IF(OR(A47="",'Skill Matrix'!AP8=""),"",'Skill Matrix'!AP8)</f>
        <v/>
      </c>
      <c r="F47">
        <f>IF(OR(A47="",'Skill Matrix'!AQ8=""),"",'Skill Matrix'!AQ8)</f>
        <v/>
      </c>
      <c r="G47">
        <f>IF(OR(E47="",F47=""),"",F47-E47)</f>
        <v/>
      </c>
    </row>
    <row r="48">
      <c r="A48">
        <f>IF(AND('Skill Matrix'!A8&lt;&gt;"",'Skills'!B20&lt;&gt;""),'Skill Matrix'!A8,"")</f>
        <v/>
      </c>
      <c r="B48">
        <f>IF(A48="","",'Skill Matrix'!B8)</f>
        <v/>
      </c>
      <c r="C48">
        <f>IF(A48="","",'Skill Matrix'!AS4)</f>
        <v/>
      </c>
      <c r="D48">
        <f>IF(A48="","",'Skill Matrix'!AS3)</f>
        <v/>
      </c>
      <c r="E48">
        <f>IF(OR(A48="",'Skill Matrix'!AS8=""),"",'Skill Matrix'!AS8)</f>
        <v/>
      </c>
      <c r="F48">
        <f>IF(OR(A48="",'Skill Matrix'!AT8=""),"",'Skill Matrix'!AT8)</f>
        <v/>
      </c>
      <c r="G48">
        <f>IF(OR(E48="",F48=""),"",F48-E48)</f>
        <v/>
      </c>
    </row>
    <row r="49">
      <c r="A49">
        <f>IF(AND('Skill Matrix'!A8&lt;&gt;"",'Skills'!B21&lt;&gt;""),'Skill Matrix'!A8,"")</f>
        <v/>
      </c>
      <c r="B49">
        <f>IF(A49="","",'Skill Matrix'!B8)</f>
        <v/>
      </c>
      <c r="C49">
        <f>IF(A49="","",'Skill Matrix'!AV4)</f>
        <v/>
      </c>
      <c r="D49">
        <f>IF(A49="","",'Skill Matrix'!AV3)</f>
        <v/>
      </c>
      <c r="E49">
        <f>IF(OR(A49="",'Skill Matrix'!AV8=""),"",'Skill Matrix'!AV8)</f>
        <v/>
      </c>
      <c r="F49">
        <f>IF(OR(A49="",'Skill Matrix'!AW8=""),"",'Skill Matrix'!AW8)</f>
        <v/>
      </c>
      <c r="G49">
        <f>IF(OR(E49="",F49=""),"",F49-E49)</f>
        <v/>
      </c>
    </row>
    <row r="50">
      <c r="A50">
        <f>IF(AND('Skill Matrix'!A9&lt;&gt;"",'Skills'!B6&lt;&gt;""),'Skill Matrix'!A9,"")</f>
        <v/>
      </c>
      <c r="B50">
        <f>IF(A50="","",'Skill Matrix'!B9)</f>
        <v/>
      </c>
      <c r="C50">
        <f>IF(A50="","",'Skill Matrix'!C4)</f>
        <v/>
      </c>
      <c r="D50">
        <f>IF(A50="","",'Skill Matrix'!C3)</f>
        <v/>
      </c>
      <c r="E50">
        <f>IF(OR(A50="",'Skill Matrix'!C9=""),"",'Skill Matrix'!C9)</f>
        <v/>
      </c>
      <c r="F50">
        <f>IF(OR(A50="",'Skill Matrix'!D9=""),"",'Skill Matrix'!D9)</f>
        <v/>
      </c>
      <c r="G50">
        <f>IF(OR(E50="",F50=""),"",F50-E50)</f>
        <v/>
      </c>
    </row>
    <row r="51">
      <c r="A51">
        <f>IF(AND('Skill Matrix'!A9&lt;&gt;"",'Skills'!B7&lt;&gt;""),'Skill Matrix'!A9,"")</f>
        <v/>
      </c>
      <c r="B51">
        <f>IF(A51="","",'Skill Matrix'!B9)</f>
        <v/>
      </c>
      <c r="C51">
        <f>IF(A51="","",'Skill Matrix'!F4)</f>
        <v/>
      </c>
      <c r="D51">
        <f>IF(A51="","",'Skill Matrix'!F3)</f>
        <v/>
      </c>
      <c r="E51">
        <f>IF(OR(A51="",'Skill Matrix'!F9=""),"",'Skill Matrix'!F9)</f>
        <v/>
      </c>
      <c r="F51">
        <f>IF(OR(A51="",'Skill Matrix'!G9=""),"",'Skill Matrix'!G9)</f>
        <v/>
      </c>
      <c r="G51">
        <f>IF(OR(E51="",F51=""),"",F51-E51)</f>
        <v/>
      </c>
    </row>
    <row r="52">
      <c r="A52">
        <f>IF(AND('Skill Matrix'!A9&lt;&gt;"",'Skills'!B8&lt;&gt;""),'Skill Matrix'!A9,"")</f>
        <v/>
      </c>
      <c r="B52">
        <f>IF(A52="","",'Skill Matrix'!B9)</f>
        <v/>
      </c>
      <c r="C52">
        <f>IF(A52="","",'Skill Matrix'!I4)</f>
        <v/>
      </c>
      <c r="D52">
        <f>IF(A52="","",'Skill Matrix'!I3)</f>
        <v/>
      </c>
      <c r="E52">
        <f>IF(OR(A52="",'Skill Matrix'!I9=""),"",'Skill Matrix'!I9)</f>
        <v/>
      </c>
      <c r="F52">
        <f>IF(OR(A52="",'Skill Matrix'!J9=""),"",'Skill Matrix'!J9)</f>
        <v/>
      </c>
      <c r="G52">
        <f>IF(OR(E52="",F52=""),"",F52-E52)</f>
        <v/>
      </c>
    </row>
    <row r="53">
      <c r="A53">
        <f>IF(AND('Skill Matrix'!A9&lt;&gt;"",'Skills'!B9&lt;&gt;""),'Skill Matrix'!A9,"")</f>
        <v/>
      </c>
      <c r="B53">
        <f>IF(A53="","",'Skill Matrix'!B9)</f>
        <v/>
      </c>
      <c r="C53">
        <f>IF(A53="","",'Skill Matrix'!L4)</f>
        <v/>
      </c>
      <c r="D53">
        <f>IF(A53="","",'Skill Matrix'!L3)</f>
        <v/>
      </c>
      <c r="E53">
        <f>IF(OR(A53="",'Skill Matrix'!L9=""),"",'Skill Matrix'!L9)</f>
        <v/>
      </c>
      <c r="F53">
        <f>IF(OR(A53="",'Skill Matrix'!M9=""),"",'Skill Matrix'!M9)</f>
        <v/>
      </c>
      <c r="G53">
        <f>IF(OR(E53="",F53=""),"",F53-E53)</f>
        <v/>
      </c>
    </row>
    <row r="54">
      <c r="A54">
        <f>IF(AND('Skill Matrix'!A9&lt;&gt;"",'Skills'!B10&lt;&gt;""),'Skill Matrix'!A9,"")</f>
        <v/>
      </c>
      <c r="B54">
        <f>IF(A54="","",'Skill Matrix'!B9)</f>
        <v/>
      </c>
      <c r="C54">
        <f>IF(A54="","",'Skill Matrix'!O4)</f>
        <v/>
      </c>
      <c r="D54">
        <f>IF(A54="","",'Skill Matrix'!O3)</f>
        <v/>
      </c>
      <c r="E54">
        <f>IF(OR(A54="",'Skill Matrix'!O9=""),"",'Skill Matrix'!O9)</f>
        <v/>
      </c>
      <c r="F54">
        <f>IF(OR(A54="",'Skill Matrix'!P9=""),"",'Skill Matrix'!P9)</f>
        <v/>
      </c>
      <c r="G54">
        <f>IF(OR(E54="",F54=""),"",F54-E54)</f>
        <v/>
      </c>
    </row>
    <row r="55">
      <c r="A55">
        <f>IF(AND('Skill Matrix'!A9&lt;&gt;"",'Skills'!B11&lt;&gt;""),'Skill Matrix'!A9,"")</f>
        <v/>
      </c>
      <c r="B55">
        <f>IF(A55="","",'Skill Matrix'!B9)</f>
        <v/>
      </c>
      <c r="C55">
        <f>IF(A55="","",'Skill Matrix'!R4)</f>
        <v/>
      </c>
      <c r="D55">
        <f>IF(A55="","",'Skill Matrix'!R3)</f>
        <v/>
      </c>
      <c r="E55">
        <f>IF(OR(A55="",'Skill Matrix'!R9=""),"",'Skill Matrix'!R9)</f>
        <v/>
      </c>
      <c r="F55">
        <f>IF(OR(A55="",'Skill Matrix'!S9=""),"",'Skill Matrix'!S9)</f>
        <v/>
      </c>
      <c r="G55">
        <f>IF(OR(E55="",F55=""),"",F55-E55)</f>
        <v/>
      </c>
    </row>
    <row r="56">
      <c r="A56">
        <f>IF(AND('Skill Matrix'!A9&lt;&gt;"",'Skills'!B12&lt;&gt;""),'Skill Matrix'!A9,"")</f>
        <v/>
      </c>
      <c r="B56">
        <f>IF(A56="","",'Skill Matrix'!B9)</f>
        <v/>
      </c>
      <c r="C56">
        <f>IF(A56="","",'Skill Matrix'!U4)</f>
        <v/>
      </c>
      <c r="D56">
        <f>IF(A56="","",'Skill Matrix'!U3)</f>
        <v/>
      </c>
      <c r="E56">
        <f>IF(OR(A56="",'Skill Matrix'!U9=""),"",'Skill Matrix'!U9)</f>
        <v/>
      </c>
      <c r="F56">
        <f>IF(OR(A56="",'Skill Matrix'!V9=""),"",'Skill Matrix'!V9)</f>
        <v/>
      </c>
      <c r="G56">
        <f>IF(OR(E56="",F56=""),"",F56-E56)</f>
        <v/>
      </c>
    </row>
    <row r="57">
      <c r="A57">
        <f>IF(AND('Skill Matrix'!A9&lt;&gt;"",'Skills'!B13&lt;&gt;""),'Skill Matrix'!A9,"")</f>
        <v/>
      </c>
      <c r="B57">
        <f>IF(A57="","",'Skill Matrix'!B9)</f>
        <v/>
      </c>
      <c r="C57">
        <f>IF(A57="","",'Skill Matrix'!X4)</f>
        <v/>
      </c>
      <c r="D57">
        <f>IF(A57="","",'Skill Matrix'!X3)</f>
        <v/>
      </c>
      <c r="E57">
        <f>IF(OR(A57="",'Skill Matrix'!X9=""),"",'Skill Matrix'!X9)</f>
        <v/>
      </c>
      <c r="F57">
        <f>IF(OR(A57="",'Skill Matrix'!Y9=""),"",'Skill Matrix'!Y9)</f>
        <v/>
      </c>
      <c r="G57">
        <f>IF(OR(E57="",F57=""),"",F57-E57)</f>
        <v/>
      </c>
    </row>
    <row r="58">
      <c r="A58">
        <f>IF(AND('Skill Matrix'!A9&lt;&gt;"",'Skills'!B14&lt;&gt;""),'Skill Matrix'!A9,"")</f>
        <v/>
      </c>
      <c r="B58">
        <f>IF(A58="","",'Skill Matrix'!B9)</f>
        <v/>
      </c>
      <c r="C58">
        <f>IF(A58="","",'Skill Matrix'!AA4)</f>
        <v/>
      </c>
      <c r="D58">
        <f>IF(A58="","",'Skill Matrix'!AA3)</f>
        <v/>
      </c>
      <c r="E58">
        <f>IF(OR(A58="",'Skill Matrix'!AA9=""),"",'Skill Matrix'!AA9)</f>
        <v/>
      </c>
      <c r="F58">
        <f>IF(OR(A58="",'Skill Matrix'!AB9=""),"",'Skill Matrix'!AB9)</f>
        <v/>
      </c>
      <c r="G58">
        <f>IF(OR(E58="",F58=""),"",F58-E58)</f>
        <v/>
      </c>
    </row>
    <row r="59">
      <c r="A59">
        <f>IF(AND('Skill Matrix'!A9&lt;&gt;"",'Skills'!B15&lt;&gt;""),'Skill Matrix'!A9,"")</f>
        <v/>
      </c>
      <c r="B59">
        <f>IF(A59="","",'Skill Matrix'!B9)</f>
        <v/>
      </c>
      <c r="C59">
        <f>IF(A59="","",'Skill Matrix'!AD4)</f>
        <v/>
      </c>
      <c r="D59">
        <f>IF(A59="","",'Skill Matrix'!AD3)</f>
        <v/>
      </c>
      <c r="E59">
        <f>IF(OR(A59="",'Skill Matrix'!AD9=""),"",'Skill Matrix'!AD9)</f>
        <v/>
      </c>
      <c r="F59">
        <f>IF(OR(A59="",'Skill Matrix'!AE9=""),"",'Skill Matrix'!AE9)</f>
        <v/>
      </c>
      <c r="G59">
        <f>IF(OR(E59="",F59=""),"",F59-E59)</f>
        <v/>
      </c>
    </row>
    <row r="60">
      <c r="A60">
        <f>IF(AND('Skill Matrix'!A9&lt;&gt;"",'Skills'!B16&lt;&gt;""),'Skill Matrix'!A9,"")</f>
        <v/>
      </c>
      <c r="B60">
        <f>IF(A60="","",'Skill Matrix'!B9)</f>
        <v/>
      </c>
      <c r="C60">
        <f>IF(A60="","",'Skill Matrix'!AG4)</f>
        <v/>
      </c>
      <c r="D60">
        <f>IF(A60="","",'Skill Matrix'!AG3)</f>
        <v/>
      </c>
      <c r="E60">
        <f>IF(OR(A60="",'Skill Matrix'!AG9=""),"",'Skill Matrix'!AG9)</f>
        <v/>
      </c>
      <c r="F60">
        <f>IF(OR(A60="",'Skill Matrix'!AH9=""),"",'Skill Matrix'!AH9)</f>
        <v/>
      </c>
      <c r="G60">
        <f>IF(OR(E60="",F60=""),"",F60-E60)</f>
        <v/>
      </c>
    </row>
    <row r="61">
      <c r="A61">
        <f>IF(AND('Skill Matrix'!A9&lt;&gt;"",'Skills'!B17&lt;&gt;""),'Skill Matrix'!A9,"")</f>
        <v/>
      </c>
      <c r="B61">
        <f>IF(A61="","",'Skill Matrix'!B9)</f>
        <v/>
      </c>
      <c r="C61">
        <f>IF(A61="","",'Skill Matrix'!AJ4)</f>
        <v/>
      </c>
      <c r="D61">
        <f>IF(A61="","",'Skill Matrix'!AJ3)</f>
        <v/>
      </c>
      <c r="E61">
        <f>IF(OR(A61="",'Skill Matrix'!AJ9=""),"",'Skill Matrix'!AJ9)</f>
        <v/>
      </c>
      <c r="F61">
        <f>IF(OR(A61="",'Skill Matrix'!AK9=""),"",'Skill Matrix'!AK9)</f>
        <v/>
      </c>
      <c r="G61">
        <f>IF(OR(E61="",F61=""),"",F61-E61)</f>
        <v/>
      </c>
    </row>
    <row r="62">
      <c r="A62">
        <f>IF(AND('Skill Matrix'!A9&lt;&gt;"",'Skills'!B18&lt;&gt;""),'Skill Matrix'!A9,"")</f>
        <v/>
      </c>
      <c r="B62">
        <f>IF(A62="","",'Skill Matrix'!B9)</f>
        <v/>
      </c>
      <c r="C62">
        <f>IF(A62="","",'Skill Matrix'!AM4)</f>
        <v/>
      </c>
      <c r="D62">
        <f>IF(A62="","",'Skill Matrix'!AM3)</f>
        <v/>
      </c>
      <c r="E62">
        <f>IF(OR(A62="",'Skill Matrix'!AM9=""),"",'Skill Matrix'!AM9)</f>
        <v/>
      </c>
      <c r="F62">
        <f>IF(OR(A62="",'Skill Matrix'!AN9=""),"",'Skill Matrix'!AN9)</f>
        <v/>
      </c>
      <c r="G62">
        <f>IF(OR(E62="",F62=""),"",F62-E62)</f>
        <v/>
      </c>
    </row>
    <row r="63">
      <c r="A63">
        <f>IF(AND('Skill Matrix'!A9&lt;&gt;"",'Skills'!B19&lt;&gt;""),'Skill Matrix'!A9,"")</f>
        <v/>
      </c>
      <c r="B63">
        <f>IF(A63="","",'Skill Matrix'!B9)</f>
        <v/>
      </c>
      <c r="C63">
        <f>IF(A63="","",'Skill Matrix'!AP4)</f>
        <v/>
      </c>
      <c r="D63">
        <f>IF(A63="","",'Skill Matrix'!AP3)</f>
        <v/>
      </c>
      <c r="E63">
        <f>IF(OR(A63="",'Skill Matrix'!AP9=""),"",'Skill Matrix'!AP9)</f>
        <v/>
      </c>
      <c r="F63">
        <f>IF(OR(A63="",'Skill Matrix'!AQ9=""),"",'Skill Matrix'!AQ9)</f>
        <v/>
      </c>
      <c r="G63">
        <f>IF(OR(E63="",F63=""),"",F63-E63)</f>
        <v/>
      </c>
    </row>
    <row r="64">
      <c r="A64">
        <f>IF(AND('Skill Matrix'!A9&lt;&gt;"",'Skills'!B20&lt;&gt;""),'Skill Matrix'!A9,"")</f>
        <v/>
      </c>
      <c r="B64">
        <f>IF(A64="","",'Skill Matrix'!B9)</f>
        <v/>
      </c>
      <c r="C64">
        <f>IF(A64="","",'Skill Matrix'!AS4)</f>
        <v/>
      </c>
      <c r="D64">
        <f>IF(A64="","",'Skill Matrix'!AS3)</f>
        <v/>
      </c>
      <c r="E64">
        <f>IF(OR(A64="",'Skill Matrix'!AS9=""),"",'Skill Matrix'!AS9)</f>
        <v/>
      </c>
      <c r="F64">
        <f>IF(OR(A64="",'Skill Matrix'!AT9=""),"",'Skill Matrix'!AT9)</f>
        <v/>
      </c>
      <c r="G64">
        <f>IF(OR(E64="",F64=""),"",F64-E64)</f>
        <v/>
      </c>
    </row>
    <row r="65">
      <c r="A65">
        <f>IF(AND('Skill Matrix'!A9&lt;&gt;"",'Skills'!B21&lt;&gt;""),'Skill Matrix'!A9,"")</f>
        <v/>
      </c>
      <c r="B65">
        <f>IF(A65="","",'Skill Matrix'!B9)</f>
        <v/>
      </c>
      <c r="C65">
        <f>IF(A65="","",'Skill Matrix'!AV4)</f>
        <v/>
      </c>
      <c r="D65">
        <f>IF(A65="","",'Skill Matrix'!AV3)</f>
        <v/>
      </c>
      <c r="E65">
        <f>IF(OR(A65="",'Skill Matrix'!AV9=""),"",'Skill Matrix'!AV9)</f>
        <v/>
      </c>
      <c r="F65">
        <f>IF(OR(A65="",'Skill Matrix'!AW9=""),"",'Skill Matrix'!AW9)</f>
        <v/>
      </c>
      <c r="G65">
        <f>IF(OR(E65="",F65=""),"",F65-E65)</f>
        <v/>
      </c>
    </row>
    <row r="66">
      <c r="A66">
        <f>IF(AND('Skill Matrix'!A10&lt;&gt;"",'Skills'!B6&lt;&gt;""),'Skill Matrix'!A10,"")</f>
        <v/>
      </c>
      <c r="B66">
        <f>IF(A66="","",'Skill Matrix'!B10)</f>
        <v/>
      </c>
      <c r="C66">
        <f>IF(A66="","",'Skill Matrix'!C4)</f>
        <v/>
      </c>
      <c r="D66">
        <f>IF(A66="","",'Skill Matrix'!C3)</f>
        <v/>
      </c>
      <c r="E66">
        <f>IF(OR(A66="",'Skill Matrix'!C10=""),"",'Skill Matrix'!C10)</f>
        <v/>
      </c>
      <c r="F66">
        <f>IF(OR(A66="",'Skill Matrix'!D10=""),"",'Skill Matrix'!D10)</f>
        <v/>
      </c>
      <c r="G66">
        <f>IF(OR(E66="",F66=""),"",F66-E66)</f>
        <v/>
      </c>
    </row>
    <row r="67">
      <c r="A67">
        <f>IF(AND('Skill Matrix'!A10&lt;&gt;"",'Skills'!B7&lt;&gt;""),'Skill Matrix'!A10,"")</f>
        <v/>
      </c>
      <c r="B67">
        <f>IF(A67="","",'Skill Matrix'!B10)</f>
        <v/>
      </c>
      <c r="C67">
        <f>IF(A67="","",'Skill Matrix'!F4)</f>
        <v/>
      </c>
      <c r="D67">
        <f>IF(A67="","",'Skill Matrix'!F3)</f>
        <v/>
      </c>
      <c r="E67">
        <f>IF(OR(A67="",'Skill Matrix'!F10=""),"",'Skill Matrix'!F10)</f>
        <v/>
      </c>
      <c r="F67">
        <f>IF(OR(A67="",'Skill Matrix'!G10=""),"",'Skill Matrix'!G10)</f>
        <v/>
      </c>
      <c r="G67">
        <f>IF(OR(E67="",F67=""),"",F67-E67)</f>
        <v/>
      </c>
    </row>
    <row r="68">
      <c r="A68">
        <f>IF(AND('Skill Matrix'!A10&lt;&gt;"",'Skills'!B8&lt;&gt;""),'Skill Matrix'!A10,"")</f>
        <v/>
      </c>
      <c r="B68">
        <f>IF(A68="","",'Skill Matrix'!B10)</f>
        <v/>
      </c>
      <c r="C68">
        <f>IF(A68="","",'Skill Matrix'!I4)</f>
        <v/>
      </c>
      <c r="D68">
        <f>IF(A68="","",'Skill Matrix'!I3)</f>
        <v/>
      </c>
      <c r="E68">
        <f>IF(OR(A68="",'Skill Matrix'!I10=""),"",'Skill Matrix'!I10)</f>
        <v/>
      </c>
      <c r="F68">
        <f>IF(OR(A68="",'Skill Matrix'!J10=""),"",'Skill Matrix'!J10)</f>
        <v/>
      </c>
      <c r="G68">
        <f>IF(OR(E68="",F68=""),"",F68-E68)</f>
        <v/>
      </c>
    </row>
    <row r="69">
      <c r="A69">
        <f>IF(AND('Skill Matrix'!A10&lt;&gt;"",'Skills'!B9&lt;&gt;""),'Skill Matrix'!A10,"")</f>
        <v/>
      </c>
      <c r="B69">
        <f>IF(A69="","",'Skill Matrix'!B10)</f>
        <v/>
      </c>
      <c r="C69">
        <f>IF(A69="","",'Skill Matrix'!L4)</f>
        <v/>
      </c>
      <c r="D69">
        <f>IF(A69="","",'Skill Matrix'!L3)</f>
        <v/>
      </c>
      <c r="E69">
        <f>IF(OR(A69="",'Skill Matrix'!L10=""),"",'Skill Matrix'!L10)</f>
        <v/>
      </c>
      <c r="F69">
        <f>IF(OR(A69="",'Skill Matrix'!M10=""),"",'Skill Matrix'!M10)</f>
        <v/>
      </c>
      <c r="G69">
        <f>IF(OR(E69="",F69=""),"",F69-E69)</f>
        <v/>
      </c>
    </row>
    <row r="70">
      <c r="A70">
        <f>IF(AND('Skill Matrix'!A10&lt;&gt;"",'Skills'!B10&lt;&gt;""),'Skill Matrix'!A10,"")</f>
        <v/>
      </c>
      <c r="B70">
        <f>IF(A70="","",'Skill Matrix'!B10)</f>
        <v/>
      </c>
      <c r="C70">
        <f>IF(A70="","",'Skill Matrix'!O4)</f>
        <v/>
      </c>
      <c r="D70">
        <f>IF(A70="","",'Skill Matrix'!O3)</f>
        <v/>
      </c>
      <c r="E70">
        <f>IF(OR(A70="",'Skill Matrix'!O10=""),"",'Skill Matrix'!O10)</f>
        <v/>
      </c>
      <c r="F70">
        <f>IF(OR(A70="",'Skill Matrix'!P10=""),"",'Skill Matrix'!P10)</f>
        <v/>
      </c>
      <c r="G70">
        <f>IF(OR(E70="",F70=""),"",F70-E70)</f>
        <v/>
      </c>
    </row>
    <row r="71">
      <c r="A71">
        <f>IF(AND('Skill Matrix'!A10&lt;&gt;"",'Skills'!B11&lt;&gt;""),'Skill Matrix'!A10,"")</f>
        <v/>
      </c>
      <c r="B71">
        <f>IF(A71="","",'Skill Matrix'!B10)</f>
        <v/>
      </c>
      <c r="C71">
        <f>IF(A71="","",'Skill Matrix'!R4)</f>
        <v/>
      </c>
      <c r="D71">
        <f>IF(A71="","",'Skill Matrix'!R3)</f>
        <v/>
      </c>
      <c r="E71">
        <f>IF(OR(A71="",'Skill Matrix'!R10=""),"",'Skill Matrix'!R10)</f>
        <v/>
      </c>
      <c r="F71">
        <f>IF(OR(A71="",'Skill Matrix'!S10=""),"",'Skill Matrix'!S10)</f>
        <v/>
      </c>
      <c r="G71">
        <f>IF(OR(E71="",F71=""),"",F71-E71)</f>
        <v/>
      </c>
    </row>
    <row r="72">
      <c r="A72">
        <f>IF(AND('Skill Matrix'!A10&lt;&gt;"",'Skills'!B12&lt;&gt;""),'Skill Matrix'!A10,"")</f>
        <v/>
      </c>
      <c r="B72">
        <f>IF(A72="","",'Skill Matrix'!B10)</f>
        <v/>
      </c>
      <c r="C72">
        <f>IF(A72="","",'Skill Matrix'!U4)</f>
        <v/>
      </c>
      <c r="D72">
        <f>IF(A72="","",'Skill Matrix'!U3)</f>
        <v/>
      </c>
      <c r="E72">
        <f>IF(OR(A72="",'Skill Matrix'!U10=""),"",'Skill Matrix'!U10)</f>
        <v/>
      </c>
      <c r="F72">
        <f>IF(OR(A72="",'Skill Matrix'!V10=""),"",'Skill Matrix'!V10)</f>
        <v/>
      </c>
      <c r="G72">
        <f>IF(OR(E72="",F72=""),"",F72-E72)</f>
        <v/>
      </c>
    </row>
    <row r="73">
      <c r="A73">
        <f>IF(AND('Skill Matrix'!A10&lt;&gt;"",'Skills'!B13&lt;&gt;""),'Skill Matrix'!A10,"")</f>
        <v/>
      </c>
      <c r="B73">
        <f>IF(A73="","",'Skill Matrix'!B10)</f>
        <v/>
      </c>
      <c r="C73">
        <f>IF(A73="","",'Skill Matrix'!X4)</f>
        <v/>
      </c>
      <c r="D73">
        <f>IF(A73="","",'Skill Matrix'!X3)</f>
        <v/>
      </c>
      <c r="E73">
        <f>IF(OR(A73="",'Skill Matrix'!X10=""),"",'Skill Matrix'!X10)</f>
        <v/>
      </c>
      <c r="F73">
        <f>IF(OR(A73="",'Skill Matrix'!Y10=""),"",'Skill Matrix'!Y10)</f>
        <v/>
      </c>
      <c r="G73">
        <f>IF(OR(E73="",F73=""),"",F73-E73)</f>
        <v/>
      </c>
    </row>
    <row r="74">
      <c r="A74">
        <f>IF(AND('Skill Matrix'!A10&lt;&gt;"",'Skills'!B14&lt;&gt;""),'Skill Matrix'!A10,"")</f>
        <v/>
      </c>
      <c r="B74">
        <f>IF(A74="","",'Skill Matrix'!B10)</f>
        <v/>
      </c>
      <c r="C74">
        <f>IF(A74="","",'Skill Matrix'!AA4)</f>
        <v/>
      </c>
      <c r="D74">
        <f>IF(A74="","",'Skill Matrix'!AA3)</f>
        <v/>
      </c>
      <c r="E74">
        <f>IF(OR(A74="",'Skill Matrix'!AA10=""),"",'Skill Matrix'!AA10)</f>
        <v/>
      </c>
      <c r="F74">
        <f>IF(OR(A74="",'Skill Matrix'!AB10=""),"",'Skill Matrix'!AB10)</f>
        <v/>
      </c>
      <c r="G74">
        <f>IF(OR(E74="",F74=""),"",F74-E74)</f>
        <v/>
      </c>
    </row>
    <row r="75">
      <c r="A75">
        <f>IF(AND('Skill Matrix'!A10&lt;&gt;"",'Skills'!B15&lt;&gt;""),'Skill Matrix'!A10,"")</f>
        <v/>
      </c>
      <c r="B75">
        <f>IF(A75="","",'Skill Matrix'!B10)</f>
        <v/>
      </c>
      <c r="C75">
        <f>IF(A75="","",'Skill Matrix'!AD4)</f>
        <v/>
      </c>
      <c r="D75">
        <f>IF(A75="","",'Skill Matrix'!AD3)</f>
        <v/>
      </c>
      <c r="E75">
        <f>IF(OR(A75="",'Skill Matrix'!AD10=""),"",'Skill Matrix'!AD10)</f>
        <v/>
      </c>
      <c r="F75">
        <f>IF(OR(A75="",'Skill Matrix'!AE10=""),"",'Skill Matrix'!AE10)</f>
        <v/>
      </c>
      <c r="G75">
        <f>IF(OR(E75="",F75=""),"",F75-E75)</f>
        <v/>
      </c>
    </row>
    <row r="76">
      <c r="A76">
        <f>IF(AND('Skill Matrix'!A10&lt;&gt;"",'Skills'!B16&lt;&gt;""),'Skill Matrix'!A10,"")</f>
        <v/>
      </c>
      <c r="B76">
        <f>IF(A76="","",'Skill Matrix'!B10)</f>
        <v/>
      </c>
      <c r="C76">
        <f>IF(A76="","",'Skill Matrix'!AG4)</f>
        <v/>
      </c>
      <c r="D76">
        <f>IF(A76="","",'Skill Matrix'!AG3)</f>
        <v/>
      </c>
      <c r="E76">
        <f>IF(OR(A76="",'Skill Matrix'!AG10=""),"",'Skill Matrix'!AG10)</f>
        <v/>
      </c>
      <c r="F76">
        <f>IF(OR(A76="",'Skill Matrix'!AH10=""),"",'Skill Matrix'!AH10)</f>
        <v/>
      </c>
      <c r="G76">
        <f>IF(OR(E76="",F76=""),"",F76-E76)</f>
        <v/>
      </c>
    </row>
    <row r="77">
      <c r="A77">
        <f>IF(AND('Skill Matrix'!A10&lt;&gt;"",'Skills'!B17&lt;&gt;""),'Skill Matrix'!A10,"")</f>
        <v/>
      </c>
      <c r="B77">
        <f>IF(A77="","",'Skill Matrix'!B10)</f>
        <v/>
      </c>
      <c r="C77">
        <f>IF(A77="","",'Skill Matrix'!AJ4)</f>
        <v/>
      </c>
      <c r="D77">
        <f>IF(A77="","",'Skill Matrix'!AJ3)</f>
        <v/>
      </c>
      <c r="E77">
        <f>IF(OR(A77="",'Skill Matrix'!AJ10=""),"",'Skill Matrix'!AJ10)</f>
        <v/>
      </c>
      <c r="F77">
        <f>IF(OR(A77="",'Skill Matrix'!AK10=""),"",'Skill Matrix'!AK10)</f>
        <v/>
      </c>
      <c r="G77">
        <f>IF(OR(E77="",F77=""),"",F77-E77)</f>
        <v/>
      </c>
    </row>
    <row r="78">
      <c r="A78">
        <f>IF(AND('Skill Matrix'!A10&lt;&gt;"",'Skills'!B18&lt;&gt;""),'Skill Matrix'!A10,"")</f>
        <v/>
      </c>
      <c r="B78">
        <f>IF(A78="","",'Skill Matrix'!B10)</f>
        <v/>
      </c>
      <c r="C78">
        <f>IF(A78="","",'Skill Matrix'!AM4)</f>
        <v/>
      </c>
      <c r="D78">
        <f>IF(A78="","",'Skill Matrix'!AM3)</f>
        <v/>
      </c>
      <c r="E78">
        <f>IF(OR(A78="",'Skill Matrix'!AM10=""),"",'Skill Matrix'!AM10)</f>
        <v/>
      </c>
      <c r="F78">
        <f>IF(OR(A78="",'Skill Matrix'!AN10=""),"",'Skill Matrix'!AN10)</f>
        <v/>
      </c>
      <c r="G78">
        <f>IF(OR(E78="",F78=""),"",F78-E78)</f>
        <v/>
      </c>
    </row>
    <row r="79">
      <c r="A79">
        <f>IF(AND('Skill Matrix'!A10&lt;&gt;"",'Skills'!B19&lt;&gt;""),'Skill Matrix'!A10,"")</f>
        <v/>
      </c>
      <c r="B79">
        <f>IF(A79="","",'Skill Matrix'!B10)</f>
        <v/>
      </c>
      <c r="C79">
        <f>IF(A79="","",'Skill Matrix'!AP4)</f>
        <v/>
      </c>
      <c r="D79">
        <f>IF(A79="","",'Skill Matrix'!AP3)</f>
        <v/>
      </c>
      <c r="E79">
        <f>IF(OR(A79="",'Skill Matrix'!AP10=""),"",'Skill Matrix'!AP10)</f>
        <v/>
      </c>
      <c r="F79">
        <f>IF(OR(A79="",'Skill Matrix'!AQ10=""),"",'Skill Matrix'!AQ10)</f>
        <v/>
      </c>
      <c r="G79">
        <f>IF(OR(E79="",F79=""),"",F79-E79)</f>
        <v/>
      </c>
    </row>
    <row r="80">
      <c r="A80">
        <f>IF(AND('Skill Matrix'!A10&lt;&gt;"",'Skills'!B20&lt;&gt;""),'Skill Matrix'!A10,"")</f>
        <v/>
      </c>
      <c r="B80">
        <f>IF(A80="","",'Skill Matrix'!B10)</f>
        <v/>
      </c>
      <c r="C80">
        <f>IF(A80="","",'Skill Matrix'!AS4)</f>
        <v/>
      </c>
      <c r="D80">
        <f>IF(A80="","",'Skill Matrix'!AS3)</f>
        <v/>
      </c>
      <c r="E80">
        <f>IF(OR(A80="",'Skill Matrix'!AS10=""),"",'Skill Matrix'!AS10)</f>
        <v/>
      </c>
      <c r="F80">
        <f>IF(OR(A80="",'Skill Matrix'!AT10=""),"",'Skill Matrix'!AT10)</f>
        <v/>
      </c>
      <c r="G80">
        <f>IF(OR(E80="",F80=""),"",F80-E80)</f>
        <v/>
      </c>
    </row>
    <row r="81">
      <c r="A81">
        <f>IF(AND('Skill Matrix'!A10&lt;&gt;"",'Skills'!B21&lt;&gt;""),'Skill Matrix'!A10,"")</f>
        <v/>
      </c>
      <c r="B81">
        <f>IF(A81="","",'Skill Matrix'!B10)</f>
        <v/>
      </c>
      <c r="C81">
        <f>IF(A81="","",'Skill Matrix'!AV4)</f>
        <v/>
      </c>
      <c r="D81">
        <f>IF(A81="","",'Skill Matrix'!AV3)</f>
        <v/>
      </c>
      <c r="E81">
        <f>IF(OR(A81="",'Skill Matrix'!AV10=""),"",'Skill Matrix'!AV10)</f>
        <v/>
      </c>
      <c r="F81">
        <f>IF(OR(A81="",'Skill Matrix'!AW10=""),"",'Skill Matrix'!AW10)</f>
        <v/>
      </c>
      <c r="G81">
        <f>IF(OR(E81="",F81=""),"",F81-E81)</f>
        <v/>
      </c>
    </row>
    <row r="82">
      <c r="A82">
        <f>IF(AND('Skill Matrix'!A11&lt;&gt;"",'Skills'!B6&lt;&gt;""),'Skill Matrix'!A11,"")</f>
        <v/>
      </c>
      <c r="B82">
        <f>IF(A82="","",'Skill Matrix'!B11)</f>
        <v/>
      </c>
      <c r="C82">
        <f>IF(A82="","",'Skill Matrix'!C4)</f>
        <v/>
      </c>
      <c r="D82">
        <f>IF(A82="","",'Skill Matrix'!C3)</f>
        <v/>
      </c>
      <c r="E82">
        <f>IF(OR(A82="",'Skill Matrix'!C11=""),"",'Skill Matrix'!C11)</f>
        <v/>
      </c>
      <c r="F82">
        <f>IF(OR(A82="",'Skill Matrix'!D11=""),"",'Skill Matrix'!D11)</f>
        <v/>
      </c>
      <c r="G82">
        <f>IF(OR(E82="",F82=""),"",F82-E82)</f>
        <v/>
      </c>
    </row>
    <row r="83">
      <c r="A83">
        <f>IF(AND('Skill Matrix'!A11&lt;&gt;"",'Skills'!B7&lt;&gt;""),'Skill Matrix'!A11,"")</f>
        <v/>
      </c>
      <c r="B83">
        <f>IF(A83="","",'Skill Matrix'!B11)</f>
        <v/>
      </c>
      <c r="C83">
        <f>IF(A83="","",'Skill Matrix'!F4)</f>
        <v/>
      </c>
      <c r="D83">
        <f>IF(A83="","",'Skill Matrix'!F3)</f>
        <v/>
      </c>
      <c r="E83">
        <f>IF(OR(A83="",'Skill Matrix'!F11=""),"",'Skill Matrix'!F11)</f>
        <v/>
      </c>
      <c r="F83">
        <f>IF(OR(A83="",'Skill Matrix'!G11=""),"",'Skill Matrix'!G11)</f>
        <v/>
      </c>
      <c r="G83">
        <f>IF(OR(E83="",F83=""),"",F83-E83)</f>
        <v/>
      </c>
    </row>
    <row r="84">
      <c r="A84">
        <f>IF(AND('Skill Matrix'!A11&lt;&gt;"",'Skills'!B8&lt;&gt;""),'Skill Matrix'!A11,"")</f>
        <v/>
      </c>
      <c r="B84">
        <f>IF(A84="","",'Skill Matrix'!B11)</f>
        <v/>
      </c>
      <c r="C84">
        <f>IF(A84="","",'Skill Matrix'!I4)</f>
        <v/>
      </c>
      <c r="D84">
        <f>IF(A84="","",'Skill Matrix'!I3)</f>
        <v/>
      </c>
      <c r="E84">
        <f>IF(OR(A84="",'Skill Matrix'!I11=""),"",'Skill Matrix'!I11)</f>
        <v/>
      </c>
      <c r="F84">
        <f>IF(OR(A84="",'Skill Matrix'!J11=""),"",'Skill Matrix'!J11)</f>
        <v/>
      </c>
      <c r="G84">
        <f>IF(OR(E84="",F84=""),"",F84-E84)</f>
        <v/>
      </c>
    </row>
    <row r="85">
      <c r="A85">
        <f>IF(AND('Skill Matrix'!A11&lt;&gt;"",'Skills'!B9&lt;&gt;""),'Skill Matrix'!A11,"")</f>
        <v/>
      </c>
      <c r="B85">
        <f>IF(A85="","",'Skill Matrix'!B11)</f>
        <v/>
      </c>
      <c r="C85">
        <f>IF(A85="","",'Skill Matrix'!L4)</f>
        <v/>
      </c>
      <c r="D85">
        <f>IF(A85="","",'Skill Matrix'!L3)</f>
        <v/>
      </c>
      <c r="E85">
        <f>IF(OR(A85="",'Skill Matrix'!L11=""),"",'Skill Matrix'!L11)</f>
        <v/>
      </c>
      <c r="F85">
        <f>IF(OR(A85="",'Skill Matrix'!M11=""),"",'Skill Matrix'!M11)</f>
        <v/>
      </c>
      <c r="G85">
        <f>IF(OR(E85="",F85=""),"",F85-E85)</f>
        <v/>
      </c>
    </row>
    <row r="86">
      <c r="A86">
        <f>IF(AND('Skill Matrix'!A11&lt;&gt;"",'Skills'!B10&lt;&gt;""),'Skill Matrix'!A11,"")</f>
        <v/>
      </c>
      <c r="B86">
        <f>IF(A86="","",'Skill Matrix'!B11)</f>
        <v/>
      </c>
      <c r="C86">
        <f>IF(A86="","",'Skill Matrix'!O4)</f>
        <v/>
      </c>
      <c r="D86">
        <f>IF(A86="","",'Skill Matrix'!O3)</f>
        <v/>
      </c>
      <c r="E86">
        <f>IF(OR(A86="",'Skill Matrix'!O11=""),"",'Skill Matrix'!O11)</f>
        <v/>
      </c>
      <c r="F86">
        <f>IF(OR(A86="",'Skill Matrix'!P11=""),"",'Skill Matrix'!P11)</f>
        <v/>
      </c>
      <c r="G86">
        <f>IF(OR(E86="",F86=""),"",F86-E86)</f>
        <v/>
      </c>
    </row>
    <row r="87">
      <c r="A87">
        <f>IF(AND('Skill Matrix'!A11&lt;&gt;"",'Skills'!B11&lt;&gt;""),'Skill Matrix'!A11,"")</f>
        <v/>
      </c>
      <c r="B87">
        <f>IF(A87="","",'Skill Matrix'!B11)</f>
        <v/>
      </c>
      <c r="C87">
        <f>IF(A87="","",'Skill Matrix'!R4)</f>
        <v/>
      </c>
      <c r="D87">
        <f>IF(A87="","",'Skill Matrix'!R3)</f>
        <v/>
      </c>
      <c r="E87">
        <f>IF(OR(A87="",'Skill Matrix'!R11=""),"",'Skill Matrix'!R11)</f>
        <v/>
      </c>
      <c r="F87">
        <f>IF(OR(A87="",'Skill Matrix'!S11=""),"",'Skill Matrix'!S11)</f>
        <v/>
      </c>
      <c r="G87">
        <f>IF(OR(E87="",F87=""),"",F87-E87)</f>
        <v/>
      </c>
    </row>
    <row r="88">
      <c r="A88">
        <f>IF(AND('Skill Matrix'!A11&lt;&gt;"",'Skills'!B12&lt;&gt;""),'Skill Matrix'!A11,"")</f>
        <v/>
      </c>
      <c r="B88">
        <f>IF(A88="","",'Skill Matrix'!B11)</f>
        <v/>
      </c>
      <c r="C88">
        <f>IF(A88="","",'Skill Matrix'!U4)</f>
        <v/>
      </c>
      <c r="D88">
        <f>IF(A88="","",'Skill Matrix'!U3)</f>
        <v/>
      </c>
      <c r="E88">
        <f>IF(OR(A88="",'Skill Matrix'!U11=""),"",'Skill Matrix'!U11)</f>
        <v/>
      </c>
      <c r="F88">
        <f>IF(OR(A88="",'Skill Matrix'!V11=""),"",'Skill Matrix'!V11)</f>
        <v/>
      </c>
      <c r="G88">
        <f>IF(OR(E88="",F88=""),"",F88-E88)</f>
        <v/>
      </c>
    </row>
    <row r="89">
      <c r="A89">
        <f>IF(AND('Skill Matrix'!A11&lt;&gt;"",'Skills'!B13&lt;&gt;""),'Skill Matrix'!A11,"")</f>
        <v/>
      </c>
      <c r="B89">
        <f>IF(A89="","",'Skill Matrix'!B11)</f>
        <v/>
      </c>
      <c r="C89">
        <f>IF(A89="","",'Skill Matrix'!X4)</f>
        <v/>
      </c>
      <c r="D89">
        <f>IF(A89="","",'Skill Matrix'!X3)</f>
        <v/>
      </c>
      <c r="E89">
        <f>IF(OR(A89="",'Skill Matrix'!X11=""),"",'Skill Matrix'!X11)</f>
        <v/>
      </c>
      <c r="F89">
        <f>IF(OR(A89="",'Skill Matrix'!Y11=""),"",'Skill Matrix'!Y11)</f>
        <v/>
      </c>
      <c r="G89">
        <f>IF(OR(E89="",F89=""),"",F89-E89)</f>
        <v/>
      </c>
    </row>
    <row r="90">
      <c r="A90">
        <f>IF(AND('Skill Matrix'!A11&lt;&gt;"",'Skills'!B14&lt;&gt;""),'Skill Matrix'!A11,"")</f>
        <v/>
      </c>
      <c r="B90">
        <f>IF(A90="","",'Skill Matrix'!B11)</f>
        <v/>
      </c>
      <c r="C90">
        <f>IF(A90="","",'Skill Matrix'!AA4)</f>
        <v/>
      </c>
      <c r="D90">
        <f>IF(A90="","",'Skill Matrix'!AA3)</f>
        <v/>
      </c>
      <c r="E90">
        <f>IF(OR(A90="",'Skill Matrix'!AA11=""),"",'Skill Matrix'!AA11)</f>
        <v/>
      </c>
      <c r="F90">
        <f>IF(OR(A90="",'Skill Matrix'!AB11=""),"",'Skill Matrix'!AB11)</f>
        <v/>
      </c>
      <c r="G90">
        <f>IF(OR(E90="",F90=""),"",F90-E90)</f>
        <v/>
      </c>
    </row>
    <row r="91">
      <c r="A91">
        <f>IF(AND('Skill Matrix'!A11&lt;&gt;"",'Skills'!B15&lt;&gt;""),'Skill Matrix'!A11,"")</f>
        <v/>
      </c>
      <c r="B91">
        <f>IF(A91="","",'Skill Matrix'!B11)</f>
        <v/>
      </c>
      <c r="C91">
        <f>IF(A91="","",'Skill Matrix'!AD4)</f>
        <v/>
      </c>
      <c r="D91">
        <f>IF(A91="","",'Skill Matrix'!AD3)</f>
        <v/>
      </c>
      <c r="E91">
        <f>IF(OR(A91="",'Skill Matrix'!AD11=""),"",'Skill Matrix'!AD11)</f>
        <v/>
      </c>
      <c r="F91">
        <f>IF(OR(A91="",'Skill Matrix'!AE11=""),"",'Skill Matrix'!AE11)</f>
        <v/>
      </c>
      <c r="G91">
        <f>IF(OR(E91="",F91=""),"",F91-E91)</f>
        <v/>
      </c>
    </row>
    <row r="92">
      <c r="A92">
        <f>IF(AND('Skill Matrix'!A11&lt;&gt;"",'Skills'!B16&lt;&gt;""),'Skill Matrix'!A11,"")</f>
        <v/>
      </c>
      <c r="B92">
        <f>IF(A92="","",'Skill Matrix'!B11)</f>
        <v/>
      </c>
      <c r="C92">
        <f>IF(A92="","",'Skill Matrix'!AG4)</f>
        <v/>
      </c>
      <c r="D92">
        <f>IF(A92="","",'Skill Matrix'!AG3)</f>
        <v/>
      </c>
      <c r="E92">
        <f>IF(OR(A92="",'Skill Matrix'!AG11=""),"",'Skill Matrix'!AG11)</f>
        <v/>
      </c>
      <c r="F92">
        <f>IF(OR(A92="",'Skill Matrix'!AH11=""),"",'Skill Matrix'!AH11)</f>
        <v/>
      </c>
      <c r="G92">
        <f>IF(OR(E92="",F92=""),"",F92-E92)</f>
        <v/>
      </c>
    </row>
    <row r="93">
      <c r="A93">
        <f>IF(AND('Skill Matrix'!A11&lt;&gt;"",'Skills'!B17&lt;&gt;""),'Skill Matrix'!A11,"")</f>
        <v/>
      </c>
      <c r="B93">
        <f>IF(A93="","",'Skill Matrix'!B11)</f>
        <v/>
      </c>
      <c r="C93">
        <f>IF(A93="","",'Skill Matrix'!AJ4)</f>
        <v/>
      </c>
      <c r="D93">
        <f>IF(A93="","",'Skill Matrix'!AJ3)</f>
        <v/>
      </c>
      <c r="E93">
        <f>IF(OR(A93="",'Skill Matrix'!AJ11=""),"",'Skill Matrix'!AJ11)</f>
        <v/>
      </c>
      <c r="F93">
        <f>IF(OR(A93="",'Skill Matrix'!AK11=""),"",'Skill Matrix'!AK11)</f>
        <v/>
      </c>
      <c r="G93">
        <f>IF(OR(E93="",F93=""),"",F93-E93)</f>
        <v/>
      </c>
    </row>
    <row r="94">
      <c r="A94">
        <f>IF(AND('Skill Matrix'!A11&lt;&gt;"",'Skills'!B18&lt;&gt;""),'Skill Matrix'!A11,"")</f>
        <v/>
      </c>
      <c r="B94">
        <f>IF(A94="","",'Skill Matrix'!B11)</f>
        <v/>
      </c>
      <c r="C94">
        <f>IF(A94="","",'Skill Matrix'!AM4)</f>
        <v/>
      </c>
      <c r="D94">
        <f>IF(A94="","",'Skill Matrix'!AM3)</f>
        <v/>
      </c>
      <c r="E94">
        <f>IF(OR(A94="",'Skill Matrix'!AM11=""),"",'Skill Matrix'!AM11)</f>
        <v/>
      </c>
      <c r="F94">
        <f>IF(OR(A94="",'Skill Matrix'!AN11=""),"",'Skill Matrix'!AN11)</f>
        <v/>
      </c>
      <c r="G94">
        <f>IF(OR(E94="",F94=""),"",F94-E94)</f>
        <v/>
      </c>
    </row>
    <row r="95">
      <c r="A95">
        <f>IF(AND('Skill Matrix'!A11&lt;&gt;"",'Skills'!B19&lt;&gt;""),'Skill Matrix'!A11,"")</f>
        <v/>
      </c>
      <c r="B95">
        <f>IF(A95="","",'Skill Matrix'!B11)</f>
        <v/>
      </c>
      <c r="C95">
        <f>IF(A95="","",'Skill Matrix'!AP4)</f>
        <v/>
      </c>
      <c r="D95">
        <f>IF(A95="","",'Skill Matrix'!AP3)</f>
        <v/>
      </c>
      <c r="E95">
        <f>IF(OR(A95="",'Skill Matrix'!AP11=""),"",'Skill Matrix'!AP11)</f>
        <v/>
      </c>
      <c r="F95">
        <f>IF(OR(A95="",'Skill Matrix'!AQ11=""),"",'Skill Matrix'!AQ11)</f>
        <v/>
      </c>
      <c r="G95">
        <f>IF(OR(E95="",F95=""),"",F95-E95)</f>
        <v/>
      </c>
    </row>
    <row r="96">
      <c r="A96">
        <f>IF(AND('Skill Matrix'!A11&lt;&gt;"",'Skills'!B20&lt;&gt;""),'Skill Matrix'!A11,"")</f>
        <v/>
      </c>
      <c r="B96">
        <f>IF(A96="","",'Skill Matrix'!B11)</f>
        <v/>
      </c>
      <c r="C96">
        <f>IF(A96="","",'Skill Matrix'!AS4)</f>
        <v/>
      </c>
      <c r="D96">
        <f>IF(A96="","",'Skill Matrix'!AS3)</f>
        <v/>
      </c>
      <c r="E96">
        <f>IF(OR(A96="",'Skill Matrix'!AS11=""),"",'Skill Matrix'!AS11)</f>
        <v/>
      </c>
      <c r="F96">
        <f>IF(OR(A96="",'Skill Matrix'!AT11=""),"",'Skill Matrix'!AT11)</f>
        <v/>
      </c>
      <c r="G96">
        <f>IF(OR(E96="",F96=""),"",F96-E96)</f>
        <v/>
      </c>
    </row>
    <row r="97">
      <c r="A97">
        <f>IF(AND('Skill Matrix'!A11&lt;&gt;"",'Skills'!B21&lt;&gt;""),'Skill Matrix'!A11,"")</f>
        <v/>
      </c>
      <c r="B97">
        <f>IF(A97="","",'Skill Matrix'!B11)</f>
        <v/>
      </c>
      <c r="C97">
        <f>IF(A97="","",'Skill Matrix'!AV4)</f>
        <v/>
      </c>
      <c r="D97">
        <f>IF(A97="","",'Skill Matrix'!AV3)</f>
        <v/>
      </c>
      <c r="E97">
        <f>IF(OR(A97="",'Skill Matrix'!AV11=""),"",'Skill Matrix'!AV11)</f>
        <v/>
      </c>
      <c r="F97">
        <f>IF(OR(A97="",'Skill Matrix'!AW11=""),"",'Skill Matrix'!AW11)</f>
        <v/>
      </c>
      <c r="G97">
        <f>IF(OR(E97="",F97=""),"",F97-E97)</f>
        <v/>
      </c>
    </row>
    <row r="98">
      <c r="A98">
        <f>IF(AND('Skill Matrix'!A12&lt;&gt;"",'Skills'!B6&lt;&gt;""),'Skill Matrix'!A12,"")</f>
        <v/>
      </c>
      <c r="B98">
        <f>IF(A98="","",'Skill Matrix'!B12)</f>
        <v/>
      </c>
      <c r="C98">
        <f>IF(A98="","",'Skill Matrix'!C4)</f>
        <v/>
      </c>
      <c r="D98">
        <f>IF(A98="","",'Skill Matrix'!C3)</f>
        <v/>
      </c>
      <c r="E98">
        <f>IF(OR(A98="",'Skill Matrix'!C12=""),"",'Skill Matrix'!C12)</f>
        <v/>
      </c>
      <c r="F98">
        <f>IF(OR(A98="",'Skill Matrix'!D12=""),"",'Skill Matrix'!D12)</f>
        <v/>
      </c>
      <c r="G98">
        <f>IF(OR(E98="",F98=""),"",F98-E98)</f>
        <v/>
      </c>
    </row>
    <row r="99">
      <c r="A99">
        <f>IF(AND('Skill Matrix'!A12&lt;&gt;"",'Skills'!B7&lt;&gt;""),'Skill Matrix'!A12,"")</f>
        <v/>
      </c>
      <c r="B99">
        <f>IF(A99="","",'Skill Matrix'!B12)</f>
        <v/>
      </c>
      <c r="C99">
        <f>IF(A99="","",'Skill Matrix'!F4)</f>
        <v/>
      </c>
      <c r="D99">
        <f>IF(A99="","",'Skill Matrix'!F3)</f>
        <v/>
      </c>
      <c r="E99">
        <f>IF(OR(A99="",'Skill Matrix'!F12=""),"",'Skill Matrix'!F12)</f>
        <v/>
      </c>
      <c r="F99">
        <f>IF(OR(A99="",'Skill Matrix'!G12=""),"",'Skill Matrix'!G12)</f>
        <v/>
      </c>
      <c r="G99">
        <f>IF(OR(E99="",F99=""),"",F99-E99)</f>
        <v/>
      </c>
    </row>
    <row r="100">
      <c r="A100">
        <f>IF(AND('Skill Matrix'!A12&lt;&gt;"",'Skills'!B8&lt;&gt;""),'Skill Matrix'!A12,"")</f>
        <v/>
      </c>
      <c r="B100">
        <f>IF(A100="","",'Skill Matrix'!B12)</f>
        <v/>
      </c>
      <c r="C100">
        <f>IF(A100="","",'Skill Matrix'!I4)</f>
        <v/>
      </c>
      <c r="D100">
        <f>IF(A100="","",'Skill Matrix'!I3)</f>
        <v/>
      </c>
      <c r="E100">
        <f>IF(OR(A100="",'Skill Matrix'!I12=""),"",'Skill Matrix'!I12)</f>
        <v/>
      </c>
      <c r="F100">
        <f>IF(OR(A100="",'Skill Matrix'!J12=""),"",'Skill Matrix'!J12)</f>
        <v/>
      </c>
      <c r="G100">
        <f>IF(OR(E100="",F100=""),"",F100-E100)</f>
        <v/>
      </c>
    </row>
    <row r="101">
      <c r="A101">
        <f>IF(AND('Skill Matrix'!A12&lt;&gt;"",'Skills'!B9&lt;&gt;""),'Skill Matrix'!A12,"")</f>
        <v/>
      </c>
      <c r="B101">
        <f>IF(A101="","",'Skill Matrix'!B12)</f>
        <v/>
      </c>
      <c r="C101">
        <f>IF(A101="","",'Skill Matrix'!L4)</f>
        <v/>
      </c>
      <c r="D101">
        <f>IF(A101="","",'Skill Matrix'!L3)</f>
        <v/>
      </c>
      <c r="E101">
        <f>IF(OR(A101="",'Skill Matrix'!L12=""),"",'Skill Matrix'!L12)</f>
        <v/>
      </c>
      <c r="F101">
        <f>IF(OR(A101="",'Skill Matrix'!M12=""),"",'Skill Matrix'!M12)</f>
        <v/>
      </c>
      <c r="G101">
        <f>IF(OR(E101="",F101=""),"",F101-E101)</f>
        <v/>
      </c>
    </row>
    <row r="102">
      <c r="A102">
        <f>IF(AND('Skill Matrix'!A12&lt;&gt;"",'Skills'!B10&lt;&gt;""),'Skill Matrix'!A12,"")</f>
        <v/>
      </c>
      <c r="B102">
        <f>IF(A102="","",'Skill Matrix'!B12)</f>
        <v/>
      </c>
      <c r="C102">
        <f>IF(A102="","",'Skill Matrix'!O4)</f>
        <v/>
      </c>
      <c r="D102">
        <f>IF(A102="","",'Skill Matrix'!O3)</f>
        <v/>
      </c>
      <c r="E102">
        <f>IF(OR(A102="",'Skill Matrix'!O12=""),"",'Skill Matrix'!O12)</f>
        <v/>
      </c>
      <c r="F102">
        <f>IF(OR(A102="",'Skill Matrix'!P12=""),"",'Skill Matrix'!P12)</f>
        <v/>
      </c>
      <c r="G102">
        <f>IF(OR(E102="",F102=""),"",F102-E102)</f>
        <v/>
      </c>
    </row>
    <row r="103">
      <c r="A103">
        <f>IF(AND('Skill Matrix'!A12&lt;&gt;"",'Skills'!B11&lt;&gt;""),'Skill Matrix'!A12,"")</f>
        <v/>
      </c>
      <c r="B103">
        <f>IF(A103="","",'Skill Matrix'!B12)</f>
        <v/>
      </c>
      <c r="C103">
        <f>IF(A103="","",'Skill Matrix'!R4)</f>
        <v/>
      </c>
      <c r="D103">
        <f>IF(A103="","",'Skill Matrix'!R3)</f>
        <v/>
      </c>
      <c r="E103">
        <f>IF(OR(A103="",'Skill Matrix'!R12=""),"",'Skill Matrix'!R12)</f>
        <v/>
      </c>
      <c r="F103">
        <f>IF(OR(A103="",'Skill Matrix'!S12=""),"",'Skill Matrix'!S12)</f>
        <v/>
      </c>
      <c r="G103">
        <f>IF(OR(E103="",F103=""),"",F103-E103)</f>
        <v/>
      </c>
    </row>
    <row r="104">
      <c r="A104">
        <f>IF(AND('Skill Matrix'!A12&lt;&gt;"",'Skills'!B12&lt;&gt;""),'Skill Matrix'!A12,"")</f>
        <v/>
      </c>
      <c r="B104">
        <f>IF(A104="","",'Skill Matrix'!B12)</f>
        <v/>
      </c>
      <c r="C104">
        <f>IF(A104="","",'Skill Matrix'!U4)</f>
        <v/>
      </c>
      <c r="D104">
        <f>IF(A104="","",'Skill Matrix'!U3)</f>
        <v/>
      </c>
      <c r="E104">
        <f>IF(OR(A104="",'Skill Matrix'!U12=""),"",'Skill Matrix'!U12)</f>
        <v/>
      </c>
      <c r="F104">
        <f>IF(OR(A104="",'Skill Matrix'!V12=""),"",'Skill Matrix'!V12)</f>
        <v/>
      </c>
      <c r="G104">
        <f>IF(OR(E104="",F104=""),"",F104-E104)</f>
        <v/>
      </c>
    </row>
    <row r="105">
      <c r="A105">
        <f>IF(AND('Skill Matrix'!A12&lt;&gt;"",'Skills'!B13&lt;&gt;""),'Skill Matrix'!A12,"")</f>
        <v/>
      </c>
      <c r="B105">
        <f>IF(A105="","",'Skill Matrix'!B12)</f>
        <v/>
      </c>
      <c r="C105">
        <f>IF(A105="","",'Skill Matrix'!X4)</f>
        <v/>
      </c>
      <c r="D105">
        <f>IF(A105="","",'Skill Matrix'!X3)</f>
        <v/>
      </c>
      <c r="E105">
        <f>IF(OR(A105="",'Skill Matrix'!X12=""),"",'Skill Matrix'!X12)</f>
        <v/>
      </c>
      <c r="F105">
        <f>IF(OR(A105="",'Skill Matrix'!Y12=""),"",'Skill Matrix'!Y12)</f>
        <v/>
      </c>
      <c r="G105">
        <f>IF(OR(E105="",F105=""),"",F105-E105)</f>
        <v/>
      </c>
    </row>
    <row r="106">
      <c r="A106">
        <f>IF(AND('Skill Matrix'!A12&lt;&gt;"",'Skills'!B14&lt;&gt;""),'Skill Matrix'!A12,"")</f>
        <v/>
      </c>
      <c r="B106">
        <f>IF(A106="","",'Skill Matrix'!B12)</f>
        <v/>
      </c>
      <c r="C106">
        <f>IF(A106="","",'Skill Matrix'!AA4)</f>
        <v/>
      </c>
      <c r="D106">
        <f>IF(A106="","",'Skill Matrix'!AA3)</f>
        <v/>
      </c>
      <c r="E106">
        <f>IF(OR(A106="",'Skill Matrix'!AA12=""),"",'Skill Matrix'!AA12)</f>
        <v/>
      </c>
      <c r="F106">
        <f>IF(OR(A106="",'Skill Matrix'!AB12=""),"",'Skill Matrix'!AB12)</f>
        <v/>
      </c>
      <c r="G106">
        <f>IF(OR(E106="",F106=""),"",F106-E106)</f>
        <v/>
      </c>
    </row>
    <row r="107">
      <c r="A107">
        <f>IF(AND('Skill Matrix'!A12&lt;&gt;"",'Skills'!B15&lt;&gt;""),'Skill Matrix'!A12,"")</f>
        <v/>
      </c>
      <c r="B107">
        <f>IF(A107="","",'Skill Matrix'!B12)</f>
        <v/>
      </c>
      <c r="C107">
        <f>IF(A107="","",'Skill Matrix'!AD4)</f>
        <v/>
      </c>
      <c r="D107">
        <f>IF(A107="","",'Skill Matrix'!AD3)</f>
        <v/>
      </c>
      <c r="E107">
        <f>IF(OR(A107="",'Skill Matrix'!AD12=""),"",'Skill Matrix'!AD12)</f>
        <v/>
      </c>
      <c r="F107">
        <f>IF(OR(A107="",'Skill Matrix'!AE12=""),"",'Skill Matrix'!AE12)</f>
        <v/>
      </c>
      <c r="G107">
        <f>IF(OR(E107="",F107=""),"",F107-E107)</f>
        <v/>
      </c>
    </row>
    <row r="108">
      <c r="A108">
        <f>IF(AND('Skill Matrix'!A12&lt;&gt;"",'Skills'!B16&lt;&gt;""),'Skill Matrix'!A12,"")</f>
        <v/>
      </c>
      <c r="B108">
        <f>IF(A108="","",'Skill Matrix'!B12)</f>
        <v/>
      </c>
      <c r="C108">
        <f>IF(A108="","",'Skill Matrix'!AG4)</f>
        <v/>
      </c>
      <c r="D108">
        <f>IF(A108="","",'Skill Matrix'!AG3)</f>
        <v/>
      </c>
      <c r="E108">
        <f>IF(OR(A108="",'Skill Matrix'!AG12=""),"",'Skill Matrix'!AG12)</f>
        <v/>
      </c>
      <c r="F108">
        <f>IF(OR(A108="",'Skill Matrix'!AH12=""),"",'Skill Matrix'!AH12)</f>
        <v/>
      </c>
      <c r="G108">
        <f>IF(OR(E108="",F108=""),"",F108-E108)</f>
        <v/>
      </c>
    </row>
    <row r="109">
      <c r="A109">
        <f>IF(AND('Skill Matrix'!A12&lt;&gt;"",'Skills'!B17&lt;&gt;""),'Skill Matrix'!A12,"")</f>
        <v/>
      </c>
      <c r="B109">
        <f>IF(A109="","",'Skill Matrix'!B12)</f>
        <v/>
      </c>
      <c r="C109">
        <f>IF(A109="","",'Skill Matrix'!AJ4)</f>
        <v/>
      </c>
      <c r="D109">
        <f>IF(A109="","",'Skill Matrix'!AJ3)</f>
        <v/>
      </c>
      <c r="E109">
        <f>IF(OR(A109="",'Skill Matrix'!AJ12=""),"",'Skill Matrix'!AJ12)</f>
        <v/>
      </c>
      <c r="F109">
        <f>IF(OR(A109="",'Skill Matrix'!AK12=""),"",'Skill Matrix'!AK12)</f>
        <v/>
      </c>
      <c r="G109">
        <f>IF(OR(E109="",F109=""),"",F109-E109)</f>
        <v/>
      </c>
    </row>
    <row r="110">
      <c r="A110">
        <f>IF(AND('Skill Matrix'!A12&lt;&gt;"",'Skills'!B18&lt;&gt;""),'Skill Matrix'!A12,"")</f>
        <v/>
      </c>
      <c r="B110">
        <f>IF(A110="","",'Skill Matrix'!B12)</f>
        <v/>
      </c>
      <c r="C110">
        <f>IF(A110="","",'Skill Matrix'!AM4)</f>
        <v/>
      </c>
      <c r="D110">
        <f>IF(A110="","",'Skill Matrix'!AM3)</f>
        <v/>
      </c>
      <c r="E110">
        <f>IF(OR(A110="",'Skill Matrix'!AM12=""),"",'Skill Matrix'!AM12)</f>
        <v/>
      </c>
      <c r="F110">
        <f>IF(OR(A110="",'Skill Matrix'!AN12=""),"",'Skill Matrix'!AN12)</f>
        <v/>
      </c>
      <c r="G110">
        <f>IF(OR(E110="",F110=""),"",F110-E110)</f>
        <v/>
      </c>
    </row>
    <row r="111">
      <c r="A111">
        <f>IF(AND('Skill Matrix'!A12&lt;&gt;"",'Skills'!B19&lt;&gt;""),'Skill Matrix'!A12,"")</f>
        <v/>
      </c>
      <c r="B111">
        <f>IF(A111="","",'Skill Matrix'!B12)</f>
        <v/>
      </c>
      <c r="C111">
        <f>IF(A111="","",'Skill Matrix'!AP4)</f>
        <v/>
      </c>
      <c r="D111">
        <f>IF(A111="","",'Skill Matrix'!AP3)</f>
        <v/>
      </c>
      <c r="E111">
        <f>IF(OR(A111="",'Skill Matrix'!AP12=""),"",'Skill Matrix'!AP12)</f>
        <v/>
      </c>
      <c r="F111">
        <f>IF(OR(A111="",'Skill Matrix'!AQ12=""),"",'Skill Matrix'!AQ12)</f>
        <v/>
      </c>
      <c r="G111">
        <f>IF(OR(E111="",F111=""),"",F111-E111)</f>
        <v/>
      </c>
    </row>
    <row r="112">
      <c r="A112">
        <f>IF(AND('Skill Matrix'!A12&lt;&gt;"",'Skills'!B20&lt;&gt;""),'Skill Matrix'!A12,"")</f>
        <v/>
      </c>
      <c r="B112">
        <f>IF(A112="","",'Skill Matrix'!B12)</f>
        <v/>
      </c>
      <c r="C112">
        <f>IF(A112="","",'Skill Matrix'!AS4)</f>
        <v/>
      </c>
      <c r="D112">
        <f>IF(A112="","",'Skill Matrix'!AS3)</f>
        <v/>
      </c>
      <c r="E112">
        <f>IF(OR(A112="",'Skill Matrix'!AS12=""),"",'Skill Matrix'!AS12)</f>
        <v/>
      </c>
      <c r="F112">
        <f>IF(OR(A112="",'Skill Matrix'!AT12=""),"",'Skill Matrix'!AT12)</f>
        <v/>
      </c>
      <c r="G112">
        <f>IF(OR(E112="",F112=""),"",F112-E112)</f>
        <v/>
      </c>
    </row>
    <row r="113">
      <c r="A113">
        <f>IF(AND('Skill Matrix'!A12&lt;&gt;"",'Skills'!B21&lt;&gt;""),'Skill Matrix'!A12,"")</f>
        <v/>
      </c>
      <c r="B113">
        <f>IF(A113="","",'Skill Matrix'!B12)</f>
        <v/>
      </c>
      <c r="C113">
        <f>IF(A113="","",'Skill Matrix'!AV4)</f>
        <v/>
      </c>
      <c r="D113">
        <f>IF(A113="","",'Skill Matrix'!AV3)</f>
        <v/>
      </c>
      <c r="E113">
        <f>IF(OR(A113="",'Skill Matrix'!AV12=""),"",'Skill Matrix'!AV12)</f>
        <v/>
      </c>
      <c r="F113">
        <f>IF(OR(A113="",'Skill Matrix'!AW12=""),"",'Skill Matrix'!AW12)</f>
        <v/>
      </c>
      <c r="G113">
        <f>IF(OR(E113="",F113=""),"",F113-E113)</f>
        <v/>
      </c>
    </row>
    <row r="114">
      <c r="A114">
        <f>IF(AND('Skill Matrix'!A13&lt;&gt;"",'Skills'!B6&lt;&gt;""),'Skill Matrix'!A13,"")</f>
        <v/>
      </c>
      <c r="B114">
        <f>IF(A114="","",'Skill Matrix'!B13)</f>
        <v/>
      </c>
      <c r="C114">
        <f>IF(A114="","",'Skill Matrix'!C4)</f>
        <v/>
      </c>
      <c r="D114">
        <f>IF(A114="","",'Skill Matrix'!C3)</f>
        <v/>
      </c>
      <c r="E114">
        <f>IF(OR(A114="",'Skill Matrix'!C13=""),"",'Skill Matrix'!C13)</f>
        <v/>
      </c>
      <c r="F114">
        <f>IF(OR(A114="",'Skill Matrix'!D13=""),"",'Skill Matrix'!D13)</f>
        <v/>
      </c>
      <c r="G114">
        <f>IF(OR(E114="",F114=""),"",F114-E114)</f>
        <v/>
      </c>
    </row>
    <row r="115">
      <c r="A115">
        <f>IF(AND('Skill Matrix'!A13&lt;&gt;"",'Skills'!B7&lt;&gt;""),'Skill Matrix'!A13,"")</f>
        <v/>
      </c>
      <c r="B115">
        <f>IF(A115="","",'Skill Matrix'!B13)</f>
        <v/>
      </c>
      <c r="C115">
        <f>IF(A115="","",'Skill Matrix'!F4)</f>
        <v/>
      </c>
      <c r="D115">
        <f>IF(A115="","",'Skill Matrix'!F3)</f>
        <v/>
      </c>
      <c r="E115">
        <f>IF(OR(A115="",'Skill Matrix'!F13=""),"",'Skill Matrix'!F13)</f>
        <v/>
      </c>
      <c r="F115">
        <f>IF(OR(A115="",'Skill Matrix'!G13=""),"",'Skill Matrix'!G13)</f>
        <v/>
      </c>
      <c r="G115">
        <f>IF(OR(E115="",F115=""),"",F115-E115)</f>
        <v/>
      </c>
    </row>
    <row r="116">
      <c r="A116">
        <f>IF(AND('Skill Matrix'!A13&lt;&gt;"",'Skills'!B8&lt;&gt;""),'Skill Matrix'!A13,"")</f>
        <v/>
      </c>
      <c r="B116">
        <f>IF(A116="","",'Skill Matrix'!B13)</f>
        <v/>
      </c>
      <c r="C116">
        <f>IF(A116="","",'Skill Matrix'!I4)</f>
        <v/>
      </c>
      <c r="D116">
        <f>IF(A116="","",'Skill Matrix'!I3)</f>
        <v/>
      </c>
      <c r="E116">
        <f>IF(OR(A116="",'Skill Matrix'!I13=""),"",'Skill Matrix'!I13)</f>
        <v/>
      </c>
      <c r="F116">
        <f>IF(OR(A116="",'Skill Matrix'!J13=""),"",'Skill Matrix'!J13)</f>
        <v/>
      </c>
      <c r="G116">
        <f>IF(OR(E116="",F116=""),"",F116-E116)</f>
        <v/>
      </c>
    </row>
    <row r="117">
      <c r="A117">
        <f>IF(AND('Skill Matrix'!A13&lt;&gt;"",'Skills'!B9&lt;&gt;""),'Skill Matrix'!A13,"")</f>
        <v/>
      </c>
      <c r="B117">
        <f>IF(A117="","",'Skill Matrix'!B13)</f>
        <v/>
      </c>
      <c r="C117">
        <f>IF(A117="","",'Skill Matrix'!L4)</f>
        <v/>
      </c>
      <c r="D117">
        <f>IF(A117="","",'Skill Matrix'!L3)</f>
        <v/>
      </c>
      <c r="E117">
        <f>IF(OR(A117="",'Skill Matrix'!L13=""),"",'Skill Matrix'!L13)</f>
        <v/>
      </c>
      <c r="F117">
        <f>IF(OR(A117="",'Skill Matrix'!M13=""),"",'Skill Matrix'!M13)</f>
        <v/>
      </c>
      <c r="G117">
        <f>IF(OR(E117="",F117=""),"",F117-E117)</f>
        <v/>
      </c>
    </row>
    <row r="118">
      <c r="A118">
        <f>IF(AND('Skill Matrix'!A13&lt;&gt;"",'Skills'!B10&lt;&gt;""),'Skill Matrix'!A13,"")</f>
        <v/>
      </c>
      <c r="B118">
        <f>IF(A118="","",'Skill Matrix'!B13)</f>
        <v/>
      </c>
      <c r="C118">
        <f>IF(A118="","",'Skill Matrix'!O4)</f>
        <v/>
      </c>
      <c r="D118">
        <f>IF(A118="","",'Skill Matrix'!O3)</f>
        <v/>
      </c>
      <c r="E118">
        <f>IF(OR(A118="",'Skill Matrix'!O13=""),"",'Skill Matrix'!O13)</f>
        <v/>
      </c>
      <c r="F118">
        <f>IF(OR(A118="",'Skill Matrix'!P13=""),"",'Skill Matrix'!P13)</f>
        <v/>
      </c>
      <c r="G118">
        <f>IF(OR(E118="",F118=""),"",F118-E118)</f>
        <v/>
      </c>
    </row>
    <row r="119">
      <c r="A119">
        <f>IF(AND('Skill Matrix'!A13&lt;&gt;"",'Skills'!B11&lt;&gt;""),'Skill Matrix'!A13,"")</f>
        <v/>
      </c>
      <c r="B119">
        <f>IF(A119="","",'Skill Matrix'!B13)</f>
        <v/>
      </c>
      <c r="C119">
        <f>IF(A119="","",'Skill Matrix'!R4)</f>
        <v/>
      </c>
      <c r="D119">
        <f>IF(A119="","",'Skill Matrix'!R3)</f>
        <v/>
      </c>
      <c r="E119">
        <f>IF(OR(A119="",'Skill Matrix'!R13=""),"",'Skill Matrix'!R13)</f>
        <v/>
      </c>
      <c r="F119">
        <f>IF(OR(A119="",'Skill Matrix'!S13=""),"",'Skill Matrix'!S13)</f>
        <v/>
      </c>
      <c r="G119">
        <f>IF(OR(E119="",F119=""),"",F119-E119)</f>
        <v/>
      </c>
    </row>
    <row r="120">
      <c r="A120">
        <f>IF(AND('Skill Matrix'!A13&lt;&gt;"",'Skills'!B12&lt;&gt;""),'Skill Matrix'!A13,"")</f>
        <v/>
      </c>
      <c r="B120">
        <f>IF(A120="","",'Skill Matrix'!B13)</f>
        <v/>
      </c>
      <c r="C120">
        <f>IF(A120="","",'Skill Matrix'!U4)</f>
        <v/>
      </c>
      <c r="D120">
        <f>IF(A120="","",'Skill Matrix'!U3)</f>
        <v/>
      </c>
      <c r="E120">
        <f>IF(OR(A120="",'Skill Matrix'!U13=""),"",'Skill Matrix'!U13)</f>
        <v/>
      </c>
      <c r="F120">
        <f>IF(OR(A120="",'Skill Matrix'!V13=""),"",'Skill Matrix'!V13)</f>
        <v/>
      </c>
      <c r="G120">
        <f>IF(OR(E120="",F120=""),"",F120-E120)</f>
        <v/>
      </c>
    </row>
    <row r="121">
      <c r="A121">
        <f>IF(AND('Skill Matrix'!A13&lt;&gt;"",'Skills'!B13&lt;&gt;""),'Skill Matrix'!A13,"")</f>
        <v/>
      </c>
      <c r="B121">
        <f>IF(A121="","",'Skill Matrix'!B13)</f>
        <v/>
      </c>
      <c r="C121">
        <f>IF(A121="","",'Skill Matrix'!X4)</f>
        <v/>
      </c>
      <c r="D121">
        <f>IF(A121="","",'Skill Matrix'!X3)</f>
        <v/>
      </c>
      <c r="E121">
        <f>IF(OR(A121="",'Skill Matrix'!X13=""),"",'Skill Matrix'!X13)</f>
        <v/>
      </c>
      <c r="F121">
        <f>IF(OR(A121="",'Skill Matrix'!Y13=""),"",'Skill Matrix'!Y13)</f>
        <v/>
      </c>
      <c r="G121">
        <f>IF(OR(E121="",F121=""),"",F121-E121)</f>
        <v/>
      </c>
    </row>
    <row r="122">
      <c r="A122">
        <f>IF(AND('Skill Matrix'!A13&lt;&gt;"",'Skills'!B14&lt;&gt;""),'Skill Matrix'!A13,"")</f>
        <v/>
      </c>
      <c r="B122">
        <f>IF(A122="","",'Skill Matrix'!B13)</f>
        <v/>
      </c>
      <c r="C122">
        <f>IF(A122="","",'Skill Matrix'!AA4)</f>
        <v/>
      </c>
      <c r="D122">
        <f>IF(A122="","",'Skill Matrix'!AA3)</f>
        <v/>
      </c>
      <c r="E122">
        <f>IF(OR(A122="",'Skill Matrix'!AA13=""),"",'Skill Matrix'!AA13)</f>
        <v/>
      </c>
      <c r="F122">
        <f>IF(OR(A122="",'Skill Matrix'!AB13=""),"",'Skill Matrix'!AB13)</f>
        <v/>
      </c>
      <c r="G122">
        <f>IF(OR(E122="",F122=""),"",F122-E122)</f>
        <v/>
      </c>
    </row>
    <row r="123">
      <c r="A123">
        <f>IF(AND('Skill Matrix'!A13&lt;&gt;"",'Skills'!B15&lt;&gt;""),'Skill Matrix'!A13,"")</f>
        <v/>
      </c>
      <c r="B123">
        <f>IF(A123="","",'Skill Matrix'!B13)</f>
        <v/>
      </c>
      <c r="C123">
        <f>IF(A123="","",'Skill Matrix'!AD4)</f>
        <v/>
      </c>
      <c r="D123">
        <f>IF(A123="","",'Skill Matrix'!AD3)</f>
        <v/>
      </c>
      <c r="E123">
        <f>IF(OR(A123="",'Skill Matrix'!AD13=""),"",'Skill Matrix'!AD13)</f>
        <v/>
      </c>
      <c r="F123">
        <f>IF(OR(A123="",'Skill Matrix'!AE13=""),"",'Skill Matrix'!AE13)</f>
        <v/>
      </c>
      <c r="G123">
        <f>IF(OR(E123="",F123=""),"",F123-E123)</f>
        <v/>
      </c>
    </row>
    <row r="124">
      <c r="A124">
        <f>IF(AND('Skill Matrix'!A13&lt;&gt;"",'Skills'!B16&lt;&gt;""),'Skill Matrix'!A13,"")</f>
        <v/>
      </c>
      <c r="B124">
        <f>IF(A124="","",'Skill Matrix'!B13)</f>
        <v/>
      </c>
      <c r="C124">
        <f>IF(A124="","",'Skill Matrix'!AG4)</f>
        <v/>
      </c>
      <c r="D124">
        <f>IF(A124="","",'Skill Matrix'!AG3)</f>
        <v/>
      </c>
      <c r="E124">
        <f>IF(OR(A124="",'Skill Matrix'!AG13=""),"",'Skill Matrix'!AG13)</f>
        <v/>
      </c>
      <c r="F124">
        <f>IF(OR(A124="",'Skill Matrix'!AH13=""),"",'Skill Matrix'!AH13)</f>
        <v/>
      </c>
      <c r="G124">
        <f>IF(OR(E124="",F124=""),"",F124-E124)</f>
        <v/>
      </c>
    </row>
    <row r="125">
      <c r="A125">
        <f>IF(AND('Skill Matrix'!A13&lt;&gt;"",'Skills'!B17&lt;&gt;""),'Skill Matrix'!A13,"")</f>
        <v/>
      </c>
      <c r="B125">
        <f>IF(A125="","",'Skill Matrix'!B13)</f>
        <v/>
      </c>
      <c r="C125">
        <f>IF(A125="","",'Skill Matrix'!AJ4)</f>
        <v/>
      </c>
      <c r="D125">
        <f>IF(A125="","",'Skill Matrix'!AJ3)</f>
        <v/>
      </c>
      <c r="E125">
        <f>IF(OR(A125="",'Skill Matrix'!AJ13=""),"",'Skill Matrix'!AJ13)</f>
        <v/>
      </c>
      <c r="F125">
        <f>IF(OR(A125="",'Skill Matrix'!AK13=""),"",'Skill Matrix'!AK13)</f>
        <v/>
      </c>
      <c r="G125">
        <f>IF(OR(E125="",F125=""),"",F125-E125)</f>
        <v/>
      </c>
    </row>
    <row r="126">
      <c r="A126">
        <f>IF(AND('Skill Matrix'!A13&lt;&gt;"",'Skills'!B18&lt;&gt;""),'Skill Matrix'!A13,"")</f>
        <v/>
      </c>
      <c r="B126">
        <f>IF(A126="","",'Skill Matrix'!B13)</f>
        <v/>
      </c>
      <c r="C126">
        <f>IF(A126="","",'Skill Matrix'!AM4)</f>
        <v/>
      </c>
      <c r="D126">
        <f>IF(A126="","",'Skill Matrix'!AM3)</f>
        <v/>
      </c>
      <c r="E126">
        <f>IF(OR(A126="",'Skill Matrix'!AM13=""),"",'Skill Matrix'!AM13)</f>
        <v/>
      </c>
      <c r="F126">
        <f>IF(OR(A126="",'Skill Matrix'!AN13=""),"",'Skill Matrix'!AN13)</f>
        <v/>
      </c>
      <c r="G126">
        <f>IF(OR(E126="",F126=""),"",F126-E126)</f>
        <v/>
      </c>
    </row>
    <row r="127">
      <c r="A127">
        <f>IF(AND('Skill Matrix'!A13&lt;&gt;"",'Skills'!B19&lt;&gt;""),'Skill Matrix'!A13,"")</f>
        <v/>
      </c>
      <c r="B127">
        <f>IF(A127="","",'Skill Matrix'!B13)</f>
        <v/>
      </c>
      <c r="C127">
        <f>IF(A127="","",'Skill Matrix'!AP4)</f>
        <v/>
      </c>
      <c r="D127">
        <f>IF(A127="","",'Skill Matrix'!AP3)</f>
        <v/>
      </c>
      <c r="E127">
        <f>IF(OR(A127="",'Skill Matrix'!AP13=""),"",'Skill Matrix'!AP13)</f>
        <v/>
      </c>
      <c r="F127">
        <f>IF(OR(A127="",'Skill Matrix'!AQ13=""),"",'Skill Matrix'!AQ13)</f>
        <v/>
      </c>
      <c r="G127">
        <f>IF(OR(E127="",F127=""),"",F127-E127)</f>
        <v/>
      </c>
    </row>
    <row r="128">
      <c r="A128">
        <f>IF(AND('Skill Matrix'!A13&lt;&gt;"",'Skills'!B20&lt;&gt;""),'Skill Matrix'!A13,"")</f>
        <v/>
      </c>
      <c r="B128">
        <f>IF(A128="","",'Skill Matrix'!B13)</f>
        <v/>
      </c>
      <c r="C128">
        <f>IF(A128="","",'Skill Matrix'!AS4)</f>
        <v/>
      </c>
      <c r="D128">
        <f>IF(A128="","",'Skill Matrix'!AS3)</f>
        <v/>
      </c>
      <c r="E128">
        <f>IF(OR(A128="",'Skill Matrix'!AS13=""),"",'Skill Matrix'!AS13)</f>
        <v/>
      </c>
      <c r="F128">
        <f>IF(OR(A128="",'Skill Matrix'!AT13=""),"",'Skill Matrix'!AT13)</f>
        <v/>
      </c>
      <c r="G128">
        <f>IF(OR(E128="",F128=""),"",F128-E128)</f>
        <v/>
      </c>
    </row>
    <row r="129">
      <c r="A129">
        <f>IF(AND('Skill Matrix'!A13&lt;&gt;"",'Skills'!B21&lt;&gt;""),'Skill Matrix'!A13,"")</f>
        <v/>
      </c>
      <c r="B129">
        <f>IF(A129="","",'Skill Matrix'!B13)</f>
        <v/>
      </c>
      <c r="C129">
        <f>IF(A129="","",'Skill Matrix'!AV4)</f>
        <v/>
      </c>
      <c r="D129">
        <f>IF(A129="","",'Skill Matrix'!AV3)</f>
        <v/>
      </c>
      <c r="E129">
        <f>IF(OR(A129="",'Skill Matrix'!AV13=""),"",'Skill Matrix'!AV13)</f>
        <v/>
      </c>
      <c r="F129">
        <f>IF(OR(A129="",'Skill Matrix'!AW13=""),"",'Skill Matrix'!AW13)</f>
        <v/>
      </c>
      <c r="G129">
        <f>IF(OR(E129="",F129=""),"",F129-E129)</f>
        <v/>
      </c>
    </row>
    <row r="130">
      <c r="A130">
        <f>IF(AND('Skill Matrix'!A14&lt;&gt;"",'Skills'!B6&lt;&gt;""),'Skill Matrix'!A14,"")</f>
        <v/>
      </c>
      <c r="B130">
        <f>IF(A130="","",'Skill Matrix'!B14)</f>
        <v/>
      </c>
      <c r="C130">
        <f>IF(A130="","",'Skill Matrix'!C4)</f>
        <v/>
      </c>
      <c r="D130">
        <f>IF(A130="","",'Skill Matrix'!C3)</f>
        <v/>
      </c>
      <c r="E130">
        <f>IF(OR(A130="",'Skill Matrix'!C14=""),"",'Skill Matrix'!C14)</f>
        <v/>
      </c>
      <c r="F130">
        <f>IF(OR(A130="",'Skill Matrix'!D14=""),"",'Skill Matrix'!D14)</f>
        <v/>
      </c>
      <c r="G130">
        <f>IF(OR(E130="",F130=""),"",F130-E130)</f>
        <v/>
      </c>
    </row>
    <row r="131">
      <c r="A131">
        <f>IF(AND('Skill Matrix'!A14&lt;&gt;"",'Skills'!B7&lt;&gt;""),'Skill Matrix'!A14,"")</f>
        <v/>
      </c>
      <c r="B131">
        <f>IF(A131="","",'Skill Matrix'!B14)</f>
        <v/>
      </c>
      <c r="C131">
        <f>IF(A131="","",'Skill Matrix'!F4)</f>
        <v/>
      </c>
      <c r="D131">
        <f>IF(A131="","",'Skill Matrix'!F3)</f>
        <v/>
      </c>
      <c r="E131">
        <f>IF(OR(A131="",'Skill Matrix'!F14=""),"",'Skill Matrix'!F14)</f>
        <v/>
      </c>
      <c r="F131">
        <f>IF(OR(A131="",'Skill Matrix'!G14=""),"",'Skill Matrix'!G14)</f>
        <v/>
      </c>
      <c r="G131">
        <f>IF(OR(E131="",F131=""),"",F131-E131)</f>
        <v/>
      </c>
    </row>
    <row r="132">
      <c r="A132">
        <f>IF(AND('Skill Matrix'!A14&lt;&gt;"",'Skills'!B8&lt;&gt;""),'Skill Matrix'!A14,"")</f>
        <v/>
      </c>
      <c r="B132">
        <f>IF(A132="","",'Skill Matrix'!B14)</f>
        <v/>
      </c>
      <c r="C132">
        <f>IF(A132="","",'Skill Matrix'!I4)</f>
        <v/>
      </c>
      <c r="D132">
        <f>IF(A132="","",'Skill Matrix'!I3)</f>
        <v/>
      </c>
      <c r="E132">
        <f>IF(OR(A132="",'Skill Matrix'!I14=""),"",'Skill Matrix'!I14)</f>
        <v/>
      </c>
      <c r="F132">
        <f>IF(OR(A132="",'Skill Matrix'!J14=""),"",'Skill Matrix'!J14)</f>
        <v/>
      </c>
      <c r="G132">
        <f>IF(OR(E132="",F132=""),"",F132-E132)</f>
        <v/>
      </c>
    </row>
    <row r="133">
      <c r="A133">
        <f>IF(AND('Skill Matrix'!A14&lt;&gt;"",'Skills'!B9&lt;&gt;""),'Skill Matrix'!A14,"")</f>
        <v/>
      </c>
      <c r="B133">
        <f>IF(A133="","",'Skill Matrix'!B14)</f>
        <v/>
      </c>
      <c r="C133">
        <f>IF(A133="","",'Skill Matrix'!L4)</f>
        <v/>
      </c>
      <c r="D133">
        <f>IF(A133="","",'Skill Matrix'!L3)</f>
        <v/>
      </c>
      <c r="E133">
        <f>IF(OR(A133="",'Skill Matrix'!L14=""),"",'Skill Matrix'!L14)</f>
        <v/>
      </c>
      <c r="F133">
        <f>IF(OR(A133="",'Skill Matrix'!M14=""),"",'Skill Matrix'!M14)</f>
        <v/>
      </c>
      <c r="G133">
        <f>IF(OR(E133="",F133=""),"",F133-E133)</f>
        <v/>
      </c>
    </row>
    <row r="134">
      <c r="A134">
        <f>IF(AND('Skill Matrix'!A14&lt;&gt;"",'Skills'!B10&lt;&gt;""),'Skill Matrix'!A14,"")</f>
        <v/>
      </c>
      <c r="B134">
        <f>IF(A134="","",'Skill Matrix'!B14)</f>
        <v/>
      </c>
      <c r="C134">
        <f>IF(A134="","",'Skill Matrix'!O4)</f>
        <v/>
      </c>
      <c r="D134">
        <f>IF(A134="","",'Skill Matrix'!O3)</f>
        <v/>
      </c>
      <c r="E134">
        <f>IF(OR(A134="",'Skill Matrix'!O14=""),"",'Skill Matrix'!O14)</f>
        <v/>
      </c>
      <c r="F134">
        <f>IF(OR(A134="",'Skill Matrix'!P14=""),"",'Skill Matrix'!P14)</f>
        <v/>
      </c>
      <c r="G134">
        <f>IF(OR(E134="",F134=""),"",F134-E134)</f>
        <v/>
      </c>
    </row>
    <row r="135">
      <c r="A135">
        <f>IF(AND('Skill Matrix'!A14&lt;&gt;"",'Skills'!B11&lt;&gt;""),'Skill Matrix'!A14,"")</f>
        <v/>
      </c>
      <c r="B135">
        <f>IF(A135="","",'Skill Matrix'!B14)</f>
        <v/>
      </c>
      <c r="C135">
        <f>IF(A135="","",'Skill Matrix'!R4)</f>
        <v/>
      </c>
      <c r="D135">
        <f>IF(A135="","",'Skill Matrix'!R3)</f>
        <v/>
      </c>
      <c r="E135">
        <f>IF(OR(A135="",'Skill Matrix'!R14=""),"",'Skill Matrix'!R14)</f>
        <v/>
      </c>
      <c r="F135">
        <f>IF(OR(A135="",'Skill Matrix'!S14=""),"",'Skill Matrix'!S14)</f>
        <v/>
      </c>
      <c r="G135">
        <f>IF(OR(E135="",F135=""),"",F135-E135)</f>
        <v/>
      </c>
    </row>
    <row r="136">
      <c r="A136">
        <f>IF(AND('Skill Matrix'!A14&lt;&gt;"",'Skills'!B12&lt;&gt;""),'Skill Matrix'!A14,"")</f>
        <v/>
      </c>
      <c r="B136">
        <f>IF(A136="","",'Skill Matrix'!B14)</f>
        <v/>
      </c>
      <c r="C136">
        <f>IF(A136="","",'Skill Matrix'!U4)</f>
        <v/>
      </c>
      <c r="D136">
        <f>IF(A136="","",'Skill Matrix'!U3)</f>
        <v/>
      </c>
      <c r="E136">
        <f>IF(OR(A136="",'Skill Matrix'!U14=""),"",'Skill Matrix'!U14)</f>
        <v/>
      </c>
      <c r="F136">
        <f>IF(OR(A136="",'Skill Matrix'!V14=""),"",'Skill Matrix'!V14)</f>
        <v/>
      </c>
      <c r="G136">
        <f>IF(OR(E136="",F136=""),"",F136-E136)</f>
        <v/>
      </c>
    </row>
    <row r="137">
      <c r="A137">
        <f>IF(AND('Skill Matrix'!A14&lt;&gt;"",'Skills'!B13&lt;&gt;""),'Skill Matrix'!A14,"")</f>
        <v/>
      </c>
      <c r="B137">
        <f>IF(A137="","",'Skill Matrix'!B14)</f>
        <v/>
      </c>
      <c r="C137">
        <f>IF(A137="","",'Skill Matrix'!X4)</f>
        <v/>
      </c>
      <c r="D137">
        <f>IF(A137="","",'Skill Matrix'!X3)</f>
        <v/>
      </c>
      <c r="E137">
        <f>IF(OR(A137="",'Skill Matrix'!X14=""),"",'Skill Matrix'!X14)</f>
        <v/>
      </c>
      <c r="F137">
        <f>IF(OR(A137="",'Skill Matrix'!Y14=""),"",'Skill Matrix'!Y14)</f>
        <v/>
      </c>
      <c r="G137">
        <f>IF(OR(E137="",F137=""),"",F137-E137)</f>
        <v/>
      </c>
    </row>
    <row r="138">
      <c r="A138">
        <f>IF(AND('Skill Matrix'!A14&lt;&gt;"",'Skills'!B14&lt;&gt;""),'Skill Matrix'!A14,"")</f>
        <v/>
      </c>
      <c r="B138">
        <f>IF(A138="","",'Skill Matrix'!B14)</f>
        <v/>
      </c>
      <c r="C138">
        <f>IF(A138="","",'Skill Matrix'!AA4)</f>
        <v/>
      </c>
      <c r="D138">
        <f>IF(A138="","",'Skill Matrix'!AA3)</f>
        <v/>
      </c>
      <c r="E138">
        <f>IF(OR(A138="",'Skill Matrix'!AA14=""),"",'Skill Matrix'!AA14)</f>
        <v/>
      </c>
      <c r="F138">
        <f>IF(OR(A138="",'Skill Matrix'!AB14=""),"",'Skill Matrix'!AB14)</f>
        <v/>
      </c>
      <c r="G138">
        <f>IF(OR(E138="",F138=""),"",F138-E138)</f>
        <v/>
      </c>
    </row>
    <row r="139">
      <c r="A139">
        <f>IF(AND('Skill Matrix'!A14&lt;&gt;"",'Skills'!B15&lt;&gt;""),'Skill Matrix'!A14,"")</f>
        <v/>
      </c>
      <c r="B139">
        <f>IF(A139="","",'Skill Matrix'!B14)</f>
        <v/>
      </c>
      <c r="C139">
        <f>IF(A139="","",'Skill Matrix'!AD4)</f>
        <v/>
      </c>
      <c r="D139">
        <f>IF(A139="","",'Skill Matrix'!AD3)</f>
        <v/>
      </c>
      <c r="E139">
        <f>IF(OR(A139="",'Skill Matrix'!AD14=""),"",'Skill Matrix'!AD14)</f>
        <v/>
      </c>
      <c r="F139">
        <f>IF(OR(A139="",'Skill Matrix'!AE14=""),"",'Skill Matrix'!AE14)</f>
        <v/>
      </c>
      <c r="G139">
        <f>IF(OR(E139="",F139=""),"",F139-E139)</f>
        <v/>
      </c>
    </row>
    <row r="140">
      <c r="A140">
        <f>IF(AND('Skill Matrix'!A14&lt;&gt;"",'Skills'!B16&lt;&gt;""),'Skill Matrix'!A14,"")</f>
        <v/>
      </c>
      <c r="B140">
        <f>IF(A140="","",'Skill Matrix'!B14)</f>
        <v/>
      </c>
      <c r="C140">
        <f>IF(A140="","",'Skill Matrix'!AG4)</f>
        <v/>
      </c>
      <c r="D140">
        <f>IF(A140="","",'Skill Matrix'!AG3)</f>
        <v/>
      </c>
      <c r="E140">
        <f>IF(OR(A140="",'Skill Matrix'!AG14=""),"",'Skill Matrix'!AG14)</f>
        <v/>
      </c>
      <c r="F140">
        <f>IF(OR(A140="",'Skill Matrix'!AH14=""),"",'Skill Matrix'!AH14)</f>
        <v/>
      </c>
      <c r="G140">
        <f>IF(OR(E140="",F140=""),"",F140-E140)</f>
        <v/>
      </c>
    </row>
    <row r="141">
      <c r="A141">
        <f>IF(AND('Skill Matrix'!A14&lt;&gt;"",'Skills'!B17&lt;&gt;""),'Skill Matrix'!A14,"")</f>
        <v/>
      </c>
      <c r="B141">
        <f>IF(A141="","",'Skill Matrix'!B14)</f>
        <v/>
      </c>
      <c r="C141">
        <f>IF(A141="","",'Skill Matrix'!AJ4)</f>
        <v/>
      </c>
      <c r="D141">
        <f>IF(A141="","",'Skill Matrix'!AJ3)</f>
        <v/>
      </c>
      <c r="E141">
        <f>IF(OR(A141="",'Skill Matrix'!AJ14=""),"",'Skill Matrix'!AJ14)</f>
        <v/>
      </c>
      <c r="F141">
        <f>IF(OR(A141="",'Skill Matrix'!AK14=""),"",'Skill Matrix'!AK14)</f>
        <v/>
      </c>
      <c r="G141">
        <f>IF(OR(E141="",F141=""),"",F141-E141)</f>
        <v/>
      </c>
    </row>
    <row r="142">
      <c r="A142">
        <f>IF(AND('Skill Matrix'!A14&lt;&gt;"",'Skills'!B18&lt;&gt;""),'Skill Matrix'!A14,"")</f>
        <v/>
      </c>
      <c r="B142">
        <f>IF(A142="","",'Skill Matrix'!B14)</f>
        <v/>
      </c>
      <c r="C142">
        <f>IF(A142="","",'Skill Matrix'!AM4)</f>
        <v/>
      </c>
      <c r="D142">
        <f>IF(A142="","",'Skill Matrix'!AM3)</f>
        <v/>
      </c>
      <c r="E142">
        <f>IF(OR(A142="",'Skill Matrix'!AM14=""),"",'Skill Matrix'!AM14)</f>
        <v/>
      </c>
      <c r="F142">
        <f>IF(OR(A142="",'Skill Matrix'!AN14=""),"",'Skill Matrix'!AN14)</f>
        <v/>
      </c>
      <c r="G142">
        <f>IF(OR(E142="",F142=""),"",F142-E142)</f>
        <v/>
      </c>
    </row>
    <row r="143">
      <c r="A143">
        <f>IF(AND('Skill Matrix'!A14&lt;&gt;"",'Skills'!B19&lt;&gt;""),'Skill Matrix'!A14,"")</f>
        <v/>
      </c>
      <c r="B143">
        <f>IF(A143="","",'Skill Matrix'!B14)</f>
        <v/>
      </c>
      <c r="C143">
        <f>IF(A143="","",'Skill Matrix'!AP4)</f>
        <v/>
      </c>
      <c r="D143">
        <f>IF(A143="","",'Skill Matrix'!AP3)</f>
        <v/>
      </c>
      <c r="E143">
        <f>IF(OR(A143="",'Skill Matrix'!AP14=""),"",'Skill Matrix'!AP14)</f>
        <v/>
      </c>
      <c r="F143">
        <f>IF(OR(A143="",'Skill Matrix'!AQ14=""),"",'Skill Matrix'!AQ14)</f>
        <v/>
      </c>
      <c r="G143">
        <f>IF(OR(E143="",F143=""),"",F143-E143)</f>
        <v/>
      </c>
    </row>
    <row r="144">
      <c r="A144">
        <f>IF(AND('Skill Matrix'!A14&lt;&gt;"",'Skills'!B20&lt;&gt;""),'Skill Matrix'!A14,"")</f>
        <v/>
      </c>
      <c r="B144">
        <f>IF(A144="","",'Skill Matrix'!B14)</f>
        <v/>
      </c>
      <c r="C144">
        <f>IF(A144="","",'Skill Matrix'!AS4)</f>
        <v/>
      </c>
      <c r="D144">
        <f>IF(A144="","",'Skill Matrix'!AS3)</f>
        <v/>
      </c>
      <c r="E144">
        <f>IF(OR(A144="",'Skill Matrix'!AS14=""),"",'Skill Matrix'!AS14)</f>
        <v/>
      </c>
      <c r="F144">
        <f>IF(OR(A144="",'Skill Matrix'!AT14=""),"",'Skill Matrix'!AT14)</f>
        <v/>
      </c>
      <c r="G144">
        <f>IF(OR(E144="",F144=""),"",F144-E144)</f>
        <v/>
      </c>
    </row>
    <row r="145">
      <c r="A145">
        <f>IF(AND('Skill Matrix'!A14&lt;&gt;"",'Skills'!B21&lt;&gt;""),'Skill Matrix'!A14,"")</f>
        <v/>
      </c>
      <c r="B145">
        <f>IF(A145="","",'Skill Matrix'!B14)</f>
        <v/>
      </c>
      <c r="C145">
        <f>IF(A145="","",'Skill Matrix'!AV4)</f>
        <v/>
      </c>
      <c r="D145">
        <f>IF(A145="","",'Skill Matrix'!AV3)</f>
        <v/>
      </c>
      <c r="E145">
        <f>IF(OR(A145="",'Skill Matrix'!AV14=""),"",'Skill Matrix'!AV14)</f>
        <v/>
      </c>
      <c r="F145">
        <f>IF(OR(A145="",'Skill Matrix'!AW14=""),"",'Skill Matrix'!AW14)</f>
        <v/>
      </c>
      <c r="G145">
        <f>IF(OR(E145="",F145=""),"",F145-E145)</f>
        <v/>
      </c>
    </row>
    <row r="146">
      <c r="A146">
        <f>IF(AND('Skill Matrix'!A15&lt;&gt;"",'Skills'!B6&lt;&gt;""),'Skill Matrix'!A15,"")</f>
        <v/>
      </c>
      <c r="B146">
        <f>IF(A146="","",'Skill Matrix'!B15)</f>
        <v/>
      </c>
      <c r="C146">
        <f>IF(A146="","",'Skill Matrix'!C4)</f>
        <v/>
      </c>
      <c r="D146">
        <f>IF(A146="","",'Skill Matrix'!C3)</f>
        <v/>
      </c>
      <c r="E146">
        <f>IF(OR(A146="",'Skill Matrix'!C15=""),"",'Skill Matrix'!C15)</f>
        <v/>
      </c>
      <c r="F146">
        <f>IF(OR(A146="",'Skill Matrix'!D15=""),"",'Skill Matrix'!D15)</f>
        <v/>
      </c>
      <c r="G146">
        <f>IF(OR(E146="",F146=""),"",F146-E146)</f>
        <v/>
      </c>
    </row>
    <row r="147">
      <c r="A147">
        <f>IF(AND('Skill Matrix'!A15&lt;&gt;"",'Skills'!B7&lt;&gt;""),'Skill Matrix'!A15,"")</f>
        <v/>
      </c>
      <c r="B147">
        <f>IF(A147="","",'Skill Matrix'!B15)</f>
        <v/>
      </c>
      <c r="C147">
        <f>IF(A147="","",'Skill Matrix'!F4)</f>
        <v/>
      </c>
      <c r="D147">
        <f>IF(A147="","",'Skill Matrix'!F3)</f>
        <v/>
      </c>
      <c r="E147">
        <f>IF(OR(A147="",'Skill Matrix'!F15=""),"",'Skill Matrix'!F15)</f>
        <v/>
      </c>
      <c r="F147">
        <f>IF(OR(A147="",'Skill Matrix'!G15=""),"",'Skill Matrix'!G15)</f>
        <v/>
      </c>
      <c r="G147">
        <f>IF(OR(E147="",F147=""),"",F147-E147)</f>
        <v/>
      </c>
    </row>
    <row r="148">
      <c r="A148">
        <f>IF(AND('Skill Matrix'!A15&lt;&gt;"",'Skills'!B8&lt;&gt;""),'Skill Matrix'!A15,"")</f>
        <v/>
      </c>
      <c r="B148">
        <f>IF(A148="","",'Skill Matrix'!B15)</f>
        <v/>
      </c>
      <c r="C148">
        <f>IF(A148="","",'Skill Matrix'!I4)</f>
        <v/>
      </c>
      <c r="D148">
        <f>IF(A148="","",'Skill Matrix'!I3)</f>
        <v/>
      </c>
      <c r="E148">
        <f>IF(OR(A148="",'Skill Matrix'!I15=""),"",'Skill Matrix'!I15)</f>
        <v/>
      </c>
      <c r="F148">
        <f>IF(OR(A148="",'Skill Matrix'!J15=""),"",'Skill Matrix'!J15)</f>
        <v/>
      </c>
      <c r="G148">
        <f>IF(OR(E148="",F148=""),"",F148-E148)</f>
        <v/>
      </c>
    </row>
    <row r="149">
      <c r="A149">
        <f>IF(AND('Skill Matrix'!A15&lt;&gt;"",'Skills'!B9&lt;&gt;""),'Skill Matrix'!A15,"")</f>
        <v/>
      </c>
      <c r="B149">
        <f>IF(A149="","",'Skill Matrix'!B15)</f>
        <v/>
      </c>
      <c r="C149">
        <f>IF(A149="","",'Skill Matrix'!L4)</f>
        <v/>
      </c>
      <c r="D149">
        <f>IF(A149="","",'Skill Matrix'!L3)</f>
        <v/>
      </c>
      <c r="E149">
        <f>IF(OR(A149="",'Skill Matrix'!L15=""),"",'Skill Matrix'!L15)</f>
        <v/>
      </c>
      <c r="F149">
        <f>IF(OR(A149="",'Skill Matrix'!M15=""),"",'Skill Matrix'!M15)</f>
        <v/>
      </c>
      <c r="G149">
        <f>IF(OR(E149="",F149=""),"",F149-E149)</f>
        <v/>
      </c>
    </row>
    <row r="150">
      <c r="A150">
        <f>IF(AND('Skill Matrix'!A15&lt;&gt;"",'Skills'!B10&lt;&gt;""),'Skill Matrix'!A15,"")</f>
        <v/>
      </c>
      <c r="B150">
        <f>IF(A150="","",'Skill Matrix'!B15)</f>
        <v/>
      </c>
      <c r="C150">
        <f>IF(A150="","",'Skill Matrix'!O4)</f>
        <v/>
      </c>
      <c r="D150">
        <f>IF(A150="","",'Skill Matrix'!O3)</f>
        <v/>
      </c>
      <c r="E150">
        <f>IF(OR(A150="",'Skill Matrix'!O15=""),"",'Skill Matrix'!O15)</f>
        <v/>
      </c>
      <c r="F150">
        <f>IF(OR(A150="",'Skill Matrix'!P15=""),"",'Skill Matrix'!P15)</f>
        <v/>
      </c>
      <c r="G150">
        <f>IF(OR(E150="",F150=""),"",F150-E150)</f>
        <v/>
      </c>
    </row>
    <row r="151">
      <c r="A151">
        <f>IF(AND('Skill Matrix'!A15&lt;&gt;"",'Skills'!B11&lt;&gt;""),'Skill Matrix'!A15,"")</f>
        <v/>
      </c>
      <c r="B151">
        <f>IF(A151="","",'Skill Matrix'!B15)</f>
        <v/>
      </c>
      <c r="C151">
        <f>IF(A151="","",'Skill Matrix'!R4)</f>
        <v/>
      </c>
      <c r="D151">
        <f>IF(A151="","",'Skill Matrix'!R3)</f>
        <v/>
      </c>
      <c r="E151">
        <f>IF(OR(A151="",'Skill Matrix'!R15=""),"",'Skill Matrix'!R15)</f>
        <v/>
      </c>
      <c r="F151">
        <f>IF(OR(A151="",'Skill Matrix'!S15=""),"",'Skill Matrix'!S15)</f>
        <v/>
      </c>
      <c r="G151">
        <f>IF(OR(E151="",F151=""),"",F151-E151)</f>
        <v/>
      </c>
    </row>
    <row r="152">
      <c r="A152">
        <f>IF(AND('Skill Matrix'!A15&lt;&gt;"",'Skills'!B12&lt;&gt;""),'Skill Matrix'!A15,"")</f>
        <v/>
      </c>
      <c r="B152">
        <f>IF(A152="","",'Skill Matrix'!B15)</f>
        <v/>
      </c>
      <c r="C152">
        <f>IF(A152="","",'Skill Matrix'!U4)</f>
        <v/>
      </c>
      <c r="D152">
        <f>IF(A152="","",'Skill Matrix'!U3)</f>
        <v/>
      </c>
      <c r="E152">
        <f>IF(OR(A152="",'Skill Matrix'!U15=""),"",'Skill Matrix'!U15)</f>
        <v/>
      </c>
      <c r="F152">
        <f>IF(OR(A152="",'Skill Matrix'!V15=""),"",'Skill Matrix'!V15)</f>
        <v/>
      </c>
      <c r="G152">
        <f>IF(OR(E152="",F152=""),"",F152-E152)</f>
        <v/>
      </c>
    </row>
    <row r="153">
      <c r="A153">
        <f>IF(AND('Skill Matrix'!A15&lt;&gt;"",'Skills'!B13&lt;&gt;""),'Skill Matrix'!A15,"")</f>
        <v/>
      </c>
      <c r="B153">
        <f>IF(A153="","",'Skill Matrix'!B15)</f>
        <v/>
      </c>
      <c r="C153">
        <f>IF(A153="","",'Skill Matrix'!X4)</f>
        <v/>
      </c>
      <c r="D153">
        <f>IF(A153="","",'Skill Matrix'!X3)</f>
        <v/>
      </c>
      <c r="E153">
        <f>IF(OR(A153="",'Skill Matrix'!X15=""),"",'Skill Matrix'!X15)</f>
        <v/>
      </c>
      <c r="F153">
        <f>IF(OR(A153="",'Skill Matrix'!Y15=""),"",'Skill Matrix'!Y15)</f>
        <v/>
      </c>
      <c r="G153">
        <f>IF(OR(E153="",F153=""),"",F153-E153)</f>
        <v/>
      </c>
    </row>
    <row r="154">
      <c r="A154">
        <f>IF(AND('Skill Matrix'!A15&lt;&gt;"",'Skills'!B14&lt;&gt;""),'Skill Matrix'!A15,"")</f>
        <v/>
      </c>
      <c r="B154">
        <f>IF(A154="","",'Skill Matrix'!B15)</f>
        <v/>
      </c>
      <c r="C154">
        <f>IF(A154="","",'Skill Matrix'!AA4)</f>
        <v/>
      </c>
      <c r="D154">
        <f>IF(A154="","",'Skill Matrix'!AA3)</f>
        <v/>
      </c>
      <c r="E154">
        <f>IF(OR(A154="",'Skill Matrix'!AA15=""),"",'Skill Matrix'!AA15)</f>
        <v/>
      </c>
      <c r="F154">
        <f>IF(OR(A154="",'Skill Matrix'!AB15=""),"",'Skill Matrix'!AB15)</f>
        <v/>
      </c>
      <c r="G154">
        <f>IF(OR(E154="",F154=""),"",F154-E154)</f>
        <v/>
      </c>
    </row>
    <row r="155">
      <c r="A155">
        <f>IF(AND('Skill Matrix'!A15&lt;&gt;"",'Skills'!B15&lt;&gt;""),'Skill Matrix'!A15,"")</f>
        <v/>
      </c>
      <c r="B155">
        <f>IF(A155="","",'Skill Matrix'!B15)</f>
        <v/>
      </c>
      <c r="C155">
        <f>IF(A155="","",'Skill Matrix'!AD4)</f>
        <v/>
      </c>
      <c r="D155">
        <f>IF(A155="","",'Skill Matrix'!AD3)</f>
        <v/>
      </c>
      <c r="E155">
        <f>IF(OR(A155="",'Skill Matrix'!AD15=""),"",'Skill Matrix'!AD15)</f>
        <v/>
      </c>
      <c r="F155">
        <f>IF(OR(A155="",'Skill Matrix'!AE15=""),"",'Skill Matrix'!AE15)</f>
        <v/>
      </c>
      <c r="G155">
        <f>IF(OR(E155="",F155=""),"",F155-E155)</f>
        <v/>
      </c>
    </row>
    <row r="156">
      <c r="A156">
        <f>IF(AND('Skill Matrix'!A15&lt;&gt;"",'Skills'!B16&lt;&gt;""),'Skill Matrix'!A15,"")</f>
        <v/>
      </c>
      <c r="B156">
        <f>IF(A156="","",'Skill Matrix'!B15)</f>
        <v/>
      </c>
      <c r="C156">
        <f>IF(A156="","",'Skill Matrix'!AG4)</f>
        <v/>
      </c>
      <c r="D156">
        <f>IF(A156="","",'Skill Matrix'!AG3)</f>
        <v/>
      </c>
      <c r="E156">
        <f>IF(OR(A156="",'Skill Matrix'!AG15=""),"",'Skill Matrix'!AG15)</f>
        <v/>
      </c>
      <c r="F156">
        <f>IF(OR(A156="",'Skill Matrix'!AH15=""),"",'Skill Matrix'!AH15)</f>
        <v/>
      </c>
      <c r="G156">
        <f>IF(OR(E156="",F156=""),"",F156-E156)</f>
        <v/>
      </c>
    </row>
    <row r="157">
      <c r="A157">
        <f>IF(AND('Skill Matrix'!A15&lt;&gt;"",'Skills'!B17&lt;&gt;""),'Skill Matrix'!A15,"")</f>
        <v/>
      </c>
      <c r="B157">
        <f>IF(A157="","",'Skill Matrix'!B15)</f>
        <v/>
      </c>
      <c r="C157">
        <f>IF(A157="","",'Skill Matrix'!AJ4)</f>
        <v/>
      </c>
      <c r="D157">
        <f>IF(A157="","",'Skill Matrix'!AJ3)</f>
        <v/>
      </c>
      <c r="E157">
        <f>IF(OR(A157="",'Skill Matrix'!AJ15=""),"",'Skill Matrix'!AJ15)</f>
        <v/>
      </c>
      <c r="F157">
        <f>IF(OR(A157="",'Skill Matrix'!AK15=""),"",'Skill Matrix'!AK15)</f>
        <v/>
      </c>
      <c r="G157">
        <f>IF(OR(E157="",F157=""),"",F157-E157)</f>
        <v/>
      </c>
    </row>
    <row r="158">
      <c r="A158">
        <f>IF(AND('Skill Matrix'!A15&lt;&gt;"",'Skills'!B18&lt;&gt;""),'Skill Matrix'!A15,"")</f>
        <v/>
      </c>
      <c r="B158">
        <f>IF(A158="","",'Skill Matrix'!B15)</f>
        <v/>
      </c>
      <c r="C158">
        <f>IF(A158="","",'Skill Matrix'!AM4)</f>
        <v/>
      </c>
      <c r="D158">
        <f>IF(A158="","",'Skill Matrix'!AM3)</f>
        <v/>
      </c>
      <c r="E158">
        <f>IF(OR(A158="",'Skill Matrix'!AM15=""),"",'Skill Matrix'!AM15)</f>
        <v/>
      </c>
      <c r="F158">
        <f>IF(OR(A158="",'Skill Matrix'!AN15=""),"",'Skill Matrix'!AN15)</f>
        <v/>
      </c>
      <c r="G158">
        <f>IF(OR(E158="",F158=""),"",F158-E158)</f>
        <v/>
      </c>
    </row>
    <row r="159">
      <c r="A159">
        <f>IF(AND('Skill Matrix'!A15&lt;&gt;"",'Skills'!B19&lt;&gt;""),'Skill Matrix'!A15,"")</f>
        <v/>
      </c>
      <c r="B159">
        <f>IF(A159="","",'Skill Matrix'!B15)</f>
        <v/>
      </c>
      <c r="C159">
        <f>IF(A159="","",'Skill Matrix'!AP4)</f>
        <v/>
      </c>
      <c r="D159">
        <f>IF(A159="","",'Skill Matrix'!AP3)</f>
        <v/>
      </c>
      <c r="E159">
        <f>IF(OR(A159="",'Skill Matrix'!AP15=""),"",'Skill Matrix'!AP15)</f>
        <v/>
      </c>
      <c r="F159">
        <f>IF(OR(A159="",'Skill Matrix'!AQ15=""),"",'Skill Matrix'!AQ15)</f>
        <v/>
      </c>
      <c r="G159">
        <f>IF(OR(E159="",F159=""),"",F159-E159)</f>
        <v/>
      </c>
    </row>
    <row r="160">
      <c r="A160">
        <f>IF(AND('Skill Matrix'!A15&lt;&gt;"",'Skills'!B20&lt;&gt;""),'Skill Matrix'!A15,"")</f>
        <v/>
      </c>
      <c r="B160">
        <f>IF(A160="","",'Skill Matrix'!B15)</f>
        <v/>
      </c>
      <c r="C160">
        <f>IF(A160="","",'Skill Matrix'!AS4)</f>
        <v/>
      </c>
      <c r="D160">
        <f>IF(A160="","",'Skill Matrix'!AS3)</f>
        <v/>
      </c>
      <c r="E160">
        <f>IF(OR(A160="",'Skill Matrix'!AS15=""),"",'Skill Matrix'!AS15)</f>
        <v/>
      </c>
      <c r="F160">
        <f>IF(OR(A160="",'Skill Matrix'!AT15=""),"",'Skill Matrix'!AT15)</f>
        <v/>
      </c>
      <c r="G160">
        <f>IF(OR(E160="",F160=""),"",F160-E160)</f>
        <v/>
      </c>
    </row>
    <row r="161">
      <c r="A161">
        <f>IF(AND('Skill Matrix'!A15&lt;&gt;"",'Skills'!B21&lt;&gt;""),'Skill Matrix'!A15,"")</f>
        <v/>
      </c>
      <c r="B161">
        <f>IF(A161="","",'Skill Matrix'!B15)</f>
        <v/>
      </c>
      <c r="C161">
        <f>IF(A161="","",'Skill Matrix'!AV4)</f>
        <v/>
      </c>
      <c r="D161">
        <f>IF(A161="","",'Skill Matrix'!AV3)</f>
        <v/>
      </c>
      <c r="E161">
        <f>IF(OR(A161="",'Skill Matrix'!AV15=""),"",'Skill Matrix'!AV15)</f>
        <v/>
      </c>
      <c r="F161">
        <f>IF(OR(A161="",'Skill Matrix'!AW15=""),"",'Skill Matrix'!AW15)</f>
        <v/>
      </c>
      <c r="G161">
        <f>IF(OR(E161="",F161=""),"",F161-E161)</f>
        <v/>
      </c>
    </row>
    <row r="162">
      <c r="A162">
        <f>IF(AND('Skill Matrix'!A16&lt;&gt;"",'Skills'!B6&lt;&gt;""),'Skill Matrix'!A16,"")</f>
        <v/>
      </c>
      <c r="B162">
        <f>IF(A162="","",'Skill Matrix'!B16)</f>
        <v/>
      </c>
      <c r="C162">
        <f>IF(A162="","",'Skill Matrix'!C4)</f>
        <v/>
      </c>
      <c r="D162">
        <f>IF(A162="","",'Skill Matrix'!C3)</f>
        <v/>
      </c>
      <c r="E162">
        <f>IF(OR(A162="",'Skill Matrix'!C16=""),"",'Skill Matrix'!C16)</f>
        <v/>
      </c>
      <c r="F162">
        <f>IF(OR(A162="",'Skill Matrix'!D16=""),"",'Skill Matrix'!D16)</f>
        <v/>
      </c>
      <c r="G162">
        <f>IF(OR(E162="",F162=""),"",F162-E162)</f>
        <v/>
      </c>
    </row>
    <row r="163">
      <c r="A163">
        <f>IF(AND('Skill Matrix'!A16&lt;&gt;"",'Skills'!B7&lt;&gt;""),'Skill Matrix'!A16,"")</f>
        <v/>
      </c>
      <c r="B163">
        <f>IF(A163="","",'Skill Matrix'!B16)</f>
        <v/>
      </c>
      <c r="C163">
        <f>IF(A163="","",'Skill Matrix'!F4)</f>
        <v/>
      </c>
      <c r="D163">
        <f>IF(A163="","",'Skill Matrix'!F3)</f>
        <v/>
      </c>
      <c r="E163">
        <f>IF(OR(A163="",'Skill Matrix'!F16=""),"",'Skill Matrix'!F16)</f>
        <v/>
      </c>
      <c r="F163">
        <f>IF(OR(A163="",'Skill Matrix'!G16=""),"",'Skill Matrix'!G16)</f>
        <v/>
      </c>
      <c r="G163">
        <f>IF(OR(E163="",F163=""),"",F163-E163)</f>
        <v/>
      </c>
    </row>
    <row r="164">
      <c r="A164">
        <f>IF(AND('Skill Matrix'!A16&lt;&gt;"",'Skills'!B8&lt;&gt;""),'Skill Matrix'!A16,"")</f>
        <v/>
      </c>
      <c r="B164">
        <f>IF(A164="","",'Skill Matrix'!B16)</f>
        <v/>
      </c>
      <c r="C164">
        <f>IF(A164="","",'Skill Matrix'!I4)</f>
        <v/>
      </c>
      <c r="D164">
        <f>IF(A164="","",'Skill Matrix'!I3)</f>
        <v/>
      </c>
      <c r="E164">
        <f>IF(OR(A164="",'Skill Matrix'!I16=""),"",'Skill Matrix'!I16)</f>
        <v/>
      </c>
      <c r="F164">
        <f>IF(OR(A164="",'Skill Matrix'!J16=""),"",'Skill Matrix'!J16)</f>
        <v/>
      </c>
      <c r="G164">
        <f>IF(OR(E164="",F164=""),"",F164-E164)</f>
        <v/>
      </c>
    </row>
    <row r="165">
      <c r="A165">
        <f>IF(AND('Skill Matrix'!A16&lt;&gt;"",'Skills'!B9&lt;&gt;""),'Skill Matrix'!A16,"")</f>
        <v/>
      </c>
      <c r="B165">
        <f>IF(A165="","",'Skill Matrix'!B16)</f>
        <v/>
      </c>
      <c r="C165">
        <f>IF(A165="","",'Skill Matrix'!L4)</f>
        <v/>
      </c>
      <c r="D165">
        <f>IF(A165="","",'Skill Matrix'!L3)</f>
        <v/>
      </c>
      <c r="E165">
        <f>IF(OR(A165="",'Skill Matrix'!L16=""),"",'Skill Matrix'!L16)</f>
        <v/>
      </c>
      <c r="F165">
        <f>IF(OR(A165="",'Skill Matrix'!M16=""),"",'Skill Matrix'!M16)</f>
        <v/>
      </c>
      <c r="G165">
        <f>IF(OR(E165="",F165=""),"",F165-E165)</f>
        <v/>
      </c>
    </row>
    <row r="166">
      <c r="A166">
        <f>IF(AND('Skill Matrix'!A16&lt;&gt;"",'Skills'!B10&lt;&gt;""),'Skill Matrix'!A16,"")</f>
        <v/>
      </c>
      <c r="B166">
        <f>IF(A166="","",'Skill Matrix'!B16)</f>
        <v/>
      </c>
      <c r="C166">
        <f>IF(A166="","",'Skill Matrix'!O4)</f>
        <v/>
      </c>
      <c r="D166">
        <f>IF(A166="","",'Skill Matrix'!O3)</f>
        <v/>
      </c>
      <c r="E166">
        <f>IF(OR(A166="",'Skill Matrix'!O16=""),"",'Skill Matrix'!O16)</f>
        <v/>
      </c>
      <c r="F166">
        <f>IF(OR(A166="",'Skill Matrix'!P16=""),"",'Skill Matrix'!P16)</f>
        <v/>
      </c>
      <c r="G166">
        <f>IF(OR(E166="",F166=""),"",F166-E166)</f>
        <v/>
      </c>
    </row>
    <row r="167">
      <c r="A167">
        <f>IF(AND('Skill Matrix'!A16&lt;&gt;"",'Skills'!B11&lt;&gt;""),'Skill Matrix'!A16,"")</f>
        <v/>
      </c>
      <c r="B167">
        <f>IF(A167="","",'Skill Matrix'!B16)</f>
        <v/>
      </c>
      <c r="C167">
        <f>IF(A167="","",'Skill Matrix'!R4)</f>
        <v/>
      </c>
      <c r="D167">
        <f>IF(A167="","",'Skill Matrix'!R3)</f>
        <v/>
      </c>
      <c r="E167">
        <f>IF(OR(A167="",'Skill Matrix'!R16=""),"",'Skill Matrix'!R16)</f>
        <v/>
      </c>
      <c r="F167">
        <f>IF(OR(A167="",'Skill Matrix'!S16=""),"",'Skill Matrix'!S16)</f>
        <v/>
      </c>
      <c r="G167">
        <f>IF(OR(E167="",F167=""),"",F167-E167)</f>
        <v/>
      </c>
    </row>
    <row r="168">
      <c r="A168">
        <f>IF(AND('Skill Matrix'!A16&lt;&gt;"",'Skills'!B12&lt;&gt;""),'Skill Matrix'!A16,"")</f>
        <v/>
      </c>
      <c r="B168">
        <f>IF(A168="","",'Skill Matrix'!B16)</f>
        <v/>
      </c>
      <c r="C168">
        <f>IF(A168="","",'Skill Matrix'!U4)</f>
        <v/>
      </c>
      <c r="D168">
        <f>IF(A168="","",'Skill Matrix'!U3)</f>
        <v/>
      </c>
      <c r="E168">
        <f>IF(OR(A168="",'Skill Matrix'!U16=""),"",'Skill Matrix'!U16)</f>
        <v/>
      </c>
      <c r="F168">
        <f>IF(OR(A168="",'Skill Matrix'!V16=""),"",'Skill Matrix'!V16)</f>
        <v/>
      </c>
      <c r="G168">
        <f>IF(OR(E168="",F168=""),"",F168-E168)</f>
        <v/>
      </c>
    </row>
    <row r="169">
      <c r="A169">
        <f>IF(AND('Skill Matrix'!A16&lt;&gt;"",'Skills'!B13&lt;&gt;""),'Skill Matrix'!A16,"")</f>
        <v/>
      </c>
      <c r="B169">
        <f>IF(A169="","",'Skill Matrix'!B16)</f>
        <v/>
      </c>
      <c r="C169">
        <f>IF(A169="","",'Skill Matrix'!X4)</f>
        <v/>
      </c>
      <c r="D169">
        <f>IF(A169="","",'Skill Matrix'!X3)</f>
        <v/>
      </c>
      <c r="E169">
        <f>IF(OR(A169="",'Skill Matrix'!X16=""),"",'Skill Matrix'!X16)</f>
        <v/>
      </c>
      <c r="F169">
        <f>IF(OR(A169="",'Skill Matrix'!Y16=""),"",'Skill Matrix'!Y16)</f>
        <v/>
      </c>
      <c r="G169">
        <f>IF(OR(E169="",F169=""),"",F169-E169)</f>
        <v/>
      </c>
    </row>
    <row r="170">
      <c r="A170">
        <f>IF(AND('Skill Matrix'!A16&lt;&gt;"",'Skills'!B14&lt;&gt;""),'Skill Matrix'!A16,"")</f>
        <v/>
      </c>
      <c r="B170">
        <f>IF(A170="","",'Skill Matrix'!B16)</f>
        <v/>
      </c>
      <c r="C170">
        <f>IF(A170="","",'Skill Matrix'!AA4)</f>
        <v/>
      </c>
      <c r="D170">
        <f>IF(A170="","",'Skill Matrix'!AA3)</f>
        <v/>
      </c>
      <c r="E170">
        <f>IF(OR(A170="",'Skill Matrix'!AA16=""),"",'Skill Matrix'!AA16)</f>
        <v/>
      </c>
      <c r="F170">
        <f>IF(OR(A170="",'Skill Matrix'!AB16=""),"",'Skill Matrix'!AB16)</f>
        <v/>
      </c>
      <c r="G170">
        <f>IF(OR(E170="",F170=""),"",F170-E170)</f>
        <v/>
      </c>
    </row>
    <row r="171">
      <c r="A171">
        <f>IF(AND('Skill Matrix'!A16&lt;&gt;"",'Skills'!B15&lt;&gt;""),'Skill Matrix'!A16,"")</f>
        <v/>
      </c>
      <c r="B171">
        <f>IF(A171="","",'Skill Matrix'!B16)</f>
        <v/>
      </c>
      <c r="C171">
        <f>IF(A171="","",'Skill Matrix'!AD4)</f>
        <v/>
      </c>
      <c r="D171">
        <f>IF(A171="","",'Skill Matrix'!AD3)</f>
        <v/>
      </c>
      <c r="E171">
        <f>IF(OR(A171="",'Skill Matrix'!AD16=""),"",'Skill Matrix'!AD16)</f>
        <v/>
      </c>
      <c r="F171">
        <f>IF(OR(A171="",'Skill Matrix'!AE16=""),"",'Skill Matrix'!AE16)</f>
        <v/>
      </c>
      <c r="G171">
        <f>IF(OR(E171="",F171=""),"",F171-E171)</f>
        <v/>
      </c>
    </row>
    <row r="172">
      <c r="A172">
        <f>IF(AND('Skill Matrix'!A16&lt;&gt;"",'Skills'!B16&lt;&gt;""),'Skill Matrix'!A16,"")</f>
        <v/>
      </c>
      <c r="B172">
        <f>IF(A172="","",'Skill Matrix'!B16)</f>
        <v/>
      </c>
      <c r="C172">
        <f>IF(A172="","",'Skill Matrix'!AG4)</f>
        <v/>
      </c>
      <c r="D172">
        <f>IF(A172="","",'Skill Matrix'!AG3)</f>
        <v/>
      </c>
      <c r="E172">
        <f>IF(OR(A172="",'Skill Matrix'!AG16=""),"",'Skill Matrix'!AG16)</f>
        <v/>
      </c>
      <c r="F172">
        <f>IF(OR(A172="",'Skill Matrix'!AH16=""),"",'Skill Matrix'!AH16)</f>
        <v/>
      </c>
      <c r="G172">
        <f>IF(OR(E172="",F172=""),"",F172-E172)</f>
        <v/>
      </c>
    </row>
    <row r="173">
      <c r="A173">
        <f>IF(AND('Skill Matrix'!A16&lt;&gt;"",'Skills'!B17&lt;&gt;""),'Skill Matrix'!A16,"")</f>
        <v/>
      </c>
      <c r="B173">
        <f>IF(A173="","",'Skill Matrix'!B16)</f>
        <v/>
      </c>
      <c r="C173">
        <f>IF(A173="","",'Skill Matrix'!AJ4)</f>
        <v/>
      </c>
      <c r="D173">
        <f>IF(A173="","",'Skill Matrix'!AJ3)</f>
        <v/>
      </c>
      <c r="E173">
        <f>IF(OR(A173="",'Skill Matrix'!AJ16=""),"",'Skill Matrix'!AJ16)</f>
        <v/>
      </c>
      <c r="F173">
        <f>IF(OR(A173="",'Skill Matrix'!AK16=""),"",'Skill Matrix'!AK16)</f>
        <v/>
      </c>
      <c r="G173">
        <f>IF(OR(E173="",F173=""),"",F173-E173)</f>
        <v/>
      </c>
    </row>
    <row r="174">
      <c r="A174">
        <f>IF(AND('Skill Matrix'!A16&lt;&gt;"",'Skills'!B18&lt;&gt;""),'Skill Matrix'!A16,"")</f>
        <v/>
      </c>
      <c r="B174">
        <f>IF(A174="","",'Skill Matrix'!B16)</f>
        <v/>
      </c>
      <c r="C174">
        <f>IF(A174="","",'Skill Matrix'!AM4)</f>
        <v/>
      </c>
      <c r="D174">
        <f>IF(A174="","",'Skill Matrix'!AM3)</f>
        <v/>
      </c>
      <c r="E174">
        <f>IF(OR(A174="",'Skill Matrix'!AM16=""),"",'Skill Matrix'!AM16)</f>
        <v/>
      </c>
      <c r="F174">
        <f>IF(OR(A174="",'Skill Matrix'!AN16=""),"",'Skill Matrix'!AN16)</f>
        <v/>
      </c>
      <c r="G174">
        <f>IF(OR(E174="",F174=""),"",F174-E174)</f>
        <v/>
      </c>
    </row>
    <row r="175">
      <c r="A175">
        <f>IF(AND('Skill Matrix'!A16&lt;&gt;"",'Skills'!B19&lt;&gt;""),'Skill Matrix'!A16,"")</f>
        <v/>
      </c>
      <c r="B175">
        <f>IF(A175="","",'Skill Matrix'!B16)</f>
        <v/>
      </c>
      <c r="C175">
        <f>IF(A175="","",'Skill Matrix'!AP4)</f>
        <v/>
      </c>
      <c r="D175">
        <f>IF(A175="","",'Skill Matrix'!AP3)</f>
        <v/>
      </c>
      <c r="E175">
        <f>IF(OR(A175="",'Skill Matrix'!AP16=""),"",'Skill Matrix'!AP16)</f>
        <v/>
      </c>
      <c r="F175">
        <f>IF(OR(A175="",'Skill Matrix'!AQ16=""),"",'Skill Matrix'!AQ16)</f>
        <v/>
      </c>
      <c r="G175">
        <f>IF(OR(E175="",F175=""),"",F175-E175)</f>
        <v/>
      </c>
    </row>
    <row r="176">
      <c r="A176">
        <f>IF(AND('Skill Matrix'!A16&lt;&gt;"",'Skills'!B20&lt;&gt;""),'Skill Matrix'!A16,"")</f>
        <v/>
      </c>
      <c r="B176">
        <f>IF(A176="","",'Skill Matrix'!B16)</f>
        <v/>
      </c>
      <c r="C176">
        <f>IF(A176="","",'Skill Matrix'!AS4)</f>
        <v/>
      </c>
      <c r="D176">
        <f>IF(A176="","",'Skill Matrix'!AS3)</f>
        <v/>
      </c>
      <c r="E176">
        <f>IF(OR(A176="",'Skill Matrix'!AS16=""),"",'Skill Matrix'!AS16)</f>
        <v/>
      </c>
      <c r="F176">
        <f>IF(OR(A176="",'Skill Matrix'!AT16=""),"",'Skill Matrix'!AT16)</f>
        <v/>
      </c>
      <c r="G176">
        <f>IF(OR(E176="",F176=""),"",F176-E176)</f>
        <v/>
      </c>
    </row>
    <row r="177">
      <c r="A177">
        <f>IF(AND('Skill Matrix'!A16&lt;&gt;"",'Skills'!B21&lt;&gt;""),'Skill Matrix'!A16,"")</f>
        <v/>
      </c>
      <c r="B177">
        <f>IF(A177="","",'Skill Matrix'!B16)</f>
        <v/>
      </c>
      <c r="C177">
        <f>IF(A177="","",'Skill Matrix'!AV4)</f>
        <v/>
      </c>
      <c r="D177">
        <f>IF(A177="","",'Skill Matrix'!AV3)</f>
        <v/>
      </c>
      <c r="E177">
        <f>IF(OR(A177="",'Skill Matrix'!AV16=""),"",'Skill Matrix'!AV16)</f>
        <v/>
      </c>
      <c r="F177">
        <f>IF(OR(A177="",'Skill Matrix'!AW16=""),"",'Skill Matrix'!AW16)</f>
        <v/>
      </c>
      <c r="G177">
        <f>IF(OR(E177="",F177=""),"",F177-E177)</f>
        <v/>
      </c>
    </row>
    <row r="178">
      <c r="A178">
        <f>IF(AND('Skill Matrix'!A17&lt;&gt;"",'Skills'!B6&lt;&gt;""),'Skill Matrix'!A17,"")</f>
        <v/>
      </c>
      <c r="B178">
        <f>IF(A178="","",'Skill Matrix'!B17)</f>
        <v/>
      </c>
      <c r="C178">
        <f>IF(A178="","",'Skill Matrix'!C4)</f>
        <v/>
      </c>
      <c r="D178">
        <f>IF(A178="","",'Skill Matrix'!C3)</f>
        <v/>
      </c>
      <c r="E178">
        <f>IF(OR(A178="",'Skill Matrix'!C17=""),"",'Skill Matrix'!C17)</f>
        <v/>
      </c>
      <c r="F178">
        <f>IF(OR(A178="",'Skill Matrix'!D17=""),"",'Skill Matrix'!D17)</f>
        <v/>
      </c>
      <c r="G178">
        <f>IF(OR(E178="",F178=""),"",F178-E178)</f>
        <v/>
      </c>
    </row>
    <row r="179">
      <c r="A179">
        <f>IF(AND('Skill Matrix'!A17&lt;&gt;"",'Skills'!B7&lt;&gt;""),'Skill Matrix'!A17,"")</f>
        <v/>
      </c>
      <c r="B179">
        <f>IF(A179="","",'Skill Matrix'!B17)</f>
        <v/>
      </c>
      <c r="C179">
        <f>IF(A179="","",'Skill Matrix'!F4)</f>
        <v/>
      </c>
      <c r="D179">
        <f>IF(A179="","",'Skill Matrix'!F3)</f>
        <v/>
      </c>
      <c r="E179">
        <f>IF(OR(A179="",'Skill Matrix'!F17=""),"",'Skill Matrix'!F17)</f>
        <v/>
      </c>
      <c r="F179">
        <f>IF(OR(A179="",'Skill Matrix'!G17=""),"",'Skill Matrix'!G17)</f>
        <v/>
      </c>
      <c r="G179">
        <f>IF(OR(E179="",F179=""),"",F179-E179)</f>
        <v/>
      </c>
    </row>
    <row r="180">
      <c r="A180">
        <f>IF(AND('Skill Matrix'!A17&lt;&gt;"",'Skills'!B8&lt;&gt;""),'Skill Matrix'!A17,"")</f>
        <v/>
      </c>
      <c r="B180">
        <f>IF(A180="","",'Skill Matrix'!B17)</f>
        <v/>
      </c>
      <c r="C180">
        <f>IF(A180="","",'Skill Matrix'!I4)</f>
        <v/>
      </c>
      <c r="D180">
        <f>IF(A180="","",'Skill Matrix'!I3)</f>
        <v/>
      </c>
      <c r="E180">
        <f>IF(OR(A180="",'Skill Matrix'!I17=""),"",'Skill Matrix'!I17)</f>
        <v/>
      </c>
      <c r="F180">
        <f>IF(OR(A180="",'Skill Matrix'!J17=""),"",'Skill Matrix'!J17)</f>
        <v/>
      </c>
      <c r="G180">
        <f>IF(OR(E180="",F180=""),"",F180-E180)</f>
        <v/>
      </c>
    </row>
    <row r="181">
      <c r="A181">
        <f>IF(AND('Skill Matrix'!A17&lt;&gt;"",'Skills'!B9&lt;&gt;""),'Skill Matrix'!A17,"")</f>
        <v/>
      </c>
      <c r="B181">
        <f>IF(A181="","",'Skill Matrix'!B17)</f>
        <v/>
      </c>
      <c r="C181">
        <f>IF(A181="","",'Skill Matrix'!L4)</f>
        <v/>
      </c>
      <c r="D181">
        <f>IF(A181="","",'Skill Matrix'!L3)</f>
        <v/>
      </c>
      <c r="E181">
        <f>IF(OR(A181="",'Skill Matrix'!L17=""),"",'Skill Matrix'!L17)</f>
        <v/>
      </c>
      <c r="F181">
        <f>IF(OR(A181="",'Skill Matrix'!M17=""),"",'Skill Matrix'!M17)</f>
        <v/>
      </c>
      <c r="G181">
        <f>IF(OR(E181="",F181=""),"",F181-E181)</f>
        <v/>
      </c>
    </row>
    <row r="182">
      <c r="A182">
        <f>IF(AND('Skill Matrix'!A17&lt;&gt;"",'Skills'!B10&lt;&gt;""),'Skill Matrix'!A17,"")</f>
        <v/>
      </c>
      <c r="B182">
        <f>IF(A182="","",'Skill Matrix'!B17)</f>
        <v/>
      </c>
      <c r="C182">
        <f>IF(A182="","",'Skill Matrix'!O4)</f>
        <v/>
      </c>
      <c r="D182">
        <f>IF(A182="","",'Skill Matrix'!O3)</f>
        <v/>
      </c>
      <c r="E182">
        <f>IF(OR(A182="",'Skill Matrix'!O17=""),"",'Skill Matrix'!O17)</f>
        <v/>
      </c>
      <c r="F182">
        <f>IF(OR(A182="",'Skill Matrix'!P17=""),"",'Skill Matrix'!P17)</f>
        <v/>
      </c>
      <c r="G182">
        <f>IF(OR(E182="",F182=""),"",F182-E182)</f>
        <v/>
      </c>
    </row>
    <row r="183">
      <c r="A183">
        <f>IF(AND('Skill Matrix'!A17&lt;&gt;"",'Skills'!B11&lt;&gt;""),'Skill Matrix'!A17,"")</f>
        <v/>
      </c>
      <c r="B183">
        <f>IF(A183="","",'Skill Matrix'!B17)</f>
        <v/>
      </c>
      <c r="C183">
        <f>IF(A183="","",'Skill Matrix'!R4)</f>
        <v/>
      </c>
      <c r="D183">
        <f>IF(A183="","",'Skill Matrix'!R3)</f>
        <v/>
      </c>
      <c r="E183">
        <f>IF(OR(A183="",'Skill Matrix'!R17=""),"",'Skill Matrix'!R17)</f>
        <v/>
      </c>
      <c r="F183">
        <f>IF(OR(A183="",'Skill Matrix'!S17=""),"",'Skill Matrix'!S17)</f>
        <v/>
      </c>
      <c r="G183">
        <f>IF(OR(E183="",F183=""),"",F183-E183)</f>
        <v/>
      </c>
    </row>
    <row r="184">
      <c r="A184">
        <f>IF(AND('Skill Matrix'!A17&lt;&gt;"",'Skills'!B12&lt;&gt;""),'Skill Matrix'!A17,"")</f>
        <v/>
      </c>
      <c r="B184">
        <f>IF(A184="","",'Skill Matrix'!B17)</f>
        <v/>
      </c>
      <c r="C184">
        <f>IF(A184="","",'Skill Matrix'!U4)</f>
        <v/>
      </c>
      <c r="D184">
        <f>IF(A184="","",'Skill Matrix'!U3)</f>
        <v/>
      </c>
      <c r="E184">
        <f>IF(OR(A184="",'Skill Matrix'!U17=""),"",'Skill Matrix'!U17)</f>
        <v/>
      </c>
      <c r="F184">
        <f>IF(OR(A184="",'Skill Matrix'!V17=""),"",'Skill Matrix'!V17)</f>
        <v/>
      </c>
      <c r="G184">
        <f>IF(OR(E184="",F184=""),"",F184-E184)</f>
        <v/>
      </c>
    </row>
    <row r="185">
      <c r="A185">
        <f>IF(AND('Skill Matrix'!A17&lt;&gt;"",'Skills'!B13&lt;&gt;""),'Skill Matrix'!A17,"")</f>
        <v/>
      </c>
      <c r="B185">
        <f>IF(A185="","",'Skill Matrix'!B17)</f>
        <v/>
      </c>
      <c r="C185">
        <f>IF(A185="","",'Skill Matrix'!X4)</f>
        <v/>
      </c>
      <c r="D185">
        <f>IF(A185="","",'Skill Matrix'!X3)</f>
        <v/>
      </c>
      <c r="E185">
        <f>IF(OR(A185="",'Skill Matrix'!X17=""),"",'Skill Matrix'!X17)</f>
        <v/>
      </c>
      <c r="F185">
        <f>IF(OR(A185="",'Skill Matrix'!Y17=""),"",'Skill Matrix'!Y17)</f>
        <v/>
      </c>
      <c r="G185">
        <f>IF(OR(E185="",F185=""),"",F185-E185)</f>
        <v/>
      </c>
    </row>
    <row r="186">
      <c r="A186">
        <f>IF(AND('Skill Matrix'!A17&lt;&gt;"",'Skills'!B14&lt;&gt;""),'Skill Matrix'!A17,"")</f>
        <v/>
      </c>
      <c r="B186">
        <f>IF(A186="","",'Skill Matrix'!B17)</f>
        <v/>
      </c>
      <c r="C186">
        <f>IF(A186="","",'Skill Matrix'!AA4)</f>
        <v/>
      </c>
      <c r="D186">
        <f>IF(A186="","",'Skill Matrix'!AA3)</f>
        <v/>
      </c>
      <c r="E186">
        <f>IF(OR(A186="",'Skill Matrix'!AA17=""),"",'Skill Matrix'!AA17)</f>
        <v/>
      </c>
      <c r="F186">
        <f>IF(OR(A186="",'Skill Matrix'!AB17=""),"",'Skill Matrix'!AB17)</f>
        <v/>
      </c>
      <c r="G186">
        <f>IF(OR(E186="",F186=""),"",F186-E186)</f>
        <v/>
      </c>
    </row>
    <row r="187">
      <c r="A187">
        <f>IF(AND('Skill Matrix'!A17&lt;&gt;"",'Skills'!B15&lt;&gt;""),'Skill Matrix'!A17,"")</f>
        <v/>
      </c>
      <c r="B187">
        <f>IF(A187="","",'Skill Matrix'!B17)</f>
        <v/>
      </c>
      <c r="C187">
        <f>IF(A187="","",'Skill Matrix'!AD4)</f>
        <v/>
      </c>
      <c r="D187">
        <f>IF(A187="","",'Skill Matrix'!AD3)</f>
        <v/>
      </c>
      <c r="E187">
        <f>IF(OR(A187="",'Skill Matrix'!AD17=""),"",'Skill Matrix'!AD17)</f>
        <v/>
      </c>
      <c r="F187">
        <f>IF(OR(A187="",'Skill Matrix'!AE17=""),"",'Skill Matrix'!AE17)</f>
        <v/>
      </c>
      <c r="G187">
        <f>IF(OR(E187="",F187=""),"",F187-E187)</f>
        <v/>
      </c>
    </row>
    <row r="188">
      <c r="A188">
        <f>IF(AND('Skill Matrix'!A17&lt;&gt;"",'Skills'!B16&lt;&gt;""),'Skill Matrix'!A17,"")</f>
        <v/>
      </c>
      <c r="B188">
        <f>IF(A188="","",'Skill Matrix'!B17)</f>
        <v/>
      </c>
      <c r="C188">
        <f>IF(A188="","",'Skill Matrix'!AG4)</f>
        <v/>
      </c>
      <c r="D188">
        <f>IF(A188="","",'Skill Matrix'!AG3)</f>
        <v/>
      </c>
      <c r="E188">
        <f>IF(OR(A188="",'Skill Matrix'!AG17=""),"",'Skill Matrix'!AG17)</f>
        <v/>
      </c>
      <c r="F188">
        <f>IF(OR(A188="",'Skill Matrix'!AH17=""),"",'Skill Matrix'!AH17)</f>
        <v/>
      </c>
      <c r="G188">
        <f>IF(OR(E188="",F188=""),"",F188-E188)</f>
        <v/>
      </c>
    </row>
    <row r="189">
      <c r="A189">
        <f>IF(AND('Skill Matrix'!A17&lt;&gt;"",'Skills'!B17&lt;&gt;""),'Skill Matrix'!A17,"")</f>
        <v/>
      </c>
      <c r="B189">
        <f>IF(A189="","",'Skill Matrix'!B17)</f>
        <v/>
      </c>
      <c r="C189">
        <f>IF(A189="","",'Skill Matrix'!AJ4)</f>
        <v/>
      </c>
      <c r="D189">
        <f>IF(A189="","",'Skill Matrix'!AJ3)</f>
        <v/>
      </c>
      <c r="E189">
        <f>IF(OR(A189="",'Skill Matrix'!AJ17=""),"",'Skill Matrix'!AJ17)</f>
        <v/>
      </c>
      <c r="F189">
        <f>IF(OR(A189="",'Skill Matrix'!AK17=""),"",'Skill Matrix'!AK17)</f>
        <v/>
      </c>
      <c r="G189">
        <f>IF(OR(E189="",F189=""),"",F189-E189)</f>
        <v/>
      </c>
    </row>
    <row r="190">
      <c r="A190">
        <f>IF(AND('Skill Matrix'!A17&lt;&gt;"",'Skills'!B18&lt;&gt;""),'Skill Matrix'!A17,"")</f>
        <v/>
      </c>
      <c r="B190">
        <f>IF(A190="","",'Skill Matrix'!B17)</f>
        <v/>
      </c>
      <c r="C190">
        <f>IF(A190="","",'Skill Matrix'!AM4)</f>
        <v/>
      </c>
      <c r="D190">
        <f>IF(A190="","",'Skill Matrix'!AM3)</f>
        <v/>
      </c>
      <c r="E190">
        <f>IF(OR(A190="",'Skill Matrix'!AM17=""),"",'Skill Matrix'!AM17)</f>
        <v/>
      </c>
      <c r="F190">
        <f>IF(OR(A190="",'Skill Matrix'!AN17=""),"",'Skill Matrix'!AN17)</f>
        <v/>
      </c>
      <c r="G190">
        <f>IF(OR(E190="",F190=""),"",F190-E190)</f>
        <v/>
      </c>
    </row>
    <row r="191">
      <c r="A191">
        <f>IF(AND('Skill Matrix'!A17&lt;&gt;"",'Skills'!B19&lt;&gt;""),'Skill Matrix'!A17,"")</f>
        <v/>
      </c>
      <c r="B191">
        <f>IF(A191="","",'Skill Matrix'!B17)</f>
        <v/>
      </c>
      <c r="C191">
        <f>IF(A191="","",'Skill Matrix'!AP4)</f>
        <v/>
      </c>
      <c r="D191">
        <f>IF(A191="","",'Skill Matrix'!AP3)</f>
        <v/>
      </c>
      <c r="E191">
        <f>IF(OR(A191="",'Skill Matrix'!AP17=""),"",'Skill Matrix'!AP17)</f>
        <v/>
      </c>
      <c r="F191">
        <f>IF(OR(A191="",'Skill Matrix'!AQ17=""),"",'Skill Matrix'!AQ17)</f>
        <v/>
      </c>
      <c r="G191">
        <f>IF(OR(E191="",F191=""),"",F191-E191)</f>
        <v/>
      </c>
    </row>
    <row r="192">
      <c r="A192">
        <f>IF(AND('Skill Matrix'!A17&lt;&gt;"",'Skills'!B20&lt;&gt;""),'Skill Matrix'!A17,"")</f>
        <v/>
      </c>
      <c r="B192">
        <f>IF(A192="","",'Skill Matrix'!B17)</f>
        <v/>
      </c>
      <c r="C192">
        <f>IF(A192="","",'Skill Matrix'!AS4)</f>
        <v/>
      </c>
      <c r="D192">
        <f>IF(A192="","",'Skill Matrix'!AS3)</f>
        <v/>
      </c>
      <c r="E192">
        <f>IF(OR(A192="",'Skill Matrix'!AS17=""),"",'Skill Matrix'!AS17)</f>
        <v/>
      </c>
      <c r="F192">
        <f>IF(OR(A192="",'Skill Matrix'!AT17=""),"",'Skill Matrix'!AT17)</f>
        <v/>
      </c>
      <c r="G192">
        <f>IF(OR(E192="",F192=""),"",F192-E192)</f>
        <v/>
      </c>
    </row>
    <row r="193">
      <c r="A193">
        <f>IF(AND('Skill Matrix'!A17&lt;&gt;"",'Skills'!B21&lt;&gt;""),'Skill Matrix'!A17,"")</f>
        <v/>
      </c>
      <c r="B193">
        <f>IF(A193="","",'Skill Matrix'!B17)</f>
        <v/>
      </c>
      <c r="C193">
        <f>IF(A193="","",'Skill Matrix'!AV4)</f>
        <v/>
      </c>
      <c r="D193">
        <f>IF(A193="","",'Skill Matrix'!AV3)</f>
        <v/>
      </c>
      <c r="E193">
        <f>IF(OR(A193="",'Skill Matrix'!AV17=""),"",'Skill Matrix'!AV17)</f>
        <v/>
      </c>
      <c r="F193">
        <f>IF(OR(A193="",'Skill Matrix'!AW17=""),"",'Skill Matrix'!AW17)</f>
        <v/>
      </c>
      <c r="G193">
        <f>IF(OR(E193="",F193=""),"",F193-E193)</f>
        <v/>
      </c>
    </row>
    <row r="194">
      <c r="A194">
        <f>IF(AND('Skill Matrix'!A18&lt;&gt;"",'Skills'!B6&lt;&gt;""),'Skill Matrix'!A18,"")</f>
        <v/>
      </c>
      <c r="B194">
        <f>IF(A194="","",'Skill Matrix'!B18)</f>
        <v/>
      </c>
      <c r="C194">
        <f>IF(A194="","",'Skill Matrix'!C4)</f>
        <v/>
      </c>
      <c r="D194">
        <f>IF(A194="","",'Skill Matrix'!C3)</f>
        <v/>
      </c>
      <c r="E194">
        <f>IF(OR(A194="",'Skill Matrix'!C18=""),"",'Skill Matrix'!C18)</f>
        <v/>
      </c>
      <c r="F194">
        <f>IF(OR(A194="",'Skill Matrix'!D18=""),"",'Skill Matrix'!D18)</f>
        <v/>
      </c>
      <c r="G194">
        <f>IF(OR(E194="",F194=""),"",F194-E194)</f>
        <v/>
      </c>
    </row>
    <row r="195">
      <c r="A195">
        <f>IF(AND('Skill Matrix'!A18&lt;&gt;"",'Skills'!B7&lt;&gt;""),'Skill Matrix'!A18,"")</f>
        <v/>
      </c>
      <c r="B195">
        <f>IF(A195="","",'Skill Matrix'!B18)</f>
        <v/>
      </c>
      <c r="C195">
        <f>IF(A195="","",'Skill Matrix'!F4)</f>
        <v/>
      </c>
      <c r="D195">
        <f>IF(A195="","",'Skill Matrix'!F3)</f>
        <v/>
      </c>
      <c r="E195">
        <f>IF(OR(A195="",'Skill Matrix'!F18=""),"",'Skill Matrix'!F18)</f>
        <v/>
      </c>
      <c r="F195">
        <f>IF(OR(A195="",'Skill Matrix'!G18=""),"",'Skill Matrix'!G18)</f>
        <v/>
      </c>
      <c r="G195">
        <f>IF(OR(E195="",F195=""),"",F195-E195)</f>
        <v/>
      </c>
    </row>
    <row r="196">
      <c r="A196">
        <f>IF(AND('Skill Matrix'!A18&lt;&gt;"",'Skills'!B8&lt;&gt;""),'Skill Matrix'!A18,"")</f>
        <v/>
      </c>
      <c r="B196">
        <f>IF(A196="","",'Skill Matrix'!B18)</f>
        <v/>
      </c>
      <c r="C196">
        <f>IF(A196="","",'Skill Matrix'!I4)</f>
        <v/>
      </c>
      <c r="D196">
        <f>IF(A196="","",'Skill Matrix'!I3)</f>
        <v/>
      </c>
      <c r="E196">
        <f>IF(OR(A196="",'Skill Matrix'!I18=""),"",'Skill Matrix'!I18)</f>
        <v/>
      </c>
      <c r="F196">
        <f>IF(OR(A196="",'Skill Matrix'!J18=""),"",'Skill Matrix'!J18)</f>
        <v/>
      </c>
      <c r="G196">
        <f>IF(OR(E196="",F196=""),"",F196-E196)</f>
        <v/>
      </c>
    </row>
    <row r="197">
      <c r="A197">
        <f>IF(AND('Skill Matrix'!A18&lt;&gt;"",'Skills'!B9&lt;&gt;""),'Skill Matrix'!A18,"")</f>
        <v/>
      </c>
      <c r="B197">
        <f>IF(A197="","",'Skill Matrix'!B18)</f>
        <v/>
      </c>
      <c r="C197">
        <f>IF(A197="","",'Skill Matrix'!L4)</f>
        <v/>
      </c>
      <c r="D197">
        <f>IF(A197="","",'Skill Matrix'!L3)</f>
        <v/>
      </c>
      <c r="E197">
        <f>IF(OR(A197="",'Skill Matrix'!L18=""),"",'Skill Matrix'!L18)</f>
        <v/>
      </c>
      <c r="F197">
        <f>IF(OR(A197="",'Skill Matrix'!M18=""),"",'Skill Matrix'!M18)</f>
        <v/>
      </c>
      <c r="G197">
        <f>IF(OR(E197="",F197=""),"",F197-E197)</f>
        <v/>
      </c>
    </row>
    <row r="198">
      <c r="A198">
        <f>IF(AND('Skill Matrix'!A18&lt;&gt;"",'Skills'!B10&lt;&gt;""),'Skill Matrix'!A18,"")</f>
        <v/>
      </c>
      <c r="B198">
        <f>IF(A198="","",'Skill Matrix'!B18)</f>
        <v/>
      </c>
      <c r="C198">
        <f>IF(A198="","",'Skill Matrix'!O4)</f>
        <v/>
      </c>
      <c r="D198">
        <f>IF(A198="","",'Skill Matrix'!O3)</f>
        <v/>
      </c>
      <c r="E198">
        <f>IF(OR(A198="",'Skill Matrix'!O18=""),"",'Skill Matrix'!O18)</f>
        <v/>
      </c>
      <c r="F198">
        <f>IF(OR(A198="",'Skill Matrix'!P18=""),"",'Skill Matrix'!P18)</f>
        <v/>
      </c>
      <c r="G198">
        <f>IF(OR(E198="",F198=""),"",F198-E198)</f>
        <v/>
      </c>
    </row>
    <row r="199">
      <c r="A199">
        <f>IF(AND('Skill Matrix'!A18&lt;&gt;"",'Skills'!B11&lt;&gt;""),'Skill Matrix'!A18,"")</f>
        <v/>
      </c>
      <c r="B199">
        <f>IF(A199="","",'Skill Matrix'!B18)</f>
        <v/>
      </c>
      <c r="C199">
        <f>IF(A199="","",'Skill Matrix'!R4)</f>
        <v/>
      </c>
      <c r="D199">
        <f>IF(A199="","",'Skill Matrix'!R3)</f>
        <v/>
      </c>
      <c r="E199">
        <f>IF(OR(A199="",'Skill Matrix'!R18=""),"",'Skill Matrix'!R18)</f>
        <v/>
      </c>
      <c r="F199">
        <f>IF(OR(A199="",'Skill Matrix'!S18=""),"",'Skill Matrix'!S18)</f>
        <v/>
      </c>
      <c r="G199">
        <f>IF(OR(E199="",F199=""),"",F199-E199)</f>
        <v/>
      </c>
    </row>
    <row r="200">
      <c r="A200">
        <f>IF(AND('Skill Matrix'!A18&lt;&gt;"",'Skills'!B12&lt;&gt;""),'Skill Matrix'!A18,"")</f>
        <v/>
      </c>
      <c r="B200">
        <f>IF(A200="","",'Skill Matrix'!B18)</f>
        <v/>
      </c>
      <c r="C200">
        <f>IF(A200="","",'Skill Matrix'!U4)</f>
        <v/>
      </c>
      <c r="D200">
        <f>IF(A200="","",'Skill Matrix'!U3)</f>
        <v/>
      </c>
      <c r="E200">
        <f>IF(OR(A200="",'Skill Matrix'!U18=""),"",'Skill Matrix'!U18)</f>
        <v/>
      </c>
      <c r="F200">
        <f>IF(OR(A200="",'Skill Matrix'!V18=""),"",'Skill Matrix'!V18)</f>
        <v/>
      </c>
      <c r="G200">
        <f>IF(OR(E200="",F200=""),"",F200-E200)</f>
        <v/>
      </c>
    </row>
    <row r="201">
      <c r="A201">
        <f>IF(AND('Skill Matrix'!A18&lt;&gt;"",'Skills'!B13&lt;&gt;""),'Skill Matrix'!A18,"")</f>
        <v/>
      </c>
      <c r="B201">
        <f>IF(A201="","",'Skill Matrix'!B18)</f>
        <v/>
      </c>
      <c r="C201">
        <f>IF(A201="","",'Skill Matrix'!X4)</f>
        <v/>
      </c>
      <c r="D201">
        <f>IF(A201="","",'Skill Matrix'!X3)</f>
        <v/>
      </c>
      <c r="E201">
        <f>IF(OR(A201="",'Skill Matrix'!X18=""),"",'Skill Matrix'!X18)</f>
        <v/>
      </c>
      <c r="F201">
        <f>IF(OR(A201="",'Skill Matrix'!Y18=""),"",'Skill Matrix'!Y18)</f>
        <v/>
      </c>
      <c r="G201">
        <f>IF(OR(E201="",F201=""),"",F201-E201)</f>
        <v/>
      </c>
    </row>
    <row r="202">
      <c r="A202">
        <f>IF(AND('Skill Matrix'!A18&lt;&gt;"",'Skills'!B14&lt;&gt;""),'Skill Matrix'!A18,"")</f>
        <v/>
      </c>
      <c r="B202">
        <f>IF(A202="","",'Skill Matrix'!B18)</f>
        <v/>
      </c>
      <c r="C202">
        <f>IF(A202="","",'Skill Matrix'!AA4)</f>
        <v/>
      </c>
      <c r="D202">
        <f>IF(A202="","",'Skill Matrix'!AA3)</f>
        <v/>
      </c>
      <c r="E202">
        <f>IF(OR(A202="",'Skill Matrix'!AA18=""),"",'Skill Matrix'!AA18)</f>
        <v/>
      </c>
      <c r="F202">
        <f>IF(OR(A202="",'Skill Matrix'!AB18=""),"",'Skill Matrix'!AB18)</f>
        <v/>
      </c>
      <c r="G202">
        <f>IF(OR(E202="",F202=""),"",F202-E202)</f>
        <v/>
      </c>
    </row>
    <row r="203">
      <c r="A203">
        <f>IF(AND('Skill Matrix'!A18&lt;&gt;"",'Skills'!B15&lt;&gt;""),'Skill Matrix'!A18,"")</f>
        <v/>
      </c>
      <c r="B203">
        <f>IF(A203="","",'Skill Matrix'!B18)</f>
        <v/>
      </c>
      <c r="C203">
        <f>IF(A203="","",'Skill Matrix'!AD4)</f>
        <v/>
      </c>
      <c r="D203">
        <f>IF(A203="","",'Skill Matrix'!AD3)</f>
        <v/>
      </c>
      <c r="E203">
        <f>IF(OR(A203="",'Skill Matrix'!AD18=""),"",'Skill Matrix'!AD18)</f>
        <v/>
      </c>
      <c r="F203">
        <f>IF(OR(A203="",'Skill Matrix'!AE18=""),"",'Skill Matrix'!AE18)</f>
        <v/>
      </c>
      <c r="G203">
        <f>IF(OR(E203="",F203=""),"",F203-E203)</f>
        <v/>
      </c>
    </row>
    <row r="204">
      <c r="A204">
        <f>IF(AND('Skill Matrix'!A18&lt;&gt;"",'Skills'!B16&lt;&gt;""),'Skill Matrix'!A18,"")</f>
        <v/>
      </c>
      <c r="B204">
        <f>IF(A204="","",'Skill Matrix'!B18)</f>
        <v/>
      </c>
      <c r="C204">
        <f>IF(A204="","",'Skill Matrix'!AG4)</f>
        <v/>
      </c>
      <c r="D204">
        <f>IF(A204="","",'Skill Matrix'!AG3)</f>
        <v/>
      </c>
      <c r="E204">
        <f>IF(OR(A204="",'Skill Matrix'!AG18=""),"",'Skill Matrix'!AG18)</f>
        <v/>
      </c>
      <c r="F204">
        <f>IF(OR(A204="",'Skill Matrix'!AH18=""),"",'Skill Matrix'!AH18)</f>
        <v/>
      </c>
      <c r="G204">
        <f>IF(OR(E204="",F204=""),"",F204-E204)</f>
        <v/>
      </c>
    </row>
    <row r="205">
      <c r="A205">
        <f>IF(AND('Skill Matrix'!A18&lt;&gt;"",'Skills'!B17&lt;&gt;""),'Skill Matrix'!A18,"")</f>
        <v/>
      </c>
      <c r="B205">
        <f>IF(A205="","",'Skill Matrix'!B18)</f>
        <v/>
      </c>
      <c r="C205">
        <f>IF(A205="","",'Skill Matrix'!AJ4)</f>
        <v/>
      </c>
      <c r="D205">
        <f>IF(A205="","",'Skill Matrix'!AJ3)</f>
        <v/>
      </c>
      <c r="E205">
        <f>IF(OR(A205="",'Skill Matrix'!AJ18=""),"",'Skill Matrix'!AJ18)</f>
        <v/>
      </c>
      <c r="F205">
        <f>IF(OR(A205="",'Skill Matrix'!AK18=""),"",'Skill Matrix'!AK18)</f>
        <v/>
      </c>
      <c r="G205">
        <f>IF(OR(E205="",F205=""),"",F205-E205)</f>
        <v/>
      </c>
    </row>
    <row r="206">
      <c r="A206">
        <f>IF(AND('Skill Matrix'!A18&lt;&gt;"",'Skills'!B18&lt;&gt;""),'Skill Matrix'!A18,"")</f>
        <v/>
      </c>
      <c r="B206">
        <f>IF(A206="","",'Skill Matrix'!B18)</f>
        <v/>
      </c>
      <c r="C206">
        <f>IF(A206="","",'Skill Matrix'!AM4)</f>
        <v/>
      </c>
      <c r="D206">
        <f>IF(A206="","",'Skill Matrix'!AM3)</f>
        <v/>
      </c>
      <c r="E206">
        <f>IF(OR(A206="",'Skill Matrix'!AM18=""),"",'Skill Matrix'!AM18)</f>
        <v/>
      </c>
      <c r="F206">
        <f>IF(OR(A206="",'Skill Matrix'!AN18=""),"",'Skill Matrix'!AN18)</f>
        <v/>
      </c>
      <c r="G206">
        <f>IF(OR(E206="",F206=""),"",F206-E206)</f>
        <v/>
      </c>
    </row>
    <row r="207">
      <c r="A207">
        <f>IF(AND('Skill Matrix'!A18&lt;&gt;"",'Skills'!B19&lt;&gt;""),'Skill Matrix'!A18,"")</f>
        <v/>
      </c>
      <c r="B207">
        <f>IF(A207="","",'Skill Matrix'!B18)</f>
        <v/>
      </c>
      <c r="C207">
        <f>IF(A207="","",'Skill Matrix'!AP4)</f>
        <v/>
      </c>
      <c r="D207">
        <f>IF(A207="","",'Skill Matrix'!AP3)</f>
        <v/>
      </c>
      <c r="E207">
        <f>IF(OR(A207="",'Skill Matrix'!AP18=""),"",'Skill Matrix'!AP18)</f>
        <v/>
      </c>
      <c r="F207">
        <f>IF(OR(A207="",'Skill Matrix'!AQ18=""),"",'Skill Matrix'!AQ18)</f>
        <v/>
      </c>
      <c r="G207">
        <f>IF(OR(E207="",F207=""),"",F207-E207)</f>
        <v/>
      </c>
    </row>
    <row r="208">
      <c r="A208">
        <f>IF(AND('Skill Matrix'!A18&lt;&gt;"",'Skills'!B20&lt;&gt;""),'Skill Matrix'!A18,"")</f>
        <v/>
      </c>
      <c r="B208">
        <f>IF(A208="","",'Skill Matrix'!B18)</f>
        <v/>
      </c>
      <c r="C208">
        <f>IF(A208="","",'Skill Matrix'!AS4)</f>
        <v/>
      </c>
      <c r="D208">
        <f>IF(A208="","",'Skill Matrix'!AS3)</f>
        <v/>
      </c>
      <c r="E208">
        <f>IF(OR(A208="",'Skill Matrix'!AS18=""),"",'Skill Matrix'!AS18)</f>
        <v/>
      </c>
      <c r="F208">
        <f>IF(OR(A208="",'Skill Matrix'!AT18=""),"",'Skill Matrix'!AT18)</f>
        <v/>
      </c>
      <c r="G208">
        <f>IF(OR(E208="",F208=""),"",F208-E208)</f>
        <v/>
      </c>
    </row>
    <row r="209">
      <c r="A209">
        <f>IF(AND('Skill Matrix'!A18&lt;&gt;"",'Skills'!B21&lt;&gt;""),'Skill Matrix'!A18,"")</f>
        <v/>
      </c>
      <c r="B209">
        <f>IF(A209="","",'Skill Matrix'!B18)</f>
        <v/>
      </c>
      <c r="C209">
        <f>IF(A209="","",'Skill Matrix'!AV4)</f>
        <v/>
      </c>
      <c r="D209">
        <f>IF(A209="","",'Skill Matrix'!AV3)</f>
        <v/>
      </c>
      <c r="E209">
        <f>IF(OR(A209="",'Skill Matrix'!AV18=""),"",'Skill Matrix'!AV18)</f>
        <v/>
      </c>
      <c r="F209">
        <f>IF(OR(A209="",'Skill Matrix'!AW18=""),"",'Skill Matrix'!AW18)</f>
        <v/>
      </c>
      <c r="G209">
        <f>IF(OR(E209="",F209=""),"",F209-E209)</f>
        <v/>
      </c>
    </row>
    <row r="210">
      <c r="A210">
        <f>IF(AND('Skill Matrix'!A19&lt;&gt;"",'Skills'!B6&lt;&gt;""),'Skill Matrix'!A19,"")</f>
        <v/>
      </c>
      <c r="B210">
        <f>IF(A210="","",'Skill Matrix'!B19)</f>
        <v/>
      </c>
      <c r="C210">
        <f>IF(A210="","",'Skill Matrix'!C4)</f>
        <v/>
      </c>
      <c r="D210">
        <f>IF(A210="","",'Skill Matrix'!C3)</f>
        <v/>
      </c>
      <c r="E210">
        <f>IF(OR(A210="",'Skill Matrix'!C19=""),"",'Skill Matrix'!C19)</f>
        <v/>
      </c>
      <c r="F210">
        <f>IF(OR(A210="",'Skill Matrix'!D19=""),"",'Skill Matrix'!D19)</f>
        <v/>
      </c>
      <c r="G210">
        <f>IF(OR(E210="",F210=""),"",F210-E210)</f>
        <v/>
      </c>
    </row>
    <row r="211">
      <c r="A211">
        <f>IF(AND('Skill Matrix'!A19&lt;&gt;"",'Skills'!B7&lt;&gt;""),'Skill Matrix'!A19,"")</f>
        <v/>
      </c>
      <c r="B211">
        <f>IF(A211="","",'Skill Matrix'!B19)</f>
        <v/>
      </c>
      <c r="C211">
        <f>IF(A211="","",'Skill Matrix'!F4)</f>
        <v/>
      </c>
      <c r="D211">
        <f>IF(A211="","",'Skill Matrix'!F3)</f>
        <v/>
      </c>
      <c r="E211">
        <f>IF(OR(A211="",'Skill Matrix'!F19=""),"",'Skill Matrix'!F19)</f>
        <v/>
      </c>
      <c r="F211">
        <f>IF(OR(A211="",'Skill Matrix'!G19=""),"",'Skill Matrix'!G19)</f>
        <v/>
      </c>
      <c r="G211">
        <f>IF(OR(E211="",F211=""),"",F211-E211)</f>
        <v/>
      </c>
    </row>
    <row r="212">
      <c r="A212">
        <f>IF(AND('Skill Matrix'!A19&lt;&gt;"",'Skills'!B8&lt;&gt;""),'Skill Matrix'!A19,"")</f>
        <v/>
      </c>
      <c r="B212">
        <f>IF(A212="","",'Skill Matrix'!B19)</f>
        <v/>
      </c>
      <c r="C212">
        <f>IF(A212="","",'Skill Matrix'!I4)</f>
        <v/>
      </c>
      <c r="D212">
        <f>IF(A212="","",'Skill Matrix'!I3)</f>
        <v/>
      </c>
      <c r="E212">
        <f>IF(OR(A212="",'Skill Matrix'!I19=""),"",'Skill Matrix'!I19)</f>
        <v/>
      </c>
      <c r="F212">
        <f>IF(OR(A212="",'Skill Matrix'!J19=""),"",'Skill Matrix'!J19)</f>
        <v/>
      </c>
      <c r="G212">
        <f>IF(OR(E212="",F212=""),"",F212-E212)</f>
        <v/>
      </c>
    </row>
    <row r="213">
      <c r="A213">
        <f>IF(AND('Skill Matrix'!A19&lt;&gt;"",'Skills'!B9&lt;&gt;""),'Skill Matrix'!A19,"")</f>
        <v/>
      </c>
      <c r="B213">
        <f>IF(A213="","",'Skill Matrix'!B19)</f>
        <v/>
      </c>
      <c r="C213">
        <f>IF(A213="","",'Skill Matrix'!L4)</f>
        <v/>
      </c>
      <c r="D213">
        <f>IF(A213="","",'Skill Matrix'!L3)</f>
        <v/>
      </c>
      <c r="E213">
        <f>IF(OR(A213="",'Skill Matrix'!L19=""),"",'Skill Matrix'!L19)</f>
        <v/>
      </c>
      <c r="F213">
        <f>IF(OR(A213="",'Skill Matrix'!M19=""),"",'Skill Matrix'!M19)</f>
        <v/>
      </c>
      <c r="G213">
        <f>IF(OR(E213="",F213=""),"",F213-E213)</f>
        <v/>
      </c>
    </row>
    <row r="214">
      <c r="A214">
        <f>IF(AND('Skill Matrix'!A19&lt;&gt;"",'Skills'!B10&lt;&gt;""),'Skill Matrix'!A19,"")</f>
        <v/>
      </c>
      <c r="B214">
        <f>IF(A214="","",'Skill Matrix'!B19)</f>
        <v/>
      </c>
      <c r="C214">
        <f>IF(A214="","",'Skill Matrix'!O4)</f>
        <v/>
      </c>
      <c r="D214">
        <f>IF(A214="","",'Skill Matrix'!O3)</f>
        <v/>
      </c>
      <c r="E214">
        <f>IF(OR(A214="",'Skill Matrix'!O19=""),"",'Skill Matrix'!O19)</f>
        <v/>
      </c>
      <c r="F214">
        <f>IF(OR(A214="",'Skill Matrix'!P19=""),"",'Skill Matrix'!P19)</f>
        <v/>
      </c>
      <c r="G214">
        <f>IF(OR(E214="",F214=""),"",F214-E214)</f>
        <v/>
      </c>
    </row>
    <row r="215">
      <c r="A215">
        <f>IF(AND('Skill Matrix'!A19&lt;&gt;"",'Skills'!B11&lt;&gt;""),'Skill Matrix'!A19,"")</f>
        <v/>
      </c>
      <c r="B215">
        <f>IF(A215="","",'Skill Matrix'!B19)</f>
        <v/>
      </c>
      <c r="C215">
        <f>IF(A215="","",'Skill Matrix'!R4)</f>
        <v/>
      </c>
      <c r="D215">
        <f>IF(A215="","",'Skill Matrix'!R3)</f>
        <v/>
      </c>
      <c r="E215">
        <f>IF(OR(A215="",'Skill Matrix'!R19=""),"",'Skill Matrix'!R19)</f>
        <v/>
      </c>
      <c r="F215">
        <f>IF(OR(A215="",'Skill Matrix'!S19=""),"",'Skill Matrix'!S19)</f>
        <v/>
      </c>
      <c r="G215">
        <f>IF(OR(E215="",F215=""),"",F215-E215)</f>
        <v/>
      </c>
    </row>
    <row r="216">
      <c r="A216">
        <f>IF(AND('Skill Matrix'!A19&lt;&gt;"",'Skills'!B12&lt;&gt;""),'Skill Matrix'!A19,"")</f>
        <v/>
      </c>
      <c r="B216">
        <f>IF(A216="","",'Skill Matrix'!B19)</f>
        <v/>
      </c>
      <c r="C216">
        <f>IF(A216="","",'Skill Matrix'!U4)</f>
        <v/>
      </c>
      <c r="D216">
        <f>IF(A216="","",'Skill Matrix'!U3)</f>
        <v/>
      </c>
      <c r="E216">
        <f>IF(OR(A216="",'Skill Matrix'!U19=""),"",'Skill Matrix'!U19)</f>
        <v/>
      </c>
      <c r="F216">
        <f>IF(OR(A216="",'Skill Matrix'!V19=""),"",'Skill Matrix'!V19)</f>
        <v/>
      </c>
      <c r="G216">
        <f>IF(OR(E216="",F216=""),"",F216-E216)</f>
        <v/>
      </c>
    </row>
    <row r="217">
      <c r="A217">
        <f>IF(AND('Skill Matrix'!A19&lt;&gt;"",'Skills'!B13&lt;&gt;""),'Skill Matrix'!A19,"")</f>
        <v/>
      </c>
      <c r="B217">
        <f>IF(A217="","",'Skill Matrix'!B19)</f>
        <v/>
      </c>
      <c r="C217">
        <f>IF(A217="","",'Skill Matrix'!X4)</f>
        <v/>
      </c>
      <c r="D217">
        <f>IF(A217="","",'Skill Matrix'!X3)</f>
        <v/>
      </c>
      <c r="E217">
        <f>IF(OR(A217="",'Skill Matrix'!X19=""),"",'Skill Matrix'!X19)</f>
        <v/>
      </c>
      <c r="F217">
        <f>IF(OR(A217="",'Skill Matrix'!Y19=""),"",'Skill Matrix'!Y19)</f>
        <v/>
      </c>
      <c r="G217">
        <f>IF(OR(E217="",F217=""),"",F217-E217)</f>
        <v/>
      </c>
    </row>
    <row r="218">
      <c r="A218">
        <f>IF(AND('Skill Matrix'!A19&lt;&gt;"",'Skills'!B14&lt;&gt;""),'Skill Matrix'!A19,"")</f>
        <v/>
      </c>
      <c r="B218">
        <f>IF(A218="","",'Skill Matrix'!B19)</f>
        <v/>
      </c>
      <c r="C218">
        <f>IF(A218="","",'Skill Matrix'!AA4)</f>
        <v/>
      </c>
      <c r="D218">
        <f>IF(A218="","",'Skill Matrix'!AA3)</f>
        <v/>
      </c>
      <c r="E218">
        <f>IF(OR(A218="",'Skill Matrix'!AA19=""),"",'Skill Matrix'!AA19)</f>
        <v/>
      </c>
      <c r="F218">
        <f>IF(OR(A218="",'Skill Matrix'!AB19=""),"",'Skill Matrix'!AB19)</f>
        <v/>
      </c>
      <c r="G218">
        <f>IF(OR(E218="",F218=""),"",F218-E218)</f>
        <v/>
      </c>
    </row>
    <row r="219">
      <c r="A219">
        <f>IF(AND('Skill Matrix'!A19&lt;&gt;"",'Skills'!B15&lt;&gt;""),'Skill Matrix'!A19,"")</f>
        <v/>
      </c>
      <c r="B219">
        <f>IF(A219="","",'Skill Matrix'!B19)</f>
        <v/>
      </c>
      <c r="C219">
        <f>IF(A219="","",'Skill Matrix'!AD4)</f>
        <v/>
      </c>
      <c r="D219">
        <f>IF(A219="","",'Skill Matrix'!AD3)</f>
        <v/>
      </c>
      <c r="E219">
        <f>IF(OR(A219="",'Skill Matrix'!AD19=""),"",'Skill Matrix'!AD19)</f>
        <v/>
      </c>
      <c r="F219">
        <f>IF(OR(A219="",'Skill Matrix'!AE19=""),"",'Skill Matrix'!AE19)</f>
        <v/>
      </c>
      <c r="G219">
        <f>IF(OR(E219="",F219=""),"",F219-E219)</f>
        <v/>
      </c>
    </row>
    <row r="220">
      <c r="A220">
        <f>IF(AND('Skill Matrix'!A19&lt;&gt;"",'Skills'!B16&lt;&gt;""),'Skill Matrix'!A19,"")</f>
        <v/>
      </c>
      <c r="B220">
        <f>IF(A220="","",'Skill Matrix'!B19)</f>
        <v/>
      </c>
      <c r="C220">
        <f>IF(A220="","",'Skill Matrix'!AG4)</f>
        <v/>
      </c>
      <c r="D220">
        <f>IF(A220="","",'Skill Matrix'!AG3)</f>
        <v/>
      </c>
      <c r="E220">
        <f>IF(OR(A220="",'Skill Matrix'!AG19=""),"",'Skill Matrix'!AG19)</f>
        <v/>
      </c>
      <c r="F220">
        <f>IF(OR(A220="",'Skill Matrix'!AH19=""),"",'Skill Matrix'!AH19)</f>
        <v/>
      </c>
      <c r="G220">
        <f>IF(OR(E220="",F220=""),"",F220-E220)</f>
        <v/>
      </c>
    </row>
    <row r="221">
      <c r="A221">
        <f>IF(AND('Skill Matrix'!A19&lt;&gt;"",'Skills'!B17&lt;&gt;""),'Skill Matrix'!A19,"")</f>
        <v/>
      </c>
      <c r="B221">
        <f>IF(A221="","",'Skill Matrix'!B19)</f>
        <v/>
      </c>
      <c r="C221">
        <f>IF(A221="","",'Skill Matrix'!AJ4)</f>
        <v/>
      </c>
      <c r="D221">
        <f>IF(A221="","",'Skill Matrix'!AJ3)</f>
        <v/>
      </c>
      <c r="E221">
        <f>IF(OR(A221="",'Skill Matrix'!AJ19=""),"",'Skill Matrix'!AJ19)</f>
        <v/>
      </c>
      <c r="F221">
        <f>IF(OR(A221="",'Skill Matrix'!AK19=""),"",'Skill Matrix'!AK19)</f>
        <v/>
      </c>
      <c r="G221">
        <f>IF(OR(E221="",F221=""),"",F221-E221)</f>
        <v/>
      </c>
    </row>
    <row r="222">
      <c r="A222">
        <f>IF(AND('Skill Matrix'!A19&lt;&gt;"",'Skills'!B18&lt;&gt;""),'Skill Matrix'!A19,"")</f>
        <v/>
      </c>
      <c r="B222">
        <f>IF(A222="","",'Skill Matrix'!B19)</f>
        <v/>
      </c>
      <c r="C222">
        <f>IF(A222="","",'Skill Matrix'!AM4)</f>
        <v/>
      </c>
      <c r="D222">
        <f>IF(A222="","",'Skill Matrix'!AM3)</f>
        <v/>
      </c>
      <c r="E222">
        <f>IF(OR(A222="",'Skill Matrix'!AM19=""),"",'Skill Matrix'!AM19)</f>
        <v/>
      </c>
      <c r="F222">
        <f>IF(OR(A222="",'Skill Matrix'!AN19=""),"",'Skill Matrix'!AN19)</f>
        <v/>
      </c>
      <c r="G222">
        <f>IF(OR(E222="",F222=""),"",F222-E222)</f>
        <v/>
      </c>
    </row>
    <row r="223">
      <c r="A223">
        <f>IF(AND('Skill Matrix'!A19&lt;&gt;"",'Skills'!B19&lt;&gt;""),'Skill Matrix'!A19,"")</f>
        <v/>
      </c>
      <c r="B223">
        <f>IF(A223="","",'Skill Matrix'!B19)</f>
        <v/>
      </c>
      <c r="C223">
        <f>IF(A223="","",'Skill Matrix'!AP4)</f>
        <v/>
      </c>
      <c r="D223">
        <f>IF(A223="","",'Skill Matrix'!AP3)</f>
        <v/>
      </c>
      <c r="E223">
        <f>IF(OR(A223="",'Skill Matrix'!AP19=""),"",'Skill Matrix'!AP19)</f>
        <v/>
      </c>
      <c r="F223">
        <f>IF(OR(A223="",'Skill Matrix'!AQ19=""),"",'Skill Matrix'!AQ19)</f>
        <v/>
      </c>
      <c r="G223">
        <f>IF(OR(E223="",F223=""),"",F223-E223)</f>
        <v/>
      </c>
    </row>
    <row r="224">
      <c r="A224">
        <f>IF(AND('Skill Matrix'!A19&lt;&gt;"",'Skills'!B20&lt;&gt;""),'Skill Matrix'!A19,"")</f>
        <v/>
      </c>
      <c r="B224">
        <f>IF(A224="","",'Skill Matrix'!B19)</f>
        <v/>
      </c>
      <c r="C224">
        <f>IF(A224="","",'Skill Matrix'!AS4)</f>
        <v/>
      </c>
      <c r="D224">
        <f>IF(A224="","",'Skill Matrix'!AS3)</f>
        <v/>
      </c>
      <c r="E224">
        <f>IF(OR(A224="",'Skill Matrix'!AS19=""),"",'Skill Matrix'!AS19)</f>
        <v/>
      </c>
      <c r="F224">
        <f>IF(OR(A224="",'Skill Matrix'!AT19=""),"",'Skill Matrix'!AT19)</f>
        <v/>
      </c>
      <c r="G224">
        <f>IF(OR(E224="",F224=""),"",F224-E224)</f>
        <v/>
      </c>
    </row>
    <row r="225">
      <c r="A225">
        <f>IF(AND('Skill Matrix'!A19&lt;&gt;"",'Skills'!B21&lt;&gt;""),'Skill Matrix'!A19,"")</f>
        <v/>
      </c>
      <c r="B225">
        <f>IF(A225="","",'Skill Matrix'!B19)</f>
        <v/>
      </c>
      <c r="C225">
        <f>IF(A225="","",'Skill Matrix'!AV4)</f>
        <v/>
      </c>
      <c r="D225">
        <f>IF(A225="","",'Skill Matrix'!AV3)</f>
        <v/>
      </c>
      <c r="E225">
        <f>IF(OR(A225="",'Skill Matrix'!AV19=""),"",'Skill Matrix'!AV19)</f>
        <v/>
      </c>
      <c r="F225">
        <f>IF(OR(A225="",'Skill Matrix'!AW19=""),"",'Skill Matrix'!AW19)</f>
        <v/>
      </c>
      <c r="G225">
        <f>IF(OR(E225="",F225=""),"",F225-E225)</f>
        <v/>
      </c>
    </row>
    <row r="226">
      <c r="A226">
        <f>IF(AND('Skill Matrix'!A20&lt;&gt;"",'Skills'!B6&lt;&gt;""),'Skill Matrix'!A20,"")</f>
        <v/>
      </c>
      <c r="B226">
        <f>IF(A226="","",'Skill Matrix'!B20)</f>
        <v/>
      </c>
      <c r="C226">
        <f>IF(A226="","",'Skill Matrix'!C4)</f>
        <v/>
      </c>
      <c r="D226">
        <f>IF(A226="","",'Skill Matrix'!C3)</f>
        <v/>
      </c>
      <c r="E226">
        <f>IF(OR(A226="",'Skill Matrix'!C20=""),"",'Skill Matrix'!C20)</f>
        <v/>
      </c>
      <c r="F226">
        <f>IF(OR(A226="",'Skill Matrix'!D20=""),"",'Skill Matrix'!D20)</f>
        <v/>
      </c>
      <c r="G226">
        <f>IF(OR(E226="",F226=""),"",F226-E226)</f>
        <v/>
      </c>
    </row>
    <row r="227">
      <c r="A227">
        <f>IF(AND('Skill Matrix'!A20&lt;&gt;"",'Skills'!B7&lt;&gt;""),'Skill Matrix'!A20,"")</f>
        <v/>
      </c>
      <c r="B227">
        <f>IF(A227="","",'Skill Matrix'!B20)</f>
        <v/>
      </c>
      <c r="C227">
        <f>IF(A227="","",'Skill Matrix'!F4)</f>
        <v/>
      </c>
      <c r="D227">
        <f>IF(A227="","",'Skill Matrix'!F3)</f>
        <v/>
      </c>
      <c r="E227">
        <f>IF(OR(A227="",'Skill Matrix'!F20=""),"",'Skill Matrix'!F20)</f>
        <v/>
      </c>
      <c r="F227">
        <f>IF(OR(A227="",'Skill Matrix'!G20=""),"",'Skill Matrix'!G20)</f>
        <v/>
      </c>
      <c r="G227">
        <f>IF(OR(E227="",F227=""),"",F227-E227)</f>
        <v/>
      </c>
    </row>
    <row r="228">
      <c r="A228">
        <f>IF(AND('Skill Matrix'!A20&lt;&gt;"",'Skills'!B8&lt;&gt;""),'Skill Matrix'!A20,"")</f>
        <v/>
      </c>
      <c r="B228">
        <f>IF(A228="","",'Skill Matrix'!B20)</f>
        <v/>
      </c>
      <c r="C228">
        <f>IF(A228="","",'Skill Matrix'!I4)</f>
        <v/>
      </c>
      <c r="D228">
        <f>IF(A228="","",'Skill Matrix'!I3)</f>
        <v/>
      </c>
      <c r="E228">
        <f>IF(OR(A228="",'Skill Matrix'!I20=""),"",'Skill Matrix'!I20)</f>
        <v/>
      </c>
      <c r="F228">
        <f>IF(OR(A228="",'Skill Matrix'!J20=""),"",'Skill Matrix'!J20)</f>
        <v/>
      </c>
      <c r="G228">
        <f>IF(OR(E228="",F228=""),"",F228-E228)</f>
        <v/>
      </c>
    </row>
    <row r="229">
      <c r="A229">
        <f>IF(AND('Skill Matrix'!A20&lt;&gt;"",'Skills'!B9&lt;&gt;""),'Skill Matrix'!A20,"")</f>
        <v/>
      </c>
      <c r="B229">
        <f>IF(A229="","",'Skill Matrix'!B20)</f>
        <v/>
      </c>
      <c r="C229">
        <f>IF(A229="","",'Skill Matrix'!L4)</f>
        <v/>
      </c>
      <c r="D229">
        <f>IF(A229="","",'Skill Matrix'!L3)</f>
        <v/>
      </c>
      <c r="E229">
        <f>IF(OR(A229="",'Skill Matrix'!L20=""),"",'Skill Matrix'!L20)</f>
        <v/>
      </c>
      <c r="F229">
        <f>IF(OR(A229="",'Skill Matrix'!M20=""),"",'Skill Matrix'!M20)</f>
        <v/>
      </c>
      <c r="G229">
        <f>IF(OR(E229="",F229=""),"",F229-E229)</f>
        <v/>
      </c>
    </row>
    <row r="230">
      <c r="A230">
        <f>IF(AND('Skill Matrix'!A20&lt;&gt;"",'Skills'!B10&lt;&gt;""),'Skill Matrix'!A20,"")</f>
        <v/>
      </c>
      <c r="B230">
        <f>IF(A230="","",'Skill Matrix'!B20)</f>
        <v/>
      </c>
      <c r="C230">
        <f>IF(A230="","",'Skill Matrix'!O4)</f>
        <v/>
      </c>
      <c r="D230">
        <f>IF(A230="","",'Skill Matrix'!O3)</f>
        <v/>
      </c>
      <c r="E230">
        <f>IF(OR(A230="",'Skill Matrix'!O20=""),"",'Skill Matrix'!O20)</f>
        <v/>
      </c>
      <c r="F230">
        <f>IF(OR(A230="",'Skill Matrix'!P20=""),"",'Skill Matrix'!P20)</f>
        <v/>
      </c>
      <c r="G230">
        <f>IF(OR(E230="",F230=""),"",F230-E230)</f>
        <v/>
      </c>
    </row>
    <row r="231">
      <c r="A231">
        <f>IF(AND('Skill Matrix'!A20&lt;&gt;"",'Skills'!B11&lt;&gt;""),'Skill Matrix'!A20,"")</f>
        <v/>
      </c>
      <c r="B231">
        <f>IF(A231="","",'Skill Matrix'!B20)</f>
        <v/>
      </c>
      <c r="C231">
        <f>IF(A231="","",'Skill Matrix'!R4)</f>
        <v/>
      </c>
      <c r="D231">
        <f>IF(A231="","",'Skill Matrix'!R3)</f>
        <v/>
      </c>
      <c r="E231">
        <f>IF(OR(A231="",'Skill Matrix'!R20=""),"",'Skill Matrix'!R20)</f>
        <v/>
      </c>
      <c r="F231">
        <f>IF(OR(A231="",'Skill Matrix'!S20=""),"",'Skill Matrix'!S20)</f>
        <v/>
      </c>
      <c r="G231">
        <f>IF(OR(E231="",F231=""),"",F231-E231)</f>
        <v/>
      </c>
    </row>
    <row r="232">
      <c r="A232">
        <f>IF(AND('Skill Matrix'!A20&lt;&gt;"",'Skills'!B12&lt;&gt;""),'Skill Matrix'!A20,"")</f>
        <v/>
      </c>
      <c r="B232">
        <f>IF(A232="","",'Skill Matrix'!B20)</f>
        <v/>
      </c>
      <c r="C232">
        <f>IF(A232="","",'Skill Matrix'!U4)</f>
        <v/>
      </c>
      <c r="D232">
        <f>IF(A232="","",'Skill Matrix'!U3)</f>
        <v/>
      </c>
      <c r="E232">
        <f>IF(OR(A232="",'Skill Matrix'!U20=""),"",'Skill Matrix'!U20)</f>
        <v/>
      </c>
      <c r="F232">
        <f>IF(OR(A232="",'Skill Matrix'!V20=""),"",'Skill Matrix'!V20)</f>
        <v/>
      </c>
      <c r="G232">
        <f>IF(OR(E232="",F232=""),"",F232-E232)</f>
        <v/>
      </c>
    </row>
    <row r="233">
      <c r="A233">
        <f>IF(AND('Skill Matrix'!A20&lt;&gt;"",'Skills'!B13&lt;&gt;""),'Skill Matrix'!A20,"")</f>
        <v/>
      </c>
      <c r="B233">
        <f>IF(A233="","",'Skill Matrix'!B20)</f>
        <v/>
      </c>
      <c r="C233">
        <f>IF(A233="","",'Skill Matrix'!X4)</f>
        <v/>
      </c>
      <c r="D233">
        <f>IF(A233="","",'Skill Matrix'!X3)</f>
        <v/>
      </c>
      <c r="E233">
        <f>IF(OR(A233="",'Skill Matrix'!X20=""),"",'Skill Matrix'!X20)</f>
        <v/>
      </c>
      <c r="F233">
        <f>IF(OR(A233="",'Skill Matrix'!Y20=""),"",'Skill Matrix'!Y20)</f>
        <v/>
      </c>
      <c r="G233">
        <f>IF(OR(E233="",F233=""),"",F233-E233)</f>
        <v/>
      </c>
    </row>
    <row r="234">
      <c r="A234">
        <f>IF(AND('Skill Matrix'!A20&lt;&gt;"",'Skills'!B14&lt;&gt;""),'Skill Matrix'!A20,"")</f>
        <v/>
      </c>
      <c r="B234">
        <f>IF(A234="","",'Skill Matrix'!B20)</f>
        <v/>
      </c>
      <c r="C234">
        <f>IF(A234="","",'Skill Matrix'!AA4)</f>
        <v/>
      </c>
      <c r="D234">
        <f>IF(A234="","",'Skill Matrix'!AA3)</f>
        <v/>
      </c>
      <c r="E234">
        <f>IF(OR(A234="",'Skill Matrix'!AA20=""),"",'Skill Matrix'!AA20)</f>
        <v/>
      </c>
      <c r="F234">
        <f>IF(OR(A234="",'Skill Matrix'!AB20=""),"",'Skill Matrix'!AB20)</f>
        <v/>
      </c>
      <c r="G234">
        <f>IF(OR(E234="",F234=""),"",F234-E234)</f>
        <v/>
      </c>
    </row>
    <row r="235">
      <c r="A235">
        <f>IF(AND('Skill Matrix'!A20&lt;&gt;"",'Skills'!B15&lt;&gt;""),'Skill Matrix'!A20,"")</f>
        <v/>
      </c>
      <c r="B235">
        <f>IF(A235="","",'Skill Matrix'!B20)</f>
        <v/>
      </c>
      <c r="C235">
        <f>IF(A235="","",'Skill Matrix'!AD4)</f>
        <v/>
      </c>
      <c r="D235">
        <f>IF(A235="","",'Skill Matrix'!AD3)</f>
        <v/>
      </c>
      <c r="E235">
        <f>IF(OR(A235="",'Skill Matrix'!AD20=""),"",'Skill Matrix'!AD20)</f>
        <v/>
      </c>
      <c r="F235">
        <f>IF(OR(A235="",'Skill Matrix'!AE20=""),"",'Skill Matrix'!AE20)</f>
        <v/>
      </c>
      <c r="G235">
        <f>IF(OR(E235="",F235=""),"",F235-E235)</f>
        <v/>
      </c>
    </row>
    <row r="236">
      <c r="A236">
        <f>IF(AND('Skill Matrix'!A20&lt;&gt;"",'Skills'!B16&lt;&gt;""),'Skill Matrix'!A20,"")</f>
        <v/>
      </c>
      <c r="B236">
        <f>IF(A236="","",'Skill Matrix'!B20)</f>
        <v/>
      </c>
      <c r="C236">
        <f>IF(A236="","",'Skill Matrix'!AG4)</f>
        <v/>
      </c>
      <c r="D236">
        <f>IF(A236="","",'Skill Matrix'!AG3)</f>
        <v/>
      </c>
      <c r="E236">
        <f>IF(OR(A236="",'Skill Matrix'!AG20=""),"",'Skill Matrix'!AG20)</f>
        <v/>
      </c>
      <c r="F236">
        <f>IF(OR(A236="",'Skill Matrix'!AH20=""),"",'Skill Matrix'!AH20)</f>
        <v/>
      </c>
      <c r="G236">
        <f>IF(OR(E236="",F236=""),"",F236-E236)</f>
        <v/>
      </c>
    </row>
    <row r="237">
      <c r="A237">
        <f>IF(AND('Skill Matrix'!A20&lt;&gt;"",'Skills'!B17&lt;&gt;""),'Skill Matrix'!A20,"")</f>
        <v/>
      </c>
      <c r="B237">
        <f>IF(A237="","",'Skill Matrix'!B20)</f>
        <v/>
      </c>
      <c r="C237">
        <f>IF(A237="","",'Skill Matrix'!AJ4)</f>
        <v/>
      </c>
      <c r="D237">
        <f>IF(A237="","",'Skill Matrix'!AJ3)</f>
        <v/>
      </c>
      <c r="E237">
        <f>IF(OR(A237="",'Skill Matrix'!AJ20=""),"",'Skill Matrix'!AJ20)</f>
        <v/>
      </c>
      <c r="F237">
        <f>IF(OR(A237="",'Skill Matrix'!AK20=""),"",'Skill Matrix'!AK20)</f>
        <v/>
      </c>
      <c r="G237">
        <f>IF(OR(E237="",F237=""),"",F237-E237)</f>
        <v/>
      </c>
    </row>
    <row r="238">
      <c r="A238">
        <f>IF(AND('Skill Matrix'!A20&lt;&gt;"",'Skills'!B18&lt;&gt;""),'Skill Matrix'!A20,"")</f>
        <v/>
      </c>
      <c r="B238">
        <f>IF(A238="","",'Skill Matrix'!B20)</f>
        <v/>
      </c>
      <c r="C238">
        <f>IF(A238="","",'Skill Matrix'!AM4)</f>
        <v/>
      </c>
      <c r="D238">
        <f>IF(A238="","",'Skill Matrix'!AM3)</f>
        <v/>
      </c>
      <c r="E238">
        <f>IF(OR(A238="",'Skill Matrix'!AM20=""),"",'Skill Matrix'!AM20)</f>
        <v/>
      </c>
      <c r="F238">
        <f>IF(OR(A238="",'Skill Matrix'!AN20=""),"",'Skill Matrix'!AN20)</f>
        <v/>
      </c>
      <c r="G238">
        <f>IF(OR(E238="",F238=""),"",F238-E238)</f>
        <v/>
      </c>
    </row>
    <row r="239">
      <c r="A239">
        <f>IF(AND('Skill Matrix'!A20&lt;&gt;"",'Skills'!B19&lt;&gt;""),'Skill Matrix'!A20,"")</f>
        <v/>
      </c>
      <c r="B239">
        <f>IF(A239="","",'Skill Matrix'!B20)</f>
        <v/>
      </c>
      <c r="C239">
        <f>IF(A239="","",'Skill Matrix'!AP4)</f>
        <v/>
      </c>
      <c r="D239">
        <f>IF(A239="","",'Skill Matrix'!AP3)</f>
        <v/>
      </c>
      <c r="E239">
        <f>IF(OR(A239="",'Skill Matrix'!AP20=""),"",'Skill Matrix'!AP20)</f>
        <v/>
      </c>
      <c r="F239">
        <f>IF(OR(A239="",'Skill Matrix'!AQ20=""),"",'Skill Matrix'!AQ20)</f>
        <v/>
      </c>
      <c r="G239">
        <f>IF(OR(E239="",F239=""),"",F239-E239)</f>
        <v/>
      </c>
    </row>
    <row r="240">
      <c r="A240">
        <f>IF(AND('Skill Matrix'!A20&lt;&gt;"",'Skills'!B20&lt;&gt;""),'Skill Matrix'!A20,"")</f>
        <v/>
      </c>
      <c r="B240">
        <f>IF(A240="","",'Skill Matrix'!B20)</f>
        <v/>
      </c>
      <c r="C240">
        <f>IF(A240="","",'Skill Matrix'!AS4)</f>
        <v/>
      </c>
      <c r="D240">
        <f>IF(A240="","",'Skill Matrix'!AS3)</f>
        <v/>
      </c>
      <c r="E240">
        <f>IF(OR(A240="",'Skill Matrix'!AS20=""),"",'Skill Matrix'!AS20)</f>
        <v/>
      </c>
      <c r="F240">
        <f>IF(OR(A240="",'Skill Matrix'!AT20=""),"",'Skill Matrix'!AT20)</f>
        <v/>
      </c>
      <c r="G240">
        <f>IF(OR(E240="",F240=""),"",F240-E240)</f>
        <v/>
      </c>
    </row>
    <row r="241">
      <c r="A241">
        <f>IF(AND('Skill Matrix'!A20&lt;&gt;"",'Skills'!B21&lt;&gt;""),'Skill Matrix'!A20,"")</f>
        <v/>
      </c>
      <c r="B241">
        <f>IF(A241="","",'Skill Matrix'!B20)</f>
        <v/>
      </c>
      <c r="C241">
        <f>IF(A241="","",'Skill Matrix'!AV4)</f>
        <v/>
      </c>
      <c r="D241">
        <f>IF(A241="","",'Skill Matrix'!AV3)</f>
        <v/>
      </c>
      <c r="E241">
        <f>IF(OR(A241="",'Skill Matrix'!AV20=""),"",'Skill Matrix'!AV20)</f>
        <v/>
      </c>
      <c r="F241">
        <f>IF(OR(A241="",'Skill Matrix'!AW20=""),"",'Skill Matrix'!AW20)</f>
        <v/>
      </c>
      <c r="G241">
        <f>IF(OR(E241="",F241=""),"",F241-E241)</f>
        <v/>
      </c>
    </row>
    <row r="242">
      <c r="A242">
        <f>IF(AND('Skill Matrix'!A21&lt;&gt;"",'Skills'!B6&lt;&gt;""),'Skill Matrix'!A21,"")</f>
        <v/>
      </c>
      <c r="B242">
        <f>IF(A242="","",'Skill Matrix'!B21)</f>
        <v/>
      </c>
      <c r="C242">
        <f>IF(A242="","",'Skill Matrix'!C4)</f>
        <v/>
      </c>
      <c r="D242">
        <f>IF(A242="","",'Skill Matrix'!C3)</f>
        <v/>
      </c>
      <c r="E242">
        <f>IF(OR(A242="",'Skill Matrix'!C21=""),"",'Skill Matrix'!C21)</f>
        <v/>
      </c>
      <c r="F242">
        <f>IF(OR(A242="",'Skill Matrix'!D21=""),"",'Skill Matrix'!D21)</f>
        <v/>
      </c>
      <c r="G242">
        <f>IF(OR(E242="",F242=""),"",F242-E242)</f>
        <v/>
      </c>
    </row>
    <row r="243">
      <c r="A243">
        <f>IF(AND('Skill Matrix'!A21&lt;&gt;"",'Skills'!B7&lt;&gt;""),'Skill Matrix'!A21,"")</f>
        <v/>
      </c>
      <c r="B243">
        <f>IF(A243="","",'Skill Matrix'!B21)</f>
        <v/>
      </c>
      <c r="C243">
        <f>IF(A243="","",'Skill Matrix'!F4)</f>
        <v/>
      </c>
      <c r="D243">
        <f>IF(A243="","",'Skill Matrix'!F3)</f>
        <v/>
      </c>
      <c r="E243">
        <f>IF(OR(A243="",'Skill Matrix'!F21=""),"",'Skill Matrix'!F21)</f>
        <v/>
      </c>
      <c r="F243">
        <f>IF(OR(A243="",'Skill Matrix'!G21=""),"",'Skill Matrix'!G21)</f>
        <v/>
      </c>
      <c r="G243">
        <f>IF(OR(E243="",F243=""),"",F243-E243)</f>
        <v/>
      </c>
    </row>
    <row r="244">
      <c r="A244">
        <f>IF(AND('Skill Matrix'!A21&lt;&gt;"",'Skills'!B8&lt;&gt;""),'Skill Matrix'!A21,"")</f>
        <v/>
      </c>
      <c r="B244">
        <f>IF(A244="","",'Skill Matrix'!B21)</f>
        <v/>
      </c>
      <c r="C244">
        <f>IF(A244="","",'Skill Matrix'!I4)</f>
        <v/>
      </c>
      <c r="D244">
        <f>IF(A244="","",'Skill Matrix'!I3)</f>
        <v/>
      </c>
      <c r="E244">
        <f>IF(OR(A244="",'Skill Matrix'!I21=""),"",'Skill Matrix'!I21)</f>
        <v/>
      </c>
      <c r="F244">
        <f>IF(OR(A244="",'Skill Matrix'!J21=""),"",'Skill Matrix'!J21)</f>
        <v/>
      </c>
      <c r="G244">
        <f>IF(OR(E244="",F244=""),"",F244-E244)</f>
        <v/>
      </c>
    </row>
    <row r="245">
      <c r="A245">
        <f>IF(AND('Skill Matrix'!A21&lt;&gt;"",'Skills'!B9&lt;&gt;""),'Skill Matrix'!A21,"")</f>
        <v/>
      </c>
      <c r="B245">
        <f>IF(A245="","",'Skill Matrix'!B21)</f>
        <v/>
      </c>
      <c r="C245">
        <f>IF(A245="","",'Skill Matrix'!L4)</f>
        <v/>
      </c>
      <c r="D245">
        <f>IF(A245="","",'Skill Matrix'!L3)</f>
        <v/>
      </c>
      <c r="E245">
        <f>IF(OR(A245="",'Skill Matrix'!L21=""),"",'Skill Matrix'!L21)</f>
        <v/>
      </c>
      <c r="F245">
        <f>IF(OR(A245="",'Skill Matrix'!M21=""),"",'Skill Matrix'!M21)</f>
        <v/>
      </c>
      <c r="G245">
        <f>IF(OR(E245="",F245=""),"",F245-E245)</f>
        <v/>
      </c>
    </row>
    <row r="246">
      <c r="A246">
        <f>IF(AND('Skill Matrix'!A21&lt;&gt;"",'Skills'!B10&lt;&gt;""),'Skill Matrix'!A21,"")</f>
        <v/>
      </c>
      <c r="B246">
        <f>IF(A246="","",'Skill Matrix'!B21)</f>
        <v/>
      </c>
      <c r="C246">
        <f>IF(A246="","",'Skill Matrix'!O4)</f>
        <v/>
      </c>
      <c r="D246">
        <f>IF(A246="","",'Skill Matrix'!O3)</f>
        <v/>
      </c>
      <c r="E246">
        <f>IF(OR(A246="",'Skill Matrix'!O21=""),"",'Skill Matrix'!O21)</f>
        <v/>
      </c>
      <c r="F246">
        <f>IF(OR(A246="",'Skill Matrix'!P21=""),"",'Skill Matrix'!P21)</f>
        <v/>
      </c>
      <c r="G246">
        <f>IF(OR(E246="",F246=""),"",F246-E246)</f>
        <v/>
      </c>
    </row>
    <row r="247">
      <c r="A247">
        <f>IF(AND('Skill Matrix'!A21&lt;&gt;"",'Skills'!B11&lt;&gt;""),'Skill Matrix'!A21,"")</f>
        <v/>
      </c>
      <c r="B247">
        <f>IF(A247="","",'Skill Matrix'!B21)</f>
        <v/>
      </c>
      <c r="C247">
        <f>IF(A247="","",'Skill Matrix'!R4)</f>
        <v/>
      </c>
      <c r="D247">
        <f>IF(A247="","",'Skill Matrix'!R3)</f>
        <v/>
      </c>
      <c r="E247">
        <f>IF(OR(A247="",'Skill Matrix'!R21=""),"",'Skill Matrix'!R21)</f>
        <v/>
      </c>
      <c r="F247">
        <f>IF(OR(A247="",'Skill Matrix'!S21=""),"",'Skill Matrix'!S21)</f>
        <v/>
      </c>
      <c r="G247">
        <f>IF(OR(E247="",F247=""),"",F247-E247)</f>
        <v/>
      </c>
    </row>
    <row r="248">
      <c r="A248">
        <f>IF(AND('Skill Matrix'!A21&lt;&gt;"",'Skills'!B12&lt;&gt;""),'Skill Matrix'!A21,"")</f>
        <v/>
      </c>
      <c r="B248">
        <f>IF(A248="","",'Skill Matrix'!B21)</f>
        <v/>
      </c>
      <c r="C248">
        <f>IF(A248="","",'Skill Matrix'!U4)</f>
        <v/>
      </c>
      <c r="D248">
        <f>IF(A248="","",'Skill Matrix'!U3)</f>
        <v/>
      </c>
      <c r="E248">
        <f>IF(OR(A248="",'Skill Matrix'!U21=""),"",'Skill Matrix'!U21)</f>
        <v/>
      </c>
      <c r="F248">
        <f>IF(OR(A248="",'Skill Matrix'!V21=""),"",'Skill Matrix'!V21)</f>
        <v/>
      </c>
      <c r="G248">
        <f>IF(OR(E248="",F248=""),"",F248-E248)</f>
        <v/>
      </c>
    </row>
    <row r="249">
      <c r="A249">
        <f>IF(AND('Skill Matrix'!A21&lt;&gt;"",'Skills'!B13&lt;&gt;""),'Skill Matrix'!A21,"")</f>
        <v/>
      </c>
      <c r="B249">
        <f>IF(A249="","",'Skill Matrix'!B21)</f>
        <v/>
      </c>
      <c r="C249">
        <f>IF(A249="","",'Skill Matrix'!X4)</f>
        <v/>
      </c>
      <c r="D249">
        <f>IF(A249="","",'Skill Matrix'!X3)</f>
        <v/>
      </c>
      <c r="E249">
        <f>IF(OR(A249="",'Skill Matrix'!X21=""),"",'Skill Matrix'!X21)</f>
        <v/>
      </c>
      <c r="F249">
        <f>IF(OR(A249="",'Skill Matrix'!Y21=""),"",'Skill Matrix'!Y21)</f>
        <v/>
      </c>
      <c r="G249">
        <f>IF(OR(E249="",F249=""),"",F249-E249)</f>
        <v/>
      </c>
    </row>
    <row r="250">
      <c r="A250">
        <f>IF(AND('Skill Matrix'!A21&lt;&gt;"",'Skills'!B14&lt;&gt;""),'Skill Matrix'!A21,"")</f>
        <v/>
      </c>
      <c r="B250">
        <f>IF(A250="","",'Skill Matrix'!B21)</f>
        <v/>
      </c>
      <c r="C250">
        <f>IF(A250="","",'Skill Matrix'!AA4)</f>
        <v/>
      </c>
      <c r="D250">
        <f>IF(A250="","",'Skill Matrix'!AA3)</f>
        <v/>
      </c>
      <c r="E250">
        <f>IF(OR(A250="",'Skill Matrix'!AA21=""),"",'Skill Matrix'!AA21)</f>
        <v/>
      </c>
      <c r="F250">
        <f>IF(OR(A250="",'Skill Matrix'!AB21=""),"",'Skill Matrix'!AB21)</f>
        <v/>
      </c>
      <c r="G250">
        <f>IF(OR(E250="",F250=""),"",F250-E250)</f>
        <v/>
      </c>
    </row>
    <row r="251">
      <c r="A251">
        <f>IF(AND('Skill Matrix'!A21&lt;&gt;"",'Skills'!B15&lt;&gt;""),'Skill Matrix'!A21,"")</f>
        <v/>
      </c>
      <c r="B251">
        <f>IF(A251="","",'Skill Matrix'!B21)</f>
        <v/>
      </c>
      <c r="C251">
        <f>IF(A251="","",'Skill Matrix'!AD4)</f>
        <v/>
      </c>
      <c r="D251">
        <f>IF(A251="","",'Skill Matrix'!AD3)</f>
        <v/>
      </c>
      <c r="E251">
        <f>IF(OR(A251="",'Skill Matrix'!AD21=""),"",'Skill Matrix'!AD21)</f>
        <v/>
      </c>
      <c r="F251">
        <f>IF(OR(A251="",'Skill Matrix'!AE21=""),"",'Skill Matrix'!AE21)</f>
        <v/>
      </c>
      <c r="G251">
        <f>IF(OR(E251="",F251=""),"",F251-E251)</f>
        <v/>
      </c>
    </row>
    <row r="252">
      <c r="A252">
        <f>IF(AND('Skill Matrix'!A21&lt;&gt;"",'Skills'!B16&lt;&gt;""),'Skill Matrix'!A21,"")</f>
        <v/>
      </c>
      <c r="B252">
        <f>IF(A252="","",'Skill Matrix'!B21)</f>
        <v/>
      </c>
      <c r="C252">
        <f>IF(A252="","",'Skill Matrix'!AG4)</f>
        <v/>
      </c>
      <c r="D252">
        <f>IF(A252="","",'Skill Matrix'!AG3)</f>
        <v/>
      </c>
      <c r="E252">
        <f>IF(OR(A252="",'Skill Matrix'!AG21=""),"",'Skill Matrix'!AG21)</f>
        <v/>
      </c>
      <c r="F252">
        <f>IF(OR(A252="",'Skill Matrix'!AH21=""),"",'Skill Matrix'!AH21)</f>
        <v/>
      </c>
      <c r="G252">
        <f>IF(OR(E252="",F252=""),"",F252-E252)</f>
        <v/>
      </c>
    </row>
    <row r="253">
      <c r="A253">
        <f>IF(AND('Skill Matrix'!A21&lt;&gt;"",'Skills'!B17&lt;&gt;""),'Skill Matrix'!A21,"")</f>
        <v/>
      </c>
      <c r="B253">
        <f>IF(A253="","",'Skill Matrix'!B21)</f>
        <v/>
      </c>
      <c r="C253">
        <f>IF(A253="","",'Skill Matrix'!AJ4)</f>
        <v/>
      </c>
      <c r="D253">
        <f>IF(A253="","",'Skill Matrix'!AJ3)</f>
        <v/>
      </c>
      <c r="E253">
        <f>IF(OR(A253="",'Skill Matrix'!AJ21=""),"",'Skill Matrix'!AJ21)</f>
        <v/>
      </c>
      <c r="F253">
        <f>IF(OR(A253="",'Skill Matrix'!AK21=""),"",'Skill Matrix'!AK21)</f>
        <v/>
      </c>
      <c r="G253">
        <f>IF(OR(E253="",F253=""),"",F253-E253)</f>
        <v/>
      </c>
    </row>
    <row r="254">
      <c r="A254">
        <f>IF(AND('Skill Matrix'!A21&lt;&gt;"",'Skills'!B18&lt;&gt;""),'Skill Matrix'!A21,"")</f>
        <v/>
      </c>
      <c r="B254">
        <f>IF(A254="","",'Skill Matrix'!B21)</f>
        <v/>
      </c>
      <c r="C254">
        <f>IF(A254="","",'Skill Matrix'!AM4)</f>
        <v/>
      </c>
      <c r="D254">
        <f>IF(A254="","",'Skill Matrix'!AM3)</f>
        <v/>
      </c>
      <c r="E254">
        <f>IF(OR(A254="",'Skill Matrix'!AM21=""),"",'Skill Matrix'!AM21)</f>
        <v/>
      </c>
      <c r="F254">
        <f>IF(OR(A254="",'Skill Matrix'!AN21=""),"",'Skill Matrix'!AN21)</f>
        <v/>
      </c>
      <c r="G254">
        <f>IF(OR(E254="",F254=""),"",F254-E254)</f>
        <v/>
      </c>
    </row>
    <row r="255">
      <c r="A255">
        <f>IF(AND('Skill Matrix'!A21&lt;&gt;"",'Skills'!B19&lt;&gt;""),'Skill Matrix'!A21,"")</f>
        <v/>
      </c>
      <c r="B255">
        <f>IF(A255="","",'Skill Matrix'!B21)</f>
        <v/>
      </c>
      <c r="C255">
        <f>IF(A255="","",'Skill Matrix'!AP4)</f>
        <v/>
      </c>
      <c r="D255">
        <f>IF(A255="","",'Skill Matrix'!AP3)</f>
        <v/>
      </c>
      <c r="E255">
        <f>IF(OR(A255="",'Skill Matrix'!AP21=""),"",'Skill Matrix'!AP21)</f>
        <v/>
      </c>
      <c r="F255">
        <f>IF(OR(A255="",'Skill Matrix'!AQ21=""),"",'Skill Matrix'!AQ21)</f>
        <v/>
      </c>
      <c r="G255">
        <f>IF(OR(E255="",F255=""),"",F255-E255)</f>
        <v/>
      </c>
    </row>
    <row r="256">
      <c r="A256">
        <f>IF(AND('Skill Matrix'!A21&lt;&gt;"",'Skills'!B20&lt;&gt;""),'Skill Matrix'!A21,"")</f>
        <v/>
      </c>
      <c r="B256">
        <f>IF(A256="","",'Skill Matrix'!B21)</f>
        <v/>
      </c>
      <c r="C256">
        <f>IF(A256="","",'Skill Matrix'!AS4)</f>
        <v/>
      </c>
      <c r="D256">
        <f>IF(A256="","",'Skill Matrix'!AS3)</f>
        <v/>
      </c>
      <c r="E256">
        <f>IF(OR(A256="",'Skill Matrix'!AS21=""),"",'Skill Matrix'!AS21)</f>
        <v/>
      </c>
      <c r="F256">
        <f>IF(OR(A256="",'Skill Matrix'!AT21=""),"",'Skill Matrix'!AT21)</f>
        <v/>
      </c>
      <c r="G256">
        <f>IF(OR(E256="",F256=""),"",F256-E256)</f>
        <v/>
      </c>
    </row>
    <row r="257">
      <c r="A257">
        <f>IF(AND('Skill Matrix'!A21&lt;&gt;"",'Skills'!B21&lt;&gt;""),'Skill Matrix'!A21,"")</f>
        <v/>
      </c>
      <c r="B257">
        <f>IF(A257="","",'Skill Matrix'!B21)</f>
        <v/>
      </c>
      <c r="C257">
        <f>IF(A257="","",'Skill Matrix'!AV4)</f>
        <v/>
      </c>
      <c r="D257">
        <f>IF(A257="","",'Skill Matrix'!AV3)</f>
        <v/>
      </c>
      <c r="E257">
        <f>IF(OR(A257="",'Skill Matrix'!AV21=""),"",'Skill Matrix'!AV21)</f>
        <v/>
      </c>
      <c r="F257">
        <f>IF(OR(A257="",'Skill Matrix'!AW21=""),"",'Skill Matrix'!AW21)</f>
        <v/>
      </c>
      <c r="G257">
        <f>IF(OR(E257="",F257=""),"",F257-E257)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Skill Matrix</dc:creator>
  <dc:title>Employee Skill Matrix</dc:title>
  <dc:description>Rate employee skills from 1–5, add skills over time, and compare last year with this year.</dc:description>
  <dcterms:created xsi:type="dcterms:W3CDTF">2026-08-14T10:50:34Z</dcterms:created>
  <dcterms:modified xsi:type="dcterms:W3CDTF">2026-08-14T10:50:34Z</dcterms:modified>
</cp:coreProperties>
</file>