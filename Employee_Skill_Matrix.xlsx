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visible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kill Sets" sheetId="9" state="visible" r:id="rId9"/>
    <sheet name="Settings" sheetId="10" state="visible" r:id="rId10"/>
    <sheet name="Data" sheetId="11" state="hidden" r:id="rId11"/>
    <sheet name="Calc" sheetId="12" state="hidden" r:id="rId12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DepartmentList">'Lists'!$A$6:INDEX('Lists'!$A$6:$A$21,COUNTA('Lists'!$A$6:$A$21))</definedName>
    <definedName name="DeptFilterList">'Lists'!$E$6:INDEX('Lists'!$E$6:$E$22,COUNTA('Lists'!$E$6:$E$22))</definedName>
    <definedName name="SkillSetList">'Skill Sets'!$E$6:INDEX('Skill Sets'!$E$6:$E$29,COUNTA('Skill Sets'!$E$6:$E$29))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DeptFilter">'Dashboard'!$B$5</definedName>
    <definedName name="DashFromYear">'Dashboard'!$D$5</definedName>
    <definedName name="DashToYear">'Dashboard'!$F$5</definedName>
    <definedName name="EmpFilter">'Dashboard'!$H$5</definedName>
    <definedName name="SkillSetFilter">'Dashboard'!$J$5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30">
    <font>
      <name val="Calibri"/>
      <family val="2"/>
      <color theme="1"/>
      <sz val="11"/>
      <scheme val="minor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i val="1"/>
      <color rgb="005E6C7A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b val="1"/>
      <color rgb="000E7C7B"/>
      <sz val="11"/>
      <u val="single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1"/>
      <u val="single"/>
    </font>
    <font>
      <name val="Calibri"/>
      <b val="1"/>
      <color rgb="00FFFFFF"/>
      <sz val="2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F4F6F8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2">
    <border>
      <left/>
      <right/>
      <top/>
      <bottom/>
      <diagonal/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 style="thin">
        <color rgb="00FFFFFF"/>
      </left>
      <right style="thin">
        <color rgb="00FFFFFF"/>
      </right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4" borderId="2" applyAlignment="1" pivotButton="0" quotePrefix="0" xfId="0">
      <alignment horizontal="left" vertical="top" wrapText="1"/>
    </xf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5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7" fillId="0" borderId="0" pivotButton="0" quotePrefix="0" xfId="0"/>
    <xf numFmtId="0" fontId="8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8" fillId="8" borderId="5" applyAlignment="1" pivotButton="0" quotePrefix="0" xfId="0">
      <alignment horizontal="center" vertical="center"/>
    </xf>
    <xf numFmtId="0" fontId="0" fillId="8" borderId="5" pivotButton="0" quotePrefix="0" xfId="0"/>
    <xf numFmtId="0" fontId="8" fillId="9" borderId="5" applyAlignment="1" pivotButton="0" quotePrefix="0" xfId="0">
      <alignment horizontal="center" vertical="center"/>
    </xf>
    <xf numFmtId="0" fontId="0" fillId="9" borderId="5" pivotButton="0" quotePrefix="0" xfId="0"/>
    <xf numFmtId="0" fontId="8" fillId="10" borderId="5" applyAlignment="1" pivotButton="0" quotePrefix="0" xfId="0">
      <alignment horizontal="center" vertical="center"/>
    </xf>
    <xf numFmtId="0" fontId="0" fillId="10" borderId="5" pivotButton="0" quotePrefix="0" xfId="0"/>
    <xf numFmtId="0" fontId="8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9" fillId="7" borderId="5" applyAlignment="1" pivotButton="0" quotePrefix="0" xfId="0">
      <alignment horizontal="center" vertical="top" wrapText="1"/>
    </xf>
    <xf numFmtId="0" fontId="9" fillId="8" borderId="5" applyAlignment="1" pivotButton="0" quotePrefix="0" xfId="0">
      <alignment horizontal="center" vertical="top" wrapText="1"/>
    </xf>
    <xf numFmtId="0" fontId="9" fillId="9" borderId="5" applyAlignment="1" pivotButton="0" quotePrefix="0" xfId="0">
      <alignment horizontal="center" vertical="top" wrapText="1"/>
    </xf>
    <xf numFmtId="0" fontId="9" fillId="10" borderId="5" applyAlignment="1" pivotButton="0" quotePrefix="0" xfId="0">
      <alignment horizontal="center" vertical="top" wrapText="1"/>
    </xf>
    <xf numFmtId="0" fontId="9" fillId="11" borderId="5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2" borderId="0" applyAlignment="1" pivotButton="0" quotePrefix="0" xfId="0">
      <alignment horizontal="center" vertical="center"/>
    </xf>
    <xf numFmtId="1" fontId="13" fillId="12" borderId="6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3" borderId="5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/>
    </xf>
    <xf numFmtId="0" fontId="0" fillId="3" borderId="5" pivotButton="0" quotePrefix="0" xfId="0"/>
    <xf numFmtId="0" fontId="18" fillId="4" borderId="5" applyAlignment="1" pivotButton="0" quotePrefix="0" xfId="0">
      <alignment horizontal="center" vertical="center" wrapText="1"/>
    </xf>
    <xf numFmtId="0" fontId="19" fillId="0" borderId="5" pivotButton="0" quotePrefix="0" xfId="0"/>
    <xf numFmtId="0" fontId="15" fillId="0" borderId="5" pivotButton="0" quotePrefix="0" xfId="0"/>
    <xf numFmtId="0" fontId="8" fillId="13" borderId="5" applyAlignment="1" pivotButton="0" quotePrefix="0" xfId="0">
      <alignment horizontal="center" vertical="center"/>
    </xf>
    <xf numFmtId="0" fontId="20" fillId="0" borderId="0" pivotButton="0" quotePrefix="0" xfId="0"/>
    <xf numFmtId="0" fontId="11" fillId="3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 wrapText="1"/>
    </xf>
    <xf numFmtId="0" fontId="6" fillId="0" borderId="5" pivotButton="0" quotePrefix="0" xfId="0"/>
    <xf numFmtId="0" fontId="8" fillId="16" borderId="5" applyAlignment="1" pivotButton="0" quotePrefix="0" xfId="0">
      <alignment horizontal="center" vertical="center"/>
    </xf>
    <xf numFmtId="0" fontId="0" fillId="17" borderId="5" applyAlignment="1" pivotButton="0" quotePrefix="0" xfId="0">
      <alignment horizontal="center" vertical="center"/>
    </xf>
    <xf numFmtId="164" fontId="0" fillId="17" borderId="5" applyAlignment="1" pivotButton="0" quotePrefix="0" xfId="0">
      <alignment horizontal="center" vertical="center"/>
    </xf>
    <xf numFmtId="0" fontId="22" fillId="0" borderId="0" pivotButton="0" quotePrefix="0" xfId="0"/>
    <xf numFmtId="0" fontId="21" fillId="2" borderId="0" applyAlignment="1" pivotButton="0" quotePrefix="0" xfId="0">
      <alignment horizontal="center" vertical="center"/>
    </xf>
    <xf numFmtId="0" fontId="23" fillId="12" borderId="6" applyAlignment="1" pivotButton="0" quotePrefix="0" xfId="0">
      <alignment horizontal="center" vertical="center"/>
    </xf>
    <xf numFmtId="1" fontId="23" fillId="12" borderId="6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1" fillId="14" borderId="7" applyAlignment="1" pivotButton="0" quotePrefix="0" xfId="0">
      <alignment horizontal="center" vertical="center"/>
    </xf>
    <xf numFmtId="0" fontId="0" fillId="14" borderId="7" pivotButton="0" quotePrefix="0" xfId="0"/>
    <xf numFmtId="0" fontId="21" fillId="2" borderId="7" applyAlignment="1" pivotButton="0" quotePrefix="0" xfId="0">
      <alignment horizontal="center" vertical="center"/>
    </xf>
    <xf numFmtId="0" fontId="0" fillId="2" borderId="7" pivotButton="0" quotePrefix="0" xfId="0"/>
    <xf numFmtId="0" fontId="21" fillId="5" borderId="7" applyAlignment="1" pivotButton="0" quotePrefix="0" xfId="0">
      <alignment horizontal="center" vertical="center"/>
    </xf>
    <xf numFmtId="0" fontId="0" fillId="5" borderId="7" pivotButton="0" quotePrefix="0" xfId="0"/>
    <xf numFmtId="1" fontId="21" fillId="3" borderId="5" applyAlignment="1" pivotButton="0" quotePrefix="0" xfId="0">
      <alignment horizontal="center" vertical="center" wrapText="1"/>
    </xf>
    <xf numFmtId="2" fontId="25" fillId="14" borderId="7" applyAlignment="1" pivotButton="0" quotePrefix="0" xfId="0">
      <alignment horizontal="center" vertical="center"/>
    </xf>
    <xf numFmtId="2" fontId="25" fillId="2" borderId="7" applyAlignment="1" pivotButton="0" quotePrefix="0" xfId="0">
      <alignment horizontal="center" vertical="center"/>
    </xf>
    <xf numFmtId="165" fontId="3" fillId="12" borderId="7" applyAlignment="1" pivotButton="0" quotePrefix="0" xfId="0">
      <alignment horizontal="center" vertical="center"/>
    </xf>
    <xf numFmtId="0" fontId="0" fillId="12" borderId="7" pivotButton="0" quotePrefix="0" xfId="0"/>
    <xf numFmtId="0" fontId="9" fillId="0" borderId="5" pivotButton="0" quotePrefix="0" xfId="0"/>
    <xf numFmtId="2" fontId="9" fillId="0" borderId="5" applyAlignment="1" pivotButton="0" quotePrefix="0" xfId="0">
      <alignment horizontal="center" vertical="center"/>
    </xf>
    <xf numFmtId="165" fontId="9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 wrapText="1"/>
    </xf>
    <xf numFmtId="0" fontId="19" fillId="0" borderId="5" applyAlignment="1" pivotButton="0" quotePrefix="0" xfId="0">
      <alignment horizontal="left" vertical="center"/>
    </xf>
    <xf numFmtId="2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1" fillId="3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167" fontId="6" fillId="0" borderId="5" pivotButton="0" quotePrefix="0" xfId="0"/>
    <xf numFmtId="0" fontId="6" fillId="12" borderId="5" applyAlignment="1" pivotButton="0" quotePrefix="0" xfId="0">
      <alignment horizontal="center" vertical="center"/>
    </xf>
    <xf numFmtId="0" fontId="6" fillId="12" borderId="5" pivotButton="0" quotePrefix="0" xfId="0"/>
    <xf numFmtId="167" fontId="6" fillId="12" borderId="5" pivotButton="0" quotePrefix="0" xfId="0"/>
    <xf numFmtId="0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0" fontId="6" fillId="12" borderId="5" applyAlignment="1" pivotButton="0" quotePrefix="0" xfId="0">
      <alignment horizontal="center" vertical="center" wrapText="1"/>
    </xf>
    <xf numFmtId="0" fontId="6" fillId="12" borderId="5" applyAlignment="1" pivotButton="0" quotePrefix="0" xfId="0">
      <alignment horizontal="left" vertical="center" wrapText="1"/>
    </xf>
    <xf numFmtId="0" fontId="26" fillId="2" borderId="6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27" fillId="3" borderId="0" applyAlignment="1" pivotButton="0" quotePrefix="0" xfId="0">
      <alignment horizontal="center" vertical="center"/>
    </xf>
    <xf numFmtId="1" fontId="6" fillId="0" borderId="5" applyAlignment="1" pivotButton="0" quotePrefix="0" xfId="0">
      <alignment horizontal="center" vertical="center"/>
    </xf>
    <xf numFmtId="1" fontId="6" fillId="12" borderId="5" applyAlignment="1" pivotButton="0" quotePrefix="0" xfId="0">
      <alignment horizontal="center" vertical="center"/>
    </xf>
    <xf numFmtId="0" fontId="11" fillId="3" borderId="0" pivotButton="0" quotePrefix="0" xfId="0"/>
    <xf numFmtId="0" fontId="0" fillId="0" borderId="5" pivotButton="0" quotePrefix="0" xfId="0"/>
    <xf numFmtId="0" fontId="0" fillId="12" borderId="5" pivotButton="0" quotePrefix="0" xfId="0"/>
    <xf numFmtId="0" fontId="19" fillId="4" borderId="5" pivotButton="0" quotePrefix="0" xfId="0"/>
    <xf numFmtId="0" fontId="12" fillId="12" borderId="6" applyAlignment="1" pivotButton="0" quotePrefix="0" xfId="0">
      <alignment horizontal="center" vertical="center"/>
    </xf>
    <xf numFmtId="0" fontId="28" fillId="0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center" vertical="center" wrapText="1"/>
    </xf>
    <xf numFmtId="0" fontId="19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29" fillId="8" borderId="5" applyAlignment="1" pivotButton="0" quotePrefix="0" xfId="0">
      <alignment horizontal="center" vertical="center" wrapText="1"/>
    </xf>
    <xf numFmtId="0" fontId="19" fillId="8" borderId="5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left" vertical="center" wrapText="1"/>
    </xf>
    <xf numFmtId="0" fontId="29" fillId="9" borderId="5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left" vertical="center" wrapText="1"/>
    </xf>
    <xf numFmtId="0" fontId="29" fillId="10" borderId="5" applyAlignment="1" pivotButton="0" quotePrefix="0" xfId="0">
      <alignment horizontal="center" vertical="center" wrapText="1"/>
    </xf>
    <xf numFmtId="0" fontId="19" fillId="10" borderId="5" applyAlignment="1" pivotButton="0" quotePrefix="0" xfId="0">
      <alignment horizontal="center" vertical="center" wrapText="1"/>
    </xf>
    <xf numFmtId="0" fontId="6" fillId="10" borderId="5" applyAlignment="1" pivotButton="0" quotePrefix="0" xfId="0">
      <alignment horizontal="left" vertical="center" wrapText="1"/>
    </xf>
    <xf numFmtId="0" fontId="29" fillId="11" borderId="5" applyAlignment="1" pivotButton="0" quotePrefix="0" xfId="0">
      <alignment horizontal="center" vertical="center" wrapText="1"/>
    </xf>
    <xf numFmtId="0" fontId="19" fillId="11" borderId="5" applyAlignment="1" pivotButton="0" quotePrefix="0" xfId="0">
      <alignment horizontal="center" vertical="center" wrapText="1"/>
    </xf>
    <xf numFmtId="0" fontId="6" fillId="11" borderId="5" applyAlignment="1" pivotButton="0" quotePrefix="0" xfId="0">
      <alignment horizontal="left" vertical="center" wrapText="1"/>
    </xf>
    <xf numFmtId="1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1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Team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'Calc'!B4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'Calc'!$A$5:$A$20</f>
            </numRef>
          </cat>
          <val>
            <numRef>
              <f>'Calc'!$B$5:$B$20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This person's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'Calc'!E4</f>
            </strRef>
          </tx>
          <spPr>
            <a:ln>
              <a:solidFill>
                <a:srgbClr val="1B365D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'Calc'!$D$5:$D$20</f>
            </numRef>
          </cat>
          <val>
            <numRef>
              <f>'Calc'!$E$5:$E$20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B14" authorId="0" shapeId="0">
      <text>
        <t>Type a new employee's name here, then pick Department from the dropdown.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B16" authorId="0" shapeId="0">
      <text>
        <t>Type a new skillset name here. It appears on the Skill Matrix for every employee.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0" authorId="0" shapeId="0">
      <text>
        <t>Type a new department here. It will appear in the Department dropdown on Employees.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6" authorId="0" shapeId="0">
      <text>
        <t>Type a new skillset name here, then add a matching row on the left (same name + a skill).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27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killSetSkills" displayName="tblSkillSetSkills" ref="A5:C45" headerRowCount="1">
  <autoFilter ref="A5:C45"/>
  <tableColumns count="3">
    <tableColumn id="1" name="Skill set"/>
    <tableColumn id="2" name="Skill"/>
    <tableColumn id="3" name="Minimum rat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killSetNames" displayName="tblSkillSetNames" ref="E5:F29" headerRowCount="1">
  <autoFilter ref="E5:F29"/>
  <tableColumns count="2">
    <tableColumn id="5" name="Skill set name"/>
    <tableColumn id="6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Relationship Type="http://schemas.openxmlformats.org/officeDocument/2006/relationships/drawing" Target="/xl/drawings/drawing1.xml" Id="rId11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Relationship Type="http://schemas.openxmlformats.org/officeDocument/2006/relationships/table" Target="/xl/tables/table1.xml" Id="rId1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Relationship Type="http://schemas.openxmlformats.org/officeDocument/2006/relationships/table" Target="/xl/tables/table2.xml" Id="rId1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Relationship Type="http://schemas.openxmlformats.org/officeDocument/2006/relationships/table" Target="/xl/tables/table3.xm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Relationship Type="http://schemas.openxmlformats.org/officeDocument/2006/relationships/table" Target="/xl/tables/table4.xml" Id="rId1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Relationship Type="http://schemas.openxmlformats.org/officeDocument/2006/relationships/table" Target="/xl/tables/table5.xml" Id="rId11" /><Relationship Type="http://schemas.openxmlformats.org/officeDocument/2006/relationships/table" Target="/xl/tables/table6.xml" Id="rId1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Ratings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Employees'!A1" TargetMode="External" Id="rId5" /><Relationship Type="http://schemas.openxmlformats.org/officeDocument/2006/relationships/hyperlink" Target="#'Skills'!A1" TargetMode="External" Id="rId6" /><Relationship Type="http://schemas.openxmlformats.org/officeDocument/2006/relationships/hyperlink" Target="#'Years'!A1" TargetMode="External" Id="rId7" /><Relationship Type="http://schemas.openxmlformats.org/officeDocument/2006/relationships/hyperlink" Target="#'Lists'!A1" TargetMode="External" Id="rId8" /><Relationship Type="http://schemas.openxmlformats.org/officeDocument/2006/relationships/hyperlink" Target="#'Skill Sets'!A1" TargetMode="External" Id="rId9" /><Relationship Type="http://schemas.openxmlformats.org/officeDocument/2006/relationships/hyperlink" Target="#'Settings'!A1" TargetMode="External" Id="rId10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4" customHeight="1">
      <c r="A1" s="1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  <c r="K1" s="3" t="n"/>
      <c r="L1" s="3" t="n"/>
    </row>
    <row r="2">
      <c r="A2" s="4" t="inlineStr">
        <is>
          <t>How to use this skill matrix</t>
        </is>
      </c>
    </row>
    <row r="3" ht="36" customHeight="1">
      <c r="A3" s="5" t="inlineStr">
        <is>
          <t>Rate skillsets from 1 to 5 for a live-event vision crew. Skill Matrix is this year's grid. Dashboard compares any two years. Sample data is included — replace it with your crew.</t>
        </is>
      </c>
    </row>
    <row r="5">
      <c r="A5" s="6" t="inlineStr">
        <is>
          <t>1. This year's crew grid</t>
        </is>
      </c>
      <c r="B5" s="3" t="n"/>
      <c r="C5" s="3" t="n"/>
      <c r="D5" s="3" t="n"/>
      <c r="E5" s="3" t="n"/>
      <c r="F5" s="3" t="n"/>
      <c r="G5" s="7" t="inlineStr">
        <is>
          <t>2. Compare years on the Dashboard</t>
        </is>
      </c>
      <c r="H5" s="8" t="n"/>
      <c r="I5" s="8" t="n"/>
      <c r="J5" s="8" t="n"/>
      <c r="K5" s="8" t="n"/>
      <c r="L5" s="8" t="n"/>
    </row>
    <row r="6">
      <c r="A6" s="9" t="inlineStr">
        <is>
          <t>Open Skill Matrix. Each row is one person. Each column is one skillset. Only the selected year is shown (defaults to this calendar year).
Type 1-5 on the Ratings sheet. The grid updates.
There is no second year or Change column here — that lives on the Dashboard.</t>
        </is>
      </c>
      <c r="B6" s="10" t="n"/>
      <c r="C6" s="10" t="n"/>
      <c r="D6" s="10" t="n"/>
      <c r="E6" s="10" t="n"/>
      <c r="F6" s="10" t="n"/>
      <c r="G6" s="9" t="inlineStr">
        <is>
          <t>Pick From year and To year (for example 2023 and 2026, or year 1 vs year 5).
Team — average for each year, change, a line chart, and each skillset From / To / Change.
Employee — that person's scores for the two years.
Skillset — who is strongest in the To year, with change vs From.</t>
        </is>
      </c>
      <c r="H6" s="10" t="n"/>
      <c r="I6" s="10" t="n"/>
      <c r="J6" s="10" t="n"/>
      <c r="K6" s="10" t="n"/>
      <c r="L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6">
      <c r="A16" s="13" t="inlineStr">
        <is>
          <t>3. Add people and skillsets</t>
        </is>
      </c>
      <c r="B16" s="14" t="n"/>
      <c r="C16" s="14" t="n"/>
      <c r="D16" s="14" t="n"/>
      <c r="E16" s="14" t="n"/>
      <c r="F16" s="14" t="n"/>
      <c r="G16" s="15" t="inlineStr">
        <is>
          <t>4. New year</t>
        </is>
      </c>
      <c r="H16" s="16" t="n"/>
      <c r="I16" s="16" t="n"/>
      <c r="J16" s="16" t="n"/>
      <c r="K16" s="16" t="n"/>
      <c r="L16" s="16" t="n"/>
    </row>
    <row r="17">
      <c r="A17" s="9" t="inlineStr">
        <is>
          <t>Employees — next yellow row. Type the name, pick Department (Vision, Sound, Lighting, Staging), fill Hire date.
Skillsets — next yellow row on Skills. Every person gets a rating row for the new skillset.
Skill Sets — add the name in the yellow Skill set name column, then a matching row (same name + skill) so Dashboard can rank who can do that job.
Lists — departments only. Add another department in a yellow row, then choose it on Employees.</t>
        </is>
      </c>
      <c r="B17" s="10" t="n"/>
      <c r="C17" s="10" t="n"/>
      <c r="D17" s="10" t="n"/>
      <c r="E17" s="10" t="n"/>
      <c r="F17" s="10" t="n"/>
      <c r="G17" s="9" t="inlineStr">
        <is>
          <t>Years 2023-2034 are already on Ratings. When a new year starts, fill that column. Skill Matrix follows the calendar year unless you pick another year.
To add 2035 or later: type it in the next yellow row on Years, oldest to newest.</t>
        </is>
      </c>
      <c r="H17" s="10" t="n"/>
      <c r="I17" s="10" t="n"/>
      <c r="J17" s="10" t="n"/>
      <c r="K17" s="10" t="n"/>
      <c r="L17" s="10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6">
      <c r="A26" s="17" t="inlineStr">
        <is>
          <t>Rating scale</t>
        </is>
      </c>
    </row>
    <row r="27">
      <c r="A27" s="18" t="inlineStr">
        <is>
          <t>1  Beginner</t>
        </is>
      </c>
      <c r="B27" s="19" t="n"/>
      <c r="C27" s="20" t="inlineStr">
        <is>
          <t>2  Basic</t>
        </is>
      </c>
      <c r="D27" s="21" t="n"/>
      <c r="E27" s="22" t="inlineStr">
        <is>
          <t>3  Competent</t>
        </is>
      </c>
      <c r="F27" s="23" t="n"/>
      <c r="G27" s="24" t="inlineStr">
        <is>
          <t>4  Proficient</t>
        </is>
      </c>
      <c r="H27" s="25" t="n"/>
      <c r="I27" s="26" t="inlineStr">
        <is>
          <t>5  Expert</t>
        </is>
      </c>
      <c r="J27" s="27" t="n"/>
    </row>
    <row r="28">
      <c r="A28" s="28" t="inlineStr">
        <is>
          <t>Little or no hands-on experience. Needs close guidance.</t>
        </is>
      </c>
      <c r="B28" s="19" t="n"/>
      <c r="C28" s="29" t="inlineStr">
        <is>
          <t>Can complete simple tasks with help or a checklist.</t>
        </is>
      </c>
      <c r="D28" s="21" t="n"/>
      <c r="E28" s="30" t="inlineStr">
        <is>
          <t>Works independently on standard tasks. Meets the target.</t>
        </is>
      </c>
      <c r="F28" s="23" t="n"/>
      <c r="G28" s="31" t="inlineStr">
        <is>
          <t>Handles complex work and can coach others.</t>
        </is>
      </c>
      <c r="H28" s="25" t="n"/>
      <c r="I28" s="32" t="inlineStr">
        <is>
          <t>Go-to specialist. Sets the standard for the team.</t>
        </is>
      </c>
      <c r="J28" s="27" t="n"/>
    </row>
    <row r="29" ht="32" customHeight="1">
      <c r="A29" s="19" t="n"/>
      <c r="B29" s="19" t="n"/>
      <c r="C29" s="21" t="n"/>
      <c r="D29" s="21" t="n"/>
      <c r="E29" s="23" t="n"/>
      <c r="F29" s="23" t="n"/>
      <c r="G29" s="25" t="n"/>
      <c r="H29" s="25" t="n"/>
      <c r="I29" s="27" t="n"/>
      <c r="J29" s="27" t="n"/>
    </row>
    <row r="31">
      <c r="A31" s="33" t="inlineStr">
        <is>
          <t>Microsoft 365 / Excel 2021+ is recommended (MAXIFS, SUMIFS, LOOKUP). A hidden Data/Calc pair powers the dashboard — you do not need to edit those sheets.</t>
        </is>
      </c>
    </row>
    <row r="32"/>
  </sheetData>
  <mergeCells count="22">
    <mergeCell ref="A16:F16"/>
    <mergeCell ref="E28:F29"/>
    <mergeCell ref="G28:H29"/>
    <mergeCell ref="G27:H27"/>
    <mergeCell ref="A17:F24"/>
    <mergeCell ref="I27:J27"/>
    <mergeCell ref="A3:L3"/>
    <mergeCell ref="A26:L26"/>
    <mergeCell ref="A2:L2"/>
    <mergeCell ref="G5:L5"/>
    <mergeCell ref="A6:F14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I28:J29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24" customHeight="1">
      <c r="A1" s="2" t="inlineStr">
        <is>
          <t>How to Use</t>
        </is>
      </c>
      <c r="B1" s="1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  <c r="K1" s="3" t="n"/>
      <c r="L1" s="3" t="n"/>
      <c r="M1" s="3" t="n"/>
      <c r="N1" s="3" t="n"/>
      <c r="O1" s="3" t="n"/>
      <c r="P1" s="3" t="n"/>
      <c r="Q1" s="3" t="n"/>
      <c r="R1" s="3" t="n"/>
    </row>
    <row r="2" ht="28" customHeight="1">
      <c r="A2" s="4" t="inlineStr">
        <is>
          <t>Crew skill matrix</t>
        </is>
      </c>
      <c r="G2" s="34" t="inlineStr">
        <is>
          <t>This year's scores only. Compare years on the Dashboard.</t>
        </is>
      </c>
    </row>
    <row r="3" ht="28" customHeight="1">
      <c r="A3" s="35" t="inlineStr">
        <is>
          <t>Year</t>
        </is>
      </c>
      <c r="B3" s="36">
        <f>CalendarYear</f>
        <v/>
      </c>
      <c r="C3" s="37">
        <f>HYPERLINK("#'Ratings'!A1","Type 1-5 on Ratings")</f>
        <v/>
      </c>
      <c r="F3" s="38" t="inlineStr">
        <is>
          <t>Shows one year (defaults to this calendar year). Year-to-year comparison is on Dashboard.</t>
        </is>
      </c>
    </row>
    <row r="4" ht="18" customHeight="1">
      <c r="A4" s="39" t="inlineStr">
        <is>
          <t>Employee</t>
        </is>
      </c>
      <c r="B4" s="39" t="inlineStr">
        <is>
          <t>Department</t>
        </is>
      </c>
      <c r="C4" s="40">
        <f>IF('Skills'!B6="","",'Skills'!C6)</f>
        <v/>
      </c>
      <c r="D4" s="40">
        <f>IF('Skills'!B7="","",'Skills'!C7)</f>
        <v/>
      </c>
      <c r="E4" s="40">
        <f>IF('Skills'!B8="","",'Skills'!C8)</f>
        <v/>
      </c>
      <c r="F4" s="40">
        <f>IF('Skills'!B9="","",'Skills'!C9)</f>
        <v/>
      </c>
      <c r="G4" s="40">
        <f>IF('Skills'!B10="","",'Skills'!C10)</f>
        <v/>
      </c>
      <c r="H4" s="40">
        <f>IF('Skills'!B11="","",'Skills'!C11)</f>
        <v/>
      </c>
      <c r="I4" s="40">
        <f>IF('Skills'!B12="","",'Skills'!C12)</f>
        <v/>
      </c>
      <c r="J4" s="40">
        <f>IF('Skills'!B13="","",'Skills'!C13)</f>
        <v/>
      </c>
      <c r="K4" s="40">
        <f>IF('Skills'!B14="","",'Skills'!C14)</f>
        <v/>
      </c>
      <c r="L4" s="40">
        <f>IF('Skills'!B15="","",'Skills'!C15)</f>
        <v/>
      </c>
      <c r="M4" s="40">
        <f>IF('Skills'!B16="","",'Skills'!C16)</f>
        <v/>
      </c>
      <c r="N4" s="40">
        <f>IF('Skills'!B17="","",'Skills'!C17)</f>
        <v/>
      </c>
      <c r="O4" s="40">
        <f>IF('Skills'!B18="","",'Skills'!C18)</f>
        <v/>
      </c>
      <c r="P4" s="40">
        <f>IF('Skills'!B19="","",'Skills'!C19)</f>
        <v/>
      </c>
      <c r="Q4" s="40">
        <f>IF('Skills'!B20="","",'Skills'!C20)</f>
        <v/>
      </c>
      <c r="R4" s="40">
        <f>IF('Skills'!B21="","",'Skills'!C21)</f>
        <v/>
      </c>
    </row>
    <row r="5" ht="36" customHeight="1">
      <c r="A5" s="41" t="n"/>
      <c r="B5" s="41" t="n"/>
      <c r="C5" s="42">
        <f>IF('Skills'!B6="","",'Skills'!B6)</f>
        <v/>
      </c>
      <c r="D5" s="42">
        <f>IF('Skills'!B7="","",'Skills'!B7)</f>
        <v/>
      </c>
      <c r="E5" s="42">
        <f>IF('Skills'!B8="","",'Skills'!B8)</f>
        <v/>
      </c>
      <c r="F5" s="42">
        <f>IF('Skills'!B9="","",'Skills'!B9)</f>
        <v/>
      </c>
      <c r="G5" s="42">
        <f>IF('Skills'!B10="","",'Skills'!B10)</f>
        <v/>
      </c>
      <c r="H5" s="42">
        <f>IF('Skills'!B11="","",'Skills'!B11)</f>
        <v/>
      </c>
      <c r="I5" s="42">
        <f>IF('Skills'!B12="","",'Skills'!B12)</f>
        <v/>
      </c>
      <c r="J5" s="42">
        <f>IF('Skills'!B13="","",'Skills'!B13)</f>
        <v/>
      </c>
      <c r="K5" s="42">
        <f>IF('Skills'!B14="","",'Skills'!B14)</f>
        <v/>
      </c>
      <c r="L5" s="42">
        <f>IF('Skills'!B15="","",'Skills'!B15)</f>
        <v/>
      </c>
      <c r="M5" s="42">
        <f>IF('Skills'!B16="","",'Skills'!B16)</f>
        <v/>
      </c>
      <c r="N5" s="42">
        <f>IF('Skills'!B17="","",'Skills'!B17)</f>
        <v/>
      </c>
      <c r="O5" s="42">
        <f>IF('Skills'!B18="","",'Skills'!B18)</f>
        <v/>
      </c>
      <c r="P5" s="42">
        <f>IF('Skills'!B19="","",'Skills'!B19)</f>
        <v/>
      </c>
      <c r="Q5" s="42">
        <f>IF('Skills'!B20="","",'Skills'!B20)</f>
        <v/>
      </c>
      <c r="R5" s="42">
        <f>IF('Skills'!B21="","",'Skills'!B21)</f>
        <v/>
      </c>
    </row>
    <row r="6" ht="22" customHeight="1">
      <c r="A6" s="43">
        <f>IF('Employees'!B6="","",'Employees'!B6)</f>
        <v/>
      </c>
      <c r="B6" s="44">
        <f>IF(A6="","",'Employees'!C6)</f>
        <v/>
      </c>
      <c r="C6" s="45">
        <f>IF(OR($A6="",C$5="",ViewYear=""),"",IF(SUMIFS(DataRating,DataEmployee,$A6,DataSkill,C$5,DataYear,ViewYear)=0,"",SUMIFS(DataRating,DataEmployee,$A6,DataSkill,C$5,DataYear,ViewYear)))</f>
        <v/>
      </c>
      <c r="D6" s="45">
        <f>IF(OR($A6="",D$5="",ViewYear=""),"",IF(SUMIFS(DataRating,DataEmployee,$A6,DataSkill,D$5,DataYear,ViewYear)=0,"",SUMIFS(DataRating,DataEmployee,$A6,DataSkill,D$5,DataYear,ViewYear)))</f>
        <v/>
      </c>
      <c r="E6" s="45">
        <f>IF(OR($A6="",E$5="",ViewYear=""),"",IF(SUMIFS(DataRating,DataEmployee,$A6,DataSkill,E$5,DataYear,ViewYear)=0,"",SUMIFS(DataRating,DataEmployee,$A6,DataSkill,E$5,DataYear,ViewYear)))</f>
        <v/>
      </c>
      <c r="F6" s="45">
        <f>IF(OR($A6="",F$5="",ViewYear=""),"",IF(SUMIFS(DataRating,DataEmployee,$A6,DataSkill,F$5,DataYear,ViewYear)=0,"",SUMIFS(DataRating,DataEmployee,$A6,DataSkill,F$5,DataYear,ViewYear)))</f>
        <v/>
      </c>
      <c r="G6" s="45">
        <f>IF(OR($A6="",G$5="",ViewYear=""),"",IF(SUMIFS(DataRating,DataEmployee,$A6,DataSkill,G$5,DataYear,ViewYear)=0,"",SUMIFS(DataRating,DataEmployee,$A6,DataSkill,G$5,DataYear,ViewYear)))</f>
        <v/>
      </c>
      <c r="H6" s="45">
        <f>IF(OR($A6="",H$5="",ViewYear=""),"",IF(SUMIFS(DataRating,DataEmployee,$A6,DataSkill,H$5,DataYear,ViewYear)=0,"",SUMIFS(DataRating,DataEmployee,$A6,DataSkill,H$5,DataYear,ViewYear)))</f>
        <v/>
      </c>
      <c r="I6" s="45">
        <f>IF(OR($A6="",I$5="",ViewYear=""),"",IF(SUMIFS(DataRating,DataEmployee,$A6,DataSkill,I$5,DataYear,ViewYear)=0,"",SUMIFS(DataRating,DataEmployee,$A6,DataSkill,I$5,DataYear,ViewYear)))</f>
        <v/>
      </c>
      <c r="J6" s="45">
        <f>IF(OR($A6="",J$5="",ViewYear=""),"",IF(SUMIFS(DataRating,DataEmployee,$A6,DataSkill,J$5,DataYear,ViewYear)=0,"",SUMIFS(DataRating,DataEmployee,$A6,DataSkill,J$5,DataYear,ViewYear)))</f>
        <v/>
      </c>
      <c r="K6" s="45">
        <f>IF(OR($A6="",K$5="",ViewYear=""),"",IF(SUMIFS(DataRating,DataEmployee,$A6,DataSkill,K$5,DataYear,ViewYear)=0,"",SUMIFS(DataRating,DataEmployee,$A6,DataSkill,K$5,DataYear,ViewYear)))</f>
        <v/>
      </c>
      <c r="L6" s="45">
        <f>IF(OR($A6="",L$5="",ViewYear=""),"",IF(SUMIFS(DataRating,DataEmployee,$A6,DataSkill,L$5,DataYear,ViewYear)=0,"",SUMIFS(DataRating,DataEmployee,$A6,DataSkill,L$5,DataYear,ViewYear)))</f>
        <v/>
      </c>
      <c r="M6" s="45">
        <f>IF(OR($A6="",M$5="",ViewYear=""),"",IF(SUMIFS(DataRating,DataEmployee,$A6,DataSkill,M$5,DataYear,ViewYear)=0,"",SUMIFS(DataRating,DataEmployee,$A6,DataSkill,M$5,DataYear,ViewYear)))</f>
        <v/>
      </c>
      <c r="N6" s="45">
        <f>IF(OR($A6="",N$5="",ViewYear=""),"",IF(SUMIFS(DataRating,DataEmployee,$A6,DataSkill,N$5,DataYear,ViewYear)=0,"",SUMIFS(DataRating,DataEmployee,$A6,DataSkill,N$5,DataYear,ViewYear)))</f>
        <v/>
      </c>
      <c r="O6" s="45">
        <f>IF(OR($A6="",O$5="",ViewYear=""),"",IF(SUMIFS(DataRating,DataEmployee,$A6,DataSkill,O$5,DataYear,ViewYear)=0,"",SUMIFS(DataRating,DataEmployee,$A6,DataSkill,O$5,DataYear,ViewYear)))</f>
        <v/>
      </c>
      <c r="P6" s="45">
        <f>IF(OR($A6="",P$5="",ViewYear=""),"",IF(SUMIFS(DataRating,DataEmployee,$A6,DataSkill,P$5,DataYear,ViewYear)=0,"",SUMIFS(DataRating,DataEmployee,$A6,DataSkill,P$5,DataYear,ViewYear)))</f>
        <v/>
      </c>
      <c r="Q6" s="45">
        <f>IF(OR($A6="",Q$5="",ViewYear=""),"",IF(SUMIFS(DataRating,DataEmployee,$A6,DataSkill,Q$5,DataYear,ViewYear)=0,"",SUMIFS(DataRating,DataEmployee,$A6,DataSkill,Q$5,DataYear,ViewYear)))</f>
        <v/>
      </c>
      <c r="R6" s="45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3">
        <f>IF('Employees'!B7="","",'Employees'!B7)</f>
        <v/>
      </c>
      <c r="B7" s="44">
        <f>IF(A7="","",'Employees'!C7)</f>
        <v/>
      </c>
      <c r="C7" s="45">
        <f>IF(OR($A7="",C$5="",ViewYear=""),"",IF(SUMIFS(DataRating,DataEmployee,$A7,DataSkill,C$5,DataYear,ViewYear)=0,"",SUMIFS(DataRating,DataEmployee,$A7,DataSkill,C$5,DataYear,ViewYear)))</f>
        <v/>
      </c>
      <c r="D7" s="45">
        <f>IF(OR($A7="",D$5="",ViewYear=""),"",IF(SUMIFS(DataRating,DataEmployee,$A7,DataSkill,D$5,DataYear,ViewYear)=0,"",SUMIFS(DataRating,DataEmployee,$A7,DataSkill,D$5,DataYear,ViewYear)))</f>
        <v/>
      </c>
      <c r="E7" s="45">
        <f>IF(OR($A7="",E$5="",ViewYear=""),"",IF(SUMIFS(DataRating,DataEmployee,$A7,DataSkill,E$5,DataYear,ViewYear)=0,"",SUMIFS(DataRating,DataEmployee,$A7,DataSkill,E$5,DataYear,ViewYear)))</f>
        <v/>
      </c>
      <c r="F7" s="45">
        <f>IF(OR($A7="",F$5="",ViewYear=""),"",IF(SUMIFS(DataRating,DataEmployee,$A7,DataSkill,F$5,DataYear,ViewYear)=0,"",SUMIFS(DataRating,DataEmployee,$A7,DataSkill,F$5,DataYear,ViewYear)))</f>
        <v/>
      </c>
      <c r="G7" s="45">
        <f>IF(OR($A7="",G$5="",ViewYear=""),"",IF(SUMIFS(DataRating,DataEmployee,$A7,DataSkill,G$5,DataYear,ViewYear)=0,"",SUMIFS(DataRating,DataEmployee,$A7,DataSkill,G$5,DataYear,ViewYear)))</f>
        <v/>
      </c>
      <c r="H7" s="45">
        <f>IF(OR($A7="",H$5="",ViewYear=""),"",IF(SUMIFS(DataRating,DataEmployee,$A7,DataSkill,H$5,DataYear,ViewYear)=0,"",SUMIFS(DataRating,DataEmployee,$A7,DataSkill,H$5,DataYear,ViewYear)))</f>
        <v/>
      </c>
      <c r="I7" s="45">
        <f>IF(OR($A7="",I$5="",ViewYear=""),"",IF(SUMIFS(DataRating,DataEmployee,$A7,DataSkill,I$5,DataYear,ViewYear)=0,"",SUMIFS(DataRating,DataEmployee,$A7,DataSkill,I$5,DataYear,ViewYear)))</f>
        <v/>
      </c>
      <c r="J7" s="45">
        <f>IF(OR($A7="",J$5="",ViewYear=""),"",IF(SUMIFS(DataRating,DataEmployee,$A7,DataSkill,J$5,DataYear,ViewYear)=0,"",SUMIFS(DataRating,DataEmployee,$A7,DataSkill,J$5,DataYear,ViewYear)))</f>
        <v/>
      </c>
      <c r="K7" s="45">
        <f>IF(OR($A7="",K$5="",ViewYear=""),"",IF(SUMIFS(DataRating,DataEmployee,$A7,DataSkill,K$5,DataYear,ViewYear)=0,"",SUMIFS(DataRating,DataEmployee,$A7,DataSkill,K$5,DataYear,ViewYear)))</f>
        <v/>
      </c>
      <c r="L7" s="45">
        <f>IF(OR($A7="",L$5="",ViewYear=""),"",IF(SUMIFS(DataRating,DataEmployee,$A7,DataSkill,L$5,DataYear,ViewYear)=0,"",SUMIFS(DataRating,DataEmployee,$A7,DataSkill,L$5,DataYear,ViewYear)))</f>
        <v/>
      </c>
      <c r="M7" s="45">
        <f>IF(OR($A7="",M$5="",ViewYear=""),"",IF(SUMIFS(DataRating,DataEmployee,$A7,DataSkill,M$5,DataYear,ViewYear)=0,"",SUMIFS(DataRating,DataEmployee,$A7,DataSkill,M$5,DataYear,ViewYear)))</f>
        <v/>
      </c>
      <c r="N7" s="45">
        <f>IF(OR($A7="",N$5="",ViewYear=""),"",IF(SUMIFS(DataRating,DataEmployee,$A7,DataSkill,N$5,DataYear,ViewYear)=0,"",SUMIFS(DataRating,DataEmployee,$A7,DataSkill,N$5,DataYear,ViewYear)))</f>
        <v/>
      </c>
      <c r="O7" s="45">
        <f>IF(OR($A7="",O$5="",ViewYear=""),"",IF(SUMIFS(DataRating,DataEmployee,$A7,DataSkill,O$5,DataYear,ViewYear)=0,"",SUMIFS(DataRating,DataEmployee,$A7,DataSkill,O$5,DataYear,ViewYear)))</f>
        <v/>
      </c>
      <c r="P7" s="45">
        <f>IF(OR($A7="",P$5="",ViewYear=""),"",IF(SUMIFS(DataRating,DataEmployee,$A7,DataSkill,P$5,DataYear,ViewYear)=0,"",SUMIFS(DataRating,DataEmployee,$A7,DataSkill,P$5,DataYear,ViewYear)))</f>
        <v/>
      </c>
      <c r="Q7" s="45">
        <f>IF(OR($A7="",Q$5="",ViewYear=""),"",IF(SUMIFS(DataRating,DataEmployee,$A7,DataSkill,Q$5,DataYear,ViewYear)=0,"",SUMIFS(DataRating,DataEmployee,$A7,DataSkill,Q$5,DataYear,ViewYear)))</f>
        <v/>
      </c>
      <c r="R7" s="45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3">
        <f>IF('Employees'!B8="","",'Employees'!B8)</f>
        <v/>
      </c>
      <c r="B8" s="44">
        <f>IF(A8="","",'Employees'!C8)</f>
        <v/>
      </c>
      <c r="C8" s="45">
        <f>IF(OR($A8="",C$5="",ViewYear=""),"",IF(SUMIFS(DataRating,DataEmployee,$A8,DataSkill,C$5,DataYear,ViewYear)=0,"",SUMIFS(DataRating,DataEmployee,$A8,DataSkill,C$5,DataYear,ViewYear)))</f>
        <v/>
      </c>
      <c r="D8" s="45">
        <f>IF(OR($A8="",D$5="",ViewYear=""),"",IF(SUMIFS(DataRating,DataEmployee,$A8,DataSkill,D$5,DataYear,ViewYear)=0,"",SUMIFS(DataRating,DataEmployee,$A8,DataSkill,D$5,DataYear,ViewYear)))</f>
        <v/>
      </c>
      <c r="E8" s="45">
        <f>IF(OR($A8="",E$5="",ViewYear=""),"",IF(SUMIFS(DataRating,DataEmployee,$A8,DataSkill,E$5,DataYear,ViewYear)=0,"",SUMIFS(DataRating,DataEmployee,$A8,DataSkill,E$5,DataYear,ViewYear)))</f>
        <v/>
      </c>
      <c r="F8" s="45">
        <f>IF(OR($A8="",F$5="",ViewYear=""),"",IF(SUMIFS(DataRating,DataEmployee,$A8,DataSkill,F$5,DataYear,ViewYear)=0,"",SUMIFS(DataRating,DataEmployee,$A8,DataSkill,F$5,DataYear,ViewYear)))</f>
        <v/>
      </c>
      <c r="G8" s="45">
        <f>IF(OR($A8="",G$5="",ViewYear=""),"",IF(SUMIFS(DataRating,DataEmployee,$A8,DataSkill,G$5,DataYear,ViewYear)=0,"",SUMIFS(DataRating,DataEmployee,$A8,DataSkill,G$5,DataYear,ViewYear)))</f>
        <v/>
      </c>
      <c r="H8" s="45">
        <f>IF(OR($A8="",H$5="",ViewYear=""),"",IF(SUMIFS(DataRating,DataEmployee,$A8,DataSkill,H$5,DataYear,ViewYear)=0,"",SUMIFS(DataRating,DataEmployee,$A8,DataSkill,H$5,DataYear,ViewYear)))</f>
        <v/>
      </c>
      <c r="I8" s="45">
        <f>IF(OR($A8="",I$5="",ViewYear=""),"",IF(SUMIFS(DataRating,DataEmployee,$A8,DataSkill,I$5,DataYear,ViewYear)=0,"",SUMIFS(DataRating,DataEmployee,$A8,DataSkill,I$5,DataYear,ViewYear)))</f>
        <v/>
      </c>
      <c r="J8" s="45">
        <f>IF(OR($A8="",J$5="",ViewYear=""),"",IF(SUMIFS(DataRating,DataEmployee,$A8,DataSkill,J$5,DataYear,ViewYear)=0,"",SUMIFS(DataRating,DataEmployee,$A8,DataSkill,J$5,DataYear,ViewYear)))</f>
        <v/>
      </c>
      <c r="K8" s="45">
        <f>IF(OR($A8="",K$5="",ViewYear=""),"",IF(SUMIFS(DataRating,DataEmployee,$A8,DataSkill,K$5,DataYear,ViewYear)=0,"",SUMIFS(DataRating,DataEmployee,$A8,DataSkill,K$5,DataYear,ViewYear)))</f>
        <v/>
      </c>
      <c r="L8" s="45">
        <f>IF(OR($A8="",L$5="",ViewYear=""),"",IF(SUMIFS(DataRating,DataEmployee,$A8,DataSkill,L$5,DataYear,ViewYear)=0,"",SUMIFS(DataRating,DataEmployee,$A8,DataSkill,L$5,DataYear,ViewYear)))</f>
        <v/>
      </c>
      <c r="M8" s="45">
        <f>IF(OR($A8="",M$5="",ViewYear=""),"",IF(SUMIFS(DataRating,DataEmployee,$A8,DataSkill,M$5,DataYear,ViewYear)=0,"",SUMIFS(DataRating,DataEmployee,$A8,DataSkill,M$5,DataYear,ViewYear)))</f>
        <v/>
      </c>
      <c r="N8" s="45">
        <f>IF(OR($A8="",N$5="",ViewYear=""),"",IF(SUMIFS(DataRating,DataEmployee,$A8,DataSkill,N$5,DataYear,ViewYear)=0,"",SUMIFS(DataRating,DataEmployee,$A8,DataSkill,N$5,DataYear,ViewYear)))</f>
        <v/>
      </c>
      <c r="O8" s="45">
        <f>IF(OR($A8="",O$5="",ViewYear=""),"",IF(SUMIFS(DataRating,DataEmployee,$A8,DataSkill,O$5,DataYear,ViewYear)=0,"",SUMIFS(DataRating,DataEmployee,$A8,DataSkill,O$5,DataYear,ViewYear)))</f>
        <v/>
      </c>
      <c r="P8" s="45">
        <f>IF(OR($A8="",P$5="",ViewYear=""),"",IF(SUMIFS(DataRating,DataEmployee,$A8,DataSkill,P$5,DataYear,ViewYear)=0,"",SUMIFS(DataRating,DataEmployee,$A8,DataSkill,P$5,DataYear,ViewYear)))</f>
        <v/>
      </c>
      <c r="Q8" s="45">
        <f>IF(OR($A8="",Q$5="",ViewYear=""),"",IF(SUMIFS(DataRating,DataEmployee,$A8,DataSkill,Q$5,DataYear,ViewYear)=0,"",SUMIFS(DataRating,DataEmployee,$A8,DataSkill,Q$5,DataYear,ViewYear)))</f>
        <v/>
      </c>
      <c r="R8" s="45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3">
        <f>IF('Employees'!B9="","",'Employees'!B9)</f>
        <v/>
      </c>
      <c r="B9" s="44">
        <f>IF(A9="","",'Employees'!C9)</f>
        <v/>
      </c>
      <c r="C9" s="45">
        <f>IF(OR($A9="",C$5="",ViewYear=""),"",IF(SUMIFS(DataRating,DataEmployee,$A9,DataSkill,C$5,DataYear,ViewYear)=0,"",SUMIFS(DataRating,DataEmployee,$A9,DataSkill,C$5,DataYear,ViewYear)))</f>
        <v/>
      </c>
      <c r="D9" s="45">
        <f>IF(OR($A9="",D$5="",ViewYear=""),"",IF(SUMIFS(DataRating,DataEmployee,$A9,DataSkill,D$5,DataYear,ViewYear)=0,"",SUMIFS(DataRating,DataEmployee,$A9,DataSkill,D$5,DataYear,ViewYear)))</f>
        <v/>
      </c>
      <c r="E9" s="45">
        <f>IF(OR($A9="",E$5="",ViewYear=""),"",IF(SUMIFS(DataRating,DataEmployee,$A9,DataSkill,E$5,DataYear,ViewYear)=0,"",SUMIFS(DataRating,DataEmployee,$A9,DataSkill,E$5,DataYear,ViewYear)))</f>
        <v/>
      </c>
      <c r="F9" s="45">
        <f>IF(OR($A9="",F$5="",ViewYear=""),"",IF(SUMIFS(DataRating,DataEmployee,$A9,DataSkill,F$5,DataYear,ViewYear)=0,"",SUMIFS(DataRating,DataEmployee,$A9,DataSkill,F$5,DataYear,ViewYear)))</f>
        <v/>
      </c>
      <c r="G9" s="45">
        <f>IF(OR($A9="",G$5="",ViewYear=""),"",IF(SUMIFS(DataRating,DataEmployee,$A9,DataSkill,G$5,DataYear,ViewYear)=0,"",SUMIFS(DataRating,DataEmployee,$A9,DataSkill,G$5,DataYear,ViewYear)))</f>
        <v/>
      </c>
      <c r="H9" s="45">
        <f>IF(OR($A9="",H$5="",ViewYear=""),"",IF(SUMIFS(DataRating,DataEmployee,$A9,DataSkill,H$5,DataYear,ViewYear)=0,"",SUMIFS(DataRating,DataEmployee,$A9,DataSkill,H$5,DataYear,ViewYear)))</f>
        <v/>
      </c>
      <c r="I9" s="45">
        <f>IF(OR($A9="",I$5="",ViewYear=""),"",IF(SUMIFS(DataRating,DataEmployee,$A9,DataSkill,I$5,DataYear,ViewYear)=0,"",SUMIFS(DataRating,DataEmployee,$A9,DataSkill,I$5,DataYear,ViewYear)))</f>
        <v/>
      </c>
      <c r="J9" s="45">
        <f>IF(OR($A9="",J$5="",ViewYear=""),"",IF(SUMIFS(DataRating,DataEmployee,$A9,DataSkill,J$5,DataYear,ViewYear)=0,"",SUMIFS(DataRating,DataEmployee,$A9,DataSkill,J$5,DataYear,ViewYear)))</f>
        <v/>
      </c>
      <c r="K9" s="45">
        <f>IF(OR($A9="",K$5="",ViewYear=""),"",IF(SUMIFS(DataRating,DataEmployee,$A9,DataSkill,K$5,DataYear,ViewYear)=0,"",SUMIFS(DataRating,DataEmployee,$A9,DataSkill,K$5,DataYear,ViewYear)))</f>
        <v/>
      </c>
      <c r="L9" s="45">
        <f>IF(OR($A9="",L$5="",ViewYear=""),"",IF(SUMIFS(DataRating,DataEmployee,$A9,DataSkill,L$5,DataYear,ViewYear)=0,"",SUMIFS(DataRating,DataEmployee,$A9,DataSkill,L$5,DataYear,ViewYear)))</f>
        <v/>
      </c>
      <c r="M9" s="45">
        <f>IF(OR($A9="",M$5="",ViewYear=""),"",IF(SUMIFS(DataRating,DataEmployee,$A9,DataSkill,M$5,DataYear,ViewYear)=0,"",SUMIFS(DataRating,DataEmployee,$A9,DataSkill,M$5,DataYear,ViewYear)))</f>
        <v/>
      </c>
      <c r="N9" s="45">
        <f>IF(OR($A9="",N$5="",ViewYear=""),"",IF(SUMIFS(DataRating,DataEmployee,$A9,DataSkill,N$5,DataYear,ViewYear)=0,"",SUMIFS(DataRating,DataEmployee,$A9,DataSkill,N$5,DataYear,ViewYear)))</f>
        <v/>
      </c>
      <c r="O9" s="45">
        <f>IF(OR($A9="",O$5="",ViewYear=""),"",IF(SUMIFS(DataRating,DataEmployee,$A9,DataSkill,O$5,DataYear,ViewYear)=0,"",SUMIFS(DataRating,DataEmployee,$A9,DataSkill,O$5,DataYear,ViewYear)))</f>
        <v/>
      </c>
      <c r="P9" s="45">
        <f>IF(OR($A9="",P$5="",ViewYear=""),"",IF(SUMIFS(DataRating,DataEmployee,$A9,DataSkill,P$5,DataYear,ViewYear)=0,"",SUMIFS(DataRating,DataEmployee,$A9,DataSkill,P$5,DataYear,ViewYear)))</f>
        <v/>
      </c>
      <c r="Q9" s="45">
        <f>IF(OR($A9="",Q$5="",ViewYear=""),"",IF(SUMIFS(DataRating,DataEmployee,$A9,DataSkill,Q$5,DataYear,ViewYear)=0,"",SUMIFS(DataRating,DataEmployee,$A9,DataSkill,Q$5,DataYear,ViewYear)))</f>
        <v/>
      </c>
      <c r="R9" s="45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3">
        <f>IF('Employees'!B10="","",'Employees'!B10)</f>
        <v/>
      </c>
      <c r="B10" s="44">
        <f>IF(A10="","",'Employees'!C10)</f>
        <v/>
      </c>
      <c r="C10" s="45">
        <f>IF(OR($A10="",C$5="",ViewYear=""),"",IF(SUMIFS(DataRating,DataEmployee,$A10,DataSkill,C$5,DataYear,ViewYear)=0,"",SUMIFS(DataRating,DataEmployee,$A10,DataSkill,C$5,DataYear,ViewYear)))</f>
        <v/>
      </c>
      <c r="D10" s="45">
        <f>IF(OR($A10="",D$5="",ViewYear=""),"",IF(SUMIFS(DataRating,DataEmployee,$A10,DataSkill,D$5,DataYear,ViewYear)=0,"",SUMIFS(DataRating,DataEmployee,$A10,DataSkill,D$5,DataYear,ViewYear)))</f>
        <v/>
      </c>
      <c r="E10" s="45">
        <f>IF(OR($A10="",E$5="",ViewYear=""),"",IF(SUMIFS(DataRating,DataEmployee,$A10,DataSkill,E$5,DataYear,ViewYear)=0,"",SUMIFS(DataRating,DataEmployee,$A10,DataSkill,E$5,DataYear,ViewYear)))</f>
        <v/>
      </c>
      <c r="F10" s="45">
        <f>IF(OR($A10="",F$5="",ViewYear=""),"",IF(SUMIFS(DataRating,DataEmployee,$A10,DataSkill,F$5,DataYear,ViewYear)=0,"",SUMIFS(DataRating,DataEmployee,$A10,DataSkill,F$5,DataYear,ViewYear)))</f>
        <v/>
      </c>
      <c r="G10" s="45">
        <f>IF(OR($A10="",G$5="",ViewYear=""),"",IF(SUMIFS(DataRating,DataEmployee,$A10,DataSkill,G$5,DataYear,ViewYear)=0,"",SUMIFS(DataRating,DataEmployee,$A10,DataSkill,G$5,DataYear,ViewYear)))</f>
        <v/>
      </c>
      <c r="H10" s="45">
        <f>IF(OR($A10="",H$5="",ViewYear=""),"",IF(SUMIFS(DataRating,DataEmployee,$A10,DataSkill,H$5,DataYear,ViewYear)=0,"",SUMIFS(DataRating,DataEmployee,$A10,DataSkill,H$5,DataYear,ViewYear)))</f>
        <v/>
      </c>
      <c r="I10" s="45">
        <f>IF(OR($A10="",I$5="",ViewYear=""),"",IF(SUMIFS(DataRating,DataEmployee,$A10,DataSkill,I$5,DataYear,ViewYear)=0,"",SUMIFS(DataRating,DataEmployee,$A10,DataSkill,I$5,DataYear,ViewYear)))</f>
        <v/>
      </c>
      <c r="J10" s="45">
        <f>IF(OR($A10="",J$5="",ViewYear=""),"",IF(SUMIFS(DataRating,DataEmployee,$A10,DataSkill,J$5,DataYear,ViewYear)=0,"",SUMIFS(DataRating,DataEmployee,$A10,DataSkill,J$5,DataYear,ViewYear)))</f>
        <v/>
      </c>
      <c r="K10" s="45">
        <f>IF(OR($A10="",K$5="",ViewYear=""),"",IF(SUMIFS(DataRating,DataEmployee,$A10,DataSkill,K$5,DataYear,ViewYear)=0,"",SUMIFS(DataRating,DataEmployee,$A10,DataSkill,K$5,DataYear,ViewYear)))</f>
        <v/>
      </c>
      <c r="L10" s="45">
        <f>IF(OR($A10="",L$5="",ViewYear=""),"",IF(SUMIFS(DataRating,DataEmployee,$A10,DataSkill,L$5,DataYear,ViewYear)=0,"",SUMIFS(DataRating,DataEmployee,$A10,DataSkill,L$5,DataYear,ViewYear)))</f>
        <v/>
      </c>
      <c r="M10" s="45">
        <f>IF(OR($A10="",M$5="",ViewYear=""),"",IF(SUMIFS(DataRating,DataEmployee,$A10,DataSkill,M$5,DataYear,ViewYear)=0,"",SUMIFS(DataRating,DataEmployee,$A10,DataSkill,M$5,DataYear,ViewYear)))</f>
        <v/>
      </c>
      <c r="N10" s="45">
        <f>IF(OR($A10="",N$5="",ViewYear=""),"",IF(SUMIFS(DataRating,DataEmployee,$A10,DataSkill,N$5,DataYear,ViewYear)=0,"",SUMIFS(DataRating,DataEmployee,$A10,DataSkill,N$5,DataYear,ViewYear)))</f>
        <v/>
      </c>
      <c r="O10" s="45">
        <f>IF(OR($A10="",O$5="",ViewYear=""),"",IF(SUMIFS(DataRating,DataEmployee,$A10,DataSkill,O$5,DataYear,ViewYear)=0,"",SUMIFS(DataRating,DataEmployee,$A10,DataSkill,O$5,DataYear,ViewYear)))</f>
        <v/>
      </c>
      <c r="P10" s="45">
        <f>IF(OR($A10="",P$5="",ViewYear=""),"",IF(SUMIFS(DataRating,DataEmployee,$A10,DataSkill,P$5,DataYear,ViewYear)=0,"",SUMIFS(DataRating,DataEmployee,$A10,DataSkill,P$5,DataYear,ViewYear)))</f>
        <v/>
      </c>
      <c r="Q10" s="45">
        <f>IF(OR($A10="",Q$5="",ViewYear=""),"",IF(SUMIFS(DataRating,DataEmployee,$A10,DataSkill,Q$5,DataYear,ViewYear)=0,"",SUMIFS(DataRating,DataEmployee,$A10,DataSkill,Q$5,DataYear,ViewYear)))</f>
        <v/>
      </c>
      <c r="R10" s="45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3">
        <f>IF('Employees'!B11="","",'Employees'!B11)</f>
        <v/>
      </c>
      <c r="B11" s="44">
        <f>IF(A11="","",'Employees'!C11)</f>
        <v/>
      </c>
      <c r="C11" s="45">
        <f>IF(OR($A11="",C$5="",ViewYear=""),"",IF(SUMIFS(DataRating,DataEmployee,$A11,DataSkill,C$5,DataYear,ViewYear)=0,"",SUMIFS(DataRating,DataEmployee,$A11,DataSkill,C$5,DataYear,ViewYear)))</f>
        <v/>
      </c>
      <c r="D11" s="45">
        <f>IF(OR($A11="",D$5="",ViewYear=""),"",IF(SUMIFS(DataRating,DataEmployee,$A11,DataSkill,D$5,DataYear,ViewYear)=0,"",SUMIFS(DataRating,DataEmployee,$A11,DataSkill,D$5,DataYear,ViewYear)))</f>
        <v/>
      </c>
      <c r="E11" s="45">
        <f>IF(OR($A11="",E$5="",ViewYear=""),"",IF(SUMIFS(DataRating,DataEmployee,$A11,DataSkill,E$5,DataYear,ViewYear)=0,"",SUMIFS(DataRating,DataEmployee,$A11,DataSkill,E$5,DataYear,ViewYear)))</f>
        <v/>
      </c>
      <c r="F11" s="45">
        <f>IF(OR($A11="",F$5="",ViewYear=""),"",IF(SUMIFS(DataRating,DataEmployee,$A11,DataSkill,F$5,DataYear,ViewYear)=0,"",SUMIFS(DataRating,DataEmployee,$A11,DataSkill,F$5,DataYear,ViewYear)))</f>
        <v/>
      </c>
      <c r="G11" s="45">
        <f>IF(OR($A11="",G$5="",ViewYear=""),"",IF(SUMIFS(DataRating,DataEmployee,$A11,DataSkill,G$5,DataYear,ViewYear)=0,"",SUMIFS(DataRating,DataEmployee,$A11,DataSkill,G$5,DataYear,ViewYear)))</f>
        <v/>
      </c>
      <c r="H11" s="45">
        <f>IF(OR($A11="",H$5="",ViewYear=""),"",IF(SUMIFS(DataRating,DataEmployee,$A11,DataSkill,H$5,DataYear,ViewYear)=0,"",SUMIFS(DataRating,DataEmployee,$A11,DataSkill,H$5,DataYear,ViewYear)))</f>
        <v/>
      </c>
      <c r="I11" s="45">
        <f>IF(OR($A11="",I$5="",ViewYear=""),"",IF(SUMIFS(DataRating,DataEmployee,$A11,DataSkill,I$5,DataYear,ViewYear)=0,"",SUMIFS(DataRating,DataEmployee,$A11,DataSkill,I$5,DataYear,ViewYear)))</f>
        <v/>
      </c>
      <c r="J11" s="45">
        <f>IF(OR($A11="",J$5="",ViewYear=""),"",IF(SUMIFS(DataRating,DataEmployee,$A11,DataSkill,J$5,DataYear,ViewYear)=0,"",SUMIFS(DataRating,DataEmployee,$A11,DataSkill,J$5,DataYear,ViewYear)))</f>
        <v/>
      </c>
      <c r="K11" s="45">
        <f>IF(OR($A11="",K$5="",ViewYear=""),"",IF(SUMIFS(DataRating,DataEmployee,$A11,DataSkill,K$5,DataYear,ViewYear)=0,"",SUMIFS(DataRating,DataEmployee,$A11,DataSkill,K$5,DataYear,ViewYear)))</f>
        <v/>
      </c>
      <c r="L11" s="45">
        <f>IF(OR($A11="",L$5="",ViewYear=""),"",IF(SUMIFS(DataRating,DataEmployee,$A11,DataSkill,L$5,DataYear,ViewYear)=0,"",SUMIFS(DataRating,DataEmployee,$A11,DataSkill,L$5,DataYear,ViewYear)))</f>
        <v/>
      </c>
      <c r="M11" s="45">
        <f>IF(OR($A11="",M$5="",ViewYear=""),"",IF(SUMIFS(DataRating,DataEmployee,$A11,DataSkill,M$5,DataYear,ViewYear)=0,"",SUMIFS(DataRating,DataEmployee,$A11,DataSkill,M$5,DataYear,ViewYear)))</f>
        <v/>
      </c>
      <c r="N11" s="45">
        <f>IF(OR($A11="",N$5="",ViewYear=""),"",IF(SUMIFS(DataRating,DataEmployee,$A11,DataSkill,N$5,DataYear,ViewYear)=0,"",SUMIFS(DataRating,DataEmployee,$A11,DataSkill,N$5,DataYear,ViewYear)))</f>
        <v/>
      </c>
      <c r="O11" s="45">
        <f>IF(OR($A11="",O$5="",ViewYear=""),"",IF(SUMIFS(DataRating,DataEmployee,$A11,DataSkill,O$5,DataYear,ViewYear)=0,"",SUMIFS(DataRating,DataEmployee,$A11,DataSkill,O$5,DataYear,ViewYear)))</f>
        <v/>
      </c>
      <c r="P11" s="45">
        <f>IF(OR($A11="",P$5="",ViewYear=""),"",IF(SUMIFS(DataRating,DataEmployee,$A11,DataSkill,P$5,DataYear,ViewYear)=0,"",SUMIFS(DataRating,DataEmployee,$A11,DataSkill,P$5,DataYear,ViewYear)))</f>
        <v/>
      </c>
      <c r="Q11" s="45">
        <f>IF(OR($A11="",Q$5="",ViewYear=""),"",IF(SUMIFS(DataRating,DataEmployee,$A11,DataSkill,Q$5,DataYear,ViewYear)=0,"",SUMIFS(DataRating,DataEmployee,$A11,DataSkill,Q$5,DataYear,ViewYear)))</f>
        <v/>
      </c>
      <c r="R11" s="45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3">
        <f>IF('Employees'!B12="","",'Employees'!B12)</f>
        <v/>
      </c>
      <c r="B12" s="44">
        <f>IF(A12="","",'Employees'!C12)</f>
        <v/>
      </c>
      <c r="C12" s="45">
        <f>IF(OR($A12="",C$5="",ViewYear=""),"",IF(SUMIFS(DataRating,DataEmployee,$A12,DataSkill,C$5,DataYear,ViewYear)=0,"",SUMIFS(DataRating,DataEmployee,$A12,DataSkill,C$5,DataYear,ViewYear)))</f>
        <v/>
      </c>
      <c r="D12" s="45">
        <f>IF(OR($A12="",D$5="",ViewYear=""),"",IF(SUMIFS(DataRating,DataEmployee,$A12,DataSkill,D$5,DataYear,ViewYear)=0,"",SUMIFS(DataRating,DataEmployee,$A12,DataSkill,D$5,DataYear,ViewYear)))</f>
        <v/>
      </c>
      <c r="E12" s="45">
        <f>IF(OR($A12="",E$5="",ViewYear=""),"",IF(SUMIFS(DataRating,DataEmployee,$A12,DataSkill,E$5,DataYear,ViewYear)=0,"",SUMIFS(DataRating,DataEmployee,$A12,DataSkill,E$5,DataYear,ViewYear)))</f>
        <v/>
      </c>
      <c r="F12" s="45">
        <f>IF(OR($A12="",F$5="",ViewYear=""),"",IF(SUMIFS(DataRating,DataEmployee,$A12,DataSkill,F$5,DataYear,ViewYear)=0,"",SUMIFS(DataRating,DataEmployee,$A12,DataSkill,F$5,DataYear,ViewYear)))</f>
        <v/>
      </c>
      <c r="G12" s="45">
        <f>IF(OR($A12="",G$5="",ViewYear=""),"",IF(SUMIFS(DataRating,DataEmployee,$A12,DataSkill,G$5,DataYear,ViewYear)=0,"",SUMIFS(DataRating,DataEmployee,$A12,DataSkill,G$5,DataYear,ViewYear)))</f>
        <v/>
      </c>
      <c r="H12" s="45">
        <f>IF(OR($A12="",H$5="",ViewYear=""),"",IF(SUMIFS(DataRating,DataEmployee,$A12,DataSkill,H$5,DataYear,ViewYear)=0,"",SUMIFS(DataRating,DataEmployee,$A12,DataSkill,H$5,DataYear,ViewYear)))</f>
        <v/>
      </c>
      <c r="I12" s="45">
        <f>IF(OR($A12="",I$5="",ViewYear=""),"",IF(SUMIFS(DataRating,DataEmployee,$A12,DataSkill,I$5,DataYear,ViewYear)=0,"",SUMIFS(DataRating,DataEmployee,$A12,DataSkill,I$5,DataYear,ViewYear)))</f>
        <v/>
      </c>
      <c r="J12" s="45">
        <f>IF(OR($A12="",J$5="",ViewYear=""),"",IF(SUMIFS(DataRating,DataEmployee,$A12,DataSkill,J$5,DataYear,ViewYear)=0,"",SUMIFS(DataRating,DataEmployee,$A12,DataSkill,J$5,DataYear,ViewYear)))</f>
        <v/>
      </c>
      <c r="K12" s="45">
        <f>IF(OR($A12="",K$5="",ViewYear=""),"",IF(SUMIFS(DataRating,DataEmployee,$A12,DataSkill,K$5,DataYear,ViewYear)=0,"",SUMIFS(DataRating,DataEmployee,$A12,DataSkill,K$5,DataYear,ViewYear)))</f>
        <v/>
      </c>
      <c r="L12" s="45">
        <f>IF(OR($A12="",L$5="",ViewYear=""),"",IF(SUMIFS(DataRating,DataEmployee,$A12,DataSkill,L$5,DataYear,ViewYear)=0,"",SUMIFS(DataRating,DataEmployee,$A12,DataSkill,L$5,DataYear,ViewYear)))</f>
        <v/>
      </c>
      <c r="M12" s="45">
        <f>IF(OR($A12="",M$5="",ViewYear=""),"",IF(SUMIFS(DataRating,DataEmployee,$A12,DataSkill,M$5,DataYear,ViewYear)=0,"",SUMIFS(DataRating,DataEmployee,$A12,DataSkill,M$5,DataYear,ViewYear)))</f>
        <v/>
      </c>
      <c r="N12" s="45">
        <f>IF(OR($A12="",N$5="",ViewYear=""),"",IF(SUMIFS(DataRating,DataEmployee,$A12,DataSkill,N$5,DataYear,ViewYear)=0,"",SUMIFS(DataRating,DataEmployee,$A12,DataSkill,N$5,DataYear,ViewYear)))</f>
        <v/>
      </c>
      <c r="O12" s="45">
        <f>IF(OR($A12="",O$5="",ViewYear=""),"",IF(SUMIFS(DataRating,DataEmployee,$A12,DataSkill,O$5,DataYear,ViewYear)=0,"",SUMIFS(DataRating,DataEmployee,$A12,DataSkill,O$5,DataYear,ViewYear)))</f>
        <v/>
      </c>
      <c r="P12" s="45">
        <f>IF(OR($A12="",P$5="",ViewYear=""),"",IF(SUMIFS(DataRating,DataEmployee,$A12,DataSkill,P$5,DataYear,ViewYear)=0,"",SUMIFS(DataRating,DataEmployee,$A12,DataSkill,P$5,DataYear,ViewYear)))</f>
        <v/>
      </c>
      <c r="Q12" s="45">
        <f>IF(OR($A12="",Q$5="",ViewYear=""),"",IF(SUMIFS(DataRating,DataEmployee,$A12,DataSkill,Q$5,DataYear,ViewYear)=0,"",SUMIFS(DataRating,DataEmployee,$A12,DataSkill,Q$5,DataYear,ViewYear)))</f>
        <v/>
      </c>
      <c r="R12" s="45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3">
        <f>IF('Employees'!B13="","",'Employees'!B13)</f>
        <v/>
      </c>
      <c r="B13" s="44">
        <f>IF(A13="","",'Employees'!C13)</f>
        <v/>
      </c>
      <c r="C13" s="45">
        <f>IF(OR($A13="",C$5="",ViewYear=""),"",IF(SUMIFS(DataRating,DataEmployee,$A13,DataSkill,C$5,DataYear,ViewYear)=0,"",SUMIFS(DataRating,DataEmployee,$A13,DataSkill,C$5,DataYear,ViewYear)))</f>
        <v/>
      </c>
      <c r="D13" s="45">
        <f>IF(OR($A13="",D$5="",ViewYear=""),"",IF(SUMIFS(DataRating,DataEmployee,$A13,DataSkill,D$5,DataYear,ViewYear)=0,"",SUMIFS(DataRating,DataEmployee,$A13,DataSkill,D$5,DataYear,ViewYear)))</f>
        <v/>
      </c>
      <c r="E13" s="45">
        <f>IF(OR($A13="",E$5="",ViewYear=""),"",IF(SUMIFS(DataRating,DataEmployee,$A13,DataSkill,E$5,DataYear,ViewYear)=0,"",SUMIFS(DataRating,DataEmployee,$A13,DataSkill,E$5,DataYear,ViewYear)))</f>
        <v/>
      </c>
      <c r="F13" s="45">
        <f>IF(OR($A13="",F$5="",ViewYear=""),"",IF(SUMIFS(DataRating,DataEmployee,$A13,DataSkill,F$5,DataYear,ViewYear)=0,"",SUMIFS(DataRating,DataEmployee,$A13,DataSkill,F$5,DataYear,ViewYear)))</f>
        <v/>
      </c>
      <c r="G13" s="45">
        <f>IF(OR($A13="",G$5="",ViewYear=""),"",IF(SUMIFS(DataRating,DataEmployee,$A13,DataSkill,G$5,DataYear,ViewYear)=0,"",SUMIFS(DataRating,DataEmployee,$A13,DataSkill,G$5,DataYear,ViewYear)))</f>
        <v/>
      </c>
      <c r="H13" s="45">
        <f>IF(OR($A13="",H$5="",ViewYear=""),"",IF(SUMIFS(DataRating,DataEmployee,$A13,DataSkill,H$5,DataYear,ViewYear)=0,"",SUMIFS(DataRating,DataEmployee,$A13,DataSkill,H$5,DataYear,ViewYear)))</f>
        <v/>
      </c>
      <c r="I13" s="45">
        <f>IF(OR($A13="",I$5="",ViewYear=""),"",IF(SUMIFS(DataRating,DataEmployee,$A13,DataSkill,I$5,DataYear,ViewYear)=0,"",SUMIFS(DataRating,DataEmployee,$A13,DataSkill,I$5,DataYear,ViewYear)))</f>
        <v/>
      </c>
      <c r="J13" s="45">
        <f>IF(OR($A13="",J$5="",ViewYear=""),"",IF(SUMIFS(DataRating,DataEmployee,$A13,DataSkill,J$5,DataYear,ViewYear)=0,"",SUMIFS(DataRating,DataEmployee,$A13,DataSkill,J$5,DataYear,ViewYear)))</f>
        <v/>
      </c>
      <c r="K13" s="45">
        <f>IF(OR($A13="",K$5="",ViewYear=""),"",IF(SUMIFS(DataRating,DataEmployee,$A13,DataSkill,K$5,DataYear,ViewYear)=0,"",SUMIFS(DataRating,DataEmployee,$A13,DataSkill,K$5,DataYear,ViewYear)))</f>
        <v/>
      </c>
      <c r="L13" s="45">
        <f>IF(OR($A13="",L$5="",ViewYear=""),"",IF(SUMIFS(DataRating,DataEmployee,$A13,DataSkill,L$5,DataYear,ViewYear)=0,"",SUMIFS(DataRating,DataEmployee,$A13,DataSkill,L$5,DataYear,ViewYear)))</f>
        <v/>
      </c>
      <c r="M13" s="45">
        <f>IF(OR($A13="",M$5="",ViewYear=""),"",IF(SUMIFS(DataRating,DataEmployee,$A13,DataSkill,M$5,DataYear,ViewYear)=0,"",SUMIFS(DataRating,DataEmployee,$A13,DataSkill,M$5,DataYear,ViewYear)))</f>
        <v/>
      </c>
      <c r="N13" s="45">
        <f>IF(OR($A13="",N$5="",ViewYear=""),"",IF(SUMIFS(DataRating,DataEmployee,$A13,DataSkill,N$5,DataYear,ViewYear)=0,"",SUMIFS(DataRating,DataEmployee,$A13,DataSkill,N$5,DataYear,ViewYear)))</f>
        <v/>
      </c>
      <c r="O13" s="45">
        <f>IF(OR($A13="",O$5="",ViewYear=""),"",IF(SUMIFS(DataRating,DataEmployee,$A13,DataSkill,O$5,DataYear,ViewYear)=0,"",SUMIFS(DataRating,DataEmployee,$A13,DataSkill,O$5,DataYear,ViewYear)))</f>
        <v/>
      </c>
      <c r="P13" s="45">
        <f>IF(OR($A13="",P$5="",ViewYear=""),"",IF(SUMIFS(DataRating,DataEmployee,$A13,DataSkill,P$5,DataYear,ViewYear)=0,"",SUMIFS(DataRating,DataEmployee,$A13,DataSkill,P$5,DataYear,ViewYear)))</f>
        <v/>
      </c>
      <c r="Q13" s="45">
        <f>IF(OR($A13="",Q$5="",ViewYear=""),"",IF(SUMIFS(DataRating,DataEmployee,$A13,DataSkill,Q$5,DataYear,ViewYear)=0,"",SUMIFS(DataRating,DataEmployee,$A13,DataSkill,Q$5,DataYear,ViewYear)))</f>
        <v/>
      </c>
      <c r="R13" s="45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3">
        <f>IF('Employees'!B14="","",'Employees'!B14)</f>
        <v/>
      </c>
      <c r="B14" s="44">
        <f>IF(A14="","",'Employees'!C14)</f>
        <v/>
      </c>
      <c r="C14" s="45">
        <f>IF(OR($A14="",C$5="",ViewYear=""),"",IF(SUMIFS(DataRating,DataEmployee,$A14,DataSkill,C$5,DataYear,ViewYear)=0,"",SUMIFS(DataRating,DataEmployee,$A14,DataSkill,C$5,DataYear,ViewYear)))</f>
        <v/>
      </c>
      <c r="D14" s="45">
        <f>IF(OR($A14="",D$5="",ViewYear=""),"",IF(SUMIFS(DataRating,DataEmployee,$A14,DataSkill,D$5,DataYear,ViewYear)=0,"",SUMIFS(DataRating,DataEmployee,$A14,DataSkill,D$5,DataYear,ViewYear)))</f>
        <v/>
      </c>
      <c r="E14" s="45">
        <f>IF(OR($A14="",E$5="",ViewYear=""),"",IF(SUMIFS(DataRating,DataEmployee,$A14,DataSkill,E$5,DataYear,ViewYear)=0,"",SUMIFS(DataRating,DataEmployee,$A14,DataSkill,E$5,DataYear,ViewYear)))</f>
        <v/>
      </c>
      <c r="F14" s="45">
        <f>IF(OR($A14="",F$5="",ViewYear=""),"",IF(SUMIFS(DataRating,DataEmployee,$A14,DataSkill,F$5,DataYear,ViewYear)=0,"",SUMIFS(DataRating,DataEmployee,$A14,DataSkill,F$5,DataYear,ViewYear)))</f>
        <v/>
      </c>
      <c r="G14" s="45">
        <f>IF(OR($A14="",G$5="",ViewYear=""),"",IF(SUMIFS(DataRating,DataEmployee,$A14,DataSkill,G$5,DataYear,ViewYear)=0,"",SUMIFS(DataRating,DataEmployee,$A14,DataSkill,G$5,DataYear,ViewYear)))</f>
        <v/>
      </c>
      <c r="H14" s="45">
        <f>IF(OR($A14="",H$5="",ViewYear=""),"",IF(SUMIFS(DataRating,DataEmployee,$A14,DataSkill,H$5,DataYear,ViewYear)=0,"",SUMIFS(DataRating,DataEmployee,$A14,DataSkill,H$5,DataYear,ViewYear)))</f>
        <v/>
      </c>
      <c r="I14" s="45">
        <f>IF(OR($A14="",I$5="",ViewYear=""),"",IF(SUMIFS(DataRating,DataEmployee,$A14,DataSkill,I$5,DataYear,ViewYear)=0,"",SUMIFS(DataRating,DataEmployee,$A14,DataSkill,I$5,DataYear,ViewYear)))</f>
        <v/>
      </c>
      <c r="J14" s="45">
        <f>IF(OR($A14="",J$5="",ViewYear=""),"",IF(SUMIFS(DataRating,DataEmployee,$A14,DataSkill,J$5,DataYear,ViewYear)=0,"",SUMIFS(DataRating,DataEmployee,$A14,DataSkill,J$5,DataYear,ViewYear)))</f>
        <v/>
      </c>
      <c r="K14" s="45">
        <f>IF(OR($A14="",K$5="",ViewYear=""),"",IF(SUMIFS(DataRating,DataEmployee,$A14,DataSkill,K$5,DataYear,ViewYear)=0,"",SUMIFS(DataRating,DataEmployee,$A14,DataSkill,K$5,DataYear,ViewYear)))</f>
        <v/>
      </c>
      <c r="L14" s="45">
        <f>IF(OR($A14="",L$5="",ViewYear=""),"",IF(SUMIFS(DataRating,DataEmployee,$A14,DataSkill,L$5,DataYear,ViewYear)=0,"",SUMIFS(DataRating,DataEmployee,$A14,DataSkill,L$5,DataYear,ViewYear)))</f>
        <v/>
      </c>
      <c r="M14" s="45">
        <f>IF(OR($A14="",M$5="",ViewYear=""),"",IF(SUMIFS(DataRating,DataEmployee,$A14,DataSkill,M$5,DataYear,ViewYear)=0,"",SUMIFS(DataRating,DataEmployee,$A14,DataSkill,M$5,DataYear,ViewYear)))</f>
        <v/>
      </c>
      <c r="N14" s="45">
        <f>IF(OR($A14="",N$5="",ViewYear=""),"",IF(SUMIFS(DataRating,DataEmployee,$A14,DataSkill,N$5,DataYear,ViewYear)=0,"",SUMIFS(DataRating,DataEmployee,$A14,DataSkill,N$5,DataYear,ViewYear)))</f>
        <v/>
      </c>
      <c r="O14" s="45">
        <f>IF(OR($A14="",O$5="",ViewYear=""),"",IF(SUMIFS(DataRating,DataEmployee,$A14,DataSkill,O$5,DataYear,ViewYear)=0,"",SUMIFS(DataRating,DataEmployee,$A14,DataSkill,O$5,DataYear,ViewYear)))</f>
        <v/>
      </c>
      <c r="P14" s="45">
        <f>IF(OR($A14="",P$5="",ViewYear=""),"",IF(SUMIFS(DataRating,DataEmployee,$A14,DataSkill,P$5,DataYear,ViewYear)=0,"",SUMIFS(DataRating,DataEmployee,$A14,DataSkill,P$5,DataYear,ViewYear)))</f>
        <v/>
      </c>
      <c r="Q14" s="45">
        <f>IF(OR($A14="",Q$5="",ViewYear=""),"",IF(SUMIFS(DataRating,DataEmployee,$A14,DataSkill,Q$5,DataYear,ViewYear)=0,"",SUMIFS(DataRating,DataEmployee,$A14,DataSkill,Q$5,DataYear,ViewYear)))</f>
        <v/>
      </c>
      <c r="R14" s="45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3">
        <f>IF('Employees'!B15="","",'Employees'!B15)</f>
        <v/>
      </c>
      <c r="B15" s="44">
        <f>IF(A15="","",'Employees'!C15)</f>
        <v/>
      </c>
      <c r="C15" s="45">
        <f>IF(OR($A15="",C$5="",ViewYear=""),"",IF(SUMIFS(DataRating,DataEmployee,$A15,DataSkill,C$5,DataYear,ViewYear)=0,"",SUMIFS(DataRating,DataEmployee,$A15,DataSkill,C$5,DataYear,ViewYear)))</f>
        <v/>
      </c>
      <c r="D15" s="45">
        <f>IF(OR($A15="",D$5="",ViewYear=""),"",IF(SUMIFS(DataRating,DataEmployee,$A15,DataSkill,D$5,DataYear,ViewYear)=0,"",SUMIFS(DataRating,DataEmployee,$A15,DataSkill,D$5,DataYear,ViewYear)))</f>
        <v/>
      </c>
      <c r="E15" s="45">
        <f>IF(OR($A15="",E$5="",ViewYear=""),"",IF(SUMIFS(DataRating,DataEmployee,$A15,DataSkill,E$5,DataYear,ViewYear)=0,"",SUMIFS(DataRating,DataEmployee,$A15,DataSkill,E$5,DataYear,ViewYear)))</f>
        <v/>
      </c>
      <c r="F15" s="45">
        <f>IF(OR($A15="",F$5="",ViewYear=""),"",IF(SUMIFS(DataRating,DataEmployee,$A15,DataSkill,F$5,DataYear,ViewYear)=0,"",SUMIFS(DataRating,DataEmployee,$A15,DataSkill,F$5,DataYear,ViewYear)))</f>
        <v/>
      </c>
      <c r="G15" s="45">
        <f>IF(OR($A15="",G$5="",ViewYear=""),"",IF(SUMIFS(DataRating,DataEmployee,$A15,DataSkill,G$5,DataYear,ViewYear)=0,"",SUMIFS(DataRating,DataEmployee,$A15,DataSkill,G$5,DataYear,ViewYear)))</f>
        <v/>
      </c>
      <c r="H15" s="45">
        <f>IF(OR($A15="",H$5="",ViewYear=""),"",IF(SUMIFS(DataRating,DataEmployee,$A15,DataSkill,H$5,DataYear,ViewYear)=0,"",SUMIFS(DataRating,DataEmployee,$A15,DataSkill,H$5,DataYear,ViewYear)))</f>
        <v/>
      </c>
      <c r="I15" s="45">
        <f>IF(OR($A15="",I$5="",ViewYear=""),"",IF(SUMIFS(DataRating,DataEmployee,$A15,DataSkill,I$5,DataYear,ViewYear)=0,"",SUMIFS(DataRating,DataEmployee,$A15,DataSkill,I$5,DataYear,ViewYear)))</f>
        <v/>
      </c>
      <c r="J15" s="45">
        <f>IF(OR($A15="",J$5="",ViewYear=""),"",IF(SUMIFS(DataRating,DataEmployee,$A15,DataSkill,J$5,DataYear,ViewYear)=0,"",SUMIFS(DataRating,DataEmployee,$A15,DataSkill,J$5,DataYear,ViewYear)))</f>
        <v/>
      </c>
      <c r="K15" s="45">
        <f>IF(OR($A15="",K$5="",ViewYear=""),"",IF(SUMIFS(DataRating,DataEmployee,$A15,DataSkill,K$5,DataYear,ViewYear)=0,"",SUMIFS(DataRating,DataEmployee,$A15,DataSkill,K$5,DataYear,ViewYear)))</f>
        <v/>
      </c>
      <c r="L15" s="45">
        <f>IF(OR($A15="",L$5="",ViewYear=""),"",IF(SUMIFS(DataRating,DataEmployee,$A15,DataSkill,L$5,DataYear,ViewYear)=0,"",SUMIFS(DataRating,DataEmployee,$A15,DataSkill,L$5,DataYear,ViewYear)))</f>
        <v/>
      </c>
      <c r="M15" s="45">
        <f>IF(OR($A15="",M$5="",ViewYear=""),"",IF(SUMIFS(DataRating,DataEmployee,$A15,DataSkill,M$5,DataYear,ViewYear)=0,"",SUMIFS(DataRating,DataEmployee,$A15,DataSkill,M$5,DataYear,ViewYear)))</f>
        <v/>
      </c>
      <c r="N15" s="45">
        <f>IF(OR($A15="",N$5="",ViewYear=""),"",IF(SUMIFS(DataRating,DataEmployee,$A15,DataSkill,N$5,DataYear,ViewYear)=0,"",SUMIFS(DataRating,DataEmployee,$A15,DataSkill,N$5,DataYear,ViewYear)))</f>
        <v/>
      </c>
      <c r="O15" s="45">
        <f>IF(OR($A15="",O$5="",ViewYear=""),"",IF(SUMIFS(DataRating,DataEmployee,$A15,DataSkill,O$5,DataYear,ViewYear)=0,"",SUMIFS(DataRating,DataEmployee,$A15,DataSkill,O$5,DataYear,ViewYear)))</f>
        <v/>
      </c>
      <c r="P15" s="45">
        <f>IF(OR($A15="",P$5="",ViewYear=""),"",IF(SUMIFS(DataRating,DataEmployee,$A15,DataSkill,P$5,DataYear,ViewYear)=0,"",SUMIFS(DataRating,DataEmployee,$A15,DataSkill,P$5,DataYear,ViewYear)))</f>
        <v/>
      </c>
      <c r="Q15" s="45">
        <f>IF(OR($A15="",Q$5="",ViewYear=""),"",IF(SUMIFS(DataRating,DataEmployee,$A15,DataSkill,Q$5,DataYear,ViewYear)=0,"",SUMIFS(DataRating,DataEmployee,$A15,DataSkill,Q$5,DataYear,ViewYear)))</f>
        <v/>
      </c>
      <c r="R15" s="45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3">
        <f>IF('Employees'!B16="","",'Employees'!B16)</f>
        <v/>
      </c>
      <c r="B16" s="44">
        <f>IF(A16="","",'Employees'!C16)</f>
        <v/>
      </c>
      <c r="C16" s="45">
        <f>IF(OR($A16="",C$5="",ViewYear=""),"",IF(SUMIFS(DataRating,DataEmployee,$A16,DataSkill,C$5,DataYear,ViewYear)=0,"",SUMIFS(DataRating,DataEmployee,$A16,DataSkill,C$5,DataYear,ViewYear)))</f>
        <v/>
      </c>
      <c r="D16" s="45">
        <f>IF(OR($A16="",D$5="",ViewYear=""),"",IF(SUMIFS(DataRating,DataEmployee,$A16,DataSkill,D$5,DataYear,ViewYear)=0,"",SUMIFS(DataRating,DataEmployee,$A16,DataSkill,D$5,DataYear,ViewYear)))</f>
        <v/>
      </c>
      <c r="E16" s="45">
        <f>IF(OR($A16="",E$5="",ViewYear=""),"",IF(SUMIFS(DataRating,DataEmployee,$A16,DataSkill,E$5,DataYear,ViewYear)=0,"",SUMIFS(DataRating,DataEmployee,$A16,DataSkill,E$5,DataYear,ViewYear)))</f>
        <v/>
      </c>
      <c r="F16" s="45">
        <f>IF(OR($A16="",F$5="",ViewYear=""),"",IF(SUMIFS(DataRating,DataEmployee,$A16,DataSkill,F$5,DataYear,ViewYear)=0,"",SUMIFS(DataRating,DataEmployee,$A16,DataSkill,F$5,DataYear,ViewYear)))</f>
        <v/>
      </c>
      <c r="G16" s="45">
        <f>IF(OR($A16="",G$5="",ViewYear=""),"",IF(SUMIFS(DataRating,DataEmployee,$A16,DataSkill,G$5,DataYear,ViewYear)=0,"",SUMIFS(DataRating,DataEmployee,$A16,DataSkill,G$5,DataYear,ViewYear)))</f>
        <v/>
      </c>
      <c r="H16" s="45">
        <f>IF(OR($A16="",H$5="",ViewYear=""),"",IF(SUMIFS(DataRating,DataEmployee,$A16,DataSkill,H$5,DataYear,ViewYear)=0,"",SUMIFS(DataRating,DataEmployee,$A16,DataSkill,H$5,DataYear,ViewYear)))</f>
        <v/>
      </c>
      <c r="I16" s="45">
        <f>IF(OR($A16="",I$5="",ViewYear=""),"",IF(SUMIFS(DataRating,DataEmployee,$A16,DataSkill,I$5,DataYear,ViewYear)=0,"",SUMIFS(DataRating,DataEmployee,$A16,DataSkill,I$5,DataYear,ViewYear)))</f>
        <v/>
      </c>
      <c r="J16" s="45">
        <f>IF(OR($A16="",J$5="",ViewYear=""),"",IF(SUMIFS(DataRating,DataEmployee,$A16,DataSkill,J$5,DataYear,ViewYear)=0,"",SUMIFS(DataRating,DataEmployee,$A16,DataSkill,J$5,DataYear,ViewYear)))</f>
        <v/>
      </c>
      <c r="K16" s="45">
        <f>IF(OR($A16="",K$5="",ViewYear=""),"",IF(SUMIFS(DataRating,DataEmployee,$A16,DataSkill,K$5,DataYear,ViewYear)=0,"",SUMIFS(DataRating,DataEmployee,$A16,DataSkill,K$5,DataYear,ViewYear)))</f>
        <v/>
      </c>
      <c r="L16" s="45">
        <f>IF(OR($A16="",L$5="",ViewYear=""),"",IF(SUMIFS(DataRating,DataEmployee,$A16,DataSkill,L$5,DataYear,ViewYear)=0,"",SUMIFS(DataRating,DataEmployee,$A16,DataSkill,L$5,DataYear,ViewYear)))</f>
        <v/>
      </c>
      <c r="M16" s="45">
        <f>IF(OR($A16="",M$5="",ViewYear=""),"",IF(SUMIFS(DataRating,DataEmployee,$A16,DataSkill,M$5,DataYear,ViewYear)=0,"",SUMIFS(DataRating,DataEmployee,$A16,DataSkill,M$5,DataYear,ViewYear)))</f>
        <v/>
      </c>
      <c r="N16" s="45">
        <f>IF(OR($A16="",N$5="",ViewYear=""),"",IF(SUMIFS(DataRating,DataEmployee,$A16,DataSkill,N$5,DataYear,ViewYear)=0,"",SUMIFS(DataRating,DataEmployee,$A16,DataSkill,N$5,DataYear,ViewYear)))</f>
        <v/>
      </c>
      <c r="O16" s="45">
        <f>IF(OR($A16="",O$5="",ViewYear=""),"",IF(SUMIFS(DataRating,DataEmployee,$A16,DataSkill,O$5,DataYear,ViewYear)=0,"",SUMIFS(DataRating,DataEmployee,$A16,DataSkill,O$5,DataYear,ViewYear)))</f>
        <v/>
      </c>
      <c r="P16" s="45">
        <f>IF(OR($A16="",P$5="",ViewYear=""),"",IF(SUMIFS(DataRating,DataEmployee,$A16,DataSkill,P$5,DataYear,ViewYear)=0,"",SUMIFS(DataRating,DataEmployee,$A16,DataSkill,P$5,DataYear,ViewYear)))</f>
        <v/>
      </c>
      <c r="Q16" s="45">
        <f>IF(OR($A16="",Q$5="",ViewYear=""),"",IF(SUMIFS(DataRating,DataEmployee,$A16,DataSkill,Q$5,DataYear,ViewYear)=0,"",SUMIFS(DataRating,DataEmployee,$A16,DataSkill,Q$5,DataYear,ViewYear)))</f>
        <v/>
      </c>
      <c r="R16" s="45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3">
        <f>IF('Employees'!B17="","",'Employees'!B17)</f>
        <v/>
      </c>
      <c r="B17" s="44">
        <f>IF(A17="","",'Employees'!C17)</f>
        <v/>
      </c>
      <c r="C17" s="45">
        <f>IF(OR($A17="",C$5="",ViewYear=""),"",IF(SUMIFS(DataRating,DataEmployee,$A17,DataSkill,C$5,DataYear,ViewYear)=0,"",SUMIFS(DataRating,DataEmployee,$A17,DataSkill,C$5,DataYear,ViewYear)))</f>
        <v/>
      </c>
      <c r="D17" s="45">
        <f>IF(OR($A17="",D$5="",ViewYear=""),"",IF(SUMIFS(DataRating,DataEmployee,$A17,DataSkill,D$5,DataYear,ViewYear)=0,"",SUMIFS(DataRating,DataEmployee,$A17,DataSkill,D$5,DataYear,ViewYear)))</f>
        <v/>
      </c>
      <c r="E17" s="45">
        <f>IF(OR($A17="",E$5="",ViewYear=""),"",IF(SUMIFS(DataRating,DataEmployee,$A17,DataSkill,E$5,DataYear,ViewYear)=0,"",SUMIFS(DataRating,DataEmployee,$A17,DataSkill,E$5,DataYear,ViewYear)))</f>
        <v/>
      </c>
      <c r="F17" s="45">
        <f>IF(OR($A17="",F$5="",ViewYear=""),"",IF(SUMIFS(DataRating,DataEmployee,$A17,DataSkill,F$5,DataYear,ViewYear)=0,"",SUMIFS(DataRating,DataEmployee,$A17,DataSkill,F$5,DataYear,ViewYear)))</f>
        <v/>
      </c>
      <c r="G17" s="45">
        <f>IF(OR($A17="",G$5="",ViewYear=""),"",IF(SUMIFS(DataRating,DataEmployee,$A17,DataSkill,G$5,DataYear,ViewYear)=0,"",SUMIFS(DataRating,DataEmployee,$A17,DataSkill,G$5,DataYear,ViewYear)))</f>
        <v/>
      </c>
      <c r="H17" s="45">
        <f>IF(OR($A17="",H$5="",ViewYear=""),"",IF(SUMIFS(DataRating,DataEmployee,$A17,DataSkill,H$5,DataYear,ViewYear)=0,"",SUMIFS(DataRating,DataEmployee,$A17,DataSkill,H$5,DataYear,ViewYear)))</f>
        <v/>
      </c>
      <c r="I17" s="45">
        <f>IF(OR($A17="",I$5="",ViewYear=""),"",IF(SUMIFS(DataRating,DataEmployee,$A17,DataSkill,I$5,DataYear,ViewYear)=0,"",SUMIFS(DataRating,DataEmployee,$A17,DataSkill,I$5,DataYear,ViewYear)))</f>
        <v/>
      </c>
      <c r="J17" s="45">
        <f>IF(OR($A17="",J$5="",ViewYear=""),"",IF(SUMIFS(DataRating,DataEmployee,$A17,DataSkill,J$5,DataYear,ViewYear)=0,"",SUMIFS(DataRating,DataEmployee,$A17,DataSkill,J$5,DataYear,ViewYear)))</f>
        <v/>
      </c>
      <c r="K17" s="45">
        <f>IF(OR($A17="",K$5="",ViewYear=""),"",IF(SUMIFS(DataRating,DataEmployee,$A17,DataSkill,K$5,DataYear,ViewYear)=0,"",SUMIFS(DataRating,DataEmployee,$A17,DataSkill,K$5,DataYear,ViewYear)))</f>
        <v/>
      </c>
      <c r="L17" s="45">
        <f>IF(OR($A17="",L$5="",ViewYear=""),"",IF(SUMIFS(DataRating,DataEmployee,$A17,DataSkill,L$5,DataYear,ViewYear)=0,"",SUMIFS(DataRating,DataEmployee,$A17,DataSkill,L$5,DataYear,ViewYear)))</f>
        <v/>
      </c>
      <c r="M17" s="45">
        <f>IF(OR($A17="",M$5="",ViewYear=""),"",IF(SUMIFS(DataRating,DataEmployee,$A17,DataSkill,M$5,DataYear,ViewYear)=0,"",SUMIFS(DataRating,DataEmployee,$A17,DataSkill,M$5,DataYear,ViewYear)))</f>
        <v/>
      </c>
      <c r="N17" s="45">
        <f>IF(OR($A17="",N$5="",ViewYear=""),"",IF(SUMIFS(DataRating,DataEmployee,$A17,DataSkill,N$5,DataYear,ViewYear)=0,"",SUMIFS(DataRating,DataEmployee,$A17,DataSkill,N$5,DataYear,ViewYear)))</f>
        <v/>
      </c>
      <c r="O17" s="45">
        <f>IF(OR($A17="",O$5="",ViewYear=""),"",IF(SUMIFS(DataRating,DataEmployee,$A17,DataSkill,O$5,DataYear,ViewYear)=0,"",SUMIFS(DataRating,DataEmployee,$A17,DataSkill,O$5,DataYear,ViewYear)))</f>
        <v/>
      </c>
      <c r="P17" s="45">
        <f>IF(OR($A17="",P$5="",ViewYear=""),"",IF(SUMIFS(DataRating,DataEmployee,$A17,DataSkill,P$5,DataYear,ViewYear)=0,"",SUMIFS(DataRating,DataEmployee,$A17,DataSkill,P$5,DataYear,ViewYear)))</f>
        <v/>
      </c>
      <c r="Q17" s="45">
        <f>IF(OR($A17="",Q$5="",ViewYear=""),"",IF(SUMIFS(DataRating,DataEmployee,$A17,DataSkill,Q$5,DataYear,ViewYear)=0,"",SUMIFS(DataRating,DataEmployee,$A17,DataSkill,Q$5,DataYear,ViewYear)))</f>
        <v/>
      </c>
      <c r="R17" s="45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3">
        <f>IF('Employees'!B18="","",'Employees'!B18)</f>
        <v/>
      </c>
      <c r="B18" s="44">
        <f>IF(A18="","",'Employees'!C18)</f>
        <v/>
      </c>
      <c r="C18" s="45">
        <f>IF(OR($A18="",C$5="",ViewYear=""),"",IF(SUMIFS(DataRating,DataEmployee,$A18,DataSkill,C$5,DataYear,ViewYear)=0,"",SUMIFS(DataRating,DataEmployee,$A18,DataSkill,C$5,DataYear,ViewYear)))</f>
        <v/>
      </c>
      <c r="D18" s="45">
        <f>IF(OR($A18="",D$5="",ViewYear=""),"",IF(SUMIFS(DataRating,DataEmployee,$A18,DataSkill,D$5,DataYear,ViewYear)=0,"",SUMIFS(DataRating,DataEmployee,$A18,DataSkill,D$5,DataYear,ViewYear)))</f>
        <v/>
      </c>
      <c r="E18" s="45">
        <f>IF(OR($A18="",E$5="",ViewYear=""),"",IF(SUMIFS(DataRating,DataEmployee,$A18,DataSkill,E$5,DataYear,ViewYear)=0,"",SUMIFS(DataRating,DataEmployee,$A18,DataSkill,E$5,DataYear,ViewYear)))</f>
        <v/>
      </c>
      <c r="F18" s="45">
        <f>IF(OR($A18="",F$5="",ViewYear=""),"",IF(SUMIFS(DataRating,DataEmployee,$A18,DataSkill,F$5,DataYear,ViewYear)=0,"",SUMIFS(DataRating,DataEmployee,$A18,DataSkill,F$5,DataYear,ViewYear)))</f>
        <v/>
      </c>
      <c r="G18" s="45">
        <f>IF(OR($A18="",G$5="",ViewYear=""),"",IF(SUMIFS(DataRating,DataEmployee,$A18,DataSkill,G$5,DataYear,ViewYear)=0,"",SUMIFS(DataRating,DataEmployee,$A18,DataSkill,G$5,DataYear,ViewYear)))</f>
        <v/>
      </c>
      <c r="H18" s="45">
        <f>IF(OR($A18="",H$5="",ViewYear=""),"",IF(SUMIFS(DataRating,DataEmployee,$A18,DataSkill,H$5,DataYear,ViewYear)=0,"",SUMIFS(DataRating,DataEmployee,$A18,DataSkill,H$5,DataYear,ViewYear)))</f>
        <v/>
      </c>
      <c r="I18" s="45">
        <f>IF(OR($A18="",I$5="",ViewYear=""),"",IF(SUMIFS(DataRating,DataEmployee,$A18,DataSkill,I$5,DataYear,ViewYear)=0,"",SUMIFS(DataRating,DataEmployee,$A18,DataSkill,I$5,DataYear,ViewYear)))</f>
        <v/>
      </c>
      <c r="J18" s="45">
        <f>IF(OR($A18="",J$5="",ViewYear=""),"",IF(SUMIFS(DataRating,DataEmployee,$A18,DataSkill,J$5,DataYear,ViewYear)=0,"",SUMIFS(DataRating,DataEmployee,$A18,DataSkill,J$5,DataYear,ViewYear)))</f>
        <v/>
      </c>
      <c r="K18" s="45">
        <f>IF(OR($A18="",K$5="",ViewYear=""),"",IF(SUMIFS(DataRating,DataEmployee,$A18,DataSkill,K$5,DataYear,ViewYear)=0,"",SUMIFS(DataRating,DataEmployee,$A18,DataSkill,K$5,DataYear,ViewYear)))</f>
        <v/>
      </c>
      <c r="L18" s="45">
        <f>IF(OR($A18="",L$5="",ViewYear=""),"",IF(SUMIFS(DataRating,DataEmployee,$A18,DataSkill,L$5,DataYear,ViewYear)=0,"",SUMIFS(DataRating,DataEmployee,$A18,DataSkill,L$5,DataYear,ViewYear)))</f>
        <v/>
      </c>
      <c r="M18" s="45">
        <f>IF(OR($A18="",M$5="",ViewYear=""),"",IF(SUMIFS(DataRating,DataEmployee,$A18,DataSkill,M$5,DataYear,ViewYear)=0,"",SUMIFS(DataRating,DataEmployee,$A18,DataSkill,M$5,DataYear,ViewYear)))</f>
        <v/>
      </c>
      <c r="N18" s="45">
        <f>IF(OR($A18="",N$5="",ViewYear=""),"",IF(SUMIFS(DataRating,DataEmployee,$A18,DataSkill,N$5,DataYear,ViewYear)=0,"",SUMIFS(DataRating,DataEmployee,$A18,DataSkill,N$5,DataYear,ViewYear)))</f>
        <v/>
      </c>
      <c r="O18" s="45">
        <f>IF(OR($A18="",O$5="",ViewYear=""),"",IF(SUMIFS(DataRating,DataEmployee,$A18,DataSkill,O$5,DataYear,ViewYear)=0,"",SUMIFS(DataRating,DataEmployee,$A18,DataSkill,O$5,DataYear,ViewYear)))</f>
        <v/>
      </c>
      <c r="P18" s="45">
        <f>IF(OR($A18="",P$5="",ViewYear=""),"",IF(SUMIFS(DataRating,DataEmployee,$A18,DataSkill,P$5,DataYear,ViewYear)=0,"",SUMIFS(DataRating,DataEmployee,$A18,DataSkill,P$5,DataYear,ViewYear)))</f>
        <v/>
      </c>
      <c r="Q18" s="45">
        <f>IF(OR($A18="",Q$5="",ViewYear=""),"",IF(SUMIFS(DataRating,DataEmployee,$A18,DataSkill,Q$5,DataYear,ViewYear)=0,"",SUMIFS(DataRating,DataEmployee,$A18,DataSkill,Q$5,DataYear,ViewYear)))</f>
        <v/>
      </c>
      <c r="R18" s="45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3">
        <f>IF('Employees'!B19="","",'Employees'!B19)</f>
        <v/>
      </c>
      <c r="B19" s="44">
        <f>IF(A19="","",'Employees'!C19)</f>
        <v/>
      </c>
      <c r="C19" s="45">
        <f>IF(OR($A19="",C$5="",ViewYear=""),"",IF(SUMIFS(DataRating,DataEmployee,$A19,DataSkill,C$5,DataYear,ViewYear)=0,"",SUMIFS(DataRating,DataEmployee,$A19,DataSkill,C$5,DataYear,ViewYear)))</f>
        <v/>
      </c>
      <c r="D19" s="45">
        <f>IF(OR($A19="",D$5="",ViewYear=""),"",IF(SUMIFS(DataRating,DataEmployee,$A19,DataSkill,D$5,DataYear,ViewYear)=0,"",SUMIFS(DataRating,DataEmployee,$A19,DataSkill,D$5,DataYear,ViewYear)))</f>
        <v/>
      </c>
      <c r="E19" s="45">
        <f>IF(OR($A19="",E$5="",ViewYear=""),"",IF(SUMIFS(DataRating,DataEmployee,$A19,DataSkill,E$5,DataYear,ViewYear)=0,"",SUMIFS(DataRating,DataEmployee,$A19,DataSkill,E$5,DataYear,ViewYear)))</f>
        <v/>
      </c>
      <c r="F19" s="45">
        <f>IF(OR($A19="",F$5="",ViewYear=""),"",IF(SUMIFS(DataRating,DataEmployee,$A19,DataSkill,F$5,DataYear,ViewYear)=0,"",SUMIFS(DataRating,DataEmployee,$A19,DataSkill,F$5,DataYear,ViewYear)))</f>
        <v/>
      </c>
      <c r="G19" s="45">
        <f>IF(OR($A19="",G$5="",ViewYear=""),"",IF(SUMIFS(DataRating,DataEmployee,$A19,DataSkill,G$5,DataYear,ViewYear)=0,"",SUMIFS(DataRating,DataEmployee,$A19,DataSkill,G$5,DataYear,ViewYear)))</f>
        <v/>
      </c>
      <c r="H19" s="45">
        <f>IF(OR($A19="",H$5="",ViewYear=""),"",IF(SUMIFS(DataRating,DataEmployee,$A19,DataSkill,H$5,DataYear,ViewYear)=0,"",SUMIFS(DataRating,DataEmployee,$A19,DataSkill,H$5,DataYear,ViewYear)))</f>
        <v/>
      </c>
      <c r="I19" s="45">
        <f>IF(OR($A19="",I$5="",ViewYear=""),"",IF(SUMIFS(DataRating,DataEmployee,$A19,DataSkill,I$5,DataYear,ViewYear)=0,"",SUMIFS(DataRating,DataEmployee,$A19,DataSkill,I$5,DataYear,ViewYear)))</f>
        <v/>
      </c>
      <c r="J19" s="45">
        <f>IF(OR($A19="",J$5="",ViewYear=""),"",IF(SUMIFS(DataRating,DataEmployee,$A19,DataSkill,J$5,DataYear,ViewYear)=0,"",SUMIFS(DataRating,DataEmployee,$A19,DataSkill,J$5,DataYear,ViewYear)))</f>
        <v/>
      </c>
      <c r="K19" s="45">
        <f>IF(OR($A19="",K$5="",ViewYear=""),"",IF(SUMIFS(DataRating,DataEmployee,$A19,DataSkill,K$5,DataYear,ViewYear)=0,"",SUMIFS(DataRating,DataEmployee,$A19,DataSkill,K$5,DataYear,ViewYear)))</f>
        <v/>
      </c>
      <c r="L19" s="45">
        <f>IF(OR($A19="",L$5="",ViewYear=""),"",IF(SUMIFS(DataRating,DataEmployee,$A19,DataSkill,L$5,DataYear,ViewYear)=0,"",SUMIFS(DataRating,DataEmployee,$A19,DataSkill,L$5,DataYear,ViewYear)))</f>
        <v/>
      </c>
      <c r="M19" s="45">
        <f>IF(OR($A19="",M$5="",ViewYear=""),"",IF(SUMIFS(DataRating,DataEmployee,$A19,DataSkill,M$5,DataYear,ViewYear)=0,"",SUMIFS(DataRating,DataEmployee,$A19,DataSkill,M$5,DataYear,ViewYear)))</f>
        <v/>
      </c>
      <c r="N19" s="45">
        <f>IF(OR($A19="",N$5="",ViewYear=""),"",IF(SUMIFS(DataRating,DataEmployee,$A19,DataSkill,N$5,DataYear,ViewYear)=0,"",SUMIFS(DataRating,DataEmployee,$A19,DataSkill,N$5,DataYear,ViewYear)))</f>
        <v/>
      </c>
      <c r="O19" s="45">
        <f>IF(OR($A19="",O$5="",ViewYear=""),"",IF(SUMIFS(DataRating,DataEmployee,$A19,DataSkill,O$5,DataYear,ViewYear)=0,"",SUMIFS(DataRating,DataEmployee,$A19,DataSkill,O$5,DataYear,ViewYear)))</f>
        <v/>
      </c>
      <c r="P19" s="45">
        <f>IF(OR($A19="",P$5="",ViewYear=""),"",IF(SUMIFS(DataRating,DataEmployee,$A19,DataSkill,P$5,DataYear,ViewYear)=0,"",SUMIFS(DataRating,DataEmployee,$A19,DataSkill,P$5,DataYear,ViewYear)))</f>
        <v/>
      </c>
      <c r="Q19" s="45">
        <f>IF(OR($A19="",Q$5="",ViewYear=""),"",IF(SUMIFS(DataRating,DataEmployee,$A19,DataSkill,Q$5,DataYear,ViewYear)=0,"",SUMIFS(DataRating,DataEmployee,$A19,DataSkill,Q$5,DataYear,ViewYear)))</f>
        <v/>
      </c>
      <c r="R19" s="45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3">
        <f>IF('Employees'!B20="","",'Employees'!B20)</f>
        <v/>
      </c>
      <c r="B20" s="44">
        <f>IF(A20="","",'Employees'!C20)</f>
        <v/>
      </c>
      <c r="C20" s="45">
        <f>IF(OR($A20="",C$5="",ViewYear=""),"",IF(SUMIFS(DataRating,DataEmployee,$A20,DataSkill,C$5,DataYear,ViewYear)=0,"",SUMIFS(DataRating,DataEmployee,$A20,DataSkill,C$5,DataYear,ViewYear)))</f>
        <v/>
      </c>
      <c r="D20" s="45">
        <f>IF(OR($A20="",D$5="",ViewYear=""),"",IF(SUMIFS(DataRating,DataEmployee,$A20,DataSkill,D$5,DataYear,ViewYear)=0,"",SUMIFS(DataRating,DataEmployee,$A20,DataSkill,D$5,DataYear,ViewYear)))</f>
        <v/>
      </c>
      <c r="E20" s="45">
        <f>IF(OR($A20="",E$5="",ViewYear=""),"",IF(SUMIFS(DataRating,DataEmployee,$A20,DataSkill,E$5,DataYear,ViewYear)=0,"",SUMIFS(DataRating,DataEmployee,$A20,DataSkill,E$5,DataYear,ViewYear)))</f>
        <v/>
      </c>
      <c r="F20" s="45">
        <f>IF(OR($A20="",F$5="",ViewYear=""),"",IF(SUMIFS(DataRating,DataEmployee,$A20,DataSkill,F$5,DataYear,ViewYear)=0,"",SUMIFS(DataRating,DataEmployee,$A20,DataSkill,F$5,DataYear,ViewYear)))</f>
        <v/>
      </c>
      <c r="G20" s="45">
        <f>IF(OR($A20="",G$5="",ViewYear=""),"",IF(SUMIFS(DataRating,DataEmployee,$A20,DataSkill,G$5,DataYear,ViewYear)=0,"",SUMIFS(DataRating,DataEmployee,$A20,DataSkill,G$5,DataYear,ViewYear)))</f>
        <v/>
      </c>
      <c r="H20" s="45">
        <f>IF(OR($A20="",H$5="",ViewYear=""),"",IF(SUMIFS(DataRating,DataEmployee,$A20,DataSkill,H$5,DataYear,ViewYear)=0,"",SUMIFS(DataRating,DataEmployee,$A20,DataSkill,H$5,DataYear,ViewYear)))</f>
        <v/>
      </c>
      <c r="I20" s="45">
        <f>IF(OR($A20="",I$5="",ViewYear=""),"",IF(SUMIFS(DataRating,DataEmployee,$A20,DataSkill,I$5,DataYear,ViewYear)=0,"",SUMIFS(DataRating,DataEmployee,$A20,DataSkill,I$5,DataYear,ViewYear)))</f>
        <v/>
      </c>
      <c r="J20" s="45">
        <f>IF(OR($A20="",J$5="",ViewYear=""),"",IF(SUMIFS(DataRating,DataEmployee,$A20,DataSkill,J$5,DataYear,ViewYear)=0,"",SUMIFS(DataRating,DataEmployee,$A20,DataSkill,J$5,DataYear,ViewYear)))</f>
        <v/>
      </c>
      <c r="K20" s="45">
        <f>IF(OR($A20="",K$5="",ViewYear=""),"",IF(SUMIFS(DataRating,DataEmployee,$A20,DataSkill,K$5,DataYear,ViewYear)=0,"",SUMIFS(DataRating,DataEmployee,$A20,DataSkill,K$5,DataYear,ViewYear)))</f>
        <v/>
      </c>
      <c r="L20" s="45">
        <f>IF(OR($A20="",L$5="",ViewYear=""),"",IF(SUMIFS(DataRating,DataEmployee,$A20,DataSkill,L$5,DataYear,ViewYear)=0,"",SUMIFS(DataRating,DataEmployee,$A20,DataSkill,L$5,DataYear,ViewYear)))</f>
        <v/>
      </c>
      <c r="M20" s="45">
        <f>IF(OR($A20="",M$5="",ViewYear=""),"",IF(SUMIFS(DataRating,DataEmployee,$A20,DataSkill,M$5,DataYear,ViewYear)=0,"",SUMIFS(DataRating,DataEmployee,$A20,DataSkill,M$5,DataYear,ViewYear)))</f>
        <v/>
      </c>
      <c r="N20" s="45">
        <f>IF(OR($A20="",N$5="",ViewYear=""),"",IF(SUMIFS(DataRating,DataEmployee,$A20,DataSkill,N$5,DataYear,ViewYear)=0,"",SUMIFS(DataRating,DataEmployee,$A20,DataSkill,N$5,DataYear,ViewYear)))</f>
        <v/>
      </c>
      <c r="O20" s="45">
        <f>IF(OR($A20="",O$5="",ViewYear=""),"",IF(SUMIFS(DataRating,DataEmployee,$A20,DataSkill,O$5,DataYear,ViewYear)=0,"",SUMIFS(DataRating,DataEmployee,$A20,DataSkill,O$5,DataYear,ViewYear)))</f>
        <v/>
      </c>
      <c r="P20" s="45">
        <f>IF(OR($A20="",P$5="",ViewYear=""),"",IF(SUMIFS(DataRating,DataEmployee,$A20,DataSkill,P$5,DataYear,ViewYear)=0,"",SUMIFS(DataRating,DataEmployee,$A20,DataSkill,P$5,DataYear,ViewYear)))</f>
        <v/>
      </c>
      <c r="Q20" s="45">
        <f>IF(OR($A20="",Q$5="",ViewYear=""),"",IF(SUMIFS(DataRating,DataEmployee,$A20,DataSkill,Q$5,DataYear,ViewYear)=0,"",SUMIFS(DataRating,DataEmployee,$A20,DataSkill,Q$5,DataYear,ViewYear)))</f>
        <v/>
      </c>
      <c r="R20" s="45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3">
        <f>IF('Employees'!B21="","",'Employees'!B21)</f>
        <v/>
      </c>
      <c r="B21" s="44">
        <f>IF(A21="","",'Employees'!C21)</f>
        <v/>
      </c>
      <c r="C21" s="45">
        <f>IF(OR($A21="",C$5="",ViewYear=""),"",IF(SUMIFS(DataRating,DataEmployee,$A21,DataSkill,C$5,DataYear,ViewYear)=0,"",SUMIFS(DataRating,DataEmployee,$A21,DataSkill,C$5,DataYear,ViewYear)))</f>
        <v/>
      </c>
      <c r="D21" s="45">
        <f>IF(OR($A21="",D$5="",ViewYear=""),"",IF(SUMIFS(DataRating,DataEmployee,$A21,DataSkill,D$5,DataYear,ViewYear)=0,"",SUMIFS(DataRating,DataEmployee,$A21,DataSkill,D$5,DataYear,ViewYear)))</f>
        <v/>
      </c>
      <c r="E21" s="45">
        <f>IF(OR($A21="",E$5="",ViewYear=""),"",IF(SUMIFS(DataRating,DataEmployee,$A21,DataSkill,E$5,DataYear,ViewYear)=0,"",SUMIFS(DataRating,DataEmployee,$A21,DataSkill,E$5,DataYear,ViewYear)))</f>
        <v/>
      </c>
      <c r="F21" s="45">
        <f>IF(OR($A21="",F$5="",ViewYear=""),"",IF(SUMIFS(DataRating,DataEmployee,$A21,DataSkill,F$5,DataYear,ViewYear)=0,"",SUMIFS(DataRating,DataEmployee,$A21,DataSkill,F$5,DataYear,ViewYear)))</f>
        <v/>
      </c>
      <c r="G21" s="45">
        <f>IF(OR($A21="",G$5="",ViewYear=""),"",IF(SUMIFS(DataRating,DataEmployee,$A21,DataSkill,G$5,DataYear,ViewYear)=0,"",SUMIFS(DataRating,DataEmployee,$A21,DataSkill,G$5,DataYear,ViewYear)))</f>
        <v/>
      </c>
      <c r="H21" s="45">
        <f>IF(OR($A21="",H$5="",ViewYear=""),"",IF(SUMIFS(DataRating,DataEmployee,$A21,DataSkill,H$5,DataYear,ViewYear)=0,"",SUMIFS(DataRating,DataEmployee,$A21,DataSkill,H$5,DataYear,ViewYear)))</f>
        <v/>
      </c>
      <c r="I21" s="45">
        <f>IF(OR($A21="",I$5="",ViewYear=""),"",IF(SUMIFS(DataRating,DataEmployee,$A21,DataSkill,I$5,DataYear,ViewYear)=0,"",SUMIFS(DataRating,DataEmployee,$A21,DataSkill,I$5,DataYear,ViewYear)))</f>
        <v/>
      </c>
      <c r="J21" s="45">
        <f>IF(OR($A21="",J$5="",ViewYear=""),"",IF(SUMIFS(DataRating,DataEmployee,$A21,DataSkill,J$5,DataYear,ViewYear)=0,"",SUMIFS(DataRating,DataEmployee,$A21,DataSkill,J$5,DataYear,ViewYear)))</f>
        <v/>
      </c>
      <c r="K21" s="45">
        <f>IF(OR($A21="",K$5="",ViewYear=""),"",IF(SUMIFS(DataRating,DataEmployee,$A21,DataSkill,K$5,DataYear,ViewYear)=0,"",SUMIFS(DataRating,DataEmployee,$A21,DataSkill,K$5,DataYear,ViewYear)))</f>
        <v/>
      </c>
      <c r="L21" s="45">
        <f>IF(OR($A21="",L$5="",ViewYear=""),"",IF(SUMIFS(DataRating,DataEmployee,$A21,DataSkill,L$5,DataYear,ViewYear)=0,"",SUMIFS(DataRating,DataEmployee,$A21,DataSkill,L$5,DataYear,ViewYear)))</f>
        <v/>
      </c>
      <c r="M21" s="45">
        <f>IF(OR($A21="",M$5="",ViewYear=""),"",IF(SUMIFS(DataRating,DataEmployee,$A21,DataSkill,M$5,DataYear,ViewYear)=0,"",SUMIFS(DataRating,DataEmployee,$A21,DataSkill,M$5,DataYear,ViewYear)))</f>
        <v/>
      </c>
      <c r="N21" s="45">
        <f>IF(OR($A21="",N$5="",ViewYear=""),"",IF(SUMIFS(DataRating,DataEmployee,$A21,DataSkill,N$5,DataYear,ViewYear)=0,"",SUMIFS(DataRating,DataEmployee,$A21,DataSkill,N$5,DataYear,ViewYear)))</f>
        <v/>
      </c>
      <c r="O21" s="45">
        <f>IF(OR($A21="",O$5="",ViewYear=""),"",IF(SUMIFS(DataRating,DataEmployee,$A21,DataSkill,O$5,DataYear,ViewYear)=0,"",SUMIFS(DataRating,DataEmployee,$A21,DataSkill,O$5,DataYear,ViewYear)))</f>
        <v/>
      </c>
      <c r="P21" s="45">
        <f>IF(OR($A21="",P$5="",ViewYear=""),"",IF(SUMIFS(DataRating,DataEmployee,$A21,DataSkill,P$5,DataYear,ViewYear)=0,"",SUMIFS(DataRating,DataEmployee,$A21,DataSkill,P$5,DataYear,ViewYear)))</f>
        <v/>
      </c>
      <c r="Q21" s="45">
        <f>IF(OR($A21="",Q$5="",ViewYear=""),"",IF(SUMIFS(DataRating,DataEmployee,$A21,DataSkill,Q$5,DataYear,ViewYear)=0,"",SUMIFS(DataRating,DataEmployee,$A21,DataSkill,Q$5,DataYear,ViewYear)))</f>
        <v/>
      </c>
      <c r="R21" s="45">
        <f>IF(OR($A21="",R$5="",ViewYear=""),"",IF(SUMIFS(DataRating,DataEmployee,$A21,DataSkill,R$5,DataYear,ViewYear)=0,"",SUMIFS(DataRating,DataEmployee,$A21,DataSkill,R$5,DataYear,ViewYear)))</f>
        <v/>
      </c>
    </row>
  </sheetData>
  <mergeCells count="6">
    <mergeCell ref="A2:F2"/>
    <mergeCell ref="F3:J3"/>
    <mergeCell ref="B4:B5"/>
    <mergeCell ref="G2:R2"/>
    <mergeCell ref="A4:A5"/>
    <mergeCell ref="C3:E3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1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 ht="28" customHeight="1">
      <c r="A2" s="4" t="inlineStr">
        <is>
          <t>Ratings — all years</t>
        </is>
      </c>
      <c r="I2" s="34" t="inlineStr">
        <is>
          <t>Type 1-5 here for any year. Skill Matrix shows one year (the crew grid). Compare two years on the Dashboard.</t>
        </is>
      </c>
    </row>
    <row r="3">
      <c r="A3" s="46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7" t="inlineStr">
        <is>
          <t>Employee</t>
        </is>
      </c>
      <c r="B5" s="47" t="inlineStr">
        <is>
          <t>Department</t>
        </is>
      </c>
      <c r="C5" s="47" t="inlineStr">
        <is>
          <t>Skill</t>
        </is>
      </c>
      <c r="D5" s="47" t="inlineStr">
        <is>
          <t>Category</t>
        </is>
      </c>
      <c r="E5" s="48">
        <f>IF('Years'!B8="","",'Years'!B8)</f>
        <v/>
      </c>
      <c r="F5" s="48">
        <f>IF('Years'!B9="","",'Years'!B9)</f>
        <v/>
      </c>
      <c r="G5" s="48">
        <f>IF('Years'!B10="","",'Years'!B10)</f>
        <v/>
      </c>
      <c r="H5" s="48">
        <f>IF('Years'!B11="","",'Years'!B11)</f>
        <v/>
      </c>
      <c r="I5" s="48">
        <f>IF('Years'!B12="","",'Years'!B12)</f>
        <v/>
      </c>
      <c r="J5" s="48">
        <f>IF('Years'!B13="","",'Years'!B13)</f>
        <v/>
      </c>
      <c r="K5" s="48">
        <f>IF('Years'!B14="","",'Years'!B14)</f>
        <v/>
      </c>
      <c r="L5" s="48">
        <f>IF('Years'!B15="","",'Years'!B15)</f>
        <v/>
      </c>
      <c r="M5" s="48">
        <f>IF('Years'!B16="","",'Years'!B16)</f>
        <v/>
      </c>
      <c r="N5" s="48">
        <f>IF('Years'!B17="","",'Years'!B17)</f>
        <v/>
      </c>
      <c r="O5" s="48">
        <f>IF('Years'!B18="","",'Years'!B18)</f>
        <v/>
      </c>
      <c r="P5" s="48">
        <f>IF('Years'!B19="","",'Years'!B19)</f>
        <v/>
      </c>
      <c r="Q5" s="48">
        <f>IF('Years'!B20="","",'Years'!B20)</f>
        <v/>
      </c>
      <c r="R5" s="48">
        <f>IF('Years'!B21="","",'Years'!B21)</f>
        <v/>
      </c>
      <c r="S5" s="48">
        <f>IF('Years'!B22="","",'Years'!B22)</f>
        <v/>
      </c>
      <c r="T5" s="48">
        <f>IF('Years'!B23="","",'Years'!B23)</f>
        <v/>
      </c>
      <c r="U5" s="49" t="inlineStr">
        <is>
          <t>First</t>
        </is>
      </c>
      <c r="V5" s="49" t="inlineStr">
        <is>
          <t>Latest</t>
        </is>
      </c>
      <c r="W5" s="49" t="inlineStr">
        <is>
          <t>vs last year</t>
        </is>
      </c>
      <c r="X5" s="49" t="inlineStr">
        <is>
          <t>Since joined</t>
        </is>
      </c>
      <c r="Y5" s="49" t="inlineStr">
        <is>
          <t>Years rated</t>
        </is>
      </c>
    </row>
    <row r="6">
      <c r="A6" s="43">
        <f>IF(AND('Employees'!B6&lt;&gt;"",'Skills'!B6&lt;&gt;""),'Employees'!B6,"")</f>
        <v/>
      </c>
      <c r="B6" s="44">
        <f>IF(A6="","",'Employees'!C6)</f>
        <v/>
      </c>
      <c r="C6" s="50">
        <f>IF(A6="","",'Skills'!B6)</f>
        <v/>
      </c>
      <c r="D6" s="44">
        <f>IF(A6="","",'Skills'!C6)</f>
        <v/>
      </c>
      <c r="E6" s="51" t="n">
        <v>1</v>
      </c>
      <c r="F6" s="51" t="n">
        <v>2</v>
      </c>
      <c r="G6" s="51" t="n">
        <v>3</v>
      </c>
      <c r="H6" s="45" t="n">
        <v>3</v>
      </c>
      <c r="I6" s="51" t="inlineStr"/>
      <c r="J6" s="51" t="inlineStr"/>
      <c r="K6" s="51" t="inlineStr"/>
      <c r="L6" s="51" t="inlineStr"/>
      <c r="M6" s="51" t="inlineStr"/>
      <c r="N6" s="51" t="inlineStr"/>
      <c r="O6" s="51" t="inlineStr"/>
      <c r="P6" s="51" t="inlineStr"/>
      <c r="Q6" s="51" t="inlineStr"/>
      <c r="R6" s="51" t="inlineStr"/>
      <c r="S6" s="51" t="inlineStr"/>
      <c r="T6" s="51" t="inlineStr"/>
      <c r="U6" s="52">
        <f>IF(A6="","",IFERROR(INDEX(E6:T6,MATCH(TRUE,INDEX(E6:T6&lt;&gt;"",0),0)),""))</f>
        <v/>
      </c>
      <c r="V6" s="52">
        <f>IF(A6="","",IFERROR(LOOKUP(2,1/(E6:T6&lt;&gt;""),E6:T6),""))</f>
        <v/>
      </c>
      <c r="W6" s="53">
        <f>IF(OR(A6="",PreviousYear=""),"",IFERROR(LOOKUP(2,1/(E6:T6&lt;&gt;""),E6:T6)-INDEX(E6:T6,MATCH(PreviousYear,$E$5:$T$5,0)),""))</f>
        <v/>
      </c>
      <c r="X6" s="53">
        <f>IF(OR(A6="",U6="",V6=""),"",V6-U6)</f>
        <v/>
      </c>
      <c r="Y6" s="52">
        <f>IF(A6="","",COUNT(E6:T6))</f>
        <v/>
      </c>
    </row>
    <row r="7">
      <c r="A7" s="43">
        <f>IF(AND('Employees'!B6&lt;&gt;"",'Skills'!B7&lt;&gt;""),'Employees'!B6,"")</f>
        <v/>
      </c>
      <c r="B7" s="44">
        <f>IF(A7="","",'Employees'!C6)</f>
        <v/>
      </c>
      <c r="C7" s="50">
        <f>IF(A7="","",'Skills'!B7)</f>
        <v/>
      </c>
      <c r="D7" s="44">
        <f>IF(A7="","",'Skills'!C7)</f>
        <v/>
      </c>
      <c r="E7" s="51" t="n">
        <v>2</v>
      </c>
      <c r="F7" s="51" t="n">
        <v>2</v>
      </c>
      <c r="G7" s="51" t="n">
        <v>2</v>
      </c>
      <c r="H7" s="45" t="n">
        <v>2</v>
      </c>
      <c r="I7" s="51" t="inlineStr"/>
      <c r="J7" s="51" t="inlineStr"/>
      <c r="K7" s="51" t="inlineStr"/>
      <c r="L7" s="51" t="inlineStr"/>
      <c r="M7" s="51" t="inlineStr"/>
      <c r="N7" s="51" t="inlineStr"/>
      <c r="O7" s="51" t="inlineStr"/>
      <c r="P7" s="51" t="inlineStr"/>
      <c r="Q7" s="51" t="inlineStr"/>
      <c r="R7" s="51" t="inlineStr"/>
      <c r="S7" s="51" t="inlineStr"/>
      <c r="T7" s="51" t="inlineStr"/>
      <c r="U7" s="52">
        <f>IF(A7="","",IFERROR(INDEX(E7:T7,MATCH(TRUE,INDEX(E7:T7&lt;&gt;"",0),0)),""))</f>
        <v/>
      </c>
      <c r="V7" s="52">
        <f>IF(A7="","",IFERROR(LOOKUP(2,1/(E7:T7&lt;&gt;""),E7:T7),""))</f>
        <v/>
      </c>
      <c r="W7" s="53">
        <f>IF(OR(A7="",PreviousYear=""),"",IFERROR(LOOKUP(2,1/(E7:T7&lt;&gt;""),E7:T7)-INDEX(E7:T7,MATCH(PreviousYear,$E$5:$T$5,0)),""))</f>
        <v/>
      </c>
      <c r="X7" s="53">
        <f>IF(OR(A7="",U7="",V7=""),"",V7-U7)</f>
        <v/>
      </c>
      <c r="Y7" s="52">
        <f>IF(A7="","",COUNT(E7:T7))</f>
        <v/>
      </c>
    </row>
    <row r="8">
      <c r="A8" s="43">
        <f>IF(AND('Employees'!B6&lt;&gt;"",'Skills'!B8&lt;&gt;""),'Employees'!B6,"")</f>
        <v/>
      </c>
      <c r="B8" s="44">
        <f>IF(A8="","",'Employees'!C6)</f>
        <v/>
      </c>
      <c r="C8" s="50">
        <f>IF(A8="","",'Skills'!B8)</f>
        <v/>
      </c>
      <c r="D8" s="44">
        <f>IF(A8="","",'Skills'!C8)</f>
        <v/>
      </c>
      <c r="E8" s="51" t="n">
        <v>1</v>
      </c>
      <c r="F8" s="51" t="n">
        <v>2</v>
      </c>
      <c r="G8" s="51" t="n">
        <v>2</v>
      </c>
      <c r="H8" s="45" t="n">
        <v>3</v>
      </c>
      <c r="I8" s="51" t="inlineStr"/>
      <c r="J8" s="51" t="inlineStr"/>
      <c r="K8" s="51" t="inlineStr"/>
      <c r="L8" s="51" t="inlineStr"/>
      <c r="M8" s="51" t="inlineStr"/>
      <c r="N8" s="51" t="inlineStr"/>
      <c r="O8" s="51" t="inlineStr"/>
      <c r="P8" s="51" t="inlineStr"/>
      <c r="Q8" s="51" t="inlineStr"/>
      <c r="R8" s="51" t="inlineStr"/>
      <c r="S8" s="51" t="inlineStr"/>
      <c r="T8" s="51" t="inlineStr"/>
      <c r="U8" s="52">
        <f>IF(A8="","",IFERROR(INDEX(E8:T8,MATCH(TRUE,INDEX(E8:T8&lt;&gt;"",0),0)),""))</f>
        <v/>
      </c>
      <c r="V8" s="52">
        <f>IF(A8="","",IFERROR(LOOKUP(2,1/(E8:T8&lt;&gt;""),E8:T8),""))</f>
        <v/>
      </c>
      <c r="W8" s="53">
        <f>IF(OR(A8="",PreviousYear=""),"",IFERROR(LOOKUP(2,1/(E8:T8&lt;&gt;""),E8:T8)-INDEX(E8:T8,MATCH(PreviousYear,$E$5:$T$5,0)),""))</f>
        <v/>
      </c>
      <c r="X8" s="53">
        <f>IF(OR(A8="",U8="",V8=""),"",V8-U8)</f>
        <v/>
      </c>
      <c r="Y8" s="52">
        <f>IF(A8="","",COUNT(E8:T8))</f>
        <v/>
      </c>
    </row>
    <row r="9">
      <c r="A9" s="43">
        <f>IF(AND('Employees'!B6&lt;&gt;"",'Skills'!B9&lt;&gt;""),'Employees'!B6,"")</f>
        <v/>
      </c>
      <c r="B9" s="44">
        <f>IF(A9="","",'Employees'!C6)</f>
        <v/>
      </c>
      <c r="C9" s="50">
        <f>IF(A9="","",'Skills'!B9)</f>
        <v/>
      </c>
      <c r="D9" s="44">
        <f>IF(A9="","",'Skills'!C9)</f>
        <v/>
      </c>
      <c r="E9" s="51" t="n">
        <v>2</v>
      </c>
      <c r="F9" s="51" t="n">
        <v>2</v>
      </c>
      <c r="G9" s="51" t="n">
        <v>3</v>
      </c>
      <c r="H9" s="45" t="n">
        <v>4</v>
      </c>
      <c r="I9" s="51" t="inlineStr"/>
      <c r="J9" s="51" t="inlineStr"/>
      <c r="K9" s="51" t="inlineStr"/>
      <c r="L9" s="51" t="inlineStr"/>
      <c r="M9" s="51" t="inlineStr"/>
      <c r="N9" s="51" t="inlineStr"/>
      <c r="O9" s="51" t="inlineStr"/>
      <c r="P9" s="51" t="inlineStr"/>
      <c r="Q9" s="51" t="inlineStr"/>
      <c r="R9" s="51" t="inlineStr"/>
      <c r="S9" s="51" t="inlineStr"/>
      <c r="T9" s="51" t="inlineStr"/>
      <c r="U9" s="52">
        <f>IF(A9="","",IFERROR(INDEX(E9:T9,MATCH(TRUE,INDEX(E9:T9&lt;&gt;"",0),0)),""))</f>
        <v/>
      </c>
      <c r="V9" s="52">
        <f>IF(A9="","",IFERROR(LOOKUP(2,1/(E9:T9&lt;&gt;""),E9:T9),""))</f>
        <v/>
      </c>
      <c r="W9" s="53">
        <f>IF(OR(A9="",PreviousYear=""),"",IFERROR(LOOKUP(2,1/(E9:T9&lt;&gt;""),E9:T9)-INDEX(E9:T9,MATCH(PreviousYear,$E$5:$T$5,0)),""))</f>
        <v/>
      </c>
      <c r="X9" s="53">
        <f>IF(OR(A9="",U9="",V9=""),"",V9-U9)</f>
        <v/>
      </c>
      <c r="Y9" s="52">
        <f>IF(A9="","",COUNT(E9:T9))</f>
        <v/>
      </c>
    </row>
    <row r="10">
      <c r="A10" s="43">
        <f>IF(AND('Employees'!B6&lt;&gt;"",'Skills'!B10&lt;&gt;""),'Employees'!B6,"")</f>
        <v/>
      </c>
      <c r="B10" s="44">
        <f>IF(A10="","",'Employees'!C6)</f>
        <v/>
      </c>
      <c r="C10" s="50">
        <f>IF(A10="","",'Skills'!B10)</f>
        <v/>
      </c>
      <c r="D10" s="44">
        <f>IF(A10="","",'Skills'!C10)</f>
        <v/>
      </c>
      <c r="E10" s="51" t="n">
        <v>3</v>
      </c>
      <c r="F10" s="51" t="n">
        <v>4</v>
      </c>
      <c r="G10" s="51" t="n">
        <v>4</v>
      </c>
      <c r="H10" s="45" t="n">
        <v>5</v>
      </c>
      <c r="I10" s="51" t="inlineStr"/>
      <c r="J10" s="51" t="inlineStr"/>
      <c r="K10" s="51" t="inlineStr"/>
      <c r="L10" s="51" t="inlineStr"/>
      <c r="M10" s="51" t="inlineStr"/>
      <c r="N10" s="51" t="inlineStr"/>
      <c r="O10" s="51" t="inlineStr"/>
      <c r="P10" s="51" t="inlineStr"/>
      <c r="Q10" s="51" t="inlineStr"/>
      <c r="R10" s="51" t="inlineStr"/>
      <c r="S10" s="51" t="inlineStr"/>
      <c r="T10" s="51" t="inlineStr"/>
      <c r="U10" s="52">
        <f>IF(A10="","",IFERROR(INDEX(E10:T10,MATCH(TRUE,INDEX(E10:T10&lt;&gt;"",0),0)),""))</f>
        <v/>
      </c>
      <c r="V10" s="52">
        <f>IF(A10="","",IFERROR(LOOKUP(2,1/(E10:T10&lt;&gt;""),E10:T10),""))</f>
        <v/>
      </c>
      <c r="W10" s="53">
        <f>IF(OR(A10="",PreviousYear=""),"",IFERROR(LOOKUP(2,1/(E10:T10&lt;&gt;""),E10:T10)-INDEX(E10:T10,MATCH(PreviousYear,$E$5:$T$5,0)),""))</f>
        <v/>
      </c>
      <c r="X10" s="53">
        <f>IF(OR(A10="",U10="",V10=""),"",V10-U10)</f>
        <v/>
      </c>
      <c r="Y10" s="52">
        <f>IF(A10="","",COUNT(E10:T10))</f>
        <v/>
      </c>
    </row>
    <row r="11">
      <c r="A11" s="43">
        <f>IF(AND('Employees'!B6&lt;&gt;"",'Skills'!B11&lt;&gt;""),'Employees'!B6,"")</f>
        <v/>
      </c>
      <c r="B11" s="44">
        <f>IF(A11="","",'Employees'!C6)</f>
        <v/>
      </c>
      <c r="C11" s="50">
        <f>IF(A11="","",'Skills'!B11)</f>
        <v/>
      </c>
      <c r="D11" s="44">
        <f>IF(A11="","",'Skills'!C11)</f>
        <v/>
      </c>
      <c r="E11" s="51" t="n">
        <v>3</v>
      </c>
      <c r="F11" s="51" t="n">
        <v>3</v>
      </c>
      <c r="G11" s="51" t="n">
        <v>3</v>
      </c>
      <c r="H11" s="45" t="n">
        <v>3</v>
      </c>
      <c r="I11" s="51" t="inlineStr"/>
      <c r="J11" s="51" t="inlineStr"/>
      <c r="K11" s="51" t="inlineStr"/>
      <c r="L11" s="51" t="inlineStr"/>
      <c r="M11" s="51" t="inlineStr"/>
      <c r="N11" s="51" t="inlineStr"/>
      <c r="O11" s="51" t="inlineStr"/>
      <c r="P11" s="51" t="inlineStr"/>
      <c r="Q11" s="51" t="inlineStr"/>
      <c r="R11" s="51" t="inlineStr"/>
      <c r="S11" s="51" t="inlineStr"/>
      <c r="T11" s="51" t="inlineStr"/>
      <c r="U11" s="52">
        <f>IF(A11="","",IFERROR(INDEX(E11:T11,MATCH(TRUE,INDEX(E11:T11&lt;&gt;"",0),0)),""))</f>
        <v/>
      </c>
      <c r="V11" s="52">
        <f>IF(A11="","",IFERROR(LOOKUP(2,1/(E11:T11&lt;&gt;""),E11:T11),""))</f>
        <v/>
      </c>
      <c r="W11" s="53">
        <f>IF(OR(A11="",PreviousYear=""),"",IFERROR(LOOKUP(2,1/(E11:T11&lt;&gt;""),E11:T11)-INDEX(E11:T11,MATCH(PreviousYear,$E$5:$T$5,0)),""))</f>
        <v/>
      </c>
      <c r="X11" s="53">
        <f>IF(OR(A11="",U11="",V11=""),"",V11-U11)</f>
        <v/>
      </c>
      <c r="Y11" s="52">
        <f>IF(A11="","",COUNT(E11:T11))</f>
        <v/>
      </c>
    </row>
    <row r="12">
      <c r="A12" s="43">
        <f>IF(AND('Employees'!B6&lt;&gt;"",'Skills'!B12&lt;&gt;""),'Employees'!B6,"")</f>
        <v/>
      </c>
      <c r="B12" s="44">
        <f>IF(A12="","",'Employees'!C6)</f>
        <v/>
      </c>
      <c r="C12" s="50">
        <f>IF(A12="","",'Skills'!B12)</f>
        <v/>
      </c>
      <c r="D12" s="44">
        <f>IF(A12="","",'Skills'!C12)</f>
        <v/>
      </c>
      <c r="E12" s="51" t="n">
        <v>1</v>
      </c>
      <c r="F12" s="51" t="n">
        <v>1</v>
      </c>
      <c r="G12" s="51" t="n">
        <v>2</v>
      </c>
      <c r="H12" s="45" t="n">
        <v>3</v>
      </c>
      <c r="I12" s="51" t="inlineStr"/>
      <c r="J12" s="51" t="inlineStr"/>
      <c r="K12" s="51" t="inlineStr"/>
      <c r="L12" s="51" t="inlineStr"/>
      <c r="M12" s="51" t="inlineStr"/>
      <c r="N12" s="51" t="inlineStr"/>
      <c r="O12" s="51" t="inlineStr"/>
      <c r="P12" s="51" t="inlineStr"/>
      <c r="Q12" s="51" t="inlineStr"/>
      <c r="R12" s="51" t="inlineStr"/>
      <c r="S12" s="51" t="inlineStr"/>
      <c r="T12" s="51" t="inlineStr"/>
      <c r="U12" s="52">
        <f>IF(A12="","",IFERROR(INDEX(E12:T12,MATCH(TRUE,INDEX(E12:T12&lt;&gt;"",0),0)),""))</f>
        <v/>
      </c>
      <c r="V12" s="52">
        <f>IF(A12="","",IFERROR(LOOKUP(2,1/(E12:T12&lt;&gt;""),E12:T12),""))</f>
        <v/>
      </c>
      <c r="W12" s="53">
        <f>IF(OR(A12="",PreviousYear=""),"",IFERROR(LOOKUP(2,1/(E12:T12&lt;&gt;""),E12:T12)-INDEX(E12:T12,MATCH(PreviousYear,$E$5:$T$5,0)),""))</f>
        <v/>
      </c>
      <c r="X12" s="53">
        <f>IF(OR(A12="",U12="",V12=""),"",V12-U12)</f>
        <v/>
      </c>
      <c r="Y12" s="52">
        <f>IF(A12="","",COUNT(E12:T12))</f>
        <v/>
      </c>
    </row>
    <row r="13">
      <c r="A13" s="43">
        <f>IF(AND('Employees'!B6&lt;&gt;"",'Skills'!B13&lt;&gt;""),'Employees'!B6,"")</f>
        <v/>
      </c>
      <c r="B13" s="44">
        <f>IF(A13="","",'Employees'!C6)</f>
        <v/>
      </c>
      <c r="C13" s="50">
        <f>IF(A13="","",'Skills'!B13)</f>
        <v/>
      </c>
      <c r="D13" s="44">
        <f>IF(A13="","",'Skills'!C13)</f>
        <v/>
      </c>
      <c r="E13" s="51" t="n">
        <v>3</v>
      </c>
      <c r="F13" s="51" t="n">
        <v>3</v>
      </c>
      <c r="G13" s="51" t="n">
        <v>3</v>
      </c>
      <c r="H13" s="45" t="n">
        <v>3</v>
      </c>
      <c r="I13" s="51" t="inlineStr"/>
      <c r="J13" s="51" t="inlineStr"/>
      <c r="K13" s="51" t="inlineStr"/>
      <c r="L13" s="51" t="inlineStr"/>
      <c r="M13" s="51" t="inlineStr"/>
      <c r="N13" s="51" t="inlineStr"/>
      <c r="O13" s="51" t="inlineStr"/>
      <c r="P13" s="51" t="inlineStr"/>
      <c r="Q13" s="51" t="inlineStr"/>
      <c r="R13" s="51" t="inlineStr"/>
      <c r="S13" s="51" t="inlineStr"/>
      <c r="T13" s="51" t="inlineStr"/>
      <c r="U13" s="52">
        <f>IF(A13="","",IFERROR(INDEX(E13:T13,MATCH(TRUE,INDEX(E13:T13&lt;&gt;"",0),0)),""))</f>
        <v/>
      </c>
      <c r="V13" s="52">
        <f>IF(A13="","",IFERROR(LOOKUP(2,1/(E13:T13&lt;&gt;""),E13:T13),""))</f>
        <v/>
      </c>
      <c r="W13" s="53">
        <f>IF(OR(A13="",PreviousYear=""),"",IFERROR(LOOKUP(2,1/(E13:T13&lt;&gt;""),E13:T13)-INDEX(E13:T13,MATCH(PreviousYear,$E$5:$T$5,0)),""))</f>
        <v/>
      </c>
      <c r="X13" s="53">
        <f>IF(OR(A13="",U13="",V13=""),"",V13-U13)</f>
        <v/>
      </c>
      <c r="Y13" s="52">
        <f>IF(A13="","",COUNT(E13:T13))</f>
        <v/>
      </c>
    </row>
    <row r="14">
      <c r="A14" s="43">
        <f>IF(AND('Employees'!B6&lt;&gt;"",'Skills'!B14&lt;&gt;""),'Employees'!B6,"")</f>
        <v/>
      </c>
      <c r="B14" s="44">
        <f>IF(A14="","",'Employees'!C6)</f>
        <v/>
      </c>
      <c r="C14" s="50">
        <f>IF(A14="","",'Skills'!B14)</f>
        <v/>
      </c>
      <c r="D14" s="44">
        <f>IF(A14="","",'Skills'!C14)</f>
        <v/>
      </c>
      <c r="E14" s="51" t="n">
        <v>2</v>
      </c>
      <c r="F14" s="51" t="n">
        <v>3</v>
      </c>
      <c r="G14" s="51" t="n">
        <v>3</v>
      </c>
      <c r="H14" s="45" t="n">
        <v>4</v>
      </c>
      <c r="I14" s="51" t="inlineStr"/>
      <c r="J14" s="51" t="inlineStr"/>
      <c r="K14" s="51" t="inlineStr"/>
      <c r="L14" s="51" t="inlineStr"/>
      <c r="M14" s="51" t="inlineStr"/>
      <c r="N14" s="51" t="inlineStr"/>
      <c r="O14" s="51" t="inlineStr"/>
      <c r="P14" s="51" t="inlineStr"/>
      <c r="Q14" s="51" t="inlineStr"/>
      <c r="R14" s="51" t="inlineStr"/>
      <c r="S14" s="51" t="inlineStr"/>
      <c r="T14" s="51" t="inlineStr"/>
      <c r="U14" s="52">
        <f>IF(A14="","",IFERROR(INDEX(E14:T14,MATCH(TRUE,INDEX(E14:T14&lt;&gt;"",0),0)),""))</f>
        <v/>
      </c>
      <c r="V14" s="52">
        <f>IF(A14="","",IFERROR(LOOKUP(2,1/(E14:T14&lt;&gt;""),E14:T14),""))</f>
        <v/>
      </c>
      <c r="W14" s="53">
        <f>IF(OR(A14="",PreviousYear=""),"",IFERROR(LOOKUP(2,1/(E14:T14&lt;&gt;""),E14:T14)-INDEX(E14:T14,MATCH(PreviousYear,$E$5:$T$5,0)),""))</f>
        <v/>
      </c>
      <c r="X14" s="53">
        <f>IF(OR(A14="",U14="",V14=""),"",V14-U14)</f>
        <v/>
      </c>
      <c r="Y14" s="52">
        <f>IF(A14="","",COUNT(E14:T14))</f>
        <v/>
      </c>
    </row>
    <row r="15">
      <c r="A15" s="43">
        <f>IF(AND('Employees'!B6&lt;&gt;"",'Skills'!B15&lt;&gt;""),'Employees'!B6,"")</f>
        <v/>
      </c>
      <c r="B15" s="44">
        <f>IF(A15="","",'Employees'!C6)</f>
        <v/>
      </c>
      <c r="C15" s="50">
        <f>IF(A15="","",'Skills'!B15)</f>
        <v/>
      </c>
      <c r="D15" s="44">
        <f>IF(A15="","",'Skills'!C15)</f>
        <v/>
      </c>
      <c r="E15" s="51" t="n">
        <v>1</v>
      </c>
      <c r="F15" s="51" t="n">
        <v>1</v>
      </c>
      <c r="G15" s="51" t="n">
        <v>2</v>
      </c>
      <c r="H15" s="45" t="n">
        <v>2</v>
      </c>
      <c r="I15" s="51" t="inlineStr"/>
      <c r="J15" s="51" t="inlineStr"/>
      <c r="K15" s="51" t="inlineStr"/>
      <c r="L15" s="51" t="inlineStr"/>
      <c r="M15" s="51" t="inlineStr"/>
      <c r="N15" s="51" t="inlineStr"/>
      <c r="O15" s="51" t="inlineStr"/>
      <c r="P15" s="51" t="inlineStr"/>
      <c r="Q15" s="51" t="inlineStr"/>
      <c r="R15" s="51" t="inlineStr"/>
      <c r="S15" s="51" t="inlineStr"/>
      <c r="T15" s="51" t="inlineStr"/>
      <c r="U15" s="52">
        <f>IF(A15="","",IFERROR(INDEX(E15:T15,MATCH(TRUE,INDEX(E15:T15&lt;&gt;"",0),0)),""))</f>
        <v/>
      </c>
      <c r="V15" s="52">
        <f>IF(A15="","",IFERROR(LOOKUP(2,1/(E15:T15&lt;&gt;""),E15:T15),""))</f>
        <v/>
      </c>
      <c r="W15" s="53">
        <f>IF(OR(A15="",PreviousYear=""),"",IFERROR(LOOKUP(2,1/(E15:T15&lt;&gt;""),E15:T15)-INDEX(E15:T15,MATCH(PreviousYear,$E$5:$T$5,0)),""))</f>
        <v/>
      </c>
      <c r="X15" s="53">
        <f>IF(OR(A15="",U15="",V15=""),"",V15-U15)</f>
        <v/>
      </c>
      <c r="Y15" s="52">
        <f>IF(A15="","",COUNT(E15:T15))</f>
        <v/>
      </c>
    </row>
    <row r="16">
      <c r="A16" s="43">
        <f>IF(AND('Employees'!B6&lt;&gt;"",'Skills'!B16&lt;&gt;""),'Employees'!B6,"")</f>
        <v/>
      </c>
      <c r="B16" s="44">
        <f>IF(A16="","",'Employees'!C6)</f>
        <v/>
      </c>
      <c r="C16" s="50">
        <f>IF(A16="","",'Skills'!B16)</f>
        <v/>
      </c>
      <c r="D16" s="44">
        <f>IF(A16="","",'Skills'!C16)</f>
        <v/>
      </c>
      <c r="E16" s="51" t="inlineStr"/>
      <c r="F16" s="51" t="inlineStr"/>
      <c r="G16" s="51" t="inlineStr"/>
      <c r="H16" s="45" t="inlineStr"/>
      <c r="I16" s="51" t="inlineStr"/>
      <c r="J16" s="51" t="inlineStr"/>
      <c r="K16" s="51" t="inlineStr"/>
      <c r="L16" s="51" t="inlineStr"/>
      <c r="M16" s="51" t="inlineStr"/>
      <c r="N16" s="51" t="inlineStr"/>
      <c r="O16" s="51" t="inlineStr"/>
      <c r="P16" s="51" t="inlineStr"/>
      <c r="Q16" s="51" t="inlineStr"/>
      <c r="R16" s="51" t="inlineStr"/>
      <c r="S16" s="51" t="inlineStr"/>
      <c r="T16" s="51" t="inlineStr"/>
      <c r="U16" s="52">
        <f>IF(A16="","",IFERROR(INDEX(E16:T16,MATCH(TRUE,INDEX(E16:T16&lt;&gt;"",0),0)),""))</f>
        <v/>
      </c>
      <c r="V16" s="52">
        <f>IF(A16="","",IFERROR(LOOKUP(2,1/(E16:T16&lt;&gt;""),E16:T16),""))</f>
        <v/>
      </c>
      <c r="W16" s="53">
        <f>IF(OR(A16="",PreviousYear=""),"",IFERROR(LOOKUP(2,1/(E16:T16&lt;&gt;""),E16:T16)-INDEX(E16:T16,MATCH(PreviousYear,$E$5:$T$5,0)),""))</f>
        <v/>
      </c>
      <c r="X16" s="53">
        <f>IF(OR(A16="",U16="",V16=""),"",V16-U16)</f>
        <v/>
      </c>
      <c r="Y16" s="52">
        <f>IF(A16="","",COUNT(E16:T16))</f>
        <v/>
      </c>
    </row>
    <row r="17">
      <c r="A17" s="43">
        <f>IF(AND('Employees'!B6&lt;&gt;"",'Skills'!B17&lt;&gt;""),'Employees'!B6,"")</f>
        <v/>
      </c>
      <c r="B17" s="44">
        <f>IF(A17="","",'Employees'!C6)</f>
        <v/>
      </c>
      <c r="C17" s="50">
        <f>IF(A17="","",'Skills'!B17)</f>
        <v/>
      </c>
      <c r="D17" s="44">
        <f>IF(A17="","",'Skills'!C17)</f>
        <v/>
      </c>
      <c r="E17" s="51" t="inlineStr"/>
      <c r="F17" s="51" t="inlineStr"/>
      <c r="G17" s="51" t="inlineStr"/>
      <c r="H17" s="45" t="inlineStr"/>
      <c r="I17" s="51" t="inlineStr"/>
      <c r="J17" s="51" t="inlineStr"/>
      <c r="K17" s="51" t="inlineStr"/>
      <c r="L17" s="51" t="inlineStr"/>
      <c r="M17" s="51" t="inlineStr"/>
      <c r="N17" s="51" t="inlineStr"/>
      <c r="O17" s="51" t="inlineStr"/>
      <c r="P17" s="51" t="inlineStr"/>
      <c r="Q17" s="51" t="inlineStr"/>
      <c r="R17" s="51" t="inlineStr"/>
      <c r="S17" s="51" t="inlineStr"/>
      <c r="T17" s="51" t="inlineStr"/>
      <c r="U17" s="52">
        <f>IF(A17="","",IFERROR(INDEX(E17:T17,MATCH(TRUE,INDEX(E17:T17&lt;&gt;"",0),0)),""))</f>
        <v/>
      </c>
      <c r="V17" s="52">
        <f>IF(A17="","",IFERROR(LOOKUP(2,1/(E17:T17&lt;&gt;""),E17:T17),""))</f>
        <v/>
      </c>
      <c r="W17" s="53">
        <f>IF(OR(A17="",PreviousYear=""),"",IFERROR(LOOKUP(2,1/(E17:T17&lt;&gt;""),E17:T17)-INDEX(E17:T17,MATCH(PreviousYear,$E$5:$T$5,0)),""))</f>
        <v/>
      </c>
      <c r="X17" s="53">
        <f>IF(OR(A17="",U17="",V17=""),"",V17-U17)</f>
        <v/>
      </c>
      <c r="Y17" s="52">
        <f>IF(A17="","",COUNT(E17:T17))</f>
        <v/>
      </c>
    </row>
    <row r="18">
      <c r="A18" s="43">
        <f>IF(AND('Employees'!B6&lt;&gt;"",'Skills'!B18&lt;&gt;""),'Employees'!B6,"")</f>
        <v/>
      </c>
      <c r="B18" s="44">
        <f>IF(A18="","",'Employees'!C6)</f>
        <v/>
      </c>
      <c r="C18" s="50">
        <f>IF(A18="","",'Skills'!B18)</f>
        <v/>
      </c>
      <c r="D18" s="44">
        <f>IF(A18="","",'Skills'!C18)</f>
        <v/>
      </c>
      <c r="E18" s="51" t="inlineStr"/>
      <c r="F18" s="51" t="inlineStr"/>
      <c r="G18" s="51" t="inlineStr"/>
      <c r="H18" s="45" t="inlineStr"/>
      <c r="I18" s="51" t="inlineStr"/>
      <c r="J18" s="51" t="inlineStr"/>
      <c r="K18" s="51" t="inlineStr"/>
      <c r="L18" s="51" t="inlineStr"/>
      <c r="M18" s="51" t="inlineStr"/>
      <c r="N18" s="51" t="inlineStr"/>
      <c r="O18" s="51" t="inlineStr"/>
      <c r="P18" s="51" t="inlineStr"/>
      <c r="Q18" s="51" t="inlineStr"/>
      <c r="R18" s="51" t="inlineStr"/>
      <c r="S18" s="51" t="inlineStr"/>
      <c r="T18" s="51" t="inlineStr"/>
      <c r="U18" s="52">
        <f>IF(A18="","",IFERROR(INDEX(E18:T18,MATCH(TRUE,INDEX(E18:T18&lt;&gt;"",0),0)),""))</f>
        <v/>
      </c>
      <c r="V18" s="52">
        <f>IF(A18="","",IFERROR(LOOKUP(2,1/(E18:T18&lt;&gt;""),E18:T18),""))</f>
        <v/>
      </c>
      <c r="W18" s="53">
        <f>IF(OR(A18="",PreviousYear=""),"",IFERROR(LOOKUP(2,1/(E18:T18&lt;&gt;""),E18:T18)-INDEX(E18:T18,MATCH(PreviousYear,$E$5:$T$5,0)),""))</f>
        <v/>
      </c>
      <c r="X18" s="53">
        <f>IF(OR(A18="",U18="",V18=""),"",V18-U18)</f>
        <v/>
      </c>
      <c r="Y18" s="52">
        <f>IF(A18="","",COUNT(E18:T18))</f>
        <v/>
      </c>
    </row>
    <row r="19">
      <c r="A19" s="43">
        <f>IF(AND('Employees'!B6&lt;&gt;"",'Skills'!B19&lt;&gt;""),'Employees'!B6,"")</f>
        <v/>
      </c>
      <c r="B19" s="44">
        <f>IF(A19="","",'Employees'!C6)</f>
        <v/>
      </c>
      <c r="C19" s="50">
        <f>IF(A19="","",'Skills'!B19)</f>
        <v/>
      </c>
      <c r="D19" s="44">
        <f>IF(A19="","",'Skills'!C19)</f>
        <v/>
      </c>
      <c r="E19" s="51" t="inlineStr"/>
      <c r="F19" s="51" t="inlineStr"/>
      <c r="G19" s="51" t="inlineStr"/>
      <c r="H19" s="45" t="inlineStr"/>
      <c r="I19" s="51" t="inlineStr"/>
      <c r="J19" s="51" t="inlineStr"/>
      <c r="K19" s="51" t="inlineStr"/>
      <c r="L19" s="51" t="inlineStr"/>
      <c r="M19" s="51" t="inlineStr"/>
      <c r="N19" s="51" t="inlineStr"/>
      <c r="O19" s="51" t="inlineStr"/>
      <c r="P19" s="51" t="inlineStr"/>
      <c r="Q19" s="51" t="inlineStr"/>
      <c r="R19" s="51" t="inlineStr"/>
      <c r="S19" s="51" t="inlineStr"/>
      <c r="T19" s="51" t="inlineStr"/>
      <c r="U19" s="52">
        <f>IF(A19="","",IFERROR(INDEX(E19:T19,MATCH(TRUE,INDEX(E19:T19&lt;&gt;"",0),0)),""))</f>
        <v/>
      </c>
      <c r="V19" s="52">
        <f>IF(A19="","",IFERROR(LOOKUP(2,1/(E19:T19&lt;&gt;""),E19:T19),""))</f>
        <v/>
      </c>
      <c r="W19" s="53">
        <f>IF(OR(A19="",PreviousYear=""),"",IFERROR(LOOKUP(2,1/(E19:T19&lt;&gt;""),E19:T19)-INDEX(E19:T19,MATCH(PreviousYear,$E$5:$T$5,0)),""))</f>
        <v/>
      </c>
      <c r="X19" s="53">
        <f>IF(OR(A19="",U19="",V19=""),"",V19-U19)</f>
        <v/>
      </c>
      <c r="Y19" s="52">
        <f>IF(A19="","",COUNT(E19:T19))</f>
        <v/>
      </c>
    </row>
    <row r="20">
      <c r="A20" s="43">
        <f>IF(AND('Employees'!B6&lt;&gt;"",'Skills'!B20&lt;&gt;""),'Employees'!B6,"")</f>
        <v/>
      </c>
      <c r="B20" s="44">
        <f>IF(A20="","",'Employees'!C6)</f>
        <v/>
      </c>
      <c r="C20" s="50">
        <f>IF(A20="","",'Skills'!B20)</f>
        <v/>
      </c>
      <c r="D20" s="44">
        <f>IF(A20="","",'Skills'!C20)</f>
        <v/>
      </c>
      <c r="E20" s="51" t="inlineStr"/>
      <c r="F20" s="51" t="inlineStr"/>
      <c r="G20" s="51" t="inlineStr"/>
      <c r="H20" s="45" t="inlineStr"/>
      <c r="I20" s="51" t="inlineStr"/>
      <c r="J20" s="51" t="inlineStr"/>
      <c r="K20" s="51" t="inlineStr"/>
      <c r="L20" s="51" t="inlineStr"/>
      <c r="M20" s="51" t="inlineStr"/>
      <c r="N20" s="51" t="inlineStr"/>
      <c r="O20" s="51" t="inlineStr"/>
      <c r="P20" s="51" t="inlineStr"/>
      <c r="Q20" s="51" t="inlineStr"/>
      <c r="R20" s="51" t="inlineStr"/>
      <c r="S20" s="51" t="inlineStr"/>
      <c r="T20" s="51" t="inlineStr"/>
      <c r="U20" s="52">
        <f>IF(A20="","",IFERROR(INDEX(E20:T20,MATCH(TRUE,INDEX(E20:T20&lt;&gt;"",0),0)),""))</f>
        <v/>
      </c>
      <c r="V20" s="52">
        <f>IF(A20="","",IFERROR(LOOKUP(2,1/(E20:T20&lt;&gt;""),E20:T20),""))</f>
        <v/>
      </c>
      <c r="W20" s="53">
        <f>IF(OR(A20="",PreviousYear=""),"",IFERROR(LOOKUP(2,1/(E20:T20&lt;&gt;""),E20:T20)-INDEX(E20:T20,MATCH(PreviousYear,$E$5:$T$5,0)),""))</f>
        <v/>
      </c>
      <c r="X20" s="53">
        <f>IF(OR(A20="",U20="",V20=""),"",V20-U20)</f>
        <v/>
      </c>
      <c r="Y20" s="52">
        <f>IF(A20="","",COUNT(E20:T20))</f>
        <v/>
      </c>
    </row>
    <row r="21">
      <c r="A21" s="43">
        <f>IF(AND('Employees'!B6&lt;&gt;"",'Skills'!B21&lt;&gt;""),'Employees'!B6,"")</f>
        <v/>
      </c>
      <c r="B21" s="44">
        <f>IF(A21="","",'Employees'!C6)</f>
        <v/>
      </c>
      <c r="C21" s="50">
        <f>IF(A21="","",'Skills'!B21)</f>
        <v/>
      </c>
      <c r="D21" s="44">
        <f>IF(A21="","",'Skills'!C21)</f>
        <v/>
      </c>
      <c r="E21" s="51" t="inlineStr"/>
      <c r="F21" s="51" t="inlineStr"/>
      <c r="G21" s="51" t="inlineStr"/>
      <c r="H21" s="45" t="inlineStr"/>
      <c r="I21" s="51" t="inlineStr"/>
      <c r="J21" s="51" t="inlineStr"/>
      <c r="K21" s="51" t="inlineStr"/>
      <c r="L21" s="51" t="inlineStr"/>
      <c r="M21" s="51" t="inlineStr"/>
      <c r="N21" s="51" t="inlineStr"/>
      <c r="O21" s="51" t="inlineStr"/>
      <c r="P21" s="51" t="inlineStr"/>
      <c r="Q21" s="51" t="inlineStr"/>
      <c r="R21" s="51" t="inlineStr"/>
      <c r="S21" s="51" t="inlineStr"/>
      <c r="T21" s="51" t="inlineStr"/>
      <c r="U21" s="52">
        <f>IF(A21="","",IFERROR(INDEX(E21:T21,MATCH(TRUE,INDEX(E21:T21&lt;&gt;"",0),0)),""))</f>
        <v/>
      </c>
      <c r="V21" s="52">
        <f>IF(A21="","",IFERROR(LOOKUP(2,1/(E21:T21&lt;&gt;""),E21:T21),""))</f>
        <v/>
      </c>
      <c r="W21" s="53">
        <f>IF(OR(A21="",PreviousYear=""),"",IFERROR(LOOKUP(2,1/(E21:T21&lt;&gt;""),E21:T21)-INDEX(E21:T21,MATCH(PreviousYear,$E$5:$T$5,0)),""))</f>
        <v/>
      </c>
      <c r="X21" s="53">
        <f>IF(OR(A21="",U21="",V21=""),"",V21-U21)</f>
        <v/>
      </c>
      <c r="Y21" s="52">
        <f>IF(A21="","",COUNT(E21:T21))</f>
        <v/>
      </c>
    </row>
    <row r="22">
      <c r="A22" s="43">
        <f>IF(AND('Employees'!B7&lt;&gt;"",'Skills'!B6&lt;&gt;""),'Employees'!B7,"")</f>
        <v/>
      </c>
      <c r="B22" s="44">
        <f>IF(A22="","",'Employees'!C7)</f>
        <v/>
      </c>
      <c r="C22" s="50">
        <f>IF(A22="","",'Skills'!B6)</f>
        <v/>
      </c>
      <c r="D22" s="44">
        <f>IF(A22="","",'Skills'!C6)</f>
        <v/>
      </c>
      <c r="E22" s="51" t="n">
        <v>5</v>
      </c>
      <c r="F22" s="51" t="n">
        <v>5</v>
      </c>
      <c r="G22" s="51" t="n">
        <v>5</v>
      </c>
      <c r="H22" s="45" t="n">
        <v>5</v>
      </c>
      <c r="I22" s="51" t="inlineStr"/>
      <c r="J22" s="51" t="inlineStr"/>
      <c r="K22" s="51" t="inlineStr"/>
      <c r="L22" s="51" t="inlineStr"/>
      <c r="M22" s="51" t="inlineStr"/>
      <c r="N22" s="51" t="inlineStr"/>
      <c r="O22" s="51" t="inlineStr"/>
      <c r="P22" s="51" t="inlineStr"/>
      <c r="Q22" s="51" t="inlineStr"/>
      <c r="R22" s="51" t="inlineStr"/>
      <c r="S22" s="51" t="inlineStr"/>
      <c r="T22" s="51" t="inlineStr"/>
      <c r="U22" s="52">
        <f>IF(A22="","",IFERROR(INDEX(E22:T22,MATCH(TRUE,INDEX(E22:T22&lt;&gt;"",0),0)),""))</f>
        <v/>
      </c>
      <c r="V22" s="52">
        <f>IF(A22="","",IFERROR(LOOKUP(2,1/(E22:T22&lt;&gt;""),E22:T22),""))</f>
        <v/>
      </c>
      <c r="W22" s="53">
        <f>IF(OR(A22="",PreviousYear=""),"",IFERROR(LOOKUP(2,1/(E22:T22&lt;&gt;""),E22:T22)-INDEX(E22:T22,MATCH(PreviousYear,$E$5:$T$5,0)),""))</f>
        <v/>
      </c>
      <c r="X22" s="53">
        <f>IF(OR(A22="",U22="",V22=""),"",V22-U22)</f>
        <v/>
      </c>
      <c r="Y22" s="52">
        <f>IF(A22="","",COUNT(E22:T22))</f>
        <v/>
      </c>
    </row>
    <row r="23">
      <c r="A23" s="43">
        <f>IF(AND('Employees'!B7&lt;&gt;"",'Skills'!B7&lt;&gt;""),'Employees'!B7,"")</f>
        <v/>
      </c>
      <c r="B23" s="44">
        <f>IF(A23="","",'Employees'!C7)</f>
        <v/>
      </c>
      <c r="C23" s="50">
        <f>IF(A23="","",'Skills'!B7)</f>
        <v/>
      </c>
      <c r="D23" s="44">
        <f>IF(A23="","",'Skills'!C7)</f>
        <v/>
      </c>
      <c r="E23" s="51" t="n">
        <v>3</v>
      </c>
      <c r="F23" s="51" t="n">
        <v>4</v>
      </c>
      <c r="G23" s="51" t="n">
        <v>4</v>
      </c>
      <c r="H23" s="45" t="n">
        <v>4</v>
      </c>
      <c r="I23" s="51" t="inlineStr"/>
      <c r="J23" s="51" t="inlineStr"/>
      <c r="K23" s="51" t="inlineStr"/>
      <c r="L23" s="51" t="inlineStr"/>
      <c r="M23" s="51" t="inlineStr"/>
      <c r="N23" s="51" t="inlineStr"/>
      <c r="O23" s="51" t="inlineStr"/>
      <c r="P23" s="51" t="inlineStr"/>
      <c r="Q23" s="51" t="inlineStr"/>
      <c r="R23" s="51" t="inlineStr"/>
      <c r="S23" s="51" t="inlineStr"/>
      <c r="T23" s="51" t="inlineStr"/>
      <c r="U23" s="52">
        <f>IF(A23="","",IFERROR(INDEX(E23:T23,MATCH(TRUE,INDEX(E23:T23&lt;&gt;"",0),0)),""))</f>
        <v/>
      </c>
      <c r="V23" s="52">
        <f>IF(A23="","",IFERROR(LOOKUP(2,1/(E23:T23&lt;&gt;""),E23:T23),""))</f>
        <v/>
      </c>
      <c r="W23" s="53">
        <f>IF(OR(A23="",PreviousYear=""),"",IFERROR(LOOKUP(2,1/(E23:T23&lt;&gt;""),E23:T23)-INDEX(E23:T23,MATCH(PreviousYear,$E$5:$T$5,0)),""))</f>
        <v/>
      </c>
      <c r="X23" s="53">
        <f>IF(OR(A23="",U23="",V23=""),"",V23-U23)</f>
        <v/>
      </c>
      <c r="Y23" s="52">
        <f>IF(A23="","",COUNT(E23:T23))</f>
        <v/>
      </c>
    </row>
    <row r="24">
      <c r="A24" s="43">
        <f>IF(AND('Employees'!B7&lt;&gt;"",'Skills'!B8&lt;&gt;""),'Employees'!B7,"")</f>
        <v/>
      </c>
      <c r="B24" s="44">
        <f>IF(A24="","",'Employees'!C7)</f>
        <v/>
      </c>
      <c r="C24" s="50">
        <f>IF(A24="","",'Skills'!B8)</f>
        <v/>
      </c>
      <c r="D24" s="44">
        <f>IF(A24="","",'Skills'!C8)</f>
        <v/>
      </c>
      <c r="E24" s="51" t="n">
        <v>3</v>
      </c>
      <c r="F24" s="51" t="n">
        <v>3</v>
      </c>
      <c r="G24" s="51" t="n">
        <v>4</v>
      </c>
      <c r="H24" s="45" t="n">
        <v>5</v>
      </c>
      <c r="I24" s="51" t="inlineStr"/>
      <c r="J24" s="51" t="inlineStr"/>
      <c r="K24" s="51" t="inlineStr"/>
      <c r="L24" s="51" t="inlineStr"/>
      <c r="M24" s="51" t="inlineStr"/>
      <c r="N24" s="51" t="inlineStr"/>
      <c r="O24" s="51" t="inlineStr"/>
      <c r="P24" s="51" t="inlineStr"/>
      <c r="Q24" s="51" t="inlineStr"/>
      <c r="R24" s="51" t="inlineStr"/>
      <c r="S24" s="51" t="inlineStr"/>
      <c r="T24" s="51" t="inlineStr"/>
      <c r="U24" s="52">
        <f>IF(A24="","",IFERROR(INDEX(E24:T24,MATCH(TRUE,INDEX(E24:T24&lt;&gt;"",0),0)),""))</f>
        <v/>
      </c>
      <c r="V24" s="52">
        <f>IF(A24="","",IFERROR(LOOKUP(2,1/(E24:T24&lt;&gt;""),E24:T24),""))</f>
        <v/>
      </c>
      <c r="W24" s="53">
        <f>IF(OR(A24="",PreviousYear=""),"",IFERROR(LOOKUP(2,1/(E24:T24&lt;&gt;""),E24:T24)-INDEX(E24:T24,MATCH(PreviousYear,$E$5:$T$5,0)),""))</f>
        <v/>
      </c>
      <c r="X24" s="53">
        <f>IF(OR(A24="",U24="",V24=""),"",V24-U24)</f>
        <v/>
      </c>
      <c r="Y24" s="52">
        <f>IF(A24="","",COUNT(E24:T24))</f>
        <v/>
      </c>
    </row>
    <row r="25">
      <c r="A25" s="43">
        <f>IF(AND('Employees'!B7&lt;&gt;"",'Skills'!B9&lt;&gt;""),'Employees'!B7,"")</f>
        <v/>
      </c>
      <c r="B25" s="44">
        <f>IF(A25="","",'Employees'!C7)</f>
        <v/>
      </c>
      <c r="C25" s="50">
        <f>IF(A25="","",'Skills'!B9)</f>
        <v/>
      </c>
      <c r="D25" s="44">
        <f>IF(A25="","",'Skills'!C9)</f>
        <v/>
      </c>
      <c r="E25" s="51" t="n">
        <v>1</v>
      </c>
      <c r="F25" s="51" t="n">
        <v>2</v>
      </c>
      <c r="G25" s="51" t="n">
        <v>2</v>
      </c>
      <c r="H25" s="45" t="n">
        <v>3</v>
      </c>
      <c r="I25" s="51" t="inlineStr"/>
      <c r="J25" s="51" t="inlineStr"/>
      <c r="K25" s="51" t="inlineStr"/>
      <c r="L25" s="51" t="inlineStr"/>
      <c r="M25" s="51" t="inlineStr"/>
      <c r="N25" s="51" t="inlineStr"/>
      <c r="O25" s="51" t="inlineStr"/>
      <c r="P25" s="51" t="inlineStr"/>
      <c r="Q25" s="51" t="inlineStr"/>
      <c r="R25" s="51" t="inlineStr"/>
      <c r="S25" s="51" t="inlineStr"/>
      <c r="T25" s="51" t="inlineStr"/>
      <c r="U25" s="52">
        <f>IF(A25="","",IFERROR(INDEX(E25:T25,MATCH(TRUE,INDEX(E25:T25&lt;&gt;"",0),0)),""))</f>
        <v/>
      </c>
      <c r="V25" s="52">
        <f>IF(A25="","",IFERROR(LOOKUP(2,1/(E25:T25&lt;&gt;""),E25:T25),""))</f>
        <v/>
      </c>
      <c r="W25" s="53">
        <f>IF(OR(A25="",PreviousYear=""),"",IFERROR(LOOKUP(2,1/(E25:T25&lt;&gt;""),E25:T25)-INDEX(E25:T25,MATCH(PreviousYear,$E$5:$T$5,0)),""))</f>
        <v/>
      </c>
      <c r="X25" s="53">
        <f>IF(OR(A25="",U25="",V25=""),"",V25-U25)</f>
        <v/>
      </c>
      <c r="Y25" s="52">
        <f>IF(A25="","",COUNT(E25:T25))</f>
        <v/>
      </c>
    </row>
    <row r="26">
      <c r="A26" s="43">
        <f>IF(AND('Employees'!B7&lt;&gt;"",'Skills'!B10&lt;&gt;""),'Employees'!B7,"")</f>
        <v/>
      </c>
      <c r="B26" s="44">
        <f>IF(A26="","",'Employees'!C7)</f>
        <v/>
      </c>
      <c r="C26" s="50">
        <f>IF(A26="","",'Skills'!B10)</f>
        <v/>
      </c>
      <c r="D26" s="44">
        <f>IF(A26="","",'Skills'!C10)</f>
        <v/>
      </c>
      <c r="E26" s="51" t="n">
        <v>2</v>
      </c>
      <c r="F26" s="51" t="n">
        <v>2</v>
      </c>
      <c r="G26" s="51" t="n">
        <v>2</v>
      </c>
      <c r="H26" s="45" t="n">
        <v>2</v>
      </c>
      <c r="I26" s="51" t="inlineStr"/>
      <c r="J26" s="51" t="inlineStr"/>
      <c r="K26" s="51" t="inlineStr"/>
      <c r="L26" s="51" t="inlineStr"/>
      <c r="M26" s="51" t="inlineStr"/>
      <c r="N26" s="51" t="inlineStr"/>
      <c r="O26" s="51" t="inlineStr"/>
      <c r="P26" s="51" t="inlineStr"/>
      <c r="Q26" s="51" t="inlineStr"/>
      <c r="R26" s="51" t="inlineStr"/>
      <c r="S26" s="51" t="inlineStr"/>
      <c r="T26" s="51" t="inlineStr"/>
      <c r="U26" s="52">
        <f>IF(A26="","",IFERROR(INDEX(E26:T26,MATCH(TRUE,INDEX(E26:T26&lt;&gt;"",0),0)),""))</f>
        <v/>
      </c>
      <c r="V26" s="52">
        <f>IF(A26="","",IFERROR(LOOKUP(2,1/(E26:T26&lt;&gt;""),E26:T26),""))</f>
        <v/>
      </c>
      <c r="W26" s="53">
        <f>IF(OR(A26="",PreviousYear=""),"",IFERROR(LOOKUP(2,1/(E26:T26&lt;&gt;""),E26:T26)-INDEX(E26:T26,MATCH(PreviousYear,$E$5:$T$5,0)),""))</f>
        <v/>
      </c>
      <c r="X26" s="53">
        <f>IF(OR(A26="",U26="",V26=""),"",V26-U26)</f>
        <v/>
      </c>
      <c r="Y26" s="52">
        <f>IF(A26="","",COUNT(E26:T26))</f>
        <v/>
      </c>
    </row>
    <row r="27">
      <c r="A27" s="43">
        <f>IF(AND('Employees'!B7&lt;&gt;"",'Skills'!B11&lt;&gt;""),'Employees'!B7,"")</f>
        <v/>
      </c>
      <c r="B27" s="44">
        <f>IF(A27="","",'Employees'!C7)</f>
        <v/>
      </c>
      <c r="C27" s="50">
        <f>IF(A27="","",'Skills'!B11)</f>
        <v/>
      </c>
      <c r="D27" s="44">
        <f>IF(A27="","",'Skills'!C11)</f>
        <v/>
      </c>
      <c r="E27" s="51" t="n">
        <v>3</v>
      </c>
      <c r="F27" s="51" t="n">
        <v>4</v>
      </c>
      <c r="G27" s="51" t="n">
        <v>5</v>
      </c>
      <c r="H27" s="45" t="n">
        <v>5</v>
      </c>
      <c r="I27" s="51" t="inlineStr"/>
      <c r="J27" s="51" t="inlineStr"/>
      <c r="K27" s="51" t="inlineStr"/>
      <c r="L27" s="51" t="inlineStr"/>
      <c r="M27" s="51" t="inlineStr"/>
      <c r="N27" s="51" t="inlineStr"/>
      <c r="O27" s="51" t="inlineStr"/>
      <c r="P27" s="51" t="inlineStr"/>
      <c r="Q27" s="51" t="inlineStr"/>
      <c r="R27" s="51" t="inlineStr"/>
      <c r="S27" s="51" t="inlineStr"/>
      <c r="T27" s="51" t="inlineStr"/>
      <c r="U27" s="52">
        <f>IF(A27="","",IFERROR(INDEX(E27:T27,MATCH(TRUE,INDEX(E27:T27&lt;&gt;"",0),0)),""))</f>
        <v/>
      </c>
      <c r="V27" s="52">
        <f>IF(A27="","",IFERROR(LOOKUP(2,1/(E27:T27&lt;&gt;""),E27:T27),""))</f>
        <v/>
      </c>
      <c r="W27" s="53">
        <f>IF(OR(A27="",PreviousYear=""),"",IFERROR(LOOKUP(2,1/(E27:T27&lt;&gt;""),E27:T27)-INDEX(E27:T27,MATCH(PreviousYear,$E$5:$T$5,0)),""))</f>
        <v/>
      </c>
      <c r="X27" s="53">
        <f>IF(OR(A27="",U27="",V27=""),"",V27-U27)</f>
        <v/>
      </c>
      <c r="Y27" s="52">
        <f>IF(A27="","",COUNT(E27:T27))</f>
        <v/>
      </c>
    </row>
    <row r="28">
      <c r="A28" s="43">
        <f>IF(AND('Employees'!B7&lt;&gt;"",'Skills'!B12&lt;&gt;""),'Employees'!B7,"")</f>
        <v/>
      </c>
      <c r="B28" s="44">
        <f>IF(A28="","",'Employees'!C7)</f>
        <v/>
      </c>
      <c r="C28" s="50">
        <f>IF(A28="","",'Skills'!B12)</f>
        <v/>
      </c>
      <c r="D28" s="44">
        <f>IF(A28="","",'Skills'!C12)</f>
        <v/>
      </c>
      <c r="E28" s="51" t="n">
        <v>2</v>
      </c>
      <c r="F28" s="51" t="n">
        <v>2</v>
      </c>
      <c r="G28" s="51" t="n">
        <v>2</v>
      </c>
      <c r="H28" s="45" t="n">
        <v>3</v>
      </c>
      <c r="I28" s="51" t="inlineStr"/>
      <c r="J28" s="51" t="inlineStr"/>
      <c r="K28" s="51" t="inlineStr"/>
      <c r="L28" s="51" t="inlineStr"/>
      <c r="M28" s="51" t="inlineStr"/>
      <c r="N28" s="51" t="inlineStr"/>
      <c r="O28" s="51" t="inlineStr"/>
      <c r="P28" s="51" t="inlineStr"/>
      <c r="Q28" s="51" t="inlineStr"/>
      <c r="R28" s="51" t="inlineStr"/>
      <c r="S28" s="51" t="inlineStr"/>
      <c r="T28" s="51" t="inlineStr"/>
      <c r="U28" s="52">
        <f>IF(A28="","",IFERROR(INDEX(E28:T28,MATCH(TRUE,INDEX(E28:T28&lt;&gt;"",0),0)),""))</f>
        <v/>
      </c>
      <c r="V28" s="52">
        <f>IF(A28="","",IFERROR(LOOKUP(2,1/(E28:T28&lt;&gt;""),E28:T28),""))</f>
        <v/>
      </c>
      <c r="W28" s="53">
        <f>IF(OR(A28="",PreviousYear=""),"",IFERROR(LOOKUP(2,1/(E28:T28&lt;&gt;""),E28:T28)-INDEX(E28:T28,MATCH(PreviousYear,$E$5:$T$5,0)),""))</f>
        <v/>
      </c>
      <c r="X28" s="53">
        <f>IF(OR(A28="",U28="",V28=""),"",V28-U28)</f>
        <v/>
      </c>
      <c r="Y28" s="52">
        <f>IF(A28="","",COUNT(E28:T28))</f>
        <v/>
      </c>
    </row>
    <row r="29">
      <c r="A29" s="43">
        <f>IF(AND('Employees'!B7&lt;&gt;"",'Skills'!B13&lt;&gt;""),'Employees'!B7,"")</f>
        <v/>
      </c>
      <c r="B29" s="44">
        <f>IF(A29="","",'Employees'!C7)</f>
        <v/>
      </c>
      <c r="C29" s="50">
        <f>IF(A29="","",'Skills'!B13)</f>
        <v/>
      </c>
      <c r="D29" s="44">
        <f>IF(A29="","",'Skills'!C13)</f>
        <v/>
      </c>
      <c r="E29" s="51" t="n">
        <v>1</v>
      </c>
      <c r="F29" s="51" t="n">
        <v>2</v>
      </c>
      <c r="G29" s="51" t="n">
        <v>2</v>
      </c>
      <c r="H29" s="45" t="n">
        <v>3</v>
      </c>
      <c r="I29" s="51" t="inlineStr"/>
      <c r="J29" s="51" t="inlineStr"/>
      <c r="K29" s="51" t="inlineStr"/>
      <c r="L29" s="51" t="inlineStr"/>
      <c r="M29" s="51" t="inlineStr"/>
      <c r="N29" s="51" t="inlineStr"/>
      <c r="O29" s="51" t="inlineStr"/>
      <c r="P29" s="51" t="inlineStr"/>
      <c r="Q29" s="51" t="inlineStr"/>
      <c r="R29" s="51" t="inlineStr"/>
      <c r="S29" s="51" t="inlineStr"/>
      <c r="T29" s="51" t="inlineStr"/>
      <c r="U29" s="52">
        <f>IF(A29="","",IFERROR(INDEX(E29:T29,MATCH(TRUE,INDEX(E29:T29&lt;&gt;"",0),0)),""))</f>
        <v/>
      </c>
      <c r="V29" s="52">
        <f>IF(A29="","",IFERROR(LOOKUP(2,1/(E29:T29&lt;&gt;""),E29:T29),""))</f>
        <v/>
      </c>
      <c r="W29" s="53">
        <f>IF(OR(A29="",PreviousYear=""),"",IFERROR(LOOKUP(2,1/(E29:T29&lt;&gt;""),E29:T29)-INDEX(E29:T29,MATCH(PreviousYear,$E$5:$T$5,0)),""))</f>
        <v/>
      </c>
      <c r="X29" s="53">
        <f>IF(OR(A29="",U29="",V29=""),"",V29-U29)</f>
        <v/>
      </c>
      <c r="Y29" s="52">
        <f>IF(A29="","",COUNT(E29:T29))</f>
        <v/>
      </c>
    </row>
    <row r="30">
      <c r="A30" s="43">
        <f>IF(AND('Employees'!B7&lt;&gt;"",'Skills'!B14&lt;&gt;""),'Employees'!B7,"")</f>
        <v/>
      </c>
      <c r="B30" s="44">
        <f>IF(A30="","",'Employees'!C7)</f>
        <v/>
      </c>
      <c r="C30" s="50">
        <f>IF(A30="","",'Skills'!B14)</f>
        <v/>
      </c>
      <c r="D30" s="44">
        <f>IF(A30="","",'Skills'!C14)</f>
        <v/>
      </c>
      <c r="E30" s="51" t="n">
        <v>2</v>
      </c>
      <c r="F30" s="51" t="n">
        <v>2</v>
      </c>
      <c r="G30" s="51" t="n">
        <v>3</v>
      </c>
      <c r="H30" s="45" t="n">
        <v>3</v>
      </c>
      <c r="I30" s="51" t="inlineStr"/>
      <c r="J30" s="51" t="inlineStr"/>
      <c r="K30" s="51" t="inlineStr"/>
      <c r="L30" s="51" t="inlineStr"/>
      <c r="M30" s="51" t="inlineStr"/>
      <c r="N30" s="51" t="inlineStr"/>
      <c r="O30" s="51" t="inlineStr"/>
      <c r="P30" s="51" t="inlineStr"/>
      <c r="Q30" s="51" t="inlineStr"/>
      <c r="R30" s="51" t="inlineStr"/>
      <c r="S30" s="51" t="inlineStr"/>
      <c r="T30" s="51" t="inlineStr"/>
      <c r="U30" s="52">
        <f>IF(A30="","",IFERROR(INDEX(E30:T30,MATCH(TRUE,INDEX(E30:T30&lt;&gt;"",0),0)),""))</f>
        <v/>
      </c>
      <c r="V30" s="52">
        <f>IF(A30="","",IFERROR(LOOKUP(2,1/(E30:T30&lt;&gt;""),E30:T30),""))</f>
        <v/>
      </c>
      <c r="W30" s="53">
        <f>IF(OR(A30="",PreviousYear=""),"",IFERROR(LOOKUP(2,1/(E30:T30&lt;&gt;""),E30:T30)-INDEX(E30:T30,MATCH(PreviousYear,$E$5:$T$5,0)),""))</f>
        <v/>
      </c>
      <c r="X30" s="53">
        <f>IF(OR(A30="",U30="",V30=""),"",V30-U30)</f>
        <v/>
      </c>
      <c r="Y30" s="52">
        <f>IF(A30="","",COUNT(E30:T30))</f>
        <v/>
      </c>
    </row>
    <row r="31">
      <c r="A31" s="43">
        <f>IF(AND('Employees'!B7&lt;&gt;"",'Skills'!B15&lt;&gt;""),'Employees'!B7,"")</f>
        <v/>
      </c>
      <c r="B31" s="44">
        <f>IF(A31="","",'Employees'!C7)</f>
        <v/>
      </c>
      <c r="C31" s="50">
        <f>IF(A31="","",'Skills'!B15)</f>
        <v/>
      </c>
      <c r="D31" s="44">
        <f>IF(A31="","",'Skills'!C15)</f>
        <v/>
      </c>
      <c r="E31" s="51" t="n">
        <v>1</v>
      </c>
      <c r="F31" s="51" t="n">
        <v>2</v>
      </c>
      <c r="G31" s="51" t="n">
        <v>2</v>
      </c>
      <c r="H31" s="45" t="n">
        <v>2</v>
      </c>
      <c r="I31" s="51" t="inlineStr"/>
      <c r="J31" s="51" t="inlineStr"/>
      <c r="K31" s="51" t="inlineStr"/>
      <c r="L31" s="51" t="inlineStr"/>
      <c r="M31" s="51" t="inlineStr"/>
      <c r="N31" s="51" t="inlineStr"/>
      <c r="O31" s="51" t="inlineStr"/>
      <c r="P31" s="51" t="inlineStr"/>
      <c r="Q31" s="51" t="inlineStr"/>
      <c r="R31" s="51" t="inlineStr"/>
      <c r="S31" s="51" t="inlineStr"/>
      <c r="T31" s="51" t="inlineStr"/>
      <c r="U31" s="52">
        <f>IF(A31="","",IFERROR(INDEX(E31:T31,MATCH(TRUE,INDEX(E31:T31&lt;&gt;"",0),0)),""))</f>
        <v/>
      </c>
      <c r="V31" s="52">
        <f>IF(A31="","",IFERROR(LOOKUP(2,1/(E31:T31&lt;&gt;""),E31:T31),""))</f>
        <v/>
      </c>
      <c r="W31" s="53">
        <f>IF(OR(A31="",PreviousYear=""),"",IFERROR(LOOKUP(2,1/(E31:T31&lt;&gt;""),E31:T31)-INDEX(E31:T31,MATCH(PreviousYear,$E$5:$T$5,0)),""))</f>
        <v/>
      </c>
      <c r="X31" s="53">
        <f>IF(OR(A31="",U31="",V31=""),"",V31-U31)</f>
        <v/>
      </c>
      <c r="Y31" s="52">
        <f>IF(A31="","",COUNT(E31:T31))</f>
        <v/>
      </c>
    </row>
    <row r="32">
      <c r="A32" s="43">
        <f>IF(AND('Employees'!B7&lt;&gt;"",'Skills'!B16&lt;&gt;""),'Employees'!B7,"")</f>
        <v/>
      </c>
      <c r="B32" s="44">
        <f>IF(A32="","",'Employees'!C7)</f>
        <v/>
      </c>
      <c r="C32" s="50">
        <f>IF(A32="","",'Skills'!B16)</f>
        <v/>
      </c>
      <c r="D32" s="44">
        <f>IF(A32="","",'Skills'!C16)</f>
        <v/>
      </c>
      <c r="E32" s="51" t="inlineStr"/>
      <c r="F32" s="51" t="inlineStr"/>
      <c r="G32" s="51" t="inlineStr"/>
      <c r="H32" s="45" t="inlineStr"/>
      <c r="I32" s="51" t="inlineStr"/>
      <c r="J32" s="51" t="inlineStr"/>
      <c r="K32" s="51" t="inlineStr"/>
      <c r="L32" s="51" t="inlineStr"/>
      <c r="M32" s="51" t="inlineStr"/>
      <c r="N32" s="51" t="inlineStr"/>
      <c r="O32" s="51" t="inlineStr"/>
      <c r="P32" s="51" t="inlineStr"/>
      <c r="Q32" s="51" t="inlineStr"/>
      <c r="R32" s="51" t="inlineStr"/>
      <c r="S32" s="51" t="inlineStr"/>
      <c r="T32" s="51" t="inlineStr"/>
      <c r="U32" s="52">
        <f>IF(A32="","",IFERROR(INDEX(E32:T32,MATCH(TRUE,INDEX(E32:T32&lt;&gt;"",0),0)),""))</f>
        <v/>
      </c>
      <c r="V32" s="52">
        <f>IF(A32="","",IFERROR(LOOKUP(2,1/(E32:T32&lt;&gt;""),E32:T32),""))</f>
        <v/>
      </c>
      <c r="W32" s="53">
        <f>IF(OR(A32="",PreviousYear=""),"",IFERROR(LOOKUP(2,1/(E32:T32&lt;&gt;""),E32:T32)-INDEX(E32:T32,MATCH(PreviousYear,$E$5:$T$5,0)),""))</f>
        <v/>
      </c>
      <c r="X32" s="53">
        <f>IF(OR(A32="",U32="",V32=""),"",V32-U32)</f>
        <v/>
      </c>
      <c r="Y32" s="52">
        <f>IF(A32="","",COUNT(E32:T32))</f>
        <v/>
      </c>
    </row>
    <row r="33">
      <c r="A33" s="43">
        <f>IF(AND('Employees'!B7&lt;&gt;"",'Skills'!B17&lt;&gt;""),'Employees'!B7,"")</f>
        <v/>
      </c>
      <c r="B33" s="44">
        <f>IF(A33="","",'Employees'!C7)</f>
        <v/>
      </c>
      <c r="C33" s="50">
        <f>IF(A33="","",'Skills'!B17)</f>
        <v/>
      </c>
      <c r="D33" s="44">
        <f>IF(A33="","",'Skills'!C17)</f>
        <v/>
      </c>
      <c r="E33" s="51" t="inlineStr"/>
      <c r="F33" s="51" t="inlineStr"/>
      <c r="G33" s="51" t="inlineStr"/>
      <c r="H33" s="45" t="inlineStr"/>
      <c r="I33" s="51" t="inlineStr"/>
      <c r="J33" s="51" t="inlineStr"/>
      <c r="K33" s="51" t="inlineStr"/>
      <c r="L33" s="51" t="inlineStr"/>
      <c r="M33" s="51" t="inlineStr"/>
      <c r="N33" s="51" t="inlineStr"/>
      <c r="O33" s="51" t="inlineStr"/>
      <c r="P33" s="51" t="inlineStr"/>
      <c r="Q33" s="51" t="inlineStr"/>
      <c r="R33" s="51" t="inlineStr"/>
      <c r="S33" s="51" t="inlineStr"/>
      <c r="T33" s="51" t="inlineStr"/>
      <c r="U33" s="52">
        <f>IF(A33="","",IFERROR(INDEX(E33:T33,MATCH(TRUE,INDEX(E33:T33&lt;&gt;"",0),0)),""))</f>
        <v/>
      </c>
      <c r="V33" s="52">
        <f>IF(A33="","",IFERROR(LOOKUP(2,1/(E33:T33&lt;&gt;""),E33:T33),""))</f>
        <v/>
      </c>
      <c r="W33" s="53">
        <f>IF(OR(A33="",PreviousYear=""),"",IFERROR(LOOKUP(2,1/(E33:T33&lt;&gt;""),E33:T33)-INDEX(E33:T33,MATCH(PreviousYear,$E$5:$T$5,0)),""))</f>
        <v/>
      </c>
      <c r="X33" s="53">
        <f>IF(OR(A33="",U33="",V33=""),"",V33-U33)</f>
        <v/>
      </c>
      <c r="Y33" s="52">
        <f>IF(A33="","",COUNT(E33:T33))</f>
        <v/>
      </c>
    </row>
    <row r="34">
      <c r="A34" s="43">
        <f>IF(AND('Employees'!B7&lt;&gt;"",'Skills'!B18&lt;&gt;""),'Employees'!B7,"")</f>
        <v/>
      </c>
      <c r="B34" s="44">
        <f>IF(A34="","",'Employees'!C7)</f>
        <v/>
      </c>
      <c r="C34" s="50">
        <f>IF(A34="","",'Skills'!B18)</f>
        <v/>
      </c>
      <c r="D34" s="44">
        <f>IF(A34="","",'Skills'!C18)</f>
        <v/>
      </c>
      <c r="E34" s="51" t="inlineStr"/>
      <c r="F34" s="51" t="inlineStr"/>
      <c r="G34" s="51" t="inlineStr"/>
      <c r="H34" s="45" t="inlineStr"/>
      <c r="I34" s="51" t="inlineStr"/>
      <c r="J34" s="51" t="inlineStr"/>
      <c r="K34" s="51" t="inlineStr"/>
      <c r="L34" s="51" t="inlineStr"/>
      <c r="M34" s="51" t="inlineStr"/>
      <c r="N34" s="51" t="inlineStr"/>
      <c r="O34" s="51" t="inlineStr"/>
      <c r="P34" s="51" t="inlineStr"/>
      <c r="Q34" s="51" t="inlineStr"/>
      <c r="R34" s="51" t="inlineStr"/>
      <c r="S34" s="51" t="inlineStr"/>
      <c r="T34" s="51" t="inlineStr"/>
      <c r="U34" s="52">
        <f>IF(A34="","",IFERROR(INDEX(E34:T34,MATCH(TRUE,INDEX(E34:T34&lt;&gt;"",0),0)),""))</f>
        <v/>
      </c>
      <c r="V34" s="52">
        <f>IF(A34="","",IFERROR(LOOKUP(2,1/(E34:T34&lt;&gt;""),E34:T34),""))</f>
        <v/>
      </c>
      <c r="W34" s="53">
        <f>IF(OR(A34="",PreviousYear=""),"",IFERROR(LOOKUP(2,1/(E34:T34&lt;&gt;""),E34:T34)-INDEX(E34:T34,MATCH(PreviousYear,$E$5:$T$5,0)),""))</f>
        <v/>
      </c>
      <c r="X34" s="53">
        <f>IF(OR(A34="",U34="",V34=""),"",V34-U34)</f>
        <v/>
      </c>
      <c r="Y34" s="52">
        <f>IF(A34="","",COUNT(E34:T34))</f>
        <v/>
      </c>
    </row>
    <row r="35">
      <c r="A35" s="43">
        <f>IF(AND('Employees'!B7&lt;&gt;"",'Skills'!B19&lt;&gt;""),'Employees'!B7,"")</f>
        <v/>
      </c>
      <c r="B35" s="44">
        <f>IF(A35="","",'Employees'!C7)</f>
        <v/>
      </c>
      <c r="C35" s="50">
        <f>IF(A35="","",'Skills'!B19)</f>
        <v/>
      </c>
      <c r="D35" s="44">
        <f>IF(A35="","",'Skills'!C19)</f>
        <v/>
      </c>
      <c r="E35" s="51" t="inlineStr"/>
      <c r="F35" s="51" t="inlineStr"/>
      <c r="G35" s="51" t="inlineStr"/>
      <c r="H35" s="45" t="inlineStr"/>
      <c r="I35" s="51" t="inlineStr"/>
      <c r="J35" s="51" t="inlineStr"/>
      <c r="K35" s="51" t="inlineStr"/>
      <c r="L35" s="51" t="inlineStr"/>
      <c r="M35" s="51" t="inlineStr"/>
      <c r="N35" s="51" t="inlineStr"/>
      <c r="O35" s="51" t="inlineStr"/>
      <c r="P35" s="51" t="inlineStr"/>
      <c r="Q35" s="51" t="inlineStr"/>
      <c r="R35" s="51" t="inlineStr"/>
      <c r="S35" s="51" t="inlineStr"/>
      <c r="T35" s="51" t="inlineStr"/>
      <c r="U35" s="52">
        <f>IF(A35="","",IFERROR(INDEX(E35:T35,MATCH(TRUE,INDEX(E35:T35&lt;&gt;"",0),0)),""))</f>
        <v/>
      </c>
      <c r="V35" s="52">
        <f>IF(A35="","",IFERROR(LOOKUP(2,1/(E35:T35&lt;&gt;""),E35:T35),""))</f>
        <v/>
      </c>
      <c r="W35" s="53">
        <f>IF(OR(A35="",PreviousYear=""),"",IFERROR(LOOKUP(2,1/(E35:T35&lt;&gt;""),E35:T35)-INDEX(E35:T35,MATCH(PreviousYear,$E$5:$T$5,0)),""))</f>
        <v/>
      </c>
      <c r="X35" s="53">
        <f>IF(OR(A35="",U35="",V35=""),"",V35-U35)</f>
        <v/>
      </c>
      <c r="Y35" s="52">
        <f>IF(A35="","",COUNT(E35:T35))</f>
        <v/>
      </c>
    </row>
    <row r="36">
      <c r="A36" s="43">
        <f>IF(AND('Employees'!B7&lt;&gt;"",'Skills'!B20&lt;&gt;""),'Employees'!B7,"")</f>
        <v/>
      </c>
      <c r="B36" s="44">
        <f>IF(A36="","",'Employees'!C7)</f>
        <v/>
      </c>
      <c r="C36" s="50">
        <f>IF(A36="","",'Skills'!B20)</f>
        <v/>
      </c>
      <c r="D36" s="44">
        <f>IF(A36="","",'Skills'!C20)</f>
        <v/>
      </c>
      <c r="E36" s="51" t="inlineStr"/>
      <c r="F36" s="51" t="inlineStr"/>
      <c r="G36" s="51" t="inlineStr"/>
      <c r="H36" s="45" t="inlineStr"/>
      <c r="I36" s="51" t="inlineStr"/>
      <c r="J36" s="51" t="inlineStr"/>
      <c r="K36" s="51" t="inlineStr"/>
      <c r="L36" s="51" t="inlineStr"/>
      <c r="M36" s="51" t="inlineStr"/>
      <c r="N36" s="51" t="inlineStr"/>
      <c r="O36" s="51" t="inlineStr"/>
      <c r="P36" s="51" t="inlineStr"/>
      <c r="Q36" s="51" t="inlineStr"/>
      <c r="R36" s="51" t="inlineStr"/>
      <c r="S36" s="51" t="inlineStr"/>
      <c r="T36" s="51" t="inlineStr"/>
      <c r="U36" s="52">
        <f>IF(A36="","",IFERROR(INDEX(E36:T36,MATCH(TRUE,INDEX(E36:T36&lt;&gt;"",0),0)),""))</f>
        <v/>
      </c>
      <c r="V36" s="52">
        <f>IF(A36="","",IFERROR(LOOKUP(2,1/(E36:T36&lt;&gt;""),E36:T36),""))</f>
        <v/>
      </c>
      <c r="W36" s="53">
        <f>IF(OR(A36="",PreviousYear=""),"",IFERROR(LOOKUP(2,1/(E36:T36&lt;&gt;""),E36:T36)-INDEX(E36:T36,MATCH(PreviousYear,$E$5:$T$5,0)),""))</f>
        <v/>
      </c>
      <c r="X36" s="53">
        <f>IF(OR(A36="",U36="",V36=""),"",V36-U36)</f>
        <v/>
      </c>
      <c r="Y36" s="52">
        <f>IF(A36="","",COUNT(E36:T36))</f>
        <v/>
      </c>
    </row>
    <row r="37">
      <c r="A37" s="43">
        <f>IF(AND('Employees'!B7&lt;&gt;"",'Skills'!B21&lt;&gt;""),'Employees'!B7,"")</f>
        <v/>
      </c>
      <c r="B37" s="44">
        <f>IF(A37="","",'Employees'!C7)</f>
        <v/>
      </c>
      <c r="C37" s="50">
        <f>IF(A37="","",'Skills'!B21)</f>
        <v/>
      </c>
      <c r="D37" s="44">
        <f>IF(A37="","",'Skills'!C21)</f>
        <v/>
      </c>
      <c r="E37" s="51" t="inlineStr"/>
      <c r="F37" s="51" t="inlineStr"/>
      <c r="G37" s="51" t="inlineStr"/>
      <c r="H37" s="45" t="inlineStr"/>
      <c r="I37" s="51" t="inlineStr"/>
      <c r="J37" s="51" t="inlineStr"/>
      <c r="K37" s="51" t="inlineStr"/>
      <c r="L37" s="51" t="inlineStr"/>
      <c r="M37" s="51" t="inlineStr"/>
      <c r="N37" s="51" t="inlineStr"/>
      <c r="O37" s="51" t="inlineStr"/>
      <c r="P37" s="51" t="inlineStr"/>
      <c r="Q37" s="51" t="inlineStr"/>
      <c r="R37" s="51" t="inlineStr"/>
      <c r="S37" s="51" t="inlineStr"/>
      <c r="T37" s="51" t="inlineStr"/>
      <c r="U37" s="52">
        <f>IF(A37="","",IFERROR(INDEX(E37:T37,MATCH(TRUE,INDEX(E37:T37&lt;&gt;"",0),0)),""))</f>
        <v/>
      </c>
      <c r="V37" s="52">
        <f>IF(A37="","",IFERROR(LOOKUP(2,1/(E37:T37&lt;&gt;""),E37:T37),""))</f>
        <v/>
      </c>
      <c r="W37" s="53">
        <f>IF(OR(A37="",PreviousYear=""),"",IFERROR(LOOKUP(2,1/(E37:T37&lt;&gt;""),E37:T37)-INDEX(E37:T37,MATCH(PreviousYear,$E$5:$T$5,0)),""))</f>
        <v/>
      </c>
      <c r="X37" s="53">
        <f>IF(OR(A37="",U37="",V37=""),"",V37-U37)</f>
        <v/>
      </c>
      <c r="Y37" s="52">
        <f>IF(A37="","",COUNT(E37:T37))</f>
        <v/>
      </c>
    </row>
    <row r="38">
      <c r="A38" s="43">
        <f>IF(AND('Employees'!B8&lt;&gt;"",'Skills'!B6&lt;&gt;""),'Employees'!B8,"")</f>
        <v/>
      </c>
      <c r="B38" s="44">
        <f>IF(A38="","",'Employees'!C8)</f>
        <v/>
      </c>
      <c r="C38" s="50">
        <f>IF(A38="","",'Skills'!B6)</f>
        <v/>
      </c>
      <c r="D38" s="44">
        <f>IF(A38="","",'Skills'!C6)</f>
        <v/>
      </c>
      <c r="E38" s="51" t="n">
        <v>1</v>
      </c>
      <c r="F38" s="51" t="n">
        <v>2</v>
      </c>
      <c r="G38" s="51" t="n">
        <v>2</v>
      </c>
      <c r="H38" s="45" t="n">
        <v>3</v>
      </c>
      <c r="I38" s="51" t="inlineStr"/>
      <c r="J38" s="51" t="inlineStr"/>
      <c r="K38" s="51" t="inlineStr"/>
      <c r="L38" s="51" t="inlineStr"/>
      <c r="M38" s="51" t="inlineStr"/>
      <c r="N38" s="51" t="inlineStr"/>
      <c r="O38" s="51" t="inlineStr"/>
      <c r="P38" s="51" t="inlineStr"/>
      <c r="Q38" s="51" t="inlineStr"/>
      <c r="R38" s="51" t="inlineStr"/>
      <c r="S38" s="51" t="inlineStr"/>
      <c r="T38" s="51" t="inlineStr"/>
      <c r="U38" s="52">
        <f>IF(A38="","",IFERROR(INDEX(E38:T38,MATCH(TRUE,INDEX(E38:T38&lt;&gt;"",0),0)),""))</f>
        <v/>
      </c>
      <c r="V38" s="52">
        <f>IF(A38="","",IFERROR(LOOKUP(2,1/(E38:T38&lt;&gt;""),E38:T38),""))</f>
        <v/>
      </c>
      <c r="W38" s="53">
        <f>IF(OR(A38="",PreviousYear=""),"",IFERROR(LOOKUP(2,1/(E38:T38&lt;&gt;""),E38:T38)-INDEX(E38:T38,MATCH(PreviousYear,$E$5:$T$5,0)),""))</f>
        <v/>
      </c>
      <c r="X38" s="53">
        <f>IF(OR(A38="",U38="",V38=""),"",V38-U38)</f>
        <v/>
      </c>
      <c r="Y38" s="52">
        <f>IF(A38="","",COUNT(E38:T38))</f>
        <v/>
      </c>
    </row>
    <row r="39">
      <c r="A39" s="43">
        <f>IF(AND('Employees'!B8&lt;&gt;"",'Skills'!B7&lt;&gt;""),'Employees'!B8,"")</f>
        <v/>
      </c>
      <c r="B39" s="44">
        <f>IF(A39="","",'Employees'!C8)</f>
        <v/>
      </c>
      <c r="C39" s="50">
        <f>IF(A39="","",'Skills'!B7)</f>
        <v/>
      </c>
      <c r="D39" s="44">
        <f>IF(A39="","",'Skills'!C7)</f>
        <v/>
      </c>
      <c r="E39" s="51" t="n">
        <v>1</v>
      </c>
      <c r="F39" s="51" t="n">
        <v>1</v>
      </c>
      <c r="G39" s="51" t="n">
        <v>2</v>
      </c>
      <c r="H39" s="45" t="n">
        <v>2</v>
      </c>
      <c r="I39" s="51" t="inlineStr"/>
      <c r="J39" s="51" t="inlineStr"/>
      <c r="K39" s="51" t="inlineStr"/>
      <c r="L39" s="51" t="inlineStr"/>
      <c r="M39" s="51" t="inlineStr"/>
      <c r="N39" s="51" t="inlineStr"/>
      <c r="O39" s="51" t="inlineStr"/>
      <c r="P39" s="51" t="inlineStr"/>
      <c r="Q39" s="51" t="inlineStr"/>
      <c r="R39" s="51" t="inlineStr"/>
      <c r="S39" s="51" t="inlineStr"/>
      <c r="T39" s="51" t="inlineStr"/>
      <c r="U39" s="52">
        <f>IF(A39="","",IFERROR(INDEX(E39:T39,MATCH(TRUE,INDEX(E39:T39&lt;&gt;"",0),0)),""))</f>
        <v/>
      </c>
      <c r="V39" s="52">
        <f>IF(A39="","",IFERROR(LOOKUP(2,1/(E39:T39&lt;&gt;""),E39:T39),""))</f>
        <v/>
      </c>
      <c r="W39" s="53">
        <f>IF(OR(A39="",PreviousYear=""),"",IFERROR(LOOKUP(2,1/(E39:T39&lt;&gt;""),E39:T39)-INDEX(E39:T39,MATCH(PreviousYear,$E$5:$T$5,0)),""))</f>
        <v/>
      </c>
      <c r="X39" s="53">
        <f>IF(OR(A39="",U39="",V39=""),"",V39-U39)</f>
        <v/>
      </c>
      <c r="Y39" s="52">
        <f>IF(A39="","",COUNT(E39:T39))</f>
        <v/>
      </c>
    </row>
    <row r="40">
      <c r="A40" s="43">
        <f>IF(AND('Employees'!B8&lt;&gt;"",'Skills'!B8&lt;&gt;""),'Employees'!B8,"")</f>
        <v/>
      </c>
      <c r="B40" s="44">
        <f>IF(A40="","",'Employees'!C8)</f>
        <v/>
      </c>
      <c r="C40" s="50">
        <f>IF(A40="","",'Skills'!B8)</f>
        <v/>
      </c>
      <c r="D40" s="44">
        <f>IF(A40="","",'Skills'!C8)</f>
        <v/>
      </c>
      <c r="E40" s="51" t="n">
        <v>1</v>
      </c>
      <c r="F40" s="51" t="n">
        <v>2</v>
      </c>
      <c r="G40" s="51" t="n">
        <v>2</v>
      </c>
      <c r="H40" s="45" t="n">
        <v>2</v>
      </c>
      <c r="I40" s="51" t="inlineStr"/>
      <c r="J40" s="51" t="inlineStr"/>
      <c r="K40" s="51" t="inlineStr"/>
      <c r="L40" s="51" t="inlineStr"/>
      <c r="M40" s="51" t="inlineStr"/>
      <c r="N40" s="51" t="inlineStr"/>
      <c r="O40" s="51" t="inlineStr"/>
      <c r="P40" s="51" t="inlineStr"/>
      <c r="Q40" s="51" t="inlineStr"/>
      <c r="R40" s="51" t="inlineStr"/>
      <c r="S40" s="51" t="inlineStr"/>
      <c r="T40" s="51" t="inlineStr"/>
      <c r="U40" s="52">
        <f>IF(A40="","",IFERROR(INDEX(E40:T40,MATCH(TRUE,INDEX(E40:T40&lt;&gt;"",0),0)),""))</f>
        <v/>
      </c>
      <c r="V40" s="52">
        <f>IF(A40="","",IFERROR(LOOKUP(2,1/(E40:T40&lt;&gt;""),E40:T40),""))</f>
        <v/>
      </c>
      <c r="W40" s="53">
        <f>IF(OR(A40="",PreviousYear=""),"",IFERROR(LOOKUP(2,1/(E40:T40&lt;&gt;""),E40:T40)-INDEX(E40:T40,MATCH(PreviousYear,$E$5:$T$5,0)),""))</f>
        <v/>
      </c>
      <c r="X40" s="53">
        <f>IF(OR(A40="",U40="",V40=""),"",V40-U40)</f>
        <v/>
      </c>
      <c r="Y40" s="52">
        <f>IF(A40="","",COUNT(E40:T40))</f>
        <v/>
      </c>
    </row>
    <row r="41">
      <c r="A41" s="43">
        <f>IF(AND('Employees'!B8&lt;&gt;"",'Skills'!B9&lt;&gt;""),'Employees'!B8,"")</f>
        <v/>
      </c>
      <c r="B41" s="44">
        <f>IF(A41="","",'Employees'!C8)</f>
        <v/>
      </c>
      <c r="C41" s="50">
        <f>IF(A41="","",'Skills'!B9)</f>
        <v/>
      </c>
      <c r="D41" s="44">
        <f>IF(A41="","",'Skills'!C9)</f>
        <v/>
      </c>
      <c r="E41" s="51" t="n">
        <v>4</v>
      </c>
      <c r="F41" s="51" t="n">
        <v>4</v>
      </c>
      <c r="G41" s="51" t="n">
        <v>4</v>
      </c>
      <c r="H41" s="45" t="n">
        <v>5</v>
      </c>
      <c r="I41" s="51" t="inlineStr"/>
      <c r="J41" s="51" t="inlineStr"/>
      <c r="K41" s="51" t="inlineStr"/>
      <c r="L41" s="51" t="inlineStr"/>
      <c r="M41" s="51" t="inlineStr"/>
      <c r="N41" s="51" t="inlineStr"/>
      <c r="O41" s="51" t="inlineStr"/>
      <c r="P41" s="51" t="inlineStr"/>
      <c r="Q41" s="51" t="inlineStr"/>
      <c r="R41" s="51" t="inlineStr"/>
      <c r="S41" s="51" t="inlineStr"/>
      <c r="T41" s="51" t="inlineStr"/>
      <c r="U41" s="52">
        <f>IF(A41="","",IFERROR(INDEX(E41:T41,MATCH(TRUE,INDEX(E41:T41&lt;&gt;"",0),0)),""))</f>
        <v/>
      </c>
      <c r="V41" s="52">
        <f>IF(A41="","",IFERROR(LOOKUP(2,1/(E41:T41&lt;&gt;""),E41:T41),""))</f>
        <v/>
      </c>
      <c r="W41" s="53">
        <f>IF(OR(A41="",PreviousYear=""),"",IFERROR(LOOKUP(2,1/(E41:T41&lt;&gt;""),E41:T41)-INDEX(E41:T41,MATCH(PreviousYear,$E$5:$T$5,0)),""))</f>
        <v/>
      </c>
      <c r="X41" s="53">
        <f>IF(OR(A41="",U41="",V41=""),"",V41-U41)</f>
        <v/>
      </c>
      <c r="Y41" s="52">
        <f>IF(A41="","",COUNT(E41:T41))</f>
        <v/>
      </c>
    </row>
    <row r="42">
      <c r="A42" s="43">
        <f>IF(AND('Employees'!B8&lt;&gt;"",'Skills'!B10&lt;&gt;""),'Employees'!B8,"")</f>
        <v/>
      </c>
      <c r="B42" s="44">
        <f>IF(A42="","",'Employees'!C8)</f>
        <v/>
      </c>
      <c r="C42" s="50">
        <f>IF(A42="","",'Skills'!B10)</f>
        <v/>
      </c>
      <c r="D42" s="44">
        <f>IF(A42="","",'Skills'!C10)</f>
        <v/>
      </c>
      <c r="E42" s="51" t="n">
        <v>1</v>
      </c>
      <c r="F42" s="51" t="n">
        <v>1</v>
      </c>
      <c r="G42" s="51" t="n">
        <v>2</v>
      </c>
      <c r="H42" s="45" t="n">
        <v>3</v>
      </c>
      <c r="I42" s="51" t="inlineStr"/>
      <c r="J42" s="51" t="inlineStr"/>
      <c r="K42" s="51" t="inlineStr"/>
      <c r="L42" s="51" t="inlineStr"/>
      <c r="M42" s="51" t="inlineStr"/>
      <c r="N42" s="51" t="inlineStr"/>
      <c r="O42" s="51" t="inlineStr"/>
      <c r="P42" s="51" t="inlineStr"/>
      <c r="Q42" s="51" t="inlineStr"/>
      <c r="R42" s="51" t="inlineStr"/>
      <c r="S42" s="51" t="inlineStr"/>
      <c r="T42" s="51" t="inlineStr"/>
      <c r="U42" s="52">
        <f>IF(A42="","",IFERROR(INDEX(E42:T42,MATCH(TRUE,INDEX(E42:T42&lt;&gt;"",0),0)),""))</f>
        <v/>
      </c>
      <c r="V42" s="52">
        <f>IF(A42="","",IFERROR(LOOKUP(2,1/(E42:T42&lt;&gt;""),E42:T42),""))</f>
        <v/>
      </c>
      <c r="W42" s="53">
        <f>IF(OR(A42="",PreviousYear=""),"",IFERROR(LOOKUP(2,1/(E42:T42&lt;&gt;""),E42:T42)-INDEX(E42:T42,MATCH(PreviousYear,$E$5:$T$5,0)),""))</f>
        <v/>
      </c>
      <c r="X42" s="53">
        <f>IF(OR(A42="",U42="",V42=""),"",V42-U42)</f>
        <v/>
      </c>
      <c r="Y42" s="52">
        <f>IF(A42="","",COUNT(E42:T42))</f>
        <v/>
      </c>
    </row>
    <row r="43">
      <c r="A43" s="43">
        <f>IF(AND('Employees'!B8&lt;&gt;"",'Skills'!B11&lt;&gt;""),'Employees'!B8,"")</f>
        <v/>
      </c>
      <c r="B43" s="44">
        <f>IF(A43="","",'Employees'!C8)</f>
        <v/>
      </c>
      <c r="C43" s="50">
        <f>IF(A43="","",'Skills'!B11)</f>
        <v/>
      </c>
      <c r="D43" s="44">
        <f>IF(A43="","",'Skills'!C11)</f>
        <v/>
      </c>
      <c r="E43" s="51" t="n">
        <v>3</v>
      </c>
      <c r="F43" s="51" t="n">
        <v>3</v>
      </c>
      <c r="G43" s="51" t="n">
        <v>3</v>
      </c>
      <c r="H43" s="45" t="n">
        <v>3</v>
      </c>
      <c r="I43" s="51" t="inlineStr"/>
      <c r="J43" s="51" t="inlineStr"/>
      <c r="K43" s="51" t="inlineStr"/>
      <c r="L43" s="51" t="inlineStr"/>
      <c r="M43" s="51" t="inlineStr"/>
      <c r="N43" s="51" t="inlineStr"/>
      <c r="O43" s="51" t="inlineStr"/>
      <c r="P43" s="51" t="inlineStr"/>
      <c r="Q43" s="51" t="inlineStr"/>
      <c r="R43" s="51" t="inlineStr"/>
      <c r="S43" s="51" t="inlineStr"/>
      <c r="T43" s="51" t="inlineStr"/>
      <c r="U43" s="52">
        <f>IF(A43="","",IFERROR(INDEX(E43:T43,MATCH(TRUE,INDEX(E43:T43&lt;&gt;"",0),0)),""))</f>
        <v/>
      </c>
      <c r="V43" s="52">
        <f>IF(A43="","",IFERROR(LOOKUP(2,1/(E43:T43&lt;&gt;""),E43:T43),""))</f>
        <v/>
      </c>
      <c r="W43" s="53">
        <f>IF(OR(A43="",PreviousYear=""),"",IFERROR(LOOKUP(2,1/(E43:T43&lt;&gt;""),E43:T43)-INDEX(E43:T43,MATCH(PreviousYear,$E$5:$T$5,0)),""))</f>
        <v/>
      </c>
      <c r="X43" s="53">
        <f>IF(OR(A43="",U43="",V43=""),"",V43-U43)</f>
        <v/>
      </c>
      <c r="Y43" s="52">
        <f>IF(A43="","",COUNT(E43:T43))</f>
        <v/>
      </c>
    </row>
    <row r="44">
      <c r="A44" s="43">
        <f>IF(AND('Employees'!B8&lt;&gt;"",'Skills'!B12&lt;&gt;""),'Employees'!B8,"")</f>
        <v/>
      </c>
      <c r="B44" s="44">
        <f>IF(A44="","",'Employees'!C8)</f>
        <v/>
      </c>
      <c r="C44" s="50">
        <f>IF(A44="","",'Skills'!B12)</f>
        <v/>
      </c>
      <c r="D44" s="44">
        <f>IF(A44="","",'Skills'!C12)</f>
        <v/>
      </c>
      <c r="E44" s="51" t="n">
        <v>3</v>
      </c>
      <c r="F44" s="51" t="n">
        <v>4</v>
      </c>
      <c r="G44" s="51" t="n">
        <v>4</v>
      </c>
      <c r="H44" s="45" t="n">
        <v>5</v>
      </c>
      <c r="I44" s="51" t="inlineStr"/>
      <c r="J44" s="51" t="inlineStr"/>
      <c r="K44" s="51" t="inlineStr"/>
      <c r="L44" s="51" t="inlineStr"/>
      <c r="M44" s="51" t="inlineStr"/>
      <c r="N44" s="51" t="inlineStr"/>
      <c r="O44" s="51" t="inlineStr"/>
      <c r="P44" s="51" t="inlineStr"/>
      <c r="Q44" s="51" t="inlineStr"/>
      <c r="R44" s="51" t="inlineStr"/>
      <c r="S44" s="51" t="inlineStr"/>
      <c r="T44" s="51" t="inlineStr"/>
      <c r="U44" s="52">
        <f>IF(A44="","",IFERROR(INDEX(E44:T44,MATCH(TRUE,INDEX(E44:T44&lt;&gt;"",0),0)),""))</f>
        <v/>
      </c>
      <c r="V44" s="52">
        <f>IF(A44="","",IFERROR(LOOKUP(2,1/(E44:T44&lt;&gt;""),E44:T44),""))</f>
        <v/>
      </c>
      <c r="W44" s="53">
        <f>IF(OR(A44="",PreviousYear=""),"",IFERROR(LOOKUP(2,1/(E44:T44&lt;&gt;""),E44:T44)-INDEX(E44:T44,MATCH(PreviousYear,$E$5:$T$5,0)),""))</f>
        <v/>
      </c>
      <c r="X44" s="53">
        <f>IF(OR(A44="",U44="",V44=""),"",V44-U44)</f>
        <v/>
      </c>
      <c r="Y44" s="52">
        <f>IF(A44="","",COUNT(E44:T44))</f>
        <v/>
      </c>
    </row>
    <row r="45">
      <c r="A45" s="43">
        <f>IF(AND('Employees'!B8&lt;&gt;"",'Skills'!B13&lt;&gt;""),'Employees'!B8,"")</f>
        <v/>
      </c>
      <c r="B45" s="44">
        <f>IF(A45="","",'Employees'!C8)</f>
        <v/>
      </c>
      <c r="C45" s="50">
        <f>IF(A45="","",'Skills'!B13)</f>
        <v/>
      </c>
      <c r="D45" s="44">
        <f>IF(A45="","",'Skills'!C13)</f>
        <v/>
      </c>
      <c r="E45" s="51" t="n">
        <v>1</v>
      </c>
      <c r="F45" s="51" t="n">
        <v>1</v>
      </c>
      <c r="G45" s="51" t="n">
        <v>2</v>
      </c>
      <c r="H45" s="45" t="n">
        <v>3</v>
      </c>
      <c r="I45" s="51" t="inlineStr"/>
      <c r="J45" s="51" t="inlineStr"/>
      <c r="K45" s="51" t="inlineStr"/>
      <c r="L45" s="51" t="inlineStr"/>
      <c r="M45" s="51" t="inlineStr"/>
      <c r="N45" s="51" t="inlineStr"/>
      <c r="O45" s="51" t="inlineStr"/>
      <c r="P45" s="51" t="inlineStr"/>
      <c r="Q45" s="51" t="inlineStr"/>
      <c r="R45" s="51" t="inlineStr"/>
      <c r="S45" s="51" t="inlineStr"/>
      <c r="T45" s="51" t="inlineStr"/>
      <c r="U45" s="52">
        <f>IF(A45="","",IFERROR(INDEX(E45:T45,MATCH(TRUE,INDEX(E45:T45&lt;&gt;"",0),0)),""))</f>
        <v/>
      </c>
      <c r="V45" s="52">
        <f>IF(A45="","",IFERROR(LOOKUP(2,1/(E45:T45&lt;&gt;""),E45:T45),""))</f>
        <v/>
      </c>
      <c r="W45" s="53">
        <f>IF(OR(A45="",PreviousYear=""),"",IFERROR(LOOKUP(2,1/(E45:T45&lt;&gt;""),E45:T45)-INDEX(E45:T45,MATCH(PreviousYear,$E$5:$T$5,0)),""))</f>
        <v/>
      </c>
      <c r="X45" s="53">
        <f>IF(OR(A45="",U45="",V45=""),"",V45-U45)</f>
        <v/>
      </c>
      <c r="Y45" s="52">
        <f>IF(A45="","",COUNT(E45:T45))</f>
        <v/>
      </c>
    </row>
    <row r="46">
      <c r="A46" s="43">
        <f>IF(AND('Employees'!B8&lt;&gt;"",'Skills'!B14&lt;&gt;""),'Employees'!B8,"")</f>
        <v/>
      </c>
      <c r="B46" s="44">
        <f>IF(A46="","",'Employees'!C8)</f>
        <v/>
      </c>
      <c r="C46" s="50">
        <f>IF(A46="","",'Skills'!B14)</f>
        <v/>
      </c>
      <c r="D46" s="44">
        <f>IF(A46="","",'Skills'!C14)</f>
        <v/>
      </c>
      <c r="E46" s="51" t="n">
        <v>2</v>
      </c>
      <c r="F46" s="51" t="n">
        <v>3</v>
      </c>
      <c r="G46" s="51" t="n">
        <v>3</v>
      </c>
      <c r="H46" s="45" t="n">
        <v>3</v>
      </c>
      <c r="I46" s="51" t="inlineStr"/>
      <c r="J46" s="51" t="inlineStr"/>
      <c r="K46" s="51" t="inlineStr"/>
      <c r="L46" s="51" t="inlineStr"/>
      <c r="M46" s="51" t="inlineStr"/>
      <c r="N46" s="51" t="inlineStr"/>
      <c r="O46" s="51" t="inlineStr"/>
      <c r="P46" s="51" t="inlineStr"/>
      <c r="Q46" s="51" t="inlineStr"/>
      <c r="R46" s="51" t="inlineStr"/>
      <c r="S46" s="51" t="inlineStr"/>
      <c r="T46" s="51" t="inlineStr"/>
      <c r="U46" s="52">
        <f>IF(A46="","",IFERROR(INDEX(E46:T46,MATCH(TRUE,INDEX(E46:T46&lt;&gt;"",0),0)),""))</f>
        <v/>
      </c>
      <c r="V46" s="52">
        <f>IF(A46="","",IFERROR(LOOKUP(2,1/(E46:T46&lt;&gt;""),E46:T46),""))</f>
        <v/>
      </c>
      <c r="W46" s="53">
        <f>IF(OR(A46="",PreviousYear=""),"",IFERROR(LOOKUP(2,1/(E46:T46&lt;&gt;""),E46:T46)-INDEX(E46:T46,MATCH(PreviousYear,$E$5:$T$5,0)),""))</f>
        <v/>
      </c>
      <c r="X46" s="53">
        <f>IF(OR(A46="",U46="",V46=""),"",V46-U46)</f>
        <v/>
      </c>
      <c r="Y46" s="52">
        <f>IF(A46="","",COUNT(E46:T46))</f>
        <v/>
      </c>
    </row>
    <row r="47">
      <c r="A47" s="43">
        <f>IF(AND('Employees'!B8&lt;&gt;"",'Skills'!B15&lt;&gt;""),'Employees'!B8,"")</f>
        <v/>
      </c>
      <c r="B47" s="44">
        <f>IF(A47="","",'Employees'!C8)</f>
        <v/>
      </c>
      <c r="C47" s="50">
        <f>IF(A47="","",'Skills'!B15)</f>
        <v/>
      </c>
      <c r="D47" s="44">
        <f>IF(A47="","",'Skills'!C15)</f>
        <v/>
      </c>
      <c r="E47" s="51" t="n">
        <v>4</v>
      </c>
      <c r="F47" s="51" t="n">
        <v>4</v>
      </c>
      <c r="G47" s="51" t="n">
        <v>4</v>
      </c>
      <c r="H47" s="45" t="n">
        <v>4</v>
      </c>
      <c r="I47" s="51" t="inlineStr"/>
      <c r="J47" s="51" t="inlineStr"/>
      <c r="K47" s="51" t="inlineStr"/>
      <c r="L47" s="51" t="inlineStr"/>
      <c r="M47" s="51" t="inlineStr"/>
      <c r="N47" s="51" t="inlineStr"/>
      <c r="O47" s="51" t="inlineStr"/>
      <c r="P47" s="51" t="inlineStr"/>
      <c r="Q47" s="51" t="inlineStr"/>
      <c r="R47" s="51" t="inlineStr"/>
      <c r="S47" s="51" t="inlineStr"/>
      <c r="T47" s="51" t="inlineStr"/>
      <c r="U47" s="52">
        <f>IF(A47="","",IFERROR(INDEX(E47:T47,MATCH(TRUE,INDEX(E47:T47&lt;&gt;"",0),0)),""))</f>
        <v/>
      </c>
      <c r="V47" s="52">
        <f>IF(A47="","",IFERROR(LOOKUP(2,1/(E47:T47&lt;&gt;""),E47:T47),""))</f>
        <v/>
      </c>
      <c r="W47" s="53">
        <f>IF(OR(A47="",PreviousYear=""),"",IFERROR(LOOKUP(2,1/(E47:T47&lt;&gt;""),E47:T47)-INDEX(E47:T47,MATCH(PreviousYear,$E$5:$T$5,0)),""))</f>
        <v/>
      </c>
      <c r="X47" s="53">
        <f>IF(OR(A47="",U47="",V47=""),"",V47-U47)</f>
        <v/>
      </c>
      <c r="Y47" s="52">
        <f>IF(A47="","",COUNT(E47:T47))</f>
        <v/>
      </c>
    </row>
    <row r="48">
      <c r="A48" s="43">
        <f>IF(AND('Employees'!B8&lt;&gt;"",'Skills'!B16&lt;&gt;""),'Employees'!B8,"")</f>
        <v/>
      </c>
      <c r="B48" s="44">
        <f>IF(A48="","",'Employees'!C8)</f>
        <v/>
      </c>
      <c r="C48" s="50">
        <f>IF(A48="","",'Skills'!B16)</f>
        <v/>
      </c>
      <c r="D48" s="44">
        <f>IF(A48="","",'Skills'!C16)</f>
        <v/>
      </c>
      <c r="E48" s="51" t="inlineStr"/>
      <c r="F48" s="51" t="inlineStr"/>
      <c r="G48" s="51" t="inlineStr"/>
      <c r="H48" s="45" t="inlineStr"/>
      <c r="I48" s="51" t="inlineStr"/>
      <c r="J48" s="51" t="inlineStr"/>
      <c r="K48" s="51" t="inlineStr"/>
      <c r="L48" s="51" t="inlineStr"/>
      <c r="M48" s="51" t="inlineStr"/>
      <c r="N48" s="51" t="inlineStr"/>
      <c r="O48" s="51" t="inlineStr"/>
      <c r="P48" s="51" t="inlineStr"/>
      <c r="Q48" s="51" t="inlineStr"/>
      <c r="R48" s="51" t="inlineStr"/>
      <c r="S48" s="51" t="inlineStr"/>
      <c r="T48" s="51" t="inlineStr"/>
      <c r="U48" s="52">
        <f>IF(A48="","",IFERROR(INDEX(E48:T48,MATCH(TRUE,INDEX(E48:T48&lt;&gt;"",0),0)),""))</f>
        <v/>
      </c>
      <c r="V48" s="52">
        <f>IF(A48="","",IFERROR(LOOKUP(2,1/(E48:T48&lt;&gt;""),E48:T48),""))</f>
        <v/>
      </c>
      <c r="W48" s="53">
        <f>IF(OR(A48="",PreviousYear=""),"",IFERROR(LOOKUP(2,1/(E48:T48&lt;&gt;""),E48:T48)-INDEX(E48:T48,MATCH(PreviousYear,$E$5:$T$5,0)),""))</f>
        <v/>
      </c>
      <c r="X48" s="53">
        <f>IF(OR(A48="",U48="",V48=""),"",V48-U48)</f>
        <v/>
      </c>
      <c r="Y48" s="52">
        <f>IF(A48="","",COUNT(E48:T48))</f>
        <v/>
      </c>
    </row>
    <row r="49">
      <c r="A49" s="43">
        <f>IF(AND('Employees'!B8&lt;&gt;"",'Skills'!B17&lt;&gt;""),'Employees'!B8,"")</f>
        <v/>
      </c>
      <c r="B49" s="44">
        <f>IF(A49="","",'Employees'!C8)</f>
        <v/>
      </c>
      <c r="C49" s="50">
        <f>IF(A49="","",'Skills'!B17)</f>
        <v/>
      </c>
      <c r="D49" s="44">
        <f>IF(A49="","",'Skills'!C17)</f>
        <v/>
      </c>
      <c r="E49" s="51" t="inlineStr"/>
      <c r="F49" s="51" t="inlineStr"/>
      <c r="G49" s="51" t="inlineStr"/>
      <c r="H49" s="45" t="inlineStr"/>
      <c r="I49" s="51" t="inlineStr"/>
      <c r="J49" s="51" t="inlineStr"/>
      <c r="K49" s="51" t="inlineStr"/>
      <c r="L49" s="51" t="inlineStr"/>
      <c r="M49" s="51" t="inlineStr"/>
      <c r="N49" s="51" t="inlineStr"/>
      <c r="O49" s="51" t="inlineStr"/>
      <c r="P49" s="51" t="inlineStr"/>
      <c r="Q49" s="51" t="inlineStr"/>
      <c r="R49" s="51" t="inlineStr"/>
      <c r="S49" s="51" t="inlineStr"/>
      <c r="T49" s="51" t="inlineStr"/>
      <c r="U49" s="52">
        <f>IF(A49="","",IFERROR(INDEX(E49:T49,MATCH(TRUE,INDEX(E49:T49&lt;&gt;"",0),0)),""))</f>
        <v/>
      </c>
      <c r="V49" s="52">
        <f>IF(A49="","",IFERROR(LOOKUP(2,1/(E49:T49&lt;&gt;""),E49:T49),""))</f>
        <v/>
      </c>
      <c r="W49" s="53">
        <f>IF(OR(A49="",PreviousYear=""),"",IFERROR(LOOKUP(2,1/(E49:T49&lt;&gt;""),E49:T49)-INDEX(E49:T49,MATCH(PreviousYear,$E$5:$T$5,0)),""))</f>
        <v/>
      </c>
      <c r="X49" s="53">
        <f>IF(OR(A49="",U49="",V49=""),"",V49-U49)</f>
        <v/>
      </c>
      <c r="Y49" s="52">
        <f>IF(A49="","",COUNT(E49:T49))</f>
        <v/>
      </c>
    </row>
    <row r="50">
      <c r="A50" s="43">
        <f>IF(AND('Employees'!B8&lt;&gt;"",'Skills'!B18&lt;&gt;""),'Employees'!B8,"")</f>
        <v/>
      </c>
      <c r="B50" s="44">
        <f>IF(A50="","",'Employees'!C8)</f>
        <v/>
      </c>
      <c r="C50" s="50">
        <f>IF(A50="","",'Skills'!B18)</f>
        <v/>
      </c>
      <c r="D50" s="44">
        <f>IF(A50="","",'Skills'!C18)</f>
        <v/>
      </c>
      <c r="E50" s="51" t="inlineStr"/>
      <c r="F50" s="51" t="inlineStr"/>
      <c r="G50" s="51" t="inlineStr"/>
      <c r="H50" s="45" t="inlineStr"/>
      <c r="I50" s="51" t="inlineStr"/>
      <c r="J50" s="51" t="inlineStr"/>
      <c r="K50" s="51" t="inlineStr"/>
      <c r="L50" s="51" t="inlineStr"/>
      <c r="M50" s="51" t="inlineStr"/>
      <c r="N50" s="51" t="inlineStr"/>
      <c r="O50" s="51" t="inlineStr"/>
      <c r="P50" s="51" t="inlineStr"/>
      <c r="Q50" s="51" t="inlineStr"/>
      <c r="R50" s="51" t="inlineStr"/>
      <c r="S50" s="51" t="inlineStr"/>
      <c r="T50" s="51" t="inlineStr"/>
      <c r="U50" s="52">
        <f>IF(A50="","",IFERROR(INDEX(E50:T50,MATCH(TRUE,INDEX(E50:T50&lt;&gt;"",0),0)),""))</f>
        <v/>
      </c>
      <c r="V50" s="52">
        <f>IF(A50="","",IFERROR(LOOKUP(2,1/(E50:T50&lt;&gt;""),E50:T50),""))</f>
        <v/>
      </c>
      <c r="W50" s="53">
        <f>IF(OR(A50="",PreviousYear=""),"",IFERROR(LOOKUP(2,1/(E50:T50&lt;&gt;""),E50:T50)-INDEX(E50:T50,MATCH(PreviousYear,$E$5:$T$5,0)),""))</f>
        <v/>
      </c>
      <c r="X50" s="53">
        <f>IF(OR(A50="",U50="",V50=""),"",V50-U50)</f>
        <v/>
      </c>
      <c r="Y50" s="52">
        <f>IF(A50="","",COUNT(E50:T50))</f>
        <v/>
      </c>
    </row>
    <row r="51">
      <c r="A51" s="43">
        <f>IF(AND('Employees'!B8&lt;&gt;"",'Skills'!B19&lt;&gt;""),'Employees'!B8,"")</f>
        <v/>
      </c>
      <c r="B51" s="44">
        <f>IF(A51="","",'Employees'!C8)</f>
        <v/>
      </c>
      <c r="C51" s="50">
        <f>IF(A51="","",'Skills'!B19)</f>
        <v/>
      </c>
      <c r="D51" s="44">
        <f>IF(A51="","",'Skills'!C19)</f>
        <v/>
      </c>
      <c r="E51" s="51" t="inlineStr"/>
      <c r="F51" s="51" t="inlineStr"/>
      <c r="G51" s="51" t="inlineStr"/>
      <c r="H51" s="45" t="inlineStr"/>
      <c r="I51" s="51" t="inlineStr"/>
      <c r="J51" s="51" t="inlineStr"/>
      <c r="K51" s="51" t="inlineStr"/>
      <c r="L51" s="51" t="inlineStr"/>
      <c r="M51" s="51" t="inlineStr"/>
      <c r="N51" s="51" t="inlineStr"/>
      <c r="O51" s="51" t="inlineStr"/>
      <c r="P51" s="51" t="inlineStr"/>
      <c r="Q51" s="51" t="inlineStr"/>
      <c r="R51" s="51" t="inlineStr"/>
      <c r="S51" s="51" t="inlineStr"/>
      <c r="T51" s="51" t="inlineStr"/>
      <c r="U51" s="52">
        <f>IF(A51="","",IFERROR(INDEX(E51:T51,MATCH(TRUE,INDEX(E51:T51&lt;&gt;"",0),0)),""))</f>
        <v/>
      </c>
      <c r="V51" s="52">
        <f>IF(A51="","",IFERROR(LOOKUP(2,1/(E51:T51&lt;&gt;""),E51:T51),""))</f>
        <v/>
      </c>
      <c r="W51" s="53">
        <f>IF(OR(A51="",PreviousYear=""),"",IFERROR(LOOKUP(2,1/(E51:T51&lt;&gt;""),E51:T51)-INDEX(E51:T51,MATCH(PreviousYear,$E$5:$T$5,0)),""))</f>
        <v/>
      </c>
      <c r="X51" s="53">
        <f>IF(OR(A51="",U51="",V51=""),"",V51-U51)</f>
        <v/>
      </c>
      <c r="Y51" s="52">
        <f>IF(A51="","",COUNT(E51:T51))</f>
        <v/>
      </c>
    </row>
    <row r="52">
      <c r="A52" s="43">
        <f>IF(AND('Employees'!B8&lt;&gt;"",'Skills'!B20&lt;&gt;""),'Employees'!B8,"")</f>
        <v/>
      </c>
      <c r="B52" s="44">
        <f>IF(A52="","",'Employees'!C8)</f>
        <v/>
      </c>
      <c r="C52" s="50">
        <f>IF(A52="","",'Skills'!B20)</f>
        <v/>
      </c>
      <c r="D52" s="44">
        <f>IF(A52="","",'Skills'!C20)</f>
        <v/>
      </c>
      <c r="E52" s="51" t="inlineStr"/>
      <c r="F52" s="51" t="inlineStr"/>
      <c r="G52" s="51" t="inlineStr"/>
      <c r="H52" s="45" t="inlineStr"/>
      <c r="I52" s="51" t="inlineStr"/>
      <c r="J52" s="51" t="inlineStr"/>
      <c r="K52" s="51" t="inlineStr"/>
      <c r="L52" s="51" t="inlineStr"/>
      <c r="M52" s="51" t="inlineStr"/>
      <c r="N52" s="51" t="inlineStr"/>
      <c r="O52" s="51" t="inlineStr"/>
      <c r="P52" s="51" t="inlineStr"/>
      <c r="Q52" s="51" t="inlineStr"/>
      <c r="R52" s="51" t="inlineStr"/>
      <c r="S52" s="51" t="inlineStr"/>
      <c r="T52" s="51" t="inlineStr"/>
      <c r="U52" s="52">
        <f>IF(A52="","",IFERROR(INDEX(E52:T52,MATCH(TRUE,INDEX(E52:T52&lt;&gt;"",0),0)),""))</f>
        <v/>
      </c>
      <c r="V52" s="52">
        <f>IF(A52="","",IFERROR(LOOKUP(2,1/(E52:T52&lt;&gt;""),E52:T52),""))</f>
        <v/>
      </c>
      <c r="W52" s="53">
        <f>IF(OR(A52="",PreviousYear=""),"",IFERROR(LOOKUP(2,1/(E52:T52&lt;&gt;""),E52:T52)-INDEX(E52:T52,MATCH(PreviousYear,$E$5:$T$5,0)),""))</f>
        <v/>
      </c>
      <c r="X52" s="53">
        <f>IF(OR(A52="",U52="",V52=""),"",V52-U52)</f>
        <v/>
      </c>
      <c r="Y52" s="52">
        <f>IF(A52="","",COUNT(E52:T52))</f>
        <v/>
      </c>
    </row>
    <row r="53">
      <c r="A53" s="43">
        <f>IF(AND('Employees'!B8&lt;&gt;"",'Skills'!B21&lt;&gt;""),'Employees'!B8,"")</f>
        <v/>
      </c>
      <c r="B53" s="44">
        <f>IF(A53="","",'Employees'!C8)</f>
        <v/>
      </c>
      <c r="C53" s="50">
        <f>IF(A53="","",'Skills'!B21)</f>
        <v/>
      </c>
      <c r="D53" s="44">
        <f>IF(A53="","",'Skills'!C21)</f>
        <v/>
      </c>
      <c r="E53" s="51" t="inlineStr"/>
      <c r="F53" s="51" t="inlineStr"/>
      <c r="G53" s="51" t="inlineStr"/>
      <c r="H53" s="45" t="inlineStr"/>
      <c r="I53" s="51" t="inlineStr"/>
      <c r="J53" s="51" t="inlineStr"/>
      <c r="K53" s="51" t="inlineStr"/>
      <c r="L53" s="51" t="inlineStr"/>
      <c r="M53" s="51" t="inlineStr"/>
      <c r="N53" s="51" t="inlineStr"/>
      <c r="O53" s="51" t="inlineStr"/>
      <c r="P53" s="51" t="inlineStr"/>
      <c r="Q53" s="51" t="inlineStr"/>
      <c r="R53" s="51" t="inlineStr"/>
      <c r="S53" s="51" t="inlineStr"/>
      <c r="T53" s="51" t="inlineStr"/>
      <c r="U53" s="52">
        <f>IF(A53="","",IFERROR(INDEX(E53:T53,MATCH(TRUE,INDEX(E53:T53&lt;&gt;"",0),0)),""))</f>
        <v/>
      </c>
      <c r="V53" s="52">
        <f>IF(A53="","",IFERROR(LOOKUP(2,1/(E53:T53&lt;&gt;""),E53:T53),""))</f>
        <v/>
      </c>
      <c r="W53" s="53">
        <f>IF(OR(A53="",PreviousYear=""),"",IFERROR(LOOKUP(2,1/(E53:T53&lt;&gt;""),E53:T53)-INDEX(E53:T53,MATCH(PreviousYear,$E$5:$T$5,0)),""))</f>
        <v/>
      </c>
      <c r="X53" s="53">
        <f>IF(OR(A53="",U53="",V53=""),"",V53-U53)</f>
        <v/>
      </c>
      <c r="Y53" s="52">
        <f>IF(A53="","",COUNT(E53:T53))</f>
        <v/>
      </c>
    </row>
    <row r="54">
      <c r="A54" s="43">
        <f>IF(AND('Employees'!B9&lt;&gt;"",'Skills'!B6&lt;&gt;""),'Employees'!B9,"")</f>
        <v/>
      </c>
      <c r="B54" s="44">
        <f>IF(A54="","",'Employees'!C9)</f>
        <v/>
      </c>
      <c r="C54" s="50">
        <f>IF(A54="","",'Skills'!B6)</f>
        <v/>
      </c>
      <c r="D54" s="44">
        <f>IF(A54="","",'Skills'!C6)</f>
        <v/>
      </c>
      <c r="E54" s="51" t="n">
        <v>1</v>
      </c>
      <c r="F54" s="51" t="n">
        <v>1</v>
      </c>
      <c r="G54" s="51" t="n">
        <v>2</v>
      </c>
      <c r="H54" s="45" t="n">
        <v>2</v>
      </c>
      <c r="I54" s="51" t="inlineStr"/>
      <c r="J54" s="51" t="inlineStr"/>
      <c r="K54" s="51" t="inlineStr"/>
      <c r="L54" s="51" t="inlineStr"/>
      <c r="M54" s="51" t="inlineStr"/>
      <c r="N54" s="51" t="inlineStr"/>
      <c r="O54" s="51" t="inlineStr"/>
      <c r="P54" s="51" t="inlineStr"/>
      <c r="Q54" s="51" t="inlineStr"/>
      <c r="R54" s="51" t="inlineStr"/>
      <c r="S54" s="51" t="inlineStr"/>
      <c r="T54" s="51" t="inlineStr"/>
      <c r="U54" s="52">
        <f>IF(A54="","",IFERROR(INDEX(E54:T54,MATCH(TRUE,INDEX(E54:T54&lt;&gt;"",0),0)),""))</f>
        <v/>
      </c>
      <c r="V54" s="52">
        <f>IF(A54="","",IFERROR(LOOKUP(2,1/(E54:T54&lt;&gt;""),E54:T54),""))</f>
        <v/>
      </c>
      <c r="W54" s="53">
        <f>IF(OR(A54="",PreviousYear=""),"",IFERROR(LOOKUP(2,1/(E54:T54&lt;&gt;""),E54:T54)-INDEX(E54:T54,MATCH(PreviousYear,$E$5:$T$5,0)),""))</f>
        <v/>
      </c>
      <c r="X54" s="53">
        <f>IF(OR(A54="",U54="",V54=""),"",V54-U54)</f>
        <v/>
      </c>
      <c r="Y54" s="52">
        <f>IF(A54="","",COUNT(E54:T54))</f>
        <v/>
      </c>
    </row>
    <row r="55">
      <c r="A55" s="43">
        <f>IF(AND('Employees'!B9&lt;&gt;"",'Skills'!B7&lt;&gt;""),'Employees'!B9,"")</f>
        <v/>
      </c>
      <c r="B55" s="44">
        <f>IF(A55="","",'Employees'!C9)</f>
        <v/>
      </c>
      <c r="C55" s="50">
        <f>IF(A55="","",'Skills'!B7)</f>
        <v/>
      </c>
      <c r="D55" s="44">
        <f>IF(A55="","",'Skills'!C7)</f>
        <v/>
      </c>
      <c r="E55" s="51" t="n">
        <v>1</v>
      </c>
      <c r="F55" s="51" t="n">
        <v>2</v>
      </c>
      <c r="G55" s="51" t="n">
        <v>2</v>
      </c>
      <c r="H55" s="45" t="n">
        <v>2</v>
      </c>
      <c r="I55" s="51" t="inlineStr"/>
      <c r="J55" s="51" t="inlineStr"/>
      <c r="K55" s="51" t="inlineStr"/>
      <c r="L55" s="51" t="inlineStr"/>
      <c r="M55" s="51" t="inlineStr"/>
      <c r="N55" s="51" t="inlineStr"/>
      <c r="O55" s="51" t="inlineStr"/>
      <c r="P55" s="51" t="inlineStr"/>
      <c r="Q55" s="51" t="inlineStr"/>
      <c r="R55" s="51" t="inlineStr"/>
      <c r="S55" s="51" t="inlineStr"/>
      <c r="T55" s="51" t="inlineStr"/>
      <c r="U55" s="52">
        <f>IF(A55="","",IFERROR(INDEX(E55:T55,MATCH(TRUE,INDEX(E55:T55&lt;&gt;"",0),0)),""))</f>
        <v/>
      </c>
      <c r="V55" s="52">
        <f>IF(A55="","",IFERROR(LOOKUP(2,1/(E55:T55&lt;&gt;""),E55:T55),""))</f>
        <v/>
      </c>
      <c r="W55" s="53">
        <f>IF(OR(A55="",PreviousYear=""),"",IFERROR(LOOKUP(2,1/(E55:T55&lt;&gt;""),E55:T55)-INDEX(E55:T55,MATCH(PreviousYear,$E$5:$T$5,0)),""))</f>
        <v/>
      </c>
      <c r="X55" s="53">
        <f>IF(OR(A55="",U55="",V55=""),"",V55-U55)</f>
        <v/>
      </c>
      <c r="Y55" s="52">
        <f>IF(A55="","",COUNT(E55:T55))</f>
        <v/>
      </c>
    </row>
    <row r="56">
      <c r="A56" s="43">
        <f>IF(AND('Employees'!B9&lt;&gt;"",'Skills'!B8&lt;&gt;""),'Employees'!B9,"")</f>
        <v/>
      </c>
      <c r="B56" s="44">
        <f>IF(A56="","",'Employees'!C9)</f>
        <v/>
      </c>
      <c r="C56" s="50">
        <f>IF(A56="","",'Skills'!B8)</f>
        <v/>
      </c>
      <c r="D56" s="44">
        <f>IF(A56="","",'Skills'!C8)</f>
        <v/>
      </c>
      <c r="E56" s="51" t="n">
        <v>3</v>
      </c>
      <c r="F56" s="51" t="n">
        <v>3</v>
      </c>
      <c r="G56" s="51" t="n">
        <v>3</v>
      </c>
      <c r="H56" s="45" t="n">
        <v>3</v>
      </c>
      <c r="I56" s="51" t="inlineStr"/>
      <c r="J56" s="51" t="inlineStr"/>
      <c r="K56" s="51" t="inlineStr"/>
      <c r="L56" s="51" t="inlineStr"/>
      <c r="M56" s="51" t="inlineStr"/>
      <c r="N56" s="51" t="inlineStr"/>
      <c r="O56" s="51" t="inlineStr"/>
      <c r="P56" s="51" t="inlineStr"/>
      <c r="Q56" s="51" t="inlineStr"/>
      <c r="R56" s="51" t="inlineStr"/>
      <c r="S56" s="51" t="inlineStr"/>
      <c r="T56" s="51" t="inlineStr"/>
      <c r="U56" s="52">
        <f>IF(A56="","",IFERROR(INDEX(E56:T56,MATCH(TRUE,INDEX(E56:T56&lt;&gt;"",0),0)),""))</f>
        <v/>
      </c>
      <c r="V56" s="52">
        <f>IF(A56="","",IFERROR(LOOKUP(2,1/(E56:T56&lt;&gt;""),E56:T56),""))</f>
        <v/>
      </c>
      <c r="W56" s="53">
        <f>IF(OR(A56="",PreviousYear=""),"",IFERROR(LOOKUP(2,1/(E56:T56&lt;&gt;""),E56:T56)-INDEX(E56:T56,MATCH(PreviousYear,$E$5:$T$5,0)),""))</f>
        <v/>
      </c>
      <c r="X56" s="53">
        <f>IF(OR(A56="",U56="",V56=""),"",V56-U56)</f>
        <v/>
      </c>
      <c r="Y56" s="52">
        <f>IF(A56="","",COUNT(E56:T56))</f>
        <v/>
      </c>
    </row>
    <row r="57">
      <c r="A57" s="43">
        <f>IF(AND('Employees'!B9&lt;&gt;"",'Skills'!B9&lt;&gt;""),'Employees'!B9,"")</f>
        <v/>
      </c>
      <c r="B57" s="44">
        <f>IF(A57="","",'Employees'!C9)</f>
        <v/>
      </c>
      <c r="C57" s="50">
        <f>IF(A57="","",'Skills'!B9)</f>
        <v/>
      </c>
      <c r="D57" s="44">
        <f>IF(A57="","",'Skills'!C9)</f>
        <v/>
      </c>
      <c r="E57" s="51" t="n">
        <v>1</v>
      </c>
      <c r="F57" s="51" t="n">
        <v>1</v>
      </c>
      <c r="G57" s="51" t="n">
        <v>2</v>
      </c>
      <c r="H57" s="45" t="n">
        <v>3</v>
      </c>
      <c r="I57" s="51" t="inlineStr"/>
      <c r="J57" s="51" t="inlineStr"/>
      <c r="K57" s="51" t="inlineStr"/>
      <c r="L57" s="51" t="inlineStr"/>
      <c r="M57" s="51" t="inlineStr"/>
      <c r="N57" s="51" t="inlineStr"/>
      <c r="O57" s="51" t="inlineStr"/>
      <c r="P57" s="51" t="inlineStr"/>
      <c r="Q57" s="51" t="inlineStr"/>
      <c r="R57" s="51" t="inlineStr"/>
      <c r="S57" s="51" t="inlineStr"/>
      <c r="T57" s="51" t="inlineStr"/>
      <c r="U57" s="52">
        <f>IF(A57="","",IFERROR(INDEX(E57:T57,MATCH(TRUE,INDEX(E57:T57&lt;&gt;"",0),0)),""))</f>
        <v/>
      </c>
      <c r="V57" s="52">
        <f>IF(A57="","",IFERROR(LOOKUP(2,1/(E57:T57&lt;&gt;""),E57:T57),""))</f>
        <v/>
      </c>
      <c r="W57" s="53">
        <f>IF(OR(A57="",PreviousYear=""),"",IFERROR(LOOKUP(2,1/(E57:T57&lt;&gt;""),E57:T57)-INDEX(E57:T57,MATCH(PreviousYear,$E$5:$T$5,0)),""))</f>
        <v/>
      </c>
      <c r="X57" s="53">
        <f>IF(OR(A57="",U57="",V57=""),"",V57-U57)</f>
        <v/>
      </c>
      <c r="Y57" s="52">
        <f>IF(A57="","",COUNT(E57:T57))</f>
        <v/>
      </c>
    </row>
    <row r="58">
      <c r="A58" s="43">
        <f>IF(AND('Employees'!B9&lt;&gt;"",'Skills'!B10&lt;&gt;""),'Employees'!B9,"")</f>
        <v/>
      </c>
      <c r="B58" s="44">
        <f>IF(A58="","",'Employees'!C9)</f>
        <v/>
      </c>
      <c r="C58" s="50">
        <f>IF(A58="","",'Skills'!B10)</f>
        <v/>
      </c>
      <c r="D58" s="44">
        <f>IF(A58="","",'Skills'!C10)</f>
        <v/>
      </c>
      <c r="E58" s="51" t="n">
        <v>3</v>
      </c>
      <c r="F58" s="51" t="n">
        <v>3</v>
      </c>
      <c r="G58" s="51" t="n">
        <v>3</v>
      </c>
      <c r="H58" s="45" t="n">
        <v>3</v>
      </c>
      <c r="I58" s="51" t="inlineStr"/>
      <c r="J58" s="51" t="inlineStr"/>
      <c r="K58" s="51" t="inlineStr"/>
      <c r="L58" s="51" t="inlineStr"/>
      <c r="M58" s="51" t="inlineStr"/>
      <c r="N58" s="51" t="inlineStr"/>
      <c r="O58" s="51" t="inlineStr"/>
      <c r="P58" s="51" t="inlineStr"/>
      <c r="Q58" s="51" t="inlineStr"/>
      <c r="R58" s="51" t="inlineStr"/>
      <c r="S58" s="51" t="inlineStr"/>
      <c r="T58" s="51" t="inlineStr"/>
      <c r="U58" s="52">
        <f>IF(A58="","",IFERROR(INDEX(E58:T58,MATCH(TRUE,INDEX(E58:T58&lt;&gt;"",0),0)),""))</f>
        <v/>
      </c>
      <c r="V58" s="52">
        <f>IF(A58="","",IFERROR(LOOKUP(2,1/(E58:T58&lt;&gt;""),E58:T58),""))</f>
        <v/>
      </c>
      <c r="W58" s="53">
        <f>IF(OR(A58="",PreviousYear=""),"",IFERROR(LOOKUP(2,1/(E58:T58&lt;&gt;""),E58:T58)-INDEX(E58:T58,MATCH(PreviousYear,$E$5:$T$5,0)),""))</f>
        <v/>
      </c>
      <c r="X58" s="53">
        <f>IF(OR(A58="",U58="",V58=""),"",V58-U58)</f>
        <v/>
      </c>
      <c r="Y58" s="52">
        <f>IF(A58="","",COUNT(E58:T58))</f>
        <v/>
      </c>
    </row>
    <row r="59">
      <c r="A59" s="43">
        <f>IF(AND('Employees'!B9&lt;&gt;"",'Skills'!B11&lt;&gt;""),'Employees'!B9,"")</f>
        <v/>
      </c>
      <c r="B59" s="44">
        <f>IF(A59="","",'Employees'!C9)</f>
        <v/>
      </c>
      <c r="C59" s="50">
        <f>IF(A59="","",'Skills'!B11)</f>
        <v/>
      </c>
      <c r="D59" s="44">
        <f>IF(A59="","",'Skills'!C11)</f>
        <v/>
      </c>
      <c r="E59" s="51" t="n">
        <v>1</v>
      </c>
      <c r="F59" s="51" t="n">
        <v>2</v>
      </c>
      <c r="G59" s="51" t="n">
        <v>2</v>
      </c>
      <c r="H59" s="45" t="n">
        <v>2</v>
      </c>
      <c r="I59" s="51" t="inlineStr"/>
      <c r="J59" s="51" t="inlineStr"/>
      <c r="K59" s="51" t="inlineStr"/>
      <c r="L59" s="51" t="inlineStr"/>
      <c r="M59" s="51" t="inlineStr"/>
      <c r="N59" s="51" t="inlineStr"/>
      <c r="O59" s="51" t="inlineStr"/>
      <c r="P59" s="51" t="inlineStr"/>
      <c r="Q59" s="51" t="inlineStr"/>
      <c r="R59" s="51" t="inlineStr"/>
      <c r="S59" s="51" t="inlineStr"/>
      <c r="T59" s="51" t="inlineStr"/>
      <c r="U59" s="52">
        <f>IF(A59="","",IFERROR(INDEX(E59:T59,MATCH(TRUE,INDEX(E59:T59&lt;&gt;"",0),0)),""))</f>
        <v/>
      </c>
      <c r="V59" s="52">
        <f>IF(A59="","",IFERROR(LOOKUP(2,1/(E59:T59&lt;&gt;""),E59:T59),""))</f>
        <v/>
      </c>
      <c r="W59" s="53">
        <f>IF(OR(A59="",PreviousYear=""),"",IFERROR(LOOKUP(2,1/(E59:T59&lt;&gt;""),E59:T59)-INDEX(E59:T59,MATCH(PreviousYear,$E$5:$T$5,0)),""))</f>
        <v/>
      </c>
      <c r="X59" s="53">
        <f>IF(OR(A59="",U59="",V59=""),"",V59-U59)</f>
        <v/>
      </c>
      <c r="Y59" s="52">
        <f>IF(A59="","",COUNT(E59:T59))</f>
        <v/>
      </c>
    </row>
    <row r="60">
      <c r="A60" s="43">
        <f>IF(AND('Employees'!B9&lt;&gt;"",'Skills'!B12&lt;&gt;""),'Employees'!B9,"")</f>
        <v/>
      </c>
      <c r="B60" s="44">
        <f>IF(A60="","",'Employees'!C9)</f>
        <v/>
      </c>
      <c r="C60" s="50">
        <f>IF(A60="","",'Skills'!B12)</f>
        <v/>
      </c>
      <c r="D60" s="44">
        <f>IF(A60="","",'Skills'!C12)</f>
        <v/>
      </c>
      <c r="E60" s="51" t="n">
        <v>2</v>
      </c>
      <c r="F60" s="51" t="n">
        <v>2</v>
      </c>
      <c r="G60" s="51" t="n">
        <v>3</v>
      </c>
      <c r="H60" s="45" t="n">
        <v>3</v>
      </c>
      <c r="I60" s="51" t="inlineStr"/>
      <c r="J60" s="51" t="inlineStr"/>
      <c r="K60" s="51" t="inlineStr"/>
      <c r="L60" s="51" t="inlineStr"/>
      <c r="M60" s="51" t="inlineStr"/>
      <c r="N60" s="51" t="inlineStr"/>
      <c r="O60" s="51" t="inlineStr"/>
      <c r="P60" s="51" t="inlineStr"/>
      <c r="Q60" s="51" t="inlineStr"/>
      <c r="R60" s="51" t="inlineStr"/>
      <c r="S60" s="51" t="inlineStr"/>
      <c r="T60" s="51" t="inlineStr"/>
      <c r="U60" s="52">
        <f>IF(A60="","",IFERROR(INDEX(E60:T60,MATCH(TRUE,INDEX(E60:T60&lt;&gt;"",0),0)),""))</f>
        <v/>
      </c>
      <c r="V60" s="52">
        <f>IF(A60="","",IFERROR(LOOKUP(2,1/(E60:T60&lt;&gt;""),E60:T60),""))</f>
        <v/>
      </c>
      <c r="W60" s="53">
        <f>IF(OR(A60="",PreviousYear=""),"",IFERROR(LOOKUP(2,1/(E60:T60&lt;&gt;""),E60:T60)-INDEX(E60:T60,MATCH(PreviousYear,$E$5:$T$5,0)),""))</f>
        <v/>
      </c>
      <c r="X60" s="53">
        <f>IF(OR(A60="",U60="",V60=""),"",V60-U60)</f>
        <v/>
      </c>
      <c r="Y60" s="52">
        <f>IF(A60="","",COUNT(E60:T60))</f>
        <v/>
      </c>
    </row>
    <row r="61">
      <c r="A61" s="43">
        <f>IF(AND('Employees'!B9&lt;&gt;"",'Skills'!B13&lt;&gt;""),'Employees'!B9,"")</f>
        <v/>
      </c>
      <c r="B61" s="44">
        <f>IF(A61="","",'Employees'!C9)</f>
        <v/>
      </c>
      <c r="C61" s="50">
        <f>IF(A61="","",'Skills'!B13)</f>
        <v/>
      </c>
      <c r="D61" s="44">
        <f>IF(A61="","",'Skills'!C13)</f>
        <v/>
      </c>
      <c r="E61" s="51" t="n">
        <v>4</v>
      </c>
      <c r="F61" s="51" t="n">
        <v>5</v>
      </c>
      <c r="G61" s="51" t="n">
        <v>5</v>
      </c>
      <c r="H61" s="45" t="n">
        <v>5</v>
      </c>
      <c r="I61" s="51" t="inlineStr"/>
      <c r="J61" s="51" t="inlineStr"/>
      <c r="K61" s="51" t="inlineStr"/>
      <c r="L61" s="51" t="inlineStr"/>
      <c r="M61" s="51" t="inlineStr"/>
      <c r="N61" s="51" t="inlineStr"/>
      <c r="O61" s="51" t="inlineStr"/>
      <c r="P61" s="51" t="inlineStr"/>
      <c r="Q61" s="51" t="inlineStr"/>
      <c r="R61" s="51" t="inlineStr"/>
      <c r="S61" s="51" t="inlineStr"/>
      <c r="T61" s="51" t="inlineStr"/>
      <c r="U61" s="52">
        <f>IF(A61="","",IFERROR(INDEX(E61:T61,MATCH(TRUE,INDEX(E61:T61&lt;&gt;"",0),0)),""))</f>
        <v/>
      </c>
      <c r="V61" s="52">
        <f>IF(A61="","",IFERROR(LOOKUP(2,1/(E61:T61&lt;&gt;""),E61:T61),""))</f>
        <v/>
      </c>
      <c r="W61" s="53">
        <f>IF(OR(A61="",PreviousYear=""),"",IFERROR(LOOKUP(2,1/(E61:T61&lt;&gt;""),E61:T61)-INDEX(E61:T61,MATCH(PreviousYear,$E$5:$T$5,0)),""))</f>
        <v/>
      </c>
      <c r="X61" s="53">
        <f>IF(OR(A61="",U61="",V61=""),"",V61-U61)</f>
        <v/>
      </c>
      <c r="Y61" s="52">
        <f>IF(A61="","",COUNT(E61:T61))</f>
        <v/>
      </c>
    </row>
    <row r="62">
      <c r="A62" s="43">
        <f>IF(AND('Employees'!B9&lt;&gt;"",'Skills'!B14&lt;&gt;""),'Employees'!B9,"")</f>
        <v/>
      </c>
      <c r="B62" s="44">
        <f>IF(A62="","",'Employees'!C9)</f>
        <v/>
      </c>
      <c r="C62" s="50">
        <f>IF(A62="","",'Skills'!B14)</f>
        <v/>
      </c>
      <c r="D62" s="44">
        <f>IF(A62="","",'Skills'!C14)</f>
        <v/>
      </c>
      <c r="E62" s="51" t="n">
        <v>4</v>
      </c>
      <c r="F62" s="51" t="n">
        <v>4</v>
      </c>
      <c r="G62" s="51" t="n">
        <v>4</v>
      </c>
      <c r="H62" s="45" t="n">
        <v>5</v>
      </c>
      <c r="I62" s="51" t="inlineStr"/>
      <c r="J62" s="51" t="inlineStr"/>
      <c r="K62" s="51" t="inlineStr"/>
      <c r="L62" s="51" t="inlineStr"/>
      <c r="M62" s="51" t="inlineStr"/>
      <c r="N62" s="51" t="inlineStr"/>
      <c r="O62" s="51" t="inlineStr"/>
      <c r="P62" s="51" t="inlineStr"/>
      <c r="Q62" s="51" t="inlineStr"/>
      <c r="R62" s="51" t="inlineStr"/>
      <c r="S62" s="51" t="inlineStr"/>
      <c r="T62" s="51" t="inlineStr"/>
      <c r="U62" s="52">
        <f>IF(A62="","",IFERROR(INDEX(E62:T62,MATCH(TRUE,INDEX(E62:T62&lt;&gt;"",0),0)),""))</f>
        <v/>
      </c>
      <c r="V62" s="52">
        <f>IF(A62="","",IFERROR(LOOKUP(2,1/(E62:T62&lt;&gt;""),E62:T62),""))</f>
        <v/>
      </c>
      <c r="W62" s="53">
        <f>IF(OR(A62="",PreviousYear=""),"",IFERROR(LOOKUP(2,1/(E62:T62&lt;&gt;""),E62:T62)-INDEX(E62:T62,MATCH(PreviousYear,$E$5:$T$5,0)),""))</f>
        <v/>
      </c>
      <c r="X62" s="53">
        <f>IF(OR(A62="",U62="",V62=""),"",V62-U62)</f>
        <v/>
      </c>
      <c r="Y62" s="52">
        <f>IF(A62="","",COUNT(E62:T62))</f>
        <v/>
      </c>
    </row>
    <row r="63">
      <c r="A63" s="43">
        <f>IF(AND('Employees'!B9&lt;&gt;"",'Skills'!B15&lt;&gt;""),'Employees'!B9,"")</f>
        <v/>
      </c>
      <c r="B63" s="44">
        <f>IF(A63="","",'Employees'!C9)</f>
        <v/>
      </c>
      <c r="C63" s="50">
        <f>IF(A63="","",'Skills'!B15)</f>
        <v/>
      </c>
      <c r="D63" s="44">
        <f>IF(A63="","",'Skills'!C15)</f>
        <v/>
      </c>
      <c r="E63" s="51" t="n">
        <v>1</v>
      </c>
      <c r="F63" s="51" t="n">
        <v>2</v>
      </c>
      <c r="G63" s="51" t="n">
        <v>3</v>
      </c>
      <c r="H63" s="45" t="n">
        <v>3</v>
      </c>
      <c r="I63" s="51" t="inlineStr"/>
      <c r="J63" s="51" t="inlineStr"/>
      <c r="K63" s="51" t="inlineStr"/>
      <c r="L63" s="51" t="inlineStr"/>
      <c r="M63" s="51" t="inlineStr"/>
      <c r="N63" s="51" t="inlineStr"/>
      <c r="O63" s="51" t="inlineStr"/>
      <c r="P63" s="51" t="inlineStr"/>
      <c r="Q63" s="51" t="inlineStr"/>
      <c r="R63" s="51" t="inlineStr"/>
      <c r="S63" s="51" t="inlineStr"/>
      <c r="T63" s="51" t="inlineStr"/>
      <c r="U63" s="52">
        <f>IF(A63="","",IFERROR(INDEX(E63:T63,MATCH(TRUE,INDEX(E63:T63&lt;&gt;"",0),0)),""))</f>
        <v/>
      </c>
      <c r="V63" s="52">
        <f>IF(A63="","",IFERROR(LOOKUP(2,1/(E63:T63&lt;&gt;""),E63:T63),""))</f>
        <v/>
      </c>
      <c r="W63" s="53">
        <f>IF(OR(A63="",PreviousYear=""),"",IFERROR(LOOKUP(2,1/(E63:T63&lt;&gt;""),E63:T63)-INDEX(E63:T63,MATCH(PreviousYear,$E$5:$T$5,0)),""))</f>
        <v/>
      </c>
      <c r="X63" s="53">
        <f>IF(OR(A63="",U63="",V63=""),"",V63-U63)</f>
        <v/>
      </c>
      <c r="Y63" s="52">
        <f>IF(A63="","",COUNT(E63:T63))</f>
        <v/>
      </c>
    </row>
    <row r="64">
      <c r="A64" s="43">
        <f>IF(AND('Employees'!B9&lt;&gt;"",'Skills'!B16&lt;&gt;""),'Employees'!B9,"")</f>
        <v/>
      </c>
      <c r="B64" s="44">
        <f>IF(A64="","",'Employees'!C9)</f>
        <v/>
      </c>
      <c r="C64" s="50">
        <f>IF(A64="","",'Skills'!B16)</f>
        <v/>
      </c>
      <c r="D64" s="44">
        <f>IF(A64="","",'Skills'!C16)</f>
        <v/>
      </c>
      <c r="E64" s="51" t="inlineStr"/>
      <c r="F64" s="51" t="inlineStr"/>
      <c r="G64" s="51" t="inlineStr"/>
      <c r="H64" s="45" t="inlineStr"/>
      <c r="I64" s="51" t="inlineStr"/>
      <c r="J64" s="51" t="inlineStr"/>
      <c r="K64" s="51" t="inlineStr"/>
      <c r="L64" s="51" t="inlineStr"/>
      <c r="M64" s="51" t="inlineStr"/>
      <c r="N64" s="51" t="inlineStr"/>
      <c r="O64" s="51" t="inlineStr"/>
      <c r="P64" s="51" t="inlineStr"/>
      <c r="Q64" s="51" t="inlineStr"/>
      <c r="R64" s="51" t="inlineStr"/>
      <c r="S64" s="51" t="inlineStr"/>
      <c r="T64" s="51" t="inlineStr"/>
      <c r="U64" s="52">
        <f>IF(A64="","",IFERROR(INDEX(E64:T64,MATCH(TRUE,INDEX(E64:T64&lt;&gt;"",0),0)),""))</f>
        <v/>
      </c>
      <c r="V64" s="52">
        <f>IF(A64="","",IFERROR(LOOKUP(2,1/(E64:T64&lt;&gt;""),E64:T64),""))</f>
        <v/>
      </c>
      <c r="W64" s="53">
        <f>IF(OR(A64="",PreviousYear=""),"",IFERROR(LOOKUP(2,1/(E64:T64&lt;&gt;""),E64:T64)-INDEX(E64:T64,MATCH(PreviousYear,$E$5:$T$5,0)),""))</f>
        <v/>
      </c>
      <c r="X64" s="53">
        <f>IF(OR(A64="",U64="",V64=""),"",V64-U64)</f>
        <v/>
      </c>
      <c r="Y64" s="52">
        <f>IF(A64="","",COUNT(E64:T64))</f>
        <v/>
      </c>
    </row>
    <row r="65">
      <c r="A65" s="43">
        <f>IF(AND('Employees'!B9&lt;&gt;"",'Skills'!B17&lt;&gt;""),'Employees'!B9,"")</f>
        <v/>
      </c>
      <c r="B65" s="44">
        <f>IF(A65="","",'Employees'!C9)</f>
        <v/>
      </c>
      <c r="C65" s="50">
        <f>IF(A65="","",'Skills'!B17)</f>
        <v/>
      </c>
      <c r="D65" s="44">
        <f>IF(A65="","",'Skills'!C17)</f>
        <v/>
      </c>
      <c r="E65" s="51" t="inlineStr"/>
      <c r="F65" s="51" t="inlineStr"/>
      <c r="G65" s="51" t="inlineStr"/>
      <c r="H65" s="45" t="inlineStr"/>
      <c r="I65" s="51" t="inlineStr"/>
      <c r="J65" s="51" t="inlineStr"/>
      <c r="K65" s="51" t="inlineStr"/>
      <c r="L65" s="51" t="inlineStr"/>
      <c r="M65" s="51" t="inlineStr"/>
      <c r="N65" s="51" t="inlineStr"/>
      <c r="O65" s="51" t="inlineStr"/>
      <c r="P65" s="51" t="inlineStr"/>
      <c r="Q65" s="51" t="inlineStr"/>
      <c r="R65" s="51" t="inlineStr"/>
      <c r="S65" s="51" t="inlineStr"/>
      <c r="T65" s="51" t="inlineStr"/>
      <c r="U65" s="52">
        <f>IF(A65="","",IFERROR(INDEX(E65:T65,MATCH(TRUE,INDEX(E65:T65&lt;&gt;"",0),0)),""))</f>
        <v/>
      </c>
      <c r="V65" s="52">
        <f>IF(A65="","",IFERROR(LOOKUP(2,1/(E65:T65&lt;&gt;""),E65:T65),""))</f>
        <v/>
      </c>
      <c r="W65" s="53">
        <f>IF(OR(A65="",PreviousYear=""),"",IFERROR(LOOKUP(2,1/(E65:T65&lt;&gt;""),E65:T65)-INDEX(E65:T65,MATCH(PreviousYear,$E$5:$T$5,0)),""))</f>
        <v/>
      </c>
      <c r="X65" s="53">
        <f>IF(OR(A65="",U65="",V65=""),"",V65-U65)</f>
        <v/>
      </c>
      <c r="Y65" s="52">
        <f>IF(A65="","",COUNT(E65:T65))</f>
        <v/>
      </c>
    </row>
    <row r="66">
      <c r="A66" s="43">
        <f>IF(AND('Employees'!B9&lt;&gt;"",'Skills'!B18&lt;&gt;""),'Employees'!B9,"")</f>
        <v/>
      </c>
      <c r="B66" s="44">
        <f>IF(A66="","",'Employees'!C9)</f>
        <v/>
      </c>
      <c r="C66" s="50">
        <f>IF(A66="","",'Skills'!B18)</f>
        <v/>
      </c>
      <c r="D66" s="44">
        <f>IF(A66="","",'Skills'!C18)</f>
        <v/>
      </c>
      <c r="E66" s="51" t="inlineStr"/>
      <c r="F66" s="51" t="inlineStr"/>
      <c r="G66" s="51" t="inlineStr"/>
      <c r="H66" s="45" t="inlineStr"/>
      <c r="I66" s="51" t="inlineStr"/>
      <c r="J66" s="51" t="inlineStr"/>
      <c r="K66" s="51" t="inlineStr"/>
      <c r="L66" s="51" t="inlineStr"/>
      <c r="M66" s="51" t="inlineStr"/>
      <c r="N66" s="51" t="inlineStr"/>
      <c r="O66" s="51" t="inlineStr"/>
      <c r="P66" s="51" t="inlineStr"/>
      <c r="Q66" s="51" t="inlineStr"/>
      <c r="R66" s="51" t="inlineStr"/>
      <c r="S66" s="51" t="inlineStr"/>
      <c r="T66" s="51" t="inlineStr"/>
      <c r="U66" s="52">
        <f>IF(A66="","",IFERROR(INDEX(E66:T66,MATCH(TRUE,INDEX(E66:T66&lt;&gt;"",0),0)),""))</f>
        <v/>
      </c>
      <c r="V66" s="52">
        <f>IF(A66="","",IFERROR(LOOKUP(2,1/(E66:T66&lt;&gt;""),E66:T66),""))</f>
        <v/>
      </c>
      <c r="W66" s="53">
        <f>IF(OR(A66="",PreviousYear=""),"",IFERROR(LOOKUP(2,1/(E66:T66&lt;&gt;""),E66:T66)-INDEX(E66:T66,MATCH(PreviousYear,$E$5:$T$5,0)),""))</f>
        <v/>
      </c>
      <c r="X66" s="53">
        <f>IF(OR(A66="",U66="",V66=""),"",V66-U66)</f>
        <v/>
      </c>
      <c r="Y66" s="52">
        <f>IF(A66="","",COUNT(E66:T66))</f>
        <v/>
      </c>
    </row>
    <row r="67">
      <c r="A67" s="43">
        <f>IF(AND('Employees'!B9&lt;&gt;"",'Skills'!B19&lt;&gt;""),'Employees'!B9,"")</f>
        <v/>
      </c>
      <c r="B67" s="44">
        <f>IF(A67="","",'Employees'!C9)</f>
        <v/>
      </c>
      <c r="C67" s="50">
        <f>IF(A67="","",'Skills'!B19)</f>
        <v/>
      </c>
      <c r="D67" s="44">
        <f>IF(A67="","",'Skills'!C19)</f>
        <v/>
      </c>
      <c r="E67" s="51" t="inlineStr"/>
      <c r="F67" s="51" t="inlineStr"/>
      <c r="G67" s="51" t="inlineStr"/>
      <c r="H67" s="45" t="inlineStr"/>
      <c r="I67" s="51" t="inlineStr"/>
      <c r="J67" s="51" t="inlineStr"/>
      <c r="K67" s="51" t="inlineStr"/>
      <c r="L67" s="51" t="inlineStr"/>
      <c r="M67" s="51" t="inlineStr"/>
      <c r="N67" s="51" t="inlineStr"/>
      <c r="O67" s="51" t="inlineStr"/>
      <c r="P67" s="51" t="inlineStr"/>
      <c r="Q67" s="51" t="inlineStr"/>
      <c r="R67" s="51" t="inlineStr"/>
      <c r="S67" s="51" t="inlineStr"/>
      <c r="T67" s="51" t="inlineStr"/>
      <c r="U67" s="52">
        <f>IF(A67="","",IFERROR(INDEX(E67:T67,MATCH(TRUE,INDEX(E67:T67&lt;&gt;"",0),0)),""))</f>
        <v/>
      </c>
      <c r="V67" s="52">
        <f>IF(A67="","",IFERROR(LOOKUP(2,1/(E67:T67&lt;&gt;""),E67:T67),""))</f>
        <v/>
      </c>
      <c r="W67" s="53">
        <f>IF(OR(A67="",PreviousYear=""),"",IFERROR(LOOKUP(2,1/(E67:T67&lt;&gt;""),E67:T67)-INDEX(E67:T67,MATCH(PreviousYear,$E$5:$T$5,0)),""))</f>
        <v/>
      </c>
      <c r="X67" s="53">
        <f>IF(OR(A67="",U67="",V67=""),"",V67-U67)</f>
        <v/>
      </c>
      <c r="Y67" s="52">
        <f>IF(A67="","",COUNT(E67:T67))</f>
        <v/>
      </c>
    </row>
    <row r="68">
      <c r="A68" s="43">
        <f>IF(AND('Employees'!B9&lt;&gt;"",'Skills'!B20&lt;&gt;""),'Employees'!B9,"")</f>
        <v/>
      </c>
      <c r="B68" s="44">
        <f>IF(A68="","",'Employees'!C9)</f>
        <v/>
      </c>
      <c r="C68" s="50">
        <f>IF(A68="","",'Skills'!B20)</f>
        <v/>
      </c>
      <c r="D68" s="44">
        <f>IF(A68="","",'Skills'!C20)</f>
        <v/>
      </c>
      <c r="E68" s="51" t="inlineStr"/>
      <c r="F68" s="51" t="inlineStr"/>
      <c r="G68" s="51" t="inlineStr"/>
      <c r="H68" s="45" t="inlineStr"/>
      <c r="I68" s="51" t="inlineStr"/>
      <c r="J68" s="51" t="inlineStr"/>
      <c r="K68" s="51" t="inlineStr"/>
      <c r="L68" s="51" t="inlineStr"/>
      <c r="M68" s="51" t="inlineStr"/>
      <c r="N68" s="51" t="inlineStr"/>
      <c r="O68" s="51" t="inlineStr"/>
      <c r="P68" s="51" t="inlineStr"/>
      <c r="Q68" s="51" t="inlineStr"/>
      <c r="R68" s="51" t="inlineStr"/>
      <c r="S68" s="51" t="inlineStr"/>
      <c r="T68" s="51" t="inlineStr"/>
      <c r="U68" s="52">
        <f>IF(A68="","",IFERROR(INDEX(E68:T68,MATCH(TRUE,INDEX(E68:T68&lt;&gt;"",0),0)),""))</f>
        <v/>
      </c>
      <c r="V68" s="52">
        <f>IF(A68="","",IFERROR(LOOKUP(2,1/(E68:T68&lt;&gt;""),E68:T68),""))</f>
        <v/>
      </c>
      <c r="W68" s="53">
        <f>IF(OR(A68="",PreviousYear=""),"",IFERROR(LOOKUP(2,1/(E68:T68&lt;&gt;""),E68:T68)-INDEX(E68:T68,MATCH(PreviousYear,$E$5:$T$5,0)),""))</f>
        <v/>
      </c>
      <c r="X68" s="53">
        <f>IF(OR(A68="",U68="",V68=""),"",V68-U68)</f>
        <v/>
      </c>
      <c r="Y68" s="52">
        <f>IF(A68="","",COUNT(E68:T68))</f>
        <v/>
      </c>
    </row>
    <row r="69">
      <c r="A69" s="43">
        <f>IF(AND('Employees'!B9&lt;&gt;"",'Skills'!B21&lt;&gt;""),'Employees'!B9,"")</f>
        <v/>
      </c>
      <c r="B69" s="44">
        <f>IF(A69="","",'Employees'!C9)</f>
        <v/>
      </c>
      <c r="C69" s="50">
        <f>IF(A69="","",'Skills'!B21)</f>
        <v/>
      </c>
      <c r="D69" s="44">
        <f>IF(A69="","",'Skills'!C21)</f>
        <v/>
      </c>
      <c r="E69" s="51" t="inlineStr"/>
      <c r="F69" s="51" t="inlineStr"/>
      <c r="G69" s="51" t="inlineStr"/>
      <c r="H69" s="45" t="inlineStr"/>
      <c r="I69" s="51" t="inlineStr"/>
      <c r="J69" s="51" t="inlineStr"/>
      <c r="K69" s="51" t="inlineStr"/>
      <c r="L69" s="51" t="inlineStr"/>
      <c r="M69" s="51" t="inlineStr"/>
      <c r="N69" s="51" t="inlineStr"/>
      <c r="O69" s="51" t="inlineStr"/>
      <c r="P69" s="51" t="inlineStr"/>
      <c r="Q69" s="51" t="inlineStr"/>
      <c r="R69" s="51" t="inlineStr"/>
      <c r="S69" s="51" t="inlineStr"/>
      <c r="T69" s="51" t="inlineStr"/>
      <c r="U69" s="52">
        <f>IF(A69="","",IFERROR(INDEX(E69:T69,MATCH(TRUE,INDEX(E69:T69&lt;&gt;"",0),0)),""))</f>
        <v/>
      </c>
      <c r="V69" s="52">
        <f>IF(A69="","",IFERROR(LOOKUP(2,1/(E69:T69&lt;&gt;""),E69:T69),""))</f>
        <v/>
      </c>
      <c r="W69" s="53">
        <f>IF(OR(A69="",PreviousYear=""),"",IFERROR(LOOKUP(2,1/(E69:T69&lt;&gt;""),E69:T69)-INDEX(E69:T69,MATCH(PreviousYear,$E$5:$T$5,0)),""))</f>
        <v/>
      </c>
      <c r="X69" s="53">
        <f>IF(OR(A69="",U69="",V69=""),"",V69-U69)</f>
        <v/>
      </c>
      <c r="Y69" s="52">
        <f>IF(A69="","",COUNT(E69:T69))</f>
        <v/>
      </c>
    </row>
    <row r="70">
      <c r="A70" s="43">
        <f>IF(AND('Employees'!B10&lt;&gt;"",'Skills'!B6&lt;&gt;""),'Employees'!B10,"")</f>
        <v/>
      </c>
      <c r="B70" s="44">
        <f>IF(A70="","",'Employees'!C10)</f>
        <v/>
      </c>
      <c r="C70" s="50">
        <f>IF(A70="","",'Skills'!B6)</f>
        <v/>
      </c>
      <c r="D70" s="44">
        <f>IF(A70="","",'Skills'!C6)</f>
        <v/>
      </c>
      <c r="E70" s="51" t="inlineStr"/>
      <c r="F70" s="51" t="n">
        <v>1</v>
      </c>
      <c r="G70" s="51" t="n">
        <v>1</v>
      </c>
      <c r="H70" s="45" t="n">
        <v>2</v>
      </c>
      <c r="I70" s="51" t="inlineStr"/>
      <c r="J70" s="51" t="inlineStr"/>
      <c r="K70" s="51" t="inlineStr"/>
      <c r="L70" s="51" t="inlineStr"/>
      <c r="M70" s="51" t="inlineStr"/>
      <c r="N70" s="51" t="inlineStr"/>
      <c r="O70" s="51" t="inlineStr"/>
      <c r="P70" s="51" t="inlineStr"/>
      <c r="Q70" s="51" t="inlineStr"/>
      <c r="R70" s="51" t="inlineStr"/>
      <c r="S70" s="51" t="inlineStr"/>
      <c r="T70" s="51" t="inlineStr"/>
      <c r="U70" s="52">
        <f>IF(A70="","",IFERROR(INDEX(E70:T70,MATCH(TRUE,INDEX(E70:T70&lt;&gt;"",0),0)),""))</f>
        <v/>
      </c>
      <c r="V70" s="52">
        <f>IF(A70="","",IFERROR(LOOKUP(2,1/(E70:T70&lt;&gt;""),E70:T70),""))</f>
        <v/>
      </c>
      <c r="W70" s="53">
        <f>IF(OR(A70="",PreviousYear=""),"",IFERROR(LOOKUP(2,1/(E70:T70&lt;&gt;""),E70:T70)-INDEX(E70:T70,MATCH(PreviousYear,$E$5:$T$5,0)),""))</f>
        <v/>
      </c>
      <c r="X70" s="53">
        <f>IF(OR(A70="",U70="",V70=""),"",V70-U70)</f>
        <v/>
      </c>
      <c r="Y70" s="52">
        <f>IF(A70="","",COUNT(E70:T70))</f>
        <v/>
      </c>
    </row>
    <row r="71">
      <c r="A71" s="43">
        <f>IF(AND('Employees'!B10&lt;&gt;"",'Skills'!B7&lt;&gt;""),'Employees'!B10,"")</f>
        <v/>
      </c>
      <c r="B71" s="44">
        <f>IF(A71="","",'Employees'!C10)</f>
        <v/>
      </c>
      <c r="C71" s="50">
        <f>IF(A71="","",'Skills'!B7)</f>
        <v/>
      </c>
      <c r="D71" s="44">
        <f>IF(A71="","",'Skills'!C7)</f>
        <v/>
      </c>
      <c r="E71" s="51" t="inlineStr"/>
      <c r="F71" s="51" t="n">
        <v>1</v>
      </c>
      <c r="G71" s="51" t="n">
        <v>1</v>
      </c>
      <c r="H71" s="45" t="n">
        <v>2</v>
      </c>
      <c r="I71" s="51" t="inlineStr"/>
      <c r="J71" s="51" t="inlineStr"/>
      <c r="K71" s="51" t="inlineStr"/>
      <c r="L71" s="51" t="inlineStr"/>
      <c r="M71" s="51" t="inlineStr"/>
      <c r="N71" s="51" t="inlineStr"/>
      <c r="O71" s="51" t="inlineStr"/>
      <c r="P71" s="51" t="inlineStr"/>
      <c r="Q71" s="51" t="inlineStr"/>
      <c r="R71" s="51" t="inlineStr"/>
      <c r="S71" s="51" t="inlineStr"/>
      <c r="T71" s="51" t="inlineStr"/>
      <c r="U71" s="52">
        <f>IF(A71="","",IFERROR(INDEX(E71:T71,MATCH(TRUE,INDEX(E71:T71&lt;&gt;"",0),0)),""))</f>
        <v/>
      </c>
      <c r="V71" s="52">
        <f>IF(A71="","",IFERROR(LOOKUP(2,1/(E71:T71&lt;&gt;""),E71:T71),""))</f>
        <v/>
      </c>
      <c r="W71" s="53">
        <f>IF(OR(A71="",PreviousYear=""),"",IFERROR(LOOKUP(2,1/(E71:T71&lt;&gt;""),E71:T71)-INDEX(E71:T71,MATCH(PreviousYear,$E$5:$T$5,0)),""))</f>
        <v/>
      </c>
      <c r="X71" s="53">
        <f>IF(OR(A71="",U71="",V71=""),"",V71-U71)</f>
        <v/>
      </c>
      <c r="Y71" s="52">
        <f>IF(A71="","",COUNT(E71:T71))</f>
        <v/>
      </c>
    </row>
    <row r="72">
      <c r="A72" s="43">
        <f>IF(AND('Employees'!B10&lt;&gt;"",'Skills'!B8&lt;&gt;""),'Employees'!B10,"")</f>
        <v/>
      </c>
      <c r="B72" s="44">
        <f>IF(A72="","",'Employees'!C10)</f>
        <v/>
      </c>
      <c r="C72" s="50">
        <f>IF(A72="","",'Skills'!B8)</f>
        <v/>
      </c>
      <c r="D72" s="44">
        <f>IF(A72="","",'Skills'!C8)</f>
        <v/>
      </c>
      <c r="E72" s="51" t="inlineStr"/>
      <c r="F72" s="51" t="n">
        <v>1</v>
      </c>
      <c r="G72" s="51" t="n">
        <v>1</v>
      </c>
      <c r="H72" s="45" t="n">
        <v>2</v>
      </c>
      <c r="I72" s="51" t="inlineStr"/>
      <c r="J72" s="51" t="inlineStr"/>
      <c r="K72" s="51" t="inlineStr"/>
      <c r="L72" s="51" t="inlineStr"/>
      <c r="M72" s="51" t="inlineStr"/>
      <c r="N72" s="51" t="inlineStr"/>
      <c r="O72" s="51" t="inlineStr"/>
      <c r="P72" s="51" t="inlineStr"/>
      <c r="Q72" s="51" t="inlineStr"/>
      <c r="R72" s="51" t="inlineStr"/>
      <c r="S72" s="51" t="inlineStr"/>
      <c r="T72" s="51" t="inlineStr"/>
      <c r="U72" s="52">
        <f>IF(A72="","",IFERROR(INDEX(E72:T72,MATCH(TRUE,INDEX(E72:T72&lt;&gt;"",0),0)),""))</f>
        <v/>
      </c>
      <c r="V72" s="52">
        <f>IF(A72="","",IFERROR(LOOKUP(2,1/(E72:T72&lt;&gt;""),E72:T72),""))</f>
        <v/>
      </c>
      <c r="W72" s="53">
        <f>IF(OR(A72="",PreviousYear=""),"",IFERROR(LOOKUP(2,1/(E72:T72&lt;&gt;""),E72:T72)-INDEX(E72:T72,MATCH(PreviousYear,$E$5:$T$5,0)),""))</f>
        <v/>
      </c>
      <c r="X72" s="53">
        <f>IF(OR(A72="",U72="",V72=""),"",V72-U72)</f>
        <v/>
      </c>
      <c r="Y72" s="52">
        <f>IF(A72="","",COUNT(E72:T72))</f>
        <v/>
      </c>
    </row>
    <row r="73">
      <c r="A73" s="43">
        <f>IF(AND('Employees'!B10&lt;&gt;"",'Skills'!B9&lt;&gt;""),'Employees'!B10,"")</f>
        <v/>
      </c>
      <c r="B73" s="44">
        <f>IF(A73="","",'Employees'!C10)</f>
        <v/>
      </c>
      <c r="C73" s="50">
        <f>IF(A73="","",'Skills'!B9)</f>
        <v/>
      </c>
      <c r="D73" s="44">
        <f>IF(A73="","",'Skills'!C9)</f>
        <v/>
      </c>
      <c r="E73" s="51" t="inlineStr"/>
      <c r="F73" s="51" t="n">
        <v>1</v>
      </c>
      <c r="G73" s="51" t="n">
        <v>1</v>
      </c>
      <c r="H73" s="45" t="n">
        <v>2</v>
      </c>
      <c r="I73" s="51" t="inlineStr"/>
      <c r="J73" s="51" t="inlineStr"/>
      <c r="K73" s="51" t="inlineStr"/>
      <c r="L73" s="51" t="inlineStr"/>
      <c r="M73" s="51" t="inlineStr"/>
      <c r="N73" s="51" t="inlineStr"/>
      <c r="O73" s="51" t="inlineStr"/>
      <c r="P73" s="51" t="inlineStr"/>
      <c r="Q73" s="51" t="inlineStr"/>
      <c r="R73" s="51" t="inlineStr"/>
      <c r="S73" s="51" t="inlineStr"/>
      <c r="T73" s="51" t="inlineStr"/>
      <c r="U73" s="52">
        <f>IF(A73="","",IFERROR(INDEX(E73:T73,MATCH(TRUE,INDEX(E73:T73&lt;&gt;"",0),0)),""))</f>
        <v/>
      </c>
      <c r="V73" s="52">
        <f>IF(A73="","",IFERROR(LOOKUP(2,1/(E73:T73&lt;&gt;""),E73:T73),""))</f>
        <v/>
      </c>
      <c r="W73" s="53">
        <f>IF(OR(A73="",PreviousYear=""),"",IFERROR(LOOKUP(2,1/(E73:T73&lt;&gt;""),E73:T73)-INDEX(E73:T73,MATCH(PreviousYear,$E$5:$T$5,0)),""))</f>
        <v/>
      </c>
      <c r="X73" s="53">
        <f>IF(OR(A73="",U73="",V73=""),"",V73-U73)</f>
        <v/>
      </c>
      <c r="Y73" s="52">
        <f>IF(A73="","",COUNT(E73:T73))</f>
        <v/>
      </c>
    </row>
    <row r="74">
      <c r="A74" s="43">
        <f>IF(AND('Employees'!B10&lt;&gt;"",'Skills'!B10&lt;&gt;""),'Employees'!B10,"")</f>
        <v/>
      </c>
      <c r="B74" s="44">
        <f>IF(A74="","",'Employees'!C10)</f>
        <v/>
      </c>
      <c r="C74" s="50">
        <f>IF(A74="","",'Skills'!B10)</f>
        <v/>
      </c>
      <c r="D74" s="44">
        <f>IF(A74="","",'Skills'!C10)</f>
        <v/>
      </c>
      <c r="E74" s="51" t="inlineStr"/>
      <c r="F74" s="51" t="n">
        <v>1</v>
      </c>
      <c r="G74" s="51" t="n">
        <v>1</v>
      </c>
      <c r="H74" s="45" t="n">
        <v>2</v>
      </c>
      <c r="I74" s="51" t="inlineStr"/>
      <c r="J74" s="51" t="inlineStr"/>
      <c r="K74" s="51" t="inlineStr"/>
      <c r="L74" s="51" t="inlineStr"/>
      <c r="M74" s="51" t="inlineStr"/>
      <c r="N74" s="51" t="inlineStr"/>
      <c r="O74" s="51" t="inlineStr"/>
      <c r="P74" s="51" t="inlineStr"/>
      <c r="Q74" s="51" t="inlineStr"/>
      <c r="R74" s="51" t="inlineStr"/>
      <c r="S74" s="51" t="inlineStr"/>
      <c r="T74" s="51" t="inlineStr"/>
      <c r="U74" s="52">
        <f>IF(A74="","",IFERROR(INDEX(E74:T74,MATCH(TRUE,INDEX(E74:T74&lt;&gt;"",0),0)),""))</f>
        <v/>
      </c>
      <c r="V74" s="52">
        <f>IF(A74="","",IFERROR(LOOKUP(2,1/(E74:T74&lt;&gt;""),E74:T74),""))</f>
        <v/>
      </c>
      <c r="W74" s="53">
        <f>IF(OR(A74="",PreviousYear=""),"",IFERROR(LOOKUP(2,1/(E74:T74&lt;&gt;""),E74:T74)-INDEX(E74:T74,MATCH(PreviousYear,$E$5:$T$5,0)),""))</f>
        <v/>
      </c>
      <c r="X74" s="53">
        <f>IF(OR(A74="",U74="",V74=""),"",V74-U74)</f>
        <v/>
      </c>
      <c r="Y74" s="52">
        <f>IF(A74="","",COUNT(E74:T74))</f>
        <v/>
      </c>
    </row>
    <row r="75">
      <c r="A75" s="43">
        <f>IF(AND('Employees'!B10&lt;&gt;"",'Skills'!B11&lt;&gt;""),'Employees'!B10,"")</f>
        <v/>
      </c>
      <c r="B75" s="44">
        <f>IF(A75="","",'Employees'!C10)</f>
        <v/>
      </c>
      <c r="C75" s="50">
        <f>IF(A75="","",'Skills'!B11)</f>
        <v/>
      </c>
      <c r="D75" s="44">
        <f>IF(A75="","",'Skills'!C11)</f>
        <v/>
      </c>
      <c r="E75" s="51" t="inlineStr"/>
      <c r="F75" s="51" t="n">
        <v>1</v>
      </c>
      <c r="G75" s="51" t="n">
        <v>1</v>
      </c>
      <c r="H75" s="45" t="n">
        <v>2</v>
      </c>
      <c r="I75" s="51" t="inlineStr"/>
      <c r="J75" s="51" t="inlineStr"/>
      <c r="K75" s="51" t="inlineStr"/>
      <c r="L75" s="51" t="inlineStr"/>
      <c r="M75" s="51" t="inlineStr"/>
      <c r="N75" s="51" t="inlineStr"/>
      <c r="O75" s="51" t="inlineStr"/>
      <c r="P75" s="51" t="inlineStr"/>
      <c r="Q75" s="51" t="inlineStr"/>
      <c r="R75" s="51" t="inlineStr"/>
      <c r="S75" s="51" t="inlineStr"/>
      <c r="T75" s="51" t="inlineStr"/>
      <c r="U75" s="52">
        <f>IF(A75="","",IFERROR(INDEX(E75:T75,MATCH(TRUE,INDEX(E75:T75&lt;&gt;"",0),0)),""))</f>
        <v/>
      </c>
      <c r="V75" s="52">
        <f>IF(A75="","",IFERROR(LOOKUP(2,1/(E75:T75&lt;&gt;""),E75:T75),""))</f>
        <v/>
      </c>
      <c r="W75" s="53">
        <f>IF(OR(A75="",PreviousYear=""),"",IFERROR(LOOKUP(2,1/(E75:T75&lt;&gt;""),E75:T75)-INDEX(E75:T75,MATCH(PreviousYear,$E$5:$T$5,0)),""))</f>
        <v/>
      </c>
      <c r="X75" s="53">
        <f>IF(OR(A75="",U75="",V75=""),"",V75-U75)</f>
        <v/>
      </c>
      <c r="Y75" s="52">
        <f>IF(A75="","",COUNT(E75:T75))</f>
        <v/>
      </c>
    </row>
    <row r="76">
      <c r="A76" s="43">
        <f>IF(AND('Employees'!B10&lt;&gt;"",'Skills'!B12&lt;&gt;""),'Employees'!B10,"")</f>
        <v/>
      </c>
      <c r="B76" s="44">
        <f>IF(A76="","",'Employees'!C10)</f>
        <v/>
      </c>
      <c r="C76" s="50">
        <f>IF(A76="","",'Skills'!B12)</f>
        <v/>
      </c>
      <c r="D76" s="44">
        <f>IF(A76="","",'Skills'!C12)</f>
        <v/>
      </c>
      <c r="E76" s="51" t="inlineStr"/>
      <c r="F76" s="51" t="n">
        <v>2</v>
      </c>
      <c r="G76" s="51" t="n">
        <v>2</v>
      </c>
      <c r="H76" s="45" t="n">
        <v>3</v>
      </c>
      <c r="I76" s="51" t="inlineStr"/>
      <c r="J76" s="51" t="inlineStr"/>
      <c r="K76" s="51" t="inlineStr"/>
      <c r="L76" s="51" t="inlineStr"/>
      <c r="M76" s="51" t="inlineStr"/>
      <c r="N76" s="51" t="inlineStr"/>
      <c r="O76" s="51" t="inlineStr"/>
      <c r="P76" s="51" t="inlineStr"/>
      <c r="Q76" s="51" t="inlineStr"/>
      <c r="R76" s="51" t="inlineStr"/>
      <c r="S76" s="51" t="inlineStr"/>
      <c r="T76" s="51" t="inlineStr"/>
      <c r="U76" s="52">
        <f>IF(A76="","",IFERROR(INDEX(E76:T76,MATCH(TRUE,INDEX(E76:T76&lt;&gt;"",0),0)),""))</f>
        <v/>
      </c>
      <c r="V76" s="52">
        <f>IF(A76="","",IFERROR(LOOKUP(2,1/(E76:T76&lt;&gt;""),E76:T76),""))</f>
        <v/>
      </c>
      <c r="W76" s="53">
        <f>IF(OR(A76="",PreviousYear=""),"",IFERROR(LOOKUP(2,1/(E76:T76&lt;&gt;""),E76:T76)-INDEX(E76:T76,MATCH(PreviousYear,$E$5:$T$5,0)),""))</f>
        <v/>
      </c>
      <c r="X76" s="53">
        <f>IF(OR(A76="",U76="",V76=""),"",V76-U76)</f>
        <v/>
      </c>
      <c r="Y76" s="52">
        <f>IF(A76="","",COUNT(E76:T76))</f>
        <v/>
      </c>
    </row>
    <row r="77">
      <c r="A77" s="43">
        <f>IF(AND('Employees'!B10&lt;&gt;"",'Skills'!B13&lt;&gt;""),'Employees'!B10,"")</f>
        <v/>
      </c>
      <c r="B77" s="44">
        <f>IF(A77="","",'Employees'!C10)</f>
        <v/>
      </c>
      <c r="C77" s="50">
        <f>IF(A77="","",'Skills'!B13)</f>
        <v/>
      </c>
      <c r="D77" s="44">
        <f>IF(A77="","",'Skills'!C13)</f>
        <v/>
      </c>
      <c r="E77" s="51" t="inlineStr"/>
      <c r="F77" s="51" t="n">
        <v>3</v>
      </c>
      <c r="G77" s="51" t="n">
        <v>3</v>
      </c>
      <c r="H77" s="45" t="n">
        <v>4</v>
      </c>
      <c r="I77" s="51" t="inlineStr"/>
      <c r="J77" s="51" t="inlineStr"/>
      <c r="K77" s="51" t="inlineStr"/>
      <c r="L77" s="51" t="inlineStr"/>
      <c r="M77" s="51" t="inlineStr"/>
      <c r="N77" s="51" t="inlineStr"/>
      <c r="O77" s="51" t="inlineStr"/>
      <c r="P77" s="51" t="inlineStr"/>
      <c r="Q77" s="51" t="inlineStr"/>
      <c r="R77" s="51" t="inlineStr"/>
      <c r="S77" s="51" t="inlineStr"/>
      <c r="T77" s="51" t="inlineStr"/>
      <c r="U77" s="52">
        <f>IF(A77="","",IFERROR(INDEX(E77:T77,MATCH(TRUE,INDEX(E77:T77&lt;&gt;"",0),0)),""))</f>
        <v/>
      </c>
      <c r="V77" s="52">
        <f>IF(A77="","",IFERROR(LOOKUP(2,1/(E77:T77&lt;&gt;""),E77:T77),""))</f>
        <v/>
      </c>
      <c r="W77" s="53">
        <f>IF(OR(A77="",PreviousYear=""),"",IFERROR(LOOKUP(2,1/(E77:T77&lt;&gt;""),E77:T77)-INDEX(E77:T77,MATCH(PreviousYear,$E$5:$T$5,0)),""))</f>
        <v/>
      </c>
      <c r="X77" s="53">
        <f>IF(OR(A77="",U77="",V77=""),"",V77-U77)</f>
        <v/>
      </c>
      <c r="Y77" s="52">
        <f>IF(A77="","",COUNT(E77:T77))</f>
        <v/>
      </c>
    </row>
    <row r="78">
      <c r="A78" s="43">
        <f>IF(AND('Employees'!B10&lt;&gt;"",'Skills'!B14&lt;&gt;""),'Employees'!B10,"")</f>
        <v/>
      </c>
      <c r="B78" s="44">
        <f>IF(A78="","",'Employees'!C10)</f>
        <v/>
      </c>
      <c r="C78" s="50">
        <f>IF(A78="","",'Skills'!B14)</f>
        <v/>
      </c>
      <c r="D78" s="44">
        <f>IF(A78="","",'Skills'!C14)</f>
        <v/>
      </c>
      <c r="E78" s="51" t="inlineStr"/>
      <c r="F78" s="51" t="n">
        <v>3</v>
      </c>
      <c r="G78" s="51" t="n">
        <v>4</v>
      </c>
      <c r="H78" s="45" t="n">
        <v>5</v>
      </c>
      <c r="I78" s="51" t="inlineStr"/>
      <c r="J78" s="51" t="inlineStr"/>
      <c r="K78" s="51" t="inlineStr"/>
      <c r="L78" s="51" t="inlineStr"/>
      <c r="M78" s="51" t="inlineStr"/>
      <c r="N78" s="51" t="inlineStr"/>
      <c r="O78" s="51" t="inlineStr"/>
      <c r="P78" s="51" t="inlineStr"/>
      <c r="Q78" s="51" t="inlineStr"/>
      <c r="R78" s="51" t="inlineStr"/>
      <c r="S78" s="51" t="inlineStr"/>
      <c r="T78" s="51" t="inlineStr"/>
      <c r="U78" s="52">
        <f>IF(A78="","",IFERROR(INDEX(E78:T78,MATCH(TRUE,INDEX(E78:T78&lt;&gt;"",0),0)),""))</f>
        <v/>
      </c>
      <c r="V78" s="52">
        <f>IF(A78="","",IFERROR(LOOKUP(2,1/(E78:T78&lt;&gt;""),E78:T78),""))</f>
        <v/>
      </c>
      <c r="W78" s="53">
        <f>IF(OR(A78="",PreviousYear=""),"",IFERROR(LOOKUP(2,1/(E78:T78&lt;&gt;""),E78:T78)-INDEX(E78:T78,MATCH(PreviousYear,$E$5:$T$5,0)),""))</f>
        <v/>
      </c>
      <c r="X78" s="53">
        <f>IF(OR(A78="",U78="",V78=""),"",V78-U78)</f>
        <v/>
      </c>
      <c r="Y78" s="52">
        <f>IF(A78="","",COUNT(E78:T78))</f>
        <v/>
      </c>
    </row>
    <row r="79">
      <c r="A79" s="43">
        <f>IF(AND('Employees'!B10&lt;&gt;"",'Skills'!B15&lt;&gt;""),'Employees'!B10,"")</f>
        <v/>
      </c>
      <c r="B79" s="44">
        <f>IF(A79="","",'Employees'!C10)</f>
        <v/>
      </c>
      <c r="C79" s="50">
        <f>IF(A79="","",'Skills'!B15)</f>
        <v/>
      </c>
      <c r="D79" s="44">
        <f>IF(A79="","",'Skills'!C15)</f>
        <v/>
      </c>
      <c r="E79" s="51" t="inlineStr"/>
      <c r="F79" s="51" t="n">
        <v>2</v>
      </c>
      <c r="G79" s="51" t="n">
        <v>2</v>
      </c>
      <c r="H79" s="45" t="n">
        <v>2</v>
      </c>
      <c r="I79" s="51" t="inlineStr"/>
      <c r="J79" s="51" t="inlineStr"/>
      <c r="K79" s="51" t="inlineStr"/>
      <c r="L79" s="51" t="inlineStr"/>
      <c r="M79" s="51" t="inlineStr"/>
      <c r="N79" s="51" t="inlineStr"/>
      <c r="O79" s="51" t="inlineStr"/>
      <c r="P79" s="51" t="inlineStr"/>
      <c r="Q79" s="51" t="inlineStr"/>
      <c r="R79" s="51" t="inlineStr"/>
      <c r="S79" s="51" t="inlineStr"/>
      <c r="T79" s="51" t="inlineStr"/>
      <c r="U79" s="52">
        <f>IF(A79="","",IFERROR(INDEX(E79:T79,MATCH(TRUE,INDEX(E79:T79&lt;&gt;"",0),0)),""))</f>
        <v/>
      </c>
      <c r="V79" s="52">
        <f>IF(A79="","",IFERROR(LOOKUP(2,1/(E79:T79&lt;&gt;""),E79:T79),""))</f>
        <v/>
      </c>
      <c r="W79" s="53">
        <f>IF(OR(A79="",PreviousYear=""),"",IFERROR(LOOKUP(2,1/(E79:T79&lt;&gt;""),E79:T79)-INDEX(E79:T79,MATCH(PreviousYear,$E$5:$T$5,0)),""))</f>
        <v/>
      </c>
      <c r="X79" s="53">
        <f>IF(OR(A79="",U79="",V79=""),"",V79-U79)</f>
        <v/>
      </c>
      <c r="Y79" s="52">
        <f>IF(A79="","",COUNT(E79:T79))</f>
        <v/>
      </c>
    </row>
    <row r="80">
      <c r="A80" s="43">
        <f>IF(AND('Employees'!B10&lt;&gt;"",'Skills'!B16&lt;&gt;""),'Employees'!B10,"")</f>
        <v/>
      </c>
      <c r="B80" s="44">
        <f>IF(A80="","",'Employees'!C10)</f>
        <v/>
      </c>
      <c r="C80" s="50">
        <f>IF(A80="","",'Skills'!B16)</f>
        <v/>
      </c>
      <c r="D80" s="44">
        <f>IF(A80="","",'Skills'!C16)</f>
        <v/>
      </c>
      <c r="E80" s="51" t="inlineStr"/>
      <c r="F80" s="51" t="inlineStr"/>
      <c r="G80" s="51" t="inlineStr"/>
      <c r="H80" s="45" t="inlineStr"/>
      <c r="I80" s="51" t="inlineStr"/>
      <c r="J80" s="51" t="inlineStr"/>
      <c r="K80" s="51" t="inlineStr"/>
      <c r="L80" s="51" t="inlineStr"/>
      <c r="M80" s="51" t="inlineStr"/>
      <c r="N80" s="51" t="inlineStr"/>
      <c r="O80" s="51" t="inlineStr"/>
      <c r="P80" s="51" t="inlineStr"/>
      <c r="Q80" s="51" t="inlineStr"/>
      <c r="R80" s="51" t="inlineStr"/>
      <c r="S80" s="51" t="inlineStr"/>
      <c r="T80" s="51" t="inlineStr"/>
      <c r="U80" s="52">
        <f>IF(A80="","",IFERROR(INDEX(E80:T80,MATCH(TRUE,INDEX(E80:T80&lt;&gt;"",0),0)),""))</f>
        <v/>
      </c>
      <c r="V80" s="52">
        <f>IF(A80="","",IFERROR(LOOKUP(2,1/(E80:T80&lt;&gt;""),E80:T80),""))</f>
        <v/>
      </c>
      <c r="W80" s="53">
        <f>IF(OR(A80="",PreviousYear=""),"",IFERROR(LOOKUP(2,1/(E80:T80&lt;&gt;""),E80:T80)-INDEX(E80:T80,MATCH(PreviousYear,$E$5:$T$5,0)),""))</f>
        <v/>
      </c>
      <c r="X80" s="53">
        <f>IF(OR(A80="",U80="",V80=""),"",V80-U80)</f>
        <v/>
      </c>
      <c r="Y80" s="52">
        <f>IF(A80="","",COUNT(E80:T80))</f>
        <v/>
      </c>
    </row>
    <row r="81">
      <c r="A81" s="43">
        <f>IF(AND('Employees'!B10&lt;&gt;"",'Skills'!B17&lt;&gt;""),'Employees'!B10,"")</f>
        <v/>
      </c>
      <c r="B81" s="44">
        <f>IF(A81="","",'Employees'!C10)</f>
        <v/>
      </c>
      <c r="C81" s="50">
        <f>IF(A81="","",'Skills'!B17)</f>
        <v/>
      </c>
      <c r="D81" s="44">
        <f>IF(A81="","",'Skills'!C17)</f>
        <v/>
      </c>
      <c r="E81" s="51" t="inlineStr"/>
      <c r="F81" s="51" t="inlineStr"/>
      <c r="G81" s="51" t="inlineStr"/>
      <c r="H81" s="45" t="inlineStr"/>
      <c r="I81" s="51" t="inlineStr"/>
      <c r="J81" s="51" t="inlineStr"/>
      <c r="K81" s="51" t="inlineStr"/>
      <c r="L81" s="51" t="inlineStr"/>
      <c r="M81" s="51" t="inlineStr"/>
      <c r="N81" s="51" t="inlineStr"/>
      <c r="O81" s="51" t="inlineStr"/>
      <c r="P81" s="51" t="inlineStr"/>
      <c r="Q81" s="51" t="inlineStr"/>
      <c r="R81" s="51" t="inlineStr"/>
      <c r="S81" s="51" t="inlineStr"/>
      <c r="T81" s="51" t="inlineStr"/>
      <c r="U81" s="52">
        <f>IF(A81="","",IFERROR(INDEX(E81:T81,MATCH(TRUE,INDEX(E81:T81&lt;&gt;"",0),0)),""))</f>
        <v/>
      </c>
      <c r="V81" s="52">
        <f>IF(A81="","",IFERROR(LOOKUP(2,1/(E81:T81&lt;&gt;""),E81:T81),""))</f>
        <v/>
      </c>
      <c r="W81" s="53">
        <f>IF(OR(A81="",PreviousYear=""),"",IFERROR(LOOKUP(2,1/(E81:T81&lt;&gt;""),E81:T81)-INDEX(E81:T81,MATCH(PreviousYear,$E$5:$T$5,0)),""))</f>
        <v/>
      </c>
      <c r="X81" s="53">
        <f>IF(OR(A81="",U81="",V81=""),"",V81-U81)</f>
        <v/>
      </c>
      <c r="Y81" s="52">
        <f>IF(A81="","",COUNT(E81:T81))</f>
        <v/>
      </c>
    </row>
    <row r="82">
      <c r="A82" s="43">
        <f>IF(AND('Employees'!B10&lt;&gt;"",'Skills'!B18&lt;&gt;""),'Employees'!B10,"")</f>
        <v/>
      </c>
      <c r="B82" s="44">
        <f>IF(A82="","",'Employees'!C10)</f>
        <v/>
      </c>
      <c r="C82" s="50">
        <f>IF(A82="","",'Skills'!B18)</f>
        <v/>
      </c>
      <c r="D82" s="44">
        <f>IF(A82="","",'Skills'!C18)</f>
        <v/>
      </c>
      <c r="E82" s="51" t="inlineStr"/>
      <c r="F82" s="51" t="inlineStr"/>
      <c r="G82" s="51" t="inlineStr"/>
      <c r="H82" s="45" t="inlineStr"/>
      <c r="I82" s="51" t="inlineStr"/>
      <c r="J82" s="51" t="inlineStr"/>
      <c r="K82" s="51" t="inlineStr"/>
      <c r="L82" s="51" t="inlineStr"/>
      <c r="M82" s="51" t="inlineStr"/>
      <c r="N82" s="51" t="inlineStr"/>
      <c r="O82" s="51" t="inlineStr"/>
      <c r="P82" s="51" t="inlineStr"/>
      <c r="Q82" s="51" t="inlineStr"/>
      <c r="R82" s="51" t="inlineStr"/>
      <c r="S82" s="51" t="inlineStr"/>
      <c r="T82" s="51" t="inlineStr"/>
      <c r="U82" s="52">
        <f>IF(A82="","",IFERROR(INDEX(E82:T82,MATCH(TRUE,INDEX(E82:T82&lt;&gt;"",0),0)),""))</f>
        <v/>
      </c>
      <c r="V82" s="52">
        <f>IF(A82="","",IFERROR(LOOKUP(2,1/(E82:T82&lt;&gt;""),E82:T82),""))</f>
        <v/>
      </c>
      <c r="W82" s="53">
        <f>IF(OR(A82="",PreviousYear=""),"",IFERROR(LOOKUP(2,1/(E82:T82&lt;&gt;""),E82:T82)-INDEX(E82:T82,MATCH(PreviousYear,$E$5:$T$5,0)),""))</f>
        <v/>
      </c>
      <c r="X82" s="53">
        <f>IF(OR(A82="",U82="",V82=""),"",V82-U82)</f>
        <v/>
      </c>
      <c r="Y82" s="52">
        <f>IF(A82="","",COUNT(E82:T82))</f>
        <v/>
      </c>
    </row>
    <row r="83">
      <c r="A83" s="43">
        <f>IF(AND('Employees'!B10&lt;&gt;"",'Skills'!B19&lt;&gt;""),'Employees'!B10,"")</f>
        <v/>
      </c>
      <c r="B83" s="44">
        <f>IF(A83="","",'Employees'!C10)</f>
        <v/>
      </c>
      <c r="C83" s="50">
        <f>IF(A83="","",'Skills'!B19)</f>
        <v/>
      </c>
      <c r="D83" s="44">
        <f>IF(A83="","",'Skills'!C19)</f>
        <v/>
      </c>
      <c r="E83" s="51" t="inlineStr"/>
      <c r="F83" s="51" t="inlineStr"/>
      <c r="G83" s="51" t="inlineStr"/>
      <c r="H83" s="45" t="inlineStr"/>
      <c r="I83" s="51" t="inlineStr"/>
      <c r="J83" s="51" t="inlineStr"/>
      <c r="K83" s="51" t="inlineStr"/>
      <c r="L83" s="51" t="inlineStr"/>
      <c r="M83" s="51" t="inlineStr"/>
      <c r="N83" s="51" t="inlineStr"/>
      <c r="O83" s="51" t="inlineStr"/>
      <c r="P83" s="51" t="inlineStr"/>
      <c r="Q83" s="51" t="inlineStr"/>
      <c r="R83" s="51" t="inlineStr"/>
      <c r="S83" s="51" t="inlineStr"/>
      <c r="T83" s="51" t="inlineStr"/>
      <c r="U83" s="52">
        <f>IF(A83="","",IFERROR(INDEX(E83:T83,MATCH(TRUE,INDEX(E83:T83&lt;&gt;"",0),0)),""))</f>
        <v/>
      </c>
      <c r="V83" s="52">
        <f>IF(A83="","",IFERROR(LOOKUP(2,1/(E83:T83&lt;&gt;""),E83:T83),""))</f>
        <v/>
      </c>
      <c r="W83" s="53">
        <f>IF(OR(A83="",PreviousYear=""),"",IFERROR(LOOKUP(2,1/(E83:T83&lt;&gt;""),E83:T83)-INDEX(E83:T83,MATCH(PreviousYear,$E$5:$T$5,0)),""))</f>
        <v/>
      </c>
      <c r="X83" s="53">
        <f>IF(OR(A83="",U83="",V83=""),"",V83-U83)</f>
        <v/>
      </c>
      <c r="Y83" s="52">
        <f>IF(A83="","",COUNT(E83:T83))</f>
        <v/>
      </c>
    </row>
    <row r="84">
      <c r="A84" s="43">
        <f>IF(AND('Employees'!B10&lt;&gt;"",'Skills'!B20&lt;&gt;""),'Employees'!B10,"")</f>
        <v/>
      </c>
      <c r="B84" s="44">
        <f>IF(A84="","",'Employees'!C10)</f>
        <v/>
      </c>
      <c r="C84" s="50">
        <f>IF(A84="","",'Skills'!B20)</f>
        <v/>
      </c>
      <c r="D84" s="44">
        <f>IF(A84="","",'Skills'!C20)</f>
        <v/>
      </c>
      <c r="E84" s="51" t="inlineStr"/>
      <c r="F84" s="51" t="inlineStr"/>
      <c r="G84" s="51" t="inlineStr"/>
      <c r="H84" s="45" t="inlineStr"/>
      <c r="I84" s="51" t="inlineStr"/>
      <c r="J84" s="51" t="inlineStr"/>
      <c r="K84" s="51" t="inlineStr"/>
      <c r="L84" s="51" t="inlineStr"/>
      <c r="M84" s="51" t="inlineStr"/>
      <c r="N84" s="51" t="inlineStr"/>
      <c r="O84" s="51" t="inlineStr"/>
      <c r="P84" s="51" t="inlineStr"/>
      <c r="Q84" s="51" t="inlineStr"/>
      <c r="R84" s="51" t="inlineStr"/>
      <c r="S84" s="51" t="inlineStr"/>
      <c r="T84" s="51" t="inlineStr"/>
      <c r="U84" s="52">
        <f>IF(A84="","",IFERROR(INDEX(E84:T84,MATCH(TRUE,INDEX(E84:T84&lt;&gt;"",0),0)),""))</f>
        <v/>
      </c>
      <c r="V84" s="52">
        <f>IF(A84="","",IFERROR(LOOKUP(2,1/(E84:T84&lt;&gt;""),E84:T84),""))</f>
        <v/>
      </c>
      <c r="W84" s="53">
        <f>IF(OR(A84="",PreviousYear=""),"",IFERROR(LOOKUP(2,1/(E84:T84&lt;&gt;""),E84:T84)-INDEX(E84:T84,MATCH(PreviousYear,$E$5:$T$5,0)),""))</f>
        <v/>
      </c>
      <c r="X84" s="53">
        <f>IF(OR(A84="",U84="",V84=""),"",V84-U84)</f>
        <v/>
      </c>
      <c r="Y84" s="52">
        <f>IF(A84="","",COUNT(E84:T84))</f>
        <v/>
      </c>
    </row>
    <row r="85">
      <c r="A85" s="43">
        <f>IF(AND('Employees'!B10&lt;&gt;"",'Skills'!B21&lt;&gt;""),'Employees'!B10,"")</f>
        <v/>
      </c>
      <c r="B85" s="44">
        <f>IF(A85="","",'Employees'!C10)</f>
        <v/>
      </c>
      <c r="C85" s="50">
        <f>IF(A85="","",'Skills'!B21)</f>
        <v/>
      </c>
      <c r="D85" s="44">
        <f>IF(A85="","",'Skills'!C21)</f>
        <v/>
      </c>
      <c r="E85" s="51" t="inlineStr"/>
      <c r="F85" s="51" t="inlineStr"/>
      <c r="G85" s="51" t="inlineStr"/>
      <c r="H85" s="45" t="inlineStr"/>
      <c r="I85" s="51" t="inlineStr"/>
      <c r="J85" s="51" t="inlineStr"/>
      <c r="K85" s="51" t="inlineStr"/>
      <c r="L85" s="51" t="inlineStr"/>
      <c r="M85" s="51" t="inlineStr"/>
      <c r="N85" s="51" t="inlineStr"/>
      <c r="O85" s="51" t="inlineStr"/>
      <c r="P85" s="51" t="inlineStr"/>
      <c r="Q85" s="51" t="inlineStr"/>
      <c r="R85" s="51" t="inlineStr"/>
      <c r="S85" s="51" t="inlineStr"/>
      <c r="T85" s="51" t="inlineStr"/>
      <c r="U85" s="52">
        <f>IF(A85="","",IFERROR(INDEX(E85:T85,MATCH(TRUE,INDEX(E85:T85&lt;&gt;"",0),0)),""))</f>
        <v/>
      </c>
      <c r="V85" s="52">
        <f>IF(A85="","",IFERROR(LOOKUP(2,1/(E85:T85&lt;&gt;""),E85:T85),""))</f>
        <v/>
      </c>
      <c r="W85" s="53">
        <f>IF(OR(A85="",PreviousYear=""),"",IFERROR(LOOKUP(2,1/(E85:T85&lt;&gt;""),E85:T85)-INDEX(E85:T85,MATCH(PreviousYear,$E$5:$T$5,0)),""))</f>
        <v/>
      </c>
      <c r="X85" s="53">
        <f>IF(OR(A85="",U85="",V85=""),"",V85-U85)</f>
        <v/>
      </c>
      <c r="Y85" s="52">
        <f>IF(A85="","",COUNT(E85:T85))</f>
        <v/>
      </c>
    </row>
    <row r="86">
      <c r="A86" s="43">
        <f>IF(AND('Employees'!B11&lt;&gt;"",'Skills'!B6&lt;&gt;""),'Employees'!B11,"")</f>
        <v/>
      </c>
      <c r="B86" s="44">
        <f>IF(A86="","",'Employees'!C11)</f>
        <v/>
      </c>
      <c r="C86" s="50">
        <f>IF(A86="","",'Skills'!B6)</f>
        <v/>
      </c>
      <c r="D86" s="44">
        <f>IF(A86="","",'Skills'!C6)</f>
        <v/>
      </c>
      <c r="E86" s="51" t="n">
        <v>1</v>
      </c>
      <c r="F86" s="51" t="n">
        <v>1</v>
      </c>
      <c r="G86" s="51" t="n">
        <v>1</v>
      </c>
      <c r="H86" s="45" t="n">
        <v>2</v>
      </c>
      <c r="I86" s="51" t="inlineStr"/>
      <c r="J86" s="51" t="inlineStr"/>
      <c r="K86" s="51" t="inlineStr"/>
      <c r="L86" s="51" t="inlineStr"/>
      <c r="M86" s="51" t="inlineStr"/>
      <c r="N86" s="51" t="inlineStr"/>
      <c r="O86" s="51" t="inlineStr"/>
      <c r="P86" s="51" t="inlineStr"/>
      <c r="Q86" s="51" t="inlineStr"/>
      <c r="R86" s="51" t="inlineStr"/>
      <c r="S86" s="51" t="inlineStr"/>
      <c r="T86" s="51" t="inlineStr"/>
      <c r="U86" s="52">
        <f>IF(A86="","",IFERROR(INDEX(E86:T86,MATCH(TRUE,INDEX(E86:T86&lt;&gt;"",0),0)),""))</f>
        <v/>
      </c>
      <c r="V86" s="52">
        <f>IF(A86="","",IFERROR(LOOKUP(2,1/(E86:T86&lt;&gt;""),E86:T86),""))</f>
        <v/>
      </c>
      <c r="W86" s="53">
        <f>IF(OR(A86="",PreviousYear=""),"",IFERROR(LOOKUP(2,1/(E86:T86&lt;&gt;""),E86:T86)-INDEX(E86:T86,MATCH(PreviousYear,$E$5:$T$5,0)),""))</f>
        <v/>
      </c>
      <c r="X86" s="53">
        <f>IF(OR(A86="",U86="",V86=""),"",V86-U86)</f>
        <v/>
      </c>
      <c r="Y86" s="52">
        <f>IF(A86="","",COUNT(E86:T86))</f>
        <v/>
      </c>
    </row>
    <row r="87">
      <c r="A87" s="43">
        <f>IF(AND('Employees'!B11&lt;&gt;"",'Skills'!B7&lt;&gt;""),'Employees'!B11,"")</f>
        <v/>
      </c>
      <c r="B87" s="44">
        <f>IF(A87="","",'Employees'!C11)</f>
        <v/>
      </c>
      <c r="C87" s="50">
        <f>IF(A87="","",'Skills'!B7)</f>
        <v/>
      </c>
      <c r="D87" s="44">
        <f>IF(A87="","",'Skills'!C7)</f>
        <v/>
      </c>
      <c r="E87" s="51" t="n">
        <v>1</v>
      </c>
      <c r="F87" s="51" t="n">
        <v>1</v>
      </c>
      <c r="G87" s="51" t="n">
        <v>2</v>
      </c>
      <c r="H87" s="45" t="n">
        <v>2</v>
      </c>
      <c r="I87" s="51" t="inlineStr"/>
      <c r="J87" s="51" t="inlineStr"/>
      <c r="K87" s="51" t="inlineStr"/>
      <c r="L87" s="51" t="inlineStr"/>
      <c r="M87" s="51" t="inlineStr"/>
      <c r="N87" s="51" t="inlineStr"/>
      <c r="O87" s="51" t="inlineStr"/>
      <c r="P87" s="51" t="inlineStr"/>
      <c r="Q87" s="51" t="inlineStr"/>
      <c r="R87" s="51" t="inlineStr"/>
      <c r="S87" s="51" t="inlineStr"/>
      <c r="T87" s="51" t="inlineStr"/>
      <c r="U87" s="52">
        <f>IF(A87="","",IFERROR(INDEX(E87:T87,MATCH(TRUE,INDEX(E87:T87&lt;&gt;"",0),0)),""))</f>
        <v/>
      </c>
      <c r="V87" s="52">
        <f>IF(A87="","",IFERROR(LOOKUP(2,1/(E87:T87&lt;&gt;""),E87:T87),""))</f>
        <v/>
      </c>
      <c r="W87" s="53">
        <f>IF(OR(A87="",PreviousYear=""),"",IFERROR(LOOKUP(2,1/(E87:T87&lt;&gt;""),E87:T87)-INDEX(E87:T87,MATCH(PreviousYear,$E$5:$T$5,0)),""))</f>
        <v/>
      </c>
      <c r="X87" s="53">
        <f>IF(OR(A87="",U87="",V87=""),"",V87-U87)</f>
        <v/>
      </c>
      <c r="Y87" s="52">
        <f>IF(A87="","",COUNT(E87:T87))</f>
        <v/>
      </c>
    </row>
    <row r="88">
      <c r="A88" s="43">
        <f>IF(AND('Employees'!B11&lt;&gt;"",'Skills'!B8&lt;&gt;""),'Employees'!B11,"")</f>
        <v/>
      </c>
      <c r="B88" s="44">
        <f>IF(A88="","",'Employees'!C11)</f>
        <v/>
      </c>
      <c r="C88" s="50">
        <f>IF(A88="","",'Skills'!B8)</f>
        <v/>
      </c>
      <c r="D88" s="44">
        <f>IF(A88="","",'Skills'!C8)</f>
        <v/>
      </c>
      <c r="E88" s="51" t="n">
        <v>1</v>
      </c>
      <c r="F88" s="51" t="n">
        <v>1</v>
      </c>
      <c r="G88" s="51" t="n">
        <v>1</v>
      </c>
      <c r="H88" s="45" t="n">
        <v>2</v>
      </c>
      <c r="I88" s="51" t="inlineStr"/>
      <c r="J88" s="51" t="inlineStr"/>
      <c r="K88" s="51" t="inlineStr"/>
      <c r="L88" s="51" t="inlineStr"/>
      <c r="M88" s="51" t="inlineStr"/>
      <c r="N88" s="51" t="inlineStr"/>
      <c r="O88" s="51" t="inlineStr"/>
      <c r="P88" s="51" t="inlineStr"/>
      <c r="Q88" s="51" t="inlineStr"/>
      <c r="R88" s="51" t="inlineStr"/>
      <c r="S88" s="51" t="inlineStr"/>
      <c r="T88" s="51" t="inlineStr"/>
      <c r="U88" s="52">
        <f>IF(A88="","",IFERROR(INDEX(E88:T88,MATCH(TRUE,INDEX(E88:T88&lt;&gt;"",0),0)),""))</f>
        <v/>
      </c>
      <c r="V88" s="52">
        <f>IF(A88="","",IFERROR(LOOKUP(2,1/(E88:T88&lt;&gt;""),E88:T88),""))</f>
        <v/>
      </c>
      <c r="W88" s="53">
        <f>IF(OR(A88="",PreviousYear=""),"",IFERROR(LOOKUP(2,1/(E88:T88&lt;&gt;""),E88:T88)-INDEX(E88:T88,MATCH(PreviousYear,$E$5:$T$5,0)),""))</f>
        <v/>
      </c>
      <c r="X88" s="53">
        <f>IF(OR(A88="",U88="",V88=""),"",V88-U88)</f>
        <v/>
      </c>
      <c r="Y88" s="52">
        <f>IF(A88="","",COUNT(E88:T88))</f>
        <v/>
      </c>
    </row>
    <row r="89">
      <c r="A89" s="43">
        <f>IF(AND('Employees'!B11&lt;&gt;"",'Skills'!B9&lt;&gt;""),'Employees'!B11,"")</f>
        <v/>
      </c>
      <c r="B89" s="44">
        <f>IF(A89="","",'Employees'!C11)</f>
        <v/>
      </c>
      <c r="C89" s="50">
        <f>IF(A89="","",'Skills'!B9)</f>
        <v/>
      </c>
      <c r="D89" s="44">
        <f>IF(A89="","",'Skills'!C9)</f>
        <v/>
      </c>
      <c r="E89" s="51" t="n">
        <v>1</v>
      </c>
      <c r="F89" s="51" t="n">
        <v>2</v>
      </c>
      <c r="G89" s="51" t="n">
        <v>2</v>
      </c>
      <c r="H89" s="45" t="n">
        <v>2</v>
      </c>
      <c r="I89" s="51" t="inlineStr"/>
      <c r="J89" s="51" t="inlineStr"/>
      <c r="K89" s="51" t="inlineStr"/>
      <c r="L89" s="51" t="inlineStr"/>
      <c r="M89" s="51" t="inlineStr"/>
      <c r="N89" s="51" t="inlineStr"/>
      <c r="O89" s="51" t="inlineStr"/>
      <c r="P89" s="51" t="inlineStr"/>
      <c r="Q89" s="51" t="inlineStr"/>
      <c r="R89" s="51" t="inlineStr"/>
      <c r="S89" s="51" t="inlineStr"/>
      <c r="T89" s="51" t="inlineStr"/>
      <c r="U89" s="52">
        <f>IF(A89="","",IFERROR(INDEX(E89:T89,MATCH(TRUE,INDEX(E89:T89&lt;&gt;"",0),0)),""))</f>
        <v/>
      </c>
      <c r="V89" s="52">
        <f>IF(A89="","",IFERROR(LOOKUP(2,1/(E89:T89&lt;&gt;""),E89:T89),""))</f>
        <v/>
      </c>
      <c r="W89" s="53">
        <f>IF(OR(A89="",PreviousYear=""),"",IFERROR(LOOKUP(2,1/(E89:T89&lt;&gt;""),E89:T89)-INDEX(E89:T89,MATCH(PreviousYear,$E$5:$T$5,0)),""))</f>
        <v/>
      </c>
      <c r="X89" s="53">
        <f>IF(OR(A89="",U89="",V89=""),"",V89-U89)</f>
        <v/>
      </c>
      <c r="Y89" s="52">
        <f>IF(A89="","",COUNT(E89:T89))</f>
        <v/>
      </c>
    </row>
    <row r="90">
      <c r="A90" s="43">
        <f>IF(AND('Employees'!B11&lt;&gt;"",'Skills'!B10&lt;&gt;""),'Employees'!B11,"")</f>
        <v/>
      </c>
      <c r="B90" s="44">
        <f>IF(A90="","",'Employees'!C11)</f>
        <v/>
      </c>
      <c r="C90" s="50">
        <f>IF(A90="","",'Skills'!B10)</f>
        <v/>
      </c>
      <c r="D90" s="44">
        <f>IF(A90="","",'Skills'!C10)</f>
        <v/>
      </c>
      <c r="E90" s="51" t="n">
        <v>1</v>
      </c>
      <c r="F90" s="51" t="n">
        <v>1</v>
      </c>
      <c r="G90" s="51" t="n">
        <v>1</v>
      </c>
      <c r="H90" s="45" t="n">
        <v>2</v>
      </c>
      <c r="I90" s="51" t="inlineStr"/>
      <c r="J90" s="51" t="inlineStr"/>
      <c r="K90" s="51" t="inlineStr"/>
      <c r="L90" s="51" t="inlineStr"/>
      <c r="M90" s="51" t="inlineStr"/>
      <c r="N90" s="51" t="inlineStr"/>
      <c r="O90" s="51" t="inlineStr"/>
      <c r="P90" s="51" t="inlineStr"/>
      <c r="Q90" s="51" t="inlineStr"/>
      <c r="R90" s="51" t="inlineStr"/>
      <c r="S90" s="51" t="inlineStr"/>
      <c r="T90" s="51" t="inlineStr"/>
      <c r="U90" s="52">
        <f>IF(A90="","",IFERROR(INDEX(E90:T90,MATCH(TRUE,INDEX(E90:T90&lt;&gt;"",0),0)),""))</f>
        <v/>
      </c>
      <c r="V90" s="52">
        <f>IF(A90="","",IFERROR(LOOKUP(2,1/(E90:T90&lt;&gt;""),E90:T90),""))</f>
        <v/>
      </c>
      <c r="W90" s="53">
        <f>IF(OR(A90="",PreviousYear=""),"",IFERROR(LOOKUP(2,1/(E90:T90&lt;&gt;""),E90:T90)-INDEX(E90:T90,MATCH(PreviousYear,$E$5:$T$5,0)),""))</f>
        <v/>
      </c>
      <c r="X90" s="53">
        <f>IF(OR(A90="",U90="",V90=""),"",V90-U90)</f>
        <v/>
      </c>
      <c r="Y90" s="52">
        <f>IF(A90="","",COUNT(E90:T90))</f>
        <v/>
      </c>
    </row>
    <row r="91">
      <c r="A91" s="43">
        <f>IF(AND('Employees'!B11&lt;&gt;"",'Skills'!B11&lt;&gt;""),'Employees'!B11,"")</f>
        <v/>
      </c>
      <c r="B91" s="44">
        <f>IF(A91="","",'Employees'!C11)</f>
        <v/>
      </c>
      <c r="C91" s="50">
        <f>IF(A91="","",'Skills'!B11)</f>
        <v/>
      </c>
      <c r="D91" s="44">
        <f>IF(A91="","",'Skills'!C11)</f>
        <v/>
      </c>
      <c r="E91" s="51" t="n">
        <v>1</v>
      </c>
      <c r="F91" s="51" t="n">
        <v>2</v>
      </c>
      <c r="G91" s="51" t="n">
        <v>2</v>
      </c>
      <c r="H91" s="45" t="n">
        <v>2</v>
      </c>
      <c r="I91" s="51" t="inlineStr"/>
      <c r="J91" s="51" t="inlineStr"/>
      <c r="K91" s="51" t="inlineStr"/>
      <c r="L91" s="51" t="inlineStr"/>
      <c r="M91" s="51" t="inlineStr"/>
      <c r="N91" s="51" t="inlineStr"/>
      <c r="O91" s="51" t="inlineStr"/>
      <c r="P91" s="51" t="inlineStr"/>
      <c r="Q91" s="51" t="inlineStr"/>
      <c r="R91" s="51" t="inlineStr"/>
      <c r="S91" s="51" t="inlineStr"/>
      <c r="T91" s="51" t="inlineStr"/>
      <c r="U91" s="52">
        <f>IF(A91="","",IFERROR(INDEX(E91:T91,MATCH(TRUE,INDEX(E91:T91&lt;&gt;"",0),0)),""))</f>
        <v/>
      </c>
      <c r="V91" s="52">
        <f>IF(A91="","",IFERROR(LOOKUP(2,1/(E91:T91&lt;&gt;""),E91:T91),""))</f>
        <v/>
      </c>
      <c r="W91" s="53">
        <f>IF(OR(A91="",PreviousYear=""),"",IFERROR(LOOKUP(2,1/(E91:T91&lt;&gt;""),E91:T91)-INDEX(E91:T91,MATCH(PreviousYear,$E$5:$T$5,0)),""))</f>
        <v/>
      </c>
      <c r="X91" s="53">
        <f>IF(OR(A91="",U91="",V91=""),"",V91-U91)</f>
        <v/>
      </c>
      <c r="Y91" s="52">
        <f>IF(A91="","",COUNT(E91:T91))</f>
        <v/>
      </c>
    </row>
    <row r="92">
      <c r="A92" s="43">
        <f>IF(AND('Employees'!B11&lt;&gt;"",'Skills'!B12&lt;&gt;""),'Employees'!B11,"")</f>
        <v/>
      </c>
      <c r="B92" s="44">
        <f>IF(A92="","",'Employees'!C11)</f>
        <v/>
      </c>
      <c r="C92" s="50">
        <f>IF(A92="","",'Skills'!B12)</f>
        <v/>
      </c>
      <c r="D92" s="44">
        <f>IF(A92="","",'Skills'!C12)</f>
        <v/>
      </c>
      <c r="E92" s="51" t="n">
        <v>3</v>
      </c>
      <c r="F92" s="51" t="n">
        <v>3</v>
      </c>
      <c r="G92" s="51" t="n">
        <v>3</v>
      </c>
      <c r="H92" s="45" t="n">
        <v>3</v>
      </c>
      <c r="I92" s="51" t="inlineStr"/>
      <c r="J92" s="51" t="inlineStr"/>
      <c r="K92" s="51" t="inlineStr"/>
      <c r="L92" s="51" t="inlineStr"/>
      <c r="M92" s="51" t="inlineStr"/>
      <c r="N92" s="51" t="inlineStr"/>
      <c r="O92" s="51" t="inlineStr"/>
      <c r="P92" s="51" t="inlineStr"/>
      <c r="Q92" s="51" t="inlineStr"/>
      <c r="R92" s="51" t="inlineStr"/>
      <c r="S92" s="51" t="inlineStr"/>
      <c r="T92" s="51" t="inlineStr"/>
      <c r="U92" s="52">
        <f>IF(A92="","",IFERROR(INDEX(E92:T92,MATCH(TRUE,INDEX(E92:T92&lt;&gt;"",0),0)),""))</f>
        <v/>
      </c>
      <c r="V92" s="52">
        <f>IF(A92="","",IFERROR(LOOKUP(2,1/(E92:T92&lt;&gt;""),E92:T92),""))</f>
        <v/>
      </c>
      <c r="W92" s="53">
        <f>IF(OR(A92="",PreviousYear=""),"",IFERROR(LOOKUP(2,1/(E92:T92&lt;&gt;""),E92:T92)-INDEX(E92:T92,MATCH(PreviousYear,$E$5:$T$5,0)),""))</f>
        <v/>
      </c>
      <c r="X92" s="53">
        <f>IF(OR(A92="",U92="",V92=""),"",V92-U92)</f>
        <v/>
      </c>
      <c r="Y92" s="52">
        <f>IF(A92="","",COUNT(E92:T92))</f>
        <v/>
      </c>
    </row>
    <row r="93">
      <c r="A93" s="43">
        <f>IF(AND('Employees'!B11&lt;&gt;"",'Skills'!B13&lt;&gt;""),'Employees'!B11,"")</f>
        <v/>
      </c>
      <c r="B93" s="44">
        <f>IF(A93="","",'Employees'!C11)</f>
        <v/>
      </c>
      <c r="C93" s="50">
        <f>IF(A93="","",'Skills'!B13)</f>
        <v/>
      </c>
      <c r="D93" s="44">
        <f>IF(A93="","",'Skills'!C13)</f>
        <v/>
      </c>
      <c r="E93" s="51" t="n">
        <v>1</v>
      </c>
      <c r="F93" s="51" t="n">
        <v>2</v>
      </c>
      <c r="G93" s="51" t="n">
        <v>3</v>
      </c>
      <c r="H93" s="45" t="n">
        <v>3</v>
      </c>
      <c r="I93" s="51" t="inlineStr"/>
      <c r="J93" s="51" t="inlineStr"/>
      <c r="K93" s="51" t="inlineStr"/>
      <c r="L93" s="51" t="inlineStr"/>
      <c r="M93" s="51" t="inlineStr"/>
      <c r="N93" s="51" t="inlineStr"/>
      <c r="O93" s="51" t="inlineStr"/>
      <c r="P93" s="51" t="inlineStr"/>
      <c r="Q93" s="51" t="inlineStr"/>
      <c r="R93" s="51" t="inlineStr"/>
      <c r="S93" s="51" t="inlineStr"/>
      <c r="T93" s="51" t="inlineStr"/>
      <c r="U93" s="52">
        <f>IF(A93="","",IFERROR(INDEX(E93:T93,MATCH(TRUE,INDEX(E93:T93&lt;&gt;"",0),0)),""))</f>
        <v/>
      </c>
      <c r="V93" s="52">
        <f>IF(A93="","",IFERROR(LOOKUP(2,1/(E93:T93&lt;&gt;""),E93:T93),""))</f>
        <v/>
      </c>
      <c r="W93" s="53">
        <f>IF(OR(A93="",PreviousYear=""),"",IFERROR(LOOKUP(2,1/(E93:T93&lt;&gt;""),E93:T93)-INDEX(E93:T93,MATCH(PreviousYear,$E$5:$T$5,0)),""))</f>
        <v/>
      </c>
      <c r="X93" s="53">
        <f>IF(OR(A93="",U93="",V93=""),"",V93-U93)</f>
        <v/>
      </c>
      <c r="Y93" s="52">
        <f>IF(A93="","",COUNT(E93:T93))</f>
        <v/>
      </c>
    </row>
    <row r="94">
      <c r="A94" s="43">
        <f>IF(AND('Employees'!B11&lt;&gt;"",'Skills'!B14&lt;&gt;""),'Employees'!B11,"")</f>
        <v/>
      </c>
      <c r="B94" s="44">
        <f>IF(A94="","",'Employees'!C11)</f>
        <v/>
      </c>
      <c r="C94" s="50">
        <f>IF(A94="","",'Skills'!B14)</f>
        <v/>
      </c>
      <c r="D94" s="44">
        <f>IF(A94="","",'Skills'!C14)</f>
        <v/>
      </c>
      <c r="E94" s="51" t="n">
        <v>3</v>
      </c>
      <c r="F94" s="51" t="n">
        <v>3</v>
      </c>
      <c r="G94" s="51" t="n">
        <v>3</v>
      </c>
      <c r="H94" s="45" t="n">
        <v>3</v>
      </c>
      <c r="I94" s="51" t="inlineStr"/>
      <c r="J94" s="51" t="inlineStr"/>
      <c r="K94" s="51" t="inlineStr"/>
      <c r="L94" s="51" t="inlineStr"/>
      <c r="M94" s="51" t="inlineStr"/>
      <c r="N94" s="51" t="inlineStr"/>
      <c r="O94" s="51" t="inlineStr"/>
      <c r="P94" s="51" t="inlineStr"/>
      <c r="Q94" s="51" t="inlineStr"/>
      <c r="R94" s="51" t="inlineStr"/>
      <c r="S94" s="51" t="inlineStr"/>
      <c r="T94" s="51" t="inlineStr"/>
      <c r="U94" s="52">
        <f>IF(A94="","",IFERROR(INDEX(E94:T94,MATCH(TRUE,INDEX(E94:T94&lt;&gt;"",0),0)),""))</f>
        <v/>
      </c>
      <c r="V94" s="52">
        <f>IF(A94="","",IFERROR(LOOKUP(2,1/(E94:T94&lt;&gt;""),E94:T94),""))</f>
        <v/>
      </c>
      <c r="W94" s="53">
        <f>IF(OR(A94="",PreviousYear=""),"",IFERROR(LOOKUP(2,1/(E94:T94&lt;&gt;""),E94:T94)-INDEX(E94:T94,MATCH(PreviousYear,$E$5:$T$5,0)),""))</f>
        <v/>
      </c>
      <c r="X94" s="53">
        <f>IF(OR(A94="",U94="",V94=""),"",V94-U94)</f>
        <v/>
      </c>
      <c r="Y94" s="52">
        <f>IF(A94="","",COUNT(E94:T94))</f>
        <v/>
      </c>
    </row>
    <row r="95">
      <c r="A95" s="43">
        <f>IF(AND('Employees'!B11&lt;&gt;"",'Skills'!B15&lt;&gt;""),'Employees'!B11,"")</f>
        <v/>
      </c>
      <c r="B95" s="44">
        <f>IF(A95="","",'Employees'!C11)</f>
        <v/>
      </c>
      <c r="C95" s="50">
        <f>IF(A95="","",'Skills'!B15)</f>
        <v/>
      </c>
      <c r="D95" s="44">
        <f>IF(A95="","",'Skills'!C15)</f>
        <v/>
      </c>
      <c r="E95" s="51" t="n">
        <v>3</v>
      </c>
      <c r="F95" s="51" t="n">
        <v>4</v>
      </c>
      <c r="G95" s="51" t="n">
        <v>4</v>
      </c>
      <c r="H95" s="45" t="n">
        <v>5</v>
      </c>
      <c r="I95" s="51" t="inlineStr"/>
      <c r="J95" s="51" t="inlineStr"/>
      <c r="K95" s="51" t="inlineStr"/>
      <c r="L95" s="51" t="inlineStr"/>
      <c r="M95" s="51" t="inlineStr"/>
      <c r="N95" s="51" t="inlineStr"/>
      <c r="O95" s="51" t="inlineStr"/>
      <c r="P95" s="51" t="inlineStr"/>
      <c r="Q95" s="51" t="inlineStr"/>
      <c r="R95" s="51" t="inlineStr"/>
      <c r="S95" s="51" t="inlineStr"/>
      <c r="T95" s="51" t="inlineStr"/>
      <c r="U95" s="52">
        <f>IF(A95="","",IFERROR(INDEX(E95:T95,MATCH(TRUE,INDEX(E95:T95&lt;&gt;"",0),0)),""))</f>
        <v/>
      </c>
      <c r="V95" s="52">
        <f>IF(A95="","",IFERROR(LOOKUP(2,1/(E95:T95&lt;&gt;""),E95:T95),""))</f>
        <v/>
      </c>
      <c r="W95" s="53">
        <f>IF(OR(A95="",PreviousYear=""),"",IFERROR(LOOKUP(2,1/(E95:T95&lt;&gt;""),E95:T95)-INDEX(E95:T95,MATCH(PreviousYear,$E$5:$T$5,0)),""))</f>
        <v/>
      </c>
      <c r="X95" s="53">
        <f>IF(OR(A95="",U95="",V95=""),"",V95-U95)</f>
        <v/>
      </c>
      <c r="Y95" s="52">
        <f>IF(A95="","",COUNT(E95:T95))</f>
        <v/>
      </c>
    </row>
    <row r="96">
      <c r="A96" s="43">
        <f>IF(AND('Employees'!B11&lt;&gt;"",'Skills'!B16&lt;&gt;""),'Employees'!B11,"")</f>
        <v/>
      </c>
      <c r="B96" s="44">
        <f>IF(A96="","",'Employees'!C11)</f>
        <v/>
      </c>
      <c r="C96" s="50">
        <f>IF(A96="","",'Skills'!B16)</f>
        <v/>
      </c>
      <c r="D96" s="44">
        <f>IF(A96="","",'Skills'!C16)</f>
        <v/>
      </c>
      <c r="E96" s="51" t="inlineStr"/>
      <c r="F96" s="51" t="inlineStr"/>
      <c r="G96" s="51" t="inlineStr"/>
      <c r="H96" s="45" t="inlineStr"/>
      <c r="I96" s="51" t="inlineStr"/>
      <c r="J96" s="51" t="inlineStr"/>
      <c r="K96" s="51" t="inlineStr"/>
      <c r="L96" s="51" t="inlineStr"/>
      <c r="M96" s="51" t="inlineStr"/>
      <c r="N96" s="51" t="inlineStr"/>
      <c r="O96" s="51" t="inlineStr"/>
      <c r="P96" s="51" t="inlineStr"/>
      <c r="Q96" s="51" t="inlineStr"/>
      <c r="R96" s="51" t="inlineStr"/>
      <c r="S96" s="51" t="inlineStr"/>
      <c r="T96" s="51" t="inlineStr"/>
      <c r="U96" s="52">
        <f>IF(A96="","",IFERROR(INDEX(E96:T96,MATCH(TRUE,INDEX(E96:T96&lt;&gt;"",0),0)),""))</f>
        <v/>
      </c>
      <c r="V96" s="52">
        <f>IF(A96="","",IFERROR(LOOKUP(2,1/(E96:T96&lt;&gt;""),E96:T96),""))</f>
        <v/>
      </c>
      <c r="W96" s="53">
        <f>IF(OR(A96="",PreviousYear=""),"",IFERROR(LOOKUP(2,1/(E96:T96&lt;&gt;""),E96:T96)-INDEX(E96:T96,MATCH(PreviousYear,$E$5:$T$5,0)),""))</f>
        <v/>
      </c>
      <c r="X96" s="53">
        <f>IF(OR(A96="",U96="",V96=""),"",V96-U96)</f>
        <v/>
      </c>
      <c r="Y96" s="52">
        <f>IF(A96="","",COUNT(E96:T96))</f>
        <v/>
      </c>
    </row>
    <row r="97">
      <c r="A97" s="43">
        <f>IF(AND('Employees'!B11&lt;&gt;"",'Skills'!B17&lt;&gt;""),'Employees'!B11,"")</f>
        <v/>
      </c>
      <c r="B97" s="44">
        <f>IF(A97="","",'Employees'!C11)</f>
        <v/>
      </c>
      <c r="C97" s="50">
        <f>IF(A97="","",'Skills'!B17)</f>
        <v/>
      </c>
      <c r="D97" s="44">
        <f>IF(A97="","",'Skills'!C17)</f>
        <v/>
      </c>
      <c r="E97" s="51" t="inlineStr"/>
      <c r="F97" s="51" t="inlineStr"/>
      <c r="G97" s="51" t="inlineStr"/>
      <c r="H97" s="45" t="inlineStr"/>
      <c r="I97" s="51" t="inlineStr"/>
      <c r="J97" s="51" t="inlineStr"/>
      <c r="K97" s="51" t="inlineStr"/>
      <c r="L97" s="51" t="inlineStr"/>
      <c r="M97" s="51" t="inlineStr"/>
      <c r="N97" s="51" t="inlineStr"/>
      <c r="O97" s="51" t="inlineStr"/>
      <c r="P97" s="51" t="inlineStr"/>
      <c r="Q97" s="51" t="inlineStr"/>
      <c r="R97" s="51" t="inlineStr"/>
      <c r="S97" s="51" t="inlineStr"/>
      <c r="T97" s="51" t="inlineStr"/>
      <c r="U97" s="52">
        <f>IF(A97="","",IFERROR(INDEX(E97:T97,MATCH(TRUE,INDEX(E97:T97&lt;&gt;"",0),0)),""))</f>
        <v/>
      </c>
      <c r="V97" s="52">
        <f>IF(A97="","",IFERROR(LOOKUP(2,1/(E97:T97&lt;&gt;""),E97:T97),""))</f>
        <v/>
      </c>
      <c r="W97" s="53">
        <f>IF(OR(A97="",PreviousYear=""),"",IFERROR(LOOKUP(2,1/(E97:T97&lt;&gt;""),E97:T97)-INDEX(E97:T97,MATCH(PreviousYear,$E$5:$T$5,0)),""))</f>
        <v/>
      </c>
      <c r="X97" s="53">
        <f>IF(OR(A97="",U97="",V97=""),"",V97-U97)</f>
        <v/>
      </c>
      <c r="Y97" s="52">
        <f>IF(A97="","",COUNT(E97:T97))</f>
        <v/>
      </c>
    </row>
    <row r="98">
      <c r="A98" s="43">
        <f>IF(AND('Employees'!B11&lt;&gt;"",'Skills'!B18&lt;&gt;""),'Employees'!B11,"")</f>
        <v/>
      </c>
      <c r="B98" s="44">
        <f>IF(A98="","",'Employees'!C11)</f>
        <v/>
      </c>
      <c r="C98" s="50">
        <f>IF(A98="","",'Skills'!B18)</f>
        <v/>
      </c>
      <c r="D98" s="44">
        <f>IF(A98="","",'Skills'!C18)</f>
        <v/>
      </c>
      <c r="E98" s="51" t="inlineStr"/>
      <c r="F98" s="51" t="inlineStr"/>
      <c r="G98" s="51" t="inlineStr"/>
      <c r="H98" s="45" t="inlineStr"/>
      <c r="I98" s="51" t="inlineStr"/>
      <c r="J98" s="51" t="inlineStr"/>
      <c r="K98" s="51" t="inlineStr"/>
      <c r="L98" s="51" t="inlineStr"/>
      <c r="M98" s="51" t="inlineStr"/>
      <c r="N98" s="51" t="inlineStr"/>
      <c r="O98" s="51" t="inlineStr"/>
      <c r="P98" s="51" t="inlineStr"/>
      <c r="Q98" s="51" t="inlineStr"/>
      <c r="R98" s="51" t="inlineStr"/>
      <c r="S98" s="51" t="inlineStr"/>
      <c r="T98" s="51" t="inlineStr"/>
      <c r="U98" s="52">
        <f>IF(A98="","",IFERROR(INDEX(E98:T98,MATCH(TRUE,INDEX(E98:T98&lt;&gt;"",0),0)),""))</f>
        <v/>
      </c>
      <c r="V98" s="52">
        <f>IF(A98="","",IFERROR(LOOKUP(2,1/(E98:T98&lt;&gt;""),E98:T98),""))</f>
        <v/>
      </c>
      <c r="W98" s="53">
        <f>IF(OR(A98="",PreviousYear=""),"",IFERROR(LOOKUP(2,1/(E98:T98&lt;&gt;""),E98:T98)-INDEX(E98:T98,MATCH(PreviousYear,$E$5:$T$5,0)),""))</f>
        <v/>
      </c>
      <c r="X98" s="53">
        <f>IF(OR(A98="",U98="",V98=""),"",V98-U98)</f>
        <v/>
      </c>
      <c r="Y98" s="52">
        <f>IF(A98="","",COUNT(E98:T98))</f>
        <v/>
      </c>
    </row>
    <row r="99">
      <c r="A99" s="43">
        <f>IF(AND('Employees'!B11&lt;&gt;"",'Skills'!B19&lt;&gt;""),'Employees'!B11,"")</f>
        <v/>
      </c>
      <c r="B99" s="44">
        <f>IF(A99="","",'Employees'!C11)</f>
        <v/>
      </c>
      <c r="C99" s="50">
        <f>IF(A99="","",'Skills'!B19)</f>
        <v/>
      </c>
      <c r="D99" s="44">
        <f>IF(A99="","",'Skills'!C19)</f>
        <v/>
      </c>
      <c r="E99" s="51" t="inlineStr"/>
      <c r="F99" s="51" t="inlineStr"/>
      <c r="G99" s="51" t="inlineStr"/>
      <c r="H99" s="45" t="inlineStr"/>
      <c r="I99" s="51" t="inlineStr"/>
      <c r="J99" s="51" t="inlineStr"/>
      <c r="K99" s="51" t="inlineStr"/>
      <c r="L99" s="51" t="inlineStr"/>
      <c r="M99" s="51" t="inlineStr"/>
      <c r="N99" s="51" t="inlineStr"/>
      <c r="O99" s="51" t="inlineStr"/>
      <c r="P99" s="51" t="inlineStr"/>
      <c r="Q99" s="51" t="inlineStr"/>
      <c r="R99" s="51" t="inlineStr"/>
      <c r="S99" s="51" t="inlineStr"/>
      <c r="T99" s="51" t="inlineStr"/>
      <c r="U99" s="52">
        <f>IF(A99="","",IFERROR(INDEX(E99:T99,MATCH(TRUE,INDEX(E99:T99&lt;&gt;"",0),0)),""))</f>
        <v/>
      </c>
      <c r="V99" s="52">
        <f>IF(A99="","",IFERROR(LOOKUP(2,1/(E99:T99&lt;&gt;""),E99:T99),""))</f>
        <v/>
      </c>
      <c r="W99" s="53">
        <f>IF(OR(A99="",PreviousYear=""),"",IFERROR(LOOKUP(2,1/(E99:T99&lt;&gt;""),E99:T99)-INDEX(E99:T99,MATCH(PreviousYear,$E$5:$T$5,0)),""))</f>
        <v/>
      </c>
      <c r="X99" s="53">
        <f>IF(OR(A99="",U99="",V99=""),"",V99-U99)</f>
        <v/>
      </c>
      <c r="Y99" s="52">
        <f>IF(A99="","",COUNT(E99:T99))</f>
        <v/>
      </c>
    </row>
    <row r="100">
      <c r="A100" s="43">
        <f>IF(AND('Employees'!B11&lt;&gt;"",'Skills'!B20&lt;&gt;""),'Employees'!B11,"")</f>
        <v/>
      </c>
      <c r="B100" s="44">
        <f>IF(A100="","",'Employees'!C11)</f>
        <v/>
      </c>
      <c r="C100" s="50">
        <f>IF(A100="","",'Skills'!B20)</f>
        <v/>
      </c>
      <c r="D100" s="44">
        <f>IF(A100="","",'Skills'!C20)</f>
        <v/>
      </c>
      <c r="E100" s="51" t="inlineStr"/>
      <c r="F100" s="51" t="inlineStr"/>
      <c r="G100" s="51" t="inlineStr"/>
      <c r="H100" s="45" t="inlineStr"/>
      <c r="I100" s="51" t="inlineStr"/>
      <c r="J100" s="51" t="inlineStr"/>
      <c r="K100" s="51" t="inlineStr"/>
      <c r="L100" s="51" t="inlineStr"/>
      <c r="M100" s="51" t="inlineStr"/>
      <c r="N100" s="51" t="inlineStr"/>
      <c r="O100" s="51" t="inlineStr"/>
      <c r="P100" s="51" t="inlineStr"/>
      <c r="Q100" s="51" t="inlineStr"/>
      <c r="R100" s="51" t="inlineStr"/>
      <c r="S100" s="51" t="inlineStr"/>
      <c r="T100" s="51" t="inlineStr"/>
      <c r="U100" s="52">
        <f>IF(A100="","",IFERROR(INDEX(E100:T100,MATCH(TRUE,INDEX(E100:T100&lt;&gt;"",0),0)),""))</f>
        <v/>
      </c>
      <c r="V100" s="52">
        <f>IF(A100="","",IFERROR(LOOKUP(2,1/(E100:T100&lt;&gt;""),E100:T100),""))</f>
        <v/>
      </c>
      <c r="W100" s="53">
        <f>IF(OR(A100="",PreviousYear=""),"",IFERROR(LOOKUP(2,1/(E100:T100&lt;&gt;""),E100:T100)-INDEX(E100:T100,MATCH(PreviousYear,$E$5:$T$5,0)),""))</f>
        <v/>
      </c>
      <c r="X100" s="53">
        <f>IF(OR(A100="",U100="",V100=""),"",V100-U100)</f>
        <v/>
      </c>
      <c r="Y100" s="52">
        <f>IF(A100="","",COUNT(E100:T100))</f>
        <v/>
      </c>
    </row>
    <row r="101">
      <c r="A101" s="43">
        <f>IF(AND('Employees'!B11&lt;&gt;"",'Skills'!B21&lt;&gt;""),'Employees'!B11,"")</f>
        <v/>
      </c>
      <c r="B101" s="44">
        <f>IF(A101="","",'Employees'!C11)</f>
        <v/>
      </c>
      <c r="C101" s="50">
        <f>IF(A101="","",'Skills'!B21)</f>
        <v/>
      </c>
      <c r="D101" s="44">
        <f>IF(A101="","",'Skills'!C21)</f>
        <v/>
      </c>
      <c r="E101" s="51" t="inlineStr"/>
      <c r="F101" s="51" t="inlineStr"/>
      <c r="G101" s="51" t="inlineStr"/>
      <c r="H101" s="45" t="inlineStr"/>
      <c r="I101" s="51" t="inlineStr"/>
      <c r="J101" s="51" t="inlineStr"/>
      <c r="K101" s="51" t="inlineStr"/>
      <c r="L101" s="51" t="inlineStr"/>
      <c r="M101" s="51" t="inlineStr"/>
      <c r="N101" s="51" t="inlineStr"/>
      <c r="O101" s="51" t="inlineStr"/>
      <c r="P101" s="51" t="inlineStr"/>
      <c r="Q101" s="51" t="inlineStr"/>
      <c r="R101" s="51" t="inlineStr"/>
      <c r="S101" s="51" t="inlineStr"/>
      <c r="T101" s="51" t="inlineStr"/>
      <c r="U101" s="52">
        <f>IF(A101="","",IFERROR(INDEX(E101:T101,MATCH(TRUE,INDEX(E101:T101&lt;&gt;"",0),0)),""))</f>
        <v/>
      </c>
      <c r="V101" s="52">
        <f>IF(A101="","",IFERROR(LOOKUP(2,1/(E101:T101&lt;&gt;""),E101:T101),""))</f>
        <v/>
      </c>
      <c r="W101" s="53">
        <f>IF(OR(A101="",PreviousYear=""),"",IFERROR(LOOKUP(2,1/(E101:T101&lt;&gt;""),E101:T101)-INDEX(E101:T101,MATCH(PreviousYear,$E$5:$T$5,0)),""))</f>
        <v/>
      </c>
      <c r="X101" s="53">
        <f>IF(OR(A101="",U101="",V101=""),"",V101-U101)</f>
        <v/>
      </c>
      <c r="Y101" s="52">
        <f>IF(A101="","",COUNT(E101:T101))</f>
        <v/>
      </c>
    </row>
    <row r="102">
      <c r="A102" s="43">
        <f>IF(AND('Employees'!B12&lt;&gt;"",'Skills'!B6&lt;&gt;""),'Employees'!B12,"")</f>
        <v/>
      </c>
      <c r="B102" s="44">
        <f>IF(A102="","",'Employees'!C12)</f>
        <v/>
      </c>
      <c r="C102" s="50">
        <f>IF(A102="","",'Skills'!B6)</f>
        <v/>
      </c>
      <c r="D102" s="44">
        <f>IF(A102="","",'Skills'!C6)</f>
        <v/>
      </c>
      <c r="E102" s="51" t="n">
        <v>2</v>
      </c>
      <c r="F102" s="51" t="n">
        <v>3</v>
      </c>
      <c r="G102" s="51" t="n">
        <v>4</v>
      </c>
      <c r="H102" s="45" t="n">
        <v>4</v>
      </c>
      <c r="I102" s="51" t="inlineStr"/>
      <c r="J102" s="51" t="inlineStr"/>
      <c r="K102" s="51" t="inlineStr"/>
      <c r="L102" s="51" t="inlineStr"/>
      <c r="M102" s="51" t="inlineStr"/>
      <c r="N102" s="51" t="inlineStr"/>
      <c r="O102" s="51" t="inlineStr"/>
      <c r="P102" s="51" t="inlineStr"/>
      <c r="Q102" s="51" t="inlineStr"/>
      <c r="R102" s="51" t="inlineStr"/>
      <c r="S102" s="51" t="inlineStr"/>
      <c r="T102" s="51" t="inlineStr"/>
      <c r="U102" s="52">
        <f>IF(A102="","",IFERROR(INDEX(E102:T102,MATCH(TRUE,INDEX(E102:T102&lt;&gt;"",0),0)),""))</f>
        <v/>
      </c>
      <c r="V102" s="52">
        <f>IF(A102="","",IFERROR(LOOKUP(2,1/(E102:T102&lt;&gt;""),E102:T102),""))</f>
        <v/>
      </c>
      <c r="W102" s="53">
        <f>IF(OR(A102="",PreviousYear=""),"",IFERROR(LOOKUP(2,1/(E102:T102&lt;&gt;""),E102:T102)-INDEX(E102:T102,MATCH(PreviousYear,$E$5:$T$5,0)),""))</f>
        <v/>
      </c>
      <c r="X102" s="53">
        <f>IF(OR(A102="",U102="",V102=""),"",V102-U102)</f>
        <v/>
      </c>
      <c r="Y102" s="52">
        <f>IF(A102="","",COUNT(E102:T102))</f>
        <v/>
      </c>
    </row>
    <row r="103">
      <c r="A103" s="43">
        <f>IF(AND('Employees'!B12&lt;&gt;"",'Skills'!B7&lt;&gt;""),'Employees'!B12,"")</f>
        <v/>
      </c>
      <c r="B103" s="44">
        <f>IF(A103="","",'Employees'!C12)</f>
        <v/>
      </c>
      <c r="C103" s="50">
        <f>IF(A103="","",'Skills'!B7)</f>
        <v/>
      </c>
      <c r="D103" s="44">
        <f>IF(A103="","",'Skills'!C7)</f>
        <v/>
      </c>
      <c r="E103" s="51" t="n">
        <v>3</v>
      </c>
      <c r="F103" s="51" t="n">
        <v>3</v>
      </c>
      <c r="G103" s="51" t="n">
        <v>3</v>
      </c>
      <c r="H103" s="45" t="n">
        <v>4</v>
      </c>
      <c r="I103" s="51" t="inlineStr"/>
      <c r="J103" s="51" t="inlineStr"/>
      <c r="K103" s="51" t="inlineStr"/>
      <c r="L103" s="51" t="inlineStr"/>
      <c r="M103" s="51" t="inlineStr"/>
      <c r="N103" s="51" t="inlineStr"/>
      <c r="O103" s="51" t="inlineStr"/>
      <c r="P103" s="51" t="inlineStr"/>
      <c r="Q103" s="51" t="inlineStr"/>
      <c r="R103" s="51" t="inlineStr"/>
      <c r="S103" s="51" t="inlineStr"/>
      <c r="T103" s="51" t="inlineStr"/>
      <c r="U103" s="52">
        <f>IF(A103="","",IFERROR(INDEX(E103:T103,MATCH(TRUE,INDEX(E103:T103&lt;&gt;"",0),0)),""))</f>
        <v/>
      </c>
      <c r="V103" s="52">
        <f>IF(A103="","",IFERROR(LOOKUP(2,1/(E103:T103&lt;&gt;""),E103:T103),""))</f>
        <v/>
      </c>
      <c r="W103" s="53">
        <f>IF(OR(A103="",PreviousYear=""),"",IFERROR(LOOKUP(2,1/(E103:T103&lt;&gt;""),E103:T103)-INDEX(E103:T103,MATCH(PreviousYear,$E$5:$T$5,0)),""))</f>
        <v/>
      </c>
      <c r="X103" s="53">
        <f>IF(OR(A103="",U103="",V103=""),"",V103-U103)</f>
        <v/>
      </c>
      <c r="Y103" s="52">
        <f>IF(A103="","",COUNT(E103:T103))</f>
        <v/>
      </c>
    </row>
    <row r="104">
      <c r="A104" s="43">
        <f>IF(AND('Employees'!B12&lt;&gt;"",'Skills'!B8&lt;&gt;""),'Employees'!B12,"")</f>
        <v/>
      </c>
      <c r="B104" s="44">
        <f>IF(A104="","",'Employees'!C12)</f>
        <v/>
      </c>
      <c r="C104" s="50">
        <f>IF(A104="","",'Skills'!B8)</f>
        <v/>
      </c>
      <c r="D104" s="44">
        <f>IF(A104="","",'Skills'!C8)</f>
        <v/>
      </c>
      <c r="E104" s="51" t="n">
        <v>3</v>
      </c>
      <c r="F104" s="51" t="n">
        <v>4</v>
      </c>
      <c r="G104" s="51" t="n">
        <v>4</v>
      </c>
      <c r="H104" s="45" t="n">
        <v>4</v>
      </c>
      <c r="I104" s="51" t="inlineStr"/>
      <c r="J104" s="51" t="inlineStr"/>
      <c r="K104" s="51" t="inlineStr"/>
      <c r="L104" s="51" t="inlineStr"/>
      <c r="M104" s="51" t="inlineStr"/>
      <c r="N104" s="51" t="inlineStr"/>
      <c r="O104" s="51" t="inlineStr"/>
      <c r="P104" s="51" t="inlineStr"/>
      <c r="Q104" s="51" t="inlineStr"/>
      <c r="R104" s="51" t="inlineStr"/>
      <c r="S104" s="51" t="inlineStr"/>
      <c r="T104" s="51" t="inlineStr"/>
      <c r="U104" s="52">
        <f>IF(A104="","",IFERROR(INDEX(E104:T104,MATCH(TRUE,INDEX(E104:T104&lt;&gt;"",0),0)),""))</f>
        <v/>
      </c>
      <c r="V104" s="52">
        <f>IF(A104="","",IFERROR(LOOKUP(2,1/(E104:T104&lt;&gt;""),E104:T104),""))</f>
        <v/>
      </c>
      <c r="W104" s="53">
        <f>IF(OR(A104="",PreviousYear=""),"",IFERROR(LOOKUP(2,1/(E104:T104&lt;&gt;""),E104:T104)-INDEX(E104:T104,MATCH(PreviousYear,$E$5:$T$5,0)),""))</f>
        <v/>
      </c>
      <c r="X104" s="53">
        <f>IF(OR(A104="",U104="",V104=""),"",V104-U104)</f>
        <v/>
      </c>
      <c r="Y104" s="52">
        <f>IF(A104="","",COUNT(E104:T104))</f>
        <v/>
      </c>
    </row>
    <row r="105">
      <c r="A105" s="43">
        <f>IF(AND('Employees'!B12&lt;&gt;"",'Skills'!B9&lt;&gt;""),'Employees'!B12,"")</f>
        <v/>
      </c>
      <c r="B105" s="44">
        <f>IF(A105="","",'Employees'!C12)</f>
        <v/>
      </c>
      <c r="C105" s="50">
        <f>IF(A105="","",'Skills'!B9)</f>
        <v/>
      </c>
      <c r="D105" s="44">
        <f>IF(A105="","",'Skills'!C9)</f>
        <v/>
      </c>
      <c r="E105" s="51" t="n">
        <v>3</v>
      </c>
      <c r="F105" s="51" t="n">
        <v>3</v>
      </c>
      <c r="G105" s="51" t="n">
        <v>4</v>
      </c>
      <c r="H105" s="45" t="n">
        <v>4</v>
      </c>
      <c r="I105" s="51" t="inlineStr"/>
      <c r="J105" s="51" t="inlineStr"/>
      <c r="K105" s="51" t="inlineStr"/>
      <c r="L105" s="51" t="inlineStr"/>
      <c r="M105" s="51" t="inlineStr"/>
      <c r="N105" s="51" t="inlineStr"/>
      <c r="O105" s="51" t="inlineStr"/>
      <c r="P105" s="51" t="inlineStr"/>
      <c r="Q105" s="51" t="inlineStr"/>
      <c r="R105" s="51" t="inlineStr"/>
      <c r="S105" s="51" t="inlineStr"/>
      <c r="T105" s="51" t="inlineStr"/>
      <c r="U105" s="52">
        <f>IF(A105="","",IFERROR(INDEX(E105:T105,MATCH(TRUE,INDEX(E105:T105&lt;&gt;"",0),0)),""))</f>
        <v/>
      </c>
      <c r="V105" s="52">
        <f>IF(A105="","",IFERROR(LOOKUP(2,1/(E105:T105&lt;&gt;""),E105:T105),""))</f>
        <v/>
      </c>
      <c r="W105" s="53">
        <f>IF(OR(A105="",PreviousYear=""),"",IFERROR(LOOKUP(2,1/(E105:T105&lt;&gt;""),E105:T105)-INDEX(E105:T105,MATCH(PreviousYear,$E$5:$T$5,0)),""))</f>
        <v/>
      </c>
      <c r="X105" s="53">
        <f>IF(OR(A105="",U105="",V105=""),"",V105-U105)</f>
        <v/>
      </c>
      <c r="Y105" s="52">
        <f>IF(A105="","",COUNT(E105:T105))</f>
        <v/>
      </c>
    </row>
    <row r="106">
      <c r="A106" s="43">
        <f>IF(AND('Employees'!B12&lt;&gt;"",'Skills'!B10&lt;&gt;""),'Employees'!B12,"")</f>
        <v/>
      </c>
      <c r="B106" s="44">
        <f>IF(A106="","",'Employees'!C12)</f>
        <v/>
      </c>
      <c r="C106" s="50">
        <f>IF(A106="","",'Skills'!B10)</f>
        <v/>
      </c>
      <c r="D106" s="44">
        <f>IF(A106="","",'Skills'!C10)</f>
        <v/>
      </c>
      <c r="E106" s="51" t="n">
        <v>3</v>
      </c>
      <c r="F106" s="51" t="n">
        <v>4</v>
      </c>
      <c r="G106" s="51" t="n">
        <v>4</v>
      </c>
      <c r="H106" s="45" t="n">
        <v>4</v>
      </c>
      <c r="I106" s="51" t="inlineStr"/>
      <c r="J106" s="51" t="inlineStr"/>
      <c r="K106" s="51" t="inlineStr"/>
      <c r="L106" s="51" t="inlineStr"/>
      <c r="M106" s="51" t="inlineStr"/>
      <c r="N106" s="51" t="inlineStr"/>
      <c r="O106" s="51" t="inlineStr"/>
      <c r="P106" s="51" t="inlineStr"/>
      <c r="Q106" s="51" t="inlineStr"/>
      <c r="R106" s="51" t="inlineStr"/>
      <c r="S106" s="51" t="inlineStr"/>
      <c r="T106" s="51" t="inlineStr"/>
      <c r="U106" s="52">
        <f>IF(A106="","",IFERROR(INDEX(E106:T106,MATCH(TRUE,INDEX(E106:T106&lt;&gt;"",0),0)),""))</f>
        <v/>
      </c>
      <c r="V106" s="52">
        <f>IF(A106="","",IFERROR(LOOKUP(2,1/(E106:T106&lt;&gt;""),E106:T106),""))</f>
        <v/>
      </c>
      <c r="W106" s="53">
        <f>IF(OR(A106="",PreviousYear=""),"",IFERROR(LOOKUP(2,1/(E106:T106&lt;&gt;""),E106:T106)-INDEX(E106:T106,MATCH(PreviousYear,$E$5:$T$5,0)),""))</f>
        <v/>
      </c>
      <c r="X106" s="53">
        <f>IF(OR(A106="",U106="",V106=""),"",V106-U106)</f>
        <v/>
      </c>
      <c r="Y106" s="52">
        <f>IF(A106="","",COUNT(E106:T106))</f>
        <v/>
      </c>
    </row>
    <row r="107">
      <c r="A107" s="43">
        <f>IF(AND('Employees'!B12&lt;&gt;"",'Skills'!B11&lt;&gt;""),'Employees'!B12,"")</f>
        <v/>
      </c>
      <c r="B107" s="44">
        <f>IF(A107="","",'Employees'!C12)</f>
        <v/>
      </c>
      <c r="C107" s="50">
        <f>IF(A107="","",'Skills'!B11)</f>
        <v/>
      </c>
      <c r="D107" s="44">
        <f>IF(A107="","",'Skills'!C11)</f>
        <v/>
      </c>
      <c r="E107" s="51" t="n">
        <v>4</v>
      </c>
      <c r="F107" s="51" t="n">
        <v>4</v>
      </c>
      <c r="G107" s="51" t="n">
        <v>4</v>
      </c>
      <c r="H107" s="45" t="n">
        <v>4</v>
      </c>
      <c r="I107" s="51" t="inlineStr"/>
      <c r="J107" s="51" t="inlineStr"/>
      <c r="K107" s="51" t="inlineStr"/>
      <c r="L107" s="51" t="inlineStr"/>
      <c r="M107" s="51" t="inlineStr"/>
      <c r="N107" s="51" t="inlineStr"/>
      <c r="O107" s="51" t="inlineStr"/>
      <c r="P107" s="51" t="inlineStr"/>
      <c r="Q107" s="51" t="inlineStr"/>
      <c r="R107" s="51" t="inlineStr"/>
      <c r="S107" s="51" t="inlineStr"/>
      <c r="T107" s="51" t="inlineStr"/>
      <c r="U107" s="52">
        <f>IF(A107="","",IFERROR(INDEX(E107:T107,MATCH(TRUE,INDEX(E107:T107&lt;&gt;"",0),0)),""))</f>
        <v/>
      </c>
      <c r="V107" s="52">
        <f>IF(A107="","",IFERROR(LOOKUP(2,1/(E107:T107&lt;&gt;""),E107:T107),""))</f>
        <v/>
      </c>
      <c r="W107" s="53">
        <f>IF(OR(A107="",PreviousYear=""),"",IFERROR(LOOKUP(2,1/(E107:T107&lt;&gt;""),E107:T107)-INDEX(E107:T107,MATCH(PreviousYear,$E$5:$T$5,0)),""))</f>
        <v/>
      </c>
      <c r="X107" s="53">
        <f>IF(OR(A107="",U107="",V107=""),"",V107-U107)</f>
        <v/>
      </c>
      <c r="Y107" s="52">
        <f>IF(A107="","",COUNT(E107:T107))</f>
        <v/>
      </c>
    </row>
    <row r="108">
      <c r="A108" s="43">
        <f>IF(AND('Employees'!B12&lt;&gt;"",'Skills'!B12&lt;&gt;""),'Employees'!B12,"")</f>
        <v/>
      </c>
      <c r="B108" s="44">
        <f>IF(A108="","",'Employees'!C12)</f>
        <v/>
      </c>
      <c r="C108" s="50">
        <f>IF(A108="","",'Skills'!B12)</f>
        <v/>
      </c>
      <c r="D108" s="44">
        <f>IF(A108="","",'Skills'!C12)</f>
        <v/>
      </c>
      <c r="E108" s="51" t="n">
        <v>1</v>
      </c>
      <c r="F108" s="51" t="n">
        <v>2</v>
      </c>
      <c r="G108" s="51" t="n">
        <v>3</v>
      </c>
      <c r="H108" s="45" t="n">
        <v>4</v>
      </c>
      <c r="I108" s="51" t="inlineStr"/>
      <c r="J108" s="51" t="inlineStr"/>
      <c r="K108" s="51" t="inlineStr"/>
      <c r="L108" s="51" t="inlineStr"/>
      <c r="M108" s="51" t="inlineStr"/>
      <c r="N108" s="51" t="inlineStr"/>
      <c r="O108" s="51" t="inlineStr"/>
      <c r="P108" s="51" t="inlineStr"/>
      <c r="Q108" s="51" t="inlineStr"/>
      <c r="R108" s="51" t="inlineStr"/>
      <c r="S108" s="51" t="inlineStr"/>
      <c r="T108" s="51" t="inlineStr"/>
      <c r="U108" s="52">
        <f>IF(A108="","",IFERROR(INDEX(E108:T108,MATCH(TRUE,INDEX(E108:T108&lt;&gt;"",0),0)),""))</f>
        <v/>
      </c>
      <c r="V108" s="52">
        <f>IF(A108="","",IFERROR(LOOKUP(2,1/(E108:T108&lt;&gt;""),E108:T108),""))</f>
        <v/>
      </c>
      <c r="W108" s="53">
        <f>IF(OR(A108="",PreviousYear=""),"",IFERROR(LOOKUP(2,1/(E108:T108&lt;&gt;""),E108:T108)-INDEX(E108:T108,MATCH(PreviousYear,$E$5:$T$5,0)),""))</f>
        <v/>
      </c>
      <c r="X108" s="53">
        <f>IF(OR(A108="",U108="",V108=""),"",V108-U108)</f>
        <v/>
      </c>
      <c r="Y108" s="52">
        <f>IF(A108="","",COUNT(E108:T108))</f>
        <v/>
      </c>
    </row>
    <row r="109">
      <c r="A109" s="43">
        <f>IF(AND('Employees'!B12&lt;&gt;"",'Skills'!B13&lt;&gt;""),'Employees'!B12,"")</f>
        <v/>
      </c>
      <c r="B109" s="44">
        <f>IF(A109="","",'Employees'!C12)</f>
        <v/>
      </c>
      <c r="C109" s="50">
        <f>IF(A109="","",'Skills'!B13)</f>
        <v/>
      </c>
      <c r="D109" s="44">
        <f>IF(A109="","",'Skills'!C13)</f>
        <v/>
      </c>
      <c r="E109" s="51" t="n">
        <v>4</v>
      </c>
      <c r="F109" s="51" t="n">
        <v>4</v>
      </c>
      <c r="G109" s="51" t="n">
        <v>4</v>
      </c>
      <c r="H109" s="45" t="n">
        <v>4</v>
      </c>
      <c r="I109" s="51" t="inlineStr"/>
      <c r="J109" s="51" t="inlineStr"/>
      <c r="K109" s="51" t="inlineStr"/>
      <c r="L109" s="51" t="inlineStr"/>
      <c r="M109" s="51" t="inlineStr"/>
      <c r="N109" s="51" t="inlineStr"/>
      <c r="O109" s="51" t="inlineStr"/>
      <c r="P109" s="51" t="inlineStr"/>
      <c r="Q109" s="51" t="inlineStr"/>
      <c r="R109" s="51" t="inlineStr"/>
      <c r="S109" s="51" t="inlineStr"/>
      <c r="T109" s="51" t="inlineStr"/>
      <c r="U109" s="52">
        <f>IF(A109="","",IFERROR(INDEX(E109:T109,MATCH(TRUE,INDEX(E109:T109&lt;&gt;"",0),0)),""))</f>
        <v/>
      </c>
      <c r="V109" s="52">
        <f>IF(A109="","",IFERROR(LOOKUP(2,1/(E109:T109&lt;&gt;""),E109:T109),""))</f>
        <v/>
      </c>
      <c r="W109" s="53">
        <f>IF(OR(A109="",PreviousYear=""),"",IFERROR(LOOKUP(2,1/(E109:T109&lt;&gt;""),E109:T109)-INDEX(E109:T109,MATCH(PreviousYear,$E$5:$T$5,0)),""))</f>
        <v/>
      </c>
      <c r="X109" s="53">
        <f>IF(OR(A109="",U109="",V109=""),"",V109-U109)</f>
        <v/>
      </c>
      <c r="Y109" s="52">
        <f>IF(A109="","",COUNT(E109:T109))</f>
        <v/>
      </c>
    </row>
    <row r="110">
      <c r="A110" s="43">
        <f>IF(AND('Employees'!B12&lt;&gt;"",'Skills'!B14&lt;&gt;""),'Employees'!B12,"")</f>
        <v/>
      </c>
      <c r="B110" s="44">
        <f>IF(A110="","",'Employees'!C12)</f>
        <v/>
      </c>
      <c r="C110" s="50">
        <f>IF(A110="","",'Skills'!B14)</f>
        <v/>
      </c>
      <c r="D110" s="44">
        <f>IF(A110="","",'Skills'!C14)</f>
        <v/>
      </c>
      <c r="E110" s="51" t="n">
        <v>3</v>
      </c>
      <c r="F110" s="51" t="n">
        <v>4</v>
      </c>
      <c r="G110" s="51" t="n">
        <v>4</v>
      </c>
      <c r="H110" s="45" t="n">
        <v>4</v>
      </c>
      <c r="I110" s="51" t="inlineStr"/>
      <c r="J110" s="51" t="inlineStr"/>
      <c r="K110" s="51" t="inlineStr"/>
      <c r="L110" s="51" t="inlineStr"/>
      <c r="M110" s="51" t="inlineStr"/>
      <c r="N110" s="51" t="inlineStr"/>
      <c r="O110" s="51" t="inlineStr"/>
      <c r="P110" s="51" t="inlineStr"/>
      <c r="Q110" s="51" t="inlineStr"/>
      <c r="R110" s="51" t="inlineStr"/>
      <c r="S110" s="51" t="inlineStr"/>
      <c r="T110" s="51" t="inlineStr"/>
      <c r="U110" s="52">
        <f>IF(A110="","",IFERROR(INDEX(E110:T110,MATCH(TRUE,INDEX(E110:T110&lt;&gt;"",0),0)),""))</f>
        <v/>
      </c>
      <c r="V110" s="52">
        <f>IF(A110="","",IFERROR(LOOKUP(2,1/(E110:T110&lt;&gt;""),E110:T110),""))</f>
        <v/>
      </c>
      <c r="W110" s="53">
        <f>IF(OR(A110="",PreviousYear=""),"",IFERROR(LOOKUP(2,1/(E110:T110&lt;&gt;""),E110:T110)-INDEX(E110:T110,MATCH(PreviousYear,$E$5:$T$5,0)),""))</f>
        <v/>
      </c>
      <c r="X110" s="53">
        <f>IF(OR(A110="",U110="",V110=""),"",V110-U110)</f>
        <v/>
      </c>
      <c r="Y110" s="52">
        <f>IF(A110="","",COUNT(E110:T110))</f>
        <v/>
      </c>
    </row>
    <row r="111">
      <c r="A111" s="43">
        <f>IF(AND('Employees'!B12&lt;&gt;"",'Skills'!B15&lt;&gt;""),'Employees'!B12,"")</f>
        <v/>
      </c>
      <c r="B111" s="44">
        <f>IF(A111="","",'Employees'!C12)</f>
        <v/>
      </c>
      <c r="C111" s="50">
        <f>IF(A111="","",'Skills'!B15)</f>
        <v/>
      </c>
      <c r="D111" s="44">
        <f>IF(A111="","",'Skills'!C15)</f>
        <v/>
      </c>
      <c r="E111" s="51" t="n">
        <v>2</v>
      </c>
      <c r="F111" s="51" t="n">
        <v>2</v>
      </c>
      <c r="G111" s="51" t="n">
        <v>3</v>
      </c>
      <c r="H111" s="45" t="n">
        <v>3</v>
      </c>
      <c r="I111" s="51" t="inlineStr"/>
      <c r="J111" s="51" t="inlineStr"/>
      <c r="K111" s="51" t="inlineStr"/>
      <c r="L111" s="51" t="inlineStr"/>
      <c r="M111" s="51" t="inlineStr"/>
      <c r="N111" s="51" t="inlineStr"/>
      <c r="O111" s="51" t="inlineStr"/>
      <c r="P111" s="51" t="inlineStr"/>
      <c r="Q111" s="51" t="inlineStr"/>
      <c r="R111" s="51" t="inlineStr"/>
      <c r="S111" s="51" t="inlineStr"/>
      <c r="T111" s="51" t="inlineStr"/>
      <c r="U111" s="52">
        <f>IF(A111="","",IFERROR(INDEX(E111:T111,MATCH(TRUE,INDEX(E111:T111&lt;&gt;"",0),0)),""))</f>
        <v/>
      </c>
      <c r="V111" s="52">
        <f>IF(A111="","",IFERROR(LOOKUP(2,1/(E111:T111&lt;&gt;""),E111:T111),""))</f>
        <v/>
      </c>
      <c r="W111" s="53">
        <f>IF(OR(A111="",PreviousYear=""),"",IFERROR(LOOKUP(2,1/(E111:T111&lt;&gt;""),E111:T111)-INDEX(E111:T111,MATCH(PreviousYear,$E$5:$T$5,0)),""))</f>
        <v/>
      </c>
      <c r="X111" s="53">
        <f>IF(OR(A111="",U111="",V111=""),"",V111-U111)</f>
        <v/>
      </c>
      <c r="Y111" s="52">
        <f>IF(A111="","",COUNT(E111:T111))</f>
        <v/>
      </c>
    </row>
    <row r="112">
      <c r="A112" s="43">
        <f>IF(AND('Employees'!B12&lt;&gt;"",'Skills'!B16&lt;&gt;""),'Employees'!B12,"")</f>
        <v/>
      </c>
      <c r="B112" s="44">
        <f>IF(A112="","",'Employees'!C12)</f>
        <v/>
      </c>
      <c r="C112" s="50">
        <f>IF(A112="","",'Skills'!B16)</f>
        <v/>
      </c>
      <c r="D112" s="44">
        <f>IF(A112="","",'Skills'!C16)</f>
        <v/>
      </c>
      <c r="E112" s="51" t="inlineStr"/>
      <c r="F112" s="51" t="inlineStr"/>
      <c r="G112" s="51" t="inlineStr"/>
      <c r="H112" s="45" t="inlineStr"/>
      <c r="I112" s="51" t="inlineStr"/>
      <c r="J112" s="51" t="inlineStr"/>
      <c r="K112" s="51" t="inlineStr"/>
      <c r="L112" s="51" t="inlineStr"/>
      <c r="M112" s="51" t="inlineStr"/>
      <c r="N112" s="51" t="inlineStr"/>
      <c r="O112" s="51" t="inlineStr"/>
      <c r="P112" s="51" t="inlineStr"/>
      <c r="Q112" s="51" t="inlineStr"/>
      <c r="R112" s="51" t="inlineStr"/>
      <c r="S112" s="51" t="inlineStr"/>
      <c r="T112" s="51" t="inlineStr"/>
      <c r="U112" s="52">
        <f>IF(A112="","",IFERROR(INDEX(E112:T112,MATCH(TRUE,INDEX(E112:T112&lt;&gt;"",0),0)),""))</f>
        <v/>
      </c>
      <c r="V112" s="52">
        <f>IF(A112="","",IFERROR(LOOKUP(2,1/(E112:T112&lt;&gt;""),E112:T112),""))</f>
        <v/>
      </c>
      <c r="W112" s="53">
        <f>IF(OR(A112="",PreviousYear=""),"",IFERROR(LOOKUP(2,1/(E112:T112&lt;&gt;""),E112:T112)-INDEX(E112:T112,MATCH(PreviousYear,$E$5:$T$5,0)),""))</f>
        <v/>
      </c>
      <c r="X112" s="53">
        <f>IF(OR(A112="",U112="",V112=""),"",V112-U112)</f>
        <v/>
      </c>
      <c r="Y112" s="52">
        <f>IF(A112="","",COUNT(E112:T112))</f>
        <v/>
      </c>
    </row>
    <row r="113">
      <c r="A113" s="43">
        <f>IF(AND('Employees'!B12&lt;&gt;"",'Skills'!B17&lt;&gt;""),'Employees'!B12,"")</f>
        <v/>
      </c>
      <c r="B113" s="44">
        <f>IF(A113="","",'Employees'!C12)</f>
        <v/>
      </c>
      <c r="C113" s="50">
        <f>IF(A113="","",'Skills'!B17)</f>
        <v/>
      </c>
      <c r="D113" s="44">
        <f>IF(A113="","",'Skills'!C17)</f>
        <v/>
      </c>
      <c r="E113" s="51" t="inlineStr"/>
      <c r="F113" s="51" t="inlineStr"/>
      <c r="G113" s="51" t="inlineStr"/>
      <c r="H113" s="45" t="inlineStr"/>
      <c r="I113" s="51" t="inlineStr"/>
      <c r="J113" s="51" t="inlineStr"/>
      <c r="K113" s="51" t="inlineStr"/>
      <c r="L113" s="51" t="inlineStr"/>
      <c r="M113" s="51" t="inlineStr"/>
      <c r="N113" s="51" t="inlineStr"/>
      <c r="O113" s="51" t="inlineStr"/>
      <c r="P113" s="51" t="inlineStr"/>
      <c r="Q113" s="51" t="inlineStr"/>
      <c r="R113" s="51" t="inlineStr"/>
      <c r="S113" s="51" t="inlineStr"/>
      <c r="T113" s="51" t="inlineStr"/>
      <c r="U113" s="52">
        <f>IF(A113="","",IFERROR(INDEX(E113:T113,MATCH(TRUE,INDEX(E113:T113&lt;&gt;"",0),0)),""))</f>
        <v/>
      </c>
      <c r="V113" s="52">
        <f>IF(A113="","",IFERROR(LOOKUP(2,1/(E113:T113&lt;&gt;""),E113:T113),""))</f>
        <v/>
      </c>
      <c r="W113" s="53">
        <f>IF(OR(A113="",PreviousYear=""),"",IFERROR(LOOKUP(2,1/(E113:T113&lt;&gt;""),E113:T113)-INDEX(E113:T113,MATCH(PreviousYear,$E$5:$T$5,0)),""))</f>
        <v/>
      </c>
      <c r="X113" s="53">
        <f>IF(OR(A113="",U113="",V113=""),"",V113-U113)</f>
        <v/>
      </c>
      <c r="Y113" s="52">
        <f>IF(A113="","",COUNT(E113:T113))</f>
        <v/>
      </c>
    </row>
    <row r="114">
      <c r="A114" s="43">
        <f>IF(AND('Employees'!B12&lt;&gt;"",'Skills'!B18&lt;&gt;""),'Employees'!B12,"")</f>
        <v/>
      </c>
      <c r="B114" s="44">
        <f>IF(A114="","",'Employees'!C12)</f>
        <v/>
      </c>
      <c r="C114" s="50">
        <f>IF(A114="","",'Skills'!B18)</f>
        <v/>
      </c>
      <c r="D114" s="44">
        <f>IF(A114="","",'Skills'!C18)</f>
        <v/>
      </c>
      <c r="E114" s="51" t="inlineStr"/>
      <c r="F114" s="51" t="inlineStr"/>
      <c r="G114" s="51" t="inlineStr"/>
      <c r="H114" s="45" t="inlineStr"/>
      <c r="I114" s="51" t="inlineStr"/>
      <c r="J114" s="51" t="inlineStr"/>
      <c r="K114" s="51" t="inlineStr"/>
      <c r="L114" s="51" t="inlineStr"/>
      <c r="M114" s="51" t="inlineStr"/>
      <c r="N114" s="51" t="inlineStr"/>
      <c r="O114" s="51" t="inlineStr"/>
      <c r="P114" s="51" t="inlineStr"/>
      <c r="Q114" s="51" t="inlineStr"/>
      <c r="R114" s="51" t="inlineStr"/>
      <c r="S114" s="51" t="inlineStr"/>
      <c r="T114" s="51" t="inlineStr"/>
      <c r="U114" s="52">
        <f>IF(A114="","",IFERROR(INDEX(E114:T114,MATCH(TRUE,INDEX(E114:T114&lt;&gt;"",0),0)),""))</f>
        <v/>
      </c>
      <c r="V114" s="52">
        <f>IF(A114="","",IFERROR(LOOKUP(2,1/(E114:T114&lt;&gt;""),E114:T114),""))</f>
        <v/>
      </c>
      <c r="W114" s="53">
        <f>IF(OR(A114="",PreviousYear=""),"",IFERROR(LOOKUP(2,1/(E114:T114&lt;&gt;""),E114:T114)-INDEX(E114:T114,MATCH(PreviousYear,$E$5:$T$5,0)),""))</f>
        <v/>
      </c>
      <c r="X114" s="53">
        <f>IF(OR(A114="",U114="",V114=""),"",V114-U114)</f>
        <v/>
      </c>
      <c r="Y114" s="52">
        <f>IF(A114="","",COUNT(E114:T114))</f>
        <v/>
      </c>
    </row>
    <row r="115">
      <c r="A115" s="43">
        <f>IF(AND('Employees'!B12&lt;&gt;"",'Skills'!B19&lt;&gt;""),'Employees'!B12,"")</f>
        <v/>
      </c>
      <c r="B115" s="44">
        <f>IF(A115="","",'Employees'!C12)</f>
        <v/>
      </c>
      <c r="C115" s="50">
        <f>IF(A115="","",'Skills'!B19)</f>
        <v/>
      </c>
      <c r="D115" s="44">
        <f>IF(A115="","",'Skills'!C19)</f>
        <v/>
      </c>
      <c r="E115" s="51" t="inlineStr"/>
      <c r="F115" s="51" t="inlineStr"/>
      <c r="G115" s="51" t="inlineStr"/>
      <c r="H115" s="45" t="inlineStr"/>
      <c r="I115" s="51" t="inlineStr"/>
      <c r="J115" s="51" t="inlineStr"/>
      <c r="K115" s="51" t="inlineStr"/>
      <c r="L115" s="51" t="inlineStr"/>
      <c r="M115" s="51" t="inlineStr"/>
      <c r="N115" s="51" t="inlineStr"/>
      <c r="O115" s="51" t="inlineStr"/>
      <c r="P115" s="51" t="inlineStr"/>
      <c r="Q115" s="51" t="inlineStr"/>
      <c r="R115" s="51" t="inlineStr"/>
      <c r="S115" s="51" t="inlineStr"/>
      <c r="T115" s="51" t="inlineStr"/>
      <c r="U115" s="52">
        <f>IF(A115="","",IFERROR(INDEX(E115:T115,MATCH(TRUE,INDEX(E115:T115&lt;&gt;"",0),0)),""))</f>
        <v/>
      </c>
      <c r="V115" s="52">
        <f>IF(A115="","",IFERROR(LOOKUP(2,1/(E115:T115&lt;&gt;""),E115:T115),""))</f>
        <v/>
      </c>
      <c r="W115" s="53">
        <f>IF(OR(A115="",PreviousYear=""),"",IFERROR(LOOKUP(2,1/(E115:T115&lt;&gt;""),E115:T115)-INDEX(E115:T115,MATCH(PreviousYear,$E$5:$T$5,0)),""))</f>
        <v/>
      </c>
      <c r="X115" s="53">
        <f>IF(OR(A115="",U115="",V115=""),"",V115-U115)</f>
        <v/>
      </c>
      <c r="Y115" s="52">
        <f>IF(A115="","",COUNT(E115:T115))</f>
        <v/>
      </c>
    </row>
    <row r="116">
      <c r="A116" s="43">
        <f>IF(AND('Employees'!B12&lt;&gt;"",'Skills'!B20&lt;&gt;""),'Employees'!B12,"")</f>
        <v/>
      </c>
      <c r="B116" s="44">
        <f>IF(A116="","",'Employees'!C12)</f>
        <v/>
      </c>
      <c r="C116" s="50">
        <f>IF(A116="","",'Skills'!B20)</f>
        <v/>
      </c>
      <c r="D116" s="44">
        <f>IF(A116="","",'Skills'!C20)</f>
        <v/>
      </c>
      <c r="E116" s="51" t="inlineStr"/>
      <c r="F116" s="51" t="inlineStr"/>
      <c r="G116" s="51" t="inlineStr"/>
      <c r="H116" s="45" t="inlineStr"/>
      <c r="I116" s="51" t="inlineStr"/>
      <c r="J116" s="51" t="inlineStr"/>
      <c r="K116" s="51" t="inlineStr"/>
      <c r="L116" s="51" t="inlineStr"/>
      <c r="M116" s="51" t="inlineStr"/>
      <c r="N116" s="51" t="inlineStr"/>
      <c r="O116" s="51" t="inlineStr"/>
      <c r="P116" s="51" t="inlineStr"/>
      <c r="Q116" s="51" t="inlineStr"/>
      <c r="R116" s="51" t="inlineStr"/>
      <c r="S116" s="51" t="inlineStr"/>
      <c r="T116" s="51" t="inlineStr"/>
      <c r="U116" s="52">
        <f>IF(A116="","",IFERROR(INDEX(E116:T116,MATCH(TRUE,INDEX(E116:T116&lt;&gt;"",0),0)),""))</f>
        <v/>
      </c>
      <c r="V116" s="52">
        <f>IF(A116="","",IFERROR(LOOKUP(2,1/(E116:T116&lt;&gt;""),E116:T116),""))</f>
        <v/>
      </c>
      <c r="W116" s="53">
        <f>IF(OR(A116="",PreviousYear=""),"",IFERROR(LOOKUP(2,1/(E116:T116&lt;&gt;""),E116:T116)-INDEX(E116:T116,MATCH(PreviousYear,$E$5:$T$5,0)),""))</f>
        <v/>
      </c>
      <c r="X116" s="53">
        <f>IF(OR(A116="",U116="",V116=""),"",V116-U116)</f>
        <v/>
      </c>
      <c r="Y116" s="52">
        <f>IF(A116="","",COUNT(E116:T116))</f>
        <v/>
      </c>
    </row>
    <row r="117">
      <c r="A117" s="43">
        <f>IF(AND('Employees'!B12&lt;&gt;"",'Skills'!B21&lt;&gt;""),'Employees'!B12,"")</f>
        <v/>
      </c>
      <c r="B117" s="44">
        <f>IF(A117="","",'Employees'!C12)</f>
        <v/>
      </c>
      <c r="C117" s="50">
        <f>IF(A117="","",'Skills'!B21)</f>
        <v/>
      </c>
      <c r="D117" s="44">
        <f>IF(A117="","",'Skills'!C21)</f>
        <v/>
      </c>
      <c r="E117" s="51" t="inlineStr"/>
      <c r="F117" s="51" t="inlineStr"/>
      <c r="G117" s="51" t="inlineStr"/>
      <c r="H117" s="45" t="inlineStr"/>
      <c r="I117" s="51" t="inlineStr"/>
      <c r="J117" s="51" t="inlineStr"/>
      <c r="K117" s="51" t="inlineStr"/>
      <c r="L117" s="51" t="inlineStr"/>
      <c r="M117" s="51" t="inlineStr"/>
      <c r="N117" s="51" t="inlineStr"/>
      <c r="O117" s="51" t="inlineStr"/>
      <c r="P117" s="51" t="inlineStr"/>
      <c r="Q117" s="51" t="inlineStr"/>
      <c r="R117" s="51" t="inlineStr"/>
      <c r="S117" s="51" t="inlineStr"/>
      <c r="T117" s="51" t="inlineStr"/>
      <c r="U117" s="52">
        <f>IF(A117="","",IFERROR(INDEX(E117:T117,MATCH(TRUE,INDEX(E117:T117&lt;&gt;"",0),0)),""))</f>
        <v/>
      </c>
      <c r="V117" s="52">
        <f>IF(A117="","",IFERROR(LOOKUP(2,1/(E117:T117&lt;&gt;""),E117:T117),""))</f>
        <v/>
      </c>
      <c r="W117" s="53">
        <f>IF(OR(A117="",PreviousYear=""),"",IFERROR(LOOKUP(2,1/(E117:T117&lt;&gt;""),E117:T117)-INDEX(E117:T117,MATCH(PreviousYear,$E$5:$T$5,0)),""))</f>
        <v/>
      </c>
      <c r="X117" s="53">
        <f>IF(OR(A117="",U117="",V117=""),"",V117-U117)</f>
        <v/>
      </c>
      <c r="Y117" s="52">
        <f>IF(A117="","",COUNT(E117:T117))</f>
        <v/>
      </c>
    </row>
    <row r="118">
      <c r="A118" s="43">
        <f>IF(AND('Employees'!B13&lt;&gt;"",'Skills'!B6&lt;&gt;""),'Employees'!B13,"")</f>
        <v/>
      </c>
      <c r="B118" s="44">
        <f>IF(A118="","",'Employees'!C13)</f>
        <v/>
      </c>
      <c r="C118" s="50">
        <f>IF(A118="","",'Skills'!B6)</f>
        <v/>
      </c>
      <c r="D118" s="44">
        <f>IF(A118="","",'Skills'!C6)</f>
        <v/>
      </c>
      <c r="E118" s="51" t="inlineStr"/>
      <c r="F118" s="51" t="n">
        <v>2</v>
      </c>
      <c r="G118" s="51" t="n">
        <v>2</v>
      </c>
      <c r="H118" s="45" t="n">
        <v>2</v>
      </c>
      <c r="I118" s="51" t="inlineStr"/>
      <c r="J118" s="51" t="inlineStr"/>
      <c r="K118" s="51" t="inlineStr"/>
      <c r="L118" s="51" t="inlineStr"/>
      <c r="M118" s="51" t="inlineStr"/>
      <c r="N118" s="51" t="inlineStr"/>
      <c r="O118" s="51" t="inlineStr"/>
      <c r="P118" s="51" t="inlineStr"/>
      <c r="Q118" s="51" t="inlineStr"/>
      <c r="R118" s="51" t="inlineStr"/>
      <c r="S118" s="51" t="inlineStr"/>
      <c r="T118" s="51" t="inlineStr"/>
      <c r="U118" s="52">
        <f>IF(A118="","",IFERROR(INDEX(E118:T118,MATCH(TRUE,INDEX(E118:T118&lt;&gt;"",0),0)),""))</f>
        <v/>
      </c>
      <c r="V118" s="52">
        <f>IF(A118="","",IFERROR(LOOKUP(2,1/(E118:T118&lt;&gt;""),E118:T118),""))</f>
        <v/>
      </c>
      <c r="W118" s="53">
        <f>IF(OR(A118="",PreviousYear=""),"",IFERROR(LOOKUP(2,1/(E118:T118&lt;&gt;""),E118:T118)-INDEX(E118:T118,MATCH(PreviousYear,$E$5:$T$5,0)),""))</f>
        <v/>
      </c>
      <c r="X118" s="53">
        <f>IF(OR(A118="",U118="",V118=""),"",V118-U118)</f>
        <v/>
      </c>
      <c r="Y118" s="52">
        <f>IF(A118="","",COUNT(E118:T118))</f>
        <v/>
      </c>
    </row>
    <row r="119">
      <c r="A119" s="43">
        <f>IF(AND('Employees'!B13&lt;&gt;"",'Skills'!B7&lt;&gt;""),'Employees'!B13,"")</f>
        <v/>
      </c>
      <c r="B119" s="44">
        <f>IF(A119="","",'Employees'!C13)</f>
        <v/>
      </c>
      <c r="C119" s="50">
        <f>IF(A119="","",'Skills'!B7)</f>
        <v/>
      </c>
      <c r="D119" s="44">
        <f>IF(A119="","",'Skills'!C7)</f>
        <v/>
      </c>
      <c r="E119" s="51" t="inlineStr"/>
      <c r="F119" s="51" t="n">
        <v>2</v>
      </c>
      <c r="G119" s="51" t="n">
        <v>2</v>
      </c>
      <c r="H119" s="45" t="n">
        <v>2</v>
      </c>
      <c r="I119" s="51" t="inlineStr"/>
      <c r="J119" s="51" t="inlineStr"/>
      <c r="K119" s="51" t="inlineStr"/>
      <c r="L119" s="51" t="inlineStr"/>
      <c r="M119" s="51" t="inlineStr"/>
      <c r="N119" s="51" t="inlineStr"/>
      <c r="O119" s="51" t="inlineStr"/>
      <c r="P119" s="51" t="inlineStr"/>
      <c r="Q119" s="51" t="inlineStr"/>
      <c r="R119" s="51" t="inlineStr"/>
      <c r="S119" s="51" t="inlineStr"/>
      <c r="T119" s="51" t="inlineStr"/>
      <c r="U119" s="52">
        <f>IF(A119="","",IFERROR(INDEX(E119:T119,MATCH(TRUE,INDEX(E119:T119&lt;&gt;"",0),0)),""))</f>
        <v/>
      </c>
      <c r="V119" s="52">
        <f>IF(A119="","",IFERROR(LOOKUP(2,1/(E119:T119&lt;&gt;""),E119:T119),""))</f>
        <v/>
      </c>
      <c r="W119" s="53">
        <f>IF(OR(A119="",PreviousYear=""),"",IFERROR(LOOKUP(2,1/(E119:T119&lt;&gt;""),E119:T119)-INDEX(E119:T119,MATCH(PreviousYear,$E$5:$T$5,0)),""))</f>
        <v/>
      </c>
      <c r="X119" s="53">
        <f>IF(OR(A119="",U119="",V119=""),"",V119-U119)</f>
        <v/>
      </c>
      <c r="Y119" s="52">
        <f>IF(A119="","",COUNT(E119:T119))</f>
        <v/>
      </c>
    </row>
    <row r="120">
      <c r="A120" s="43">
        <f>IF(AND('Employees'!B13&lt;&gt;"",'Skills'!B8&lt;&gt;""),'Employees'!B13,"")</f>
        <v/>
      </c>
      <c r="B120" s="44">
        <f>IF(A120="","",'Employees'!C13)</f>
        <v/>
      </c>
      <c r="C120" s="50">
        <f>IF(A120="","",'Skills'!B8)</f>
        <v/>
      </c>
      <c r="D120" s="44">
        <f>IF(A120="","",'Skills'!C8)</f>
        <v/>
      </c>
      <c r="E120" s="51" t="inlineStr"/>
      <c r="F120" s="51" t="n">
        <v>1</v>
      </c>
      <c r="G120" s="51" t="n">
        <v>2</v>
      </c>
      <c r="H120" s="45" t="n">
        <v>2</v>
      </c>
      <c r="I120" s="51" t="inlineStr"/>
      <c r="J120" s="51" t="inlineStr"/>
      <c r="K120" s="51" t="inlineStr"/>
      <c r="L120" s="51" t="inlineStr"/>
      <c r="M120" s="51" t="inlineStr"/>
      <c r="N120" s="51" t="inlineStr"/>
      <c r="O120" s="51" t="inlineStr"/>
      <c r="P120" s="51" t="inlineStr"/>
      <c r="Q120" s="51" t="inlineStr"/>
      <c r="R120" s="51" t="inlineStr"/>
      <c r="S120" s="51" t="inlineStr"/>
      <c r="T120" s="51" t="inlineStr"/>
      <c r="U120" s="52">
        <f>IF(A120="","",IFERROR(INDEX(E120:T120,MATCH(TRUE,INDEX(E120:T120&lt;&gt;"",0),0)),""))</f>
        <v/>
      </c>
      <c r="V120" s="52">
        <f>IF(A120="","",IFERROR(LOOKUP(2,1/(E120:T120&lt;&gt;""),E120:T120),""))</f>
        <v/>
      </c>
      <c r="W120" s="53">
        <f>IF(OR(A120="",PreviousYear=""),"",IFERROR(LOOKUP(2,1/(E120:T120&lt;&gt;""),E120:T120)-INDEX(E120:T120,MATCH(PreviousYear,$E$5:$T$5,0)),""))</f>
        <v/>
      </c>
      <c r="X120" s="53">
        <f>IF(OR(A120="",U120="",V120=""),"",V120-U120)</f>
        <v/>
      </c>
      <c r="Y120" s="52">
        <f>IF(A120="","",COUNT(E120:T120))</f>
        <v/>
      </c>
    </row>
    <row r="121">
      <c r="A121" s="43">
        <f>IF(AND('Employees'!B13&lt;&gt;"",'Skills'!B9&lt;&gt;""),'Employees'!B13,"")</f>
        <v/>
      </c>
      <c r="B121" s="44">
        <f>IF(A121="","",'Employees'!C13)</f>
        <v/>
      </c>
      <c r="C121" s="50">
        <f>IF(A121="","",'Skills'!B9)</f>
        <v/>
      </c>
      <c r="D121" s="44">
        <f>IF(A121="","",'Skills'!C9)</f>
        <v/>
      </c>
      <c r="E121" s="51" t="inlineStr"/>
      <c r="F121" s="51" t="n">
        <v>2</v>
      </c>
      <c r="G121" s="51" t="n">
        <v>2</v>
      </c>
      <c r="H121" s="45" t="n">
        <v>3</v>
      </c>
      <c r="I121" s="51" t="inlineStr"/>
      <c r="J121" s="51" t="inlineStr"/>
      <c r="K121" s="51" t="inlineStr"/>
      <c r="L121" s="51" t="inlineStr"/>
      <c r="M121" s="51" t="inlineStr"/>
      <c r="N121" s="51" t="inlineStr"/>
      <c r="O121" s="51" t="inlineStr"/>
      <c r="P121" s="51" t="inlineStr"/>
      <c r="Q121" s="51" t="inlineStr"/>
      <c r="R121" s="51" t="inlineStr"/>
      <c r="S121" s="51" t="inlineStr"/>
      <c r="T121" s="51" t="inlineStr"/>
      <c r="U121" s="52">
        <f>IF(A121="","",IFERROR(INDEX(E121:T121,MATCH(TRUE,INDEX(E121:T121&lt;&gt;"",0),0)),""))</f>
        <v/>
      </c>
      <c r="V121" s="52">
        <f>IF(A121="","",IFERROR(LOOKUP(2,1/(E121:T121&lt;&gt;""),E121:T121),""))</f>
        <v/>
      </c>
      <c r="W121" s="53">
        <f>IF(OR(A121="",PreviousYear=""),"",IFERROR(LOOKUP(2,1/(E121:T121&lt;&gt;""),E121:T121)-INDEX(E121:T121,MATCH(PreviousYear,$E$5:$T$5,0)),""))</f>
        <v/>
      </c>
      <c r="X121" s="53">
        <f>IF(OR(A121="",U121="",V121=""),"",V121-U121)</f>
        <v/>
      </c>
      <c r="Y121" s="52">
        <f>IF(A121="","",COUNT(E121:T121))</f>
        <v/>
      </c>
    </row>
    <row r="122">
      <c r="A122" s="43">
        <f>IF(AND('Employees'!B13&lt;&gt;"",'Skills'!B10&lt;&gt;""),'Employees'!B13,"")</f>
        <v/>
      </c>
      <c r="B122" s="44">
        <f>IF(A122="","",'Employees'!C13)</f>
        <v/>
      </c>
      <c r="C122" s="50">
        <f>IF(A122="","",'Skills'!B10)</f>
        <v/>
      </c>
      <c r="D122" s="44">
        <f>IF(A122="","",'Skills'!C10)</f>
        <v/>
      </c>
      <c r="E122" s="51" t="inlineStr"/>
      <c r="F122" s="51" t="n">
        <v>2</v>
      </c>
      <c r="G122" s="51" t="n">
        <v>2</v>
      </c>
      <c r="H122" s="45" t="n">
        <v>2</v>
      </c>
      <c r="I122" s="51" t="inlineStr"/>
      <c r="J122" s="51" t="inlineStr"/>
      <c r="K122" s="51" t="inlineStr"/>
      <c r="L122" s="51" t="inlineStr"/>
      <c r="M122" s="51" t="inlineStr"/>
      <c r="N122" s="51" t="inlineStr"/>
      <c r="O122" s="51" t="inlineStr"/>
      <c r="P122" s="51" t="inlineStr"/>
      <c r="Q122" s="51" t="inlineStr"/>
      <c r="R122" s="51" t="inlineStr"/>
      <c r="S122" s="51" t="inlineStr"/>
      <c r="T122" s="51" t="inlineStr"/>
      <c r="U122" s="52">
        <f>IF(A122="","",IFERROR(INDEX(E122:T122,MATCH(TRUE,INDEX(E122:T122&lt;&gt;"",0),0)),""))</f>
        <v/>
      </c>
      <c r="V122" s="52">
        <f>IF(A122="","",IFERROR(LOOKUP(2,1/(E122:T122&lt;&gt;""),E122:T122),""))</f>
        <v/>
      </c>
      <c r="W122" s="53">
        <f>IF(OR(A122="",PreviousYear=""),"",IFERROR(LOOKUP(2,1/(E122:T122&lt;&gt;""),E122:T122)-INDEX(E122:T122,MATCH(PreviousYear,$E$5:$T$5,0)),""))</f>
        <v/>
      </c>
      <c r="X122" s="53">
        <f>IF(OR(A122="",U122="",V122=""),"",V122-U122)</f>
        <v/>
      </c>
      <c r="Y122" s="52">
        <f>IF(A122="","",COUNT(E122:T122))</f>
        <v/>
      </c>
    </row>
    <row r="123">
      <c r="A123" s="43">
        <f>IF(AND('Employees'!B13&lt;&gt;"",'Skills'!B11&lt;&gt;""),'Employees'!B13,"")</f>
        <v/>
      </c>
      <c r="B123" s="44">
        <f>IF(A123="","",'Employees'!C13)</f>
        <v/>
      </c>
      <c r="C123" s="50">
        <f>IF(A123="","",'Skills'!B11)</f>
        <v/>
      </c>
      <c r="D123" s="44">
        <f>IF(A123="","",'Skills'!C11)</f>
        <v/>
      </c>
      <c r="E123" s="51" t="inlineStr"/>
      <c r="F123" s="51" t="n">
        <v>1</v>
      </c>
      <c r="G123" s="51" t="n">
        <v>2</v>
      </c>
      <c r="H123" s="45" t="n">
        <v>2</v>
      </c>
      <c r="I123" s="51" t="inlineStr"/>
      <c r="J123" s="51" t="inlineStr"/>
      <c r="K123" s="51" t="inlineStr"/>
      <c r="L123" s="51" t="inlineStr"/>
      <c r="M123" s="51" t="inlineStr"/>
      <c r="N123" s="51" t="inlineStr"/>
      <c r="O123" s="51" t="inlineStr"/>
      <c r="P123" s="51" t="inlineStr"/>
      <c r="Q123" s="51" t="inlineStr"/>
      <c r="R123" s="51" t="inlineStr"/>
      <c r="S123" s="51" t="inlineStr"/>
      <c r="T123" s="51" t="inlineStr"/>
      <c r="U123" s="52">
        <f>IF(A123="","",IFERROR(INDEX(E123:T123,MATCH(TRUE,INDEX(E123:T123&lt;&gt;"",0),0)),""))</f>
        <v/>
      </c>
      <c r="V123" s="52">
        <f>IF(A123="","",IFERROR(LOOKUP(2,1/(E123:T123&lt;&gt;""),E123:T123),""))</f>
        <v/>
      </c>
      <c r="W123" s="53">
        <f>IF(OR(A123="",PreviousYear=""),"",IFERROR(LOOKUP(2,1/(E123:T123&lt;&gt;""),E123:T123)-INDEX(E123:T123,MATCH(PreviousYear,$E$5:$T$5,0)),""))</f>
        <v/>
      </c>
      <c r="X123" s="53">
        <f>IF(OR(A123="",U123="",V123=""),"",V123-U123)</f>
        <v/>
      </c>
      <c r="Y123" s="52">
        <f>IF(A123="","",COUNT(E123:T123))</f>
        <v/>
      </c>
    </row>
    <row r="124">
      <c r="A124" s="43">
        <f>IF(AND('Employees'!B13&lt;&gt;"",'Skills'!B12&lt;&gt;""),'Employees'!B13,"")</f>
        <v/>
      </c>
      <c r="B124" s="44">
        <f>IF(A124="","",'Employees'!C13)</f>
        <v/>
      </c>
      <c r="C124" s="50">
        <f>IF(A124="","",'Skills'!B12)</f>
        <v/>
      </c>
      <c r="D124" s="44">
        <f>IF(A124="","",'Skills'!C12)</f>
        <v/>
      </c>
      <c r="E124" s="51" t="inlineStr"/>
      <c r="F124" s="51" t="n">
        <v>4</v>
      </c>
      <c r="G124" s="51" t="n">
        <v>4</v>
      </c>
      <c r="H124" s="45" t="n">
        <v>5</v>
      </c>
      <c r="I124" s="51" t="inlineStr"/>
      <c r="J124" s="51" t="inlineStr"/>
      <c r="K124" s="51" t="inlineStr"/>
      <c r="L124" s="51" t="inlineStr"/>
      <c r="M124" s="51" t="inlineStr"/>
      <c r="N124" s="51" t="inlineStr"/>
      <c r="O124" s="51" t="inlineStr"/>
      <c r="P124" s="51" t="inlineStr"/>
      <c r="Q124" s="51" t="inlineStr"/>
      <c r="R124" s="51" t="inlineStr"/>
      <c r="S124" s="51" t="inlineStr"/>
      <c r="T124" s="51" t="inlineStr"/>
      <c r="U124" s="52">
        <f>IF(A124="","",IFERROR(INDEX(E124:T124,MATCH(TRUE,INDEX(E124:T124&lt;&gt;"",0),0)),""))</f>
        <v/>
      </c>
      <c r="V124" s="52">
        <f>IF(A124="","",IFERROR(LOOKUP(2,1/(E124:T124&lt;&gt;""),E124:T124),""))</f>
        <v/>
      </c>
      <c r="W124" s="53">
        <f>IF(OR(A124="",PreviousYear=""),"",IFERROR(LOOKUP(2,1/(E124:T124&lt;&gt;""),E124:T124)-INDEX(E124:T124,MATCH(PreviousYear,$E$5:$T$5,0)),""))</f>
        <v/>
      </c>
      <c r="X124" s="53">
        <f>IF(OR(A124="",U124="",V124=""),"",V124-U124)</f>
        <v/>
      </c>
      <c r="Y124" s="52">
        <f>IF(A124="","",COUNT(E124:T124))</f>
        <v/>
      </c>
    </row>
    <row r="125">
      <c r="A125" s="43">
        <f>IF(AND('Employees'!B13&lt;&gt;"",'Skills'!B13&lt;&gt;""),'Employees'!B13,"")</f>
        <v/>
      </c>
      <c r="B125" s="44">
        <f>IF(A125="","",'Employees'!C13)</f>
        <v/>
      </c>
      <c r="C125" s="50">
        <f>IF(A125="","",'Skills'!B13)</f>
        <v/>
      </c>
      <c r="D125" s="44">
        <f>IF(A125="","",'Skills'!C13)</f>
        <v/>
      </c>
      <c r="E125" s="51" t="inlineStr"/>
      <c r="F125" s="51" t="n">
        <v>2</v>
      </c>
      <c r="G125" s="51" t="n">
        <v>2</v>
      </c>
      <c r="H125" s="45" t="n">
        <v>3</v>
      </c>
      <c r="I125" s="51" t="inlineStr"/>
      <c r="J125" s="51" t="inlineStr"/>
      <c r="K125" s="51" t="inlineStr"/>
      <c r="L125" s="51" t="inlineStr"/>
      <c r="M125" s="51" t="inlineStr"/>
      <c r="N125" s="51" t="inlineStr"/>
      <c r="O125" s="51" t="inlineStr"/>
      <c r="P125" s="51" t="inlineStr"/>
      <c r="Q125" s="51" t="inlineStr"/>
      <c r="R125" s="51" t="inlineStr"/>
      <c r="S125" s="51" t="inlineStr"/>
      <c r="T125" s="51" t="inlineStr"/>
      <c r="U125" s="52">
        <f>IF(A125="","",IFERROR(INDEX(E125:T125,MATCH(TRUE,INDEX(E125:T125&lt;&gt;"",0),0)),""))</f>
        <v/>
      </c>
      <c r="V125" s="52">
        <f>IF(A125="","",IFERROR(LOOKUP(2,1/(E125:T125&lt;&gt;""),E125:T125),""))</f>
        <v/>
      </c>
      <c r="W125" s="53">
        <f>IF(OR(A125="",PreviousYear=""),"",IFERROR(LOOKUP(2,1/(E125:T125&lt;&gt;""),E125:T125)-INDEX(E125:T125,MATCH(PreviousYear,$E$5:$T$5,0)),""))</f>
        <v/>
      </c>
      <c r="X125" s="53">
        <f>IF(OR(A125="",U125="",V125=""),"",V125-U125)</f>
        <v/>
      </c>
      <c r="Y125" s="52">
        <f>IF(A125="","",COUNT(E125:T125))</f>
        <v/>
      </c>
    </row>
    <row r="126">
      <c r="A126" s="43">
        <f>IF(AND('Employees'!B13&lt;&gt;"",'Skills'!B14&lt;&gt;""),'Employees'!B13,"")</f>
        <v/>
      </c>
      <c r="B126" s="44">
        <f>IF(A126="","",'Employees'!C13)</f>
        <v/>
      </c>
      <c r="C126" s="50">
        <f>IF(A126="","",'Skills'!B14)</f>
        <v/>
      </c>
      <c r="D126" s="44">
        <f>IF(A126="","",'Skills'!C14)</f>
        <v/>
      </c>
      <c r="E126" s="51" t="inlineStr"/>
      <c r="F126" s="51" t="n">
        <v>1</v>
      </c>
      <c r="G126" s="51" t="n">
        <v>2</v>
      </c>
      <c r="H126" s="45" t="n">
        <v>3</v>
      </c>
      <c r="I126" s="51" t="inlineStr"/>
      <c r="J126" s="51" t="inlineStr"/>
      <c r="K126" s="51" t="inlineStr"/>
      <c r="L126" s="51" t="inlineStr"/>
      <c r="M126" s="51" t="inlineStr"/>
      <c r="N126" s="51" t="inlineStr"/>
      <c r="O126" s="51" t="inlineStr"/>
      <c r="P126" s="51" t="inlineStr"/>
      <c r="Q126" s="51" t="inlineStr"/>
      <c r="R126" s="51" t="inlineStr"/>
      <c r="S126" s="51" t="inlineStr"/>
      <c r="T126" s="51" t="inlineStr"/>
      <c r="U126" s="52">
        <f>IF(A126="","",IFERROR(INDEX(E126:T126,MATCH(TRUE,INDEX(E126:T126&lt;&gt;"",0),0)),""))</f>
        <v/>
      </c>
      <c r="V126" s="52">
        <f>IF(A126="","",IFERROR(LOOKUP(2,1/(E126:T126&lt;&gt;""),E126:T126),""))</f>
        <v/>
      </c>
      <c r="W126" s="53">
        <f>IF(OR(A126="",PreviousYear=""),"",IFERROR(LOOKUP(2,1/(E126:T126&lt;&gt;""),E126:T126)-INDEX(E126:T126,MATCH(PreviousYear,$E$5:$T$5,0)),""))</f>
        <v/>
      </c>
      <c r="X126" s="53">
        <f>IF(OR(A126="",U126="",V126=""),"",V126-U126)</f>
        <v/>
      </c>
      <c r="Y126" s="52">
        <f>IF(A126="","",COUNT(E126:T126))</f>
        <v/>
      </c>
    </row>
    <row r="127">
      <c r="A127" s="43">
        <f>IF(AND('Employees'!B13&lt;&gt;"",'Skills'!B15&lt;&gt;""),'Employees'!B13,"")</f>
        <v/>
      </c>
      <c r="B127" s="44">
        <f>IF(A127="","",'Employees'!C13)</f>
        <v/>
      </c>
      <c r="C127" s="50">
        <f>IF(A127="","",'Skills'!B15)</f>
        <v/>
      </c>
      <c r="D127" s="44">
        <f>IF(A127="","",'Skills'!C15)</f>
        <v/>
      </c>
      <c r="E127" s="51" t="inlineStr"/>
      <c r="F127" s="51" t="n">
        <v>3</v>
      </c>
      <c r="G127" s="51" t="n">
        <v>3</v>
      </c>
      <c r="H127" s="45" t="n">
        <v>4</v>
      </c>
      <c r="I127" s="51" t="inlineStr"/>
      <c r="J127" s="51" t="inlineStr"/>
      <c r="K127" s="51" t="inlineStr"/>
      <c r="L127" s="51" t="inlineStr"/>
      <c r="M127" s="51" t="inlineStr"/>
      <c r="N127" s="51" t="inlineStr"/>
      <c r="O127" s="51" t="inlineStr"/>
      <c r="P127" s="51" t="inlineStr"/>
      <c r="Q127" s="51" t="inlineStr"/>
      <c r="R127" s="51" t="inlineStr"/>
      <c r="S127" s="51" t="inlineStr"/>
      <c r="T127" s="51" t="inlineStr"/>
      <c r="U127" s="52">
        <f>IF(A127="","",IFERROR(INDEX(E127:T127,MATCH(TRUE,INDEX(E127:T127&lt;&gt;"",0),0)),""))</f>
        <v/>
      </c>
      <c r="V127" s="52">
        <f>IF(A127="","",IFERROR(LOOKUP(2,1/(E127:T127&lt;&gt;""),E127:T127),""))</f>
        <v/>
      </c>
      <c r="W127" s="53">
        <f>IF(OR(A127="",PreviousYear=""),"",IFERROR(LOOKUP(2,1/(E127:T127&lt;&gt;""),E127:T127)-INDEX(E127:T127,MATCH(PreviousYear,$E$5:$T$5,0)),""))</f>
        <v/>
      </c>
      <c r="X127" s="53">
        <f>IF(OR(A127="",U127="",V127=""),"",V127-U127)</f>
        <v/>
      </c>
      <c r="Y127" s="52">
        <f>IF(A127="","",COUNT(E127:T127))</f>
        <v/>
      </c>
    </row>
    <row r="128">
      <c r="A128" s="43">
        <f>IF(AND('Employees'!B13&lt;&gt;"",'Skills'!B16&lt;&gt;""),'Employees'!B13,"")</f>
        <v/>
      </c>
      <c r="B128" s="44">
        <f>IF(A128="","",'Employees'!C13)</f>
        <v/>
      </c>
      <c r="C128" s="50">
        <f>IF(A128="","",'Skills'!B16)</f>
        <v/>
      </c>
      <c r="D128" s="44">
        <f>IF(A128="","",'Skills'!C16)</f>
        <v/>
      </c>
      <c r="E128" s="51" t="inlineStr"/>
      <c r="F128" s="51" t="inlineStr"/>
      <c r="G128" s="51" t="inlineStr"/>
      <c r="H128" s="45" t="inlineStr"/>
      <c r="I128" s="51" t="inlineStr"/>
      <c r="J128" s="51" t="inlineStr"/>
      <c r="K128" s="51" t="inlineStr"/>
      <c r="L128" s="51" t="inlineStr"/>
      <c r="M128" s="51" t="inlineStr"/>
      <c r="N128" s="51" t="inlineStr"/>
      <c r="O128" s="51" t="inlineStr"/>
      <c r="P128" s="51" t="inlineStr"/>
      <c r="Q128" s="51" t="inlineStr"/>
      <c r="R128" s="51" t="inlineStr"/>
      <c r="S128" s="51" t="inlineStr"/>
      <c r="T128" s="51" t="inlineStr"/>
      <c r="U128" s="52">
        <f>IF(A128="","",IFERROR(INDEX(E128:T128,MATCH(TRUE,INDEX(E128:T128&lt;&gt;"",0),0)),""))</f>
        <v/>
      </c>
      <c r="V128" s="52">
        <f>IF(A128="","",IFERROR(LOOKUP(2,1/(E128:T128&lt;&gt;""),E128:T128),""))</f>
        <v/>
      </c>
      <c r="W128" s="53">
        <f>IF(OR(A128="",PreviousYear=""),"",IFERROR(LOOKUP(2,1/(E128:T128&lt;&gt;""),E128:T128)-INDEX(E128:T128,MATCH(PreviousYear,$E$5:$T$5,0)),""))</f>
        <v/>
      </c>
      <c r="X128" s="53">
        <f>IF(OR(A128="",U128="",V128=""),"",V128-U128)</f>
        <v/>
      </c>
      <c r="Y128" s="52">
        <f>IF(A128="","",COUNT(E128:T128))</f>
        <v/>
      </c>
    </row>
    <row r="129">
      <c r="A129" s="43">
        <f>IF(AND('Employees'!B13&lt;&gt;"",'Skills'!B17&lt;&gt;""),'Employees'!B13,"")</f>
        <v/>
      </c>
      <c r="B129" s="44">
        <f>IF(A129="","",'Employees'!C13)</f>
        <v/>
      </c>
      <c r="C129" s="50">
        <f>IF(A129="","",'Skills'!B17)</f>
        <v/>
      </c>
      <c r="D129" s="44">
        <f>IF(A129="","",'Skills'!C17)</f>
        <v/>
      </c>
      <c r="E129" s="51" t="inlineStr"/>
      <c r="F129" s="51" t="inlineStr"/>
      <c r="G129" s="51" t="inlineStr"/>
      <c r="H129" s="45" t="inlineStr"/>
      <c r="I129" s="51" t="inlineStr"/>
      <c r="J129" s="51" t="inlineStr"/>
      <c r="K129" s="51" t="inlineStr"/>
      <c r="L129" s="51" t="inlineStr"/>
      <c r="M129" s="51" t="inlineStr"/>
      <c r="N129" s="51" t="inlineStr"/>
      <c r="O129" s="51" t="inlineStr"/>
      <c r="P129" s="51" t="inlineStr"/>
      <c r="Q129" s="51" t="inlineStr"/>
      <c r="R129" s="51" t="inlineStr"/>
      <c r="S129" s="51" t="inlineStr"/>
      <c r="T129" s="51" t="inlineStr"/>
      <c r="U129" s="52">
        <f>IF(A129="","",IFERROR(INDEX(E129:T129,MATCH(TRUE,INDEX(E129:T129&lt;&gt;"",0),0)),""))</f>
        <v/>
      </c>
      <c r="V129" s="52">
        <f>IF(A129="","",IFERROR(LOOKUP(2,1/(E129:T129&lt;&gt;""),E129:T129),""))</f>
        <v/>
      </c>
      <c r="W129" s="53">
        <f>IF(OR(A129="",PreviousYear=""),"",IFERROR(LOOKUP(2,1/(E129:T129&lt;&gt;""),E129:T129)-INDEX(E129:T129,MATCH(PreviousYear,$E$5:$T$5,0)),""))</f>
        <v/>
      </c>
      <c r="X129" s="53">
        <f>IF(OR(A129="",U129="",V129=""),"",V129-U129)</f>
        <v/>
      </c>
      <c r="Y129" s="52">
        <f>IF(A129="","",COUNT(E129:T129))</f>
        <v/>
      </c>
    </row>
    <row r="130">
      <c r="A130" s="43">
        <f>IF(AND('Employees'!B13&lt;&gt;"",'Skills'!B18&lt;&gt;""),'Employees'!B13,"")</f>
        <v/>
      </c>
      <c r="B130" s="44">
        <f>IF(A130="","",'Employees'!C13)</f>
        <v/>
      </c>
      <c r="C130" s="50">
        <f>IF(A130="","",'Skills'!B18)</f>
        <v/>
      </c>
      <c r="D130" s="44">
        <f>IF(A130="","",'Skills'!C18)</f>
        <v/>
      </c>
      <c r="E130" s="51" t="inlineStr"/>
      <c r="F130" s="51" t="inlineStr"/>
      <c r="G130" s="51" t="inlineStr"/>
      <c r="H130" s="45" t="inlineStr"/>
      <c r="I130" s="51" t="inlineStr"/>
      <c r="J130" s="51" t="inlineStr"/>
      <c r="K130" s="51" t="inlineStr"/>
      <c r="L130" s="51" t="inlineStr"/>
      <c r="M130" s="51" t="inlineStr"/>
      <c r="N130" s="51" t="inlineStr"/>
      <c r="O130" s="51" t="inlineStr"/>
      <c r="P130" s="51" t="inlineStr"/>
      <c r="Q130" s="51" t="inlineStr"/>
      <c r="R130" s="51" t="inlineStr"/>
      <c r="S130" s="51" t="inlineStr"/>
      <c r="T130" s="51" t="inlineStr"/>
      <c r="U130" s="52">
        <f>IF(A130="","",IFERROR(INDEX(E130:T130,MATCH(TRUE,INDEX(E130:T130&lt;&gt;"",0),0)),""))</f>
        <v/>
      </c>
      <c r="V130" s="52">
        <f>IF(A130="","",IFERROR(LOOKUP(2,1/(E130:T130&lt;&gt;""),E130:T130),""))</f>
        <v/>
      </c>
      <c r="W130" s="53">
        <f>IF(OR(A130="",PreviousYear=""),"",IFERROR(LOOKUP(2,1/(E130:T130&lt;&gt;""),E130:T130)-INDEX(E130:T130,MATCH(PreviousYear,$E$5:$T$5,0)),""))</f>
        <v/>
      </c>
      <c r="X130" s="53">
        <f>IF(OR(A130="",U130="",V130=""),"",V130-U130)</f>
        <v/>
      </c>
      <c r="Y130" s="52">
        <f>IF(A130="","",COUNT(E130:T130))</f>
        <v/>
      </c>
    </row>
    <row r="131">
      <c r="A131" s="43">
        <f>IF(AND('Employees'!B13&lt;&gt;"",'Skills'!B19&lt;&gt;""),'Employees'!B13,"")</f>
        <v/>
      </c>
      <c r="B131" s="44">
        <f>IF(A131="","",'Employees'!C13)</f>
        <v/>
      </c>
      <c r="C131" s="50">
        <f>IF(A131="","",'Skills'!B19)</f>
        <v/>
      </c>
      <c r="D131" s="44">
        <f>IF(A131="","",'Skills'!C19)</f>
        <v/>
      </c>
      <c r="E131" s="51" t="inlineStr"/>
      <c r="F131" s="51" t="inlineStr"/>
      <c r="G131" s="51" t="inlineStr"/>
      <c r="H131" s="45" t="inlineStr"/>
      <c r="I131" s="51" t="inlineStr"/>
      <c r="J131" s="51" t="inlineStr"/>
      <c r="K131" s="51" t="inlineStr"/>
      <c r="L131" s="51" t="inlineStr"/>
      <c r="M131" s="51" t="inlineStr"/>
      <c r="N131" s="51" t="inlineStr"/>
      <c r="O131" s="51" t="inlineStr"/>
      <c r="P131" s="51" t="inlineStr"/>
      <c r="Q131" s="51" t="inlineStr"/>
      <c r="R131" s="51" t="inlineStr"/>
      <c r="S131" s="51" t="inlineStr"/>
      <c r="T131" s="51" t="inlineStr"/>
      <c r="U131" s="52">
        <f>IF(A131="","",IFERROR(INDEX(E131:T131,MATCH(TRUE,INDEX(E131:T131&lt;&gt;"",0),0)),""))</f>
        <v/>
      </c>
      <c r="V131" s="52">
        <f>IF(A131="","",IFERROR(LOOKUP(2,1/(E131:T131&lt;&gt;""),E131:T131),""))</f>
        <v/>
      </c>
      <c r="W131" s="53">
        <f>IF(OR(A131="",PreviousYear=""),"",IFERROR(LOOKUP(2,1/(E131:T131&lt;&gt;""),E131:T131)-INDEX(E131:T131,MATCH(PreviousYear,$E$5:$T$5,0)),""))</f>
        <v/>
      </c>
      <c r="X131" s="53">
        <f>IF(OR(A131="",U131="",V131=""),"",V131-U131)</f>
        <v/>
      </c>
      <c r="Y131" s="52">
        <f>IF(A131="","",COUNT(E131:T131))</f>
        <v/>
      </c>
    </row>
    <row r="132">
      <c r="A132" s="43">
        <f>IF(AND('Employees'!B13&lt;&gt;"",'Skills'!B20&lt;&gt;""),'Employees'!B13,"")</f>
        <v/>
      </c>
      <c r="B132" s="44">
        <f>IF(A132="","",'Employees'!C13)</f>
        <v/>
      </c>
      <c r="C132" s="50">
        <f>IF(A132="","",'Skills'!B20)</f>
        <v/>
      </c>
      <c r="D132" s="44">
        <f>IF(A132="","",'Skills'!C20)</f>
        <v/>
      </c>
      <c r="E132" s="51" t="inlineStr"/>
      <c r="F132" s="51" t="inlineStr"/>
      <c r="G132" s="51" t="inlineStr"/>
      <c r="H132" s="45" t="inlineStr"/>
      <c r="I132" s="51" t="inlineStr"/>
      <c r="J132" s="51" t="inlineStr"/>
      <c r="K132" s="51" t="inlineStr"/>
      <c r="L132" s="51" t="inlineStr"/>
      <c r="M132" s="51" t="inlineStr"/>
      <c r="N132" s="51" t="inlineStr"/>
      <c r="O132" s="51" t="inlineStr"/>
      <c r="P132" s="51" t="inlineStr"/>
      <c r="Q132" s="51" t="inlineStr"/>
      <c r="R132" s="51" t="inlineStr"/>
      <c r="S132" s="51" t="inlineStr"/>
      <c r="T132" s="51" t="inlineStr"/>
      <c r="U132" s="52">
        <f>IF(A132="","",IFERROR(INDEX(E132:T132,MATCH(TRUE,INDEX(E132:T132&lt;&gt;"",0),0)),""))</f>
        <v/>
      </c>
      <c r="V132" s="52">
        <f>IF(A132="","",IFERROR(LOOKUP(2,1/(E132:T132&lt;&gt;""),E132:T132),""))</f>
        <v/>
      </c>
      <c r="W132" s="53">
        <f>IF(OR(A132="",PreviousYear=""),"",IFERROR(LOOKUP(2,1/(E132:T132&lt;&gt;""),E132:T132)-INDEX(E132:T132,MATCH(PreviousYear,$E$5:$T$5,0)),""))</f>
        <v/>
      </c>
      <c r="X132" s="53">
        <f>IF(OR(A132="",U132="",V132=""),"",V132-U132)</f>
        <v/>
      </c>
      <c r="Y132" s="52">
        <f>IF(A132="","",COUNT(E132:T132))</f>
        <v/>
      </c>
    </row>
    <row r="133">
      <c r="A133" s="43">
        <f>IF(AND('Employees'!B13&lt;&gt;"",'Skills'!B21&lt;&gt;""),'Employees'!B13,"")</f>
        <v/>
      </c>
      <c r="B133" s="44">
        <f>IF(A133="","",'Employees'!C13)</f>
        <v/>
      </c>
      <c r="C133" s="50">
        <f>IF(A133="","",'Skills'!B21)</f>
        <v/>
      </c>
      <c r="D133" s="44">
        <f>IF(A133="","",'Skills'!C21)</f>
        <v/>
      </c>
      <c r="E133" s="51" t="inlineStr"/>
      <c r="F133" s="51" t="inlineStr"/>
      <c r="G133" s="51" t="inlineStr"/>
      <c r="H133" s="45" t="inlineStr"/>
      <c r="I133" s="51" t="inlineStr"/>
      <c r="J133" s="51" t="inlineStr"/>
      <c r="K133" s="51" t="inlineStr"/>
      <c r="L133" s="51" t="inlineStr"/>
      <c r="M133" s="51" t="inlineStr"/>
      <c r="N133" s="51" t="inlineStr"/>
      <c r="O133" s="51" t="inlineStr"/>
      <c r="P133" s="51" t="inlineStr"/>
      <c r="Q133" s="51" t="inlineStr"/>
      <c r="R133" s="51" t="inlineStr"/>
      <c r="S133" s="51" t="inlineStr"/>
      <c r="T133" s="51" t="inlineStr"/>
      <c r="U133" s="52">
        <f>IF(A133="","",IFERROR(INDEX(E133:T133,MATCH(TRUE,INDEX(E133:T133&lt;&gt;"",0),0)),""))</f>
        <v/>
      </c>
      <c r="V133" s="52">
        <f>IF(A133="","",IFERROR(LOOKUP(2,1/(E133:T133&lt;&gt;""),E133:T133),""))</f>
        <v/>
      </c>
      <c r="W133" s="53">
        <f>IF(OR(A133="",PreviousYear=""),"",IFERROR(LOOKUP(2,1/(E133:T133&lt;&gt;""),E133:T133)-INDEX(E133:T133,MATCH(PreviousYear,$E$5:$T$5,0)),""))</f>
        <v/>
      </c>
      <c r="X133" s="53">
        <f>IF(OR(A133="",U133="",V133=""),"",V133-U133)</f>
        <v/>
      </c>
      <c r="Y133" s="52">
        <f>IF(A133="","",COUNT(E133:T133))</f>
        <v/>
      </c>
    </row>
    <row r="134">
      <c r="A134" s="43">
        <f>IF(AND('Employees'!B14&lt;&gt;"",'Skills'!B6&lt;&gt;""),'Employees'!B14,"")</f>
        <v/>
      </c>
      <c r="B134" s="44">
        <f>IF(A134="","",'Employees'!C14)</f>
        <v/>
      </c>
      <c r="C134" s="50">
        <f>IF(A134="","",'Skills'!B6)</f>
        <v/>
      </c>
      <c r="D134" s="44">
        <f>IF(A134="","",'Skills'!C6)</f>
        <v/>
      </c>
      <c r="E134" s="51" t="inlineStr"/>
      <c r="F134" s="51" t="inlineStr"/>
      <c r="G134" s="51" t="inlineStr"/>
      <c r="H134" s="45" t="inlineStr"/>
      <c r="I134" s="51" t="inlineStr"/>
      <c r="J134" s="51" t="inlineStr"/>
      <c r="K134" s="51" t="inlineStr"/>
      <c r="L134" s="51" t="inlineStr"/>
      <c r="M134" s="51" t="inlineStr"/>
      <c r="N134" s="51" t="inlineStr"/>
      <c r="O134" s="51" t="inlineStr"/>
      <c r="P134" s="51" t="inlineStr"/>
      <c r="Q134" s="51" t="inlineStr"/>
      <c r="R134" s="51" t="inlineStr"/>
      <c r="S134" s="51" t="inlineStr"/>
      <c r="T134" s="51" t="inlineStr"/>
      <c r="U134" s="52">
        <f>IF(A134="","",IFERROR(INDEX(E134:T134,MATCH(TRUE,INDEX(E134:T134&lt;&gt;"",0),0)),""))</f>
        <v/>
      </c>
      <c r="V134" s="52">
        <f>IF(A134="","",IFERROR(LOOKUP(2,1/(E134:T134&lt;&gt;""),E134:T134),""))</f>
        <v/>
      </c>
      <c r="W134" s="53">
        <f>IF(OR(A134="",PreviousYear=""),"",IFERROR(LOOKUP(2,1/(E134:T134&lt;&gt;""),E134:T134)-INDEX(E134:T134,MATCH(PreviousYear,$E$5:$T$5,0)),""))</f>
        <v/>
      </c>
      <c r="X134" s="53">
        <f>IF(OR(A134="",U134="",V134=""),"",V134-U134)</f>
        <v/>
      </c>
      <c r="Y134" s="52">
        <f>IF(A134="","",COUNT(E134:T134))</f>
        <v/>
      </c>
    </row>
    <row r="135">
      <c r="A135" s="43">
        <f>IF(AND('Employees'!B14&lt;&gt;"",'Skills'!B7&lt;&gt;""),'Employees'!B14,"")</f>
        <v/>
      </c>
      <c r="B135" s="44">
        <f>IF(A135="","",'Employees'!C14)</f>
        <v/>
      </c>
      <c r="C135" s="50">
        <f>IF(A135="","",'Skills'!B7)</f>
        <v/>
      </c>
      <c r="D135" s="44">
        <f>IF(A135="","",'Skills'!C7)</f>
        <v/>
      </c>
      <c r="E135" s="51" t="inlineStr"/>
      <c r="F135" s="51" t="inlineStr"/>
      <c r="G135" s="51" t="inlineStr"/>
      <c r="H135" s="45" t="inlineStr"/>
      <c r="I135" s="51" t="inlineStr"/>
      <c r="J135" s="51" t="inlineStr"/>
      <c r="K135" s="51" t="inlineStr"/>
      <c r="L135" s="51" t="inlineStr"/>
      <c r="M135" s="51" t="inlineStr"/>
      <c r="N135" s="51" t="inlineStr"/>
      <c r="O135" s="51" t="inlineStr"/>
      <c r="P135" s="51" t="inlineStr"/>
      <c r="Q135" s="51" t="inlineStr"/>
      <c r="R135" s="51" t="inlineStr"/>
      <c r="S135" s="51" t="inlineStr"/>
      <c r="T135" s="51" t="inlineStr"/>
      <c r="U135" s="52">
        <f>IF(A135="","",IFERROR(INDEX(E135:T135,MATCH(TRUE,INDEX(E135:T135&lt;&gt;"",0),0)),""))</f>
        <v/>
      </c>
      <c r="V135" s="52">
        <f>IF(A135="","",IFERROR(LOOKUP(2,1/(E135:T135&lt;&gt;""),E135:T135),""))</f>
        <v/>
      </c>
      <c r="W135" s="53">
        <f>IF(OR(A135="",PreviousYear=""),"",IFERROR(LOOKUP(2,1/(E135:T135&lt;&gt;""),E135:T135)-INDEX(E135:T135,MATCH(PreviousYear,$E$5:$T$5,0)),""))</f>
        <v/>
      </c>
      <c r="X135" s="53">
        <f>IF(OR(A135="",U135="",V135=""),"",V135-U135)</f>
        <v/>
      </c>
      <c r="Y135" s="52">
        <f>IF(A135="","",COUNT(E135:T135))</f>
        <v/>
      </c>
    </row>
    <row r="136">
      <c r="A136" s="43">
        <f>IF(AND('Employees'!B14&lt;&gt;"",'Skills'!B8&lt;&gt;""),'Employees'!B14,"")</f>
        <v/>
      </c>
      <c r="B136" s="44">
        <f>IF(A136="","",'Employees'!C14)</f>
        <v/>
      </c>
      <c r="C136" s="50">
        <f>IF(A136="","",'Skills'!B8)</f>
        <v/>
      </c>
      <c r="D136" s="44">
        <f>IF(A136="","",'Skills'!C8)</f>
        <v/>
      </c>
      <c r="E136" s="51" t="inlineStr"/>
      <c r="F136" s="51" t="inlineStr"/>
      <c r="G136" s="51" t="inlineStr"/>
      <c r="H136" s="45" t="inlineStr"/>
      <c r="I136" s="51" t="inlineStr"/>
      <c r="J136" s="51" t="inlineStr"/>
      <c r="K136" s="51" t="inlineStr"/>
      <c r="L136" s="51" t="inlineStr"/>
      <c r="M136" s="51" t="inlineStr"/>
      <c r="N136" s="51" t="inlineStr"/>
      <c r="O136" s="51" t="inlineStr"/>
      <c r="P136" s="51" t="inlineStr"/>
      <c r="Q136" s="51" t="inlineStr"/>
      <c r="R136" s="51" t="inlineStr"/>
      <c r="S136" s="51" t="inlineStr"/>
      <c r="T136" s="51" t="inlineStr"/>
      <c r="U136" s="52">
        <f>IF(A136="","",IFERROR(INDEX(E136:T136,MATCH(TRUE,INDEX(E136:T136&lt;&gt;"",0),0)),""))</f>
        <v/>
      </c>
      <c r="V136" s="52">
        <f>IF(A136="","",IFERROR(LOOKUP(2,1/(E136:T136&lt;&gt;""),E136:T136),""))</f>
        <v/>
      </c>
      <c r="W136" s="53">
        <f>IF(OR(A136="",PreviousYear=""),"",IFERROR(LOOKUP(2,1/(E136:T136&lt;&gt;""),E136:T136)-INDEX(E136:T136,MATCH(PreviousYear,$E$5:$T$5,0)),""))</f>
        <v/>
      </c>
      <c r="X136" s="53">
        <f>IF(OR(A136="",U136="",V136=""),"",V136-U136)</f>
        <v/>
      </c>
      <c r="Y136" s="52">
        <f>IF(A136="","",COUNT(E136:T136))</f>
        <v/>
      </c>
    </row>
    <row r="137">
      <c r="A137" s="43">
        <f>IF(AND('Employees'!B14&lt;&gt;"",'Skills'!B9&lt;&gt;""),'Employees'!B14,"")</f>
        <v/>
      </c>
      <c r="B137" s="44">
        <f>IF(A137="","",'Employees'!C14)</f>
        <v/>
      </c>
      <c r="C137" s="50">
        <f>IF(A137="","",'Skills'!B9)</f>
        <v/>
      </c>
      <c r="D137" s="44">
        <f>IF(A137="","",'Skills'!C9)</f>
        <v/>
      </c>
      <c r="E137" s="51" t="inlineStr"/>
      <c r="F137" s="51" t="inlineStr"/>
      <c r="G137" s="51" t="inlineStr"/>
      <c r="H137" s="45" t="inlineStr"/>
      <c r="I137" s="51" t="inlineStr"/>
      <c r="J137" s="51" t="inlineStr"/>
      <c r="K137" s="51" t="inlineStr"/>
      <c r="L137" s="51" t="inlineStr"/>
      <c r="M137" s="51" t="inlineStr"/>
      <c r="N137" s="51" t="inlineStr"/>
      <c r="O137" s="51" t="inlineStr"/>
      <c r="P137" s="51" t="inlineStr"/>
      <c r="Q137" s="51" t="inlineStr"/>
      <c r="R137" s="51" t="inlineStr"/>
      <c r="S137" s="51" t="inlineStr"/>
      <c r="T137" s="51" t="inlineStr"/>
      <c r="U137" s="52">
        <f>IF(A137="","",IFERROR(INDEX(E137:T137,MATCH(TRUE,INDEX(E137:T137&lt;&gt;"",0),0)),""))</f>
        <v/>
      </c>
      <c r="V137" s="52">
        <f>IF(A137="","",IFERROR(LOOKUP(2,1/(E137:T137&lt;&gt;""),E137:T137),""))</f>
        <v/>
      </c>
      <c r="W137" s="53">
        <f>IF(OR(A137="",PreviousYear=""),"",IFERROR(LOOKUP(2,1/(E137:T137&lt;&gt;""),E137:T137)-INDEX(E137:T137,MATCH(PreviousYear,$E$5:$T$5,0)),""))</f>
        <v/>
      </c>
      <c r="X137" s="53">
        <f>IF(OR(A137="",U137="",V137=""),"",V137-U137)</f>
        <v/>
      </c>
      <c r="Y137" s="52">
        <f>IF(A137="","",COUNT(E137:T137))</f>
        <v/>
      </c>
    </row>
    <row r="138">
      <c r="A138" s="43">
        <f>IF(AND('Employees'!B14&lt;&gt;"",'Skills'!B10&lt;&gt;""),'Employees'!B14,"")</f>
        <v/>
      </c>
      <c r="B138" s="44">
        <f>IF(A138="","",'Employees'!C14)</f>
        <v/>
      </c>
      <c r="C138" s="50">
        <f>IF(A138="","",'Skills'!B10)</f>
        <v/>
      </c>
      <c r="D138" s="44">
        <f>IF(A138="","",'Skills'!C10)</f>
        <v/>
      </c>
      <c r="E138" s="51" t="inlineStr"/>
      <c r="F138" s="51" t="inlineStr"/>
      <c r="G138" s="51" t="inlineStr"/>
      <c r="H138" s="45" t="inlineStr"/>
      <c r="I138" s="51" t="inlineStr"/>
      <c r="J138" s="51" t="inlineStr"/>
      <c r="K138" s="51" t="inlineStr"/>
      <c r="L138" s="51" t="inlineStr"/>
      <c r="M138" s="51" t="inlineStr"/>
      <c r="N138" s="51" t="inlineStr"/>
      <c r="O138" s="51" t="inlineStr"/>
      <c r="P138" s="51" t="inlineStr"/>
      <c r="Q138" s="51" t="inlineStr"/>
      <c r="R138" s="51" t="inlineStr"/>
      <c r="S138" s="51" t="inlineStr"/>
      <c r="T138" s="51" t="inlineStr"/>
      <c r="U138" s="52">
        <f>IF(A138="","",IFERROR(INDEX(E138:T138,MATCH(TRUE,INDEX(E138:T138&lt;&gt;"",0),0)),""))</f>
        <v/>
      </c>
      <c r="V138" s="52">
        <f>IF(A138="","",IFERROR(LOOKUP(2,1/(E138:T138&lt;&gt;""),E138:T138),""))</f>
        <v/>
      </c>
      <c r="W138" s="53">
        <f>IF(OR(A138="",PreviousYear=""),"",IFERROR(LOOKUP(2,1/(E138:T138&lt;&gt;""),E138:T138)-INDEX(E138:T138,MATCH(PreviousYear,$E$5:$T$5,0)),""))</f>
        <v/>
      </c>
      <c r="X138" s="53">
        <f>IF(OR(A138="",U138="",V138=""),"",V138-U138)</f>
        <v/>
      </c>
      <c r="Y138" s="52">
        <f>IF(A138="","",COUNT(E138:T138))</f>
        <v/>
      </c>
    </row>
    <row r="139">
      <c r="A139" s="43">
        <f>IF(AND('Employees'!B14&lt;&gt;"",'Skills'!B11&lt;&gt;""),'Employees'!B14,"")</f>
        <v/>
      </c>
      <c r="B139" s="44">
        <f>IF(A139="","",'Employees'!C14)</f>
        <v/>
      </c>
      <c r="C139" s="50">
        <f>IF(A139="","",'Skills'!B11)</f>
        <v/>
      </c>
      <c r="D139" s="44">
        <f>IF(A139="","",'Skills'!C11)</f>
        <v/>
      </c>
      <c r="E139" s="51" t="inlineStr"/>
      <c r="F139" s="51" t="inlineStr"/>
      <c r="G139" s="51" t="inlineStr"/>
      <c r="H139" s="45" t="inlineStr"/>
      <c r="I139" s="51" t="inlineStr"/>
      <c r="J139" s="51" t="inlineStr"/>
      <c r="K139" s="51" t="inlineStr"/>
      <c r="L139" s="51" t="inlineStr"/>
      <c r="M139" s="51" t="inlineStr"/>
      <c r="N139" s="51" t="inlineStr"/>
      <c r="O139" s="51" t="inlineStr"/>
      <c r="P139" s="51" t="inlineStr"/>
      <c r="Q139" s="51" t="inlineStr"/>
      <c r="R139" s="51" t="inlineStr"/>
      <c r="S139" s="51" t="inlineStr"/>
      <c r="T139" s="51" t="inlineStr"/>
      <c r="U139" s="52">
        <f>IF(A139="","",IFERROR(INDEX(E139:T139,MATCH(TRUE,INDEX(E139:T139&lt;&gt;"",0),0)),""))</f>
        <v/>
      </c>
      <c r="V139" s="52">
        <f>IF(A139="","",IFERROR(LOOKUP(2,1/(E139:T139&lt;&gt;""),E139:T139),""))</f>
        <v/>
      </c>
      <c r="W139" s="53">
        <f>IF(OR(A139="",PreviousYear=""),"",IFERROR(LOOKUP(2,1/(E139:T139&lt;&gt;""),E139:T139)-INDEX(E139:T139,MATCH(PreviousYear,$E$5:$T$5,0)),""))</f>
        <v/>
      </c>
      <c r="X139" s="53">
        <f>IF(OR(A139="",U139="",V139=""),"",V139-U139)</f>
        <v/>
      </c>
      <c r="Y139" s="52">
        <f>IF(A139="","",COUNT(E139:T139))</f>
        <v/>
      </c>
    </row>
    <row r="140">
      <c r="A140" s="43">
        <f>IF(AND('Employees'!B14&lt;&gt;"",'Skills'!B12&lt;&gt;""),'Employees'!B14,"")</f>
        <v/>
      </c>
      <c r="B140" s="44">
        <f>IF(A140="","",'Employees'!C14)</f>
        <v/>
      </c>
      <c r="C140" s="50">
        <f>IF(A140="","",'Skills'!B12)</f>
        <v/>
      </c>
      <c r="D140" s="44">
        <f>IF(A140="","",'Skills'!C12)</f>
        <v/>
      </c>
      <c r="E140" s="51" t="inlineStr"/>
      <c r="F140" s="51" t="inlineStr"/>
      <c r="G140" s="51" t="inlineStr"/>
      <c r="H140" s="45" t="inlineStr"/>
      <c r="I140" s="51" t="inlineStr"/>
      <c r="J140" s="51" t="inlineStr"/>
      <c r="K140" s="51" t="inlineStr"/>
      <c r="L140" s="51" t="inlineStr"/>
      <c r="M140" s="51" t="inlineStr"/>
      <c r="N140" s="51" t="inlineStr"/>
      <c r="O140" s="51" t="inlineStr"/>
      <c r="P140" s="51" t="inlineStr"/>
      <c r="Q140" s="51" t="inlineStr"/>
      <c r="R140" s="51" t="inlineStr"/>
      <c r="S140" s="51" t="inlineStr"/>
      <c r="T140" s="51" t="inlineStr"/>
      <c r="U140" s="52">
        <f>IF(A140="","",IFERROR(INDEX(E140:T140,MATCH(TRUE,INDEX(E140:T140&lt;&gt;"",0),0)),""))</f>
        <v/>
      </c>
      <c r="V140" s="52">
        <f>IF(A140="","",IFERROR(LOOKUP(2,1/(E140:T140&lt;&gt;""),E140:T140),""))</f>
        <v/>
      </c>
      <c r="W140" s="53">
        <f>IF(OR(A140="",PreviousYear=""),"",IFERROR(LOOKUP(2,1/(E140:T140&lt;&gt;""),E140:T140)-INDEX(E140:T140,MATCH(PreviousYear,$E$5:$T$5,0)),""))</f>
        <v/>
      </c>
      <c r="X140" s="53">
        <f>IF(OR(A140="",U140="",V140=""),"",V140-U140)</f>
        <v/>
      </c>
      <c r="Y140" s="52">
        <f>IF(A140="","",COUNT(E140:T140))</f>
        <v/>
      </c>
    </row>
    <row r="141">
      <c r="A141" s="43">
        <f>IF(AND('Employees'!B14&lt;&gt;"",'Skills'!B13&lt;&gt;""),'Employees'!B14,"")</f>
        <v/>
      </c>
      <c r="B141" s="44">
        <f>IF(A141="","",'Employees'!C14)</f>
        <v/>
      </c>
      <c r="C141" s="50">
        <f>IF(A141="","",'Skills'!B13)</f>
        <v/>
      </c>
      <c r="D141" s="44">
        <f>IF(A141="","",'Skills'!C13)</f>
        <v/>
      </c>
      <c r="E141" s="51" t="inlineStr"/>
      <c r="F141" s="51" t="inlineStr"/>
      <c r="G141" s="51" t="inlineStr"/>
      <c r="H141" s="45" t="inlineStr"/>
      <c r="I141" s="51" t="inlineStr"/>
      <c r="J141" s="51" t="inlineStr"/>
      <c r="K141" s="51" t="inlineStr"/>
      <c r="L141" s="51" t="inlineStr"/>
      <c r="M141" s="51" t="inlineStr"/>
      <c r="N141" s="51" t="inlineStr"/>
      <c r="O141" s="51" t="inlineStr"/>
      <c r="P141" s="51" t="inlineStr"/>
      <c r="Q141" s="51" t="inlineStr"/>
      <c r="R141" s="51" t="inlineStr"/>
      <c r="S141" s="51" t="inlineStr"/>
      <c r="T141" s="51" t="inlineStr"/>
      <c r="U141" s="52">
        <f>IF(A141="","",IFERROR(INDEX(E141:T141,MATCH(TRUE,INDEX(E141:T141&lt;&gt;"",0),0)),""))</f>
        <v/>
      </c>
      <c r="V141" s="52">
        <f>IF(A141="","",IFERROR(LOOKUP(2,1/(E141:T141&lt;&gt;""),E141:T141),""))</f>
        <v/>
      </c>
      <c r="W141" s="53">
        <f>IF(OR(A141="",PreviousYear=""),"",IFERROR(LOOKUP(2,1/(E141:T141&lt;&gt;""),E141:T141)-INDEX(E141:T141,MATCH(PreviousYear,$E$5:$T$5,0)),""))</f>
        <v/>
      </c>
      <c r="X141" s="53">
        <f>IF(OR(A141="",U141="",V141=""),"",V141-U141)</f>
        <v/>
      </c>
      <c r="Y141" s="52">
        <f>IF(A141="","",COUNT(E141:T141))</f>
        <v/>
      </c>
    </row>
    <row r="142">
      <c r="A142" s="43">
        <f>IF(AND('Employees'!B14&lt;&gt;"",'Skills'!B14&lt;&gt;""),'Employees'!B14,"")</f>
        <v/>
      </c>
      <c r="B142" s="44">
        <f>IF(A142="","",'Employees'!C14)</f>
        <v/>
      </c>
      <c r="C142" s="50">
        <f>IF(A142="","",'Skills'!B14)</f>
        <v/>
      </c>
      <c r="D142" s="44">
        <f>IF(A142="","",'Skills'!C14)</f>
        <v/>
      </c>
      <c r="E142" s="51" t="inlineStr"/>
      <c r="F142" s="51" t="inlineStr"/>
      <c r="G142" s="51" t="inlineStr"/>
      <c r="H142" s="45" t="inlineStr"/>
      <c r="I142" s="51" t="inlineStr"/>
      <c r="J142" s="51" t="inlineStr"/>
      <c r="K142" s="51" t="inlineStr"/>
      <c r="L142" s="51" t="inlineStr"/>
      <c r="M142" s="51" t="inlineStr"/>
      <c r="N142" s="51" t="inlineStr"/>
      <c r="O142" s="51" t="inlineStr"/>
      <c r="P142" s="51" t="inlineStr"/>
      <c r="Q142" s="51" t="inlineStr"/>
      <c r="R142" s="51" t="inlineStr"/>
      <c r="S142" s="51" t="inlineStr"/>
      <c r="T142" s="51" t="inlineStr"/>
      <c r="U142" s="52">
        <f>IF(A142="","",IFERROR(INDEX(E142:T142,MATCH(TRUE,INDEX(E142:T142&lt;&gt;"",0),0)),""))</f>
        <v/>
      </c>
      <c r="V142" s="52">
        <f>IF(A142="","",IFERROR(LOOKUP(2,1/(E142:T142&lt;&gt;""),E142:T142),""))</f>
        <v/>
      </c>
      <c r="W142" s="53">
        <f>IF(OR(A142="",PreviousYear=""),"",IFERROR(LOOKUP(2,1/(E142:T142&lt;&gt;""),E142:T142)-INDEX(E142:T142,MATCH(PreviousYear,$E$5:$T$5,0)),""))</f>
        <v/>
      </c>
      <c r="X142" s="53">
        <f>IF(OR(A142="",U142="",V142=""),"",V142-U142)</f>
        <v/>
      </c>
      <c r="Y142" s="52">
        <f>IF(A142="","",COUNT(E142:T142))</f>
        <v/>
      </c>
    </row>
    <row r="143">
      <c r="A143" s="43">
        <f>IF(AND('Employees'!B14&lt;&gt;"",'Skills'!B15&lt;&gt;""),'Employees'!B14,"")</f>
        <v/>
      </c>
      <c r="B143" s="44">
        <f>IF(A143="","",'Employees'!C14)</f>
        <v/>
      </c>
      <c r="C143" s="50">
        <f>IF(A143="","",'Skills'!B15)</f>
        <v/>
      </c>
      <c r="D143" s="44">
        <f>IF(A143="","",'Skills'!C15)</f>
        <v/>
      </c>
      <c r="E143" s="51" t="inlineStr"/>
      <c r="F143" s="51" t="inlineStr"/>
      <c r="G143" s="51" t="inlineStr"/>
      <c r="H143" s="45" t="inlineStr"/>
      <c r="I143" s="51" t="inlineStr"/>
      <c r="J143" s="51" t="inlineStr"/>
      <c r="K143" s="51" t="inlineStr"/>
      <c r="L143" s="51" t="inlineStr"/>
      <c r="M143" s="51" t="inlineStr"/>
      <c r="N143" s="51" t="inlineStr"/>
      <c r="O143" s="51" t="inlineStr"/>
      <c r="P143" s="51" t="inlineStr"/>
      <c r="Q143" s="51" t="inlineStr"/>
      <c r="R143" s="51" t="inlineStr"/>
      <c r="S143" s="51" t="inlineStr"/>
      <c r="T143" s="51" t="inlineStr"/>
      <c r="U143" s="52">
        <f>IF(A143="","",IFERROR(INDEX(E143:T143,MATCH(TRUE,INDEX(E143:T143&lt;&gt;"",0),0)),""))</f>
        <v/>
      </c>
      <c r="V143" s="52">
        <f>IF(A143="","",IFERROR(LOOKUP(2,1/(E143:T143&lt;&gt;""),E143:T143),""))</f>
        <v/>
      </c>
      <c r="W143" s="53">
        <f>IF(OR(A143="",PreviousYear=""),"",IFERROR(LOOKUP(2,1/(E143:T143&lt;&gt;""),E143:T143)-INDEX(E143:T143,MATCH(PreviousYear,$E$5:$T$5,0)),""))</f>
        <v/>
      </c>
      <c r="X143" s="53">
        <f>IF(OR(A143="",U143="",V143=""),"",V143-U143)</f>
        <v/>
      </c>
      <c r="Y143" s="52">
        <f>IF(A143="","",COUNT(E143:T143))</f>
        <v/>
      </c>
    </row>
    <row r="144">
      <c r="A144" s="43">
        <f>IF(AND('Employees'!B14&lt;&gt;"",'Skills'!B16&lt;&gt;""),'Employees'!B14,"")</f>
        <v/>
      </c>
      <c r="B144" s="44">
        <f>IF(A144="","",'Employees'!C14)</f>
        <v/>
      </c>
      <c r="C144" s="50">
        <f>IF(A144="","",'Skills'!B16)</f>
        <v/>
      </c>
      <c r="D144" s="44">
        <f>IF(A144="","",'Skills'!C16)</f>
        <v/>
      </c>
      <c r="E144" s="51" t="inlineStr"/>
      <c r="F144" s="51" t="inlineStr"/>
      <c r="G144" s="51" t="inlineStr"/>
      <c r="H144" s="45" t="inlineStr"/>
      <c r="I144" s="51" t="inlineStr"/>
      <c r="J144" s="51" t="inlineStr"/>
      <c r="K144" s="51" t="inlineStr"/>
      <c r="L144" s="51" t="inlineStr"/>
      <c r="M144" s="51" t="inlineStr"/>
      <c r="N144" s="51" t="inlineStr"/>
      <c r="O144" s="51" t="inlineStr"/>
      <c r="P144" s="51" t="inlineStr"/>
      <c r="Q144" s="51" t="inlineStr"/>
      <c r="R144" s="51" t="inlineStr"/>
      <c r="S144" s="51" t="inlineStr"/>
      <c r="T144" s="51" t="inlineStr"/>
      <c r="U144" s="52">
        <f>IF(A144="","",IFERROR(INDEX(E144:T144,MATCH(TRUE,INDEX(E144:T144&lt;&gt;"",0),0)),""))</f>
        <v/>
      </c>
      <c r="V144" s="52">
        <f>IF(A144="","",IFERROR(LOOKUP(2,1/(E144:T144&lt;&gt;""),E144:T144),""))</f>
        <v/>
      </c>
      <c r="W144" s="53">
        <f>IF(OR(A144="",PreviousYear=""),"",IFERROR(LOOKUP(2,1/(E144:T144&lt;&gt;""),E144:T144)-INDEX(E144:T144,MATCH(PreviousYear,$E$5:$T$5,0)),""))</f>
        <v/>
      </c>
      <c r="X144" s="53">
        <f>IF(OR(A144="",U144="",V144=""),"",V144-U144)</f>
        <v/>
      </c>
      <c r="Y144" s="52">
        <f>IF(A144="","",COUNT(E144:T144))</f>
        <v/>
      </c>
    </row>
    <row r="145">
      <c r="A145" s="43">
        <f>IF(AND('Employees'!B14&lt;&gt;"",'Skills'!B17&lt;&gt;""),'Employees'!B14,"")</f>
        <v/>
      </c>
      <c r="B145" s="44">
        <f>IF(A145="","",'Employees'!C14)</f>
        <v/>
      </c>
      <c r="C145" s="50">
        <f>IF(A145="","",'Skills'!B17)</f>
        <v/>
      </c>
      <c r="D145" s="44">
        <f>IF(A145="","",'Skills'!C17)</f>
        <v/>
      </c>
      <c r="E145" s="51" t="inlineStr"/>
      <c r="F145" s="51" t="inlineStr"/>
      <c r="G145" s="51" t="inlineStr"/>
      <c r="H145" s="45" t="inlineStr"/>
      <c r="I145" s="51" t="inlineStr"/>
      <c r="J145" s="51" t="inlineStr"/>
      <c r="K145" s="51" t="inlineStr"/>
      <c r="L145" s="51" t="inlineStr"/>
      <c r="M145" s="51" t="inlineStr"/>
      <c r="N145" s="51" t="inlineStr"/>
      <c r="O145" s="51" t="inlineStr"/>
      <c r="P145" s="51" t="inlineStr"/>
      <c r="Q145" s="51" t="inlineStr"/>
      <c r="R145" s="51" t="inlineStr"/>
      <c r="S145" s="51" t="inlineStr"/>
      <c r="T145" s="51" t="inlineStr"/>
      <c r="U145" s="52">
        <f>IF(A145="","",IFERROR(INDEX(E145:T145,MATCH(TRUE,INDEX(E145:T145&lt;&gt;"",0),0)),""))</f>
        <v/>
      </c>
      <c r="V145" s="52">
        <f>IF(A145="","",IFERROR(LOOKUP(2,1/(E145:T145&lt;&gt;""),E145:T145),""))</f>
        <v/>
      </c>
      <c r="W145" s="53">
        <f>IF(OR(A145="",PreviousYear=""),"",IFERROR(LOOKUP(2,1/(E145:T145&lt;&gt;""),E145:T145)-INDEX(E145:T145,MATCH(PreviousYear,$E$5:$T$5,0)),""))</f>
        <v/>
      </c>
      <c r="X145" s="53">
        <f>IF(OR(A145="",U145="",V145=""),"",V145-U145)</f>
        <v/>
      </c>
      <c r="Y145" s="52">
        <f>IF(A145="","",COUNT(E145:T145))</f>
        <v/>
      </c>
    </row>
    <row r="146">
      <c r="A146" s="43">
        <f>IF(AND('Employees'!B14&lt;&gt;"",'Skills'!B18&lt;&gt;""),'Employees'!B14,"")</f>
        <v/>
      </c>
      <c r="B146" s="44">
        <f>IF(A146="","",'Employees'!C14)</f>
        <v/>
      </c>
      <c r="C146" s="50">
        <f>IF(A146="","",'Skills'!B18)</f>
        <v/>
      </c>
      <c r="D146" s="44">
        <f>IF(A146="","",'Skills'!C18)</f>
        <v/>
      </c>
      <c r="E146" s="51" t="inlineStr"/>
      <c r="F146" s="51" t="inlineStr"/>
      <c r="G146" s="51" t="inlineStr"/>
      <c r="H146" s="45" t="inlineStr"/>
      <c r="I146" s="51" t="inlineStr"/>
      <c r="J146" s="51" t="inlineStr"/>
      <c r="K146" s="51" t="inlineStr"/>
      <c r="L146" s="51" t="inlineStr"/>
      <c r="M146" s="51" t="inlineStr"/>
      <c r="N146" s="51" t="inlineStr"/>
      <c r="O146" s="51" t="inlineStr"/>
      <c r="P146" s="51" t="inlineStr"/>
      <c r="Q146" s="51" t="inlineStr"/>
      <c r="R146" s="51" t="inlineStr"/>
      <c r="S146" s="51" t="inlineStr"/>
      <c r="T146" s="51" t="inlineStr"/>
      <c r="U146" s="52">
        <f>IF(A146="","",IFERROR(INDEX(E146:T146,MATCH(TRUE,INDEX(E146:T146&lt;&gt;"",0),0)),""))</f>
        <v/>
      </c>
      <c r="V146" s="52">
        <f>IF(A146="","",IFERROR(LOOKUP(2,1/(E146:T146&lt;&gt;""),E146:T146),""))</f>
        <v/>
      </c>
      <c r="W146" s="53">
        <f>IF(OR(A146="",PreviousYear=""),"",IFERROR(LOOKUP(2,1/(E146:T146&lt;&gt;""),E146:T146)-INDEX(E146:T146,MATCH(PreviousYear,$E$5:$T$5,0)),""))</f>
        <v/>
      </c>
      <c r="X146" s="53">
        <f>IF(OR(A146="",U146="",V146=""),"",V146-U146)</f>
        <v/>
      </c>
      <c r="Y146" s="52">
        <f>IF(A146="","",COUNT(E146:T146))</f>
        <v/>
      </c>
    </row>
    <row r="147">
      <c r="A147" s="43">
        <f>IF(AND('Employees'!B14&lt;&gt;"",'Skills'!B19&lt;&gt;""),'Employees'!B14,"")</f>
        <v/>
      </c>
      <c r="B147" s="44">
        <f>IF(A147="","",'Employees'!C14)</f>
        <v/>
      </c>
      <c r="C147" s="50">
        <f>IF(A147="","",'Skills'!B19)</f>
        <v/>
      </c>
      <c r="D147" s="44">
        <f>IF(A147="","",'Skills'!C19)</f>
        <v/>
      </c>
      <c r="E147" s="51" t="inlineStr"/>
      <c r="F147" s="51" t="inlineStr"/>
      <c r="G147" s="51" t="inlineStr"/>
      <c r="H147" s="45" t="inlineStr"/>
      <c r="I147" s="51" t="inlineStr"/>
      <c r="J147" s="51" t="inlineStr"/>
      <c r="K147" s="51" t="inlineStr"/>
      <c r="L147" s="51" t="inlineStr"/>
      <c r="M147" s="51" t="inlineStr"/>
      <c r="N147" s="51" t="inlineStr"/>
      <c r="O147" s="51" t="inlineStr"/>
      <c r="P147" s="51" t="inlineStr"/>
      <c r="Q147" s="51" t="inlineStr"/>
      <c r="R147" s="51" t="inlineStr"/>
      <c r="S147" s="51" t="inlineStr"/>
      <c r="T147" s="51" t="inlineStr"/>
      <c r="U147" s="52">
        <f>IF(A147="","",IFERROR(INDEX(E147:T147,MATCH(TRUE,INDEX(E147:T147&lt;&gt;"",0),0)),""))</f>
        <v/>
      </c>
      <c r="V147" s="52">
        <f>IF(A147="","",IFERROR(LOOKUP(2,1/(E147:T147&lt;&gt;""),E147:T147),""))</f>
        <v/>
      </c>
      <c r="W147" s="53">
        <f>IF(OR(A147="",PreviousYear=""),"",IFERROR(LOOKUP(2,1/(E147:T147&lt;&gt;""),E147:T147)-INDEX(E147:T147,MATCH(PreviousYear,$E$5:$T$5,0)),""))</f>
        <v/>
      </c>
      <c r="X147" s="53">
        <f>IF(OR(A147="",U147="",V147=""),"",V147-U147)</f>
        <v/>
      </c>
      <c r="Y147" s="52">
        <f>IF(A147="","",COUNT(E147:T147))</f>
        <v/>
      </c>
    </row>
    <row r="148">
      <c r="A148" s="43">
        <f>IF(AND('Employees'!B14&lt;&gt;"",'Skills'!B20&lt;&gt;""),'Employees'!B14,"")</f>
        <v/>
      </c>
      <c r="B148" s="44">
        <f>IF(A148="","",'Employees'!C14)</f>
        <v/>
      </c>
      <c r="C148" s="50">
        <f>IF(A148="","",'Skills'!B20)</f>
        <v/>
      </c>
      <c r="D148" s="44">
        <f>IF(A148="","",'Skills'!C20)</f>
        <v/>
      </c>
      <c r="E148" s="51" t="inlineStr"/>
      <c r="F148" s="51" t="inlineStr"/>
      <c r="G148" s="51" t="inlineStr"/>
      <c r="H148" s="45" t="inlineStr"/>
      <c r="I148" s="51" t="inlineStr"/>
      <c r="J148" s="51" t="inlineStr"/>
      <c r="K148" s="51" t="inlineStr"/>
      <c r="L148" s="51" t="inlineStr"/>
      <c r="M148" s="51" t="inlineStr"/>
      <c r="N148" s="51" t="inlineStr"/>
      <c r="O148" s="51" t="inlineStr"/>
      <c r="P148" s="51" t="inlineStr"/>
      <c r="Q148" s="51" t="inlineStr"/>
      <c r="R148" s="51" t="inlineStr"/>
      <c r="S148" s="51" t="inlineStr"/>
      <c r="T148" s="51" t="inlineStr"/>
      <c r="U148" s="52">
        <f>IF(A148="","",IFERROR(INDEX(E148:T148,MATCH(TRUE,INDEX(E148:T148&lt;&gt;"",0),0)),""))</f>
        <v/>
      </c>
      <c r="V148" s="52">
        <f>IF(A148="","",IFERROR(LOOKUP(2,1/(E148:T148&lt;&gt;""),E148:T148),""))</f>
        <v/>
      </c>
      <c r="W148" s="53">
        <f>IF(OR(A148="",PreviousYear=""),"",IFERROR(LOOKUP(2,1/(E148:T148&lt;&gt;""),E148:T148)-INDEX(E148:T148,MATCH(PreviousYear,$E$5:$T$5,0)),""))</f>
        <v/>
      </c>
      <c r="X148" s="53">
        <f>IF(OR(A148="",U148="",V148=""),"",V148-U148)</f>
        <v/>
      </c>
      <c r="Y148" s="52">
        <f>IF(A148="","",COUNT(E148:T148))</f>
        <v/>
      </c>
    </row>
    <row r="149">
      <c r="A149" s="43">
        <f>IF(AND('Employees'!B14&lt;&gt;"",'Skills'!B21&lt;&gt;""),'Employees'!B14,"")</f>
        <v/>
      </c>
      <c r="B149" s="44">
        <f>IF(A149="","",'Employees'!C14)</f>
        <v/>
      </c>
      <c r="C149" s="50">
        <f>IF(A149="","",'Skills'!B21)</f>
        <v/>
      </c>
      <c r="D149" s="44">
        <f>IF(A149="","",'Skills'!C21)</f>
        <v/>
      </c>
      <c r="E149" s="51" t="inlineStr"/>
      <c r="F149" s="51" t="inlineStr"/>
      <c r="G149" s="51" t="inlineStr"/>
      <c r="H149" s="45" t="inlineStr"/>
      <c r="I149" s="51" t="inlineStr"/>
      <c r="J149" s="51" t="inlineStr"/>
      <c r="K149" s="51" t="inlineStr"/>
      <c r="L149" s="51" t="inlineStr"/>
      <c r="M149" s="51" t="inlineStr"/>
      <c r="N149" s="51" t="inlineStr"/>
      <c r="O149" s="51" t="inlineStr"/>
      <c r="P149" s="51" t="inlineStr"/>
      <c r="Q149" s="51" t="inlineStr"/>
      <c r="R149" s="51" t="inlineStr"/>
      <c r="S149" s="51" t="inlineStr"/>
      <c r="T149" s="51" t="inlineStr"/>
      <c r="U149" s="52">
        <f>IF(A149="","",IFERROR(INDEX(E149:T149,MATCH(TRUE,INDEX(E149:T149&lt;&gt;"",0),0)),""))</f>
        <v/>
      </c>
      <c r="V149" s="52">
        <f>IF(A149="","",IFERROR(LOOKUP(2,1/(E149:T149&lt;&gt;""),E149:T149),""))</f>
        <v/>
      </c>
      <c r="W149" s="53">
        <f>IF(OR(A149="",PreviousYear=""),"",IFERROR(LOOKUP(2,1/(E149:T149&lt;&gt;""),E149:T149)-INDEX(E149:T149,MATCH(PreviousYear,$E$5:$T$5,0)),""))</f>
        <v/>
      </c>
      <c r="X149" s="53">
        <f>IF(OR(A149="",U149="",V149=""),"",V149-U149)</f>
        <v/>
      </c>
      <c r="Y149" s="52">
        <f>IF(A149="","",COUNT(E149:T149))</f>
        <v/>
      </c>
    </row>
    <row r="150">
      <c r="A150" s="43">
        <f>IF(AND('Employees'!B15&lt;&gt;"",'Skills'!B6&lt;&gt;""),'Employees'!B15,"")</f>
        <v/>
      </c>
      <c r="B150" s="44">
        <f>IF(A150="","",'Employees'!C15)</f>
        <v/>
      </c>
      <c r="C150" s="50">
        <f>IF(A150="","",'Skills'!B6)</f>
        <v/>
      </c>
      <c r="D150" s="44">
        <f>IF(A150="","",'Skills'!C6)</f>
        <v/>
      </c>
      <c r="E150" s="51" t="inlineStr"/>
      <c r="F150" s="51" t="inlineStr"/>
      <c r="G150" s="51" t="inlineStr"/>
      <c r="H150" s="45" t="inlineStr"/>
      <c r="I150" s="51" t="inlineStr"/>
      <c r="J150" s="51" t="inlineStr"/>
      <c r="K150" s="51" t="inlineStr"/>
      <c r="L150" s="51" t="inlineStr"/>
      <c r="M150" s="51" t="inlineStr"/>
      <c r="N150" s="51" t="inlineStr"/>
      <c r="O150" s="51" t="inlineStr"/>
      <c r="P150" s="51" t="inlineStr"/>
      <c r="Q150" s="51" t="inlineStr"/>
      <c r="R150" s="51" t="inlineStr"/>
      <c r="S150" s="51" t="inlineStr"/>
      <c r="T150" s="51" t="inlineStr"/>
      <c r="U150" s="52">
        <f>IF(A150="","",IFERROR(INDEX(E150:T150,MATCH(TRUE,INDEX(E150:T150&lt;&gt;"",0),0)),""))</f>
        <v/>
      </c>
      <c r="V150" s="52">
        <f>IF(A150="","",IFERROR(LOOKUP(2,1/(E150:T150&lt;&gt;""),E150:T150),""))</f>
        <v/>
      </c>
      <c r="W150" s="53">
        <f>IF(OR(A150="",PreviousYear=""),"",IFERROR(LOOKUP(2,1/(E150:T150&lt;&gt;""),E150:T150)-INDEX(E150:T150,MATCH(PreviousYear,$E$5:$T$5,0)),""))</f>
        <v/>
      </c>
      <c r="X150" s="53">
        <f>IF(OR(A150="",U150="",V150=""),"",V150-U150)</f>
        <v/>
      </c>
      <c r="Y150" s="52">
        <f>IF(A150="","",COUNT(E150:T150))</f>
        <v/>
      </c>
    </row>
    <row r="151">
      <c r="A151" s="43">
        <f>IF(AND('Employees'!B15&lt;&gt;"",'Skills'!B7&lt;&gt;""),'Employees'!B15,"")</f>
        <v/>
      </c>
      <c r="B151" s="44">
        <f>IF(A151="","",'Employees'!C15)</f>
        <v/>
      </c>
      <c r="C151" s="50">
        <f>IF(A151="","",'Skills'!B7)</f>
        <v/>
      </c>
      <c r="D151" s="44">
        <f>IF(A151="","",'Skills'!C7)</f>
        <v/>
      </c>
      <c r="E151" s="51" t="inlineStr"/>
      <c r="F151" s="51" t="inlineStr"/>
      <c r="G151" s="51" t="inlineStr"/>
      <c r="H151" s="45" t="inlineStr"/>
      <c r="I151" s="51" t="inlineStr"/>
      <c r="J151" s="51" t="inlineStr"/>
      <c r="K151" s="51" t="inlineStr"/>
      <c r="L151" s="51" t="inlineStr"/>
      <c r="M151" s="51" t="inlineStr"/>
      <c r="N151" s="51" t="inlineStr"/>
      <c r="O151" s="51" t="inlineStr"/>
      <c r="P151" s="51" t="inlineStr"/>
      <c r="Q151" s="51" t="inlineStr"/>
      <c r="R151" s="51" t="inlineStr"/>
      <c r="S151" s="51" t="inlineStr"/>
      <c r="T151" s="51" t="inlineStr"/>
      <c r="U151" s="52">
        <f>IF(A151="","",IFERROR(INDEX(E151:T151,MATCH(TRUE,INDEX(E151:T151&lt;&gt;"",0),0)),""))</f>
        <v/>
      </c>
      <c r="V151" s="52">
        <f>IF(A151="","",IFERROR(LOOKUP(2,1/(E151:T151&lt;&gt;""),E151:T151),""))</f>
        <v/>
      </c>
      <c r="W151" s="53">
        <f>IF(OR(A151="",PreviousYear=""),"",IFERROR(LOOKUP(2,1/(E151:T151&lt;&gt;""),E151:T151)-INDEX(E151:T151,MATCH(PreviousYear,$E$5:$T$5,0)),""))</f>
        <v/>
      </c>
      <c r="X151" s="53">
        <f>IF(OR(A151="",U151="",V151=""),"",V151-U151)</f>
        <v/>
      </c>
      <c r="Y151" s="52">
        <f>IF(A151="","",COUNT(E151:T151))</f>
        <v/>
      </c>
    </row>
    <row r="152">
      <c r="A152" s="43">
        <f>IF(AND('Employees'!B15&lt;&gt;"",'Skills'!B8&lt;&gt;""),'Employees'!B15,"")</f>
        <v/>
      </c>
      <c r="B152" s="44">
        <f>IF(A152="","",'Employees'!C15)</f>
        <v/>
      </c>
      <c r="C152" s="50">
        <f>IF(A152="","",'Skills'!B8)</f>
        <v/>
      </c>
      <c r="D152" s="44">
        <f>IF(A152="","",'Skills'!C8)</f>
        <v/>
      </c>
      <c r="E152" s="51" t="inlineStr"/>
      <c r="F152" s="51" t="inlineStr"/>
      <c r="G152" s="51" t="inlineStr"/>
      <c r="H152" s="45" t="inlineStr"/>
      <c r="I152" s="51" t="inlineStr"/>
      <c r="J152" s="51" t="inlineStr"/>
      <c r="K152" s="51" t="inlineStr"/>
      <c r="L152" s="51" t="inlineStr"/>
      <c r="M152" s="51" t="inlineStr"/>
      <c r="N152" s="51" t="inlineStr"/>
      <c r="O152" s="51" t="inlineStr"/>
      <c r="P152" s="51" t="inlineStr"/>
      <c r="Q152" s="51" t="inlineStr"/>
      <c r="R152" s="51" t="inlineStr"/>
      <c r="S152" s="51" t="inlineStr"/>
      <c r="T152" s="51" t="inlineStr"/>
      <c r="U152" s="52">
        <f>IF(A152="","",IFERROR(INDEX(E152:T152,MATCH(TRUE,INDEX(E152:T152&lt;&gt;"",0),0)),""))</f>
        <v/>
      </c>
      <c r="V152" s="52">
        <f>IF(A152="","",IFERROR(LOOKUP(2,1/(E152:T152&lt;&gt;""),E152:T152),""))</f>
        <v/>
      </c>
      <c r="W152" s="53">
        <f>IF(OR(A152="",PreviousYear=""),"",IFERROR(LOOKUP(2,1/(E152:T152&lt;&gt;""),E152:T152)-INDEX(E152:T152,MATCH(PreviousYear,$E$5:$T$5,0)),""))</f>
        <v/>
      </c>
      <c r="X152" s="53">
        <f>IF(OR(A152="",U152="",V152=""),"",V152-U152)</f>
        <v/>
      </c>
      <c r="Y152" s="52">
        <f>IF(A152="","",COUNT(E152:T152))</f>
        <v/>
      </c>
    </row>
    <row r="153">
      <c r="A153" s="43">
        <f>IF(AND('Employees'!B15&lt;&gt;"",'Skills'!B9&lt;&gt;""),'Employees'!B15,"")</f>
        <v/>
      </c>
      <c r="B153" s="44">
        <f>IF(A153="","",'Employees'!C15)</f>
        <v/>
      </c>
      <c r="C153" s="50">
        <f>IF(A153="","",'Skills'!B9)</f>
        <v/>
      </c>
      <c r="D153" s="44">
        <f>IF(A153="","",'Skills'!C9)</f>
        <v/>
      </c>
      <c r="E153" s="51" t="inlineStr"/>
      <c r="F153" s="51" t="inlineStr"/>
      <c r="G153" s="51" t="inlineStr"/>
      <c r="H153" s="45" t="inlineStr"/>
      <c r="I153" s="51" t="inlineStr"/>
      <c r="J153" s="51" t="inlineStr"/>
      <c r="K153" s="51" t="inlineStr"/>
      <c r="L153" s="51" t="inlineStr"/>
      <c r="M153" s="51" t="inlineStr"/>
      <c r="N153" s="51" t="inlineStr"/>
      <c r="O153" s="51" t="inlineStr"/>
      <c r="P153" s="51" t="inlineStr"/>
      <c r="Q153" s="51" t="inlineStr"/>
      <c r="R153" s="51" t="inlineStr"/>
      <c r="S153" s="51" t="inlineStr"/>
      <c r="T153" s="51" t="inlineStr"/>
      <c r="U153" s="52">
        <f>IF(A153="","",IFERROR(INDEX(E153:T153,MATCH(TRUE,INDEX(E153:T153&lt;&gt;"",0),0)),""))</f>
        <v/>
      </c>
      <c r="V153" s="52">
        <f>IF(A153="","",IFERROR(LOOKUP(2,1/(E153:T153&lt;&gt;""),E153:T153),""))</f>
        <v/>
      </c>
      <c r="W153" s="53">
        <f>IF(OR(A153="",PreviousYear=""),"",IFERROR(LOOKUP(2,1/(E153:T153&lt;&gt;""),E153:T153)-INDEX(E153:T153,MATCH(PreviousYear,$E$5:$T$5,0)),""))</f>
        <v/>
      </c>
      <c r="X153" s="53">
        <f>IF(OR(A153="",U153="",V153=""),"",V153-U153)</f>
        <v/>
      </c>
      <c r="Y153" s="52">
        <f>IF(A153="","",COUNT(E153:T153))</f>
        <v/>
      </c>
    </row>
    <row r="154">
      <c r="A154" s="43">
        <f>IF(AND('Employees'!B15&lt;&gt;"",'Skills'!B10&lt;&gt;""),'Employees'!B15,"")</f>
        <v/>
      </c>
      <c r="B154" s="44">
        <f>IF(A154="","",'Employees'!C15)</f>
        <v/>
      </c>
      <c r="C154" s="50">
        <f>IF(A154="","",'Skills'!B10)</f>
        <v/>
      </c>
      <c r="D154" s="44">
        <f>IF(A154="","",'Skills'!C10)</f>
        <v/>
      </c>
      <c r="E154" s="51" t="inlineStr"/>
      <c r="F154" s="51" t="inlineStr"/>
      <c r="G154" s="51" t="inlineStr"/>
      <c r="H154" s="45" t="inlineStr"/>
      <c r="I154" s="51" t="inlineStr"/>
      <c r="J154" s="51" t="inlineStr"/>
      <c r="K154" s="51" t="inlineStr"/>
      <c r="L154" s="51" t="inlineStr"/>
      <c r="M154" s="51" t="inlineStr"/>
      <c r="N154" s="51" t="inlineStr"/>
      <c r="O154" s="51" t="inlineStr"/>
      <c r="P154" s="51" t="inlineStr"/>
      <c r="Q154" s="51" t="inlineStr"/>
      <c r="R154" s="51" t="inlineStr"/>
      <c r="S154" s="51" t="inlineStr"/>
      <c r="T154" s="51" t="inlineStr"/>
      <c r="U154" s="52">
        <f>IF(A154="","",IFERROR(INDEX(E154:T154,MATCH(TRUE,INDEX(E154:T154&lt;&gt;"",0),0)),""))</f>
        <v/>
      </c>
      <c r="V154" s="52">
        <f>IF(A154="","",IFERROR(LOOKUP(2,1/(E154:T154&lt;&gt;""),E154:T154),""))</f>
        <v/>
      </c>
      <c r="W154" s="53">
        <f>IF(OR(A154="",PreviousYear=""),"",IFERROR(LOOKUP(2,1/(E154:T154&lt;&gt;""),E154:T154)-INDEX(E154:T154,MATCH(PreviousYear,$E$5:$T$5,0)),""))</f>
        <v/>
      </c>
      <c r="X154" s="53">
        <f>IF(OR(A154="",U154="",V154=""),"",V154-U154)</f>
        <v/>
      </c>
      <c r="Y154" s="52">
        <f>IF(A154="","",COUNT(E154:T154))</f>
        <v/>
      </c>
    </row>
    <row r="155">
      <c r="A155" s="43">
        <f>IF(AND('Employees'!B15&lt;&gt;"",'Skills'!B11&lt;&gt;""),'Employees'!B15,"")</f>
        <v/>
      </c>
      <c r="B155" s="44">
        <f>IF(A155="","",'Employees'!C15)</f>
        <v/>
      </c>
      <c r="C155" s="50">
        <f>IF(A155="","",'Skills'!B11)</f>
        <v/>
      </c>
      <c r="D155" s="44">
        <f>IF(A155="","",'Skills'!C11)</f>
        <v/>
      </c>
      <c r="E155" s="51" t="inlineStr"/>
      <c r="F155" s="51" t="inlineStr"/>
      <c r="G155" s="51" t="inlineStr"/>
      <c r="H155" s="45" t="inlineStr"/>
      <c r="I155" s="51" t="inlineStr"/>
      <c r="J155" s="51" t="inlineStr"/>
      <c r="K155" s="51" t="inlineStr"/>
      <c r="L155" s="51" t="inlineStr"/>
      <c r="M155" s="51" t="inlineStr"/>
      <c r="N155" s="51" t="inlineStr"/>
      <c r="O155" s="51" t="inlineStr"/>
      <c r="P155" s="51" t="inlineStr"/>
      <c r="Q155" s="51" t="inlineStr"/>
      <c r="R155" s="51" t="inlineStr"/>
      <c r="S155" s="51" t="inlineStr"/>
      <c r="T155" s="51" t="inlineStr"/>
      <c r="U155" s="52">
        <f>IF(A155="","",IFERROR(INDEX(E155:T155,MATCH(TRUE,INDEX(E155:T155&lt;&gt;"",0),0)),""))</f>
        <v/>
      </c>
      <c r="V155" s="52">
        <f>IF(A155="","",IFERROR(LOOKUP(2,1/(E155:T155&lt;&gt;""),E155:T155),""))</f>
        <v/>
      </c>
      <c r="W155" s="53">
        <f>IF(OR(A155="",PreviousYear=""),"",IFERROR(LOOKUP(2,1/(E155:T155&lt;&gt;""),E155:T155)-INDEX(E155:T155,MATCH(PreviousYear,$E$5:$T$5,0)),""))</f>
        <v/>
      </c>
      <c r="X155" s="53">
        <f>IF(OR(A155="",U155="",V155=""),"",V155-U155)</f>
        <v/>
      </c>
      <c r="Y155" s="52">
        <f>IF(A155="","",COUNT(E155:T155))</f>
        <v/>
      </c>
    </row>
    <row r="156">
      <c r="A156" s="43">
        <f>IF(AND('Employees'!B15&lt;&gt;"",'Skills'!B12&lt;&gt;""),'Employees'!B15,"")</f>
        <v/>
      </c>
      <c r="B156" s="44">
        <f>IF(A156="","",'Employees'!C15)</f>
        <v/>
      </c>
      <c r="C156" s="50">
        <f>IF(A156="","",'Skills'!B12)</f>
        <v/>
      </c>
      <c r="D156" s="44">
        <f>IF(A156="","",'Skills'!C12)</f>
        <v/>
      </c>
      <c r="E156" s="51" t="inlineStr"/>
      <c r="F156" s="51" t="inlineStr"/>
      <c r="G156" s="51" t="inlineStr"/>
      <c r="H156" s="45" t="inlineStr"/>
      <c r="I156" s="51" t="inlineStr"/>
      <c r="J156" s="51" t="inlineStr"/>
      <c r="K156" s="51" t="inlineStr"/>
      <c r="L156" s="51" t="inlineStr"/>
      <c r="M156" s="51" t="inlineStr"/>
      <c r="N156" s="51" t="inlineStr"/>
      <c r="O156" s="51" t="inlineStr"/>
      <c r="P156" s="51" t="inlineStr"/>
      <c r="Q156" s="51" t="inlineStr"/>
      <c r="R156" s="51" t="inlineStr"/>
      <c r="S156" s="51" t="inlineStr"/>
      <c r="T156" s="51" t="inlineStr"/>
      <c r="U156" s="52">
        <f>IF(A156="","",IFERROR(INDEX(E156:T156,MATCH(TRUE,INDEX(E156:T156&lt;&gt;"",0),0)),""))</f>
        <v/>
      </c>
      <c r="V156" s="52">
        <f>IF(A156="","",IFERROR(LOOKUP(2,1/(E156:T156&lt;&gt;""),E156:T156),""))</f>
        <v/>
      </c>
      <c r="W156" s="53">
        <f>IF(OR(A156="",PreviousYear=""),"",IFERROR(LOOKUP(2,1/(E156:T156&lt;&gt;""),E156:T156)-INDEX(E156:T156,MATCH(PreviousYear,$E$5:$T$5,0)),""))</f>
        <v/>
      </c>
      <c r="X156" s="53">
        <f>IF(OR(A156="",U156="",V156=""),"",V156-U156)</f>
        <v/>
      </c>
      <c r="Y156" s="52">
        <f>IF(A156="","",COUNT(E156:T156))</f>
        <v/>
      </c>
    </row>
    <row r="157">
      <c r="A157" s="43">
        <f>IF(AND('Employees'!B15&lt;&gt;"",'Skills'!B13&lt;&gt;""),'Employees'!B15,"")</f>
        <v/>
      </c>
      <c r="B157" s="44">
        <f>IF(A157="","",'Employees'!C15)</f>
        <v/>
      </c>
      <c r="C157" s="50">
        <f>IF(A157="","",'Skills'!B13)</f>
        <v/>
      </c>
      <c r="D157" s="44">
        <f>IF(A157="","",'Skills'!C13)</f>
        <v/>
      </c>
      <c r="E157" s="51" t="inlineStr"/>
      <c r="F157" s="51" t="inlineStr"/>
      <c r="G157" s="51" t="inlineStr"/>
      <c r="H157" s="45" t="inlineStr"/>
      <c r="I157" s="51" t="inlineStr"/>
      <c r="J157" s="51" t="inlineStr"/>
      <c r="K157" s="51" t="inlineStr"/>
      <c r="L157" s="51" t="inlineStr"/>
      <c r="M157" s="51" t="inlineStr"/>
      <c r="N157" s="51" t="inlineStr"/>
      <c r="O157" s="51" t="inlineStr"/>
      <c r="P157" s="51" t="inlineStr"/>
      <c r="Q157" s="51" t="inlineStr"/>
      <c r="R157" s="51" t="inlineStr"/>
      <c r="S157" s="51" t="inlineStr"/>
      <c r="T157" s="51" t="inlineStr"/>
      <c r="U157" s="52">
        <f>IF(A157="","",IFERROR(INDEX(E157:T157,MATCH(TRUE,INDEX(E157:T157&lt;&gt;"",0),0)),""))</f>
        <v/>
      </c>
      <c r="V157" s="52">
        <f>IF(A157="","",IFERROR(LOOKUP(2,1/(E157:T157&lt;&gt;""),E157:T157),""))</f>
        <v/>
      </c>
      <c r="W157" s="53">
        <f>IF(OR(A157="",PreviousYear=""),"",IFERROR(LOOKUP(2,1/(E157:T157&lt;&gt;""),E157:T157)-INDEX(E157:T157,MATCH(PreviousYear,$E$5:$T$5,0)),""))</f>
        <v/>
      </c>
      <c r="X157" s="53">
        <f>IF(OR(A157="",U157="",V157=""),"",V157-U157)</f>
        <v/>
      </c>
      <c r="Y157" s="52">
        <f>IF(A157="","",COUNT(E157:T157))</f>
        <v/>
      </c>
    </row>
    <row r="158">
      <c r="A158" s="43">
        <f>IF(AND('Employees'!B15&lt;&gt;"",'Skills'!B14&lt;&gt;""),'Employees'!B15,"")</f>
        <v/>
      </c>
      <c r="B158" s="44">
        <f>IF(A158="","",'Employees'!C15)</f>
        <v/>
      </c>
      <c r="C158" s="50">
        <f>IF(A158="","",'Skills'!B14)</f>
        <v/>
      </c>
      <c r="D158" s="44">
        <f>IF(A158="","",'Skills'!C14)</f>
        <v/>
      </c>
      <c r="E158" s="51" t="inlineStr"/>
      <c r="F158" s="51" t="inlineStr"/>
      <c r="G158" s="51" t="inlineStr"/>
      <c r="H158" s="45" t="inlineStr"/>
      <c r="I158" s="51" t="inlineStr"/>
      <c r="J158" s="51" t="inlineStr"/>
      <c r="K158" s="51" t="inlineStr"/>
      <c r="L158" s="51" t="inlineStr"/>
      <c r="M158" s="51" t="inlineStr"/>
      <c r="N158" s="51" t="inlineStr"/>
      <c r="O158" s="51" t="inlineStr"/>
      <c r="P158" s="51" t="inlineStr"/>
      <c r="Q158" s="51" t="inlineStr"/>
      <c r="R158" s="51" t="inlineStr"/>
      <c r="S158" s="51" t="inlineStr"/>
      <c r="T158" s="51" t="inlineStr"/>
      <c r="U158" s="52">
        <f>IF(A158="","",IFERROR(INDEX(E158:T158,MATCH(TRUE,INDEX(E158:T158&lt;&gt;"",0),0)),""))</f>
        <v/>
      </c>
      <c r="V158" s="52">
        <f>IF(A158="","",IFERROR(LOOKUP(2,1/(E158:T158&lt;&gt;""),E158:T158),""))</f>
        <v/>
      </c>
      <c r="W158" s="53">
        <f>IF(OR(A158="",PreviousYear=""),"",IFERROR(LOOKUP(2,1/(E158:T158&lt;&gt;""),E158:T158)-INDEX(E158:T158,MATCH(PreviousYear,$E$5:$T$5,0)),""))</f>
        <v/>
      </c>
      <c r="X158" s="53">
        <f>IF(OR(A158="",U158="",V158=""),"",V158-U158)</f>
        <v/>
      </c>
      <c r="Y158" s="52">
        <f>IF(A158="","",COUNT(E158:T158))</f>
        <v/>
      </c>
    </row>
    <row r="159">
      <c r="A159" s="43">
        <f>IF(AND('Employees'!B15&lt;&gt;"",'Skills'!B15&lt;&gt;""),'Employees'!B15,"")</f>
        <v/>
      </c>
      <c r="B159" s="44">
        <f>IF(A159="","",'Employees'!C15)</f>
        <v/>
      </c>
      <c r="C159" s="50">
        <f>IF(A159="","",'Skills'!B15)</f>
        <v/>
      </c>
      <c r="D159" s="44">
        <f>IF(A159="","",'Skills'!C15)</f>
        <v/>
      </c>
      <c r="E159" s="51" t="inlineStr"/>
      <c r="F159" s="51" t="inlineStr"/>
      <c r="G159" s="51" t="inlineStr"/>
      <c r="H159" s="45" t="inlineStr"/>
      <c r="I159" s="51" t="inlineStr"/>
      <c r="J159" s="51" t="inlineStr"/>
      <c r="K159" s="51" t="inlineStr"/>
      <c r="L159" s="51" t="inlineStr"/>
      <c r="M159" s="51" t="inlineStr"/>
      <c r="N159" s="51" t="inlineStr"/>
      <c r="O159" s="51" t="inlineStr"/>
      <c r="P159" s="51" t="inlineStr"/>
      <c r="Q159" s="51" t="inlineStr"/>
      <c r="R159" s="51" t="inlineStr"/>
      <c r="S159" s="51" t="inlineStr"/>
      <c r="T159" s="51" t="inlineStr"/>
      <c r="U159" s="52">
        <f>IF(A159="","",IFERROR(INDEX(E159:T159,MATCH(TRUE,INDEX(E159:T159&lt;&gt;"",0),0)),""))</f>
        <v/>
      </c>
      <c r="V159" s="52">
        <f>IF(A159="","",IFERROR(LOOKUP(2,1/(E159:T159&lt;&gt;""),E159:T159),""))</f>
        <v/>
      </c>
      <c r="W159" s="53">
        <f>IF(OR(A159="",PreviousYear=""),"",IFERROR(LOOKUP(2,1/(E159:T159&lt;&gt;""),E159:T159)-INDEX(E159:T159,MATCH(PreviousYear,$E$5:$T$5,0)),""))</f>
        <v/>
      </c>
      <c r="X159" s="53">
        <f>IF(OR(A159="",U159="",V159=""),"",V159-U159)</f>
        <v/>
      </c>
      <c r="Y159" s="52">
        <f>IF(A159="","",COUNT(E159:T159))</f>
        <v/>
      </c>
    </row>
    <row r="160">
      <c r="A160" s="43">
        <f>IF(AND('Employees'!B15&lt;&gt;"",'Skills'!B16&lt;&gt;""),'Employees'!B15,"")</f>
        <v/>
      </c>
      <c r="B160" s="44">
        <f>IF(A160="","",'Employees'!C15)</f>
        <v/>
      </c>
      <c r="C160" s="50">
        <f>IF(A160="","",'Skills'!B16)</f>
        <v/>
      </c>
      <c r="D160" s="44">
        <f>IF(A160="","",'Skills'!C16)</f>
        <v/>
      </c>
      <c r="E160" s="51" t="inlineStr"/>
      <c r="F160" s="51" t="inlineStr"/>
      <c r="G160" s="51" t="inlineStr"/>
      <c r="H160" s="45" t="inlineStr"/>
      <c r="I160" s="51" t="inlineStr"/>
      <c r="J160" s="51" t="inlineStr"/>
      <c r="K160" s="51" t="inlineStr"/>
      <c r="L160" s="51" t="inlineStr"/>
      <c r="M160" s="51" t="inlineStr"/>
      <c r="N160" s="51" t="inlineStr"/>
      <c r="O160" s="51" t="inlineStr"/>
      <c r="P160" s="51" t="inlineStr"/>
      <c r="Q160" s="51" t="inlineStr"/>
      <c r="R160" s="51" t="inlineStr"/>
      <c r="S160" s="51" t="inlineStr"/>
      <c r="T160" s="51" t="inlineStr"/>
      <c r="U160" s="52">
        <f>IF(A160="","",IFERROR(INDEX(E160:T160,MATCH(TRUE,INDEX(E160:T160&lt;&gt;"",0),0)),""))</f>
        <v/>
      </c>
      <c r="V160" s="52">
        <f>IF(A160="","",IFERROR(LOOKUP(2,1/(E160:T160&lt;&gt;""),E160:T160),""))</f>
        <v/>
      </c>
      <c r="W160" s="53">
        <f>IF(OR(A160="",PreviousYear=""),"",IFERROR(LOOKUP(2,1/(E160:T160&lt;&gt;""),E160:T160)-INDEX(E160:T160,MATCH(PreviousYear,$E$5:$T$5,0)),""))</f>
        <v/>
      </c>
      <c r="X160" s="53">
        <f>IF(OR(A160="",U160="",V160=""),"",V160-U160)</f>
        <v/>
      </c>
      <c r="Y160" s="52">
        <f>IF(A160="","",COUNT(E160:T160))</f>
        <v/>
      </c>
    </row>
    <row r="161">
      <c r="A161" s="43">
        <f>IF(AND('Employees'!B15&lt;&gt;"",'Skills'!B17&lt;&gt;""),'Employees'!B15,"")</f>
        <v/>
      </c>
      <c r="B161" s="44">
        <f>IF(A161="","",'Employees'!C15)</f>
        <v/>
      </c>
      <c r="C161" s="50">
        <f>IF(A161="","",'Skills'!B17)</f>
        <v/>
      </c>
      <c r="D161" s="44">
        <f>IF(A161="","",'Skills'!C17)</f>
        <v/>
      </c>
      <c r="E161" s="51" t="inlineStr"/>
      <c r="F161" s="51" t="inlineStr"/>
      <c r="G161" s="51" t="inlineStr"/>
      <c r="H161" s="45" t="inlineStr"/>
      <c r="I161" s="51" t="inlineStr"/>
      <c r="J161" s="51" t="inlineStr"/>
      <c r="K161" s="51" t="inlineStr"/>
      <c r="L161" s="51" t="inlineStr"/>
      <c r="M161" s="51" t="inlineStr"/>
      <c r="N161" s="51" t="inlineStr"/>
      <c r="O161" s="51" t="inlineStr"/>
      <c r="P161" s="51" t="inlineStr"/>
      <c r="Q161" s="51" t="inlineStr"/>
      <c r="R161" s="51" t="inlineStr"/>
      <c r="S161" s="51" t="inlineStr"/>
      <c r="T161" s="51" t="inlineStr"/>
      <c r="U161" s="52">
        <f>IF(A161="","",IFERROR(INDEX(E161:T161,MATCH(TRUE,INDEX(E161:T161&lt;&gt;"",0),0)),""))</f>
        <v/>
      </c>
      <c r="V161" s="52">
        <f>IF(A161="","",IFERROR(LOOKUP(2,1/(E161:T161&lt;&gt;""),E161:T161),""))</f>
        <v/>
      </c>
      <c r="W161" s="53">
        <f>IF(OR(A161="",PreviousYear=""),"",IFERROR(LOOKUP(2,1/(E161:T161&lt;&gt;""),E161:T161)-INDEX(E161:T161,MATCH(PreviousYear,$E$5:$T$5,0)),""))</f>
        <v/>
      </c>
      <c r="X161" s="53">
        <f>IF(OR(A161="",U161="",V161=""),"",V161-U161)</f>
        <v/>
      </c>
      <c r="Y161" s="52">
        <f>IF(A161="","",COUNT(E161:T161))</f>
        <v/>
      </c>
    </row>
    <row r="162">
      <c r="A162" s="43">
        <f>IF(AND('Employees'!B15&lt;&gt;"",'Skills'!B18&lt;&gt;""),'Employees'!B15,"")</f>
        <v/>
      </c>
      <c r="B162" s="44">
        <f>IF(A162="","",'Employees'!C15)</f>
        <v/>
      </c>
      <c r="C162" s="50">
        <f>IF(A162="","",'Skills'!B18)</f>
        <v/>
      </c>
      <c r="D162" s="44">
        <f>IF(A162="","",'Skills'!C18)</f>
        <v/>
      </c>
      <c r="E162" s="51" t="inlineStr"/>
      <c r="F162" s="51" t="inlineStr"/>
      <c r="G162" s="51" t="inlineStr"/>
      <c r="H162" s="45" t="inlineStr"/>
      <c r="I162" s="51" t="inlineStr"/>
      <c r="J162" s="51" t="inlineStr"/>
      <c r="K162" s="51" t="inlineStr"/>
      <c r="L162" s="51" t="inlineStr"/>
      <c r="M162" s="51" t="inlineStr"/>
      <c r="N162" s="51" t="inlineStr"/>
      <c r="O162" s="51" t="inlineStr"/>
      <c r="P162" s="51" t="inlineStr"/>
      <c r="Q162" s="51" t="inlineStr"/>
      <c r="R162" s="51" t="inlineStr"/>
      <c r="S162" s="51" t="inlineStr"/>
      <c r="T162" s="51" t="inlineStr"/>
      <c r="U162" s="52">
        <f>IF(A162="","",IFERROR(INDEX(E162:T162,MATCH(TRUE,INDEX(E162:T162&lt;&gt;"",0),0)),""))</f>
        <v/>
      </c>
      <c r="V162" s="52">
        <f>IF(A162="","",IFERROR(LOOKUP(2,1/(E162:T162&lt;&gt;""),E162:T162),""))</f>
        <v/>
      </c>
      <c r="W162" s="53">
        <f>IF(OR(A162="",PreviousYear=""),"",IFERROR(LOOKUP(2,1/(E162:T162&lt;&gt;""),E162:T162)-INDEX(E162:T162,MATCH(PreviousYear,$E$5:$T$5,0)),""))</f>
        <v/>
      </c>
      <c r="X162" s="53">
        <f>IF(OR(A162="",U162="",V162=""),"",V162-U162)</f>
        <v/>
      </c>
      <c r="Y162" s="52">
        <f>IF(A162="","",COUNT(E162:T162))</f>
        <v/>
      </c>
    </row>
    <row r="163">
      <c r="A163" s="43">
        <f>IF(AND('Employees'!B15&lt;&gt;"",'Skills'!B19&lt;&gt;""),'Employees'!B15,"")</f>
        <v/>
      </c>
      <c r="B163" s="44">
        <f>IF(A163="","",'Employees'!C15)</f>
        <v/>
      </c>
      <c r="C163" s="50">
        <f>IF(A163="","",'Skills'!B19)</f>
        <v/>
      </c>
      <c r="D163" s="44">
        <f>IF(A163="","",'Skills'!C19)</f>
        <v/>
      </c>
      <c r="E163" s="51" t="inlineStr"/>
      <c r="F163" s="51" t="inlineStr"/>
      <c r="G163" s="51" t="inlineStr"/>
      <c r="H163" s="45" t="inlineStr"/>
      <c r="I163" s="51" t="inlineStr"/>
      <c r="J163" s="51" t="inlineStr"/>
      <c r="K163" s="51" t="inlineStr"/>
      <c r="L163" s="51" t="inlineStr"/>
      <c r="M163" s="51" t="inlineStr"/>
      <c r="N163" s="51" t="inlineStr"/>
      <c r="O163" s="51" t="inlineStr"/>
      <c r="P163" s="51" t="inlineStr"/>
      <c r="Q163" s="51" t="inlineStr"/>
      <c r="R163" s="51" t="inlineStr"/>
      <c r="S163" s="51" t="inlineStr"/>
      <c r="T163" s="51" t="inlineStr"/>
      <c r="U163" s="52">
        <f>IF(A163="","",IFERROR(INDEX(E163:T163,MATCH(TRUE,INDEX(E163:T163&lt;&gt;"",0),0)),""))</f>
        <v/>
      </c>
      <c r="V163" s="52">
        <f>IF(A163="","",IFERROR(LOOKUP(2,1/(E163:T163&lt;&gt;""),E163:T163),""))</f>
        <v/>
      </c>
      <c r="W163" s="53">
        <f>IF(OR(A163="",PreviousYear=""),"",IFERROR(LOOKUP(2,1/(E163:T163&lt;&gt;""),E163:T163)-INDEX(E163:T163,MATCH(PreviousYear,$E$5:$T$5,0)),""))</f>
        <v/>
      </c>
      <c r="X163" s="53">
        <f>IF(OR(A163="",U163="",V163=""),"",V163-U163)</f>
        <v/>
      </c>
      <c r="Y163" s="52">
        <f>IF(A163="","",COUNT(E163:T163))</f>
        <v/>
      </c>
    </row>
    <row r="164">
      <c r="A164" s="43">
        <f>IF(AND('Employees'!B15&lt;&gt;"",'Skills'!B20&lt;&gt;""),'Employees'!B15,"")</f>
        <v/>
      </c>
      <c r="B164" s="44">
        <f>IF(A164="","",'Employees'!C15)</f>
        <v/>
      </c>
      <c r="C164" s="50">
        <f>IF(A164="","",'Skills'!B20)</f>
        <v/>
      </c>
      <c r="D164" s="44">
        <f>IF(A164="","",'Skills'!C20)</f>
        <v/>
      </c>
      <c r="E164" s="51" t="inlineStr"/>
      <c r="F164" s="51" t="inlineStr"/>
      <c r="G164" s="51" t="inlineStr"/>
      <c r="H164" s="45" t="inlineStr"/>
      <c r="I164" s="51" t="inlineStr"/>
      <c r="J164" s="51" t="inlineStr"/>
      <c r="K164" s="51" t="inlineStr"/>
      <c r="L164" s="51" t="inlineStr"/>
      <c r="M164" s="51" t="inlineStr"/>
      <c r="N164" s="51" t="inlineStr"/>
      <c r="O164" s="51" t="inlineStr"/>
      <c r="P164" s="51" t="inlineStr"/>
      <c r="Q164" s="51" t="inlineStr"/>
      <c r="R164" s="51" t="inlineStr"/>
      <c r="S164" s="51" t="inlineStr"/>
      <c r="T164" s="51" t="inlineStr"/>
      <c r="U164" s="52">
        <f>IF(A164="","",IFERROR(INDEX(E164:T164,MATCH(TRUE,INDEX(E164:T164&lt;&gt;"",0),0)),""))</f>
        <v/>
      </c>
      <c r="V164" s="52">
        <f>IF(A164="","",IFERROR(LOOKUP(2,1/(E164:T164&lt;&gt;""),E164:T164),""))</f>
        <v/>
      </c>
      <c r="W164" s="53">
        <f>IF(OR(A164="",PreviousYear=""),"",IFERROR(LOOKUP(2,1/(E164:T164&lt;&gt;""),E164:T164)-INDEX(E164:T164,MATCH(PreviousYear,$E$5:$T$5,0)),""))</f>
        <v/>
      </c>
      <c r="X164" s="53">
        <f>IF(OR(A164="",U164="",V164=""),"",V164-U164)</f>
        <v/>
      </c>
      <c r="Y164" s="52">
        <f>IF(A164="","",COUNT(E164:T164))</f>
        <v/>
      </c>
    </row>
    <row r="165">
      <c r="A165" s="43">
        <f>IF(AND('Employees'!B15&lt;&gt;"",'Skills'!B21&lt;&gt;""),'Employees'!B15,"")</f>
        <v/>
      </c>
      <c r="B165" s="44">
        <f>IF(A165="","",'Employees'!C15)</f>
        <v/>
      </c>
      <c r="C165" s="50">
        <f>IF(A165="","",'Skills'!B21)</f>
        <v/>
      </c>
      <c r="D165" s="44">
        <f>IF(A165="","",'Skills'!C21)</f>
        <v/>
      </c>
      <c r="E165" s="51" t="inlineStr"/>
      <c r="F165" s="51" t="inlineStr"/>
      <c r="G165" s="51" t="inlineStr"/>
      <c r="H165" s="45" t="inlineStr"/>
      <c r="I165" s="51" t="inlineStr"/>
      <c r="J165" s="51" t="inlineStr"/>
      <c r="K165" s="51" t="inlineStr"/>
      <c r="L165" s="51" t="inlineStr"/>
      <c r="M165" s="51" t="inlineStr"/>
      <c r="N165" s="51" t="inlineStr"/>
      <c r="O165" s="51" t="inlineStr"/>
      <c r="P165" s="51" t="inlineStr"/>
      <c r="Q165" s="51" t="inlineStr"/>
      <c r="R165" s="51" t="inlineStr"/>
      <c r="S165" s="51" t="inlineStr"/>
      <c r="T165" s="51" t="inlineStr"/>
      <c r="U165" s="52">
        <f>IF(A165="","",IFERROR(INDEX(E165:T165,MATCH(TRUE,INDEX(E165:T165&lt;&gt;"",0),0)),""))</f>
        <v/>
      </c>
      <c r="V165" s="52">
        <f>IF(A165="","",IFERROR(LOOKUP(2,1/(E165:T165&lt;&gt;""),E165:T165),""))</f>
        <v/>
      </c>
      <c r="W165" s="53">
        <f>IF(OR(A165="",PreviousYear=""),"",IFERROR(LOOKUP(2,1/(E165:T165&lt;&gt;""),E165:T165)-INDEX(E165:T165,MATCH(PreviousYear,$E$5:$T$5,0)),""))</f>
        <v/>
      </c>
      <c r="X165" s="53">
        <f>IF(OR(A165="",U165="",V165=""),"",V165-U165)</f>
        <v/>
      </c>
      <c r="Y165" s="52">
        <f>IF(A165="","",COUNT(E165:T165))</f>
        <v/>
      </c>
    </row>
    <row r="166">
      <c r="A166" s="43">
        <f>IF(AND('Employees'!B16&lt;&gt;"",'Skills'!B6&lt;&gt;""),'Employees'!B16,"")</f>
        <v/>
      </c>
      <c r="B166" s="44">
        <f>IF(A166="","",'Employees'!C16)</f>
        <v/>
      </c>
      <c r="C166" s="50">
        <f>IF(A166="","",'Skills'!B6)</f>
        <v/>
      </c>
      <c r="D166" s="44">
        <f>IF(A166="","",'Skills'!C6)</f>
        <v/>
      </c>
      <c r="E166" s="51" t="inlineStr"/>
      <c r="F166" s="51" t="inlineStr"/>
      <c r="G166" s="51" t="inlineStr"/>
      <c r="H166" s="45" t="inlineStr"/>
      <c r="I166" s="51" t="inlineStr"/>
      <c r="J166" s="51" t="inlineStr"/>
      <c r="K166" s="51" t="inlineStr"/>
      <c r="L166" s="51" t="inlineStr"/>
      <c r="M166" s="51" t="inlineStr"/>
      <c r="N166" s="51" t="inlineStr"/>
      <c r="O166" s="51" t="inlineStr"/>
      <c r="P166" s="51" t="inlineStr"/>
      <c r="Q166" s="51" t="inlineStr"/>
      <c r="R166" s="51" t="inlineStr"/>
      <c r="S166" s="51" t="inlineStr"/>
      <c r="T166" s="51" t="inlineStr"/>
      <c r="U166" s="52">
        <f>IF(A166="","",IFERROR(INDEX(E166:T166,MATCH(TRUE,INDEX(E166:T166&lt;&gt;"",0),0)),""))</f>
        <v/>
      </c>
      <c r="V166" s="52">
        <f>IF(A166="","",IFERROR(LOOKUP(2,1/(E166:T166&lt;&gt;""),E166:T166),""))</f>
        <v/>
      </c>
      <c r="W166" s="53">
        <f>IF(OR(A166="",PreviousYear=""),"",IFERROR(LOOKUP(2,1/(E166:T166&lt;&gt;""),E166:T166)-INDEX(E166:T166,MATCH(PreviousYear,$E$5:$T$5,0)),""))</f>
        <v/>
      </c>
      <c r="X166" s="53">
        <f>IF(OR(A166="",U166="",V166=""),"",V166-U166)</f>
        <v/>
      </c>
      <c r="Y166" s="52">
        <f>IF(A166="","",COUNT(E166:T166))</f>
        <v/>
      </c>
    </row>
    <row r="167">
      <c r="A167" s="43">
        <f>IF(AND('Employees'!B16&lt;&gt;"",'Skills'!B7&lt;&gt;""),'Employees'!B16,"")</f>
        <v/>
      </c>
      <c r="B167" s="44">
        <f>IF(A167="","",'Employees'!C16)</f>
        <v/>
      </c>
      <c r="C167" s="50">
        <f>IF(A167="","",'Skills'!B7)</f>
        <v/>
      </c>
      <c r="D167" s="44">
        <f>IF(A167="","",'Skills'!C7)</f>
        <v/>
      </c>
      <c r="E167" s="51" t="inlineStr"/>
      <c r="F167" s="51" t="inlineStr"/>
      <c r="G167" s="51" t="inlineStr"/>
      <c r="H167" s="45" t="inlineStr"/>
      <c r="I167" s="51" t="inlineStr"/>
      <c r="J167" s="51" t="inlineStr"/>
      <c r="K167" s="51" t="inlineStr"/>
      <c r="L167" s="51" t="inlineStr"/>
      <c r="M167" s="51" t="inlineStr"/>
      <c r="N167" s="51" t="inlineStr"/>
      <c r="O167" s="51" t="inlineStr"/>
      <c r="P167" s="51" t="inlineStr"/>
      <c r="Q167" s="51" t="inlineStr"/>
      <c r="R167" s="51" t="inlineStr"/>
      <c r="S167" s="51" t="inlineStr"/>
      <c r="T167" s="51" t="inlineStr"/>
      <c r="U167" s="52">
        <f>IF(A167="","",IFERROR(INDEX(E167:T167,MATCH(TRUE,INDEX(E167:T167&lt;&gt;"",0),0)),""))</f>
        <v/>
      </c>
      <c r="V167" s="52">
        <f>IF(A167="","",IFERROR(LOOKUP(2,1/(E167:T167&lt;&gt;""),E167:T167),""))</f>
        <v/>
      </c>
      <c r="W167" s="53">
        <f>IF(OR(A167="",PreviousYear=""),"",IFERROR(LOOKUP(2,1/(E167:T167&lt;&gt;""),E167:T167)-INDEX(E167:T167,MATCH(PreviousYear,$E$5:$T$5,0)),""))</f>
        <v/>
      </c>
      <c r="X167" s="53">
        <f>IF(OR(A167="",U167="",V167=""),"",V167-U167)</f>
        <v/>
      </c>
      <c r="Y167" s="52">
        <f>IF(A167="","",COUNT(E167:T167))</f>
        <v/>
      </c>
    </row>
    <row r="168">
      <c r="A168" s="43">
        <f>IF(AND('Employees'!B16&lt;&gt;"",'Skills'!B8&lt;&gt;""),'Employees'!B16,"")</f>
        <v/>
      </c>
      <c r="B168" s="44">
        <f>IF(A168="","",'Employees'!C16)</f>
        <v/>
      </c>
      <c r="C168" s="50">
        <f>IF(A168="","",'Skills'!B8)</f>
        <v/>
      </c>
      <c r="D168" s="44">
        <f>IF(A168="","",'Skills'!C8)</f>
        <v/>
      </c>
      <c r="E168" s="51" t="inlineStr"/>
      <c r="F168" s="51" t="inlineStr"/>
      <c r="G168" s="51" t="inlineStr"/>
      <c r="H168" s="45" t="inlineStr"/>
      <c r="I168" s="51" t="inlineStr"/>
      <c r="J168" s="51" t="inlineStr"/>
      <c r="K168" s="51" t="inlineStr"/>
      <c r="L168" s="51" t="inlineStr"/>
      <c r="M168" s="51" t="inlineStr"/>
      <c r="N168" s="51" t="inlineStr"/>
      <c r="O168" s="51" t="inlineStr"/>
      <c r="P168" s="51" t="inlineStr"/>
      <c r="Q168" s="51" t="inlineStr"/>
      <c r="R168" s="51" t="inlineStr"/>
      <c r="S168" s="51" t="inlineStr"/>
      <c r="T168" s="51" t="inlineStr"/>
      <c r="U168" s="52">
        <f>IF(A168="","",IFERROR(INDEX(E168:T168,MATCH(TRUE,INDEX(E168:T168&lt;&gt;"",0),0)),""))</f>
        <v/>
      </c>
      <c r="V168" s="52">
        <f>IF(A168="","",IFERROR(LOOKUP(2,1/(E168:T168&lt;&gt;""),E168:T168),""))</f>
        <v/>
      </c>
      <c r="W168" s="53">
        <f>IF(OR(A168="",PreviousYear=""),"",IFERROR(LOOKUP(2,1/(E168:T168&lt;&gt;""),E168:T168)-INDEX(E168:T168,MATCH(PreviousYear,$E$5:$T$5,0)),""))</f>
        <v/>
      </c>
      <c r="X168" s="53">
        <f>IF(OR(A168="",U168="",V168=""),"",V168-U168)</f>
        <v/>
      </c>
      <c r="Y168" s="52">
        <f>IF(A168="","",COUNT(E168:T168))</f>
        <v/>
      </c>
    </row>
    <row r="169">
      <c r="A169" s="43">
        <f>IF(AND('Employees'!B16&lt;&gt;"",'Skills'!B9&lt;&gt;""),'Employees'!B16,"")</f>
        <v/>
      </c>
      <c r="B169" s="44">
        <f>IF(A169="","",'Employees'!C16)</f>
        <v/>
      </c>
      <c r="C169" s="50">
        <f>IF(A169="","",'Skills'!B9)</f>
        <v/>
      </c>
      <c r="D169" s="44">
        <f>IF(A169="","",'Skills'!C9)</f>
        <v/>
      </c>
      <c r="E169" s="51" t="inlineStr"/>
      <c r="F169" s="51" t="inlineStr"/>
      <c r="G169" s="51" t="inlineStr"/>
      <c r="H169" s="45" t="inlineStr"/>
      <c r="I169" s="51" t="inlineStr"/>
      <c r="J169" s="51" t="inlineStr"/>
      <c r="K169" s="51" t="inlineStr"/>
      <c r="L169" s="51" t="inlineStr"/>
      <c r="M169" s="51" t="inlineStr"/>
      <c r="N169" s="51" t="inlineStr"/>
      <c r="O169" s="51" t="inlineStr"/>
      <c r="P169" s="51" t="inlineStr"/>
      <c r="Q169" s="51" t="inlineStr"/>
      <c r="R169" s="51" t="inlineStr"/>
      <c r="S169" s="51" t="inlineStr"/>
      <c r="T169" s="51" t="inlineStr"/>
      <c r="U169" s="52">
        <f>IF(A169="","",IFERROR(INDEX(E169:T169,MATCH(TRUE,INDEX(E169:T169&lt;&gt;"",0),0)),""))</f>
        <v/>
      </c>
      <c r="V169" s="52">
        <f>IF(A169="","",IFERROR(LOOKUP(2,1/(E169:T169&lt;&gt;""),E169:T169),""))</f>
        <v/>
      </c>
      <c r="W169" s="53">
        <f>IF(OR(A169="",PreviousYear=""),"",IFERROR(LOOKUP(2,1/(E169:T169&lt;&gt;""),E169:T169)-INDEX(E169:T169,MATCH(PreviousYear,$E$5:$T$5,0)),""))</f>
        <v/>
      </c>
      <c r="X169" s="53">
        <f>IF(OR(A169="",U169="",V169=""),"",V169-U169)</f>
        <v/>
      </c>
      <c r="Y169" s="52">
        <f>IF(A169="","",COUNT(E169:T169))</f>
        <v/>
      </c>
    </row>
    <row r="170">
      <c r="A170" s="43">
        <f>IF(AND('Employees'!B16&lt;&gt;"",'Skills'!B10&lt;&gt;""),'Employees'!B16,"")</f>
        <v/>
      </c>
      <c r="B170" s="44">
        <f>IF(A170="","",'Employees'!C16)</f>
        <v/>
      </c>
      <c r="C170" s="50">
        <f>IF(A170="","",'Skills'!B10)</f>
        <v/>
      </c>
      <c r="D170" s="44">
        <f>IF(A170="","",'Skills'!C10)</f>
        <v/>
      </c>
      <c r="E170" s="51" t="inlineStr"/>
      <c r="F170" s="51" t="inlineStr"/>
      <c r="G170" s="51" t="inlineStr"/>
      <c r="H170" s="45" t="inlineStr"/>
      <c r="I170" s="51" t="inlineStr"/>
      <c r="J170" s="51" t="inlineStr"/>
      <c r="K170" s="51" t="inlineStr"/>
      <c r="L170" s="51" t="inlineStr"/>
      <c r="M170" s="51" t="inlineStr"/>
      <c r="N170" s="51" t="inlineStr"/>
      <c r="O170" s="51" t="inlineStr"/>
      <c r="P170" s="51" t="inlineStr"/>
      <c r="Q170" s="51" t="inlineStr"/>
      <c r="R170" s="51" t="inlineStr"/>
      <c r="S170" s="51" t="inlineStr"/>
      <c r="T170" s="51" t="inlineStr"/>
      <c r="U170" s="52">
        <f>IF(A170="","",IFERROR(INDEX(E170:T170,MATCH(TRUE,INDEX(E170:T170&lt;&gt;"",0),0)),""))</f>
        <v/>
      </c>
      <c r="V170" s="52">
        <f>IF(A170="","",IFERROR(LOOKUP(2,1/(E170:T170&lt;&gt;""),E170:T170),""))</f>
        <v/>
      </c>
      <c r="W170" s="53">
        <f>IF(OR(A170="",PreviousYear=""),"",IFERROR(LOOKUP(2,1/(E170:T170&lt;&gt;""),E170:T170)-INDEX(E170:T170,MATCH(PreviousYear,$E$5:$T$5,0)),""))</f>
        <v/>
      </c>
      <c r="X170" s="53">
        <f>IF(OR(A170="",U170="",V170=""),"",V170-U170)</f>
        <v/>
      </c>
      <c r="Y170" s="52">
        <f>IF(A170="","",COUNT(E170:T170))</f>
        <v/>
      </c>
    </row>
    <row r="171">
      <c r="A171" s="43">
        <f>IF(AND('Employees'!B16&lt;&gt;"",'Skills'!B11&lt;&gt;""),'Employees'!B16,"")</f>
        <v/>
      </c>
      <c r="B171" s="44">
        <f>IF(A171="","",'Employees'!C16)</f>
        <v/>
      </c>
      <c r="C171" s="50">
        <f>IF(A171="","",'Skills'!B11)</f>
        <v/>
      </c>
      <c r="D171" s="44">
        <f>IF(A171="","",'Skills'!C11)</f>
        <v/>
      </c>
      <c r="E171" s="51" t="inlineStr"/>
      <c r="F171" s="51" t="inlineStr"/>
      <c r="G171" s="51" t="inlineStr"/>
      <c r="H171" s="45" t="inlineStr"/>
      <c r="I171" s="51" t="inlineStr"/>
      <c r="J171" s="51" t="inlineStr"/>
      <c r="K171" s="51" t="inlineStr"/>
      <c r="L171" s="51" t="inlineStr"/>
      <c r="M171" s="51" t="inlineStr"/>
      <c r="N171" s="51" t="inlineStr"/>
      <c r="O171" s="51" t="inlineStr"/>
      <c r="P171" s="51" t="inlineStr"/>
      <c r="Q171" s="51" t="inlineStr"/>
      <c r="R171" s="51" t="inlineStr"/>
      <c r="S171" s="51" t="inlineStr"/>
      <c r="T171" s="51" t="inlineStr"/>
      <c r="U171" s="52">
        <f>IF(A171="","",IFERROR(INDEX(E171:T171,MATCH(TRUE,INDEX(E171:T171&lt;&gt;"",0),0)),""))</f>
        <v/>
      </c>
      <c r="V171" s="52">
        <f>IF(A171="","",IFERROR(LOOKUP(2,1/(E171:T171&lt;&gt;""),E171:T171),""))</f>
        <v/>
      </c>
      <c r="W171" s="53">
        <f>IF(OR(A171="",PreviousYear=""),"",IFERROR(LOOKUP(2,1/(E171:T171&lt;&gt;""),E171:T171)-INDEX(E171:T171,MATCH(PreviousYear,$E$5:$T$5,0)),""))</f>
        <v/>
      </c>
      <c r="X171" s="53">
        <f>IF(OR(A171="",U171="",V171=""),"",V171-U171)</f>
        <v/>
      </c>
      <c r="Y171" s="52">
        <f>IF(A171="","",COUNT(E171:T171))</f>
        <v/>
      </c>
    </row>
    <row r="172">
      <c r="A172" s="43">
        <f>IF(AND('Employees'!B16&lt;&gt;"",'Skills'!B12&lt;&gt;""),'Employees'!B16,"")</f>
        <v/>
      </c>
      <c r="B172" s="44">
        <f>IF(A172="","",'Employees'!C16)</f>
        <v/>
      </c>
      <c r="C172" s="50">
        <f>IF(A172="","",'Skills'!B12)</f>
        <v/>
      </c>
      <c r="D172" s="44">
        <f>IF(A172="","",'Skills'!C12)</f>
        <v/>
      </c>
      <c r="E172" s="51" t="inlineStr"/>
      <c r="F172" s="51" t="inlineStr"/>
      <c r="G172" s="51" t="inlineStr"/>
      <c r="H172" s="45" t="inlineStr"/>
      <c r="I172" s="51" t="inlineStr"/>
      <c r="J172" s="51" t="inlineStr"/>
      <c r="K172" s="51" t="inlineStr"/>
      <c r="L172" s="51" t="inlineStr"/>
      <c r="M172" s="51" t="inlineStr"/>
      <c r="N172" s="51" t="inlineStr"/>
      <c r="O172" s="51" t="inlineStr"/>
      <c r="P172" s="51" t="inlineStr"/>
      <c r="Q172" s="51" t="inlineStr"/>
      <c r="R172" s="51" t="inlineStr"/>
      <c r="S172" s="51" t="inlineStr"/>
      <c r="T172" s="51" t="inlineStr"/>
      <c r="U172" s="52">
        <f>IF(A172="","",IFERROR(INDEX(E172:T172,MATCH(TRUE,INDEX(E172:T172&lt;&gt;"",0),0)),""))</f>
        <v/>
      </c>
      <c r="V172" s="52">
        <f>IF(A172="","",IFERROR(LOOKUP(2,1/(E172:T172&lt;&gt;""),E172:T172),""))</f>
        <v/>
      </c>
      <c r="W172" s="53">
        <f>IF(OR(A172="",PreviousYear=""),"",IFERROR(LOOKUP(2,1/(E172:T172&lt;&gt;""),E172:T172)-INDEX(E172:T172,MATCH(PreviousYear,$E$5:$T$5,0)),""))</f>
        <v/>
      </c>
      <c r="X172" s="53">
        <f>IF(OR(A172="",U172="",V172=""),"",V172-U172)</f>
        <v/>
      </c>
      <c r="Y172" s="52">
        <f>IF(A172="","",COUNT(E172:T172))</f>
        <v/>
      </c>
    </row>
    <row r="173">
      <c r="A173" s="43">
        <f>IF(AND('Employees'!B16&lt;&gt;"",'Skills'!B13&lt;&gt;""),'Employees'!B16,"")</f>
        <v/>
      </c>
      <c r="B173" s="44">
        <f>IF(A173="","",'Employees'!C16)</f>
        <v/>
      </c>
      <c r="C173" s="50">
        <f>IF(A173="","",'Skills'!B13)</f>
        <v/>
      </c>
      <c r="D173" s="44">
        <f>IF(A173="","",'Skills'!C13)</f>
        <v/>
      </c>
      <c r="E173" s="51" t="inlineStr"/>
      <c r="F173" s="51" t="inlineStr"/>
      <c r="G173" s="51" t="inlineStr"/>
      <c r="H173" s="45" t="inlineStr"/>
      <c r="I173" s="51" t="inlineStr"/>
      <c r="J173" s="51" t="inlineStr"/>
      <c r="K173" s="51" t="inlineStr"/>
      <c r="L173" s="51" t="inlineStr"/>
      <c r="M173" s="51" t="inlineStr"/>
      <c r="N173" s="51" t="inlineStr"/>
      <c r="O173" s="51" t="inlineStr"/>
      <c r="P173" s="51" t="inlineStr"/>
      <c r="Q173" s="51" t="inlineStr"/>
      <c r="R173" s="51" t="inlineStr"/>
      <c r="S173" s="51" t="inlineStr"/>
      <c r="T173" s="51" t="inlineStr"/>
      <c r="U173" s="52">
        <f>IF(A173="","",IFERROR(INDEX(E173:T173,MATCH(TRUE,INDEX(E173:T173&lt;&gt;"",0),0)),""))</f>
        <v/>
      </c>
      <c r="V173" s="52">
        <f>IF(A173="","",IFERROR(LOOKUP(2,1/(E173:T173&lt;&gt;""),E173:T173),""))</f>
        <v/>
      </c>
      <c r="W173" s="53">
        <f>IF(OR(A173="",PreviousYear=""),"",IFERROR(LOOKUP(2,1/(E173:T173&lt;&gt;""),E173:T173)-INDEX(E173:T173,MATCH(PreviousYear,$E$5:$T$5,0)),""))</f>
        <v/>
      </c>
      <c r="X173" s="53">
        <f>IF(OR(A173="",U173="",V173=""),"",V173-U173)</f>
        <v/>
      </c>
      <c r="Y173" s="52">
        <f>IF(A173="","",COUNT(E173:T173))</f>
        <v/>
      </c>
    </row>
    <row r="174">
      <c r="A174" s="43">
        <f>IF(AND('Employees'!B16&lt;&gt;"",'Skills'!B14&lt;&gt;""),'Employees'!B16,"")</f>
        <v/>
      </c>
      <c r="B174" s="44">
        <f>IF(A174="","",'Employees'!C16)</f>
        <v/>
      </c>
      <c r="C174" s="50">
        <f>IF(A174="","",'Skills'!B14)</f>
        <v/>
      </c>
      <c r="D174" s="44">
        <f>IF(A174="","",'Skills'!C14)</f>
        <v/>
      </c>
      <c r="E174" s="51" t="inlineStr"/>
      <c r="F174" s="51" t="inlineStr"/>
      <c r="G174" s="51" t="inlineStr"/>
      <c r="H174" s="45" t="inlineStr"/>
      <c r="I174" s="51" t="inlineStr"/>
      <c r="J174" s="51" t="inlineStr"/>
      <c r="K174" s="51" t="inlineStr"/>
      <c r="L174" s="51" t="inlineStr"/>
      <c r="M174" s="51" t="inlineStr"/>
      <c r="N174" s="51" t="inlineStr"/>
      <c r="O174" s="51" t="inlineStr"/>
      <c r="P174" s="51" t="inlineStr"/>
      <c r="Q174" s="51" t="inlineStr"/>
      <c r="R174" s="51" t="inlineStr"/>
      <c r="S174" s="51" t="inlineStr"/>
      <c r="T174" s="51" t="inlineStr"/>
      <c r="U174" s="52">
        <f>IF(A174="","",IFERROR(INDEX(E174:T174,MATCH(TRUE,INDEX(E174:T174&lt;&gt;"",0),0)),""))</f>
        <v/>
      </c>
      <c r="V174" s="52">
        <f>IF(A174="","",IFERROR(LOOKUP(2,1/(E174:T174&lt;&gt;""),E174:T174),""))</f>
        <v/>
      </c>
      <c r="W174" s="53">
        <f>IF(OR(A174="",PreviousYear=""),"",IFERROR(LOOKUP(2,1/(E174:T174&lt;&gt;""),E174:T174)-INDEX(E174:T174,MATCH(PreviousYear,$E$5:$T$5,0)),""))</f>
        <v/>
      </c>
      <c r="X174" s="53">
        <f>IF(OR(A174="",U174="",V174=""),"",V174-U174)</f>
        <v/>
      </c>
      <c r="Y174" s="52">
        <f>IF(A174="","",COUNT(E174:T174))</f>
        <v/>
      </c>
    </row>
    <row r="175">
      <c r="A175" s="43">
        <f>IF(AND('Employees'!B16&lt;&gt;"",'Skills'!B15&lt;&gt;""),'Employees'!B16,"")</f>
        <v/>
      </c>
      <c r="B175" s="44">
        <f>IF(A175="","",'Employees'!C16)</f>
        <v/>
      </c>
      <c r="C175" s="50">
        <f>IF(A175="","",'Skills'!B15)</f>
        <v/>
      </c>
      <c r="D175" s="44">
        <f>IF(A175="","",'Skills'!C15)</f>
        <v/>
      </c>
      <c r="E175" s="51" t="inlineStr"/>
      <c r="F175" s="51" t="inlineStr"/>
      <c r="G175" s="51" t="inlineStr"/>
      <c r="H175" s="45" t="inlineStr"/>
      <c r="I175" s="51" t="inlineStr"/>
      <c r="J175" s="51" t="inlineStr"/>
      <c r="K175" s="51" t="inlineStr"/>
      <c r="L175" s="51" t="inlineStr"/>
      <c r="M175" s="51" t="inlineStr"/>
      <c r="N175" s="51" t="inlineStr"/>
      <c r="O175" s="51" t="inlineStr"/>
      <c r="P175" s="51" t="inlineStr"/>
      <c r="Q175" s="51" t="inlineStr"/>
      <c r="R175" s="51" t="inlineStr"/>
      <c r="S175" s="51" t="inlineStr"/>
      <c r="T175" s="51" t="inlineStr"/>
      <c r="U175" s="52">
        <f>IF(A175="","",IFERROR(INDEX(E175:T175,MATCH(TRUE,INDEX(E175:T175&lt;&gt;"",0),0)),""))</f>
        <v/>
      </c>
      <c r="V175" s="52">
        <f>IF(A175="","",IFERROR(LOOKUP(2,1/(E175:T175&lt;&gt;""),E175:T175),""))</f>
        <v/>
      </c>
      <c r="W175" s="53">
        <f>IF(OR(A175="",PreviousYear=""),"",IFERROR(LOOKUP(2,1/(E175:T175&lt;&gt;""),E175:T175)-INDEX(E175:T175,MATCH(PreviousYear,$E$5:$T$5,0)),""))</f>
        <v/>
      </c>
      <c r="X175" s="53">
        <f>IF(OR(A175="",U175="",V175=""),"",V175-U175)</f>
        <v/>
      </c>
      <c r="Y175" s="52">
        <f>IF(A175="","",COUNT(E175:T175))</f>
        <v/>
      </c>
    </row>
    <row r="176">
      <c r="A176" s="43">
        <f>IF(AND('Employees'!B16&lt;&gt;"",'Skills'!B16&lt;&gt;""),'Employees'!B16,"")</f>
        <v/>
      </c>
      <c r="B176" s="44">
        <f>IF(A176="","",'Employees'!C16)</f>
        <v/>
      </c>
      <c r="C176" s="50">
        <f>IF(A176="","",'Skills'!B16)</f>
        <v/>
      </c>
      <c r="D176" s="44">
        <f>IF(A176="","",'Skills'!C16)</f>
        <v/>
      </c>
      <c r="E176" s="51" t="inlineStr"/>
      <c r="F176" s="51" t="inlineStr"/>
      <c r="G176" s="51" t="inlineStr"/>
      <c r="H176" s="45" t="inlineStr"/>
      <c r="I176" s="51" t="inlineStr"/>
      <c r="J176" s="51" t="inlineStr"/>
      <c r="K176" s="51" t="inlineStr"/>
      <c r="L176" s="51" t="inlineStr"/>
      <c r="M176" s="51" t="inlineStr"/>
      <c r="N176" s="51" t="inlineStr"/>
      <c r="O176" s="51" t="inlineStr"/>
      <c r="P176" s="51" t="inlineStr"/>
      <c r="Q176" s="51" t="inlineStr"/>
      <c r="R176" s="51" t="inlineStr"/>
      <c r="S176" s="51" t="inlineStr"/>
      <c r="T176" s="51" t="inlineStr"/>
      <c r="U176" s="52">
        <f>IF(A176="","",IFERROR(INDEX(E176:T176,MATCH(TRUE,INDEX(E176:T176&lt;&gt;"",0),0)),""))</f>
        <v/>
      </c>
      <c r="V176" s="52">
        <f>IF(A176="","",IFERROR(LOOKUP(2,1/(E176:T176&lt;&gt;""),E176:T176),""))</f>
        <v/>
      </c>
      <c r="W176" s="53">
        <f>IF(OR(A176="",PreviousYear=""),"",IFERROR(LOOKUP(2,1/(E176:T176&lt;&gt;""),E176:T176)-INDEX(E176:T176,MATCH(PreviousYear,$E$5:$T$5,0)),""))</f>
        <v/>
      </c>
      <c r="X176" s="53">
        <f>IF(OR(A176="",U176="",V176=""),"",V176-U176)</f>
        <v/>
      </c>
      <c r="Y176" s="52">
        <f>IF(A176="","",COUNT(E176:T176))</f>
        <v/>
      </c>
    </row>
    <row r="177">
      <c r="A177" s="43">
        <f>IF(AND('Employees'!B16&lt;&gt;"",'Skills'!B17&lt;&gt;""),'Employees'!B16,"")</f>
        <v/>
      </c>
      <c r="B177" s="44">
        <f>IF(A177="","",'Employees'!C16)</f>
        <v/>
      </c>
      <c r="C177" s="50">
        <f>IF(A177="","",'Skills'!B17)</f>
        <v/>
      </c>
      <c r="D177" s="44">
        <f>IF(A177="","",'Skills'!C17)</f>
        <v/>
      </c>
      <c r="E177" s="51" t="inlineStr"/>
      <c r="F177" s="51" t="inlineStr"/>
      <c r="G177" s="51" t="inlineStr"/>
      <c r="H177" s="45" t="inlineStr"/>
      <c r="I177" s="51" t="inlineStr"/>
      <c r="J177" s="51" t="inlineStr"/>
      <c r="K177" s="51" t="inlineStr"/>
      <c r="L177" s="51" t="inlineStr"/>
      <c r="M177" s="51" t="inlineStr"/>
      <c r="N177" s="51" t="inlineStr"/>
      <c r="O177" s="51" t="inlineStr"/>
      <c r="P177" s="51" t="inlineStr"/>
      <c r="Q177" s="51" t="inlineStr"/>
      <c r="R177" s="51" t="inlineStr"/>
      <c r="S177" s="51" t="inlineStr"/>
      <c r="T177" s="51" t="inlineStr"/>
      <c r="U177" s="52">
        <f>IF(A177="","",IFERROR(INDEX(E177:T177,MATCH(TRUE,INDEX(E177:T177&lt;&gt;"",0),0)),""))</f>
        <v/>
      </c>
      <c r="V177" s="52">
        <f>IF(A177="","",IFERROR(LOOKUP(2,1/(E177:T177&lt;&gt;""),E177:T177),""))</f>
        <v/>
      </c>
      <c r="W177" s="53">
        <f>IF(OR(A177="",PreviousYear=""),"",IFERROR(LOOKUP(2,1/(E177:T177&lt;&gt;""),E177:T177)-INDEX(E177:T177,MATCH(PreviousYear,$E$5:$T$5,0)),""))</f>
        <v/>
      </c>
      <c r="X177" s="53">
        <f>IF(OR(A177="",U177="",V177=""),"",V177-U177)</f>
        <v/>
      </c>
      <c r="Y177" s="52">
        <f>IF(A177="","",COUNT(E177:T177))</f>
        <v/>
      </c>
    </row>
    <row r="178">
      <c r="A178" s="43">
        <f>IF(AND('Employees'!B16&lt;&gt;"",'Skills'!B18&lt;&gt;""),'Employees'!B16,"")</f>
        <v/>
      </c>
      <c r="B178" s="44">
        <f>IF(A178="","",'Employees'!C16)</f>
        <v/>
      </c>
      <c r="C178" s="50">
        <f>IF(A178="","",'Skills'!B18)</f>
        <v/>
      </c>
      <c r="D178" s="44">
        <f>IF(A178="","",'Skills'!C18)</f>
        <v/>
      </c>
      <c r="E178" s="51" t="inlineStr"/>
      <c r="F178" s="51" t="inlineStr"/>
      <c r="G178" s="51" t="inlineStr"/>
      <c r="H178" s="45" t="inlineStr"/>
      <c r="I178" s="51" t="inlineStr"/>
      <c r="J178" s="51" t="inlineStr"/>
      <c r="K178" s="51" t="inlineStr"/>
      <c r="L178" s="51" t="inlineStr"/>
      <c r="M178" s="51" t="inlineStr"/>
      <c r="N178" s="51" t="inlineStr"/>
      <c r="O178" s="51" t="inlineStr"/>
      <c r="P178" s="51" t="inlineStr"/>
      <c r="Q178" s="51" t="inlineStr"/>
      <c r="R178" s="51" t="inlineStr"/>
      <c r="S178" s="51" t="inlineStr"/>
      <c r="T178" s="51" t="inlineStr"/>
      <c r="U178" s="52">
        <f>IF(A178="","",IFERROR(INDEX(E178:T178,MATCH(TRUE,INDEX(E178:T178&lt;&gt;"",0),0)),""))</f>
        <v/>
      </c>
      <c r="V178" s="52">
        <f>IF(A178="","",IFERROR(LOOKUP(2,1/(E178:T178&lt;&gt;""),E178:T178),""))</f>
        <v/>
      </c>
      <c r="W178" s="53">
        <f>IF(OR(A178="",PreviousYear=""),"",IFERROR(LOOKUP(2,1/(E178:T178&lt;&gt;""),E178:T178)-INDEX(E178:T178,MATCH(PreviousYear,$E$5:$T$5,0)),""))</f>
        <v/>
      </c>
      <c r="X178" s="53">
        <f>IF(OR(A178="",U178="",V178=""),"",V178-U178)</f>
        <v/>
      </c>
      <c r="Y178" s="52">
        <f>IF(A178="","",COUNT(E178:T178))</f>
        <v/>
      </c>
    </row>
    <row r="179">
      <c r="A179" s="43">
        <f>IF(AND('Employees'!B16&lt;&gt;"",'Skills'!B19&lt;&gt;""),'Employees'!B16,"")</f>
        <v/>
      </c>
      <c r="B179" s="44">
        <f>IF(A179="","",'Employees'!C16)</f>
        <v/>
      </c>
      <c r="C179" s="50">
        <f>IF(A179="","",'Skills'!B19)</f>
        <v/>
      </c>
      <c r="D179" s="44">
        <f>IF(A179="","",'Skills'!C19)</f>
        <v/>
      </c>
      <c r="E179" s="51" t="inlineStr"/>
      <c r="F179" s="51" t="inlineStr"/>
      <c r="G179" s="51" t="inlineStr"/>
      <c r="H179" s="45" t="inlineStr"/>
      <c r="I179" s="51" t="inlineStr"/>
      <c r="J179" s="51" t="inlineStr"/>
      <c r="K179" s="51" t="inlineStr"/>
      <c r="L179" s="51" t="inlineStr"/>
      <c r="M179" s="51" t="inlineStr"/>
      <c r="N179" s="51" t="inlineStr"/>
      <c r="O179" s="51" t="inlineStr"/>
      <c r="P179" s="51" t="inlineStr"/>
      <c r="Q179" s="51" t="inlineStr"/>
      <c r="R179" s="51" t="inlineStr"/>
      <c r="S179" s="51" t="inlineStr"/>
      <c r="T179" s="51" t="inlineStr"/>
      <c r="U179" s="52">
        <f>IF(A179="","",IFERROR(INDEX(E179:T179,MATCH(TRUE,INDEX(E179:T179&lt;&gt;"",0),0)),""))</f>
        <v/>
      </c>
      <c r="V179" s="52">
        <f>IF(A179="","",IFERROR(LOOKUP(2,1/(E179:T179&lt;&gt;""),E179:T179),""))</f>
        <v/>
      </c>
      <c r="W179" s="53">
        <f>IF(OR(A179="",PreviousYear=""),"",IFERROR(LOOKUP(2,1/(E179:T179&lt;&gt;""),E179:T179)-INDEX(E179:T179,MATCH(PreviousYear,$E$5:$T$5,0)),""))</f>
        <v/>
      </c>
      <c r="X179" s="53">
        <f>IF(OR(A179="",U179="",V179=""),"",V179-U179)</f>
        <v/>
      </c>
      <c r="Y179" s="52">
        <f>IF(A179="","",COUNT(E179:T179))</f>
        <v/>
      </c>
    </row>
    <row r="180">
      <c r="A180" s="43">
        <f>IF(AND('Employees'!B16&lt;&gt;"",'Skills'!B20&lt;&gt;""),'Employees'!B16,"")</f>
        <v/>
      </c>
      <c r="B180" s="44">
        <f>IF(A180="","",'Employees'!C16)</f>
        <v/>
      </c>
      <c r="C180" s="50">
        <f>IF(A180="","",'Skills'!B20)</f>
        <v/>
      </c>
      <c r="D180" s="44">
        <f>IF(A180="","",'Skills'!C20)</f>
        <v/>
      </c>
      <c r="E180" s="51" t="inlineStr"/>
      <c r="F180" s="51" t="inlineStr"/>
      <c r="G180" s="51" t="inlineStr"/>
      <c r="H180" s="45" t="inlineStr"/>
      <c r="I180" s="51" t="inlineStr"/>
      <c r="J180" s="51" t="inlineStr"/>
      <c r="K180" s="51" t="inlineStr"/>
      <c r="L180" s="51" t="inlineStr"/>
      <c r="M180" s="51" t="inlineStr"/>
      <c r="N180" s="51" t="inlineStr"/>
      <c r="O180" s="51" t="inlineStr"/>
      <c r="P180" s="51" t="inlineStr"/>
      <c r="Q180" s="51" t="inlineStr"/>
      <c r="R180" s="51" t="inlineStr"/>
      <c r="S180" s="51" t="inlineStr"/>
      <c r="T180" s="51" t="inlineStr"/>
      <c r="U180" s="52">
        <f>IF(A180="","",IFERROR(INDEX(E180:T180,MATCH(TRUE,INDEX(E180:T180&lt;&gt;"",0),0)),""))</f>
        <v/>
      </c>
      <c r="V180" s="52">
        <f>IF(A180="","",IFERROR(LOOKUP(2,1/(E180:T180&lt;&gt;""),E180:T180),""))</f>
        <v/>
      </c>
      <c r="W180" s="53">
        <f>IF(OR(A180="",PreviousYear=""),"",IFERROR(LOOKUP(2,1/(E180:T180&lt;&gt;""),E180:T180)-INDEX(E180:T180,MATCH(PreviousYear,$E$5:$T$5,0)),""))</f>
        <v/>
      </c>
      <c r="X180" s="53">
        <f>IF(OR(A180="",U180="",V180=""),"",V180-U180)</f>
        <v/>
      </c>
      <c r="Y180" s="52">
        <f>IF(A180="","",COUNT(E180:T180))</f>
        <v/>
      </c>
    </row>
    <row r="181">
      <c r="A181" s="43">
        <f>IF(AND('Employees'!B16&lt;&gt;"",'Skills'!B21&lt;&gt;""),'Employees'!B16,"")</f>
        <v/>
      </c>
      <c r="B181" s="44">
        <f>IF(A181="","",'Employees'!C16)</f>
        <v/>
      </c>
      <c r="C181" s="50">
        <f>IF(A181="","",'Skills'!B21)</f>
        <v/>
      </c>
      <c r="D181" s="44">
        <f>IF(A181="","",'Skills'!C21)</f>
        <v/>
      </c>
      <c r="E181" s="51" t="inlineStr"/>
      <c r="F181" s="51" t="inlineStr"/>
      <c r="G181" s="51" t="inlineStr"/>
      <c r="H181" s="45" t="inlineStr"/>
      <c r="I181" s="51" t="inlineStr"/>
      <c r="J181" s="51" t="inlineStr"/>
      <c r="K181" s="51" t="inlineStr"/>
      <c r="L181" s="51" t="inlineStr"/>
      <c r="M181" s="51" t="inlineStr"/>
      <c r="N181" s="51" t="inlineStr"/>
      <c r="O181" s="51" t="inlineStr"/>
      <c r="P181" s="51" t="inlineStr"/>
      <c r="Q181" s="51" t="inlineStr"/>
      <c r="R181" s="51" t="inlineStr"/>
      <c r="S181" s="51" t="inlineStr"/>
      <c r="T181" s="51" t="inlineStr"/>
      <c r="U181" s="52">
        <f>IF(A181="","",IFERROR(INDEX(E181:T181,MATCH(TRUE,INDEX(E181:T181&lt;&gt;"",0),0)),""))</f>
        <v/>
      </c>
      <c r="V181" s="52">
        <f>IF(A181="","",IFERROR(LOOKUP(2,1/(E181:T181&lt;&gt;""),E181:T181),""))</f>
        <v/>
      </c>
      <c r="W181" s="53">
        <f>IF(OR(A181="",PreviousYear=""),"",IFERROR(LOOKUP(2,1/(E181:T181&lt;&gt;""),E181:T181)-INDEX(E181:T181,MATCH(PreviousYear,$E$5:$T$5,0)),""))</f>
        <v/>
      </c>
      <c r="X181" s="53">
        <f>IF(OR(A181="",U181="",V181=""),"",V181-U181)</f>
        <v/>
      </c>
      <c r="Y181" s="52">
        <f>IF(A181="","",COUNT(E181:T181))</f>
        <v/>
      </c>
    </row>
    <row r="182">
      <c r="A182" s="43">
        <f>IF(AND('Employees'!B17&lt;&gt;"",'Skills'!B6&lt;&gt;""),'Employees'!B17,"")</f>
        <v/>
      </c>
      <c r="B182" s="44">
        <f>IF(A182="","",'Employees'!C17)</f>
        <v/>
      </c>
      <c r="C182" s="50">
        <f>IF(A182="","",'Skills'!B6)</f>
        <v/>
      </c>
      <c r="D182" s="44">
        <f>IF(A182="","",'Skills'!C6)</f>
        <v/>
      </c>
      <c r="E182" s="51" t="inlineStr"/>
      <c r="F182" s="51" t="inlineStr"/>
      <c r="G182" s="51" t="inlineStr"/>
      <c r="H182" s="45" t="inlineStr"/>
      <c r="I182" s="51" t="inlineStr"/>
      <c r="J182" s="51" t="inlineStr"/>
      <c r="K182" s="51" t="inlineStr"/>
      <c r="L182" s="51" t="inlineStr"/>
      <c r="M182" s="51" t="inlineStr"/>
      <c r="N182" s="51" t="inlineStr"/>
      <c r="O182" s="51" t="inlineStr"/>
      <c r="P182" s="51" t="inlineStr"/>
      <c r="Q182" s="51" t="inlineStr"/>
      <c r="R182" s="51" t="inlineStr"/>
      <c r="S182" s="51" t="inlineStr"/>
      <c r="T182" s="51" t="inlineStr"/>
      <c r="U182" s="52">
        <f>IF(A182="","",IFERROR(INDEX(E182:T182,MATCH(TRUE,INDEX(E182:T182&lt;&gt;"",0),0)),""))</f>
        <v/>
      </c>
      <c r="V182" s="52">
        <f>IF(A182="","",IFERROR(LOOKUP(2,1/(E182:T182&lt;&gt;""),E182:T182),""))</f>
        <v/>
      </c>
      <c r="W182" s="53">
        <f>IF(OR(A182="",PreviousYear=""),"",IFERROR(LOOKUP(2,1/(E182:T182&lt;&gt;""),E182:T182)-INDEX(E182:T182,MATCH(PreviousYear,$E$5:$T$5,0)),""))</f>
        <v/>
      </c>
      <c r="X182" s="53">
        <f>IF(OR(A182="",U182="",V182=""),"",V182-U182)</f>
        <v/>
      </c>
      <c r="Y182" s="52">
        <f>IF(A182="","",COUNT(E182:T182))</f>
        <v/>
      </c>
    </row>
    <row r="183">
      <c r="A183" s="43">
        <f>IF(AND('Employees'!B17&lt;&gt;"",'Skills'!B7&lt;&gt;""),'Employees'!B17,"")</f>
        <v/>
      </c>
      <c r="B183" s="44">
        <f>IF(A183="","",'Employees'!C17)</f>
        <v/>
      </c>
      <c r="C183" s="50">
        <f>IF(A183="","",'Skills'!B7)</f>
        <v/>
      </c>
      <c r="D183" s="44">
        <f>IF(A183="","",'Skills'!C7)</f>
        <v/>
      </c>
      <c r="E183" s="51" t="inlineStr"/>
      <c r="F183" s="51" t="inlineStr"/>
      <c r="G183" s="51" t="inlineStr"/>
      <c r="H183" s="45" t="inlineStr"/>
      <c r="I183" s="51" t="inlineStr"/>
      <c r="J183" s="51" t="inlineStr"/>
      <c r="K183" s="51" t="inlineStr"/>
      <c r="L183" s="51" t="inlineStr"/>
      <c r="M183" s="51" t="inlineStr"/>
      <c r="N183" s="51" t="inlineStr"/>
      <c r="O183" s="51" t="inlineStr"/>
      <c r="P183" s="51" t="inlineStr"/>
      <c r="Q183" s="51" t="inlineStr"/>
      <c r="R183" s="51" t="inlineStr"/>
      <c r="S183" s="51" t="inlineStr"/>
      <c r="T183" s="51" t="inlineStr"/>
      <c r="U183" s="52">
        <f>IF(A183="","",IFERROR(INDEX(E183:T183,MATCH(TRUE,INDEX(E183:T183&lt;&gt;"",0),0)),""))</f>
        <v/>
      </c>
      <c r="V183" s="52">
        <f>IF(A183="","",IFERROR(LOOKUP(2,1/(E183:T183&lt;&gt;""),E183:T183),""))</f>
        <v/>
      </c>
      <c r="W183" s="53">
        <f>IF(OR(A183="",PreviousYear=""),"",IFERROR(LOOKUP(2,1/(E183:T183&lt;&gt;""),E183:T183)-INDEX(E183:T183,MATCH(PreviousYear,$E$5:$T$5,0)),""))</f>
        <v/>
      </c>
      <c r="X183" s="53">
        <f>IF(OR(A183="",U183="",V183=""),"",V183-U183)</f>
        <v/>
      </c>
      <c r="Y183" s="52">
        <f>IF(A183="","",COUNT(E183:T183))</f>
        <v/>
      </c>
    </row>
    <row r="184">
      <c r="A184" s="43">
        <f>IF(AND('Employees'!B17&lt;&gt;"",'Skills'!B8&lt;&gt;""),'Employees'!B17,"")</f>
        <v/>
      </c>
      <c r="B184" s="44">
        <f>IF(A184="","",'Employees'!C17)</f>
        <v/>
      </c>
      <c r="C184" s="50">
        <f>IF(A184="","",'Skills'!B8)</f>
        <v/>
      </c>
      <c r="D184" s="44">
        <f>IF(A184="","",'Skills'!C8)</f>
        <v/>
      </c>
      <c r="E184" s="51" t="inlineStr"/>
      <c r="F184" s="51" t="inlineStr"/>
      <c r="G184" s="51" t="inlineStr"/>
      <c r="H184" s="45" t="inlineStr"/>
      <c r="I184" s="51" t="inlineStr"/>
      <c r="J184" s="51" t="inlineStr"/>
      <c r="K184" s="51" t="inlineStr"/>
      <c r="L184" s="51" t="inlineStr"/>
      <c r="M184" s="51" t="inlineStr"/>
      <c r="N184" s="51" t="inlineStr"/>
      <c r="O184" s="51" t="inlineStr"/>
      <c r="P184" s="51" t="inlineStr"/>
      <c r="Q184" s="51" t="inlineStr"/>
      <c r="R184" s="51" t="inlineStr"/>
      <c r="S184" s="51" t="inlineStr"/>
      <c r="T184" s="51" t="inlineStr"/>
      <c r="U184" s="52">
        <f>IF(A184="","",IFERROR(INDEX(E184:T184,MATCH(TRUE,INDEX(E184:T184&lt;&gt;"",0),0)),""))</f>
        <v/>
      </c>
      <c r="V184" s="52">
        <f>IF(A184="","",IFERROR(LOOKUP(2,1/(E184:T184&lt;&gt;""),E184:T184),""))</f>
        <v/>
      </c>
      <c r="W184" s="53">
        <f>IF(OR(A184="",PreviousYear=""),"",IFERROR(LOOKUP(2,1/(E184:T184&lt;&gt;""),E184:T184)-INDEX(E184:T184,MATCH(PreviousYear,$E$5:$T$5,0)),""))</f>
        <v/>
      </c>
      <c r="X184" s="53">
        <f>IF(OR(A184="",U184="",V184=""),"",V184-U184)</f>
        <v/>
      </c>
      <c r="Y184" s="52">
        <f>IF(A184="","",COUNT(E184:T184))</f>
        <v/>
      </c>
    </row>
    <row r="185">
      <c r="A185" s="43">
        <f>IF(AND('Employees'!B17&lt;&gt;"",'Skills'!B9&lt;&gt;""),'Employees'!B17,"")</f>
        <v/>
      </c>
      <c r="B185" s="44">
        <f>IF(A185="","",'Employees'!C17)</f>
        <v/>
      </c>
      <c r="C185" s="50">
        <f>IF(A185="","",'Skills'!B9)</f>
        <v/>
      </c>
      <c r="D185" s="44">
        <f>IF(A185="","",'Skills'!C9)</f>
        <v/>
      </c>
      <c r="E185" s="51" t="inlineStr"/>
      <c r="F185" s="51" t="inlineStr"/>
      <c r="G185" s="51" t="inlineStr"/>
      <c r="H185" s="45" t="inlineStr"/>
      <c r="I185" s="51" t="inlineStr"/>
      <c r="J185" s="51" t="inlineStr"/>
      <c r="K185" s="51" t="inlineStr"/>
      <c r="L185" s="51" t="inlineStr"/>
      <c r="M185" s="51" t="inlineStr"/>
      <c r="N185" s="51" t="inlineStr"/>
      <c r="O185" s="51" t="inlineStr"/>
      <c r="P185" s="51" t="inlineStr"/>
      <c r="Q185" s="51" t="inlineStr"/>
      <c r="R185" s="51" t="inlineStr"/>
      <c r="S185" s="51" t="inlineStr"/>
      <c r="T185" s="51" t="inlineStr"/>
      <c r="U185" s="52">
        <f>IF(A185="","",IFERROR(INDEX(E185:T185,MATCH(TRUE,INDEX(E185:T185&lt;&gt;"",0),0)),""))</f>
        <v/>
      </c>
      <c r="V185" s="52">
        <f>IF(A185="","",IFERROR(LOOKUP(2,1/(E185:T185&lt;&gt;""),E185:T185),""))</f>
        <v/>
      </c>
      <c r="W185" s="53">
        <f>IF(OR(A185="",PreviousYear=""),"",IFERROR(LOOKUP(2,1/(E185:T185&lt;&gt;""),E185:T185)-INDEX(E185:T185,MATCH(PreviousYear,$E$5:$T$5,0)),""))</f>
        <v/>
      </c>
      <c r="X185" s="53">
        <f>IF(OR(A185="",U185="",V185=""),"",V185-U185)</f>
        <v/>
      </c>
      <c r="Y185" s="52">
        <f>IF(A185="","",COUNT(E185:T185))</f>
        <v/>
      </c>
    </row>
    <row r="186">
      <c r="A186" s="43">
        <f>IF(AND('Employees'!B17&lt;&gt;"",'Skills'!B10&lt;&gt;""),'Employees'!B17,"")</f>
        <v/>
      </c>
      <c r="B186" s="44">
        <f>IF(A186="","",'Employees'!C17)</f>
        <v/>
      </c>
      <c r="C186" s="50">
        <f>IF(A186="","",'Skills'!B10)</f>
        <v/>
      </c>
      <c r="D186" s="44">
        <f>IF(A186="","",'Skills'!C10)</f>
        <v/>
      </c>
      <c r="E186" s="51" t="inlineStr"/>
      <c r="F186" s="51" t="inlineStr"/>
      <c r="G186" s="51" t="inlineStr"/>
      <c r="H186" s="45" t="inlineStr"/>
      <c r="I186" s="51" t="inlineStr"/>
      <c r="J186" s="51" t="inlineStr"/>
      <c r="K186" s="51" t="inlineStr"/>
      <c r="L186" s="51" t="inlineStr"/>
      <c r="M186" s="51" t="inlineStr"/>
      <c r="N186" s="51" t="inlineStr"/>
      <c r="O186" s="51" t="inlineStr"/>
      <c r="P186" s="51" t="inlineStr"/>
      <c r="Q186" s="51" t="inlineStr"/>
      <c r="R186" s="51" t="inlineStr"/>
      <c r="S186" s="51" t="inlineStr"/>
      <c r="T186" s="51" t="inlineStr"/>
      <c r="U186" s="52">
        <f>IF(A186="","",IFERROR(INDEX(E186:T186,MATCH(TRUE,INDEX(E186:T186&lt;&gt;"",0),0)),""))</f>
        <v/>
      </c>
      <c r="V186" s="52">
        <f>IF(A186="","",IFERROR(LOOKUP(2,1/(E186:T186&lt;&gt;""),E186:T186),""))</f>
        <v/>
      </c>
      <c r="W186" s="53">
        <f>IF(OR(A186="",PreviousYear=""),"",IFERROR(LOOKUP(2,1/(E186:T186&lt;&gt;""),E186:T186)-INDEX(E186:T186,MATCH(PreviousYear,$E$5:$T$5,0)),""))</f>
        <v/>
      </c>
      <c r="X186" s="53">
        <f>IF(OR(A186="",U186="",V186=""),"",V186-U186)</f>
        <v/>
      </c>
      <c r="Y186" s="52">
        <f>IF(A186="","",COUNT(E186:T186))</f>
        <v/>
      </c>
    </row>
    <row r="187">
      <c r="A187" s="43">
        <f>IF(AND('Employees'!B17&lt;&gt;"",'Skills'!B11&lt;&gt;""),'Employees'!B17,"")</f>
        <v/>
      </c>
      <c r="B187" s="44">
        <f>IF(A187="","",'Employees'!C17)</f>
        <v/>
      </c>
      <c r="C187" s="50">
        <f>IF(A187="","",'Skills'!B11)</f>
        <v/>
      </c>
      <c r="D187" s="44">
        <f>IF(A187="","",'Skills'!C11)</f>
        <v/>
      </c>
      <c r="E187" s="51" t="inlineStr"/>
      <c r="F187" s="51" t="inlineStr"/>
      <c r="G187" s="51" t="inlineStr"/>
      <c r="H187" s="45" t="inlineStr"/>
      <c r="I187" s="51" t="inlineStr"/>
      <c r="J187" s="51" t="inlineStr"/>
      <c r="K187" s="51" t="inlineStr"/>
      <c r="L187" s="51" t="inlineStr"/>
      <c r="M187" s="51" t="inlineStr"/>
      <c r="N187" s="51" t="inlineStr"/>
      <c r="O187" s="51" t="inlineStr"/>
      <c r="P187" s="51" t="inlineStr"/>
      <c r="Q187" s="51" t="inlineStr"/>
      <c r="R187" s="51" t="inlineStr"/>
      <c r="S187" s="51" t="inlineStr"/>
      <c r="T187" s="51" t="inlineStr"/>
      <c r="U187" s="52">
        <f>IF(A187="","",IFERROR(INDEX(E187:T187,MATCH(TRUE,INDEX(E187:T187&lt;&gt;"",0),0)),""))</f>
        <v/>
      </c>
      <c r="V187" s="52">
        <f>IF(A187="","",IFERROR(LOOKUP(2,1/(E187:T187&lt;&gt;""),E187:T187),""))</f>
        <v/>
      </c>
      <c r="W187" s="53">
        <f>IF(OR(A187="",PreviousYear=""),"",IFERROR(LOOKUP(2,1/(E187:T187&lt;&gt;""),E187:T187)-INDEX(E187:T187,MATCH(PreviousYear,$E$5:$T$5,0)),""))</f>
        <v/>
      </c>
      <c r="X187" s="53">
        <f>IF(OR(A187="",U187="",V187=""),"",V187-U187)</f>
        <v/>
      </c>
      <c r="Y187" s="52">
        <f>IF(A187="","",COUNT(E187:T187))</f>
        <v/>
      </c>
    </row>
    <row r="188">
      <c r="A188" s="43">
        <f>IF(AND('Employees'!B17&lt;&gt;"",'Skills'!B12&lt;&gt;""),'Employees'!B17,"")</f>
        <v/>
      </c>
      <c r="B188" s="44">
        <f>IF(A188="","",'Employees'!C17)</f>
        <v/>
      </c>
      <c r="C188" s="50">
        <f>IF(A188="","",'Skills'!B12)</f>
        <v/>
      </c>
      <c r="D188" s="44">
        <f>IF(A188="","",'Skills'!C12)</f>
        <v/>
      </c>
      <c r="E188" s="51" t="inlineStr"/>
      <c r="F188" s="51" t="inlineStr"/>
      <c r="G188" s="51" t="inlineStr"/>
      <c r="H188" s="45" t="inlineStr"/>
      <c r="I188" s="51" t="inlineStr"/>
      <c r="J188" s="51" t="inlineStr"/>
      <c r="K188" s="51" t="inlineStr"/>
      <c r="L188" s="51" t="inlineStr"/>
      <c r="M188" s="51" t="inlineStr"/>
      <c r="N188" s="51" t="inlineStr"/>
      <c r="O188" s="51" t="inlineStr"/>
      <c r="P188" s="51" t="inlineStr"/>
      <c r="Q188" s="51" t="inlineStr"/>
      <c r="R188" s="51" t="inlineStr"/>
      <c r="S188" s="51" t="inlineStr"/>
      <c r="T188" s="51" t="inlineStr"/>
      <c r="U188" s="52">
        <f>IF(A188="","",IFERROR(INDEX(E188:T188,MATCH(TRUE,INDEX(E188:T188&lt;&gt;"",0),0)),""))</f>
        <v/>
      </c>
      <c r="V188" s="52">
        <f>IF(A188="","",IFERROR(LOOKUP(2,1/(E188:T188&lt;&gt;""),E188:T188),""))</f>
        <v/>
      </c>
      <c r="W188" s="53">
        <f>IF(OR(A188="",PreviousYear=""),"",IFERROR(LOOKUP(2,1/(E188:T188&lt;&gt;""),E188:T188)-INDEX(E188:T188,MATCH(PreviousYear,$E$5:$T$5,0)),""))</f>
        <v/>
      </c>
      <c r="X188" s="53">
        <f>IF(OR(A188="",U188="",V188=""),"",V188-U188)</f>
        <v/>
      </c>
      <c r="Y188" s="52">
        <f>IF(A188="","",COUNT(E188:T188))</f>
        <v/>
      </c>
    </row>
    <row r="189">
      <c r="A189" s="43">
        <f>IF(AND('Employees'!B17&lt;&gt;"",'Skills'!B13&lt;&gt;""),'Employees'!B17,"")</f>
        <v/>
      </c>
      <c r="B189" s="44">
        <f>IF(A189="","",'Employees'!C17)</f>
        <v/>
      </c>
      <c r="C189" s="50">
        <f>IF(A189="","",'Skills'!B13)</f>
        <v/>
      </c>
      <c r="D189" s="44">
        <f>IF(A189="","",'Skills'!C13)</f>
        <v/>
      </c>
      <c r="E189" s="51" t="inlineStr"/>
      <c r="F189" s="51" t="inlineStr"/>
      <c r="G189" s="51" t="inlineStr"/>
      <c r="H189" s="45" t="inlineStr"/>
      <c r="I189" s="51" t="inlineStr"/>
      <c r="J189" s="51" t="inlineStr"/>
      <c r="K189" s="51" t="inlineStr"/>
      <c r="L189" s="51" t="inlineStr"/>
      <c r="M189" s="51" t="inlineStr"/>
      <c r="N189" s="51" t="inlineStr"/>
      <c r="O189" s="51" t="inlineStr"/>
      <c r="P189" s="51" t="inlineStr"/>
      <c r="Q189" s="51" t="inlineStr"/>
      <c r="R189" s="51" t="inlineStr"/>
      <c r="S189" s="51" t="inlineStr"/>
      <c r="T189" s="51" t="inlineStr"/>
      <c r="U189" s="52">
        <f>IF(A189="","",IFERROR(INDEX(E189:T189,MATCH(TRUE,INDEX(E189:T189&lt;&gt;"",0),0)),""))</f>
        <v/>
      </c>
      <c r="V189" s="52">
        <f>IF(A189="","",IFERROR(LOOKUP(2,1/(E189:T189&lt;&gt;""),E189:T189),""))</f>
        <v/>
      </c>
      <c r="W189" s="53">
        <f>IF(OR(A189="",PreviousYear=""),"",IFERROR(LOOKUP(2,1/(E189:T189&lt;&gt;""),E189:T189)-INDEX(E189:T189,MATCH(PreviousYear,$E$5:$T$5,0)),""))</f>
        <v/>
      </c>
      <c r="X189" s="53">
        <f>IF(OR(A189="",U189="",V189=""),"",V189-U189)</f>
        <v/>
      </c>
      <c r="Y189" s="52">
        <f>IF(A189="","",COUNT(E189:T189))</f>
        <v/>
      </c>
    </row>
    <row r="190">
      <c r="A190" s="43">
        <f>IF(AND('Employees'!B17&lt;&gt;"",'Skills'!B14&lt;&gt;""),'Employees'!B17,"")</f>
        <v/>
      </c>
      <c r="B190" s="44">
        <f>IF(A190="","",'Employees'!C17)</f>
        <v/>
      </c>
      <c r="C190" s="50">
        <f>IF(A190="","",'Skills'!B14)</f>
        <v/>
      </c>
      <c r="D190" s="44">
        <f>IF(A190="","",'Skills'!C14)</f>
        <v/>
      </c>
      <c r="E190" s="51" t="inlineStr"/>
      <c r="F190" s="51" t="inlineStr"/>
      <c r="G190" s="51" t="inlineStr"/>
      <c r="H190" s="45" t="inlineStr"/>
      <c r="I190" s="51" t="inlineStr"/>
      <c r="J190" s="51" t="inlineStr"/>
      <c r="K190" s="51" t="inlineStr"/>
      <c r="L190" s="51" t="inlineStr"/>
      <c r="M190" s="51" t="inlineStr"/>
      <c r="N190" s="51" t="inlineStr"/>
      <c r="O190" s="51" t="inlineStr"/>
      <c r="P190" s="51" t="inlineStr"/>
      <c r="Q190" s="51" t="inlineStr"/>
      <c r="R190" s="51" t="inlineStr"/>
      <c r="S190" s="51" t="inlineStr"/>
      <c r="T190" s="51" t="inlineStr"/>
      <c r="U190" s="52">
        <f>IF(A190="","",IFERROR(INDEX(E190:T190,MATCH(TRUE,INDEX(E190:T190&lt;&gt;"",0),0)),""))</f>
        <v/>
      </c>
      <c r="V190" s="52">
        <f>IF(A190="","",IFERROR(LOOKUP(2,1/(E190:T190&lt;&gt;""),E190:T190),""))</f>
        <v/>
      </c>
      <c r="W190" s="53">
        <f>IF(OR(A190="",PreviousYear=""),"",IFERROR(LOOKUP(2,1/(E190:T190&lt;&gt;""),E190:T190)-INDEX(E190:T190,MATCH(PreviousYear,$E$5:$T$5,0)),""))</f>
        <v/>
      </c>
      <c r="X190" s="53">
        <f>IF(OR(A190="",U190="",V190=""),"",V190-U190)</f>
        <v/>
      </c>
      <c r="Y190" s="52">
        <f>IF(A190="","",COUNT(E190:T190))</f>
        <v/>
      </c>
    </row>
    <row r="191">
      <c r="A191" s="43">
        <f>IF(AND('Employees'!B17&lt;&gt;"",'Skills'!B15&lt;&gt;""),'Employees'!B17,"")</f>
        <v/>
      </c>
      <c r="B191" s="44">
        <f>IF(A191="","",'Employees'!C17)</f>
        <v/>
      </c>
      <c r="C191" s="50">
        <f>IF(A191="","",'Skills'!B15)</f>
        <v/>
      </c>
      <c r="D191" s="44">
        <f>IF(A191="","",'Skills'!C15)</f>
        <v/>
      </c>
      <c r="E191" s="51" t="inlineStr"/>
      <c r="F191" s="51" t="inlineStr"/>
      <c r="G191" s="51" t="inlineStr"/>
      <c r="H191" s="45" t="inlineStr"/>
      <c r="I191" s="51" t="inlineStr"/>
      <c r="J191" s="51" t="inlineStr"/>
      <c r="K191" s="51" t="inlineStr"/>
      <c r="L191" s="51" t="inlineStr"/>
      <c r="M191" s="51" t="inlineStr"/>
      <c r="N191" s="51" t="inlineStr"/>
      <c r="O191" s="51" t="inlineStr"/>
      <c r="P191" s="51" t="inlineStr"/>
      <c r="Q191" s="51" t="inlineStr"/>
      <c r="R191" s="51" t="inlineStr"/>
      <c r="S191" s="51" t="inlineStr"/>
      <c r="T191" s="51" t="inlineStr"/>
      <c r="U191" s="52">
        <f>IF(A191="","",IFERROR(INDEX(E191:T191,MATCH(TRUE,INDEX(E191:T191&lt;&gt;"",0),0)),""))</f>
        <v/>
      </c>
      <c r="V191" s="52">
        <f>IF(A191="","",IFERROR(LOOKUP(2,1/(E191:T191&lt;&gt;""),E191:T191),""))</f>
        <v/>
      </c>
      <c r="W191" s="53">
        <f>IF(OR(A191="",PreviousYear=""),"",IFERROR(LOOKUP(2,1/(E191:T191&lt;&gt;""),E191:T191)-INDEX(E191:T191,MATCH(PreviousYear,$E$5:$T$5,0)),""))</f>
        <v/>
      </c>
      <c r="X191" s="53">
        <f>IF(OR(A191="",U191="",V191=""),"",V191-U191)</f>
        <v/>
      </c>
      <c r="Y191" s="52">
        <f>IF(A191="","",COUNT(E191:T191))</f>
        <v/>
      </c>
    </row>
    <row r="192">
      <c r="A192" s="43">
        <f>IF(AND('Employees'!B17&lt;&gt;"",'Skills'!B16&lt;&gt;""),'Employees'!B17,"")</f>
        <v/>
      </c>
      <c r="B192" s="44">
        <f>IF(A192="","",'Employees'!C17)</f>
        <v/>
      </c>
      <c r="C192" s="50">
        <f>IF(A192="","",'Skills'!B16)</f>
        <v/>
      </c>
      <c r="D192" s="44">
        <f>IF(A192="","",'Skills'!C16)</f>
        <v/>
      </c>
      <c r="E192" s="51" t="inlineStr"/>
      <c r="F192" s="51" t="inlineStr"/>
      <c r="G192" s="51" t="inlineStr"/>
      <c r="H192" s="45" t="inlineStr"/>
      <c r="I192" s="51" t="inlineStr"/>
      <c r="J192" s="51" t="inlineStr"/>
      <c r="K192" s="51" t="inlineStr"/>
      <c r="L192" s="51" t="inlineStr"/>
      <c r="M192" s="51" t="inlineStr"/>
      <c r="N192" s="51" t="inlineStr"/>
      <c r="O192" s="51" t="inlineStr"/>
      <c r="P192" s="51" t="inlineStr"/>
      <c r="Q192" s="51" t="inlineStr"/>
      <c r="R192" s="51" t="inlineStr"/>
      <c r="S192" s="51" t="inlineStr"/>
      <c r="T192" s="51" t="inlineStr"/>
      <c r="U192" s="52">
        <f>IF(A192="","",IFERROR(INDEX(E192:T192,MATCH(TRUE,INDEX(E192:T192&lt;&gt;"",0),0)),""))</f>
        <v/>
      </c>
      <c r="V192" s="52">
        <f>IF(A192="","",IFERROR(LOOKUP(2,1/(E192:T192&lt;&gt;""),E192:T192),""))</f>
        <v/>
      </c>
      <c r="W192" s="53">
        <f>IF(OR(A192="",PreviousYear=""),"",IFERROR(LOOKUP(2,1/(E192:T192&lt;&gt;""),E192:T192)-INDEX(E192:T192,MATCH(PreviousYear,$E$5:$T$5,0)),""))</f>
        <v/>
      </c>
      <c r="X192" s="53">
        <f>IF(OR(A192="",U192="",V192=""),"",V192-U192)</f>
        <v/>
      </c>
      <c r="Y192" s="52">
        <f>IF(A192="","",COUNT(E192:T192))</f>
        <v/>
      </c>
    </row>
    <row r="193">
      <c r="A193" s="43">
        <f>IF(AND('Employees'!B17&lt;&gt;"",'Skills'!B17&lt;&gt;""),'Employees'!B17,"")</f>
        <v/>
      </c>
      <c r="B193" s="44">
        <f>IF(A193="","",'Employees'!C17)</f>
        <v/>
      </c>
      <c r="C193" s="50">
        <f>IF(A193="","",'Skills'!B17)</f>
        <v/>
      </c>
      <c r="D193" s="44">
        <f>IF(A193="","",'Skills'!C17)</f>
        <v/>
      </c>
      <c r="E193" s="51" t="inlineStr"/>
      <c r="F193" s="51" t="inlineStr"/>
      <c r="G193" s="51" t="inlineStr"/>
      <c r="H193" s="45" t="inlineStr"/>
      <c r="I193" s="51" t="inlineStr"/>
      <c r="J193" s="51" t="inlineStr"/>
      <c r="K193" s="51" t="inlineStr"/>
      <c r="L193" s="51" t="inlineStr"/>
      <c r="M193" s="51" t="inlineStr"/>
      <c r="N193" s="51" t="inlineStr"/>
      <c r="O193" s="51" t="inlineStr"/>
      <c r="P193" s="51" t="inlineStr"/>
      <c r="Q193" s="51" t="inlineStr"/>
      <c r="R193" s="51" t="inlineStr"/>
      <c r="S193" s="51" t="inlineStr"/>
      <c r="T193" s="51" t="inlineStr"/>
      <c r="U193" s="52">
        <f>IF(A193="","",IFERROR(INDEX(E193:T193,MATCH(TRUE,INDEX(E193:T193&lt;&gt;"",0),0)),""))</f>
        <v/>
      </c>
      <c r="V193" s="52">
        <f>IF(A193="","",IFERROR(LOOKUP(2,1/(E193:T193&lt;&gt;""),E193:T193),""))</f>
        <v/>
      </c>
      <c r="W193" s="53">
        <f>IF(OR(A193="",PreviousYear=""),"",IFERROR(LOOKUP(2,1/(E193:T193&lt;&gt;""),E193:T193)-INDEX(E193:T193,MATCH(PreviousYear,$E$5:$T$5,0)),""))</f>
        <v/>
      </c>
      <c r="X193" s="53">
        <f>IF(OR(A193="",U193="",V193=""),"",V193-U193)</f>
        <v/>
      </c>
      <c r="Y193" s="52">
        <f>IF(A193="","",COUNT(E193:T193))</f>
        <v/>
      </c>
    </row>
    <row r="194">
      <c r="A194" s="43">
        <f>IF(AND('Employees'!B17&lt;&gt;"",'Skills'!B18&lt;&gt;""),'Employees'!B17,"")</f>
        <v/>
      </c>
      <c r="B194" s="44">
        <f>IF(A194="","",'Employees'!C17)</f>
        <v/>
      </c>
      <c r="C194" s="50">
        <f>IF(A194="","",'Skills'!B18)</f>
        <v/>
      </c>
      <c r="D194" s="44">
        <f>IF(A194="","",'Skills'!C18)</f>
        <v/>
      </c>
      <c r="E194" s="51" t="inlineStr"/>
      <c r="F194" s="51" t="inlineStr"/>
      <c r="G194" s="51" t="inlineStr"/>
      <c r="H194" s="45" t="inlineStr"/>
      <c r="I194" s="51" t="inlineStr"/>
      <c r="J194" s="51" t="inlineStr"/>
      <c r="K194" s="51" t="inlineStr"/>
      <c r="L194" s="51" t="inlineStr"/>
      <c r="M194" s="51" t="inlineStr"/>
      <c r="N194" s="51" t="inlineStr"/>
      <c r="O194" s="51" t="inlineStr"/>
      <c r="P194" s="51" t="inlineStr"/>
      <c r="Q194" s="51" t="inlineStr"/>
      <c r="R194" s="51" t="inlineStr"/>
      <c r="S194" s="51" t="inlineStr"/>
      <c r="T194" s="51" t="inlineStr"/>
      <c r="U194" s="52">
        <f>IF(A194="","",IFERROR(INDEX(E194:T194,MATCH(TRUE,INDEX(E194:T194&lt;&gt;"",0),0)),""))</f>
        <v/>
      </c>
      <c r="V194" s="52">
        <f>IF(A194="","",IFERROR(LOOKUP(2,1/(E194:T194&lt;&gt;""),E194:T194),""))</f>
        <v/>
      </c>
      <c r="W194" s="53">
        <f>IF(OR(A194="",PreviousYear=""),"",IFERROR(LOOKUP(2,1/(E194:T194&lt;&gt;""),E194:T194)-INDEX(E194:T194,MATCH(PreviousYear,$E$5:$T$5,0)),""))</f>
        <v/>
      </c>
      <c r="X194" s="53">
        <f>IF(OR(A194="",U194="",V194=""),"",V194-U194)</f>
        <v/>
      </c>
      <c r="Y194" s="52">
        <f>IF(A194="","",COUNT(E194:T194))</f>
        <v/>
      </c>
    </row>
    <row r="195">
      <c r="A195" s="43">
        <f>IF(AND('Employees'!B17&lt;&gt;"",'Skills'!B19&lt;&gt;""),'Employees'!B17,"")</f>
        <v/>
      </c>
      <c r="B195" s="44">
        <f>IF(A195="","",'Employees'!C17)</f>
        <v/>
      </c>
      <c r="C195" s="50">
        <f>IF(A195="","",'Skills'!B19)</f>
        <v/>
      </c>
      <c r="D195" s="44">
        <f>IF(A195="","",'Skills'!C19)</f>
        <v/>
      </c>
      <c r="E195" s="51" t="inlineStr"/>
      <c r="F195" s="51" t="inlineStr"/>
      <c r="G195" s="51" t="inlineStr"/>
      <c r="H195" s="45" t="inlineStr"/>
      <c r="I195" s="51" t="inlineStr"/>
      <c r="J195" s="51" t="inlineStr"/>
      <c r="K195" s="51" t="inlineStr"/>
      <c r="L195" s="51" t="inlineStr"/>
      <c r="M195" s="51" t="inlineStr"/>
      <c r="N195" s="51" t="inlineStr"/>
      <c r="O195" s="51" t="inlineStr"/>
      <c r="P195" s="51" t="inlineStr"/>
      <c r="Q195" s="51" t="inlineStr"/>
      <c r="R195" s="51" t="inlineStr"/>
      <c r="S195" s="51" t="inlineStr"/>
      <c r="T195" s="51" t="inlineStr"/>
      <c r="U195" s="52">
        <f>IF(A195="","",IFERROR(INDEX(E195:T195,MATCH(TRUE,INDEX(E195:T195&lt;&gt;"",0),0)),""))</f>
        <v/>
      </c>
      <c r="V195" s="52">
        <f>IF(A195="","",IFERROR(LOOKUP(2,1/(E195:T195&lt;&gt;""),E195:T195),""))</f>
        <v/>
      </c>
      <c r="W195" s="53">
        <f>IF(OR(A195="",PreviousYear=""),"",IFERROR(LOOKUP(2,1/(E195:T195&lt;&gt;""),E195:T195)-INDEX(E195:T195,MATCH(PreviousYear,$E$5:$T$5,0)),""))</f>
        <v/>
      </c>
      <c r="X195" s="53">
        <f>IF(OR(A195="",U195="",V195=""),"",V195-U195)</f>
        <v/>
      </c>
      <c r="Y195" s="52">
        <f>IF(A195="","",COUNT(E195:T195))</f>
        <v/>
      </c>
    </row>
    <row r="196">
      <c r="A196" s="43">
        <f>IF(AND('Employees'!B17&lt;&gt;"",'Skills'!B20&lt;&gt;""),'Employees'!B17,"")</f>
        <v/>
      </c>
      <c r="B196" s="44">
        <f>IF(A196="","",'Employees'!C17)</f>
        <v/>
      </c>
      <c r="C196" s="50">
        <f>IF(A196="","",'Skills'!B20)</f>
        <v/>
      </c>
      <c r="D196" s="44">
        <f>IF(A196="","",'Skills'!C20)</f>
        <v/>
      </c>
      <c r="E196" s="51" t="inlineStr"/>
      <c r="F196" s="51" t="inlineStr"/>
      <c r="G196" s="51" t="inlineStr"/>
      <c r="H196" s="45" t="inlineStr"/>
      <c r="I196" s="51" t="inlineStr"/>
      <c r="J196" s="51" t="inlineStr"/>
      <c r="K196" s="51" t="inlineStr"/>
      <c r="L196" s="51" t="inlineStr"/>
      <c r="M196" s="51" t="inlineStr"/>
      <c r="N196" s="51" t="inlineStr"/>
      <c r="O196" s="51" t="inlineStr"/>
      <c r="P196" s="51" t="inlineStr"/>
      <c r="Q196" s="51" t="inlineStr"/>
      <c r="R196" s="51" t="inlineStr"/>
      <c r="S196" s="51" t="inlineStr"/>
      <c r="T196" s="51" t="inlineStr"/>
      <c r="U196" s="52">
        <f>IF(A196="","",IFERROR(INDEX(E196:T196,MATCH(TRUE,INDEX(E196:T196&lt;&gt;"",0),0)),""))</f>
        <v/>
      </c>
      <c r="V196" s="52">
        <f>IF(A196="","",IFERROR(LOOKUP(2,1/(E196:T196&lt;&gt;""),E196:T196),""))</f>
        <v/>
      </c>
      <c r="W196" s="53">
        <f>IF(OR(A196="",PreviousYear=""),"",IFERROR(LOOKUP(2,1/(E196:T196&lt;&gt;""),E196:T196)-INDEX(E196:T196,MATCH(PreviousYear,$E$5:$T$5,0)),""))</f>
        <v/>
      </c>
      <c r="X196" s="53">
        <f>IF(OR(A196="",U196="",V196=""),"",V196-U196)</f>
        <v/>
      </c>
      <c r="Y196" s="52">
        <f>IF(A196="","",COUNT(E196:T196))</f>
        <v/>
      </c>
    </row>
    <row r="197">
      <c r="A197" s="43">
        <f>IF(AND('Employees'!B17&lt;&gt;"",'Skills'!B21&lt;&gt;""),'Employees'!B17,"")</f>
        <v/>
      </c>
      <c r="B197" s="44">
        <f>IF(A197="","",'Employees'!C17)</f>
        <v/>
      </c>
      <c r="C197" s="50">
        <f>IF(A197="","",'Skills'!B21)</f>
        <v/>
      </c>
      <c r="D197" s="44">
        <f>IF(A197="","",'Skills'!C21)</f>
        <v/>
      </c>
      <c r="E197" s="51" t="inlineStr"/>
      <c r="F197" s="51" t="inlineStr"/>
      <c r="G197" s="51" t="inlineStr"/>
      <c r="H197" s="45" t="inlineStr"/>
      <c r="I197" s="51" t="inlineStr"/>
      <c r="J197" s="51" t="inlineStr"/>
      <c r="K197" s="51" t="inlineStr"/>
      <c r="L197" s="51" t="inlineStr"/>
      <c r="M197" s="51" t="inlineStr"/>
      <c r="N197" s="51" t="inlineStr"/>
      <c r="O197" s="51" t="inlineStr"/>
      <c r="P197" s="51" t="inlineStr"/>
      <c r="Q197" s="51" t="inlineStr"/>
      <c r="R197" s="51" t="inlineStr"/>
      <c r="S197" s="51" t="inlineStr"/>
      <c r="T197" s="51" t="inlineStr"/>
      <c r="U197" s="52">
        <f>IF(A197="","",IFERROR(INDEX(E197:T197,MATCH(TRUE,INDEX(E197:T197&lt;&gt;"",0),0)),""))</f>
        <v/>
      </c>
      <c r="V197" s="52">
        <f>IF(A197="","",IFERROR(LOOKUP(2,1/(E197:T197&lt;&gt;""),E197:T197),""))</f>
        <v/>
      </c>
      <c r="W197" s="53">
        <f>IF(OR(A197="",PreviousYear=""),"",IFERROR(LOOKUP(2,1/(E197:T197&lt;&gt;""),E197:T197)-INDEX(E197:T197,MATCH(PreviousYear,$E$5:$T$5,0)),""))</f>
        <v/>
      </c>
      <c r="X197" s="53">
        <f>IF(OR(A197="",U197="",V197=""),"",V197-U197)</f>
        <v/>
      </c>
      <c r="Y197" s="52">
        <f>IF(A197="","",COUNT(E197:T197))</f>
        <v/>
      </c>
    </row>
    <row r="198">
      <c r="A198" s="43">
        <f>IF(AND('Employees'!B18&lt;&gt;"",'Skills'!B6&lt;&gt;""),'Employees'!B18,"")</f>
        <v/>
      </c>
      <c r="B198" s="44">
        <f>IF(A198="","",'Employees'!C18)</f>
        <v/>
      </c>
      <c r="C198" s="50">
        <f>IF(A198="","",'Skills'!B6)</f>
        <v/>
      </c>
      <c r="D198" s="44">
        <f>IF(A198="","",'Skills'!C6)</f>
        <v/>
      </c>
      <c r="E198" s="51" t="inlineStr"/>
      <c r="F198" s="51" t="inlineStr"/>
      <c r="G198" s="51" t="inlineStr"/>
      <c r="H198" s="45" t="inlineStr"/>
      <c r="I198" s="51" t="inlineStr"/>
      <c r="J198" s="51" t="inlineStr"/>
      <c r="K198" s="51" t="inlineStr"/>
      <c r="L198" s="51" t="inlineStr"/>
      <c r="M198" s="51" t="inlineStr"/>
      <c r="N198" s="51" t="inlineStr"/>
      <c r="O198" s="51" t="inlineStr"/>
      <c r="P198" s="51" t="inlineStr"/>
      <c r="Q198" s="51" t="inlineStr"/>
      <c r="R198" s="51" t="inlineStr"/>
      <c r="S198" s="51" t="inlineStr"/>
      <c r="T198" s="51" t="inlineStr"/>
      <c r="U198" s="52">
        <f>IF(A198="","",IFERROR(INDEX(E198:T198,MATCH(TRUE,INDEX(E198:T198&lt;&gt;"",0),0)),""))</f>
        <v/>
      </c>
      <c r="V198" s="52">
        <f>IF(A198="","",IFERROR(LOOKUP(2,1/(E198:T198&lt;&gt;""),E198:T198),""))</f>
        <v/>
      </c>
      <c r="W198" s="53">
        <f>IF(OR(A198="",PreviousYear=""),"",IFERROR(LOOKUP(2,1/(E198:T198&lt;&gt;""),E198:T198)-INDEX(E198:T198,MATCH(PreviousYear,$E$5:$T$5,0)),""))</f>
        <v/>
      </c>
      <c r="X198" s="53">
        <f>IF(OR(A198="",U198="",V198=""),"",V198-U198)</f>
        <v/>
      </c>
      <c r="Y198" s="52">
        <f>IF(A198="","",COUNT(E198:T198))</f>
        <v/>
      </c>
    </row>
    <row r="199">
      <c r="A199" s="43">
        <f>IF(AND('Employees'!B18&lt;&gt;"",'Skills'!B7&lt;&gt;""),'Employees'!B18,"")</f>
        <v/>
      </c>
      <c r="B199" s="44">
        <f>IF(A199="","",'Employees'!C18)</f>
        <v/>
      </c>
      <c r="C199" s="50">
        <f>IF(A199="","",'Skills'!B7)</f>
        <v/>
      </c>
      <c r="D199" s="44">
        <f>IF(A199="","",'Skills'!C7)</f>
        <v/>
      </c>
      <c r="E199" s="51" t="inlineStr"/>
      <c r="F199" s="51" t="inlineStr"/>
      <c r="G199" s="51" t="inlineStr"/>
      <c r="H199" s="45" t="inlineStr"/>
      <c r="I199" s="51" t="inlineStr"/>
      <c r="J199" s="51" t="inlineStr"/>
      <c r="K199" s="51" t="inlineStr"/>
      <c r="L199" s="51" t="inlineStr"/>
      <c r="M199" s="51" t="inlineStr"/>
      <c r="N199" s="51" t="inlineStr"/>
      <c r="O199" s="51" t="inlineStr"/>
      <c r="P199" s="51" t="inlineStr"/>
      <c r="Q199" s="51" t="inlineStr"/>
      <c r="R199" s="51" t="inlineStr"/>
      <c r="S199" s="51" t="inlineStr"/>
      <c r="T199" s="51" t="inlineStr"/>
      <c r="U199" s="52">
        <f>IF(A199="","",IFERROR(INDEX(E199:T199,MATCH(TRUE,INDEX(E199:T199&lt;&gt;"",0),0)),""))</f>
        <v/>
      </c>
      <c r="V199" s="52">
        <f>IF(A199="","",IFERROR(LOOKUP(2,1/(E199:T199&lt;&gt;""),E199:T199),""))</f>
        <v/>
      </c>
      <c r="W199" s="53">
        <f>IF(OR(A199="",PreviousYear=""),"",IFERROR(LOOKUP(2,1/(E199:T199&lt;&gt;""),E199:T199)-INDEX(E199:T199,MATCH(PreviousYear,$E$5:$T$5,0)),""))</f>
        <v/>
      </c>
      <c r="X199" s="53">
        <f>IF(OR(A199="",U199="",V199=""),"",V199-U199)</f>
        <v/>
      </c>
      <c r="Y199" s="52">
        <f>IF(A199="","",COUNT(E199:T199))</f>
        <v/>
      </c>
    </row>
    <row r="200">
      <c r="A200" s="43">
        <f>IF(AND('Employees'!B18&lt;&gt;"",'Skills'!B8&lt;&gt;""),'Employees'!B18,"")</f>
        <v/>
      </c>
      <c r="B200" s="44">
        <f>IF(A200="","",'Employees'!C18)</f>
        <v/>
      </c>
      <c r="C200" s="50">
        <f>IF(A200="","",'Skills'!B8)</f>
        <v/>
      </c>
      <c r="D200" s="44">
        <f>IF(A200="","",'Skills'!C8)</f>
        <v/>
      </c>
      <c r="E200" s="51" t="inlineStr"/>
      <c r="F200" s="51" t="inlineStr"/>
      <c r="G200" s="51" t="inlineStr"/>
      <c r="H200" s="45" t="inlineStr"/>
      <c r="I200" s="51" t="inlineStr"/>
      <c r="J200" s="51" t="inlineStr"/>
      <c r="K200" s="51" t="inlineStr"/>
      <c r="L200" s="51" t="inlineStr"/>
      <c r="M200" s="51" t="inlineStr"/>
      <c r="N200" s="51" t="inlineStr"/>
      <c r="O200" s="51" t="inlineStr"/>
      <c r="P200" s="51" t="inlineStr"/>
      <c r="Q200" s="51" t="inlineStr"/>
      <c r="R200" s="51" t="inlineStr"/>
      <c r="S200" s="51" t="inlineStr"/>
      <c r="T200" s="51" t="inlineStr"/>
      <c r="U200" s="52">
        <f>IF(A200="","",IFERROR(INDEX(E200:T200,MATCH(TRUE,INDEX(E200:T200&lt;&gt;"",0),0)),""))</f>
        <v/>
      </c>
      <c r="V200" s="52">
        <f>IF(A200="","",IFERROR(LOOKUP(2,1/(E200:T200&lt;&gt;""),E200:T200),""))</f>
        <v/>
      </c>
      <c r="W200" s="53">
        <f>IF(OR(A200="",PreviousYear=""),"",IFERROR(LOOKUP(2,1/(E200:T200&lt;&gt;""),E200:T200)-INDEX(E200:T200,MATCH(PreviousYear,$E$5:$T$5,0)),""))</f>
        <v/>
      </c>
      <c r="X200" s="53">
        <f>IF(OR(A200="",U200="",V200=""),"",V200-U200)</f>
        <v/>
      </c>
      <c r="Y200" s="52">
        <f>IF(A200="","",COUNT(E200:T200))</f>
        <v/>
      </c>
    </row>
    <row r="201">
      <c r="A201" s="43">
        <f>IF(AND('Employees'!B18&lt;&gt;"",'Skills'!B9&lt;&gt;""),'Employees'!B18,"")</f>
        <v/>
      </c>
      <c r="B201" s="44">
        <f>IF(A201="","",'Employees'!C18)</f>
        <v/>
      </c>
      <c r="C201" s="50">
        <f>IF(A201="","",'Skills'!B9)</f>
        <v/>
      </c>
      <c r="D201" s="44">
        <f>IF(A201="","",'Skills'!C9)</f>
        <v/>
      </c>
      <c r="E201" s="51" t="inlineStr"/>
      <c r="F201" s="51" t="inlineStr"/>
      <c r="G201" s="51" t="inlineStr"/>
      <c r="H201" s="45" t="inlineStr"/>
      <c r="I201" s="51" t="inlineStr"/>
      <c r="J201" s="51" t="inlineStr"/>
      <c r="K201" s="51" t="inlineStr"/>
      <c r="L201" s="51" t="inlineStr"/>
      <c r="M201" s="51" t="inlineStr"/>
      <c r="N201" s="51" t="inlineStr"/>
      <c r="O201" s="51" t="inlineStr"/>
      <c r="P201" s="51" t="inlineStr"/>
      <c r="Q201" s="51" t="inlineStr"/>
      <c r="R201" s="51" t="inlineStr"/>
      <c r="S201" s="51" t="inlineStr"/>
      <c r="T201" s="51" t="inlineStr"/>
      <c r="U201" s="52">
        <f>IF(A201="","",IFERROR(INDEX(E201:T201,MATCH(TRUE,INDEX(E201:T201&lt;&gt;"",0),0)),""))</f>
        <v/>
      </c>
      <c r="V201" s="52">
        <f>IF(A201="","",IFERROR(LOOKUP(2,1/(E201:T201&lt;&gt;""),E201:T201),""))</f>
        <v/>
      </c>
      <c r="W201" s="53">
        <f>IF(OR(A201="",PreviousYear=""),"",IFERROR(LOOKUP(2,1/(E201:T201&lt;&gt;""),E201:T201)-INDEX(E201:T201,MATCH(PreviousYear,$E$5:$T$5,0)),""))</f>
        <v/>
      </c>
      <c r="X201" s="53">
        <f>IF(OR(A201="",U201="",V201=""),"",V201-U201)</f>
        <v/>
      </c>
      <c r="Y201" s="52">
        <f>IF(A201="","",COUNT(E201:T201))</f>
        <v/>
      </c>
    </row>
    <row r="202">
      <c r="A202" s="43">
        <f>IF(AND('Employees'!B18&lt;&gt;"",'Skills'!B10&lt;&gt;""),'Employees'!B18,"")</f>
        <v/>
      </c>
      <c r="B202" s="44">
        <f>IF(A202="","",'Employees'!C18)</f>
        <v/>
      </c>
      <c r="C202" s="50">
        <f>IF(A202="","",'Skills'!B10)</f>
        <v/>
      </c>
      <c r="D202" s="44">
        <f>IF(A202="","",'Skills'!C10)</f>
        <v/>
      </c>
      <c r="E202" s="51" t="inlineStr"/>
      <c r="F202" s="51" t="inlineStr"/>
      <c r="G202" s="51" t="inlineStr"/>
      <c r="H202" s="45" t="inlineStr"/>
      <c r="I202" s="51" t="inlineStr"/>
      <c r="J202" s="51" t="inlineStr"/>
      <c r="K202" s="51" t="inlineStr"/>
      <c r="L202" s="51" t="inlineStr"/>
      <c r="M202" s="51" t="inlineStr"/>
      <c r="N202" s="51" t="inlineStr"/>
      <c r="O202" s="51" t="inlineStr"/>
      <c r="P202" s="51" t="inlineStr"/>
      <c r="Q202" s="51" t="inlineStr"/>
      <c r="R202" s="51" t="inlineStr"/>
      <c r="S202" s="51" t="inlineStr"/>
      <c r="T202" s="51" t="inlineStr"/>
      <c r="U202" s="52">
        <f>IF(A202="","",IFERROR(INDEX(E202:T202,MATCH(TRUE,INDEX(E202:T202&lt;&gt;"",0),0)),""))</f>
        <v/>
      </c>
      <c r="V202" s="52">
        <f>IF(A202="","",IFERROR(LOOKUP(2,1/(E202:T202&lt;&gt;""),E202:T202),""))</f>
        <v/>
      </c>
      <c r="W202" s="53">
        <f>IF(OR(A202="",PreviousYear=""),"",IFERROR(LOOKUP(2,1/(E202:T202&lt;&gt;""),E202:T202)-INDEX(E202:T202,MATCH(PreviousYear,$E$5:$T$5,0)),""))</f>
        <v/>
      </c>
      <c r="X202" s="53">
        <f>IF(OR(A202="",U202="",V202=""),"",V202-U202)</f>
        <v/>
      </c>
      <c r="Y202" s="52">
        <f>IF(A202="","",COUNT(E202:T202))</f>
        <v/>
      </c>
    </row>
    <row r="203">
      <c r="A203" s="43">
        <f>IF(AND('Employees'!B18&lt;&gt;"",'Skills'!B11&lt;&gt;""),'Employees'!B18,"")</f>
        <v/>
      </c>
      <c r="B203" s="44">
        <f>IF(A203="","",'Employees'!C18)</f>
        <v/>
      </c>
      <c r="C203" s="50">
        <f>IF(A203="","",'Skills'!B11)</f>
        <v/>
      </c>
      <c r="D203" s="44">
        <f>IF(A203="","",'Skills'!C11)</f>
        <v/>
      </c>
      <c r="E203" s="51" t="inlineStr"/>
      <c r="F203" s="51" t="inlineStr"/>
      <c r="G203" s="51" t="inlineStr"/>
      <c r="H203" s="45" t="inlineStr"/>
      <c r="I203" s="51" t="inlineStr"/>
      <c r="J203" s="51" t="inlineStr"/>
      <c r="K203" s="51" t="inlineStr"/>
      <c r="L203" s="51" t="inlineStr"/>
      <c r="M203" s="51" t="inlineStr"/>
      <c r="N203" s="51" t="inlineStr"/>
      <c r="O203" s="51" t="inlineStr"/>
      <c r="P203" s="51" t="inlineStr"/>
      <c r="Q203" s="51" t="inlineStr"/>
      <c r="R203" s="51" t="inlineStr"/>
      <c r="S203" s="51" t="inlineStr"/>
      <c r="T203" s="51" t="inlineStr"/>
      <c r="U203" s="52">
        <f>IF(A203="","",IFERROR(INDEX(E203:T203,MATCH(TRUE,INDEX(E203:T203&lt;&gt;"",0),0)),""))</f>
        <v/>
      </c>
      <c r="V203" s="52">
        <f>IF(A203="","",IFERROR(LOOKUP(2,1/(E203:T203&lt;&gt;""),E203:T203),""))</f>
        <v/>
      </c>
      <c r="W203" s="53">
        <f>IF(OR(A203="",PreviousYear=""),"",IFERROR(LOOKUP(2,1/(E203:T203&lt;&gt;""),E203:T203)-INDEX(E203:T203,MATCH(PreviousYear,$E$5:$T$5,0)),""))</f>
        <v/>
      </c>
      <c r="X203" s="53">
        <f>IF(OR(A203="",U203="",V203=""),"",V203-U203)</f>
        <v/>
      </c>
      <c r="Y203" s="52">
        <f>IF(A203="","",COUNT(E203:T203))</f>
        <v/>
      </c>
    </row>
    <row r="204">
      <c r="A204" s="43">
        <f>IF(AND('Employees'!B18&lt;&gt;"",'Skills'!B12&lt;&gt;""),'Employees'!B18,"")</f>
        <v/>
      </c>
      <c r="B204" s="44">
        <f>IF(A204="","",'Employees'!C18)</f>
        <v/>
      </c>
      <c r="C204" s="50">
        <f>IF(A204="","",'Skills'!B12)</f>
        <v/>
      </c>
      <c r="D204" s="44">
        <f>IF(A204="","",'Skills'!C12)</f>
        <v/>
      </c>
      <c r="E204" s="51" t="inlineStr"/>
      <c r="F204" s="51" t="inlineStr"/>
      <c r="G204" s="51" t="inlineStr"/>
      <c r="H204" s="45" t="inlineStr"/>
      <c r="I204" s="51" t="inlineStr"/>
      <c r="J204" s="51" t="inlineStr"/>
      <c r="K204" s="51" t="inlineStr"/>
      <c r="L204" s="51" t="inlineStr"/>
      <c r="M204" s="51" t="inlineStr"/>
      <c r="N204" s="51" t="inlineStr"/>
      <c r="O204" s="51" t="inlineStr"/>
      <c r="P204" s="51" t="inlineStr"/>
      <c r="Q204" s="51" t="inlineStr"/>
      <c r="R204" s="51" t="inlineStr"/>
      <c r="S204" s="51" t="inlineStr"/>
      <c r="T204" s="51" t="inlineStr"/>
      <c r="U204" s="52">
        <f>IF(A204="","",IFERROR(INDEX(E204:T204,MATCH(TRUE,INDEX(E204:T204&lt;&gt;"",0),0)),""))</f>
        <v/>
      </c>
      <c r="V204" s="52">
        <f>IF(A204="","",IFERROR(LOOKUP(2,1/(E204:T204&lt;&gt;""),E204:T204),""))</f>
        <v/>
      </c>
      <c r="W204" s="53">
        <f>IF(OR(A204="",PreviousYear=""),"",IFERROR(LOOKUP(2,1/(E204:T204&lt;&gt;""),E204:T204)-INDEX(E204:T204,MATCH(PreviousYear,$E$5:$T$5,0)),""))</f>
        <v/>
      </c>
      <c r="X204" s="53">
        <f>IF(OR(A204="",U204="",V204=""),"",V204-U204)</f>
        <v/>
      </c>
      <c r="Y204" s="52">
        <f>IF(A204="","",COUNT(E204:T204))</f>
        <v/>
      </c>
    </row>
    <row r="205">
      <c r="A205" s="43">
        <f>IF(AND('Employees'!B18&lt;&gt;"",'Skills'!B13&lt;&gt;""),'Employees'!B18,"")</f>
        <v/>
      </c>
      <c r="B205" s="44">
        <f>IF(A205="","",'Employees'!C18)</f>
        <v/>
      </c>
      <c r="C205" s="50">
        <f>IF(A205="","",'Skills'!B13)</f>
        <v/>
      </c>
      <c r="D205" s="44">
        <f>IF(A205="","",'Skills'!C13)</f>
        <v/>
      </c>
      <c r="E205" s="51" t="inlineStr"/>
      <c r="F205" s="51" t="inlineStr"/>
      <c r="G205" s="51" t="inlineStr"/>
      <c r="H205" s="45" t="inlineStr"/>
      <c r="I205" s="51" t="inlineStr"/>
      <c r="J205" s="51" t="inlineStr"/>
      <c r="K205" s="51" t="inlineStr"/>
      <c r="L205" s="51" t="inlineStr"/>
      <c r="M205" s="51" t="inlineStr"/>
      <c r="N205" s="51" t="inlineStr"/>
      <c r="O205" s="51" t="inlineStr"/>
      <c r="P205" s="51" t="inlineStr"/>
      <c r="Q205" s="51" t="inlineStr"/>
      <c r="R205" s="51" t="inlineStr"/>
      <c r="S205" s="51" t="inlineStr"/>
      <c r="T205" s="51" t="inlineStr"/>
      <c r="U205" s="52">
        <f>IF(A205="","",IFERROR(INDEX(E205:T205,MATCH(TRUE,INDEX(E205:T205&lt;&gt;"",0),0)),""))</f>
        <v/>
      </c>
      <c r="V205" s="52">
        <f>IF(A205="","",IFERROR(LOOKUP(2,1/(E205:T205&lt;&gt;""),E205:T205),""))</f>
        <v/>
      </c>
      <c r="W205" s="53">
        <f>IF(OR(A205="",PreviousYear=""),"",IFERROR(LOOKUP(2,1/(E205:T205&lt;&gt;""),E205:T205)-INDEX(E205:T205,MATCH(PreviousYear,$E$5:$T$5,0)),""))</f>
        <v/>
      </c>
      <c r="X205" s="53">
        <f>IF(OR(A205="",U205="",V205=""),"",V205-U205)</f>
        <v/>
      </c>
      <c r="Y205" s="52">
        <f>IF(A205="","",COUNT(E205:T205))</f>
        <v/>
      </c>
    </row>
    <row r="206">
      <c r="A206" s="43">
        <f>IF(AND('Employees'!B18&lt;&gt;"",'Skills'!B14&lt;&gt;""),'Employees'!B18,"")</f>
        <v/>
      </c>
      <c r="B206" s="44">
        <f>IF(A206="","",'Employees'!C18)</f>
        <v/>
      </c>
      <c r="C206" s="50">
        <f>IF(A206="","",'Skills'!B14)</f>
        <v/>
      </c>
      <c r="D206" s="44">
        <f>IF(A206="","",'Skills'!C14)</f>
        <v/>
      </c>
      <c r="E206" s="51" t="inlineStr"/>
      <c r="F206" s="51" t="inlineStr"/>
      <c r="G206" s="51" t="inlineStr"/>
      <c r="H206" s="45" t="inlineStr"/>
      <c r="I206" s="51" t="inlineStr"/>
      <c r="J206" s="51" t="inlineStr"/>
      <c r="K206" s="51" t="inlineStr"/>
      <c r="L206" s="51" t="inlineStr"/>
      <c r="M206" s="51" t="inlineStr"/>
      <c r="N206" s="51" t="inlineStr"/>
      <c r="O206" s="51" t="inlineStr"/>
      <c r="P206" s="51" t="inlineStr"/>
      <c r="Q206" s="51" t="inlineStr"/>
      <c r="R206" s="51" t="inlineStr"/>
      <c r="S206" s="51" t="inlineStr"/>
      <c r="T206" s="51" t="inlineStr"/>
      <c r="U206" s="52">
        <f>IF(A206="","",IFERROR(INDEX(E206:T206,MATCH(TRUE,INDEX(E206:T206&lt;&gt;"",0),0)),""))</f>
        <v/>
      </c>
      <c r="V206" s="52">
        <f>IF(A206="","",IFERROR(LOOKUP(2,1/(E206:T206&lt;&gt;""),E206:T206),""))</f>
        <v/>
      </c>
      <c r="W206" s="53">
        <f>IF(OR(A206="",PreviousYear=""),"",IFERROR(LOOKUP(2,1/(E206:T206&lt;&gt;""),E206:T206)-INDEX(E206:T206,MATCH(PreviousYear,$E$5:$T$5,0)),""))</f>
        <v/>
      </c>
      <c r="X206" s="53">
        <f>IF(OR(A206="",U206="",V206=""),"",V206-U206)</f>
        <v/>
      </c>
      <c r="Y206" s="52">
        <f>IF(A206="","",COUNT(E206:T206))</f>
        <v/>
      </c>
    </row>
    <row r="207">
      <c r="A207" s="43">
        <f>IF(AND('Employees'!B18&lt;&gt;"",'Skills'!B15&lt;&gt;""),'Employees'!B18,"")</f>
        <v/>
      </c>
      <c r="B207" s="44">
        <f>IF(A207="","",'Employees'!C18)</f>
        <v/>
      </c>
      <c r="C207" s="50">
        <f>IF(A207="","",'Skills'!B15)</f>
        <v/>
      </c>
      <c r="D207" s="44">
        <f>IF(A207="","",'Skills'!C15)</f>
        <v/>
      </c>
      <c r="E207" s="51" t="inlineStr"/>
      <c r="F207" s="51" t="inlineStr"/>
      <c r="G207" s="51" t="inlineStr"/>
      <c r="H207" s="45" t="inlineStr"/>
      <c r="I207" s="51" t="inlineStr"/>
      <c r="J207" s="51" t="inlineStr"/>
      <c r="K207" s="51" t="inlineStr"/>
      <c r="L207" s="51" t="inlineStr"/>
      <c r="M207" s="51" t="inlineStr"/>
      <c r="N207" s="51" t="inlineStr"/>
      <c r="O207" s="51" t="inlineStr"/>
      <c r="P207" s="51" t="inlineStr"/>
      <c r="Q207" s="51" t="inlineStr"/>
      <c r="R207" s="51" t="inlineStr"/>
      <c r="S207" s="51" t="inlineStr"/>
      <c r="T207" s="51" t="inlineStr"/>
      <c r="U207" s="52">
        <f>IF(A207="","",IFERROR(INDEX(E207:T207,MATCH(TRUE,INDEX(E207:T207&lt;&gt;"",0),0)),""))</f>
        <v/>
      </c>
      <c r="V207" s="52">
        <f>IF(A207="","",IFERROR(LOOKUP(2,1/(E207:T207&lt;&gt;""),E207:T207),""))</f>
        <v/>
      </c>
      <c r="W207" s="53">
        <f>IF(OR(A207="",PreviousYear=""),"",IFERROR(LOOKUP(2,1/(E207:T207&lt;&gt;""),E207:T207)-INDEX(E207:T207,MATCH(PreviousYear,$E$5:$T$5,0)),""))</f>
        <v/>
      </c>
      <c r="X207" s="53">
        <f>IF(OR(A207="",U207="",V207=""),"",V207-U207)</f>
        <v/>
      </c>
      <c r="Y207" s="52">
        <f>IF(A207="","",COUNT(E207:T207))</f>
        <v/>
      </c>
    </row>
    <row r="208">
      <c r="A208" s="43">
        <f>IF(AND('Employees'!B18&lt;&gt;"",'Skills'!B16&lt;&gt;""),'Employees'!B18,"")</f>
        <v/>
      </c>
      <c r="B208" s="44">
        <f>IF(A208="","",'Employees'!C18)</f>
        <v/>
      </c>
      <c r="C208" s="50">
        <f>IF(A208="","",'Skills'!B16)</f>
        <v/>
      </c>
      <c r="D208" s="44">
        <f>IF(A208="","",'Skills'!C16)</f>
        <v/>
      </c>
      <c r="E208" s="51" t="inlineStr"/>
      <c r="F208" s="51" t="inlineStr"/>
      <c r="G208" s="51" t="inlineStr"/>
      <c r="H208" s="45" t="inlineStr"/>
      <c r="I208" s="51" t="inlineStr"/>
      <c r="J208" s="51" t="inlineStr"/>
      <c r="K208" s="51" t="inlineStr"/>
      <c r="L208" s="51" t="inlineStr"/>
      <c r="M208" s="51" t="inlineStr"/>
      <c r="N208" s="51" t="inlineStr"/>
      <c r="O208" s="51" t="inlineStr"/>
      <c r="P208" s="51" t="inlineStr"/>
      <c r="Q208" s="51" t="inlineStr"/>
      <c r="R208" s="51" t="inlineStr"/>
      <c r="S208" s="51" t="inlineStr"/>
      <c r="T208" s="51" t="inlineStr"/>
      <c r="U208" s="52">
        <f>IF(A208="","",IFERROR(INDEX(E208:T208,MATCH(TRUE,INDEX(E208:T208&lt;&gt;"",0),0)),""))</f>
        <v/>
      </c>
      <c r="V208" s="52">
        <f>IF(A208="","",IFERROR(LOOKUP(2,1/(E208:T208&lt;&gt;""),E208:T208),""))</f>
        <v/>
      </c>
      <c r="W208" s="53">
        <f>IF(OR(A208="",PreviousYear=""),"",IFERROR(LOOKUP(2,1/(E208:T208&lt;&gt;""),E208:T208)-INDEX(E208:T208,MATCH(PreviousYear,$E$5:$T$5,0)),""))</f>
        <v/>
      </c>
      <c r="X208" s="53">
        <f>IF(OR(A208="",U208="",V208=""),"",V208-U208)</f>
        <v/>
      </c>
      <c r="Y208" s="52">
        <f>IF(A208="","",COUNT(E208:T208))</f>
        <v/>
      </c>
    </row>
    <row r="209">
      <c r="A209" s="43">
        <f>IF(AND('Employees'!B18&lt;&gt;"",'Skills'!B17&lt;&gt;""),'Employees'!B18,"")</f>
        <v/>
      </c>
      <c r="B209" s="44">
        <f>IF(A209="","",'Employees'!C18)</f>
        <v/>
      </c>
      <c r="C209" s="50">
        <f>IF(A209="","",'Skills'!B17)</f>
        <v/>
      </c>
      <c r="D209" s="44">
        <f>IF(A209="","",'Skills'!C17)</f>
        <v/>
      </c>
      <c r="E209" s="51" t="inlineStr"/>
      <c r="F209" s="51" t="inlineStr"/>
      <c r="G209" s="51" t="inlineStr"/>
      <c r="H209" s="45" t="inlineStr"/>
      <c r="I209" s="51" t="inlineStr"/>
      <c r="J209" s="51" t="inlineStr"/>
      <c r="K209" s="51" t="inlineStr"/>
      <c r="L209" s="51" t="inlineStr"/>
      <c r="M209" s="51" t="inlineStr"/>
      <c r="N209" s="51" t="inlineStr"/>
      <c r="O209" s="51" t="inlineStr"/>
      <c r="P209" s="51" t="inlineStr"/>
      <c r="Q209" s="51" t="inlineStr"/>
      <c r="R209" s="51" t="inlineStr"/>
      <c r="S209" s="51" t="inlineStr"/>
      <c r="T209" s="51" t="inlineStr"/>
      <c r="U209" s="52">
        <f>IF(A209="","",IFERROR(INDEX(E209:T209,MATCH(TRUE,INDEX(E209:T209&lt;&gt;"",0),0)),""))</f>
        <v/>
      </c>
      <c r="V209" s="52">
        <f>IF(A209="","",IFERROR(LOOKUP(2,1/(E209:T209&lt;&gt;""),E209:T209),""))</f>
        <v/>
      </c>
      <c r="W209" s="53">
        <f>IF(OR(A209="",PreviousYear=""),"",IFERROR(LOOKUP(2,1/(E209:T209&lt;&gt;""),E209:T209)-INDEX(E209:T209,MATCH(PreviousYear,$E$5:$T$5,0)),""))</f>
        <v/>
      </c>
      <c r="X209" s="53">
        <f>IF(OR(A209="",U209="",V209=""),"",V209-U209)</f>
        <v/>
      </c>
      <c r="Y209" s="52">
        <f>IF(A209="","",COUNT(E209:T209))</f>
        <v/>
      </c>
    </row>
    <row r="210">
      <c r="A210" s="43">
        <f>IF(AND('Employees'!B18&lt;&gt;"",'Skills'!B18&lt;&gt;""),'Employees'!B18,"")</f>
        <v/>
      </c>
      <c r="B210" s="44">
        <f>IF(A210="","",'Employees'!C18)</f>
        <v/>
      </c>
      <c r="C210" s="50">
        <f>IF(A210="","",'Skills'!B18)</f>
        <v/>
      </c>
      <c r="D210" s="44">
        <f>IF(A210="","",'Skills'!C18)</f>
        <v/>
      </c>
      <c r="E210" s="51" t="inlineStr"/>
      <c r="F210" s="51" t="inlineStr"/>
      <c r="G210" s="51" t="inlineStr"/>
      <c r="H210" s="45" t="inlineStr"/>
      <c r="I210" s="51" t="inlineStr"/>
      <c r="J210" s="51" t="inlineStr"/>
      <c r="K210" s="51" t="inlineStr"/>
      <c r="L210" s="51" t="inlineStr"/>
      <c r="M210" s="51" t="inlineStr"/>
      <c r="N210" s="51" t="inlineStr"/>
      <c r="O210" s="51" t="inlineStr"/>
      <c r="P210" s="51" t="inlineStr"/>
      <c r="Q210" s="51" t="inlineStr"/>
      <c r="R210" s="51" t="inlineStr"/>
      <c r="S210" s="51" t="inlineStr"/>
      <c r="T210" s="51" t="inlineStr"/>
      <c r="U210" s="52">
        <f>IF(A210="","",IFERROR(INDEX(E210:T210,MATCH(TRUE,INDEX(E210:T210&lt;&gt;"",0),0)),""))</f>
        <v/>
      </c>
      <c r="V210" s="52">
        <f>IF(A210="","",IFERROR(LOOKUP(2,1/(E210:T210&lt;&gt;""),E210:T210),""))</f>
        <v/>
      </c>
      <c r="W210" s="53">
        <f>IF(OR(A210="",PreviousYear=""),"",IFERROR(LOOKUP(2,1/(E210:T210&lt;&gt;""),E210:T210)-INDEX(E210:T210,MATCH(PreviousYear,$E$5:$T$5,0)),""))</f>
        <v/>
      </c>
      <c r="X210" s="53">
        <f>IF(OR(A210="",U210="",V210=""),"",V210-U210)</f>
        <v/>
      </c>
      <c r="Y210" s="52">
        <f>IF(A210="","",COUNT(E210:T210))</f>
        <v/>
      </c>
    </row>
    <row r="211">
      <c r="A211" s="43">
        <f>IF(AND('Employees'!B18&lt;&gt;"",'Skills'!B19&lt;&gt;""),'Employees'!B18,"")</f>
        <v/>
      </c>
      <c r="B211" s="44">
        <f>IF(A211="","",'Employees'!C18)</f>
        <v/>
      </c>
      <c r="C211" s="50">
        <f>IF(A211="","",'Skills'!B19)</f>
        <v/>
      </c>
      <c r="D211" s="44">
        <f>IF(A211="","",'Skills'!C19)</f>
        <v/>
      </c>
      <c r="E211" s="51" t="inlineStr"/>
      <c r="F211" s="51" t="inlineStr"/>
      <c r="G211" s="51" t="inlineStr"/>
      <c r="H211" s="45" t="inlineStr"/>
      <c r="I211" s="51" t="inlineStr"/>
      <c r="J211" s="51" t="inlineStr"/>
      <c r="K211" s="51" t="inlineStr"/>
      <c r="L211" s="51" t="inlineStr"/>
      <c r="M211" s="51" t="inlineStr"/>
      <c r="N211" s="51" t="inlineStr"/>
      <c r="O211" s="51" t="inlineStr"/>
      <c r="P211" s="51" t="inlineStr"/>
      <c r="Q211" s="51" t="inlineStr"/>
      <c r="R211" s="51" t="inlineStr"/>
      <c r="S211" s="51" t="inlineStr"/>
      <c r="T211" s="51" t="inlineStr"/>
      <c r="U211" s="52">
        <f>IF(A211="","",IFERROR(INDEX(E211:T211,MATCH(TRUE,INDEX(E211:T211&lt;&gt;"",0),0)),""))</f>
        <v/>
      </c>
      <c r="V211" s="52">
        <f>IF(A211="","",IFERROR(LOOKUP(2,1/(E211:T211&lt;&gt;""),E211:T211),""))</f>
        <v/>
      </c>
      <c r="W211" s="53">
        <f>IF(OR(A211="",PreviousYear=""),"",IFERROR(LOOKUP(2,1/(E211:T211&lt;&gt;""),E211:T211)-INDEX(E211:T211,MATCH(PreviousYear,$E$5:$T$5,0)),""))</f>
        <v/>
      </c>
      <c r="X211" s="53">
        <f>IF(OR(A211="",U211="",V211=""),"",V211-U211)</f>
        <v/>
      </c>
      <c r="Y211" s="52">
        <f>IF(A211="","",COUNT(E211:T211))</f>
        <v/>
      </c>
    </row>
    <row r="212">
      <c r="A212" s="43">
        <f>IF(AND('Employees'!B18&lt;&gt;"",'Skills'!B20&lt;&gt;""),'Employees'!B18,"")</f>
        <v/>
      </c>
      <c r="B212" s="44">
        <f>IF(A212="","",'Employees'!C18)</f>
        <v/>
      </c>
      <c r="C212" s="50">
        <f>IF(A212="","",'Skills'!B20)</f>
        <v/>
      </c>
      <c r="D212" s="44">
        <f>IF(A212="","",'Skills'!C20)</f>
        <v/>
      </c>
      <c r="E212" s="51" t="inlineStr"/>
      <c r="F212" s="51" t="inlineStr"/>
      <c r="G212" s="51" t="inlineStr"/>
      <c r="H212" s="45" t="inlineStr"/>
      <c r="I212" s="51" t="inlineStr"/>
      <c r="J212" s="51" t="inlineStr"/>
      <c r="K212" s="51" t="inlineStr"/>
      <c r="L212" s="51" t="inlineStr"/>
      <c r="M212" s="51" t="inlineStr"/>
      <c r="N212" s="51" t="inlineStr"/>
      <c r="O212" s="51" t="inlineStr"/>
      <c r="P212" s="51" t="inlineStr"/>
      <c r="Q212" s="51" t="inlineStr"/>
      <c r="R212" s="51" t="inlineStr"/>
      <c r="S212" s="51" t="inlineStr"/>
      <c r="T212" s="51" t="inlineStr"/>
      <c r="U212" s="52">
        <f>IF(A212="","",IFERROR(INDEX(E212:T212,MATCH(TRUE,INDEX(E212:T212&lt;&gt;"",0),0)),""))</f>
        <v/>
      </c>
      <c r="V212" s="52">
        <f>IF(A212="","",IFERROR(LOOKUP(2,1/(E212:T212&lt;&gt;""),E212:T212),""))</f>
        <v/>
      </c>
      <c r="W212" s="53">
        <f>IF(OR(A212="",PreviousYear=""),"",IFERROR(LOOKUP(2,1/(E212:T212&lt;&gt;""),E212:T212)-INDEX(E212:T212,MATCH(PreviousYear,$E$5:$T$5,0)),""))</f>
        <v/>
      </c>
      <c r="X212" s="53">
        <f>IF(OR(A212="",U212="",V212=""),"",V212-U212)</f>
        <v/>
      </c>
      <c r="Y212" s="52">
        <f>IF(A212="","",COUNT(E212:T212))</f>
        <v/>
      </c>
    </row>
    <row r="213">
      <c r="A213" s="43">
        <f>IF(AND('Employees'!B18&lt;&gt;"",'Skills'!B21&lt;&gt;""),'Employees'!B18,"")</f>
        <v/>
      </c>
      <c r="B213" s="44">
        <f>IF(A213="","",'Employees'!C18)</f>
        <v/>
      </c>
      <c r="C213" s="50">
        <f>IF(A213="","",'Skills'!B21)</f>
        <v/>
      </c>
      <c r="D213" s="44">
        <f>IF(A213="","",'Skills'!C21)</f>
        <v/>
      </c>
      <c r="E213" s="51" t="inlineStr"/>
      <c r="F213" s="51" t="inlineStr"/>
      <c r="G213" s="51" t="inlineStr"/>
      <c r="H213" s="45" t="inlineStr"/>
      <c r="I213" s="51" t="inlineStr"/>
      <c r="J213" s="51" t="inlineStr"/>
      <c r="K213" s="51" t="inlineStr"/>
      <c r="L213" s="51" t="inlineStr"/>
      <c r="M213" s="51" t="inlineStr"/>
      <c r="N213" s="51" t="inlineStr"/>
      <c r="O213" s="51" t="inlineStr"/>
      <c r="P213" s="51" t="inlineStr"/>
      <c r="Q213" s="51" t="inlineStr"/>
      <c r="R213" s="51" t="inlineStr"/>
      <c r="S213" s="51" t="inlineStr"/>
      <c r="T213" s="51" t="inlineStr"/>
      <c r="U213" s="52">
        <f>IF(A213="","",IFERROR(INDEX(E213:T213,MATCH(TRUE,INDEX(E213:T213&lt;&gt;"",0),0)),""))</f>
        <v/>
      </c>
      <c r="V213" s="52">
        <f>IF(A213="","",IFERROR(LOOKUP(2,1/(E213:T213&lt;&gt;""),E213:T213),""))</f>
        <v/>
      </c>
      <c r="W213" s="53">
        <f>IF(OR(A213="",PreviousYear=""),"",IFERROR(LOOKUP(2,1/(E213:T213&lt;&gt;""),E213:T213)-INDEX(E213:T213,MATCH(PreviousYear,$E$5:$T$5,0)),""))</f>
        <v/>
      </c>
      <c r="X213" s="53">
        <f>IF(OR(A213="",U213="",V213=""),"",V213-U213)</f>
        <v/>
      </c>
      <c r="Y213" s="52">
        <f>IF(A213="","",COUNT(E213:T213))</f>
        <v/>
      </c>
    </row>
    <row r="214">
      <c r="A214" s="43">
        <f>IF(AND('Employees'!B19&lt;&gt;"",'Skills'!B6&lt;&gt;""),'Employees'!B19,"")</f>
        <v/>
      </c>
      <c r="B214" s="44">
        <f>IF(A214="","",'Employees'!C19)</f>
        <v/>
      </c>
      <c r="C214" s="50">
        <f>IF(A214="","",'Skills'!B6)</f>
        <v/>
      </c>
      <c r="D214" s="44">
        <f>IF(A214="","",'Skills'!C6)</f>
        <v/>
      </c>
      <c r="E214" s="51" t="inlineStr"/>
      <c r="F214" s="51" t="inlineStr"/>
      <c r="G214" s="51" t="inlineStr"/>
      <c r="H214" s="45" t="inlineStr"/>
      <c r="I214" s="51" t="inlineStr"/>
      <c r="J214" s="51" t="inlineStr"/>
      <c r="K214" s="51" t="inlineStr"/>
      <c r="L214" s="51" t="inlineStr"/>
      <c r="M214" s="51" t="inlineStr"/>
      <c r="N214" s="51" t="inlineStr"/>
      <c r="O214" s="51" t="inlineStr"/>
      <c r="P214" s="51" t="inlineStr"/>
      <c r="Q214" s="51" t="inlineStr"/>
      <c r="R214" s="51" t="inlineStr"/>
      <c r="S214" s="51" t="inlineStr"/>
      <c r="T214" s="51" t="inlineStr"/>
      <c r="U214" s="52">
        <f>IF(A214="","",IFERROR(INDEX(E214:T214,MATCH(TRUE,INDEX(E214:T214&lt;&gt;"",0),0)),""))</f>
        <v/>
      </c>
      <c r="V214" s="52">
        <f>IF(A214="","",IFERROR(LOOKUP(2,1/(E214:T214&lt;&gt;""),E214:T214),""))</f>
        <v/>
      </c>
      <c r="W214" s="53">
        <f>IF(OR(A214="",PreviousYear=""),"",IFERROR(LOOKUP(2,1/(E214:T214&lt;&gt;""),E214:T214)-INDEX(E214:T214,MATCH(PreviousYear,$E$5:$T$5,0)),""))</f>
        <v/>
      </c>
      <c r="X214" s="53">
        <f>IF(OR(A214="",U214="",V214=""),"",V214-U214)</f>
        <v/>
      </c>
      <c r="Y214" s="52">
        <f>IF(A214="","",COUNT(E214:T214))</f>
        <v/>
      </c>
    </row>
    <row r="215">
      <c r="A215" s="43">
        <f>IF(AND('Employees'!B19&lt;&gt;"",'Skills'!B7&lt;&gt;""),'Employees'!B19,"")</f>
        <v/>
      </c>
      <c r="B215" s="44">
        <f>IF(A215="","",'Employees'!C19)</f>
        <v/>
      </c>
      <c r="C215" s="50">
        <f>IF(A215="","",'Skills'!B7)</f>
        <v/>
      </c>
      <c r="D215" s="44">
        <f>IF(A215="","",'Skills'!C7)</f>
        <v/>
      </c>
      <c r="E215" s="51" t="inlineStr"/>
      <c r="F215" s="51" t="inlineStr"/>
      <c r="G215" s="51" t="inlineStr"/>
      <c r="H215" s="45" t="inlineStr"/>
      <c r="I215" s="51" t="inlineStr"/>
      <c r="J215" s="51" t="inlineStr"/>
      <c r="K215" s="51" t="inlineStr"/>
      <c r="L215" s="51" t="inlineStr"/>
      <c r="M215" s="51" t="inlineStr"/>
      <c r="N215" s="51" t="inlineStr"/>
      <c r="O215" s="51" t="inlineStr"/>
      <c r="P215" s="51" t="inlineStr"/>
      <c r="Q215" s="51" t="inlineStr"/>
      <c r="R215" s="51" t="inlineStr"/>
      <c r="S215" s="51" t="inlineStr"/>
      <c r="T215" s="51" t="inlineStr"/>
      <c r="U215" s="52">
        <f>IF(A215="","",IFERROR(INDEX(E215:T215,MATCH(TRUE,INDEX(E215:T215&lt;&gt;"",0),0)),""))</f>
        <v/>
      </c>
      <c r="V215" s="52">
        <f>IF(A215="","",IFERROR(LOOKUP(2,1/(E215:T215&lt;&gt;""),E215:T215),""))</f>
        <v/>
      </c>
      <c r="W215" s="53">
        <f>IF(OR(A215="",PreviousYear=""),"",IFERROR(LOOKUP(2,1/(E215:T215&lt;&gt;""),E215:T215)-INDEX(E215:T215,MATCH(PreviousYear,$E$5:$T$5,0)),""))</f>
        <v/>
      </c>
      <c r="X215" s="53">
        <f>IF(OR(A215="",U215="",V215=""),"",V215-U215)</f>
        <v/>
      </c>
      <c r="Y215" s="52">
        <f>IF(A215="","",COUNT(E215:T215))</f>
        <v/>
      </c>
    </row>
    <row r="216">
      <c r="A216" s="43">
        <f>IF(AND('Employees'!B19&lt;&gt;"",'Skills'!B8&lt;&gt;""),'Employees'!B19,"")</f>
        <v/>
      </c>
      <c r="B216" s="44">
        <f>IF(A216="","",'Employees'!C19)</f>
        <v/>
      </c>
      <c r="C216" s="50">
        <f>IF(A216="","",'Skills'!B8)</f>
        <v/>
      </c>
      <c r="D216" s="44">
        <f>IF(A216="","",'Skills'!C8)</f>
        <v/>
      </c>
      <c r="E216" s="51" t="inlineStr"/>
      <c r="F216" s="51" t="inlineStr"/>
      <c r="G216" s="51" t="inlineStr"/>
      <c r="H216" s="45" t="inlineStr"/>
      <c r="I216" s="51" t="inlineStr"/>
      <c r="J216" s="51" t="inlineStr"/>
      <c r="K216" s="51" t="inlineStr"/>
      <c r="L216" s="51" t="inlineStr"/>
      <c r="M216" s="51" t="inlineStr"/>
      <c r="N216" s="51" t="inlineStr"/>
      <c r="O216" s="51" t="inlineStr"/>
      <c r="P216" s="51" t="inlineStr"/>
      <c r="Q216" s="51" t="inlineStr"/>
      <c r="R216" s="51" t="inlineStr"/>
      <c r="S216" s="51" t="inlineStr"/>
      <c r="T216" s="51" t="inlineStr"/>
      <c r="U216" s="52">
        <f>IF(A216="","",IFERROR(INDEX(E216:T216,MATCH(TRUE,INDEX(E216:T216&lt;&gt;"",0),0)),""))</f>
        <v/>
      </c>
      <c r="V216" s="52">
        <f>IF(A216="","",IFERROR(LOOKUP(2,1/(E216:T216&lt;&gt;""),E216:T216),""))</f>
        <v/>
      </c>
      <c r="W216" s="53">
        <f>IF(OR(A216="",PreviousYear=""),"",IFERROR(LOOKUP(2,1/(E216:T216&lt;&gt;""),E216:T216)-INDEX(E216:T216,MATCH(PreviousYear,$E$5:$T$5,0)),""))</f>
        <v/>
      </c>
      <c r="X216" s="53">
        <f>IF(OR(A216="",U216="",V216=""),"",V216-U216)</f>
        <v/>
      </c>
      <c r="Y216" s="52">
        <f>IF(A216="","",COUNT(E216:T216))</f>
        <v/>
      </c>
    </row>
    <row r="217">
      <c r="A217" s="43">
        <f>IF(AND('Employees'!B19&lt;&gt;"",'Skills'!B9&lt;&gt;""),'Employees'!B19,"")</f>
        <v/>
      </c>
      <c r="B217" s="44">
        <f>IF(A217="","",'Employees'!C19)</f>
        <v/>
      </c>
      <c r="C217" s="50">
        <f>IF(A217="","",'Skills'!B9)</f>
        <v/>
      </c>
      <c r="D217" s="44">
        <f>IF(A217="","",'Skills'!C9)</f>
        <v/>
      </c>
      <c r="E217" s="51" t="inlineStr"/>
      <c r="F217" s="51" t="inlineStr"/>
      <c r="G217" s="51" t="inlineStr"/>
      <c r="H217" s="45" t="inlineStr"/>
      <c r="I217" s="51" t="inlineStr"/>
      <c r="J217" s="51" t="inlineStr"/>
      <c r="K217" s="51" t="inlineStr"/>
      <c r="L217" s="51" t="inlineStr"/>
      <c r="M217" s="51" t="inlineStr"/>
      <c r="N217" s="51" t="inlineStr"/>
      <c r="O217" s="51" t="inlineStr"/>
      <c r="P217" s="51" t="inlineStr"/>
      <c r="Q217" s="51" t="inlineStr"/>
      <c r="R217" s="51" t="inlineStr"/>
      <c r="S217" s="51" t="inlineStr"/>
      <c r="T217" s="51" t="inlineStr"/>
      <c r="U217" s="52">
        <f>IF(A217="","",IFERROR(INDEX(E217:T217,MATCH(TRUE,INDEX(E217:T217&lt;&gt;"",0),0)),""))</f>
        <v/>
      </c>
      <c r="V217" s="52">
        <f>IF(A217="","",IFERROR(LOOKUP(2,1/(E217:T217&lt;&gt;""),E217:T217),""))</f>
        <v/>
      </c>
      <c r="W217" s="53">
        <f>IF(OR(A217="",PreviousYear=""),"",IFERROR(LOOKUP(2,1/(E217:T217&lt;&gt;""),E217:T217)-INDEX(E217:T217,MATCH(PreviousYear,$E$5:$T$5,0)),""))</f>
        <v/>
      </c>
      <c r="X217" s="53">
        <f>IF(OR(A217="",U217="",V217=""),"",V217-U217)</f>
        <v/>
      </c>
      <c r="Y217" s="52">
        <f>IF(A217="","",COUNT(E217:T217))</f>
        <v/>
      </c>
    </row>
    <row r="218">
      <c r="A218" s="43">
        <f>IF(AND('Employees'!B19&lt;&gt;"",'Skills'!B10&lt;&gt;""),'Employees'!B19,"")</f>
        <v/>
      </c>
      <c r="B218" s="44">
        <f>IF(A218="","",'Employees'!C19)</f>
        <v/>
      </c>
      <c r="C218" s="50">
        <f>IF(A218="","",'Skills'!B10)</f>
        <v/>
      </c>
      <c r="D218" s="44">
        <f>IF(A218="","",'Skills'!C10)</f>
        <v/>
      </c>
      <c r="E218" s="51" t="inlineStr"/>
      <c r="F218" s="51" t="inlineStr"/>
      <c r="G218" s="51" t="inlineStr"/>
      <c r="H218" s="45" t="inlineStr"/>
      <c r="I218" s="51" t="inlineStr"/>
      <c r="J218" s="51" t="inlineStr"/>
      <c r="K218" s="51" t="inlineStr"/>
      <c r="L218" s="51" t="inlineStr"/>
      <c r="M218" s="51" t="inlineStr"/>
      <c r="N218" s="51" t="inlineStr"/>
      <c r="O218" s="51" t="inlineStr"/>
      <c r="P218" s="51" t="inlineStr"/>
      <c r="Q218" s="51" t="inlineStr"/>
      <c r="R218" s="51" t="inlineStr"/>
      <c r="S218" s="51" t="inlineStr"/>
      <c r="T218" s="51" t="inlineStr"/>
      <c r="U218" s="52">
        <f>IF(A218="","",IFERROR(INDEX(E218:T218,MATCH(TRUE,INDEX(E218:T218&lt;&gt;"",0),0)),""))</f>
        <v/>
      </c>
      <c r="V218" s="52">
        <f>IF(A218="","",IFERROR(LOOKUP(2,1/(E218:T218&lt;&gt;""),E218:T218),""))</f>
        <v/>
      </c>
      <c r="W218" s="53">
        <f>IF(OR(A218="",PreviousYear=""),"",IFERROR(LOOKUP(2,1/(E218:T218&lt;&gt;""),E218:T218)-INDEX(E218:T218,MATCH(PreviousYear,$E$5:$T$5,0)),""))</f>
        <v/>
      </c>
      <c r="X218" s="53">
        <f>IF(OR(A218="",U218="",V218=""),"",V218-U218)</f>
        <v/>
      </c>
      <c r="Y218" s="52">
        <f>IF(A218="","",COUNT(E218:T218))</f>
        <v/>
      </c>
    </row>
    <row r="219">
      <c r="A219" s="43">
        <f>IF(AND('Employees'!B19&lt;&gt;"",'Skills'!B11&lt;&gt;""),'Employees'!B19,"")</f>
        <v/>
      </c>
      <c r="B219" s="44">
        <f>IF(A219="","",'Employees'!C19)</f>
        <v/>
      </c>
      <c r="C219" s="50">
        <f>IF(A219="","",'Skills'!B11)</f>
        <v/>
      </c>
      <c r="D219" s="44">
        <f>IF(A219="","",'Skills'!C11)</f>
        <v/>
      </c>
      <c r="E219" s="51" t="inlineStr"/>
      <c r="F219" s="51" t="inlineStr"/>
      <c r="G219" s="51" t="inlineStr"/>
      <c r="H219" s="45" t="inlineStr"/>
      <c r="I219" s="51" t="inlineStr"/>
      <c r="J219" s="51" t="inlineStr"/>
      <c r="K219" s="51" t="inlineStr"/>
      <c r="L219" s="51" t="inlineStr"/>
      <c r="M219" s="51" t="inlineStr"/>
      <c r="N219" s="51" t="inlineStr"/>
      <c r="O219" s="51" t="inlineStr"/>
      <c r="P219" s="51" t="inlineStr"/>
      <c r="Q219" s="51" t="inlineStr"/>
      <c r="R219" s="51" t="inlineStr"/>
      <c r="S219" s="51" t="inlineStr"/>
      <c r="T219" s="51" t="inlineStr"/>
      <c r="U219" s="52">
        <f>IF(A219="","",IFERROR(INDEX(E219:T219,MATCH(TRUE,INDEX(E219:T219&lt;&gt;"",0),0)),""))</f>
        <v/>
      </c>
      <c r="V219" s="52">
        <f>IF(A219="","",IFERROR(LOOKUP(2,1/(E219:T219&lt;&gt;""),E219:T219),""))</f>
        <v/>
      </c>
      <c r="W219" s="53">
        <f>IF(OR(A219="",PreviousYear=""),"",IFERROR(LOOKUP(2,1/(E219:T219&lt;&gt;""),E219:T219)-INDEX(E219:T219,MATCH(PreviousYear,$E$5:$T$5,0)),""))</f>
        <v/>
      </c>
      <c r="X219" s="53">
        <f>IF(OR(A219="",U219="",V219=""),"",V219-U219)</f>
        <v/>
      </c>
      <c r="Y219" s="52">
        <f>IF(A219="","",COUNT(E219:T219))</f>
        <v/>
      </c>
    </row>
    <row r="220">
      <c r="A220" s="43">
        <f>IF(AND('Employees'!B19&lt;&gt;"",'Skills'!B12&lt;&gt;""),'Employees'!B19,"")</f>
        <v/>
      </c>
      <c r="B220" s="44">
        <f>IF(A220="","",'Employees'!C19)</f>
        <v/>
      </c>
      <c r="C220" s="50">
        <f>IF(A220="","",'Skills'!B12)</f>
        <v/>
      </c>
      <c r="D220" s="44">
        <f>IF(A220="","",'Skills'!C12)</f>
        <v/>
      </c>
      <c r="E220" s="51" t="inlineStr"/>
      <c r="F220" s="51" t="inlineStr"/>
      <c r="G220" s="51" t="inlineStr"/>
      <c r="H220" s="45" t="inlineStr"/>
      <c r="I220" s="51" t="inlineStr"/>
      <c r="J220" s="51" t="inlineStr"/>
      <c r="K220" s="51" t="inlineStr"/>
      <c r="L220" s="51" t="inlineStr"/>
      <c r="M220" s="51" t="inlineStr"/>
      <c r="N220" s="51" t="inlineStr"/>
      <c r="O220" s="51" t="inlineStr"/>
      <c r="P220" s="51" t="inlineStr"/>
      <c r="Q220" s="51" t="inlineStr"/>
      <c r="R220" s="51" t="inlineStr"/>
      <c r="S220" s="51" t="inlineStr"/>
      <c r="T220" s="51" t="inlineStr"/>
      <c r="U220" s="52">
        <f>IF(A220="","",IFERROR(INDEX(E220:T220,MATCH(TRUE,INDEX(E220:T220&lt;&gt;"",0),0)),""))</f>
        <v/>
      </c>
      <c r="V220" s="52">
        <f>IF(A220="","",IFERROR(LOOKUP(2,1/(E220:T220&lt;&gt;""),E220:T220),""))</f>
        <v/>
      </c>
      <c r="W220" s="53">
        <f>IF(OR(A220="",PreviousYear=""),"",IFERROR(LOOKUP(2,1/(E220:T220&lt;&gt;""),E220:T220)-INDEX(E220:T220,MATCH(PreviousYear,$E$5:$T$5,0)),""))</f>
        <v/>
      </c>
      <c r="X220" s="53">
        <f>IF(OR(A220="",U220="",V220=""),"",V220-U220)</f>
        <v/>
      </c>
      <c r="Y220" s="52">
        <f>IF(A220="","",COUNT(E220:T220))</f>
        <v/>
      </c>
    </row>
    <row r="221">
      <c r="A221" s="43">
        <f>IF(AND('Employees'!B19&lt;&gt;"",'Skills'!B13&lt;&gt;""),'Employees'!B19,"")</f>
        <v/>
      </c>
      <c r="B221" s="44">
        <f>IF(A221="","",'Employees'!C19)</f>
        <v/>
      </c>
      <c r="C221" s="50">
        <f>IF(A221="","",'Skills'!B13)</f>
        <v/>
      </c>
      <c r="D221" s="44">
        <f>IF(A221="","",'Skills'!C13)</f>
        <v/>
      </c>
      <c r="E221" s="51" t="inlineStr"/>
      <c r="F221" s="51" t="inlineStr"/>
      <c r="G221" s="51" t="inlineStr"/>
      <c r="H221" s="45" t="inlineStr"/>
      <c r="I221" s="51" t="inlineStr"/>
      <c r="J221" s="51" t="inlineStr"/>
      <c r="K221" s="51" t="inlineStr"/>
      <c r="L221" s="51" t="inlineStr"/>
      <c r="M221" s="51" t="inlineStr"/>
      <c r="N221" s="51" t="inlineStr"/>
      <c r="O221" s="51" t="inlineStr"/>
      <c r="P221" s="51" t="inlineStr"/>
      <c r="Q221" s="51" t="inlineStr"/>
      <c r="R221" s="51" t="inlineStr"/>
      <c r="S221" s="51" t="inlineStr"/>
      <c r="T221" s="51" t="inlineStr"/>
      <c r="U221" s="52">
        <f>IF(A221="","",IFERROR(INDEX(E221:T221,MATCH(TRUE,INDEX(E221:T221&lt;&gt;"",0),0)),""))</f>
        <v/>
      </c>
      <c r="V221" s="52">
        <f>IF(A221="","",IFERROR(LOOKUP(2,1/(E221:T221&lt;&gt;""),E221:T221),""))</f>
        <v/>
      </c>
      <c r="W221" s="53">
        <f>IF(OR(A221="",PreviousYear=""),"",IFERROR(LOOKUP(2,1/(E221:T221&lt;&gt;""),E221:T221)-INDEX(E221:T221,MATCH(PreviousYear,$E$5:$T$5,0)),""))</f>
        <v/>
      </c>
      <c r="X221" s="53">
        <f>IF(OR(A221="",U221="",V221=""),"",V221-U221)</f>
        <v/>
      </c>
      <c r="Y221" s="52">
        <f>IF(A221="","",COUNT(E221:T221))</f>
        <v/>
      </c>
    </row>
    <row r="222">
      <c r="A222" s="43">
        <f>IF(AND('Employees'!B19&lt;&gt;"",'Skills'!B14&lt;&gt;""),'Employees'!B19,"")</f>
        <v/>
      </c>
      <c r="B222" s="44">
        <f>IF(A222="","",'Employees'!C19)</f>
        <v/>
      </c>
      <c r="C222" s="50">
        <f>IF(A222="","",'Skills'!B14)</f>
        <v/>
      </c>
      <c r="D222" s="44">
        <f>IF(A222="","",'Skills'!C14)</f>
        <v/>
      </c>
      <c r="E222" s="51" t="inlineStr"/>
      <c r="F222" s="51" t="inlineStr"/>
      <c r="G222" s="51" t="inlineStr"/>
      <c r="H222" s="45" t="inlineStr"/>
      <c r="I222" s="51" t="inlineStr"/>
      <c r="J222" s="51" t="inlineStr"/>
      <c r="K222" s="51" t="inlineStr"/>
      <c r="L222" s="51" t="inlineStr"/>
      <c r="M222" s="51" t="inlineStr"/>
      <c r="N222" s="51" t="inlineStr"/>
      <c r="O222" s="51" t="inlineStr"/>
      <c r="P222" s="51" t="inlineStr"/>
      <c r="Q222" s="51" t="inlineStr"/>
      <c r="R222" s="51" t="inlineStr"/>
      <c r="S222" s="51" t="inlineStr"/>
      <c r="T222" s="51" t="inlineStr"/>
      <c r="U222" s="52">
        <f>IF(A222="","",IFERROR(INDEX(E222:T222,MATCH(TRUE,INDEX(E222:T222&lt;&gt;"",0),0)),""))</f>
        <v/>
      </c>
      <c r="V222" s="52">
        <f>IF(A222="","",IFERROR(LOOKUP(2,1/(E222:T222&lt;&gt;""),E222:T222),""))</f>
        <v/>
      </c>
      <c r="W222" s="53">
        <f>IF(OR(A222="",PreviousYear=""),"",IFERROR(LOOKUP(2,1/(E222:T222&lt;&gt;""),E222:T222)-INDEX(E222:T222,MATCH(PreviousYear,$E$5:$T$5,0)),""))</f>
        <v/>
      </c>
      <c r="X222" s="53">
        <f>IF(OR(A222="",U222="",V222=""),"",V222-U222)</f>
        <v/>
      </c>
      <c r="Y222" s="52">
        <f>IF(A222="","",COUNT(E222:T222))</f>
        <v/>
      </c>
    </row>
    <row r="223">
      <c r="A223" s="43">
        <f>IF(AND('Employees'!B19&lt;&gt;"",'Skills'!B15&lt;&gt;""),'Employees'!B19,"")</f>
        <v/>
      </c>
      <c r="B223" s="44">
        <f>IF(A223="","",'Employees'!C19)</f>
        <v/>
      </c>
      <c r="C223" s="50">
        <f>IF(A223="","",'Skills'!B15)</f>
        <v/>
      </c>
      <c r="D223" s="44">
        <f>IF(A223="","",'Skills'!C15)</f>
        <v/>
      </c>
      <c r="E223" s="51" t="inlineStr"/>
      <c r="F223" s="51" t="inlineStr"/>
      <c r="G223" s="51" t="inlineStr"/>
      <c r="H223" s="45" t="inlineStr"/>
      <c r="I223" s="51" t="inlineStr"/>
      <c r="J223" s="51" t="inlineStr"/>
      <c r="K223" s="51" t="inlineStr"/>
      <c r="L223" s="51" t="inlineStr"/>
      <c r="M223" s="51" t="inlineStr"/>
      <c r="N223" s="51" t="inlineStr"/>
      <c r="O223" s="51" t="inlineStr"/>
      <c r="P223" s="51" t="inlineStr"/>
      <c r="Q223" s="51" t="inlineStr"/>
      <c r="R223" s="51" t="inlineStr"/>
      <c r="S223" s="51" t="inlineStr"/>
      <c r="T223" s="51" t="inlineStr"/>
      <c r="U223" s="52">
        <f>IF(A223="","",IFERROR(INDEX(E223:T223,MATCH(TRUE,INDEX(E223:T223&lt;&gt;"",0),0)),""))</f>
        <v/>
      </c>
      <c r="V223" s="52">
        <f>IF(A223="","",IFERROR(LOOKUP(2,1/(E223:T223&lt;&gt;""),E223:T223),""))</f>
        <v/>
      </c>
      <c r="W223" s="53">
        <f>IF(OR(A223="",PreviousYear=""),"",IFERROR(LOOKUP(2,1/(E223:T223&lt;&gt;""),E223:T223)-INDEX(E223:T223,MATCH(PreviousYear,$E$5:$T$5,0)),""))</f>
        <v/>
      </c>
      <c r="X223" s="53">
        <f>IF(OR(A223="",U223="",V223=""),"",V223-U223)</f>
        <v/>
      </c>
      <c r="Y223" s="52">
        <f>IF(A223="","",COUNT(E223:T223))</f>
        <v/>
      </c>
    </row>
    <row r="224">
      <c r="A224" s="43">
        <f>IF(AND('Employees'!B19&lt;&gt;"",'Skills'!B16&lt;&gt;""),'Employees'!B19,"")</f>
        <v/>
      </c>
      <c r="B224" s="44">
        <f>IF(A224="","",'Employees'!C19)</f>
        <v/>
      </c>
      <c r="C224" s="50">
        <f>IF(A224="","",'Skills'!B16)</f>
        <v/>
      </c>
      <c r="D224" s="44">
        <f>IF(A224="","",'Skills'!C16)</f>
        <v/>
      </c>
      <c r="E224" s="51" t="inlineStr"/>
      <c r="F224" s="51" t="inlineStr"/>
      <c r="G224" s="51" t="inlineStr"/>
      <c r="H224" s="45" t="inlineStr"/>
      <c r="I224" s="51" t="inlineStr"/>
      <c r="J224" s="51" t="inlineStr"/>
      <c r="K224" s="51" t="inlineStr"/>
      <c r="L224" s="51" t="inlineStr"/>
      <c r="M224" s="51" t="inlineStr"/>
      <c r="N224" s="51" t="inlineStr"/>
      <c r="O224" s="51" t="inlineStr"/>
      <c r="P224" s="51" t="inlineStr"/>
      <c r="Q224" s="51" t="inlineStr"/>
      <c r="R224" s="51" t="inlineStr"/>
      <c r="S224" s="51" t="inlineStr"/>
      <c r="T224" s="51" t="inlineStr"/>
      <c r="U224" s="52">
        <f>IF(A224="","",IFERROR(INDEX(E224:T224,MATCH(TRUE,INDEX(E224:T224&lt;&gt;"",0),0)),""))</f>
        <v/>
      </c>
      <c r="V224" s="52">
        <f>IF(A224="","",IFERROR(LOOKUP(2,1/(E224:T224&lt;&gt;""),E224:T224),""))</f>
        <v/>
      </c>
      <c r="W224" s="53">
        <f>IF(OR(A224="",PreviousYear=""),"",IFERROR(LOOKUP(2,1/(E224:T224&lt;&gt;""),E224:T224)-INDEX(E224:T224,MATCH(PreviousYear,$E$5:$T$5,0)),""))</f>
        <v/>
      </c>
      <c r="X224" s="53">
        <f>IF(OR(A224="",U224="",V224=""),"",V224-U224)</f>
        <v/>
      </c>
      <c r="Y224" s="52">
        <f>IF(A224="","",COUNT(E224:T224))</f>
        <v/>
      </c>
    </row>
    <row r="225">
      <c r="A225" s="43">
        <f>IF(AND('Employees'!B19&lt;&gt;"",'Skills'!B17&lt;&gt;""),'Employees'!B19,"")</f>
        <v/>
      </c>
      <c r="B225" s="44">
        <f>IF(A225="","",'Employees'!C19)</f>
        <v/>
      </c>
      <c r="C225" s="50">
        <f>IF(A225="","",'Skills'!B17)</f>
        <v/>
      </c>
      <c r="D225" s="44">
        <f>IF(A225="","",'Skills'!C17)</f>
        <v/>
      </c>
      <c r="E225" s="51" t="inlineStr"/>
      <c r="F225" s="51" t="inlineStr"/>
      <c r="G225" s="51" t="inlineStr"/>
      <c r="H225" s="45" t="inlineStr"/>
      <c r="I225" s="51" t="inlineStr"/>
      <c r="J225" s="51" t="inlineStr"/>
      <c r="K225" s="51" t="inlineStr"/>
      <c r="L225" s="51" t="inlineStr"/>
      <c r="M225" s="51" t="inlineStr"/>
      <c r="N225" s="51" t="inlineStr"/>
      <c r="O225" s="51" t="inlineStr"/>
      <c r="P225" s="51" t="inlineStr"/>
      <c r="Q225" s="51" t="inlineStr"/>
      <c r="R225" s="51" t="inlineStr"/>
      <c r="S225" s="51" t="inlineStr"/>
      <c r="T225" s="51" t="inlineStr"/>
      <c r="U225" s="52">
        <f>IF(A225="","",IFERROR(INDEX(E225:T225,MATCH(TRUE,INDEX(E225:T225&lt;&gt;"",0),0)),""))</f>
        <v/>
      </c>
      <c r="V225" s="52">
        <f>IF(A225="","",IFERROR(LOOKUP(2,1/(E225:T225&lt;&gt;""),E225:T225),""))</f>
        <v/>
      </c>
      <c r="W225" s="53">
        <f>IF(OR(A225="",PreviousYear=""),"",IFERROR(LOOKUP(2,1/(E225:T225&lt;&gt;""),E225:T225)-INDEX(E225:T225,MATCH(PreviousYear,$E$5:$T$5,0)),""))</f>
        <v/>
      </c>
      <c r="X225" s="53">
        <f>IF(OR(A225="",U225="",V225=""),"",V225-U225)</f>
        <v/>
      </c>
      <c r="Y225" s="52">
        <f>IF(A225="","",COUNT(E225:T225))</f>
        <v/>
      </c>
    </row>
    <row r="226">
      <c r="A226" s="43">
        <f>IF(AND('Employees'!B19&lt;&gt;"",'Skills'!B18&lt;&gt;""),'Employees'!B19,"")</f>
        <v/>
      </c>
      <c r="B226" s="44">
        <f>IF(A226="","",'Employees'!C19)</f>
        <v/>
      </c>
      <c r="C226" s="50">
        <f>IF(A226="","",'Skills'!B18)</f>
        <v/>
      </c>
      <c r="D226" s="44">
        <f>IF(A226="","",'Skills'!C18)</f>
        <v/>
      </c>
      <c r="E226" s="51" t="inlineStr"/>
      <c r="F226" s="51" t="inlineStr"/>
      <c r="G226" s="51" t="inlineStr"/>
      <c r="H226" s="45" t="inlineStr"/>
      <c r="I226" s="51" t="inlineStr"/>
      <c r="J226" s="51" t="inlineStr"/>
      <c r="K226" s="51" t="inlineStr"/>
      <c r="L226" s="51" t="inlineStr"/>
      <c r="M226" s="51" t="inlineStr"/>
      <c r="N226" s="51" t="inlineStr"/>
      <c r="O226" s="51" t="inlineStr"/>
      <c r="P226" s="51" t="inlineStr"/>
      <c r="Q226" s="51" t="inlineStr"/>
      <c r="R226" s="51" t="inlineStr"/>
      <c r="S226" s="51" t="inlineStr"/>
      <c r="T226" s="51" t="inlineStr"/>
      <c r="U226" s="52">
        <f>IF(A226="","",IFERROR(INDEX(E226:T226,MATCH(TRUE,INDEX(E226:T226&lt;&gt;"",0),0)),""))</f>
        <v/>
      </c>
      <c r="V226" s="52">
        <f>IF(A226="","",IFERROR(LOOKUP(2,1/(E226:T226&lt;&gt;""),E226:T226),""))</f>
        <v/>
      </c>
      <c r="W226" s="53">
        <f>IF(OR(A226="",PreviousYear=""),"",IFERROR(LOOKUP(2,1/(E226:T226&lt;&gt;""),E226:T226)-INDEX(E226:T226,MATCH(PreviousYear,$E$5:$T$5,0)),""))</f>
        <v/>
      </c>
      <c r="X226" s="53">
        <f>IF(OR(A226="",U226="",V226=""),"",V226-U226)</f>
        <v/>
      </c>
      <c r="Y226" s="52">
        <f>IF(A226="","",COUNT(E226:T226))</f>
        <v/>
      </c>
    </row>
    <row r="227">
      <c r="A227" s="43">
        <f>IF(AND('Employees'!B19&lt;&gt;"",'Skills'!B19&lt;&gt;""),'Employees'!B19,"")</f>
        <v/>
      </c>
      <c r="B227" s="44">
        <f>IF(A227="","",'Employees'!C19)</f>
        <v/>
      </c>
      <c r="C227" s="50">
        <f>IF(A227="","",'Skills'!B19)</f>
        <v/>
      </c>
      <c r="D227" s="44">
        <f>IF(A227="","",'Skills'!C19)</f>
        <v/>
      </c>
      <c r="E227" s="51" t="inlineStr"/>
      <c r="F227" s="51" t="inlineStr"/>
      <c r="G227" s="51" t="inlineStr"/>
      <c r="H227" s="45" t="inlineStr"/>
      <c r="I227" s="51" t="inlineStr"/>
      <c r="J227" s="51" t="inlineStr"/>
      <c r="K227" s="51" t="inlineStr"/>
      <c r="L227" s="51" t="inlineStr"/>
      <c r="M227" s="51" t="inlineStr"/>
      <c r="N227" s="51" t="inlineStr"/>
      <c r="O227" s="51" t="inlineStr"/>
      <c r="P227" s="51" t="inlineStr"/>
      <c r="Q227" s="51" t="inlineStr"/>
      <c r="R227" s="51" t="inlineStr"/>
      <c r="S227" s="51" t="inlineStr"/>
      <c r="T227" s="51" t="inlineStr"/>
      <c r="U227" s="52">
        <f>IF(A227="","",IFERROR(INDEX(E227:T227,MATCH(TRUE,INDEX(E227:T227&lt;&gt;"",0),0)),""))</f>
        <v/>
      </c>
      <c r="V227" s="52">
        <f>IF(A227="","",IFERROR(LOOKUP(2,1/(E227:T227&lt;&gt;""),E227:T227),""))</f>
        <v/>
      </c>
      <c r="W227" s="53">
        <f>IF(OR(A227="",PreviousYear=""),"",IFERROR(LOOKUP(2,1/(E227:T227&lt;&gt;""),E227:T227)-INDEX(E227:T227,MATCH(PreviousYear,$E$5:$T$5,0)),""))</f>
        <v/>
      </c>
      <c r="X227" s="53">
        <f>IF(OR(A227="",U227="",V227=""),"",V227-U227)</f>
        <v/>
      </c>
      <c r="Y227" s="52">
        <f>IF(A227="","",COUNT(E227:T227))</f>
        <v/>
      </c>
    </row>
    <row r="228">
      <c r="A228" s="43">
        <f>IF(AND('Employees'!B19&lt;&gt;"",'Skills'!B20&lt;&gt;""),'Employees'!B19,"")</f>
        <v/>
      </c>
      <c r="B228" s="44">
        <f>IF(A228="","",'Employees'!C19)</f>
        <v/>
      </c>
      <c r="C228" s="50">
        <f>IF(A228="","",'Skills'!B20)</f>
        <v/>
      </c>
      <c r="D228" s="44">
        <f>IF(A228="","",'Skills'!C20)</f>
        <v/>
      </c>
      <c r="E228" s="51" t="inlineStr"/>
      <c r="F228" s="51" t="inlineStr"/>
      <c r="G228" s="51" t="inlineStr"/>
      <c r="H228" s="45" t="inlineStr"/>
      <c r="I228" s="51" t="inlineStr"/>
      <c r="J228" s="51" t="inlineStr"/>
      <c r="K228" s="51" t="inlineStr"/>
      <c r="L228" s="51" t="inlineStr"/>
      <c r="M228" s="51" t="inlineStr"/>
      <c r="N228" s="51" t="inlineStr"/>
      <c r="O228" s="51" t="inlineStr"/>
      <c r="P228" s="51" t="inlineStr"/>
      <c r="Q228" s="51" t="inlineStr"/>
      <c r="R228" s="51" t="inlineStr"/>
      <c r="S228" s="51" t="inlineStr"/>
      <c r="T228" s="51" t="inlineStr"/>
      <c r="U228" s="52">
        <f>IF(A228="","",IFERROR(INDEX(E228:T228,MATCH(TRUE,INDEX(E228:T228&lt;&gt;"",0),0)),""))</f>
        <v/>
      </c>
      <c r="V228" s="52">
        <f>IF(A228="","",IFERROR(LOOKUP(2,1/(E228:T228&lt;&gt;""),E228:T228),""))</f>
        <v/>
      </c>
      <c r="W228" s="53">
        <f>IF(OR(A228="",PreviousYear=""),"",IFERROR(LOOKUP(2,1/(E228:T228&lt;&gt;""),E228:T228)-INDEX(E228:T228,MATCH(PreviousYear,$E$5:$T$5,0)),""))</f>
        <v/>
      </c>
      <c r="X228" s="53">
        <f>IF(OR(A228="",U228="",V228=""),"",V228-U228)</f>
        <v/>
      </c>
      <c r="Y228" s="52">
        <f>IF(A228="","",COUNT(E228:T228))</f>
        <v/>
      </c>
    </row>
    <row r="229">
      <c r="A229" s="43">
        <f>IF(AND('Employees'!B19&lt;&gt;"",'Skills'!B21&lt;&gt;""),'Employees'!B19,"")</f>
        <v/>
      </c>
      <c r="B229" s="44">
        <f>IF(A229="","",'Employees'!C19)</f>
        <v/>
      </c>
      <c r="C229" s="50">
        <f>IF(A229="","",'Skills'!B21)</f>
        <v/>
      </c>
      <c r="D229" s="44">
        <f>IF(A229="","",'Skills'!C21)</f>
        <v/>
      </c>
      <c r="E229" s="51" t="inlineStr"/>
      <c r="F229" s="51" t="inlineStr"/>
      <c r="G229" s="51" t="inlineStr"/>
      <c r="H229" s="45" t="inlineStr"/>
      <c r="I229" s="51" t="inlineStr"/>
      <c r="J229" s="51" t="inlineStr"/>
      <c r="K229" s="51" t="inlineStr"/>
      <c r="L229" s="51" t="inlineStr"/>
      <c r="M229" s="51" t="inlineStr"/>
      <c r="N229" s="51" t="inlineStr"/>
      <c r="O229" s="51" t="inlineStr"/>
      <c r="P229" s="51" t="inlineStr"/>
      <c r="Q229" s="51" t="inlineStr"/>
      <c r="R229" s="51" t="inlineStr"/>
      <c r="S229" s="51" t="inlineStr"/>
      <c r="T229" s="51" t="inlineStr"/>
      <c r="U229" s="52">
        <f>IF(A229="","",IFERROR(INDEX(E229:T229,MATCH(TRUE,INDEX(E229:T229&lt;&gt;"",0),0)),""))</f>
        <v/>
      </c>
      <c r="V229" s="52">
        <f>IF(A229="","",IFERROR(LOOKUP(2,1/(E229:T229&lt;&gt;""),E229:T229),""))</f>
        <v/>
      </c>
      <c r="W229" s="53">
        <f>IF(OR(A229="",PreviousYear=""),"",IFERROR(LOOKUP(2,1/(E229:T229&lt;&gt;""),E229:T229)-INDEX(E229:T229,MATCH(PreviousYear,$E$5:$T$5,0)),""))</f>
        <v/>
      </c>
      <c r="X229" s="53">
        <f>IF(OR(A229="",U229="",V229=""),"",V229-U229)</f>
        <v/>
      </c>
      <c r="Y229" s="52">
        <f>IF(A229="","",COUNT(E229:T229))</f>
        <v/>
      </c>
    </row>
    <row r="230">
      <c r="A230" s="43">
        <f>IF(AND('Employees'!B20&lt;&gt;"",'Skills'!B6&lt;&gt;""),'Employees'!B20,"")</f>
        <v/>
      </c>
      <c r="B230" s="44">
        <f>IF(A230="","",'Employees'!C20)</f>
        <v/>
      </c>
      <c r="C230" s="50">
        <f>IF(A230="","",'Skills'!B6)</f>
        <v/>
      </c>
      <c r="D230" s="44">
        <f>IF(A230="","",'Skills'!C6)</f>
        <v/>
      </c>
      <c r="E230" s="51" t="inlineStr"/>
      <c r="F230" s="51" t="inlineStr"/>
      <c r="G230" s="51" t="inlineStr"/>
      <c r="H230" s="45" t="inlineStr"/>
      <c r="I230" s="51" t="inlineStr"/>
      <c r="J230" s="51" t="inlineStr"/>
      <c r="K230" s="51" t="inlineStr"/>
      <c r="L230" s="51" t="inlineStr"/>
      <c r="M230" s="51" t="inlineStr"/>
      <c r="N230" s="51" t="inlineStr"/>
      <c r="O230" s="51" t="inlineStr"/>
      <c r="P230" s="51" t="inlineStr"/>
      <c r="Q230" s="51" t="inlineStr"/>
      <c r="R230" s="51" t="inlineStr"/>
      <c r="S230" s="51" t="inlineStr"/>
      <c r="T230" s="51" t="inlineStr"/>
      <c r="U230" s="52">
        <f>IF(A230="","",IFERROR(INDEX(E230:T230,MATCH(TRUE,INDEX(E230:T230&lt;&gt;"",0),0)),""))</f>
        <v/>
      </c>
      <c r="V230" s="52">
        <f>IF(A230="","",IFERROR(LOOKUP(2,1/(E230:T230&lt;&gt;""),E230:T230),""))</f>
        <v/>
      </c>
      <c r="W230" s="53">
        <f>IF(OR(A230="",PreviousYear=""),"",IFERROR(LOOKUP(2,1/(E230:T230&lt;&gt;""),E230:T230)-INDEX(E230:T230,MATCH(PreviousYear,$E$5:$T$5,0)),""))</f>
        <v/>
      </c>
      <c r="X230" s="53">
        <f>IF(OR(A230="",U230="",V230=""),"",V230-U230)</f>
        <v/>
      </c>
      <c r="Y230" s="52">
        <f>IF(A230="","",COUNT(E230:T230))</f>
        <v/>
      </c>
    </row>
    <row r="231">
      <c r="A231" s="43">
        <f>IF(AND('Employees'!B20&lt;&gt;"",'Skills'!B7&lt;&gt;""),'Employees'!B20,"")</f>
        <v/>
      </c>
      <c r="B231" s="44">
        <f>IF(A231="","",'Employees'!C20)</f>
        <v/>
      </c>
      <c r="C231" s="50">
        <f>IF(A231="","",'Skills'!B7)</f>
        <v/>
      </c>
      <c r="D231" s="44">
        <f>IF(A231="","",'Skills'!C7)</f>
        <v/>
      </c>
      <c r="E231" s="51" t="inlineStr"/>
      <c r="F231" s="51" t="inlineStr"/>
      <c r="G231" s="51" t="inlineStr"/>
      <c r="H231" s="45" t="inlineStr"/>
      <c r="I231" s="51" t="inlineStr"/>
      <c r="J231" s="51" t="inlineStr"/>
      <c r="K231" s="51" t="inlineStr"/>
      <c r="L231" s="51" t="inlineStr"/>
      <c r="M231" s="51" t="inlineStr"/>
      <c r="N231" s="51" t="inlineStr"/>
      <c r="O231" s="51" t="inlineStr"/>
      <c r="P231" s="51" t="inlineStr"/>
      <c r="Q231" s="51" t="inlineStr"/>
      <c r="R231" s="51" t="inlineStr"/>
      <c r="S231" s="51" t="inlineStr"/>
      <c r="T231" s="51" t="inlineStr"/>
      <c r="U231" s="52">
        <f>IF(A231="","",IFERROR(INDEX(E231:T231,MATCH(TRUE,INDEX(E231:T231&lt;&gt;"",0),0)),""))</f>
        <v/>
      </c>
      <c r="V231" s="52">
        <f>IF(A231="","",IFERROR(LOOKUP(2,1/(E231:T231&lt;&gt;""),E231:T231),""))</f>
        <v/>
      </c>
      <c r="W231" s="53">
        <f>IF(OR(A231="",PreviousYear=""),"",IFERROR(LOOKUP(2,1/(E231:T231&lt;&gt;""),E231:T231)-INDEX(E231:T231,MATCH(PreviousYear,$E$5:$T$5,0)),""))</f>
        <v/>
      </c>
      <c r="X231" s="53">
        <f>IF(OR(A231="",U231="",V231=""),"",V231-U231)</f>
        <v/>
      </c>
      <c r="Y231" s="52">
        <f>IF(A231="","",COUNT(E231:T231))</f>
        <v/>
      </c>
    </row>
    <row r="232">
      <c r="A232" s="43">
        <f>IF(AND('Employees'!B20&lt;&gt;"",'Skills'!B8&lt;&gt;""),'Employees'!B20,"")</f>
        <v/>
      </c>
      <c r="B232" s="44">
        <f>IF(A232="","",'Employees'!C20)</f>
        <v/>
      </c>
      <c r="C232" s="50">
        <f>IF(A232="","",'Skills'!B8)</f>
        <v/>
      </c>
      <c r="D232" s="44">
        <f>IF(A232="","",'Skills'!C8)</f>
        <v/>
      </c>
      <c r="E232" s="51" t="inlineStr"/>
      <c r="F232" s="51" t="inlineStr"/>
      <c r="G232" s="51" t="inlineStr"/>
      <c r="H232" s="45" t="inlineStr"/>
      <c r="I232" s="51" t="inlineStr"/>
      <c r="J232" s="51" t="inlineStr"/>
      <c r="K232" s="51" t="inlineStr"/>
      <c r="L232" s="51" t="inlineStr"/>
      <c r="M232" s="51" t="inlineStr"/>
      <c r="N232" s="51" t="inlineStr"/>
      <c r="O232" s="51" t="inlineStr"/>
      <c r="P232" s="51" t="inlineStr"/>
      <c r="Q232" s="51" t="inlineStr"/>
      <c r="R232" s="51" t="inlineStr"/>
      <c r="S232" s="51" t="inlineStr"/>
      <c r="T232" s="51" t="inlineStr"/>
      <c r="U232" s="52">
        <f>IF(A232="","",IFERROR(INDEX(E232:T232,MATCH(TRUE,INDEX(E232:T232&lt;&gt;"",0),0)),""))</f>
        <v/>
      </c>
      <c r="V232" s="52">
        <f>IF(A232="","",IFERROR(LOOKUP(2,1/(E232:T232&lt;&gt;""),E232:T232),""))</f>
        <v/>
      </c>
      <c r="W232" s="53">
        <f>IF(OR(A232="",PreviousYear=""),"",IFERROR(LOOKUP(2,1/(E232:T232&lt;&gt;""),E232:T232)-INDEX(E232:T232,MATCH(PreviousYear,$E$5:$T$5,0)),""))</f>
        <v/>
      </c>
      <c r="X232" s="53">
        <f>IF(OR(A232="",U232="",V232=""),"",V232-U232)</f>
        <v/>
      </c>
      <c r="Y232" s="52">
        <f>IF(A232="","",COUNT(E232:T232))</f>
        <v/>
      </c>
    </row>
    <row r="233">
      <c r="A233" s="43">
        <f>IF(AND('Employees'!B20&lt;&gt;"",'Skills'!B9&lt;&gt;""),'Employees'!B20,"")</f>
        <v/>
      </c>
      <c r="B233" s="44">
        <f>IF(A233="","",'Employees'!C20)</f>
        <v/>
      </c>
      <c r="C233" s="50">
        <f>IF(A233="","",'Skills'!B9)</f>
        <v/>
      </c>
      <c r="D233" s="44">
        <f>IF(A233="","",'Skills'!C9)</f>
        <v/>
      </c>
      <c r="E233" s="51" t="inlineStr"/>
      <c r="F233" s="51" t="inlineStr"/>
      <c r="G233" s="51" t="inlineStr"/>
      <c r="H233" s="45" t="inlineStr"/>
      <c r="I233" s="51" t="inlineStr"/>
      <c r="J233" s="51" t="inlineStr"/>
      <c r="K233" s="51" t="inlineStr"/>
      <c r="L233" s="51" t="inlineStr"/>
      <c r="M233" s="51" t="inlineStr"/>
      <c r="N233" s="51" t="inlineStr"/>
      <c r="O233" s="51" t="inlineStr"/>
      <c r="P233" s="51" t="inlineStr"/>
      <c r="Q233" s="51" t="inlineStr"/>
      <c r="R233" s="51" t="inlineStr"/>
      <c r="S233" s="51" t="inlineStr"/>
      <c r="T233" s="51" t="inlineStr"/>
      <c r="U233" s="52">
        <f>IF(A233="","",IFERROR(INDEX(E233:T233,MATCH(TRUE,INDEX(E233:T233&lt;&gt;"",0),0)),""))</f>
        <v/>
      </c>
      <c r="V233" s="52">
        <f>IF(A233="","",IFERROR(LOOKUP(2,1/(E233:T233&lt;&gt;""),E233:T233),""))</f>
        <v/>
      </c>
      <c r="W233" s="53">
        <f>IF(OR(A233="",PreviousYear=""),"",IFERROR(LOOKUP(2,1/(E233:T233&lt;&gt;""),E233:T233)-INDEX(E233:T233,MATCH(PreviousYear,$E$5:$T$5,0)),""))</f>
        <v/>
      </c>
      <c r="X233" s="53">
        <f>IF(OR(A233="",U233="",V233=""),"",V233-U233)</f>
        <v/>
      </c>
      <c r="Y233" s="52">
        <f>IF(A233="","",COUNT(E233:T233))</f>
        <v/>
      </c>
    </row>
    <row r="234">
      <c r="A234" s="43">
        <f>IF(AND('Employees'!B20&lt;&gt;"",'Skills'!B10&lt;&gt;""),'Employees'!B20,"")</f>
        <v/>
      </c>
      <c r="B234" s="44">
        <f>IF(A234="","",'Employees'!C20)</f>
        <v/>
      </c>
      <c r="C234" s="50">
        <f>IF(A234="","",'Skills'!B10)</f>
        <v/>
      </c>
      <c r="D234" s="44">
        <f>IF(A234="","",'Skills'!C10)</f>
        <v/>
      </c>
      <c r="E234" s="51" t="inlineStr"/>
      <c r="F234" s="51" t="inlineStr"/>
      <c r="G234" s="51" t="inlineStr"/>
      <c r="H234" s="45" t="inlineStr"/>
      <c r="I234" s="51" t="inlineStr"/>
      <c r="J234" s="51" t="inlineStr"/>
      <c r="K234" s="51" t="inlineStr"/>
      <c r="L234" s="51" t="inlineStr"/>
      <c r="M234" s="51" t="inlineStr"/>
      <c r="N234" s="51" t="inlineStr"/>
      <c r="O234" s="51" t="inlineStr"/>
      <c r="P234" s="51" t="inlineStr"/>
      <c r="Q234" s="51" t="inlineStr"/>
      <c r="R234" s="51" t="inlineStr"/>
      <c r="S234" s="51" t="inlineStr"/>
      <c r="T234" s="51" t="inlineStr"/>
      <c r="U234" s="52">
        <f>IF(A234="","",IFERROR(INDEX(E234:T234,MATCH(TRUE,INDEX(E234:T234&lt;&gt;"",0),0)),""))</f>
        <v/>
      </c>
      <c r="V234" s="52">
        <f>IF(A234="","",IFERROR(LOOKUP(2,1/(E234:T234&lt;&gt;""),E234:T234),""))</f>
        <v/>
      </c>
      <c r="W234" s="53">
        <f>IF(OR(A234="",PreviousYear=""),"",IFERROR(LOOKUP(2,1/(E234:T234&lt;&gt;""),E234:T234)-INDEX(E234:T234,MATCH(PreviousYear,$E$5:$T$5,0)),""))</f>
        <v/>
      </c>
      <c r="X234" s="53">
        <f>IF(OR(A234="",U234="",V234=""),"",V234-U234)</f>
        <v/>
      </c>
      <c r="Y234" s="52">
        <f>IF(A234="","",COUNT(E234:T234))</f>
        <v/>
      </c>
    </row>
    <row r="235">
      <c r="A235" s="43">
        <f>IF(AND('Employees'!B20&lt;&gt;"",'Skills'!B11&lt;&gt;""),'Employees'!B20,"")</f>
        <v/>
      </c>
      <c r="B235" s="44">
        <f>IF(A235="","",'Employees'!C20)</f>
        <v/>
      </c>
      <c r="C235" s="50">
        <f>IF(A235="","",'Skills'!B11)</f>
        <v/>
      </c>
      <c r="D235" s="44">
        <f>IF(A235="","",'Skills'!C11)</f>
        <v/>
      </c>
      <c r="E235" s="51" t="inlineStr"/>
      <c r="F235" s="51" t="inlineStr"/>
      <c r="G235" s="51" t="inlineStr"/>
      <c r="H235" s="45" t="inlineStr"/>
      <c r="I235" s="51" t="inlineStr"/>
      <c r="J235" s="51" t="inlineStr"/>
      <c r="K235" s="51" t="inlineStr"/>
      <c r="L235" s="51" t="inlineStr"/>
      <c r="M235" s="51" t="inlineStr"/>
      <c r="N235" s="51" t="inlineStr"/>
      <c r="O235" s="51" t="inlineStr"/>
      <c r="P235" s="51" t="inlineStr"/>
      <c r="Q235" s="51" t="inlineStr"/>
      <c r="R235" s="51" t="inlineStr"/>
      <c r="S235" s="51" t="inlineStr"/>
      <c r="T235" s="51" t="inlineStr"/>
      <c r="U235" s="52">
        <f>IF(A235="","",IFERROR(INDEX(E235:T235,MATCH(TRUE,INDEX(E235:T235&lt;&gt;"",0),0)),""))</f>
        <v/>
      </c>
      <c r="V235" s="52">
        <f>IF(A235="","",IFERROR(LOOKUP(2,1/(E235:T235&lt;&gt;""),E235:T235),""))</f>
        <v/>
      </c>
      <c r="W235" s="53">
        <f>IF(OR(A235="",PreviousYear=""),"",IFERROR(LOOKUP(2,1/(E235:T235&lt;&gt;""),E235:T235)-INDEX(E235:T235,MATCH(PreviousYear,$E$5:$T$5,0)),""))</f>
        <v/>
      </c>
      <c r="X235" s="53">
        <f>IF(OR(A235="",U235="",V235=""),"",V235-U235)</f>
        <v/>
      </c>
      <c r="Y235" s="52">
        <f>IF(A235="","",COUNT(E235:T235))</f>
        <v/>
      </c>
    </row>
    <row r="236">
      <c r="A236" s="43">
        <f>IF(AND('Employees'!B20&lt;&gt;"",'Skills'!B12&lt;&gt;""),'Employees'!B20,"")</f>
        <v/>
      </c>
      <c r="B236" s="44">
        <f>IF(A236="","",'Employees'!C20)</f>
        <v/>
      </c>
      <c r="C236" s="50">
        <f>IF(A236="","",'Skills'!B12)</f>
        <v/>
      </c>
      <c r="D236" s="44">
        <f>IF(A236="","",'Skills'!C12)</f>
        <v/>
      </c>
      <c r="E236" s="51" t="inlineStr"/>
      <c r="F236" s="51" t="inlineStr"/>
      <c r="G236" s="51" t="inlineStr"/>
      <c r="H236" s="45" t="inlineStr"/>
      <c r="I236" s="51" t="inlineStr"/>
      <c r="J236" s="51" t="inlineStr"/>
      <c r="K236" s="51" t="inlineStr"/>
      <c r="L236" s="51" t="inlineStr"/>
      <c r="M236" s="51" t="inlineStr"/>
      <c r="N236" s="51" t="inlineStr"/>
      <c r="O236" s="51" t="inlineStr"/>
      <c r="P236" s="51" t="inlineStr"/>
      <c r="Q236" s="51" t="inlineStr"/>
      <c r="R236" s="51" t="inlineStr"/>
      <c r="S236" s="51" t="inlineStr"/>
      <c r="T236" s="51" t="inlineStr"/>
      <c r="U236" s="52">
        <f>IF(A236="","",IFERROR(INDEX(E236:T236,MATCH(TRUE,INDEX(E236:T236&lt;&gt;"",0),0)),""))</f>
        <v/>
      </c>
      <c r="V236" s="52">
        <f>IF(A236="","",IFERROR(LOOKUP(2,1/(E236:T236&lt;&gt;""),E236:T236),""))</f>
        <v/>
      </c>
      <c r="W236" s="53">
        <f>IF(OR(A236="",PreviousYear=""),"",IFERROR(LOOKUP(2,1/(E236:T236&lt;&gt;""),E236:T236)-INDEX(E236:T236,MATCH(PreviousYear,$E$5:$T$5,0)),""))</f>
        <v/>
      </c>
      <c r="X236" s="53">
        <f>IF(OR(A236="",U236="",V236=""),"",V236-U236)</f>
        <v/>
      </c>
      <c r="Y236" s="52">
        <f>IF(A236="","",COUNT(E236:T236))</f>
        <v/>
      </c>
    </row>
    <row r="237">
      <c r="A237" s="43">
        <f>IF(AND('Employees'!B20&lt;&gt;"",'Skills'!B13&lt;&gt;""),'Employees'!B20,"")</f>
        <v/>
      </c>
      <c r="B237" s="44">
        <f>IF(A237="","",'Employees'!C20)</f>
        <v/>
      </c>
      <c r="C237" s="50">
        <f>IF(A237="","",'Skills'!B13)</f>
        <v/>
      </c>
      <c r="D237" s="44">
        <f>IF(A237="","",'Skills'!C13)</f>
        <v/>
      </c>
      <c r="E237" s="51" t="inlineStr"/>
      <c r="F237" s="51" t="inlineStr"/>
      <c r="G237" s="51" t="inlineStr"/>
      <c r="H237" s="45" t="inlineStr"/>
      <c r="I237" s="51" t="inlineStr"/>
      <c r="J237" s="51" t="inlineStr"/>
      <c r="K237" s="51" t="inlineStr"/>
      <c r="L237" s="51" t="inlineStr"/>
      <c r="M237" s="51" t="inlineStr"/>
      <c r="N237" s="51" t="inlineStr"/>
      <c r="O237" s="51" t="inlineStr"/>
      <c r="P237" s="51" t="inlineStr"/>
      <c r="Q237" s="51" t="inlineStr"/>
      <c r="R237" s="51" t="inlineStr"/>
      <c r="S237" s="51" t="inlineStr"/>
      <c r="T237" s="51" t="inlineStr"/>
      <c r="U237" s="52">
        <f>IF(A237="","",IFERROR(INDEX(E237:T237,MATCH(TRUE,INDEX(E237:T237&lt;&gt;"",0),0)),""))</f>
        <v/>
      </c>
      <c r="V237" s="52">
        <f>IF(A237="","",IFERROR(LOOKUP(2,1/(E237:T237&lt;&gt;""),E237:T237),""))</f>
        <v/>
      </c>
      <c r="W237" s="53">
        <f>IF(OR(A237="",PreviousYear=""),"",IFERROR(LOOKUP(2,1/(E237:T237&lt;&gt;""),E237:T237)-INDEX(E237:T237,MATCH(PreviousYear,$E$5:$T$5,0)),""))</f>
        <v/>
      </c>
      <c r="X237" s="53">
        <f>IF(OR(A237="",U237="",V237=""),"",V237-U237)</f>
        <v/>
      </c>
      <c r="Y237" s="52">
        <f>IF(A237="","",COUNT(E237:T237))</f>
        <v/>
      </c>
    </row>
    <row r="238">
      <c r="A238" s="43">
        <f>IF(AND('Employees'!B20&lt;&gt;"",'Skills'!B14&lt;&gt;""),'Employees'!B20,"")</f>
        <v/>
      </c>
      <c r="B238" s="44">
        <f>IF(A238="","",'Employees'!C20)</f>
        <v/>
      </c>
      <c r="C238" s="50">
        <f>IF(A238="","",'Skills'!B14)</f>
        <v/>
      </c>
      <c r="D238" s="44">
        <f>IF(A238="","",'Skills'!C14)</f>
        <v/>
      </c>
      <c r="E238" s="51" t="inlineStr"/>
      <c r="F238" s="51" t="inlineStr"/>
      <c r="G238" s="51" t="inlineStr"/>
      <c r="H238" s="45" t="inlineStr"/>
      <c r="I238" s="51" t="inlineStr"/>
      <c r="J238" s="51" t="inlineStr"/>
      <c r="K238" s="51" t="inlineStr"/>
      <c r="L238" s="51" t="inlineStr"/>
      <c r="M238" s="51" t="inlineStr"/>
      <c r="N238" s="51" t="inlineStr"/>
      <c r="O238" s="51" t="inlineStr"/>
      <c r="P238" s="51" t="inlineStr"/>
      <c r="Q238" s="51" t="inlineStr"/>
      <c r="R238" s="51" t="inlineStr"/>
      <c r="S238" s="51" t="inlineStr"/>
      <c r="T238" s="51" t="inlineStr"/>
      <c r="U238" s="52">
        <f>IF(A238="","",IFERROR(INDEX(E238:T238,MATCH(TRUE,INDEX(E238:T238&lt;&gt;"",0),0)),""))</f>
        <v/>
      </c>
      <c r="V238" s="52">
        <f>IF(A238="","",IFERROR(LOOKUP(2,1/(E238:T238&lt;&gt;""),E238:T238),""))</f>
        <v/>
      </c>
      <c r="W238" s="53">
        <f>IF(OR(A238="",PreviousYear=""),"",IFERROR(LOOKUP(2,1/(E238:T238&lt;&gt;""),E238:T238)-INDEX(E238:T238,MATCH(PreviousYear,$E$5:$T$5,0)),""))</f>
        <v/>
      </c>
      <c r="X238" s="53">
        <f>IF(OR(A238="",U238="",V238=""),"",V238-U238)</f>
        <v/>
      </c>
      <c r="Y238" s="52">
        <f>IF(A238="","",COUNT(E238:T238))</f>
        <v/>
      </c>
    </row>
    <row r="239">
      <c r="A239" s="43">
        <f>IF(AND('Employees'!B20&lt;&gt;"",'Skills'!B15&lt;&gt;""),'Employees'!B20,"")</f>
        <v/>
      </c>
      <c r="B239" s="44">
        <f>IF(A239="","",'Employees'!C20)</f>
        <v/>
      </c>
      <c r="C239" s="50">
        <f>IF(A239="","",'Skills'!B15)</f>
        <v/>
      </c>
      <c r="D239" s="44">
        <f>IF(A239="","",'Skills'!C15)</f>
        <v/>
      </c>
      <c r="E239" s="51" t="inlineStr"/>
      <c r="F239" s="51" t="inlineStr"/>
      <c r="G239" s="51" t="inlineStr"/>
      <c r="H239" s="45" t="inlineStr"/>
      <c r="I239" s="51" t="inlineStr"/>
      <c r="J239" s="51" t="inlineStr"/>
      <c r="K239" s="51" t="inlineStr"/>
      <c r="L239" s="51" t="inlineStr"/>
      <c r="M239" s="51" t="inlineStr"/>
      <c r="N239" s="51" t="inlineStr"/>
      <c r="O239" s="51" t="inlineStr"/>
      <c r="P239" s="51" t="inlineStr"/>
      <c r="Q239" s="51" t="inlineStr"/>
      <c r="R239" s="51" t="inlineStr"/>
      <c r="S239" s="51" t="inlineStr"/>
      <c r="T239" s="51" t="inlineStr"/>
      <c r="U239" s="52">
        <f>IF(A239="","",IFERROR(INDEX(E239:T239,MATCH(TRUE,INDEX(E239:T239&lt;&gt;"",0),0)),""))</f>
        <v/>
      </c>
      <c r="V239" s="52">
        <f>IF(A239="","",IFERROR(LOOKUP(2,1/(E239:T239&lt;&gt;""),E239:T239),""))</f>
        <v/>
      </c>
      <c r="W239" s="53">
        <f>IF(OR(A239="",PreviousYear=""),"",IFERROR(LOOKUP(2,1/(E239:T239&lt;&gt;""),E239:T239)-INDEX(E239:T239,MATCH(PreviousYear,$E$5:$T$5,0)),""))</f>
        <v/>
      </c>
      <c r="X239" s="53">
        <f>IF(OR(A239="",U239="",V239=""),"",V239-U239)</f>
        <v/>
      </c>
      <c r="Y239" s="52">
        <f>IF(A239="","",COUNT(E239:T239))</f>
        <v/>
      </c>
    </row>
    <row r="240">
      <c r="A240" s="43">
        <f>IF(AND('Employees'!B20&lt;&gt;"",'Skills'!B16&lt;&gt;""),'Employees'!B20,"")</f>
        <v/>
      </c>
      <c r="B240" s="44">
        <f>IF(A240="","",'Employees'!C20)</f>
        <v/>
      </c>
      <c r="C240" s="50">
        <f>IF(A240="","",'Skills'!B16)</f>
        <v/>
      </c>
      <c r="D240" s="44">
        <f>IF(A240="","",'Skills'!C16)</f>
        <v/>
      </c>
      <c r="E240" s="51" t="inlineStr"/>
      <c r="F240" s="51" t="inlineStr"/>
      <c r="G240" s="51" t="inlineStr"/>
      <c r="H240" s="45" t="inlineStr"/>
      <c r="I240" s="51" t="inlineStr"/>
      <c r="J240" s="51" t="inlineStr"/>
      <c r="K240" s="51" t="inlineStr"/>
      <c r="L240" s="51" t="inlineStr"/>
      <c r="M240" s="51" t="inlineStr"/>
      <c r="N240" s="51" t="inlineStr"/>
      <c r="O240" s="51" t="inlineStr"/>
      <c r="P240" s="51" t="inlineStr"/>
      <c r="Q240" s="51" t="inlineStr"/>
      <c r="R240" s="51" t="inlineStr"/>
      <c r="S240" s="51" t="inlineStr"/>
      <c r="T240" s="51" t="inlineStr"/>
      <c r="U240" s="52">
        <f>IF(A240="","",IFERROR(INDEX(E240:T240,MATCH(TRUE,INDEX(E240:T240&lt;&gt;"",0),0)),""))</f>
        <v/>
      </c>
      <c r="V240" s="52">
        <f>IF(A240="","",IFERROR(LOOKUP(2,1/(E240:T240&lt;&gt;""),E240:T240),""))</f>
        <v/>
      </c>
      <c r="W240" s="53">
        <f>IF(OR(A240="",PreviousYear=""),"",IFERROR(LOOKUP(2,1/(E240:T240&lt;&gt;""),E240:T240)-INDEX(E240:T240,MATCH(PreviousYear,$E$5:$T$5,0)),""))</f>
        <v/>
      </c>
      <c r="X240" s="53">
        <f>IF(OR(A240="",U240="",V240=""),"",V240-U240)</f>
        <v/>
      </c>
      <c r="Y240" s="52">
        <f>IF(A240="","",COUNT(E240:T240))</f>
        <v/>
      </c>
    </row>
    <row r="241">
      <c r="A241" s="43">
        <f>IF(AND('Employees'!B20&lt;&gt;"",'Skills'!B17&lt;&gt;""),'Employees'!B20,"")</f>
        <v/>
      </c>
      <c r="B241" s="44">
        <f>IF(A241="","",'Employees'!C20)</f>
        <v/>
      </c>
      <c r="C241" s="50">
        <f>IF(A241="","",'Skills'!B17)</f>
        <v/>
      </c>
      <c r="D241" s="44">
        <f>IF(A241="","",'Skills'!C17)</f>
        <v/>
      </c>
      <c r="E241" s="51" t="inlineStr"/>
      <c r="F241" s="51" t="inlineStr"/>
      <c r="G241" s="51" t="inlineStr"/>
      <c r="H241" s="45" t="inlineStr"/>
      <c r="I241" s="51" t="inlineStr"/>
      <c r="J241" s="51" t="inlineStr"/>
      <c r="K241" s="51" t="inlineStr"/>
      <c r="L241" s="51" t="inlineStr"/>
      <c r="M241" s="51" t="inlineStr"/>
      <c r="N241" s="51" t="inlineStr"/>
      <c r="O241" s="51" t="inlineStr"/>
      <c r="P241" s="51" t="inlineStr"/>
      <c r="Q241" s="51" t="inlineStr"/>
      <c r="R241" s="51" t="inlineStr"/>
      <c r="S241" s="51" t="inlineStr"/>
      <c r="T241" s="51" t="inlineStr"/>
      <c r="U241" s="52">
        <f>IF(A241="","",IFERROR(INDEX(E241:T241,MATCH(TRUE,INDEX(E241:T241&lt;&gt;"",0),0)),""))</f>
        <v/>
      </c>
      <c r="V241" s="52">
        <f>IF(A241="","",IFERROR(LOOKUP(2,1/(E241:T241&lt;&gt;""),E241:T241),""))</f>
        <v/>
      </c>
      <c r="W241" s="53">
        <f>IF(OR(A241="",PreviousYear=""),"",IFERROR(LOOKUP(2,1/(E241:T241&lt;&gt;""),E241:T241)-INDEX(E241:T241,MATCH(PreviousYear,$E$5:$T$5,0)),""))</f>
        <v/>
      </c>
      <c r="X241" s="53">
        <f>IF(OR(A241="",U241="",V241=""),"",V241-U241)</f>
        <v/>
      </c>
      <c r="Y241" s="52">
        <f>IF(A241="","",COUNT(E241:T241))</f>
        <v/>
      </c>
    </row>
    <row r="242">
      <c r="A242" s="43">
        <f>IF(AND('Employees'!B20&lt;&gt;"",'Skills'!B18&lt;&gt;""),'Employees'!B20,"")</f>
        <v/>
      </c>
      <c r="B242" s="44">
        <f>IF(A242="","",'Employees'!C20)</f>
        <v/>
      </c>
      <c r="C242" s="50">
        <f>IF(A242="","",'Skills'!B18)</f>
        <v/>
      </c>
      <c r="D242" s="44">
        <f>IF(A242="","",'Skills'!C18)</f>
        <v/>
      </c>
      <c r="E242" s="51" t="inlineStr"/>
      <c r="F242" s="51" t="inlineStr"/>
      <c r="G242" s="51" t="inlineStr"/>
      <c r="H242" s="45" t="inlineStr"/>
      <c r="I242" s="51" t="inlineStr"/>
      <c r="J242" s="51" t="inlineStr"/>
      <c r="K242" s="51" t="inlineStr"/>
      <c r="L242" s="51" t="inlineStr"/>
      <c r="M242" s="51" t="inlineStr"/>
      <c r="N242" s="51" t="inlineStr"/>
      <c r="O242" s="51" t="inlineStr"/>
      <c r="P242" s="51" t="inlineStr"/>
      <c r="Q242" s="51" t="inlineStr"/>
      <c r="R242" s="51" t="inlineStr"/>
      <c r="S242" s="51" t="inlineStr"/>
      <c r="T242" s="51" t="inlineStr"/>
      <c r="U242" s="52">
        <f>IF(A242="","",IFERROR(INDEX(E242:T242,MATCH(TRUE,INDEX(E242:T242&lt;&gt;"",0),0)),""))</f>
        <v/>
      </c>
      <c r="V242" s="52">
        <f>IF(A242="","",IFERROR(LOOKUP(2,1/(E242:T242&lt;&gt;""),E242:T242),""))</f>
        <v/>
      </c>
      <c r="W242" s="53">
        <f>IF(OR(A242="",PreviousYear=""),"",IFERROR(LOOKUP(2,1/(E242:T242&lt;&gt;""),E242:T242)-INDEX(E242:T242,MATCH(PreviousYear,$E$5:$T$5,0)),""))</f>
        <v/>
      </c>
      <c r="X242" s="53">
        <f>IF(OR(A242="",U242="",V242=""),"",V242-U242)</f>
        <v/>
      </c>
      <c r="Y242" s="52">
        <f>IF(A242="","",COUNT(E242:T242))</f>
        <v/>
      </c>
    </row>
    <row r="243">
      <c r="A243" s="43">
        <f>IF(AND('Employees'!B20&lt;&gt;"",'Skills'!B19&lt;&gt;""),'Employees'!B20,"")</f>
        <v/>
      </c>
      <c r="B243" s="44">
        <f>IF(A243="","",'Employees'!C20)</f>
        <v/>
      </c>
      <c r="C243" s="50">
        <f>IF(A243="","",'Skills'!B19)</f>
        <v/>
      </c>
      <c r="D243" s="44">
        <f>IF(A243="","",'Skills'!C19)</f>
        <v/>
      </c>
      <c r="E243" s="51" t="inlineStr"/>
      <c r="F243" s="51" t="inlineStr"/>
      <c r="G243" s="51" t="inlineStr"/>
      <c r="H243" s="45" t="inlineStr"/>
      <c r="I243" s="51" t="inlineStr"/>
      <c r="J243" s="51" t="inlineStr"/>
      <c r="K243" s="51" t="inlineStr"/>
      <c r="L243" s="51" t="inlineStr"/>
      <c r="M243" s="51" t="inlineStr"/>
      <c r="N243" s="51" t="inlineStr"/>
      <c r="O243" s="51" t="inlineStr"/>
      <c r="P243" s="51" t="inlineStr"/>
      <c r="Q243" s="51" t="inlineStr"/>
      <c r="R243" s="51" t="inlineStr"/>
      <c r="S243" s="51" t="inlineStr"/>
      <c r="T243" s="51" t="inlineStr"/>
      <c r="U243" s="52">
        <f>IF(A243="","",IFERROR(INDEX(E243:T243,MATCH(TRUE,INDEX(E243:T243&lt;&gt;"",0),0)),""))</f>
        <v/>
      </c>
      <c r="V243" s="52">
        <f>IF(A243="","",IFERROR(LOOKUP(2,1/(E243:T243&lt;&gt;""),E243:T243),""))</f>
        <v/>
      </c>
      <c r="W243" s="53">
        <f>IF(OR(A243="",PreviousYear=""),"",IFERROR(LOOKUP(2,1/(E243:T243&lt;&gt;""),E243:T243)-INDEX(E243:T243,MATCH(PreviousYear,$E$5:$T$5,0)),""))</f>
        <v/>
      </c>
      <c r="X243" s="53">
        <f>IF(OR(A243="",U243="",V243=""),"",V243-U243)</f>
        <v/>
      </c>
      <c r="Y243" s="52">
        <f>IF(A243="","",COUNT(E243:T243))</f>
        <v/>
      </c>
    </row>
    <row r="244">
      <c r="A244" s="43">
        <f>IF(AND('Employees'!B20&lt;&gt;"",'Skills'!B20&lt;&gt;""),'Employees'!B20,"")</f>
        <v/>
      </c>
      <c r="B244" s="44">
        <f>IF(A244="","",'Employees'!C20)</f>
        <v/>
      </c>
      <c r="C244" s="50">
        <f>IF(A244="","",'Skills'!B20)</f>
        <v/>
      </c>
      <c r="D244" s="44">
        <f>IF(A244="","",'Skills'!C20)</f>
        <v/>
      </c>
      <c r="E244" s="51" t="inlineStr"/>
      <c r="F244" s="51" t="inlineStr"/>
      <c r="G244" s="51" t="inlineStr"/>
      <c r="H244" s="45" t="inlineStr"/>
      <c r="I244" s="51" t="inlineStr"/>
      <c r="J244" s="51" t="inlineStr"/>
      <c r="K244" s="51" t="inlineStr"/>
      <c r="L244" s="51" t="inlineStr"/>
      <c r="M244" s="51" t="inlineStr"/>
      <c r="N244" s="51" t="inlineStr"/>
      <c r="O244" s="51" t="inlineStr"/>
      <c r="P244" s="51" t="inlineStr"/>
      <c r="Q244" s="51" t="inlineStr"/>
      <c r="R244" s="51" t="inlineStr"/>
      <c r="S244" s="51" t="inlineStr"/>
      <c r="T244" s="51" t="inlineStr"/>
      <c r="U244" s="52">
        <f>IF(A244="","",IFERROR(INDEX(E244:T244,MATCH(TRUE,INDEX(E244:T244&lt;&gt;"",0),0)),""))</f>
        <v/>
      </c>
      <c r="V244" s="52">
        <f>IF(A244="","",IFERROR(LOOKUP(2,1/(E244:T244&lt;&gt;""),E244:T244),""))</f>
        <v/>
      </c>
      <c r="W244" s="53">
        <f>IF(OR(A244="",PreviousYear=""),"",IFERROR(LOOKUP(2,1/(E244:T244&lt;&gt;""),E244:T244)-INDEX(E244:T244,MATCH(PreviousYear,$E$5:$T$5,0)),""))</f>
        <v/>
      </c>
      <c r="X244" s="53">
        <f>IF(OR(A244="",U244="",V244=""),"",V244-U244)</f>
        <v/>
      </c>
      <c r="Y244" s="52">
        <f>IF(A244="","",COUNT(E244:T244))</f>
        <v/>
      </c>
    </row>
    <row r="245">
      <c r="A245" s="43">
        <f>IF(AND('Employees'!B20&lt;&gt;"",'Skills'!B21&lt;&gt;""),'Employees'!B20,"")</f>
        <v/>
      </c>
      <c r="B245" s="44">
        <f>IF(A245="","",'Employees'!C20)</f>
        <v/>
      </c>
      <c r="C245" s="50">
        <f>IF(A245="","",'Skills'!B21)</f>
        <v/>
      </c>
      <c r="D245" s="44">
        <f>IF(A245="","",'Skills'!C21)</f>
        <v/>
      </c>
      <c r="E245" s="51" t="inlineStr"/>
      <c r="F245" s="51" t="inlineStr"/>
      <c r="G245" s="51" t="inlineStr"/>
      <c r="H245" s="45" t="inlineStr"/>
      <c r="I245" s="51" t="inlineStr"/>
      <c r="J245" s="51" t="inlineStr"/>
      <c r="K245" s="51" t="inlineStr"/>
      <c r="L245" s="51" t="inlineStr"/>
      <c r="M245" s="51" t="inlineStr"/>
      <c r="N245" s="51" t="inlineStr"/>
      <c r="O245" s="51" t="inlineStr"/>
      <c r="P245" s="51" t="inlineStr"/>
      <c r="Q245" s="51" t="inlineStr"/>
      <c r="R245" s="51" t="inlineStr"/>
      <c r="S245" s="51" t="inlineStr"/>
      <c r="T245" s="51" t="inlineStr"/>
      <c r="U245" s="52">
        <f>IF(A245="","",IFERROR(INDEX(E245:T245,MATCH(TRUE,INDEX(E245:T245&lt;&gt;"",0),0)),""))</f>
        <v/>
      </c>
      <c r="V245" s="52">
        <f>IF(A245="","",IFERROR(LOOKUP(2,1/(E245:T245&lt;&gt;""),E245:T245),""))</f>
        <v/>
      </c>
      <c r="W245" s="53">
        <f>IF(OR(A245="",PreviousYear=""),"",IFERROR(LOOKUP(2,1/(E245:T245&lt;&gt;""),E245:T245)-INDEX(E245:T245,MATCH(PreviousYear,$E$5:$T$5,0)),""))</f>
        <v/>
      </c>
      <c r="X245" s="53">
        <f>IF(OR(A245="",U245="",V245=""),"",V245-U245)</f>
        <v/>
      </c>
      <c r="Y245" s="52">
        <f>IF(A245="","",COUNT(E245:T245))</f>
        <v/>
      </c>
    </row>
    <row r="246">
      <c r="A246" s="43">
        <f>IF(AND('Employees'!B21&lt;&gt;"",'Skills'!B6&lt;&gt;""),'Employees'!B21,"")</f>
        <v/>
      </c>
      <c r="B246" s="44">
        <f>IF(A246="","",'Employees'!C21)</f>
        <v/>
      </c>
      <c r="C246" s="50">
        <f>IF(A246="","",'Skills'!B6)</f>
        <v/>
      </c>
      <c r="D246" s="44">
        <f>IF(A246="","",'Skills'!C6)</f>
        <v/>
      </c>
      <c r="E246" s="51" t="inlineStr"/>
      <c r="F246" s="51" t="inlineStr"/>
      <c r="G246" s="51" t="inlineStr"/>
      <c r="H246" s="45" t="inlineStr"/>
      <c r="I246" s="51" t="inlineStr"/>
      <c r="J246" s="51" t="inlineStr"/>
      <c r="K246" s="51" t="inlineStr"/>
      <c r="L246" s="51" t="inlineStr"/>
      <c r="M246" s="51" t="inlineStr"/>
      <c r="N246" s="51" t="inlineStr"/>
      <c r="O246" s="51" t="inlineStr"/>
      <c r="P246" s="51" t="inlineStr"/>
      <c r="Q246" s="51" t="inlineStr"/>
      <c r="R246" s="51" t="inlineStr"/>
      <c r="S246" s="51" t="inlineStr"/>
      <c r="T246" s="51" t="inlineStr"/>
      <c r="U246" s="52">
        <f>IF(A246="","",IFERROR(INDEX(E246:T246,MATCH(TRUE,INDEX(E246:T246&lt;&gt;"",0),0)),""))</f>
        <v/>
      </c>
      <c r="V246" s="52">
        <f>IF(A246="","",IFERROR(LOOKUP(2,1/(E246:T246&lt;&gt;""),E246:T246),""))</f>
        <v/>
      </c>
      <c r="W246" s="53">
        <f>IF(OR(A246="",PreviousYear=""),"",IFERROR(LOOKUP(2,1/(E246:T246&lt;&gt;""),E246:T246)-INDEX(E246:T246,MATCH(PreviousYear,$E$5:$T$5,0)),""))</f>
        <v/>
      </c>
      <c r="X246" s="53">
        <f>IF(OR(A246="",U246="",V246=""),"",V246-U246)</f>
        <v/>
      </c>
      <c r="Y246" s="52">
        <f>IF(A246="","",COUNT(E246:T246))</f>
        <v/>
      </c>
    </row>
    <row r="247">
      <c r="A247" s="43">
        <f>IF(AND('Employees'!B21&lt;&gt;"",'Skills'!B7&lt;&gt;""),'Employees'!B21,"")</f>
        <v/>
      </c>
      <c r="B247" s="44">
        <f>IF(A247="","",'Employees'!C21)</f>
        <v/>
      </c>
      <c r="C247" s="50">
        <f>IF(A247="","",'Skills'!B7)</f>
        <v/>
      </c>
      <c r="D247" s="44">
        <f>IF(A247="","",'Skills'!C7)</f>
        <v/>
      </c>
      <c r="E247" s="51" t="inlineStr"/>
      <c r="F247" s="51" t="inlineStr"/>
      <c r="G247" s="51" t="inlineStr"/>
      <c r="H247" s="45" t="inlineStr"/>
      <c r="I247" s="51" t="inlineStr"/>
      <c r="J247" s="51" t="inlineStr"/>
      <c r="K247" s="51" t="inlineStr"/>
      <c r="L247" s="51" t="inlineStr"/>
      <c r="M247" s="51" t="inlineStr"/>
      <c r="N247" s="51" t="inlineStr"/>
      <c r="O247" s="51" t="inlineStr"/>
      <c r="P247" s="51" t="inlineStr"/>
      <c r="Q247" s="51" t="inlineStr"/>
      <c r="R247" s="51" t="inlineStr"/>
      <c r="S247" s="51" t="inlineStr"/>
      <c r="T247" s="51" t="inlineStr"/>
      <c r="U247" s="52">
        <f>IF(A247="","",IFERROR(INDEX(E247:T247,MATCH(TRUE,INDEX(E247:T247&lt;&gt;"",0),0)),""))</f>
        <v/>
      </c>
      <c r="V247" s="52">
        <f>IF(A247="","",IFERROR(LOOKUP(2,1/(E247:T247&lt;&gt;""),E247:T247),""))</f>
        <v/>
      </c>
      <c r="W247" s="53">
        <f>IF(OR(A247="",PreviousYear=""),"",IFERROR(LOOKUP(2,1/(E247:T247&lt;&gt;""),E247:T247)-INDEX(E247:T247,MATCH(PreviousYear,$E$5:$T$5,0)),""))</f>
        <v/>
      </c>
      <c r="X247" s="53">
        <f>IF(OR(A247="",U247="",V247=""),"",V247-U247)</f>
        <v/>
      </c>
      <c r="Y247" s="52">
        <f>IF(A247="","",COUNT(E247:T247))</f>
        <v/>
      </c>
    </row>
    <row r="248">
      <c r="A248" s="43">
        <f>IF(AND('Employees'!B21&lt;&gt;"",'Skills'!B8&lt;&gt;""),'Employees'!B21,"")</f>
        <v/>
      </c>
      <c r="B248" s="44">
        <f>IF(A248="","",'Employees'!C21)</f>
        <v/>
      </c>
      <c r="C248" s="50">
        <f>IF(A248="","",'Skills'!B8)</f>
        <v/>
      </c>
      <c r="D248" s="44">
        <f>IF(A248="","",'Skills'!C8)</f>
        <v/>
      </c>
      <c r="E248" s="51" t="inlineStr"/>
      <c r="F248" s="51" t="inlineStr"/>
      <c r="G248" s="51" t="inlineStr"/>
      <c r="H248" s="45" t="inlineStr"/>
      <c r="I248" s="51" t="inlineStr"/>
      <c r="J248" s="51" t="inlineStr"/>
      <c r="K248" s="51" t="inlineStr"/>
      <c r="L248" s="51" t="inlineStr"/>
      <c r="M248" s="51" t="inlineStr"/>
      <c r="N248" s="51" t="inlineStr"/>
      <c r="O248" s="51" t="inlineStr"/>
      <c r="P248" s="51" t="inlineStr"/>
      <c r="Q248" s="51" t="inlineStr"/>
      <c r="R248" s="51" t="inlineStr"/>
      <c r="S248" s="51" t="inlineStr"/>
      <c r="T248" s="51" t="inlineStr"/>
      <c r="U248" s="52">
        <f>IF(A248="","",IFERROR(INDEX(E248:T248,MATCH(TRUE,INDEX(E248:T248&lt;&gt;"",0),0)),""))</f>
        <v/>
      </c>
      <c r="V248" s="52">
        <f>IF(A248="","",IFERROR(LOOKUP(2,1/(E248:T248&lt;&gt;""),E248:T248),""))</f>
        <v/>
      </c>
      <c r="W248" s="53">
        <f>IF(OR(A248="",PreviousYear=""),"",IFERROR(LOOKUP(2,1/(E248:T248&lt;&gt;""),E248:T248)-INDEX(E248:T248,MATCH(PreviousYear,$E$5:$T$5,0)),""))</f>
        <v/>
      </c>
      <c r="X248" s="53">
        <f>IF(OR(A248="",U248="",V248=""),"",V248-U248)</f>
        <v/>
      </c>
      <c r="Y248" s="52">
        <f>IF(A248="","",COUNT(E248:T248))</f>
        <v/>
      </c>
    </row>
    <row r="249">
      <c r="A249" s="43">
        <f>IF(AND('Employees'!B21&lt;&gt;"",'Skills'!B9&lt;&gt;""),'Employees'!B21,"")</f>
        <v/>
      </c>
      <c r="B249" s="44">
        <f>IF(A249="","",'Employees'!C21)</f>
        <v/>
      </c>
      <c r="C249" s="50">
        <f>IF(A249="","",'Skills'!B9)</f>
        <v/>
      </c>
      <c r="D249" s="44">
        <f>IF(A249="","",'Skills'!C9)</f>
        <v/>
      </c>
      <c r="E249" s="51" t="inlineStr"/>
      <c r="F249" s="51" t="inlineStr"/>
      <c r="G249" s="51" t="inlineStr"/>
      <c r="H249" s="45" t="inlineStr"/>
      <c r="I249" s="51" t="inlineStr"/>
      <c r="J249" s="51" t="inlineStr"/>
      <c r="K249" s="51" t="inlineStr"/>
      <c r="L249" s="51" t="inlineStr"/>
      <c r="M249" s="51" t="inlineStr"/>
      <c r="N249" s="51" t="inlineStr"/>
      <c r="O249" s="51" t="inlineStr"/>
      <c r="P249" s="51" t="inlineStr"/>
      <c r="Q249" s="51" t="inlineStr"/>
      <c r="R249" s="51" t="inlineStr"/>
      <c r="S249" s="51" t="inlineStr"/>
      <c r="T249" s="51" t="inlineStr"/>
      <c r="U249" s="52">
        <f>IF(A249="","",IFERROR(INDEX(E249:T249,MATCH(TRUE,INDEX(E249:T249&lt;&gt;"",0),0)),""))</f>
        <v/>
      </c>
      <c r="V249" s="52">
        <f>IF(A249="","",IFERROR(LOOKUP(2,1/(E249:T249&lt;&gt;""),E249:T249),""))</f>
        <v/>
      </c>
      <c r="W249" s="53">
        <f>IF(OR(A249="",PreviousYear=""),"",IFERROR(LOOKUP(2,1/(E249:T249&lt;&gt;""),E249:T249)-INDEX(E249:T249,MATCH(PreviousYear,$E$5:$T$5,0)),""))</f>
        <v/>
      </c>
      <c r="X249" s="53">
        <f>IF(OR(A249="",U249="",V249=""),"",V249-U249)</f>
        <v/>
      </c>
      <c r="Y249" s="52">
        <f>IF(A249="","",COUNT(E249:T249))</f>
        <v/>
      </c>
    </row>
    <row r="250">
      <c r="A250" s="43">
        <f>IF(AND('Employees'!B21&lt;&gt;"",'Skills'!B10&lt;&gt;""),'Employees'!B21,"")</f>
        <v/>
      </c>
      <c r="B250" s="44">
        <f>IF(A250="","",'Employees'!C21)</f>
        <v/>
      </c>
      <c r="C250" s="50">
        <f>IF(A250="","",'Skills'!B10)</f>
        <v/>
      </c>
      <c r="D250" s="44">
        <f>IF(A250="","",'Skills'!C10)</f>
        <v/>
      </c>
      <c r="E250" s="51" t="inlineStr"/>
      <c r="F250" s="51" t="inlineStr"/>
      <c r="G250" s="51" t="inlineStr"/>
      <c r="H250" s="45" t="inlineStr"/>
      <c r="I250" s="51" t="inlineStr"/>
      <c r="J250" s="51" t="inlineStr"/>
      <c r="K250" s="51" t="inlineStr"/>
      <c r="L250" s="51" t="inlineStr"/>
      <c r="M250" s="51" t="inlineStr"/>
      <c r="N250" s="51" t="inlineStr"/>
      <c r="O250" s="51" t="inlineStr"/>
      <c r="P250" s="51" t="inlineStr"/>
      <c r="Q250" s="51" t="inlineStr"/>
      <c r="R250" s="51" t="inlineStr"/>
      <c r="S250" s="51" t="inlineStr"/>
      <c r="T250" s="51" t="inlineStr"/>
      <c r="U250" s="52">
        <f>IF(A250="","",IFERROR(INDEX(E250:T250,MATCH(TRUE,INDEX(E250:T250&lt;&gt;"",0),0)),""))</f>
        <v/>
      </c>
      <c r="V250" s="52">
        <f>IF(A250="","",IFERROR(LOOKUP(2,1/(E250:T250&lt;&gt;""),E250:T250),""))</f>
        <v/>
      </c>
      <c r="W250" s="53">
        <f>IF(OR(A250="",PreviousYear=""),"",IFERROR(LOOKUP(2,1/(E250:T250&lt;&gt;""),E250:T250)-INDEX(E250:T250,MATCH(PreviousYear,$E$5:$T$5,0)),""))</f>
        <v/>
      </c>
      <c r="X250" s="53">
        <f>IF(OR(A250="",U250="",V250=""),"",V250-U250)</f>
        <v/>
      </c>
      <c r="Y250" s="52">
        <f>IF(A250="","",COUNT(E250:T250))</f>
        <v/>
      </c>
    </row>
    <row r="251">
      <c r="A251" s="43">
        <f>IF(AND('Employees'!B21&lt;&gt;"",'Skills'!B11&lt;&gt;""),'Employees'!B21,"")</f>
        <v/>
      </c>
      <c r="B251" s="44">
        <f>IF(A251="","",'Employees'!C21)</f>
        <v/>
      </c>
      <c r="C251" s="50">
        <f>IF(A251="","",'Skills'!B11)</f>
        <v/>
      </c>
      <c r="D251" s="44">
        <f>IF(A251="","",'Skills'!C11)</f>
        <v/>
      </c>
      <c r="E251" s="51" t="inlineStr"/>
      <c r="F251" s="51" t="inlineStr"/>
      <c r="G251" s="51" t="inlineStr"/>
      <c r="H251" s="45" t="inlineStr"/>
      <c r="I251" s="51" t="inlineStr"/>
      <c r="J251" s="51" t="inlineStr"/>
      <c r="K251" s="51" t="inlineStr"/>
      <c r="L251" s="51" t="inlineStr"/>
      <c r="M251" s="51" t="inlineStr"/>
      <c r="N251" s="51" t="inlineStr"/>
      <c r="O251" s="51" t="inlineStr"/>
      <c r="P251" s="51" t="inlineStr"/>
      <c r="Q251" s="51" t="inlineStr"/>
      <c r="R251" s="51" t="inlineStr"/>
      <c r="S251" s="51" t="inlineStr"/>
      <c r="T251" s="51" t="inlineStr"/>
      <c r="U251" s="52">
        <f>IF(A251="","",IFERROR(INDEX(E251:T251,MATCH(TRUE,INDEX(E251:T251&lt;&gt;"",0),0)),""))</f>
        <v/>
      </c>
      <c r="V251" s="52">
        <f>IF(A251="","",IFERROR(LOOKUP(2,1/(E251:T251&lt;&gt;""),E251:T251),""))</f>
        <v/>
      </c>
      <c r="W251" s="53">
        <f>IF(OR(A251="",PreviousYear=""),"",IFERROR(LOOKUP(2,1/(E251:T251&lt;&gt;""),E251:T251)-INDEX(E251:T251,MATCH(PreviousYear,$E$5:$T$5,0)),""))</f>
        <v/>
      </c>
      <c r="X251" s="53">
        <f>IF(OR(A251="",U251="",V251=""),"",V251-U251)</f>
        <v/>
      </c>
      <c r="Y251" s="52">
        <f>IF(A251="","",COUNT(E251:T251))</f>
        <v/>
      </c>
    </row>
    <row r="252">
      <c r="A252" s="43">
        <f>IF(AND('Employees'!B21&lt;&gt;"",'Skills'!B12&lt;&gt;""),'Employees'!B21,"")</f>
        <v/>
      </c>
      <c r="B252" s="44">
        <f>IF(A252="","",'Employees'!C21)</f>
        <v/>
      </c>
      <c r="C252" s="50">
        <f>IF(A252="","",'Skills'!B12)</f>
        <v/>
      </c>
      <c r="D252" s="44">
        <f>IF(A252="","",'Skills'!C12)</f>
        <v/>
      </c>
      <c r="E252" s="51" t="inlineStr"/>
      <c r="F252" s="51" t="inlineStr"/>
      <c r="G252" s="51" t="inlineStr"/>
      <c r="H252" s="45" t="inlineStr"/>
      <c r="I252" s="51" t="inlineStr"/>
      <c r="J252" s="51" t="inlineStr"/>
      <c r="K252" s="51" t="inlineStr"/>
      <c r="L252" s="51" t="inlineStr"/>
      <c r="M252" s="51" t="inlineStr"/>
      <c r="N252" s="51" t="inlineStr"/>
      <c r="O252" s="51" t="inlineStr"/>
      <c r="P252" s="51" t="inlineStr"/>
      <c r="Q252" s="51" t="inlineStr"/>
      <c r="R252" s="51" t="inlineStr"/>
      <c r="S252" s="51" t="inlineStr"/>
      <c r="T252" s="51" t="inlineStr"/>
      <c r="U252" s="52">
        <f>IF(A252="","",IFERROR(INDEX(E252:T252,MATCH(TRUE,INDEX(E252:T252&lt;&gt;"",0),0)),""))</f>
        <v/>
      </c>
      <c r="V252" s="52">
        <f>IF(A252="","",IFERROR(LOOKUP(2,1/(E252:T252&lt;&gt;""),E252:T252),""))</f>
        <v/>
      </c>
      <c r="W252" s="53">
        <f>IF(OR(A252="",PreviousYear=""),"",IFERROR(LOOKUP(2,1/(E252:T252&lt;&gt;""),E252:T252)-INDEX(E252:T252,MATCH(PreviousYear,$E$5:$T$5,0)),""))</f>
        <v/>
      </c>
      <c r="X252" s="53">
        <f>IF(OR(A252="",U252="",V252=""),"",V252-U252)</f>
        <v/>
      </c>
      <c r="Y252" s="52">
        <f>IF(A252="","",COUNT(E252:T252))</f>
        <v/>
      </c>
    </row>
    <row r="253">
      <c r="A253" s="43">
        <f>IF(AND('Employees'!B21&lt;&gt;"",'Skills'!B13&lt;&gt;""),'Employees'!B21,"")</f>
        <v/>
      </c>
      <c r="B253" s="44">
        <f>IF(A253="","",'Employees'!C21)</f>
        <v/>
      </c>
      <c r="C253" s="50">
        <f>IF(A253="","",'Skills'!B13)</f>
        <v/>
      </c>
      <c r="D253" s="44">
        <f>IF(A253="","",'Skills'!C13)</f>
        <v/>
      </c>
      <c r="E253" s="51" t="inlineStr"/>
      <c r="F253" s="51" t="inlineStr"/>
      <c r="G253" s="51" t="inlineStr"/>
      <c r="H253" s="45" t="inlineStr"/>
      <c r="I253" s="51" t="inlineStr"/>
      <c r="J253" s="51" t="inlineStr"/>
      <c r="K253" s="51" t="inlineStr"/>
      <c r="L253" s="51" t="inlineStr"/>
      <c r="M253" s="51" t="inlineStr"/>
      <c r="N253" s="51" t="inlineStr"/>
      <c r="O253" s="51" t="inlineStr"/>
      <c r="P253" s="51" t="inlineStr"/>
      <c r="Q253" s="51" t="inlineStr"/>
      <c r="R253" s="51" t="inlineStr"/>
      <c r="S253" s="51" t="inlineStr"/>
      <c r="T253" s="51" t="inlineStr"/>
      <c r="U253" s="52">
        <f>IF(A253="","",IFERROR(INDEX(E253:T253,MATCH(TRUE,INDEX(E253:T253&lt;&gt;"",0),0)),""))</f>
        <v/>
      </c>
      <c r="V253" s="52">
        <f>IF(A253="","",IFERROR(LOOKUP(2,1/(E253:T253&lt;&gt;""),E253:T253),""))</f>
        <v/>
      </c>
      <c r="W253" s="53">
        <f>IF(OR(A253="",PreviousYear=""),"",IFERROR(LOOKUP(2,1/(E253:T253&lt;&gt;""),E253:T253)-INDEX(E253:T253,MATCH(PreviousYear,$E$5:$T$5,0)),""))</f>
        <v/>
      </c>
      <c r="X253" s="53">
        <f>IF(OR(A253="",U253="",V253=""),"",V253-U253)</f>
        <v/>
      </c>
      <c r="Y253" s="52">
        <f>IF(A253="","",COUNT(E253:T253))</f>
        <v/>
      </c>
    </row>
    <row r="254">
      <c r="A254" s="43">
        <f>IF(AND('Employees'!B21&lt;&gt;"",'Skills'!B14&lt;&gt;""),'Employees'!B21,"")</f>
        <v/>
      </c>
      <c r="B254" s="44">
        <f>IF(A254="","",'Employees'!C21)</f>
        <v/>
      </c>
      <c r="C254" s="50">
        <f>IF(A254="","",'Skills'!B14)</f>
        <v/>
      </c>
      <c r="D254" s="44">
        <f>IF(A254="","",'Skills'!C14)</f>
        <v/>
      </c>
      <c r="E254" s="51" t="inlineStr"/>
      <c r="F254" s="51" t="inlineStr"/>
      <c r="G254" s="51" t="inlineStr"/>
      <c r="H254" s="45" t="inlineStr"/>
      <c r="I254" s="51" t="inlineStr"/>
      <c r="J254" s="51" t="inlineStr"/>
      <c r="K254" s="51" t="inlineStr"/>
      <c r="L254" s="51" t="inlineStr"/>
      <c r="M254" s="51" t="inlineStr"/>
      <c r="N254" s="51" t="inlineStr"/>
      <c r="O254" s="51" t="inlineStr"/>
      <c r="P254" s="51" t="inlineStr"/>
      <c r="Q254" s="51" t="inlineStr"/>
      <c r="R254" s="51" t="inlineStr"/>
      <c r="S254" s="51" t="inlineStr"/>
      <c r="T254" s="51" t="inlineStr"/>
      <c r="U254" s="52">
        <f>IF(A254="","",IFERROR(INDEX(E254:T254,MATCH(TRUE,INDEX(E254:T254&lt;&gt;"",0),0)),""))</f>
        <v/>
      </c>
      <c r="V254" s="52">
        <f>IF(A254="","",IFERROR(LOOKUP(2,1/(E254:T254&lt;&gt;""),E254:T254),""))</f>
        <v/>
      </c>
      <c r="W254" s="53">
        <f>IF(OR(A254="",PreviousYear=""),"",IFERROR(LOOKUP(2,1/(E254:T254&lt;&gt;""),E254:T254)-INDEX(E254:T254,MATCH(PreviousYear,$E$5:$T$5,0)),""))</f>
        <v/>
      </c>
      <c r="X254" s="53">
        <f>IF(OR(A254="",U254="",V254=""),"",V254-U254)</f>
        <v/>
      </c>
      <c r="Y254" s="52">
        <f>IF(A254="","",COUNT(E254:T254))</f>
        <v/>
      </c>
    </row>
    <row r="255">
      <c r="A255" s="43">
        <f>IF(AND('Employees'!B21&lt;&gt;"",'Skills'!B15&lt;&gt;""),'Employees'!B21,"")</f>
        <v/>
      </c>
      <c r="B255" s="44">
        <f>IF(A255="","",'Employees'!C21)</f>
        <v/>
      </c>
      <c r="C255" s="50">
        <f>IF(A255="","",'Skills'!B15)</f>
        <v/>
      </c>
      <c r="D255" s="44">
        <f>IF(A255="","",'Skills'!C15)</f>
        <v/>
      </c>
      <c r="E255" s="51" t="inlineStr"/>
      <c r="F255" s="51" t="inlineStr"/>
      <c r="G255" s="51" t="inlineStr"/>
      <c r="H255" s="45" t="inlineStr"/>
      <c r="I255" s="51" t="inlineStr"/>
      <c r="J255" s="51" t="inlineStr"/>
      <c r="K255" s="51" t="inlineStr"/>
      <c r="L255" s="51" t="inlineStr"/>
      <c r="M255" s="51" t="inlineStr"/>
      <c r="N255" s="51" t="inlineStr"/>
      <c r="O255" s="51" t="inlineStr"/>
      <c r="P255" s="51" t="inlineStr"/>
      <c r="Q255" s="51" t="inlineStr"/>
      <c r="R255" s="51" t="inlineStr"/>
      <c r="S255" s="51" t="inlineStr"/>
      <c r="T255" s="51" t="inlineStr"/>
      <c r="U255" s="52">
        <f>IF(A255="","",IFERROR(INDEX(E255:T255,MATCH(TRUE,INDEX(E255:T255&lt;&gt;"",0),0)),""))</f>
        <v/>
      </c>
      <c r="V255" s="52">
        <f>IF(A255="","",IFERROR(LOOKUP(2,1/(E255:T255&lt;&gt;""),E255:T255),""))</f>
        <v/>
      </c>
      <c r="W255" s="53">
        <f>IF(OR(A255="",PreviousYear=""),"",IFERROR(LOOKUP(2,1/(E255:T255&lt;&gt;""),E255:T255)-INDEX(E255:T255,MATCH(PreviousYear,$E$5:$T$5,0)),""))</f>
        <v/>
      </c>
      <c r="X255" s="53">
        <f>IF(OR(A255="",U255="",V255=""),"",V255-U255)</f>
        <v/>
      </c>
      <c r="Y255" s="52">
        <f>IF(A255="","",COUNT(E255:T255))</f>
        <v/>
      </c>
    </row>
    <row r="256">
      <c r="A256" s="43">
        <f>IF(AND('Employees'!B21&lt;&gt;"",'Skills'!B16&lt;&gt;""),'Employees'!B21,"")</f>
        <v/>
      </c>
      <c r="B256" s="44">
        <f>IF(A256="","",'Employees'!C21)</f>
        <v/>
      </c>
      <c r="C256" s="50">
        <f>IF(A256="","",'Skills'!B16)</f>
        <v/>
      </c>
      <c r="D256" s="44">
        <f>IF(A256="","",'Skills'!C16)</f>
        <v/>
      </c>
      <c r="E256" s="51" t="inlineStr"/>
      <c r="F256" s="51" t="inlineStr"/>
      <c r="G256" s="51" t="inlineStr"/>
      <c r="H256" s="45" t="inlineStr"/>
      <c r="I256" s="51" t="inlineStr"/>
      <c r="J256" s="51" t="inlineStr"/>
      <c r="K256" s="51" t="inlineStr"/>
      <c r="L256" s="51" t="inlineStr"/>
      <c r="M256" s="51" t="inlineStr"/>
      <c r="N256" s="51" t="inlineStr"/>
      <c r="O256" s="51" t="inlineStr"/>
      <c r="P256" s="51" t="inlineStr"/>
      <c r="Q256" s="51" t="inlineStr"/>
      <c r="R256" s="51" t="inlineStr"/>
      <c r="S256" s="51" t="inlineStr"/>
      <c r="T256" s="51" t="inlineStr"/>
      <c r="U256" s="52">
        <f>IF(A256="","",IFERROR(INDEX(E256:T256,MATCH(TRUE,INDEX(E256:T256&lt;&gt;"",0),0)),""))</f>
        <v/>
      </c>
      <c r="V256" s="52">
        <f>IF(A256="","",IFERROR(LOOKUP(2,1/(E256:T256&lt;&gt;""),E256:T256),""))</f>
        <v/>
      </c>
      <c r="W256" s="53">
        <f>IF(OR(A256="",PreviousYear=""),"",IFERROR(LOOKUP(2,1/(E256:T256&lt;&gt;""),E256:T256)-INDEX(E256:T256,MATCH(PreviousYear,$E$5:$T$5,0)),""))</f>
        <v/>
      </c>
      <c r="X256" s="53">
        <f>IF(OR(A256="",U256="",V256=""),"",V256-U256)</f>
        <v/>
      </c>
      <c r="Y256" s="52">
        <f>IF(A256="","",COUNT(E256:T256))</f>
        <v/>
      </c>
    </row>
    <row r="257">
      <c r="A257" s="43">
        <f>IF(AND('Employees'!B21&lt;&gt;"",'Skills'!B17&lt;&gt;""),'Employees'!B21,"")</f>
        <v/>
      </c>
      <c r="B257" s="44">
        <f>IF(A257="","",'Employees'!C21)</f>
        <v/>
      </c>
      <c r="C257" s="50">
        <f>IF(A257="","",'Skills'!B17)</f>
        <v/>
      </c>
      <c r="D257" s="44">
        <f>IF(A257="","",'Skills'!C17)</f>
        <v/>
      </c>
      <c r="E257" s="51" t="inlineStr"/>
      <c r="F257" s="51" t="inlineStr"/>
      <c r="G257" s="51" t="inlineStr"/>
      <c r="H257" s="45" t="inlineStr"/>
      <c r="I257" s="51" t="inlineStr"/>
      <c r="J257" s="51" t="inlineStr"/>
      <c r="K257" s="51" t="inlineStr"/>
      <c r="L257" s="51" t="inlineStr"/>
      <c r="M257" s="51" t="inlineStr"/>
      <c r="N257" s="51" t="inlineStr"/>
      <c r="O257" s="51" t="inlineStr"/>
      <c r="P257" s="51" t="inlineStr"/>
      <c r="Q257" s="51" t="inlineStr"/>
      <c r="R257" s="51" t="inlineStr"/>
      <c r="S257" s="51" t="inlineStr"/>
      <c r="T257" s="51" t="inlineStr"/>
      <c r="U257" s="52">
        <f>IF(A257="","",IFERROR(INDEX(E257:T257,MATCH(TRUE,INDEX(E257:T257&lt;&gt;"",0),0)),""))</f>
        <v/>
      </c>
      <c r="V257" s="52">
        <f>IF(A257="","",IFERROR(LOOKUP(2,1/(E257:T257&lt;&gt;""),E257:T257),""))</f>
        <v/>
      </c>
      <c r="W257" s="53">
        <f>IF(OR(A257="",PreviousYear=""),"",IFERROR(LOOKUP(2,1/(E257:T257&lt;&gt;""),E257:T257)-INDEX(E257:T257,MATCH(PreviousYear,$E$5:$T$5,0)),""))</f>
        <v/>
      </c>
      <c r="X257" s="53">
        <f>IF(OR(A257="",U257="",V257=""),"",V257-U257)</f>
        <v/>
      </c>
      <c r="Y257" s="52">
        <f>IF(A257="","",COUNT(E257:T257))</f>
        <v/>
      </c>
    </row>
    <row r="258">
      <c r="A258" s="43">
        <f>IF(AND('Employees'!B21&lt;&gt;"",'Skills'!B18&lt;&gt;""),'Employees'!B21,"")</f>
        <v/>
      </c>
      <c r="B258" s="44">
        <f>IF(A258="","",'Employees'!C21)</f>
        <v/>
      </c>
      <c r="C258" s="50">
        <f>IF(A258="","",'Skills'!B18)</f>
        <v/>
      </c>
      <c r="D258" s="44">
        <f>IF(A258="","",'Skills'!C18)</f>
        <v/>
      </c>
      <c r="E258" s="51" t="inlineStr"/>
      <c r="F258" s="51" t="inlineStr"/>
      <c r="G258" s="51" t="inlineStr"/>
      <c r="H258" s="45" t="inlineStr"/>
      <c r="I258" s="51" t="inlineStr"/>
      <c r="J258" s="51" t="inlineStr"/>
      <c r="K258" s="51" t="inlineStr"/>
      <c r="L258" s="51" t="inlineStr"/>
      <c r="M258" s="51" t="inlineStr"/>
      <c r="N258" s="51" t="inlineStr"/>
      <c r="O258" s="51" t="inlineStr"/>
      <c r="P258" s="51" t="inlineStr"/>
      <c r="Q258" s="51" t="inlineStr"/>
      <c r="R258" s="51" t="inlineStr"/>
      <c r="S258" s="51" t="inlineStr"/>
      <c r="T258" s="51" t="inlineStr"/>
      <c r="U258" s="52">
        <f>IF(A258="","",IFERROR(INDEX(E258:T258,MATCH(TRUE,INDEX(E258:T258&lt;&gt;"",0),0)),""))</f>
        <v/>
      </c>
      <c r="V258" s="52">
        <f>IF(A258="","",IFERROR(LOOKUP(2,1/(E258:T258&lt;&gt;""),E258:T258),""))</f>
        <v/>
      </c>
      <c r="W258" s="53">
        <f>IF(OR(A258="",PreviousYear=""),"",IFERROR(LOOKUP(2,1/(E258:T258&lt;&gt;""),E258:T258)-INDEX(E258:T258,MATCH(PreviousYear,$E$5:$T$5,0)),""))</f>
        <v/>
      </c>
      <c r="X258" s="53">
        <f>IF(OR(A258="",U258="",V258=""),"",V258-U258)</f>
        <v/>
      </c>
      <c r="Y258" s="52">
        <f>IF(A258="","",COUNT(E258:T258))</f>
        <v/>
      </c>
    </row>
    <row r="259">
      <c r="A259" s="43">
        <f>IF(AND('Employees'!B21&lt;&gt;"",'Skills'!B19&lt;&gt;""),'Employees'!B21,"")</f>
        <v/>
      </c>
      <c r="B259" s="44">
        <f>IF(A259="","",'Employees'!C21)</f>
        <v/>
      </c>
      <c r="C259" s="50">
        <f>IF(A259="","",'Skills'!B19)</f>
        <v/>
      </c>
      <c r="D259" s="44">
        <f>IF(A259="","",'Skills'!C19)</f>
        <v/>
      </c>
      <c r="E259" s="51" t="inlineStr"/>
      <c r="F259" s="51" t="inlineStr"/>
      <c r="G259" s="51" t="inlineStr"/>
      <c r="H259" s="45" t="inlineStr"/>
      <c r="I259" s="51" t="inlineStr"/>
      <c r="J259" s="51" t="inlineStr"/>
      <c r="K259" s="51" t="inlineStr"/>
      <c r="L259" s="51" t="inlineStr"/>
      <c r="M259" s="51" t="inlineStr"/>
      <c r="N259" s="51" t="inlineStr"/>
      <c r="O259" s="51" t="inlineStr"/>
      <c r="P259" s="51" t="inlineStr"/>
      <c r="Q259" s="51" t="inlineStr"/>
      <c r="R259" s="51" t="inlineStr"/>
      <c r="S259" s="51" t="inlineStr"/>
      <c r="T259" s="51" t="inlineStr"/>
      <c r="U259" s="52">
        <f>IF(A259="","",IFERROR(INDEX(E259:T259,MATCH(TRUE,INDEX(E259:T259&lt;&gt;"",0),0)),""))</f>
        <v/>
      </c>
      <c r="V259" s="52">
        <f>IF(A259="","",IFERROR(LOOKUP(2,1/(E259:T259&lt;&gt;""),E259:T259),""))</f>
        <v/>
      </c>
      <c r="W259" s="53">
        <f>IF(OR(A259="",PreviousYear=""),"",IFERROR(LOOKUP(2,1/(E259:T259&lt;&gt;""),E259:T259)-INDEX(E259:T259,MATCH(PreviousYear,$E$5:$T$5,0)),""))</f>
        <v/>
      </c>
      <c r="X259" s="53">
        <f>IF(OR(A259="",U259="",V259=""),"",V259-U259)</f>
        <v/>
      </c>
      <c r="Y259" s="52">
        <f>IF(A259="","",COUNT(E259:T259))</f>
        <v/>
      </c>
    </row>
    <row r="260">
      <c r="A260" s="43">
        <f>IF(AND('Employees'!B21&lt;&gt;"",'Skills'!B20&lt;&gt;""),'Employees'!B21,"")</f>
        <v/>
      </c>
      <c r="B260" s="44">
        <f>IF(A260="","",'Employees'!C21)</f>
        <v/>
      </c>
      <c r="C260" s="50">
        <f>IF(A260="","",'Skills'!B20)</f>
        <v/>
      </c>
      <c r="D260" s="44">
        <f>IF(A260="","",'Skills'!C20)</f>
        <v/>
      </c>
      <c r="E260" s="51" t="inlineStr"/>
      <c r="F260" s="51" t="inlineStr"/>
      <c r="G260" s="51" t="inlineStr"/>
      <c r="H260" s="45" t="inlineStr"/>
      <c r="I260" s="51" t="inlineStr"/>
      <c r="J260" s="51" t="inlineStr"/>
      <c r="K260" s="51" t="inlineStr"/>
      <c r="L260" s="51" t="inlineStr"/>
      <c r="M260" s="51" t="inlineStr"/>
      <c r="N260" s="51" t="inlineStr"/>
      <c r="O260" s="51" t="inlineStr"/>
      <c r="P260" s="51" t="inlineStr"/>
      <c r="Q260" s="51" t="inlineStr"/>
      <c r="R260" s="51" t="inlineStr"/>
      <c r="S260" s="51" t="inlineStr"/>
      <c r="T260" s="51" t="inlineStr"/>
      <c r="U260" s="52">
        <f>IF(A260="","",IFERROR(INDEX(E260:T260,MATCH(TRUE,INDEX(E260:T260&lt;&gt;"",0),0)),""))</f>
        <v/>
      </c>
      <c r="V260" s="52">
        <f>IF(A260="","",IFERROR(LOOKUP(2,1/(E260:T260&lt;&gt;""),E260:T260),""))</f>
        <v/>
      </c>
      <c r="W260" s="53">
        <f>IF(OR(A260="",PreviousYear=""),"",IFERROR(LOOKUP(2,1/(E260:T260&lt;&gt;""),E260:T260)-INDEX(E260:T260,MATCH(PreviousYear,$E$5:$T$5,0)),""))</f>
        <v/>
      </c>
      <c r="X260" s="53">
        <f>IF(OR(A260="",U260="",V260=""),"",V260-U260)</f>
        <v/>
      </c>
      <c r="Y260" s="52">
        <f>IF(A260="","",COUNT(E260:T260))</f>
        <v/>
      </c>
    </row>
    <row r="261">
      <c r="A261" s="43">
        <f>IF(AND('Employees'!B21&lt;&gt;"",'Skills'!B21&lt;&gt;""),'Employees'!B21,"")</f>
        <v/>
      </c>
      <c r="B261" s="44">
        <f>IF(A261="","",'Employees'!C21)</f>
        <v/>
      </c>
      <c r="C261" s="50">
        <f>IF(A261="","",'Skills'!B21)</f>
        <v/>
      </c>
      <c r="D261" s="44">
        <f>IF(A261="","",'Skills'!C21)</f>
        <v/>
      </c>
      <c r="E261" s="51" t="inlineStr"/>
      <c r="F261" s="51" t="inlineStr"/>
      <c r="G261" s="51" t="inlineStr"/>
      <c r="H261" s="45" t="inlineStr"/>
      <c r="I261" s="51" t="inlineStr"/>
      <c r="J261" s="51" t="inlineStr"/>
      <c r="K261" s="51" t="inlineStr"/>
      <c r="L261" s="51" t="inlineStr"/>
      <c r="M261" s="51" t="inlineStr"/>
      <c r="N261" s="51" t="inlineStr"/>
      <c r="O261" s="51" t="inlineStr"/>
      <c r="P261" s="51" t="inlineStr"/>
      <c r="Q261" s="51" t="inlineStr"/>
      <c r="R261" s="51" t="inlineStr"/>
      <c r="S261" s="51" t="inlineStr"/>
      <c r="T261" s="51" t="inlineStr"/>
      <c r="U261" s="52">
        <f>IF(A261="","",IFERROR(INDEX(E261:T261,MATCH(TRUE,INDEX(E261:T261&lt;&gt;"",0),0)),""))</f>
        <v/>
      </c>
      <c r="V261" s="52">
        <f>IF(A261="","",IFERROR(LOOKUP(2,1/(E261:T261&lt;&gt;""),E261:T261),""))</f>
        <v/>
      </c>
      <c r="W261" s="53">
        <f>IF(OR(A261="",PreviousYear=""),"",IFERROR(LOOKUP(2,1/(E261:T261&lt;&gt;""),E261:T261)-INDEX(E261:T261,MATCH(PreviousYear,$E$5:$T$5,0)),""))</f>
        <v/>
      </c>
      <c r="X261" s="53">
        <f>IF(OR(A261="",U261="",V261=""),"",V261-U261)</f>
        <v/>
      </c>
      <c r="Y261" s="52">
        <f>IF(A261="","",COUNT(E261:T261))</f>
        <v/>
      </c>
    </row>
  </sheetData>
  <autoFilter ref="A5:Y261"/>
  <mergeCells count="3">
    <mergeCell ref="I2:Y2"/>
    <mergeCell ref="A3:Y3"/>
    <mergeCell ref="A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M67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  <col width="18" customWidth="1" min="8" max="8"/>
    <col width="16" customWidth="1" min="9" max="9"/>
    <col width="2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1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  <c r="K1" s="3" t="n"/>
      <c r="L1" s="3" t="n"/>
      <c r="M1" s="3" t="n"/>
    </row>
    <row r="2">
      <c r="A2" s="4" t="inlineStr">
        <is>
          <t>Dashboard</t>
        </is>
      </c>
    </row>
    <row r="3">
      <c r="A3" s="54" t="inlineStr">
        <is>
          <t>Compare any two years here (year 1 vs year 5, last year vs this year, or anything in between). Skill Matrix is the current-year grid only.</t>
        </is>
      </c>
    </row>
    <row r="5" ht="26" customHeight="1">
      <c r="A5" s="55" t="inlineStr">
        <is>
          <t>Department</t>
        </is>
      </c>
      <c r="B5" s="56" t="inlineStr">
        <is>
          <t>(All departments)</t>
        </is>
      </c>
      <c r="C5" s="55" t="inlineStr">
        <is>
          <t>From year</t>
        </is>
      </c>
      <c r="D5" s="57" t="n">
        <v>2023</v>
      </c>
      <c r="E5" s="55" t="inlineStr">
        <is>
          <t>To year</t>
        </is>
      </c>
      <c r="F5" s="57" t="n">
        <v>2026</v>
      </c>
      <c r="G5" s="55" t="inlineStr">
        <is>
          <t>Employee</t>
        </is>
      </c>
      <c r="H5" s="56" t="inlineStr">
        <is>
          <t>Alex Rivera</t>
        </is>
      </c>
      <c r="I5" s="55" t="inlineStr">
        <is>
          <t>Skillset</t>
        </is>
      </c>
      <c r="J5" s="56" t="inlineStr">
        <is>
          <t>Broadcast Camera Operation</t>
        </is>
      </c>
      <c r="K5" s="58">
        <f>HYPERLINK("#'Years'!A1","Years")</f>
        <v/>
      </c>
      <c r="L5" s="3" t="n"/>
    </row>
    <row r="6">
      <c r="A6" s="17">
        <f>"Team: "&amp;DashFromYear&amp;" vs "&amp;DashToYear&amp;IF(DeptFilter="(All departments)","","  |  "&amp;DeptFilter)</f>
        <v/>
      </c>
    </row>
    <row r="7">
      <c r="A7" s="59">
        <f>DashFromYear&amp;" average"</f>
        <v/>
      </c>
      <c r="B7" s="60" t="n"/>
      <c r="C7" s="60" t="n"/>
      <c r="D7" s="61">
        <f>DashToYear&amp;" average"</f>
        <v/>
      </c>
      <c r="E7" s="62" t="n"/>
      <c r="F7" s="62" t="n"/>
      <c r="G7" s="63" t="inlineStr">
        <is>
          <t>Change</t>
        </is>
      </c>
      <c r="H7" s="64" t="n"/>
      <c r="I7" s="64" t="n"/>
      <c r="J7" s="65" t="inlineStr">
        <is>
          <t>Skillset</t>
        </is>
      </c>
      <c r="K7" s="65">
        <f>DashFromYear</f>
        <v/>
      </c>
      <c r="L7" s="65">
        <f>DashToYear</f>
        <v/>
      </c>
      <c r="M7" s="65" t="inlineStr">
        <is>
          <t>Change</t>
        </is>
      </c>
    </row>
    <row r="8">
      <c r="A8" s="66">
        <f>IFERROR(ROUND(IF(DeptFilter="(All departments)",AVERAGEIFS(DataRating,DataYear,DashFromYear),AVERAGEIFS(DataRating,DataYear,DashFromYear,DataDept,DeptFilter)),2),"-")</f>
        <v/>
      </c>
      <c r="B8" s="60" t="n"/>
      <c r="C8" s="60" t="n"/>
      <c r="D8" s="67">
        <f>IFERROR(ROUND(IF(DeptFilter="(All departments)",AVERAGEIFS(DataRating,DataYear,DashToYear),AVERAGEIFS(DataRating,DataYear,DashToYear,DataDept,DeptFilter)),2),"-")</f>
        <v/>
      </c>
      <c r="E8" s="62" t="n"/>
      <c r="F8" s="62" t="n"/>
      <c r="G8" s="68">
        <f>IFERROR(ROUND((IF(DeptFilter="(All departments)",AVERAGEIFS(DataRating,DataYear,DashToYear),AVERAGEIFS(DataRating,DataYear,DashToYear,DataDept,DeptFilter)))-(IF(DeptFilter="(All departments)",AVERAGEIFS(DataRating,DataYear,DashFromYear),AVERAGEIFS(DataRating,DataYear,DashFromYear,DataDept,DeptFilter))),2),"-")</f>
        <v/>
      </c>
      <c r="H8" s="69" t="n"/>
      <c r="I8" s="69" t="n"/>
      <c r="J8" s="70">
        <f>IF('Skills'!B6="","",'Skills'!B6)</f>
        <v/>
      </c>
      <c r="K8" s="71">
        <f>IF(OR(J8="",DashFromYear=""),"",IFERROR(IF(DeptFilter="(All departments)",AVERAGEIFS(DataRating,DataSkill,J8,DataYear,DashFromYear),AVERAGEIFS(DataRating,DataSkill,J8,DataYear,DashFromYear,DataDept,DeptFilter)),""))</f>
        <v/>
      </c>
      <c r="L8" s="71">
        <f>IF(OR(J8="",DashToYear=""),"",IFERROR(IF(DeptFilter="(All departments)",AVERAGEIFS(DataRating,DataSkill,J8,DataYear,DashToYear),AVERAGEIFS(DataRating,DataSkill,J8,DataYear,DashToYear,DataDept,DeptFilter)),""))</f>
        <v/>
      </c>
      <c r="M8" s="72">
        <f>IF(OR(K8="",L8=""),"",ROUND(L8-K8,2))</f>
        <v/>
      </c>
    </row>
    <row r="9">
      <c r="A9" s="60" t="n"/>
      <c r="B9" s="60" t="n"/>
      <c r="C9" s="60" t="n"/>
      <c r="D9" s="62" t="n"/>
      <c r="E9" s="62" t="n"/>
      <c r="F9" s="62" t="n"/>
      <c r="G9" s="69" t="n"/>
      <c r="H9" s="69" t="n"/>
      <c r="I9" s="69" t="n"/>
      <c r="J9" s="70">
        <f>IF('Skills'!B7="","",'Skills'!B7)</f>
        <v/>
      </c>
      <c r="K9" s="71">
        <f>IF(OR(J9="",DashFromYear=""),"",IFERROR(IF(DeptFilter="(All departments)",AVERAGEIFS(DataRating,DataSkill,J9,DataYear,DashFromYear),AVERAGEIFS(DataRating,DataSkill,J9,DataYear,DashFromYear,DataDept,DeptFilter)),""))</f>
        <v/>
      </c>
      <c r="L9" s="71">
        <f>IF(OR(J9="",DashToYear=""),"",IFERROR(IF(DeptFilter="(All departments)",AVERAGEIFS(DataRating,DataSkill,J9,DataYear,DashToYear),AVERAGEIFS(DataRating,DataSkill,J9,DataYear,DashToYear,DataDept,DeptFilter)),""))</f>
        <v/>
      </c>
      <c r="M9" s="72">
        <f>IF(OR(K9="",L9=""),"",ROUND(L9-K9,2))</f>
        <v/>
      </c>
    </row>
    <row r="10">
      <c r="J10" s="70">
        <f>IF('Skills'!B8="","",'Skills'!B8)</f>
        <v/>
      </c>
      <c r="K10" s="71">
        <f>IF(OR(J10="",DashFromYear=""),"",IFERROR(IF(DeptFilter="(All departments)",AVERAGEIFS(DataRating,DataSkill,J10,DataYear,DashFromYear),AVERAGEIFS(DataRating,DataSkill,J10,DataYear,DashFromYear,DataDept,DeptFilter)),""))</f>
        <v/>
      </c>
      <c r="L10" s="71">
        <f>IF(OR(J10="",DashToYear=""),"",IFERROR(IF(DeptFilter="(All departments)",AVERAGEIFS(DataRating,DataSkill,J10,DataYear,DashToYear),AVERAGEIFS(DataRating,DataSkill,J10,DataYear,DashToYear,DataDept,DeptFilter)),""))</f>
        <v/>
      </c>
      <c r="M10" s="72">
        <f>IF(OR(K10="",L10=""),"",ROUND(L10-K10,2))</f>
        <v/>
      </c>
    </row>
    <row r="11">
      <c r="J11" s="70">
        <f>IF('Skills'!B9="","",'Skills'!B9)</f>
        <v/>
      </c>
      <c r="K11" s="71">
        <f>IF(OR(J11="",DashFromYear=""),"",IFERROR(IF(DeptFilter="(All departments)",AVERAGEIFS(DataRating,DataSkill,J11,DataYear,DashFromYear),AVERAGEIFS(DataRating,DataSkill,J11,DataYear,DashFromYear,DataDept,DeptFilter)),""))</f>
        <v/>
      </c>
      <c r="L11" s="71">
        <f>IF(OR(J11="",DashToYear=""),"",IFERROR(IF(DeptFilter="(All departments)",AVERAGEIFS(DataRating,DataSkill,J11,DataYear,DashToYear),AVERAGEIFS(DataRating,DataSkill,J11,DataYear,DashToYear,DataDept,DeptFilter)),""))</f>
        <v/>
      </c>
      <c r="M11" s="72">
        <f>IF(OR(K11="",L11=""),"",ROUND(L11-K11,2))</f>
        <v/>
      </c>
    </row>
    <row r="12">
      <c r="J12" s="70">
        <f>IF('Skills'!B10="","",'Skills'!B10)</f>
        <v/>
      </c>
      <c r="K12" s="71">
        <f>IF(OR(J12="",DashFromYear=""),"",IFERROR(IF(DeptFilter="(All departments)",AVERAGEIFS(DataRating,DataSkill,J12,DataYear,DashFromYear),AVERAGEIFS(DataRating,DataSkill,J12,DataYear,DashFromYear,DataDept,DeptFilter)),""))</f>
        <v/>
      </c>
      <c r="L12" s="71">
        <f>IF(OR(J12="",DashToYear=""),"",IFERROR(IF(DeptFilter="(All departments)",AVERAGEIFS(DataRating,DataSkill,J12,DataYear,DashToYear),AVERAGEIFS(DataRating,DataSkill,J12,DataYear,DashToYear,DataDept,DeptFilter)),""))</f>
        <v/>
      </c>
      <c r="M12" s="72">
        <f>IF(OR(K12="",L12=""),"",ROUND(L12-K12,2))</f>
        <v/>
      </c>
    </row>
    <row r="13">
      <c r="J13" s="70">
        <f>IF('Skills'!B11="","",'Skills'!B11)</f>
        <v/>
      </c>
      <c r="K13" s="71">
        <f>IF(OR(J13="",DashFromYear=""),"",IFERROR(IF(DeptFilter="(All departments)",AVERAGEIFS(DataRating,DataSkill,J13,DataYear,DashFromYear),AVERAGEIFS(DataRating,DataSkill,J13,DataYear,DashFromYear,DataDept,DeptFilter)),""))</f>
        <v/>
      </c>
      <c r="L13" s="71">
        <f>IF(OR(J13="",DashToYear=""),"",IFERROR(IF(DeptFilter="(All departments)",AVERAGEIFS(DataRating,DataSkill,J13,DataYear,DashToYear),AVERAGEIFS(DataRating,DataSkill,J13,DataYear,DashToYear,DataDept,DeptFilter)),""))</f>
        <v/>
      </c>
      <c r="M13" s="72">
        <f>IF(OR(K13="",L13=""),"",ROUND(L13-K13,2))</f>
        <v/>
      </c>
    </row>
    <row r="14">
      <c r="J14" s="70">
        <f>IF('Skills'!B12="","",'Skills'!B12)</f>
        <v/>
      </c>
      <c r="K14" s="71">
        <f>IF(OR(J14="",DashFromYear=""),"",IFERROR(IF(DeptFilter="(All departments)",AVERAGEIFS(DataRating,DataSkill,J14,DataYear,DashFromYear),AVERAGEIFS(DataRating,DataSkill,J14,DataYear,DashFromYear,DataDept,DeptFilter)),""))</f>
        <v/>
      </c>
      <c r="L14" s="71">
        <f>IF(OR(J14="",DashToYear=""),"",IFERROR(IF(DeptFilter="(All departments)",AVERAGEIFS(DataRating,DataSkill,J14,DataYear,DashToYear),AVERAGEIFS(DataRating,DataSkill,J14,DataYear,DashToYear,DataDept,DeptFilter)),""))</f>
        <v/>
      </c>
      <c r="M14" s="72">
        <f>IF(OR(K14="",L14=""),"",ROUND(L14-K14,2))</f>
        <v/>
      </c>
    </row>
    <row r="15">
      <c r="J15" s="70">
        <f>IF('Skills'!B13="","",'Skills'!B13)</f>
        <v/>
      </c>
      <c r="K15" s="71">
        <f>IF(OR(J15="",DashFromYear=""),"",IFERROR(IF(DeptFilter="(All departments)",AVERAGEIFS(DataRating,DataSkill,J15,DataYear,DashFromYear),AVERAGEIFS(DataRating,DataSkill,J15,DataYear,DashFromYear,DataDept,DeptFilter)),""))</f>
        <v/>
      </c>
      <c r="L15" s="71">
        <f>IF(OR(J15="",DashToYear=""),"",IFERROR(IF(DeptFilter="(All departments)",AVERAGEIFS(DataRating,DataSkill,J15,DataYear,DashToYear),AVERAGEIFS(DataRating,DataSkill,J15,DataYear,DashToYear,DataDept,DeptFilter)),""))</f>
        <v/>
      </c>
      <c r="M15" s="72">
        <f>IF(OR(K15="",L15=""),"",ROUND(L15-K15,2))</f>
        <v/>
      </c>
    </row>
    <row r="16">
      <c r="J16" s="70">
        <f>IF('Skills'!B14="","",'Skills'!B14)</f>
        <v/>
      </c>
      <c r="K16" s="71">
        <f>IF(OR(J16="",DashFromYear=""),"",IFERROR(IF(DeptFilter="(All departments)",AVERAGEIFS(DataRating,DataSkill,J16,DataYear,DashFromYear),AVERAGEIFS(DataRating,DataSkill,J16,DataYear,DashFromYear,DataDept,DeptFilter)),""))</f>
        <v/>
      </c>
      <c r="L16" s="71">
        <f>IF(OR(J16="",DashToYear=""),"",IFERROR(IF(DeptFilter="(All departments)",AVERAGEIFS(DataRating,DataSkill,J16,DataYear,DashToYear),AVERAGEIFS(DataRating,DataSkill,J16,DataYear,DashToYear,DataDept,DeptFilter)),""))</f>
        <v/>
      </c>
      <c r="M16" s="72">
        <f>IF(OR(K16="",L16=""),"",ROUND(L16-K16,2))</f>
        <v/>
      </c>
    </row>
    <row r="17">
      <c r="J17" s="70">
        <f>IF('Skills'!B15="","",'Skills'!B15)</f>
        <v/>
      </c>
      <c r="K17" s="71">
        <f>IF(OR(J17="",DashFromYear=""),"",IFERROR(IF(DeptFilter="(All departments)",AVERAGEIFS(DataRating,DataSkill,J17,DataYear,DashFromYear),AVERAGEIFS(DataRating,DataSkill,J17,DataYear,DashFromYear,DataDept,DeptFilter)),""))</f>
        <v/>
      </c>
      <c r="L17" s="71">
        <f>IF(OR(J17="",DashToYear=""),"",IFERROR(IF(DeptFilter="(All departments)",AVERAGEIFS(DataRating,DataSkill,J17,DataYear,DashToYear),AVERAGEIFS(DataRating,DataSkill,J17,DataYear,DashToYear,DataDept,DeptFilter)),""))</f>
        <v/>
      </c>
      <c r="M17" s="72">
        <f>IF(OR(K17="",L17=""),"",ROUND(L17-K17,2))</f>
        <v/>
      </c>
    </row>
    <row r="18">
      <c r="J18" s="70">
        <f>IF('Skills'!B16="","",'Skills'!B16)</f>
        <v/>
      </c>
      <c r="K18" s="71">
        <f>IF(OR(J18="",DashFromYear=""),"",IFERROR(IF(DeptFilter="(All departments)",AVERAGEIFS(DataRating,DataSkill,J18,DataYear,DashFromYear),AVERAGEIFS(DataRating,DataSkill,J18,DataYear,DashFromYear,DataDept,DeptFilter)),""))</f>
        <v/>
      </c>
      <c r="L18" s="71">
        <f>IF(OR(J18="",DashToYear=""),"",IFERROR(IF(DeptFilter="(All departments)",AVERAGEIFS(DataRating,DataSkill,J18,DataYear,DashToYear),AVERAGEIFS(DataRating,DataSkill,J18,DataYear,DashToYear,DataDept,DeptFilter)),""))</f>
        <v/>
      </c>
      <c r="M18" s="72">
        <f>IF(OR(K18="",L18=""),"",ROUND(L18-K18,2))</f>
        <v/>
      </c>
    </row>
    <row r="19">
      <c r="J19" s="70">
        <f>IF('Skills'!B17="","",'Skills'!B17)</f>
        <v/>
      </c>
      <c r="K19" s="71">
        <f>IF(OR(J19="",DashFromYear=""),"",IFERROR(IF(DeptFilter="(All departments)",AVERAGEIFS(DataRating,DataSkill,J19,DataYear,DashFromYear),AVERAGEIFS(DataRating,DataSkill,J19,DataYear,DashFromYear,DataDept,DeptFilter)),""))</f>
        <v/>
      </c>
      <c r="L19" s="71">
        <f>IF(OR(J19="",DashToYear=""),"",IFERROR(IF(DeptFilter="(All departments)",AVERAGEIFS(DataRating,DataSkill,J19,DataYear,DashToYear),AVERAGEIFS(DataRating,DataSkill,J19,DataYear,DashToYear,DataDept,DeptFilter)),""))</f>
        <v/>
      </c>
      <c r="M19" s="72">
        <f>IF(OR(K19="",L19=""),"",ROUND(L19-K19,2))</f>
        <v/>
      </c>
    </row>
    <row r="20">
      <c r="J20" s="70">
        <f>IF('Skills'!B18="","",'Skills'!B18)</f>
        <v/>
      </c>
      <c r="K20" s="71">
        <f>IF(OR(J20="",DashFromYear=""),"",IFERROR(IF(DeptFilter="(All departments)",AVERAGEIFS(DataRating,DataSkill,J20,DataYear,DashFromYear),AVERAGEIFS(DataRating,DataSkill,J20,DataYear,DashFromYear,DataDept,DeptFilter)),""))</f>
        <v/>
      </c>
      <c r="L20" s="71">
        <f>IF(OR(J20="",DashToYear=""),"",IFERROR(IF(DeptFilter="(All departments)",AVERAGEIFS(DataRating,DataSkill,J20,DataYear,DashToYear),AVERAGEIFS(DataRating,DataSkill,J20,DataYear,DashToYear,DataDept,DeptFilter)),""))</f>
        <v/>
      </c>
      <c r="M20" s="72">
        <f>IF(OR(K20="",L20=""),"",ROUND(L20-K20,2))</f>
        <v/>
      </c>
    </row>
    <row r="21">
      <c r="J21" s="70">
        <f>IF('Skills'!B19="","",'Skills'!B19)</f>
        <v/>
      </c>
      <c r="K21" s="71">
        <f>IF(OR(J21="",DashFromYear=""),"",IFERROR(IF(DeptFilter="(All departments)",AVERAGEIFS(DataRating,DataSkill,J21,DataYear,DashFromYear),AVERAGEIFS(DataRating,DataSkill,J21,DataYear,DashFromYear,DataDept,DeptFilter)),""))</f>
        <v/>
      </c>
      <c r="L21" s="71">
        <f>IF(OR(J21="",DashToYear=""),"",IFERROR(IF(DeptFilter="(All departments)",AVERAGEIFS(DataRating,DataSkill,J21,DataYear,DashToYear),AVERAGEIFS(DataRating,DataSkill,J21,DataYear,DashToYear,DataDept,DeptFilter)),""))</f>
        <v/>
      </c>
      <c r="M21" s="72">
        <f>IF(OR(K21="",L21=""),"",ROUND(L21-K21,2))</f>
        <v/>
      </c>
    </row>
    <row r="22">
      <c r="J22" s="70">
        <f>IF('Skills'!B20="","",'Skills'!B20)</f>
        <v/>
      </c>
      <c r="K22" s="71">
        <f>IF(OR(J22="",DashFromYear=""),"",IFERROR(IF(DeptFilter="(All departments)",AVERAGEIFS(DataRating,DataSkill,J22,DataYear,DashFromYear),AVERAGEIFS(DataRating,DataSkill,J22,DataYear,DashFromYear,DataDept,DeptFilter)),""))</f>
        <v/>
      </c>
      <c r="L22" s="71">
        <f>IF(OR(J22="",DashToYear=""),"",IFERROR(IF(DeptFilter="(All departments)",AVERAGEIFS(DataRating,DataSkill,J22,DataYear,DashToYear),AVERAGEIFS(DataRating,DataSkill,J22,DataYear,DashToYear,DataDept,DeptFilter)),""))</f>
        <v/>
      </c>
      <c r="M22" s="72">
        <f>IF(OR(K22="",L22=""),"",ROUND(L22-K22,2))</f>
        <v/>
      </c>
    </row>
    <row r="23">
      <c r="J23" s="70">
        <f>IF('Skills'!B21="","",'Skills'!B21)</f>
        <v/>
      </c>
      <c r="K23" s="71">
        <f>IF(OR(J23="",DashFromYear=""),"",IFERROR(IF(DeptFilter="(All departments)",AVERAGEIFS(DataRating,DataSkill,J23,DataYear,DashFromYear),AVERAGEIFS(DataRating,DataSkill,J23,DataYear,DashFromYear,DataDept,DeptFilter)),""))</f>
        <v/>
      </c>
      <c r="L23" s="71">
        <f>IF(OR(J23="",DashToYear=""),"",IFERROR(IF(DeptFilter="(All departments)",AVERAGEIFS(DataRating,DataSkill,J23,DataYear,DashToYear),AVERAGEIFS(DataRating,DataSkill,J23,DataYear,DashToYear,DataDept,DeptFilter)),""))</f>
        <v/>
      </c>
      <c r="M23" s="72">
        <f>IF(OR(K23="",L23=""),"",ROUND(L23-K23,2))</f>
        <v/>
      </c>
    </row>
    <row r="26">
      <c r="A26" s="17">
        <f>IF(EmpFilter="","Pick an employee above",EmpFilter&amp;"  |  "&amp;DashFromYear&amp;" vs "&amp;DashToYear)</f>
        <v/>
      </c>
    </row>
    <row r="27">
      <c r="A27" s="46">
        <f>IF(EmpFilter="","","Department: "&amp;IFERROR(INDEX(Employees!C6:C21,MATCH(EmpFilter,Employees!B6:B21,0)),"-")&amp;"   |   Hired: "&amp;TEXT(IFERROR(INDEX(Employees!D6:D21,MATCH(EmpFilter,Employees!B6:B21,0)),""),"YYYY-MM-DD"))</f>
        <v/>
      </c>
    </row>
    <row r="28">
      <c r="A28" s="65" t="inlineStr">
        <is>
          <t>Skillset</t>
        </is>
      </c>
      <c r="B28" s="65">
        <f>DashFromYear</f>
        <v/>
      </c>
      <c r="C28" s="65">
        <f>DashToYear</f>
        <v/>
      </c>
      <c r="D28" s="65" t="inlineStr">
        <is>
          <t>Change</t>
        </is>
      </c>
    </row>
    <row r="29">
      <c r="A29" s="73">
        <f>IF(Calc!G5="","",Calc!G5)</f>
        <v/>
      </c>
      <c r="B29" s="74">
        <f>IF(A29="","",IF(Calc!H5="","",Calc!H5))</f>
        <v/>
      </c>
      <c r="C29" s="74">
        <f>IF(A29="","",IF(Calc!I5="","",Calc!I5))</f>
        <v/>
      </c>
      <c r="D29" s="75">
        <f>IF(OR(B29="",C29=""),"",C29-B29)</f>
        <v/>
      </c>
    </row>
    <row r="30">
      <c r="A30" s="73">
        <f>IF(Calc!G6="","",Calc!G6)</f>
        <v/>
      </c>
      <c r="B30" s="74">
        <f>IF(A30="","",IF(Calc!H6="","",Calc!H6))</f>
        <v/>
      </c>
      <c r="C30" s="74">
        <f>IF(A30="","",IF(Calc!I6="","",Calc!I6))</f>
        <v/>
      </c>
      <c r="D30" s="75">
        <f>IF(OR(B30="",C30=""),"",C30-B30)</f>
        <v/>
      </c>
    </row>
    <row r="31">
      <c r="A31" s="73">
        <f>IF(Calc!G7="","",Calc!G7)</f>
        <v/>
      </c>
      <c r="B31" s="74">
        <f>IF(A31="","",IF(Calc!H7="","",Calc!H7))</f>
        <v/>
      </c>
      <c r="C31" s="74">
        <f>IF(A31="","",IF(Calc!I7="","",Calc!I7))</f>
        <v/>
      </c>
      <c r="D31" s="75">
        <f>IF(OR(B31="",C31=""),"",C31-B31)</f>
        <v/>
      </c>
    </row>
    <row r="32">
      <c r="A32" s="73">
        <f>IF(Calc!G8="","",Calc!G8)</f>
        <v/>
      </c>
      <c r="B32" s="74">
        <f>IF(A32="","",IF(Calc!H8="","",Calc!H8))</f>
        <v/>
      </c>
      <c r="C32" s="74">
        <f>IF(A32="","",IF(Calc!I8="","",Calc!I8))</f>
        <v/>
      </c>
      <c r="D32" s="75">
        <f>IF(OR(B32="",C32=""),"",C32-B32)</f>
        <v/>
      </c>
    </row>
    <row r="33">
      <c r="A33" s="73">
        <f>IF(Calc!G9="","",Calc!G9)</f>
        <v/>
      </c>
      <c r="B33" s="74">
        <f>IF(A33="","",IF(Calc!H9="","",Calc!H9))</f>
        <v/>
      </c>
      <c r="C33" s="74">
        <f>IF(A33="","",IF(Calc!I9="","",Calc!I9))</f>
        <v/>
      </c>
      <c r="D33" s="75">
        <f>IF(OR(B33="",C33=""),"",C33-B33)</f>
        <v/>
      </c>
    </row>
    <row r="34">
      <c r="A34" s="73">
        <f>IF(Calc!G10="","",Calc!G10)</f>
        <v/>
      </c>
      <c r="B34" s="74">
        <f>IF(A34="","",IF(Calc!H10="","",Calc!H10))</f>
        <v/>
      </c>
      <c r="C34" s="74">
        <f>IF(A34="","",IF(Calc!I10="","",Calc!I10))</f>
        <v/>
      </c>
      <c r="D34" s="75">
        <f>IF(OR(B34="",C34=""),"",C34-B34)</f>
        <v/>
      </c>
    </row>
    <row r="35">
      <c r="A35" s="73">
        <f>IF(Calc!G11="","",Calc!G11)</f>
        <v/>
      </c>
      <c r="B35" s="74">
        <f>IF(A35="","",IF(Calc!H11="","",Calc!H11))</f>
        <v/>
      </c>
      <c r="C35" s="74">
        <f>IF(A35="","",IF(Calc!I11="","",Calc!I11))</f>
        <v/>
      </c>
      <c r="D35" s="75">
        <f>IF(OR(B35="",C35=""),"",C35-B35)</f>
        <v/>
      </c>
    </row>
    <row r="36">
      <c r="A36" s="73">
        <f>IF(Calc!G12="","",Calc!G12)</f>
        <v/>
      </c>
      <c r="B36" s="74">
        <f>IF(A36="","",IF(Calc!H12="","",Calc!H12))</f>
        <v/>
      </c>
      <c r="C36" s="74">
        <f>IF(A36="","",IF(Calc!I12="","",Calc!I12))</f>
        <v/>
      </c>
      <c r="D36" s="75">
        <f>IF(OR(B36="",C36=""),"",C36-B36)</f>
        <v/>
      </c>
    </row>
    <row r="37">
      <c r="A37" s="73">
        <f>IF(Calc!G13="","",Calc!G13)</f>
        <v/>
      </c>
      <c r="B37" s="74">
        <f>IF(A37="","",IF(Calc!H13="","",Calc!H13))</f>
        <v/>
      </c>
      <c r="C37" s="74">
        <f>IF(A37="","",IF(Calc!I13="","",Calc!I13))</f>
        <v/>
      </c>
      <c r="D37" s="75">
        <f>IF(OR(B37="",C37=""),"",C37-B37)</f>
        <v/>
      </c>
    </row>
    <row r="38">
      <c r="A38" s="73">
        <f>IF(Calc!G14="","",Calc!G14)</f>
        <v/>
      </c>
      <c r="B38" s="74">
        <f>IF(A38="","",IF(Calc!H14="","",Calc!H14))</f>
        <v/>
      </c>
      <c r="C38" s="74">
        <f>IF(A38="","",IF(Calc!I14="","",Calc!I14))</f>
        <v/>
      </c>
      <c r="D38" s="75">
        <f>IF(OR(B38="",C38=""),"",C38-B38)</f>
        <v/>
      </c>
    </row>
    <row r="39">
      <c r="A39" s="73">
        <f>IF(Calc!G15="","",Calc!G15)</f>
        <v/>
      </c>
      <c r="B39" s="74">
        <f>IF(A39="","",IF(Calc!H15="","",Calc!H15))</f>
        <v/>
      </c>
      <c r="C39" s="74">
        <f>IF(A39="","",IF(Calc!I15="","",Calc!I15))</f>
        <v/>
      </c>
      <c r="D39" s="75">
        <f>IF(OR(B39="",C39=""),"",C39-B39)</f>
        <v/>
      </c>
    </row>
    <row r="40">
      <c r="A40" s="73">
        <f>IF(Calc!G16="","",Calc!G16)</f>
        <v/>
      </c>
      <c r="B40" s="74">
        <f>IF(A40="","",IF(Calc!H16="","",Calc!H16))</f>
        <v/>
      </c>
      <c r="C40" s="74">
        <f>IF(A40="","",IF(Calc!I16="","",Calc!I16))</f>
        <v/>
      </c>
      <c r="D40" s="75">
        <f>IF(OR(B40="",C40=""),"",C40-B40)</f>
        <v/>
      </c>
    </row>
    <row r="41">
      <c r="A41" s="73">
        <f>IF(Calc!G17="","",Calc!G17)</f>
        <v/>
      </c>
      <c r="B41" s="74">
        <f>IF(A41="","",IF(Calc!H17="","",Calc!H17))</f>
        <v/>
      </c>
      <c r="C41" s="74">
        <f>IF(A41="","",IF(Calc!I17="","",Calc!I17))</f>
        <v/>
      </c>
      <c r="D41" s="75">
        <f>IF(OR(B41="",C41=""),"",C41-B41)</f>
        <v/>
      </c>
    </row>
    <row r="42">
      <c r="A42" s="73">
        <f>IF(Calc!G18="","",Calc!G18)</f>
        <v/>
      </c>
      <c r="B42" s="74">
        <f>IF(A42="","",IF(Calc!H18="","",Calc!H18))</f>
        <v/>
      </c>
      <c r="C42" s="74">
        <f>IF(A42="","",IF(Calc!I18="","",Calc!I18))</f>
        <v/>
      </c>
      <c r="D42" s="75">
        <f>IF(OR(B42="",C42=""),"",C42-B42)</f>
        <v/>
      </c>
    </row>
    <row r="43">
      <c r="A43" s="73">
        <f>IF(Calc!G19="","",Calc!G19)</f>
        <v/>
      </c>
      <c r="B43" s="74">
        <f>IF(A43="","",IF(Calc!H19="","",Calc!H19))</f>
        <v/>
      </c>
      <c r="C43" s="74">
        <f>IF(A43="","",IF(Calc!I19="","",Calc!I19))</f>
        <v/>
      </c>
      <c r="D43" s="75">
        <f>IF(OR(B43="",C43=""),"",C43-B43)</f>
        <v/>
      </c>
    </row>
    <row r="44">
      <c r="A44" s="73">
        <f>IF(Calc!G20="","",Calc!G20)</f>
        <v/>
      </c>
      <c r="B44" s="74">
        <f>IF(A44="","",IF(Calc!H20="","",Calc!H20))</f>
        <v/>
      </c>
      <c r="C44" s="74">
        <f>IF(A44="","",IF(Calc!I20="","",Calc!I20))</f>
        <v/>
      </c>
      <c r="D44" s="75">
        <f>IF(OR(B44="",C44=""),"",C44-B44)</f>
        <v/>
      </c>
    </row>
    <row r="47">
      <c r="A47" s="17">
        <f>IF(SkillSetFilter="","Pick a skillset above","Who is strongest: "&amp;SkillSetFilter&amp;"  ("&amp;DashToYear&amp;" vs "&amp;DashFromYear&amp;")")</f>
        <v/>
      </c>
    </row>
    <row r="48">
      <c r="A48" s="76" t="inlineStr">
        <is>
          <t>Rank</t>
        </is>
      </c>
      <c r="B48" s="76" t="inlineStr">
        <is>
          <t>Employee</t>
        </is>
      </c>
      <c r="C48" s="76" t="inlineStr">
        <is>
          <t>Department</t>
        </is>
      </c>
      <c r="D48" s="76" t="inlineStr">
        <is>
          <t>To year</t>
        </is>
      </c>
      <c r="E48" s="76" t="inlineStr">
        <is>
          <t>Change</t>
        </is>
      </c>
    </row>
    <row r="49">
      <c r="A49" s="74">
        <f>IF(Calc!S8="","",1)</f>
        <v/>
      </c>
      <c r="B49" s="77">
        <f>IF(Calc!S8="","",Calc!S8)</f>
        <v/>
      </c>
      <c r="C49" s="74">
        <f>IF(B49="","",IFERROR(INDEX(Employees!C6:C21,MATCH(B49,Employees!B6:B21,0)),""))</f>
        <v/>
      </c>
      <c r="D49" s="78">
        <f>IF(B49="","",Calc!T8)</f>
        <v/>
      </c>
      <c r="E49" s="79">
        <f>IF(B49="","",IFERROR(INDEX(Calc!N8:N23,MATCH(B49,Calc!L8:L23,0)),""))</f>
        <v/>
      </c>
    </row>
    <row r="50">
      <c r="A50" s="74">
        <f>IF(Calc!S9="","",2)</f>
        <v/>
      </c>
      <c r="B50" s="77">
        <f>IF(Calc!S9="","",Calc!S9)</f>
        <v/>
      </c>
      <c r="C50" s="74">
        <f>IF(B50="","",IFERROR(INDEX(Employees!C6:C21,MATCH(B50,Employees!B6:B21,0)),""))</f>
        <v/>
      </c>
      <c r="D50" s="78">
        <f>IF(B50="","",Calc!T9)</f>
        <v/>
      </c>
      <c r="E50" s="79">
        <f>IF(B50="","",IFERROR(INDEX(Calc!N8:N23,MATCH(B50,Calc!L8:L23,0)),""))</f>
        <v/>
      </c>
    </row>
    <row r="51">
      <c r="A51" s="74">
        <f>IF(Calc!S10="","",3)</f>
        <v/>
      </c>
      <c r="B51" s="77">
        <f>IF(Calc!S10="","",Calc!S10)</f>
        <v/>
      </c>
      <c r="C51" s="74">
        <f>IF(B51="","",IFERROR(INDEX(Employees!C6:C21,MATCH(B51,Employees!B6:B21,0)),""))</f>
        <v/>
      </c>
      <c r="D51" s="78">
        <f>IF(B51="","",Calc!T10)</f>
        <v/>
      </c>
      <c r="E51" s="79">
        <f>IF(B51="","",IFERROR(INDEX(Calc!N8:N23,MATCH(B51,Calc!L8:L23,0)),""))</f>
        <v/>
      </c>
    </row>
    <row r="52">
      <c r="A52" s="74">
        <f>IF(Calc!S11="","",4)</f>
        <v/>
      </c>
      <c r="B52" s="77">
        <f>IF(Calc!S11="","",Calc!S11)</f>
        <v/>
      </c>
      <c r="C52" s="74">
        <f>IF(B52="","",IFERROR(INDEX(Employees!C6:C21,MATCH(B52,Employees!B6:B21,0)),""))</f>
        <v/>
      </c>
      <c r="D52" s="78">
        <f>IF(B52="","",Calc!T11)</f>
        <v/>
      </c>
      <c r="E52" s="79">
        <f>IF(B52="","",IFERROR(INDEX(Calc!N8:N23,MATCH(B52,Calc!L8:L23,0)),""))</f>
        <v/>
      </c>
    </row>
    <row r="53">
      <c r="A53" s="74">
        <f>IF(Calc!S12="","",5)</f>
        <v/>
      </c>
      <c r="B53" s="77">
        <f>IF(Calc!S12="","",Calc!S12)</f>
        <v/>
      </c>
      <c r="C53" s="74">
        <f>IF(B53="","",IFERROR(INDEX(Employees!C6:C21,MATCH(B53,Employees!B6:B21,0)),""))</f>
        <v/>
      </c>
      <c r="D53" s="78">
        <f>IF(B53="","",Calc!T12)</f>
        <v/>
      </c>
      <c r="E53" s="79">
        <f>IF(B53="","",IFERROR(INDEX(Calc!N8:N23,MATCH(B53,Calc!L8:L23,0)),""))</f>
        <v/>
      </c>
    </row>
    <row r="54">
      <c r="A54" s="74">
        <f>IF(Calc!S13="","",6)</f>
        <v/>
      </c>
      <c r="B54" s="77">
        <f>IF(Calc!S13="","",Calc!S13)</f>
        <v/>
      </c>
      <c r="C54" s="74">
        <f>IF(B54="","",IFERROR(INDEX(Employees!C6:C21,MATCH(B54,Employees!B6:B21,0)),""))</f>
        <v/>
      </c>
      <c r="D54" s="78">
        <f>IF(B54="","",Calc!T13)</f>
        <v/>
      </c>
      <c r="E54" s="79">
        <f>IF(B54="","",IFERROR(INDEX(Calc!N8:N23,MATCH(B54,Calc!L8:L23,0)),""))</f>
        <v/>
      </c>
    </row>
    <row r="55">
      <c r="A55" s="74">
        <f>IF(Calc!S14="","",7)</f>
        <v/>
      </c>
      <c r="B55" s="77">
        <f>IF(Calc!S14="","",Calc!S14)</f>
        <v/>
      </c>
      <c r="C55" s="74">
        <f>IF(B55="","",IFERROR(INDEX(Employees!C6:C21,MATCH(B55,Employees!B6:B21,0)),""))</f>
        <v/>
      </c>
      <c r="D55" s="78">
        <f>IF(B55="","",Calc!T14)</f>
        <v/>
      </c>
      <c r="E55" s="79">
        <f>IF(B55="","",IFERROR(INDEX(Calc!N8:N23,MATCH(B55,Calc!L8:L23,0)),""))</f>
        <v/>
      </c>
    </row>
    <row r="56">
      <c r="A56" s="74">
        <f>IF(Calc!S15="","",8)</f>
        <v/>
      </c>
      <c r="B56" s="77">
        <f>IF(Calc!S15="","",Calc!S15)</f>
        <v/>
      </c>
      <c r="C56" s="74">
        <f>IF(B56="","",IFERROR(INDEX(Employees!C6:C21,MATCH(B56,Employees!B6:B21,0)),""))</f>
        <v/>
      </c>
      <c r="D56" s="78">
        <f>IF(B56="","",Calc!T15)</f>
        <v/>
      </c>
      <c r="E56" s="79">
        <f>IF(B56="","",IFERROR(INDEX(Calc!N8:N23,MATCH(B56,Calc!L8:L23,0)),""))</f>
        <v/>
      </c>
    </row>
    <row r="57">
      <c r="A57" s="74">
        <f>IF(Calc!S16="","",9)</f>
        <v/>
      </c>
      <c r="B57" s="77">
        <f>IF(Calc!S16="","",Calc!S16)</f>
        <v/>
      </c>
      <c r="C57" s="74">
        <f>IF(B57="","",IFERROR(INDEX(Employees!C6:C21,MATCH(B57,Employees!B6:B21,0)),""))</f>
        <v/>
      </c>
      <c r="D57" s="78">
        <f>IF(B57="","",Calc!T16)</f>
        <v/>
      </c>
      <c r="E57" s="79">
        <f>IF(B57="","",IFERROR(INDEX(Calc!N8:N23,MATCH(B57,Calc!L8:L23,0)),""))</f>
        <v/>
      </c>
    </row>
    <row r="58">
      <c r="A58" s="74">
        <f>IF(Calc!S17="","",10)</f>
        <v/>
      </c>
      <c r="B58" s="77">
        <f>IF(Calc!S17="","",Calc!S17)</f>
        <v/>
      </c>
      <c r="C58" s="74">
        <f>IF(B58="","",IFERROR(INDEX(Employees!C6:C21,MATCH(B58,Employees!B6:B21,0)),""))</f>
        <v/>
      </c>
      <c r="D58" s="78">
        <f>IF(B58="","",Calc!T17)</f>
        <v/>
      </c>
      <c r="E58" s="79">
        <f>IF(B58="","",IFERROR(INDEX(Calc!N8:N23,MATCH(B58,Calc!L8:L23,0)),""))</f>
        <v/>
      </c>
    </row>
    <row r="59">
      <c r="A59" s="74">
        <f>IF(Calc!S18="","",11)</f>
        <v/>
      </c>
      <c r="B59" s="77">
        <f>IF(Calc!S18="","",Calc!S18)</f>
        <v/>
      </c>
      <c r="C59" s="74">
        <f>IF(B59="","",IFERROR(INDEX(Employees!C6:C21,MATCH(B59,Employees!B6:B21,0)),""))</f>
        <v/>
      </c>
      <c r="D59" s="78">
        <f>IF(B59="","",Calc!T18)</f>
        <v/>
      </c>
      <c r="E59" s="79">
        <f>IF(B59="","",IFERROR(INDEX(Calc!N8:N23,MATCH(B59,Calc!L8:L23,0)),""))</f>
        <v/>
      </c>
    </row>
    <row r="60">
      <c r="A60" s="74">
        <f>IF(Calc!S19="","",12)</f>
        <v/>
      </c>
      <c r="B60" s="77">
        <f>IF(Calc!S19="","",Calc!S19)</f>
        <v/>
      </c>
      <c r="C60" s="74">
        <f>IF(B60="","",IFERROR(INDEX(Employees!C6:C21,MATCH(B60,Employees!B6:B21,0)),""))</f>
        <v/>
      </c>
      <c r="D60" s="78">
        <f>IF(B60="","",Calc!T19)</f>
        <v/>
      </c>
      <c r="E60" s="79">
        <f>IF(B60="","",IFERROR(INDEX(Calc!N8:N23,MATCH(B60,Calc!L8:L23,0)),""))</f>
        <v/>
      </c>
    </row>
    <row r="61">
      <c r="A61" s="74">
        <f>IF(Calc!S20="","",13)</f>
        <v/>
      </c>
      <c r="B61" s="77">
        <f>IF(Calc!S20="","",Calc!S20)</f>
        <v/>
      </c>
      <c r="C61" s="74">
        <f>IF(B61="","",IFERROR(INDEX(Employees!C6:C21,MATCH(B61,Employees!B6:B21,0)),""))</f>
        <v/>
      </c>
      <c r="D61" s="78">
        <f>IF(B61="","",Calc!T20)</f>
        <v/>
      </c>
      <c r="E61" s="79">
        <f>IF(B61="","",IFERROR(INDEX(Calc!N8:N23,MATCH(B61,Calc!L8:L23,0)),""))</f>
        <v/>
      </c>
    </row>
    <row r="62">
      <c r="A62" s="74">
        <f>IF(Calc!S21="","",14)</f>
        <v/>
      </c>
      <c r="B62" s="77">
        <f>IF(Calc!S21="","",Calc!S21)</f>
        <v/>
      </c>
      <c r="C62" s="74">
        <f>IF(B62="","",IFERROR(INDEX(Employees!C6:C21,MATCH(B62,Employees!B6:B21,0)),""))</f>
        <v/>
      </c>
      <c r="D62" s="78">
        <f>IF(B62="","",Calc!T21)</f>
        <v/>
      </c>
      <c r="E62" s="79">
        <f>IF(B62="","",IFERROR(INDEX(Calc!N8:N23,MATCH(B62,Calc!L8:L23,0)),""))</f>
        <v/>
      </c>
    </row>
    <row r="63">
      <c r="A63" s="74">
        <f>IF(Calc!S22="","",15)</f>
        <v/>
      </c>
      <c r="B63" s="77">
        <f>IF(Calc!S22="","",Calc!S22)</f>
        <v/>
      </c>
      <c r="C63" s="74">
        <f>IF(B63="","",IFERROR(INDEX(Employees!C6:C21,MATCH(B63,Employees!B6:B21,0)),""))</f>
        <v/>
      </c>
      <c r="D63" s="78">
        <f>IF(B63="","",Calc!T22)</f>
        <v/>
      </c>
      <c r="E63" s="79">
        <f>IF(B63="","",IFERROR(INDEX(Calc!N8:N23,MATCH(B63,Calc!L8:L23,0)),""))</f>
        <v/>
      </c>
    </row>
    <row r="64">
      <c r="A64" s="74">
        <f>IF(Calc!S23="","",16)</f>
        <v/>
      </c>
      <c r="B64" s="77">
        <f>IF(Calc!S23="","",Calc!S23)</f>
        <v/>
      </c>
      <c r="C64" s="74">
        <f>IF(B64="","",IFERROR(INDEX(Employees!C6:C21,MATCH(B64,Employees!B6:B21,0)),""))</f>
        <v/>
      </c>
      <c r="D64" s="78">
        <f>IF(B64="","",Calc!T23)</f>
        <v/>
      </c>
      <c r="E64" s="79">
        <f>IF(B64="","",IFERROR(INDEX(Calc!N8:N23,MATCH(B64,Calc!L8:L23,0)),""))</f>
        <v/>
      </c>
    </row>
    <row r="67">
      <c r="A67" s="34" t="inlineStr">
        <is>
          <t>Add a person on Employees (yellow row). Add a skillset on Skills and Skill Sets. Departments: Vision, Sound, Lighting, Staging.</t>
        </is>
      </c>
    </row>
  </sheetData>
  <mergeCells count="14">
    <mergeCell ref="A27:M27"/>
    <mergeCell ref="A67:M67"/>
    <mergeCell ref="A6:M6"/>
    <mergeCell ref="A8:C9"/>
    <mergeCell ref="K5:L5"/>
    <mergeCell ref="A3:M3"/>
    <mergeCell ref="G8:I9"/>
    <mergeCell ref="A26:M26"/>
    <mergeCell ref="D7:F7"/>
    <mergeCell ref="A7:C7"/>
    <mergeCell ref="G7:I7"/>
    <mergeCell ref="A2:M2"/>
    <mergeCell ref="D8:F9"/>
    <mergeCell ref="A47:M47"/>
  </mergeCells>
  <conditionalFormatting sqref="K8:L23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conditionalFormatting sqref="M8:M23">
    <cfRule type="cellIs" priority="6" operator="greaterThan" dxfId="7">
      <formula>0</formula>
    </cfRule>
    <cfRule type="cellIs" priority="7" operator="lessThan" dxfId="8">
      <formula>0</formula>
    </cfRule>
    <cfRule type="cellIs" priority="8" operator="equal" dxfId="9">
      <formula>0</formula>
    </cfRule>
  </conditionalFormatting>
  <conditionalFormatting sqref="B29:C4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D29:D44">
    <cfRule type="cellIs" priority="14" operator="greaterThan" dxfId="7">
      <formula>0</formula>
    </cfRule>
    <cfRule type="cellIs" priority="15" operator="lessThan" dxfId="8">
      <formula>0</formula>
    </cfRule>
    <cfRule type="cellIs" priority="16" operator="equal" dxfId="9">
      <formula>0</formula>
    </cfRule>
  </conditionalFormatting>
  <conditionalFormatting sqref="E49:E64">
    <cfRule type="cellIs" priority="17" operator="greaterThan" dxfId="7">
      <formula>0</formula>
    </cfRule>
    <cfRule type="cellIs" priority="18" operator="lessThan" dxfId="8">
      <formula>0</formula>
    </cfRule>
    <cfRule type="cellIs" priority="19" operator="equal" dxfId="9">
      <formula>0</formula>
    </cfRule>
  </conditionalFormatting>
  <conditionalFormatting sqref="A49:E49">
    <cfRule type="expression" priority="20" dxfId="10">
      <formula>$B49&lt;&gt;""</formula>
    </cfRule>
  </conditionalFormatting>
  <dataValidations count="4">
    <dataValidation sqref="H5" showDropDown="0" showInputMessage="0" showErrorMessage="0" allowBlank="0" promptTitle="Employee" prompt="One person's From vs To scores" type="list">
      <formula1>=EmployeeList</formula1>
    </dataValidation>
    <dataValidation sqref="J5" showDropDown="0" showInputMessage="0" showErrorMessage="0" allowBlank="0" promptTitle="Skillset" prompt="Who is strongest at this skillset in the To year" type="list">
      <formula1>=SkillSetList</formula1>
    </dataValidation>
    <dataValidation sqref="B5" showDropDown="0" showInputMessage="0" showErrorMessage="0" allowBlank="0" promptTitle="Department" prompt="Limit the team comparison, or All" type="list">
      <formula1>=DeptFilterList</formula1>
    </dataValidation>
    <dataValidation sqref="D5 F5" showDropDown="0" showInputMessage="0" showErrorMessage="0" allowBlank="0" promptTitle="Year" prompt="Pick From and To to compare any two years, including year 1 vs year 5." type="list">
      <formula1>=YearList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11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1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</row>
    <row r="2">
      <c r="A2" s="4" t="inlineStr">
        <is>
          <t>Employees</t>
        </is>
      </c>
    </row>
    <row r="3" ht="40" customHeight="1">
      <c r="A3" s="80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81" t="inlineStr">
        <is>
          <t>Employee ID</t>
        </is>
      </c>
      <c r="B5" s="81" t="inlineStr">
        <is>
          <t>Full Name</t>
        </is>
      </c>
      <c r="C5" s="81" t="inlineStr">
        <is>
          <t>Department</t>
        </is>
      </c>
      <c r="D5" s="81" t="inlineStr">
        <is>
          <t>Hire Date</t>
        </is>
      </c>
      <c r="E5" s="81" t="inlineStr">
        <is>
          <t>Status</t>
        </is>
      </c>
    </row>
    <row r="6">
      <c r="A6" s="82" t="inlineStr">
        <is>
          <t>EMP-001</t>
        </is>
      </c>
      <c r="B6" s="50" t="inlineStr">
        <is>
          <t>Alex Rivera</t>
        </is>
      </c>
      <c r="C6" s="50" t="inlineStr">
        <is>
          <t>Vision</t>
        </is>
      </c>
      <c r="D6" s="83" t="n">
        <v>44632</v>
      </c>
      <c r="E6" s="50" t="inlineStr">
        <is>
          <t>Active</t>
        </is>
      </c>
    </row>
    <row r="7">
      <c r="A7" s="82" t="inlineStr">
        <is>
          <t>EMP-002</t>
        </is>
      </c>
      <c r="B7" s="50" t="inlineStr">
        <is>
          <t>Jordan Chen</t>
        </is>
      </c>
      <c r="C7" s="50" t="inlineStr">
        <is>
          <t>Vision</t>
        </is>
      </c>
      <c r="D7" s="83" t="n">
        <v>44362</v>
      </c>
      <c r="E7" s="50" t="inlineStr">
        <is>
          <t>Active</t>
        </is>
      </c>
    </row>
    <row r="8">
      <c r="A8" s="82" t="inlineStr">
        <is>
          <t>EMP-003</t>
        </is>
      </c>
      <c r="B8" s="50" t="inlineStr">
        <is>
          <t>Sam Patel</t>
        </is>
      </c>
      <c r="C8" s="50" t="inlineStr">
        <is>
          <t>Vision</t>
        </is>
      </c>
      <c r="D8" s="83" t="n">
        <v>44936</v>
      </c>
      <c r="E8" s="50" t="inlineStr">
        <is>
          <t>Active</t>
        </is>
      </c>
    </row>
    <row r="9">
      <c r="A9" s="82" t="inlineStr">
        <is>
          <t>EMP-004</t>
        </is>
      </c>
      <c r="B9" s="50" t="inlineStr">
        <is>
          <t>Taylor Brooks</t>
        </is>
      </c>
      <c r="C9" s="50" t="inlineStr">
        <is>
          <t>Lighting</t>
        </is>
      </c>
      <c r="D9" s="83" t="n">
        <v>44075</v>
      </c>
      <c r="E9" s="50" t="inlineStr">
        <is>
          <t>Active</t>
        </is>
      </c>
    </row>
    <row r="10">
      <c r="A10" s="82" t="inlineStr">
        <is>
          <t>EMP-005</t>
        </is>
      </c>
      <c r="B10" s="50" t="inlineStr">
        <is>
          <t>Morgan Lee</t>
        </is>
      </c>
      <c r="C10" s="50" t="inlineStr">
        <is>
          <t>Staging</t>
        </is>
      </c>
      <c r="D10" s="83" t="n">
        <v>45342</v>
      </c>
      <c r="E10" s="50" t="inlineStr">
        <is>
          <t>Active</t>
        </is>
      </c>
    </row>
    <row r="11">
      <c r="A11" s="82" t="inlineStr">
        <is>
          <t>EMP-006</t>
        </is>
      </c>
      <c r="B11" s="50" t="inlineStr">
        <is>
          <t>Casey Nguyen</t>
        </is>
      </c>
      <c r="C11" s="50" t="inlineStr">
        <is>
          <t>Sound</t>
        </is>
      </c>
      <c r="D11" s="83" t="n">
        <v>44869</v>
      </c>
      <c r="E11" s="50" t="inlineStr">
        <is>
          <t>Active</t>
        </is>
      </c>
    </row>
    <row r="12">
      <c r="A12" s="82" t="inlineStr">
        <is>
          <t>EMP-007</t>
        </is>
      </c>
      <c r="B12" s="50" t="inlineStr">
        <is>
          <t>Riley Thompson</t>
        </is>
      </c>
      <c r="C12" s="50" t="inlineStr">
        <is>
          <t>Vision</t>
        </is>
      </c>
      <c r="D12" s="83" t="n">
        <v>43563</v>
      </c>
      <c r="E12" s="50" t="inlineStr">
        <is>
          <t>Active</t>
        </is>
      </c>
    </row>
    <row r="13">
      <c r="A13" s="82" t="inlineStr">
        <is>
          <t>EMP-008</t>
        </is>
      </c>
      <c r="B13" s="50" t="inlineStr">
        <is>
          <t>Avery Kim</t>
        </is>
      </c>
      <c r="C13" s="50" t="inlineStr">
        <is>
          <t>Lighting</t>
        </is>
      </c>
      <c r="D13" s="83" t="n">
        <v>45522</v>
      </c>
      <c r="E13" s="50" t="inlineStr">
        <is>
          <t>Active</t>
        </is>
      </c>
    </row>
    <row r="14">
      <c r="A14" s="84" t="inlineStr">
        <is>
          <t>EMP-009</t>
        </is>
      </c>
      <c r="B14" s="85" t="inlineStr"/>
      <c r="C14" s="85" t="inlineStr"/>
      <c r="D14" s="86" t="n"/>
      <c r="E14" s="85" t="inlineStr"/>
    </row>
    <row r="15">
      <c r="A15" s="84" t="inlineStr">
        <is>
          <t>EMP-010</t>
        </is>
      </c>
      <c r="B15" s="85" t="inlineStr"/>
      <c r="C15" s="85" t="inlineStr"/>
      <c r="D15" s="86" t="n"/>
      <c r="E15" s="85" t="inlineStr"/>
    </row>
    <row r="16">
      <c r="A16" s="84" t="inlineStr">
        <is>
          <t>EMP-011</t>
        </is>
      </c>
      <c r="B16" s="85" t="inlineStr"/>
      <c r="C16" s="85" t="inlineStr"/>
      <c r="D16" s="86" t="n"/>
      <c r="E16" s="85" t="inlineStr"/>
    </row>
    <row r="17">
      <c r="A17" s="84" t="inlineStr">
        <is>
          <t>EMP-012</t>
        </is>
      </c>
      <c r="B17" s="85" t="inlineStr"/>
      <c r="C17" s="85" t="inlineStr"/>
      <c r="D17" s="86" t="n"/>
      <c r="E17" s="85" t="inlineStr"/>
    </row>
    <row r="18">
      <c r="A18" s="84" t="inlineStr">
        <is>
          <t>EMP-013</t>
        </is>
      </c>
      <c r="B18" s="85" t="inlineStr"/>
      <c r="C18" s="85" t="inlineStr"/>
      <c r="D18" s="86" t="n"/>
      <c r="E18" s="85" t="inlineStr"/>
    </row>
    <row r="19">
      <c r="A19" s="84" t="inlineStr">
        <is>
          <t>EMP-014</t>
        </is>
      </c>
      <c r="B19" s="85" t="inlineStr"/>
      <c r="C19" s="85" t="inlineStr"/>
      <c r="D19" s="86" t="n"/>
      <c r="E19" s="85" t="inlineStr"/>
    </row>
    <row r="20">
      <c r="A20" s="84" t="inlineStr">
        <is>
          <t>EMP-015</t>
        </is>
      </c>
      <c r="B20" s="85" t="inlineStr"/>
      <c r="C20" s="85" t="inlineStr"/>
      <c r="D20" s="86" t="n"/>
      <c r="E20" s="85" t="inlineStr"/>
    </row>
    <row r="21">
      <c r="A21" s="84" t="inlineStr">
        <is>
          <t>EMP-016</t>
        </is>
      </c>
      <c r="B21" s="85" t="inlineStr"/>
      <c r="C21" s="85" t="inlineStr"/>
      <c r="D21" s="86" t="n"/>
      <c r="E21" s="85" t="inlineStr"/>
    </row>
  </sheetData>
  <mergeCells count="2">
    <mergeCell ref="A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1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1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</row>
    <row r="2">
      <c r="A2" s="4" t="inlineStr">
        <is>
          <t>Skillsets</t>
        </is>
      </c>
    </row>
    <row r="3" ht="40" customHeight="1">
      <c r="A3" s="80" t="inlineStr">
        <is>
          <t>These are the skillsets everyone is rated on. Add a skillset in the next yellow row. Every employee gets a rating row for it. Also add the name on Skill Sets if you want the Dashboard to rank who can do that job.</t>
        </is>
      </c>
    </row>
    <row r="5">
      <c r="A5" s="81" t="inlineStr">
        <is>
          <t>Skill ID</t>
        </is>
      </c>
      <c r="B5" s="81" t="inlineStr">
        <is>
          <t>Skill Name</t>
        </is>
      </c>
      <c r="C5" s="81" t="inlineStr">
        <is>
          <t>Category</t>
        </is>
      </c>
      <c r="D5" s="81" t="inlineStr">
        <is>
          <t>Description</t>
        </is>
      </c>
    </row>
    <row r="6" ht="22" customHeight="1">
      <c r="A6" s="87" t="inlineStr">
        <is>
          <t>SK-001</t>
        </is>
      </c>
      <c r="B6" s="88" t="inlineStr">
        <is>
          <t>Broadcast Camera Operation</t>
        </is>
      </c>
      <c r="C6" s="88" t="inlineStr">
        <is>
          <t>Cameras</t>
        </is>
      </c>
      <c r="D6" s="88" t="inlineStr">
        <is>
          <t>Operate broadcast cameras on a live event</t>
        </is>
      </c>
    </row>
    <row r="7" ht="22" customHeight="1">
      <c r="A7" s="87" t="inlineStr">
        <is>
          <t>SK-002</t>
        </is>
      </c>
      <c r="B7" s="88" t="inlineStr">
        <is>
          <t>PTZ Cameras Operation</t>
        </is>
      </c>
      <c r="C7" s="88" t="inlineStr">
        <is>
          <t>Cameras</t>
        </is>
      </c>
      <c r="D7" s="88" t="inlineStr">
        <is>
          <t>Drive and frame PTZ cameras</t>
        </is>
      </c>
    </row>
    <row r="8" ht="22" customHeight="1">
      <c r="A8" s="87" t="inlineStr">
        <is>
          <t>SK-003</t>
        </is>
      </c>
      <c r="B8" s="88" t="inlineStr">
        <is>
          <t>Shading / CCU</t>
        </is>
      </c>
      <c r="C8" s="88" t="inlineStr">
        <is>
          <t>Cameras</t>
        </is>
      </c>
      <c r="D8" s="88" t="inlineStr">
        <is>
          <t>Match and shade cameras from a CCU / RCP</t>
        </is>
      </c>
    </row>
    <row r="9" ht="22" customHeight="1">
      <c r="A9" s="87" t="inlineStr">
        <is>
          <t>SK-004</t>
        </is>
      </c>
      <c r="B9" s="88" t="inlineStr">
        <is>
          <t>ATEM Vision Switching</t>
        </is>
      </c>
      <c r="C9" s="88" t="inlineStr">
        <is>
          <t>Switching</t>
        </is>
      </c>
      <c r="D9" s="88" t="inlineStr">
        <is>
          <t>Switch program on a Blackmagic ATEM</t>
        </is>
      </c>
    </row>
    <row r="10" ht="22" customHeight="1">
      <c r="A10" s="87" t="inlineStr">
        <is>
          <t>SK-005</t>
        </is>
      </c>
      <c r="B10" s="88" t="inlineStr">
        <is>
          <t>Barco Vision Switching</t>
        </is>
      </c>
      <c r="C10" s="88" t="inlineStr">
        <is>
          <t>Switching</t>
        </is>
      </c>
      <c r="D10" s="88" t="inlineStr">
        <is>
          <t>Operate Barco processors and LED / IMAG / program</t>
        </is>
      </c>
    </row>
    <row r="11" ht="22" customHeight="1">
      <c r="A11" s="87" t="inlineStr">
        <is>
          <t>SK-006</t>
        </is>
      </c>
      <c r="B11" s="88" t="inlineStr">
        <is>
          <t>Camera Switching</t>
        </is>
      </c>
      <c r="C11" s="88" t="inlineStr">
        <is>
          <t>Switching</t>
        </is>
      </c>
      <c r="D11" s="88" t="inlineStr">
        <is>
          <t>Cut cameras and direct the live picture</t>
        </is>
      </c>
    </row>
    <row r="12" ht="22" customHeight="1">
      <c r="A12" s="87" t="inlineStr">
        <is>
          <t>SK-007</t>
        </is>
      </c>
      <c r="B12" s="88" t="inlineStr">
        <is>
          <t>Content Operation</t>
        </is>
      </c>
      <c r="C12" s="88" t="inlineStr">
        <is>
          <t>Content</t>
        </is>
      </c>
      <c r="D12" s="88" t="inlineStr">
        <is>
          <t>Cue and play out show content, playback, and graphics</t>
        </is>
      </c>
    </row>
    <row r="13" ht="22" customHeight="1">
      <c r="A13" s="87" t="inlineStr">
        <is>
          <t>SK-008</t>
        </is>
      </c>
      <c r="B13" s="88" t="inlineStr">
        <is>
          <t>Systems Tech</t>
        </is>
      </c>
      <c r="C13" s="88" t="inlineStr">
        <is>
          <t>Systems</t>
        </is>
      </c>
      <c r="D13" s="88" t="inlineStr">
        <is>
          <t>Signal flow, routing, networking, and show systems</t>
        </is>
      </c>
    </row>
    <row r="14" ht="22" customHeight="1">
      <c r="A14" s="87" t="inlineStr">
        <is>
          <t>SK-009</t>
        </is>
      </c>
      <c r="B14" s="88" t="inlineStr">
        <is>
          <t>Technical Setup</t>
        </is>
      </c>
      <c r="C14" s="88" t="inlineStr">
        <is>
          <t>Systems</t>
        </is>
      </c>
      <c r="D14" s="88" t="inlineStr">
        <is>
          <t>Rig, patch, and line-check before doors</t>
        </is>
      </c>
    </row>
    <row r="15" ht="22" customHeight="1">
      <c r="A15" s="87" t="inlineStr">
        <is>
          <t>SK-010</t>
        </is>
      </c>
      <c r="B15" s="88" t="inlineStr">
        <is>
          <t>Live Streaming</t>
        </is>
      </c>
      <c r="C15" s="88" t="inlineStr">
        <is>
          <t>Streaming</t>
        </is>
      </c>
      <c r="D15" s="88" t="inlineStr">
        <is>
          <t>Encode, monitor, and deliver the live stream</t>
        </is>
      </c>
    </row>
    <row r="16" ht="22" customHeight="1">
      <c r="A16" s="89" t="inlineStr">
        <is>
          <t>SK-011</t>
        </is>
      </c>
      <c r="B16" s="90" t="inlineStr"/>
      <c r="C16" s="90" t="inlineStr"/>
      <c r="D16" s="90" t="inlineStr"/>
    </row>
    <row r="17" ht="22" customHeight="1">
      <c r="A17" s="89" t="inlineStr">
        <is>
          <t>SK-012</t>
        </is>
      </c>
      <c r="B17" s="90" t="inlineStr"/>
      <c r="C17" s="90" t="inlineStr"/>
      <c r="D17" s="90" t="inlineStr"/>
    </row>
    <row r="18" ht="22" customHeight="1">
      <c r="A18" s="89" t="inlineStr">
        <is>
          <t>SK-013</t>
        </is>
      </c>
      <c r="B18" s="90" t="inlineStr"/>
      <c r="C18" s="90" t="inlineStr"/>
      <c r="D18" s="90" t="inlineStr"/>
    </row>
    <row r="19" ht="22" customHeight="1">
      <c r="A19" s="89" t="inlineStr">
        <is>
          <t>SK-014</t>
        </is>
      </c>
      <c r="B19" s="90" t="inlineStr"/>
      <c r="C19" s="90" t="inlineStr"/>
      <c r="D19" s="90" t="inlineStr"/>
    </row>
    <row r="20" ht="22" customHeight="1">
      <c r="A20" s="89" t="inlineStr">
        <is>
          <t>SK-015</t>
        </is>
      </c>
      <c r="B20" s="90" t="inlineStr"/>
      <c r="C20" s="90" t="inlineStr"/>
      <c r="D20" s="90" t="inlineStr"/>
    </row>
    <row r="21" ht="22" customHeight="1">
      <c r="A21" s="89" t="inlineStr">
        <is>
          <t>SK-016</t>
        </is>
      </c>
      <c r="B21" s="90" t="inlineStr"/>
      <c r="C21" s="90" t="inlineStr"/>
      <c r="D21" s="90" t="inlineStr"/>
    </row>
  </sheetData>
  <mergeCells count="2">
    <mergeCell ref="A3:D3"/>
    <mergeCell ref="A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1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1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</row>
    <row r="2">
      <c r="A2" s="4" t="inlineStr">
        <is>
          <t>Years</t>
        </is>
      </c>
      <c r="F2" s="91">
        <f>IF(COUNTIF(B:B,YEAR(TODAY()))&gt;0,"CURRENT YEAR IS READY","ADD THIS YEAR")</f>
        <v/>
      </c>
      <c r="G2" s="91" t="n"/>
      <c r="H2" s="91" t="n"/>
    </row>
    <row r="3">
      <c r="A3" s="92">
        <f>IF(COUNTIF($B$8:$B$23,YEAR(TODAY()))&gt;0,"Calendar year "&amp;YEAR(TODAY())&amp;" is already a column on Ratings. Open Ratings and enter this year's 1-5 scores. Skill Matrix shows that year. Compare years on the Dashboard (for example 2023 and "&amp;YEAR(TODAY())&amp;"). Next years through 2034 are already waiting.","New calendar year "&amp;YEAR(TODAY())&amp;" is not in the list yet. Type "&amp;YEAR(TODAY())&amp;" in the next yellow row in the Year column, then rate people on the Skill Matrix.")</f>
        <v/>
      </c>
      <c r="F3" s="91" t="n"/>
      <c r="G3" s="91" t="n"/>
      <c r="H3" s="91" t="n"/>
    </row>
    <row r="4">
      <c r="F4" s="91" t="n"/>
      <c r="G4" s="91" t="n"/>
      <c r="H4" s="91" t="n"/>
    </row>
    <row r="5">
      <c r="A5" s="33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93">
        <f>IF(COUNTIF($B$8:$B$23,YEAR(TODAY()))&gt;0,HYPERLINK("#'Ratings'!A1","Rate "&amp;YEAR(TODAY())&amp;" on Ratings"),HYPERLINK("#Years!B20","Type "&amp;YEAR(TODAY())&amp;" in the yellow row"))</f>
        <v/>
      </c>
      <c r="G5" s="3" t="n"/>
      <c r="H5" s="3" t="n"/>
    </row>
    <row r="6">
      <c r="F6" s="3" t="n"/>
      <c r="G6" s="3" t="n"/>
      <c r="H6" s="3" t="n"/>
    </row>
    <row r="7">
      <c r="A7" s="81" t="inlineStr">
        <is>
          <t>#</t>
        </is>
      </c>
      <c r="B7" s="81" t="inlineStr">
        <is>
          <t>Year</t>
        </is>
      </c>
      <c r="C7" s="81" t="inlineStr">
        <is>
          <t>Label</t>
        </is>
      </c>
      <c r="D7" s="81" t="inlineStr">
        <is>
          <t>Notes</t>
        </is>
      </c>
    </row>
    <row r="8">
      <c r="A8" s="74" t="n">
        <v>1</v>
      </c>
      <c r="B8" s="94" t="n">
        <v>2023</v>
      </c>
      <c r="C8" s="50" t="inlineStr">
        <is>
          <t>Three years back</t>
        </is>
      </c>
      <c r="D8" s="50" t="inlineStr">
        <is>
          <t>Column already on Ratings</t>
        </is>
      </c>
    </row>
    <row r="9">
      <c r="A9" s="74" t="n">
        <v>2</v>
      </c>
      <c r="B9" s="94" t="n">
        <v>2024</v>
      </c>
      <c r="C9" s="50" t="inlineStr">
        <is>
          <t>Two years back</t>
        </is>
      </c>
      <c r="D9" s="50" t="inlineStr">
        <is>
          <t>Column already on Ratings</t>
        </is>
      </c>
    </row>
    <row r="10">
      <c r="A10" s="74" t="n">
        <v>3</v>
      </c>
      <c r="B10" s="94" t="n">
        <v>2025</v>
      </c>
      <c r="C10" s="50" t="inlineStr">
        <is>
          <t>Last sample year</t>
        </is>
      </c>
      <c r="D10" s="50" t="inlineStr">
        <is>
          <t>Column already on Ratings</t>
        </is>
      </c>
    </row>
    <row r="11">
      <c r="A11" s="74" t="n">
        <v>4</v>
      </c>
      <c r="B11" s="94" t="n">
        <v>2026</v>
      </c>
      <c r="C11" s="50" t="inlineStr">
        <is>
          <t>Current sample year</t>
        </is>
      </c>
      <c r="D11" s="50" t="inlineStr">
        <is>
          <t>Column already on Ratings</t>
        </is>
      </c>
    </row>
    <row r="12">
      <c r="A12" s="74" t="n">
        <v>5</v>
      </c>
      <c r="B12" s="94" t="n">
        <v>2027</v>
      </c>
      <c r="C12" s="50" t="inlineStr">
        <is>
          <t>Ready for ratings</t>
        </is>
      </c>
      <c r="D12" s="50" t="inlineStr">
        <is>
          <t>Column already on Ratings</t>
        </is>
      </c>
    </row>
    <row r="13">
      <c r="A13" s="74" t="n">
        <v>6</v>
      </c>
      <c r="B13" s="94" t="n">
        <v>2028</v>
      </c>
      <c r="C13" s="50" t="inlineStr">
        <is>
          <t>Ready for ratings</t>
        </is>
      </c>
      <c r="D13" s="50" t="inlineStr">
        <is>
          <t>Column already on Ratings</t>
        </is>
      </c>
    </row>
    <row r="14">
      <c r="A14" s="74" t="n">
        <v>7</v>
      </c>
      <c r="B14" s="94" t="n">
        <v>2029</v>
      </c>
      <c r="C14" s="50" t="inlineStr">
        <is>
          <t>Ready for ratings</t>
        </is>
      </c>
      <c r="D14" s="50" t="inlineStr">
        <is>
          <t>Column already on Ratings</t>
        </is>
      </c>
    </row>
    <row r="15">
      <c r="A15" s="74" t="n">
        <v>8</v>
      </c>
      <c r="B15" s="94" t="n">
        <v>2030</v>
      </c>
      <c r="C15" s="50" t="inlineStr">
        <is>
          <t>Ready for ratings</t>
        </is>
      </c>
      <c r="D15" s="50" t="inlineStr">
        <is>
          <t>Column already on Ratings</t>
        </is>
      </c>
    </row>
    <row r="16">
      <c r="A16" s="74" t="n">
        <v>9</v>
      </c>
      <c r="B16" s="94" t="n">
        <v>2031</v>
      </c>
      <c r="C16" s="50" t="inlineStr">
        <is>
          <t>Ready for ratings</t>
        </is>
      </c>
      <c r="D16" s="50" t="inlineStr">
        <is>
          <t>Column already on Ratings</t>
        </is>
      </c>
    </row>
    <row r="17">
      <c r="A17" s="74" t="n">
        <v>10</v>
      </c>
      <c r="B17" s="94" t="n">
        <v>2032</v>
      </c>
      <c r="C17" s="50" t="inlineStr">
        <is>
          <t>Ready for ratings</t>
        </is>
      </c>
      <c r="D17" s="50" t="inlineStr">
        <is>
          <t>Column already on Ratings</t>
        </is>
      </c>
    </row>
    <row r="18">
      <c r="A18" s="74" t="n">
        <v>11</v>
      </c>
      <c r="B18" s="94" t="n">
        <v>2033</v>
      </c>
      <c r="C18" s="50" t="inlineStr">
        <is>
          <t>Ready for ratings</t>
        </is>
      </c>
      <c r="D18" s="50" t="inlineStr">
        <is>
          <t>Column already on Ratings</t>
        </is>
      </c>
    </row>
    <row r="19">
      <c r="A19" s="74" t="n">
        <v>12</v>
      </c>
      <c r="B19" s="94" t="n">
        <v>2034</v>
      </c>
      <c r="C19" s="50" t="inlineStr">
        <is>
          <t>Ready for ratings</t>
        </is>
      </c>
      <c r="D19" s="50" t="inlineStr">
        <is>
          <t>Column already on Ratings</t>
        </is>
      </c>
    </row>
    <row r="20">
      <c r="A20" s="74" t="n">
        <v>13</v>
      </c>
      <c r="B20" s="95" t="inlineStr"/>
      <c r="C20" s="85" t="inlineStr"/>
      <c r="D20" s="85" t="inlineStr">
        <is>
          <t>Type a year here to add a column</t>
        </is>
      </c>
    </row>
    <row r="21">
      <c r="A21" s="74" t="n">
        <v>14</v>
      </c>
      <c r="B21" s="95" t="inlineStr"/>
      <c r="C21" s="85" t="inlineStr"/>
      <c r="D21" s="85" t="inlineStr">
        <is>
          <t>Type a year here to add a column</t>
        </is>
      </c>
    </row>
    <row r="22">
      <c r="A22" s="74" t="n">
        <v>15</v>
      </c>
      <c r="B22" s="95" t="inlineStr"/>
      <c r="C22" s="85" t="inlineStr"/>
      <c r="D22" s="85" t="inlineStr">
        <is>
          <t>Type a year here to add a column</t>
        </is>
      </c>
    </row>
    <row r="23">
      <c r="A23" s="74" t="n">
        <v>16</v>
      </c>
      <c r="B23" s="95" t="inlineStr"/>
      <c r="C23" s="85" t="inlineStr"/>
      <c r="D23" s="85" t="inlineStr">
        <is>
          <t>Type a year here to add a column</t>
        </is>
      </c>
    </row>
  </sheetData>
  <mergeCells count="5">
    <mergeCell ref="A5:D6"/>
    <mergeCell ref="F5:H6"/>
    <mergeCell ref="A3:D4"/>
    <mergeCell ref="A2:D2"/>
    <mergeCell ref="F2:H4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1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hidden="1" width="13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1" t="inlineStr">
        <is>
          <t>Lists</t>
        </is>
      </c>
      <c r="I1" s="2" t="inlineStr">
        <is>
          <t>Skill Sets</t>
        </is>
      </c>
      <c r="J1" s="2" t="inlineStr">
        <is>
          <t>Settings</t>
        </is>
      </c>
    </row>
    <row r="2">
      <c r="A2" s="4" t="inlineStr">
        <is>
          <t>Departments</t>
        </is>
      </c>
    </row>
    <row r="3" ht="36" customHeight="1">
      <c r="A3" s="80" t="inlineStr">
        <is>
          <t>Departments: Vision, Sound, Lighting, Staging. Add another in the next yellow row, then choose it on Employees. To add a skillset, use the Skill Sets sheet. To add a person, use Employees.</t>
        </is>
      </c>
    </row>
    <row r="5">
      <c r="A5" s="81" t="inlineStr">
        <is>
          <t>Department</t>
        </is>
      </c>
      <c r="E5" t="inlineStr">
        <is>
          <t>DeptFilter</t>
        </is>
      </c>
    </row>
    <row r="6">
      <c r="A6" s="50" t="inlineStr">
        <is>
          <t>Vision</t>
        </is>
      </c>
      <c r="E6" t="inlineStr">
        <is>
          <t>(All departments)</t>
        </is>
      </c>
    </row>
    <row r="7">
      <c r="A7" s="50" t="inlineStr">
        <is>
          <t>Sound</t>
        </is>
      </c>
      <c r="E7">
        <f>IF(A6="","",A6)</f>
        <v/>
      </c>
    </row>
    <row r="8">
      <c r="A8" s="50" t="inlineStr">
        <is>
          <t>Lighting</t>
        </is>
      </c>
      <c r="E8">
        <f>IF(A7="","",A7)</f>
        <v/>
      </c>
    </row>
    <row r="9">
      <c r="A9" s="50" t="inlineStr">
        <is>
          <t>Staging</t>
        </is>
      </c>
      <c r="E9">
        <f>IF(A8="","",A8)</f>
        <v/>
      </c>
    </row>
    <row r="10">
      <c r="A10" s="85" t="inlineStr"/>
      <c r="E10">
        <f>IF(A9="","",A9)</f>
        <v/>
      </c>
    </row>
    <row r="11">
      <c r="A11" s="85" t="inlineStr"/>
      <c r="E11">
        <f>IF(A10="","",A10)</f>
        <v/>
      </c>
    </row>
    <row r="12">
      <c r="A12" s="85" t="inlineStr"/>
      <c r="E12">
        <f>IF(A11="","",A11)</f>
        <v/>
      </c>
    </row>
    <row r="13">
      <c r="A13" s="85" t="inlineStr"/>
      <c r="E13">
        <f>IF(A12="","",A12)</f>
        <v/>
      </c>
    </row>
    <row r="14">
      <c r="A14" s="85" t="inlineStr"/>
      <c r="E14">
        <f>IF(A13="","",A13)</f>
        <v/>
      </c>
    </row>
    <row r="15">
      <c r="A15" s="85" t="inlineStr"/>
      <c r="E15">
        <f>IF(A14="","",A14)</f>
        <v/>
      </c>
    </row>
    <row r="16">
      <c r="A16" s="85" t="inlineStr"/>
      <c r="E16">
        <f>IF(A15="","",A15)</f>
        <v/>
      </c>
    </row>
    <row r="17">
      <c r="A17" s="85" t="inlineStr"/>
      <c r="E17">
        <f>IF(A16="","",A16)</f>
        <v/>
      </c>
    </row>
    <row r="18">
      <c r="A18" s="85" t="inlineStr"/>
      <c r="E18">
        <f>IF(A17="","",A17)</f>
        <v/>
      </c>
    </row>
    <row r="19">
      <c r="A19" s="85" t="inlineStr"/>
      <c r="E19">
        <f>IF(A18="","",A18)</f>
        <v/>
      </c>
    </row>
    <row r="20">
      <c r="A20" s="85" t="inlineStr"/>
      <c r="E20">
        <f>IF(A19="","",A19)</f>
        <v/>
      </c>
    </row>
    <row r="21">
      <c r="A21" s="85" t="inlineStr"/>
      <c r="E21">
        <f>IF(A20="","",A20)</f>
        <v/>
      </c>
    </row>
    <row r="22">
      <c r="E22">
        <f>IF(A21="","",A21)</f>
        <v/>
      </c>
    </row>
  </sheetData>
  <mergeCells count="2">
    <mergeCell ref="A3:H3"/>
    <mergeCell ref="A2:H2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1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4" customWidth="1" min="4" max="4"/>
    <col width="32" customWidth="1" min="5" max="5"/>
    <col width="40" customWidth="1" min="6" max="6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1" t="inlineStr">
        <is>
          <t>Skill Sets</t>
        </is>
      </c>
      <c r="J1" s="2" t="inlineStr">
        <is>
          <t>Settings</t>
        </is>
      </c>
    </row>
    <row r="2">
      <c r="A2" s="4" t="inlineStr">
        <is>
          <t>Skill sets</t>
        </is>
      </c>
    </row>
    <row r="3" ht="40" customHeight="1">
      <c r="A3" s="80" t="inlineStr">
        <is>
          <t>Add a skillset here so the Dashboard can rank who can do that job. Type a new name in the yellow Skill set name column, then add a row with that same name and one skill (dropdown) per row. Sample skillsets match the ten vision skillsets.</t>
        </is>
      </c>
    </row>
    <row r="5">
      <c r="A5" s="81" t="inlineStr">
        <is>
          <t>Skill set</t>
        </is>
      </c>
      <c r="B5" s="81" t="inlineStr">
        <is>
          <t>Skill</t>
        </is>
      </c>
      <c r="C5" s="81" t="inlineStr">
        <is>
          <t>Minimum rating</t>
        </is>
      </c>
      <c r="E5" s="96" t="inlineStr">
        <is>
          <t>Skill set name</t>
        </is>
      </c>
      <c r="F5" s="96" t="inlineStr">
        <is>
          <t>Description</t>
        </is>
      </c>
    </row>
    <row r="6">
      <c r="A6" s="97" t="inlineStr">
        <is>
          <t>Broadcast Camera Operation</t>
        </is>
      </c>
      <c r="B6" s="97" t="inlineStr">
        <is>
          <t>Broadcast Camera Operation</t>
        </is>
      </c>
      <c r="C6" s="74" t="n">
        <v>3</v>
      </c>
      <c r="E6" s="97" t="inlineStr">
        <is>
          <t>Broadcast Camera Operation</t>
        </is>
      </c>
      <c r="F6" s="97" t="inlineStr">
        <is>
          <t>Operate broadcast cameras on a live event</t>
        </is>
      </c>
    </row>
    <row r="7">
      <c r="A7" s="97" t="inlineStr">
        <is>
          <t>PTZ Cameras Operation</t>
        </is>
      </c>
      <c r="B7" s="97" t="inlineStr">
        <is>
          <t>PTZ Cameras Operation</t>
        </is>
      </c>
      <c r="C7" s="74" t="n">
        <v>3</v>
      </c>
      <c r="E7" s="97" t="inlineStr">
        <is>
          <t>PTZ Cameras Operation</t>
        </is>
      </c>
      <c r="F7" s="97" t="inlineStr">
        <is>
          <t>Drive and frame PTZ cameras</t>
        </is>
      </c>
    </row>
    <row r="8">
      <c r="A8" s="97" t="inlineStr">
        <is>
          <t>Shading / CCU</t>
        </is>
      </c>
      <c r="B8" s="97" t="inlineStr">
        <is>
          <t>Shading / CCU</t>
        </is>
      </c>
      <c r="C8" s="74" t="n">
        <v>3</v>
      </c>
      <c r="E8" s="97" t="inlineStr">
        <is>
          <t>Shading / CCU</t>
        </is>
      </c>
      <c r="F8" s="97" t="inlineStr">
        <is>
          <t>Match and shade cameras from a CCU / RCP</t>
        </is>
      </c>
    </row>
    <row r="9">
      <c r="A9" s="97" t="inlineStr">
        <is>
          <t>ATEM Vision Switching</t>
        </is>
      </c>
      <c r="B9" s="97" t="inlineStr">
        <is>
          <t>ATEM Vision Switching</t>
        </is>
      </c>
      <c r="C9" s="74" t="n">
        <v>3</v>
      </c>
      <c r="E9" s="97" t="inlineStr">
        <is>
          <t>ATEM Vision Switching</t>
        </is>
      </c>
      <c r="F9" s="97" t="inlineStr">
        <is>
          <t>Switch program on a Blackmagic ATEM</t>
        </is>
      </c>
    </row>
    <row r="10">
      <c r="A10" s="97" t="inlineStr">
        <is>
          <t>Barco Vision Switching</t>
        </is>
      </c>
      <c r="B10" s="97" t="inlineStr">
        <is>
          <t>Barco Vision Switching</t>
        </is>
      </c>
      <c r="C10" s="74" t="n">
        <v>3</v>
      </c>
      <c r="E10" s="97" t="inlineStr">
        <is>
          <t>Barco Vision Switching</t>
        </is>
      </c>
      <c r="F10" s="97" t="inlineStr">
        <is>
          <t>Operate Barco processors and LED / IMAG / program</t>
        </is>
      </c>
    </row>
    <row r="11">
      <c r="A11" s="97" t="inlineStr">
        <is>
          <t>Camera Switching</t>
        </is>
      </c>
      <c r="B11" s="97" t="inlineStr">
        <is>
          <t>Camera Switching</t>
        </is>
      </c>
      <c r="C11" s="74" t="n">
        <v>3</v>
      </c>
      <c r="E11" s="97" t="inlineStr">
        <is>
          <t>Camera Switching</t>
        </is>
      </c>
      <c r="F11" s="97" t="inlineStr">
        <is>
          <t>Cut cameras and direct the live picture</t>
        </is>
      </c>
    </row>
    <row r="12">
      <c r="A12" s="97" t="inlineStr">
        <is>
          <t>Content Operation</t>
        </is>
      </c>
      <c r="B12" s="97" t="inlineStr">
        <is>
          <t>Content Operation</t>
        </is>
      </c>
      <c r="C12" s="74" t="n">
        <v>3</v>
      </c>
      <c r="E12" s="97" t="inlineStr">
        <is>
          <t>Content Operation</t>
        </is>
      </c>
      <c r="F12" s="97" t="inlineStr">
        <is>
          <t>Cue and play out show content, playback, and graphics</t>
        </is>
      </c>
    </row>
    <row r="13">
      <c r="A13" s="97" t="inlineStr">
        <is>
          <t>Systems Tech</t>
        </is>
      </c>
      <c r="B13" s="97" t="inlineStr">
        <is>
          <t>Systems Tech</t>
        </is>
      </c>
      <c r="C13" s="74" t="n">
        <v>3</v>
      </c>
      <c r="E13" s="97" t="inlineStr">
        <is>
          <t>Systems Tech</t>
        </is>
      </c>
      <c r="F13" s="97" t="inlineStr">
        <is>
          <t>Signal flow, routing, networking, and show systems</t>
        </is>
      </c>
    </row>
    <row r="14">
      <c r="A14" s="97" t="inlineStr">
        <is>
          <t>Technical Setup</t>
        </is>
      </c>
      <c r="B14" s="97" t="inlineStr">
        <is>
          <t>Technical Setup</t>
        </is>
      </c>
      <c r="C14" s="74" t="n">
        <v>3</v>
      </c>
      <c r="E14" s="97" t="inlineStr">
        <is>
          <t>Technical Setup</t>
        </is>
      </c>
      <c r="F14" s="97" t="inlineStr">
        <is>
          <t>Rig, patch, and line-check before doors</t>
        </is>
      </c>
    </row>
    <row r="15">
      <c r="A15" s="97" t="inlineStr">
        <is>
          <t>Live Streaming</t>
        </is>
      </c>
      <c r="B15" s="97" t="inlineStr">
        <is>
          <t>Live Streaming</t>
        </is>
      </c>
      <c r="C15" s="74" t="n">
        <v>3</v>
      </c>
      <c r="E15" s="97" t="inlineStr">
        <is>
          <t>Live Streaming</t>
        </is>
      </c>
      <c r="F15" s="97" t="inlineStr">
        <is>
          <t>Encode, monitor, and deliver the live stream</t>
        </is>
      </c>
    </row>
    <row r="16">
      <c r="A16" s="98" t="inlineStr"/>
      <c r="B16" s="98" t="inlineStr"/>
      <c r="C16" s="98" t="inlineStr"/>
      <c r="E16" s="98" t="inlineStr"/>
      <c r="F16" s="98" t="inlineStr"/>
    </row>
    <row r="17">
      <c r="A17" s="98" t="inlineStr"/>
      <c r="B17" s="98" t="inlineStr"/>
      <c r="C17" s="98" t="inlineStr"/>
      <c r="E17" s="98" t="inlineStr"/>
      <c r="F17" s="98" t="inlineStr"/>
    </row>
    <row r="18">
      <c r="A18" s="98" t="inlineStr"/>
      <c r="B18" s="98" t="inlineStr"/>
      <c r="C18" s="98" t="inlineStr"/>
      <c r="E18" s="98" t="inlineStr"/>
      <c r="F18" s="98" t="inlineStr"/>
    </row>
    <row r="19">
      <c r="A19" s="98" t="inlineStr"/>
      <c r="B19" s="98" t="inlineStr"/>
      <c r="C19" s="98" t="inlineStr"/>
      <c r="E19" s="98" t="inlineStr"/>
      <c r="F19" s="98" t="inlineStr"/>
    </row>
    <row r="20">
      <c r="A20" s="98" t="inlineStr"/>
      <c r="B20" s="98" t="inlineStr"/>
      <c r="C20" s="98" t="inlineStr"/>
      <c r="E20" s="98" t="inlineStr"/>
      <c r="F20" s="98" t="inlineStr"/>
    </row>
    <row r="21">
      <c r="A21" s="98" t="inlineStr"/>
      <c r="B21" s="98" t="inlineStr"/>
      <c r="C21" s="98" t="inlineStr"/>
      <c r="E21" s="98" t="inlineStr"/>
      <c r="F21" s="98" t="inlineStr"/>
    </row>
    <row r="22">
      <c r="A22" s="98" t="inlineStr"/>
      <c r="B22" s="98" t="inlineStr"/>
      <c r="C22" s="98" t="inlineStr"/>
      <c r="E22" s="98" t="inlineStr"/>
      <c r="F22" s="98" t="inlineStr"/>
    </row>
    <row r="23">
      <c r="A23" s="98" t="inlineStr"/>
      <c r="B23" s="98" t="inlineStr"/>
      <c r="C23" s="98" t="inlineStr"/>
      <c r="E23" s="98" t="inlineStr"/>
      <c r="F23" s="98" t="inlineStr"/>
    </row>
    <row r="24">
      <c r="A24" s="98" t="inlineStr"/>
      <c r="B24" s="98" t="inlineStr"/>
      <c r="C24" s="98" t="inlineStr"/>
      <c r="E24" s="98" t="inlineStr"/>
      <c r="F24" s="98" t="inlineStr"/>
    </row>
    <row r="25">
      <c r="A25" s="98" t="inlineStr"/>
      <c r="B25" s="98" t="inlineStr"/>
      <c r="C25" s="98" t="inlineStr"/>
      <c r="E25" s="98" t="inlineStr"/>
      <c r="F25" s="98" t="inlineStr"/>
    </row>
    <row r="26">
      <c r="A26" s="98" t="inlineStr"/>
      <c r="B26" s="98" t="inlineStr"/>
      <c r="C26" s="98" t="inlineStr"/>
      <c r="E26" s="98" t="inlineStr"/>
      <c r="F26" s="98" t="inlineStr"/>
    </row>
    <row r="27">
      <c r="A27" s="98" t="inlineStr"/>
      <c r="B27" s="98" t="inlineStr"/>
      <c r="C27" s="98" t="inlineStr"/>
      <c r="E27" s="98" t="inlineStr"/>
      <c r="F27" s="98" t="inlineStr"/>
    </row>
    <row r="28">
      <c r="A28" s="98" t="inlineStr"/>
      <c r="B28" s="98" t="inlineStr"/>
      <c r="C28" s="98" t="inlineStr"/>
      <c r="E28" s="98" t="inlineStr"/>
      <c r="F28" s="98" t="inlineStr"/>
    </row>
    <row r="29">
      <c r="A29" s="98" t="inlineStr"/>
      <c r="B29" s="98" t="inlineStr"/>
      <c r="C29" s="98" t="inlineStr"/>
      <c r="E29" s="98" t="inlineStr"/>
      <c r="F29" s="98" t="inlineStr"/>
    </row>
    <row r="30">
      <c r="A30" s="98" t="inlineStr"/>
      <c r="B30" s="98" t="inlineStr"/>
      <c r="C30" s="98" t="inlineStr"/>
    </row>
    <row r="31">
      <c r="A31" s="98" t="inlineStr"/>
      <c r="B31" s="98" t="inlineStr"/>
      <c r="C31" s="98" t="inlineStr"/>
    </row>
    <row r="32">
      <c r="A32" s="98" t="inlineStr"/>
      <c r="B32" s="98" t="inlineStr"/>
      <c r="C32" s="98" t="inlineStr"/>
    </row>
    <row r="33">
      <c r="A33" s="98" t="inlineStr"/>
      <c r="B33" s="98" t="inlineStr"/>
      <c r="C33" s="98" t="inlineStr"/>
    </row>
    <row r="34">
      <c r="A34" s="98" t="inlineStr"/>
      <c r="B34" s="98" t="inlineStr"/>
      <c r="C34" s="98" t="inlineStr"/>
    </row>
    <row r="35">
      <c r="A35" s="98" t="inlineStr"/>
      <c r="B35" s="98" t="inlineStr"/>
      <c r="C35" s="98" t="inlineStr"/>
    </row>
    <row r="36">
      <c r="A36" s="98" t="inlineStr"/>
      <c r="B36" s="98" t="inlineStr"/>
      <c r="C36" s="98" t="inlineStr"/>
    </row>
    <row r="37">
      <c r="A37" s="98" t="inlineStr"/>
      <c r="B37" s="98" t="inlineStr"/>
      <c r="C37" s="98" t="inlineStr"/>
    </row>
    <row r="38">
      <c r="A38" s="98" t="inlineStr"/>
      <c r="B38" s="98" t="inlineStr"/>
      <c r="C38" s="98" t="inlineStr"/>
    </row>
    <row r="39">
      <c r="A39" s="98" t="inlineStr"/>
      <c r="B39" s="98" t="inlineStr"/>
      <c r="C39" s="98" t="inlineStr"/>
    </row>
    <row r="40">
      <c r="A40" s="98" t="inlineStr"/>
      <c r="B40" s="98" t="inlineStr"/>
      <c r="C40" s="98" t="inlineStr"/>
    </row>
    <row r="41">
      <c r="A41" s="98" t="inlineStr"/>
      <c r="B41" s="98" t="inlineStr"/>
      <c r="C41" s="98" t="inlineStr"/>
    </row>
    <row r="42">
      <c r="A42" s="98" t="inlineStr"/>
      <c r="B42" s="98" t="inlineStr"/>
      <c r="C42" s="98" t="inlineStr"/>
    </row>
    <row r="43">
      <c r="A43" s="98" t="inlineStr"/>
      <c r="B43" s="98" t="inlineStr"/>
      <c r="C43" s="98" t="inlineStr"/>
    </row>
    <row r="44">
      <c r="A44" s="98" t="inlineStr"/>
      <c r="B44" s="98" t="inlineStr"/>
      <c r="C44" s="98" t="inlineStr"/>
    </row>
    <row r="45">
      <c r="A45" s="98" t="inlineStr"/>
      <c r="B45" s="98" t="inlineStr"/>
      <c r="C45" s="98" t="inlineStr"/>
    </row>
  </sheetData>
  <mergeCells count="2">
    <mergeCell ref="A3:H3"/>
    <mergeCell ref="A2:H2"/>
  </mergeCells>
  <dataValidations count="2">
    <dataValidation sqref="B6:B45" showDropDown="0" showInputMessage="0" showErrorMessage="0" allowBlank="1" promptTitle="Skill" prompt="Choose a skill from the Skills catalog" type="list">
      <formula1>=SkillNameList</formula1>
    </dataValidation>
    <dataValidation sqref="C6:C45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2">
    <tablePart xmlns:r="http://schemas.openxmlformats.org/officeDocument/2006/relationships" r:id="rId11"/>
    <tablePart xmlns:r="http://schemas.openxmlformats.org/officeDocument/2006/relationships" r:id="rId12"/>
  </tableParts>
</worksheet>
</file>

<file path=xl/worksheets/sheet10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Ratings</t>
        </is>
      </c>
      <c r="D1" s="2" t="inlineStr">
        <is>
          <t>Dashboard</t>
        </is>
      </c>
      <c r="E1" s="2" t="inlineStr">
        <is>
          <t>Employees</t>
        </is>
      </c>
      <c r="F1" s="2" t="inlineStr">
        <is>
          <t>Skills</t>
        </is>
      </c>
      <c r="G1" s="2" t="inlineStr">
        <is>
          <t>Years</t>
        </is>
      </c>
      <c r="H1" s="2" t="inlineStr">
        <is>
          <t>Lists</t>
        </is>
      </c>
      <c r="I1" s="2" t="inlineStr">
        <is>
          <t>Skill Sets</t>
        </is>
      </c>
      <c r="J1" s="1" t="inlineStr">
        <is>
          <t>Settings</t>
        </is>
      </c>
    </row>
    <row r="2">
      <c r="A2" s="4" t="inlineStr">
        <is>
          <t>Settings</t>
        </is>
      </c>
    </row>
    <row r="3">
      <c r="A3" s="54" t="inlineStr">
        <is>
          <t>Target rating is the only number you usually need to change. Years are managed on the Years sheet.</t>
        </is>
      </c>
    </row>
    <row r="5">
      <c r="A5" s="81" t="inlineStr">
        <is>
          <t>Setting</t>
        </is>
      </c>
      <c r="B5" s="81" t="inlineStr">
        <is>
          <t>Value</t>
        </is>
      </c>
      <c r="C5" s="81" t="inlineStr">
        <is>
          <t>What it controls</t>
        </is>
      </c>
    </row>
    <row r="6">
      <c r="A6" s="99" t="inlineStr">
        <is>
          <t>Target rating</t>
        </is>
      </c>
      <c r="B6" s="100" t="n">
        <v>3</v>
      </c>
      <c r="C6" s="46" t="inlineStr">
        <is>
          <t>Latest scores below this are flagged as development needs on the Dashboard.</t>
        </is>
      </c>
    </row>
    <row r="8">
      <c r="A8" s="17" t="inlineStr">
        <is>
          <t>Read-only (calculated)</t>
        </is>
      </c>
    </row>
    <row r="9">
      <c r="A9" s="99" t="inlineStr">
        <is>
          <t>Calendar year</t>
        </is>
      </c>
      <c r="B9" s="101">
        <f>YEAR(TODAY())</f>
        <v/>
      </c>
      <c r="C9" s="46" t="inlineStr">
        <is>
          <t>Today's calendar year. Used to highlight the current column and prompt for a new year.</t>
        </is>
      </c>
    </row>
    <row r="10">
      <c r="A10" s="99" t="inlineStr">
        <is>
          <t>Latest year with ratings</t>
        </is>
      </c>
      <c r="B10" s="101">
        <f>LatestYear</f>
        <v/>
      </c>
      <c r="C10" s="46" t="inlineStr">
        <is>
          <t>Most recent year that has at least one rating entered.</t>
        </is>
      </c>
    </row>
    <row r="11">
      <c r="A11" s="99" t="inlineStr">
        <is>
          <t>Previous year with ratings</t>
        </is>
      </c>
      <c r="B11" s="101">
        <f>PreviousYear</f>
        <v/>
      </c>
      <c r="C11" s="46" t="inlineStr">
        <is>
          <t>The year before that — used for last-year comparison.</t>
        </is>
      </c>
    </row>
    <row r="13">
      <c r="A13" s="17" t="inlineStr">
        <is>
          <t>Rating scale (1–5)</t>
        </is>
      </c>
    </row>
    <row r="14">
      <c r="A14" s="81" t="inlineStr">
        <is>
          <t>Rating</t>
        </is>
      </c>
      <c r="B14" s="81" t="inlineStr">
        <is>
          <t>Level</t>
        </is>
      </c>
      <c r="C14" s="81" t="inlineStr">
        <is>
          <t>Meaning</t>
        </is>
      </c>
    </row>
    <row r="15" ht="28" customHeight="1">
      <c r="A15" s="102" t="n">
        <v>1</v>
      </c>
      <c r="B15" s="103" t="inlineStr">
        <is>
          <t>Beginner</t>
        </is>
      </c>
      <c r="C15" s="104" t="inlineStr">
        <is>
          <t>Little or no hands-on experience. Needs close guidance.</t>
        </is>
      </c>
      <c r="D15" s="105" t="n"/>
      <c r="E15" s="105" t="n"/>
      <c r="F15" s="105" t="n"/>
      <c r="G15" s="105" t="n"/>
      <c r="H15" s="106" t="n"/>
    </row>
    <row r="16" ht="28" customHeight="1">
      <c r="A16" s="107" t="n">
        <v>2</v>
      </c>
      <c r="B16" s="108" t="inlineStr">
        <is>
          <t>Basic</t>
        </is>
      </c>
      <c r="C16" s="109" t="inlineStr">
        <is>
          <t>Can complete simple tasks with help or a checklist.</t>
        </is>
      </c>
      <c r="D16" s="105" t="n"/>
      <c r="E16" s="105" t="n"/>
      <c r="F16" s="105" t="n"/>
      <c r="G16" s="105" t="n"/>
      <c r="H16" s="106" t="n"/>
    </row>
    <row r="17" ht="28" customHeight="1">
      <c r="A17" s="110" t="n">
        <v>3</v>
      </c>
      <c r="B17" s="111" t="inlineStr">
        <is>
          <t>Competent</t>
        </is>
      </c>
      <c r="C17" s="112" t="inlineStr">
        <is>
          <t>Works independently on standard tasks. Meets the target.</t>
        </is>
      </c>
      <c r="D17" s="105" t="n"/>
      <c r="E17" s="105" t="n"/>
      <c r="F17" s="105" t="n"/>
      <c r="G17" s="105" t="n"/>
      <c r="H17" s="106" t="n"/>
    </row>
    <row r="18" ht="28" customHeight="1">
      <c r="A18" s="113" t="n">
        <v>4</v>
      </c>
      <c r="B18" s="114" t="inlineStr">
        <is>
          <t>Proficient</t>
        </is>
      </c>
      <c r="C18" s="115" t="inlineStr">
        <is>
          <t>Handles complex work and can coach others.</t>
        </is>
      </c>
      <c r="D18" s="105" t="n"/>
      <c r="E18" s="105" t="n"/>
      <c r="F18" s="105" t="n"/>
      <c r="G18" s="105" t="n"/>
      <c r="H18" s="106" t="n"/>
    </row>
    <row r="19" ht="28" customHeight="1">
      <c r="A19" s="116" t="n">
        <v>5</v>
      </c>
      <c r="B19" s="117" t="inlineStr">
        <is>
          <t>Expert</t>
        </is>
      </c>
      <c r="C19" s="118" t="inlineStr">
        <is>
          <t>Go-to specialist. Sets the standard for the team.</t>
        </is>
      </c>
      <c r="D19" s="105" t="n"/>
      <c r="E19" s="105" t="n"/>
      <c r="F19" s="105" t="n"/>
      <c r="G19" s="105" t="n"/>
      <c r="H19" s="106" t="n"/>
    </row>
  </sheetData>
  <mergeCells count="12">
    <mergeCell ref="C11:H11"/>
    <mergeCell ref="C6:H6"/>
    <mergeCell ref="A3:H3"/>
    <mergeCell ref="C10:H10"/>
    <mergeCell ref="C16:H16"/>
    <mergeCell ref="C19:H19"/>
    <mergeCell ref="A8:C8"/>
    <mergeCell ref="A2:H2"/>
    <mergeCell ref="C9:H9"/>
    <mergeCell ref="C18:H18"/>
    <mergeCell ref="C17:H17"/>
    <mergeCell ref="C15:H15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  <hyperlink xmlns:r="http://schemas.openxmlformats.org/officeDocument/2006/relationships" ref="J1" r:id="rId10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96" t="inlineStr">
        <is>
          <t>Employee</t>
        </is>
      </c>
      <c r="B1" s="96" t="inlineStr">
        <is>
          <t>Department</t>
        </is>
      </c>
      <c r="C1" s="96" t="inlineStr">
        <is>
          <t>Skill</t>
        </is>
      </c>
      <c r="D1" s="96" t="inlineStr">
        <is>
          <t>Category</t>
        </is>
      </c>
      <c r="E1" s="96" t="inlineStr">
        <is>
          <t>Year</t>
        </is>
      </c>
      <c r="F1" s="96" t="inlineStr">
        <is>
          <t>Rating</t>
        </is>
      </c>
      <c r="G1" s="96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L4" t="inlineStr">
        <is>
          <t>SetSkill</t>
        </is>
      </c>
      <c r="M4">
        <f>IFERROR(IF(INDEX('Skill Sets'!$A$6:$A$45,MATCH(SkillSetFilter,'Skill Sets'!$A$6:$A$45,0)+0)=SkillSetFilter,INDEX('Skill Sets'!$B$6:$B$45,MATCH(SkillSetFilter,'Skill Sets'!$A$6:$A$45,0)+0),""),"")</f>
        <v/>
      </c>
      <c r="N4">
        <f>IFERROR(IF(INDEX('Skill Sets'!$A$6:$A$45,MATCH(SkillSetFilter,'Skill Sets'!$A$6:$A$45,0)+1)=SkillSetFilter,INDEX('Skill Sets'!$B$6:$B$45,MATCH(SkillSetFilter,'Skill Sets'!$A$6:$A$45,0)+1),""),"")</f>
        <v/>
      </c>
      <c r="O4">
        <f>IFERROR(IF(INDEX('Skill Sets'!$A$6:$A$45,MATCH(SkillSetFilter,'Skill Sets'!$A$6:$A$45,0)+2)=SkillSetFilter,INDEX('Skill Sets'!$B$6:$B$45,MATCH(SkillSetFilter,'Skill Sets'!$A$6:$A$45,0)+2),""),"")</f>
        <v/>
      </c>
      <c r="P4">
        <f>IFERROR(IF(INDEX('Skill Sets'!$A$6:$A$45,MATCH(SkillSetFilter,'Skill Sets'!$A$6:$A$45,0)+3)=SkillSetFilter,INDEX('Skill Sets'!$B$6:$B$45,MATCH(SkillSetFilter,'Skill Sets'!$A$6:$A$45,0)+3),""),"")</f>
        <v/>
      </c>
      <c r="Q4">
        <f>IFERROR(IF(INDEX('Skill Sets'!$A$6:$A$45,MATCH(SkillSetFilter,'Skill Sets'!$A$6:$A$45,0)+4)=SkillSetFilter,INDEX('Skill Sets'!$B$6:$B$45,MATCH(SkillSetFilter,'Skill Sets'!$A$6:$A$45,0)+4),""),"")</f>
        <v/>
      </c>
      <c r="R4">
        <f>IFERROR(IF(INDEX('Skill Sets'!$A$6:$A$45,MATCH(SkillSetFilter,'Skill Sets'!$A$6:$A$45,0)+5)=SkillSetFilter,INDEX('Skill Sets'!$B$6:$B$45,MATCH(SkillSetFilter,'Skill Sets'!$A$6:$A$45,0)+5),""),"")</f>
        <v/>
      </c>
    </row>
    <row r="5">
      <c r="A5" s="119">
        <f>IF('Years'!B8="","",'Years'!B8)</f>
        <v/>
      </c>
      <c r="B5" s="120">
        <f>IF(A5="","",IFERROR(IF(DeptFilter="(All departments)",AVERAGEIFS(DataRating,DataYear,A5),AVERAGEIFS(DataRating,DataYear,A5,DataDept,DeptFilter)),NA()))</f>
        <v/>
      </c>
      <c r="D5">
        <f>A5</f>
        <v/>
      </c>
      <c r="E5" s="120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L5" t="inlineStr">
        <is>
          <t>Min</t>
        </is>
      </c>
      <c r="M5">
        <f>IFERROR(IF(INDEX('Skill Sets'!$A$6:$A$45,MATCH(SkillSetFilter,'Skill Sets'!$A$6:$A$45,0)+0)=SkillSetFilter,INDEX('Skill Sets'!$C$6:$C$45,MATCH(SkillSetFilter,'Skill Sets'!$A$6:$A$45,0)+0),""),"")</f>
        <v/>
      </c>
      <c r="N5">
        <f>IFERROR(IF(INDEX('Skill Sets'!$A$6:$A$45,MATCH(SkillSetFilter,'Skill Sets'!$A$6:$A$45,0)+1)=SkillSetFilter,INDEX('Skill Sets'!$C$6:$C$45,MATCH(SkillSetFilter,'Skill Sets'!$A$6:$A$45,0)+1),""),"")</f>
        <v/>
      </c>
      <c r="O5">
        <f>IFERROR(IF(INDEX('Skill Sets'!$A$6:$A$45,MATCH(SkillSetFilter,'Skill Sets'!$A$6:$A$45,0)+2)=SkillSetFilter,INDEX('Skill Sets'!$C$6:$C$45,MATCH(SkillSetFilter,'Skill Sets'!$A$6:$A$45,0)+2),""),"")</f>
        <v/>
      </c>
      <c r="P5">
        <f>IFERROR(IF(INDEX('Skill Sets'!$A$6:$A$45,MATCH(SkillSetFilter,'Skill Sets'!$A$6:$A$45,0)+3)=SkillSetFilter,INDEX('Skill Sets'!$C$6:$C$45,MATCH(SkillSetFilter,'Skill Sets'!$A$6:$A$45,0)+3),""),"")</f>
        <v/>
      </c>
      <c r="Q5">
        <f>IFERROR(IF(INDEX('Skill Sets'!$A$6:$A$45,MATCH(SkillSetFilter,'Skill Sets'!$A$6:$A$45,0)+4)=SkillSetFilter,INDEX('Skill Sets'!$C$6:$C$45,MATCH(SkillSetFilter,'Skill Sets'!$A$6:$A$45,0)+4),""),"")</f>
        <v/>
      </c>
      <c r="R5">
        <f>IFERROR(IF(INDEX('Skill Sets'!$A$6:$A$45,MATCH(SkillSetFilter,'Skill Sets'!$A$6:$A$45,0)+5)=SkillSetFilter,INDEX('Skill Sets'!$C$6:$C$45,MATCH(SkillSetFilter,'Skill Sets'!$A$6:$A$45,0)+5),""),"")</f>
        <v/>
      </c>
    </row>
    <row r="6">
      <c r="A6" s="119">
        <f>IF('Years'!B9="","",'Years'!B9)</f>
        <v/>
      </c>
      <c r="B6" s="120">
        <f>IF(A6="","",IFERROR(IF(DeptFilter="(All departments)",AVERAGEIFS(DataRating,DataYear,A6),AVERAGEIFS(DataRating,DataYear,A6,DataDept,DeptFilter)),NA()))</f>
        <v/>
      </c>
      <c r="D6">
        <f>A6</f>
        <v/>
      </c>
      <c r="E6" s="120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</row>
    <row r="7">
      <c r="A7" s="119">
        <f>IF('Years'!B10="","",'Years'!B10)</f>
        <v/>
      </c>
      <c r="B7" s="120">
        <f>IF(A7="","",IFERROR(IF(DeptFilter="(All departments)",AVERAGEIFS(DataRating,DataYear,A7),AVERAGEIFS(DataRating,DataYear,A7,DataDept,DeptFilter)),NA()))</f>
        <v/>
      </c>
      <c r="D7">
        <f>A7</f>
        <v/>
      </c>
      <c r="E7" s="120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Score</t>
        </is>
      </c>
      <c r="N7" t="inlineStr">
        <is>
          <t>VsLast</t>
        </is>
      </c>
      <c r="O7" t="inlineStr">
        <is>
          <t>Coverage</t>
        </is>
      </c>
      <c r="P7" t="inlineStr">
        <is>
          <t>MetMin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U7" t="inlineStr">
        <is>
          <t>Latest1</t>
        </is>
      </c>
      <c r="AA7" t="inlineStr">
        <is>
          <t>Prev1</t>
        </is>
      </c>
    </row>
    <row r="8">
      <c r="A8" s="119">
        <f>IF('Years'!B11="","",'Years'!B11)</f>
        <v/>
      </c>
      <c r="B8" s="120">
        <f>IF(A8="","",IFERROR(IF(DeptFilter="(All departments)",AVERAGEIFS(DataRating,DataYear,A8),AVERAGEIFS(DataRating,DataYear,A8,DataDept,DeptFilter)),NA()))</f>
        <v/>
      </c>
      <c r="D8">
        <f>A8</f>
        <v/>
      </c>
      <c r="E8" s="120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20">
        <f>IF(L8="","",IFERROR(ROUND(AVERAGE(U8:Z8),2),""))</f>
        <v/>
      </c>
      <c r="N8" s="121">
        <f>IF(OR(L8="",M8="",DashFromYear=""),"",IFERROR(ROUND(M8-AVERAGE(AA8:AF8),2),""))</f>
        <v/>
      </c>
      <c r="O8">
        <f>IF(L8="","",COUNT(U8:Z8)&amp;"/"&amp;COUNTA(M$4:R$4))</f>
        <v/>
      </c>
      <c r="P8">
        <f>IF(L8="","",(IF(OR(M$4="",M$5="",U8=""),0,IF(U8&gt;=M$5,1,0))+IF(OR(N$4="",N$5="",V8=""),0,IF(V8&gt;=N$5,1,0))+IF(OR(O$4="",O$5="",W8=""),0,IF(W8&gt;=O$5,1,0))+IF(OR(P$4="",P$5="",X8=""),0,IF(X8&gt;=P$5,1,0))+IF(OR(Q$4="",Q$5="",Y8=""),0,IF(Y8&gt;=Q$5,1,0))+IF(OR(R$4="",R$5="",Z8=""),0,IF(Z8&gt;=R$5,1,0)))&amp;"/"&amp;COUNT(M$5:R$5)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20">
        <f>IFERROR(INDEX($M$8:$M$23,MATCH(1,$Q$8:$Q$23,0)),"")</f>
        <v/>
      </c>
      <c r="U8">
        <f>IF(OR(L8="",M$4=""),"",IF(SUMIFS(DataRating,DataEmployee,L8,DataSkill,M$4,DataYear,DashToYear)=0,"",SUMIFS(DataRating,DataEmployee,L8,DataSkill,M$4,DataYear,DashToYear)))</f>
        <v/>
      </c>
      <c r="V8">
        <f>IF(OR(L8="",N$4=""),"",IF(SUMIFS(DataRating,DataEmployee,L8,DataSkill,N$4,DataYear,DashToYear)=0,"",SUMIFS(DataRating,DataEmployee,L8,DataSkill,N$4,DataYear,DashToYear)))</f>
        <v/>
      </c>
      <c r="W8">
        <f>IF(OR(L8="",O$4=""),"",IF(SUMIFS(DataRating,DataEmployee,L8,DataSkill,O$4,DataYear,DashToYear)=0,"",SUMIFS(DataRating,DataEmployee,L8,DataSkill,O$4,DataYear,DashToYear)))</f>
        <v/>
      </c>
      <c r="X8">
        <f>IF(OR(L8="",P$4=""),"",IF(SUMIFS(DataRating,DataEmployee,L8,DataSkill,P$4,DataYear,DashToYear)=0,"",SUMIFS(DataRating,DataEmployee,L8,DataSkill,P$4,DataYear,DashToYear)))</f>
        <v/>
      </c>
      <c r="Y8">
        <f>IF(OR(L8="",Q$4=""),"",IF(SUMIFS(DataRating,DataEmployee,L8,DataSkill,Q$4,DataYear,DashToYear)=0,"",SUMIFS(DataRating,DataEmployee,L8,DataSkill,Q$4,DataYear,DashToYear)))</f>
        <v/>
      </c>
      <c r="Z8">
        <f>IF(OR(L8="",R$4=""),"",IF(SUMIFS(DataRating,DataEmployee,L8,DataSkill,R$4,DataYear,DashToYear)=0,"",SUMIFS(DataRating,DataEmployee,L8,DataSkill,R$4,DataYear,DashToYear)))</f>
        <v/>
      </c>
      <c r="AA8">
        <f>IF(OR(L8="",M$4="",DashFromYear=""),"",IF(SUMIFS(DataRating,DataEmployee,L8,DataSkill,M$4,DataYear,DashFromYear)=0,"",SUMIFS(DataRating,DataEmployee,L8,DataSkill,M$4,DataYear,DashFromYear)))</f>
        <v/>
      </c>
      <c r="AB8">
        <f>IF(OR(L8="",N$4="",DashFromYear=""),"",IF(SUMIFS(DataRating,DataEmployee,L8,DataSkill,N$4,DataYear,DashFromYear)=0,"",SUMIFS(DataRating,DataEmployee,L8,DataSkill,N$4,DataYear,DashFromYear)))</f>
        <v/>
      </c>
      <c r="AC8">
        <f>IF(OR(L8="",O$4="",DashFromYear=""),"",IF(SUMIFS(DataRating,DataEmployee,L8,DataSkill,O$4,DataYear,DashFromYear)=0,"",SUMIFS(DataRating,DataEmployee,L8,DataSkill,O$4,DataYear,DashFromYear)))</f>
        <v/>
      </c>
      <c r="AD8">
        <f>IF(OR(L8="",P$4="",DashFromYear=""),"",IF(SUMIFS(DataRating,DataEmployee,L8,DataSkill,P$4,DataYear,DashFromYear)=0,"",SUMIFS(DataRating,DataEmployee,L8,DataSkill,P$4,DataYear,DashFromYear)))</f>
        <v/>
      </c>
      <c r="AE8">
        <f>IF(OR(L8="",Q$4="",DashFromYear=""),"",IF(SUMIFS(DataRating,DataEmployee,L8,DataSkill,Q$4,DataYear,DashFromYear)=0,"",SUMIFS(DataRating,DataEmployee,L8,DataSkill,Q$4,DataYear,DashFromYear)))</f>
        <v/>
      </c>
      <c r="AF8">
        <f>IF(OR(L8="",R$4="",DashFromYear=""),"",IF(SUMIFS(DataRating,DataEmployee,L8,DataSkill,R$4,DataYear,DashFromYear)=0,"",SUMIFS(DataRating,DataEmployee,L8,DataSkill,R$4,DataYear,DashFromYear)))</f>
        <v/>
      </c>
    </row>
    <row r="9">
      <c r="A9" s="119">
        <f>IF('Years'!B12="","",'Years'!B12)</f>
        <v/>
      </c>
      <c r="B9" s="120">
        <f>IF(A9="","",IFERROR(IF(DeptFilter="(All departments)",AVERAGEIFS(DataRating,DataYear,A9),AVERAGEIFS(DataRating,DataYear,A9,DataDept,DeptFilter)),NA()))</f>
        <v/>
      </c>
      <c r="D9">
        <f>A9</f>
        <v/>
      </c>
      <c r="E9" s="120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20">
        <f>IF(L9="","",IFERROR(ROUND(AVERAGE(U9:Z9),2),""))</f>
        <v/>
      </c>
      <c r="N9" s="121">
        <f>IF(OR(L9="",M9="",DashFromYear=""),"",IFERROR(ROUND(M9-AVERAGE(AA9:AF9),2),""))</f>
        <v/>
      </c>
      <c r="O9">
        <f>IF(L9="","",COUNT(U9:Z9)&amp;"/"&amp;COUNTA(M$4:R$4))</f>
        <v/>
      </c>
      <c r="P9">
        <f>IF(L9="","",(IF(OR(M$4="",M$5="",U9=""),0,IF(U9&gt;=M$5,1,0))+IF(OR(N$4="",N$5="",V9=""),0,IF(V9&gt;=N$5,1,0))+IF(OR(O$4="",O$5="",W9=""),0,IF(W9&gt;=O$5,1,0))+IF(OR(P$4="",P$5="",X9=""),0,IF(X9&gt;=P$5,1,0))+IF(OR(Q$4="",Q$5="",Y9=""),0,IF(Y9&gt;=Q$5,1,0))+IF(OR(R$4="",R$5="",Z9=""),0,IF(Z9&gt;=R$5,1,0)))&amp;"/"&amp;COUNT(M$5:R$5)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20">
        <f>IFERROR(INDEX($M$8:$M$23,MATCH(2,$Q$8:$Q$23,0)),"")</f>
        <v/>
      </c>
      <c r="U9">
        <f>IF(OR(L9="",M$4=""),"",IF(SUMIFS(DataRating,DataEmployee,L9,DataSkill,M$4,DataYear,DashToYear)=0,"",SUMIFS(DataRating,DataEmployee,L9,DataSkill,M$4,DataYear,DashToYear)))</f>
        <v/>
      </c>
      <c r="V9">
        <f>IF(OR(L9="",N$4=""),"",IF(SUMIFS(DataRating,DataEmployee,L9,DataSkill,N$4,DataYear,DashToYear)=0,"",SUMIFS(DataRating,DataEmployee,L9,DataSkill,N$4,DataYear,DashToYear)))</f>
        <v/>
      </c>
      <c r="W9">
        <f>IF(OR(L9="",O$4=""),"",IF(SUMIFS(DataRating,DataEmployee,L9,DataSkill,O$4,DataYear,DashToYear)=0,"",SUMIFS(DataRating,DataEmployee,L9,DataSkill,O$4,DataYear,DashToYear)))</f>
        <v/>
      </c>
      <c r="X9">
        <f>IF(OR(L9="",P$4=""),"",IF(SUMIFS(DataRating,DataEmployee,L9,DataSkill,P$4,DataYear,DashToYear)=0,"",SUMIFS(DataRating,DataEmployee,L9,DataSkill,P$4,DataYear,DashToYear)))</f>
        <v/>
      </c>
      <c r="Y9">
        <f>IF(OR(L9="",Q$4=""),"",IF(SUMIFS(DataRating,DataEmployee,L9,DataSkill,Q$4,DataYear,DashToYear)=0,"",SUMIFS(DataRating,DataEmployee,L9,DataSkill,Q$4,DataYear,DashToYear)))</f>
        <v/>
      </c>
      <c r="Z9">
        <f>IF(OR(L9="",R$4=""),"",IF(SUMIFS(DataRating,DataEmployee,L9,DataSkill,R$4,DataYear,DashToYear)=0,"",SUMIFS(DataRating,DataEmployee,L9,DataSkill,R$4,DataYear,DashToYear)))</f>
        <v/>
      </c>
      <c r="AA9">
        <f>IF(OR(L9="",M$4="",DashFromYear=""),"",IF(SUMIFS(DataRating,DataEmployee,L9,DataSkill,M$4,DataYear,DashFromYear)=0,"",SUMIFS(DataRating,DataEmployee,L9,DataSkill,M$4,DataYear,DashFromYear)))</f>
        <v/>
      </c>
      <c r="AB9">
        <f>IF(OR(L9="",N$4="",DashFromYear=""),"",IF(SUMIFS(DataRating,DataEmployee,L9,DataSkill,N$4,DataYear,DashFromYear)=0,"",SUMIFS(DataRating,DataEmployee,L9,DataSkill,N$4,DataYear,DashFromYear)))</f>
        <v/>
      </c>
      <c r="AC9">
        <f>IF(OR(L9="",O$4="",DashFromYear=""),"",IF(SUMIFS(DataRating,DataEmployee,L9,DataSkill,O$4,DataYear,DashFromYear)=0,"",SUMIFS(DataRating,DataEmployee,L9,DataSkill,O$4,DataYear,DashFromYear)))</f>
        <v/>
      </c>
      <c r="AD9">
        <f>IF(OR(L9="",P$4="",DashFromYear=""),"",IF(SUMIFS(DataRating,DataEmployee,L9,DataSkill,P$4,DataYear,DashFromYear)=0,"",SUMIFS(DataRating,DataEmployee,L9,DataSkill,P$4,DataYear,DashFromYear)))</f>
        <v/>
      </c>
      <c r="AE9">
        <f>IF(OR(L9="",Q$4="",DashFromYear=""),"",IF(SUMIFS(DataRating,DataEmployee,L9,DataSkill,Q$4,DataYear,DashFromYear)=0,"",SUMIFS(DataRating,DataEmployee,L9,DataSkill,Q$4,DataYear,DashFromYear)))</f>
        <v/>
      </c>
      <c r="AF9">
        <f>IF(OR(L9="",R$4="",DashFromYear=""),"",IF(SUMIFS(DataRating,DataEmployee,L9,DataSkill,R$4,DataYear,DashFromYear)=0,"",SUMIFS(DataRating,DataEmployee,L9,DataSkill,R$4,DataYear,DashFromYear)))</f>
        <v/>
      </c>
    </row>
    <row r="10">
      <c r="A10" s="119">
        <f>IF('Years'!B13="","",'Years'!B13)</f>
        <v/>
      </c>
      <c r="B10" s="120">
        <f>IF(A10="","",IFERROR(IF(DeptFilter="(All departments)",AVERAGEIFS(DataRating,DataYear,A10),AVERAGEIFS(DataRating,DataYear,A10,DataDept,DeptFilter)),NA()))</f>
        <v/>
      </c>
      <c r="D10">
        <f>A10</f>
        <v/>
      </c>
      <c r="E10" s="120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20">
        <f>IF(L10="","",IFERROR(ROUND(AVERAGE(U10:Z10),2),""))</f>
        <v/>
      </c>
      <c r="N10" s="121">
        <f>IF(OR(L10="",M10="",DashFromYear=""),"",IFERROR(ROUND(M10-AVERAGE(AA10:AF10),2),""))</f>
        <v/>
      </c>
      <c r="O10">
        <f>IF(L10="","",COUNT(U10:Z10)&amp;"/"&amp;COUNTA(M$4:R$4))</f>
        <v/>
      </c>
      <c r="P10">
        <f>IF(L10="","",(IF(OR(M$4="",M$5="",U10=""),0,IF(U10&gt;=M$5,1,0))+IF(OR(N$4="",N$5="",V10=""),0,IF(V10&gt;=N$5,1,0))+IF(OR(O$4="",O$5="",W10=""),0,IF(W10&gt;=O$5,1,0))+IF(OR(P$4="",P$5="",X10=""),0,IF(X10&gt;=P$5,1,0))+IF(OR(Q$4="",Q$5="",Y10=""),0,IF(Y10&gt;=Q$5,1,0))+IF(OR(R$4="",R$5="",Z10=""),0,IF(Z10&gt;=R$5,1,0)))&amp;"/"&amp;COUNT(M$5:R$5)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20">
        <f>IFERROR(INDEX($M$8:$M$23,MATCH(3,$Q$8:$Q$23,0)),"")</f>
        <v/>
      </c>
      <c r="U10">
        <f>IF(OR(L10="",M$4=""),"",IF(SUMIFS(DataRating,DataEmployee,L10,DataSkill,M$4,DataYear,DashToYear)=0,"",SUMIFS(DataRating,DataEmployee,L10,DataSkill,M$4,DataYear,DashToYear)))</f>
        <v/>
      </c>
      <c r="V10">
        <f>IF(OR(L10="",N$4=""),"",IF(SUMIFS(DataRating,DataEmployee,L10,DataSkill,N$4,DataYear,DashToYear)=0,"",SUMIFS(DataRating,DataEmployee,L10,DataSkill,N$4,DataYear,DashToYear)))</f>
        <v/>
      </c>
      <c r="W10">
        <f>IF(OR(L10="",O$4=""),"",IF(SUMIFS(DataRating,DataEmployee,L10,DataSkill,O$4,DataYear,DashToYear)=0,"",SUMIFS(DataRating,DataEmployee,L10,DataSkill,O$4,DataYear,DashToYear)))</f>
        <v/>
      </c>
      <c r="X10">
        <f>IF(OR(L10="",P$4=""),"",IF(SUMIFS(DataRating,DataEmployee,L10,DataSkill,P$4,DataYear,DashToYear)=0,"",SUMIFS(DataRating,DataEmployee,L10,DataSkill,P$4,DataYear,DashToYear)))</f>
        <v/>
      </c>
      <c r="Y10">
        <f>IF(OR(L10="",Q$4=""),"",IF(SUMIFS(DataRating,DataEmployee,L10,DataSkill,Q$4,DataYear,DashToYear)=0,"",SUMIFS(DataRating,DataEmployee,L10,DataSkill,Q$4,DataYear,DashToYear)))</f>
        <v/>
      </c>
      <c r="Z10">
        <f>IF(OR(L10="",R$4=""),"",IF(SUMIFS(DataRating,DataEmployee,L10,DataSkill,R$4,DataYear,DashToYear)=0,"",SUMIFS(DataRating,DataEmployee,L10,DataSkill,R$4,DataYear,DashToYear)))</f>
        <v/>
      </c>
      <c r="AA10">
        <f>IF(OR(L10="",M$4="",DashFromYear=""),"",IF(SUMIFS(DataRating,DataEmployee,L10,DataSkill,M$4,DataYear,DashFromYear)=0,"",SUMIFS(DataRating,DataEmployee,L10,DataSkill,M$4,DataYear,DashFromYear)))</f>
        <v/>
      </c>
      <c r="AB10">
        <f>IF(OR(L10="",N$4="",DashFromYear=""),"",IF(SUMIFS(DataRating,DataEmployee,L10,DataSkill,N$4,DataYear,DashFromYear)=0,"",SUMIFS(DataRating,DataEmployee,L10,DataSkill,N$4,DataYear,DashFromYear)))</f>
        <v/>
      </c>
      <c r="AC10">
        <f>IF(OR(L10="",O$4="",DashFromYear=""),"",IF(SUMIFS(DataRating,DataEmployee,L10,DataSkill,O$4,DataYear,DashFromYear)=0,"",SUMIFS(DataRating,DataEmployee,L10,DataSkill,O$4,DataYear,DashFromYear)))</f>
        <v/>
      </c>
      <c r="AD10">
        <f>IF(OR(L10="",P$4="",DashFromYear=""),"",IF(SUMIFS(DataRating,DataEmployee,L10,DataSkill,P$4,DataYear,DashFromYear)=0,"",SUMIFS(DataRating,DataEmployee,L10,DataSkill,P$4,DataYear,DashFromYear)))</f>
        <v/>
      </c>
      <c r="AE10">
        <f>IF(OR(L10="",Q$4="",DashFromYear=""),"",IF(SUMIFS(DataRating,DataEmployee,L10,DataSkill,Q$4,DataYear,DashFromYear)=0,"",SUMIFS(DataRating,DataEmployee,L10,DataSkill,Q$4,DataYear,DashFromYear)))</f>
        <v/>
      </c>
      <c r="AF10">
        <f>IF(OR(L10="",R$4="",DashFromYear=""),"",IF(SUMIFS(DataRating,DataEmployee,L10,DataSkill,R$4,DataYear,DashFromYear)=0,"",SUMIFS(DataRating,DataEmployee,L10,DataSkill,R$4,DataYear,DashFromYear)))</f>
        <v/>
      </c>
    </row>
    <row r="11">
      <c r="A11" s="119">
        <f>IF('Years'!B14="","",'Years'!B14)</f>
        <v/>
      </c>
      <c r="B11" s="120">
        <f>IF(A11="","",IFERROR(IF(DeptFilter="(All departments)",AVERAGEIFS(DataRating,DataYear,A11),AVERAGEIFS(DataRating,DataYear,A11,DataDept,DeptFilter)),NA()))</f>
        <v/>
      </c>
      <c r="D11">
        <f>A11</f>
        <v/>
      </c>
      <c r="E11" s="120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20">
        <f>IF(L11="","",IFERROR(ROUND(AVERAGE(U11:Z11),2),""))</f>
        <v/>
      </c>
      <c r="N11" s="121">
        <f>IF(OR(L11="",M11="",DashFromYear=""),"",IFERROR(ROUND(M11-AVERAGE(AA11:AF11),2),""))</f>
        <v/>
      </c>
      <c r="O11">
        <f>IF(L11="","",COUNT(U11:Z11)&amp;"/"&amp;COUNTA(M$4:R$4))</f>
        <v/>
      </c>
      <c r="P11">
        <f>IF(L11="","",(IF(OR(M$4="",M$5="",U11=""),0,IF(U11&gt;=M$5,1,0))+IF(OR(N$4="",N$5="",V11=""),0,IF(V11&gt;=N$5,1,0))+IF(OR(O$4="",O$5="",W11=""),0,IF(W11&gt;=O$5,1,0))+IF(OR(P$4="",P$5="",X11=""),0,IF(X11&gt;=P$5,1,0))+IF(OR(Q$4="",Q$5="",Y11=""),0,IF(Y11&gt;=Q$5,1,0))+IF(OR(R$4="",R$5="",Z11=""),0,IF(Z11&gt;=R$5,1,0)))&amp;"/"&amp;COUNT(M$5:R$5)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20">
        <f>IFERROR(INDEX($M$8:$M$23,MATCH(4,$Q$8:$Q$23,0)),"")</f>
        <v/>
      </c>
      <c r="U11">
        <f>IF(OR(L11="",M$4=""),"",IF(SUMIFS(DataRating,DataEmployee,L11,DataSkill,M$4,DataYear,DashToYear)=0,"",SUMIFS(DataRating,DataEmployee,L11,DataSkill,M$4,DataYear,DashToYear)))</f>
        <v/>
      </c>
      <c r="V11">
        <f>IF(OR(L11="",N$4=""),"",IF(SUMIFS(DataRating,DataEmployee,L11,DataSkill,N$4,DataYear,DashToYear)=0,"",SUMIFS(DataRating,DataEmployee,L11,DataSkill,N$4,DataYear,DashToYear)))</f>
        <v/>
      </c>
      <c r="W11">
        <f>IF(OR(L11="",O$4=""),"",IF(SUMIFS(DataRating,DataEmployee,L11,DataSkill,O$4,DataYear,DashToYear)=0,"",SUMIFS(DataRating,DataEmployee,L11,DataSkill,O$4,DataYear,DashToYear)))</f>
        <v/>
      </c>
      <c r="X11">
        <f>IF(OR(L11="",P$4=""),"",IF(SUMIFS(DataRating,DataEmployee,L11,DataSkill,P$4,DataYear,DashToYear)=0,"",SUMIFS(DataRating,DataEmployee,L11,DataSkill,P$4,DataYear,DashToYear)))</f>
        <v/>
      </c>
      <c r="Y11">
        <f>IF(OR(L11="",Q$4=""),"",IF(SUMIFS(DataRating,DataEmployee,L11,DataSkill,Q$4,DataYear,DashToYear)=0,"",SUMIFS(DataRating,DataEmployee,L11,DataSkill,Q$4,DataYear,DashToYear)))</f>
        <v/>
      </c>
      <c r="Z11">
        <f>IF(OR(L11="",R$4=""),"",IF(SUMIFS(DataRating,DataEmployee,L11,DataSkill,R$4,DataYear,DashToYear)=0,"",SUMIFS(DataRating,DataEmployee,L11,DataSkill,R$4,DataYear,DashToYear)))</f>
        <v/>
      </c>
      <c r="AA11">
        <f>IF(OR(L11="",M$4="",DashFromYear=""),"",IF(SUMIFS(DataRating,DataEmployee,L11,DataSkill,M$4,DataYear,DashFromYear)=0,"",SUMIFS(DataRating,DataEmployee,L11,DataSkill,M$4,DataYear,DashFromYear)))</f>
        <v/>
      </c>
      <c r="AB11">
        <f>IF(OR(L11="",N$4="",DashFromYear=""),"",IF(SUMIFS(DataRating,DataEmployee,L11,DataSkill,N$4,DataYear,DashFromYear)=0,"",SUMIFS(DataRating,DataEmployee,L11,DataSkill,N$4,DataYear,DashFromYear)))</f>
        <v/>
      </c>
      <c r="AC11">
        <f>IF(OR(L11="",O$4="",DashFromYear=""),"",IF(SUMIFS(DataRating,DataEmployee,L11,DataSkill,O$4,DataYear,DashFromYear)=0,"",SUMIFS(DataRating,DataEmployee,L11,DataSkill,O$4,DataYear,DashFromYear)))</f>
        <v/>
      </c>
      <c r="AD11">
        <f>IF(OR(L11="",P$4="",DashFromYear=""),"",IF(SUMIFS(DataRating,DataEmployee,L11,DataSkill,P$4,DataYear,DashFromYear)=0,"",SUMIFS(DataRating,DataEmployee,L11,DataSkill,P$4,DataYear,DashFromYear)))</f>
        <v/>
      </c>
      <c r="AE11">
        <f>IF(OR(L11="",Q$4="",DashFromYear=""),"",IF(SUMIFS(DataRating,DataEmployee,L11,DataSkill,Q$4,DataYear,DashFromYear)=0,"",SUMIFS(DataRating,DataEmployee,L11,DataSkill,Q$4,DataYear,DashFromYear)))</f>
        <v/>
      </c>
      <c r="AF11">
        <f>IF(OR(L11="",R$4="",DashFromYear=""),"",IF(SUMIFS(DataRating,DataEmployee,L11,DataSkill,R$4,DataYear,DashFromYear)=0,"",SUMIFS(DataRating,DataEmployee,L11,DataSkill,R$4,DataYear,DashFromYear)))</f>
        <v/>
      </c>
    </row>
    <row r="12">
      <c r="A12" s="119">
        <f>IF('Years'!B15="","",'Years'!B15)</f>
        <v/>
      </c>
      <c r="B12" s="120">
        <f>IF(A12="","",IFERROR(IF(DeptFilter="(All departments)",AVERAGEIFS(DataRating,DataYear,A12),AVERAGEIFS(DataRating,DataYear,A12,DataDept,DeptFilter)),NA()))</f>
        <v/>
      </c>
      <c r="D12">
        <f>A12</f>
        <v/>
      </c>
      <c r="E12" s="120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20">
        <f>IF(L12="","",IFERROR(ROUND(AVERAGE(U12:Z12),2),""))</f>
        <v/>
      </c>
      <c r="N12" s="121">
        <f>IF(OR(L12="",M12="",DashFromYear=""),"",IFERROR(ROUND(M12-AVERAGE(AA12:AF12),2),""))</f>
        <v/>
      </c>
      <c r="O12">
        <f>IF(L12="","",COUNT(U12:Z12)&amp;"/"&amp;COUNTA(M$4:R$4))</f>
        <v/>
      </c>
      <c r="P12">
        <f>IF(L12="","",(IF(OR(M$4="",M$5="",U12=""),0,IF(U12&gt;=M$5,1,0))+IF(OR(N$4="",N$5="",V12=""),0,IF(V12&gt;=N$5,1,0))+IF(OR(O$4="",O$5="",W12=""),0,IF(W12&gt;=O$5,1,0))+IF(OR(P$4="",P$5="",X12=""),0,IF(X12&gt;=P$5,1,0))+IF(OR(Q$4="",Q$5="",Y12=""),0,IF(Y12&gt;=Q$5,1,0))+IF(OR(R$4="",R$5="",Z12=""),0,IF(Z12&gt;=R$5,1,0)))&amp;"/"&amp;COUNT(M$5:R$5)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20">
        <f>IFERROR(INDEX($M$8:$M$23,MATCH(5,$Q$8:$Q$23,0)),"")</f>
        <v/>
      </c>
      <c r="U12">
        <f>IF(OR(L12="",M$4=""),"",IF(SUMIFS(DataRating,DataEmployee,L12,DataSkill,M$4,DataYear,DashToYear)=0,"",SUMIFS(DataRating,DataEmployee,L12,DataSkill,M$4,DataYear,DashToYear)))</f>
        <v/>
      </c>
      <c r="V12">
        <f>IF(OR(L12="",N$4=""),"",IF(SUMIFS(DataRating,DataEmployee,L12,DataSkill,N$4,DataYear,DashToYear)=0,"",SUMIFS(DataRating,DataEmployee,L12,DataSkill,N$4,DataYear,DashToYear)))</f>
        <v/>
      </c>
      <c r="W12">
        <f>IF(OR(L12="",O$4=""),"",IF(SUMIFS(DataRating,DataEmployee,L12,DataSkill,O$4,DataYear,DashToYear)=0,"",SUMIFS(DataRating,DataEmployee,L12,DataSkill,O$4,DataYear,DashToYear)))</f>
        <v/>
      </c>
      <c r="X12">
        <f>IF(OR(L12="",P$4=""),"",IF(SUMIFS(DataRating,DataEmployee,L12,DataSkill,P$4,DataYear,DashToYear)=0,"",SUMIFS(DataRating,DataEmployee,L12,DataSkill,P$4,DataYear,DashToYear)))</f>
        <v/>
      </c>
      <c r="Y12">
        <f>IF(OR(L12="",Q$4=""),"",IF(SUMIFS(DataRating,DataEmployee,L12,DataSkill,Q$4,DataYear,DashToYear)=0,"",SUMIFS(DataRating,DataEmployee,L12,DataSkill,Q$4,DataYear,DashToYear)))</f>
        <v/>
      </c>
      <c r="Z12">
        <f>IF(OR(L12="",R$4=""),"",IF(SUMIFS(DataRating,DataEmployee,L12,DataSkill,R$4,DataYear,DashToYear)=0,"",SUMIFS(DataRating,DataEmployee,L12,DataSkill,R$4,DataYear,DashToYear)))</f>
        <v/>
      </c>
      <c r="AA12">
        <f>IF(OR(L12="",M$4="",DashFromYear=""),"",IF(SUMIFS(DataRating,DataEmployee,L12,DataSkill,M$4,DataYear,DashFromYear)=0,"",SUMIFS(DataRating,DataEmployee,L12,DataSkill,M$4,DataYear,DashFromYear)))</f>
        <v/>
      </c>
      <c r="AB12">
        <f>IF(OR(L12="",N$4="",DashFromYear=""),"",IF(SUMIFS(DataRating,DataEmployee,L12,DataSkill,N$4,DataYear,DashFromYear)=0,"",SUMIFS(DataRating,DataEmployee,L12,DataSkill,N$4,DataYear,DashFromYear)))</f>
        <v/>
      </c>
      <c r="AC12">
        <f>IF(OR(L12="",O$4="",DashFromYear=""),"",IF(SUMIFS(DataRating,DataEmployee,L12,DataSkill,O$4,DataYear,DashFromYear)=0,"",SUMIFS(DataRating,DataEmployee,L12,DataSkill,O$4,DataYear,DashFromYear)))</f>
        <v/>
      </c>
      <c r="AD12">
        <f>IF(OR(L12="",P$4="",DashFromYear=""),"",IF(SUMIFS(DataRating,DataEmployee,L12,DataSkill,P$4,DataYear,DashFromYear)=0,"",SUMIFS(DataRating,DataEmployee,L12,DataSkill,P$4,DataYear,DashFromYear)))</f>
        <v/>
      </c>
      <c r="AE12">
        <f>IF(OR(L12="",Q$4="",DashFromYear=""),"",IF(SUMIFS(DataRating,DataEmployee,L12,DataSkill,Q$4,DataYear,DashFromYear)=0,"",SUMIFS(DataRating,DataEmployee,L12,DataSkill,Q$4,DataYear,DashFromYear)))</f>
        <v/>
      </c>
      <c r="AF12">
        <f>IF(OR(L12="",R$4="",DashFromYear=""),"",IF(SUMIFS(DataRating,DataEmployee,L12,DataSkill,R$4,DataYear,DashFromYear)=0,"",SUMIFS(DataRating,DataEmployee,L12,DataSkill,R$4,DataYear,DashFromYear)))</f>
        <v/>
      </c>
    </row>
    <row r="13">
      <c r="A13" s="119">
        <f>IF('Years'!B16="","",'Years'!B16)</f>
        <v/>
      </c>
      <c r="B13" s="120">
        <f>IF(A13="","",IFERROR(IF(DeptFilter="(All departments)",AVERAGEIFS(DataRating,DataYear,A13),AVERAGEIFS(DataRating,DataYear,A13,DataDept,DeptFilter)),NA()))</f>
        <v/>
      </c>
      <c r="D13">
        <f>A13</f>
        <v/>
      </c>
      <c r="E13" s="120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20">
        <f>IF(L13="","",IFERROR(ROUND(AVERAGE(U13:Z13),2),""))</f>
        <v/>
      </c>
      <c r="N13" s="121">
        <f>IF(OR(L13="",M13="",DashFromYear=""),"",IFERROR(ROUND(M13-AVERAGE(AA13:AF13),2),""))</f>
        <v/>
      </c>
      <c r="O13">
        <f>IF(L13="","",COUNT(U13:Z13)&amp;"/"&amp;COUNTA(M$4:R$4))</f>
        <v/>
      </c>
      <c r="P13">
        <f>IF(L13="","",(IF(OR(M$4="",M$5="",U13=""),0,IF(U13&gt;=M$5,1,0))+IF(OR(N$4="",N$5="",V13=""),0,IF(V13&gt;=N$5,1,0))+IF(OR(O$4="",O$5="",W13=""),0,IF(W13&gt;=O$5,1,0))+IF(OR(P$4="",P$5="",X13=""),0,IF(X13&gt;=P$5,1,0))+IF(OR(Q$4="",Q$5="",Y13=""),0,IF(Y13&gt;=Q$5,1,0))+IF(OR(R$4="",R$5="",Z13=""),0,IF(Z13&gt;=R$5,1,0)))&amp;"/"&amp;COUNT(M$5:R$5)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20">
        <f>IFERROR(INDEX($M$8:$M$23,MATCH(6,$Q$8:$Q$23,0)),"")</f>
        <v/>
      </c>
      <c r="U13">
        <f>IF(OR(L13="",M$4=""),"",IF(SUMIFS(DataRating,DataEmployee,L13,DataSkill,M$4,DataYear,DashToYear)=0,"",SUMIFS(DataRating,DataEmployee,L13,DataSkill,M$4,DataYear,DashToYear)))</f>
        <v/>
      </c>
      <c r="V13">
        <f>IF(OR(L13="",N$4=""),"",IF(SUMIFS(DataRating,DataEmployee,L13,DataSkill,N$4,DataYear,DashToYear)=0,"",SUMIFS(DataRating,DataEmployee,L13,DataSkill,N$4,DataYear,DashToYear)))</f>
        <v/>
      </c>
      <c r="W13">
        <f>IF(OR(L13="",O$4=""),"",IF(SUMIFS(DataRating,DataEmployee,L13,DataSkill,O$4,DataYear,DashToYear)=0,"",SUMIFS(DataRating,DataEmployee,L13,DataSkill,O$4,DataYear,DashToYear)))</f>
        <v/>
      </c>
      <c r="X13">
        <f>IF(OR(L13="",P$4=""),"",IF(SUMIFS(DataRating,DataEmployee,L13,DataSkill,P$4,DataYear,DashToYear)=0,"",SUMIFS(DataRating,DataEmployee,L13,DataSkill,P$4,DataYear,DashToYear)))</f>
        <v/>
      </c>
      <c r="Y13">
        <f>IF(OR(L13="",Q$4=""),"",IF(SUMIFS(DataRating,DataEmployee,L13,DataSkill,Q$4,DataYear,DashToYear)=0,"",SUMIFS(DataRating,DataEmployee,L13,DataSkill,Q$4,DataYear,DashToYear)))</f>
        <v/>
      </c>
      <c r="Z13">
        <f>IF(OR(L13="",R$4=""),"",IF(SUMIFS(DataRating,DataEmployee,L13,DataSkill,R$4,DataYear,DashToYear)=0,"",SUMIFS(DataRating,DataEmployee,L13,DataSkill,R$4,DataYear,DashToYear)))</f>
        <v/>
      </c>
      <c r="AA13">
        <f>IF(OR(L13="",M$4="",DashFromYear=""),"",IF(SUMIFS(DataRating,DataEmployee,L13,DataSkill,M$4,DataYear,DashFromYear)=0,"",SUMIFS(DataRating,DataEmployee,L13,DataSkill,M$4,DataYear,DashFromYear)))</f>
        <v/>
      </c>
      <c r="AB13">
        <f>IF(OR(L13="",N$4="",DashFromYear=""),"",IF(SUMIFS(DataRating,DataEmployee,L13,DataSkill,N$4,DataYear,DashFromYear)=0,"",SUMIFS(DataRating,DataEmployee,L13,DataSkill,N$4,DataYear,DashFromYear)))</f>
        <v/>
      </c>
      <c r="AC13">
        <f>IF(OR(L13="",O$4="",DashFromYear=""),"",IF(SUMIFS(DataRating,DataEmployee,L13,DataSkill,O$4,DataYear,DashFromYear)=0,"",SUMIFS(DataRating,DataEmployee,L13,DataSkill,O$4,DataYear,DashFromYear)))</f>
        <v/>
      </c>
      <c r="AD13">
        <f>IF(OR(L13="",P$4="",DashFromYear=""),"",IF(SUMIFS(DataRating,DataEmployee,L13,DataSkill,P$4,DataYear,DashFromYear)=0,"",SUMIFS(DataRating,DataEmployee,L13,DataSkill,P$4,DataYear,DashFromYear)))</f>
        <v/>
      </c>
      <c r="AE13">
        <f>IF(OR(L13="",Q$4="",DashFromYear=""),"",IF(SUMIFS(DataRating,DataEmployee,L13,DataSkill,Q$4,DataYear,DashFromYear)=0,"",SUMIFS(DataRating,DataEmployee,L13,DataSkill,Q$4,DataYear,DashFromYear)))</f>
        <v/>
      </c>
      <c r="AF13">
        <f>IF(OR(L13="",R$4="",DashFromYear=""),"",IF(SUMIFS(DataRating,DataEmployee,L13,DataSkill,R$4,DataYear,DashFromYear)=0,"",SUMIFS(DataRating,DataEmployee,L13,DataSkill,R$4,DataYear,DashFromYear)))</f>
        <v/>
      </c>
    </row>
    <row r="14">
      <c r="A14" s="119">
        <f>IF('Years'!B17="","",'Years'!B17)</f>
        <v/>
      </c>
      <c r="B14" s="120">
        <f>IF(A14="","",IFERROR(IF(DeptFilter="(All departments)",AVERAGEIFS(DataRating,DataYear,A14),AVERAGEIFS(DataRating,DataYear,A14,DataDept,DeptFilter)),NA()))</f>
        <v/>
      </c>
      <c r="D14">
        <f>A14</f>
        <v/>
      </c>
      <c r="E14" s="120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20">
        <f>IF(L14="","",IFERROR(ROUND(AVERAGE(U14:Z14),2),""))</f>
        <v/>
      </c>
      <c r="N14" s="121">
        <f>IF(OR(L14="",M14="",DashFromYear=""),"",IFERROR(ROUND(M14-AVERAGE(AA14:AF14),2),""))</f>
        <v/>
      </c>
      <c r="O14">
        <f>IF(L14="","",COUNT(U14:Z14)&amp;"/"&amp;COUNTA(M$4:R$4))</f>
        <v/>
      </c>
      <c r="P14">
        <f>IF(L14="","",(IF(OR(M$4="",M$5="",U14=""),0,IF(U14&gt;=M$5,1,0))+IF(OR(N$4="",N$5="",V14=""),0,IF(V14&gt;=N$5,1,0))+IF(OR(O$4="",O$5="",W14=""),0,IF(W14&gt;=O$5,1,0))+IF(OR(P$4="",P$5="",X14=""),0,IF(X14&gt;=P$5,1,0))+IF(OR(Q$4="",Q$5="",Y14=""),0,IF(Y14&gt;=Q$5,1,0))+IF(OR(R$4="",R$5="",Z14=""),0,IF(Z14&gt;=R$5,1,0)))&amp;"/"&amp;COUNT(M$5:R$5)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20">
        <f>IFERROR(INDEX($M$8:$M$23,MATCH(7,$Q$8:$Q$23,0)),"")</f>
        <v/>
      </c>
      <c r="U14">
        <f>IF(OR(L14="",M$4=""),"",IF(SUMIFS(DataRating,DataEmployee,L14,DataSkill,M$4,DataYear,DashToYear)=0,"",SUMIFS(DataRating,DataEmployee,L14,DataSkill,M$4,DataYear,DashToYear)))</f>
        <v/>
      </c>
      <c r="V14">
        <f>IF(OR(L14="",N$4=""),"",IF(SUMIFS(DataRating,DataEmployee,L14,DataSkill,N$4,DataYear,DashToYear)=0,"",SUMIFS(DataRating,DataEmployee,L14,DataSkill,N$4,DataYear,DashToYear)))</f>
        <v/>
      </c>
      <c r="W14">
        <f>IF(OR(L14="",O$4=""),"",IF(SUMIFS(DataRating,DataEmployee,L14,DataSkill,O$4,DataYear,DashToYear)=0,"",SUMIFS(DataRating,DataEmployee,L14,DataSkill,O$4,DataYear,DashToYear)))</f>
        <v/>
      </c>
      <c r="X14">
        <f>IF(OR(L14="",P$4=""),"",IF(SUMIFS(DataRating,DataEmployee,L14,DataSkill,P$4,DataYear,DashToYear)=0,"",SUMIFS(DataRating,DataEmployee,L14,DataSkill,P$4,DataYear,DashToYear)))</f>
        <v/>
      </c>
      <c r="Y14">
        <f>IF(OR(L14="",Q$4=""),"",IF(SUMIFS(DataRating,DataEmployee,L14,DataSkill,Q$4,DataYear,DashToYear)=0,"",SUMIFS(DataRating,DataEmployee,L14,DataSkill,Q$4,DataYear,DashToYear)))</f>
        <v/>
      </c>
      <c r="Z14">
        <f>IF(OR(L14="",R$4=""),"",IF(SUMIFS(DataRating,DataEmployee,L14,DataSkill,R$4,DataYear,DashToYear)=0,"",SUMIFS(DataRating,DataEmployee,L14,DataSkill,R$4,DataYear,DashToYear)))</f>
        <v/>
      </c>
      <c r="AA14">
        <f>IF(OR(L14="",M$4="",DashFromYear=""),"",IF(SUMIFS(DataRating,DataEmployee,L14,DataSkill,M$4,DataYear,DashFromYear)=0,"",SUMIFS(DataRating,DataEmployee,L14,DataSkill,M$4,DataYear,DashFromYear)))</f>
        <v/>
      </c>
      <c r="AB14">
        <f>IF(OR(L14="",N$4="",DashFromYear=""),"",IF(SUMIFS(DataRating,DataEmployee,L14,DataSkill,N$4,DataYear,DashFromYear)=0,"",SUMIFS(DataRating,DataEmployee,L14,DataSkill,N$4,DataYear,DashFromYear)))</f>
        <v/>
      </c>
      <c r="AC14">
        <f>IF(OR(L14="",O$4="",DashFromYear=""),"",IF(SUMIFS(DataRating,DataEmployee,L14,DataSkill,O$4,DataYear,DashFromYear)=0,"",SUMIFS(DataRating,DataEmployee,L14,DataSkill,O$4,DataYear,DashFromYear)))</f>
        <v/>
      </c>
      <c r="AD14">
        <f>IF(OR(L14="",P$4="",DashFromYear=""),"",IF(SUMIFS(DataRating,DataEmployee,L14,DataSkill,P$4,DataYear,DashFromYear)=0,"",SUMIFS(DataRating,DataEmployee,L14,DataSkill,P$4,DataYear,DashFromYear)))</f>
        <v/>
      </c>
      <c r="AE14">
        <f>IF(OR(L14="",Q$4="",DashFromYear=""),"",IF(SUMIFS(DataRating,DataEmployee,L14,DataSkill,Q$4,DataYear,DashFromYear)=0,"",SUMIFS(DataRating,DataEmployee,L14,DataSkill,Q$4,DataYear,DashFromYear)))</f>
        <v/>
      </c>
      <c r="AF14">
        <f>IF(OR(L14="",R$4="",DashFromYear=""),"",IF(SUMIFS(DataRating,DataEmployee,L14,DataSkill,R$4,DataYear,DashFromYear)=0,"",SUMIFS(DataRating,DataEmployee,L14,DataSkill,R$4,DataYear,DashFromYear)))</f>
        <v/>
      </c>
    </row>
    <row r="15">
      <c r="A15" s="119">
        <f>IF('Years'!B18="","",'Years'!B18)</f>
        <v/>
      </c>
      <c r="B15" s="120">
        <f>IF(A15="","",IFERROR(IF(DeptFilter="(All departments)",AVERAGEIFS(DataRating,DataYear,A15),AVERAGEIFS(DataRating,DataYear,A15,DataDept,DeptFilter)),NA()))</f>
        <v/>
      </c>
      <c r="D15">
        <f>A15</f>
        <v/>
      </c>
      <c r="E15" s="120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20">
        <f>IF(L15="","",IFERROR(ROUND(AVERAGE(U15:Z15),2),""))</f>
        <v/>
      </c>
      <c r="N15" s="121">
        <f>IF(OR(L15="",M15="",DashFromYear=""),"",IFERROR(ROUND(M15-AVERAGE(AA15:AF15),2),""))</f>
        <v/>
      </c>
      <c r="O15">
        <f>IF(L15="","",COUNT(U15:Z15)&amp;"/"&amp;COUNTA(M$4:R$4))</f>
        <v/>
      </c>
      <c r="P15">
        <f>IF(L15="","",(IF(OR(M$4="",M$5="",U15=""),0,IF(U15&gt;=M$5,1,0))+IF(OR(N$4="",N$5="",V15=""),0,IF(V15&gt;=N$5,1,0))+IF(OR(O$4="",O$5="",W15=""),0,IF(W15&gt;=O$5,1,0))+IF(OR(P$4="",P$5="",X15=""),0,IF(X15&gt;=P$5,1,0))+IF(OR(Q$4="",Q$5="",Y15=""),0,IF(Y15&gt;=Q$5,1,0))+IF(OR(R$4="",R$5="",Z15=""),0,IF(Z15&gt;=R$5,1,0)))&amp;"/"&amp;COUNT(M$5:R$5)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20">
        <f>IFERROR(INDEX($M$8:$M$23,MATCH(8,$Q$8:$Q$23,0)),"")</f>
        <v/>
      </c>
      <c r="U15">
        <f>IF(OR(L15="",M$4=""),"",IF(SUMIFS(DataRating,DataEmployee,L15,DataSkill,M$4,DataYear,DashToYear)=0,"",SUMIFS(DataRating,DataEmployee,L15,DataSkill,M$4,DataYear,DashToYear)))</f>
        <v/>
      </c>
      <c r="V15">
        <f>IF(OR(L15="",N$4=""),"",IF(SUMIFS(DataRating,DataEmployee,L15,DataSkill,N$4,DataYear,DashToYear)=0,"",SUMIFS(DataRating,DataEmployee,L15,DataSkill,N$4,DataYear,DashToYear)))</f>
        <v/>
      </c>
      <c r="W15">
        <f>IF(OR(L15="",O$4=""),"",IF(SUMIFS(DataRating,DataEmployee,L15,DataSkill,O$4,DataYear,DashToYear)=0,"",SUMIFS(DataRating,DataEmployee,L15,DataSkill,O$4,DataYear,DashToYear)))</f>
        <v/>
      </c>
      <c r="X15">
        <f>IF(OR(L15="",P$4=""),"",IF(SUMIFS(DataRating,DataEmployee,L15,DataSkill,P$4,DataYear,DashToYear)=0,"",SUMIFS(DataRating,DataEmployee,L15,DataSkill,P$4,DataYear,DashToYear)))</f>
        <v/>
      </c>
      <c r="Y15">
        <f>IF(OR(L15="",Q$4=""),"",IF(SUMIFS(DataRating,DataEmployee,L15,DataSkill,Q$4,DataYear,DashToYear)=0,"",SUMIFS(DataRating,DataEmployee,L15,DataSkill,Q$4,DataYear,DashToYear)))</f>
        <v/>
      </c>
      <c r="Z15">
        <f>IF(OR(L15="",R$4=""),"",IF(SUMIFS(DataRating,DataEmployee,L15,DataSkill,R$4,DataYear,DashToYear)=0,"",SUMIFS(DataRating,DataEmployee,L15,DataSkill,R$4,DataYear,DashToYear)))</f>
        <v/>
      </c>
      <c r="AA15">
        <f>IF(OR(L15="",M$4="",DashFromYear=""),"",IF(SUMIFS(DataRating,DataEmployee,L15,DataSkill,M$4,DataYear,DashFromYear)=0,"",SUMIFS(DataRating,DataEmployee,L15,DataSkill,M$4,DataYear,DashFromYear)))</f>
        <v/>
      </c>
      <c r="AB15">
        <f>IF(OR(L15="",N$4="",DashFromYear=""),"",IF(SUMIFS(DataRating,DataEmployee,L15,DataSkill,N$4,DataYear,DashFromYear)=0,"",SUMIFS(DataRating,DataEmployee,L15,DataSkill,N$4,DataYear,DashFromYear)))</f>
        <v/>
      </c>
      <c r="AC15">
        <f>IF(OR(L15="",O$4="",DashFromYear=""),"",IF(SUMIFS(DataRating,DataEmployee,L15,DataSkill,O$4,DataYear,DashFromYear)=0,"",SUMIFS(DataRating,DataEmployee,L15,DataSkill,O$4,DataYear,DashFromYear)))</f>
        <v/>
      </c>
      <c r="AD15">
        <f>IF(OR(L15="",P$4="",DashFromYear=""),"",IF(SUMIFS(DataRating,DataEmployee,L15,DataSkill,P$4,DataYear,DashFromYear)=0,"",SUMIFS(DataRating,DataEmployee,L15,DataSkill,P$4,DataYear,DashFromYear)))</f>
        <v/>
      </c>
      <c r="AE15">
        <f>IF(OR(L15="",Q$4="",DashFromYear=""),"",IF(SUMIFS(DataRating,DataEmployee,L15,DataSkill,Q$4,DataYear,DashFromYear)=0,"",SUMIFS(DataRating,DataEmployee,L15,DataSkill,Q$4,DataYear,DashFromYear)))</f>
        <v/>
      </c>
      <c r="AF15">
        <f>IF(OR(L15="",R$4="",DashFromYear=""),"",IF(SUMIFS(DataRating,DataEmployee,L15,DataSkill,R$4,DataYear,DashFromYear)=0,"",SUMIFS(DataRating,DataEmployee,L15,DataSkill,R$4,DataYear,DashFromYear)))</f>
        <v/>
      </c>
    </row>
    <row r="16">
      <c r="A16" s="119">
        <f>IF('Years'!B19="","",'Years'!B19)</f>
        <v/>
      </c>
      <c r="B16" s="120">
        <f>IF(A16="","",IFERROR(IF(DeptFilter="(All departments)",AVERAGEIFS(DataRating,DataYear,A16),AVERAGEIFS(DataRating,DataYear,A16,DataDept,DeptFilter)),NA()))</f>
        <v/>
      </c>
      <c r="D16">
        <f>A16</f>
        <v/>
      </c>
      <c r="E16" s="120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20">
        <f>IF(L16="","",IFERROR(ROUND(AVERAGE(U16:Z16),2),""))</f>
        <v/>
      </c>
      <c r="N16" s="121">
        <f>IF(OR(L16="",M16="",DashFromYear=""),"",IFERROR(ROUND(M16-AVERAGE(AA16:AF16),2),""))</f>
        <v/>
      </c>
      <c r="O16">
        <f>IF(L16="","",COUNT(U16:Z16)&amp;"/"&amp;COUNTA(M$4:R$4))</f>
        <v/>
      </c>
      <c r="P16">
        <f>IF(L16="","",(IF(OR(M$4="",M$5="",U16=""),0,IF(U16&gt;=M$5,1,0))+IF(OR(N$4="",N$5="",V16=""),0,IF(V16&gt;=N$5,1,0))+IF(OR(O$4="",O$5="",W16=""),0,IF(W16&gt;=O$5,1,0))+IF(OR(P$4="",P$5="",X16=""),0,IF(X16&gt;=P$5,1,0))+IF(OR(Q$4="",Q$5="",Y16=""),0,IF(Y16&gt;=Q$5,1,0))+IF(OR(R$4="",R$5="",Z16=""),0,IF(Z16&gt;=R$5,1,0)))&amp;"/"&amp;COUNT(M$5:R$5)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20">
        <f>IFERROR(INDEX($M$8:$M$23,MATCH(9,$Q$8:$Q$23,0)),"")</f>
        <v/>
      </c>
      <c r="U16">
        <f>IF(OR(L16="",M$4=""),"",IF(SUMIFS(DataRating,DataEmployee,L16,DataSkill,M$4,DataYear,DashToYear)=0,"",SUMIFS(DataRating,DataEmployee,L16,DataSkill,M$4,DataYear,DashToYear)))</f>
        <v/>
      </c>
      <c r="V16">
        <f>IF(OR(L16="",N$4=""),"",IF(SUMIFS(DataRating,DataEmployee,L16,DataSkill,N$4,DataYear,DashToYear)=0,"",SUMIFS(DataRating,DataEmployee,L16,DataSkill,N$4,DataYear,DashToYear)))</f>
        <v/>
      </c>
      <c r="W16">
        <f>IF(OR(L16="",O$4=""),"",IF(SUMIFS(DataRating,DataEmployee,L16,DataSkill,O$4,DataYear,DashToYear)=0,"",SUMIFS(DataRating,DataEmployee,L16,DataSkill,O$4,DataYear,DashToYear)))</f>
        <v/>
      </c>
      <c r="X16">
        <f>IF(OR(L16="",P$4=""),"",IF(SUMIFS(DataRating,DataEmployee,L16,DataSkill,P$4,DataYear,DashToYear)=0,"",SUMIFS(DataRating,DataEmployee,L16,DataSkill,P$4,DataYear,DashToYear)))</f>
        <v/>
      </c>
      <c r="Y16">
        <f>IF(OR(L16="",Q$4=""),"",IF(SUMIFS(DataRating,DataEmployee,L16,DataSkill,Q$4,DataYear,DashToYear)=0,"",SUMIFS(DataRating,DataEmployee,L16,DataSkill,Q$4,DataYear,DashToYear)))</f>
        <v/>
      </c>
      <c r="Z16">
        <f>IF(OR(L16="",R$4=""),"",IF(SUMIFS(DataRating,DataEmployee,L16,DataSkill,R$4,DataYear,DashToYear)=0,"",SUMIFS(DataRating,DataEmployee,L16,DataSkill,R$4,DataYear,DashToYear)))</f>
        <v/>
      </c>
      <c r="AA16">
        <f>IF(OR(L16="",M$4="",DashFromYear=""),"",IF(SUMIFS(DataRating,DataEmployee,L16,DataSkill,M$4,DataYear,DashFromYear)=0,"",SUMIFS(DataRating,DataEmployee,L16,DataSkill,M$4,DataYear,DashFromYear)))</f>
        <v/>
      </c>
      <c r="AB16">
        <f>IF(OR(L16="",N$4="",DashFromYear=""),"",IF(SUMIFS(DataRating,DataEmployee,L16,DataSkill,N$4,DataYear,DashFromYear)=0,"",SUMIFS(DataRating,DataEmployee,L16,DataSkill,N$4,DataYear,DashFromYear)))</f>
        <v/>
      </c>
      <c r="AC16">
        <f>IF(OR(L16="",O$4="",DashFromYear=""),"",IF(SUMIFS(DataRating,DataEmployee,L16,DataSkill,O$4,DataYear,DashFromYear)=0,"",SUMIFS(DataRating,DataEmployee,L16,DataSkill,O$4,DataYear,DashFromYear)))</f>
        <v/>
      </c>
      <c r="AD16">
        <f>IF(OR(L16="",P$4="",DashFromYear=""),"",IF(SUMIFS(DataRating,DataEmployee,L16,DataSkill,P$4,DataYear,DashFromYear)=0,"",SUMIFS(DataRating,DataEmployee,L16,DataSkill,P$4,DataYear,DashFromYear)))</f>
        <v/>
      </c>
      <c r="AE16">
        <f>IF(OR(L16="",Q$4="",DashFromYear=""),"",IF(SUMIFS(DataRating,DataEmployee,L16,DataSkill,Q$4,DataYear,DashFromYear)=0,"",SUMIFS(DataRating,DataEmployee,L16,DataSkill,Q$4,DataYear,DashFromYear)))</f>
        <v/>
      </c>
      <c r="AF16">
        <f>IF(OR(L16="",R$4="",DashFromYear=""),"",IF(SUMIFS(DataRating,DataEmployee,L16,DataSkill,R$4,DataYear,DashFromYear)=0,"",SUMIFS(DataRating,DataEmployee,L16,DataSkill,R$4,DataYear,DashFromYear)))</f>
        <v/>
      </c>
    </row>
    <row r="17">
      <c r="A17" s="119">
        <f>IF('Years'!B20="","",'Years'!B20)</f>
        <v/>
      </c>
      <c r="B17" s="120">
        <f>IF(A17="","",IFERROR(IF(DeptFilter="(All departments)",AVERAGEIFS(DataRating,DataYear,A17),AVERAGEIFS(DataRating,DataYear,A17,DataDept,DeptFilter)),NA()))</f>
        <v/>
      </c>
      <c r="D17">
        <f>A17</f>
        <v/>
      </c>
      <c r="E17" s="120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20">
        <f>IF(L17="","",IFERROR(ROUND(AVERAGE(U17:Z17),2),""))</f>
        <v/>
      </c>
      <c r="N17" s="121">
        <f>IF(OR(L17="",M17="",DashFromYear=""),"",IFERROR(ROUND(M17-AVERAGE(AA17:AF17),2),""))</f>
        <v/>
      </c>
      <c r="O17">
        <f>IF(L17="","",COUNT(U17:Z17)&amp;"/"&amp;COUNTA(M$4:R$4))</f>
        <v/>
      </c>
      <c r="P17">
        <f>IF(L17="","",(IF(OR(M$4="",M$5="",U17=""),0,IF(U17&gt;=M$5,1,0))+IF(OR(N$4="",N$5="",V17=""),0,IF(V17&gt;=N$5,1,0))+IF(OR(O$4="",O$5="",W17=""),0,IF(W17&gt;=O$5,1,0))+IF(OR(P$4="",P$5="",X17=""),0,IF(X17&gt;=P$5,1,0))+IF(OR(Q$4="",Q$5="",Y17=""),0,IF(Y17&gt;=Q$5,1,0))+IF(OR(R$4="",R$5="",Z17=""),0,IF(Z17&gt;=R$5,1,0)))&amp;"/"&amp;COUNT(M$5:R$5)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20">
        <f>IFERROR(INDEX($M$8:$M$23,MATCH(10,$Q$8:$Q$23,0)),"")</f>
        <v/>
      </c>
      <c r="U17">
        <f>IF(OR(L17="",M$4=""),"",IF(SUMIFS(DataRating,DataEmployee,L17,DataSkill,M$4,DataYear,DashToYear)=0,"",SUMIFS(DataRating,DataEmployee,L17,DataSkill,M$4,DataYear,DashToYear)))</f>
        <v/>
      </c>
      <c r="V17">
        <f>IF(OR(L17="",N$4=""),"",IF(SUMIFS(DataRating,DataEmployee,L17,DataSkill,N$4,DataYear,DashToYear)=0,"",SUMIFS(DataRating,DataEmployee,L17,DataSkill,N$4,DataYear,DashToYear)))</f>
        <v/>
      </c>
      <c r="W17">
        <f>IF(OR(L17="",O$4=""),"",IF(SUMIFS(DataRating,DataEmployee,L17,DataSkill,O$4,DataYear,DashToYear)=0,"",SUMIFS(DataRating,DataEmployee,L17,DataSkill,O$4,DataYear,DashToYear)))</f>
        <v/>
      </c>
      <c r="X17">
        <f>IF(OR(L17="",P$4=""),"",IF(SUMIFS(DataRating,DataEmployee,L17,DataSkill,P$4,DataYear,DashToYear)=0,"",SUMIFS(DataRating,DataEmployee,L17,DataSkill,P$4,DataYear,DashToYear)))</f>
        <v/>
      </c>
      <c r="Y17">
        <f>IF(OR(L17="",Q$4=""),"",IF(SUMIFS(DataRating,DataEmployee,L17,DataSkill,Q$4,DataYear,DashToYear)=0,"",SUMIFS(DataRating,DataEmployee,L17,DataSkill,Q$4,DataYear,DashToYear)))</f>
        <v/>
      </c>
      <c r="Z17">
        <f>IF(OR(L17="",R$4=""),"",IF(SUMIFS(DataRating,DataEmployee,L17,DataSkill,R$4,DataYear,DashToYear)=0,"",SUMIFS(DataRating,DataEmployee,L17,DataSkill,R$4,DataYear,DashToYear)))</f>
        <v/>
      </c>
      <c r="AA17">
        <f>IF(OR(L17="",M$4="",DashFromYear=""),"",IF(SUMIFS(DataRating,DataEmployee,L17,DataSkill,M$4,DataYear,DashFromYear)=0,"",SUMIFS(DataRating,DataEmployee,L17,DataSkill,M$4,DataYear,DashFromYear)))</f>
        <v/>
      </c>
      <c r="AB17">
        <f>IF(OR(L17="",N$4="",DashFromYear=""),"",IF(SUMIFS(DataRating,DataEmployee,L17,DataSkill,N$4,DataYear,DashFromYear)=0,"",SUMIFS(DataRating,DataEmployee,L17,DataSkill,N$4,DataYear,DashFromYear)))</f>
        <v/>
      </c>
      <c r="AC17">
        <f>IF(OR(L17="",O$4="",DashFromYear=""),"",IF(SUMIFS(DataRating,DataEmployee,L17,DataSkill,O$4,DataYear,DashFromYear)=0,"",SUMIFS(DataRating,DataEmployee,L17,DataSkill,O$4,DataYear,DashFromYear)))</f>
        <v/>
      </c>
      <c r="AD17">
        <f>IF(OR(L17="",P$4="",DashFromYear=""),"",IF(SUMIFS(DataRating,DataEmployee,L17,DataSkill,P$4,DataYear,DashFromYear)=0,"",SUMIFS(DataRating,DataEmployee,L17,DataSkill,P$4,DataYear,DashFromYear)))</f>
        <v/>
      </c>
      <c r="AE17">
        <f>IF(OR(L17="",Q$4="",DashFromYear=""),"",IF(SUMIFS(DataRating,DataEmployee,L17,DataSkill,Q$4,DataYear,DashFromYear)=0,"",SUMIFS(DataRating,DataEmployee,L17,DataSkill,Q$4,DataYear,DashFromYear)))</f>
        <v/>
      </c>
      <c r="AF17">
        <f>IF(OR(L17="",R$4="",DashFromYear=""),"",IF(SUMIFS(DataRating,DataEmployee,L17,DataSkill,R$4,DataYear,DashFromYear)=0,"",SUMIFS(DataRating,DataEmployee,L17,DataSkill,R$4,DataYear,DashFromYear)))</f>
        <v/>
      </c>
    </row>
    <row r="18">
      <c r="A18" s="119">
        <f>IF('Years'!B21="","",'Years'!B21)</f>
        <v/>
      </c>
      <c r="B18" s="120">
        <f>IF(A18="","",IFERROR(IF(DeptFilter="(All departments)",AVERAGEIFS(DataRating,DataYear,A18),AVERAGEIFS(DataRating,DataYear,A18,DataDept,DeptFilter)),NA()))</f>
        <v/>
      </c>
      <c r="D18">
        <f>A18</f>
        <v/>
      </c>
      <c r="E18" s="120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20">
        <f>IF(L18="","",IFERROR(ROUND(AVERAGE(U18:Z18),2),""))</f>
        <v/>
      </c>
      <c r="N18" s="121">
        <f>IF(OR(L18="",M18="",DashFromYear=""),"",IFERROR(ROUND(M18-AVERAGE(AA18:AF18),2),""))</f>
        <v/>
      </c>
      <c r="O18">
        <f>IF(L18="","",COUNT(U18:Z18)&amp;"/"&amp;COUNTA(M$4:R$4))</f>
        <v/>
      </c>
      <c r="P18">
        <f>IF(L18="","",(IF(OR(M$4="",M$5="",U18=""),0,IF(U18&gt;=M$5,1,0))+IF(OR(N$4="",N$5="",V18=""),0,IF(V18&gt;=N$5,1,0))+IF(OR(O$4="",O$5="",W18=""),0,IF(W18&gt;=O$5,1,0))+IF(OR(P$4="",P$5="",X18=""),0,IF(X18&gt;=P$5,1,0))+IF(OR(Q$4="",Q$5="",Y18=""),0,IF(Y18&gt;=Q$5,1,0))+IF(OR(R$4="",R$5="",Z18=""),0,IF(Z18&gt;=R$5,1,0)))&amp;"/"&amp;COUNT(M$5:R$5)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20">
        <f>IFERROR(INDEX($M$8:$M$23,MATCH(11,$Q$8:$Q$23,0)),"")</f>
        <v/>
      </c>
      <c r="U18">
        <f>IF(OR(L18="",M$4=""),"",IF(SUMIFS(DataRating,DataEmployee,L18,DataSkill,M$4,DataYear,DashToYear)=0,"",SUMIFS(DataRating,DataEmployee,L18,DataSkill,M$4,DataYear,DashToYear)))</f>
        <v/>
      </c>
      <c r="V18">
        <f>IF(OR(L18="",N$4=""),"",IF(SUMIFS(DataRating,DataEmployee,L18,DataSkill,N$4,DataYear,DashToYear)=0,"",SUMIFS(DataRating,DataEmployee,L18,DataSkill,N$4,DataYear,DashToYear)))</f>
        <v/>
      </c>
      <c r="W18">
        <f>IF(OR(L18="",O$4=""),"",IF(SUMIFS(DataRating,DataEmployee,L18,DataSkill,O$4,DataYear,DashToYear)=0,"",SUMIFS(DataRating,DataEmployee,L18,DataSkill,O$4,DataYear,DashToYear)))</f>
        <v/>
      </c>
      <c r="X18">
        <f>IF(OR(L18="",P$4=""),"",IF(SUMIFS(DataRating,DataEmployee,L18,DataSkill,P$4,DataYear,DashToYear)=0,"",SUMIFS(DataRating,DataEmployee,L18,DataSkill,P$4,DataYear,DashToYear)))</f>
        <v/>
      </c>
      <c r="Y18">
        <f>IF(OR(L18="",Q$4=""),"",IF(SUMIFS(DataRating,DataEmployee,L18,DataSkill,Q$4,DataYear,DashToYear)=0,"",SUMIFS(DataRating,DataEmployee,L18,DataSkill,Q$4,DataYear,DashToYear)))</f>
        <v/>
      </c>
      <c r="Z18">
        <f>IF(OR(L18="",R$4=""),"",IF(SUMIFS(DataRating,DataEmployee,L18,DataSkill,R$4,DataYear,DashToYear)=0,"",SUMIFS(DataRating,DataEmployee,L18,DataSkill,R$4,DataYear,DashToYear)))</f>
        <v/>
      </c>
      <c r="AA18">
        <f>IF(OR(L18="",M$4="",DashFromYear=""),"",IF(SUMIFS(DataRating,DataEmployee,L18,DataSkill,M$4,DataYear,DashFromYear)=0,"",SUMIFS(DataRating,DataEmployee,L18,DataSkill,M$4,DataYear,DashFromYear)))</f>
        <v/>
      </c>
      <c r="AB18">
        <f>IF(OR(L18="",N$4="",DashFromYear=""),"",IF(SUMIFS(DataRating,DataEmployee,L18,DataSkill,N$4,DataYear,DashFromYear)=0,"",SUMIFS(DataRating,DataEmployee,L18,DataSkill,N$4,DataYear,DashFromYear)))</f>
        <v/>
      </c>
      <c r="AC18">
        <f>IF(OR(L18="",O$4="",DashFromYear=""),"",IF(SUMIFS(DataRating,DataEmployee,L18,DataSkill,O$4,DataYear,DashFromYear)=0,"",SUMIFS(DataRating,DataEmployee,L18,DataSkill,O$4,DataYear,DashFromYear)))</f>
        <v/>
      </c>
      <c r="AD18">
        <f>IF(OR(L18="",P$4="",DashFromYear=""),"",IF(SUMIFS(DataRating,DataEmployee,L18,DataSkill,P$4,DataYear,DashFromYear)=0,"",SUMIFS(DataRating,DataEmployee,L18,DataSkill,P$4,DataYear,DashFromYear)))</f>
        <v/>
      </c>
      <c r="AE18">
        <f>IF(OR(L18="",Q$4="",DashFromYear=""),"",IF(SUMIFS(DataRating,DataEmployee,L18,DataSkill,Q$4,DataYear,DashFromYear)=0,"",SUMIFS(DataRating,DataEmployee,L18,DataSkill,Q$4,DataYear,DashFromYear)))</f>
        <v/>
      </c>
      <c r="AF18">
        <f>IF(OR(L18="",R$4="",DashFromYear=""),"",IF(SUMIFS(DataRating,DataEmployee,L18,DataSkill,R$4,DataYear,DashFromYear)=0,"",SUMIFS(DataRating,DataEmployee,L18,DataSkill,R$4,DataYear,DashFromYear)))</f>
        <v/>
      </c>
    </row>
    <row r="19">
      <c r="A19" s="119">
        <f>IF('Years'!B22="","",'Years'!B22)</f>
        <v/>
      </c>
      <c r="B19" s="120">
        <f>IF(A19="","",IFERROR(IF(DeptFilter="(All departments)",AVERAGEIFS(DataRating,DataYear,A19),AVERAGEIFS(DataRating,DataYear,A19,DataDept,DeptFilter)),NA()))</f>
        <v/>
      </c>
      <c r="D19">
        <f>A19</f>
        <v/>
      </c>
      <c r="E19" s="120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20">
        <f>IF(L19="","",IFERROR(ROUND(AVERAGE(U19:Z19),2),""))</f>
        <v/>
      </c>
      <c r="N19" s="121">
        <f>IF(OR(L19="",M19="",DashFromYear=""),"",IFERROR(ROUND(M19-AVERAGE(AA19:AF19),2),""))</f>
        <v/>
      </c>
      <c r="O19">
        <f>IF(L19="","",COUNT(U19:Z19)&amp;"/"&amp;COUNTA(M$4:R$4))</f>
        <v/>
      </c>
      <c r="P19">
        <f>IF(L19="","",(IF(OR(M$4="",M$5="",U19=""),0,IF(U19&gt;=M$5,1,0))+IF(OR(N$4="",N$5="",V19=""),0,IF(V19&gt;=N$5,1,0))+IF(OR(O$4="",O$5="",W19=""),0,IF(W19&gt;=O$5,1,0))+IF(OR(P$4="",P$5="",X19=""),0,IF(X19&gt;=P$5,1,0))+IF(OR(Q$4="",Q$5="",Y19=""),0,IF(Y19&gt;=Q$5,1,0))+IF(OR(R$4="",R$5="",Z19=""),0,IF(Z19&gt;=R$5,1,0)))&amp;"/"&amp;COUNT(M$5:R$5)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20">
        <f>IFERROR(INDEX($M$8:$M$23,MATCH(12,$Q$8:$Q$23,0)),"")</f>
        <v/>
      </c>
      <c r="U19">
        <f>IF(OR(L19="",M$4=""),"",IF(SUMIFS(DataRating,DataEmployee,L19,DataSkill,M$4,DataYear,DashToYear)=0,"",SUMIFS(DataRating,DataEmployee,L19,DataSkill,M$4,DataYear,DashToYear)))</f>
        <v/>
      </c>
      <c r="V19">
        <f>IF(OR(L19="",N$4=""),"",IF(SUMIFS(DataRating,DataEmployee,L19,DataSkill,N$4,DataYear,DashToYear)=0,"",SUMIFS(DataRating,DataEmployee,L19,DataSkill,N$4,DataYear,DashToYear)))</f>
        <v/>
      </c>
      <c r="W19">
        <f>IF(OR(L19="",O$4=""),"",IF(SUMIFS(DataRating,DataEmployee,L19,DataSkill,O$4,DataYear,DashToYear)=0,"",SUMIFS(DataRating,DataEmployee,L19,DataSkill,O$4,DataYear,DashToYear)))</f>
        <v/>
      </c>
      <c r="X19">
        <f>IF(OR(L19="",P$4=""),"",IF(SUMIFS(DataRating,DataEmployee,L19,DataSkill,P$4,DataYear,DashToYear)=0,"",SUMIFS(DataRating,DataEmployee,L19,DataSkill,P$4,DataYear,DashToYear)))</f>
        <v/>
      </c>
      <c r="Y19">
        <f>IF(OR(L19="",Q$4=""),"",IF(SUMIFS(DataRating,DataEmployee,L19,DataSkill,Q$4,DataYear,DashToYear)=0,"",SUMIFS(DataRating,DataEmployee,L19,DataSkill,Q$4,DataYear,DashToYear)))</f>
        <v/>
      </c>
      <c r="Z19">
        <f>IF(OR(L19="",R$4=""),"",IF(SUMIFS(DataRating,DataEmployee,L19,DataSkill,R$4,DataYear,DashToYear)=0,"",SUMIFS(DataRating,DataEmployee,L19,DataSkill,R$4,DataYear,DashToYear)))</f>
        <v/>
      </c>
      <c r="AA19">
        <f>IF(OR(L19="",M$4="",DashFromYear=""),"",IF(SUMIFS(DataRating,DataEmployee,L19,DataSkill,M$4,DataYear,DashFromYear)=0,"",SUMIFS(DataRating,DataEmployee,L19,DataSkill,M$4,DataYear,DashFromYear)))</f>
        <v/>
      </c>
      <c r="AB19">
        <f>IF(OR(L19="",N$4="",DashFromYear=""),"",IF(SUMIFS(DataRating,DataEmployee,L19,DataSkill,N$4,DataYear,DashFromYear)=0,"",SUMIFS(DataRating,DataEmployee,L19,DataSkill,N$4,DataYear,DashFromYear)))</f>
        <v/>
      </c>
      <c r="AC19">
        <f>IF(OR(L19="",O$4="",DashFromYear=""),"",IF(SUMIFS(DataRating,DataEmployee,L19,DataSkill,O$4,DataYear,DashFromYear)=0,"",SUMIFS(DataRating,DataEmployee,L19,DataSkill,O$4,DataYear,DashFromYear)))</f>
        <v/>
      </c>
      <c r="AD19">
        <f>IF(OR(L19="",P$4="",DashFromYear=""),"",IF(SUMIFS(DataRating,DataEmployee,L19,DataSkill,P$4,DataYear,DashFromYear)=0,"",SUMIFS(DataRating,DataEmployee,L19,DataSkill,P$4,DataYear,DashFromYear)))</f>
        <v/>
      </c>
      <c r="AE19">
        <f>IF(OR(L19="",Q$4="",DashFromYear=""),"",IF(SUMIFS(DataRating,DataEmployee,L19,DataSkill,Q$4,DataYear,DashFromYear)=0,"",SUMIFS(DataRating,DataEmployee,L19,DataSkill,Q$4,DataYear,DashFromYear)))</f>
        <v/>
      </c>
      <c r="AF19">
        <f>IF(OR(L19="",R$4="",DashFromYear=""),"",IF(SUMIFS(DataRating,DataEmployee,L19,DataSkill,R$4,DataYear,DashFromYear)=0,"",SUMIFS(DataRating,DataEmployee,L19,DataSkill,R$4,DataYear,DashFromYear)))</f>
        <v/>
      </c>
    </row>
    <row r="20">
      <c r="A20" s="119">
        <f>IF('Years'!B23="","",'Years'!B23)</f>
        <v/>
      </c>
      <c r="B20" s="120">
        <f>IF(A20="","",IFERROR(IF(DeptFilter="(All departments)",AVERAGEIFS(DataRating,DataYear,A20),AVERAGEIFS(DataRating,DataYear,A20,DataDept,DeptFilter)),NA()))</f>
        <v/>
      </c>
      <c r="D20">
        <f>A20</f>
        <v/>
      </c>
      <c r="E20" s="120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20">
        <f>IF(L20="","",IFERROR(ROUND(AVERAGE(U20:Z20),2),""))</f>
        <v/>
      </c>
      <c r="N20" s="121">
        <f>IF(OR(L20="",M20="",DashFromYear=""),"",IFERROR(ROUND(M20-AVERAGE(AA20:AF20),2),""))</f>
        <v/>
      </c>
      <c r="O20">
        <f>IF(L20="","",COUNT(U20:Z20)&amp;"/"&amp;COUNTA(M$4:R$4))</f>
        <v/>
      </c>
      <c r="P20">
        <f>IF(L20="","",(IF(OR(M$4="",M$5="",U20=""),0,IF(U20&gt;=M$5,1,0))+IF(OR(N$4="",N$5="",V20=""),0,IF(V20&gt;=N$5,1,0))+IF(OR(O$4="",O$5="",W20=""),0,IF(W20&gt;=O$5,1,0))+IF(OR(P$4="",P$5="",X20=""),0,IF(X20&gt;=P$5,1,0))+IF(OR(Q$4="",Q$5="",Y20=""),0,IF(Y20&gt;=Q$5,1,0))+IF(OR(R$4="",R$5="",Z20=""),0,IF(Z20&gt;=R$5,1,0)))&amp;"/"&amp;COUNT(M$5:R$5)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20">
        <f>IFERROR(INDEX($M$8:$M$23,MATCH(13,$Q$8:$Q$23,0)),"")</f>
        <v/>
      </c>
      <c r="U20">
        <f>IF(OR(L20="",M$4=""),"",IF(SUMIFS(DataRating,DataEmployee,L20,DataSkill,M$4,DataYear,DashToYear)=0,"",SUMIFS(DataRating,DataEmployee,L20,DataSkill,M$4,DataYear,DashToYear)))</f>
        <v/>
      </c>
      <c r="V20">
        <f>IF(OR(L20="",N$4=""),"",IF(SUMIFS(DataRating,DataEmployee,L20,DataSkill,N$4,DataYear,DashToYear)=0,"",SUMIFS(DataRating,DataEmployee,L20,DataSkill,N$4,DataYear,DashToYear)))</f>
        <v/>
      </c>
      <c r="W20">
        <f>IF(OR(L20="",O$4=""),"",IF(SUMIFS(DataRating,DataEmployee,L20,DataSkill,O$4,DataYear,DashToYear)=0,"",SUMIFS(DataRating,DataEmployee,L20,DataSkill,O$4,DataYear,DashToYear)))</f>
        <v/>
      </c>
      <c r="X20">
        <f>IF(OR(L20="",P$4=""),"",IF(SUMIFS(DataRating,DataEmployee,L20,DataSkill,P$4,DataYear,DashToYear)=0,"",SUMIFS(DataRating,DataEmployee,L20,DataSkill,P$4,DataYear,DashToYear)))</f>
        <v/>
      </c>
      <c r="Y20">
        <f>IF(OR(L20="",Q$4=""),"",IF(SUMIFS(DataRating,DataEmployee,L20,DataSkill,Q$4,DataYear,DashToYear)=0,"",SUMIFS(DataRating,DataEmployee,L20,DataSkill,Q$4,DataYear,DashToYear)))</f>
        <v/>
      </c>
      <c r="Z20">
        <f>IF(OR(L20="",R$4=""),"",IF(SUMIFS(DataRating,DataEmployee,L20,DataSkill,R$4,DataYear,DashToYear)=0,"",SUMIFS(DataRating,DataEmployee,L20,DataSkill,R$4,DataYear,DashToYear)))</f>
        <v/>
      </c>
      <c r="AA20">
        <f>IF(OR(L20="",M$4="",DashFromYear=""),"",IF(SUMIFS(DataRating,DataEmployee,L20,DataSkill,M$4,DataYear,DashFromYear)=0,"",SUMIFS(DataRating,DataEmployee,L20,DataSkill,M$4,DataYear,DashFromYear)))</f>
        <v/>
      </c>
      <c r="AB20">
        <f>IF(OR(L20="",N$4="",DashFromYear=""),"",IF(SUMIFS(DataRating,DataEmployee,L20,DataSkill,N$4,DataYear,DashFromYear)=0,"",SUMIFS(DataRating,DataEmployee,L20,DataSkill,N$4,DataYear,DashFromYear)))</f>
        <v/>
      </c>
      <c r="AC20">
        <f>IF(OR(L20="",O$4="",DashFromYear=""),"",IF(SUMIFS(DataRating,DataEmployee,L20,DataSkill,O$4,DataYear,DashFromYear)=0,"",SUMIFS(DataRating,DataEmployee,L20,DataSkill,O$4,DataYear,DashFromYear)))</f>
        <v/>
      </c>
      <c r="AD20">
        <f>IF(OR(L20="",P$4="",DashFromYear=""),"",IF(SUMIFS(DataRating,DataEmployee,L20,DataSkill,P$4,DataYear,DashFromYear)=0,"",SUMIFS(DataRating,DataEmployee,L20,DataSkill,P$4,DataYear,DashFromYear)))</f>
        <v/>
      </c>
      <c r="AE20">
        <f>IF(OR(L20="",Q$4="",DashFromYear=""),"",IF(SUMIFS(DataRating,DataEmployee,L20,DataSkill,Q$4,DataYear,DashFromYear)=0,"",SUMIFS(DataRating,DataEmployee,L20,DataSkill,Q$4,DataYear,DashFromYear)))</f>
        <v/>
      </c>
      <c r="AF20">
        <f>IF(OR(L20="",R$4="",DashFromYear=""),"",IF(SUMIFS(DataRating,DataEmployee,L20,DataSkill,R$4,DataYear,DashFromYear)=0,"",SUMIFS(DataRating,DataEmployee,L20,DataSkill,R$4,DataYear,DashFromYear)))</f>
        <v/>
      </c>
    </row>
    <row r="21">
      <c r="L21">
        <f>IF('Employees'!B19="","",'Employees'!B19)</f>
        <v/>
      </c>
      <c r="M21" s="120">
        <f>IF(L21="","",IFERROR(ROUND(AVERAGE(U21:Z21),2),""))</f>
        <v/>
      </c>
      <c r="N21" s="121">
        <f>IF(OR(L21="",M21="",DashFromYear=""),"",IFERROR(ROUND(M21-AVERAGE(AA21:AF21),2),""))</f>
        <v/>
      </c>
      <c r="O21">
        <f>IF(L21="","",COUNT(U21:Z21)&amp;"/"&amp;COUNTA(M$4:R$4))</f>
        <v/>
      </c>
      <c r="P21">
        <f>IF(L21="","",(IF(OR(M$4="",M$5="",U21=""),0,IF(U21&gt;=M$5,1,0))+IF(OR(N$4="",N$5="",V21=""),0,IF(V21&gt;=N$5,1,0))+IF(OR(O$4="",O$5="",W21=""),0,IF(W21&gt;=O$5,1,0))+IF(OR(P$4="",P$5="",X21=""),0,IF(X21&gt;=P$5,1,0))+IF(OR(Q$4="",Q$5="",Y21=""),0,IF(Y21&gt;=Q$5,1,0))+IF(OR(R$4="",R$5="",Z21=""),0,IF(Z21&gt;=R$5,1,0)))&amp;"/"&amp;COUNT(M$5:R$5)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20">
        <f>IFERROR(INDEX($M$8:$M$23,MATCH(14,$Q$8:$Q$23,0)),"")</f>
        <v/>
      </c>
      <c r="U21">
        <f>IF(OR(L21="",M$4=""),"",IF(SUMIFS(DataRating,DataEmployee,L21,DataSkill,M$4,DataYear,DashToYear)=0,"",SUMIFS(DataRating,DataEmployee,L21,DataSkill,M$4,DataYear,DashToYear)))</f>
        <v/>
      </c>
      <c r="V21">
        <f>IF(OR(L21="",N$4=""),"",IF(SUMIFS(DataRating,DataEmployee,L21,DataSkill,N$4,DataYear,DashToYear)=0,"",SUMIFS(DataRating,DataEmployee,L21,DataSkill,N$4,DataYear,DashToYear)))</f>
        <v/>
      </c>
      <c r="W21">
        <f>IF(OR(L21="",O$4=""),"",IF(SUMIFS(DataRating,DataEmployee,L21,DataSkill,O$4,DataYear,DashToYear)=0,"",SUMIFS(DataRating,DataEmployee,L21,DataSkill,O$4,DataYear,DashToYear)))</f>
        <v/>
      </c>
      <c r="X21">
        <f>IF(OR(L21="",P$4=""),"",IF(SUMIFS(DataRating,DataEmployee,L21,DataSkill,P$4,DataYear,DashToYear)=0,"",SUMIFS(DataRating,DataEmployee,L21,DataSkill,P$4,DataYear,DashToYear)))</f>
        <v/>
      </c>
      <c r="Y21">
        <f>IF(OR(L21="",Q$4=""),"",IF(SUMIFS(DataRating,DataEmployee,L21,DataSkill,Q$4,DataYear,DashToYear)=0,"",SUMIFS(DataRating,DataEmployee,L21,DataSkill,Q$4,DataYear,DashToYear)))</f>
        <v/>
      </c>
      <c r="Z21">
        <f>IF(OR(L21="",R$4=""),"",IF(SUMIFS(DataRating,DataEmployee,L21,DataSkill,R$4,DataYear,DashToYear)=0,"",SUMIFS(DataRating,DataEmployee,L21,DataSkill,R$4,DataYear,DashToYear)))</f>
        <v/>
      </c>
      <c r="AA21">
        <f>IF(OR(L21="",M$4="",DashFromYear=""),"",IF(SUMIFS(DataRating,DataEmployee,L21,DataSkill,M$4,DataYear,DashFromYear)=0,"",SUMIFS(DataRating,DataEmployee,L21,DataSkill,M$4,DataYear,DashFromYear)))</f>
        <v/>
      </c>
      <c r="AB21">
        <f>IF(OR(L21="",N$4="",DashFromYear=""),"",IF(SUMIFS(DataRating,DataEmployee,L21,DataSkill,N$4,DataYear,DashFromYear)=0,"",SUMIFS(DataRating,DataEmployee,L21,DataSkill,N$4,DataYear,DashFromYear)))</f>
        <v/>
      </c>
      <c r="AC21">
        <f>IF(OR(L21="",O$4="",DashFromYear=""),"",IF(SUMIFS(DataRating,DataEmployee,L21,DataSkill,O$4,DataYear,DashFromYear)=0,"",SUMIFS(DataRating,DataEmployee,L21,DataSkill,O$4,DataYear,DashFromYear)))</f>
        <v/>
      </c>
      <c r="AD21">
        <f>IF(OR(L21="",P$4="",DashFromYear=""),"",IF(SUMIFS(DataRating,DataEmployee,L21,DataSkill,P$4,DataYear,DashFromYear)=0,"",SUMIFS(DataRating,DataEmployee,L21,DataSkill,P$4,DataYear,DashFromYear)))</f>
        <v/>
      </c>
      <c r="AE21">
        <f>IF(OR(L21="",Q$4="",DashFromYear=""),"",IF(SUMIFS(DataRating,DataEmployee,L21,DataSkill,Q$4,DataYear,DashFromYear)=0,"",SUMIFS(DataRating,DataEmployee,L21,DataSkill,Q$4,DataYear,DashFromYear)))</f>
        <v/>
      </c>
      <c r="AF21">
        <f>IF(OR(L21="",R$4="",DashFromYear=""),"",IF(SUMIFS(DataRating,DataEmployee,L21,DataSkill,R$4,DataYear,DashFromYear)=0,"",SUMIFS(DataRating,DataEmployee,L21,DataSkill,R$4,DataYear,DashFromYear)))</f>
        <v/>
      </c>
    </row>
    <row r="22">
      <c r="L22">
        <f>IF('Employees'!B20="","",'Employees'!B20)</f>
        <v/>
      </c>
      <c r="M22" s="120">
        <f>IF(L22="","",IFERROR(ROUND(AVERAGE(U22:Z22),2),""))</f>
        <v/>
      </c>
      <c r="N22" s="121">
        <f>IF(OR(L22="",M22="",DashFromYear=""),"",IFERROR(ROUND(M22-AVERAGE(AA22:AF22),2),""))</f>
        <v/>
      </c>
      <c r="O22">
        <f>IF(L22="","",COUNT(U22:Z22)&amp;"/"&amp;COUNTA(M$4:R$4))</f>
        <v/>
      </c>
      <c r="P22">
        <f>IF(L22="","",(IF(OR(M$4="",M$5="",U22=""),0,IF(U22&gt;=M$5,1,0))+IF(OR(N$4="",N$5="",V22=""),0,IF(V22&gt;=N$5,1,0))+IF(OR(O$4="",O$5="",W22=""),0,IF(W22&gt;=O$5,1,0))+IF(OR(P$4="",P$5="",X22=""),0,IF(X22&gt;=P$5,1,0))+IF(OR(Q$4="",Q$5="",Y22=""),0,IF(Y22&gt;=Q$5,1,0))+IF(OR(R$4="",R$5="",Z22=""),0,IF(Z22&gt;=R$5,1,0)))&amp;"/"&amp;COUNT(M$5:R$5)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20">
        <f>IFERROR(INDEX($M$8:$M$23,MATCH(15,$Q$8:$Q$23,0)),"")</f>
        <v/>
      </c>
      <c r="U22">
        <f>IF(OR(L22="",M$4=""),"",IF(SUMIFS(DataRating,DataEmployee,L22,DataSkill,M$4,DataYear,DashToYear)=0,"",SUMIFS(DataRating,DataEmployee,L22,DataSkill,M$4,DataYear,DashToYear)))</f>
        <v/>
      </c>
      <c r="V22">
        <f>IF(OR(L22="",N$4=""),"",IF(SUMIFS(DataRating,DataEmployee,L22,DataSkill,N$4,DataYear,DashToYear)=0,"",SUMIFS(DataRating,DataEmployee,L22,DataSkill,N$4,DataYear,DashToYear)))</f>
        <v/>
      </c>
      <c r="W22">
        <f>IF(OR(L22="",O$4=""),"",IF(SUMIFS(DataRating,DataEmployee,L22,DataSkill,O$4,DataYear,DashToYear)=0,"",SUMIFS(DataRating,DataEmployee,L22,DataSkill,O$4,DataYear,DashToYear)))</f>
        <v/>
      </c>
      <c r="X22">
        <f>IF(OR(L22="",P$4=""),"",IF(SUMIFS(DataRating,DataEmployee,L22,DataSkill,P$4,DataYear,DashToYear)=0,"",SUMIFS(DataRating,DataEmployee,L22,DataSkill,P$4,DataYear,DashToYear)))</f>
        <v/>
      </c>
      <c r="Y22">
        <f>IF(OR(L22="",Q$4=""),"",IF(SUMIFS(DataRating,DataEmployee,L22,DataSkill,Q$4,DataYear,DashToYear)=0,"",SUMIFS(DataRating,DataEmployee,L22,DataSkill,Q$4,DataYear,DashToYear)))</f>
        <v/>
      </c>
      <c r="Z22">
        <f>IF(OR(L22="",R$4=""),"",IF(SUMIFS(DataRating,DataEmployee,L22,DataSkill,R$4,DataYear,DashToYear)=0,"",SUMIFS(DataRating,DataEmployee,L22,DataSkill,R$4,DataYear,DashToYear)))</f>
        <v/>
      </c>
      <c r="AA22">
        <f>IF(OR(L22="",M$4="",DashFromYear=""),"",IF(SUMIFS(DataRating,DataEmployee,L22,DataSkill,M$4,DataYear,DashFromYear)=0,"",SUMIFS(DataRating,DataEmployee,L22,DataSkill,M$4,DataYear,DashFromYear)))</f>
        <v/>
      </c>
      <c r="AB22">
        <f>IF(OR(L22="",N$4="",DashFromYear=""),"",IF(SUMIFS(DataRating,DataEmployee,L22,DataSkill,N$4,DataYear,DashFromYear)=0,"",SUMIFS(DataRating,DataEmployee,L22,DataSkill,N$4,DataYear,DashFromYear)))</f>
        <v/>
      </c>
      <c r="AC22">
        <f>IF(OR(L22="",O$4="",DashFromYear=""),"",IF(SUMIFS(DataRating,DataEmployee,L22,DataSkill,O$4,DataYear,DashFromYear)=0,"",SUMIFS(DataRating,DataEmployee,L22,DataSkill,O$4,DataYear,DashFromYear)))</f>
        <v/>
      </c>
      <c r="AD22">
        <f>IF(OR(L22="",P$4="",DashFromYear=""),"",IF(SUMIFS(DataRating,DataEmployee,L22,DataSkill,P$4,DataYear,DashFromYear)=0,"",SUMIFS(DataRating,DataEmployee,L22,DataSkill,P$4,DataYear,DashFromYear)))</f>
        <v/>
      </c>
      <c r="AE22">
        <f>IF(OR(L22="",Q$4="",DashFromYear=""),"",IF(SUMIFS(DataRating,DataEmployee,L22,DataSkill,Q$4,DataYear,DashFromYear)=0,"",SUMIFS(DataRating,DataEmployee,L22,DataSkill,Q$4,DataYear,DashFromYear)))</f>
        <v/>
      </c>
      <c r="AF22">
        <f>IF(OR(L22="",R$4="",DashFromYear=""),"",IF(SUMIFS(DataRating,DataEmployee,L22,DataSkill,R$4,DataYear,DashFromYear)=0,"",SUMIFS(DataRating,DataEmployee,L22,DataSkill,R$4,DataYear,DashFromYear)))</f>
        <v/>
      </c>
    </row>
    <row r="23">
      <c r="L23">
        <f>IF('Employees'!B21="","",'Employees'!B21)</f>
        <v/>
      </c>
      <c r="M23" s="120">
        <f>IF(L23="","",IFERROR(ROUND(AVERAGE(U23:Z23),2),""))</f>
        <v/>
      </c>
      <c r="N23" s="121">
        <f>IF(OR(L23="",M23="",DashFromYear=""),"",IFERROR(ROUND(M23-AVERAGE(AA23:AF23),2),""))</f>
        <v/>
      </c>
      <c r="O23">
        <f>IF(L23="","",COUNT(U23:Z23)&amp;"/"&amp;COUNTA(M$4:R$4))</f>
        <v/>
      </c>
      <c r="P23">
        <f>IF(L23="","",(IF(OR(M$4="",M$5="",U23=""),0,IF(U23&gt;=M$5,1,0))+IF(OR(N$4="",N$5="",V23=""),0,IF(V23&gt;=N$5,1,0))+IF(OR(O$4="",O$5="",W23=""),0,IF(W23&gt;=O$5,1,0))+IF(OR(P$4="",P$5="",X23=""),0,IF(X23&gt;=P$5,1,0))+IF(OR(Q$4="",Q$5="",Y23=""),0,IF(Y23&gt;=Q$5,1,0))+IF(OR(R$4="",R$5="",Z23=""),0,IF(Z23&gt;=R$5,1,0)))&amp;"/"&amp;COUNT(M$5:R$5)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20">
        <f>IFERROR(INDEX($M$8:$M$23,MATCH(16,$Q$8:$Q$23,0)),"")</f>
        <v/>
      </c>
      <c r="U23">
        <f>IF(OR(L23="",M$4=""),"",IF(SUMIFS(DataRating,DataEmployee,L23,DataSkill,M$4,DataYear,DashToYear)=0,"",SUMIFS(DataRating,DataEmployee,L23,DataSkill,M$4,DataYear,DashToYear)))</f>
        <v/>
      </c>
      <c r="V23">
        <f>IF(OR(L23="",N$4=""),"",IF(SUMIFS(DataRating,DataEmployee,L23,DataSkill,N$4,DataYear,DashToYear)=0,"",SUMIFS(DataRating,DataEmployee,L23,DataSkill,N$4,DataYear,DashToYear)))</f>
        <v/>
      </c>
      <c r="W23">
        <f>IF(OR(L23="",O$4=""),"",IF(SUMIFS(DataRating,DataEmployee,L23,DataSkill,O$4,DataYear,DashToYear)=0,"",SUMIFS(DataRating,DataEmployee,L23,DataSkill,O$4,DataYear,DashToYear)))</f>
        <v/>
      </c>
      <c r="X23">
        <f>IF(OR(L23="",P$4=""),"",IF(SUMIFS(DataRating,DataEmployee,L23,DataSkill,P$4,DataYear,DashToYear)=0,"",SUMIFS(DataRating,DataEmployee,L23,DataSkill,P$4,DataYear,DashToYear)))</f>
        <v/>
      </c>
      <c r="Y23">
        <f>IF(OR(L23="",Q$4=""),"",IF(SUMIFS(DataRating,DataEmployee,L23,DataSkill,Q$4,DataYear,DashToYear)=0,"",SUMIFS(DataRating,DataEmployee,L23,DataSkill,Q$4,DataYear,DashToYear)))</f>
        <v/>
      </c>
      <c r="Z23">
        <f>IF(OR(L23="",R$4=""),"",IF(SUMIFS(DataRating,DataEmployee,L23,DataSkill,R$4,DataYear,DashToYear)=0,"",SUMIFS(DataRating,DataEmployee,L23,DataSkill,R$4,DataYear,DashToYear)))</f>
        <v/>
      </c>
      <c r="AA23">
        <f>IF(OR(L23="",M$4="",DashFromYear=""),"",IF(SUMIFS(DataRating,DataEmployee,L23,DataSkill,M$4,DataYear,DashFromYear)=0,"",SUMIFS(DataRating,DataEmployee,L23,DataSkill,M$4,DataYear,DashFromYear)))</f>
        <v/>
      </c>
      <c r="AB23">
        <f>IF(OR(L23="",N$4="",DashFromYear=""),"",IF(SUMIFS(DataRating,DataEmployee,L23,DataSkill,N$4,DataYear,DashFromYear)=0,"",SUMIFS(DataRating,DataEmployee,L23,DataSkill,N$4,DataYear,DashFromYear)))</f>
        <v/>
      </c>
      <c r="AC23">
        <f>IF(OR(L23="",O$4="",DashFromYear=""),"",IF(SUMIFS(DataRating,DataEmployee,L23,DataSkill,O$4,DataYear,DashFromYear)=0,"",SUMIFS(DataRating,DataEmployee,L23,DataSkill,O$4,DataYear,DashFromYear)))</f>
        <v/>
      </c>
      <c r="AD23">
        <f>IF(OR(L23="",P$4="",DashFromYear=""),"",IF(SUMIFS(DataRating,DataEmployee,L23,DataSkill,P$4,DataYear,DashFromYear)=0,"",SUMIFS(DataRating,DataEmployee,L23,DataSkill,P$4,DataYear,DashFromYear)))</f>
        <v/>
      </c>
      <c r="AE23">
        <f>IF(OR(L23="",Q$4="",DashFromYear=""),"",IF(SUMIFS(DataRating,DataEmployee,L23,DataSkill,Q$4,DataYear,DashFromYear)=0,"",SUMIFS(DataRating,DataEmployee,L23,DataSkill,Q$4,DataYear,DashFromYear)))</f>
        <v/>
      </c>
      <c r="AF23">
        <f>IF(OR(L23="",R$4="",DashFromYear=""),"",IF(SUMIFS(DataRating,DataEmployee,L23,DataSkill,R$4,DataYear,DashFromYear)=0,"",SUMIFS(DataRating,DataEmployee,L23,DataSkill,R$4,DataYear,DashFromYear)))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any two years on the dashboard.</dc:description>
  <dcterms:created xsi:type="dcterms:W3CDTF">2026-08-14T12:29:01Z</dcterms:created>
  <dcterms:modified xsi:type="dcterms:W3CDTF">2026-08-14T12:29:02Z</dcterms:modified>
</cp:coreProperties>
</file>